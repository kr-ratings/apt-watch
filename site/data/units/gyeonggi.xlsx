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9-1. [매월]미분양자료 제출(道→국토부)\[월보] 미분양(매월 15·20·25)\[매월 15일, 마지막날] 국토부 제출(시군제출마감 10일, 25일)\26.08.31\0.총합\"/>
    </mc:Choice>
  </mc:AlternateContent>
  <xr:revisionPtr revIDLastSave="0" documentId="13_ncr:1_{BC93876A-A6F8-47A9-B32B-7BA2C5A8DA4A}" xr6:coauthVersionLast="47" xr6:coauthVersionMax="47" xr10:uidLastSave="{00000000-0000-0000-0000-000000000000}"/>
  <bookViews>
    <workbookView xWindow="28680" yWindow="-120" windowWidth="29040" windowHeight="15720" tabRatio="407" xr2:uid="{00000000-000D-0000-FFFF-FFFF00000000}"/>
  </bookViews>
  <sheets>
    <sheet name="총괄표(경기도)" sheetId="1" r:id="rId1"/>
    <sheet name="업체별 현황 " sheetId="15" r:id="rId2"/>
    <sheet name="총괄표(국토부통계누리순서)" sheetId="16" state="hidden" r:id="rId3"/>
  </sheets>
  <definedNames>
    <definedName name="_xlnm._FilterDatabase" localSheetId="1" hidden="1">'업체별 현황 '!$A$6:$BTT$6</definedName>
    <definedName name="_xlnm._FilterDatabase" localSheetId="0" hidden="1">'총괄표(경기도)'!$A$3:$L$35</definedName>
    <definedName name="_xlnm._FilterDatabase" localSheetId="2" hidden="1">'총괄표(국토부통계누리순서)'!$A$4:$N$35</definedName>
    <definedName name="_xlnm.Print_Area" localSheetId="1">'업체별 현황 '!$A$1:$U$944</definedName>
    <definedName name="_xlnm.Print_Area" localSheetId="0">'총괄표(경기도)'!$A$38:$L$72</definedName>
    <definedName name="_xlnm.Print_Area" localSheetId="2">'총괄표(국토부통계누리순서)'!$A$1:$L$35</definedName>
    <definedName name="_xlnm.Print_Titles" localSheetId="1">'업체별 현황 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9" i="15" l="1"/>
  <c r="N16" i="15"/>
  <c r="N19" i="15"/>
  <c r="N20" i="15" s="1"/>
  <c r="N26" i="15"/>
  <c r="N30" i="15"/>
  <c r="N34" i="15"/>
  <c r="N39" i="15"/>
  <c r="N43" i="15"/>
  <c r="N47" i="15"/>
  <c r="N52" i="15"/>
  <c r="N53" i="15" s="1"/>
  <c r="N69" i="15"/>
  <c r="N75" i="15"/>
  <c r="N96" i="15"/>
  <c r="N97" i="15" s="1"/>
  <c r="N106" i="15"/>
  <c r="N115" i="15"/>
  <c r="N122" i="15"/>
  <c r="N126" i="15"/>
  <c r="N131" i="15"/>
  <c r="N135" i="15"/>
  <c r="N140" i="15"/>
  <c r="N163" i="15" s="1"/>
  <c r="N146" i="15"/>
  <c r="N150" i="15"/>
  <c r="N155" i="15"/>
  <c r="N162" i="15"/>
  <c r="N167" i="15"/>
  <c r="N173" i="15"/>
  <c r="N178" i="15"/>
  <c r="N186" i="15"/>
  <c r="N190" i="15"/>
  <c r="N201" i="15"/>
  <c r="N224" i="15"/>
  <c r="N273" i="15" s="1"/>
  <c r="N231" i="15"/>
  <c r="N239" i="15"/>
  <c r="N247" i="15"/>
  <c r="N252" i="15"/>
  <c r="N258" i="15"/>
  <c r="N267" i="15"/>
  <c r="N272" i="15"/>
  <c r="N277" i="15"/>
  <c r="N300" i="15" s="1"/>
  <c r="N281" i="15"/>
  <c r="N287" i="15"/>
  <c r="N293" i="15"/>
  <c r="N296" i="15"/>
  <c r="N299" i="15"/>
  <c r="N306" i="15"/>
  <c r="N312" i="15"/>
  <c r="N316" i="15"/>
  <c r="N322" i="15"/>
  <c r="N327" i="15"/>
  <c r="N331" i="15"/>
  <c r="N336" i="15"/>
  <c r="N339" i="15"/>
  <c r="N346" i="15"/>
  <c r="N350" i="15"/>
  <c r="N353" i="15"/>
  <c r="N364" i="15"/>
  <c r="N368" i="15"/>
  <c r="N375" i="15"/>
  <c r="N381" i="15"/>
  <c r="N387" i="15"/>
  <c r="N391" i="15"/>
  <c r="N396" i="15"/>
  <c r="N401" i="15"/>
  <c r="N406" i="15"/>
  <c r="N407" i="15" s="1"/>
  <c r="N6" i="15" s="1"/>
  <c r="N415" i="15"/>
  <c r="N418" i="15"/>
  <c r="N422" i="15"/>
  <c r="N430" i="15"/>
  <c r="N504" i="15" s="1"/>
  <c r="N433" i="15"/>
  <c r="N437" i="15"/>
  <c r="N440" i="15"/>
  <c r="N448" i="15"/>
  <c r="N454" i="15"/>
  <c r="N457" i="15"/>
  <c r="N465" i="15"/>
  <c r="N472" i="15"/>
  <c r="N482" i="15"/>
  <c r="N489" i="15"/>
  <c r="N499" i="15"/>
  <c r="N503" i="15"/>
  <c r="N511" i="15"/>
  <c r="N516" i="15"/>
  <c r="N523" i="15"/>
  <c r="N528" i="15"/>
  <c r="N529" i="15"/>
  <c r="N537" i="15"/>
  <c r="N538" i="15"/>
  <c r="N544" i="15"/>
  <c r="N549" i="15"/>
  <c r="N560" i="15"/>
  <c r="N565" i="15"/>
  <c r="N569" i="15"/>
  <c r="N575" i="15"/>
  <c r="N592" i="15"/>
  <c r="N593" i="15" s="1"/>
  <c r="N597" i="15"/>
  <c r="N646" i="15" s="1"/>
  <c r="N601" i="15"/>
  <c r="N606" i="15"/>
  <c r="N612" i="15"/>
  <c r="N618" i="15"/>
  <c r="N623" i="15"/>
  <c r="N628" i="15"/>
  <c r="N634" i="15"/>
  <c r="N642" i="15"/>
  <c r="N645" i="15"/>
  <c r="N657" i="15"/>
  <c r="N668" i="15"/>
  <c r="N675" i="15"/>
  <c r="N690" i="15"/>
  <c r="N704" i="15"/>
  <c r="N716" i="15"/>
  <c r="N726" i="15"/>
  <c r="N732" i="15"/>
  <c r="N748" i="15"/>
  <c r="N752" i="15"/>
  <c r="N756" i="15"/>
  <c r="N761" i="15"/>
  <c r="N768" i="15"/>
  <c r="N775" i="15"/>
  <c r="N780" i="15"/>
  <c r="N783" i="15"/>
  <c r="N784" i="15"/>
  <c r="N789" i="15"/>
  <c r="N790" i="15" s="1"/>
  <c r="N799" i="15"/>
  <c r="N804" i="15"/>
  <c r="N809" i="15"/>
  <c r="N811" i="15"/>
  <c r="N814" i="15"/>
  <c r="N817" i="15"/>
  <c r="N818" i="15"/>
  <c r="N830" i="15"/>
  <c r="N836" i="15"/>
  <c r="N844" i="15"/>
  <c r="N888" i="15" s="1"/>
  <c r="N851" i="15"/>
  <c r="N858" i="15"/>
  <c r="N865" i="15"/>
  <c r="N872" i="15"/>
  <c r="N881" i="15"/>
  <c r="N887" i="15"/>
  <c r="N896" i="15"/>
  <c r="N901" i="15"/>
  <c r="N910" i="15"/>
  <c r="N917" i="15"/>
  <c r="N918" i="15"/>
  <c r="N926" i="15"/>
  <c r="N934" i="15" s="1"/>
  <c r="N933" i="15"/>
  <c r="N943" i="15"/>
  <c r="N944" i="15" s="1"/>
  <c r="N953" i="15"/>
  <c r="N954" i="15"/>
  <c r="N960" i="15"/>
  <c r="N970" i="15"/>
  <c r="N980" i="15"/>
  <c r="N1000" i="15" s="1"/>
  <c r="N992" i="15"/>
  <c r="N999" i="15"/>
  <c r="N1006" i="15"/>
  <c r="N1007" i="15" s="1"/>
  <c r="N1019" i="15"/>
  <c r="N1031" i="15"/>
  <c r="N1035" i="15"/>
  <c r="N1048" i="15"/>
  <c r="N1057" i="15"/>
  <c r="N1065" i="15"/>
  <c r="N1066" i="15"/>
  <c r="N1070" i="15"/>
  <c r="N1095" i="15" s="1"/>
  <c r="N1083" i="15"/>
  <c r="N1094" i="15"/>
  <c r="N1100" i="15"/>
  <c r="N1119" i="15" s="1"/>
  <c r="N1108" i="15"/>
  <c r="N1118" i="15"/>
  <c r="N1127" i="15"/>
  <c r="N1128" i="15" s="1"/>
  <c r="N1132" i="15"/>
  <c r="N1133" i="15"/>
  <c r="N1136" i="15"/>
  <c r="N1139" i="15"/>
  <c r="N1153" i="15" s="1"/>
  <c r="N1141" i="15"/>
  <c r="N1145" i="15"/>
  <c r="N1148" i="15"/>
  <c r="N1152" i="15"/>
  <c r="O300" i="15" l="1"/>
  <c r="M300" i="15"/>
  <c r="O287" i="15"/>
  <c r="M287" i="15"/>
  <c r="O1065" i="15"/>
  <c r="M1065" i="15"/>
  <c r="O1057" i="15"/>
  <c r="M1057" i="15"/>
  <c r="O272" i="15" l="1"/>
  <c r="M272" i="15"/>
  <c r="O406" i="15" l="1"/>
  <c r="M406" i="15"/>
  <c r="O316" i="15"/>
  <c r="O387" i="15"/>
  <c r="O381" i="15"/>
  <c r="O401" i="15" l="1"/>
  <c r="M401" i="15"/>
  <c r="O396" i="15"/>
  <c r="M396" i="15"/>
  <c r="O258" i="15" l="1"/>
  <c r="M258" i="15"/>
  <c r="O783" i="15" l="1"/>
  <c r="M783" i="15"/>
  <c r="O1152" i="15" l="1"/>
  <c r="M1152" i="15"/>
  <c r="O881" i="15" l="1"/>
  <c r="O1048" i="15" l="1"/>
  <c r="M1048" i="15"/>
  <c r="O592" i="15" l="1"/>
  <c r="M592" i="15"/>
  <c r="M391" i="15" l="1"/>
  <c r="O391" i="15"/>
  <c r="M503" i="15" l="1"/>
  <c r="O503" i="15"/>
  <c r="O162" i="15" l="1"/>
  <c r="M162" i="15"/>
  <c r="O155" i="15"/>
  <c r="M155" i="15"/>
  <c r="O115" i="15"/>
  <c r="O267" i="15"/>
  <c r="M267" i="15"/>
  <c r="O252" i="15"/>
  <c r="M252" i="15"/>
  <c r="O775" i="15"/>
  <c r="M775" i="15"/>
  <c r="M1132" i="15" l="1"/>
  <c r="O19" i="15"/>
  <c r="M19" i="15"/>
  <c r="O9" i="15" l="1"/>
  <c r="O16" i="15"/>
  <c r="O26" i="15"/>
  <c r="O30" i="15"/>
  <c r="O34" i="15"/>
  <c r="O39" i="15"/>
  <c r="O43" i="15"/>
  <c r="O47" i="15"/>
  <c r="O52" i="15"/>
  <c r="O69" i="15"/>
  <c r="O75" i="15"/>
  <c r="O96" i="15"/>
  <c r="O106" i="15"/>
  <c r="O122" i="15"/>
  <c r="O126" i="15"/>
  <c r="O131" i="15"/>
  <c r="O135" i="15"/>
  <c r="O140" i="15"/>
  <c r="O146" i="15"/>
  <c r="O150" i="15"/>
  <c r="O167" i="15"/>
  <c r="O173" i="15"/>
  <c r="O178" i="15"/>
  <c r="O186" i="15"/>
  <c r="O190" i="15"/>
  <c r="O201" i="15"/>
  <c r="O224" i="15"/>
  <c r="O231" i="15"/>
  <c r="O239" i="15"/>
  <c r="O247" i="15"/>
  <c r="O277" i="15"/>
  <c r="O281" i="15"/>
  <c r="O293" i="15"/>
  <c r="O296" i="15"/>
  <c r="O299" i="15"/>
  <c r="O306" i="15"/>
  <c r="O312" i="15"/>
  <c r="O322" i="15"/>
  <c r="O327" i="15"/>
  <c r="O331" i="15"/>
  <c r="O336" i="15"/>
  <c r="O339" i="15"/>
  <c r="O346" i="15"/>
  <c r="O350" i="15"/>
  <c r="O353" i="15"/>
  <c r="O364" i="15"/>
  <c r="O368" i="15"/>
  <c r="O375" i="15"/>
  <c r="O415" i="15"/>
  <c r="O418" i="15"/>
  <c r="O422" i="15"/>
  <c r="O430" i="15"/>
  <c r="O433" i="15"/>
  <c r="O437" i="15"/>
  <c r="O440" i="15"/>
  <c r="O448" i="15"/>
  <c r="O454" i="15"/>
  <c r="O457" i="15"/>
  <c r="O465" i="15"/>
  <c r="O472" i="15"/>
  <c r="O482" i="15"/>
  <c r="O489" i="15"/>
  <c r="O499" i="15"/>
  <c r="O511" i="15"/>
  <c r="O516" i="15"/>
  <c r="O523" i="15"/>
  <c r="O528" i="15"/>
  <c r="O537" i="15"/>
  <c r="O538" i="15" s="1"/>
  <c r="O544" i="15"/>
  <c r="O549" i="15"/>
  <c r="O560" i="15"/>
  <c r="O565" i="15"/>
  <c r="O569" i="15"/>
  <c r="O575" i="15"/>
  <c r="O597" i="15"/>
  <c r="O601" i="15"/>
  <c r="O606" i="15"/>
  <c r="O612" i="15"/>
  <c r="O618" i="15"/>
  <c r="O623" i="15"/>
  <c r="O628" i="15"/>
  <c r="O634" i="15"/>
  <c r="O642" i="15"/>
  <c r="O645" i="15"/>
  <c r="O657" i="15"/>
  <c r="O668" i="15"/>
  <c r="O675" i="15"/>
  <c r="O690" i="15"/>
  <c r="O704" i="15"/>
  <c r="O716" i="15"/>
  <c r="O726" i="15"/>
  <c r="O732" i="15"/>
  <c r="O748" i="15"/>
  <c r="O752" i="15"/>
  <c r="O756" i="15"/>
  <c r="O761" i="15"/>
  <c r="O768" i="15"/>
  <c r="O780" i="15"/>
  <c r="O789" i="15"/>
  <c r="O790" i="15" s="1"/>
  <c r="O799" i="15"/>
  <c r="O804" i="15"/>
  <c r="O809" i="15"/>
  <c r="O811" i="15"/>
  <c r="O814" i="15"/>
  <c r="O817" i="15"/>
  <c r="O830" i="15"/>
  <c r="O836" i="15"/>
  <c r="O844" i="15"/>
  <c r="O851" i="15"/>
  <c r="O858" i="15"/>
  <c r="O865" i="15"/>
  <c r="O872" i="15"/>
  <c r="O887" i="15"/>
  <c r="O896" i="15"/>
  <c r="O901" i="15"/>
  <c r="O910" i="15"/>
  <c r="O917" i="15"/>
  <c r="O926" i="15"/>
  <c r="O933" i="15"/>
  <c r="O943" i="15"/>
  <c r="O944" i="15" s="1"/>
  <c r="O953" i="15"/>
  <c r="O954" i="15" s="1"/>
  <c r="O960" i="15"/>
  <c r="O970" i="15"/>
  <c r="O980" i="15"/>
  <c r="O992" i="15"/>
  <c r="O999" i="15"/>
  <c r="O1006" i="15"/>
  <c r="O1007" i="15" s="1"/>
  <c r="O1019" i="15"/>
  <c r="O1031" i="15"/>
  <c r="O1035" i="15"/>
  <c r="O1070" i="15"/>
  <c r="O1083" i="15"/>
  <c r="O1094" i="15"/>
  <c r="O1100" i="15"/>
  <c r="O1108" i="15"/>
  <c r="O1118" i="15"/>
  <c r="O1127" i="15"/>
  <c r="O1128" i="15" s="1"/>
  <c r="O1132" i="15"/>
  <c r="O1133" i="15" s="1"/>
  <c r="O1136" i="15"/>
  <c r="O1139" i="15"/>
  <c r="O1141" i="15"/>
  <c r="O1145" i="15"/>
  <c r="O1148" i="15"/>
  <c r="M1148" i="15"/>
  <c r="O1066" i="15" l="1"/>
  <c r="O273" i="15"/>
  <c r="O407" i="15"/>
  <c r="O784" i="15"/>
  <c r="O1153" i="15"/>
  <c r="O593" i="15"/>
  <c r="O504" i="15"/>
  <c r="O163" i="15"/>
  <c r="O20" i="15"/>
  <c r="O818" i="15"/>
  <c r="O97" i="15"/>
  <c r="O1119" i="15"/>
  <c r="O1095" i="15"/>
  <c r="O53" i="15"/>
  <c r="O918" i="15"/>
  <c r="O529" i="15"/>
  <c r="O646" i="15"/>
  <c r="O934" i="15"/>
  <c r="O1000" i="15"/>
  <c r="O888" i="15"/>
  <c r="M780" i="15"/>
  <c r="O6" i="15" l="1"/>
  <c r="M1094" i="15"/>
  <c r="M150" i="15" l="1"/>
  <c r="M992" i="15"/>
  <c r="M999" i="15"/>
  <c r="M499" i="15"/>
  <c r="M489" i="15"/>
  <c r="M482" i="15"/>
  <c r="M472" i="15"/>
  <c r="M465" i="15"/>
  <c r="M457" i="15"/>
  <c r="M454" i="15"/>
  <c r="M448" i="15"/>
  <c r="M440" i="15"/>
  <c r="M437" i="15"/>
  <c r="M433" i="15"/>
  <c r="M430" i="15"/>
  <c r="M422" i="15"/>
  <c r="M418" i="15"/>
  <c r="M415" i="15"/>
  <c r="M504" i="15" l="1"/>
  <c r="M387" i="15"/>
  <c r="M381" i="15"/>
  <c r="M881" i="15" l="1"/>
  <c r="M851" i="15"/>
  <c r="M830" i="15"/>
  <c r="M140" i="15" l="1"/>
  <c r="M135" i="15"/>
  <c r="M131" i="15"/>
  <c r="M126" i="15"/>
  <c r="M122" i="15"/>
  <c r="M1019" i="15" l="1"/>
  <c r="M618" i="15" l="1"/>
  <c r="M606" i="15"/>
  <c r="M811" i="15" l="1"/>
  <c r="M612" i="15" l="1"/>
  <c r="M1145" i="15" l="1"/>
  <c r="M1141" i="15"/>
  <c r="M1139" i="15"/>
  <c r="M1136" i="15"/>
  <c r="M1153" i="15" l="1"/>
  <c r="M756" i="15"/>
  <c r="C34" i="1" l="1"/>
  <c r="C33" i="1"/>
  <c r="C32" i="1"/>
  <c r="C31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M910" i="15" l="1"/>
  <c r="M16" i="15" l="1"/>
  <c r="K28" i="16" l="1"/>
  <c r="L28" i="16"/>
  <c r="L888" i="15" l="1"/>
  <c r="M887" i="15"/>
  <c r="F28" i="16" l="1"/>
  <c r="F54" i="16"/>
  <c r="F44" i="16"/>
  <c r="G44" i="16"/>
  <c r="G51" i="16"/>
  <c r="E54" i="16"/>
  <c r="G54" i="16"/>
  <c r="M106" i="15" l="1"/>
  <c r="M115" i="15"/>
  <c r="M163" i="15" l="1"/>
  <c r="M768" i="15"/>
  <c r="M761" i="15"/>
  <c r="M1031" i="15" l="1"/>
  <c r="M375" i="15" l="1"/>
  <c r="M1133" i="15" l="1"/>
  <c r="M1127" i="15"/>
  <c r="M1128" i="15" s="1"/>
  <c r="M1118" i="15"/>
  <c r="M1108" i="15"/>
  <c r="M1099" i="15"/>
  <c r="M1100" i="15" s="1"/>
  <c r="M1083" i="15"/>
  <c r="M1070" i="15"/>
  <c r="M1035" i="15"/>
  <c r="M1066" i="15" s="1"/>
  <c r="M1006" i="15"/>
  <c r="M1007" i="15" s="1"/>
  <c r="M980" i="15"/>
  <c r="M970" i="15"/>
  <c r="M960" i="15"/>
  <c r="M953" i="15"/>
  <c r="M954" i="15" s="1"/>
  <c r="M943" i="15"/>
  <c r="M944" i="15" s="1"/>
  <c r="M933" i="15"/>
  <c r="M926" i="15"/>
  <c r="M917" i="15"/>
  <c r="M901" i="15"/>
  <c r="M896" i="15"/>
  <c r="M872" i="15"/>
  <c r="M865" i="15"/>
  <c r="M858" i="15"/>
  <c r="M844" i="15"/>
  <c r="M836" i="15"/>
  <c r="M817" i="15"/>
  <c r="M814" i="15"/>
  <c r="M809" i="15"/>
  <c r="M804" i="15"/>
  <c r="M799" i="15"/>
  <c r="M794" i="15"/>
  <c r="M789" i="15"/>
  <c r="M790" i="15" s="1"/>
  <c r="M752" i="15"/>
  <c r="M748" i="15"/>
  <c r="M732" i="15"/>
  <c r="M726" i="15"/>
  <c r="M716" i="15"/>
  <c r="M704" i="15"/>
  <c r="M690" i="15"/>
  <c r="M675" i="15"/>
  <c r="M668" i="15"/>
  <c r="M657" i="15"/>
  <c r="M645" i="15"/>
  <c r="M642" i="15"/>
  <c r="M634" i="15"/>
  <c r="M628" i="15"/>
  <c r="M623" i="15"/>
  <c r="M601" i="15"/>
  <c r="M597" i="15"/>
  <c r="M575" i="15"/>
  <c r="M569" i="15"/>
  <c r="M565" i="15"/>
  <c r="M560" i="15"/>
  <c r="M549" i="15"/>
  <c r="M544" i="15"/>
  <c r="M537" i="15"/>
  <c r="M538" i="15" s="1"/>
  <c r="M528" i="15"/>
  <c r="M523" i="15"/>
  <c r="M516" i="15"/>
  <c r="M511" i="15"/>
  <c r="M368" i="15"/>
  <c r="M364" i="15"/>
  <c r="M353" i="15"/>
  <c r="M350" i="15"/>
  <c r="M346" i="15"/>
  <c r="M339" i="15"/>
  <c r="M336" i="15"/>
  <c r="M331" i="15"/>
  <c r="M327" i="15"/>
  <c r="M322" i="15"/>
  <c r="M316" i="15"/>
  <c r="M312" i="15"/>
  <c r="M306" i="15"/>
  <c r="M299" i="15"/>
  <c r="M296" i="15"/>
  <c r="M293" i="15"/>
  <c r="M281" i="15"/>
  <c r="M277" i="15"/>
  <c r="M247" i="15"/>
  <c r="M239" i="15"/>
  <c r="M231" i="15"/>
  <c r="M224" i="15"/>
  <c r="M201" i="15"/>
  <c r="M190" i="15"/>
  <c r="M186" i="15"/>
  <c r="M178" i="15"/>
  <c r="M173" i="15"/>
  <c r="M167" i="15"/>
  <c r="M96" i="15"/>
  <c r="M75" i="15"/>
  <c r="M69" i="15"/>
  <c r="M52" i="15"/>
  <c r="M47" i="15"/>
  <c r="M43" i="15"/>
  <c r="M39" i="15"/>
  <c r="M34" i="15"/>
  <c r="M30" i="15"/>
  <c r="M26" i="15"/>
  <c r="M9" i="15"/>
  <c r="M20" i="15" s="1"/>
  <c r="M407" i="15" l="1"/>
  <c r="M784" i="15"/>
  <c r="M273" i="15"/>
  <c r="M593" i="15"/>
  <c r="M1095" i="15"/>
  <c r="M1000" i="15"/>
  <c r="M888" i="15"/>
  <c r="M934" i="15"/>
  <c r="M818" i="15"/>
  <c r="M646" i="15"/>
  <c r="M918" i="15"/>
  <c r="M529" i="15"/>
  <c r="M1119" i="15"/>
  <c r="C44" i="1" l="1"/>
  <c r="C35" i="1" l="1"/>
  <c r="C30" i="1"/>
  <c r="L72" i="16" l="1"/>
  <c r="K72" i="16"/>
  <c r="J72" i="16"/>
  <c r="I72" i="16"/>
  <c r="G72" i="16"/>
  <c r="F72" i="16"/>
  <c r="E72" i="16"/>
  <c r="D72" i="16"/>
  <c r="L71" i="16"/>
  <c r="K71" i="16"/>
  <c r="J71" i="16"/>
  <c r="I71" i="16"/>
  <c r="G71" i="16"/>
  <c r="F71" i="16"/>
  <c r="E71" i="16"/>
  <c r="D71" i="16"/>
  <c r="L70" i="16"/>
  <c r="K70" i="16"/>
  <c r="J70" i="16"/>
  <c r="I70" i="16"/>
  <c r="G70" i="16"/>
  <c r="F70" i="16"/>
  <c r="E70" i="16"/>
  <c r="D70" i="16"/>
  <c r="L69" i="16"/>
  <c r="K69" i="16"/>
  <c r="J69" i="16"/>
  <c r="I69" i="16"/>
  <c r="G69" i="16"/>
  <c r="F69" i="16"/>
  <c r="E69" i="16"/>
  <c r="D69" i="16"/>
  <c r="L68" i="16"/>
  <c r="K68" i="16"/>
  <c r="J68" i="16"/>
  <c r="I68" i="16"/>
  <c r="G68" i="16"/>
  <c r="F68" i="16"/>
  <c r="E68" i="16"/>
  <c r="D68" i="16"/>
  <c r="L67" i="16"/>
  <c r="K67" i="16"/>
  <c r="J67" i="16"/>
  <c r="I67" i="16"/>
  <c r="G67" i="16"/>
  <c r="F67" i="16"/>
  <c r="E67" i="16"/>
  <c r="D67" i="16"/>
  <c r="L66" i="16"/>
  <c r="K66" i="16"/>
  <c r="J66" i="16"/>
  <c r="I66" i="16"/>
  <c r="G66" i="16"/>
  <c r="F66" i="16"/>
  <c r="E66" i="16"/>
  <c r="D66" i="16"/>
  <c r="L65" i="16"/>
  <c r="K65" i="16"/>
  <c r="J65" i="16"/>
  <c r="I65" i="16"/>
  <c r="G65" i="16"/>
  <c r="F65" i="16"/>
  <c r="E65" i="16"/>
  <c r="D65" i="16"/>
  <c r="L64" i="16"/>
  <c r="K64" i="16"/>
  <c r="J64" i="16"/>
  <c r="I64" i="16"/>
  <c r="G64" i="16"/>
  <c r="F64" i="16"/>
  <c r="E64" i="16"/>
  <c r="D64" i="16"/>
  <c r="L63" i="16"/>
  <c r="K63" i="16"/>
  <c r="J63" i="16"/>
  <c r="I63" i="16"/>
  <c r="G63" i="16"/>
  <c r="F63" i="16"/>
  <c r="E63" i="16"/>
  <c r="D63" i="16"/>
  <c r="L62" i="16"/>
  <c r="K62" i="16"/>
  <c r="J62" i="16"/>
  <c r="I62" i="16"/>
  <c r="G62" i="16"/>
  <c r="F62" i="16"/>
  <c r="E62" i="16"/>
  <c r="D62" i="16"/>
  <c r="L61" i="16"/>
  <c r="K61" i="16"/>
  <c r="J61" i="16"/>
  <c r="I61" i="16"/>
  <c r="G61" i="16"/>
  <c r="F61" i="16"/>
  <c r="E61" i="16"/>
  <c r="D61" i="16"/>
  <c r="L60" i="16"/>
  <c r="K60" i="16"/>
  <c r="J60" i="16"/>
  <c r="I60" i="16"/>
  <c r="G60" i="16"/>
  <c r="F60" i="16"/>
  <c r="E60" i="16"/>
  <c r="D60" i="16"/>
  <c r="L59" i="16"/>
  <c r="K59" i="16"/>
  <c r="J59" i="16"/>
  <c r="I59" i="16"/>
  <c r="G59" i="16"/>
  <c r="F59" i="16"/>
  <c r="E59" i="16"/>
  <c r="D59" i="16"/>
  <c r="L58" i="16"/>
  <c r="K58" i="16"/>
  <c r="J58" i="16"/>
  <c r="I58" i="16"/>
  <c r="G58" i="16"/>
  <c r="F58" i="16"/>
  <c r="E58" i="16"/>
  <c r="D58" i="16"/>
  <c r="L57" i="16"/>
  <c r="K57" i="16"/>
  <c r="J57" i="16"/>
  <c r="I57" i="16"/>
  <c r="G57" i="16"/>
  <c r="F57" i="16"/>
  <c r="E57" i="16"/>
  <c r="D57" i="16"/>
  <c r="L56" i="16"/>
  <c r="K56" i="16"/>
  <c r="J56" i="16"/>
  <c r="I56" i="16"/>
  <c r="G56" i="16"/>
  <c r="F56" i="16"/>
  <c r="E56" i="16"/>
  <c r="D56" i="16"/>
  <c r="L55" i="16"/>
  <c r="K55" i="16"/>
  <c r="J55" i="16"/>
  <c r="I55" i="16"/>
  <c r="G55" i="16"/>
  <c r="F55" i="16"/>
  <c r="E55" i="16"/>
  <c r="D55" i="16"/>
  <c r="L54" i="16"/>
  <c r="K54" i="16"/>
  <c r="J54" i="16"/>
  <c r="I54" i="16"/>
  <c r="D54" i="16"/>
  <c r="L53" i="16"/>
  <c r="K53" i="16"/>
  <c r="J53" i="16"/>
  <c r="I53" i="16"/>
  <c r="G53" i="16"/>
  <c r="D53" i="16"/>
  <c r="L52" i="16"/>
  <c r="K52" i="16"/>
  <c r="J52" i="16"/>
  <c r="I52" i="16"/>
  <c r="G52" i="16"/>
  <c r="F52" i="16"/>
  <c r="E52" i="16"/>
  <c r="D52" i="16"/>
  <c r="L51" i="16"/>
  <c r="K51" i="16"/>
  <c r="J51" i="16"/>
  <c r="I51" i="16"/>
  <c r="F51" i="16"/>
  <c r="E51" i="16"/>
  <c r="D51" i="16"/>
  <c r="L50" i="16"/>
  <c r="K50" i="16"/>
  <c r="J50" i="16"/>
  <c r="I50" i="16"/>
  <c r="G50" i="16"/>
  <c r="F50" i="16"/>
  <c r="E50" i="16"/>
  <c r="D50" i="16"/>
  <c r="L49" i="16"/>
  <c r="K49" i="16"/>
  <c r="J49" i="16"/>
  <c r="I49" i="16"/>
  <c r="G49" i="16"/>
  <c r="F49" i="16"/>
  <c r="E49" i="16"/>
  <c r="D49" i="16"/>
  <c r="L48" i="16"/>
  <c r="K48" i="16"/>
  <c r="J48" i="16"/>
  <c r="I48" i="16"/>
  <c r="G48" i="16"/>
  <c r="F48" i="16"/>
  <c r="E48" i="16"/>
  <c r="D48" i="16"/>
  <c r="L47" i="16"/>
  <c r="K47" i="16"/>
  <c r="J47" i="16"/>
  <c r="I47" i="16"/>
  <c r="G47" i="16"/>
  <c r="F47" i="16"/>
  <c r="E47" i="16"/>
  <c r="D47" i="16"/>
  <c r="L46" i="16"/>
  <c r="K46" i="16"/>
  <c r="J46" i="16"/>
  <c r="I46" i="16"/>
  <c r="G46" i="16"/>
  <c r="F46" i="16"/>
  <c r="E46" i="16"/>
  <c r="D46" i="16"/>
  <c r="L45" i="16"/>
  <c r="K45" i="16"/>
  <c r="J45" i="16"/>
  <c r="I45" i="16"/>
  <c r="G45" i="16"/>
  <c r="F45" i="16"/>
  <c r="E45" i="16"/>
  <c r="D45" i="16"/>
  <c r="L44" i="16"/>
  <c r="K44" i="16"/>
  <c r="J44" i="16"/>
  <c r="I44" i="16"/>
  <c r="E44" i="16"/>
  <c r="D44" i="16"/>
  <c r="L43" i="16"/>
  <c r="K43" i="16"/>
  <c r="J43" i="16"/>
  <c r="I43" i="16"/>
  <c r="G43" i="16"/>
  <c r="F43" i="16"/>
  <c r="E43" i="16"/>
  <c r="D43" i="16"/>
  <c r="L42" i="16"/>
  <c r="K42" i="16"/>
  <c r="J42" i="16"/>
  <c r="I42" i="16"/>
  <c r="G42" i="16"/>
  <c r="F42" i="16"/>
  <c r="E42" i="16"/>
  <c r="D42" i="16"/>
  <c r="L35" i="16"/>
  <c r="K35" i="16"/>
  <c r="J35" i="16"/>
  <c r="I35" i="16"/>
  <c r="G35" i="16"/>
  <c r="F35" i="16"/>
  <c r="E35" i="16"/>
  <c r="D35" i="16"/>
  <c r="L34" i="16"/>
  <c r="K34" i="16"/>
  <c r="J34" i="16"/>
  <c r="I34" i="16"/>
  <c r="G34" i="16"/>
  <c r="F34" i="16"/>
  <c r="E34" i="16"/>
  <c r="D34" i="16"/>
  <c r="L33" i="16"/>
  <c r="K33" i="16"/>
  <c r="J33" i="16"/>
  <c r="I33" i="16"/>
  <c r="G33" i="16"/>
  <c r="F33" i="16"/>
  <c r="E33" i="16"/>
  <c r="D33" i="16"/>
  <c r="L32" i="16"/>
  <c r="K32" i="16"/>
  <c r="J32" i="16"/>
  <c r="I32" i="16"/>
  <c r="G32" i="16"/>
  <c r="F32" i="16"/>
  <c r="E32" i="16"/>
  <c r="D32" i="16"/>
  <c r="L31" i="16"/>
  <c r="K31" i="16"/>
  <c r="J31" i="16"/>
  <c r="I31" i="16"/>
  <c r="G31" i="16"/>
  <c r="F31" i="16"/>
  <c r="E31" i="16"/>
  <c r="D31" i="16"/>
  <c r="L30" i="16"/>
  <c r="K30" i="16"/>
  <c r="J30" i="16"/>
  <c r="I30" i="16"/>
  <c r="G30" i="16"/>
  <c r="F30" i="16"/>
  <c r="E30" i="16"/>
  <c r="D30" i="16"/>
  <c r="L29" i="16"/>
  <c r="K29" i="16"/>
  <c r="J29" i="16"/>
  <c r="I29" i="16"/>
  <c r="G29" i="16"/>
  <c r="F29" i="16"/>
  <c r="E29" i="16"/>
  <c r="D29" i="16"/>
  <c r="J28" i="16"/>
  <c r="I28" i="16"/>
  <c r="G28" i="16"/>
  <c r="E28" i="16"/>
  <c r="D28" i="16"/>
  <c r="L27" i="16"/>
  <c r="K27" i="16"/>
  <c r="J27" i="16"/>
  <c r="I27" i="16"/>
  <c r="G27" i="16"/>
  <c r="F27" i="16"/>
  <c r="E27" i="16"/>
  <c r="D27" i="16"/>
  <c r="L26" i="16"/>
  <c r="K26" i="16"/>
  <c r="J26" i="16"/>
  <c r="I26" i="16"/>
  <c r="G26" i="16"/>
  <c r="F26" i="16"/>
  <c r="E26" i="16"/>
  <c r="D26" i="16"/>
  <c r="L25" i="16"/>
  <c r="K25" i="16"/>
  <c r="J25" i="16"/>
  <c r="I25" i="16"/>
  <c r="G25" i="16"/>
  <c r="F25" i="16"/>
  <c r="E25" i="16"/>
  <c r="D25" i="16"/>
  <c r="L24" i="16"/>
  <c r="K24" i="16"/>
  <c r="J24" i="16"/>
  <c r="I24" i="16"/>
  <c r="G24" i="16"/>
  <c r="F24" i="16"/>
  <c r="E24" i="16"/>
  <c r="D24" i="16"/>
  <c r="L23" i="16"/>
  <c r="K23" i="16"/>
  <c r="J23" i="16"/>
  <c r="I23" i="16"/>
  <c r="G23" i="16"/>
  <c r="F23" i="16"/>
  <c r="E23" i="16"/>
  <c r="D23" i="16"/>
  <c r="L22" i="16"/>
  <c r="K22" i="16"/>
  <c r="J22" i="16"/>
  <c r="I22" i="16"/>
  <c r="G22" i="16"/>
  <c r="F22" i="16"/>
  <c r="E22" i="16"/>
  <c r="D22" i="16"/>
  <c r="L21" i="16"/>
  <c r="K21" i="16"/>
  <c r="J21" i="16"/>
  <c r="I21" i="16"/>
  <c r="G21" i="16"/>
  <c r="F21" i="16"/>
  <c r="E21" i="16"/>
  <c r="D21" i="16"/>
  <c r="L20" i="16"/>
  <c r="K20" i="16"/>
  <c r="J20" i="16"/>
  <c r="I20" i="16"/>
  <c r="G20" i="16"/>
  <c r="F20" i="16"/>
  <c r="E20" i="16"/>
  <c r="D20" i="16"/>
  <c r="L19" i="16"/>
  <c r="K19" i="16"/>
  <c r="J19" i="16"/>
  <c r="I19" i="16"/>
  <c r="G19" i="16"/>
  <c r="F19" i="16"/>
  <c r="E19" i="16"/>
  <c r="D19" i="16"/>
  <c r="L18" i="16"/>
  <c r="K18" i="16"/>
  <c r="J18" i="16"/>
  <c r="I18" i="16"/>
  <c r="G18" i="16"/>
  <c r="F18" i="16"/>
  <c r="E18" i="16"/>
  <c r="D18" i="16"/>
  <c r="L17" i="16"/>
  <c r="K17" i="16"/>
  <c r="J17" i="16"/>
  <c r="I17" i="16"/>
  <c r="G17" i="16"/>
  <c r="F17" i="16"/>
  <c r="E17" i="16"/>
  <c r="D17" i="16"/>
  <c r="L16" i="16"/>
  <c r="K16" i="16"/>
  <c r="J16" i="16"/>
  <c r="I16" i="16"/>
  <c r="G16" i="16"/>
  <c r="F16" i="16"/>
  <c r="E16" i="16"/>
  <c r="D16" i="16"/>
  <c r="L15" i="16"/>
  <c r="K15" i="16"/>
  <c r="J15" i="16"/>
  <c r="I15" i="16"/>
  <c r="G15" i="16"/>
  <c r="F15" i="16"/>
  <c r="E15" i="16"/>
  <c r="D15" i="16"/>
  <c r="L14" i="16"/>
  <c r="K14" i="16"/>
  <c r="J14" i="16"/>
  <c r="I14" i="16"/>
  <c r="G14" i="16"/>
  <c r="F14" i="16"/>
  <c r="E14" i="16"/>
  <c r="D14" i="16"/>
  <c r="L13" i="16"/>
  <c r="K13" i="16"/>
  <c r="J13" i="16"/>
  <c r="I13" i="16"/>
  <c r="G13" i="16"/>
  <c r="F13" i="16"/>
  <c r="E13" i="16"/>
  <c r="D13" i="16"/>
  <c r="L12" i="16"/>
  <c r="K12" i="16"/>
  <c r="J12" i="16"/>
  <c r="I12" i="16"/>
  <c r="G12" i="16"/>
  <c r="F12" i="16"/>
  <c r="E12" i="16"/>
  <c r="D12" i="16"/>
  <c r="L11" i="16"/>
  <c r="K11" i="16"/>
  <c r="J11" i="16"/>
  <c r="I11" i="16"/>
  <c r="G11" i="16"/>
  <c r="F11" i="16"/>
  <c r="E11" i="16"/>
  <c r="D11" i="16"/>
  <c r="L10" i="16"/>
  <c r="K10" i="16"/>
  <c r="J10" i="16"/>
  <c r="I10" i="16"/>
  <c r="G10" i="16"/>
  <c r="F10" i="16"/>
  <c r="E10" i="16"/>
  <c r="D10" i="16"/>
  <c r="L9" i="16"/>
  <c r="K9" i="16"/>
  <c r="J9" i="16"/>
  <c r="I9" i="16"/>
  <c r="G9" i="16"/>
  <c r="F9" i="16"/>
  <c r="E9" i="16"/>
  <c r="D9" i="16"/>
  <c r="L8" i="16"/>
  <c r="K8" i="16"/>
  <c r="J8" i="16"/>
  <c r="I8" i="16"/>
  <c r="G8" i="16"/>
  <c r="F8" i="16"/>
  <c r="E8" i="16"/>
  <c r="D8" i="16"/>
  <c r="L7" i="16"/>
  <c r="K7" i="16"/>
  <c r="J7" i="16"/>
  <c r="I7" i="16"/>
  <c r="G7" i="16"/>
  <c r="F7" i="16"/>
  <c r="E7" i="16"/>
  <c r="D7" i="16"/>
  <c r="L6" i="16"/>
  <c r="K6" i="16"/>
  <c r="J6" i="16"/>
  <c r="I6" i="16"/>
  <c r="G6" i="16"/>
  <c r="F6" i="16"/>
  <c r="E6" i="16"/>
  <c r="D6" i="16"/>
  <c r="L5" i="16"/>
  <c r="K5" i="16"/>
  <c r="J5" i="16"/>
  <c r="I5" i="16"/>
  <c r="G5" i="16"/>
  <c r="F5" i="16"/>
  <c r="E5" i="16"/>
  <c r="D5" i="16"/>
  <c r="D41" i="16" l="1"/>
  <c r="H72" i="16"/>
  <c r="C72" i="16"/>
  <c r="H53" i="16"/>
  <c r="C53" i="16"/>
  <c r="H62" i="16"/>
  <c r="C62" i="16"/>
  <c r="H65" i="16"/>
  <c r="C65" i="16"/>
  <c r="H57" i="16"/>
  <c r="C57" i="16"/>
  <c r="H59" i="16"/>
  <c r="C59" i="16"/>
  <c r="H68" i="16"/>
  <c r="C68" i="16"/>
  <c r="H44" i="16"/>
  <c r="C44" i="16"/>
  <c r="H61" i="16"/>
  <c r="C61" i="16"/>
  <c r="H64" i="16"/>
  <c r="C64" i="16"/>
  <c r="H56" i="16"/>
  <c r="C56" i="16"/>
  <c r="H45" i="16"/>
  <c r="C45" i="16"/>
  <c r="H54" i="16"/>
  <c r="C54" i="16"/>
  <c r="H46" i="16"/>
  <c r="C46" i="16"/>
  <c r="H67" i="16"/>
  <c r="C67" i="16"/>
  <c r="H43" i="16"/>
  <c r="C43" i="16"/>
  <c r="H51" i="16"/>
  <c r="C51" i="16"/>
  <c r="H60" i="16"/>
  <c r="C60" i="16"/>
  <c r="B72" i="16" l="1"/>
  <c r="B68" i="16"/>
  <c r="B67" i="16"/>
  <c r="B64" i="16"/>
  <c r="B61" i="16"/>
  <c r="B59" i="16"/>
  <c r="B51" i="16"/>
  <c r="B46" i="16"/>
  <c r="B43" i="16"/>
  <c r="B62" i="16"/>
  <c r="B44" i="16"/>
  <c r="B53" i="16"/>
  <c r="B54" i="16"/>
  <c r="B45" i="16"/>
  <c r="B56" i="16"/>
  <c r="B57" i="16"/>
  <c r="B65" i="16"/>
  <c r="H32" i="16"/>
  <c r="C32" i="16"/>
  <c r="H34" i="16"/>
  <c r="C34" i="16"/>
  <c r="H15" i="16"/>
  <c r="C15" i="16"/>
  <c r="H12" i="16"/>
  <c r="C12" i="16"/>
  <c r="H29" i="16"/>
  <c r="C29" i="16"/>
  <c r="H35" i="16"/>
  <c r="C35" i="16"/>
  <c r="H33" i="16"/>
  <c r="C33" i="16"/>
  <c r="H21" i="16"/>
  <c r="C21" i="16"/>
  <c r="H26" i="16"/>
  <c r="C26" i="16"/>
  <c r="H16" i="16"/>
  <c r="C16" i="16"/>
  <c r="H25" i="16"/>
  <c r="C25" i="16"/>
  <c r="H28" i="16"/>
  <c r="C28" i="16"/>
  <c r="H18" i="16"/>
  <c r="C18" i="16"/>
  <c r="H20" i="16"/>
  <c r="C20" i="16"/>
  <c r="H22" i="16"/>
  <c r="C22" i="16"/>
  <c r="H10" i="16"/>
  <c r="C10" i="16"/>
  <c r="H31" i="16"/>
  <c r="C31" i="16"/>
  <c r="H7" i="16"/>
  <c r="C7" i="16"/>
  <c r="H24" i="16"/>
  <c r="C24" i="16"/>
  <c r="H27" i="16"/>
  <c r="C27" i="16"/>
  <c r="H19" i="16"/>
  <c r="C19" i="16"/>
  <c r="H8" i="16"/>
  <c r="C8" i="16"/>
  <c r="H11" i="16"/>
  <c r="C11" i="16"/>
  <c r="H17" i="16"/>
  <c r="C17" i="16"/>
  <c r="H9" i="16"/>
  <c r="C9" i="16"/>
  <c r="H30" i="16"/>
  <c r="C30" i="16"/>
  <c r="H6" i="16"/>
  <c r="C6" i="16"/>
  <c r="H14" i="16"/>
  <c r="C14" i="16"/>
  <c r="H23" i="16"/>
  <c r="C23" i="16"/>
  <c r="H5" i="16"/>
  <c r="C5" i="16"/>
  <c r="H71" i="16"/>
  <c r="C71" i="16"/>
  <c r="H70" i="16"/>
  <c r="C70" i="16"/>
  <c r="H69" i="16"/>
  <c r="C69" i="16"/>
  <c r="H66" i="16"/>
  <c r="C66" i="16"/>
  <c r="H63" i="16"/>
  <c r="C63" i="16"/>
  <c r="B60" i="16"/>
  <c r="H58" i="16"/>
  <c r="C58" i="16"/>
  <c r="H55" i="16"/>
  <c r="C55" i="16"/>
  <c r="H52" i="16"/>
  <c r="C52" i="16"/>
  <c r="H50" i="16"/>
  <c r="C50" i="16"/>
  <c r="H49" i="16"/>
  <c r="C49" i="16"/>
  <c r="H48" i="16"/>
  <c r="C48" i="16"/>
  <c r="H47" i="16"/>
  <c r="C47" i="16"/>
  <c r="H42" i="16"/>
  <c r="C42" i="16"/>
  <c r="L41" i="16"/>
  <c r="K41" i="16"/>
  <c r="J41" i="16"/>
  <c r="I41" i="16"/>
  <c r="G41" i="16"/>
  <c r="F41" i="16"/>
  <c r="E41" i="16"/>
  <c r="H13" i="16"/>
  <c r="C13" i="16"/>
  <c r="L4" i="16"/>
  <c r="K4" i="16"/>
  <c r="J4" i="16"/>
  <c r="I4" i="16"/>
  <c r="G4" i="16"/>
  <c r="F4" i="16"/>
  <c r="E4" i="16"/>
  <c r="D4" i="16"/>
  <c r="C41" i="16" l="1"/>
  <c r="B71" i="16"/>
  <c r="B69" i="16"/>
  <c r="B63" i="16"/>
  <c r="B58" i="16"/>
  <c r="B55" i="16"/>
  <c r="B50" i="16"/>
  <c r="B47" i="16"/>
  <c r="B52" i="16"/>
  <c r="H41" i="16"/>
  <c r="B42" i="16"/>
  <c r="B49" i="16"/>
  <c r="B48" i="16"/>
  <c r="B66" i="16"/>
  <c r="B70" i="16"/>
  <c r="B5" i="16"/>
  <c r="B14" i="16"/>
  <c r="B7" i="16"/>
  <c r="B16" i="16"/>
  <c r="B32" i="16"/>
  <c r="B19" i="16"/>
  <c r="B8" i="16"/>
  <c r="B13" i="16"/>
  <c r="B9" i="16"/>
  <c r="B27" i="16"/>
  <c r="B33" i="16"/>
  <c r="B28" i="16"/>
  <c r="B34" i="16"/>
  <c r="B23" i="16"/>
  <c r="B17" i="16"/>
  <c r="B24" i="16"/>
  <c r="B30" i="16"/>
  <c r="B11" i="16"/>
  <c r="B25" i="16"/>
  <c r="B31" i="16"/>
  <c r="B35" i="16"/>
  <c r="B15" i="16"/>
  <c r="B21" i="16"/>
  <c r="B29" i="16"/>
  <c r="B6" i="16"/>
  <c r="H4" i="16"/>
  <c r="B26" i="16"/>
  <c r="B12" i="16"/>
  <c r="B22" i="16"/>
  <c r="B18" i="16"/>
  <c r="B10" i="16"/>
  <c r="B20" i="16"/>
  <c r="C4" i="16"/>
  <c r="B41" i="16" l="1"/>
  <c r="B4" i="16"/>
  <c r="H13" i="1" l="1"/>
  <c r="H53" i="1" l="1"/>
  <c r="C53" i="1"/>
  <c r="B53" i="1" l="1"/>
  <c r="C45" i="1" l="1"/>
  <c r="C43" i="1"/>
  <c r="C56" i="1"/>
  <c r="L4" i="1" l="1"/>
  <c r="K4" i="1"/>
  <c r="J4" i="1"/>
  <c r="I4" i="1"/>
  <c r="G4" i="1"/>
  <c r="F4" i="1"/>
  <c r="E4" i="1"/>
  <c r="D4" i="1"/>
  <c r="H43" i="1" l="1"/>
  <c r="H44" i="1"/>
  <c r="H45" i="1"/>
  <c r="H46" i="1"/>
  <c r="H47" i="1"/>
  <c r="H48" i="1"/>
  <c r="H49" i="1"/>
  <c r="H50" i="1"/>
  <c r="H51" i="1"/>
  <c r="H52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C46" i="1"/>
  <c r="C47" i="1"/>
  <c r="C48" i="1"/>
  <c r="C49" i="1"/>
  <c r="C50" i="1"/>
  <c r="C51" i="1"/>
  <c r="C52" i="1"/>
  <c r="C54" i="1"/>
  <c r="C55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H6" i="1"/>
  <c r="H7" i="1"/>
  <c r="B7" i="1" s="1"/>
  <c r="H8" i="1"/>
  <c r="H9" i="1"/>
  <c r="H10" i="1"/>
  <c r="H11" i="1"/>
  <c r="H12" i="1"/>
  <c r="B12" i="1" s="1"/>
  <c r="H14" i="1"/>
  <c r="B14" i="1" s="1"/>
  <c r="H15" i="1"/>
  <c r="H16" i="1"/>
  <c r="H17" i="1"/>
  <c r="B17" i="1" s="1"/>
  <c r="H18" i="1"/>
  <c r="H19" i="1"/>
  <c r="B19" i="1" s="1"/>
  <c r="H20" i="1"/>
  <c r="H21" i="1"/>
  <c r="B21" i="1" s="1"/>
  <c r="H22" i="1"/>
  <c r="B22" i="1" s="1"/>
  <c r="H23" i="1"/>
  <c r="H24" i="1"/>
  <c r="H25" i="1"/>
  <c r="H26" i="1"/>
  <c r="H27" i="1"/>
  <c r="H28" i="1"/>
  <c r="H29" i="1"/>
  <c r="B29" i="1" s="1"/>
  <c r="H30" i="1"/>
  <c r="H31" i="1"/>
  <c r="H32" i="1"/>
  <c r="B32" i="1" s="1"/>
  <c r="H33" i="1"/>
  <c r="B33" i="1" s="1"/>
  <c r="H34" i="1"/>
  <c r="H35" i="1"/>
  <c r="B35" i="1" s="1"/>
  <c r="B13" i="1"/>
  <c r="B26" i="1" l="1"/>
  <c r="B34" i="1"/>
  <c r="B20" i="1"/>
  <c r="B11" i="1"/>
  <c r="B10" i="1"/>
  <c r="B9" i="1"/>
  <c r="B8" i="1"/>
  <c r="B31" i="1"/>
  <c r="B18" i="1"/>
  <c r="B15" i="1"/>
  <c r="B16" i="1"/>
  <c r="B30" i="1"/>
  <c r="B28" i="1"/>
  <c r="B27" i="1"/>
  <c r="B25" i="1"/>
  <c r="B6" i="1"/>
  <c r="B24" i="1"/>
  <c r="H5" i="1"/>
  <c r="H4" i="1" s="1"/>
  <c r="C5" i="1" l="1"/>
  <c r="C4" i="1" s="1"/>
  <c r="B4" i="1" s="1"/>
  <c r="B43" i="1" l="1"/>
  <c r="B44" i="1"/>
  <c r="B45" i="1"/>
  <c r="B49" i="1"/>
  <c r="B50" i="1"/>
  <c r="B52" i="1"/>
  <c r="B55" i="1"/>
  <c r="B56" i="1"/>
  <c r="B57" i="1"/>
  <c r="B58" i="1"/>
  <c r="B59" i="1"/>
  <c r="B60" i="1"/>
  <c r="B62" i="1"/>
  <c r="B63" i="1"/>
  <c r="B64" i="1"/>
  <c r="B65" i="1"/>
  <c r="B66" i="1"/>
  <c r="B68" i="1"/>
  <c r="B69" i="1"/>
  <c r="B70" i="1"/>
  <c r="B71" i="1"/>
  <c r="B72" i="1"/>
  <c r="B46" i="1" l="1"/>
  <c r="B61" i="1"/>
  <c r="B51" i="1"/>
  <c r="B54" i="1"/>
  <c r="B47" i="1"/>
  <c r="B48" i="1"/>
  <c r="B67" i="1"/>
  <c r="L41" i="1" l="1"/>
  <c r="K41" i="1"/>
  <c r="J41" i="1"/>
  <c r="I41" i="1"/>
  <c r="G41" i="1"/>
  <c r="F41" i="1"/>
  <c r="E41" i="1"/>
  <c r="D41" i="1"/>
  <c r="H42" i="1" l="1"/>
  <c r="H41" i="1" l="1"/>
  <c r="B23" i="1" l="1"/>
  <c r="C42" i="1" l="1"/>
  <c r="B42" i="1" l="1"/>
  <c r="C41" i="1"/>
  <c r="B5" i="1"/>
  <c r="B41" i="1" l="1"/>
  <c r="M6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L1134" authorId="0" shapeId="0" xr:uid="{12EAB823-5C93-4682-AD9F-F09278E97EF3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58.14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>/ 46.95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35" authorId="0" shapeId="0" xr:uid="{AB8E44AA-503C-40AE-8DB4-63EE4F427BC6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76.58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>/ 59.03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37" authorId="0" shapeId="0" xr:uid="{0302EA47-A7DF-431A-B7C6-B3E65D8F55DD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    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 xml:space="preserve">/    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38" authorId="0" shapeId="0" xr:uid="{AA96EE74-4C95-4329-8B99-94CDB73E6687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    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 xml:space="preserve">/    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40" authorId="0" shapeId="0" xr:uid="{C4FB26C0-8916-41E6-95AE-537CDF8EAC7F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    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 xml:space="preserve">/    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42" authorId="0" shapeId="0" xr:uid="{18D7125D-122B-4C69-A109-F0654C934B85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    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 xml:space="preserve">/    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43" authorId="0" shapeId="0" xr:uid="{44B3B5E9-24B4-45B2-832C-AEBE327061C8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    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 xml:space="preserve">/    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44" authorId="0" shapeId="0" xr:uid="{5B27A992-50D4-4185-90BA-D4C18275BA09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    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 xml:space="preserve">/    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46" authorId="0" shapeId="0" xr:uid="{36C3CF2A-DC23-4C82-8290-4E6924D34BD2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    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 xml:space="preserve">/    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47" authorId="0" shapeId="0" xr:uid="{4FE62444-195A-48BD-BF29-E17220695C3D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    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 xml:space="preserve">/    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49" authorId="0" shapeId="0" xr:uid="{E0C99C38-F629-4EC2-8332-63AF2093A7FE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99.3357 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>/    74.6595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50" authorId="0" shapeId="0" xr:uid="{5F1AE744-D6F5-4E5B-9EC7-AF98FA2E2833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109.3976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>/    84.7599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  <comment ref="L1151" authorId="0" shapeId="0" xr:uid="{459EC27F-0761-4FB1-BB3D-E86EB303D1FF}">
      <text>
        <r>
          <rPr>
            <sz val="9"/>
            <color rgb="FF000000"/>
            <rFont val="돋움"/>
            <family val="3"/>
            <charset val="129"/>
          </rPr>
          <t>공급</t>
        </r>
        <r>
          <rPr>
            <sz val="9"/>
            <color rgb="FF000000"/>
            <rFont val="Tahoma"/>
            <family val="2"/>
          </rPr>
          <t>/</t>
        </r>
        <r>
          <rPr>
            <sz val="9"/>
            <color rgb="FF000000"/>
            <rFont val="돋움"/>
            <family val="3"/>
            <charset val="129"/>
          </rPr>
          <t>전용</t>
        </r>
        <r>
          <rPr>
            <sz val="9"/>
            <color rgb="FF000000"/>
            <rFont val="Tahoma"/>
            <family val="2"/>
          </rPr>
          <t xml:space="preserve"> : 110.5592</t>
        </r>
        <r>
          <rPr>
            <sz val="9"/>
            <color rgb="FF000000"/>
            <rFont val="돋움"/>
            <family val="3"/>
            <charset val="129"/>
          </rPr>
          <t>㎡</t>
        </r>
        <r>
          <rPr>
            <sz val="9"/>
            <color rgb="FF000000"/>
            <rFont val="Tahoma"/>
            <family val="2"/>
          </rPr>
          <t>/    84.9615</t>
        </r>
        <r>
          <rPr>
            <sz val="9"/>
            <color rgb="FF000000"/>
            <rFont val="돋움"/>
            <family val="3"/>
            <charset val="129"/>
          </rPr>
          <t>㎡</t>
        </r>
      </text>
    </comment>
  </commentList>
</comments>
</file>

<file path=xl/sharedStrings.xml><?xml version="1.0" encoding="utf-8"?>
<sst xmlns="http://schemas.openxmlformats.org/spreadsheetml/2006/main" count="2961" uniqueCount="1177">
  <si>
    <t>전용 85㎡초과</t>
  </si>
  <si>
    <t>계</t>
  </si>
  <si>
    <t>시군별</t>
  </si>
  <si>
    <t>전월대비
미분양
증감현황</t>
  </si>
  <si>
    <t>지역</t>
  </si>
  <si>
    <t>유형</t>
  </si>
  <si>
    <t>분양내용</t>
  </si>
  <si>
    <t>(민간
/공공)</t>
  </si>
  <si>
    <t>(임대
/분양)</t>
  </si>
  <si>
    <t>계약
마감일</t>
    <phoneticPr fontId="39" type="noConversion"/>
  </si>
  <si>
    <t>입주예정
(준공)월</t>
    <phoneticPr fontId="39" type="noConversion"/>
  </si>
  <si>
    <t>민간</t>
    <phoneticPr fontId="39" type="noConversion"/>
  </si>
  <si>
    <t>분양</t>
    <phoneticPr fontId="39" type="noConversion"/>
  </si>
  <si>
    <t>미준공</t>
    <phoneticPr fontId="39" type="noConversion"/>
  </si>
  <si>
    <t>전용 60-85㎡</t>
    <phoneticPr fontId="39" type="noConversion"/>
  </si>
  <si>
    <t>전용 40㎡이하</t>
    <phoneticPr fontId="39" type="noConversion"/>
  </si>
  <si>
    <t>전용 40-60㎡</t>
    <phoneticPr fontId="39" type="noConversion"/>
  </si>
  <si>
    <t>공공</t>
    <phoneticPr fontId="39" type="noConversion"/>
  </si>
  <si>
    <t>경기도</t>
    <phoneticPr fontId="39" type="noConversion"/>
  </si>
  <si>
    <t>남양주시</t>
  </si>
  <si>
    <t>김포시</t>
    <phoneticPr fontId="39" type="noConversion"/>
  </si>
  <si>
    <t>파주시</t>
    <phoneticPr fontId="39" type="noConversion"/>
  </si>
  <si>
    <t>의정부시</t>
    <phoneticPr fontId="39" type="noConversion"/>
  </si>
  <si>
    <t>양평군</t>
    <phoneticPr fontId="39" type="noConversion"/>
  </si>
  <si>
    <t>동두천시</t>
  </si>
  <si>
    <t>수원시</t>
  </si>
  <si>
    <t>용인시</t>
  </si>
  <si>
    <t>성남시</t>
  </si>
  <si>
    <t>화성시</t>
  </si>
  <si>
    <t>부천시</t>
  </si>
  <si>
    <t>안산시</t>
  </si>
  <si>
    <t>안양시</t>
  </si>
  <si>
    <t>시흥시</t>
  </si>
  <si>
    <t>김포시</t>
  </si>
  <si>
    <t>파주시</t>
  </si>
  <si>
    <t>의정부시</t>
  </si>
  <si>
    <t>광주시</t>
  </si>
  <si>
    <t>광명시</t>
  </si>
  <si>
    <t>하남시</t>
  </si>
  <si>
    <t>군포시</t>
  </si>
  <si>
    <t>오산시</t>
  </si>
  <si>
    <t>이천시</t>
  </si>
  <si>
    <t>구리시</t>
  </si>
  <si>
    <t>안성시</t>
  </si>
  <si>
    <t>의왕시</t>
  </si>
  <si>
    <t>포천시</t>
  </si>
  <si>
    <t>양평군</t>
  </si>
  <si>
    <t>여주시</t>
  </si>
  <si>
    <t>과천시</t>
  </si>
  <si>
    <t>가평군</t>
  </si>
  <si>
    <t>연천군</t>
  </si>
  <si>
    <t>이천시</t>
    <phoneticPr fontId="39" type="noConversion"/>
  </si>
  <si>
    <t>경기도</t>
    <phoneticPr fontId="39" type="noConversion"/>
  </si>
  <si>
    <t xml:space="preserve">                                                                         지  역  총  괄</t>
  </si>
  <si>
    <t>-</t>
    <phoneticPr fontId="39" type="noConversion"/>
  </si>
  <si>
    <t>분양</t>
    <phoneticPr fontId="40" type="noConversion"/>
  </si>
  <si>
    <t>민간</t>
    <phoneticPr fontId="40" type="noConversion"/>
  </si>
  <si>
    <t>준공</t>
    <phoneticPr fontId="39" type="noConversion"/>
  </si>
  <si>
    <t>58C</t>
    <phoneticPr fontId="39" type="noConversion"/>
  </si>
  <si>
    <t>58B</t>
    <phoneticPr fontId="39" type="noConversion"/>
  </si>
  <si>
    <t>58A</t>
    <phoneticPr fontId="39" type="noConversion"/>
  </si>
  <si>
    <t>분양</t>
    <phoneticPr fontId="42" type="noConversion"/>
  </si>
  <si>
    <t>국제자산신탁㈜</t>
    <phoneticPr fontId="39" type="noConversion"/>
  </si>
  <si>
    <t>대의건설</t>
    <phoneticPr fontId="39" type="noConversion"/>
  </si>
  <si>
    <t>양서면 용담리 704
(에델바움)</t>
    <phoneticPr fontId="39" type="noConversion"/>
  </si>
  <si>
    <t>미준공</t>
  </si>
  <si>
    <t>분양</t>
  </si>
  <si>
    <t>민간</t>
  </si>
  <si>
    <t>장기동</t>
    <phoneticPr fontId="39" type="noConversion"/>
  </si>
  <si>
    <t>미사지구</t>
    <phoneticPr fontId="39" type="noConversion"/>
  </si>
  <si>
    <t>미사지구 C1</t>
  </si>
  <si>
    <t>망월동</t>
    <phoneticPr fontId="39" type="noConversion"/>
  </si>
  <si>
    <t>옥정동</t>
    <phoneticPr fontId="39" type="noConversion"/>
  </si>
  <si>
    <t>쌍동리 252-7번지
(쌍동1지구 7BL)</t>
    <phoneticPr fontId="39" type="noConversion"/>
  </si>
  <si>
    <t>초월읍</t>
    <phoneticPr fontId="39" type="noConversion"/>
  </si>
  <si>
    <t>㈜한국자산신탁</t>
  </si>
  <si>
    <t>㈜한양</t>
  </si>
  <si>
    <t>문산읍 당동리 947일원</t>
    <phoneticPr fontId="39" type="noConversion"/>
  </si>
  <si>
    <t>문산읍</t>
  </si>
  <si>
    <t>경기도 화성시 봉담읍 상리 26-11
(코아루 카보드 줌 시티)</t>
    <phoneticPr fontId="39" type="noConversion"/>
  </si>
  <si>
    <t>봉담읍</t>
    <phoneticPr fontId="39" type="noConversion"/>
  </si>
  <si>
    <t>84D</t>
    <phoneticPr fontId="39" type="noConversion"/>
  </si>
  <si>
    <t>84C</t>
    <phoneticPr fontId="39" type="noConversion"/>
  </si>
  <si>
    <t>84B</t>
    <phoneticPr fontId="39" type="noConversion"/>
  </si>
  <si>
    <t>84A</t>
    <phoneticPr fontId="39" type="noConversion"/>
  </si>
  <si>
    <t>59A</t>
    <phoneticPr fontId="39" type="noConversion"/>
  </si>
  <si>
    <t>공공</t>
  </si>
  <si>
    <t>동탄2택지지구</t>
  </si>
  <si>
    <t>오산동</t>
    <phoneticPr fontId="39" type="noConversion"/>
  </si>
  <si>
    <t>84.9974C</t>
    <phoneticPr fontId="39" type="noConversion"/>
  </si>
  <si>
    <t>84.9380B</t>
    <phoneticPr fontId="39" type="noConversion"/>
  </si>
  <si>
    <t>84.9974A</t>
    <phoneticPr fontId="39" type="noConversion"/>
  </si>
  <si>
    <t>새솔동</t>
    <phoneticPr fontId="39" type="noConversion"/>
  </si>
  <si>
    <t>74B</t>
    <phoneticPr fontId="39" type="noConversion"/>
  </si>
  <si>
    <t>74A</t>
    <phoneticPr fontId="39" type="noConversion"/>
  </si>
  <si>
    <t>98-4 외 1필지(공간라움)</t>
    <phoneticPr fontId="39" type="noConversion"/>
  </si>
  <si>
    <t>의정부동</t>
    <phoneticPr fontId="39" type="noConversion"/>
  </si>
  <si>
    <t>고산지구</t>
    <phoneticPr fontId="39" type="noConversion"/>
  </si>
  <si>
    <t>436-4번지 외 2필지
(스카이파크)</t>
    <phoneticPr fontId="39" type="noConversion"/>
  </si>
  <si>
    <t>월산6 A-2 BL지구</t>
    <phoneticPr fontId="39" type="noConversion"/>
  </si>
  <si>
    <t>화도읍</t>
    <phoneticPr fontId="39" type="noConversion"/>
  </si>
  <si>
    <t>월산6 A-1 BL지구</t>
    <phoneticPr fontId="39" type="noConversion"/>
  </si>
  <si>
    <t>남양주시</t>
    <phoneticPr fontId="39" type="noConversion"/>
  </si>
  <si>
    <t>59B</t>
    <phoneticPr fontId="39" type="noConversion"/>
  </si>
  <si>
    <t>소사본동</t>
    <phoneticPr fontId="39" type="noConversion"/>
  </si>
  <si>
    <t xml:space="preserve">                                                                         지  역  총  괄</t>
    <phoneticPr fontId="39" type="noConversion"/>
  </si>
  <si>
    <t>요진개발㈜</t>
    <phoneticPr fontId="39" type="noConversion"/>
  </si>
  <si>
    <t>고양시 일산동구 풍동
655-18번지 일원
(요진 Y-HAUS)</t>
    <phoneticPr fontId="39" type="noConversion"/>
  </si>
  <si>
    <t>㈜생보부동산신탁</t>
    <phoneticPr fontId="39" type="noConversion"/>
  </si>
  <si>
    <t>합계</t>
    <phoneticPr fontId="39" type="noConversion"/>
  </si>
  <si>
    <t>규모별
(전용 ㎡)</t>
    <phoneticPr fontId="40" type="noConversion"/>
  </si>
  <si>
    <t>택지종류
(민간/공공)</t>
    <phoneticPr fontId="39" type="noConversion"/>
  </si>
  <si>
    <t>지구명
(00지구)</t>
    <phoneticPr fontId="39" type="noConversion"/>
  </si>
  <si>
    <t>준공여부
(준공/미준공)</t>
    <phoneticPr fontId="39" type="noConversion"/>
  </si>
  <si>
    <t>사업자
(전화번호)</t>
    <phoneticPr fontId="39" type="noConversion"/>
  </si>
  <si>
    <t>분양 
승인일</t>
    <phoneticPr fontId="39" type="noConversion"/>
  </si>
  <si>
    <t>경기도 용인시 처인구 이동읍 덕성리 
1267-8번지 외 1필지</t>
    <phoneticPr fontId="42" type="noConversion"/>
  </si>
  <si>
    <t>삼송지구</t>
    <phoneticPr fontId="39" type="noConversion"/>
  </si>
  <si>
    <t>경기도 김포시 장기동 1894-9
(김포한강신도시 Bc-04BL)</t>
    <phoneticPr fontId="39" type="noConversion"/>
  </si>
  <si>
    <t>쌍동1지구 7BL</t>
    <phoneticPr fontId="39" type="noConversion"/>
  </si>
  <si>
    <t>□ 경기도 민간/분양 미분양주택 현황(준공후)</t>
    <phoneticPr fontId="39" type="noConversion"/>
  </si>
  <si>
    <t>옥정지구D-1BL</t>
    <phoneticPr fontId="39" type="noConversion"/>
  </si>
  <si>
    <t>옥정지구</t>
  </si>
  <si>
    <t>옥정지구D-2BL</t>
    <phoneticPr fontId="39" type="noConversion"/>
  </si>
  <si>
    <t>옥정지구D-3BL</t>
    <phoneticPr fontId="39" type="noConversion"/>
  </si>
  <si>
    <t>84.3216A</t>
  </si>
  <si>
    <t>84.3216B</t>
  </si>
  <si>
    <t>안성시</t>
    <phoneticPr fontId="39" type="noConversion"/>
  </si>
  <si>
    <t>공도읍</t>
    <phoneticPr fontId="39" type="noConversion"/>
  </si>
  <si>
    <t>양기리 302-2번지</t>
    <phoneticPr fontId="39" type="noConversion"/>
  </si>
  <si>
    <t>양기2지구</t>
  </si>
  <si>
    <t>491-5
(의정부역 월드메르디앙 스마트시티)</t>
    <phoneticPr fontId="39" type="noConversion"/>
  </si>
  <si>
    <t>㈜무궁화신탁</t>
    <phoneticPr fontId="39" type="noConversion"/>
  </si>
  <si>
    <t>65.0781A</t>
  </si>
  <si>
    <t>65.4427B</t>
  </si>
  <si>
    <t>146-5
(이안 더 센트로)</t>
    <phoneticPr fontId="39" type="noConversion"/>
  </si>
  <si>
    <t>동두천시</t>
    <phoneticPr fontId="39" type="noConversion"/>
  </si>
  <si>
    <t>생연동</t>
    <phoneticPr fontId="39" type="noConversion"/>
  </si>
  <si>
    <t>경기도 동두천시 생연동 284</t>
    <phoneticPr fontId="39" type="noConversion"/>
  </si>
  <si>
    <t>대한토지신탁</t>
    <phoneticPr fontId="39" type="noConversion"/>
  </si>
  <si>
    <t>성남시</t>
    <phoneticPr fontId="39" type="noConversion"/>
  </si>
  <si>
    <t>옥정지구B-5BL</t>
    <phoneticPr fontId="39" type="noConversion"/>
  </si>
  <si>
    <t>84.9701 C1</t>
  </si>
  <si>
    <t>84.9701 C2</t>
  </si>
  <si>
    <t>84.9551 C3</t>
  </si>
  <si>
    <t>84.9551 C4</t>
  </si>
  <si>
    <t>84.9701 C5</t>
  </si>
  <si>
    <t>84.9701 C6</t>
  </si>
  <si>
    <t>84.9551 C8</t>
  </si>
  <si>
    <t>84.9701 C9</t>
  </si>
  <si>
    <t>84.9340 I1</t>
  </si>
  <si>
    <t>84.9340 I2</t>
  </si>
  <si>
    <t>84.9340 I5</t>
  </si>
  <si>
    <t>84.9340 I6</t>
  </si>
  <si>
    <t>84.9673 L1</t>
  </si>
  <si>
    <t>84.9673 L2</t>
  </si>
  <si>
    <t>옥정지구B-6BL</t>
    <phoneticPr fontId="39" type="noConversion"/>
  </si>
  <si>
    <t>84.9551 C7</t>
  </si>
  <si>
    <t>84.9701 C14</t>
  </si>
  <si>
    <t>84.9485 I7</t>
  </si>
  <si>
    <t>옥정지구B-7BL</t>
    <phoneticPr fontId="39" type="noConversion"/>
  </si>
  <si>
    <t>옥정</t>
  </si>
  <si>
    <t>옥정지구B-8BL</t>
    <phoneticPr fontId="39" type="noConversion"/>
  </si>
  <si>
    <t>84 C1</t>
  </si>
  <si>
    <t>84 C2</t>
  </si>
  <si>
    <t>84 C5</t>
  </si>
  <si>
    <t>84 C6</t>
  </si>
  <si>
    <t>84 C7</t>
  </si>
  <si>
    <t>84 C8</t>
  </si>
  <si>
    <t>84 C9</t>
  </si>
  <si>
    <t>84 L1</t>
  </si>
  <si>
    <t>84 L2</t>
  </si>
  <si>
    <t>84 C3</t>
  </si>
  <si>
    <t>84 C4</t>
  </si>
  <si>
    <t>옥정지구B-10BL</t>
    <phoneticPr fontId="39" type="noConversion"/>
  </si>
  <si>
    <t>84 C11</t>
  </si>
  <si>
    <t>84 C13</t>
  </si>
  <si>
    <t>94 I3</t>
  </si>
  <si>
    <t>84 I7</t>
  </si>
  <si>
    <t>㈜현대건설</t>
    <phoneticPr fontId="39" type="noConversion"/>
  </si>
  <si>
    <t>연천군</t>
    <phoneticPr fontId="39" type="noConversion"/>
  </si>
  <si>
    <t>전곡읍</t>
    <phoneticPr fontId="39" type="noConversion"/>
  </si>
  <si>
    <t>전곡리 85-12</t>
    <phoneticPr fontId="39" type="noConversion"/>
  </si>
  <si>
    <t>제일건설㈜
(062-234-3104)</t>
    <phoneticPr fontId="39" type="noConversion"/>
  </si>
  <si>
    <t>보라산업개발주식회사
(062-363-0808)</t>
    <phoneticPr fontId="39" type="noConversion"/>
  </si>
  <si>
    <t>전곡지구</t>
  </si>
  <si>
    <t>경기도 성남시 중원구 하대원동 147-5</t>
    <phoneticPr fontId="39" type="noConversion"/>
  </si>
  <si>
    <t>대우산업개발주식회사</t>
    <phoneticPr fontId="39" type="noConversion"/>
  </si>
  <si>
    <t>준공</t>
  </si>
  <si>
    <t>-</t>
  </si>
  <si>
    <t>양서면</t>
    <phoneticPr fontId="39" type="noConversion"/>
  </si>
  <si>
    <t>양평읍</t>
    <phoneticPr fontId="39" type="noConversion"/>
  </si>
  <si>
    <t>74A</t>
  </si>
  <si>
    <t>74B</t>
  </si>
  <si>
    <t>74C</t>
  </si>
  <si>
    <t>84A</t>
  </si>
  <si>
    <t>84B</t>
  </si>
  <si>
    <t>84C</t>
  </si>
  <si>
    <t>원종동</t>
    <phoneticPr fontId="39" type="noConversion"/>
  </si>
  <si>
    <t>316 외 1필지 주상복합
(원종역 아이원시티)
(건축허가과)</t>
    <phoneticPr fontId="39" type="noConversion"/>
  </si>
  <si>
    <t>70A</t>
    <phoneticPr fontId="39" type="noConversion"/>
  </si>
  <si>
    <t>70B</t>
    <phoneticPr fontId="39" type="noConversion"/>
  </si>
  <si>
    <t>73C</t>
    <phoneticPr fontId="39" type="noConversion"/>
  </si>
  <si>
    <t>74D</t>
    <phoneticPr fontId="39" type="noConversion"/>
  </si>
  <si>
    <t>74E</t>
    <phoneticPr fontId="39" type="noConversion"/>
  </si>
  <si>
    <t>75F</t>
    <phoneticPr fontId="39" type="noConversion"/>
  </si>
  <si>
    <t>76G</t>
    <phoneticPr fontId="39" type="noConversion"/>
  </si>
  <si>
    <t>84H</t>
    <phoneticPr fontId="39" type="noConversion"/>
  </si>
  <si>
    <t>70-7 외 6필지
(현대 프라힐스 소사역 더프라임)
(건축허가과)</t>
    <phoneticPr fontId="39" type="noConversion"/>
  </si>
  <si>
    <t>71B</t>
    <phoneticPr fontId="39" type="noConversion"/>
  </si>
  <si>
    <t>74C</t>
    <phoneticPr fontId="39" type="noConversion"/>
  </si>
  <si>
    <t>74EW</t>
    <phoneticPr fontId="39" type="noConversion"/>
  </si>
  <si>
    <t>74EE</t>
    <phoneticPr fontId="39" type="noConversion"/>
  </si>
  <si>
    <t>70-12 일원
(소사역 한라비발디 프레스티지 민영주택)
(건축허가과)</t>
    <phoneticPr fontId="39" type="noConversion"/>
  </si>
  <si>
    <t>60A</t>
    <phoneticPr fontId="39" type="noConversion"/>
  </si>
  <si>
    <t>60B</t>
    <phoneticPr fontId="39" type="noConversion"/>
  </si>
  <si>
    <t xml:space="preserve">경기도 용인시 기흥구 언남동 384-2번지 외 1필지 </t>
    <phoneticPr fontId="39" type="noConversion"/>
  </si>
  <si>
    <t>민간
(도시형생활주택)</t>
    <phoneticPr fontId="39" type="noConversion"/>
  </si>
  <si>
    <t>127-4(의정부역 신동아파밀리에1)</t>
    <phoneticPr fontId="39" type="noConversion"/>
  </si>
  <si>
    <t>84.9404A</t>
    <phoneticPr fontId="39" type="noConversion"/>
  </si>
  <si>
    <t>84.9364B</t>
    <phoneticPr fontId="39" type="noConversion"/>
  </si>
  <si>
    <t>84.9485 I3</t>
    <phoneticPr fontId="39" type="noConversion"/>
  </si>
  <si>
    <t>84.9701 C12</t>
    <phoneticPr fontId="39" type="noConversion"/>
  </si>
  <si>
    <t>현덕면</t>
    <phoneticPr fontId="39" type="noConversion"/>
  </si>
  <si>
    <t>소계</t>
    <phoneticPr fontId="39" type="noConversion"/>
  </si>
  <si>
    <t>화양지구</t>
    <phoneticPr fontId="39" type="noConversion"/>
  </si>
  <si>
    <t>용현동</t>
    <phoneticPr fontId="39" type="noConversion"/>
  </si>
  <si>
    <t>현대엔지니어링㈜
(02-2134-7430)</t>
    <phoneticPr fontId="39" type="noConversion"/>
  </si>
  <si>
    <t>신영부동산신탁㈜
(02-6256-7855)</t>
    <phoneticPr fontId="39" type="noConversion"/>
  </si>
  <si>
    <t>59.9902A</t>
    <phoneticPr fontId="39" type="noConversion"/>
  </si>
  <si>
    <t>59.9877B</t>
    <phoneticPr fontId="39" type="noConversion"/>
  </si>
  <si>
    <t>59.9877C</t>
    <phoneticPr fontId="39" type="noConversion"/>
  </si>
  <si>
    <t>74.9966A</t>
    <phoneticPr fontId="39" type="noConversion"/>
  </si>
  <si>
    <t>74.9909B</t>
    <phoneticPr fontId="39" type="noConversion"/>
  </si>
  <si>
    <t>84.9634A</t>
    <phoneticPr fontId="39" type="noConversion"/>
  </si>
  <si>
    <t>84.939B</t>
    <phoneticPr fontId="39" type="noConversion"/>
  </si>
  <si>
    <t>민간</t>
    <phoneticPr fontId="39" type="noConversion"/>
  </si>
  <si>
    <t>분양</t>
    <phoneticPr fontId="39" type="noConversion"/>
  </si>
  <si>
    <t>산32외 51필지
(힐스테이트 탑석)</t>
    <phoneticPr fontId="39" type="noConversion"/>
  </si>
  <si>
    <t>분양상담</t>
    <phoneticPr fontId="39" type="noConversion"/>
  </si>
  <si>
    <t>시공사
(전화번호)</t>
    <phoneticPr fontId="39" type="noConversion"/>
  </si>
  <si>
    <t>삼정건설산업㈜
(02-2675-0153)</t>
    <phoneticPr fontId="39" type="noConversion"/>
  </si>
  <si>
    <t>㈜이안이앤디
031-339-0022</t>
    <phoneticPr fontId="39" type="noConversion"/>
  </si>
  <si>
    <t>031-332-1800</t>
    <phoneticPr fontId="39" type="noConversion"/>
  </si>
  <si>
    <t>(주)대능종합건설
(055-322-1843)</t>
    <phoneticPr fontId="42" type="noConversion"/>
  </si>
  <si>
    <t>(주)비에스아이앤씨
031-282-8555
(분양대행사 번호)</t>
    <phoneticPr fontId="39" type="noConversion"/>
  </si>
  <si>
    <t>031-282-8555</t>
    <phoneticPr fontId="39" type="noConversion"/>
  </si>
  <si>
    <t>㈜대송</t>
    <phoneticPr fontId="39" type="noConversion"/>
  </si>
  <si>
    <t>㈜대송
(054-774-7500)</t>
    <phoneticPr fontId="39" type="noConversion"/>
  </si>
  <si>
    <t>요진건설사업㈜</t>
    <phoneticPr fontId="39" type="noConversion"/>
  </si>
  <si>
    <t>요진개발㈜
(02-3438-9440)</t>
    <phoneticPr fontId="39" type="noConversion"/>
  </si>
  <si>
    <t>KB부동산신탁㈜
(031-751-3303)</t>
    <phoneticPr fontId="39" type="noConversion"/>
  </si>
  <si>
    <t>㈜플러스랜드
(031-751-3303)</t>
    <phoneticPr fontId="39" type="noConversion"/>
  </si>
  <si>
    <t>㈜도원종합건설
(032-677-6936)</t>
    <phoneticPr fontId="39" type="noConversion"/>
  </si>
  <si>
    <t>도원주택건설
(1811-7734)</t>
    <phoneticPr fontId="39" type="noConversion"/>
  </si>
  <si>
    <t>현대아산 주식회사
(02-3669-3000)</t>
    <phoneticPr fontId="39" type="noConversion"/>
  </si>
  <si>
    <t>한송건설산업 주식회사
케이비부동산신탁 주식회사
(031-991-1004)</t>
    <phoneticPr fontId="39" type="noConversion"/>
  </si>
  <si>
    <t>주식회사 한라
(1522-6050)</t>
    <phoneticPr fontId="39" type="noConversion"/>
  </si>
  <si>
    <t>진산건설㈜
(031-876-3656)</t>
    <phoneticPr fontId="39" type="noConversion"/>
  </si>
  <si>
    <t>㈜드림개발
(031-857-0778)</t>
    <phoneticPr fontId="39" type="noConversion"/>
  </si>
  <si>
    <t>㈜대광건영
(062-360-9334)</t>
    <phoneticPr fontId="39" type="noConversion"/>
  </si>
  <si>
    <t>㈜공간종합건설
(02-479-1265)</t>
    <phoneticPr fontId="39" type="noConversion"/>
  </si>
  <si>
    <t>㈜부성종합건설
(032-502-1744)</t>
    <phoneticPr fontId="39" type="noConversion"/>
  </si>
  <si>
    <t>교보자산신탁㈜
(031-871-0528)</t>
    <phoneticPr fontId="39" type="noConversion"/>
  </si>
  <si>
    <t>스마트중앙건설㈜
(02-994-7173)</t>
    <phoneticPr fontId="39" type="noConversion"/>
  </si>
  <si>
    <t>㈜무궁화신탁
(031-871-1440)</t>
    <phoneticPr fontId="39" type="noConversion"/>
  </si>
  <si>
    <t>신동아건설㈜
(02-709-7389)</t>
    <phoneticPr fontId="39" type="noConversion"/>
  </si>
  <si>
    <t>㈜하나자산신탁
(02-3452-5722)</t>
    <phoneticPr fontId="39" type="noConversion"/>
  </si>
  <si>
    <t>모델하우스
(1588-4028)</t>
    <phoneticPr fontId="39" type="noConversion"/>
  </si>
  <si>
    <t>우방산업㈜
㈜태길종합건설
동아건설산업㈜
(031-658-2355)</t>
    <phoneticPr fontId="39" type="noConversion"/>
  </si>
  <si>
    <t>우방산업㈜
㈜태길종합건설
동아건설산업㈜
(02-6940-9521)</t>
    <phoneticPr fontId="39" type="noConversion"/>
  </si>
  <si>
    <t>모델하우스
(1533-3830)</t>
    <phoneticPr fontId="39" type="noConversion"/>
  </si>
  <si>
    <t>안양시</t>
    <phoneticPr fontId="39" type="noConversion"/>
  </si>
  <si>
    <t>한림건설㈜
(055-289-9000)</t>
    <phoneticPr fontId="39" type="noConversion"/>
  </si>
  <si>
    <t>고양시</t>
    <phoneticPr fontId="39" type="noConversion"/>
  </si>
  <si>
    <t>준공</t>
    <phoneticPr fontId="39" type="noConversion"/>
  </si>
  <si>
    <t>지축지구</t>
    <phoneticPr fontId="39" type="noConversion"/>
  </si>
  <si>
    <t>공공</t>
    <phoneticPr fontId="39" type="noConversion"/>
  </si>
  <si>
    <t>㈜부영주택
(02-3774-5500)</t>
    <phoneticPr fontId="39" type="noConversion"/>
  </si>
  <si>
    <t>031-595-6943</t>
    <phoneticPr fontId="39" type="noConversion"/>
  </si>
  <si>
    <t>㈜미래도건설
㈜모아종합건설
(062-520-0101)</t>
    <phoneticPr fontId="39" type="noConversion"/>
  </si>
  <si>
    <t>㈜미래도건설
(062-520-0101)</t>
    <phoneticPr fontId="39" type="noConversion"/>
  </si>
  <si>
    <t>분양사업팀
(062-520-0140)</t>
    <phoneticPr fontId="39" type="noConversion"/>
  </si>
  <si>
    <t>에이치엔아이엔씨주식회사
(070-7204-9655)</t>
    <phoneticPr fontId="39" type="noConversion"/>
  </si>
  <si>
    <t>주식회사한산매니지먼트
(1855-0010)</t>
    <phoneticPr fontId="39" type="noConversion"/>
  </si>
  <si>
    <t>㈜대창기업
(02-2050-5800)</t>
    <phoneticPr fontId="39" type="noConversion"/>
  </si>
  <si>
    <t>광덕디앤씨㈜ (02-429-6545)</t>
    <phoneticPr fontId="39" type="noConversion"/>
  </si>
  <si>
    <t xml:space="preserve"> 분양사무소031-239-2332</t>
    <phoneticPr fontId="39" type="noConversion"/>
  </si>
  <si>
    <t>02-511-1000</t>
    <phoneticPr fontId="39" type="noConversion"/>
  </si>
  <si>
    <t>주식회사 청연
(031-853-2001)</t>
    <phoneticPr fontId="39" type="noConversion"/>
  </si>
  <si>
    <t>우리디앤씨
(1600-0232)</t>
    <phoneticPr fontId="39" type="noConversion"/>
  </si>
  <si>
    <t>㈜혁본
(1533-7088)</t>
    <phoneticPr fontId="39" type="noConversion"/>
  </si>
  <si>
    <t>㈜컬리넌홀딩스
(1588-4123)</t>
    <phoneticPr fontId="39" type="noConversion"/>
  </si>
  <si>
    <t>㈜모아종합건설, ㈜미래도건설
(062-520-0101)</t>
    <phoneticPr fontId="39" type="noConversion"/>
  </si>
  <si>
    <t>대영건설산업㈜
(02-567-6344)</t>
    <phoneticPr fontId="39" type="noConversion"/>
  </si>
  <si>
    <t>대영건설산업㈜
(1577-1299)</t>
    <phoneticPr fontId="39" type="noConversion"/>
  </si>
  <si>
    <t>㈜동양건설산업
(02-3420-8181)</t>
    <phoneticPr fontId="39" type="noConversion"/>
  </si>
  <si>
    <t>㈜하남파라곤
(02-3496-6091)</t>
    <phoneticPr fontId="39" type="noConversion"/>
  </si>
  <si>
    <t>02-3420-8170</t>
    <phoneticPr fontId="39" type="noConversion"/>
  </si>
  <si>
    <t>031-992-7780</t>
    <phoneticPr fontId="39" type="noConversion"/>
  </si>
  <si>
    <t>㈜이수건설
(031-868-9746)</t>
    <phoneticPr fontId="39" type="noConversion"/>
  </si>
  <si>
    <t>하남시</t>
    <phoneticPr fontId="39" type="noConversion"/>
  </si>
  <si>
    <t>㈜대송
(02-371-1752)</t>
    <phoneticPr fontId="39" type="noConversion"/>
  </si>
  <si>
    <t>분양</t>
    <phoneticPr fontId="39" type="noConversion"/>
  </si>
  <si>
    <t>우정읍</t>
    <phoneticPr fontId="39" type="noConversion"/>
  </si>
  <si>
    <t>조암리 453-2번지 일원</t>
    <phoneticPr fontId="39" type="noConversion"/>
  </si>
  <si>
    <t>㈜군장종합건설
(063-442-5442)</t>
    <phoneticPr fontId="39" type="noConversion"/>
  </si>
  <si>
    <t>대한토지신탁㈜
(02-528-0564)</t>
    <phoneticPr fontId="39" type="noConversion"/>
  </si>
  <si>
    <t>조암지구</t>
    <phoneticPr fontId="39" type="noConversion"/>
  </si>
  <si>
    <t>99A</t>
    <phoneticPr fontId="39" type="noConversion"/>
  </si>
  <si>
    <t>평택시</t>
    <phoneticPr fontId="39" type="noConversion"/>
  </si>
  <si>
    <t xml:space="preserve">
(단지 요청에 의한 미공개)</t>
    <phoneticPr fontId="39" type="noConversion"/>
  </si>
  <si>
    <t>산곡동</t>
    <phoneticPr fontId="39" type="noConversion"/>
  </si>
  <si>
    <t>고산 공공주택지구 C2블럭
(산곡동 1-2)(대광로제비앙)</t>
    <phoneticPr fontId="39" type="noConversion"/>
  </si>
  <si>
    <t xml:space="preserve"> 부천시</t>
    <phoneticPr fontId="39" type="noConversion"/>
  </si>
  <si>
    <t>동탄(2)택지개발지구 C16BL</t>
    <phoneticPr fontId="39" type="noConversion"/>
  </si>
  <si>
    <t>97A</t>
    <phoneticPr fontId="39" type="noConversion"/>
  </si>
  <si>
    <t>97B</t>
    <phoneticPr fontId="39" type="noConversion"/>
  </si>
  <si>
    <t>97C</t>
    <phoneticPr fontId="39" type="noConversion"/>
  </si>
  <si>
    <t>155A</t>
    <phoneticPr fontId="39" type="noConversion"/>
  </si>
  <si>
    <t>155B</t>
    <phoneticPr fontId="39" type="noConversion"/>
  </si>
  <si>
    <t>경기도 화성시 송산그린시티 EAA10블럭</t>
    <phoneticPr fontId="39" type="noConversion"/>
  </si>
  <si>
    <t>19.98A</t>
    <phoneticPr fontId="39" type="noConversion"/>
  </si>
  <si>
    <t>13.31B</t>
    <phoneticPr fontId="39" type="noConversion"/>
  </si>
  <si>
    <t>13.25B1</t>
    <phoneticPr fontId="39" type="noConversion"/>
  </si>
  <si>
    <t>13.2B2</t>
    <phoneticPr fontId="39" type="noConversion"/>
  </si>
  <si>
    <t>13.91C</t>
    <phoneticPr fontId="39" type="noConversion"/>
  </si>
  <si>
    <t>13.78C1</t>
    <phoneticPr fontId="39" type="noConversion"/>
  </si>
  <si>
    <t>1566-8114</t>
    <phoneticPr fontId="39" type="noConversion"/>
  </si>
  <si>
    <t>소   계</t>
  </si>
  <si>
    <t>131-23번지
(나이키빌)</t>
    <phoneticPr fontId="39" type="noConversion"/>
  </si>
  <si>
    <t>㈜디오시종합건설
(031-874-3006)</t>
    <phoneticPr fontId="39" type="noConversion"/>
  </si>
  <si>
    <t>나이키빌
(031-874-3006)</t>
    <phoneticPr fontId="39" type="noConversion"/>
  </si>
  <si>
    <t>㈜허브씨앤디
(1533-5807)</t>
    <phoneticPr fontId="39" type="noConversion"/>
  </si>
  <si>
    <t>41.0690A</t>
    <phoneticPr fontId="39" type="noConversion"/>
  </si>
  <si>
    <t>23.9227B</t>
    <phoneticPr fontId="39" type="noConversion"/>
  </si>
  <si>
    <t>39.3511C</t>
    <phoneticPr fontId="39" type="noConversion"/>
  </si>
  <si>
    <t>20.9217D1</t>
    <phoneticPr fontId="39" type="noConversion"/>
  </si>
  <si>
    <t>20.9017D2</t>
    <phoneticPr fontId="39" type="noConversion"/>
  </si>
  <si>
    <t>28.7125E</t>
    <phoneticPr fontId="39" type="noConversion"/>
  </si>
  <si>
    <t>43.0810F</t>
    <phoneticPr fontId="39" type="noConversion"/>
  </si>
  <si>
    <t>양주시</t>
    <phoneticPr fontId="39" type="noConversion"/>
  </si>
  <si>
    <t>화양지구 5BL</t>
    <phoneticPr fontId="39" type="noConversion"/>
  </si>
  <si>
    <t>1855-1571</t>
    <phoneticPr fontId="39" type="noConversion"/>
  </si>
  <si>
    <t>㈜서희건설</t>
    <phoneticPr fontId="39" type="noConversion"/>
  </si>
  <si>
    <t>한송건설산업 
주식회사
(분양대행)
(032-328-2001)</t>
    <phoneticPr fontId="39" type="noConversion"/>
  </si>
  <si>
    <t>㈜중앙건설
㈜동우건설산업
(02-2634-1199)</t>
    <phoneticPr fontId="39" type="noConversion"/>
  </si>
  <si>
    <t>㈜코람코자산신탁
(070-4271-0390)</t>
    <phoneticPr fontId="39" type="noConversion"/>
  </si>
  <si>
    <t>준공</t>
    <phoneticPr fontId="39" type="noConversion"/>
  </si>
  <si>
    <t>-</t>
    <phoneticPr fontId="39" type="noConversion"/>
  </si>
  <si>
    <t>민간</t>
    <phoneticPr fontId="39" type="noConversion"/>
  </si>
  <si>
    <t>대림산업㈜
031-693-8196</t>
    <phoneticPr fontId="39" type="noConversion"/>
  </si>
  <si>
    <t>㈜엠디엠
02-2166-3117</t>
    <phoneticPr fontId="39" type="noConversion"/>
  </si>
  <si>
    <t>1533-3442</t>
    <phoneticPr fontId="39" type="noConversion"/>
  </si>
  <si>
    <t>기흥구</t>
    <phoneticPr fontId="39" type="noConversion"/>
  </si>
  <si>
    <t>가재지구</t>
    <phoneticPr fontId="39" type="noConversion"/>
  </si>
  <si>
    <t>가재동</t>
    <phoneticPr fontId="39" type="noConversion"/>
  </si>
  <si>
    <t>신세계건설(주)
(070-7895-3758)</t>
  </si>
  <si>
    <t>에코월드E&amp;C
(031-595-8482)</t>
    <phoneticPr fontId="39" type="noConversion"/>
  </si>
  <si>
    <t>031-595-8482</t>
  </si>
  <si>
    <t>60-85</t>
    <phoneticPr fontId="39" type="noConversion"/>
  </si>
  <si>
    <t>빌리브
센트하이</t>
  </si>
  <si>
    <t>극동건설㈜
(031-591-0447)</t>
  </si>
  <si>
    <t>㈜신유건설
(031-987-3461)</t>
    <phoneticPr fontId="39" type="noConversion"/>
  </si>
  <si>
    <t>031-987-3461</t>
  </si>
  <si>
    <t>40-60</t>
    <phoneticPr fontId="39" type="noConversion"/>
  </si>
  <si>
    <t>마석역
극동스타클래스
더퍼스트</t>
    <phoneticPr fontId="39" type="noConversion"/>
  </si>
  <si>
    <t>청광건설
(02-3461-3600)</t>
    <phoneticPr fontId="39" type="noConversion"/>
  </si>
  <si>
    <t>주원산업개발
(031-575-8973)</t>
    <phoneticPr fontId="39" type="noConversion"/>
  </si>
  <si>
    <t>031-575-8973</t>
    <phoneticPr fontId="39" type="noConversion"/>
  </si>
  <si>
    <t>75A</t>
    <phoneticPr fontId="39" type="noConversion"/>
  </si>
  <si>
    <t>75B</t>
    <phoneticPr fontId="39" type="noConversion"/>
  </si>
  <si>
    <t>㈜케이씨씨건설
(02-523-5500)</t>
    <phoneticPr fontId="39" type="noConversion"/>
  </si>
  <si>
    <t>㈜하나자산신탁
(02-3287-4789)</t>
    <phoneticPr fontId="39" type="noConversion"/>
  </si>
  <si>
    <t>㈜케이씨씨건설
(02-523-5500))</t>
    <phoneticPr fontId="39" type="noConversion"/>
  </si>
  <si>
    <t>㈜트라이버
(031-731-0303)</t>
    <phoneticPr fontId="39" type="noConversion"/>
  </si>
  <si>
    <t>브레인시티일반산업단지</t>
    <phoneticPr fontId="39" type="noConversion"/>
  </si>
  <si>
    <t>주식회사한산매니지먼트
(02-2051-1781)</t>
    <phoneticPr fontId="39" type="noConversion"/>
  </si>
  <si>
    <t>포천시</t>
    <phoneticPr fontId="39" type="noConversion"/>
  </si>
  <si>
    <t>군내면</t>
    <phoneticPr fontId="39" type="noConversion"/>
  </si>
  <si>
    <t>용정리 475-1</t>
    <phoneticPr fontId="39" type="noConversion"/>
  </si>
  <si>
    <t>포천대광지역주택조합
070-4231-8530</t>
    <phoneticPr fontId="39" type="noConversion"/>
  </si>
  <si>
    <t>070-4231-8530</t>
    <phoneticPr fontId="39" type="noConversion"/>
  </si>
  <si>
    <t>지구단위계획구역
(용정일반산업단지)
/준공업지역</t>
    <phoneticPr fontId="39" type="noConversion"/>
  </si>
  <si>
    <t>수원시</t>
    <phoneticPr fontId="39" type="noConversion"/>
  </si>
  <si>
    <t>해당없음</t>
    <phoneticPr fontId="39" type="noConversion"/>
  </si>
  <si>
    <t>84E</t>
    <phoneticPr fontId="39" type="noConversion"/>
  </si>
  <si>
    <t>84F</t>
    <phoneticPr fontId="39" type="noConversion"/>
  </si>
  <si>
    <t>(주)대광건영</t>
    <phoneticPr fontId="39" type="noConversion"/>
  </si>
  <si>
    <t>퇴계원읍</t>
    <phoneticPr fontId="39" type="noConversion"/>
  </si>
  <si>
    <t>경기도 용인시 기흥구 마북동 212-1번지 일원</t>
    <phoneticPr fontId="39" type="noConversion"/>
  </si>
  <si>
    <t>동부건설㈜
02-3484-2114</t>
    <phoneticPr fontId="39" type="noConversion"/>
  </si>
  <si>
    <t>한국자산신탁㈜
02-2112-6300</t>
    <phoneticPr fontId="39" type="noConversion"/>
  </si>
  <si>
    <t>1551-2121</t>
    <phoneticPr fontId="39" type="noConversion"/>
  </si>
  <si>
    <t>고양시</t>
    <phoneticPr fontId="39" type="noConversion"/>
  </si>
  <si>
    <t>금오동</t>
    <phoneticPr fontId="39" type="noConversion"/>
  </si>
  <si>
    <t>369-1외 34필지
(의정부 푸르지오 클라시엘)</t>
    <phoneticPr fontId="39" type="noConversion"/>
  </si>
  <si>
    <t>대우건설㈜
(031-853-9613)</t>
    <phoneticPr fontId="39" type="noConversion"/>
  </si>
  <si>
    <t>우리자산신탁㈜
(02-6202-5101)</t>
    <phoneticPr fontId="39" type="noConversion"/>
  </si>
  <si>
    <t>㈜미드미네트웍스
(1551-0656)</t>
    <phoneticPr fontId="39" type="noConversion"/>
  </si>
  <si>
    <t>84.9616A</t>
    <phoneticPr fontId="39" type="noConversion"/>
  </si>
  <si>
    <t>84.9774B</t>
    <phoneticPr fontId="39" type="noConversion"/>
  </si>
  <si>
    <t>84.6644C</t>
    <phoneticPr fontId="39" type="noConversion"/>
  </si>
  <si>
    <t>84.7030D</t>
    <phoneticPr fontId="39" type="noConversion"/>
  </si>
  <si>
    <t>108.4343A</t>
    <phoneticPr fontId="39" type="noConversion"/>
  </si>
  <si>
    <t>110.9795A</t>
    <phoneticPr fontId="39" type="noConversion"/>
  </si>
  <si>
    <t>2022-08</t>
    <phoneticPr fontId="39" type="noConversion"/>
  </si>
  <si>
    <t>2022-09</t>
    <phoneticPr fontId="39" type="noConversion"/>
  </si>
  <si>
    <t>2024-11</t>
    <phoneticPr fontId="39" type="noConversion"/>
  </si>
  <si>
    <t>2023-08</t>
    <phoneticPr fontId="39" type="noConversion"/>
  </si>
  <si>
    <t>2023-10</t>
    <phoneticPr fontId="39" type="noConversion"/>
  </si>
  <si>
    <t>2026-02</t>
    <phoneticPr fontId="39" type="noConversion"/>
  </si>
  <si>
    <t>-</t>
    <phoneticPr fontId="39" type="noConversion"/>
  </si>
  <si>
    <t>2017-09</t>
    <phoneticPr fontId="39" type="noConversion"/>
  </si>
  <si>
    <t>2020-01</t>
    <phoneticPr fontId="39" type="noConversion"/>
  </si>
  <si>
    <t>2020-06</t>
    <phoneticPr fontId="39" type="noConversion"/>
  </si>
  <si>
    <t>2022-11</t>
    <phoneticPr fontId="39" type="noConversion"/>
  </si>
  <si>
    <t>2012-03</t>
    <phoneticPr fontId="39" type="noConversion"/>
  </si>
  <si>
    <t>2013-04</t>
    <phoneticPr fontId="39" type="noConversion"/>
  </si>
  <si>
    <t>2022-05</t>
    <phoneticPr fontId="39" type="noConversion"/>
  </si>
  <si>
    <t>2022-06</t>
    <phoneticPr fontId="39" type="noConversion"/>
  </si>
  <si>
    <t>2022-02</t>
    <phoneticPr fontId="39" type="noConversion"/>
  </si>
  <si>
    <t>2023-05</t>
    <phoneticPr fontId="39" type="noConversion"/>
  </si>
  <si>
    <t>2023-06</t>
    <phoneticPr fontId="39" type="noConversion"/>
  </si>
  <si>
    <t>2023-02</t>
    <phoneticPr fontId="39" type="noConversion"/>
  </si>
  <si>
    <t>2020-09</t>
    <phoneticPr fontId="39" type="noConversion"/>
  </si>
  <si>
    <t>2022-12</t>
    <phoneticPr fontId="39" type="noConversion"/>
  </si>
  <si>
    <t>2022-03</t>
    <phoneticPr fontId="39" type="noConversion"/>
  </si>
  <si>
    <t>2022-04</t>
    <phoneticPr fontId="39" type="noConversion"/>
  </si>
  <si>
    <t>2022-07</t>
    <phoneticPr fontId="39" type="noConversion"/>
  </si>
  <si>
    <t>2024-07</t>
    <phoneticPr fontId="39" type="noConversion"/>
  </si>
  <si>
    <t>2024-01</t>
    <phoneticPr fontId="39" type="noConversion"/>
  </si>
  <si>
    <t>2021-08</t>
    <phoneticPr fontId="39" type="noConversion"/>
  </si>
  <si>
    <t>2018-08</t>
    <phoneticPr fontId="39" type="noConversion"/>
  </si>
  <si>
    <t>2024-05</t>
    <phoneticPr fontId="39" type="noConversion"/>
  </si>
  <si>
    <t>2024-12</t>
    <phoneticPr fontId="39" type="noConversion"/>
  </si>
  <si>
    <t>2023-04</t>
    <phoneticPr fontId="39" type="noConversion"/>
  </si>
  <si>
    <t>2023-09</t>
    <phoneticPr fontId="39" type="noConversion"/>
  </si>
  <si>
    <t>2015-05</t>
    <phoneticPr fontId="39" type="noConversion"/>
  </si>
  <si>
    <t>2015-06</t>
    <phoneticPr fontId="39" type="noConversion"/>
  </si>
  <si>
    <t>2015-10</t>
    <phoneticPr fontId="39" type="noConversion"/>
  </si>
  <si>
    <t>2023-12</t>
    <phoneticPr fontId="39" type="noConversion"/>
  </si>
  <si>
    <t>2024-02</t>
    <phoneticPr fontId="39" type="noConversion"/>
  </si>
  <si>
    <t>2023-01</t>
    <phoneticPr fontId="39" type="noConversion"/>
  </si>
  <si>
    <t>2025-07</t>
    <phoneticPr fontId="39" type="noConversion"/>
  </si>
  <si>
    <t>2025-08</t>
    <phoneticPr fontId="39" type="noConversion"/>
  </si>
  <si>
    <t/>
  </si>
  <si>
    <t>2023-03</t>
    <phoneticPr fontId="39" type="noConversion"/>
  </si>
  <si>
    <t>2015-03</t>
    <phoneticPr fontId="39" type="noConversion"/>
  </si>
  <si>
    <t>2015-04</t>
    <phoneticPr fontId="39" type="noConversion"/>
  </si>
  <si>
    <t>2017-10</t>
    <phoneticPr fontId="39" type="noConversion"/>
  </si>
  <si>
    <t>2017-11</t>
    <phoneticPr fontId="39" type="noConversion"/>
  </si>
  <si>
    <t>2020-04</t>
    <phoneticPr fontId="39" type="noConversion"/>
  </si>
  <si>
    <t>2018-09</t>
    <phoneticPr fontId="39" type="noConversion"/>
  </si>
  <si>
    <t>2021-11</t>
    <phoneticPr fontId="39" type="noConversion"/>
  </si>
  <si>
    <t>2021-12</t>
    <phoneticPr fontId="39" type="noConversion"/>
  </si>
  <si>
    <t>2025-03</t>
    <phoneticPr fontId="39" type="noConversion"/>
  </si>
  <si>
    <t>2023-11</t>
    <phoneticPr fontId="39" type="noConversion"/>
  </si>
  <si>
    <t>2027-12</t>
    <phoneticPr fontId="39" type="noConversion"/>
  </si>
  <si>
    <t>2020-05</t>
    <phoneticPr fontId="39" type="noConversion"/>
  </si>
  <si>
    <t>2018-03</t>
    <phoneticPr fontId="39" type="noConversion"/>
  </si>
  <si>
    <t>2018-04</t>
    <phoneticPr fontId="39" type="noConversion"/>
  </si>
  <si>
    <t>2020-07</t>
    <phoneticPr fontId="39" type="noConversion"/>
  </si>
  <si>
    <t>2019-02</t>
    <phoneticPr fontId="39" type="noConversion"/>
  </si>
  <si>
    <t>2019-03</t>
    <phoneticPr fontId="39" type="noConversion"/>
  </si>
  <si>
    <t>2021-02</t>
    <phoneticPr fontId="39" type="noConversion"/>
  </si>
  <si>
    <t>2014-06</t>
    <phoneticPr fontId="39" type="noConversion"/>
  </si>
  <si>
    <t>2014-07</t>
    <phoneticPr fontId="39" type="noConversion"/>
  </si>
  <si>
    <t>2017-08</t>
    <phoneticPr fontId="39" type="noConversion"/>
  </si>
  <si>
    <t>2024-06</t>
    <phoneticPr fontId="39" type="noConversion"/>
  </si>
  <si>
    <t>2018-05</t>
    <phoneticPr fontId="39" type="noConversion"/>
  </si>
  <si>
    <t>2018-06</t>
    <phoneticPr fontId="39" type="noConversion"/>
  </si>
  <si>
    <t>2021-07</t>
    <phoneticPr fontId="39" type="noConversion"/>
  </si>
  <si>
    <t>2022-01</t>
    <phoneticPr fontId="39" type="noConversion"/>
  </si>
  <si>
    <t>2025-01</t>
    <phoneticPr fontId="39" type="noConversion"/>
  </si>
  <si>
    <t>2017-12</t>
    <phoneticPr fontId="39" type="noConversion"/>
  </si>
  <si>
    <t>2018-11</t>
    <phoneticPr fontId="39" type="noConversion"/>
  </si>
  <si>
    <t>2025-02</t>
    <phoneticPr fontId="39" type="noConversion"/>
  </si>
  <si>
    <t>범양건설(주)
02-590-9114</t>
    <phoneticPr fontId="39" type="noConversion"/>
  </si>
  <si>
    <t>온동네디엔아이(주)
02-590-9193</t>
    <phoneticPr fontId="39" type="noConversion"/>
  </si>
  <si>
    <t>김포한강신도시</t>
    <phoneticPr fontId="39" type="noConversion"/>
  </si>
  <si>
    <t>고촌읍</t>
    <phoneticPr fontId="39" type="noConversion"/>
  </si>
  <si>
    <t>경기도 김포시 고촌읍 신곡리 
1072-2번지
(김포신곡6지구 A3BL)</t>
    <phoneticPr fontId="39" type="noConversion"/>
  </si>
  <si>
    <t>GS건설㈜
031-329-4500</t>
    <phoneticPr fontId="39" type="noConversion"/>
  </si>
  <si>
    <t>한국투자
부동산신탁(주)
02-6420-1937</t>
    <phoneticPr fontId="39" type="noConversion"/>
  </si>
  <si>
    <t>모델하우스
1644-3318</t>
    <phoneticPr fontId="39" type="noConversion"/>
  </si>
  <si>
    <t>김포신곡6지구 A3BL</t>
    <phoneticPr fontId="39" type="noConversion"/>
  </si>
  <si>
    <t>076.9937A</t>
  </si>
  <si>
    <t>076.9622B</t>
  </si>
  <si>
    <t>084.9109A</t>
  </si>
  <si>
    <t>084.3506B</t>
  </si>
  <si>
    <t>경기도 용인시 처인구 포곡읍 전대리 192-2번지 일원</t>
    <phoneticPr fontId="39" type="noConversion"/>
  </si>
  <si>
    <t>디더블유대원02)3270-7100</t>
    <phoneticPr fontId="39" type="noConversion"/>
  </si>
  <si>
    <t>디더블유대원
02)3270-7100</t>
    <phoneticPr fontId="39" type="noConversion"/>
  </si>
  <si>
    <t xml:space="preserve">
031)265-8090</t>
    <phoneticPr fontId="39" type="noConversion"/>
  </si>
  <si>
    <t>㈜알비디케이콘스
02-6006-9097</t>
    <phoneticPr fontId="39" type="noConversion"/>
  </si>
  <si>
    <t>㈜알비디케이
02-6006-9062</t>
    <phoneticPr fontId="39" type="noConversion"/>
  </si>
  <si>
    <t>1600-9270</t>
    <phoneticPr fontId="39" type="noConversion"/>
  </si>
  <si>
    <t>공세지구</t>
    <phoneticPr fontId="39" type="noConversion"/>
  </si>
  <si>
    <t>2023-11</t>
  </si>
  <si>
    <t>2023-11</t>
    <phoneticPr fontId="39" type="noConversion"/>
  </si>
  <si>
    <t>2023-12</t>
    <phoneticPr fontId="39" type="noConversion"/>
  </si>
  <si>
    <t>2026-11</t>
    <phoneticPr fontId="39" type="noConversion"/>
  </si>
  <si>
    <t>476번지
(더원 루미에르)
(주거정비과)</t>
    <phoneticPr fontId="39" type="noConversion"/>
  </si>
  <si>
    <t>주식회사 더원종합건설
(032-348-1050)</t>
    <phoneticPr fontId="39" type="noConversion"/>
  </si>
  <si>
    <t>명신아파트 가로주택정비사업</t>
    <phoneticPr fontId="39" type="noConversion"/>
  </si>
  <si>
    <t>분양사무실
(032-668-8268)</t>
    <phoneticPr fontId="39" type="noConversion"/>
  </si>
  <si>
    <t>(단지 요청에 의한 미공개)</t>
    <phoneticPr fontId="39" type="noConversion"/>
  </si>
  <si>
    <t>쌍용건설㈜</t>
    <phoneticPr fontId="39" type="noConversion"/>
  </si>
  <si>
    <t>평택가재피에프브이㈜</t>
    <phoneticPr fontId="39" type="noConversion"/>
  </si>
  <si>
    <t>1660-1134</t>
    <phoneticPr fontId="39" type="noConversion"/>
  </si>
  <si>
    <t>84A</t>
    <phoneticPr fontId="119" type="noConversion"/>
  </si>
  <si>
    <t>2027-01</t>
    <phoneticPr fontId="39" type="noConversion"/>
  </si>
  <si>
    <t xml:space="preserve">죽산면     </t>
    <phoneticPr fontId="39" type="noConversion"/>
  </si>
  <si>
    <t>남광토건㈜
(031-677-9086)</t>
    <phoneticPr fontId="39" type="noConversion"/>
  </si>
  <si>
    <t>한국투자부동산신탁㈜
(02-6420-1953)</t>
    <phoneticPr fontId="39" type="noConversion"/>
  </si>
  <si>
    <t>모델하우스
(1533-1121)</t>
    <phoneticPr fontId="39" type="noConversion"/>
  </si>
  <si>
    <t>2025-11</t>
    <phoneticPr fontId="39" type="noConversion"/>
  </si>
  <si>
    <t>죽산지구</t>
    <phoneticPr fontId="39" type="noConversion"/>
  </si>
  <si>
    <t>신소현동</t>
    <phoneticPr fontId="39" type="noConversion"/>
  </si>
  <si>
    <t>84번지 일원</t>
    <phoneticPr fontId="39" type="noConversion"/>
  </si>
  <si>
    <t>에스엠상선㈜
(02-6940-9661)</t>
    <phoneticPr fontId="39" type="noConversion"/>
  </si>
  <si>
    <t>모델하우스
(1551-9760)</t>
    <phoneticPr fontId="39" type="noConversion"/>
  </si>
  <si>
    <t>2027-03</t>
    <phoneticPr fontId="39" type="noConversion"/>
  </si>
  <si>
    <t>당왕지구
1BL</t>
    <phoneticPr fontId="39" type="noConversion"/>
  </si>
  <si>
    <t>준공</t>
    <phoneticPr fontId="39" type="noConversion"/>
  </si>
  <si>
    <t>59C</t>
    <phoneticPr fontId="39" type="noConversion"/>
  </si>
  <si>
    <t>장안동</t>
    <phoneticPr fontId="39" type="noConversion"/>
  </si>
  <si>
    <t>브레인시티일반산업단지 공동5BL</t>
    <phoneticPr fontId="39" type="noConversion"/>
  </si>
  <si>
    <t xml:space="preserve">㈜대광건영 </t>
    <phoneticPr fontId="39" type="noConversion"/>
  </si>
  <si>
    <t>브레인시티5피에프브이㈜</t>
    <phoneticPr fontId="39" type="noConversion"/>
  </si>
  <si>
    <t>1600-8338</t>
    <phoneticPr fontId="39" type="noConversion"/>
  </si>
  <si>
    <t>지에스건설㈜
(1600-0478)</t>
    <phoneticPr fontId="39" type="noConversion"/>
  </si>
  <si>
    <t>교보자산신탁㈜
(02-3404-3436)</t>
    <phoneticPr fontId="39" type="noConversion"/>
  </si>
  <si>
    <t>2026-12</t>
    <phoneticPr fontId="39" type="noConversion"/>
  </si>
  <si>
    <t>서천지구</t>
    <phoneticPr fontId="39" type="noConversion"/>
  </si>
  <si>
    <t>84D</t>
  </si>
  <si>
    <t>2024-04</t>
  </si>
  <si>
    <t>2024-04</t>
    <phoneticPr fontId="39" type="noConversion"/>
  </si>
  <si>
    <t>준공</t>
    <phoneticPr fontId="39" type="noConversion"/>
  </si>
  <si>
    <t>2026-10</t>
    <phoneticPr fontId="39" type="noConversion"/>
  </si>
  <si>
    <t>범내지구</t>
    <phoneticPr fontId="39" type="noConversion"/>
  </si>
  <si>
    <t>2029-01</t>
    <phoneticPr fontId="39" type="noConversion"/>
  </si>
  <si>
    <t>110.5162A</t>
    <phoneticPr fontId="39" type="noConversion"/>
  </si>
  <si>
    <t>111.8362A</t>
    <phoneticPr fontId="39" type="noConversion"/>
  </si>
  <si>
    <t>114.2282C</t>
    <phoneticPr fontId="39" type="noConversion"/>
  </si>
  <si>
    <t>117.0843A</t>
    <phoneticPr fontId="39" type="noConversion"/>
  </si>
  <si>
    <t>118.4043A</t>
    <phoneticPr fontId="39" type="noConversion"/>
  </si>
  <si>
    <t>118.0668C</t>
    <phoneticPr fontId="39" type="noConversion"/>
  </si>
  <si>
    <t>119.8623B</t>
    <phoneticPr fontId="39" type="noConversion"/>
  </si>
  <si>
    <t>120.3394B</t>
    <phoneticPr fontId="39" type="noConversion"/>
  </si>
  <si>
    <t>127.1894B</t>
    <phoneticPr fontId="39" type="noConversion"/>
  </si>
  <si>
    <t>128.8329C</t>
    <phoneticPr fontId="39" type="noConversion"/>
  </si>
  <si>
    <t>134.0916A</t>
    <phoneticPr fontId="39" type="noConversion"/>
  </si>
  <si>
    <t>135.4116A</t>
    <phoneticPr fontId="39" type="noConversion"/>
  </si>
  <si>
    <t>135.4547T</t>
    <phoneticPr fontId="39" type="noConversion"/>
  </si>
  <si>
    <t>136.0635C</t>
    <phoneticPr fontId="39" type="noConversion"/>
  </si>
  <si>
    <t>141.3732B</t>
    <phoneticPr fontId="39" type="noConversion"/>
  </si>
  <si>
    <t>143.0325B</t>
    <phoneticPr fontId="39" type="noConversion"/>
  </si>
  <si>
    <t>162.1687A</t>
    <phoneticPr fontId="39" type="noConversion"/>
  </si>
  <si>
    <t>162.9298A</t>
    <phoneticPr fontId="39" type="noConversion"/>
  </si>
  <si>
    <t>164.2638A</t>
    <phoneticPr fontId="39" type="noConversion"/>
  </si>
  <si>
    <t>183.1123T</t>
    <phoneticPr fontId="39" type="noConversion"/>
  </si>
  <si>
    <t xml:space="preserve">㈜하이아트
</t>
    <phoneticPr fontId="39" type="noConversion"/>
  </si>
  <si>
    <t>경기도 성남시 분당구 판교대장지구
B2, B3BL</t>
    <phoneticPr fontId="39" type="noConversion"/>
  </si>
  <si>
    <t>경기도 성남시 중원구 금광동 4863
중앙하이츠금광프리미엄아파트</t>
    <phoneticPr fontId="39" type="noConversion"/>
  </si>
  <si>
    <t>판교대장
지구</t>
    <phoneticPr fontId="39" type="noConversion"/>
  </si>
  <si>
    <t>2024-03</t>
    <phoneticPr fontId="39" type="noConversion"/>
  </si>
  <si>
    <t>2025-10</t>
    <phoneticPr fontId="39" type="noConversion"/>
  </si>
  <si>
    <t xml:space="preserve">㈜로뎀A&amp;D
</t>
    <phoneticPr fontId="39" type="noConversion"/>
  </si>
  <si>
    <t xml:space="preserve">㈜금강주택
</t>
    <phoneticPr fontId="39" type="noConversion"/>
  </si>
  <si>
    <t>□ 경기도  민간/분양 미분양주택 현황 (총괄)</t>
    <phoneticPr fontId="39" type="noConversion"/>
  </si>
  <si>
    <t>기흥구</t>
    <phoneticPr fontId="39" type="noConversion"/>
  </si>
  <si>
    <t>도</t>
    <phoneticPr fontId="39" type="noConversion"/>
  </si>
  <si>
    <t>처인구</t>
    <phoneticPr fontId="42" type="noConversion"/>
  </si>
  <si>
    <t>처인구</t>
    <phoneticPr fontId="39" type="noConversion"/>
  </si>
  <si>
    <t>경기도 용인시 기흥구 
마북동 355-3번지 일원</t>
    <phoneticPr fontId="39" type="noConversion"/>
  </si>
  <si>
    <t>시</t>
    <phoneticPr fontId="39" type="noConversion"/>
  </si>
  <si>
    <t>070-5029-3800</t>
    <phoneticPr fontId="39" type="noConversion"/>
  </si>
  <si>
    <t>031-335-1254</t>
    <phoneticPr fontId="39" type="noConversion"/>
  </si>
  <si>
    <t>1588-5036</t>
    <phoneticPr fontId="39" type="noConversion"/>
  </si>
  <si>
    <t>민간</t>
    <phoneticPr fontId="39" type="noConversion"/>
  </si>
  <si>
    <t>역북2지구</t>
    <phoneticPr fontId="39" type="noConversion"/>
  </si>
  <si>
    <t>미준공</t>
    <phoneticPr fontId="39" type="noConversion"/>
  </si>
  <si>
    <t>2027-03</t>
    <phoneticPr fontId="39" type="noConversion"/>
  </si>
  <si>
    <t>2024-04</t>
    <phoneticPr fontId="39" type="noConversion"/>
  </si>
  <si>
    <t>2024-02</t>
    <phoneticPr fontId="39" type="noConversion"/>
  </si>
  <si>
    <t>민간
(주택조합방식)</t>
    <phoneticPr fontId="39" type="noConversion"/>
  </si>
  <si>
    <t>경기도 용인시 처인구 역북동
89-25번지 일원[역북 2지구]</t>
    <phoneticPr fontId="39" type="noConversion"/>
  </si>
  <si>
    <t>원미동</t>
    <phoneticPr fontId="39" type="noConversion"/>
  </si>
  <si>
    <t>동문건설
(02-2239-1000)</t>
    <phoneticPr fontId="39" type="noConversion"/>
  </si>
  <si>
    <t>㈜무궁화신탁
(02-3456-0000)</t>
    <phoneticPr fontId="39" type="noConversion"/>
  </si>
  <si>
    <t>분양홍보관
(1555-5875)</t>
    <phoneticPr fontId="39" type="noConversion"/>
  </si>
  <si>
    <t>구(동,읍)</t>
    <phoneticPr fontId="39" type="noConversion"/>
  </si>
  <si>
    <t>권선구</t>
    <phoneticPr fontId="39" type="noConversion"/>
  </si>
  <si>
    <t>덕양구</t>
    <phoneticPr fontId="39" type="noConversion"/>
  </si>
  <si>
    <t>덕양구</t>
    <phoneticPr fontId="39" type="noConversion"/>
  </si>
  <si>
    <t>경기도 고양시 덕양구 오금로 33</t>
    <phoneticPr fontId="39" type="noConversion"/>
  </si>
  <si>
    <t>일산동구</t>
    <phoneticPr fontId="39" type="noConversion"/>
  </si>
  <si>
    <t>중원구</t>
    <phoneticPr fontId="39" type="noConversion"/>
  </si>
  <si>
    <t>분당구</t>
    <phoneticPr fontId="39" type="noConversion"/>
  </si>
  <si>
    <t xml:space="preserve">처인구
</t>
    <phoneticPr fontId="42" type="noConversion"/>
  </si>
  <si>
    <t>경기도 용인시 기흥구 서천동 
335-2번지 일원</t>
    <phoneticPr fontId="39" type="noConversion"/>
  </si>
  <si>
    <t>남양주 화도읍 월산리 81일원
[월산 사랑으로 부영아파트]</t>
    <phoneticPr fontId="39" type="noConversion"/>
  </si>
  <si>
    <t>남양주 화도읍 답내리 516-4
[답내 사랑으로 부영아파트]</t>
    <phoneticPr fontId="39" type="noConversion"/>
  </si>
  <si>
    <t>남양주 화도읍 마석우리 295-32일원</t>
    <phoneticPr fontId="39" type="noConversion"/>
  </si>
  <si>
    <t>남양주 화도읍 마석우리 256-1일원</t>
    <phoneticPr fontId="39" type="noConversion"/>
  </si>
  <si>
    <t>남양주 퇴계원읍 퇴계원리 102-8일원
[청광플러스]</t>
    <phoneticPr fontId="39" type="noConversion"/>
  </si>
  <si>
    <t>경기도 용인시 기흥구
산42-4(공세지구 D3블럭)</t>
    <phoneticPr fontId="39" type="noConversion"/>
  </si>
  <si>
    <t xml:space="preserve"> 2024-04</t>
    <phoneticPr fontId="39" type="noConversion"/>
  </si>
  <si>
    <t xml:space="preserve"> 2024-05</t>
    <phoneticPr fontId="39" type="noConversion"/>
  </si>
  <si>
    <t xml:space="preserve"> 2027-12</t>
    <phoneticPr fontId="39" type="noConversion"/>
  </si>
  <si>
    <t>평택화양센트럴지역주택조합 외 1</t>
    <phoneticPr fontId="39" type="noConversion"/>
  </si>
  <si>
    <t>1666-3966</t>
    <phoneticPr fontId="39" type="noConversion"/>
  </si>
  <si>
    <t>화양지구 3BL</t>
    <phoneticPr fontId="39" type="noConversion"/>
  </si>
  <si>
    <t>(단지요청에 의한 미공개)</t>
    <phoneticPr fontId="39" type="noConversion"/>
  </si>
  <si>
    <t>(단지요청에 의한 비공개)</t>
  </si>
  <si>
    <t>(단지요청에 의한 비공개)</t>
    <phoneticPr fontId="39" type="noConversion"/>
  </si>
  <si>
    <t>덕평지구</t>
    <phoneticPr fontId="39" type="noConversion"/>
  </si>
  <si>
    <t>코오롱글로벌㈜</t>
    <phoneticPr fontId="39" type="noConversion"/>
  </si>
  <si>
    <t>양평덕평지구지역주택조합</t>
    <phoneticPr fontId="39" type="noConversion"/>
  </si>
  <si>
    <t>양평읍 덕평리 661-7
(하늘채 센트로힐스)</t>
    <phoneticPr fontId="39" type="noConversion"/>
  </si>
  <si>
    <t>양평읍</t>
    <phoneticPr fontId="39" type="noConversion"/>
  </si>
  <si>
    <t>시 행 사</t>
    <phoneticPr fontId="39" type="noConversion"/>
  </si>
  <si>
    <t>59.9557A</t>
    <phoneticPr fontId="39" type="noConversion"/>
  </si>
  <si>
    <t>59.9485B</t>
    <phoneticPr fontId="39" type="noConversion"/>
  </si>
  <si>
    <t>84.9455A</t>
    <phoneticPr fontId="39" type="noConversion"/>
  </si>
  <si>
    <t>84.9893B</t>
    <phoneticPr fontId="39" type="noConversion"/>
  </si>
  <si>
    <t>99.9273A</t>
    <phoneticPr fontId="39" type="noConversion"/>
  </si>
  <si>
    <t>99.9852B</t>
    <phoneticPr fontId="39" type="noConversion"/>
  </si>
  <si>
    <t>136.9781P</t>
    <phoneticPr fontId="39" type="noConversion"/>
  </si>
  <si>
    <t>화양지구 9-1BL</t>
    <phoneticPr fontId="39" type="noConversion"/>
  </si>
  <si>
    <t>㈜신영씨앤디</t>
    <phoneticPr fontId="39" type="noConversion"/>
  </si>
  <si>
    <t>투탑건설㈜ 02-2039-1886</t>
    <phoneticPr fontId="39" type="noConversion"/>
  </si>
  <si>
    <t>석수리버하임
㈜031-494-1886</t>
    <phoneticPr fontId="39" type="noConversion"/>
  </si>
  <si>
    <t>031-396-1886</t>
  </si>
  <si>
    <t>84.9963C</t>
    <phoneticPr fontId="39" type="noConversion"/>
  </si>
  <si>
    <t>진흥기업㈜
(02-772-1339)</t>
    <phoneticPr fontId="39" type="noConversion"/>
  </si>
  <si>
    <t>㈜미산투자개발
(02-501-0325)</t>
    <phoneticPr fontId="39" type="noConversion"/>
  </si>
  <si>
    <t>논곡지구</t>
    <phoneticPr fontId="39" type="noConversion"/>
  </si>
  <si>
    <t>논곡동</t>
    <phoneticPr fontId="39" type="noConversion"/>
  </si>
  <si>
    <t>-</t>
    <phoneticPr fontId="39" type="noConversion"/>
  </si>
  <si>
    <t>단지요청에 의한 비공개</t>
    <phoneticPr fontId="39" type="noConversion"/>
  </si>
  <si>
    <t>분양</t>
    <phoneticPr fontId="39" type="noConversion"/>
  </si>
  <si>
    <t>민간</t>
    <phoneticPr fontId="39" type="noConversion"/>
  </si>
  <si>
    <t>분양</t>
    <phoneticPr fontId="39" type="noConversion"/>
  </si>
  <si>
    <t>장안구</t>
    <phoneticPr fontId="39" type="noConversion"/>
  </si>
  <si>
    <t>경기도 수원시 장안구 이목동 511-1번지 일원</t>
    <phoneticPr fontId="39" type="noConversion"/>
  </si>
  <si>
    <t>대방건설(주)
(1577-7347)</t>
    <phoneticPr fontId="39" type="noConversion"/>
  </si>
  <si>
    <t>디비이엔씨(주)
(1577-7347)</t>
    <phoneticPr fontId="39" type="noConversion"/>
  </si>
  <si>
    <t>북수원
이목지구
디에트르
더리체
분양사무소
(1688-4007)</t>
    <phoneticPr fontId="39" type="noConversion"/>
  </si>
  <si>
    <t>2024-09</t>
    <phoneticPr fontId="39" type="noConversion"/>
  </si>
  <si>
    <t>2024-10</t>
    <phoneticPr fontId="39" type="noConversion"/>
  </si>
  <si>
    <t>2027-08</t>
    <phoneticPr fontId="39" type="noConversion"/>
  </si>
  <si>
    <t>미준공</t>
    <phoneticPr fontId="39" type="noConversion"/>
  </si>
  <si>
    <t>이목지구</t>
    <phoneticPr fontId="39" type="noConversion"/>
  </si>
  <si>
    <t>공공</t>
    <phoneticPr fontId="39" type="noConversion"/>
  </si>
  <si>
    <t>84.9291S</t>
    <phoneticPr fontId="39" type="noConversion"/>
  </si>
  <si>
    <t>60.9516S</t>
    <phoneticPr fontId="39" type="noConversion"/>
  </si>
  <si>
    <t>2024-08</t>
    <phoneticPr fontId="39" type="noConversion"/>
  </si>
  <si>
    <t>경기도 의정부시 금오동 산26-19
(의정부 롯데캐슬 나리벡시티)</t>
    <phoneticPr fontId="39" type="noConversion"/>
  </si>
  <si>
    <t>롯데건설㈜
(1551-0555)</t>
    <phoneticPr fontId="39" type="noConversion"/>
  </si>
  <si>
    <t>신한자산신탁㈜</t>
    <phoneticPr fontId="39" type="noConversion"/>
  </si>
  <si>
    <t>모델하우스
(1551-0555)</t>
    <phoneticPr fontId="39" type="noConversion"/>
  </si>
  <si>
    <t>84.9906A</t>
    <phoneticPr fontId="39" type="noConversion"/>
  </si>
  <si>
    <t>2027-11</t>
    <phoneticPr fontId="39" type="noConversion"/>
  </si>
  <si>
    <t>84.9957B</t>
    <phoneticPr fontId="39" type="noConversion"/>
  </si>
  <si>
    <t>155.9570A</t>
    <phoneticPr fontId="39" type="noConversion"/>
  </si>
  <si>
    <t>155.9511B</t>
    <phoneticPr fontId="39" type="noConversion"/>
  </si>
  <si>
    <t>155.9511C</t>
    <phoneticPr fontId="39" type="noConversion"/>
  </si>
  <si>
    <t>민간 분양 주택('24. 11월 30일 기준)</t>
    <phoneticPr fontId="39" type="noConversion"/>
  </si>
  <si>
    <t>84A(84.8484)</t>
    <phoneticPr fontId="39" type="noConversion"/>
  </si>
  <si>
    <t>84B(84.9264)</t>
    <phoneticPr fontId="39" type="noConversion"/>
  </si>
  <si>
    <t>84C(84.9851)</t>
    <phoneticPr fontId="39" type="noConversion"/>
  </si>
  <si>
    <t>가평군</t>
    <phoneticPr fontId="39" type="noConversion"/>
  </si>
  <si>
    <t>청평면</t>
    <phoneticPr fontId="39" type="noConversion"/>
  </si>
  <si>
    <t>대한토지신탁㈜
02-528-0470</t>
    <phoneticPr fontId="39" type="noConversion"/>
  </si>
  <si>
    <t>1551-2338</t>
    <phoneticPr fontId="39" type="noConversion"/>
  </si>
  <si>
    <t>청평3지구</t>
    <phoneticPr fontId="39" type="noConversion"/>
  </si>
  <si>
    <t>수원시</t>
    <phoneticPr fontId="39" type="noConversion"/>
  </si>
  <si>
    <t>용인시</t>
    <phoneticPr fontId="39" type="noConversion"/>
  </si>
  <si>
    <t>성남시</t>
    <phoneticPr fontId="39" type="noConversion"/>
  </si>
  <si>
    <t>화성시</t>
    <phoneticPr fontId="39" type="noConversion"/>
  </si>
  <si>
    <t>부천시</t>
    <phoneticPr fontId="39" type="noConversion"/>
  </si>
  <si>
    <t>남양주시</t>
    <phoneticPr fontId="39" type="noConversion"/>
  </si>
  <si>
    <t>안산시</t>
    <phoneticPr fontId="39" type="noConversion"/>
  </si>
  <si>
    <t>안양시</t>
    <phoneticPr fontId="39" type="noConversion"/>
  </si>
  <si>
    <t>시흥시</t>
    <phoneticPr fontId="39" type="noConversion"/>
  </si>
  <si>
    <t>김포시</t>
    <phoneticPr fontId="39" type="noConversion"/>
  </si>
  <si>
    <t>파주시</t>
    <phoneticPr fontId="39" type="noConversion"/>
  </si>
  <si>
    <t>의정부시</t>
    <phoneticPr fontId="39" type="noConversion"/>
  </si>
  <si>
    <t>광주시</t>
    <phoneticPr fontId="39" type="noConversion"/>
  </si>
  <si>
    <t>광명시</t>
    <phoneticPr fontId="39" type="noConversion"/>
  </si>
  <si>
    <t>하남시</t>
    <phoneticPr fontId="39" type="noConversion"/>
  </si>
  <si>
    <t>군포시</t>
    <phoneticPr fontId="39" type="noConversion"/>
  </si>
  <si>
    <t>오산시</t>
    <phoneticPr fontId="39" type="noConversion"/>
  </si>
  <si>
    <t>이천시</t>
    <phoneticPr fontId="39" type="noConversion"/>
  </si>
  <si>
    <t>구리시</t>
    <phoneticPr fontId="39" type="noConversion"/>
  </si>
  <si>
    <t>의왕시</t>
    <phoneticPr fontId="39" type="noConversion"/>
  </si>
  <si>
    <t>포천시</t>
    <phoneticPr fontId="39" type="noConversion"/>
  </si>
  <si>
    <t>양평군</t>
    <phoneticPr fontId="39" type="noConversion"/>
  </si>
  <si>
    <t>여주시</t>
    <phoneticPr fontId="39" type="noConversion"/>
  </si>
  <si>
    <t>동두천시</t>
    <phoneticPr fontId="39" type="noConversion"/>
  </si>
  <si>
    <t>과천시</t>
    <phoneticPr fontId="39" type="noConversion"/>
  </si>
  <si>
    <t>가평군</t>
    <phoneticPr fontId="39" type="noConversion"/>
  </si>
  <si>
    <t>㈜한양
02-721-8385</t>
    <phoneticPr fontId="39" type="noConversion"/>
  </si>
  <si>
    <t>민간 분양 주택('24. 12월 31일 기준)</t>
    <phoneticPr fontId="39" type="noConversion"/>
  </si>
  <si>
    <t>`</t>
    <phoneticPr fontId="39" type="noConversion"/>
  </si>
  <si>
    <t>현대엔지니어링㈜</t>
    <phoneticPr fontId="39" type="noConversion"/>
  </si>
  <si>
    <t>가재지구 1BL</t>
    <phoneticPr fontId="39" type="noConversion"/>
  </si>
  <si>
    <t>(단지 요청에 의한 미공개)</t>
  </si>
  <si>
    <t>㈜신영화양지구개발피에프브이</t>
    <phoneticPr fontId="39" type="noConversion"/>
  </si>
  <si>
    <t>1899-1210</t>
    <phoneticPr fontId="39" type="noConversion"/>
  </si>
  <si>
    <t xml:space="preserve"> 2024-06</t>
    <phoneticPr fontId="39" type="noConversion"/>
  </si>
  <si>
    <t xml:space="preserve"> 2027-04</t>
    <phoneticPr fontId="39" type="noConversion"/>
  </si>
  <si>
    <t>청평리 산 81-18번지 일원</t>
    <phoneticPr fontId="39" type="noConversion"/>
  </si>
  <si>
    <t>가평읍</t>
    <phoneticPr fontId="39" type="noConversion"/>
  </si>
  <si>
    <t>달전리 284-7번지 일원</t>
    <phoneticPr fontId="39" type="noConversion"/>
  </si>
  <si>
    <t>㈜한양
02-721-8114</t>
    <phoneticPr fontId="39" type="noConversion"/>
  </si>
  <si>
    <t>주식회사한국토지신탁
02-6451-1100</t>
    <phoneticPr fontId="39" type="noConversion"/>
  </si>
  <si>
    <t>달전지구</t>
    <phoneticPr fontId="39" type="noConversion"/>
  </si>
  <si>
    <t>83.4952A</t>
    <phoneticPr fontId="39" type="noConversion"/>
  </si>
  <si>
    <t>83.3183B</t>
    <phoneticPr fontId="39" type="noConversion"/>
  </si>
  <si>
    <t>83.7468C</t>
    <phoneticPr fontId="39" type="noConversion"/>
  </si>
  <si>
    <t>-</t>
    <phoneticPr fontId="39" type="noConversion"/>
  </si>
  <si>
    <t>2027-09</t>
    <phoneticPr fontId="39" type="noConversion"/>
  </si>
  <si>
    <t>단지요청에 의한 비공개</t>
  </si>
  <si>
    <t>354-10번지</t>
    <phoneticPr fontId="39" type="noConversion"/>
  </si>
  <si>
    <t>GS건설㈜</t>
    <phoneticPr fontId="39" type="noConversion"/>
  </si>
  <si>
    <t>뉴타운삼호아파트재건축조합
(031-384-8801)</t>
    <phoneticPr fontId="39" type="noConversion"/>
  </si>
  <si>
    <t>1833-4723</t>
    <phoneticPr fontId="39" type="noConversion"/>
  </si>
  <si>
    <t>53A</t>
    <phoneticPr fontId="39" type="noConversion"/>
  </si>
  <si>
    <t>뉴타운삼호아파트지구</t>
    <phoneticPr fontId="39" type="noConversion"/>
  </si>
  <si>
    <t>77A</t>
    <phoneticPr fontId="39" type="noConversion"/>
  </si>
  <si>
    <t>준공</t>
    <phoneticPr fontId="39" type="noConversion"/>
  </si>
  <si>
    <t>-</t>
    <phoneticPr fontId="39" type="noConversion"/>
  </si>
  <si>
    <t>안성시</t>
    <phoneticPr fontId="39" type="noConversion"/>
  </si>
  <si>
    <t>-</t>
    <phoneticPr fontId="39" type="noConversion"/>
  </si>
  <si>
    <t>전용 85㎡초과</t>
    <phoneticPr fontId="39" type="noConversion"/>
  </si>
  <si>
    <t>심곡동</t>
    <phoneticPr fontId="39" type="noConversion"/>
  </si>
  <si>
    <t>심곡동 803
(부천중앙하이츠 심곡)
(원도심재생과)</t>
    <phoneticPr fontId="39" type="noConversion"/>
  </si>
  <si>
    <t>배경산업개발
(043-271-2680)</t>
    <phoneticPr fontId="39" type="noConversion"/>
  </si>
  <si>
    <t>신흥연립 가로주택정비사업 조합
(032-655-5090)</t>
    <phoneticPr fontId="39" type="noConversion"/>
  </si>
  <si>
    <t>신흥연립 가로주택
정비사업 조합
(032-655-5090)</t>
    <phoneticPr fontId="39" type="noConversion"/>
  </si>
  <si>
    <t>민간</t>
    <phoneticPr fontId="39" type="noConversion"/>
  </si>
  <si>
    <t>분양</t>
    <phoneticPr fontId="39" type="noConversion"/>
  </si>
  <si>
    <t>2024-12</t>
    <phoneticPr fontId="39" type="noConversion"/>
  </si>
  <si>
    <t>2025-10</t>
    <phoneticPr fontId="39" type="noConversion"/>
  </si>
  <si>
    <t>2027-12</t>
    <phoneticPr fontId="39" type="noConversion"/>
  </si>
  <si>
    <t>의왕월암공공주택지구</t>
    <phoneticPr fontId="39" type="noConversion"/>
  </si>
  <si>
    <t>공공</t>
    <phoneticPr fontId="39" type="noConversion"/>
  </si>
  <si>
    <t>02-2181-9400</t>
    <phoneticPr fontId="39" type="noConversion"/>
  </si>
  <si>
    <t>031-902-687</t>
    <phoneticPr fontId="39" type="noConversion"/>
  </si>
  <si>
    <t>1688-5800</t>
    <phoneticPr fontId="39" type="noConversion"/>
  </si>
  <si>
    <t>소하동</t>
    <phoneticPr fontId="39" type="noConversion"/>
  </si>
  <si>
    <t>883-18번지 일원</t>
    <phoneticPr fontId="39" type="noConversion"/>
  </si>
  <si>
    <t>신원종합개발
(02-899-8409)</t>
    <phoneticPr fontId="39" type="noConversion"/>
  </si>
  <si>
    <t>소하동2구역
가로주택정비사업조합
(02-6334-8000)</t>
    <phoneticPr fontId="39" type="noConversion"/>
  </si>
  <si>
    <t>서울지점
(02-6908-7000)</t>
    <phoneticPr fontId="39" type="noConversion"/>
  </si>
  <si>
    <t>49(49.85㎡)</t>
    <phoneticPr fontId="39" type="noConversion"/>
  </si>
  <si>
    <t>59A(59.99㎡)</t>
    <phoneticPr fontId="39" type="noConversion"/>
  </si>
  <si>
    <t>59B(59.99㎡)</t>
    <phoneticPr fontId="39" type="noConversion"/>
  </si>
  <si>
    <t>76A(76.61㎡)</t>
    <phoneticPr fontId="39" type="noConversion"/>
  </si>
  <si>
    <t>76B(76.73㎡)</t>
    <phoneticPr fontId="39" type="noConversion"/>
  </si>
  <si>
    <t>76C(76.15㎡)</t>
    <phoneticPr fontId="39" type="noConversion"/>
  </si>
  <si>
    <t>82(82.82㎡)</t>
    <phoneticPr fontId="39" type="noConversion"/>
  </si>
  <si>
    <t>893-3</t>
    <phoneticPr fontId="39" type="noConversion"/>
  </si>
  <si>
    <t>신원종합개발㈜
(02-899-8409)</t>
    <phoneticPr fontId="39" type="noConversion"/>
  </si>
  <si>
    <t>정우연립 소규모재건축정비사업 조합
(02-898-1981)</t>
    <phoneticPr fontId="39" type="noConversion"/>
  </si>
  <si>
    <t>59D</t>
    <phoneticPr fontId="39" type="noConversion"/>
  </si>
  <si>
    <t>59E</t>
    <phoneticPr fontId="39" type="noConversion"/>
  </si>
  <si>
    <t>2025-01</t>
    <phoneticPr fontId="39" type="noConversion"/>
  </si>
  <si>
    <t>2025-03</t>
    <phoneticPr fontId="39" type="noConversion"/>
  </si>
  <si>
    <t>2024-01</t>
    <phoneticPr fontId="39" type="noConversion"/>
  </si>
  <si>
    <t>2026-01</t>
    <phoneticPr fontId="39" type="noConversion"/>
  </si>
  <si>
    <t>경기도 고양시 덕양구 
오부자로15</t>
    <phoneticPr fontId="39" type="noConversion"/>
  </si>
  <si>
    <t>78A
(78.3206)</t>
    <phoneticPr fontId="39" type="noConversion"/>
  </si>
  <si>
    <t>78B
(78.0107)</t>
    <phoneticPr fontId="39" type="noConversion"/>
  </si>
  <si>
    <t>84A
(84.6003)</t>
    <phoneticPr fontId="39" type="noConversion"/>
  </si>
  <si>
    <t>84B
(84.3790)</t>
    <phoneticPr fontId="39" type="noConversion"/>
  </si>
  <si>
    <t>-</t>
    <phoneticPr fontId="39" type="noConversion"/>
  </si>
  <si>
    <t>-</t>
    <phoneticPr fontId="39" type="noConversion"/>
  </si>
  <si>
    <t>풍동</t>
    <phoneticPr fontId="39" type="noConversion"/>
  </si>
  <si>
    <t>75B</t>
    <phoneticPr fontId="39" type="noConversion"/>
  </si>
  <si>
    <t>75C</t>
    <phoneticPr fontId="39" type="noConversion"/>
  </si>
  <si>
    <t>84A</t>
    <phoneticPr fontId="39" type="noConversion"/>
  </si>
  <si>
    <t>84B</t>
    <phoneticPr fontId="39" type="noConversion"/>
  </si>
  <si>
    <t>84C</t>
    <phoneticPr fontId="39" type="noConversion"/>
  </si>
  <si>
    <t>84D</t>
    <phoneticPr fontId="39" type="noConversion"/>
  </si>
  <si>
    <t>1551-1554</t>
    <phoneticPr fontId="39" type="noConversion"/>
  </si>
  <si>
    <t>2024-11</t>
    <phoneticPr fontId="39" type="noConversion"/>
  </si>
  <si>
    <t>소 재 지</t>
    <phoneticPr fontId="39" type="noConversion"/>
  </si>
  <si>
    <t>65.9817A</t>
    <phoneticPr fontId="39" type="noConversion"/>
  </si>
  <si>
    <t>65.8984B</t>
    <phoneticPr fontId="39" type="noConversion"/>
  </si>
  <si>
    <t>75.8195A</t>
    <phoneticPr fontId="39" type="noConversion"/>
  </si>
  <si>
    <t>75.9951B</t>
    <phoneticPr fontId="39" type="noConversion"/>
  </si>
  <si>
    <t>75.9871C</t>
    <phoneticPr fontId="39" type="noConversion"/>
  </si>
  <si>
    <t>84.7914A</t>
    <phoneticPr fontId="39" type="noConversion"/>
  </si>
  <si>
    <t>84.9920B</t>
    <phoneticPr fontId="39" type="noConversion"/>
  </si>
  <si>
    <t>탄벌동</t>
    <phoneticPr fontId="39" type="noConversion"/>
  </si>
  <si>
    <t>경기도 광주시 포돌이로 118</t>
    <phoneticPr fontId="39" type="noConversion"/>
  </si>
  <si>
    <t>서희건설
(02-3416-6700)</t>
    <phoneticPr fontId="39" type="noConversion"/>
  </si>
  <si>
    <t>탄벌지역주택조합
(031-797-9994)</t>
    <phoneticPr fontId="39" type="noConversion"/>
  </si>
  <si>
    <t>031-767-6665</t>
    <phoneticPr fontId="39" type="noConversion"/>
  </si>
  <si>
    <t>탄벌4지구</t>
  </si>
  <si>
    <t>경기도 광주시 포돌이로 117</t>
    <phoneticPr fontId="39" type="noConversion"/>
  </si>
  <si>
    <t>탄벌4지구지역주택조합
(031-797-9994)</t>
    <phoneticPr fontId="39" type="noConversion"/>
  </si>
  <si>
    <t>탄벌4지구</t>
    <phoneticPr fontId="39" type="noConversion"/>
  </si>
  <si>
    <t>84.97B</t>
    <phoneticPr fontId="39" type="noConversion"/>
  </si>
  <si>
    <t>84.98A</t>
    <phoneticPr fontId="39" type="noConversion"/>
  </si>
  <si>
    <t>진사지구 A-2BL</t>
  </si>
  <si>
    <t>2026-03</t>
    <phoneticPr fontId="39" type="noConversion"/>
  </si>
  <si>
    <t>모델하우스
(031-658-8000)</t>
    <phoneticPr fontId="39" type="noConversion"/>
  </si>
  <si>
    <t>우리자산신탁㈜
(02-6202-5142)</t>
    <phoneticPr fontId="39" type="noConversion"/>
  </si>
  <si>
    <t>효성중공업(주)
(031-658-8000)</t>
    <phoneticPr fontId="39" type="noConversion"/>
  </si>
  <si>
    <t>진사리 33번지 일원</t>
    <phoneticPr fontId="39" type="noConversion"/>
  </si>
  <si>
    <t>진사지구 A-1BL</t>
    <phoneticPr fontId="39" type="noConversion"/>
  </si>
  <si>
    <t>진사리 29-13번지 일원</t>
    <phoneticPr fontId="39" type="noConversion"/>
  </si>
  <si>
    <t>죽산리 790번지 일원</t>
  </si>
  <si>
    <t>고강동</t>
    <phoneticPr fontId="39" type="noConversion"/>
  </si>
  <si>
    <t>고강동 307
(고강역 신원아침도시 퍼스티지)
(원도심재생과)</t>
    <phoneticPr fontId="39" type="noConversion"/>
  </si>
  <si>
    <t>신원종합개발㈜
(032-672-6727)</t>
    <phoneticPr fontId="39" type="noConversion"/>
  </si>
  <si>
    <t>건우아파트 가로주택정비사업 조합
032-682-4437)</t>
    <phoneticPr fontId="39" type="noConversion"/>
  </si>
  <si>
    <t>건우아파트 가로주택정비사업 조합
(032-321-3340)</t>
    <phoneticPr fontId="39" type="noConversion"/>
  </si>
  <si>
    <t>2026-08</t>
    <phoneticPr fontId="39" type="noConversion"/>
  </si>
  <si>
    <t>은현면</t>
    <phoneticPr fontId="39" type="noConversion"/>
  </si>
  <si>
    <t>용암리 784-8 일원</t>
    <phoneticPr fontId="39" type="noConversion"/>
  </si>
  <si>
    <t>㈜영무토건
062-650-9126</t>
    <phoneticPr fontId="39" type="noConversion"/>
  </si>
  <si>
    <t>조합 사무장 구성훈
031-863-0307</t>
    <phoneticPr fontId="39" type="noConversion"/>
  </si>
  <si>
    <t>용암3지구</t>
    <phoneticPr fontId="39" type="noConversion"/>
  </si>
  <si>
    <t>㈜대광건영
062-362-8430</t>
    <phoneticPr fontId="39" type="noConversion"/>
  </si>
  <si>
    <t>2025-04</t>
    <phoneticPr fontId="39" type="noConversion"/>
  </si>
  <si>
    <t>2025-05</t>
    <phoneticPr fontId="39" type="noConversion"/>
  </si>
  <si>
    <t>2021-12</t>
    <phoneticPr fontId="39" type="noConversion"/>
  </si>
  <si>
    <t>2022-02</t>
    <phoneticPr fontId="39" type="noConversion"/>
  </si>
  <si>
    <t>2023-05</t>
    <phoneticPr fontId="39" type="noConversion"/>
  </si>
  <si>
    <t>양주시</t>
    <phoneticPr fontId="39" type="noConversion"/>
  </si>
  <si>
    <t>2025-01</t>
    <phoneticPr fontId="39" type="noConversion"/>
  </si>
  <si>
    <t>2027-11.</t>
    <phoneticPr fontId="39" type="noConversion"/>
  </si>
  <si>
    <t>2025-02</t>
    <phoneticPr fontId="39" type="noConversion"/>
  </si>
  <si>
    <t>수택동</t>
    <phoneticPr fontId="39" type="noConversion"/>
  </si>
  <si>
    <t>266-2번지 일원</t>
    <phoneticPr fontId="39" type="noConversion"/>
  </si>
  <si>
    <t>㈜한양건설</t>
    <phoneticPr fontId="39" type="noConversion"/>
  </si>
  <si>
    <t xml:space="preserve">수택지역주택
조합 </t>
    <phoneticPr fontId="39" type="noConversion"/>
  </si>
  <si>
    <t xml:space="preserve">민간 </t>
    <phoneticPr fontId="39" type="noConversion"/>
  </si>
  <si>
    <t>분양</t>
    <phoneticPr fontId="39" type="noConversion"/>
  </si>
  <si>
    <t>2025-04</t>
    <phoneticPr fontId="39" type="noConversion"/>
  </si>
  <si>
    <t>2025-05</t>
    <phoneticPr fontId="39" type="noConversion"/>
  </si>
  <si>
    <t>2027-11</t>
    <phoneticPr fontId="39" type="noConversion"/>
  </si>
  <si>
    <t>84.91A</t>
    <phoneticPr fontId="39" type="noConversion"/>
  </si>
  <si>
    <t>84.98B</t>
    <phoneticPr fontId="39" type="noConversion"/>
  </si>
  <si>
    <t>84.06C</t>
    <phoneticPr fontId="39" type="noConversion"/>
  </si>
  <si>
    <t>160.36P</t>
    <phoneticPr fontId="39" type="noConversion"/>
  </si>
  <si>
    <t>준공</t>
    <phoneticPr fontId="39" type="noConversion"/>
  </si>
  <si>
    <t>-</t>
    <phoneticPr fontId="39" type="noConversion"/>
  </si>
  <si>
    <t>84a</t>
    <phoneticPr fontId="39" type="noConversion"/>
  </si>
  <si>
    <t>84b</t>
    <phoneticPr fontId="39" type="noConversion"/>
  </si>
  <si>
    <t>84c</t>
    <phoneticPr fontId="39" type="noConversion"/>
  </si>
  <si>
    <t>84.9804A</t>
    <phoneticPr fontId="39" type="noConversion"/>
  </si>
  <si>
    <t>84.9850B</t>
    <phoneticPr fontId="39" type="noConversion"/>
  </si>
  <si>
    <t>84.9901C</t>
    <phoneticPr fontId="39" type="noConversion"/>
  </si>
  <si>
    <t>99.9796A</t>
    <phoneticPr fontId="39" type="noConversion"/>
  </si>
  <si>
    <t>99.9853B</t>
    <phoneticPr fontId="39" type="noConversion"/>
  </si>
  <si>
    <t>2025-06</t>
    <phoneticPr fontId="39" type="noConversion"/>
  </si>
  <si>
    <t>2029-10</t>
    <phoneticPr fontId="39" type="noConversion"/>
  </si>
  <si>
    <t>경안2지구
A1BL</t>
    <phoneticPr fontId="39" type="noConversion"/>
  </si>
  <si>
    <t>□ 경기도  민간/분양 미 분양주택 현황 (총괄)-기재된 숫자는  분양되지 않은 주택 수를 의미함</t>
    <phoneticPr fontId="39" type="noConversion"/>
  </si>
  <si>
    <t>옥산동</t>
    <phoneticPr fontId="39" type="noConversion"/>
  </si>
  <si>
    <t>556번지</t>
    <phoneticPr fontId="39" type="noConversion"/>
  </si>
  <si>
    <t>㈜와이엠건영
(062-720-5800)</t>
    <phoneticPr fontId="39" type="noConversion"/>
  </si>
  <si>
    <t>㈜더와이
(062-385-9218)</t>
    <phoneticPr fontId="39" type="noConversion"/>
  </si>
  <si>
    <t>모델하우스
(031-671-7700)</t>
    <phoneticPr fontId="39" type="noConversion"/>
  </si>
  <si>
    <t>2028-05</t>
    <phoneticPr fontId="39" type="noConversion"/>
  </si>
  <si>
    <t>아양지구
B-3-1BL</t>
    <phoneticPr fontId="39" type="noConversion"/>
  </si>
  <si>
    <t>074.8617A</t>
  </si>
  <si>
    <t>074.9448B</t>
  </si>
  <si>
    <t>074.7280C</t>
  </si>
  <si>
    <t>084.7531A</t>
  </si>
  <si>
    <t>084.6833B</t>
  </si>
  <si>
    <t>084.9013C</t>
  </si>
  <si>
    <t>059.9584A</t>
  </si>
  <si>
    <t>059.7776B</t>
  </si>
  <si>
    <t>059.7891C</t>
  </si>
  <si>
    <t xml:space="preserve">호원동 </t>
    <phoneticPr fontId="39" type="noConversion"/>
  </si>
  <si>
    <t>281-21번지 일원
(힐스테이트 회룡역 파크뷰)</t>
    <phoneticPr fontId="39" type="noConversion"/>
  </si>
  <si>
    <t>모델하우스
(1800-7244)</t>
    <phoneticPr fontId="39" type="noConversion"/>
  </si>
  <si>
    <t>민간/
공공
임대</t>
    <phoneticPr fontId="39" type="noConversion"/>
  </si>
  <si>
    <t>2026-04</t>
    <phoneticPr fontId="39" type="noConversion"/>
  </si>
  <si>
    <t>-(단지요청에 의한 비공개)</t>
    <phoneticPr fontId="39" type="noConversion"/>
  </si>
  <si>
    <t>양주용암3지구
지역주택조합
031-862-0307</t>
    <phoneticPr fontId="39" type="noConversion"/>
  </si>
  <si>
    <t>현대건설㈜</t>
    <phoneticPr fontId="39" type="noConversion"/>
  </si>
  <si>
    <t>총분양
가구수</t>
    <phoneticPr fontId="39" type="noConversion"/>
  </si>
  <si>
    <t>미분양결과</t>
    <phoneticPr fontId="39" type="noConversion"/>
  </si>
  <si>
    <t>267-8번지 일원 
(탑석 푸르지오 파크7)</t>
    <phoneticPr fontId="39" type="noConversion"/>
  </si>
  <si>
    <t>모델하우스
(1688-0230)</t>
    <phoneticPr fontId="39" type="noConversion"/>
  </si>
  <si>
    <t>2025-08-25</t>
    <phoneticPr fontId="39" type="noConversion"/>
  </si>
  <si>
    <t>2025-09-25</t>
    <phoneticPr fontId="39" type="noConversion"/>
  </si>
  <si>
    <t>2029-03</t>
    <phoneticPr fontId="39" type="noConversion"/>
  </si>
  <si>
    <t>84G</t>
    <phoneticPr fontId="39" type="noConversion"/>
  </si>
  <si>
    <t>94A</t>
    <phoneticPr fontId="39" type="noConversion"/>
  </si>
  <si>
    <t>94B</t>
    <phoneticPr fontId="39" type="noConversion"/>
  </si>
  <si>
    <t>94C</t>
    <phoneticPr fontId="39" type="noConversion"/>
  </si>
  <si>
    <t>94D</t>
    <phoneticPr fontId="39" type="noConversion"/>
  </si>
  <si>
    <t>122A</t>
    <phoneticPr fontId="39" type="noConversion"/>
  </si>
  <si>
    <t>122B</t>
    <phoneticPr fontId="39" type="noConversion"/>
  </si>
  <si>
    <t>49A</t>
    <phoneticPr fontId="39" type="noConversion"/>
  </si>
  <si>
    <t>-단지요청에 의한 미공개</t>
  </si>
  <si>
    <t>-단지요청에 의한 미공개</t>
    <phoneticPr fontId="39" type="noConversion"/>
  </si>
  <si>
    <t>084.9371A</t>
    <phoneticPr fontId="39" type="noConversion"/>
  </si>
  <si>
    <t>084.9284B</t>
    <phoneticPr fontId="39" type="noConversion"/>
  </si>
  <si>
    <t>112.9387A</t>
    <phoneticPr fontId="39" type="noConversion"/>
  </si>
  <si>
    <t>112.8889B</t>
    <phoneticPr fontId="39" type="noConversion"/>
  </si>
  <si>
    <t>186.8963P</t>
    <phoneticPr fontId="39" type="noConversion"/>
  </si>
  <si>
    <t>담당부서 :  경기도 주택정책과 031-8008-4927</t>
    <phoneticPr fontId="39" type="noConversion"/>
  </si>
  <si>
    <t xml:space="preserve">㈜대우건설
</t>
    <phoneticPr fontId="39" type="noConversion"/>
  </si>
  <si>
    <t>에스지씨이앤씨 주식회사
(02-489-8414)</t>
    <phoneticPr fontId="39" type="noConversion"/>
  </si>
  <si>
    <t>윈앤윈종합개발㈜
(031-895-6747)</t>
    <phoneticPr fontId="39" type="noConversion"/>
  </si>
  <si>
    <t>84A
(84.9439)</t>
    <phoneticPr fontId="39" type="noConversion"/>
  </si>
  <si>
    <t>84B
(84.2465)</t>
    <phoneticPr fontId="39" type="noConversion"/>
  </si>
  <si>
    <t>84C
(84.1954)</t>
    <phoneticPr fontId="39" type="noConversion"/>
  </si>
  <si>
    <t>84D
(84.9149)</t>
    <phoneticPr fontId="39" type="noConversion"/>
  </si>
  <si>
    <t>84E
(84.9119)</t>
    <phoneticPr fontId="39" type="noConversion"/>
  </si>
  <si>
    <t>84F
(84.9873)</t>
    <phoneticPr fontId="39" type="noConversion"/>
  </si>
  <si>
    <t>오목천동 315-2 외2</t>
    <phoneticPr fontId="39" type="noConversion"/>
  </si>
  <si>
    <t>66.9500A</t>
    <phoneticPr fontId="39" type="noConversion"/>
  </si>
  <si>
    <t>66.9695B</t>
    <phoneticPr fontId="39" type="noConversion"/>
  </si>
  <si>
    <t>84.9582A</t>
    <phoneticPr fontId="39" type="noConversion"/>
  </si>
  <si>
    <t>84.7529B</t>
    <phoneticPr fontId="39" type="noConversion"/>
  </si>
  <si>
    <t>104.7405A</t>
    <phoneticPr fontId="39" type="noConversion"/>
  </si>
  <si>
    <t>104.9590B</t>
    <phoneticPr fontId="39" type="noConversion"/>
  </si>
  <si>
    <t>127.4605A</t>
    <phoneticPr fontId="39" type="noConversion"/>
  </si>
  <si>
    <t>127.7132B</t>
    <phoneticPr fontId="39" type="noConversion"/>
  </si>
  <si>
    <t>ㅡ</t>
    <phoneticPr fontId="39" type="noConversion"/>
  </si>
  <si>
    <t>진흥기업㈜</t>
    <phoneticPr fontId="39" type="noConversion"/>
  </si>
  <si>
    <t>㈜한국토지신탁</t>
    <phoneticPr fontId="39" type="noConversion"/>
  </si>
  <si>
    <t>117A</t>
    <phoneticPr fontId="39" type="noConversion"/>
  </si>
  <si>
    <t>117B</t>
    <phoneticPr fontId="39" type="noConversion"/>
  </si>
  <si>
    <t>117C</t>
    <phoneticPr fontId="39" type="noConversion"/>
  </si>
  <si>
    <t>2025-12</t>
    <phoneticPr fontId="39" type="noConversion"/>
  </si>
  <si>
    <t>2028-04</t>
    <phoneticPr fontId="39" type="noConversion"/>
  </si>
  <si>
    <t>오빈1지구</t>
    <phoneticPr fontId="39" type="noConversion"/>
  </si>
  <si>
    <t>양평읍 오빈리 140-1
(효성해링턴 플레이스 양평)</t>
    <phoneticPr fontId="39" type="noConversion"/>
  </si>
  <si>
    <t>2023-1</t>
    <phoneticPr fontId="39" type="noConversion"/>
  </si>
  <si>
    <t>ㅡ</t>
  </si>
  <si>
    <t>의왕월암 공공주택지구 
B-2블록</t>
    <phoneticPr fontId="39" type="noConversion"/>
  </si>
  <si>
    <t>경기도 용인시 처인구 양지리 713번지 일원</t>
    <phoneticPr fontId="39" type="noConversion"/>
  </si>
  <si>
    <t>에스엠스틸㈜
02-6940-9663</t>
    <phoneticPr fontId="39" type="noConversion"/>
  </si>
  <si>
    <t>㈜삼라, 
에스엠스틸㈜
02-6940-9663</t>
    <phoneticPr fontId="39" type="noConversion"/>
  </si>
  <si>
    <t>1660-0997</t>
    <phoneticPr fontId="39" type="noConversion"/>
  </si>
  <si>
    <t>2028-12</t>
    <phoneticPr fontId="39" type="noConversion"/>
  </si>
  <si>
    <t>양지지구
1bl</t>
    <phoneticPr fontId="39" type="noConversion"/>
  </si>
  <si>
    <t>시흥시 수인로 2365
(논곡동 378번지
효성 해링턴플레이스 목감역@)</t>
    <phoneticPr fontId="39" type="noConversion"/>
  </si>
  <si>
    <t>1600-3267</t>
    <phoneticPr fontId="39" type="noConversion"/>
  </si>
  <si>
    <t>2023.7.26.</t>
    <phoneticPr fontId="39" type="noConversion"/>
  </si>
  <si>
    <t>2023.9.1.</t>
    <phoneticPr fontId="39" type="noConversion"/>
  </si>
  <si>
    <t>2024.1.</t>
    <phoneticPr fontId="39" type="noConversion"/>
  </si>
  <si>
    <t>거모동</t>
    <phoneticPr fontId="39" type="noConversion"/>
  </si>
  <si>
    <t>경기도 시흥시 거모동
1175 일원 S-2BL</t>
    <phoneticPr fontId="39" type="noConversion"/>
  </si>
  <si>
    <t>대방산업개발
주식회사
(02-2181-4300)</t>
    <phoneticPr fontId="39" type="noConversion"/>
  </si>
  <si>
    <t>1688-8003</t>
    <phoneticPr fontId="39" type="noConversion"/>
  </si>
  <si>
    <t>2025.11.14.</t>
    <phoneticPr fontId="39" type="noConversion"/>
  </si>
  <si>
    <t>2025.12.17.</t>
    <phoneticPr fontId="39" type="noConversion"/>
  </si>
  <si>
    <t>2028.08.31.</t>
    <phoneticPr fontId="39" type="noConversion"/>
  </si>
  <si>
    <t>거모지구</t>
    <phoneticPr fontId="39" type="noConversion"/>
  </si>
  <si>
    <t>거모동</t>
  </si>
  <si>
    <t>경기도 시흥시 거모동
1196-1 일원 B-2BL</t>
    <phoneticPr fontId="39" type="noConversion"/>
  </si>
  <si>
    <t>2025.11.14.</t>
  </si>
  <si>
    <t>2025.12.17.</t>
  </si>
  <si>
    <t>2028.08.31.</t>
  </si>
  <si>
    <t>경기도 시흥시 거모동
1288 일원 B-6BL</t>
    <phoneticPr fontId="39" type="noConversion"/>
  </si>
  <si>
    <t>㈜모아주택산업,
㈜로제비앙건설
062-520-0101
062-362-8425</t>
    <phoneticPr fontId="39" type="noConversion"/>
  </si>
  <si>
    <t>한아건설㈜
062-606-1064</t>
    <phoneticPr fontId="39" type="noConversion"/>
  </si>
  <si>
    <t>1551-1178</t>
    <phoneticPr fontId="39" type="noConversion"/>
  </si>
  <si>
    <t>2025.11.28</t>
    <phoneticPr fontId="39" type="noConversion"/>
  </si>
  <si>
    <t>2025.12.31</t>
    <phoneticPr fontId="39" type="noConversion"/>
  </si>
  <si>
    <t>2029.01</t>
    <phoneticPr fontId="39" type="noConversion"/>
  </si>
  <si>
    <t>(비공개)</t>
    <phoneticPr fontId="39" type="noConversion"/>
  </si>
  <si>
    <t>소  계</t>
    <phoneticPr fontId="39" type="noConversion"/>
  </si>
  <si>
    <t>659번지</t>
    <phoneticPr fontId="39" type="noConversion"/>
  </si>
  <si>
    <t>㈜금성백조주택
(042-242-2002)</t>
    <phoneticPr fontId="39" type="noConversion"/>
  </si>
  <si>
    <t>모델하우스
(1899-1482)</t>
    <phoneticPr fontId="39" type="noConversion"/>
  </si>
  <si>
    <t>2025-10-29</t>
    <phoneticPr fontId="39" type="noConversion"/>
  </si>
  <si>
    <t>2028-06</t>
    <phoneticPr fontId="39" type="noConversion"/>
  </si>
  <si>
    <t>아양지구
B-2BL</t>
    <phoneticPr fontId="39" type="noConversion"/>
  </si>
  <si>
    <t>2026-09</t>
    <phoneticPr fontId="39" type="noConversion"/>
  </si>
  <si>
    <t>만안구 석수2동</t>
    <phoneticPr fontId="39" type="noConversion"/>
  </si>
  <si>
    <t>335-1번지</t>
    <phoneticPr fontId="39" type="noConversion"/>
  </si>
  <si>
    <r>
      <t>2026-0</t>
    </r>
    <r>
      <rPr>
        <sz val="14"/>
        <rFont val="맑은 고딕"/>
        <family val="3"/>
        <charset val="129"/>
      </rPr>
      <t>2</t>
    </r>
    <phoneticPr fontId="39" type="noConversion"/>
  </si>
  <si>
    <r>
      <rPr>
        <sz val="14"/>
        <color theme="1"/>
        <rFont val="맑은 고딕"/>
        <family val="3"/>
        <charset val="129"/>
      </rPr>
      <t>㈜동인위즈</t>
    </r>
    <r>
      <rPr>
        <sz val="14"/>
        <color theme="1"/>
        <rFont val="Calibri"/>
        <family val="3"/>
      </rPr>
      <t xml:space="preserve">
(031-967-1184)</t>
    </r>
    <phoneticPr fontId="39" type="noConversion"/>
  </si>
  <si>
    <r>
      <rPr>
        <sz val="14"/>
        <color theme="1"/>
        <rFont val="맑은고딕"/>
        <family val="3"/>
        <charset val="129"/>
      </rPr>
      <t>2019-0</t>
    </r>
    <r>
      <rPr>
        <sz val="14"/>
        <color theme="1"/>
        <rFont val="굴림"/>
        <family val="3"/>
        <charset val="129"/>
      </rPr>
      <t>7</t>
    </r>
    <phoneticPr fontId="39" type="noConversion"/>
  </si>
  <si>
    <t>2019-07</t>
    <phoneticPr fontId="39" type="noConversion"/>
  </si>
  <si>
    <t>2028-10</t>
    <phoneticPr fontId="39" type="noConversion"/>
  </si>
  <si>
    <t>2025-6</t>
    <phoneticPr fontId="39" type="noConversion"/>
  </si>
  <si>
    <t>2028-02</t>
    <phoneticPr fontId="39" type="noConversion"/>
  </si>
  <si>
    <t>2024-9</t>
    <phoneticPr fontId="39" type="noConversion"/>
  </si>
  <si>
    <t>2028-5</t>
    <phoneticPr fontId="39" type="noConversion"/>
  </si>
  <si>
    <t>2026-7</t>
    <phoneticPr fontId="39" type="noConversion"/>
  </si>
  <si>
    <t>송산그린시티</t>
    <phoneticPr fontId="39" type="noConversion"/>
  </si>
  <si>
    <t>99B</t>
    <phoneticPr fontId="39" type="noConversion"/>
  </si>
  <si>
    <t>126P</t>
    <phoneticPr fontId="39" type="noConversion"/>
  </si>
  <si>
    <t>127P</t>
    <phoneticPr fontId="39" type="noConversion"/>
  </si>
  <si>
    <r>
      <t>202</t>
    </r>
    <r>
      <rPr>
        <sz val="14"/>
        <rFont val="맑은 고딕"/>
        <family val="3"/>
        <charset val="129"/>
      </rPr>
      <t>3</t>
    </r>
    <r>
      <rPr>
        <sz val="14"/>
        <rFont val="맑은고딕"/>
        <family val="3"/>
        <charset val="129"/>
      </rPr>
      <t>-08</t>
    </r>
    <phoneticPr fontId="39" type="noConversion"/>
  </si>
  <si>
    <t>2026-3</t>
    <phoneticPr fontId="39" type="noConversion"/>
  </si>
  <si>
    <t>2024-12</t>
  </si>
  <si>
    <t>2025-01</t>
  </si>
  <si>
    <t>2027-12</t>
  </si>
  <si>
    <t>2028-4</t>
  </si>
  <si>
    <t>24.12.06</t>
  </si>
  <si>
    <t>2025-09</t>
  </si>
  <si>
    <r>
      <t>원미</t>
    </r>
    <r>
      <rPr>
        <sz val="14"/>
        <color theme="1"/>
        <rFont val="굴림"/>
        <family val="3"/>
        <charset val="129"/>
      </rPr>
      <t>동</t>
    </r>
    <r>
      <rPr>
        <sz val="14"/>
        <color theme="1"/>
        <rFont val="맑은고딕"/>
        <family val="3"/>
        <charset val="129"/>
      </rPr>
      <t xml:space="preserve"> 119-2
(부천원미동문디이스트)
(주거정비과)</t>
    </r>
    <phoneticPr fontId="39" type="noConversion"/>
  </si>
  <si>
    <t>2027. 2.</t>
  </si>
  <si>
    <r>
      <t>2024</t>
    </r>
    <r>
      <rPr>
        <sz val="14"/>
        <rFont val="맑은 고딕"/>
        <family val="3"/>
        <charset val="129"/>
      </rPr>
      <t>-</t>
    </r>
    <r>
      <rPr>
        <sz val="14"/>
        <rFont val="맑은고딕"/>
        <family val="3"/>
        <charset val="129"/>
      </rPr>
      <t>12</t>
    </r>
    <phoneticPr fontId="39" type="noConversion"/>
  </si>
  <si>
    <r>
      <t>2027</t>
    </r>
    <r>
      <rPr>
        <sz val="14"/>
        <rFont val="맑은 고딕"/>
        <family val="3"/>
        <charset val="129"/>
      </rPr>
      <t>-</t>
    </r>
    <r>
      <rPr>
        <sz val="14"/>
        <rFont val="맑은고딕"/>
        <family val="3"/>
        <charset val="129"/>
      </rPr>
      <t>2</t>
    </r>
    <phoneticPr fontId="39" type="noConversion"/>
  </si>
  <si>
    <r>
      <t>2024</t>
    </r>
    <r>
      <rPr>
        <sz val="14"/>
        <rFont val="맑은 고딕"/>
        <family val="3"/>
        <charset val="129"/>
      </rPr>
      <t>-</t>
    </r>
    <r>
      <rPr>
        <sz val="14"/>
        <rFont val="맑은고딕"/>
        <family val="3"/>
        <charset val="129"/>
      </rPr>
      <t>6</t>
    </r>
    <phoneticPr fontId="39" type="noConversion"/>
  </si>
  <si>
    <r>
      <t>2024</t>
    </r>
    <r>
      <rPr>
        <sz val="14"/>
        <rFont val="맑은 고딕"/>
        <family val="3"/>
        <charset val="129"/>
      </rPr>
      <t>-</t>
    </r>
    <r>
      <rPr>
        <sz val="14"/>
        <rFont val="맑은고딕"/>
        <family val="3"/>
        <charset val="129"/>
      </rPr>
      <t>7</t>
    </r>
    <phoneticPr fontId="39" type="noConversion"/>
  </si>
  <si>
    <r>
      <t>2028</t>
    </r>
    <r>
      <rPr>
        <sz val="14"/>
        <rFont val="맑은 고딕"/>
        <family val="3"/>
        <charset val="129"/>
      </rPr>
      <t>-</t>
    </r>
    <r>
      <rPr>
        <sz val="14"/>
        <rFont val="맑은고딕"/>
        <family val="3"/>
        <charset val="129"/>
      </rPr>
      <t>7</t>
    </r>
    <phoneticPr fontId="39" type="noConversion"/>
  </si>
  <si>
    <r>
      <t>2024-</t>
    </r>
    <r>
      <rPr>
        <sz val="14"/>
        <color theme="1"/>
        <rFont val="맑은 고딕"/>
        <family val="3"/>
        <charset val="129"/>
      </rPr>
      <t>09</t>
    </r>
    <phoneticPr fontId="39" type="noConversion"/>
  </si>
  <si>
    <r>
      <t>미</t>
    </r>
    <r>
      <rPr>
        <sz val="14"/>
        <rFont val="굴림"/>
        <family val="3"/>
        <charset val="129"/>
      </rPr>
      <t>준</t>
    </r>
    <r>
      <rPr>
        <sz val="14"/>
        <rFont val="맑은고딕"/>
        <family val="3"/>
        <charset val="129"/>
      </rPr>
      <t>공</t>
    </r>
    <phoneticPr fontId="39" type="noConversion"/>
  </si>
  <si>
    <t>29-4
(명남더블레스)</t>
    <phoneticPr fontId="39" type="noConversion"/>
  </si>
  <si>
    <t>명남종합건설㈜</t>
    <phoneticPr fontId="39" type="noConversion"/>
  </si>
  <si>
    <t>명남더블레스</t>
    <phoneticPr fontId="39" type="noConversion"/>
  </si>
  <si>
    <t>코리아신탁㈜
(031-821-7771)</t>
    <phoneticPr fontId="39" type="noConversion"/>
  </si>
  <si>
    <t>의정부동</t>
  </si>
  <si>
    <t>94-8
(의정부역 다채로움)</t>
    <phoneticPr fontId="39" type="noConversion"/>
  </si>
  <si>
    <t>㈜부성종합건설</t>
    <phoneticPr fontId="39" type="noConversion"/>
  </si>
  <si>
    <t>부성건설</t>
    <phoneticPr fontId="39" type="noConversion"/>
  </si>
  <si>
    <t>교보자산신탁㈜</t>
    <phoneticPr fontId="39" type="noConversion"/>
  </si>
  <si>
    <t>84.3216A</t>
    <phoneticPr fontId="39" type="noConversion"/>
  </si>
  <si>
    <t>2024-11-29</t>
    <phoneticPr fontId="39" type="noConversion"/>
  </si>
  <si>
    <t>84.3216B</t>
    <phoneticPr fontId="39" type="noConversion"/>
  </si>
  <si>
    <t>100-1
(해링턴플레이스 의정부역)</t>
    <phoneticPr fontId="39" type="noConversion"/>
  </si>
  <si>
    <t>㈜하나자산신탁</t>
    <phoneticPr fontId="39" type="noConversion"/>
  </si>
  <si>
    <t>㈜하나자산신탁
(031-873-8979)</t>
    <phoneticPr fontId="39" type="noConversion"/>
  </si>
  <si>
    <t>84.5611A</t>
    <phoneticPr fontId="39" type="noConversion"/>
  </si>
  <si>
    <t>84.8589B</t>
    <phoneticPr fontId="39" type="noConversion"/>
  </si>
  <si>
    <t>84.9517C</t>
    <phoneticPr fontId="39" type="noConversion"/>
  </si>
  <si>
    <t>2024-07-08</t>
    <phoneticPr fontId="39" type="noConversion"/>
  </si>
  <si>
    <t>2024-08-01</t>
    <phoneticPr fontId="39" type="noConversion"/>
  </si>
  <si>
    <r>
      <t xml:space="preserve">준공
</t>
    </r>
    <r>
      <rPr>
        <sz val="14"/>
        <rFont val="맑은 고딕"/>
        <family val="3"/>
        <charset val="129"/>
      </rPr>
      <t>(부분
준공)</t>
    </r>
    <phoneticPr fontId="39" type="noConversion"/>
  </si>
  <si>
    <t xml:space="preserve"> 경기도 안양시 만안구 안양동 398-32번지 일원</t>
    <phoneticPr fontId="39" type="noConversion"/>
  </si>
  <si>
    <t>지에스건설㈜
(1644-2654)</t>
    <phoneticPr fontId="39" type="noConversion"/>
  </si>
  <si>
    <t>상록지구주택재개발정비사업조합
(031-442-7818)</t>
    <phoneticPr fontId="39" type="noConversion"/>
  </si>
  <si>
    <t>49.9890A</t>
    <phoneticPr fontId="39" type="noConversion"/>
  </si>
  <si>
    <t>2029-09</t>
    <phoneticPr fontId="39" type="noConversion"/>
  </si>
  <si>
    <t>상록지구</t>
    <phoneticPr fontId="39" type="noConversion"/>
  </si>
  <si>
    <t>49.9890B</t>
    <phoneticPr fontId="39" type="noConversion"/>
  </si>
  <si>
    <t>49.9890C</t>
    <phoneticPr fontId="39" type="noConversion"/>
  </si>
  <si>
    <t>59.9949A</t>
    <phoneticPr fontId="39" type="noConversion"/>
  </si>
  <si>
    <t>59.9899B</t>
    <phoneticPr fontId="39" type="noConversion"/>
  </si>
  <si>
    <t>59.9905C</t>
    <phoneticPr fontId="39" type="noConversion"/>
  </si>
  <si>
    <t>59.9948D</t>
    <phoneticPr fontId="39" type="noConversion"/>
  </si>
  <si>
    <t>76.9842B</t>
    <phoneticPr fontId="39" type="noConversion"/>
  </si>
  <si>
    <t>84.9902A</t>
    <phoneticPr fontId="39" type="noConversion"/>
  </si>
  <si>
    <t>84.9914B</t>
    <phoneticPr fontId="39" type="noConversion"/>
  </si>
  <si>
    <t>만안구
안양동</t>
    <phoneticPr fontId="39" type="noConversion"/>
  </si>
  <si>
    <t>경기도 안양시 만안구
안양동 841-5 일원
안양역 센트럴 아이파크 수자인</t>
    <phoneticPr fontId="39" type="noConversion"/>
  </si>
  <si>
    <t>02-2008–9114</t>
    <phoneticPr fontId="39" type="noConversion"/>
  </si>
  <si>
    <t>031-465-3063</t>
    <phoneticPr fontId="39" type="noConversion"/>
  </si>
  <si>
    <t>1844-2066</t>
    <phoneticPr fontId="39" type="noConversion"/>
  </si>
  <si>
    <t>안양역세권지구</t>
    <phoneticPr fontId="39" type="noConversion"/>
  </si>
  <si>
    <t>동안구비산3동</t>
    <phoneticPr fontId="39" type="noConversion"/>
  </si>
  <si>
    <t>원미동</t>
  </si>
  <si>
    <t>원미동 150-1
(부천역 에피트 어바닉)
(원도심재생과)</t>
  </si>
  <si>
    <t>에이치엘디앤아이한라㈜
(02-3434-5114)</t>
  </si>
  <si>
    <t>장미연립 가로주택정비사업 조합
(032-662-8105)</t>
  </si>
  <si>
    <t>분양홍보관
(032-611-0105)</t>
  </si>
  <si>
    <t>64A</t>
  </si>
  <si>
    <t>64B</t>
  </si>
  <si>
    <t>소  계</t>
  </si>
  <si>
    <t>괴안동</t>
    <phoneticPr fontId="39" type="noConversion"/>
  </si>
  <si>
    <t>괴안동 201
(쌍용 더 플래티넘 온수역)
(주거정비과)</t>
    <phoneticPr fontId="39" type="noConversion"/>
  </si>
  <si>
    <t>쌍용건설㈜
(02-3433-7114)</t>
    <phoneticPr fontId="39" type="noConversion"/>
  </si>
  <si>
    <t>괴안3D구역 재개발정비사업조합
(032-342-5156)</t>
    <phoneticPr fontId="39" type="noConversion"/>
  </si>
  <si>
    <t>분양사무실
(02-2613-3332)</t>
    <phoneticPr fontId="39" type="noConversion"/>
  </si>
  <si>
    <r>
      <t>여주</t>
    </r>
    <r>
      <rPr>
        <sz val="14"/>
        <color theme="1"/>
        <rFont val="굴림"/>
        <family val="3"/>
        <charset val="129"/>
      </rPr>
      <t>시</t>
    </r>
    <phoneticPr fontId="39" type="noConversion"/>
  </si>
  <si>
    <t>95A</t>
  </si>
  <si>
    <t>95B</t>
  </si>
  <si>
    <t>옥정지구 중상1 · 복합1 BL
(옥정동 962-8,-9)</t>
    <phoneticPr fontId="39" type="noConversion"/>
  </si>
  <si>
    <t>㈜대방건설
(02-2181-9400)</t>
    <phoneticPr fontId="39" type="noConversion"/>
  </si>
  <si>
    <r>
      <t xml:space="preserve">옥정중앙역 디에트르 
모델하우스
</t>
    </r>
    <r>
      <rPr>
        <sz val="11"/>
        <color rgb="FF000000"/>
        <rFont val="돋움"/>
        <family val="3"/>
        <charset val="129"/>
      </rPr>
      <t>(1688-7002)</t>
    </r>
    <phoneticPr fontId="39" type="noConversion"/>
  </si>
  <si>
    <t>2026.04.08</t>
    <phoneticPr fontId="39" type="noConversion"/>
  </si>
  <si>
    <t>2026.05.14.</t>
    <phoneticPr fontId="39" type="noConversion"/>
  </si>
  <si>
    <t>2030.06.</t>
    <phoneticPr fontId="39" type="noConversion"/>
  </si>
  <si>
    <t>옥정지구</t>
    <phoneticPr fontId="39" type="noConversion"/>
  </si>
  <si>
    <t>경기도 시흥시 거모동
1171 일원 B-1BL</t>
    <phoneticPr fontId="39" type="noConversion"/>
  </si>
  <si>
    <t>㈜호반건설, 
진아건설㈜
(070-4760-6375)</t>
    <phoneticPr fontId="39" type="noConversion"/>
  </si>
  <si>
    <t>㈜호반건설
(070-4760-6375)</t>
    <phoneticPr fontId="39" type="noConversion"/>
  </si>
  <si>
    <t>1670-1737</t>
    <phoneticPr fontId="39" type="noConversion"/>
  </si>
  <si>
    <t>2026.03.12.</t>
    <phoneticPr fontId="39" type="noConversion"/>
  </si>
  <si>
    <t>2026.04.15.</t>
    <phoneticPr fontId="39" type="noConversion"/>
  </si>
  <si>
    <t>2028.11.30.</t>
    <phoneticPr fontId="39" type="noConversion"/>
  </si>
  <si>
    <t>평동 135-1 일원</t>
  </si>
  <si>
    <t>동아건설산업㈜
(031-227-7207)</t>
    <phoneticPr fontId="39" type="noConversion"/>
  </si>
  <si>
    <t>수원역 아너스빌 타임원 견본주택
(1544-6236)</t>
    <phoneticPr fontId="39" type="noConversion"/>
  </si>
  <si>
    <t>84A
(84.6388)</t>
    <phoneticPr fontId="39" type="noConversion"/>
  </si>
  <si>
    <t>2026. 5. 21.</t>
    <phoneticPr fontId="39" type="noConversion"/>
  </si>
  <si>
    <t>(정당)
2026. 06. 24.
(예당)
2026. 06. 27.</t>
    <phoneticPr fontId="39" type="noConversion"/>
  </si>
  <si>
    <t>2028. 10.</t>
    <phoneticPr fontId="39" type="noConversion"/>
  </si>
  <si>
    <t>평동지구</t>
    <phoneticPr fontId="39" type="noConversion"/>
  </si>
  <si>
    <t>84B
(84.8874)</t>
    <phoneticPr fontId="39" type="noConversion"/>
  </si>
  <si>
    <t>에스엠하이플러스㈜
(02-6940-9635)
㈜아주엠앤씨
(02-767-1502)</t>
    <phoneticPr fontId="39" type="noConversion"/>
  </si>
  <si>
    <t>처인구 고림동 646-2번지 일원</t>
    <phoneticPr fontId="39" type="noConversion"/>
  </si>
  <si>
    <t>고림지구</t>
    <phoneticPr fontId="39" type="noConversion"/>
  </si>
  <si>
    <t>110A</t>
    <phoneticPr fontId="39" type="noConversion"/>
  </si>
  <si>
    <t>㈜화인뷰
㈜디케이랜드
031-338-2340</t>
    <phoneticPr fontId="39" type="noConversion"/>
  </si>
  <si>
    <t>1551-3300</t>
    <phoneticPr fontId="39" type="noConversion"/>
  </si>
  <si>
    <r>
      <t>2025</t>
    </r>
    <r>
      <rPr>
        <sz val="14"/>
        <rFont val="맑은 고딕"/>
        <family val="3"/>
        <charset val="129"/>
      </rPr>
      <t>-08</t>
    </r>
    <phoneticPr fontId="39" type="noConversion"/>
  </si>
  <si>
    <t>2028-07</t>
    <phoneticPr fontId="39" type="noConversion"/>
  </si>
  <si>
    <t>2025-09</t>
    <phoneticPr fontId="39" type="noConversion"/>
  </si>
  <si>
    <t>처인구 양지읍 양지리 산105-8번지</t>
    <phoneticPr fontId="39" type="noConversion"/>
  </si>
  <si>
    <t>양지지구 2BL
(지역주택조합)</t>
    <phoneticPr fontId="39" type="noConversion"/>
  </si>
  <si>
    <t>2026-05</t>
    <phoneticPr fontId="39" type="noConversion"/>
  </si>
  <si>
    <t>2030-09</t>
    <phoneticPr fontId="39" type="noConversion"/>
  </si>
  <si>
    <t>괴안동 106-1
(엘리프 역곡)
(원도심재생과)</t>
    <phoneticPr fontId="39" type="noConversion"/>
  </si>
  <si>
    <t>대현청실외2 가로주택정비사업 조합
(032-349-9697)</t>
    <phoneticPr fontId="39" type="noConversion"/>
  </si>
  <si>
    <t>&lt;추가&gt;
무순위 청약
('26. 6. 29. ~ 7. 1.)</t>
    <phoneticPr fontId="39" type="noConversion"/>
  </si>
  <si>
    <t>소사동</t>
    <phoneticPr fontId="39" type="noConversion"/>
  </si>
  <si>
    <t>소사동 48-21
(e편한세상 부천 어반스퀘어)
(주거정비과)</t>
    <phoneticPr fontId="39" type="noConversion"/>
  </si>
  <si>
    <t>디엘이앤씨(주)
(02-6299-5881)</t>
    <phoneticPr fontId="39" type="noConversion"/>
  </si>
  <si>
    <t>소사3구역 재개발정비사업조합
(032-344-5834)</t>
    <phoneticPr fontId="39" type="noConversion"/>
  </si>
  <si>
    <t>분양사무실
(032-323-1649)</t>
    <phoneticPr fontId="39" type="noConversion"/>
  </si>
  <si>
    <t>의정부동 253-19번지 일원
(의정부역센트럴아이파크)</t>
    <phoneticPr fontId="39" type="noConversion"/>
  </si>
  <si>
    <t>아이파크현대산업
개발주식회사
(1566-0431)</t>
    <phoneticPr fontId="39" type="noConversion"/>
  </si>
  <si>
    <t>분양상담
(010-6261-8045)</t>
    <phoneticPr fontId="39" type="noConversion"/>
  </si>
  <si>
    <t>2026-04-07</t>
    <phoneticPr fontId="39" type="noConversion"/>
  </si>
  <si>
    <t>2026-04-29</t>
    <phoneticPr fontId="39" type="noConversion"/>
  </si>
  <si>
    <t>2029-12</t>
    <phoneticPr fontId="39" type="noConversion"/>
  </si>
  <si>
    <t>양벌동</t>
    <phoneticPr fontId="39" type="noConversion"/>
  </si>
  <si>
    <t>산54-3번지 일원</t>
    <phoneticPr fontId="39" type="noConversion"/>
  </si>
  <si>
    <t>롯데건설㈜
(02-3480-9114)</t>
    <phoneticPr fontId="39" type="noConversion"/>
  </si>
  <si>
    <t>신한자산신탁㈜
(031-767-8440)</t>
    <phoneticPr fontId="39" type="noConversion"/>
  </si>
  <si>
    <t>1899-2340</t>
    <phoneticPr fontId="39" type="noConversion"/>
  </si>
  <si>
    <t>쌍령공원
공동주택
1단지</t>
    <phoneticPr fontId="39" type="noConversion"/>
  </si>
  <si>
    <r>
      <t>2026</t>
    </r>
    <r>
      <rPr>
        <sz val="14"/>
        <rFont val="맑은 고딕"/>
        <family val="3"/>
        <charset val="129"/>
      </rPr>
      <t>-12</t>
    </r>
    <phoneticPr fontId="39" type="noConversion"/>
  </si>
  <si>
    <t>민간 분양 주택('26. 07월 31일 기준)</t>
    <phoneticPr fontId="39" type="noConversion"/>
  </si>
  <si>
    <t>124P</t>
    <phoneticPr fontId="39" type="noConversion"/>
  </si>
  <si>
    <t>125P</t>
    <phoneticPr fontId="39" type="noConversion"/>
  </si>
  <si>
    <t>대야동</t>
    <phoneticPr fontId="39" type="noConversion"/>
  </si>
  <si>
    <t>경기도 시흥시 대야동
140-5</t>
    <phoneticPr fontId="39" type="noConversion"/>
  </si>
  <si>
    <t>현대엔지니어링
(02-2134-1114)</t>
    <phoneticPr fontId="39" type="noConversion"/>
  </si>
  <si>
    <t xml:space="preserve"> ㈜베가
(032-667-4545)</t>
    <phoneticPr fontId="39" type="noConversion"/>
  </si>
  <si>
    <t>1866-0430</t>
    <phoneticPr fontId="39" type="noConversion"/>
  </si>
  <si>
    <t>2026.05.15.</t>
    <phoneticPr fontId="39" type="noConversion"/>
  </si>
  <si>
    <t>2026.06.24</t>
    <phoneticPr fontId="39" type="noConversion"/>
  </si>
  <si>
    <t>2029.03</t>
    <phoneticPr fontId="39" type="noConversion"/>
  </si>
  <si>
    <t>대야1지구</t>
    <phoneticPr fontId="39" type="noConversion"/>
  </si>
  <si>
    <t>처인구 고림동 620번지 일원</t>
    <phoneticPr fontId="39" type="noConversion"/>
  </si>
  <si>
    <t>사업주체의 비공개 요청</t>
    <phoneticPr fontId="39" type="noConversion"/>
  </si>
  <si>
    <t>2026.04.09.</t>
    <phoneticPr fontId="39" type="noConversion"/>
  </si>
  <si>
    <t>2026.05.13.</t>
    <phoneticPr fontId="39" type="noConversion"/>
  </si>
  <si>
    <t>2028.10.</t>
    <phoneticPr fontId="39" type="noConversion"/>
  </si>
  <si>
    <t>고림2지구 ABL</t>
    <phoneticPr fontId="39" type="noConversion"/>
  </si>
  <si>
    <t>처인구</t>
  </si>
  <si>
    <t>민간 분양 주택('26. 08월 31일 기준)</t>
    <phoneticPr fontId="39" type="noConversion"/>
  </si>
  <si>
    <t xml:space="preserve"> □ 경기도 민간부문 미분양 현황 ('26.08.31. 기준)-기재된 숫자는 분양되지  않은 주택 수를 의미함</t>
    <phoneticPr fontId="39" type="noConversion"/>
  </si>
  <si>
    <t>전월
('26.07/31)</t>
    <phoneticPr fontId="39" type="noConversion"/>
  </si>
  <si>
    <t>당해월
('26.08/31)</t>
    <phoneticPr fontId="39" type="noConversion"/>
  </si>
  <si>
    <t>-</t>
    <phoneticPr fontId="119" type="noConversion"/>
  </si>
  <si>
    <t>역북동</t>
    <phoneticPr fontId="39" type="noConversion"/>
  </si>
  <si>
    <t>처인구 역북동 89-25번지 일원</t>
    <phoneticPr fontId="39" type="noConversion"/>
  </si>
  <si>
    <t>㈜서희건설
02)3416-6700</t>
    <phoneticPr fontId="39" type="noConversion"/>
  </si>
  <si>
    <t>역북지역주택조합,
㈜서희건설</t>
    <phoneticPr fontId="39" type="noConversion"/>
  </si>
  <si>
    <t xml:space="preserve">031-335-1254 </t>
    <phoneticPr fontId="39" type="noConversion"/>
  </si>
  <si>
    <t>2026.07.16.</t>
    <phoneticPr fontId="39" type="noConversion"/>
  </si>
  <si>
    <t>2026.08.20.</t>
    <phoneticPr fontId="39" type="noConversion"/>
  </si>
  <si>
    <t>2027.03.</t>
    <phoneticPr fontId="39" type="noConversion"/>
  </si>
  <si>
    <t>역북2지구
(지역주택조합)</t>
    <phoneticPr fontId="39" type="noConversion"/>
  </si>
  <si>
    <t>166p</t>
    <phoneticPr fontId="39" type="noConversion"/>
  </si>
  <si>
    <t>진접읍</t>
    <phoneticPr fontId="39" type="noConversion"/>
  </si>
  <si>
    <t>진접2 공공주택지구 S-1BL</t>
    <phoneticPr fontId="39" type="noConversion"/>
  </si>
  <si>
    <t>㈜서한
(053-741-9980)</t>
    <phoneticPr fontId="39" type="noConversion"/>
  </si>
  <si>
    <t>031-568-8900</t>
    <phoneticPr fontId="39" type="noConversion"/>
  </si>
  <si>
    <t>72</t>
    <phoneticPr fontId="39" type="noConversion"/>
  </si>
  <si>
    <t>2026-07</t>
    <phoneticPr fontId="39" type="noConversion"/>
  </si>
  <si>
    <t>진접2 S-2BL</t>
    <phoneticPr fontId="39" type="noConversion"/>
  </si>
  <si>
    <t>95A</t>
    <phoneticPr fontId="39" type="noConversion"/>
  </si>
  <si>
    <t>95B</t>
    <phoneticPr fontId="3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</si>
</sst>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8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 * #,##0_ ;_ * \-#,##0_ ;_ * &quot;-&quot;_ ;_ @_ "/>
    <numFmt numFmtId="177" formatCode="#,##0_ "/>
    <numFmt numFmtId="178" formatCode="#,##0_);[Red]\(#,##0\)"/>
    <numFmt numFmtId="179" formatCode="_ * #,##0.00_ ;_ * \-#,##0.00_ ;_ * &quot;-&quot;??_ ;_ @_ "/>
    <numFmt numFmtId="180" formatCode="#,##0;&quot;₩&quot;&quot;₩&quot;&quot;₩&quot;&quot;₩&quot;\(#,##0&quot;₩&quot;&quot;₩&quot;&quot;₩&quot;&quot;₩&quot;\)"/>
    <numFmt numFmtId="181" formatCode="_(&quot;$&quot;* #,##0.00_);_(&quot;$&quot;* \(#,##0.00\);_(&quot;$&quot;* &quot;-&quot;??_);_(@_)"/>
    <numFmt numFmtId="182" formatCode="&quot;₩&quot;&quot;₩&quot;&quot;₩&quot;&quot;₩&quot;\$#,##0.00;&quot;₩&quot;&quot;₩&quot;&quot;₩&quot;&quot;₩&quot;\(&quot;₩&quot;&quot;₩&quot;&quot;₩&quot;&quot;₩&quot;\$#,##0.00&quot;₩&quot;&quot;₩&quot;&quot;₩&quot;&quot;₩&quot;\)"/>
    <numFmt numFmtId="183" formatCode="&quot;₩&quot;&quot;₩&quot;&quot;₩&quot;&quot;₩&quot;\$#,##0;&quot;₩&quot;&quot;₩&quot;&quot;₩&quot;&quot;₩&quot;\(&quot;₩&quot;&quot;₩&quot;&quot;₩&quot;&quot;₩&quot;\$#,##0&quot;₩&quot;&quot;₩&quot;&quot;₩&quot;&quot;₩&quot;\)"/>
    <numFmt numFmtId="184" formatCode="&quot;₩&quot;#,##0.00;&quot;₩&quot;\-#,##0.00"/>
    <numFmt numFmtId="185" formatCode="#,##0.00_ "/>
    <numFmt numFmtId="186" formatCode="#,##0;&quot;-&quot;#,##0"/>
    <numFmt numFmtId="187" formatCode="&quot;R$&quot;#,##0.00;&quot;R$&quot;\-#,##0.00"/>
    <numFmt numFmtId="188" formatCode="yyyy&quot;年&quot;&quot;₩&quot;&quot;₩&quot;&quot;₩&quot;&quot;₩&quot;\ mm&quot;月&quot;&quot;₩&quot;&quot;₩&quot;&quot;₩&quot;&quot;₩&quot;\ dd&quot;日&quot;"/>
    <numFmt numFmtId="189" formatCode="#,##0.0000000;[Red]&quot;-&quot;#,##0.0000000"/>
    <numFmt numFmtId="190" formatCode="#,##0.000000000;[Red]&quot;-&quot;#,##0.000000000"/>
    <numFmt numFmtId="191" formatCode="#,##0.00_);[Red]\(#,##0.00\)"/>
    <numFmt numFmtId="192" formatCode="yyyy/mm"/>
    <numFmt numFmtId="193" formatCode="#,##0.0000_);[Red]\(#,##0.0000\)"/>
    <numFmt numFmtId="194" formatCode="0.0000_ "/>
    <numFmt numFmtId="195" formatCode="_-* #,##0.0000_-;\-* #,##0.0000_-;_-* &quot;-&quot;_-;_-@_-"/>
    <numFmt numFmtId="196" formatCode="#,##0.0_);[Red]\(#,##0.0\)"/>
    <numFmt numFmtId="197" formatCode="0.0000;[Red]0.0000"/>
    <numFmt numFmtId="198" formatCode="0_ "/>
    <numFmt numFmtId="199" formatCode="0.0000"/>
  </numFmts>
  <fonts count="165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돋움"/>
      <family val="3"/>
      <charset val="129"/>
    </font>
    <font>
      <sz val="12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10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sz val="20"/>
      <color rgb="FF000000"/>
      <name val="HY견고딕"/>
      <family val="1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돋움"/>
      <family val="3"/>
      <charset val="129"/>
    </font>
    <font>
      <sz val="11"/>
      <name val="돋움"/>
      <family val="3"/>
      <charset val="129"/>
    </font>
    <font>
      <b/>
      <sz val="1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굴림"/>
      <family val="3"/>
      <charset val="129"/>
    </font>
    <font>
      <sz val="12"/>
      <color indexed="8"/>
      <name val="돋움"/>
      <family val="3"/>
      <charset val="129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2"/>
      <name val="Times New Roman"/>
      <family val="1"/>
    </font>
    <font>
      <sz val="14"/>
      <name val="뼻뮝"/>
      <family val="3"/>
      <charset val="129"/>
    </font>
    <font>
      <sz val="12"/>
      <name val="뼻뮝"/>
      <family val="3"/>
      <charset val="129"/>
    </font>
    <font>
      <sz val="12"/>
      <color indexed="24"/>
      <name val="바탕체"/>
      <family val="1"/>
      <charset val="129"/>
    </font>
    <font>
      <sz val="12"/>
      <name val="ⓒoUAAA¨u"/>
      <family val="1"/>
      <charset val="129"/>
    </font>
    <font>
      <sz val="11"/>
      <name val="￥i￠￢￠?o"/>
      <family val="3"/>
      <charset val="129"/>
    </font>
    <font>
      <sz val="12"/>
      <name val="¹UAAA¼"/>
      <family val="3"/>
      <charset val="129"/>
    </font>
    <font>
      <sz val="10"/>
      <name val="±¼¸²A¼"/>
      <family val="3"/>
      <charset val="129"/>
    </font>
    <font>
      <sz val="12"/>
      <name val="System"/>
      <family val="2"/>
      <charset val="129"/>
    </font>
    <font>
      <sz val="10"/>
      <name val="MS Sans Serif"/>
      <family val="2"/>
    </font>
    <font>
      <sz val="10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8"/>
      <name val="Arial"/>
      <family val="2"/>
    </font>
    <font>
      <b/>
      <sz val="11"/>
      <name val="Helv"/>
      <family val="2"/>
    </font>
    <font>
      <sz val="10"/>
      <color indexed="64"/>
      <name val="Arial"/>
      <family val="2"/>
    </font>
    <font>
      <sz val="1"/>
      <color indexed="8"/>
      <name val="Courier"/>
      <family val="3"/>
    </font>
    <font>
      <i/>
      <sz val="1"/>
      <color indexed="8"/>
      <name val="Courier"/>
      <family val="3"/>
    </font>
    <font>
      <b/>
      <sz val="12"/>
      <name val="돋움"/>
      <family val="3"/>
      <charset val="129"/>
    </font>
    <font>
      <b/>
      <sz val="14"/>
      <name val="돋움"/>
      <family val="3"/>
      <charset val="129"/>
    </font>
    <font>
      <sz val="10"/>
      <color theme="1"/>
      <name val="맑은 고딕"/>
      <family val="2"/>
      <charset val="129"/>
    </font>
    <font>
      <sz val="12"/>
      <name val="굴림"/>
      <family val="3"/>
      <charset val="129"/>
    </font>
    <font>
      <sz val="11"/>
      <name val="굴림체"/>
      <family val="3"/>
      <charset val="129"/>
    </font>
    <font>
      <sz val="11"/>
      <name val="바탕체"/>
      <family val="1"/>
      <charset val="129"/>
    </font>
    <font>
      <u/>
      <sz val="11"/>
      <color indexed="36"/>
      <name val="돋움"/>
      <family val="3"/>
      <charset val="129"/>
    </font>
    <font>
      <sz val="10"/>
      <name val="바탕"/>
      <family val="1"/>
      <charset val="129"/>
    </font>
    <font>
      <sz val="12"/>
      <color indexed="24"/>
      <name val="Helv"/>
      <family val="2"/>
    </font>
    <font>
      <sz val="10"/>
      <name val="돋움체"/>
      <family val="3"/>
      <charset val="129"/>
    </font>
    <font>
      <b/>
      <sz val="10"/>
      <name val="Helv"/>
      <family val="2"/>
    </font>
    <font>
      <u/>
      <sz val="11"/>
      <color indexed="12"/>
      <name val="돋움"/>
      <family val="3"/>
      <charset val="129"/>
    </font>
    <font>
      <sz val="8"/>
      <name val="Arial"/>
      <family val="2"/>
    </font>
    <font>
      <b/>
      <sz val="12"/>
      <name val="Helv"/>
      <family val="2"/>
    </font>
    <font>
      <sz val="10"/>
      <name val="Univers (WN)"/>
      <family val="2"/>
    </font>
    <font>
      <sz val="7"/>
      <name val="Small Fonts"/>
      <family val="2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sz val="12"/>
      <name val="굴림체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sz val="11"/>
      <color rgb="FFFF0000"/>
      <name val="돋움"/>
      <family val="3"/>
      <charset val="129"/>
    </font>
    <font>
      <b/>
      <sz val="14"/>
      <color theme="1"/>
      <name val="맑은 고딕"/>
      <family val="3"/>
      <charset val="129"/>
      <scheme val="major"/>
    </font>
    <font>
      <b/>
      <sz val="20"/>
      <color theme="1"/>
      <name val="맑은 고딕"/>
      <family val="3"/>
      <charset val="129"/>
      <scheme val="major"/>
    </font>
    <font>
      <sz val="12"/>
      <color rgb="FFFF0000"/>
      <name val="돋움"/>
      <family val="3"/>
      <charset val="129"/>
    </font>
    <font>
      <sz val="12"/>
      <color theme="1"/>
      <name val="돋움"/>
      <family val="3"/>
      <charset val="129"/>
    </font>
    <font>
      <b/>
      <sz val="12"/>
      <color theme="1"/>
      <name val="돋움"/>
      <family val="3"/>
      <charset val="129"/>
    </font>
    <font>
      <sz val="14"/>
      <color theme="1"/>
      <name val="돋움"/>
      <family val="3"/>
      <charset val="129"/>
    </font>
    <font>
      <b/>
      <sz val="14"/>
      <color theme="1"/>
      <name val="돋움"/>
      <family val="3"/>
      <charset val="129"/>
    </font>
    <font>
      <sz val="12"/>
      <name val="돋움"/>
      <family val="3"/>
      <charset val="129"/>
    </font>
    <font>
      <sz val="11"/>
      <color rgb="FF000000"/>
      <name val="돋움"/>
      <family val="3"/>
      <charset val="129"/>
    </font>
    <font>
      <sz val="11"/>
      <color rgb="FF000000"/>
      <name val="돋움"/>
      <family val="3"/>
      <charset val="129"/>
    </font>
    <font>
      <sz val="11"/>
      <color rgb="FFFFFFFF"/>
      <name val="맑은 고딕"/>
      <family val="3"/>
      <charset val="129"/>
    </font>
    <font>
      <sz val="14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9"/>
      <color rgb="FF000000"/>
      <name val="돋움"/>
      <family val="3"/>
      <charset val="129"/>
    </font>
    <font>
      <sz val="9"/>
      <color rgb="FF000000"/>
      <name val="Tahoma"/>
      <family val="2"/>
    </font>
    <font>
      <b/>
      <sz val="18"/>
      <color rgb="FF0000FF"/>
      <name val="돋움"/>
      <family val="3"/>
      <charset val="129"/>
    </font>
    <font>
      <sz val="11"/>
      <color theme="1"/>
      <name val="맑은고딕"/>
      <family val="3"/>
      <charset val="129"/>
    </font>
    <font>
      <sz val="11"/>
      <name val="맑은고딕"/>
      <family val="3"/>
      <charset val="129"/>
    </font>
    <font>
      <sz val="11"/>
      <color theme="0"/>
      <name val="맑은고딕"/>
      <family val="3"/>
      <charset val="129"/>
    </font>
    <font>
      <sz val="14"/>
      <color theme="0"/>
      <name val="맑은고딕"/>
      <family val="3"/>
      <charset val="129"/>
    </font>
    <font>
      <sz val="14"/>
      <color rgb="FF000000"/>
      <name val="맑은고딕"/>
      <family val="3"/>
      <charset val="129"/>
    </font>
    <font>
      <sz val="14"/>
      <color theme="1"/>
      <name val="맑은고딕"/>
      <family val="3"/>
      <charset val="129"/>
    </font>
    <font>
      <sz val="14"/>
      <color indexed="8"/>
      <name val="맑은고딕"/>
      <family val="3"/>
      <charset val="129"/>
    </font>
    <font>
      <sz val="14"/>
      <name val="맑은고딕"/>
      <family val="3"/>
      <charset val="129"/>
    </font>
    <font>
      <b/>
      <sz val="14"/>
      <name val="맑은고딕"/>
      <family val="3"/>
      <charset val="129"/>
    </font>
    <font>
      <b/>
      <sz val="14"/>
      <color theme="1"/>
      <name val="맑은고딕"/>
      <family val="3"/>
      <charset val="129"/>
    </font>
    <font>
      <b/>
      <sz val="14"/>
      <color theme="0"/>
      <name val="맑은고딕"/>
      <family val="3"/>
      <charset val="129"/>
    </font>
    <font>
      <sz val="14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sz val="14"/>
      <color theme="1"/>
      <name val="맑은 고딕"/>
      <family val="3"/>
      <charset val="129"/>
      <scheme val="major"/>
    </font>
    <font>
      <b/>
      <sz val="14"/>
      <color rgb="FF000000"/>
      <name val="맑은고딕"/>
      <family val="3"/>
      <charset val="129"/>
    </font>
    <font>
      <b/>
      <sz val="14"/>
      <color rgb="FF000000"/>
      <name val="맑은 고딕"/>
      <family val="3"/>
      <charset val="129"/>
      <scheme val="major"/>
    </font>
    <font>
      <sz val="14"/>
      <color rgb="FFFF0000"/>
      <name val="맑은고딕"/>
      <family val="3"/>
      <charset val="129"/>
    </font>
    <font>
      <b/>
      <sz val="11"/>
      <name val="맑은고딕"/>
      <family val="3"/>
      <charset val="129"/>
    </font>
    <font>
      <sz val="14"/>
      <color theme="1"/>
      <name val="굴림"/>
      <family val="3"/>
      <charset val="129"/>
    </font>
    <font>
      <sz val="14"/>
      <color rgb="FF000000"/>
      <name val="굴림"/>
      <family val="3"/>
      <charset val="129"/>
    </font>
    <font>
      <sz val="14"/>
      <color rgb="FF000000"/>
      <name val="맑은 고딕"/>
      <family val="3"/>
      <charset val="129"/>
    </font>
    <font>
      <sz val="14"/>
      <name val="돋움"/>
      <family val="3"/>
      <charset val="129"/>
    </font>
    <font>
      <sz val="14"/>
      <color theme="1"/>
      <name val="맑은 고딕"/>
      <family val="3"/>
      <charset val="129"/>
    </font>
    <font>
      <sz val="14"/>
      <name val="굴림"/>
      <family val="3"/>
      <charset val="129"/>
    </font>
    <font>
      <sz val="11"/>
      <color rgb="FF00000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ajor"/>
    </font>
    <font>
      <b/>
      <sz val="11"/>
      <color rgb="FF000000"/>
      <name val="맑은 고딕"/>
      <family val="3"/>
      <charset val="129"/>
      <scheme val="major"/>
    </font>
    <font>
      <sz val="11"/>
      <color theme="1"/>
      <name val="돋움"/>
      <family val="3"/>
      <charset val="129"/>
    </font>
    <font>
      <b/>
      <sz val="11"/>
      <color theme="1"/>
      <name val="돋움"/>
      <family val="3"/>
      <charset val="129"/>
    </font>
    <font>
      <b/>
      <sz val="14"/>
      <color rgb="FF000000"/>
      <name val="맑은 고딕"/>
      <family val="3"/>
      <charset val="129"/>
      <scheme val="minor"/>
    </font>
    <font>
      <sz val="14"/>
      <name val="맑은 고딕"/>
      <family val="3"/>
      <charset val="129"/>
    </font>
    <font>
      <sz val="14"/>
      <color theme="1"/>
      <name val="Calibri"/>
      <family val="3"/>
    </font>
    <font>
      <sz val="14"/>
      <color rgb="FF00000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b/>
      <sz val="14"/>
      <color rgb="FFFF0000"/>
      <name val="돋움"/>
      <family val="3"/>
      <charset val="129"/>
    </font>
    <font>
      <sz val="20"/>
      <name val="HY견고딕"/>
      <family val="1"/>
      <charset val="129"/>
    </font>
  </fonts>
  <fills count="42">
    <fill>
      <patternFill patternType="none"/>
    </fill>
    <fill>
      <patternFill patternType="gray125"/>
    </fill>
    <fill>
      <patternFill patternType="solid">
        <fgColor rgb="FFDBEEF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FFFFD7A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0"/>
      </patternFill>
    </fill>
    <fill>
      <patternFill patternType="solid">
        <fgColor rgb="FFFFCC99"/>
        <bgColor indexed="0"/>
      </patternFill>
    </fill>
    <fill>
      <patternFill patternType="solid">
        <fgColor rgb="FFFFFF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000000"/>
      </patternFill>
    </fill>
  </fills>
  <borders count="6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n">
        <color theme="1"/>
      </top>
      <bottom/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auto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9742">
    <xf numFmtId="0" fontId="0" fillId="0" borderId="0"/>
    <xf numFmtId="41" fontId="38" fillId="0" borderId="0"/>
    <xf numFmtId="41" fontId="38" fillId="0" borderId="0"/>
    <xf numFmtId="41" fontId="38" fillId="0" borderId="0">
      <alignment vertical="center"/>
    </xf>
    <xf numFmtId="41" fontId="38" fillId="0" borderId="0"/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/>
    <xf numFmtId="0" fontId="33" fillId="0" borderId="1">
      <alignment horizontal="left" vertical="center"/>
    </xf>
    <xf numFmtId="0" fontId="33" fillId="0" borderId="2">
      <alignment horizontal="left" vertical="center"/>
    </xf>
    <xf numFmtId="0" fontId="34" fillId="0" borderId="0">
      <alignment vertical="center"/>
    </xf>
    <xf numFmtId="0" fontId="38" fillId="0" borderId="0"/>
    <xf numFmtId="9" fontId="32" fillId="0" borderId="0"/>
    <xf numFmtId="41" fontId="38" fillId="0" borderId="0"/>
    <xf numFmtId="41" fontId="38" fillId="0" borderId="0"/>
    <xf numFmtId="0" fontId="38" fillId="0" borderId="0"/>
    <xf numFmtId="0" fontId="38" fillId="0" borderId="0"/>
    <xf numFmtId="0" fontId="38" fillId="0" borderId="0"/>
    <xf numFmtId="41" fontId="38" fillId="0" borderId="0"/>
    <xf numFmtId="0" fontId="38" fillId="0" borderId="0"/>
    <xf numFmtId="41" fontId="38" fillId="0" borderId="0"/>
    <xf numFmtId="0" fontId="38" fillId="0" borderId="0"/>
    <xf numFmtId="0" fontId="34" fillId="0" borderId="0">
      <alignment vertical="center"/>
    </xf>
    <xf numFmtId="0" fontId="38" fillId="0" borderId="0"/>
    <xf numFmtId="9" fontId="32" fillId="0" borderId="0"/>
    <xf numFmtId="41" fontId="38" fillId="0" borderId="0"/>
    <xf numFmtId="41" fontId="38" fillId="0" borderId="0"/>
    <xf numFmtId="0" fontId="38" fillId="0" borderId="0"/>
    <xf numFmtId="0" fontId="38" fillId="0" borderId="0"/>
    <xf numFmtId="0" fontId="38" fillId="0" borderId="0"/>
    <xf numFmtId="41" fontId="38" fillId="0" borderId="0"/>
    <xf numFmtId="0" fontId="38" fillId="0" borderId="0"/>
    <xf numFmtId="41" fontId="38" fillId="0" borderId="0"/>
    <xf numFmtId="0" fontId="38" fillId="0" borderId="0"/>
    <xf numFmtId="0" fontId="34" fillId="0" borderId="0">
      <alignment vertical="center"/>
    </xf>
    <xf numFmtId="0" fontId="38" fillId="0" borderId="0"/>
    <xf numFmtId="41" fontId="38" fillId="0" borderId="0"/>
    <xf numFmtId="41" fontId="38" fillId="0" borderId="0"/>
    <xf numFmtId="0" fontId="38" fillId="0" borderId="0"/>
    <xf numFmtId="0" fontId="38" fillId="0" borderId="0"/>
    <xf numFmtId="0" fontId="38" fillId="0" borderId="0"/>
    <xf numFmtId="41" fontId="38" fillId="0" borderId="0"/>
    <xf numFmtId="0" fontId="38" fillId="0" borderId="0"/>
    <xf numFmtId="0" fontId="34" fillId="0" borderId="0">
      <alignment vertical="center"/>
    </xf>
    <xf numFmtId="0" fontId="38" fillId="0" borderId="0"/>
    <xf numFmtId="9" fontId="32" fillId="0" borderId="0"/>
    <xf numFmtId="41" fontId="38" fillId="0" borderId="0"/>
    <xf numFmtId="0" fontId="38" fillId="0" borderId="0"/>
    <xf numFmtId="0" fontId="34" fillId="0" borderId="0">
      <alignment vertical="center"/>
    </xf>
    <xf numFmtId="0" fontId="38" fillId="0" borderId="0"/>
    <xf numFmtId="41" fontId="38" fillId="0" borderId="0"/>
    <xf numFmtId="41" fontId="38" fillId="0" borderId="0"/>
    <xf numFmtId="0" fontId="38" fillId="0" borderId="0"/>
    <xf numFmtId="0" fontId="38" fillId="0" borderId="0"/>
    <xf numFmtId="0" fontId="38" fillId="0" borderId="0"/>
    <xf numFmtId="41" fontId="38" fillId="0" borderId="0"/>
    <xf numFmtId="0" fontId="38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41" fontId="38" fillId="0" borderId="0"/>
    <xf numFmtId="0" fontId="38" fillId="0" borderId="0"/>
    <xf numFmtId="0" fontId="34" fillId="0" borderId="0">
      <alignment vertical="center"/>
    </xf>
    <xf numFmtId="0" fontId="38" fillId="0" borderId="0"/>
    <xf numFmtId="41" fontId="38" fillId="0" borderId="0"/>
    <xf numFmtId="41" fontId="38" fillId="0" borderId="0"/>
    <xf numFmtId="0" fontId="38" fillId="0" borderId="0"/>
    <xf numFmtId="0" fontId="38" fillId="0" borderId="0"/>
    <xf numFmtId="0" fontId="38" fillId="0" borderId="0"/>
    <xf numFmtId="41" fontId="38" fillId="0" borderId="0"/>
    <xf numFmtId="0" fontId="38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41" fontId="38" fillId="0" borderId="0"/>
    <xf numFmtId="41" fontId="38" fillId="0" borderId="0">
      <alignment vertical="center"/>
    </xf>
    <xf numFmtId="0" fontId="38" fillId="0" borderId="0"/>
    <xf numFmtId="41" fontId="38" fillId="0" borderId="0"/>
    <xf numFmtId="41" fontId="38" fillId="0" borderId="0"/>
    <xf numFmtId="0" fontId="38" fillId="0" borderId="0"/>
    <xf numFmtId="41" fontId="38" fillId="0" borderId="0"/>
    <xf numFmtId="0" fontId="38" fillId="0" borderId="0"/>
    <xf numFmtId="0" fontId="38" fillId="0" borderId="0"/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>
      <alignment vertical="center"/>
    </xf>
    <xf numFmtId="0" fontId="34" fillId="0" borderId="0">
      <alignment vertical="center"/>
    </xf>
    <xf numFmtId="0" fontId="40" fillId="0" borderId="0" applyFill="0" applyAlignment="0"/>
    <xf numFmtId="41" fontId="40" fillId="0" borderId="0" applyFont="0" applyFill="0" applyAlignment="0" applyProtection="0"/>
    <xf numFmtId="41" fontId="40" fillId="0" borderId="0" applyFont="0" applyFill="0" applyAlignment="0" applyProtection="0"/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0" fillId="0" borderId="0" applyFill="0" applyAlignment="0"/>
    <xf numFmtId="0" fontId="40" fillId="0" borderId="0" applyFill="0" applyAlignment="0"/>
    <xf numFmtId="0" fontId="41" fillId="0" borderId="0">
      <alignment vertical="center"/>
    </xf>
    <xf numFmtId="0" fontId="41" fillId="0" borderId="0"/>
    <xf numFmtId="0" fontId="45" fillId="0" borderId="1" applyNumberFormat="0" applyAlignment="0" applyProtection="0">
      <alignment horizontal="left" vertical="center"/>
    </xf>
    <xf numFmtId="0" fontId="45" fillId="0" borderId="2">
      <alignment horizontal="left" vertical="center"/>
    </xf>
    <xf numFmtId="0" fontId="31" fillId="0" borderId="0">
      <alignment vertical="center"/>
    </xf>
    <xf numFmtId="0" fontId="40" fillId="0" borderId="0" applyFill="0" applyAlignment="0"/>
    <xf numFmtId="9" fontId="42" fillId="0" borderId="0" applyFont="0" applyFill="0" applyAlignment="0" applyProtection="0"/>
    <xf numFmtId="41" fontId="40" fillId="0" borderId="0" applyFont="0" applyFill="0" applyAlignment="0" applyProtection="0"/>
    <xf numFmtId="41" fontId="40" fillId="0" borderId="0" applyFont="0" applyFill="0" applyAlignment="0" applyProtection="0"/>
    <xf numFmtId="0" fontId="40" fillId="0" borderId="0" applyFill="0" applyAlignment="0"/>
    <xf numFmtId="0" fontId="40" fillId="0" borderId="0" applyFill="0" applyAlignment="0"/>
    <xf numFmtId="0" fontId="40" fillId="0" borderId="0" applyFill="0" applyAlignment="0"/>
    <xf numFmtId="41" fontId="40" fillId="0" borderId="0" applyFont="0" applyFill="0" applyAlignment="0" applyProtection="0"/>
    <xf numFmtId="0" fontId="40" fillId="0" borderId="0" applyFill="0" applyAlignment="0"/>
    <xf numFmtId="41" fontId="40" fillId="0" borderId="0" applyFont="0" applyFill="0" applyAlignment="0" applyProtection="0"/>
    <xf numFmtId="0" fontId="40" fillId="0" borderId="0" applyFill="0" applyAlignment="0"/>
    <xf numFmtId="0" fontId="31" fillId="0" borderId="0">
      <alignment vertical="center"/>
    </xf>
    <xf numFmtId="0" fontId="40" fillId="0" borderId="0" applyFill="0" applyAlignment="0"/>
    <xf numFmtId="9" fontId="42" fillId="0" borderId="0" applyFont="0" applyFill="0" applyAlignment="0" applyProtection="0"/>
    <xf numFmtId="41" fontId="40" fillId="0" borderId="0" applyFont="0" applyFill="0" applyAlignment="0" applyProtection="0"/>
    <xf numFmtId="41" fontId="40" fillId="0" borderId="0" applyFont="0" applyFill="0" applyAlignment="0" applyProtection="0"/>
    <xf numFmtId="0" fontId="40" fillId="0" borderId="0" applyFill="0" applyAlignment="0"/>
    <xf numFmtId="0" fontId="40" fillId="0" borderId="0" applyFill="0" applyAlignment="0"/>
    <xf numFmtId="0" fontId="40" fillId="0" borderId="0" applyFill="0" applyAlignment="0"/>
    <xf numFmtId="41" fontId="40" fillId="0" borderId="0" applyFont="0" applyFill="0" applyAlignment="0" applyProtection="0"/>
    <xf numFmtId="0" fontId="40" fillId="0" borderId="0" applyFill="0" applyAlignment="0"/>
    <xf numFmtId="41" fontId="40" fillId="0" borderId="0" applyFont="0" applyFill="0" applyAlignment="0" applyProtection="0"/>
    <xf numFmtId="0" fontId="40" fillId="0" borderId="0" applyFill="0" applyAlignment="0"/>
    <xf numFmtId="0" fontId="31" fillId="0" borderId="0">
      <alignment vertical="center"/>
    </xf>
    <xf numFmtId="0" fontId="40" fillId="0" borderId="0" applyFill="0" applyAlignment="0"/>
    <xf numFmtId="41" fontId="40" fillId="0" borderId="0" applyFont="0" applyFill="0" applyAlignment="0" applyProtection="0"/>
    <xf numFmtId="41" fontId="40" fillId="0" borderId="0" applyFont="0" applyFill="0" applyAlignment="0" applyProtection="0"/>
    <xf numFmtId="0" fontId="40" fillId="0" borderId="0" applyFill="0" applyAlignment="0"/>
    <xf numFmtId="0" fontId="40" fillId="0" borderId="0" applyFill="0" applyAlignment="0"/>
    <xf numFmtId="0" fontId="40" fillId="0" borderId="0" applyFill="0" applyAlignment="0"/>
    <xf numFmtId="41" fontId="40" fillId="0" borderId="0" applyFont="0" applyFill="0" applyAlignment="0" applyProtection="0"/>
    <xf numFmtId="0" fontId="40" fillId="0" borderId="0" applyFill="0" applyAlignment="0"/>
    <xf numFmtId="0" fontId="31" fillId="0" borderId="0">
      <alignment vertical="center"/>
    </xf>
    <xf numFmtId="0" fontId="40" fillId="0" borderId="0" applyFill="0" applyAlignment="0"/>
    <xf numFmtId="9" fontId="42" fillId="0" borderId="0" applyFont="0" applyFill="0" applyAlignment="0" applyProtection="0"/>
    <xf numFmtId="41" fontId="40" fillId="0" borderId="0" applyFont="0" applyFill="0" applyAlignment="0" applyProtection="0"/>
    <xf numFmtId="0" fontId="40" fillId="0" borderId="0" applyFill="0" applyAlignment="0"/>
    <xf numFmtId="0" fontId="31" fillId="0" borderId="0">
      <alignment vertical="center"/>
    </xf>
    <xf numFmtId="0" fontId="40" fillId="0" borderId="0" applyFill="0" applyAlignment="0"/>
    <xf numFmtId="41" fontId="40" fillId="0" borderId="0" applyFont="0" applyFill="0" applyAlignment="0" applyProtection="0"/>
    <xf numFmtId="41" fontId="40" fillId="0" borderId="0" applyFont="0" applyFill="0" applyAlignment="0" applyProtection="0"/>
    <xf numFmtId="0" fontId="40" fillId="0" borderId="0" applyFill="0" applyAlignment="0"/>
    <xf numFmtId="0" fontId="40" fillId="0" borderId="0" applyFill="0" applyAlignment="0"/>
    <xf numFmtId="0" fontId="40" fillId="0" borderId="0" applyFill="0" applyAlignment="0"/>
    <xf numFmtId="41" fontId="40" fillId="0" borderId="0" applyFont="0" applyFill="0" applyAlignment="0" applyProtection="0"/>
    <xf numFmtId="0" fontId="40" fillId="0" borderId="0" applyFill="0" applyAlignment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41" fontId="40" fillId="0" borderId="0" applyFont="0" applyFill="0" applyAlignment="0" applyProtection="0"/>
    <xf numFmtId="0" fontId="40" fillId="0" borderId="0" applyFill="0" applyAlignment="0"/>
    <xf numFmtId="0" fontId="31" fillId="0" borderId="0">
      <alignment vertical="center"/>
    </xf>
    <xf numFmtId="0" fontId="40" fillId="0" borderId="0" applyFill="0" applyAlignment="0"/>
    <xf numFmtId="41" fontId="40" fillId="0" borderId="0" applyFont="0" applyFill="0" applyAlignment="0" applyProtection="0"/>
    <xf numFmtId="41" fontId="40" fillId="0" borderId="0" applyFont="0" applyFill="0" applyAlignment="0" applyProtection="0"/>
    <xf numFmtId="0" fontId="40" fillId="0" borderId="0" applyFill="0" applyAlignment="0"/>
    <xf numFmtId="0" fontId="40" fillId="0" borderId="0" applyFill="0" applyAlignment="0"/>
    <xf numFmtId="0" fontId="40" fillId="0" borderId="0" applyFill="0" applyAlignment="0"/>
    <xf numFmtId="41" fontId="40" fillId="0" borderId="0" applyFont="0" applyFill="0" applyAlignment="0" applyProtection="0"/>
    <xf numFmtId="0" fontId="40" fillId="0" borderId="0" applyFill="0" applyAlignment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0" fillId="0" borderId="0" applyFont="0" applyFill="0" applyBorder="0" applyAlignment="0" applyProtection="0">
      <alignment vertical="center"/>
    </xf>
    <xf numFmtId="9" fontId="40" fillId="0" borderId="0" applyFont="0" applyFill="0" applyBorder="0" applyAlignment="0" applyProtection="0">
      <alignment vertical="center"/>
    </xf>
    <xf numFmtId="0" fontId="60" fillId="0" borderId="0" applyFont="0" applyFill="0" applyBorder="0" applyAlignment="0" applyProtection="0"/>
    <xf numFmtId="0" fontId="58" fillId="0" borderId="0" applyFont="0" applyFill="0" applyBorder="0" applyAlignment="0" applyProtection="0"/>
    <xf numFmtId="0" fontId="63" fillId="10" borderId="0" applyNumberFormat="0" applyBorder="0" applyAlignment="0" applyProtection="0">
      <alignment vertical="center"/>
    </xf>
    <xf numFmtId="3" fontId="60" fillId="0" borderId="0" applyFont="0" applyFill="0" applyBorder="0" applyAlignment="0" applyProtection="0"/>
    <xf numFmtId="0" fontId="62" fillId="6" borderId="0" applyNumberFormat="0" applyBorder="0" applyAlignment="0" applyProtection="0">
      <alignment vertical="center"/>
    </xf>
    <xf numFmtId="0" fontId="56" fillId="0" borderId="0"/>
    <xf numFmtId="184" fontId="41" fillId="0" borderId="0" applyFont="0" applyFill="0" applyBorder="0" applyAlignment="0" applyProtection="0"/>
    <xf numFmtId="0" fontId="56" fillId="0" borderId="0" applyFont="0" applyFill="0" applyBorder="0" applyAlignment="0" applyProtection="0"/>
    <xf numFmtId="38" fontId="58" fillId="0" borderId="0" applyFont="0" applyFill="0" applyBorder="0" applyAlignment="0" applyProtection="0"/>
    <xf numFmtId="0" fontId="49" fillId="0" borderId="0"/>
    <xf numFmtId="0" fontId="62" fillId="3" borderId="0" applyNumberFormat="0" applyBorder="0" applyAlignment="0" applyProtection="0">
      <alignment vertical="center"/>
    </xf>
    <xf numFmtId="182" fontId="59" fillId="0" borderId="0"/>
    <xf numFmtId="0" fontId="62" fillId="11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53" fillId="0" borderId="0" applyFont="0" applyFill="0" applyBorder="0" applyAlignment="0" applyProtection="0"/>
    <xf numFmtId="180" fontId="59" fillId="0" borderId="0"/>
    <xf numFmtId="0" fontId="62" fillId="5" borderId="0" applyNumberFormat="0" applyBorder="0" applyAlignment="0" applyProtection="0">
      <alignment vertical="center"/>
    </xf>
    <xf numFmtId="179" fontId="60" fillId="0" borderId="0" applyFont="0" applyFill="0" applyBorder="0" applyAlignment="0" applyProtection="0"/>
    <xf numFmtId="0" fontId="53" fillId="0" borderId="0" applyFont="0" applyFill="0" applyBorder="0" applyAlignment="0" applyProtection="0"/>
    <xf numFmtId="0" fontId="48" fillId="0" borderId="0"/>
    <xf numFmtId="0" fontId="63" fillId="11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181" fontId="60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53" fillId="0" borderId="0" applyFont="0" applyFill="0" applyBorder="0" applyAlignment="0" applyProtection="0"/>
    <xf numFmtId="0" fontId="57" fillId="0" borderId="0"/>
    <xf numFmtId="0" fontId="62" fillId="9" borderId="0" applyNumberFormat="0" applyBorder="0" applyAlignment="0" applyProtection="0">
      <alignment vertical="center"/>
    </xf>
    <xf numFmtId="0" fontId="56" fillId="0" borderId="0" applyFont="0" applyFill="0" applyBorder="0" applyAlignment="0" applyProtection="0"/>
    <xf numFmtId="0" fontId="43" fillId="0" borderId="0">
      <alignment vertical="center"/>
    </xf>
    <xf numFmtId="0" fontId="62" fillId="8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55" fillId="0" borderId="0" applyFont="0" applyFill="0" applyBorder="0" applyAlignment="0" applyProtection="0"/>
    <xf numFmtId="0" fontId="62" fillId="6" borderId="0" applyNumberFormat="0" applyBorder="0" applyAlignment="0" applyProtection="0">
      <alignment vertical="center"/>
    </xf>
    <xf numFmtId="0" fontId="48" fillId="0" borderId="0"/>
    <xf numFmtId="0" fontId="62" fillId="4" borderId="0" applyNumberFormat="0" applyBorder="0" applyAlignment="0" applyProtection="0">
      <alignment vertical="center"/>
    </xf>
    <xf numFmtId="0" fontId="56" fillId="0" borderId="0" applyFont="0" applyFill="0" applyBorder="0" applyAlignment="0" applyProtection="0"/>
    <xf numFmtId="0" fontId="47" fillId="0" borderId="0" applyFont="0" applyFill="0" applyBorder="0" applyAlignment="0" applyProtection="0"/>
    <xf numFmtId="183" fontId="59" fillId="0" borderId="0"/>
    <xf numFmtId="2" fontId="60" fillId="0" borderId="0" applyFont="0" applyFill="0" applyBorder="0" applyAlignment="0" applyProtection="0"/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0" fontId="79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76" fontId="60" fillId="0" borderId="0" applyFont="0" applyFill="0" applyBorder="0" applyAlignment="0" applyProtection="0"/>
    <xf numFmtId="179" fontId="60" fillId="0" borderId="0" applyFont="0" applyFill="0" applyBorder="0" applyAlignment="0" applyProtection="0"/>
    <xf numFmtId="0" fontId="60" fillId="0" borderId="0" applyFont="0" applyFill="0" applyBorder="0" applyAlignment="0" applyProtection="0"/>
    <xf numFmtId="0" fontId="60" fillId="0" borderId="0" applyFont="0" applyFill="0" applyBorder="0" applyAlignment="0" applyProtection="0"/>
    <xf numFmtId="0" fontId="60" fillId="0" borderId="0"/>
    <xf numFmtId="10" fontId="60" fillId="0" borderId="0" applyFont="0" applyFill="0" applyBorder="0" applyAlignment="0" applyProtection="0"/>
    <xf numFmtId="0" fontId="80" fillId="0" borderId="0"/>
    <xf numFmtId="0" fontId="60" fillId="0" borderId="7" applyNumberFormat="0" applyFont="0" applyFill="0" applyAlignment="0" applyProtection="0"/>
    <xf numFmtId="0" fontId="63" fillId="17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40" fontId="50" fillId="0" borderId="0" applyFont="0" applyFill="0" applyBorder="0" applyAlignment="0" applyProtection="0"/>
    <xf numFmtId="38" fontId="50" fillId="0" borderId="0" applyFont="0" applyFill="0" applyBorder="0" applyAlignment="0" applyProtection="0"/>
    <xf numFmtId="0" fontId="41" fillId="22" borderId="9" applyNumberFormat="0" applyFont="0" applyAlignment="0" applyProtection="0">
      <alignment vertical="center"/>
    </xf>
    <xf numFmtId="0" fontId="5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67" fillId="23" borderId="0" applyNumberFormat="0" applyBorder="0" applyAlignment="0" applyProtection="0">
      <alignment vertical="center"/>
    </xf>
    <xf numFmtId="0" fontId="51" fillId="0" borderId="0"/>
    <xf numFmtId="0" fontId="68" fillId="0" borderId="0" applyNumberFormat="0" applyFill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70" fillId="0" borderId="11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3" fontId="52" fillId="0" borderId="0" applyFont="0" applyFill="0" applyBorder="0" applyAlignment="0" applyProtection="0"/>
    <xf numFmtId="0" fontId="74" fillId="0" borderId="13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48" fillId="0" borderId="0"/>
    <xf numFmtId="0" fontId="78" fillId="21" borderId="16" applyNumberFormat="0" applyAlignment="0" applyProtection="0">
      <alignment vertical="center"/>
    </xf>
    <xf numFmtId="0" fontId="41" fillId="0" borderId="0"/>
    <xf numFmtId="0" fontId="41" fillId="0" borderId="0">
      <alignment vertical="center"/>
    </xf>
    <xf numFmtId="0" fontId="63" fillId="20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20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41" fillId="0" borderId="0"/>
    <xf numFmtId="0" fontId="76" fillId="0" borderId="15" applyNumberFormat="0" applyFill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0" fontId="63" fillId="15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63" fillId="15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63" fillId="14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/>
    <xf numFmtId="0" fontId="62" fillId="8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>
      <alignment vertical="center"/>
    </xf>
    <xf numFmtId="0" fontId="68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6" fillId="0" borderId="15" applyNumberFormat="0" applyFill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0" fontId="65" fillId="21" borderId="8" applyNumberFormat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41" fillId="0" borderId="0"/>
    <xf numFmtId="0" fontId="63" fillId="15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5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41" fillId="0" borderId="0">
      <alignment vertical="center"/>
    </xf>
    <xf numFmtId="0" fontId="62" fillId="4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74" fillId="0" borderId="13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>
      <alignment vertical="center"/>
    </xf>
    <xf numFmtId="0" fontId="63" fillId="15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62" fillId="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62" fillId="8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20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8" fillId="21" borderId="16" applyNumberFormat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6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12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184" fontId="41" fillId="0" borderId="0" applyFont="0" applyFill="0" applyBorder="0" applyAlignment="0" applyProtection="0"/>
    <xf numFmtId="0" fontId="71" fillId="0" borderId="12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>
      <alignment vertical="center"/>
    </xf>
    <xf numFmtId="0" fontId="41" fillId="22" borderId="9" applyNumberFormat="0" applyFon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41" fillId="0" borderId="0"/>
    <xf numFmtId="0" fontId="41" fillId="22" borderId="9" applyNumberFormat="0" applyFont="0" applyAlignment="0" applyProtection="0">
      <alignment vertical="center"/>
    </xf>
    <xf numFmtId="0" fontId="41" fillId="0" borderId="0"/>
    <xf numFmtId="0" fontId="62" fillId="11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41" fillId="0" borderId="0"/>
    <xf numFmtId="0" fontId="62" fillId="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/>
    <xf numFmtId="0" fontId="71" fillId="0" borderId="12" applyNumberFormat="0" applyFill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41" fillId="0" borderId="0"/>
    <xf numFmtId="0" fontId="65" fillId="21" borderId="8" applyNumberFormat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6" fillId="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0" borderId="0"/>
    <xf numFmtId="0" fontId="63" fillId="20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1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41" fillId="0" borderId="0"/>
    <xf numFmtId="0" fontId="67" fillId="23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/>
    <xf numFmtId="0" fontId="63" fillId="18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71" fillId="0" borderId="12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41" fillId="0" borderId="0"/>
    <xf numFmtId="0" fontId="68" fillId="0" borderId="0" applyNumberFormat="0" applyFill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70" fillId="0" borderId="11" applyNumberFormat="0" applyFill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78" fillId="21" borderId="16" applyNumberFormat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7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41" fillId="0" borderId="0">
      <alignment vertical="center"/>
    </xf>
    <xf numFmtId="0" fontId="63" fillId="10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7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2" fillId="11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41" fillId="0" borderId="0"/>
    <xf numFmtId="0" fontId="41" fillId="0" borderId="0"/>
    <xf numFmtId="0" fontId="63" fillId="13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41" fillId="0" borderId="0">
      <alignment vertical="center"/>
    </xf>
    <xf numFmtId="0" fontId="66" fillId="4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7" fillId="23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1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8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41" fontId="41" fillId="0" borderId="0" applyFont="0" applyFill="0" applyBorder="0" applyAlignment="0" applyProtection="0"/>
    <xf numFmtId="0" fontId="62" fillId="11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41" fillId="0" borderId="0"/>
    <xf numFmtId="0" fontId="62" fillId="4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/>
    <xf numFmtId="0" fontId="41" fillId="0" borderId="0"/>
    <xf numFmtId="0" fontId="73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8" fillId="0" borderId="0" applyNumberFormat="0" applyFill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3" fillId="20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41" fillId="0" borderId="0">
      <alignment vertical="center"/>
    </xf>
    <xf numFmtId="0" fontId="76" fillId="0" borderId="15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4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9" fillId="24" borderId="10" applyNumberFormat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63" fillId="17" borderId="0" applyNumberFormat="0" applyBorder="0" applyAlignment="0" applyProtection="0">
      <alignment vertical="center"/>
    </xf>
    <xf numFmtId="0" fontId="41" fillId="0" borderId="0"/>
    <xf numFmtId="184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74" fillId="0" borderId="13" applyNumberFormat="0" applyFill="0" applyAlignment="0" applyProtection="0">
      <alignment vertical="center"/>
    </xf>
    <xf numFmtId="184" fontId="41" fillId="0" borderId="0" applyFont="0" applyFill="0" applyBorder="0" applyAlignment="0" applyProtection="0"/>
    <xf numFmtId="0" fontId="41" fillId="0" borderId="0">
      <alignment vertical="center"/>
    </xf>
    <xf numFmtId="0" fontId="63" fillId="13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0" borderId="0">
      <alignment vertical="center"/>
    </xf>
    <xf numFmtId="0" fontId="41" fillId="22" borderId="9" applyNumberFormat="0" applyFont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0" borderId="0"/>
    <xf numFmtId="0" fontId="62" fillId="7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41" fillId="0" borderId="0"/>
    <xf numFmtId="0" fontId="66" fillId="4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8" fillId="21" borderId="16" applyNumberFormat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3" fillId="11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2" fillId="7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3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62" fillId="6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1" fillId="0" borderId="12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41" fillId="0" borderId="0"/>
    <xf numFmtId="9" fontId="41" fillId="0" borderId="0" applyFont="0" applyFill="0" applyBorder="0" applyAlignment="0" applyProtection="0"/>
    <xf numFmtId="0" fontId="76" fillId="0" borderId="15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75" fillId="0" borderId="14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41" fillId="0" borderId="0"/>
    <xf numFmtId="0" fontId="62" fillId="4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22" borderId="9" applyNumberFormat="0" applyFont="0" applyAlignment="0" applyProtection="0">
      <alignment vertical="center"/>
    </xf>
    <xf numFmtId="41" fontId="41" fillId="0" borderId="0" applyFont="0" applyFill="0" applyBorder="0" applyAlignment="0" applyProtection="0"/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6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4" fillId="0" borderId="0" applyNumberForma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41" fillId="0" borderId="0"/>
    <xf numFmtId="0" fontId="41" fillId="0" borderId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63" fillId="1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4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6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69" fillId="24" borderId="10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73" fillId="0" borderId="0" applyNumberFormat="0" applyFill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2" fillId="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5" fillId="0" borderId="14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3" fillId="0" borderId="0">
      <alignment vertical="center"/>
    </xf>
    <xf numFmtId="0" fontId="75" fillId="0" borderId="14" applyNumberFormat="0" applyFill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4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41" fillId="0" borderId="0">
      <alignment vertical="center"/>
    </xf>
    <xf numFmtId="0" fontId="62" fillId="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9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8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41" fillId="0" borderId="0"/>
    <xf numFmtId="0" fontId="62" fillId="10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>
      <alignment vertical="center"/>
    </xf>
    <xf numFmtId="0" fontId="62" fillId="10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41" fillId="0" borderId="0"/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184" fontId="41" fillId="0" borderId="0" applyFont="0" applyFill="0" applyBorder="0" applyAlignment="0" applyProtection="0"/>
    <xf numFmtId="0" fontId="41" fillId="0" borderId="0"/>
    <xf numFmtId="41" fontId="41" fillId="0" borderId="0" applyFont="0" applyFill="0" applyBorder="0" applyAlignment="0" applyProtection="0"/>
    <xf numFmtId="0" fontId="41" fillId="22" borderId="9" applyNumberFormat="0" applyFont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73" fillId="0" borderId="0" applyNumberFormat="0" applyFill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0" borderId="0">
      <alignment vertical="center"/>
    </xf>
    <xf numFmtId="0" fontId="63" fillId="17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3" fillId="17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9" borderId="0" applyNumberFormat="0" applyBorder="0" applyAlignment="0" applyProtection="0">
      <alignment vertical="center"/>
    </xf>
    <xf numFmtId="0" fontId="41" fillId="0" borderId="0"/>
    <xf numFmtId="0" fontId="41" fillId="0" borderId="0">
      <alignment vertical="center"/>
    </xf>
    <xf numFmtId="0" fontId="63" fillId="14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6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0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/>
    <xf numFmtId="0" fontId="63" fillId="18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7" fillId="23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2" fillId="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74" fillId="0" borderId="13" applyNumberFormat="0" applyFill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71" fillId="0" borderId="12" applyNumberFormat="0" applyFill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0" borderId="0"/>
    <xf numFmtId="9" fontId="41" fillId="0" borderId="0" applyFon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9" fontId="41" fillId="0" borderId="0" applyFont="0" applyFill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41" fontId="41" fillId="0" borderId="0" applyFont="0" applyFill="0" applyBorder="0" applyAlignment="0" applyProtection="0"/>
    <xf numFmtId="9" fontId="41" fillId="0" borderId="0" applyFont="0" applyFill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63" fillId="16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5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3" fillId="17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4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/>
    <xf numFmtId="0" fontId="63" fillId="17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41" fillId="0" borderId="0">
      <alignment vertical="center"/>
    </xf>
    <xf numFmtId="0" fontId="75" fillId="0" borderId="14" applyNumberFormat="0" applyFill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>
      <alignment vertical="center"/>
    </xf>
    <xf numFmtId="9" fontId="41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0" fontId="63" fillId="13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41" fillId="0" borderId="0"/>
    <xf numFmtId="0" fontId="63" fillId="14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41" fillId="0" borderId="0"/>
    <xf numFmtId="0" fontId="63" fillId="13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10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63" fillId="1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1" fillId="0" borderId="0"/>
    <xf numFmtId="0" fontId="63" fillId="1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1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0" fillId="0" borderId="11" applyNumberFormat="0" applyFill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41" fillId="0" borderId="0"/>
    <xf numFmtId="0" fontId="62" fillId="7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41" fillId="0" borderId="0">
      <alignment vertical="center"/>
    </xf>
    <xf numFmtId="0" fontId="65" fillId="21" borderId="8" applyNumberFormat="0" applyAlignment="0" applyProtection="0">
      <alignment vertical="center"/>
    </xf>
    <xf numFmtId="0" fontId="41" fillId="0" borderId="0">
      <alignment vertical="center"/>
    </xf>
    <xf numFmtId="0" fontId="76" fillId="0" borderId="15" applyNumberFormat="0" applyFill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9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0" fontId="62" fillId="7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3" fillId="0" borderId="0" applyNumberFormat="0" applyFill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63" fillId="13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22" borderId="9" applyNumberFormat="0" applyFont="0" applyAlignment="0" applyProtection="0">
      <alignment vertical="center"/>
    </xf>
    <xf numFmtId="41" fontId="41" fillId="0" borderId="0" applyFont="0" applyFill="0" applyBorder="0" applyAlignment="0" applyProtection="0"/>
    <xf numFmtId="0" fontId="63" fillId="17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6" fillId="4" borderId="0" applyNumberFormat="0" applyBorder="0" applyAlignment="0" applyProtection="0">
      <alignment vertical="center"/>
    </xf>
    <xf numFmtId="0" fontId="41" fillId="0" borderId="0"/>
    <xf numFmtId="0" fontId="64" fillId="0" borderId="0" applyNumberFormat="0" applyFill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9" fillId="24" borderId="10" applyNumberForma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/>
    <xf numFmtId="0" fontId="64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7" fillId="23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7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5" fillId="21" borderId="8" applyNumberFormat="0" applyAlignment="0" applyProtection="0">
      <alignment vertical="center"/>
    </xf>
    <xf numFmtId="0" fontId="41" fillId="0" borderId="0">
      <alignment vertical="center"/>
    </xf>
    <xf numFmtId="0" fontId="63" fillId="10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75" fillId="0" borderId="14" applyNumberFormat="0" applyFill="0" applyAlignment="0" applyProtection="0">
      <alignment vertical="center"/>
    </xf>
    <xf numFmtId="0" fontId="41" fillId="0" borderId="0"/>
    <xf numFmtId="0" fontId="64" fillId="0" borderId="0" applyNumberFormat="0" applyFill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2" fillId="6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/>
    <xf numFmtId="0" fontId="62" fillId="3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6" fillId="4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63" fillId="11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7" fillId="23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3" fillId="0" borderId="0" applyNumberFormat="0" applyFill="0" applyBorder="0" applyAlignment="0" applyProtection="0">
      <alignment vertical="center"/>
    </xf>
    <xf numFmtId="9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41" fillId="0" borderId="0">
      <alignment vertical="center"/>
    </xf>
    <xf numFmtId="41" fontId="41" fillId="0" borderId="0" applyFont="0" applyFill="0" applyBorder="0" applyAlignment="0" applyProtection="0"/>
    <xf numFmtId="0" fontId="68" fillId="0" borderId="0" applyNumberForma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0" borderId="0"/>
    <xf numFmtId="0" fontId="64" fillId="0" borderId="0" applyNumberFormat="0" applyFill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0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6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0" borderId="0">
      <alignment vertical="center"/>
    </xf>
    <xf numFmtId="41" fontId="41" fillId="0" borderId="0" applyFont="0" applyFill="0" applyBorder="0" applyAlignment="0" applyProtection="0"/>
    <xf numFmtId="0" fontId="41" fillId="0" borderId="0">
      <alignment vertical="center"/>
    </xf>
    <xf numFmtId="0" fontId="62" fillId="6" borderId="0" applyNumberFormat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41" fillId="0" borderId="0"/>
    <xf numFmtId="0" fontId="77" fillId="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8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41" fillId="0" borderId="0"/>
    <xf numFmtId="0" fontId="62" fillId="7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41" fillId="0" borderId="0"/>
    <xf numFmtId="0" fontId="41" fillId="0" borderId="0">
      <alignment vertical="center"/>
    </xf>
    <xf numFmtId="0" fontId="70" fillId="0" borderId="11" applyNumberFormat="0" applyFill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8" fillId="0" borderId="0" applyNumberFormat="0" applyFill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3" fillId="13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4" fillId="0" borderId="0" applyNumberForma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7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41" fillId="22" borderId="9" applyNumberFormat="0" applyFont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2" fillId="7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41" fillId="0" borderId="0"/>
    <xf numFmtId="0" fontId="76" fillId="0" borderId="15" applyNumberFormat="0" applyFill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41" fillId="22" borderId="9" applyNumberFormat="0" applyFon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3" fillId="1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9" fontId="41" fillId="0" borderId="0" applyFon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1" fillId="0" borderId="0"/>
    <xf numFmtId="0" fontId="63" fillId="19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3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41" fillId="0" borderId="0"/>
    <xf numFmtId="0" fontId="41" fillId="0" borderId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8" fillId="0" borderId="0" applyNumberFormat="0" applyFill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5" fillId="0" borderId="14" applyNumberFormat="0" applyFill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6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1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66" fillId="4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62" fillId="3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8" fillId="21" borderId="16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184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41" fillId="0" borderId="0">
      <alignment vertical="center"/>
    </xf>
    <xf numFmtId="0" fontId="41" fillId="0" borderId="0"/>
    <xf numFmtId="0" fontId="78" fillId="21" borderId="16" applyNumberFormat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9" borderId="0" applyNumberFormat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63" fillId="1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3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0" borderId="0">
      <alignment vertical="center"/>
    </xf>
    <xf numFmtId="41" fontId="41" fillId="0" borderId="0" applyFont="0" applyFill="0" applyBorder="0" applyAlignment="0" applyProtection="0"/>
    <xf numFmtId="0" fontId="73" fillId="0" borderId="0" applyNumberFormat="0" applyFill="0" applyBorder="0" applyAlignment="0" applyProtection="0">
      <alignment vertical="center"/>
    </xf>
    <xf numFmtId="0" fontId="41" fillId="0" borderId="0">
      <alignment vertical="center"/>
    </xf>
    <xf numFmtId="0" fontId="62" fillId="9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1" fillId="0" borderId="0"/>
    <xf numFmtId="0" fontId="63" fillId="1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9" fontId="41" fillId="0" borderId="0" applyFont="0" applyFill="0" applyBorder="0" applyAlignment="0" applyProtection="0"/>
    <xf numFmtId="0" fontId="62" fillId="5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41" fillId="0" borderId="0">
      <alignment vertical="center"/>
    </xf>
    <xf numFmtId="0" fontId="62" fillId="9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2" fillId="8" borderId="8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63" fillId="17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/>
    <xf numFmtId="0" fontId="62" fillId="9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1" fillId="0" borderId="0">
      <alignment vertical="center"/>
    </xf>
    <xf numFmtId="0" fontId="66" fillId="4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3" fillId="13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/>
    <xf numFmtId="41" fontId="41" fillId="0" borderId="0" applyFont="0" applyFill="0" applyBorder="0" applyAlignment="0" applyProtection="0"/>
    <xf numFmtId="0" fontId="69" fillId="24" borderId="10" applyNumberForma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41" fillId="0" borderId="0">
      <alignment vertical="center"/>
    </xf>
    <xf numFmtId="0" fontId="64" fillId="0" borderId="0" applyNumberFormat="0" applyFill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41" fillId="0" borderId="0">
      <alignment vertical="center"/>
    </xf>
    <xf numFmtId="0" fontId="64" fillId="0" borderId="0" applyNumberForma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/>
    <xf numFmtId="0" fontId="74" fillId="0" borderId="13" applyNumberFormat="0" applyFill="0" applyAlignment="0" applyProtection="0">
      <alignment vertical="center"/>
    </xf>
    <xf numFmtId="0" fontId="41" fillId="0" borderId="0">
      <alignment vertical="center"/>
    </xf>
    <xf numFmtId="0" fontId="62" fillId="8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6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41" fillId="0" borderId="0"/>
    <xf numFmtId="0" fontId="76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3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41" fillId="0" borderId="0"/>
    <xf numFmtId="0" fontId="75" fillId="0" borderId="14" applyNumberFormat="0" applyFill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41" fillId="0" borderId="0"/>
    <xf numFmtId="0" fontId="62" fillId="6" borderId="0" applyNumberFormat="0" applyBorder="0" applyAlignment="0" applyProtection="0">
      <alignment vertical="center"/>
    </xf>
    <xf numFmtId="0" fontId="41" fillId="0" borderId="0"/>
    <xf numFmtId="0" fontId="62" fillId="3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41" fillId="22" borderId="9" applyNumberFormat="0" applyFont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41" fillId="0" borderId="0"/>
    <xf numFmtId="0" fontId="73" fillId="0" borderId="0" applyNumberFormat="0" applyFill="0" applyBorder="0" applyAlignment="0" applyProtection="0">
      <alignment vertical="center"/>
    </xf>
    <xf numFmtId="0" fontId="41" fillId="0" borderId="0">
      <alignment vertical="center"/>
    </xf>
    <xf numFmtId="0" fontId="62" fillId="4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63" fillId="13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41" fillId="0" borderId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77" fillId="5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41" fillId="0" borderId="0"/>
    <xf numFmtId="0" fontId="66" fillId="4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41" fillId="0" borderId="0"/>
    <xf numFmtId="0" fontId="67" fillId="2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41" fillId="0" borderId="0"/>
    <xf numFmtId="0" fontId="76" fillId="0" borderId="0" applyNumberFormat="0" applyFill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62" fillId="10" borderId="0" applyNumberFormat="0" applyBorder="0" applyAlignment="0" applyProtection="0">
      <alignment vertical="center"/>
    </xf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6" fillId="4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70" fillId="0" borderId="11" applyNumberFormat="0" applyFill="0" applyAlignment="0" applyProtection="0">
      <alignment vertical="center"/>
    </xf>
    <xf numFmtId="0" fontId="41" fillId="0" borderId="0"/>
    <xf numFmtId="0" fontId="41" fillId="22" borderId="9" applyNumberFormat="0" applyFont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1" fillId="0" borderId="0"/>
    <xf numFmtId="0" fontId="63" fillId="18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8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8" fillId="0" borderId="0" applyNumberFormat="0" applyFill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41" fillId="0" borderId="0">
      <alignment vertical="center"/>
    </xf>
    <xf numFmtId="0" fontId="62" fillId="12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41" fillId="0" borderId="0"/>
    <xf numFmtId="0" fontId="76" fillId="0" borderId="0" applyNumberForma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3" fillId="2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6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6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41" fontId="41" fillId="0" borderId="0" applyFont="0" applyFill="0" applyBorder="0" applyAlignment="0" applyProtection="0"/>
    <xf numFmtId="0" fontId="72" fillId="8" borderId="8" applyNumberFormat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1" fillId="0" borderId="0"/>
    <xf numFmtId="0" fontId="68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3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41" fillId="0" borderId="0">
      <alignment vertical="center"/>
    </xf>
    <xf numFmtId="0" fontId="68" fillId="0" borderId="0" applyNumberForma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41" fillId="0" borderId="0"/>
    <xf numFmtId="0" fontId="62" fillId="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/>
    <xf numFmtId="184" fontId="41" fillId="0" borderId="0" applyFont="0" applyFill="0" applyBorder="0" applyAlignment="0" applyProtection="0"/>
    <xf numFmtId="0" fontId="63" fillId="16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10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8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0" borderId="0">
      <alignment vertical="center"/>
    </xf>
    <xf numFmtId="0" fontId="62" fillId="9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41" fontId="41" fillId="0" borderId="0" applyFont="0" applyFill="0" applyBorder="0" applyAlignment="0" applyProtection="0"/>
    <xf numFmtId="184" fontId="41" fillId="0" borderId="0" applyFont="0" applyFill="0" applyBorder="0" applyAlignment="0" applyProtection="0"/>
    <xf numFmtId="0" fontId="68" fillId="0" borderId="0" applyNumberFormat="0" applyFill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41" fillId="0" borderId="0"/>
    <xf numFmtId="0" fontId="41" fillId="0" borderId="0"/>
    <xf numFmtId="184" fontId="41" fillId="0" borderId="0" applyFont="0" applyFill="0" applyBorder="0" applyAlignment="0" applyProtection="0"/>
    <xf numFmtId="0" fontId="75" fillId="0" borderId="14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0" fillId="0" borderId="11" applyNumberFormat="0" applyFill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41" fillId="0" borderId="0">
      <alignment vertical="center"/>
    </xf>
    <xf numFmtId="0" fontId="63" fillId="19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41" fillId="0" borderId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41" fillId="0" borderId="0"/>
    <xf numFmtId="0" fontId="63" fillId="11" borderId="0" applyNumberFormat="0" applyBorder="0" applyAlignment="0" applyProtection="0">
      <alignment vertical="center"/>
    </xf>
    <xf numFmtId="0" fontId="41" fillId="0" borderId="0"/>
    <xf numFmtId="0" fontId="62" fillId="3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41" fontId="41" fillId="0" borderId="0" applyFont="0" applyFill="0" applyBorder="0" applyAlignment="0" applyProtection="0"/>
    <xf numFmtId="0" fontId="65" fillId="21" borderId="8" applyNumberFormat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4" fillId="0" borderId="0" applyNumberFormat="0" applyFill="0" applyBorder="0" applyAlignment="0" applyProtection="0">
      <alignment vertical="center"/>
    </xf>
    <xf numFmtId="0" fontId="41" fillId="0" borderId="0"/>
    <xf numFmtId="0" fontId="41" fillId="0" borderId="0"/>
    <xf numFmtId="41" fontId="41" fillId="0" borderId="0" applyFont="0" applyFill="0" applyBorder="0" applyAlignment="0" applyProtection="0"/>
    <xf numFmtId="0" fontId="75" fillId="0" borderId="14" applyNumberFormat="0" applyFill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4" fillId="0" borderId="0" applyNumberFormat="0" applyFill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1" fillId="0" borderId="0"/>
    <xf numFmtId="0" fontId="63" fillId="10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3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63" fillId="1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1" borderId="0" applyNumberFormat="0" applyBorder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6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73" fillId="0" borderId="0" applyNumberFormat="0" applyFill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184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0" borderId="0"/>
    <xf numFmtId="0" fontId="62" fillId="8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2" fillId="11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41" fillId="0" borderId="0"/>
    <xf numFmtId="0" fontId="62" fillId="11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0" borderId="0"/>
    <xf numFmtId="41" fontId="41" fillId="0" borderId="0" applyFont="0" applyFill="0" applyBorder="0" applyAlignment="0" applyProtection="0"/>
    <xf numFmtId="0" fontId="63" fillId="19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3" fillId="10" borderId="0" applyNumberFormat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6" fillId="0" borderId="15" applyNumberFormat="0" applyFill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62" fillId="3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41" fillId="0" borderId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22" borderId="9" applyNumberFormat="0" applyFont="0" applyAlignment="0" applyProtection="0">
      <alignment vertical="center"/>
    </xf>
    <xf numFmtId="9" fontId="62" fillId="0" borderId="0" applyFont="0" applyFill="0" applyBorder="0" applyAlignment="0" applyProtection="0">
      <alignment vertical="center"/>
    </xf>
    <xf numFmtId="9" fontId="62" fillId="0" borderId="0" applyFon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/>
    <xf numFmtId="44" fontId="41" fillId="0" borderId="0" applyFont="0" applyFill="0" applyBorder="0" applyAlignment="0" applyProtection="0">
      <alignment vertical="center"/>
    </xf>
    <xf numFmtId="44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176" fontId="48" fillId="0" borderId="0" applyFont="0" applyFill="0" applyBorder="0" applyAlignment="0" applyProtection="0"/>
    <xf numFmtId="176" fontId="48" fillId="0" borderId="0" applyFont="0" applyFill="0" applyBorder="0" applyAlignment="0" applyProtection="0"/>
    <xf numFmtId="176" fontId="48" fillId="0" borderId="0" applyFont="0" applyFill="0" applyBorder="0" applyAlignment="0" applyProtection="0"/>
    <xf numFmtId="179" fontId="48" fillId="0" borderId="0" applyFont="0" applyFill="0" applyBorder="0" applyAlignment="0" applyProtection="0"/>
    <xf numFmtId="42" fontId="41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0" fontId="46" fillId="0" borderId="0"/>
    <xf numFmtId="0" fontId="62" fillId="0" borderId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81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82" fillId="0" borderId="0">
      <protection locked="0"/>
    </xf>
    <xf numFmtId="0" fontId="82" fillId="0" borderId="0">
      <protection locked="0"/>
    </xf>
    <xf numFmtId="0" fontId="83" fillId="0" borderId="0">
      <protection locked="0"/>
    </xf>
    <xf numFmtId="0" fontId="82" fillId="0" borderId="0">
      <protection locked="0"/>
    </xf>
    <xf numFmtId="0" fontId="82" fillId="0" borderId="0">
      <protection locked="0"/>
    </xf>
    <xf numFmtId="0" fontId="82" fillId="0" borderId="0">
      <protection locked="0"/>
    </xf>
    <xf numFmtId="0" fontId="83" fillId="0" borderId="0">
      <protection locked="0"/>
    </xf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0" fontId="61" fillId="0" borderId="2">
      <alignment horizontal="left" vertical="center"/>
    </xf>
    <xf numFmtId="0" fontId="63" fillId="17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41" fontId="41" fillId="0" borderId="0" applyFont="0" applyFill="0" applyBorder="0" applyAlignment="0" applyProtection="0"/>
    <xf numFmtId="9" fontId="41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9" fillId="24" borderId="10" applyNumberFormat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2" fillId="8" borderId="8" applyNumberFormat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1" fillId="0" borderId="12" applyNumberFormat="0" applyFill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68" fillId="0" borderId="0" applyNumberForma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/>
    <xf numFmtId="0" fontId="70" fillId="0" borderId="11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41" fontId="41" fillId="0" borderId="0" applyFont="0" applyFill="0" applyBorder="0" applyAlignment="0" applyProtection="0"/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/>
    <xf numFmtId="0" fontId="72" fillId="8" borderId="8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46" fillId="0" borderId="0"/>
    <xf numFmtId="0" fontId="62" fillId="10" borderId="0" applyNumberFormat="0" applyBorder="0" applyAlignment="0" applyProtection="0">
      <alignment vertical="center"/>
    </xf>
    <xf numFmtId="0" fontId="62" fillId="0" borderId="0">
      <alignment vertical="center"/>
    </xf>
    <xf numFmtId="0" fontId="63" fillId="15" borderId="0" applyNumberFormat="0" applyBorder="0" applyAlignment="0" applyProtection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6" fillId="0" borderId="0"/>
    <xf numFmtId="0" fontId="65" fillId="21" borderId="8" applyNumberFormat="0" applyAlignment="0" applyProtection="0">
      <alignment vertical="center"/>
    </xf>
    <xf numFmtId="0" fontId="41" fillId="0" borderId="0">
      <alignment vertical="center"/>
    </xf>
    <xf numFmtId="0" fontId="62" fillId="10" borderId="0" applyNumberFormat="0" applyBorder="0" applyAlignment="0" applyProtection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4" fillId="0" borderId="0" applyNumberFormat="0" applyFill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0" fontId="62" fillId="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6" fillId="0" borderId="0"/>
    <xf numFmtId="0" fontId="41" fillId="0" borderId="0">
      <alignment vertical="center"/>
    </xf>
    <xf numFmtId="0" fontId="62" fillId="8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2" fillId="7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1" fillId="0" borderId="0">
      <alignment vertical="center"/>
    </xf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0" fontId="63" fillId="11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6" fillId="0" borderId="0"/>
    <xf numFmtId="0" fontId="64" fillId="0" borderId="0" applyNumberFormat="0" applyFill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64" fillId="0" borderId="0" applyNumberFormat="0" applyFill="0" applyBorder="0" applyAlignment="0" applyProtection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41" fillId="0" borderId="0">
      <alignment vertical="center"/>
    </xf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6" fillId="0" borderId="0"/>
    <xf numFmtId="0" fontId="62" fillId="10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64" fillId="0" borderId="0" applyNumberFormat="0" applyFill="0" applyBorder="0" applyAlignment="0" applyProtection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41" fillId="0" borderId="0">
      <alignment vertical="center"/>
    </xf>
    <xf numFmtId="0" fontId="46" fillId="0" borderId="0"/>
    <xf numFmtId="0" fontId="41" fillId="0" borderId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41" fillId="0" borderId="0">
      <alignment vertical="center"/>
    </xf>
    <xf numFmtId="0" fontId="46" fillId="0" borderId="0"/>
    <xf numFmtId="0" fontId="41" fillId="0" borderId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41" fillId="0" borderId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41" fillId="0" borderId="0">
      <alignment vertical="center"/>
    </xf>
    <xf numFmtId="0" fontId="46" fillId="0" borderId="0"/>
    <xf numFmtId="0" fontId="41" fillId="0" borderId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41" fillId="0" borderId="0">
      <alignment vertical="center"/>
    </xf>
    <xf numFmtId="0" fontId="46" fillId="0" borderId="0"/>
    <xf numFmtId="0" fontId="41" fillId="0" borderId="0">
      <alignment vertical="center"/>
    </xf>
    <xf numFmtId="0" fontId="62" fillId="0" borderId="0">
      <alignment vertical="center"/>
    </xf>
    <xf numFmtId="0" fontId="4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1" fillId="0" borderId="1" applyNumberFormat="0" applyAlignment="0" applyProtection="0">
      <alignment horizontal="left" vertical="center"/>
    </xf>
    <xf numFmtId="0" fontId="61" fillId="0" borderId="2">
      <alignment horizontal="left" vertical="center"/>
    </xf>
    <xf numFmtId="41" fontId="29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41" fontId="28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44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41" fontId="40" fillId="0" borderId="0" applyFont="0" applyFill="0" applyBorder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41" fontId="40" fillId="0" borderId="0" applyFont="0" applyFill="0" applyAlignment="0" applyProtection="0"/>
    <xf numFmtId="0" fontId="40" fillId="0" borderId="0" applyFill="0" applyAlignment="0"/>
    <xf numFmtId="0" fontId="28" fillId="0" borderId="0">
      <alignment vertical="center"/>
    </xf>
    <xf numFmtId="0" fontId="40" fillId="0" borderId="0" applyFill="0" applyAlignment="0"/>
    <xf numFmtId="41" fontId="40" fillId="0" borderId="0" applyFont="0" applyFill="0" applyAlignment="0" applyProtection="0"/>
    <xf numFmtId="41" fontId="40" fillId="0" borderId="0" applyFont="0" applyFill="0" applyAlignment="0" applyProtection="0"/>
    <xf numFmtId="0" fontId="40" fillId="0" borderId="0" applyFill="0" applyAlignment="0"/>
    <xf numFmtId="0" fontId="40" fillId="0" borderId="0" applyFill="0" applyAlignment="0"/>
    <xf numFmtId="0" fontId="40" fillId="0" borderId="0" applyFill="0" applyAlignment="0"/>
    <xf numFmtId="41" fontId="40" fillId="0" borderId="0" applyFont="0" applyFill="0" applyAlignment="0" applyProtection="0"/>
    <xf numFmtId="0" fontId="40" fillId="0" borderId="0" applyFill="0" applyAlignment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41" fontId="40" fillId="0" borderId="0" applyFont="0" applyFill="0" applyAlignment="0" applyProtection="0"/>
    <xf numFmtId="0" fontId="40" fillId="0" borderId="0" applyFill="0" applyAlignment="0"/>
    <xf numFmtId="0" fontId="28" fillId="0" borderId="0">
      <alignment vertical="center"/>
    </xf>
    <xf numFmtId="0" fontId="40" fillId="0" borderId="0" applyFill="0" applyAlignment="0"/>
    <xf numFmtId="41" fontId="40" fillId="0" borderId="0" applyFont="0" applyFill="0" applyAlignment="0" applyProtection="0"/>
    <xf numFmtId="41" fontId="40" fillId="0" borderId="0" applyFont="0" applyFill="0" applyAlignment="0" applyProtection="0"/>
    <xf numFmtId="0" fontId="40" fillId="0" borderId="0" applyFill="0" applyAlignment="0"/>
    <xf numFmtId="0" fontId="40" fillId="0" borderId="0" applyFill="0" applyAlignment="0"/>
    <xf numFmtId="0" fontId="40" fillId="0" borderId="0" applyFill="0" applyAlignment="0"/>
    <xf numFmtId="41" fontId="40" fillId="0" borderId="0" applyFont="0" applyFill="0" applyAlignment="0" applyProtection="0"/>
    <xf numFmtId="0" fontId="40" fillId="0" borderId="0" applyFill="0" applyAlignment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41" fillId="0" borderId="0"/>
    <xf numFmtId="41" fontId="41" fillId="0" borderId="0" applyFont="0" applyFill="0" applyBorder="0" applyAlignment="0" applyProtection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41" fontId="10" fillId="0" borderId="0" applyFont="0" applyFill="0" applyBorder="0" applyAlignment="0" applyProtection="0">
      <alignment vertical="center"/>
    </xf>
    <xf numFmtId="0" fontId="40" fillId="0" borderId="0" applyFill="0" applyAlignment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40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86" fillId="0" borderId="0">
      <alignment vertical="center"/>
    </xf>
    <xf numFmtId="41" fontId="86" fillId="0" borderId="0" applyFont="0" applyFill="0" applyBorder="0" applyAlignment="0" applyProtection="0">
      <alignment vertical="center"/>
    </xf>
    <xf numFmtId="10" fontId="48" fillId="0" borderId="0"/>
    <xf numFmtId="0" fontId="4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7" fillId="0" borderId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>
      <alignment vertical="center"/>
    </xf>
    <xf numFmtId="0" fontId="41" fillId="0" borderId="0"/>
    <xf numFmtId="41" fontId="87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47" fillId="0" borderId="0" applyFont="0" applyFill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176" fontId="89" fillId="0" borderId="3">
      <alignment vertical="center"/>
    </xf>
    <xf numFmtId="186" fontId="48" fillId="0" borderId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0" fontId="65" fillId="21" borderId="8" applyNumberFormat="0" applyAlignment="0" applyProtection="0">
      <alignment vertical="center"/>
    </xf>
    <xf numFmtId="187" fontId="48" fillId="0" borderId="0"/>
    <xf numFmtId="187" fontId="48" fillId="0" borderId="0"/>
    <xf numFmtId="187" fontId="48" fillId="0" borderId="0"/>
    <xf numFmtId="187" fontId="48" fillId="0" borderId="0"/>
    <xf numFmtId="187" fontId="48" fillId="0" borderId="0"/>
    <xf numFmtId="187" fontId="48" fillId="0" borderId="0"/>
    <xf numFmtId="187" fontId="48" fillId="0" borderId="0"/>
    <xf numFmtId="187" fontId="48" fillId="0" borderId="0"/>
    <xf numFmtId="187" fontId="48" fillId="0" borderId="0"/>
    <xf numFmtId="187" fontId="48" fillId="0" borderId="0"/>
    <xf numFmtId="187" fontId="48" fillId="0" borderId="0"/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3" fontId="58" fillId="0" borderId="29">
      <alignment horizontal="center"/>
    </xf>
    <xf numFmtId="0" fontId="90" fillId="0" borderId="0" applyNumberFormat="0" applyFill="0" applyBorder="0" applyAlignment="0" applyProtection="0">
      <alignment vertical="top"/>
      <protection locked="0"/>
    </xf>
    <xf numFmtId="176" fontId="47" fillId="0" borderId="28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22" borderId="9" applyNumberFormat="0" applyFont="0" applyAlignment="0" applyProtection="0">
      <alignment vertical="center"/>
    </xf>
    <xf numFmtId="0" fontId="62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41" fillId="22" borderId="9" applyNumberFormat="0" applyFont="0" applyAlignment="0" applyProtection="0">
      <alignment vertical="center"/>
    </xf>
    <xf numFmtId="0" fontId="62" fillId="22" borderId="9" applyNumberFormat="0" applyFont="0" applyAlignment="0" applyProtection="0">
      <alignment vertical="center"/>
    </xf>
    <xf numFmtId="9" fontId="88" fillId="29" borderId="0" applyFill="0" applyBorder="0" applyProtection="0">
      <alignment horizontal="right"/>
    </xf>
    <xf numFmtId="10" fontId="88" fillId="0" borderId="0" applyFill="0" applyBorder="0" applyProtection="0">
      <alignment horizontal="right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177" fontId="91" fillId="0" borderId="3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0" fontId="69" fillId="24" borderId="10" applyNumberFormat="0" applyAlignment="0" applyProtection="0">
      <alignment vertical="center"/>
    </xf>
    <xf numFmtId="41" fontId="41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87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47" fillId="0" borderId="0" applyFont="0" applyFill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0" fillId="0" borderId="11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1" fillId="0" borderId="12" applyNumberFormat="0" applyFill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0" fontId="72" fillId="8" borderId="8" applyNumberFormat="0" applyAlignment="0" applyProtection="0">
      <alignment vertical="center"/>
    </xf>
    <xf numFmtId="3" fontId="92" fillId="0" borderId="0" applyFont="0" applyFill="0" applyBorder="0" applyAlignment="0" applyProtection="0"/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4" fillId="0" borderId="13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5" fillId="0" borderId="14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6" fillId="0" borderId="15" applyNumberFormat="0" applyFill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0" fontId="78" fillId="21" borderId="16" applyNumberFormat="0" applyAlignment="0" applyProtection="0">
      <alignment vertical="center"/>
    </xf>
    <xf numFmtId="185" fontId="88" fillId="29" borderId="0" applyFill="0" applyBorder="0" applyProtection="0">
      <alignment horizontal="right"/>
    </xf>
    <xf numFmtId="42" fontId="44" fillId="0" borderId="0" applyFont="0" applyFill="0" applyBorder="0" applyAlignment="0" applyProtection="0">
      <alignment vertical="center"/>
    </xf>
    <xf numFmtId="0" fontId="93" fillId="0" borderId="0"/>
    <xf numFmtId="0" fontId="93" fillId="0" borderId="0"/>
    <xf numFmtId="0" fontId="93" fillId="0" borderId="0"/>
    <xf numFmtId="0" fontId="93" fillId="0" borderId="0"/>
    <xf numFmtId="0" fontId="62" fillId="0" borderId="0">
      <alignment vertical="center"/>
    </xf>
    <xf numFmtId="0" fontId="41" fillId="0" borderId="0"/>
    <xf numFmtId="0" fontId="93" fillId="0" borderId="0"/>
    <xf numFmtId="0" fontId="48" fillId="0" borderId="30">
      <alignment vertical="center" wrapText="1"/>
    </xf>
    <xf numFmtId="0" fontId="58" fillId="0" borderId="0"/>
    <xf numFmtId="0" fontId="94" fillId="0" borderId="0"/>
    <xf numFmtId="188" fontId="48" fillId="0" borderId="0"/>
    <xf numFmtId="189" fontId="48" fillId="0" borderId="0"/>
    <xf numFmtId="190" fontId="48" fillId="0" borderId="0"/>
    <xf numFmtId="0" fontId="95" fillId="0" borderId="0" applyNumberFormat="0" applyFill="0" applyBorder="0" applyAlignment="0" applyProtection="0"/>
    <xf numFmtId="38" fontId="96" fillId="30" borderId="0" applyNumberFormat="0" applyBorder="0" applyAlignment="0" applyProtection="0"/>
    <xf numFmtId="0" fontId="97" fillId="0" borderId="0">
      <alignment horizontal="left"/>
    </xf>
    <xf numFmtId="0" fontId="98" fillId="0" borderId="0" applyNumberFormat="0" applyFill="0" applyBorder="0" applyAlignment="0" applyProtection="0"/>
    <xf numFmtId="10" fontId="96" fillId="31" borderId="3" applyNumberFormat="0" applyBorder="0" applyAlignment="0" applyProtection="0"/>
    <xf numFmtId="0" fontId="80" fillId="0" borderId="31"/>
    <xf numFmtId="37" fontId="99" fillId="0" borderId="0"/>
    <xf numFmtId="177" fontId="48" fillId="0" borderId="0"/>
    <xf numFmtId="0" fontId="100" fillId="30" borderId="0">
      <alignment horizontal="centerContinuous"/>
    </xf>
    <xf numFmtId="0" fontId="101" fillId="0" borderId="0" applyFill="0" applyBorder="0" applyProtection="0">
      <alignment horizontal="centerContinuous" vertical="center"/>
    </xf>
    <xf numFmtId="0" fontId="102" fillId="29" borderId="0" applyFill="0" applyBorder="0" applyProtection="0">
      <alignment horizontal="center" vertical="center"/>
    </xf>
    <xf numFmtId="0" fontId="87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41" fillId="0" borderId="0"/>
    <xf numFmtId="0" fontId="62" fillId="0" borderId="0">
      <alignment vertical="center"/>
    </xf>
    <xf numFmtId="0" fontId="62" fillId="0" borderId="0">
      <alignment vertical="center"/>
    </xf>
    <xf numFmtId="0" fontId="44" fillId="0" borderId="0">
      <alignment vertical="center"/>
    </xf>
    <xf numFmtId="0" fontId="62" fillId="0" borderId="0">
      <alignment vertical="center"/>
    </xf>
    <xf numFmtId="0" fontId="87" fillId="0" borderId="0"/>
    <xf numFmtId="0" fontId="87" fillId="0" borderId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1" fontId="43" fillId="0" borderId="0" applyFont="0" applyFill="0" applyBorder="0" applyAlignment="0" applyProtection="0">
      <alignment vertical="center"/>
    </xf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43" fillId="0" borderId="0">
      <alignment vertical="center"/>
    </xf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40" fillId="0" borderId="0" applyFill="0" applyAlignment="0"/>
    <xf numFmtId="0" fontId="38" fillId="0" borderId="0"/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8" fillId="0" borderId="0"/>
    <xf numFmtId="9" fontId="115" fillId="0" borderId="0" applyFont="0" applyFill="0" applyBorder="0" applyAlignment="0" applyProtection="0">
      <alignment vertical="center"/>
    </xf>
    <xf numFmtId="41" fontId="116" fillId="0" borderId="0" applyFont="0" applyFill="0" applyBorder="0" applyAlignment="0" applyProtection="0">
      <alignment vertical="center"/>
    </xf>
    <xf numFmtId="41" fontId="38" fillId="0" borderId="0">
      <alignment vertical="center"/>
    </xf>
    <xf numFmtId="0" fontId="38" fillId="0" borderId="0">
      <alignment vertical="center"/>
    </xf>
    <xf numFmtId="0" fontId="117" fillId="38" borderId="0">
      <alignment vertical="center"/>
    </xf>
    <xf numFmtId="0" fontId="38" fillId="0" borderId="0"/>
    <xf numFmtId="0" fontId="38" fillId="0" borderId="0">
      <alignment vertical="center"/>
    </xf>
    <xf numFmtId="41" fontId="38" fillId="0" borderId="0">
      <alignment vertical="center"/>
    </xf>
    <xf numFmtId="0" fontId="38" fillId="0" borderId="0"/>
    <xf numFmtId="0" fontId="38" fillId="0" borderId="0">
      <alignment vertical="center"/>
    </xf>
    <xf numFmtId="0" fontId="38" fillId="0" borderId="0"/>
    <xf numFmtId="41" fontId="38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810">
    <xf numFmtId="0" fontId="0" fillId="0" borderId="0" xfId="0" applyNumberFormat="1" applyFill="1" applyAlignment="1"/>
    <xf numFmtId="0" fontId="35" fillId="0" borderId="0" xfId="0" applyNumberFormat="1" applyFont="1" applyFill="1" applyAlignment="1"/>
    <xf numFmtId="0" fontId="33" fillId="0" borderId="0" xfId="0" applyNumberFormat="1" applyFont="1" applyFill="1" applyAlignment="1"/>
    <xf numFmtId="0" fontId="33" fillId="0" borderId="0" xfId="0" applyNumberFormat="1" applyFont="1" applyFill="1" applyAlignment="1"/>
    <xf numFmtId="0" fontId="36" fillId="0" borderId="3" xfId="0" applyNumberFormat="1" applyFont="1" applyFill="1" applyBorder="1" applyAlignment="1" applyProtection="1">
      <alignment horizontal="center" vertical="center"/>
    </xf>
    <xf numFmtId="0" fontId="36" fillId="28" borderId="3" xfId="0" applyNumberFormat="1" applyFont="1" applyFill="1" applyBorder="1" applyAlignment="1" applyProtection="1">
      <alignment horizontal="center" vertical="center"/>
    </xf>
    <xf numFmtId="0" fontId="103" fillId="0" borderId="0" xfId="116" applyFont="1"/>
    <xf numFmtId="0" fontId="103" fillId="0" borderId="0" xfId="116" applyFont="1" applyAlignment="1">
      <alignment vertical="center"/>
    </xf>
    <xf numFmtId="0" fontId="103" fillId="0" borderId="0" xfId="116" applyFont="1" applyFill="1" applyAlignment="1">
      <alignment vertical="center"/>
    </xf>
    <xf numFmtId="0" fontId="104" fillId="32" borderId="0" xfId="116" applyFont="1" applyFill="1"/>
    <xf numFmtId="0" fontId="104" fillId="0" borderId="0" xfId="116" applyFont="1" applyFill="1"/>
    <xf numFmtId="0" fontId="104" fillId="0" borderId="0" xfId="116" applyFont="1" applyFill="1" applyAlignment="1"/>
    <xf numFmtId="0" fontId="105" fillId="0" borderId="0" xfId="116" applyFont="1" applyFill="1"/>
    <xf numFmtId="0" fontId="104" fillId="32" borderId="0" xfId="116" applyFont="1" applyFill="1" applyBorder="1" applyAlignment="1">
      <alignment horizontal="center" vertical="center" wrapText="1"/>
    </xf>
    <xf numFmtId="0" fontId="104" fillId="0" borderId="0" xfId="116" applyFont="1" applyFill="1" applyBorder="1" applyAlignment="1">
      <alignment horizontal="center" vertical="center" wrapText="1"/>
    </xf>
    <xf numFmtId="0" fontId="106" fillId="0" borderId="0" xfId="116" applyFont="1" applyFill="1" applyAlignment="1"/>
    <xf numFmtId="0" fontId="104" fillId="32" borderId="0" xfId="116" applyFont="1" applyFill="1" applyAlignment="1"/>
    <xf numFmtId="0" fontId="105" fillId="32" borderId="0" xfId="116" applyFont="1" applyFill="1"/>
    <xf numFmtId="0" fontId="105" fillId="32" borderId="0" xfId="116" applyFont="1" applyFill="1" applyAlignment="1"/>
    <xf numFmtId="0" fontId="105" fillId="0" borderId="0" xfId="116" applyFont="1" applyFill="1" applyAlignment="1"/>
    <xf numFmtId="0" fontId="107" fillId="0" borderId="0" xfId="116" applyFont="1"/>
    <xf numFmtId="0" fontId="103" fillId="0" borderId="0" xfId="116" applyFont="1" applyAlignment="1">
      <alignment horizontal="center" vertical="center"/>
    </xf>
    <xf numFmtId="0" fontId="109" fillId="0" borderId="0" xfId="0" applyNumberFormat="1" applyFont="1" applyFill="1" applyAlignment="1"/>
    <xf numFmtId="178" fontId="112" fillId="28" borderId="3" xfId="0" applyNumberFormat="1" applyFont="1" applyFill="1" applyBorder="1" applyAlignment="1">
      <alignment horizontal="center" vertical="center"/>
    </xf>
    <xf numFmtId="178" fontId="110" fillId="0" borderId="3" xfId="0" applyNumberFormat="1" applyFont="1" applyFill="1" applyBorder="1" applyAlignment="1">
      <alignment horizontal="center" vertical="center"/>
    </xf>
    <xf numFmtId="0" fontId="110" fillId="0" borderId="0" xfId="0" applyNumberFormat="1" applyFont="1" applyFill="1" applyAlignment="1"/>
    <xf numFmtId="178" fontId="112" fillId="28" borderId="34" xfId="0" applyNumberFormat="1" applyFont="1" applyFill="1" applyBorder="1" applyAlignment="1">
      <alignment horizontal="center" vertical="center"/>
    </xf>
    <xf numFmtId="178" fontId="110" fillId="25" borderId="3" xfId="0" applyNumberFormat="1" applyFont="1" applyFill="1" applyBorder="1" applyAlignment="1">
      <alignment horizontal="center" vertical="center"/>
    </xf>
    <xf numFmtId="0" fontId="110" fillId="25" borderId="0" xfId="0" applyNumberFormat="1" applyFont="1" applyFill="1" applyAlignment="1"/>
    <xf numFmtId="0" fontId="33" fillId="25" borderId="0" xfId="0" applyNumberFormat="1" applyFont="1" applyFill="1" applyAlignment="1"/>
    <xf numFmtId="178" fontId="114" fillId="0" borderId="3" xfId="0" applyNumberFormat="1" applyFont="1" applyFill="1" applyBorder="1" applyAlignment="1">
      <alignment horizontal="center" vertical="center"/>
    </xf>
    <xf numFmtId="178" fontId="110" fillId="0" borderId="17" xfId="0" applyNumberFormat="1" applyFont="1" applyFill="1" applyBorder="1" applyAlignment="1">
      <alignment horizontal="center" vertical="center"/>
    </xf>
    <xf numFmtId="9" fontId="104" fillId="0" borderId="0" xfId="49728" applyFont="1" applyFill="1" applyAlignment="1"/>
    <xf numFmtId="177" fontId="111" fillId="33" borderId="3" xfId="0" applyNumberFormat="1" applyFont="1" applyFill="1" applyBorder="1" applyAlignment="1" applyProtection="1">
      <alignment horizontal="center" vertical="center"/>
    </xf>
    <xf numFmtId="177" fontId="111" fillId="33" borderId="34" xfId="0" applyNumberFormat="1" applyFont="1" applyFill="1" applyBorder="1" applyAlignment="1" applyProtection="1">
      <alignment horizontal="center" vertical="center"/>
    </xf>
    <xf numFmtId="0" fontId="104" fillId="25" borderId="0" xfId="116" applyFont="1" applyFill="1" applyAlignment="1"/>
    <xf numFmtId="0" fontId="33" fillId="0" borderId="38" xfId="0" applyNumberFormat="1" applyFont="1" applyFill="1" applyBorder="1" applyAlignment="1"/>
    <xf numFmtId="178" fontId="114" fillId="0" borderId="3" xfId="49724" applyNumberFormat="1" applyFont="1" applyFill="1" applyBorder="1" applyAlignment="1">
      <alignment horizontal="center" vertical="center"/>
    </xf>
    <xf numFmtId="178" fontId="114" fillId="0" borderId="3" xfId="0" applyNumberFormat="1" applyFont="1" applyBorder="1" applyAlignment="1">
      <alignment horizontal="center" vertical="center"/>
    </xf>
    <xf numFmtId="178" fontId="114" fillId="0" borderId="17" xfId="0" applyNumberFormat="1" applyFont="1" applyFill="1" applyBorder="1" applyAlignment="1">
      <alignment horizontal="center" vertical="center"/>
    </xf>
    <xf numFmtId="0" fontId="118" fillId="35" borderId="17" xfId="116" applyFont="1" applyFill="1" applyBorder="1" applyAlignment="1">
      <alignment horizontal="center" vertical="center"/>
    </xf>
    <xf numFmtId="0" fontId="118" fillId="35" borderId="17" xfId="116" applyNumberFormat="1" applyFont="1" applyFill="1" applyBorder="1" applyAlignment="1">
      <alignment horizontal="center" vertical="center" wrapText="1"/>
    </xf>
    <xf numFmtId="178" fontId="114" fillId="0" borderId="3" xfId="5" applyNumberFormat="1" applyFont="1" applyFill="1" applyBorder="1" applyAlignment="1">
      <alignment horizontal="center" vertical="center"/>
    </xf>
    <xf numFmtId="177" fontId="84" fillId="33" borderId="3" xfId="49724" applyNumberFormat="1" applyFont="1" applyFill="1" applyBorder="1" applyAlignment="1" applyProtection="1">
      <alignment horizontal="center" vertical="center"/>
    </xf>
    <xf numFmtId="178" fontId="114" fillId="0" borderId="34" xfId="0" applyNumberFormat="1" applyFont="1" applyFill="1" applyBorder="1" applyAlignment="1">
      <alignment horizontal="center" vertical="center"/>
    </xf>
    <xf numFmtId="0" fontId="36" fillId="0" borderId="32" xfId="0" applyNumberFormat="1" applyFont="1" applyFill="1" applyBorder="1" applyAlignment="1" applyProtection="1">
      <alignment horizontal="center" vertical="center"/>
    </xf>
    <xf numFmtId="41" fontId="110" fillId="25" borderId="33" xfId="3" applyNumberFormat="1" applyFont="1" applyFill="1" applyBorder="1" applyAlignment="1" applyProtection="1">
      <alignment horizontal="center" vertical="center"/>
    </xf>
    <xf numFmtId="41" fontId="110" fillId="25" borderId="37" xfId="3" applyNumberFormat="1" applyFont="1" applyFill="1" applyBorder="1" applyAlignment="1" applyProtection="1">
      <alignment horizontal="center" vertical="center"/>
    </xf>
    <xf numFmtId="0" fontId="103" fillId="0" borderId="0" xfId="116" applyNumberFormat="1" applyFont="1" applyAlignment="1">
      <alignment horizontal="center" vertical="center"/>
    </xf>
    <xf numFmtId="41" fontId="110" fillId="25" borderId="4" xfId="3" applyNumberFormat="1" applyFont="1" applyFill="1" applyBorder="1" applyAlignment="1" applyProtection="1">
      <alignment horizontal="center" vertical="center"/>
    </xf>
    <xf numFmtId="41" fontId="114" fillId="25" borderId="4" xfId="49730" applyNumberFormat="1" applyFont="1" applyFill="1" applyBorder="1" applyAlignment="1" applyProtection="1">
      <alignment horizontal="center" vertical="center"/>
    </xf>
    <xf numFmtId="178" fontId="110" fillId="0" borderId="3" xfId="49738" applyNumberFormat="1" applyFont="1" applyFill="1" applyBorder="1" applyAlignment="1">
      <alignment horizontal="center" vertical="center"/>
    </xf>
    <xf numFmtId="178" fontId="112" fillId="26" borderId="3" xfId="0" applyNumberFormat="1" applyFont="1" applyFill="1" applyBorder="1" applyAlignment="1">
      <alignment horizontal="center" vertical="center"/>
    </xf>
    <xf numFmtId="178" fontId="110" fillId="0" borderId="32" xfId="0" applyNumberFormat="1" applyFont="1" applyFill="1" applyBorder="1" applyAlignment="1">
      <alignment horizontal="center" vertical="center"/>
    </xf>
    <xf numFmtId="178" fontId="114" fillId="0" borderId="32" xfId="0" applyNumberFormat="1" applyFont="1" applyFill="1" applyBorder="1" applyAlignment="1">
      <alignment horizontal="center" vertical="center"/>
    </xf>
    <xf numFmtId="178" fontId="110" fillId="25" borderId="32" xfId="0" applyNumberFormat="1" applyFont="1" applyFill="1" applyBorder="1" applyAlignment="1">
      <alignment horizontal="center" vertical="center"/>
    </xf>
    <xf numFmtId="178" fontId="110" fillId="0" borderId="32" xfId="49738" applyNumberFormat="1" applyFont="1" applyFill="1" applyBorder="1" applyAlignment="1">
      <alignment horizontal="center" vertical="center"/>
    </xf>
    <xf numFmtId="178" fontId="110" fillId="0" borderId="3" xfId="0" applyNumberFormat="1" applyFont="1" applyBorder="1" applyAlignment="1">
      <alignment horizontal="center" vertical="center"/>
    </xf>
    <xf numFmtId="0" fontId="33" fillId="0" borderId="0" xfId="5" applyNumberFormat="1" applyFont="1" applyFill="1" applyAlignment="1"/>
    <xf numFmtId="0" fontId="35" fillId="0" borderId="0" xfId="5" applyNumberFormat="1" applyFont="1" applyFill="1" applyAlignment="1"/>
    <xf numFmtId="0" fontId="36" fillId="28" borderId="3" xfId="5" applyNumberFormat="1" applyFont="1" applyFill="1" applyBorder="1" applyAlignment="1" applyProtection="1">
      <alignment horizontal="center" vertical="center"/>
    </xf>
    <xf numFmtId="0" fontId="36" fillId="0" borderId="3" xfId="5" applyNumberFormat="1" applyFont="1" applyFill="1" applyBorder="1" applyAlignment="1" applyProtection="1">
      <alignment horizontal="center" vertical="center"/>
    </xf>
    <xf numFmtId="0" fontId="36" fillId="0" borderId="32" xfId="5" applyNumberFormat="1" applyFont="1" applyFill="1" applyBorder="1" applyAlignment="1" applyProtection="1">
      <alignment horizontal="center" vertical="center"/>
    </xf>
    <xf numFmtId="0" fontId="84" fillId="0" borderId="4" xfId="5" applyNumberFormat="1" applyFont="1" applyFill="1" applyBorder="1" applyAlignment="1" applyProtection="1">
      <alignment horizontal="center" vertical="center"/>
    </xf>
    <xf numFmtId="177" fontId="84" fillId="33" borderId="3" xfId="5" applyNumberFormat="1" applyFont="1" applyFill="1" applyBorder="1" applyAlignment="1" applyProtection="1">
      <alignment horizontal="center" vertical="center"/>
    </xf>
    <xf numFmtId="178" fontId="85" fillId="28" borderId="3" xfId="5" applyNumberFormat="1" applyFont="1" applyFill="1" applyBorder="1" applyAlignment="1">
      <alignment horizontal="center" vertical="center"/>
    </xf>
    <xf numFmtId="178" fontId="85" fillId="28" borderId="32" xfId="5" applyNumberFormat="1" applyFont="1" applyFill="1" applyBorder="1" applyAlignment="1">
      <alignment horizontal="center" vertical="center"/>
    </xf>
    <xf numFmtId="177" fontId="111" fillId="33" borderId="3" xfId="5" applyNumberFormat="1" applyFont="1" applyFill="1" applyBorder="1" applyAlignment="1" applyProtection="1">
      <alignment horizontal="center" vertical="center"/>
    </xf>
    <xf numFmtId="178" fontId="112" fillId="28" borderId="3" xfId="5" applyNumberFormat="1" applyFont="1" applyFill="1" applyBorder="1" applyAlignment="1">
      <alignment horizontal="center" vertical="center"/>
    </xf>
    <xf numFmtId="178" fontId="110" fillId="0" borderId="3" xfId="5" applyNumberFormat="1" applyFont="1" applyFill="1" applyBorder="1" applyAlignment="1">
      <alignment horizontal="center" vertical="center"/>
    </xf>
    <xf numFmtId="178" fontId="110" fillId="0" borderId="32" xfId="5" applyNumberFormat="1" applyFont="1" applyFill="1" applyBorder="1" applyAlignment="1">
      <alignment horizontal="center" vertical="center"/>
    </xf>
    <xf numFmtId="178" fontId="110" fillId="25" borderId="3" xfId="5" applyNumberFormat="1" applyFont="1" applyFill="1" applyBorder="1" applyAlignment="1">
      <alignment horizontal="center" vertical="center"/>
    </xf>
    <xf numFmtId="0" fontId="110" fillId="25" borderId="0" xfId="5" applyNumberFormat="1" applyFont="1" applyFill="1" applyAlignment="1"/>
    <xf numFmtId="178" fontId="114" fillId="0" borderId="32" xfId="49724" applyNumberFormat="1" applyFont="1" applyFill="1" applyBorder="1" applyAlignment="1">
      <alignment horizontal="center" vertical="center"/>
    </xf>
    <xf numFmtId="0" fontId="109" fillId="0" borderId="0" xfId="5" applyNumberFormat="1" applyFont="1" applyFill="1" applyAlignment="1"/>
    <xf numFmtId="178" fontId="114" fillId="0" borderId="32" xfId="5" applyNumberFormat="1" applyFont="1" applyFill="1" applyBorder="1" applyAlignment="1">
      <alignment horizontal="center" vertical="center"/>
    </xf>
    <xf numFmtId="0" fontId="33" fillId="25" borderId="0" xfId="5" applyNumberFormat="1" applyFont="1" applyFill="1" applyAlignment="1"/>
    <xf numFmtId="0" fontId="110" fillId="0" borderId="0" xfId="5" applyNumberFormat="1" applyFont="1" applyFill="1" applyAlignment="1"/>
    <xf numFmtId="41" fontId="110" fillId="25" borderId="48" xfId="3" applyNumberFormat="1" applyFont="1" applyFill="1" applyBorder="1" applyAlignment="1" applyProtection="1">
      <alignment horizontal="center" vertical="center"/>
    </xf>
    <xf numFmtId="177" fontId="111" fillId="33" borderId="18" xfId="5" applyNumberFormat="1" applyFont="1" applyFill="1" applyBorder="1" applyAlignment="1" applyProtection="1">
      <alignment horizontal="center" vertical="center"/>
    </xf>
    <xf numFmtId="178" fontId="112" fillId="28" borderId="19" xfId="5" applyNumberFormat="1" applyFont="1" applyFill="1" applyBorder="1" applyAlignment="1">
      <alignment horizontal="center" vertical="center"/>
    </xf>
    <xf numFmtId="177" fontId="111" fillId="33" borderId="34" xfId="5" applyNumberFormat="1" applyFont="1" applyFill="1" applyBorder="1" applyAlignment="1" applyProtection="1">
      <alignment horizontal="center" vertical="center"/>
    </xf>
    <xf numFmtId="0" fontId="111" fillId="25" borderId="4" xfId="5" applyNumberFormat="1" applyFont="1" applyFill="1" applyBorder="1" applyAlignment="1" applyProtection="1">
      <alignment horizontal="center" vertical="center"/>
    </xf>
    <xf numFmtId="178" fontId="113" fillId="26" borderId="3" xfId="5" applyNumberFormat="1" applyFont="1" applyFill="1" applyBorder="1" applyAlignment="1">
      <alignment horizontal="center" vertical="center"/>
    </xf>
    <xf numFmtId="178" fontId="113" fillId="26" borderId="32" xfId="5" applyNumberFormat="1" applyFont="1" applyFill="1" applyBorder="1" applyAlignment="1">
      <alignment horizontal="center" vertical="center"/>
    </xf>
    <xf numFmtId="178" fontId="112" fillId="26" borderId="3" xfId="5" applyNumberFormat="1" applyFont="1" applyFill="1" applyBorder="1" applyAlignment="1">
      <alignment horizontal="center" vertical="center"/>
    </xf>
    <xf numFmtId="177" fontId="111" fillId="33" borderId="19" xfId="5" applyNumberFormat="1" applyFont="1" applyFill="1" applyBorder="1" applyAlignment="1" applyProtection="1">
      <alignment horizontal="center" vertical="center"/>
    </xf>
    <xf numFmtId="178" fontId="112" fillId="26" borderId="19" xfId="5" applyNumberFormat="1" applyFont="1" applyFill="1" applyBorder="1" applyAlignment="1">
      <alignment horizontal="center" vertical="center"/>
    </xf>
    <xf numFmtId="178" fontId="110" fillId="0" borderId="19" xfId="5" applyNumberFormat="1" applyFont="1" applyFill="1" applyBorder="1" applyAlignment="1">
      <alignment horizontal="center" vertical="center"/>
    </xf>
    <xf numFmtId="0" fontId="33" fillId="0" borderId="38" xfId="5" applyNumberFormat="1" applyFont="1" applyFill="1" applyBorder="1" applyAlignment="1"/>
    <xf numFmtId="177" fontId="111" fillId="33" borderId="17" xfId="5" applyNumberFormat="1" applyFont="1" applyFill="1" applyBorder="1" applyAlignment="1" applyProtection="1">
      <alignment horizontal="center" vertical="center"/>
    </xf>
    <xf numFmtId="178" fontId="112" fillId="28" borderId="17" xfId="0" applyNumberFormat="1" applyFont="1" applyFill="1" applyBorder="1" applyAlignment="1">
      <alignment horizontal="center" vertical="center"/>
    </xf>
    <xf numFmtId="178" fontId="114" fillId="0" borderId="32" xfId="0" applyNumberFormat="1" applyFont="1" applyBorder="1" applyAlignment="1">
      <alignment horizontal="center" vertical="center"/>
    </xf>
    <xf numFmtId="178" fontId="114" fillId="0" borderId="47" xfId="0" applyNumberFormat="1" applyFont="1" applyFill="1" applyBorder="1" applyAlignment="1">
      <alignment horizontal="center" vertical="center"/>
    </xf>
    <xf numFmtId="178" fontId="110" fillId="0" borderId="47" xfId="0" applyNumberFormat="1" applyFont="1" applyFill="1" applyBorder="1" applyAlignment="1">
      <alignment horizontal="center" vertical="center"/>
    </xf>
    <xf numFmtId="178" fontId="114" fillId="0" borderId="46" xfId="0" applyNumberFormat="1" applyFont="1" applyFill="1" applyBorder="1" applyAlignment="1">
      <alignment horizontal="center" vertical="center"/>
    </xf>
    <xf numFmtId="178" fontId="110" fillId="0" borderId="32" xfId="0" applyNumberFormat="1" applyFont="1" applyBorder="1" applyAlignment="1">
      <alignment horizontal="center" vertical="center"/>
    </xf>
    <xf numFmtId="178" fontId="110" fillId="28" borderId="3" xfId="0" applyNumberFormat="1" applyFont="1" applyFill="1" applyBorder="1" applyAlignment="1">
      <alignment horizontal="center" vertical="center"/>
    </xf>
    <xf numFmtId="178" fontId="110" fillId="28" borderId="34" xfId="0" applyNumberFormat="1" applyFont="1" applyFill="1" applyBorder="1" applyAlignment="1">
      <alignment horizontal="center" vertical="center"/>
    </xf>
    <xf numFmtId="178" fontId="84" fillId="28" borderId="3" xfId="0" applyNumberFormat="1" applyFont="1" applyFill="1" applyBorder="1" applyAlignment="1">
      <alignment horizontal="center" vertical="center"/>
    </xf>
    <xf numFmtId="178" fontId="84" fillId="28" borderId="32" xfId="0" applyNumberFormat="1" applyFont="1" applyFill="1" applyBorder="1" applyAlignment="1">
      <alignment horizontal="center" vertical="center"/>
    </xf>
    <xf numFmtId="178" fontId="111" fillId="26" borderId="3" xfId="0" applyNumberFormat="1" applyFont="1" applyFill="1" applyBorder="1" applyAlignment="1">
      <alignment horizontal="center" vertical="center"/>
    </xf>
    <xf numFmtId="178" fontId="111" fillId="26" borderId="32" xfId="0" applyNumberFormat="1" applyFont="1" applyFill="1" applyBorder="1" applyAlignment="1">
      <alignment horizontal="center" vertical="center"/>
    </xf>
    <xf numFmtId="14" fontId="125" fillId="35" borderId="17" xfId="49729" applyNumberFormat="1" applyFont="1" applyFill="1" applyBorder="1" applyAlignment="1">
      <alignment vertical="center" wrapText="1"/>
    </xf>
    <xf numFmtId="0" fontId="126" fillId="35" borderId="17" xfId="116" applyNumberFormat="1" applyFont="1" applyFill="1" applyBorder="1" applyAlignment="1">
      <alignment horizontal="center" vertical="center"/>
    </xf>
    <xf numFmtId="0" fontId="126" fillId="35" borderId="17" xfId="116" applyNumberFormat="1" applyFont="1" applyFill="1" applyBorder="1" applyAlignment="1">
      <alignment horizontal="center" vertical="center" shrinkToFit="1"/>
    </xf>
    <xf numFmtId="0" fontId="126" fillId="35" borderId="17" xfId="116" applyNumberFormat="1" applyFont="1" applyFill="1" applyBorder="1" applyAlignment="1">
      <alignment horizontal="center" vertical="center" wrapText="1"/>
    </xf>
    <xf numFmtId="14" fontId="124" fillId="0" borderId="0" xfId="49729" applyNumberFormat="1" applyFont="1" applyBorder="1" applyAlignment="1">
      <alignment vertical="center"/>
    </xf>
    <xf numFmtId="0" fontId="123" fillId="0" borderId="0" xfId="116" applyNumberFormat="1" applyFont="1" applyAlignment="1">
      <alignment vertical="center"/>
    </xf>
    <xf numFmtId="0" fontId="123" fillId="0" borderId="0" xfId="116" applyNumberFormat="1" applyFont="1"/>
    <xf numFmtId="0" fontId="103" fillId="0" borderId="0" xfId="116" applyFont="1" applyFill="1"/>
    <xf numFmtId="0" fontId="103" fillId="0" borderId="0" xfId="116" applyFont="1" applyFill="1" applyAlignment="1">
      <alignment horizontal="center" vertical="center"/>
    </xf>
    <xf numFmtId="0" fontId="107" fillId="0" borderId="0" xfId="116" applyFont="1" applyFill="1"/>
    <xf numFmtId="0" fontId="84" fillId="25" borderId="4" xfId="0" applyNumberFormat="1" applyFont="1" applyFill="1" applyBorder="1" applyAlignment="1" applyProtection="1">
      <alignment horizontal="center" vertical="center"/>
    </xf>
    <xf numFmtId="41" fontId="118" fillId="35" borderId="3" xfId="49729" applyFont="1" applyFill="1" applyBorder="1" applyAlignment="1">
      <alignment horizontal="right" vertical="center" wrapText="1"/>
    </xf>
    <xf numFmtId="0" fontId="37" fillId="0" borderId="0" xfId="0" applyNumberFormat="1" applyFont="1" applyFill="1" applyBorder="1" applyAlignment="1">
      <alignment horizontal="left" vertical="center"/>
    </xf>
    <xf numFmtId="0" fontId="37" fillId="0" borderId="31" xfId="0" applyNumberFormat="1" applyFont="1" applyFill="1" applyBorder="1" applyAlignment="1">
      <alignment horizontal="left" vertical="center"/>
    </xf>
    <xf numFmtId="178" fontId="111" fillId="28" borderId="3" xfId="0" applyNumberFormat="1" applyFont="1" applyFill="1" applyBorder="1" applyAlignment="1">
      <alignment horizontal="center" vertical="center"/>
    </xf>
    <xf numFmtId="0" fontId="129" fillId="25" borderId="3" xfId="32014" applyNumberFormat="1" applyFont="1" applyFill="1" applyBorder="1" applyAlignment="1">
      <alignment horizontal="center" vertical="center"/>
    </xf>
    <xf numFmtId="41" fontId="130" fillId="0" borderId="3" xfId="49719" applyFont="1" applyFill="1" applyBorder="1" applyAlignment="1">
      <alignment horizontal="right" vertical="center"/>
    </xf>
    <xf numFmtId="0" fontId="127" fillId="33" borderId="17" xfId="32014" applyNumberFormat="1" applyFont="1" applyFill="1" applyBorder="1" applyAlignment="1">
      <alignment horizontal="center" vertical="center" wrapText="1"/>
    </xf>
    <xf numFmtId="0" fontId="127" fillId="33" borderId="3" xfId="32014" applyNumberFormat="1" applyFont="1" applyFill="1" applyBorder="1" applyAlignment="1">
      <alignment horizontal="center" vertical="center" wrapText="1"/>
    </xf>
    <xf numFmtId="0" fontId="126" fillId="32" borderId="3" xfId="116" applyNumberFormat="1" applyFont="1" applyFill="1" applyBorder="1" applyAlignment="1">
      <alignment horizontal="center" vertical="top"/>
    </xf>
    <xf numFmtId="14" fontId="126" fillId="32" borderId="3" xfId="49719" applyNumberFormat="1" applyFont="1" applyFill="1" applyBorder="1" applyAlignment="1">
      <alignment horizontal="center" vertical="center"/>
    </xf>
    <xf numFmtId="0" fontId="128" fillId="32" borderId="3" xfId="116" applyNumberFormat="1" applyFont="1" applyFill="1" applyBorder="1" applyAlignment="1">
      <alignment horizontal="center" vertical="center"/>
    </xf>
    <xf numFmtId="0" fontId="128" fillId="32" borderId="3" xfId="116" applyNumberFormat="1" applyFont="1" applyFill="1" applyBorder="1" applyAlignment="1">
      <alignment horizontal="center" vertical="center" shrinkToFit="1"/>
    </xf>
    <xf numFmtId="193" fontId="129" fillId="25" borderId="36" xfId="32014" applyNumberFormat="1" applyFont="1" applyFill="1" applyBorder="1" applyAlignment="1">
      <alignment horizontal="center" vertical="center"/>
    </xf>
    <xf numFmtId="178" fontId="130" fillId="25" borderId="3" xfId="32014" applyNumberFormat="1" applyFont="1" applyFill="1" applyBorder="1" applyAlignment="1">
      <alignment horizontal="right" vertical="center"/>
    </xf>
    <xf numFmtId="193" fontId="129" fillId="25" borderId="3" xfId="32014" applyNumberFormat="1" applyFont="1" applyFill="1" applyBorder="1" applyAlignment="1">
      <alignment horizontal="center" vertical="center"/>
    </xf>
    <xf numFmtId="178" fontId="130" fillId="0" borderId="3" xfId="32014" applyNumberFormat="1" applyFont="1" applyFill="1" applyBorder="1" applyAlignment="1">
      <alignment horizontal="right" vertical="center"/>
    </xf>
    <xf numFmtId="0" fontId="127" fillId="25" borderId="3" xfId="32014" applyNumberFormat="1" applyFont="1" applyFill="1" applyBorder="1" applyAlignment="1">
      <alignment horizontal="center" vertical="center" wrapText="1"/>
    </xf>
    <xf numFmtId="0" fontId="128" fillId="0" borderId="3" xfId="116" applyNumberFormat="1" applyFont="1" applyFill="1" applyBorder="1" applyAlignment="1">
      <alignment horizontal="center" vertical="center"/>
    </xf>
    <xf numFmtId="41" fontId="128" fillId="0" borderId="3" xfId="49719" applyFont="1" applyFill="1" applyBorder="1" applyAlignment="1">
      <alignment horizontal="right" vertical="center"/>
    </xf>
    <xf numFmtId="0" fontId="128" fillId="33" borderId="3" xfId="116" applyNumberFormat="1" applyFont="1" applyFill="1" applyBorder="1" applyAlignment="1">
      <alignment horizontal="center" vertical="center"/>
    </xf>
    <xf numFmtId="0" fontId="130" fillId="33" borderId="36" xfId="4156" applyFont="1" applyFill="1" applyBorder="1" applyAlignment="1">
      <alignment horizontal="center" vertical="center"/>
    </xf>
    <xf numFmtId="0" fontId="128" fillId="0" borderId="3" xfId="2500" applyNumberFormat="1" applyFont="1" applyFill="1" applyBorder="1" applyAlignment="1">
      <alignment horizontal="center" vertical="center"/>
    </xf>
    <xf numFmtId="0" fontId="128" fillId="34" borderId="3" xfId="116" applyNumberFormat="1" applyFont="1" applyFill="1" applyBorder="1" applyAlignment="1">
      <alignment horizontal="center" vertical="center"/>
    </xf>
    <xf numFmtId="0" fontId="129" fillId="0" borderId="3" xfId="32014" applyNumberFormat="1" applyFont="1" applyFill="1" applyBorder="1" applyAlignment="1">
      <alignment horizontal="center" vertical="center"/>
    </xf>
    <xf numFmtId="0" fontId="130" fillId="33" borderId="27" xfId="4156" applyNumberFormat="1" applyFont="1" applyFill="1" applyBorder="1" applyAlignment="1">
      <alignment horizontal="center" vertical="center"/>
    </xf>
    <xf numFmtId="0" fontId="130" fillId="33" borderId="36" xfId="4156" applyNumberFormat="1" applyFont="1" applyFill="1" applyBorder="1" applyAlignment="1">
      <alignment horizontal="center" vertical="center"/>
    </xf>
    <xf numFmtId="0" fontId="126" fillId="32" borderId="3" xfId="116" applyNumberFormat="1" applyFont="1" applyFill="1" applyBorder="1" applyAlignment="1">
      <alignment horizontal="center" vertical="center"/>
    </xf>
    <xf numFmtId="0" fontId="129" fillId="0" borderId="3" xfId="2500" applyNumberFormat="1" applyFont="1" applyFill="1" applyBorder="1" applyAlignment="1">
      <alignment horizontal="center" vertical="center"/>
    </xf>
    <xf numFmtId="0" fontId="130" fillId="0" borderId="3" xfId="2500" applyFont="1" applyBorder="1" applyAlignment="1">
      <alignment horizontal="center" vertical="center"/>
    </xf>
    <xf numFmtId="41" fontId="130" fillId="25" borderId="3" xfId="49719" applyFont="1" applyFill="1" applyBorder="1" applyAlignment="1">
      <alignment horizontal="right" vertical="center"/>
    </xf>
    <xf numFmtId="0" fontId="130" fillId="0" borderId="3" xfId="2500" applyNumberFormat="1" applyFont="1" applyFill="1" applyBorder="1" applyAlignment="1">
      <alignment horizontal="center" vertical="center"/>
    </xf>
    <xf numFmtId="0" fontId="130" fillId="33" borderId="3" xfId="4156" applyNumberFormat="1" applyFont="1" applyFill="1" applyBorder="1" applyAlignment="1">
      <alignment horizontal="center" vertical="center"/>
    </xf>
    <xf numFmtId="0" fontId="128" fillId="0" borderId="3" xfId="116" applyNumberFormat="1" applyFont="1" applyFill="1" applyBorder="1" applyAlignment="1">
      <alignment horizontal="center" vertical="center" shrinkToFit="1"/>
    </xf>
    <xf numFmtId="0" fontId="129" fillId="25" borderId="3" xfId="49719" applyNumberFormat="1" applyFont="1" applyFill="1" applyBorder="1" applyAlignment="1">
      <alignment horizontal="center" vertical="center"/>
    </xf>
    <xf numFmtId="0" fontId="129" fillId="25" borderId="3" xfId="32014" applyNumberFormat="1" applyFont="1" applyFill="1" applyBorder="1" applyAlignment="1">
      <alignment horizontal="center" vertical="center" shrinkToFit="1"/>
    </xf>
    <xf numFmtId="0" fontId="128" fillId="33" borderId="17" xfId="116" applyNumberFormat="1" applyFont="1" applyFill="1" applyBorder="1" applyAlignment="1">
      <alignment horizontal="center" vertical="center"/>
    </xf>
    <xf numFmtId="0" fontId="130" fillId="0" borderId="3" xfId="4156" applyNumberFormat="1" applyFont="1" applyFill="1" applyBorder="1" applyAlignment="1">
      <alignment horizontal="center" vertical="center"/>
    </xf>
    <xf numFmtId="0" fontId="130" fillId="25" borderId="36" xfId="4156" applyNumberFormat="1" applyFont="1" applyFill="1" applyBorder="1" applyAlignment="1">
      <alignment horizontal="center" vertical="center"/>
    </xf>
    <xf numFmtId="0" fontId="127" fillId="25" borderId="39" xfId="0" applyNumberFormat="1" applyFont="1" applyFill="1" applyBorder="1" applyAlignment="1">
      <alignment horizontal="center" vertical="center" wrapText="1"/>
    </xf>
    <xf numFmtId="0" fontId="127" fillId="25" borderId="40" xfId="0" applyNumberFormat="1" applyFont="1" applyFill="1" applyBorder="1" applyAlignment="1">
      <alignment horizontal="center" vertical="center" wrapText="1"/>
    </xf>
    <xf numFmtId="0" fontId="130" fillId="25" borderId="19" xfId="4156" applyFont="1" applyFill="1" applyBorder="1" applyAlignment="1">
      <alignment vertical="center" wrapText="1"/>
    </xf>
    <xf numFmtId="14" fontId="126" fillId="32" borderId="3" xfId="49729" applyNumberFormat="1" applyFont="1" applyFill="1" applyBorder="1" applyAlignment="1">
      <alignment horizontal="center" vertical="center" wrapText="1"/>
    </xf>
    <xf numFmtId="0" fontId="128" fillId="32" borderId="3" xfId="116" applyNumberFormat="1" applyFont="1" applyFill="1" applyBorder="1" applyAlignment="1">
      <alignment horizontal="center" vertical="center" wrapText="1"/>
    </xf>
    <xf numFmtId="0" fontId="127" fillId="37" borderId="3" xfId="32014" applyNumberFormat="1" applyFont="1" applyFill="1" applyBorder="1" applyAlignment="1">
      <alignment horizontal="center" vertical="center"/>
    </xf>
    <xf numFmtId="0" fontId="128" fillId="25" borderId="3" xfId="32014" applyNumberFormat="1" applyFont="1" applyFill="1" applyBorder="1" applyAlignment="1">
      <alignment horizontal="center" vertical="center"/>
    </xf>
    <xf numFmtId="0" fontId="128" fillId="37" borderId="3" xfId="32014" applyNumberFormat="1" applyFont="1" applyFill="1" applyBorder="1" applyAlignment="1">
      <alignment horizontal="center" vertical="center"/>
    </xf>
    <xf numFmtId="0" fontId="128" fillId="33" borderId="36" xfId="4156" applyNumberFormat="1" applyFont="1" applyFill="1" applyBorder="1" applyAlignment="1">
      <alignment horizontal="center" vertical="center"/>
    </xf>
    <xf numFmtId="14" fontId="126" fillId="32" borderId="3" xfId="49719" applyNumberFormat="1" applyFont="1" applyFill="1" applyBorder="1" applyAlignment="1">
      <alignment horizontal="center" vertical="center" wrapText="1"/>
    </xf>
    <xf numFmtId="0" fontId="128" fillId="32" borderId="3" xfId="116" quotePrefix="1" applyNumberFormat="1" applyFont="1" applyFill="1" applyBorder="1" applyAlignment="1">
      <alignment horizontal="center" vertical="center" wrapText="1"/>
    </xf>
    <xf numFmtId="0" fontId="128" fillId="32" borderId="3" xfId="116" quotePrefix="1" applyNumberFormat="1" applyFont="1" applyFill="1" applyBorder="1" applyAlignment="1">
      <alignment horizontal="center" vertical="center" shrinkToFit="1"/>
    </xf>
    <xf numFmtId="178" fontId="130" fillId="25" borderId="19" xfId="4156" applyNumberFormat="1" applyFont="1" applyFill="1" applyBorder="1" applyAlignment="1">
      <alignment horizontal="right" vertical="center"/>
    </xf>
    <xf numFmtId="0" fontId="130" fillId="33" borderId="19" xfId="4156" applyFont="1" applyFill="1" applyBorder="1" applyAlignment="1">
      <alignment horizontal="center" vertical="center"/>
    </xf>
    <xf numFmtId="0" fontId="127" fillId="0" borderId="3" xfId="0" applyFont="1" applyBorder="1" applyAlignment="1">
      <alignment horizontal="center" vertical="center"/>
    </xf>
    <xf numFmtId="41" fontId="131" fillId="33" borderId="19" xfId="49729" applyFont="1" applyFill="1" applyBorder="1" applyAlignment="1">
      <alignment horizontal="center" vertical="center"/>
    </xf>
    <xf numFmtId="178" fontId="130" fillId="0" borderId="19" xfId="4156" applyNumberFormat="1" applyFont="1" applyBorder="1" applyAlignment="1">
      <alignment horizontal="right" vertical="center"/>
    </xf>
    <xf numFmtId="0" fontId="127" fillId="37" borderId="49" xfId="0" applyFont="1" applyFill="1" applyBorder="1" applyAlignment="1">
      <alignment horizontal="center" vertical="center" wrapText="1" readingOrder="1"/>
    </xf>
    <xf numFmtId="0" fontId="130" fillId="0" borderId="3" xfId="4156" applyFont="1" applyBorder="1" applyAlignment="1">
      <alignment horizontal="center" vertical="center"/>
    </xf>
    <xf numFmtId="0" fontId="126" fillId="32" borderId="35" xfId="116" applyFont="1" applyFill="1" applyBorder="1" applyAlignment="1">
      <alignment vertical="center"/>
    </xf>
    <xf numFmtId="0" fontId="127" fillId="25" borderId="3" xfId="32014" applyNumberFormat="1" applyFont="1" applyFill="1" applyBorder="1" applyAlignment="1">
      <alignment horizontal="center" vertical="center"/>
    </xf>
    <xf numFmtId="0" fontId="128" fillId="25" borderId="3" xfId="116" applyNumberFormat="1" applyFont="1" applyFill="1" applyBorder="1" applyAlignment="1">
      <alignment horizontal="center" vertical="center"/>
    </xf>
    <xf numFmtId="0" fontId="128" fillId="34" borderId="17" xfId="116" applyNumberFormat="1" applyFont="1" applyFill="1" applyBorder="1" applyAlignment="1">
      <alignment horizontal="center" vertical="center"/>
    </xf>
    <xf numFmtId="49" fontId="130" fillId="25" borderId="17" xfId="32014" applyNumberFormat="1" applyFont="1" applyFill="1" applyBorder="1" applyAlignment="1">
      <alignment vertical="center" wrapText="1"/>
    </xf>
    <xf numFmtId="49" fontId="130" fillId="25" borderId="18" xfId="32014" applyNumberFormat="1" applyFont="1" applyFill="1" applyBorder="1" applyAlignment="1">
      <alignment vertical="center" wrapText="1"/>
    </xf>
    <xf numFmtId="49" fontId="130" fillId="25" borderId="19" xfId="32014" applyNumberFormat="1" applyFont="1" applyFill="1" applyBorder="1" applyAlignment="1">
      <alignment vertical="center" wrapText="1"/>
    </xf>
    <xf numFmtId="193" fontId="128" fillId="0" borderId="3" xfId="116" applyNumberFormat="1" applyFont="1" applyFill="1" applyBorder="1" applyAlignment="1">
      <alignment horizontal="center" vertical="center"/>
    </xf>
    <xf numFmtId="0" fontId="130" fillId="0" borderId="3" xfId="49723" applyNumberFormat="1" applyFont="1" applyFill="1" applyBorder="1" applyAlignment="1">
      <alignment horizontal="center" vertical="center"/>
    </xf>
    <xf numFmtId="0" fontId="128" fillId="0" borderId="3" xfId="4156" applyNumberFormat="1" applyFont="1" applyFill="1" applyBorder="1" applyAlignment="1">
      <alignment horizontal="center" vertical="center"/>
    </xf>
    <xf numFmtId="0" fontId="128" fillId="33" borderId="3" xfId="4156" applyNumberFormat="1" applyFont="1" applyFill="1" applyBorder="1" applyAlignment="1">
      <alignment horizontal="center" vertical="center"/>
    </xf>
    <xf numFmtId="0" fontId="128" fillId="0" borderId="3" xfId="116" applyNumberFormat="1" applyFont="1" applyFill="1" applyBorder="1" applyAlignment="1">
      <alignment horizontal="center" vertical="center" wrapText="1"/>
    </xf>
    <xf numFmtId="0" fontId="128" fillId="33" borderId="3" xfId="116" applyNumberFormat="1" applyFont="1" applyFill="1" applyBorder="1" applyAlignment="1">
      <alignment horizontal="center" vertical="center" wrapText="1"/>
    </xf>
    <xf numFmtId="0" fontId="131" fillId="33" borderId="3" xfId="4156" applyFont="1" applyFill="1" applyBorder="1" applyAlignment="1">
      <alignment horizontal="center" vertical="center"/>
    </xf>
    <xf numFmtId="0" fontId="130" fillId="33" borderId="27" xfId="4156" applyFont="1" applyFill="1" applyBorder="1" applyAlignment="1">
      <alignment horizontal="center" vertical="center"/>
    </xf>
    <xf numFmtId="0" fontId="128" fillId="33" borderId="36" xfId="116" applyNumberFormat="1" applyFont="1" applyFill="1" applyBorder="1" applyAlignment="1">
      <alignment horizontal="center" vertical="center"/>
    </xf>
    <xf numFmtId="0" fontId="130" fillId="25" borderId="3" xfId="4156" applyFont="1" applyFill="1" applyBorder="1" applyAlignment="1">
      <alignment horizontal="center" vertical="center"/>
    </xf>
    <xf numFmtId="197" fontId="127" fillId="25" borderId="3" xfId="49727" applyNumberFormat="1" applyFont="1" applyFill="1" applyBorder="1" applyAlignment="1">
      <alignment horizontal="center" vertical="center"/>
    </xf>
    <xf numFmtId="178" fontId="130" fillId="0" borderId="3" xfId="49727" applyNumberFormat="1" applyFont="1" applyBorder="1" applyAlignment="1">
      <alignment horizontal="right" vertical="center"/>
    </xf>
    <xf numFmtId="197" fontId="127" fillId="25" borderId="3" xfId="49727" applyNumberFormat="1" applyFont="1" applyFill="1" applyBorder="1" applyAlignment="1">
      <alignment horizontal="center" vertical="center" wrapText="1"/>
    </xf>
    <xf numFmtId="0" fontId="137" fillId="33" borderId="36" xfId="49738" applyFont="1" applyFill="1" applyBorder="1" applyAlignment="1">
      <alignment horizontal="center" vertical="center"/>
    </xf>
    <xf numFmtId="0" fontId="128" fillId="0" borderId="3" xfId="49725" applyNumberFormat="1" applyFont="1" applyBorder="1" applyAlignment="1">
      <alignment horizontal="center" vertical="center" shrinkToFit="1"/>
    </xf>
    <xf numFmtId="0" fontId="130" fillId="25" borderId="3" xfId="32014" applyNumberFormat="1" applyFont="1" applyFill="1" applyBorder="1" applyAlignment="1">
      <alignment horizontal="center" vertical="center"/>
    </xf>
    <xf numFmtId="0" fontId="128" fillId="0" borderId="3" xfId="49245" applyNumberFormat="1" applyFont="1" applyBorder="1" applyAlignment="1">
      <alignment horizontal="center" vertical="center" shrinkToFit="1"/>
    </xf>
    <xf numFmtId="195" fontId="128" fillId="0" borderId="3" xfId="49245" applyNumberFormat="1" applyFont="1" applyBorder="1" applyAlignment="1">
      <alignment horizontal="center" vertical="center" shrinkToFit="1"/>
    </xf>
    <xf numFmtId="195" fontId="128" fillId="0" borderId="17" xfId="49245" applyNumberFormat="1" applyFont="1" applyBorder="1" applyAlignment="1">
      <alignment horizontal="center" vertical="center" shrinkToFit="1"/>
    </xf>
    <xf numFmtId="0" fontId="127" fillId="0" borderId="3" xfId="0" applyNumberFormat="1" applyFont="1" applyBorder="1" applyAlignment="1">
      <alignment horizontal="center" vertical="center" wrapText="1"/>
    </xf>
    <xf numFmtId="0" fontId="128" fillId="25" borderId="36" xfId="4156" applyFont="1" applyFill="1" applyBorder="1" applyAlignment="1">
      <alignment horizontal="center" vertical="center"/>
    </xf>
    <xf numFmtId="0" fontId="137" fillId="33" borderId="3" xfId="49738" applyNumberFormat="1" applyFont="1" applyFill="1" applyBorder="1" applyAlignment="1">
      <alignment horizontal="center" vertical="center"/>
    </xf>
    <xf numFmtId="0" fontId="127" fillId="33" borderId="17" xfId="32014" applyFont="1" applyFill="1" applyBorder="1" applyAlignment="1">
      <alignment horizontal="center" vertical="center" wrapText="1"/>
    </xf>
    <xf numFmtId="14" fontId="133" fillId="32" borderId="3" xfId="49719" quotePrefix="1" applyNumberFormat="1" applyFont="1" applyFill="1" applyBorder="1" applyAlignment="1">
      <alignment horizontal="center" vertical="center"/>
    </xf>
    <xf numFmtId="0" fontId="126" fillId="32" borderId="3" xfId="116" applyFont="1" applyFill="1" applyBorder="1" applyAlignment="1">
      <alignment horizontal="center" vertical="center"/>
    </xf>
    <xf numFmtId="0" fontId="126" fillId="32" borderId="3" xfId="116" applyFont="1" applyFill="1" applyBorder="1" applyAlignment="1">
      <alignment horizontal="center" vertical="top"/>
    </xf>
    <xf numFmtId="198" fontId="128" fillId="25" borderId="3" xfId="49727" applyNumberFormat="1" applyFont="1" applyFill="1" applyBorder="1" applyAlignment="1">
      <alignment horizontal="center" vertical="center" wrapText="1"/>
    </xf>
    <xf numFmtId="194" fontId="128" fillId="25" borderId="3" xfId="49727" applyNumberFormat="1" applyFont="1" applyFill="1" applyBorder="1" applyAlignment="1">
      <alignment horizontal="center" vertical="center" wrapText="1"/>
    </xf>
    <xf numFmtId="198" fontId="128" fillId="25" borderId="44" xfId="49727" applyNumberFormat="1" applyFont="1" applyFill="1" applyBorder="1" applyAlignment="1">
      <alignment horizontal="center" vertical="center" wrapText="1"/>
    </xf>
    <xf numFmtId="194" fontId="128" fillId="25" borderId="44" xfId="49727" applyNumberFormat="1" applyFont="1" applyFill="1" applyBorder="1" applyAlignment="1">
      <alignment horizontal="center" vertical="center" wrapText="1"/>
    </xf>
    <xf numFmtId="193" fontId="127" fillId="0" borderId="3" xfId="49727" applyNumberFormat="1" applyFont="1" applyFill="1" applyBorder="1" applyAlignment="1">
      <alignment horizontal="center" vertical="center"/>
    </xf>
    <xf numFmtId="193" fontId="127" fillId="25" borderId="3" xfId="49727" applyNumberFormat="1" applyFont="1" applyFill="1" applyBorder="1" applyAlignment="1">
      <alignment horizontal="center" vertical="center"/>
    </xf>
    <xf numFmtId="193" fontId="129" fillId="25" borderId="17" xfId="32014" applyNumberFormat="1" applyFont="1" applyFill="1" applyBorder="1" applyAlignment="1">
      <alignment horizontal="center" vertical="center"/>
    </xf>
    <xf numFmtId="193" fontId="129" fillId="25" borderId="3" xfId="49727" applyNumberFormat="1" applyFont="1" applyFill="1" applyBorder="1" applyAlignment="1">
      <alignment horizontal="center" vertical="center"/>
    </xf>
    <xf numFmtId="193" fontId="129" fillId="25" borderId="17" xfId="49727" applyNumberFormat="1" applyFont="1" applyFill="1" applyBorder="1" applyAlignment="1">
      <alignment horizontal="center" vertical="center"/>
    </xf>
    <xf numFmtId="0" fontId="127" fillId="0" borderId="3" xfId="49727" applyFont="1" applyFill="1" applyBorder="1" applyAlignment="1">
      <alignment horizontal="center" vertical="center" wrapText="1"/>
    </xf>
    <xf numFmtId="193" fontId="129" fillId="0" borderId="3" xfId="49727" applyNumberFormat="1" applyFont="1" applyFill="1" applyBorder="1" applyAlignment="1">
      <alignment horizontal="center" vertical="center"/>
    </xf>
    <xf numFmtId="178" fontId="127" fillId="0" borderId="3" xfId="49727" applyNumberFormat="1" applyFont="1" applyBorder="1" applyAlignment="1">
      <alignment horizontal="right" vertical="center"/>
    </xf>
    <xf numFmtId="178" fontId="110" fillId="0" borderId="3" xfId="49738" applyNumberFormat="1" applyFont="1" applyBorder="1" applyAlignment="1">
      <alignment horizontal="center" vertical="center"/>
    </xf>
    <xf numFmtId="178" fontId="110" fillId="0" borderId="34" xfId="0" applyNumberFormat="1" applyFont="1" applyBorder="1" applyAlignment="1">
      <alignment horizontal="center" vertical="center"/>
    </xf>
    <xf numFmtId="0" fontId="139" fillId="32" borderId="18" xfId="4156" applyFont="1" applyFill="1" applyBorder="1" applyAlignment="1">
      <alignment vertical="center"/>
    </xf>
    <xf numFmtId="41" fontId="134" fillId="0" borderId="0" xfId="49729" applyFont="1" applyBorder="1" applyAlignment="1">
      <alignment horizontal="right" vertical="center"/>
    </xf>
    <xf numFmtId="0" fontId="136" fillId="0" borderId="0" xfId="116" applyNumberFormat="1" applyFont="1" applyAlignment="1">
      <alignment vertical="center"/>
    </xf>
    <xf numFmtId="41" fontId="130" fillId="0" borderId="3" xfId="49719" applyFont="1" applyFill="1" applyBorder="1" applyAlignment="1">
      <alignment vertical="center"/>
    </xf>
    <xf numFmtId="41" fontId="128" fillId="0" borderId="3" xfId="49729" applyFont="1" applyFill="1" applyBorder="1" applyAlignment="1">
      <alignment horizontal="right" vertical="center"/>
    </xf>
    <xf numFmtId="41" fontId="132" fillId="33" borderId="17" xfId="49719" applyFont="1" applyFill="1" applyBorder="1" applyAlignment="1">
      <alignment vertical="center"/>
    </xf>
    <xf numFmtId="41" fontId="132" fillId="33" borderId="3" xfId="49719" applyFont="1" applyFill="1" applyBorder="1" applyAlignment="1">
      <alignment vertical="center"/>
    </xf>
    <xf numFmtId="41" fontId="132" fillId="33" borderId="3" xfId="49729" applyFont="1" applyFill="1" applyBorder="1" applyAlignment="1">
      <alignment horizontal="right" vertical="center"/>
    </xf>
    <xf numFmtId="41" fontId="133" fillId="32" borderId="3" xfId="49719" applyFont="1" applyFill="1" applyBorder="1" applyAlignment="1">
      <alignment vertical="center"/>
    </xf>
    <xf numFmtId="41" fontId="133" fillId="32" borderId="3" xfId="49729" applyFont="1" applyFill="1" applyBorder="1" applyAlignment="1">
      <alignment horizontal="right" vertical="center"/>
    </xf>
    <xf numFmtId="178" fontId="130" fillId="25" borderId="3" xfId="32014" applyNumberFormat="1" applyFont="1" applyFill="1" applyBorder="1" applyAlignment="1">
      <alignment vertical="center"/>
    </xf>
    <xf numFmtId="178" fontId="130" fillId="25" borderId="19" xfId="32014" applyNumberFormat="1" applyFont="1" applyFill="1" applyBorder="1" applyAlignment="1">
      <alignment vertical="center"/>
    </xf>
    <xf numFmtId="41" fontId="128" fillId="25" borderId="3" xfId="49719" applyFont="1" applyFill="1" applyBorder="1" applyAlignment="1">
      <alignment vertical="center"/>
    </xf>
    <xf numFmtId="41" fontId="128" fillId="0" borderId="3" xfId="49719" applyFont="1" applyFill="1" applyBorder="1" applyAlignment="1">
      <alignment vertical="center"/>
    </xf>
    <xf numFmtId="178" fontId="131" fillId="33" borderId="3" xfId="32014" applyNumberFormat="1" applyFont="1" applyFill="1" applyBorder="1" applyAlignment="1">
      <alignment vertical="center"/>
    </xf>
    <xf numFmtId="178" fontId="131" fillId="33" borderId="3" xfId="32014" applyNumberFormat="1" applyFont="1" applyFill="1" applyBorder="1" applyAlignment="1">
      <alignment horizontal="right" vertical="center"/>
    </xf>
    <xf numFmtId="0" fontId="126" fillId="32" borderId="3" xfId="116" applyNumberFormat="1" applyFont="1" applyFill="1" applyBorder="1" applyAlignment="1">
      <alignment vertical="top"/>
    </xf>
    <xf numFmtId="41" fontId="132" fillId="34" borderId="3" xfId="49719" applyFont="1" applyFill="1" applyBorder="1" applyAlignment="1">
      <alignment vertical="center"/>
    </xf>
    <xf numFmtId="41" fontId="132" fillId="34" borderId="3" xfId="49729" applyFont="1" applyFill="1" applyBorder="1" applyAlignment="1">
      <alignment horizontal="right" vertical="center"/>
    </xf>
    <xf numFmtId="41" fontId="132" fillId="34" borderId="17" xfId="49719" applyFont="1" applyFill="1" applyBorder="1" applyAlignment="1">
      <alignment vertical="center"/>
    </xf>
    <xf numFmtId="0" fontId="126" fillId="32" borderId="3" xfId="116" applyNumberFormat="1" applyFont="1" applyFill="1" applyBorder="1" applyAlignment="1">
      <alignment vertical="center"/>
    </xf>
    <xf numFmtId="178" fontId="128" fillId="0" borderId="3" xfId="2500" applyNumberFormat="1" applyFont="1" applyBorder="1" applyAlignment="1">
      <alignment vertical="center"/>
    </xf>
    <xf numFmtId="41" fontId="132" fillId="33" borderId="3" xfId="49729" applyFont="1" applyFill="1" applyBorder="1" applyAlignment="1">
      <alignment vertical="center"/>
    </xf>
    <xf numFmtId="178" fontId="130" fillId="0" borderId="3" xfId="2500" applyNumberFormat="1" applyFont="1" applyBorder="1" applyAlignment="1">
      <alignment vertical="center"/>
    </xf>
    <xf numFmtId="178" fontId="130" fillId="0" borderId="3" xfId="32014" applyNumberFormat="1" applyFont="1" applyFill="1" applyBorder="1" applyAlignment="1">
      <alignment vertical="center"/>
    </xf>
    <xf numFmtId="41" fontId="130" fillId="25" borderId="3" xfId="49719" applyFont="1" applyFill="1" applyBorder="1" applyAlignment="1">
      <alignment vertical="center"/>
    </xf>
    <xf numFmtId="41" fontId="131" fillId="33" borderId="3" xfId="49729" applyFont="1" applyFill="1" applyBorder="1" applyAlignment="1">
      <alignment horizontal="right" vertical="center"/>
    </xf>
    <xf numFmtId="41" fontId="130" fillId="33" borderId="36" xfId="49719" applyFont="1" applyFill="1" applyBorder="1" applyAlignment="1">
      <alignment horizontal="center" vertical="center"/>
    </xf>
    <xf numFmtId="41" fontId="131" fillId="33" borderId="3" xfId="49719" applyFont="1" applyFill="1" applyBorder="1" applyAlignment="1">
      <alignment horizontal="right" vertical="center"/>
    </xf>
    <xf numFmtId="41" fontId="133" fillId="32" borderId="3" xfId="49729" applyFont="1" applyFill="1" applyBorder="1" applyAlignment="1">
      <alignment vertical="center"/>
    </xf>
    <xf numFmtId="178" fontId="128" fillId="25" borderId="3" xfId="32014" applyNumberFormat="1" applyFont="1" applyFill="1" applyBorder="1" applyAlignment="1">
      <alignment horizontal="right" vertical="center"/>
    </xf>
    <xf numFmtId="41" fontId="131" fillId="33" borderId="3" xfId="49719" applyFont="1" applyFill="1" applyBorder="1" applyAlignment="1">
      <alignment vertical="center"/>
    </xf>
    <xf numFmtId="41" fontId="133" fillId="32" borderId="3" xfId="49729" applyFont="1" applyFill="1" applyBorder="1" applyAlignment="1">
      <alignment horizontal="right" vertical="center" wrapText="1"/>
    </xf>
    <xf numFmtId="41" fontId="132" fillId="33" borderId="3" xfId="49719" applyFont="1" applyFill="1" applyBorder="1" applyAlignment="1">
      <alignment vertical="center" wrapText="1"/>
    </xf>
    <xf numFmtId="41" fontId="132" fillId="33" borderId="3" xfId="49729" applyFont="1" applyFill="1" applyBorder="1" applyAlignment="1">
      <alignment horizontal="right" vertical="center" wrapText="1"/>
    </xf>
    <xf numFmtId="41" fontId="127" fillId="0" borderId="3" xfId="49719" applyFont="1" applyFill="1" applyBorder="1" applyAlignment="1">
      <alignment vertical="center"/>
    </xf>
    <xf numFmtId="41" fontId="133" fillId="32" borderId="3" xfId="49719" applyFont="1" applyFill="1" applyBorder="1" applyAlignment="1">
      <alignment vertical="center" wrapText="1"/>
    </xf>
    <xf numFmtId="178" fontId="130" fillId="0" borderId="19" xfId="4156" applyNumberFormat="1" applyFont="1" applyBorder="1" applyAlignment="1">
      <alignment vertical="center"/>
    </xf>
    <xf numFmtId="41" fontId="131" fillId="33" borderId="19" xfId="49719" applyFont="1" applyFill="1" applyBorder="1" applyAlignment="1">
      <alignment vertical="center"/>
    </xf>
    <xf numFmtId="178" fontId="130" fillId="25" borderId="19" xfId="4156" applyNumberFormat="1" applyFont="1" applyFill="1" applyBorder="1" applyAlignment="1">
      <alignment vertical="center"/>
    </xf>
    <xf numFmtId="178" fontId="130" fillId="0" borderId="3" xfId="4156" applyNumberFormat="1" applyFont="1" applyBorder="1" applyAlignment="1">
      <alignment vertical="center"/>
    </xf>
    <xf numFmtId="41" fontId="131" fillId="33" borderId="17" xfId="49719" applyFont="1" applyFill="1" applyBorder="1" applyAlignment="1">
      <alignment vertical="center"/>
    </xf>
    <xf numFmtId="41" fontId="131" fillId="33" borderId="17" xfId="49719" applyFont="1" applyFill="1" applyBorder="1" applyAlignment="1">
      <alignment horizontal="right" vertical="center"/>
    </xf>
    <xf numFmtId="178" fontId="128" fillId="0" borderId="3" xfId="32014" applyNumberFormat="1" applyFont="1" applyFill="1" applyBorder="1" applyAlignment="1">
      <alignment horizontal="right" vertical="center"/>
    </xf>
    <xf numFmtId="196" fontId="128" fillId="0" borderId="3" xfId="116" applyNumberFormat="1" applyFont="1" applyFill="1" applyBorder="1" applyAlignment="1">
      <alignment horizontal="center" vertical="center"/>
    </xf>
    <xf numFmtId="41" fontId="132" fillId="33" borderId="3" xfId="49719" applyFont="1" applyFill="1" applyBorder="1" applyAlignment="1">
      <alignment horizontal="right" vertical="center"/>
    </xf>
    <xf numFmtId="41" fontId="130" fillId="0" borderId="3" xfId="49719" applyFont="1" applyFill="1" applyBorder="1" applyAlignment="1">
      <alignment vertical="center" wrapText="1"/>
    </xf>
    <xf numFmtId="41" fontId="126" fillId="32" borderId="3" xfId="49719" applyFont="1" applyFill="1" applyBorder="1" applyAlignment="1">
      <alignment vertical="center"/>
    </xf>
    <xf numFmtId="178" fontId="130" fillId="25" borderId="19" xfId="32014" applyNumberFormat="1" applyFont="1" applyFill="1" applyBorder="1" applyAlignment="1">
      <alignment horizontal="right" vertical="center"/>
    </xf>
    <xf numFmtId="41" fontId="128" fillId="0" borderId="3" xfId="49719" applyFont="1" applyFill="1" applyBorder="1" applyAlignment="1">
      <alignment vertical="center" wrapText="1"/>
    </xf>
    <xf numFmtId="0" fontId="130" fillId="25" borderId="3" xfId="4156" applyFont="1" applyFill="1" applyBorder="1" applyAlignment="1">
      <alignment horizontal="right" vertical="center"/>
    </xf>
    <xf numFmtId="177" fontId="130" fillId="0" borderId="3" xfId="49727" applyNumberFormat="1" applyFont="1" applyBorder="1" applyAlignment="1">
      <alignment vertical="center"/>
    </xf>
    <xf numFmtId="177" fontId="137" fillId="33" borderId="3" xfId="0" applyNumberFormat="1" applyFont="1" applyFill="1" applyBorder="1" applyAlignment="1">
      <alignment vertical="center"/>
    </xf>
    <xf numFmtId="177" fontId="137" fillId="33" borderId="3" xfId="0" applyNumberFormat="1" applyFont="1" applyFill="1" applyBorder="1" applyAlignment="1">
      <alignment horizontal="right" vertical="center"/>
    </xf>
    <xf numFmtId="177" fontId="130" fillId="0" borderId="35" xfId="49727" applyNumberFormat="1" applyFont="1" applyBorder="1" applyAlignment="1">
      <alignment vertical="center"/>
    </xf>
    <xf numFmtId="178" fontId="131" fillId="33" borderId="3" xfId="49727" applyNumberFormat="1" applyFont="1" applyFill="1" applyBorder="1" applyAlignment="1">
      <alignment vertical="center"/>
    </xf>
    <xf numFmtId="178" fontId="131" fillId="33" borderId="3" xfId="49727" applyNumberFormat="1" applyFont="1" applyFill="1" applyBorder="1" applyAlignment="1">
      <alignment horizontal="right" vertical="center"/>
    </xf>
    <xf numFmtId="178" fontId="137" fillId="33" borderId="3" xfId="49727" applyNumberFormat="1" applyFont="1" applyFill="1" applyBorder="1" applyAlignment="1">
      <alignment vertical="center"/>
    </xf>
    <xf numFmtId="178" fontId="137" fillId="33" borderId="3" xfId="49727" applyNumberFormat="1" applyFont="1" applyFill="1" applyBorder="1" applyAlignment="1">
      <alignment horizontal="right" vertical="center"/>
    </xf>
    <xf numFmtId="197" fontId="127" fillId="25" borderId="19" xfId="49727" applyNumberFormat="1" applyFont="1" applyFill="1" applyBorder="1" applyAlignment="1">
      <alignment horizontal="center" vertical="center"/>
    </xf>
    <xf numFmtId="177" fontId="130" fillId="0" borderId="22" xfId="49727" applyNumberFormat="1" applyFont="1" applyBorder="1" applyAlignment="1">
      <alignment vertical="center"/>
    </xf>
    <xf numFmtId="177" fontId="130" fillId="0" borderId="22" xfId="49727" applyNumberFormat="1" applyFont="1" applyBorder="1" applyAlignment="1">
      <alignment horizontal="right" vertical="center"/>
    </xf>
    <xf numFmtId="177" fontId="130" fillId="0" borderId="35" xfId="49727" applyNumberFormat="1" applyFont="1" applyBorder="1" applyAlignment="1">
      <alignment horizontal="right" vertical="center"/>
    </xf>
    <xf numFmtId="41" fontId="128" fillId="0" borderId="3" xfId="49719" applyFont="1" applyBorder="1" applyAlignment="1">
      <alignment vertical="center" shrinkToFit="1"/>
    </xf>
    <xf numFmtId="41" fontId="130" fillId="0" borderId="3" xfId="6962" applyFont="1" applyFill="1" applyBorder="1" applyAlignment="1">
      <alignment horizontal="right" vertical="center"/>
    </xf>
    <xf numFmtId="41" fontId="131" fillId="33" borderId="3" xfId="6962" applyFont="1" applyFill="1" applyBorder="1" applyAlignment="1">
      <alignment vertical="center"/>
    </xf>
    <xf numFmtId="41" fontId="131" fillId="33" borderId="3" xfId="6962" applyFont="1" applyFill="1" applyBorder="1" applyAlignment="1">
      <alignment horizontal="right" vertical="center"/>
    </xf>
    <xf numFmtId="0" fontId="128" fillId="0" borderId="3" xfId="49740" applyFont="1" applyBorder="1" applyAlignment="1">
      <alignment vertical="center" shrinkToFit="1"/>
    </xf>
    <xf numFmtId="41" fontId="128" fillId="0" borderId="19" xfId="49741" applyFont="1" applyBorder="1" applyAlignment="1">
      <alignment horizontal="right" vertical="center"/>
    </xf>
    <xf numFmtId="41" fontId="128" fillId="0" borderId="3" xfId="49741" applyFont="1" applyBorder="1" applyAlignment="1">
      <alignment horizontal="right" vertical="center"/>
    </xf>
    <xf numFmtId="178" fontId="127" fillId="0" borderId="3" xfId="49727" applyNumberFormat="1" applyFont="1" applyBorder="1" applyAlignment="1">
      <alignment vertical="center"/>
    </xf>
    <xf numFmtId="41" fontId="137" fillId="33" borderId="3" xfId="49719" applyFont="1" applyFill="1" applyBorder="1" applyAlignment="1">
      <alignment vertical="center"/>
    </xf>
    <xf numFmtId="191" fontId="129" fillId="25" borderId="3" xfId="32014" applyNumberFormat="1" applyFont="1" applyFill="1" applyBorder="1" applyAlignment="1">
      <alignment horizontal="center" vertical="center"/>
    </xf>
    <xf numFmtId="41" fontId="128" fillId="33" borderId="17" xfId="49719" applyFont="1" applyFill="1" applyBorder="1" applyAlignment="1">
      <alignment vertical="center"/>
    </xf>
    <xf numFmtId="41" fontId="128" fillId="33" borderId="17" xfId="49719" applyFont="1" applyFill="1" applyBorder="1" applyAlignment="1">
      <alignment horizontal="right" vertical="center"/>
    </xf>
    <xf numFmtId="41" fontId="128" fillId="25" borderId="44" xfId="2" applyFont="1" applyFill="1" applyBorder="1" applyAlignment="1">
      <alignment vertical="center"/>
    </xf>
    <xf numFmtId="41" fontId="128" fillId="25" borderId="3" xfId="2" applyFont="1" applyFill="1" applyBorder="1" applyAlignment="1">
      <alignment vertical="center"/>
    </xf>
    <xf numFmtId="41" fontId="130" fillId="0" borderId="35" xfId="49719" applyFont="1" applyFill="1" applyBorder="1" applyAlignment="1">
      <alignment vertical="center"/>
    </xf>
    <xf numFmtId="41" fontId="131" fillId="33" borderId="36" xfId="49719" applyFont="1" applyFill="1" applyBorder="1" applyAlignment="1">
      <alignment vertical="center"/>
    </xf>
    <xf numFmtId="193" fontId="127" fillId="0" borderId="3" xfId="49727" applyNumberFormat="1" applyFont="1" applyBorder="1" applyAlignment="1">
      <alignment horizontal="center" vertical="center"/>
    </xf>
    <xf numFmtId="178" fontId="127" fillId="25" borderId="3" xfId="49727" applyNumberFormat="1" applyFont="1" applyFill="1" applyBorder="1" applyAlignment="1">
      <alignment vertical="center"/>
    </xf>
    <xf numFmtId="0" fontId="127" fillId="0" borderId="3" xfId="49727" applyFont="1" applyBorder="1" applyAlignment="1">
      <alignment horizontal="center" vertical="center"/>
    </xf>
    <xf numFmtId="41" fontId="137" fillId="33" borderId="3" xfId="49719" applyFont="1" applyFill="1" applyBorder="1" applyAlignment="1">
      <alignment vertical="center" wrapText="1"/>
    </xf>
    <xf numFmtId="41" fontId="130" fillId="0" borderId="3" xfId="49741" applyFont="1" applyFill="1" applyBorder="1" applyAlignment="1">
      <alignment horizontal="right" vertical="center"/>
    </xf>
    <xf numFmtId="178" fontId="130" fillId="0" borderId="3" xfId="49727" applyNumberFormat="1" applyFont="1" applyBorder="1" applyAlignment="1">
      <alignment vertical="center"/>
    </xf>
    <xf numFmtId="178" fontId="127" fillId="37" borderId="3" xfId="49727" quotePrefix="1" applyNumberFormat="1" applyFont="1" applyFill="1" applyBorder="1" applyAlignment="1">
      <alignment vertical="center"/>
    </xf>
    <xf numFmtId="41" fontId="110" fillId="39" borderId="4" xfId="3" applyNumberFormat="1" applyFont="1" applyFill="1" applyBorder="1" applyAlignment="1" applyProtection="1">
      <alignment horizontal="center" vertical="center"/>
    </xf>
    <xf numFmtId="41" fontId="110" fillId="40" borderId="4" xfId="3" applyNumberFormat="1" applyFont="1" applyFill="1" applyBorder="1" applyAlignment="1" applyProtection="1">
      <alignment horizontal="center" vertical="center"/>
    </xf>
    <xf numFmtId="41" fontId="136" fillId="0" borderId="3" xfId="49719" applyFont="1" applyFill="1" applyBorder="1" applyAlignment="1">
      <alignment horizontal="right" vertical="center"/>
    </xf>
    <xf numFmtId="0" fontId="128" fillId="0" borderId="3" xfId="4156" applyFont="1" applyBorder="1" applyAlignment="1">
      <alignment horizontal="center" vertical="center"/>
    </xf>
    <xf numFmtId="0" fontId="128" fillId="25" borderId="3" xfId="0" applyFont="1" applyFill="1" applyBorder="1" applyAlignment="1">
      <alignment vertical="center"/>
    </xf>
    <xf numFmtId="178" fontId="110" fillId="0" borderId="35" xfId="0" applyNumberFormat="1" applyFont="1" applyBorder="1" applyAlignment="1">
      <alignment horizontal="center" vertical="center"/>
    </xf>
    <xf numFmtId="178" fontId="110" fillId="0" borderId="3" xfId="5" applyNumberFormat="1" applyFont="1" applyBorder="1" applyAlignment="1">
      <alignment horizontal="center" vertical="center"/>
    </xf>
    <xf numFmtId="0" fontId="131" fillId="33" borderId="36" xfId="4156" applyFont="1" applyFill="1" applyBorder="1" applyAlignment="1">
      <alignment vertical="center"/>
    </xf>
    <xf numFmtId="0" fontId="41" fillId="0" borderId="36" xfId="4156" applyBorder="1" applyAlignment="1">
      <alignment horizontal="center" vertical="center"/>
    </xf>
    <xf numFmtId="41" fontId="132" fillId="33" borderId="17" xfId="49719" applyFont="1" applyFill="1" applyBorder="1" applyAlignment="1">
      <alignment vertical="center" wrapText="1"/>
    </xf>
    <xf numFmtId="193" fontId="129" fillId="25" borderId="3" xfId="32014" applyNumberFormat="1" applyFont="1" applyFill="1" applyBorder="1" applyAlignment="1">
      <alignment horizontal="center" vertical="center" wrapText="1"/>
    </xf>
    <xf numFmtId="178" fontId="42" fillId="33" borderId="3" xfId="32014" applyNumberFormat="1" applyFont="1" applyFill="1" applyBorder="1" applyAlignment="1">
      <alignment horizontal="right" vertical="center"/>
    </xf>
    <xf numFmtId="0" fontId="42" fillId="33" borderId="36" xfId="4156" applyFont="1" applyFill="1" applyBorder="1" applyAlignment="1">
      <alignment vertical="center"/>
    </xf>
    <xf numFmtId="0" fontId="131" fillId="33" borderId="36" xfId="49738" applyFont="1" applyFill="1" applyBorder="1" applyAlignment="1">
      <alignment vertical="center"/>
    </xf>
    <xf numFmtId="178" fontId="144" fillId="0" borderId="3" xfId="32014" applyNumberFormat="1" applyFont="1" applyFill="1" applyBorder="1" applyAlignment="1">
      <alignment horizontal="right" vertical="center"/>
    </xf>
    <xf numFmtId="0" fontId="112" fillId="0" borderId="19" xfId="4156" applyFont="1" applyBorder="1" applyAlignment="1">
      <alignment horizontal="center" vertical="center"/>
    </xf>
    <xf numFmtId="0" fontId="112" fillId="0" borderId="3" xfId="4156" applyFont="1" applyBorder="1" applyAlignment="1">
      <alignment horizontal="center" vertical="center"/>
    </xf>
    <xf numFmtId="0" fontId="140" fillId="33" borderId="36" xfId="4156" applyFont="1" applyFill="1" applyBorder="1" applyAlignment="1">
      <alignment vertical="center"/>
    </xf>
    <xf numFmtId="0" fontId="144" fillId="0" borderId="36" xfId="4156" applyFont="1" applyBorder="1" applyAlignment="1">
      <alignment horizontal="center" vertical="center"/>
    </xf>
    <xf numFmtId="0" fontId="85" fillId="33" borderId="36" xfId="4156" applyFont="1" applyFill="1" applyBorder="1" applyAlignment="1">
      <alignment vertical="center"/>
    </xf>
    <xf numFmtId="178" fontId="85" fillId="33" borderId="3" xfId="32014" applyNumberFormat="1" applyFont="1" applyFill="1" applyBorder="1" applyAlignment="1">
      <alignment horizontal="right" vertical="center"/>
    </xf>
    <xf numFmtId="193" fontId="147" fillId="37" borderId="3" xfId="49727" applyNumberFormat="1" applyFont="1" applyFill="1" applyBorder="1" applyAlignment="1">
      <alignment horizontal="right" vertical="center"/>
    </xf>
    <xf numFmtId="178" fontId="147" fillId="0" borderId="3" xfId="49727" applyNumberFormat="1" applyFont="1" applyBorder="1" applyAlignment="1">
      <alignment horizontal="right" vertical="center"/>
    </xf>
    <xf numFmtId="178" fontId="148" fillId="0" borderId="3" xfId="49727" applyNumberFormat="1" applyFont="1" applyBorder="1" applyAlignment="1">
      <alignment horizontal="right" vertical="center"/>
    </xf>
    <xf numFmtId="193" fontId="149" fillId="37" borderId="3" xfId="49727" applyNumberFormat="1" applyFont="1" applyFill="1" applyBorder="1" applyAlignment="1">
      <alignment horizontal="right" vertical="center"/>
    </xf>
    <xf numFmtId="178" fontId="149" fillId="0" borderId="3" xfId="49727" applyNumberFormat="1" applyFont="1" applyBorder="1" applyAlignment="1">
      <alignment horizontal="right" vertical="center"/>
    </xf>
    <xf numFmtId="178" fontId="0" fillId="25" borderId="3" xfId="49727" applyNumberFormat="1" applyFont="1" applyFill="1" applyBorder="1" applyAlignment="1">
      <alignment horizontal="right" vertical="center"/>
    </xf>
    <xf numFmtId="199" fontId="41" fillId="25" borderId="36" xfId="4156" applyNumberFormat="1" applyFill="1" applyBorder="1" applyAlignment="1">
      <alignment horizontal="center" vertical="center"/>
    </xf>
    <xf numFmtId="178" fontId="41" fillId="25" borderId="3" xfId="32014" applyNumberFormat="1" applyFont="1" applyFill="1" applyBorder="1" applyAlignment="1">
      <alignment horizontal="right" vertical="center"/>
    </xf>
    <xf numFmtId="0" fontId="41" fillId="25" borderId="36" xfId="4156" applyFill="1" applyBorder="1" applyAlignment="1">
      <alignment horizontal="center" vertical="center"/>
    </xf>
    <xf numFmtId="0" fontId="41" fillId="0" borderId="3" xfId="32014" applyFont="1" applyFill="1" applyBorder="1" applyAlignment="1">
      <alignment horizontal="center" vertical="center" wrapText="1"/>
    </xf>
    <xf numFmtId="0" fontId="41" fillId="0" borderId="3" xfId="32014" applyFont="1" applyFill="1" applyBorder="1" applyAlignment="1">
      <alignment horizontal="center" vertical="center"/>
    </xf>
    <xf numFmtId="0" fontId="41" fillId="25" borderId="3" xfId="32014" applyFont="1" applyFill="1" applyBorder="1" applyAlignment="1">
      <alignment horizontal="center" vertical="center"/>
    </xf>
    <xf numFmtId="41" fontId="41" fillId="0" borderId="17" xfId="6962" applyFont="1" applyFill="1" applyBorder="1" applyAlignment="1">
      <alignment horizontal="center" vertical="center"/>
    </xf>
    <xf numFmtId="41" fontId="152" fillId="33" borderId="3" xfId="6962" applyFont="1" applyFill="1" applyBorder="1" applyAlignment="1">
      <alignment horizontal="right" vertical="center"/>
    </xf>
    <xf numFmtId="178" fontId="130" fillId="25" borderId="3" xfId="4156" applyNumberFormat="1" applyFont="1" applyFill="1" applyBorder="1" applyAlignment="1">
      <alignment horizontal="right" vertical="center"/>
    </xf>
    <xf numFmtId="41" fontId="130" fillId="25" borderId="19" xfId="49719" applyFont="1" applyFill="1" applyBorder="1" applyAlignment="1">
      <alignment horizontal="right" vertical="center"/>
    </xf>
    <xf numFmtId="0" fontId="148" fillId="33" borderId="3" xfId="49738" applyFont="1" applyFill="1" applyBorder="1" applyAlignment="1">
      <alignment vertical="center"/>
    </xf>
    <xf numFmtId="0" fontId="150" fillId="33" borderId="3" xfId="49738" applyFont="1" applyFill="1" applyBorder="1" applyAlignment="1">
      <alignment horizontal="right" vertical="center"/>
    </xf>
    <xf numFmtId="0" fontId="150" fillId="33" borderId="3" xfId="49738" applyFont="1" applyFill="1" applyBorder="1" applyAlignment="1">
      <alignment vertical="center"/>
    </xf>
    <xf numFmtId="178" fontId="153" fillId="33" borderId="3" xfId="49727" applyNumberFormat="1" applyFont="1" applyFill="1" applyBorder="1" applyAlignment="1">
      <alignment horizontal="right" vertical="center"/>
    </xf>
    <xf numFmtId="0" fontId="131" fillId="33" borderId="36" xfId="4156" applyFont="1" applyFill="1" applyBorder="1" applyAlignment="1">
      <alignment horizontal="center" vertical="center"/>
    </xf>
    <xf numFmtId="0" fontId="149" fillId="0" borderId="18" xfId="49727" applyFont="1" applyBorder="1" applyAlignment="1">
      <alignment horizontal="center" vertical="center" wrapText="1"/>
    </xf>
    <xf numFmtId="0" fontId="150" fillId="0" borderId="18" xfId="49727" applyFont="1" applyBorder="1" applyAlignment="1">
      <alignment horizontal="center" vertical="center" wrapText="1"/>
    </xf>
    <xf numFmtId="0" fontId="131" fillId="33" borderId="36" xfId="49738" applyFont="1" applyFill="1" applyBorder="1" applyAlignment="1">
      <alignment horizontal="center" vertical="center"/>
    </xf>
    <xf numFmtId="0" fontId="131" fillId="33" borderId="3" xfId="49738" applyFont="1" applyFill="1" applyBorder="1" applyAlignment="1">
      <alignment horizontal="center" vertical="center"/>
    </xf>
    <xf numFmtId="0" fontId="127" fillId="0" borderId="17" xfId="49727" applyFont="1" applyBorder="1" applyAlignment="1">
      <alignment horizontal="center" vertical="center"/>
    </xf>
    <xf numFmtId="0" fontId="130" fillId="0" borderId="19" xfId="4156" applyFont="1" applyFill="1" applyBorder="1" applyAlignment="1">
      <alignment horizontal="center" vertical="center"/>
    </xf>
    <xf numFmtId="0" fontId="130" fillId="25" borderId="19" xfId="4156" applyFont="1" applyFill="1" applyBorder="1" applyAlignment="1">
      <alignment horizontal="center" vertical="center"/>
    </xf>
    <xf numFmtId="49" fontId="127" fillId="25" borderId="18" xfId="49727" applyNumberFormat="1" applyFont="1" applyFill="1" applyBorder="1" applyAlignment="1">
      <alignment horizontal="center" vertical="center" wrapText="1"/>
    </xf>
    <xf numFmtId="0" fontId="130" fillId="0" borderId="19" xfId="4156" applyFont="1" applyBorder="1" applyAlignment="1">
      <alignment horizontal="center" vertical="center"/>
    </xf>
    <xf numFmtId="0" fontId="130" fillId="25" borderId="3" xfId="32014" applyFont="1" applyFill="1" applyBorder="1" applyAlignment="1">
      <alignment horizontal="center" vertical="center"/>
    </xf>
    <xf numFmtId="0" fontId="127" fillId="0" borderId="17" xfId="49727" applyFont="1" applyBorder="1" applyAlignment="1">
      <alignment horizontal="center" vertical="center" wrapText="1"/>
    </xf>
    <xf numFmtId="41" fontId="130" fillId="0" borderId="3" xfId="6962" applyFont="1" applyFill="1" applyBorder="1" applyAlignment="1">
      <alignment vertical="center"/>
    </xf>
    <xf numFmtId="193" fontId="156" fillId="41" borderId="3" xfId="49732" applyNumberFormat="1" applyFont="1" applyFill="1" applyBorder="1" applyAlignment="1">
      <alignment horizontal="center" vertical="center" wrapText="1"/>
    </xf>
    <xf numFmtId="178" fontId="156" fillId="41" borderId="3" xfId="49732" applyNumberFormat="1" applyFont="1" applyFill="1" applyBorder="1" applyAlignment="1">
      <alignment horizontal="center" vertical="center" wrapText="1"/>
    </xf>
    <xf numFmtId="0" fontId="130" fillId="0" borderId="36" xfId="4156" applyFont="1" applyBorder="1" applyAlignment="1">
      <alignment horizontal="center" vertical="center"/>
    </xf>
    <xf numFmtId="49" fontId="41" fillId="25" borderId="18" xfId="32014" applyNumberFormat="1" applyFont="1" applyFill="1" applyBorder="1" applyAlignment="1">
      <alignment horizontal="center" vertical="center" wrapText="1"/>
    </xf>
    <xf numFmtId="0" fontId="127" fillId="0" borderId="3" xfId="49724" applyNumberFormat="1" applyFont="1" applyFill="1" applyBorder="1" applyAlignment="1">
      <alignment horizontal="center" vertical="center" wrapText="1"/>
    </xf>
    <xf numFmtId="41" fontId="114" fillId="25" borderId="4" xfId="3" applyNumberFormat="1" applyFont="1" applyFill="1" applyBorder="1" applyAlignment="1" applyProtection="1">
      <alignment horizontal="center" vertical="center"/>
    </xf>
    <xf numFmtId="41" fontId="114" fillId="25" borderId="37" xfId="3" applyNumberFormat="1" applyFont="1" applyFill="1" applyBorder="1" applyAlignment="1" applyProtection="1">
      <alignment horizontal="center" vertical="center"/>
    </xf>
    <xf numFmtId="198" fontId="157" fillId="25" borderId="3" xfId="49727" applyNumberFormat="1" applyFont="1" applyFill="1" applyBorder="1" applyAlignment="1">
      <alignment horizontal="center" vertical="center" wrapText="1"/>
    </xf>
    <xf numFmtId="41" fontId="157" fillId="25" borderId="3" xfId="49719" applyFont="1" applyFill="1" applyBorder="1" applyAlignment="1">
      <alignment vertical="center"/>
    </xf>
    <xf numFmtId="194" fontId="157" fillId="25" borderId="3" xfId="49727" applyNumberFormat="1" applyFont="1" applyFill="1" applyBorder="1" applyAlignment="1">
      <alignment horizontal="center" vertical="center" wrapText="1"/>
    </xf>
    <xf numFmtId="198" fontId="157" fillId="25" borderId="44" xfId="49727" applyNumberFormat="1" applyFont="1" applyFill="1" applyBorder="1" applyAlignment="1">
      <alignment horizontal="center" vertical="center" wrapText="1"/>
    </xf>
    <xf numFmtId="41" fontId="157" fillId="25" borderId="44" xfId="2" applyFont="1" applyFill="1" applyBorder="1" applyAlignment="1">
      <alignment vertical="center"/>
    </xf>
    <xf numFmtId="198" fontId="157" fillId="25" borderId="19" xfId="49727" applyNumberFormat="1" applyFont="1" applyFill="1" applyBorder="1" applyAlignment="1">
      <alignment horizontal="center" vertical="center" wrapText="1"/>
    </xf>
    <xf numFmtId="41" fontId="157" fillId="25" borderId="19" xfId="2" applyFont="1" applyFill="1" applyBorder="1" applyAlignment="1">
      <alignment vertical="center"/>
    </xf>
    <xf numFmtId="0" fontId="158" fillId="33" borderId="36" xfId="4156" applyFont="1" applyFill="1" applyBorder="1" applyAlignment="1">
      <alignment horizontal="center" vertical="center"/>
    </xf>
    <xf numFmtId="41" fontId="159" fillId="33" borderId="3" xfId="49719" applyFont="1" applyFill="1" applyBorder="1" applyAlignment="1">
      <alignment vertical="center"/>
    </xf>
    <xf numFmtId="41" fontId="159" fillId="33" borderId="3" xfId="49729" applyFont="1" applyFill="1" applyBorder="1" applyAlignment="1">
      <alignment horizontal="right" vertical="center"/>
    </xf>
    <xf numFmtId="198" fontId="160" fillId="0" borderId="3" xfId="49727" applyNumberFormat="1" applyFont="1" applyBorder="1" applyAlignment="1">
      <alignment horizontal="center" vertical="center" wrapText="1"/>
    </xf>
    <xf numFmtId="41" fontId="160" fillId="0" borderId="3" xfId="49719" applyFont="1" applyFill="1" applyBorder="1" applyAlignment="1">
      <alignment horizontal="right" vertical="center"/>
    </xf>
    <xf numFmtId="194" fontId="160" fillId="0" borderId="3" xfId="49727" applyNumberFormat="1" applyFont="1" applyBorder="1" applyAlignment="1">
      <alignment horizontal="center" vertical="center" wrapText="1"/>
    </xf>
    <xf numFmtId="198" fontId="160" fillId="0" borderId="44" xfId="49727" applyNumberFormat="1" applyFont="1" applyBorder="1" applyAlignment="1">
      <alignment horizontal="center" vertical="center" wrapText="1"/>
    </xf>
    <xf numFmtId="41" fontId="160" fillId="0" borderId="44" xfId="2" applyFont="1" applyBorder="1" applyAlignment="1">
      <alignment horizontal="right" vertical="center"/>
    </xf>
    <xf numFmtId="198" fontId="160" fillId="0" borderId="19" xfId="49727" applyNumberFormat="1" applyFont="1" applyBorder="1" applyAlignment="1">
      <alignment horizontal="center" vertical="center" wrapText="1"/>
    </xf>
    <xf numFmtId="41" fontId="160" fillId="0" borderId="19" xfId="2" applyFont="1" applyBorder="1" applyAlignment="1">
      <alignment horizontal="right" vertical="center"/>
    </xf>
    <xf numFmtId="194" fontId="160" fillId="0" borderId="19" xfId="49727" applyNumberFormat="1" applyFont="1" applyBorder="1" applyAlignment="1">
      <alignment horizontal="center" vertical="center" wrapText="1"/>
    </xf>
    <xf numFmtId="194" fontId="160" fillId="0" borderId="44" xfId="49727" applyNumberFormat="1" applyFont="1" applyBorder="1" applyAlignment="1">
      <alignment horizontal="center" vertical="center" wrapText="1"/>
    </xf>
    <xf numFmtId="0" fontId="130" fillId="0" borderId="3" xfId="2500" applyFont="1" applyFill="1" applyBorder="1" applyAlignment="1">
      <alignment horizontal="center" vertical="center"/>
    </xf>
    <xf numFmtId="178" fontId="129" fillId="0" borderId="3" xfId="49719" applyNumberFormat="1" applyFont="1" applyFill="1" applyBorder="1" applyAlignment="1">
      <alignment vertical="center"/>
    </xf>
    <xf numFmtId="41" fontId="130" fillId="33" borderId="3" xfId="4156" applyNumberFormat="1" applyFont="1" applyFill="1" applyBorder="1" applyAlignment="1">
      <alignment horizontal="center" vertical="center"/>
    </xf>
    <xf numFmtId="0" fontId="144" fillId="0" borderId="3" xfId="2500" applyFont="1" applyBorder="1" applyAlignment="1">
      <alignment horizontal="center" vertical="center"/>
    </xf>
    <xf numFmtId="178" fontId="144" fillId="0" borderId="3" xfId="2500" applyNumberFormat="1" applyFont="1" applyBorder="1">
      <alignment vertical="center"/>
    </xf>
    <xf numFmtId="41" fontId="134" fillId="25" borderId="3" xfId="49719" applyFont="1" applyFill="1" applyBorder="1" applyAlignment="1">
      <alignment vertical="center"/>
    </xf>
    <xf numFmtId="41" fontId="134" fillId="34" borderId="3" xfId="49719" applyFont="1" applyFill="1" applyBorder="1" applyAlignment="1">
      <alignment horizontal="right" vertical="center"/>
    </xf>
    <xf numFmtId="41" fontId="114" fillId="25" borderId="33" xfId="3" applyNumberFormat="1" applyFont="1" applyFill="1" applyBorder="1" applyAlignment="1" applyProtection="1">
      <alignment horizontal="center" vertical="center"/>
    </xf>
    <xf numFmtId="41" fontId="118" fillId="35" borderId="3" xfId="49719" applyFont="1" applyFill="1" applyBorder="1" applyAlignment="1">
      <alignment horizontal="right" vertical="center" wrapText="1"/>
    </xf>
    <xf numFmtId="41" fontId="132" fillId="33" borderId="17" xfId="49719" applyFont="1" applyFill="1" applyBorder="1" applyAlignment="1">
      <alignment horizontal="right" vertical="center"/>
    </xf>
    <xf numFmtId="41" fontId="133" fillId="32" borderId="3" xfId="49719" applyFont="1" applyFill="1" applyBorder="1" applyAlignment="1">
      <alignment horizontal="right" vertical="center"/>
    </xf>
    <xf numFmtId="41" fontId="128" fillId="25" borderId="3" xfId="49719" applyFont="1" applyFill="1" applyBorder="1" applyAlignment="1">
      <alignment horizontal="right" vertical="center"/>
    </xf>
    <xf numFmtId="41" fontId="132" fillId="34" borderId="3" xfId="49719" applyFont="1" applyFill="1" applyBorder="1" applyAlignment="1">
      <alignment horizontal="right" vertical="center"/>
    </xf>
    <xf numFmtId="41" fontId="132" fillId="34" borderId="17" xfId="49719" applyFont="1" applyFill="1" applyBorder="1" applyAlignment="1">
      <alignment horizontal="right" vertical="center"/>
    </xf>
    <xf numFmtId="41" fontId="132" fillId="25" borderId="3" xfId="49719" applyFont="1" applyFill="1" applyBorder="1" applyAlignment="1">
      <alignment horizontal="right" vertical="center"/>
    </xf>
    <xf numFmtId="41" fontId="133" fillId="32" borderId="3" xfId="49719" applyFont="1" applyFill="1" applyBorder="1" applyAlignment="1">
      <alignment horizontal="right" vertical="center" wrapText="1"/>
    </xf>
    <xf numFmtId="41" fontId="132" fillId="33" borderId="3" xfId="49719" applyFont="1" applyFill="1" applyBorder="1" applyAlignment="1">
      <alignment horizontal="right" vertical="center" wrapText="1"/>
    </xf>
    <xf numFmtId="41" fontId="131" fillId="33" borderId="19" xfId="49719" applyFont="1" applyFill="1" applyBorder="1" applyAlignment="1">
      <alignment horizontal="right" vertical="center"/>
    </xf>
    <xf numFmtId="0" fontId="127" fillId="0" borderId="3" xfId="0" applyFont="1" applyBorder="1" applyAlignment="1">
      <alignment horizontal="right" vertical="center"/>
    </xf>
    <xf numFmtId="41" fontId="126" fillId="32" borderId="3" xfId="49719" applyFont="1" applyFill="1" applyBorder="1" applyAlignment="1">
      <alignment horizontal="right" vertical="center"/>
    </xf>
    <xf numFmtId="41" fontId="128" fillId="0" borderId="3" xfId="49719" applyFont="1" applyFill="1" applyBorder="1" applyAlignment="1">
      <alignment horizontal="right" vertical="center" wrapText="1"/>
    </xf>
    <xf numFmtId="41" fontId="132" fillId="33" borderId="17" xfId="49719" applyFont="1" applyFill="1" applyBorder="1" applyAlignment="1">
      <alignment horizontal="right" vertical="center" wrapText="1"/>
    </xf>
    <xf numFmtId="41" fontId="127" fillId="0" borderId="3" xfId="49719" applyFont="1" applyBorder="1" applyAlignment="1">
      <alignment horizontal="right" vertical="center"/>
    </xf>
    <xf numFmtId="41" fontId="128" fillId="25" borderId="44" xfId="49719" applyFont="1" applyFill="1" applyBorder="1" applyAlignment="1">
      <alignment horizontal="right" vertical="center"/>
    </xf>
    <xf numFmtId="41" fontId="157" fillId="25" borderId="3" xfId="49719" applyFont="1" applyFill="1" applyBorder="1" applyAlignment="1">
      <alignment horizontal="right" vertical="center"/>
    </xf>
    <xf numFmtId="41" fontId="157" fillId="25" borderId="44" xfId="49719" applyFont="1" applyFill="1" applyBorder="1" applyAlignment="1">
      <alignment horizontal="right" vertical="center"/>
    </xf>
    <xf numFmtId="41" fontId="157" fillId="25" borderId="19" xfId="49719" applyFont="1" applyFill="1" applyBorder="1" applyAlignment="1">
      <alignment horizontal="right" vertical="center"/>
    </xf>
    <xf numFmtId="41" fontId="159" fillId="33" borderId="3" xfId="49719" applyFont="1" applyFill="1" applyBorder="1" applyAlignment="1">
      <alignment horizontal="right" vertical="center"/>
    </xf>
    <xf numFmtId="0" fontId="160" fillId="0" borderId="19" xfId="2" applyNumberFormat="1" applyFont="1" applyBorder="1" applyAlignment="1">
      <alignment horizontal="right" vertical="center"/>
    </xf>
    <xf numFmtId="41" fontId="131" fillId="33" borderId="36" xfId="49719" applyFont="1" applyFill="1" applyBorder="1" applyAlignment="1">
      <alignment horizontal="right" vertical="center"/>
    </xf>
    <xf numFmtId="41" fontId="137" fillId="33" borderId="3" xfId="49719" applyFont="1" applyFill="1" applyBorder="1" applyAlignment="1">
      <alignment horizontal="right" vertical="center"/>
    </xf>
    <xf numFmtId="41" fontId="127" fillId="25" borderId="3" xfId="49719" applyFont="1" applyFill="1" applyBorder="1" applyAlignment="1">
      <alignment horizontal="right" vertical="center"/>
    </xf>
    <xf numFmtId="41" fontId="137" fillId="33" borderId="3" xfId="49719" applyFont="1" applyFill="1" applyBorder="1" applyAlignment="1">
      <alignment horizontal="right" vertical="center" wrapText="1"/>
    </xf>
    <xf numFmtId="0" fontId="131" fillId="33" borderId="2" xfId="4156" applyFont="1" applyFill="1" applyBorder="1" applyAlignment="1">
      <alignment horizontal="center" vertical="center"/>
    </xf>
    <xf numFmtId="0" fontId="131" fillId="33" borderId="36" xfId="4156" applyFont="1" applyFill="1" applyBorder="1" applyAlignment="1">
      <alignment horizontal="center" vertical="center"/>
    </xf>
    <xf numFmtId="49" fontId="127" fillId="25" borderId="18" xfId="49727" applyNumberFormat="1" applyFont="1" applyFill="1" applyBorder="1" applyAlignment="1">
      <alignment horizontal="center" vertical="center" wrapText="1"/>
    </xf>
    <xf numFmtId="49" fontId="127" fillId="25" borderId="19" xfId="49727" applyNumberFormat="1" applyFont="1" applyFill="1" applyBorder="1" applyAlignment="1">
      <alignment horizontal="center" vertical="center" wrapText="1"/>
    </xf>
    <xf numFmtId="178" fontId="127" fillId="25" borderId="3" xfId="49727" applyNumberFormat="1" applyFont="1" applyFill="1" applyBorder="1" applyAlignment="1">
      <alignment horizontal="center" vertical="center"/>
    </xf>
    <xf numFmtId="178" fontId="127" fillId="25" borderId="3" xfId="49727" applyNumberFormat="1" applyFont="1" applyFill="1" applyBorder="1" applyAlignment="1">
      <alignment horizontal="right" vertical="center"/>
    </xf>
    <xf numFmtId="177" fontId="84" fillId="33" borderId="3" xfId="0" applyNumberFormat="1" applyFont="1" applyFill="1" applyBorder="1" applyAlignment="1" applyProtection="1">
      <alignment horizontal="center" vertical="center"/>
    </xf>
    <xf numFmtId="14" fontId="130" fillId="0" borderId="18" xfId="49719" quotePrefix="1" applyNumberFormat="1" applyFont="1" applyFill="1" applyBorder="1" applyAlignment="1">
      <alignment horizontal="center" vertical="center"/>
    </xf>
    <xf numFmtId="0" fontId="131" fillId="33" borderId="25" xfId="49738" applyFont="1" applyFill="1" applyBorder="1" applyAlignment="1">
      <alignment horizontal="center" vertical="center"/>
    </xf>
    <xf numFmtId="0" fontId="131" fillId="33" borderId="26" xfId="49738" applyFont="1" applyFill="1" applyBorder="1" applyAlignment="1">
      <alignment horizontal="center" vertical="center"/>
    </xf>
    <xf numFmtId="0" fontId="161" fillId="0" borderId="0" xfId="116" applyFont="1" applyBorder="1" applyAlignment="1">
      <alignment horizontal="center" vertical="center"/>
    </xf>
    <xf numFmtId="0" fontId="126" fillId="32" borderId="23" xfId="116" applyFont="1" applyFill="1" applyBorder="1" applyAlignment="1">
      <alignment vertical="center"/>
    </xf>
    <xf numFmtId="0" fontId="126" fillId="32" borderId="24" xfId="116" applyFont="1" applyFill="1" applyBorder="1" applyAlignment="1">
      <alignment vertical="center"/>
    </xf>
    <xf numFmtId="0" fontId="126" fillId="32" borderId="19" xfId="116" applyNumberFormat="1" applyFont="1" applyFill="1" applyBorder="1" applyAlignment="1">
      <alignment horizontal="center" vertical="top"/>
    </xf>
    <xf numFmtId="41" fontId="133" fillId="32" borderId="19" xfId="49719" applyFont="1" applyFill="1" applyBorder="1" applyAlignment="1">
      <alignment vertical="center" wrapText="1"/>
    </xf>
    <xf numFmtId="14" fontId="126" fillId="32" borderId="19" xfId="49719" applyNumberFormat="1" applyFont="1" applyFill="1" applyBorder="1" applyAlignment="1">
      <alignment horizontal="center" vertical="center" wrapText="1"/>
    </xf>
    <xf numFmtId="0" fontId="128" fillId="32" borderId="19" xfId="116" quotePrefix="1" applyNumberFormat="1" applyFont="1" applyFill="1" applyBorder="1" applyAlignment="1">
      <alignment horizontal="center" vertical="center" wrapText="1"/>
    </xf>
    <xf numFmtId="0" fontId="139" fillId="32" borderId="19" xfId="116" quotePrefix="1" applyNumberFormat="1" applyFont="1" applyFill="1" applyBorder="1" applyAlignment="1">
      <alignment horizontal="center" vertical="center" shrinkToFit="1"/>
    </xf>
    <xf numFmtId="49" fontId="128" fillId="0" borderId="3" xfId="4156" quotePrefix="1" applyNumberFormat="1" applyFont="1" applyBorder="1" applyAlignment="1">
      <alignment horizontal="center" vertical="center" wrapText="1"/>
    </xf>
    <xf numFmtId="0" fontId="131" fillId="33" borderId="3" xfId="4156" applyFont="1" applyFill="1" applyBorder="1" applyAlignment="1">
      <alignment vertical="center"/>
    </xf>
    <xf numFmtId="0" fontId="131" fillId="33" borderId="36" xfId="4156" applyFont="1" applyFill="1" applyBorder="1" applyAlignment="1">
      <alignment horizontal="center" vertical="center"/>
    </xf>
    <xf numFmtId="0" fontId="131" fillId="33" borderId="36" xfId="4156" applyFont="1" applyFill="1" applyBorder="1" applyAlignment="1">
      <alignment horizontal="center" vertical="center"/>
    </xf>
    <xf numFmtId="0" fontId="130" fillId="0" borderId="19" xfId="4156" applyFont="1" applyBorder="1" applyAlignment="1">
      <alignment horizontal="center" vertical="center"/>
    </xf>
    <xf numFmtId="49" fontId="128" fillId="0" borderId="18" xfId="4156" quotePrefix="1" applyNumberFormat="1" applyFont="1" applyBorder="1" applyAlignment="1">
      <alignment horizontal="center" vertical="center" wrapText="1"/>
    </xf>
    <xf numFmtId="49" fontId="128" fillId="0" borderId="19" xfId="4156" quotePrefix="1" applyNumberFormat="1" applyFont="1" applyBorder="1" applyAlignment="1">
      <alignment horizontal="center" vertical="center" wrapText="1"/>
    </xf>
    <xf numFmtId="193" fontId="156" fillId="0" borderId="3" xfId="49727" applyNumberFormat="1" applyFont="1" applyFill="1" applyBorder="1" applyAlignment="1">
      <alignment horizontal="center" vertical="center"/>
    </xf>
    <xf numFmtId="178" fontId="160" fillId="0" borderId="19" xfId="4156" applyNumberFormat="1" applyFont="1" applyBorder="1" applyAlignment="1">
      <alignment horizontal="right" vertical="center"/>
    </xf>
    <xf numFmtId="178" fontId="160" fillId="0" borderId="3" xfId="4156" applyNumberFormat="1" applyFont="1" applyBorder="1" applyAlignment="1">
      <alignment horizontal="right" vertical="center"/>
    </xf>
    <xf numFmtId="0" fontId="158" fillId="0" borderId="19" xfId="4156" applyFont="1" applyBorder="1" applyAlignment="1">
      <alignment horizontal="center" vertical="center"/>
    </xf>
    <xf numFmtId="49" fontId="128" fillId="0" borderId="18" xfId="4156" quotePrefix="1" applyNumberFormat="1" applyFont="1" applyBorder="1" applyAlignment="1">
      <alignment horizontal="center" vertical="center" wrapText="1"/>
    </xf>
    <xf numFmtId="49" fontId="128" fillId="0" borderId="19" xfId="4156" quotePrefix="1" applyNumberFormat="1" applyFont="1" applyBorder="1" applyAlignment="1">
      <alignment horizontal="center" vertical="center" wrapText="1"/>
    </xf>
    <xf numFmtId="0" fontId="131" fillId="33" borderId="36" xfId="4156" applyFont="1" applyFill="1" applyBorder="1" applyAlignment="1">
      <alignment horizontal="center" vertical="center"/>
    </xf>
    <xf numFmtId="0" fontId="156" fillId="0" borderId="3" xfId="49727" applyNumberFormat="1" applyFont="1" applyFill="1" applyBorder="1" applyAlignment="1">
      <alignment horizontal="center" vertical="center"/>
    </xf>
    <xf numFmtId="41" fontId="114" fillId="0" borderId="4" xfId="3" applyNumberFormat="1" applyFont="1" applyFill="1" applyBorder="1" applyAlignment="1" applyProtection="1">
      <alignment horizontal="center" vertical="center"/>
    </xf>
    <xf numFmtId="0" fontId="114" fillId="0" borderId="0" xfId="0" applyNumberFormat="1" applyFont="1" applyFill="1" applyAlignment="1"/>
    <xf numFmtId="0" fontId="164" fillId="0" borderId="0" xfId="0" applyNumberFormat="1" applyFont="1" applyFill="1" applyBorder="1" applyAlignment="1">
      <alignment horizontal="left" vertical="center"/>
    </xf>
    <xf numFmtId="0" fontId="164" fillId="0" borderId="31" xfId="0" applyNumberFormat="1" applyFont="1" applyFill="1" applyBorder="1" applyAlignment="1">
      <alignment horizontal="left" vertical="center"/>
    </xf>
    <xf numFmtId="0" fontId="114" fillId="0" borderId="38" xfId="0" applyNumberFormat="1" applyFont="1" applyFill="1" applyBorder="1" applyAlignment="1"/>
    <xf numFmtId="0" fontId="122" fillId="0" borderId="0" xfId="0" applyNumberFormat="1" applyFont="1" applyFill="1" applyAlignment="1">
      <alignment horizontal="center"/>
    </xf>
    <xf numFmtId="0" fontId="37" fillId="0" borderId="0" xfId="0" applyNumberFormat="1" applyFont="1" applyFill="1" applyBorder="1" applyAlignment="1">
      <alignment horizontal="left" vertical="center"/>
    </xf>
    <xf numFmtId="0" fontId="84" fillId="0" borderId="6" xfId="0" applyNumberFormat="1" applyFont="1" applyFill="1" applyBorder="1" applyAlignment="1" applyProtection="1">
      <alignment horizontal="center" vertical="center"/>
    </xf>
    <xf numFmtId="0" fontId="84" fillId="0" borderId="4" xfId="0" applyNumberFormat="1" applyFont="1" applyFill="1" applyBorder="1" applyAlignment="1" applyProtection="1">
      <alignment horizontal="center" vertical="center"/>
    </xf>
    <xf numFmtId="0" fontId="36" fillId="33" borderId="5" xfId="0" applyNumberFormat="1" applyFont="1" applyFill="1" applyBorder="1" applyAlignment="1" applyProtection="1">
      <alignment horizontal="center" vertical="center" wrapText="1"/>
    </xf>
    <xf numFmtId="0" fontId="36" fillId="33" borderId="3" xfId="0" applyNumberFormat="1" applyFont="1" applyFill="1" applyBorder="1" applyAlignment="1" applyProtection="1">
      <alignment horizontal="center" vertical="center"/>
    </xf>
    <xf numFmtId="0" fontId="36" fillId="0" borderId="5" xfId="0" applyNumberFormat="1" applyFont="1" applyFill="1" applyBorder="1" applyAlignment="1" applyProtection="1">
      <alignment horizontal="center" vertical="center"/>
    </xf>
    <xf numFmtId="0" fontId="36" fillId="0" borderId="57" xfId="0" applyNumberFormat="1" applyFont="1" applyFill="1" applyBorder="1" applyAlignment="1" applyProtection="1">
      <alignment horizontal="center" vertical="center"/>
    </xf>
    <xf numFmtId="0" fontId="36" fillId="0" borderId="58" xfId="0" applyNumberFormat="1" applyFont="1" applyFill="1" applyBorder="1" applyAlignment="1" applyProtection="1">
      <alignment horizontal="center" vertical="center"/>
    </xf>
    <xf numFmtId="0" fontId="36" fillId="0" borderId="59" xfId="0" applyNumberFormat="1" applyFont="1" applyFill="1" applyBorder="1" applyAlignment="1" applyProtection="1">
      <alignment horizontal="center" vertical="center"/>
    </xf>
    <xf numFmtId="0" fontId="36" fillId="2" borderId="5" xfId="0" applyNumberFormat="1" applyFont="1" applyFill="1" applyBorder="1" applyAlignment="1" applyProtection="1">
      <alignment horizontal="center" vertical="center" wrapText="1"/>
    </xf>
    <xf numFmtId="0" fontId="36" fillId="2" borderId="3" xfId="0" applyNumberFormat="1" applyFont="1" applyFill="1" applyBorder="1" applyAlignment="1" applyProtection="1">
      <alignment horizontal="center" vertical="center"/>
    </xf>
    <xf numFmtId="49" fontId="127" fillId="0" borderId="17" xfId="32014" applyNumberFormat="1" applyFont="1" applyFill="1" applyBorder="1" applyAlignment="1">
      <alignment horizontal="center" vertical="center" wrapText="1"/>
    </xf>
    <xf numFmtId="49" fontId="127" fillId="0" borderId="18" xfId="32014" applyNumberFormat="1" applyFont="1" applyFill="1" applyBorder="1" applyAlignment="1">
      <alignment horizontal="center" vertical="center" wrapText="1"/>
    </xf>
    <xf numFmtId="49" fontId="127" fillId="0" borderId="19" xfId="32014" applyNumberFormat="1" applyFont="1" applyFill="1" applyBorder="1" applyAlignment="1">
      <alignment horizontal="center" vertical="center" wrapText="1"/>
    </xf>
    <xf numFmtId="49" fontId="130" fillId="0" borderId="17" xfId="32014" quotePrefix="1" applyNumberFormat="1" applyFont="1" applyFill="1" applyBorder="1" applyAlignment="1">
      <alignment horizontal="center" vertical="center" wrapText="1"/>
    </xf>
    <xf numFmtId="49" fontId="130" fillId="0" borderId="18" xfId="32014" quotePrefix="1" applyNumberFormat="1" applyFont="1" applyFill="1" applyBorder="1" applyAlignment="1">
      <alignment horizontal="center" vertical="center" wrapText="1"/>
    </xf>
    <xf numFmtId="49" fontId="130" fillId="0" borderId="19" xfId="32014" quotePrefix="1" applyNumberFormat="1" applyFont="1" applyFill="1" applyBorder="1" applyAlignment="1">
      <alignment horizontal="center" vertical="center" wrapText="1"/>
    </xf>
    <xf numFmtId="49" fontId="130" fillId="0" borderId="17" xfId="32014" applyNumberFormat="1" applyFont="1" applyFill="1" applyBorder="1" applyAlignment="1">
      <alignment horizontal="center" vertical="center" wrapText="1"/>
    </xf>
    <xf numFmtId="49" fontId="130" fillId="0" borderId="18" xfId="32014" applyNumberFormat="1" applyFont="1" applyFill="1" applyBorder="1" applyAlignment="1">
      <alignment horizontal="center" vertical="center" wrapText="1"/>
    </xf>
    <xf numFmtId="49" fontId="130" fillId="0" borderId="19" xfId="32014" applyNumberFormat="1" applyFont="1" applyFill="1" applyBorder="1" applyAlignment="1">
      <alignment horizontal="center" vertical="center" wrapText="1"/>
    </xf>
    <xf numFmtId="0" fontId="127" fillId="0" borderId="17" xfId="49727" applyNumberFormat="1" applyFont="1" applyFill="1" applyBorder="1" applyAlignment="1">
      <alignment horizontal="center" vertical="center" wrapText="1"/>
    </xf>
    <xf numFmtId="0" fontId="127" fillId="0" borderId="18" xfId="49727" applyNumberFormat="1" applyFont="1" applyFill="1" applyBorder="1" applyAlignment="1">
      <alignment horizontal="center" vertical="center" wrapText="1"/>
    </xf>
    <xf numFmtId="49" fontId="38" fillId="0" borderId="17" xfId="49727" applyNumberFormat="1" applyBorder="1" applyAlignment="1">
      <alignment horizontal="center" vertical="center" wrapText="1"/>
    </xf>
    <xf numFmtId="49" fontId="0" fillId="0" borderId="18" xfId="49727" applyNumberFormat="1" applyFont="1" applyBorder="1" applyAlignment="1">
      <alignment horizontal="center" vertical="center" wrapText="1"/>
    </xf>
    <xf numFmtId="49" fontId="0" fillId="0" borderId="19" xfId="49727" applyNumberFormat="1" applyFont="1" applyBorder="1" applyAlignment="1">
      <alignment horizontal="center" vertical="center" wrapText="1"/>
    </xf>
    <xf numFmtId="49" fontId="32" fillId="0" borderId="17" xfId="49727" applyNumberFormat="1" applyFont="1" applyBorder="1" applyAlignment="1">
      <alignment horizontal="center" vertical="center" wrapText="1"/>
    </xf>
    <xf numFmtId="49" fontId="32" fillId="0" borderId="18" xfId="49727" applyNumberFormat="1" applyFont="1" applyBorder="1" applyAlignment="1">
      <alignment horizontal="center" vertical="center" wrapText="1"/>
    </xf>
    <xf numFmtId="49" fontId="32" fillId="0" borderId="19" xfId="49727" applyNumberFormat="1" applyFont="1" applyBorder="1" applyAlignment="1">
      <alignment horizontal="center" vertical="center" wrapText="1"/>
    </xf>
    <xf numFmtId="49" fontId="163" fillId="0" borderId="17" xfId="49727" applyNumberFormat="1" applyFont="1" applyBorder="1" applyAlignment="1">
      <alignment horizontal="center" vertical="center" wrapText="1"/>
    </xf>
    <xf numFmtId="49" fontId="163" fillId="0" borderId="18" xfId="49727" applyNumberFormat="1" applyFont="1" applyBorder="1" applyAlignment="1">
      <alignment horizontal="center" vertical="center" wrapText="1"/>
    </xf>
    <xf numFmtId="49" fontId="163" fillId="0" borderId="19" xfId="49727" applyNumberFormat="1" applyFont="1" applyBorder="1" applyAlignment="1">
      <alignment horizontal="center" vertical="center" wrapText="1"/>
    </xf>
    <xf numFmtId="0" fontId="127" fillId="37" borderId="17" xfId="49727" applyNumberFormat="1" applyFont="1" applyFill="1" applyBorder="1" applyAlignment="1">
      <alignment horizontal="center" vertical="center"/>
    </xf>
    <xf numFmtId="0" fontId="127" fillId="37" borderId="18" xfId="49727" applyNumberFormat="1" applyFont="1" applyFill="1" applyBorder="1" applyAlignment="1">
      <alignment horizontal="center" vertical="center"/>
    </xf>
    <xf numFmtId="0" fontId="127" fillId="37" borderId="19" xfId="49727" applyNumberFormat="1" applyFont="1" applyFill="1" applyBorder="1" applyAlignment="1">
      <alignment horizontal="center" vertical="center"/>
    </xf>
    <xf numFmtId="0" fontId="131" fillId="33" borderId="35" xfId="4156" applyFont="1" applyFill="1" applyBorder="1" applyAlignment="1">
      <alignment horizontal="center" vertical="center"/>
    </xf>
    <xf numFmtId="0" fontId="131" fillId="33" borderId="2" xfId="4156" applyFont="1" applyFill="1" applyBorder="1" applyAlignment="1">
      <alignment horizontal="center" vertical="center"/>
    </xf>
    <xf numFmtId="0" fontId="131" fillId="33" borderId="36" xfId="4156" applyFont="1" applyFill="1" applyBorder="1" applyAlignment="1">
      <alignment horizontal="center" vertical="center"/>
    </xf>
    <xf numFmtId="0" fontId="127" fillId="0" borderId="25" xfId="49727" applyNumberFormat="1" applyFont="1" applyFill="1" applyBorder="1" applyAlignment="1">
      <alignment horizontal="center" vertical="center" wrapText="1"/>
    </xf>
    <xf numFmtId="0" fontId="127" fillId="0" borderId="26" xfId="49727" applyNumberFormat="1" applyFont="1" applyFill="1" applyBorder="1" applyAlignment="1">
      <alignment horizontal="center" vertical="center" wrapText="1"/>
    </xf>
    <xf numFmtId="0" fontId="127" fillId="0" borderId="27" xfId="49727" applyNumberFormat="1" applyFont="1" applyFill="1" applyBorder="1" applyAlignment="1">
      <alignment horizontal="center" vertical="center" wrapText="1"/>
    </xf>
    <xf numFmtId="0" fontId="127" fillId="0" borderId="20" xfId="49727" applyNumberFormat="1" applyFont="1" applyFill="1" applyBorder="1" applyAlignment="1">
      <alignment horizontal="center" vertical="center" wrapText="1"/>
    </xf>
    <xf numFmtId="0" fontId="127" fillId="0" borderId="0" xfId="49727" applyNumberFormat="1" applyFont="1" applyFill="1" applyBorder="1" applyAlignment="1">
      <alignment horizontal="center" vertical="center" wrapText="1"/>
    </xf>
    <xf numFmtId="0" fontId="127" fillId="0" borderId="21" xfId="49727" applyNumberFormat="1" applyFont="1" applyFill="1" applyBorder="1" applyAlignment="1">
      <alignment horizontal="center" vertical="center" wrapText="1"/>
    </xf>
    <xf numFmtId="0" fontId="127" fillId="0" borderId="22" xfId="49727" applyNumberFormat="1" applyFont="1" applyFill="1" applyBorder="1" applyAlignment="1">
      <alignment horizontal="center" vertical="center" wrapText="1"/>
    </xf>
    <xf numFmtId="0" fontId="127" fillId="0" borderId="23" xfId="49727" applyNumberFormat="1" applyFont="1" applyFill="1" applyBorder="1" applyAlignment="1">
      <alignment horizontal="center" vertical="center" wrapText="1"/>
    </xf>
    <xf numFmtId="0" fontId="127" fillId="0" borderId="24" xfId="49727" applyNumberFormat="1" applyFont="1" applyFill="1" applyBorder="1" applyAlignment="1">
      <alignment horizontal="center" vertical="center" wrapText="1"/>
    </xf>
    <xf numFmtId="0" fontId="141" fillId="0" borderId="17" xfId="116" applyFont="1" applyFill="1" applyBorder="1" applyAlignment="1">
      <alignment horizontal="center" vertical="center"/>
    </xf>
    <xf numFmtId="0" fontId="128" fillId="0" borderId="18" xfId="116" applyFont="1" applyFill="1" applyBorder="1" applyAlignment="1">
      <alignment horizontal="center" vertical="center"/>
    </xf>
    <xf numFmtId="0" fontId="128" fillId="0" borderId="19" xfId="116" applyFont="1" applyFill="1" applyBorder="1" applyAlignment="1">
      <alignment horizontal="center" vertical="center"/>
    </xf>
    <xf numFmtId="0" fontId="127" fillId="0" borderId="17" xfId="49727" quotePrefix="1" applyNumberFormat="1" applyFont="1" applyFill="1" applyBorder="1" applyAlignment="1">
      <alignment horizontal="center" vertical="center" wrapText="1"/>
    </xf>
    <xf numFmtId="0" fontId="127" fillId="0" borderId="18" xfId="49727" quotePrefix="1" applyNumberFormat="1" applyFont="1" applyFill="1" applyBorder="1" applyAlignment="1">
      <alignment horizontal="center" vertical="center" wrapText="1"/>
    </xf>
    <xf numFmtId="17" fontId="127" fillId="0" borderId="25" xfId="49727" applyNumberFormat="1" applyFont="1" applyFill="1" applyBorder="1" applyAlignment="1">
      <alignment horizontal="center" vertical="center" wrapText="1"/>
    </xf>
    <xf numFmtId="17" fontId="127" fillId="0" borderId="26" xfId="49727" applyNumberFormat="1" applyFont="1" applyFill="1" applyBorder="1" applyAlignment="1">
      <alignment horizontal="center" vertical="center" wrapText="1"/>
    </xf>
    <xf numFmtId="17" fontId="127" fillId="0" borderId="27" xfId="49727" applyNumberFormat="1" applyFont="1" applyFill="1" applyBorder="1" applyAlignment="1">
      <alignment horizontal="center" vertical="center" wrapText="1"/>
    </xf>
    <xf numFmtId="17" fontId="127" fillId="0" borderId="20" xfId="49727" applyNumberFormat="1" applyFont="1" applyFill="1" applyBorder="1" applyAlignment="1">
      <alignment horizontal="center" vertical="center" wrapText="1"/>
    </xf>
    <xf numFmtId="17" fontId="127" fillId="0" borderId="0" xfId="49727" applyNumberFormat="1" applyFont="1" applyFill="1" applyBorder="1" applyAlignment="1">
      <alignment horizontal="center" vertical="center" wrapText="1"/>
    </xf>
    <xf numFmtId="17" fontId="127" fillId="0" borderId="21" xfId="49727" applyNumberFormat="1" applyFont="1" applyFill="1" applyBorder="1" applyAlignment="1">
      <alignment horizontal="center" vertical="center" wrapText="1"/>
    </xf>
    <xf numFmtId="49" fontId="127" fillId="37" borderId="17" xfId="49727" applyNumberFormat="1" applyFont="1" applyFill="1" applyBorder="1" applyAlignment="1">
      <alignment horizontal="center" vertical="center" wrapText="1"/>
    </xf>
    <xf numFmtId="49" fontId="127" fillId="37" borderId="18" xfId="49727" applyNumberFormat="1" applyFont="1" applyFill="1" applyBorder="1" applyAlignment="1">
      <alignment horizontal="center" vertical="center" wrapText="1"/>
    </xf>
    <xf numFmtId="0" fontId="38" fillId="0" borderId="17" xfId="49738" applyBorder="1" applyAlignment="1">
      <alignment horizontal="center" vertical="center"/>
    </xf>
    <xf numFmtId="0" fontId="0" fillId="0" borderId="18" xfId="49738" applyFont="1" applyBorder="1" applyAlignment="1">
      <alignment horizontal="center" vertical="center"/>
    </xf>
    <xf numFmtId="0" fontId="0" fillId="0" borderId="19" xfId="49738" applyFont="1" applyBorder="1" applyAlignment="1">
      <alignment horizontal="center" vertical="center"/>
    </xf>
    <xf numFmtId="0" fontId="41" fillId="0" borderId="25" xfId="4156" applyBorder="1" applyAlignment="1">
      <alignment horizontal="center" vertical="center"/>
    </xf>
    <xf numFmtId="0" fontId="41" fillId="0" borderId="26" xfId="4156" applyBorder="1" applyAlignment="1">
      <alignment horizontal="center" vertical="center"/>
    </xf>
    <xf numFmtId="0" fontId="41" fillId="0" borderId="27" xfId="4156" applyBorder="1" applyAlignment="1">
      <alignment horizontal="center" vertical="center"/>
    </xf>
    <xf numFmtId="0" fontId="41" fillId="0" borderId="20" xfId="4156" applyBorder="1" applyAlignment="1">
      <alignment horizontal="center" vertical="center"/>
    </xf>
    <xf numFmtId="0" fontId="41" fillId="0" borderId="0" xfId="4156" applyBorder="1" applyAlignment="1">
      <alignment horizontal="center" vertical="center"/>
    </xf>
    <xf numFmtId="0" fontId="41" fillId="0" borderId="21" xfId="4156" applyBorder="1" applyAlignment="1">
      <alignment horizontal="center" vertical="center"/>
    </xf>
    <xf numFmtId="0" fontId="41" fillId="0" borderId="22" xfId="4156" applyBorder="1" applyAlignment="1">
      <alignment horizontal="center" vertical="center"/>
    </xf>
    <xf numFmtId="0" fontId="41" fillId="0" borderId="23" xfId="4156" applyBorder="1" applyAlignment="1">
      <alignment horizontal="center" vertical="center"/>
    </xf>
    <xf numFmtId="0" fontId="41" fillId="0" borderId="24" xfId="4156" applyBorder="1" applyAlignment="1">
      <alignment horizontal="center" vertical="center"/>
    </xf>
    <xf numFmtId="0" fontId="141" fillId="0" borderId="18" xfId="116" applyFont="1" applyFill="1" applyBorder="1" applyAlignment="1">
      <alignment horizontal="center" vertical="center"/>
    </xf>
    <xf numFmtId="0" fontId="141" fillId="0" borderId="19" xfId="116" applyFont="1" applyFill="1" applyBorder="1" applyAlignment="1">
      <alignment horizontal="center" vertical="center"/>
    </xf>
    <xf numFmtId="0" fontId="128" fillId="0" borderId="17" xfId="4156" applyFont="1" applyFill="1" applyBorder="1" applyAlignment="1">
      <alignment horizontal="center" vertical="center"/>
    </xf>
    <xf numFmtId="0" fontId="128" fillId="0" borderId="18" xfId="4156" applyFont="1" applyFill="1" applyBorder="1" applyAlignment="1">
      <alignment horizontal="center" vertical="center"/>
    </xf>
    <xf numFmtId="0" fontId="128" fillId="0" borderId="19" xfId="4156" applyFont="1" applyFill="1" applyBorder="1" applyAlignment="1">
      <alignment horizontal="center" vertical="center"/>
    </xf>
    <xf numFmtId="41" fontId="130" fillId="0" borderId="17" xfId="6962" applyFont="1" applyFill="1" applyBorder="1" applyAlignment="1">
      <alignment horizontal="center" vertical="center"/>
    </xf>
    <xf numFmtId="41" fontId="130" fillId="0" borderId="18" xfId="6962" applyFont="1" applyFill="1" applyBorder="1" applyAlignment="1">
      <alignment horizontal="center" vertical="center"/>
    </xf>
    <xf numFmtId="41" fontId="130" fillId="0" borderId="19" xfId="6962" applyFont="1" applyFill="1" applyBorder="1" applyAlignment="1">
      <alignment horizontal="center" vertical="center"/>
    </xf>
    <xf numFmtId="0" fontId="128" fillId="0" borderId="17" xfId="4156" quotePrefix="1" applyFont="1" applyFill="1" applyBorder="1" applyAlignment="1">
      <alignment horizontal="center" vertical="center"/>
    </xf>
    <xf numFmtId="0" fontId="128" fillId="0" borderId="18" xfId="4156" quotePrefix="1" applyFont="1" applyFill="1" applyBorder="1" applyAlignment="1">
      <alignment horizontal="center" vertical="center"/>
    </xf>
    <xf numFmtId="0" fontId="128" fillId="0" borderId="19" xfId="4156" quotePrefix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130" fillId="0" borderId="17" xfId="32014" applyFont="1" applyFill="1" applyBorder="1" applyAlignment="1">
      <alignment horizontal="center" vertical="center" wrapText="1"/>
    </xf>
    <xf numFmtId="0" fontId="130" fillId="0" borderId="18" xfId="32014" applyFont="1" applyFill="1" applyBorder="1" applyAlignment="1">
      <alignment horizontal="center" vertical="center" wrapText="1"/>
    </xf>
    <xf numFmtId="0" fontId="128" fillId="0" borderId="25" xfId="116" applyFont="1" applyFill="1" applyBorder="1" applyAlignment="1">
      <alignment horizontal="center" vertical="center" wrapText="1"/>
    </xf>
    <xf numFmtId="0" fontId="128" fillId="0" borderId="26" xfId="116" applyFont="1" applyFill="1" applyBorder="1" applyAlignment="1">
      <alignment horizontal="center" vertical="center" wrapText="1"/>
    </xf>
    <xf numFmtId="0" fontId="128" fillId="0" borderId="27" xfId="116" applyFont="1" applyFill="1" applyBorder="1" applyAlignment="1">
      <alignment horizontal="center" vertical="center" wrapText="1"/>
    </xf>
    <xf numFmtId="0" fontId="128" fillId="0" borderId="20" xfId="116" applyFont="1" applyFill="1" applyBorder="1" applyAlignment="1">
      <alignment horizontal="center" vertical="center" wrapText="1"/>
    </xf>
    <xf numFmtId="0" fontId="128" fillId="0" borderId="0" xfId="116" applyFont="1" applyFill="1" applyBorder="1" applyAlignment="1">
      <alignment horizontal="center" vertical="center" wrapText="1"/>
    </xf>
    <xf numFmtId="0" fontId="128" fillId="0" borderId="21" xfId="116" applyFont="1" applyFill="1" applyBorder="1" applyAlignment="1">
      <alignment horizontal="center" vertical="center" wrapText="1"/>
    </xf>
    <xf numFmtId="0" fontId="160" fillId="0" borderId="44" xfId="49727" applyFont="1" applyBorder="1" applyAlignment="1">
      <alignment horizontal="center" vertical="center"/>
    </xf>
    <xf numFmtId="0" fontId="160" fillId="0" borderId="3" xfId="49727" applyFont="1" applyBorder="1" applyAlignment="1">
      <alignment horizontal="center" vertical="center"/>
    </xf>
    <xf numFmtId="49" fontId="147" fillId="0" borderId="17" xfId="49732" applyNumberFormat="1" applyFont="1" applyFill="1" applyBorder="1" applyAlignment="1">
      <alignment horizontal="center" vertical="center"/>
    </xf>
    <xf numFmtId="49" fontId="147" fillId="0" borderId="18" xfId="49732" applyNumberFormat="1" applyFont="1" applyFill="1" applyBorder="1" applyAlignment="1">
      <alignment horizontal="center" vertical="center"/>
    </xf>
    <xf numFmtId="49" fontId="147" fillId="0" borderId="19" xfId="49732" applyNumberFormat="1" applyFont="1" applyFill="1" applyBorder="1" applyAlignment="1">
      <alignment horizontal="center" vertical="center"/>
    </xf>
    <xf numFmtId="49" fontId="128" fillId="0" borderId="17" xfId="49719" quotePrefix="1" applyNumberFormat="1" applyFont="1" applyFill="1" applyBorder="1" applyAlignment="1">
      <alignment horizontal="center" vertical="center"/>
    </xf>
    <xf numFmtId="49" fontId="128" fillId="0" borderId="18" xfId="49719" quotePrefix="1" applyNumberFormat="1" applyFont="1" applyFill="1" applyBorder="1" applyAlignment="1">
      <alignment horizontal="center" vertical="center"/>
    </xf>
    <xf numFmtId="49" fontId="128" fillId="0" borderId="19" xfId="49719" quotePrefix="1" applyNumberFormat="1" applyFont="1" applyFill="1" applyBorder="1" applyAlignment="1">
      <alignment horizontal="center" vertical="center"/>
    </xf>
    <xf numFmtId="41" fontId="128" fillId="0" borderId="17" xfId="49719" applyFont="1" applyFill="1" applyBorder="1" applyAlignment="1">
      <alignment horizontal="center" vertical="center"/>
    </xf>
    <xf numFmtId="41" fontId="128" fillId="0" borderId="18" xfId="49719" applyFont="1" applyFill="1" applyBorder="1" applyAlignment="1">
      <alignment horizontal="center" vertical="center"/>
    </xf>
    <xf numFmtId="41" fontId="128" fillId="0" borderId="19" xfId="49719" applyFont="1" applyFill="1" applyBorder="1" applyAlignment="1">
      <alignment horizontal="center" vertical="center"/>
    </xf>
    <xf numFmtId="14" fontId="128" fillId="0" borderId="17" xfId="49719" quotePrefix="1" applyNumberFormat="1" applyFont="1" applyFill="1" applyBorder="1" applyAlignment="1">
      <alignment horizontal="center" vertical="center"/>
    </xf>
    <xf numFmtId="14" fontId="128" fillId="0" borderId="18" xfId="49719" quotePrefix="1" applyNumberFormat="1" applyFont="1" applyFill="1" applyBorder="1" applyAlignment="1">
      <alignment horizontal="center" vertical="center"/>
    </xf>
    <xf numFmtId="14" fontId="128" fillId="0" borderId="19" xfId="49719" quotePrefix="1" applyNumberFormat="1" applyFont="1" applyFill="1" applyBorder="1" applyAlignment="1">
      <alignment horizontal="center" vertical="center"/>
    </xf>
    <xf numFmtId="41" fontId="130" fillId="0" borderId="25" xfId="6962" applyFont="1" applyFill="1" applyBorder="1" applyAlignment="1">
      <alignment horizontal="center" vertical="center" wrapText="1"/>
    </xf>
    <xf numFmtId="41" fontId="130" fillId="0" borderId="26" xfId="6962" applyFont="1" applyFill="1" applyBorder="1" applyAlignment="1">
      <alignment horizontal="center" vertical="center" wrapText="1"/>
    </xf>
    <xf numFmtId="41" fontId="130" fillId="0" borderId="27" xfId="6962" applyFont="1" applyFill="1" applyBorder="1" applyAlignment="1">
      <alignment horizontal="center" vertical="center" wrapText="1"/>
    </xf>
    <xf numFmtId="41" fontId="130" fillId="0" borderId="20" xfId="6962" applyFont="1" applyFill="1" applyBorder="1" applyAlignment="1">
      <alignment horizontal="center" vertical="center" wrapText="1"/>
    </xf>
    <xf numFmtId="41" fontId="130" fillId="0" borderId="0" xfId="6962" applyFont="1" applyFill="1" applyBorder="1" applyAlignment="1">
      <alignment horizontal="center" vertical="center" wrapText="1"/>
    </xf>
    <xf numFmtId="41" fontId="130" fillId="0" borderId="21" xfId="6962" applyFont="1" applyFill="1" applyBorder="1" applyAlignment="1">
      <alignment horizontal="center" vertical="center" wrapText="1"/>
    </xf>
    <xf numFmtId="41" fontId="130" fillId="0" borderId="22" xfId="6962" applyFont="1" applyFill="1" applyBorder="1" applyAlignment="1">
      <alignment horizontal="center" vertical="center" wrapText="1"/>
    </xf>
    <xf numFmtId="41" fontId="130" fillId="0" borderId="23" xfId="6962" applyFont="1" applyFill="1" applyBorder="1" applyAlignment="1">
      <alignment horizontal="center" vertical="center" wrapText="1"/>
    </xf>
    <xf numFmtId="41" fontId="130" fillId="0" borderId="24" xfId="6962" applyFont="1" applyFill="1" applyBorder="1" applyAlignment="1">
      <alignment horizontal="center" vertical="center" wrapText="1"/>
    </xf>
    <xf numFmtId="0" fontId="130" fillId="0" borderId="19" xfId="32014" applyFont="1" applyFill="1" applyBorder="1" applyAlignment="1">
      <alignment horizontal="center" vertical="center" wrapText="1"/>
    </xf>
    <xf numFmtId="0" fontId="130" fillId="0" borderId="17" xfId="4156" applyFont="1" applyBorder="1" applyAlignment="1">
      <alignment horizontal="center" vertical="center" wrapText="1"/>
    </xf>
    <xf numFmtId="0" fontId="130" fillId="0" borderId="18" xfId="4156" applyFont="1" applyBorder="1" applyAlignment="1">
      <alignment horizontal="center" vertical="center" wrapText="1"/>
    </xf>
    <xf numFmtId="0" fontId="130" fillId="0" borderId="19" xfId="4156" applyFont="1" applyBorder="1" applyAlignment="1">
      <alignment horizontal="center" vertical="center" wrapText="1"/>
    </xf>
    <xf numFmtId="49" fontId="130" fillId="0" borderId="17" xfId="49727" applyNumberFormat="1" applyFont="1" applyBorder="1" applyAlignment="1">
      <alignment horizontal="center" vertical="center" wrapText="1"/>
    </xf>
    <xf numFmtId="49" fontId="130" fillId="0" borderId="18" xfId="49727" applyNumberFormat="1" applyFont="1" applyBorder="1" applyAlignment="1">
      <alignment horizontal="center" vertical="center" wrapText="1"/>
    </xf>
    <xf numFmtId="49" fontId="130" fillId="0" borderId="19" xfId="49727" applyNumberFormat="1" applyFont="1" applyBorder="1" applyAlignment="1">
      <alignment horizontal="center" vertical="center" wrapText="1"/>
    </xf>
    <xf numFmtId="14" fontId="130" fillId="0" borderId="17" xfId="49719" quotePrefix="1" applyNumberFormat="1" applyFont="1" applyFill="1" applyBorder="1" applyAlignment="1">
      <alignment horizontal="center" vertical="center"/>
    </xf>
    <xf numFmtId="14" fontId="130" fillId="0" borderId="18" xfId="49719" quotePrefix="1" applyNumberFormat="1" applyFont="1" applyFill="1" applyBorder="1" applyAlignment="1">
      <alignment horizontal="center" vertical="center"/>
    </xf>
    <xf numFmtId="14" fontId="130" fillId="0" borderId="19" xfId="49719" quotePrefix="1" applyNumberFormat="1" applyFont="1" applyFill="1" applyBorder="1" applyAlignment="1">
      <alignment horizontal="center" vertical="center"/>
    </xf>
    <xf numFmtId="49" fontId="128" fillId="25" borderId="17" xfId="49719" quotePrefix="1" applyNumberFormat="1" applyFont="1" applyFill="1" applyBorder="1" applyAlignment="1">
      <alignment horizontal="center" vertical="center" wrapText="1"/>
    </xf>
    <xf numFmtId="49" fontId="128" fillId="25" borderId="18" xfId="49719" quotePrefix="1" applyNumberFormat="1" applyFont="1" applyFill="1" applyBorder="1" applyAlignment="1">
      <alignment horizontal="center" vertical="center" wrapText="1"/>
    </xf>
    <xf numFmtId="49" fontId="128" fillId="25" borderId="19" xfId="49719" quotePrefix="1" applyNumberFormat="1" applyFont="1" applyFill="1" applyBorder="1" applyAlignment="1">
      <alignment horizontal="center" vertical="center" wrapText="1"/>
    </xf>
    <xf numFmtId="0" fontId="130" fillId="0" borderId="17" xfId="4156" applyFont="1" applyFill="1" applyBorder="1" applyAlignment="1">
      <alignment horizontal="center" vertical="center" wrapText="1"/>
    </xf>
    <xf numFmtId="0" fontId="130" fillId="0" borderId="18" xfId="4156" applyFont="1" applyFill="1" applyBorder="1" applyAlignment="1">
      <alignment horizontal="center" vertical="center" wrapText="1"/>
    </xf>
    <xf numFmtId="0" fontId="130" fillId="0" borderId="19" xfId="4156" applyFont="1" applyFill="1" applyBorder="1" applyAlignment="1">
      <alignment horizontal="center" vertical="center" wrapText="1"/>
    </xf>
    <xf numFmtId="17" fontId="127" fillId="0" borderId="25" xfId="32014" applyNumberFormat="1" applyFont="1" applyFill="1" applyBorder="1" applyAlignment="1">
      <alignment horizontal="center" vertical="center" wrapText="1"/>
    </xf>
    <xf numFmtId="17" fontId="127" fillId="0" borderId="26" xfId="32014" applyNumberFormat="1" applyFont="1" applyFill="1" applyBorder="1" applyAlignment="1">
      <alignment horizontal="center" vertical="center" wrapText="1"/>
    </xf>
    <xf numFmtId="17" fontId="127" fillId="0" borderId="27" xfId="32014" applyNumberFormat="1" applyFont="1" applyFill="1" applyBorder="1" applyAlignment="1">
      <alignment horizontal="center" vertical="center" wrapText="1"/>
    </xf>
    <xf numFmtId="17" fontId="127" fillId="0" borderId="20" xfId="32014" applyNumberFormat="1" applyFont="1" applyFill="1" applyBorder="1" applyAlignment="1">
      <alignment horizontal="center" vertical="center" wrapText="1"/>
    </xf>
    <xf numFmtId="17" fontId="127" fillId="0" borderId="0" xfId="32014" applyNumberFormat="1" applyFont="1" applyFill="1" applyBorder="1" applyAlignment="1">
      <alignment horizontal="center" vertical="center" wrapText="1"/>
    </xf>
    <xf numFmtId="17" fontId="127" fillId="0" borderId="21" xfId="32014" applyNumberFormat="1" applyFont="1" applyFill="1" applyBorder="1" applyAlignment="1">
      <alignment horizontal="center" vertical="center" wrapText="1"/>
    </xf>
    <xf numFmtId="17" fontId="127" fillId="0" borderId="22" xfId="32014" applyNumberFormat="1" applyFont="1" applyFill="1" applyBorder="1" applyAlignment="1">
      <alignment horizontal="center" vertical="center" wrapText="1"/>
    </xf>
    <xf numFmtId="17" fontId="127" fillId="0" borderId="23" xfId="32014" applyNumberFormat="1" applyFont="1" applyFill="1" applyBorder="1" applyAlignment="1">
      <alignment horizontal="center" vertical="center" wrapText="1"/>
    </xf>
    <xf numFmtId="17" fontId="127" fillId="0" borderId="24" xfId="32014" applyNumberFormat="1" applyFont="1" applyFill="1" applyBorder="1" applyAlignment="1">
      <alignment horizontal="center" vertical="center" wrapText="1"/>
    </xf>
    <xf numFmtId="0" fontId="128" fillId="0" borderId="17" xfId="116" applyFont="1" applyFill="1" applyBorder="1" applyAlignment="1">
      <alignment horizontal="center" vertical="center"/>
    </xf>
    <xf numFmtId="49" fontId="157" fillId="25" borderId="17" xfId="49727" applyNumberFormat="1" applyFont="1" applyFill="1" applyBorder="1" applyAlignment="1">
      <alignment horizontal="center" vertical="center" wrapText="1"/>
    </xf>
    <xf numFmtId="49" fontId="157" fillId="25" borderId="18" xfId="49727" applyNumberFormat="1" applyFont="1" applyFill="1" applyBorder="1" applyAlignment="1">
      <alignment horizontal="center" vertical="center" wrapText="1"/>
    </xf>
    <xf numFmtId="41" fontId="146" fillId="0" borderId="17" xfId="6962" applyFont="1" applyFill="1" applyBorder="1" applyAlignment="1">
      <alignment horizontal="center" vertical="center"/>
    </xf>
    <xf numFmtId="41" fontId="146" fillId="0" borderId="19" xfId="6962" applyFont="1" applyFill="1" applyBorder="1" applyAlignment="1">
      <alignment horizontal="center" vertical="center"/>
    </xf>
    <xf numFmtId="49" fontId="127" fillId="39" borderId="17" xfId="32014" applyNumberFormat="1" applyFont="1" applyFill="1" applyBorder="1" applyAlignment="1">
      <alignment horizontal="center" vertical="center" wrapText="1"/>
    </xf>
    <xf numFmtId="49" fontId="127" fillId="39" borderId="18" xfId="32014" applyNumberFormat="1" applyFont="1" applyFill="1" applyBorder="1" applyAlignment="1">
      <alignment horizontal="center" vertical="center" wrapText="1"/>
    </xf>
    <xf numFmtId="49" fontId="127" fillId="39" borderId="19" xfId="32014" applyNumberFormat="1" applyFont="1" applyFill="1" applyBorder="1" applyAlignment="1">
      <alignment horizontal="center" vertical="center" wrapText="1"/>
    </xf>
    <xf numFmtId="49" fontId="141" fillId="0" borderId="17" xfId="32014" applyNumberFormat="1" applyFont="1" applyFill="1" applyBorder="1" applyAlignment="1">
      <alignment horizontal="center" vertical="center" wrapText="1"/>
    </xf>
    <xf numFmtId="49" fontId="141" fillId="0" borderId="18" xfId="32014" applyNumberFormat="1" applyFont="1" applyFill="1" applyBorder="1" applyAlignment="1">
      <alignment horizontal="center" vertical="center" wrapText="1"/>
    </xf>
    <xf numFmtId="49" fontId="141" fillId="0" borderId="19" xfId="32014" applyNumberFormat="1" applyFont="1" applyFill="1" applyBorder="1" applyAlignment="1">
      <alignment horizontal="center" vertical="center" wrapText="1"/>
    </xf>
    <xf numFmtId="0" fontId="149" fillId="0" borderId="17" xfId="49727" applyFont="1" applyBorder="1" applyAlignment="1">
      <alignment horizontal="center" vertical="center" wrapText="1"/>
    </xf>
    <xf numFmtId="0" fontId="149" fillId="0" borderId="19" xfId="49727" applyFont="1" applyBorder="1" applyAlignment="1">
      <alignment horizontal="center" vertical="center" wrapText="1"/>
    </xf>
    <xf numFmtId="0" fontId="150" fillId="0" borderId="17" xfId="49727" applyFont="1" applyBorder="1" applyAlignment="1">
      <alignment horizontal="center" vertical="center" wrapText="1"/>
    </xf>
    <xf numFmtId="0" fontId="150" fillId="0" borderId="19" xfId="49727" applyFont="1" applyBorder="1" applyAlignment="1">
      <alignment horizontal="center" vertical="center" wrapText="1"/>
    </xf>
    <xf numFmtId="49" fontId="149" fillId="0" borderId="17" xfId="49732" applyNumberFormat="1" applyFont="1" applyFill="1" applyBorder="1" applyAlignment="1">
      <alignment horizontal="center" vertical="center"/>
    </xf>
    <xf numFmtId="49" fontId="149" fillId="0" borderId="18" xfId="49732" applyNumberFormat="1" applyFont="1" applyFill="1" applyBorder="1" applyAlignment="1">
      <alignment horizontal="center" vertical="center"/>
    </xf>
    <xf numFmtId="49" fontId="149" fillId="0" borderId="19" xfId="49732" applyNumberFormat="1" applyFont="1" applyFill="1" applyBorder="1" applyAlignment="1">
      <alignment horizontal="center" vertical="center"/>
    </xf>
    <xf numFmtId="0" fontId="38" fillId="0" borderId="17" xfId="49727" applyBorder="1" applyAlignment="1">
      <alignment horizontal="center" vertical="center" wrapText="1"/>
    </xf>
    <xf numFmtId="0" fontId="38" fillId="0" borderId="18" xfId="49727" applyBorder="1" applyAlignment="1">
      <alignment horizontal="center" vertical="center" wrapText="1"/>
    </xf>
    <xf numFmtId="0" fontId="157" fillId="25" borderId="17" xfId="49738" applyFont="1" applyFill="1" applyBorder="1" applyAlignment="1">
      <alignment horizontal="center" vertical="center" wrapText="1"/>
    </xf>
    <xf numFmtId="0" fontId="157" fillId="25" borderId="18" xfId="49738" applyFont="1" applyFill="1" applyBorder="1" applyAlignment="1">
      <alignment horizontal="center" vertical="center" wrapText="1"/>
    </xf>
    <xf numFmtId="0" fontId="157" fillId="25" borderId="19" xfId="49738" applyFont="1" applyFill="1" applyBorder="1" applyAlignment="1">
      <alignment horizontal="center" vertical="center" wrapText="1"/>
    </xf>
    <xf numFmtId="0" fontId="160" fillId="0" borderId="45" xfId="49738" applyFont="1" applyBorder="1" applyAlignment="1">
      <alignment horizontal="center" vertical="center" wrapText="1"/>
    </xf>
    <xf numFmtId="0" fontId="160" fillId="0" borderId="18" xfId="49738" applyFont="1" applyBorder="1" applyAlignment="1">
      <alignment horizontal="center" vertical="center" wrapText="1"/>
    </xf>
    <xf numFmtId="0" fontId="160" fillId="0" borderId="19" xfId="49738" applyFont="1" applyBorder="1" applyAlignment="1">
      <alignment horizontal="center" vertical="center" wrapText="1"/>
    </xf>
    <xf numFmtId="0" fontId="160" fillId="0" borderId="44" xfId="49727" applyFont="1" applyBorder="1" applyAlignment="1">
      <alignment horizontal="center" vertical="center" wrapText="1"/>
    </xf>
    <xf numFmtId="0" fontId="160" fillId="0" borderId="3" xfId="49727" applyFont="1" applyBorder="1" applyAlignment="1">
      <alignment horizontal="center" vertical="center" wrapText="1"/>
    </xf>
    <xf numFmtId="49" fontId="127" fillId="37" borderId="19" xfId="49727" applyNumberFormat="1" applyFont="1" applyFill="1" applyBorder="1" applyAlignment="1">
      <alignment horizontal="center" vertical="center" wrapText="1"/>
    </xf>
    <xf numFmtId="0" fontId="157" fillId="25" borderId="45" xfId="49727" applyFont="1" applyFill="1" applyBorder="1" applyAlignment="1">
      <alignment horizontal="center" vertical="center" wrapText="1"/>
    </xf>
    <xf numFmtId="0" fontId="157" fillId="25" borderId="18" xfId="49727" applyFont="1" applyFill="1" applyBorder="1" applyAlignment="1">
      <alignment horizontal="center" vertical="center" wrapText="1"/>
    </xf>
    <xf numFmtId="0" fontId="157" fillId="25" borderId="19" xfId="49727" applyFont="1" applyFill="1" applyBorder="1" applyAlignment="1">
      <alignment horizontal="center" vertical="center" wrapText="1"/>
    </xf>
    <xf numFmtId="49" fontId="147" fillId="0" borderId="17" xfId="49727" applyNumberFormat="1" applyFont="1" applyBorder="1" applyAlignment="1">
      <alignment horizontal="center" vertical="center" wrapText="1"/>
    </xf>
    <xf numFmtId="49" fontId="147" fillId="0" borderId="18" xfId="49727" applyNumberFormat="1" applyFont="1" applyBorder="1" applyAlignment="1">
      <alignment horizontal="center" vertical="center" wrapText="1"/>
    </xf>
    <xf numFmtId="49" fontId="147" fillId="0" borderId="19" xfId="49727" applyNumberFormat="1" applyFont="1" applyBorder="1" applyAlignment="1">
      <alignment horizontal="center" vertical="center" wrapText="1"/>
    </xf>
    <xf numFmtId="49" fontId="130" fillId="0" borderId="17" xfId="49727" applyNumberFormat="1" applyFont="1" applyFill="1" applyBorder="1" applyAlignment="1">
      <alignment horizontal="center" vertical="center" wrapText="1"/>
    </xf>
    <xf numFmtId="49" fontId="130" fillId="0" borderId="18" xfId="49727" applyNumberFormat="1" applyFont="1" applyFill="1" applyBorder="1" applyAlignment="1">
      <alignment horizontal="center" vertical="center" wrapText="1"/>
    </xf>
    <xf numFmtId="49" fontId="130" fillId="0" borderId="19" xfId="49727" applyNumberFormat="1" applyFont="1" applyFill="1" applyBorder="1" applyAlignment="1">
      <alignment horizontal="center" vertical="center" wrapText="1"/>
    </xf>
    <xf numFmtId="0" fontId="127" fillId="0" borderId="19" xfId="49727" applyNumberFormat="1" applyFont="1" applyFill="1" applyBorder="1" applyAlignment="1">
      <alignment horizontal="center" vertical="center" wrapText="1"/>
    </xf>
    <xf numFmtId="49" fontId="147" fillId="39" borderId="17" xfId="49727" applyNumberFormat="1" applyFont="1" applyFill="1" applyBorder="1" applyAlignment="1">
      <alignment horizontal="center" vertical="center" wrapText="1"/>
    </xf>
    <xf numFmtId="49" fontId="147" fillId="39" borderId="18" xfId="49727" applyNumberFormat="1" applyFont="1" applyFill="1" applyBorder="1" applyAlignment="1">
      <alignment horizontal="center" vertical="center" wrapText="1"/>
    </xf>
    <xf numFmtId="49" fontId="147" fillId="39" borderId="19" xfId="49727" applyNumberFormat="1" applyFont="1" applyFill="1" applyBorder="1" applyAlignment="1">
      <alignment horizontal="center" vertical="center" wrapText="1"/>
    </xf>
    <xf numFmtId="0" fontId="127" fillId="0" borderId="17" xfId="32014" applyFont="1" applyFill="1" applyBorder="1" applyAlignment="1">
      <alignment horizontal="center" vertical="center" wrapText="1"/>
    </xf>
    <xf numFmtId="0" fontId="127" fillId="0" borderId="18" xfId="32014" applyFont="1" applyFill="1" applyBorder="1" applyAlignment="1">
      <alignment horizontal="center" vertical="center" wrapText="1"/>
    </xf>
    <xf numFmtId="0" fontId="127" fillId="0" borderId="19" xfId="32014" applyFont="1" applyFill="1" applyBorder="1" applyAlignment="1">
      <alignment horizontal="center" vertical="center" wrapText="1"/>
    </xf>
    <xf numFmtId="49" fontId="127" fillId="0" borderId="17" xfId="49727" applyNumberFormat="1" applyFont="1" applyFill="1" applyBorder="1" applyAlignment="1">
      <alignment horizontal="center" vertical="center" wrapText="1"/>
    </xf>
    <xf numFmtId="49" fontId="127" fillId="0" borderId="18" xfId="49727" applyNumberFormat="1" applyFont="1" applyFill="1" applyBorder="1" applyAlignment="1">
      <alignment horizontal="center" vertical="center" wrapText="1"/>
    </xf>
    <xf numFmtId="49" fontId="127" fillId="0" borderId="19" xfId="49727" applyNumberFormat="1" applyFont="1" applyFill="1" applyBorder="1" applyAlignment="1">
      <alignment horizontal="center" vertical="center" wrapText="1"/>
    </xf>
    <xf numFmtId="0" fontId="127" fillId="25" borderId="17" xfId="49727" applyNumberFormat="1" applyFont="1" applyFill="1" applyBorder="1" applyAlignment="1">
      <alignment horizontal="center" vertical="center" wrapText="1"/>
    </xf>
    <xf numFmtId="0" fontId="127" fillId="25" borderId="18" xfId="49727" applyNumberFormat="1" applyFont="1" applyFill="1" applyBorder="1" applyAlignment="1">
      <alignment horizontal="center" vertical="center" wrapText="1"/>
    </xf>
    <xf numFmtId="0" fontId="127" fillId="25" borderId="19" xfId="49727" applyNumberFormat="1" applyFont="1" applyFill="1" applyBorder="1" applyAlignment="1">
      <alignment horizontal="center" vertical="center" wrapText="1"/>
    </xf>
    <xf numFmtId="0" fontId="130" fillId="0" borderId="17" xfId="49727" applyNumberFormat="1" applyFont="1" applyFill="1" applyBorder="1" applyAlignment="1">
      <alignment horizontal="center" vertical="center" wrapText="1"/>
    </xf>
    <xf numFmtId="0" fontId="130" fillId="0" borderId="18" xfId="49727" applyNumberFormat="1" applyFont="1" applyFill="1" applyBorder="1" applyAlignment="1">
      <alignment horizontal="center" vertical="center" wrapText="1"/>
    </xf>
    <xf numFmtId="0" fontId="130" fillId="0" borderId="19" xfId="49727" applyNumberFormat="1" applyFont="1" applyFill="1" applyBorder="1" applyAlignment="1">
      <alignment horizontal="center" vertical="center" wrapText="1"/>
    </xf>
    <xf numFmtId="49" fontId="154" fillId="25" borderId="17" xfId="32014" applyNumberFormat="1" applyFont="1" applyFill="1" applyBorder="1" applyAlignment="1">
      <alignment horizontal="center" vertical="center" wrapText="1"/>
    </xf>
    <xf numFmtId="49" fontId="130" fillId="25" borderId="18" xfId="32014" applyNumberFormat="1" applyFont="1" applyFill="1" applyBorder="1" applyAlignment="1">
      <alignment horizontal="center" vertical="center" wrapText="1"/>
    </xf>
    <xf numFmtId="0" fontId="127" fillId="0" borderId="17" xfId="32014" applyFont="1" applyFill="1" applyBorder="1" applyAlignment="1">
      <alignment horizontal="center" vertical="center"/>
    </xf>
    <xf numFmtId="0" fontId="127" fillId="0" borderId="18" xfId="32014" applyFont="1" applyFill="1" applyBorder="1" applyAlignment="1">
      <alignment horizontal="center" vertical="center"/>
    </xf>
    <xf numFmtId="0" fontId="127" fillId="0" borderId="19" xfId="32014" applyFont="1" applyFill="1" applyBorder="1" applyAlignment="1">
      <alignment horizontal="center" vertical="center"/>
    </xf>
    <xf numFmtId="49" fontId="157" fillId="25" borderId="45" xfId="49727" applyNumberFormat="1" applyFont="1" applyFill="1" applyBorder="1" applyAlignment="1">
      <alignment horizontal="center" vertical="center" wrapText="1"/>
    </xf>
    <xf numFmtId="49" fontId="157" fillId="25" borderId="19" xfId="49727" applyNumberFormat="1" applyFont="1" applyFill="1" applyBorder="1" applyAlignment="1">
      <alignment horizontal="center" vertical="center" wrapText="1"/>
    </xf>
    <xf numFmtId="49" fontId="128" fillId="25" borderId="17" xfId="49727" applyNumberFormat="1" applyFont="1" applyFill="1" applyBorder="1" applyAlignment="1">
      <alignment horizontal="center" vertical="center" wrapText="1"/>
    </xf>
    <xf numFmtId="49" fontId="128" fillId="25" borderId="18" xfId="49727" applyNumberFormat="1" applyFont="1" applyFill="1" applyBorder="1" applyAlignment="1">
      <alignment horizontal="center" vertical="center" wrapText="1"/>
    </xf>
    <xf numFmtId="49" fontId="128" fillId="25" borderId="54" xfId="49727" applyNumberFormat="1" applyFont="1" applyFill="1" applyBorder="1" applyAlignment="1">
      <alignment horizontal="center" vertical="center" wrapText="1"/>
    </xf>
    <xf numFmtId="0" fontId="156" fillId="25" borderId="18" xfId="32014" applyFont="1" applyFill="1" applyBorder="1" applyAlignment="1">
      <alignment horizontal="center" vertical="center" wrapText="1"/>
    </xf>
    <xf numFmtId="0" fontId="41" fillId="0" borderId="17" xfId="4156" applyBorder="1" applyAlignment="1">
      <alignment horizontal="center" vertical="center" wrapText="1"/>
    </xf>
    <xf numFmtId="0" fontId="41" fillId="0" borderId="19" xfId="4156" applyBorder="1" applyAlignment="1">
      <alignment horizontal="center" vertical="center" wrapText="1"/>
    </xf>
    <xf numFmtId="0" fontId="128" fillId="39" borderId="17" xfId="4156" applyNumberFormat="1" applyFont="1" applyFill="1" applyBorder="1" applyAlignment="1">
      <alignment horizontal="center" vertical="center"/>
    </xf>
    <xf numFmtId="0" fontId="128" fillId="39" borderId="18" xfId="4156" applyNumberFormat="1" applyFont="1" applyFill="1" applyBorder="1" applyAlignment="1">
      <alignment horizontal="center" vertical="center"/>
    </xf>
    <xf numFmtId="0" fontId="128" fillId="39" borderId="19" xfId="4156" applyNumberFormat="1" applyFont="1" applyFill="1" applyBorder="1" applyAlignment="1">
      <alignment horizontal="center" vertical="center"/>
    </xf>
    <xf numFmtId="0" fontId="124" fillId="0" borderId="17" xfId="4156" applyFont="1" applyBorder="1" applyAlignment="1">
      <alignment horizontal="center" vertical="center"/>
    </xf>
    <xf numFmtId="0" fontId="124" fillId="0" borderId="18" xfId="4156" applyFont="1" applyBorder="1" applyAlignment="1">
      <alignment horizontal="center" vertical="center"/>
    </xf>
    <xf numFmtId="0" fontId="124" fillId="0" borderId="19" xfId="4156" applyFont="1" applyBorder="1" applyAlignment="1">
      <alignment horizontal="center" vertical="center"/>
    </xf>
    <xf numFmtId="0" fontId="128" fillId="0" borderId="3" xfId="116" applyNumberFormat="1" applyFont="1" applyFill="1" applyBorder="1" applyAlignment="1">
      <alignment horizontal="center" vertical="center" wrapText="1"/>
    </xf>
    <xf numFmtId="0" fontId="127" fillId="0" borderId="27" xfId="32014" applyFont="1" applyFill="1" applyBorder="1" applyAlignment="1">
      <alignment horizontal="center" vertical="center" wrapText="1"/>
    </xf>
    <xf numFmtId="0" fontId="127" fillId="0" borderId="21" xfId="32014" applyFont="1" applyFill="1" applyBorder="1" applyAlignment="1">
      <alignment horizontal="center" vertical="center" wrapText="1"/>
    </xf>
    <xf numFmtId="14" fontId="130" fillId="0" borderId="17" xfId="32014" quotePrefix="1" applyNumberFormat="1" applyFont="1" applyFill="1" applyBorder="1" applyAlignment="1">
      <alignment horizontal="center" vertical="center"/>
    </xf>
    <xf numFmtId="14" fontId="130" fillId="0" borderId="18" xfId="32014" quotePrefix="1" applyNumberFormat="1" applyFont="1" applyFill="1" applyBorder="1" applyAlignment="1">
      <alignment horizontal="center" vertical="center"/>
    </xf>
    <xf numFmtId="49" fontId="41" fillId="0" borderId="17" xfId="32014" applyNumberFormat="1" applyFont="1" applyFill="1" applyBorder="1" applyAlignment="1">
      <alignment horizontal="center" vertical="center" wrapText="1"/>
    </xf>
    <xf numFmtId="49" fontId="41" fillId="0" borderId="18" xfId="32014" applyNumberFormat="1" applyFont="1" applyFill="1" applyBorder="1" applyAlignment="1">
      <alignment horizontal="center" vertical="center" wrapText="1"/>
    </xf>
    <xf numFmtId="49" fontId="41" fillId="0" borderId="19" xfId="32014" applyNumberFormat="1" applyFont="1" applyFill="1" applyBorder="1" applyAlignment="1">
      <alignment horizontal="center" vertical="center" wrapText="1"/>
    </xf>
    <xf numFmtId="0" fontId="156" fillId="25" borderId="25" xfId="32014" applyFont="1" applyFill="1" applyBorder="1" applyAlignment="1">
      <alignment horizontal="center" vertical="center" wrapText="1"/>
    </xf>
    <xf numFmtId="0" fontId="156" fillId="25" borderId="26" xfId="32014" applyFont="1" applyFill="1" applyBorder="1" applyAlignment="1">
      <alignment horizontal="center" vertical="center" wrapText="1"/>
    </xf>
    <xf numFmtId="0" fontId="156" fillId="25" borderId="27" xfId="32014" applyFont="1" applyFill="1" applyBorder="1" applyAlignment="1">
      <alignment horizontal="center" vertical="center" wrapText="1"/>
    </xf>
    <xf numFmtId="0" fontId="156" fillId="25" borderId="20" xfId="32014" applyFont="1" applyFill="1" applyBorder="1" applyAlignment="1">
      <alignment horizontal="center" vertical="center" wrapText="1"/>
    </xf>
    <xf numFmtId="0" fontId="156" fillId="25" borderId="0" xfId="32014" applyFont="1" applyFill="1" applyBorder="1" applyAlignment="1">
      <alignment horizontal="center" vertical="center" wrapText="1"/>
    </xf>
    <xf numFmtId="0" fontId="156" fillId="25" borderId="21" xfId="32014" applyFont="1" applyFill="1" applyBorder="1" applyAlignment="1">
      <alignment horizontal="center" vertical="center" wrapText="1"/>
    </xf>
    <xf numFmtId="0" fontId="156" fillId="25" borderId="22" xfId="32014" applyFont="1" applyFill="1" applyBorder="1" applyAlignment="1">
      <alignment horizontal="center" vertical="center" wrapText="1"/>
    </xf>
    <xf numFmtId="0" fontId="156" fillId="25" borderId="23" xfId="32014" applyFont="1" applyFill="1" applyBorder="1" applyAlignment="1">
      <alignment horizontal="center" vertical="center" wrapText="1"/>
    </xf>
    <xf numFmtId="0" fontId="156" fillId="25" borderId="24" xfId="32014" applyFont="1" applyFill="1" applyBorder="1" applyAlignment="1">
      <alignment horizontal="center" vertical="center" wrapText="1"/>
    </xf>
    <xf numFmtId="49" fontId="157" fillId="0" borderId="17" xfId="32014" applyNumberFormat="1" applyFont="1" applyFill="1" applyBorder="1" applyAlignment="1">
      <alignment horizontal="center" vertical="center" wrapText="1"/>
    </xf>
    <xf numFmtId="49" fontId="157" fillId="0" borderId="18" xfId="32014" applyNumberFormat="1" applyFont="1" applyFill="1" applyBorder="1" applyAlignment="1">
      <alignment horizontal="center" vertical="center" wrapText="1"/>
    </xf>
    <xf numFmtId="49" fontId="157" fillId="0" borderId="19" xfId="32014" applyNumberFormat="1" applyFont="1" applyFill="1" applyBorder="1" applyAlignment="1">
      <alignment horizontal="center" vertical="center" wrapText="1"/>
    </xf>
    <xf numFmtId="0" fontId="127" fillId="25" borderId="25" xfId="32014" applyFont="1" applyFill="1" applyBorder="1" applyAlignment="1">
      <alignment horizontal="center" vertical="center" wrapText="1"/>
    </xf>
    <xf numFmtId="0" fontId="127" fillId="25" borderId="26" xfId="32014" applyFont="1" applyFill="1" applyBorder="1" applyAlignment="1">
      <alignment horizontal="center" vertical="center" wrapText="1"/>
    </xf>
    <xf numFmtId="0" fontId="127" fillId="25" borderId="27" xfId="32014" applyFont="1" applyFill="1" applyBorder="1" applyAlignment="1">
      <alignment horizontal="center" vertical="center" wrapText="1"/>
    </xf>
    <xf numFmtId="0" fontId="127" fillId="25" borderId="20" xfId="32014" applyFont="1" applyFill="1" applyBorder="1" applyAlignment="1">
      <alignment horizontal="center" vertical="center" wrapText="1"/>
    </xf>
    <xf numFmtId="0" fontId="127" fillId="25" borderId="0" xfId="32014" applyFont="1" applyFill="1" applyBorder="1" applyAlignment="1">
      <alignment horizontal="center" vertical="center" wrapText="1"/>
    </xf>
    <xf numFmtId="0" fontId="127" fillId="25" borderId="21" xfId="32014" applyFont="1" applyFill="1" applyBorder="1" applyAlignment="1">
      <alignment horizontal="center" vertical="center" wrapText="1"/>
    </xf>
    <xf numFmtId="0" fontId="127" fillId="25" borderId="22" xfId="32014" applyFont="1" applyFill="1" applyBorder="1" applyAlignment="1">
      <alignment horizontal="center" vertical="center" wrapText="1"/>
    </xf>
    <xf numFmtId="0" fontId="127" fillId="25" borderId="23" xfId="32014" applyFont="1" applyFill="1" applyBorder="1" applyAlignment="1">
      <alignment horizontal="center" vertical="center" wrapText="1"/>
    </xf>
    <xf numFmtId="0" fontId="127" fillId="25" borderId="24" xfId="32014" applyFont="1" applyFill="1" applyBorder="1" applyAlignment="1">
      <alignment horizontal="center" vertical="center" wrapText="1"/>
    </xf>
    <xf numFmtId="0" fontId="128" fillId="0" borderId="17" xfId="32014" applyFont="1" applyFill="1" applyBorder="1" applyAlignment="1">
      <alignment horizontal="center" vertical="center" wrapText="1"/>
    </xf>
    <xf numFmtId="0" fontId="128" fillId="0" borderId="19" xfId="32014" applyFont="1" applyFill="1" applyBorder="1" applyAlignment="1">
      <alignment horizontal="center" vertical="center" wrapText="1"/>
    </xf>
    <xf numFmtId="17" fontId="128" fillId="25" borderId="25" xfId="32014" applyNumberFormat="1" applyFont="1" applyFill="1" applyBorder="1" applyAlignment="1">
      <alignment horizontal="center" vertical="center" wrapText="1"/>
    </xf>
    <xf numFmtId="17" fontId="128" fillId="25" borderId="26" xfId="32014" applyNumberFormat="1" applyFont="1" applyFill="1" applyBorder="1" applyAlignment="1">
      <alignment horizontal="center" vertical="center" wrapText="1"/>
    </xf>
    <xf numFmtId="17" fontId="128" fillId="25" borderId="27" xfId="32014" applyNumberFormat="1" applyFont="1" applyFill="1" applyBorder="1" applyAlignment="1">
      <alignment horizontal="center" vertical="center" wrapText="1"/>
    </xf>
    <xf numFmtId="17" fontId="128" fillId="25" borderId="20" xfId="32014" applyNumberFormat="1" applyFont="1" applyFill="1" applyBorder="1" applyAlignment="1">
      <alignment horizontal="center" vertical="center" wrapText="1"/>
    </xf>
    <xf numFmtId="17" fontId="128" fillId="25" borderId="0" xfId="32014" applyNumberFormat="1" applyFont="1" applyFill="1" applyBorder="1" applyAlignment="1">
      <alignment horizontal="center" vertical="center" wrapText="1"/>
    </xf>
    <xf numFmtId="17" fontId="128" fillId="25" borderId="21" xfId="32014" applyNumberFormat="1" applyFont="1" applyFill="1" applyBorder="1" applyAlignment="1">
      <alignment horizontal="center" vertical="center" wrapText="1"/>
    </xf>
    <xf numFmtId="17" fontId="128" fillId="25" borderId="22" xfId="32014" applyNumberFormat="1" applyFont="1" applyFill="1" applyBorder="1" applyAlignment="1">
      <alignment horizontal="center" vertical="center" wrapText="1"/>
    </xf>
    <xf numFmtId="17" fontId="128" fillId="25" borderId="23" xfId="32014" applyNumberFormat="1" applyFont="1" applyFill="1" applyBorder="1" applyAlignment="1">
      <alignment horizontal="center" vertical="center" wrapText="1"/>
    </xf>
    <xf numFmtId="17" fontId="128" fillId="25" borderId="24" xfId="32014" applyNumberFormat="1" applyFont="1" applyFill="1" applyBorder="1" applyAlignment="1">
      <alignment horizontal="center" vertical="center" wrapText="1"/>
    </xf>
    <xf numFmtId="0" fontId="128" fillId="0" borderId="17" xfId="116" applyFont="1" applyFill="1" applyBorder="1" applyAlignment="1">
      <alignment horizontal="center" vertical="center" shrinkToFit="1"/>
    </xf>
    <xf numFmtId="0" fontId="128" fillId="0" borderId="18" xfId="116" applyFont="1" applyFill="1" applyBorder="1" applyAlignment="1">
      <alignment horizontal="center" vertical="center" shrinkToFit="1"/>
    </xf>
    <xf numFmtId="0" fontId="128" fillId="0" borderId="19" xfId="116" applyFont="1" applyFill="1" applyBorder="1" applyAlignment="1">
      <alignment horizontal="center" vertical="center" shrinkToFit="1"/>
    </xf>
    <xf numFmtId="14" fontId="128" fillId="25" borderId="17" xfId="49719" quotePrefix="1" applyNumberFormat="1" applyFont="1" applyFill="1" applyBorder="1" applyAlignment="1">
      <alignment horizontal="center" vertical="center"/>
    </xf>
    <xf numFmtId="14" fontId="128" fillId="25" borderId="18" xfId="49719" quotePrefix="1" applyNumberFormat="1" applyFont="1" applyFill="1" applyBorder="1" applyAlignment="1">
      <alignment horizontal="center" vertical="center"/>
    </xf>
    <xf numFmtId="14" fontId="128" fillId="25" borderId="19" xfId="49719" quotePrefix="1" applyNumberFormat="1" applyFont="1" applyFill="1" applyBorder="1" applyAlignment="1">
      <alignment horizontal="center" vertical="center"/>
    </xf>
    <xf numFmtId="0" fontId="127" fillId="0" borderId="17" xfId="0" applyFont="1" applyBorder="1" applyAlignment="1">
      <alignment horizontal="center" vertical="center" wrapText="1"/>
    </xf>
    <xf numFmtId="0" fontId="127" fillId="0" borderId="18" xfId="0" applyFont="1" applyBorder="1" applyAlignment="1">
      <alignment horizontal="center" vertical="center" wrapText="1"/>
    </xf>
    <xf numFmtId="0" fontId="127" fillId="0" borderId="19" xfId="0" applyFont="1" applyBorder="1" applyAlignment="1">
      <alignment horizontal="center" vertical="center" wrapText="1"/>
    </xf>
    <xf numFmtId="49" fontId="144" fillId="0" borderId="17" xfId="32014" quotePrefix="1" applyNumberFormat="1" applyFont="1" applyFill="1" applyBorder="1" applyAlignment="1">
      <alignment horizontal="center" vertical="center" wrapText="1"/>
    </xf>
    <xf numFmtId="49" fontId="144" fillId="0" borderId="18" xfId="32014" quotePrefix="1" applyNumberFormat="1" applyFont="1" applyFill="1" applyBorder="1" applyAlignment="1">
      <alignment horizontal="center" vertical="center" wrapText="1"/>
    </xf>
    <xf numFmtId="49" fontId="144" fillId="0" borderId="19" xfId="32014" quotePrefix="1" applyNumberFormat="1" applyFont="1" applyFill="1" applyBorder="1" applyAlignment="1">
      <alignment horizontal="center" vertical="center" wrapText="1"/>
    </xf>
    <xf numFmtId="192" fontId="146" fillId="0" borderId="17" xfId="32014" quotePrefix="1" applyNumberFormat="1" applyFont="1" applyFill="1" applyBorder="1" applyAlignment="1">
      <alignment horizontal="center" vertical="center" wrapText="1"/>
    </xf>
    <xf numFmtId="192" fontId="146" fillId="0" borderId="18" xfId="32014" quotePrefix="1" applyNumberFormat="1" applyFont="1" applyFill="1" applyBorder="1" applyAlignment="1">
      <alignment horizontal="center" vertical="center" wrapText="1"/>
    </xf>
    <xf numFmtId="192" fontId="146" fillId="0" borderId="19" xfId="32014" quotePrefix="1" applyNumberFormat="1" applyFont="1" applyFill="1" applyBorder="1" applyAlignment="1">
      <alignment horizontal="center" vertical="center" wrapText="1"/>
    </xf>
    <xf numFmtId="0" fontId="142" fillId="0" borderId="17" xfId="32014" quotePrefix="1" applyFont="1" applyFill="1" applyBorder="1" applyAlignment="1">
      <alignment horizontal="center" vertical="center" wrapText="1"/>
    </xf>
    <xf numFmtId="0" fontId="142" fillId="0" borderId="18" xfId="32014" quotePrefix="1" applyFont="1" applyFill="1" applyBorder="1" applyAlignment="1">
      <alignment horizontal="center" vertical="center" wrapText="1"/>
    </xf>
    <xf numFmtId="0" fontId="142" fillId="0" borderId="19" xfId="32014" quotePrefix="1" applyFont="1" applyFill="1" applyBorder="1" applyAlignment="1">
      <alignment horizontal="center" vertical="center" wrapText="1"/>
    </xf>
    <xf numFmtId="49" fontId="144" fillId="0" borderId="17" xfId="32014" applyNumberFormat="1" applyFont="1" applyFill="1" applyBorder="1" applyAlignment="1">
      <alignment horizontal="center" vertical="center" wrapText="1"/>
    </xf>
    <xf numFmtId="49" fontId="144" fillId="0" borderId="18" xfId="32014" applyNumberFormat="1" applyFont="1" applyFill="1" applyBorder="1" applyAlignment="1">
      <alignment horizontal="center" vertical="center" wrapText="1"/>
    </xf>
    <xf numFmtId="49" fontId="144" fillId="0" borderId="19" xfId="32014" applyNumberFormat="1" applyFont="1" applyFill="1" applyBorder="1" applyAlignment="1">
      <alignment horizontal="center" vertical="center" wrapText="1"/>
    </xf>
    <xf numFmtId="0" fontId="130" fillId="25" borderId="25" xfId="4156" applyFont="1" applyFill="1" applyBorder="1" applyAlignment="1">
      <alignment horizontal="center" vertical="center" wrapText="1"/>
    </xf>
    <xf numFmtId="0" fontId="130" fillId="25" borderId="26" xfId="4156" applyFont="1" applyFill="1" applyBorder="1" applyAlignment="1">
      <alignment horizontal="center" vertical="center" wrapText="1"/>
    </xf>
    <xf numFmtId="0" fontId="130" fillId="25" borderId="27" xfId="4156" applyFont="1" applyFill="1" applyBorder="1" applyAlignment="1">
      <alignment horizontal="center" vertical="center" wrapText="1"/>
    </xf>
    <xf numFmtId="0" fontId="130" fillId="25" borderId="20" xfId="4156" applyFont="1" applyFill="1" applyBorder="1" applyAlignment="1">
      <alignment horizontal="center" vertical="center" wrapText="1"/>
    </xf>
    <xf numFmtId="0" fontId="130" fillId="25" borderId="0" xfId="4156" applyFont="1" applyFill="1" applyBorder="1" applyAlignment="1">
      <alignment horizontal="center" vertical="center" wrapText="1"/>
    </xf>
    <xf numFmtId="0" fontId="130" fillId="25" borderId="21" xfId="4156" applyFont="1" applyFill="1" applyBorder="1" applyAlignment="1">
      <alignment horizontal="center" vertical="center" wrapText="1"/>
    </xf>
    <xf numFmtId="0" fontId="130" fillId="25" borderId="22" xfId="4156" applyFont="1" applyFill="1" applyBorder="1" applyAlignment="1">
      <alignment horizontal="center" vertical="center" wrapText="1"/>
    </xf>
    <xf numFmtId="0" fontId="130" fillId="25" borderId="23" xfId="4156" applyFont="1" applyFill="1" applyBorder="1" applyAlignment="1">
      <alignment horizontal="center" vertical="center" wrapText="1"/>
    </xf>
    <xf numFmtId="0" fontId="130" fillId="25" borderId="24" xfId="4156" applyFont="1" applyFill="1" applyBorder="1" applyAlignment="1">
      <alignment horizontal="center" vertical="center" wrapText="1"/>
    </xf>
    <xf numFmtId="0" fontId="127" fillId="25" borderId="17" xfId="49727" applyFont="1" applyFill="1" applyBorder="1" applyAlignment="1">
      <alignment horizontal="center" vertical="center" wrapText="1"/>
    </xf>
    <xf numFmtId="0" fontId="127" fillId="25" borderId="18" xfId="49727" applyFont="1" applyFill="1" applyBorder="1" applyAlignment="1">
      <alignment horizontal="center" vertical="center" wrapText="1"/>
    </xf>
    <xf numFmtId="0" fontId="127" fillId="25" borderId="19" xfId="49727" applyFont="1" applyFill="1" applyBorder="1" applyAlignment="1">
      <alignment horizontal="center" vertical="center" wrapText="1"/>
    </xf>
    <xf numFmtId="0" fontId="147" fillId="0" borderId="27" xfId="49732" applyFont="1" applyFill="1" applyBorder="1" applyAlignment="1">
      <alignment horizontal="center" vertical="center"/>
    </xf>
    <xf numFmtId="0" fontId="147" fillId="0" borderId="21" xfId="49732" applyFont="1" applyFill="1" applyBorder="1" applyAlignment="1">
      <alignment horizontal="center" vertical="center"/>
    </xf>
    <xf numFmtId="0" fontId="147" fillId="0" borderId="24" xfId="49732" applyFont="1" applyFill="1" applyBorder="1" applyAlignment="1">
      <alignment horizontal="center" vertical="center"/>
    </xf>
    <xf numFmtId="0" fontId="147" fillId="0" borderId="25" xfId="49732" applyFont="1" applyFill="1" applyBorder="1" applyAlignment="1">
      <alignment horizontal="center" vertical="center" wrapText="1"/>
    </xf>
    <xf numFmtId="0" fontId="147" fillId="0" borderId="26" xfId="49732" applyFont="1" applyFill="1" applyBorder="1" applyAlignment="1">
      <alignment horizontal="center" vertical="center" wrapText="1"/>
    </xf>
    <xf numFmtId="0" fontId="147" fillId="0" borderId="27" xfId="49732" applyFont="1" applyFill="1" applyBorder="1" applyAlignment="1">
      <alignment horizontal="center" vertical="center" wrapText="1"/>
    </xf>
    <xf numFmtId="0" fontId="147" fillId="0" borderId="20" xfId="49732" applyFont="1" applyFill="1" applyBorder="1" applyAlignment="1">
      <alignment horizontal="center" vertical="center" wrapText="1"/>
    </xf>
    <xf numFmtId="0" fontId="147" fillId="0" borderId="0" xfId="49732" applyFont="1" applyFill="1" applyBorder="1" applyAlignment="1">
      <alignment horizontal="center" vertical="center" wrapText="1"/>
    </xf>
    <xf numFmtId="0" fontId="147" fillId="0" borderId="21" xfId="49732" applyFont="1" applyFill="1" applyBorder="1" applyAlignment="1">
      <alignment horizontal="center" vertical="center" wrapText="1"/>
    </xf>
    <xf numFmtId="0" fontId="147" fillId="0" borderId="22" xfId="49732" applyFont="1" applyFill="1" applyBorder="1" applyAlignment="1">
      <alignment horizontal="center" vertical="center" wrapText="1"/>
    </xf>
    <xf numFmtId="0" fontId="147" fillId="0" borderId="23" xfId="49732" applyFont="1" applyFill="1" applyBorder="1" applyAlignment="1">
      <alignment horizontal="center" vertical="center" wrapText="1"/>
    </xf>
    <xf numFmtId="0" fontId="147" fillId="0" borderId="24" xfId="49732" applyFont="1" applyFill="1" applyBorder="1" applyAlignment="1">
      <alignment horizontal="center" vertical="center" wrapText="1"/>
    </xf>
    <xf numFmtId="0" fontId="147" fillId="0" borderId="17" xfId="49727" applyFont="1" applyBorder="1" applyAlignment="1">
      <alignment horizontal="center" vertical="center" wrapText="1"/>
    </xf>
    <xf numFmtId="0" fontId="147" fillId="0" borderId="18" xfId="49727" applyFont="1" applyBorder="1" applyAlignment="1">
      <alignment horizontal="center" vertical="center" wrapText="1"/>
    </xf>
    <xf numFmtId="0" fontId="147" fillId="0" borderId="19" xfId="49727" applyFont="1" applyBorder="1" applyAlignment="1">
      <alignment horizontal="center" vertical="center" wrapText="1"/>
    </xf>
    <xf numFmtId="0" fontId="148" fillId="0" borderId="17" xfId="49727" applyFont="1" applyBorder="1" applyAlignment="1">
      <alignment horizontal="center" vertical="center" wrapText="1"/>
    </xf>
    <xf numFmtId="0" fontId="148" fillId="0" borderId="18" xfId="49727" applyFont="1" applyBorder="1" applyAlignment="1">
      <alignment horizontal="center" vertical="center" wrapText="1"/>
    </xf>
    <xf numFmtId="0" fontId="148" fillId="0" borderId="19" xfId="49727" applyFont="1" applyBorder="1" applyAlignment="1">
      <alignment horizontal="center" vertical="center" wrapText="1"/>
    </xf>
    <xf numFmtId="0" fontId="149" fillId="0" borderId="25" xfId="49732" applyFont="1" applyFill="1" applyBorder="1" applyAlignment="1">
      <alignment horizontal="center" vertical="center" wrapText="1"/>
    </xf>
    <xf numFmtId="0" fontId="149" fillId="0" borderId="26" xfId="49732" applyFont="1" applyFill="1" applyBorder="1" applyAlignment="1">
      <alignment horizontal="center" vertical="center" wrapText="1"/>
    </xf>
    <xf numFmtId="0" fontId="149" fillId="0" borderId="27" xfId="49732" applyFont="1" applyFill="1" applyBorder="1" applyAlignment="1">
      <alignment horizontal="center" vertical="center" wrapText="1"/>
    </xf>
    <xf numFmtId="0" fontId="149" fillId="0" borderId="20" xfId="49732" applyFont="1" applyFill="1" applyBorder="1" applyAlignment="1">
      <alignment horizontal="center" vertical="center" wrapText="1"/>
    </xf>
    <xf numFmtId="0" fontId="149" fillId="0" borderId="0" xfId="49732" applyFont="1" applyFill="1" applyBorder="1" applyAlignment="1">
      <alignment horizontal="center" vertical="center" wrapText="1"/>
    </xf>
    <xf numFmtId="0" fontId="149" fillId="0" borderId="21" xfId="49732" applyFont="1" applyFill="1" applyBorder="1" applyAlignment="1">
      <alignment horizontal="center" vertical="center" wrapText="1"/>
    </xf>
    <xf numFmtId="0" fontId="149" fillId="0" borderId="22" xfId="49732" applyFont="1" applyFill="1" applyBorder="1" applyAlignment="1">
      <alignment horizontal="center" vertical="center" wrapText="1"/>
    </xf>
    <xf numFmtId="0" fontId="149" fillId="0" borderId="23" xfId="49732" applyFont="1" applyFill="1" applyBorder="1" applyAlignment="1">
      <alignment horizontal="center" vertical="center" wrapText="1"/>
    </xf>
    <xf numFmtId="0" fontId="149" fillId="0" borderId="24" xfId="49732" applyFont="1" applyFill="1" applyBorder="1" applyAlignment="1">
      <alignment horizontal="center" vertical="center" wrapText="1"/>
    </xf>
    <xf numFmtId="0" fontId="149" fillId="0" borderId="27" xfId="49732" applyFont="1" applyFill="1" applyBorder="1" applyAlignment="1">
      <alignment horizontal="center" vertical="center"/>
    </xf>
    <xf numFmtId="0" fontId="149" fillId="0" borderId="21" xfId="49732" applyFont="1" applyFill="1" applyBorder="1" applyAlignment="1">
      <alignment horizontal="center" vertical="center"/>
    </xf>
    <xf numFmtId="0" fontId="149" fillId="0" borderId="24" xfId="49732" applyFont="1" applyFill="1" applyBorder="1" applyAlignment="1">
      <alignment horizontal="center" vertical="center"/>
    </xf>
    <xf numFmtId="0" fontId="143" fillId="25" borderId="17" xfId="49727" applyNumberFormat="1" applyFont="1" applyFill="1" applyBorder="1" applyAlignment="1">
      <alignment horizontal="center" vertical="center" wrapText="1"/>
    </xf>
    <xf numFmtId="49" fontId="41" fillId="0" borderId="17" xfId="32014" quotePrefix="1" applyNumberFormat="1" applyFont="1" applyFill="1" applyBorder="1" applyAlignment="1">
      <alignment horizontal="center" vertical="center" wrapText="1"/>
    </xf>
    <xf numFmtId="49" fontId="41" fillId="0" borderId="18" xfId="32014" quotePrefix="1" applyNumberFormat="1" applyFont="1" applyFill="1" applyBorder="1" applyAlignment="1">
      <alignment horizontal="center" vertical="center" wrapText="1"/>
    </xf>
    <xf numFmtId="49" fontId="41" fillId="0" borderId="19" xfId="32014" quotePrefix="1" applyNumberFormat="1" applyFont="1" applyFill="1" applyBorder="1" applyAlignment="1">
      <alignment horizontal="center" vertical="center" wrapText="1"/>
    </xf>
    <xf numFmtId="0" fontId="126" fillId="32" borderId="35" xfId="116" applyFont="1" applyFill="1" applyBorder="1" applyAlignment="1">
      <alignment horizontal="center" vertical="center"/>
    </xf>
    <xf numFmtId="0" fontId="126" fillId="32" borderId="2" xfId="116" applyFont="1" applyFill="1" applyBorder="1" applyAlignment="1">
      <alignment horizontal="center" vertical="center"/>
    </xf>
    <xf numFmtId="0" fontId="126" fillId="32" borderId="36" xfId="116" applyFont="1" applyFill="1" applyBorder="1" applyAlignment="1">
      <alignment horizontal="center" vertical="center"/>
    </xf>
    <xf numFmtId="17" fontId="38" fillId="0" borderId="25" xfId="49727" quotePrefix="1" applyNumberFormat="1" applyBorder="1" applyAlignment="1">
      <alignment horizontal="center" vertical="center" wrapText="1"/>
    </xf>
    <xf numFmtId="17" fontId="0" fillId="0" borderId="26" xfId="49727" applyNumberFormat="1" applyFont="1" applyBorder="1" applyAlignment="1">
      <alignment horizontal="center" vertical="center" wrapText="1"/>
    </xf>
    <xf numFmtId="17" fontId="0" fillId="0" borderId="27" xfId="49727" applyNumberFormat="1" applyFont="1" applyBorder="1" applyAlignment="1">
      <alignment horizontal="center" vertical="center" wrapText="1"/>
    </xf>
    <xf numFmtId="17" fontId="0" fillId="0" borderId="20" xfId="49727" applyNumberFormat="1" applyFont="1" applyBorder="1" applyAlignment="1">
      <alignment horizontal="center" vertical="center" wrapText="1"/>
    </xf>
    <xf numFmtId="17" fontId="0" fillId="0" borderId="0" xfId="49727" applyNumberFormat="1" applyFont="1" applyAlignment="1">
      <alignment horizontal="center" vertical="center" wrapText="1"/>
    </xf>
    <xf numFmtId="17" fontId="0" fillId="0" borderId="21" xfId="49727" applyNumberFormat="1" applyFont="1" applyBorder="1" applyAlignment="1">
      <alignment horizontal="center" vertical="center" wrapText="1"/>
    </xf>
    <xf numFmtId="17" fontId="0" fillId="0" borderId="22" xfId="49727" applyNumberFormat="1" applyFont="1" applyBorder="1" applyAlignment="1">
      <alignment horizontal="center" vertical="center" wrapText="1"/>
    </xf>
    <xf numFmtId="17" fontId="0" fillId="0" borderId="23" xfId="49727" applyNumberFormat="1" applyFont="1" applyBorder="1" applyAlignment="1">
      <alignment horizontal="center" vertical="center" wrapText="1"/>
    </xf>
    <xf numFmtId="17" fontId="0" fillId="0" borderId="24" xfId="49727" applyNumberFormat="1" applyFont="1" applyBorder="1" applyAlignment="1">
      <alignment horizontal="center" vertical="center" wrapText="1"/>
    </xf>
    <xf numFmtId="0" fontId="128" fillId="25" borderId="17" xfId="49727" applyFont="1" applyFill="1" applyBorder="1" applyAlignment="1">
      <alignment horizontal="center" vertical="center"/>
    </xf>
    <xf numFmtId="0" fontId="128" fillId="25" borderId="18" xfId="49727" applyFont="1" applyFill="1" applyBorder="1" applyAlignment="1">
      <alignment horizontal="center" vertical="center"/>
    </xf>
    <xf numFmtId="0" fontId="128" fillId="25" borderId="19" xfId="49727" applyFont="1" applyFill="1" applyBorder="1" applyAlignment="1">
      <alignment horizontal="center" vertical="center"/>
    </xf>
    <xf numFmtId="49" fontId="160" fillId="0" borderId="50" xfId="49727" applyNumberFormat="1" applyFont="1" applyBorder="1" applyAlignment="1">
      <alignment horizontal="center" vertical="center" wrapText="1"/>
    </xf>
    <xf numFmtId="49" fontId="160" fillId="0" borderId="21" xfId="49727" applyNumberFormat="1" applyFont="1" applyBorder="1" applyAlignment="1">
      <alignment horizontal="center" vertical="center" wrapText="1"/>
    </xf>
    <xf numFmtId="49" fontId="160" fillId="0" borderId="19" xfId="49727" applyNumberFormat="1" applyFont="1" applyBorder="1" applyAlignment="1">
      <alignment horizontal="center" vertical="center" wrapText="1"/>
    </xf>
    <xf numFmtId="0" fontId="128" fillId="0" borderId="17" xfId="32014" applyFont="1" applyFill="1" applyBorder="1" applyAlignment="1">
      <alignment horizontal="center" vertical="center"/>
    </xf>
    <xf numFmtId="0" fontId="128" fillId="0" borderId="18" xfId="32014" applyFont="1" applyFill="1" applyBorder="1" applyAlignment="1">
      <alignment horizontal="center" vertical="center"/>
    </xf>
    <xf numFmtId="0" fontId="128" fillId="0" borderId="19" xfId="32014" applyFont="1" applyFill="1" applyBorder="1" applyAlignment="1">
      <alignment horizontal="center" vertical="center"/>
    </xf>
    <xf numFmtId="0" fontId="41" fillId="0" borderId="17" xfId="4156" applyBorder="1" applyAlignment="1">
      <alignment horizontal="center" vertical="center"/>
    </xf>
    <xf numFmtId="0" fontId="41" fillId="0" borderId="18" xfId="4156" applyBorder="1" applyAlignment="1">
      <alignment horizontal="center" vertical="center"/>
    </xf>
    <xf numFmtId="0" fontId="41" fillId="0" borderId="19" xfId="4156" applyBorder="1" applyAlignment="1">
      <alignment horizontal="center" vertical="center"/>
    </xf>
    <xf numFmtId="0" fontId="157" fillId="25" borderId="45" xfId="49738" applyFont="1" applyFill="1" applyBorder="1" applyAlignment="1">
      <alignment horizontal="center" vertical="center" wrapText="1"/>
    </xf>
    <xf numFmtId="0" fontId="128" fillId="25" borderId="17" xfId="49738" applyFont="1" applyFill="1" applyBorder="1" applyAlignment="1">
      <alignment horizontal="center" vertical="center" wrapText="1"/>
    </xf>
    <xf numFmtId="0" fontId="128" fillId="25" borderId="18" xfId="49738" applyFont="1" applyFill="1" applyBorder="1" applyAlignment="1">
      <alignment horizontal="center" vertical="center" wrapText="1"/>
    </xf>
    <xf numFmtId="0" fontId="128" fillId="25" borderId="54" xfId="49738" applyFont="1" applyFill="1" applyBorder="1" applyAlignment="1">
      <alignment horizontal="center" vertical="center" wrapText="1"/>
    </xf>
    <xf numFmtId="0" fontId="128" fillId="0" borderId="17" xfId="116" applyNumberFormat="1" applyFont="1" applyFill="1" applyBorder="1" applyAlignment="1">
      <alignment horizontal="center" vertical="center"/>
    </xf>
    <xf numFmtId="0" fontId="128" fillId="0" borderId="18" xfId="116" applyNumberFormat="1" applyFont="1" applyFill="1" applyBorder="1" applyAlignment="1">
      <alignment horizontal="center" vertical="center"/>
    </xf>
    <xf numFmtId="0" fontId="128" fillId="0" borderId="19" xfId="116" applyNumberFormat="1" applyFont="1" applyFill="1" applyBorder="1" applyAlignment="1">
      <alignment horizontal="center" vertical="center"/>
    </xf>
    <xf numFmtId="0" fontId="128" fillId="25" borderId="17" xfId="49727" quotePrefix="1" applyFont="1" applyFill="1" applyBorder="1" applyAlignment="1">
      <alignment horizontal="center" vertical="center" wrapText="1"/>
    </xf>
    <xf numFmtId="0" fontId="128" fillId="25" borderId="18" xfId="49727" quotePrefix="1" applyFont="1" applyFill="1" applyBorder="1" applyAlignment="1">
      <alignment horizontal="center" vertical="center" wrapText="1"/>
    </xf>
    <xf numFmtId="0" fontId="128" fillId="25" borderId="19" xfId="49727" quotePrefix="1" applyFont="1" applyFill="1" applyBorder="1" applyAlignment="1">
      <alignment horizontal="center" vertical="center" wrapText="1"/>
    </xf>
    <xf numFmtId="0" fontId="130" fillId="0" borderId="17" xfId="32014" applyNumberFormat="1" applyFont="1" applyFill="1" applyBorder="1" applyAlignment="1">
      <alignment horizontal="center" vertical="center" wrapText="1"/>
    </xf>
    <xf numFmtId="0" fontId="130" fillId="0" borderId="18" xfId="32014" applyNumberFormat="1" applyFont="1" applyFill="1" applyBorder="1" applyAlignment="1">
      <alignment horizontal="center" vertical="center" wrapText="1"/>
    </xf>
    <xf numFmtId="0" fontId="130" fillId="0" borderId="19" xfId="32014" applyNumberFormat="1" applyFont="1" applyFill="1" applyBorder="1" applyAlignment="1">
      <alignment horizontal="center" vertical="center" wrapText="1"/>
    </xf>
    <xf numFmtId="49" fontId="0" fillId="41" borderId="17" xfId="49732" applyNumberFormat="1" applyFont="1" applyFill="1" applyBorder="1" applyAlignment="1">
      <alignment horizontal="center" vertical="center"/>
    </xf>
    <xf numFmtId="49" fontId="0" fillId="41" borderId="18" xfId="49732" applyNumberFormat="1" applyFont="1" applyFill="1" applyBorder="1" applyAlignment="1">
      <alignment horizontal="center" vertical="center"/>
    </xf>
    <xf numFmtId="49" fontId="0" fillId="41" borderId="19" xfId="49732" applyNumberFormat="1" applyFont="1" applyFill="1" applyBorder="1" applyAlignment="1">
      <alignment horizontal="center" vertical="center"/>
    </xf>
    <xf numFmtId="0" fontId="127" fillId="25" borderId="17" xfId="49727" applyFont="1" applyFill="1" applyBorder="1" applyAlignment="1">
      <alignment horizontal="center" vertical="center"/>
    </xf>
    <xf numFmtId="0" fontId="127" fillId="25" borderId="18" xfId="49727" applyFont="1" applyFill="1" applyBorder="1" applyAlignment="1">
      <alignment horizontal="center" vertical="center"/>
    </xf>
    <xf numFmtId="0" fontId="127" fillId="25" borderId="19" xfId="49727" applyFont="1" applyFill="1" applyBorder="1" applyAlignment="1">
      <alignment horizontal="center" vertical="center"/>
    </xf>
    <xf numFmtId="0" fontId="126" fillId="32" borderId="25" xfId="116" applyFont="1" applyFill="1" applyBorder="1" applyAlignment="1">
      <alignment horizontal="center" vertical="center"/>
    </xf>
    <xf numFmtId="0" fontId="126" fillId="32" borderId="26" xfId="116" applyFont="1" applyFill="1" applyBorder="1" applyAlignment="1">
      <alignment horizontal="center" vertical="center"/>
    </xf>
    <xf numFmtId="0" fontId="126" fillId="32" borderId="27" xfId="116" applyFont="1" applyFill="1" applyBorder="1" applyAlignment="1">
      <alignment horizontal="center" vertical="center"/>
    </xf>
    <xf numFmtId="17" fontId="157" fillId="0" borderId="44" xfId="49727" applyNumberFormat="1" applyFont="1" applyBorder="1" applyAlignment="1">
      <alignment horizontal="center" vertical="center" wrapText="1"/>
    </xf>
    <xf numFmtId="17" fontId="157" fillId="0" borderId="3" xfId="49727" applyNumberFormat="1" applyFont="1" applyBorder="1" applyAlignment="1">
      <alignment horizontal="center" vertical="center" wrapText="1"/>
    </xf>
    <xf numFmtId="0" fontId="147" fillId="0" borderId="27" xfId="49727" applyFont="1" applyBorder="1" applyAlignment="1">
      <alignment horizontal="center" vertical="center" wrapText="1"/>
    </xf>
    <xf numFmtId="0" fontId="147" fillId="0" borderId="21" xfId="49727" applyFont="1" applyBorder="1" applyAlignment="1">
      <alignment horizontal="center" vertical="center" wrapText="1"/>
    </xf>
    <xf numFmtId="0" fontId="147" fillId="0" borderId="24" xfId="49727" applyFont="1" applyBorder="1" applyAlignment="1">
      <alignment horizontal="center" vertical="center" wrapText="1"/>
    </xf>
    <xf numFmtId="17" fontId="147" fillId="0" borderId="25" xfId="49727" applyNumberFormat="1" applyFont="1" applyBorder="1" applyAlignment="1">
      <alignment horizontal="center" vertical="center" wrapText="1"/>
    </xf>
    <xf numFmtId="17" fontId="147" fillId="0" borderId="26" xfId="49727" applyNumberFormat="1" applyFont="1" applyBorder="1" applyAlignment="1">
      <alignment horizontal="center" vertical="center" wrapText="1"/>
    </xf>
    <xf numFmtId="17" fontId="147" fillId="0" borderId="27" xfId="49727" applyNumberFormat="1" applyFont="1" applyBorder="1" applyAlignment="1">
      <alignment horizontal="center" vertical="center" wrapText="1"/>
    </xf>
    <xf numFmtId="17" fontId="147" fillId="0" borderId="20" xfId="49727" applyNumberFormat="1" applyFont="1" applyBorder="1" applyAlignment="1">
      <alignment horizontal="center" vertical="center" wrapText="1"/>
    </xf>
    <xf numFmtId="17" fontId="147" fillId="0" borderId="0" xfId="49727" applyNumberFormat="1" applyFont="1" applyBorder="1" applyAlignment="1">
      <alignment horizontal="center" vertical="center" wrapText="1"/>
    </xf>
    <xf numFmtId="17" fontId="147" fillId="0" borderId="21" xfId="49727" applyNumberFormat="1" applyFont="1" applyBorder="1" applyAlignment="1">
      <alignment horizontal="center" vertical="center" wrapText="1"/>
    </xf>
    <xf numFmtId="17" fontId="147" fillId="0" borderId="22" xfId="49727" applyNumberFormat="1" applyFont="1" applyBorder="1" applyAlignment="1">
      <alignment horizontal="center" vertical="center" wrapText="1"/>
    </xf>
    <xf numFmtId="17" fontId="147" fillId="0" borderId="23" xfId="49727" applyNumberFormat="1" applyFont="1" applyBorder="1" applyAlignment="1">
      <alignment horizontal="center" vertical="center" wrapText="1"/>
    </xf>
    <xf numFmtId="17" fontId="147" fillId="0" borderId="24" xfId="49727" applyNumberFormat="1" applyFont="1" applyBorder="1" applyAlignment="1">
      <alignment horizontal="center" vertical="center" wrapText="1"/>
    </xf>
    <xf numFmtId="0" fontId="149" fillId="0" borderId="17" xfId="49732" applyFont="1" applyFill="1" applyBorder="1" applyAlignment="1">
      <alignment horizontal="center" vertical="center"/>
    </xf>
    <xf numFmtId="0" fontId="149" fillId="0" borderId="18" xfId="49732" applyFont="1" applyFill="1" applyBorder="1" applyAlignment="1">
      <alignment horizontal="center" vertical="center"/>
    </xf>
    <xf numFmtId="0" fontId="149" fillId="0" borderId="19" xfId="49732" applyFont="1" applyFill="1" applyBorder="1" applyAlignment="1">
      <alignment horizontal="center" vertical="center"/>
    </xf>
    <xf numFmtId="0" fontId="149" fillId="0" borderId="0" xfId="49732" applyFont="1" applyFill="1" applyAlignment="1">
      <alignment horizontal="center" vertical="center" wrapText="1"/>
    </xf>
    <xf numFmtId="0" fontId="127" fillId="25" borderId="17" xfId="49727" applyNumberFormat="1" applyFont="1" applyFill="1" applyBorder="1" applyAlignment="1">
      <alignment horizontal="center" vertical="center"/>
    </xf>
    <xf numFmtId="0" fontId="127" fillId="25" borderId="18" xfId="49727" applyNumberFormat="1" applyFont="1" applyFill="1" applyBorder="1" applyAlignment="1">
      <alignment horizontal="center" vertical="center"/>
    </xf>
    <xf numFmtId="0" fontId="127" fillId="25" borderId="19" xfId="49727" applyNumberFormat="1" applyFont="1" applyFill="1" applyBorder="1" applyAlignment="1">
      <alignment horizontal="center" vertical="center"/>
    </xf>
    <xf numFmtId="0" fontId="127" fillId="0" borderId="17" xfId="49727" applyFont="1" applyFill="1" applyBorder="1" applyAlignment="1">
      <alignment horizontal="center" vertical="center" wrapText="1"/>
    </xf>
    <xf numFmtId="0" fontId="127" fillId="0" borderId="18" xfId="49727" applyFont="1" applyFill="1" applyBorder="1" applyAlignment="1">
      <alignment horizontal="center" vertical="center" wrapText="1"/>
    </xf>
    <xf numFmtId="0" fontId="127" fillId="0" borderId="19" xfId="49727" applyFont="1" applyFill="1" applyBorder="1" applyAlignment="1">
      <alignment horizontal="center" vertical="center" wrapText="1"/>
    </xf>
    <xf numFmtId="17" fontId="127" fillId="25" borderId="25" xfId="49727" applyNumberFormat="1" applyFont="1" applyFill="1" applyBorder="1" applyAlignment="1">
      <alignment horizontal="center" vertical="center" wrapText="1"/>
    </xf>
    <xf numFmtId="17" fontId="127" fillId="25" borderId="26" xfId="49727" applyNumberFormat="1" applyFont="1" applyFill="1" applyBorder="1" applyAlignment="1">
      <alignment horizontal="center" vertical="center" wrapText="1"/>
    </xf>
    <xf numFmtId="17" fontId="127" fillId="25" borderId="27" xfId="49727" applyNumberFormat="1" applyFont="1" applyFill="1" applyBorder="1" applyAlignment="1">
      <alignment horizontal="center" vertical="center" wrapText="1"/>
    </xf>
    <xf numFmtId="17" fontId="127" fillId="25" borderId="20" xfId="49727" applyNumberFormat="1" applyFont="1" applyFill="1" applyBorder="1" applyAlignment="1">
      <alignment horizontal="center" vertical="center" wrapText="1"/>
    </xf>
    <xf numFmtId="17" fontId="127" fillId="25" borderId="0" xfId="49727" applyNumberFormat="1" applyFont="1" applyFill="1" applyBorder="1" applyAlignment="1">
      <alignment horizontal="center" vertical="center" wrapText="1"/>
    </xf>
    <xf numFmtId="17" fontId="127" fillId="25" borderId="21" xfId="49727" applyNumberFormat="1" applyFont="1" applyFill="1" applyBorder="1" applyAlignment="1">
      <alignment horizontal="center" vertical="center" wrapText="1"/>
    </xf>
    <xf numFmtId="17" fontId="127" fillId="25" borderId="22" xfId="49727" applyNumberFormat="1" applyFont="1" applyFill="1" applyBorder="1" applyAlignment="1">
      <alignment horizontal="center" vertical="center" wrapText="1"/>
    </xf>
    <xf numFmtId="17" fontId="127" fillId="25" borderId="23" xfId="49727" applyNumberFormat="1" applyFont="1" applyFill="1" applyBorder="1" applyAlignment="1">
      <alignment horizontal="center" vertical="center" wrapText="1"/>
    </xf>
    <xf numFmtId="17" fontId="127" fillId="25" borderId="24" xfId="49727" applyNumberFormat="1" applyFont="1" applyFill="1" applyBorder="1" applyAlignment="1">
      <alignment horizontal="center" vertical="center" wrapText="1"/>
    </xf>
    <xf numFmtId="0" fontId="128" fillId="25" borderId="17" xfId="49727" applyFont="1" applyFill="1" applyBorder="1" applyAlignment="1">
      <alignment horizontal="center" vertical="center" wrapText="1"/>
    </xf>
    <xf numFmtId="0" fontId="128" fillId="25" borderId="18" xfId="49727" applyFont="1" applyFill="1" applyBorder="1" applyAlignment="1">
      <alignment horizontal="center" vertical="center" wrapText="1"/>
    </xf>
    <xf numFmtId="0" fontId="128" fillId="25" borderId="19" xfId="49727" applyFont="1" applyFill="1" applyBorder="1" applyAlignment="1">
      <alignment horizontal="center" vertical="center" wrapText="1"/>
    </xf>
    <xf numFmtId="49" fontId="130" fillId="39" borderId="17" xfId="32014" applyNumberFormat="1" applyFont="1" applyFill="1" applyBorder="1" applyAlignment="1">
      <alignment horizontal="center" vertical="center" wrapText="1"/>
    </xf>
    <xf numFmtId="49" fontId="130" fillId="39" borderId="18" xfId="32014" applyNumberFormat="1" applyFont="1" applyFill="1" applyBorder="1" applyAlignment="1">
      <alignment horizontal="center" vertical="center" wrapText="1"/>
    </xf>
    <xf numFmtId="49" fontId="130" fillId="39" borderId="19" xfId="32014" applyNumberFormat="1" applyFont="1" applyFill="1" applyBorder="1" applyAlignment="1">
      <alignment horizontal="center" vertical="center" wrapText="1"/>
    </xf>
    <xf numFmtId="14" fontId="127" fillId="0" borderId="17" xfId="0" quotePrefix="1" applyNumberFormat="1" applyFont="1" applyBorder="1" applyAlignment="1">
      <alignment horizontal="center" vertical="center"/>
    </xf>
    <xf numFmtId="14" fontId="127" fillId="0" borderId="18" xfId="0" quotePrefix="1" applyNumberFormat="1" applyFont="1" applyBorder="1" applyAlignment="1">
      <alignment horizontal="center" vertical="center"/>
    </xf>
    <xf numFmtId="14" fontId="127" fillId="0" borderId="19" xfId="0" quotePrefix="1" applyNumberFormat="1" applyFont="1" applyBorder="1" applyAlignment="1">
      <alignment horizontal="center" vertical="center"/>
    </xf>
    <xf numFmtId="49" fontId="41" fillId="25" borderId="17" xfId="32014" applyNumberFormat="1" applyFont="1" applyFill="1" applyBorder="1" applyAlignment="1">
      <alignment horizontal="center" vertical="center" wrapText="1"/>
    </xf>
    <xf numFmtId="49" fontId="41" fillId="25" borderId="19" xfId="32014" applyNumberFormat="1" applyFont="1" applyFill="1" applyBorder="1" applyAlignment="1">
      <alignment horizontal="center" vertical="center" wrapText="1"/>
    </xf>
    <xf numFmtId="49" fontId="130" fillId="25" borderId="17" xfId="32014" applyNumberFormat="1" applyFont="1" applyFill="1" applyBorder="1" applyAlignment="1">
      <alignment horizontal="center" vertical="center" wrapText="1"/>
    </xf>
    <xf numFmtId="49" fontId="130" fillId="25" borderId="19" xfId="32014" applyNumberFormat="1" applyFont="1" applyFill="1" applyBorder="1" applyAlignment="1">
      <alignment horizontal="center" vertical="center" wrapText="1"/>
    </xf>
    <xf numFmtId="49" fontId="128" fillId="0" borderId="17" xfId="32014" applyNumberFormat="1" applyFont="1" applyFill="1" applyBorder="1" applyAlignment="1">
      <alignment horizontal="center" vertical="center" wrapText="1"/>
    </xf>
    <xf numFmtId="49" fontId="128" fillId="0" borderId="18" xfId="32014" applyNumberFormat="1" applyFont="1" applyFill="1" applyBorder="1" applyAlignment="1">
      <alignment horizontal="center" vertical="center" wrapText="1"/>
    </xf>
    <xf numFmtId="49" fontId="128" fillId="0" borderId="19" xfId="32014" applyNumberFormat="1" applyFont="1" applyFill="1" applyBorder="1" applyAlignment="1">
      <alignment horizontal="center" vertical="center" wrapText="1"/>
    </xf>
    <xf numFmtId="191" fontId="128" fillId="0" borderId="17" xfId="116" applyNumberFormat="1" applyFont="1" applyFill="1" applyBorder="1" applyAlignment="1">
      <alignment horizontal="center" vertical="center" wrapText="1"/>
    </xf>
    <xf numFmtId="191" fontId="128" fillId="0" borderId="18" xfId="116" applyNumberFormat="1" applyFont="1" applyFill="1" applyBorder="1" applyAlignment="1">
      <alignment horizontal="center" vertical="center" wrapText="1"/>
    </xf>
    <xf numFmtId="191" fontId="128" fillId="0" borderId="19" xfId="116" applyNumberFormat="1" applyFont="1" applyFill="1" applyBorder="1" applyAlignment="1">
      <alignment horizontal="center" vertical="center" wrapText="1"/>
    </xf>
    <xf numFmtId="0" fontId="137" fillId="33" borderId="35" xfId="49738" applyFont="1" applyFill="1" applyBorder="1" applyAlignment="1">
      <alignment horizontal="center" vertical="center"/>
    </xf>
    <xf numFmtId="0" fontId="137" fillId="33" borderId="2" xfId="49738" applyFont="1" applyFill="1" applyBorder="1" applyAlignment="1">
      <alignment horizontal="center" vertical="center"/>
    </xf>
    <xf numFmtId="0" fontId="128" fillId="0" borderId="25" xfId="116" quotePrefix="1" applyNumberFormat="1" applyFont="1" applyFill="1" applyBorder="1" applyAlignment="1">
      <alignment horizontal="center" vertical="center" wrapText="1"/>
    </xf>
    <xf numFmtId="0" fontId="128" fillId="0" borderId="26" xfId="116" quotePrefix="1" applyNumberFormat="1" applyFont="1" applyFill="1" applyBorder="1" applyAlignment="1">
      <alignment horizontal="center" vertical="center" wrapText="1"/>
    </xf>
    <xf numFmtId="0" fontId="128" fillId="0" borderId="27" xfId="116" quotePrefix="1" applyNumberFormat="1" applyFont="1" applyFill="1" applyBorder="1" applyAlignment="1">
      <alignment horizontal="center" vertical="center" wrapText="1"/>
    </xf>
    <xf numFmtId="0" fontId="128" fillId="0" borderId="20" xfId="116" quotePrefix="1" applyNumberFormat="1" applyFont="1" applyFill="1" applyBorder="1" applyAlignment="1">
      <alignment horizontal="center" vertical="center" wrapText="1"/>
    </xf>
    <xf numFmtId="0" fontId="128" fillId="0" borderId="0" xfId="116" quotePrefix="1" applyNumberFormat="1" applyFont="1" applyFill="1" applyBorder="1" applyAlignment="1">
      <alignment horizontal="center" vertical="center" wrapText="1"/>
    </xf>
    <xf numFmtId="0" fontId="128" fillId="0" borderId="21" xfId="116" quotePrefix="1" applyNumberFormat="1" applyFont="1" applyFill="1" applyBorder="1" applyAlignment="1">
      <alignment horizontal="center" vertical="center" wrapText="1"/>
    </xf>
    <xf numFmtId="0" fontId="128" fillId="0" borderId="22" xfId="116" quotePrefix="1" applyNumberFormat="1" applyFont="1" applyFill="1" applyBorder="1" applyAlignment="1">
      <alignment horizontal="center" vertical="center" wrapText="1"/>
    </xf>
    <xf numFmtId="0" fontId="128" fillId="0" borderId="23" xfId="116" quotePrefix="1" applyNumberFormat="1" applyFont="1" applyFill="1" applyBorder="1" applyAlignment="1">
      <alignment horizontal="center" vertical="center" wrapText="1"/>
    </xf>
    <xf numFmtId="0" fontId="128" fillId="0" borderId="24" xfId="116" quotePrefix="1" applyNumberFormat="1" applyFont="1" applyFill="1" applyBorder="1" applyAlignment="1">
      <alignment horizontal="center" vertical="center" wrapText="1"/>
    </xf>
    <xf numFmtId="49" fontId="146" fillId="0" borderId="17" xfId="32014" quotePrefix="1" applyNumberFormat="1" applyFont="1" applyFill="1" applyBorder="1" applyAlignment="1">
      <alignment horizontal="center" vertical="center" wrapText="1"/>
    </xf>
    <xf numFmtId="49" fontId="146" fillId="0" borderId="18" xfId="32014" quotePrefix="1" applyNumberFormat="1" applyFont="1" applyFill="1" applyBorder="1" applyAlignment="1">
      <alignment horizontal="center" vertical="center" wrapText="1"/>
    </xf>
    <xf numFmtId="49" fontId="146" fillId="0" borderId="19" xfId="32014" quotePrefix="1" applyNumberFormat="1" applyFont="1" applyFill="1" applyBorder="1" applyAlignment="1">
      <alignment horizontal="center" vertical="center" wrapText="1"/>
    </xf>
    <xf numFmtId="0" fontId="127" fillId="0" borderId="17" xfId="49724" applyNumberFormat="1" applyFont="1" applyFill="1" applyBorder="1" applyAlignment="1">
      <alignment horizontal="center" vertical="center" wrapText="1"/>
    </xf>
    <xf numFmtId="0" fontId="127" fillId="0" borderId="18" xfId="49724" applyNumberFormat="1" applyFont="1" applyFill="1" applyBorder="1" applyAlignment="1">
      <alignment horizontal="center" vertical="center" wrapText="1"/>
    </xf>
    <xf numFmtId="0" fontId="127" fillId="0" borderId="19" xfId="49724" applyNumberFormat="1" applyFont="1" applyFill="1" applyBorder="1" applyAlignment="1">
      <alignment horizontal="center" vertical="center" wrapText="1"/>
    </xf>
    <xf numFmtId="0" fontId="130" fillId="25" borderId="17" xfId="32014" applyFont="1" applyFill="1" applyBorder="1" applyAlignment="1">
      <alignment horizontal="center" vertical="center" wrapText="1"/>
    </xf>
    <xf numFmtId="0" fontId="130" fillId="25" borderId="18" xfId="32014" applyFont="1" applyFill="1" applyBorder="1" applyAlignment="1">
      <alignment horizontal="center" vertical="center" wrapText="1"/>
    </xf>
    <xf numFmtId="0" fontId="130" fillId="25" borderId="19" xfId="32014" applyFont="1" applyFill="1" applyBorder="1" applyAlignment="1">
      <alignment horizontal="center" vertical="center" wrapText="1"/>
    </xf>
    <xf numFmtId="0" fontId="128" fillId="0" borderId="22" xfId="116" applyFont="1" applyFill="1" applyBorder="1" applyAlignment="1">
      <alignment horizontal="center" vertical="center" wrapText="1"/>
    </xf>
    <xf numFmtId="0" fontId="128" fillId="0" borderId="23" xfId="116" applyFont="1" applyFill="1" applyBorder="1" applyAlignment="1">
      <alignment horizontal="center" vertical="center" wrapText="1"/>
    </xf>
    <xf numFmtId="0" fontId="128" fillId="0" borderId="24" xfId="116" applyFont="1" applyFill="1" applyBorder="1" applyAlignment="1">
      <alignment horizontal="center" vertical="center" wrapText="1"/>
    </xf>
    <xf numFmtId="0" fontId="130" fillId="0" borderId="17" xfId="32014" applyFont="1" applyFill="1" applyBorder="1" applyAlignment="1">
      <alignment horizontal="center" vertical="center"/>
    </xf>
    <xf numFmtId="0" fontId="130" fillId="0" borderId="19" xfId="32014" applyFont="1" applyFill="1" applyBorder="1" applyAlignment="1">
      <alignment horizontal="center" vertical="center"/>
    </xf>
    <xf numFmtId="0" fontId="127" fillId="0" borderId="17" xfId="32014" quotePrefix="1" applyFont="1" applyFill="1" applyBorder="1" applyAlignment="1">
      <alignment horizontal="center" vertical="center" wrapText="1"/>
    </xf>
    <xf numFmtId="0" fontId="127" fillId="0" borderId="18" xfId="32014" quotePrefix="1" applyFont="1" applyFill="1" applyBorder="1" applyAlignment="1">
      <alignment horizontal="center" vertical="center" wrapText="1"/>
    </xf>
    <xf numFmtId="0" fontId="127" fillId="0" borderId="19" xfId="32014" quotePrefix="1" applyFont="1" applyFill="1" applyBorder="1" applyAlignment="1">
      <alignment horizontal="center" vertical="center" wrapText="1"/>
    </xf>
    <xf numFmtId="0" fontId="128" fillId="25" borderId="17" xfId="32014" applyFont="1" applyFill="1" applyBorder="1" applyAlignment="1">
      <alignment horizontal="center" vertical="center" wrapText="1"/>
    </xf>
    <xf numFmtId="0" fontId="128" fillId="25" borderId="18" xfId="32014" applyFont="1" applyFill="1" applyBorder="1" applyAlignment="1">
      <alignment horizontal="center" vertical="center" wrapText="1"/>
    </xf>
    <xf numFmtId="0" fontId="128" fillId="25" borderId="19" xfId="32014" applyFont="1" applyFill="1" applyBorder="1" applyAlignment="1">
      <alignment horizontal="center" vertical="center" wrapText="1"/>
    </xf>
    <xf numFmtId="0" fontId="0" fillId="0" borderId="18" xfId="49727" applyFont="1" applyBorder="1" applyAlignment="1">
      <alignment horizontal="center" vertical="center" wrapText="1"/>
    </xf>
    <xf numFmtId="0" fontId="0" fillId="0" borderId="19" xfId="49727" applyFont="1" applyBorder="1" applyAlignment="1">
      <alignment horizontal="center" vertical="center" wrapText="1"/>
    </xf>
    <xf numFmtId="0" fontId="130" fillId="0" borderId="17" xfId="116" applyFont="1" applyFill="1" applyBorder="1" applyAlignment="1">
      <alignment horizontal="center" vertical="center" wrapText="1"/>
    </xf>
    <xf numFmtId="0" fontId="130" fillId="0" borderId="18" xfId="116" applyFont="1" applyFill="1" applyBorder="1" applyAlignment="1">
      <alignment horizontal="center" vertical="center" wrapText="1"/>
    </xf>
    <xf numFmtId="0" fontId="130" fillId="0" borderId="19" xfId="116" applyFont="1" applyFill="1" applyBorder="1" applyAlignment="1">
      <alignment horizontal="center" vertical="center" wrapText="1"/>
    </xf>
    <xf numFmtId="0" fontId="127" fillId="25" borderId="17" xfId="32014" applyFont="1" applyFill="1" applyBorder="1" applyAlignment="1">
      <alignment horizontal="center" vertical="center" wrapText="1"/>
    </xf>
    <xf numFmtId="0" fontId="127" fillId="25" borderId="18" xfId="32014" applyFont="1" applyFill="1" applyBorder="1" applyAlignment="1">
      <alignment horizontal="center" vertical="center" wrapText="1"/>
    </xf>
    <xf numFmtId="0" fontId="127" fillId="25" borderId="19" xfId="32014" applyFont="1" applyFill="1" applyBorder="1" applyAlignment="1">
      <alignment horizontal="center" vertical="center" wrapText="1"/>
    </xf>
    <xf numFmtId="41" fontId="130" fillId="0" borderId="17" xfId="6962" quotePrefix="1" applyFont="1" applyFill="1" applyBorder="1" applyAlignment="1">
      <alignment horizontal="center" vertical="center"/>
    </xf>
    <xf numFmtId="41" fontId="130" fillId="0" borderId="18" xfId="6962" quotePrefix="1" applyFont="1" applyFill="1" applyBorder="1" applyAlignment="1">
      <alignment horizontal="center" vertical="center"/>
    </xf>
    <xf numFmtId="41" fontId="130" fillId="0" borderId="19" xfId="6962" quotePrefix="1" applyFont="1" applyFill="1" applyBorder="1" applyAlignment="1">
      <alignment horizontal="center" vertical="center"/>
    </xf>
    <xf numFmtId="41" fontId="130" fillId="0" borderId="3" xfId="6962" applyFont="1" applyFill="1" applyBorder="1" applyAlignment="1">
      <alignment horizontal="center" vertical="center"/>
    </xf>
    <xf numFmtId="0" fontId="130" fillId="0" borderId="17" xfId="0" applyFont="1" applyFill="1" applyBorder="1" applyAlignment="1">
      <alignment horizontal="center" vertical="center"/>
    </xf>
    <xf numFmtId="0" fontId="130" fillId="0" borderId="18" xfId="0" applyFont="1" applyFill="1" applyBorder="1" applyAlignment="1">
      <alignment horizontal="center" vertical="center"/>
    </xf>
    <xf numFmtId="0" fontId="130" fillId="0" borderId="19" xfId="0" applyFont="1" applyFill="1" applyBorder="1" applyAlignment="1">
      <alignment horizontal="center" vertical="center"/>
    </xf>
    <xf numFmtId="0" fontId="42" fillId="25" borderId="3" xfId="116" applyFont="1" applyFill="1" applyBorder="1" applyAlignment="1">
      <alignment horizontal="center" vertical="center"/>
    </xf>
    <xf numFmtId="0" fontId="129" fillId="25" borderId="25" xfId="0" applyFont="1" applyFill="1" applyBorder="1" applyAlignment="1">
      <alignment horizontal="center" vertical="center"/>
    </xf>
    <xf numFmtId="0" fontId="129" fillId="25" borderId="26" xfId="0" applyFont="1" applyFill="1" applyBorder="1" applyAlignment="1">
      <alignment horizontal="center" vertical="center"/>
    </xf>
    <xf numFmtId="0" fontId="129" fillId="25" borderId="27" xfId="0" applyFont="1" applyFill="1" applyBorder="1" applyAlignment="1">
      <alignment horizontal="center" vertical="center"/>
    </xf>
    <xf numFmtId="0" fontId="129" fillId="25" borderId="20" xfId="0" applyFont="1" applyFill="1" applyBorder="1" applyAlignment="1">
      <alignment horizontal="center" vertical="center"/>
    </xf>
    <xf numFmtId="0" fontId="129" fillId="25" borderId="0" xfId="0" applyFont="1" applyFill="1" applyBorder="1" applyAlignment="1">
      <alignment horizontal="center" vertical="center"/>
    </xf>
    <xf numFmtId="0" fontId="129" fillId="25" borderId="21" xfId="0" applyFont="1" applyFill="1" applyBorder="1" applyAlignment="1">
      <alignment horizontal="center" vertical="center"/>
    </xf>
    <xf numFmtId="0" fontId="129" fillId="25" borderId="22" xfId="0" applyFont="1" applyFill="1" applyBorder="1" applyAlignment="1">
      <alignment horizontal="center" vertical="center"/>
    </xf>
    <xf numFmtId="0" fontId="129" fillId="25" borderId="23" xfId="0" applyFont="1" applyFill="1" applyBorder="1" applyAlignment="1">
      <alignment horizontal="center" vertical="center"/>
    </xf>
    <xf numFmtId="0" fontId="129" fillId="25" borderId="24" xfId="0" applyFont="1" applyFill="1" applyBorder="1" applyAlignment="1">
      <alignment horizontal="center" vertical="center"/>
    </xf>
    <xf numFmtId="41" fontId="158" fillId="0" borderId="3" xfId="6962" applyFont="1" applyFill="1" applyBorder="1" applyAlignment="1">
      <alignment horizontal="center" vertical="center" wrapText="1"/>
    </xf>
    <xf numFmtId="41" fontId="162" fillId="25" borderId="3" xfId="6962" applyFont="1" applyFill="1" applyBorder="1" applyAlignment="1">
      <alignment horizontal="center" vertical="center"/>
    </xf>
    <xf numFmtId="0" fontId="131" fillId="33" borderId="3" xfId="4156" applyFont="1" applyFill="1" applyBorder="1" applyAlignment="1">
      <alignment horizontal="center" vertical="center"/>
    </xf>
    <xf numFmtId="0" fontId="130" fillId="0" borderId="17" xfId="116" applyFont="1" applyFill="1" applyBorder="1" applyAlignment="1">
      <alignment horizontal="center" vertical="center"/>
    </xf>
    <xf numFmtId="0" fontId="130" fillId="0" borderId="18" xfId="116" applyFont="1" applyFill="1" applyBorder="1" applyAlignment="1">
      <alignment horizontal="center" vertical="center"/>
    </xf>
    <xf numFmtId="0" fontId="130" fillId="0" borderId="19" xfId="116" applyFont="1" applyFill="1" applyBorder="1" applyAlignment="1">
      <alignment horizontal="center" vertical="center"/>
    </xf>
    <xf numFmtId="0" fontId="130" fillId="0" borderId="17" xfId="4156" applyFont="1" applyFill="1" applyBorder="1" applyAlignment="1">
      <alignment horizontal="center" vertical="center"/>
    </xf>
    <xf numFmtId="0" fontId="130" fillId="0" borderId="18" xfId="4156" applyFont="1" applyFill="1" applyBorder="1" applyAlignment="1">
      <alignment horizontal="center" vertical="center"/>
    </xf>
    <xf numFmtId="0" fontId="130" fillId="0" borderId="19" xfId="4156" applyFont="1" applyFill="1" applyBorder="1" applyAlignment="1">
      <alignment horizontal="center" vertical="center"/>
    </xf>
    <xf numFmtId="0" fontId="128" fillId="0" borderId="17" xfId="116" applyFont="1" applyFill="1" applyBorder="1" applyAlignment="1">
      <alignment horizontal="center" vertical="center" wrapText="1"/>
    </xf>
    <xf numFmtId="0" fontId="128" fillId="0" borderId="18" xfId="116" applyFont="1" applyFill="1" applyBorder="1" applyAlignment="1">
      <alignment horizontal="center" vertical="center" wrapText="1"/>
    </xf>
    <xf numFmtId="0" fontId="128" fillId="0" borderId="19" xfId="116" applyFont="1" applyFill="1" applyBorder="1" applyAlignment="1">
      <alignment horizontal="center" vertical="center" wrapText="1"/>
    </xf>
    <xf numFmtId="0" fontId="127" fillId="0" borderId="17" xfId="3342" applyFont="1" applyFill="1" applyBorder="1" applyAlignment="1">
      <alignment horizontal="center" vertical="center" wrapText="1"/>
    </xf>
    <xf numFmtId="0" fontId="127" fillId="0" borderId="18" xfId="3342" applyFont="1" applyFill="1" applyBorder="1" applyAlignment="1">
      <alignment horizontal="center" vertical="center" wrapText="1"/>
    </xf>
    <xf numFmtId="0" fontId="127" fillId="0" borderId="19" xfId="3342" applyFont="1" applyFill="1" applyBorder="1" applyAlignment="1">
      <alignment horizontal="center" vertical="center" wrapText="1"/>
    </xf>
    <xf numFmtId="0" fontId="127" fillId="0" borderId="17" xfId="49724" applyNumberFormat="1" applyFont="1" applyFill="1" applyBorder="1" applyAlignment="1">
      <alignment horizontal="center" vertical="center"/>
    </xf>
    <xf numFmtId="0" fontId="127" fillId="0" borderId="19" xfId="49724" applyNumberFormat="1" applyFont="1" applyFill="1" applyBorder="1" applyAlignment="1">
      <alignment horizontal="center" vertical="center"/>
    </xf>
    <xf numFmtId="0" fontId="127" fillId="0" borderId="25" xfId="49724" applyNumberFormat="1" applyFont="1" applyFill="1" applyBorder="1" applyAlignment="1">
      <alignment horizontal="center" vertical="center"/>
    </xf>
    <xf numFmtId="0" fontId="127" fillId="0" borderId="26" xfId="49724" applyNumberFormat="1" applyFont="1" applyFill="1" applyBorder="1" applyAlignment="1">
      <alignment horizontal="center" vertical="center"/>
    </xf>
    <xf numFmtId="0" fontId="127" fillId="0" borderId="27" xfId="49724" applyNumberFormat="1" applyFont="1" applyFill="1" applyBorder="1" applyAlignment="1">
      <alignment horizontal="center" vertical="center"/>
    </xf>
    <xf numFmtId="0" fontId="127" fillId="0" borderId="20" xfId="49724" applyNumberFormat="1" applyFont="1" applyFill="1" applyBorder="1" applyAlignment="1">
      <alignment horizontal="center" vertical="center"/>
    </xf>
    <xf numFmtId="0" fontId="127" fillId="0" borderId="0" xfId="49724" applyNumberFormat="1" applyFont="1" applyFill="1" applyBorder="1" applyAlignment="1">
      <alignment horizontal="center" vertical="center"/>
    </xf>
    <xf numFmtId="0" fontId="127" fillId="0" borderId="21" xfId="49724" applyNumberFormat="1" applyFont="1" applyFill="1" applyBorder="1" applyAlignment="1">
      <alignment horizontal="center" vertical="center"/>
    </xf>
    <xf numFmtId="0" fontId="127" fillId="0" borderId="22" xfId="49724" applyNumberFormat="1" applyFont="1" applyFill="1" applyBorder="1" applyAlignment="1">
      <alignment horizontal="center" vertical="center"/>
    </xf>
    <xf numFmtId="0" fontId="127" fillId="0" borderId="23" xfId="49724" applyNumberFormat="1" applyFont="1" applyFill="1" applyBorder="1" applyAlignment="1">
      <alignment horizontal="center" vertical="center"/>
    </xf>
    <xf numFmtId="0" fontId="127" fillId="0" borderId="24" xfId="49724" applyNumberFormat="1" applyFont="1" applyFill="1" applyBorder="1" applyAlignment="1">
      <alignment horizontal="center" vertical="center"/>
    </xf>
    <xf numFmtId="0" fontId="129" fillId="0" borderId="17" xfId="2500" applyFont="1" applyFill="1" applyBorder="1" applyAlignment="1">
      <alignment horizontal="center" vertical="center"/>
    </xf>
    <xf numFmtId="0" fontId="129" fillId="0" borderId="18" xfId="2500" applyFont="1" applyFill="1" applyBorder="1" applyAlignment="1">
      <alignment horizontal="center" vertical="center"/>
    </xf>
    <xf numFmtId="0" fontId="129" fillId="0" borderId="19" xfId="2500" applyFont="1" applyFill="1" applyBorder="1" applyAlignment="1">
      <alignment horizontal="center" vertical="center"/>
    </xf>
    <xf numFmtId="0" fontId="130" fillId="25" borderId="17" xfId="4156" applyFont="1" applyFill="1" applyBorder="1" applyAlignment="1">
      <alignment horizontal="center" vertical="center" wrapText="1"/>
    </xf>
    <xf numFmtId="0" fontId="130" fillId="25" borderId="18" xfId="4156" applyFont="1" applyFill="1" applyBorder="1" applyAlignment="1">
      <alignment horizontal="center" vertical="center" wrapText="1"/>
    </xf>
    <xf numFmtId="0" fontId="130" fillId="25" borderId="19" xfId="4156" applyFont="1" applyFill="1" applyBorder="1" applyAlignment="1">
      <alignment horizontal="center" vertical="center" wrapText="1"/>
    </xf>
    <xf numFmtId="0" fontId="144" fillId="0" borderId="17" xfId="2500" applyFont="1" applyBorder="1" applyAlignment="1">
      <alignment horizontal="center" vertical="center"/>
    </xf>
    <xf numFmtId="0" fontId="144" fillId="0" borderId="18" xfId="2500" applyFont="1" applyBorder="1" applyAlignment="1">
      <alignment horizontal="center" vertical="center"/>
    </xf>
    <xf numFmtId="0" fontId="144" fillId="0" borderId="19" xfId="2500" applyFont="1" applyBorder="1" applyAlignment="1">
      <alignment horizontal="center" vertical="center"/>
    </xf>
    <xf numFmtId="41" fontId="131" fillId="33" borderId="35" xfId="4156" applyNumberFormat="1" applyFont="1" applyFill="1" applyBorder="1" applyAlignment="1">
      <alignment horizontal="center" vertical="center"/>
    </xf>
    <xf numFmtId="41" fontId="131" fillId="33" borderId="2" xfId="4156" applyNumberFormat="1" applyFont="1" applyFill="1" applyBorder="1" applyAlignment="1">
      <alignment horizontal="center" vertical="center"/>
    </xf>
    <xf numFmtId="41" fontId="131" fillId="33" borderId="36" xfId="4156" applyNumberFormat="1" applyFont="1" applyFill="1" applyBorder="1" applyAlignment="1">
      <alignment horizontal="center" vertical="center"/>
    </xf>
    <xf numFmtId="0" fontId="134" fillId="0" borderId="25" xfId="116" applyFont="1" applyBorder="1" applyAlignment="1">
      <alignment horizontal="center" vertical="center" wrapText="1"/>
    </xf>
    <xf numFmtId="0" fontId="134" fillId="0" borderId="26" xfId="116" applyFont="1" applyBorder="1" applyAlignment="1">
      <alignment horizontal="center" vertical="center" wrapText="1"/>
    </xf>
    <xf numFmtId="0" fontId="134" fillId="0" borderId="27" xfId="116" applyFont="1" applyBorder="1" applyAlignment="1">
      <alignment horizontal="center" vertical="center" wrapText="1"/>
    </xf>
    <xf numFmtId="0" fontId="134" fillId="0" borderId="20" xfId="116" applyFont="1" applyBorder="1" applyAlignment="1">
      <alignment horizontal="center" vertical="center" wrapText="1"/>
    </xf>
    <xf numFmtId="0" fontId="134" fillId="0" borderId="0" xfId="116" applyFont="1" applyAlignment="1">
      <alignment horizontal="center" vertical="center" wrapText="1"/>
    </xf>
    <xf numFmtId="0" fontId="134" fillId="0" borderId="21" xfId="116" applyFont="1" applyBorder="1" applyAlignment="1">
      <alignment horizontal="center" vertical="center" wrapText="1"/>
    </xf>
    <xf numFmtId="0" fontId="134" fillId="0" borderId="22" xfId="116" applyFont="1" applyBorder="1" applyAlignment="1">
      <alignment horizontal="center" vertical="center" wrapText="1"/>
    </xf>
    <xf numFmtId="0" fontId="134" fillId="0" borderId="23" xfId="116" applyFont="1" applyBorder="1" applyAlignment="1">
      <alignment horizontal="center" vertical="center" wrapText="1"/>
    </xf>
    <xf numFmtId="0" fontId="134" fillId="0" borderId="24" xfId="116" applyFont="1" applyBorder="1" applyAlignment="1">
      <alignment horizontal="center" vertical="center" wrapText="1"/>
    </xf>
    <xf numFmtId="0" fontId="144" fillId="0" borderId="17" xfId="2500" applyFont="1" applyBorder="1" applyAlignment="1">
      <alignment horizontal="center" vertical="center" wrapText="1"/>
    </xf>
    <xf numFmtId="0" fontId="144" fillId="0" borderId="18" xfId="2500" applyFont="1" applyBorder="1" applyAlignment="1">
      <alignment horizontal="center" vertical="center" wrapText="1"/>
    </xf>
    <xf numFmtId="0" fontId="144" fillId="0" borderId="19" xfId="2500" applyFont="1" applyBorder="1" applyAlignment="1">
      <alignment horizontal="center" vertical="center" wrapText="1"/>
    </xf>
    <xf numFmtId="49" fontId="128" fillId="0" borderId="17" xfId="4156" quotePrefix="1" applyNumberFormat="1" applyFont="1" applyBorder="1" applyAlignment="1">
      <alignment horizontal="center" vertical="center" wrapText="1"/>
    </xf>
    <xf numFmtId="49" fontId="128" fillId="0" borderId="18" xfId="4156" quotePrefix="1" applyNumberFormat="1" applyFont="1" applyBorder="1" applyAlignment="1">
      <alignment horizontal="center" vertical="center" wrapText="1"/>
    </xf>
    <xf numFmtId="49" fontId="128" fillId="0" borderId="19" xfId="4156" quotePrefix="1" applyNumberFormat="1" applyFont="1" applyBorder="1" applyAlignment="1">
      <alignment horizontal="center" vertical="center" wrapText="1"/>
    </xf>
    <xf numFmtId="0" fontId="128" fillId="0" borderId="17" xfId="4156" quotePrefix="1" applyFont="1" applyBorder="1" applyAlignment="1">
      <alignment horizontal="center" vertical="center"/>
    </xf>
    <xf numFmtId="0" fontId="128" fillId="0" borderId="18" xfId="4156" quotePrefix="1" applyFont="1" applyBorder="1" applyAlignment="1">
      <alignment horizontal="center" vertical="center"/>
    </xf>
    <xf numFmtId="0" fontId="128" fillId="0" borderId="19" xfId="4156" quotePrefix="1" applyFont="1" applyBorder="1" applyAlignment="1">
      <alignment horizontal="center" vertical="center"/>
    </xf>
    <xf numFmtId="17" fontId="127" fillId="25" borderId="25" xfId="32014" applyNumberFormat="1" applyFont="1" applyFill="1" applyBorder="1" applyAlignment="1">
      <alignment horizontal="center" vertical="center" wrapText="1"/>
    </xf>
    <xf numFmtId="17" fontId="127" fillId="25" borderId="26" xfId="32014" applyNumberFormat="1" applyFont="1" applyFill="1" applyBorder="1" applyAlignment="1">
      <alignment horizontal="center" vertical="center" wrapText="1"/>
    </xf>
    <xf numFmtId="17" fontId="127" fillId="25" borderId="27" xfId="32014" applyNumberFormat="1" applyFont="1" applyFill="1" applyBorder="1" applyAlignment="1">
      <alignment horizontal="center" vertical="center" wrapText="1"/>
    </xf>
    <xf numFmtId="17" fontId="127" fillId="25" borderId="20" xfId="32014" applyNumberFormat="1" applyFont="1" applyFill="1" applyBorder="1" applyAlignment="1">
      <alignment horizontal="center" vertical="center" wrapText="1"/>
    </xf>
    <xf numFmtId="17" fontId="127" fillId="25" borderId="0" xfId="32014" applyNumberFormat="1" applyFont="1" applyFill="1" applyBorder="1" applyAlignment="1">
      <alignment horizontal="center" vertical="center" wrapText="1"/>
    </xf>
    <xf numFmtId="17" fontId="127" fillId="25" borderId="21" xfId="32014" applyNumberFormat="1" applyFont="1" applyFill="1" applyBorder="1" applyAlignment="1">
      <alignment horizontal="center" vertical="center" wrapText="1"/>
    </xf>
    <xf numFmtId="17" fontId="127" fillId="25" borderId="22" xfId="32014" applyNumberFormat="1" applyFont="1" applyFill="1" applyBorder="1" applyAlignment="1">
      <alignment horizontal="center" vertical="center" wrapText="1"/>
    </xf>
    <xf numFmtId="17" fontId="127" fillId="25" borderId="23" xfId="32014" applyNumberFormat="1" applyFont="1" applyFill="1" applyBorder="1" applyAlignment="1">
      <alignment horizontal="center" vertical="center" wrapText="1"/>
    </xf>
    <xf numFmtId="17" fontId="127" fillId="25" borderId="24" xfId="32014" applyNumberFormat="1" applyFont="1" applyFill="1" applyBorder="1" applyAlignment="1">
      <alignment horizontal="center" vertical="center" wrapText="1"/>
    </xf>
    <xf numFmtId="0" fontId="145" fillId="25" borderId="17" xfId="32014" applyFont="1" applyFill="1" applyBorder="1" applyAlignment="1">
      <alignment horizontal="center" vertical="center" wrapText="1"/>
    </xf>
    <xf numFmtId="0" fontId="145" fillId="25" borderId="18" xfId="32014" applyFont="1" applyFill="1" applyBorder="1" applyAlignment="1">
      <alignment horizontal="center" vertical="center" wrapText="1"/>
    </xf>
    <xf numFmtId="0" fontId="145" fillId="25" borderId="19" xfId="32014" applyFont="1" applyFill="1" applyBorder="1" applyAlignment="1">
      <alignment horizontal="center" vertical="center" wrapText="1"/>
    </xf>
    <xf numFmtId="0" fontId="128" fillId="0" borderId="3" xfId="4156" quotePrefix="1" applyFont="1" applyBorder="1" applyAlignment="1">
      <alignment horizontal="center" vertical="center"/>
    </xf>
    <xf numFmtId="0" fontId="129" fillId="25" borderId="3" xfId="0" applyFont="1" applyFill="1" applyBorder="1" applyAlignment="1">
      <alignment horizontal="center" vertical="center"/>
    </xf>
    <xf numFmtId="0" fontId="128" fillId="39" borderId="17" xfId="116" applyNumberFormat="1" applyFont="1" applyFill="1" applyBorder="1" applyAlignment="1">
      <alignment horizontal="center" vertical="center" wrapText="1"/>
    </xf>
    <xf numFmtId="0" fontId="128" fillId="39" borderId="18" xfId="116" applyNumberFormat="1" applyFont="1" applyFill="1" applyBorder="1" applyAlignment="1">
      <alignment horizontal="center" vertical="center" wrapText="1"/>
    </xf>
    <xf numFmtId="0" fontId="128" fillId="39" borderId="19" xfId="116" applyNumberFormat="1" applyFont="1" applyFill="1" applyBorder="1" applyAlignment="1">
      <alignment horizontal="center" vertical="center" wrapText="1"/>
    </xf>
    <xf numFmtId="0" fontId="128" fillId="0" borderId="17" xfId="4156" applyNumberFormat="1" applyFont="1" applyBorder="1" applyAlignment="1">
      <alignment horizontal="center" vertical="center" wrapText="1"/>
    </xf>
    <xf numFmtId="0" fontId="128" fillId="0" borderId="18" xfId="4156" applyNumberFormat="1" applyFont="1" applyBorder="1" applyAlignment="1">
      <alignment horizontal="center" vertical="center" wrapText="1"/>
    </xf>
    <xf numFmtId="0" fontId="128" fillId="0" borderId="19" xfId="4156" applyNumberFormat="1" applyFont="1" applyBorder="1" applyAlignment="1">
      <alignment horizontal="center" vertical="center" wrapText="1"/>
    </xf>
    <xf numFmtId="0" fontId="145" fillId="0" borderId="17" xfId="4156" quotePrefix="1" applyNumberFormat="1" applyFont="1" applyBorder="1" applyAlignment="1">
      <alignment horizontal="center" vertical="center" wrapText="1"/>
    </xf>
    <xf numFmtId="0" fontId="145" fillId="0" borderId="18" xfId="4156" quotePrefix="1" applyNumberFormat="1" applyFont="1" applyBorder="1" applyAlignment="1">
      <alignment horizontal="center" vertical="center" wrapText="1"/>
    </xf>
    <xf numFmtId="0" fontId="145" fillId="0" borderId="19" xfId="4156" quotePrefix="1" applyNumberFormat="1" applyFont="1" applyBorder="1" applyAlignment="1">
      <alignment horizontal="center" vertical="center" wrapText="1"/>
    </xf>
    <xf numFmtId="0" fontId="128" fillId="0" borderId="25" xfId="116" quotePrefix="1" applyFont="1" applyFill="1" applyBorder="1" applyAlignment="1">
      <alignment horizontal="center" vertical="center" wrapText="1"/>
    </xf>
    <xf numFmtId="0" fontId="128" fillId="0" borderId="26" xfId="116" quotePrefix="1" applyFont="1" applyFill="1" applyBorder="1" applyAlignment="1">
      <alignment horizontal="center" vertical="center" wrapText="1"/>
    </xf>
    <xf numFmtId="0" fontId="128" fillId="0" borderId="27" xfId="116" quotePrefix="1" applyFont="1" applyFill="1" applyBorder="1" applyAlignment="1">
      <alignment horizontal="center" vertical="center" wrapText="1"/>
    </xf>
    <xf numFmtId="0" fontId="128" fillId="0" borderId="20" xfId="116" quotePrefix="1" applyFont="1" applyFill="1" applyBorder="1" applyAlignment="1">
      <alignment horizontal="center" vertical="center" wrapText="1"/>
    </xf>
    <xf numFmtId="0" fontId="128" fillId="0" borderId="0" xfId="116" quotePrefix="1" applyFont="1" applyFill="1" applyBorder="1" applyAlignment="1">
      <alignment horizontal="center" vertical="center" wrapText="1"/>
    </xf>
    <xf numFmtId="0" fontId="128" fillId="0" borderId="21" xfId="116" quotePrefix="1" applyFont="1" applyFill="1" applyBorder="1" applyAlignment="1">
      <alignment horizontal="center" vertical="center" wrapText="1"/>
    </xf>
    <xf numFmtId="0" fontId="128" fillId="0" borderId="22" xfId="116" quotePrefix="1" applyFont="1" applyFill="1" applyBorder="1" applyAlignment="1">
      <alignment horizontal="center" vertical="center" wrapText="1"/>
    </xf>
    <xf numFmtId="0" fontId="128" fillId="0" borderId="23" xfId="116" quotePrefix="1" applyFont="1" applyFill="1" applyBorder="1" applyAlignment="1">
      <alignment horizontal="center" vertical="center" wrapText="1"/>
    </xf>
    <xf numFmtId="0" fontId="128" fillId="0" borderId="24" xfId="116" quotePrefix="1" applyFont="1" applyFill="1" applyBorder="1" applyAlignment="1">
      <alignment horizontal="center" vertical="center" wrapText="1"/>
    </xf>
    <xf numFmtId="0" fontId="131" fillId="33" borderId="35" xfId="49738" applyFont="1" applyFill="1" applyBorder="1" applyAlignment="1">
      <alignment horizontal="center" vertical="center"/>
    </xf>
    <xf numFmtId="0" fontId="131" fillId="33" borderId="2" xfId="49738" applyFont="1" applyFill="1" applyBorder="1" applyAlignment="1">
      <alignment horizontal="center" vertical="center"/>
    </xf>
    <xf numFmtId="0" fontId="131" fillId="33" borderId="36" xfId="49738" applyFont="1" applyFill="1" applyBorder="1" applyAlignment="1">
      <alignment horizontal="center" vertical="center"/>
    </xf>
    <xf numFmtId="49" fontId="127" fillId="0" borderId="17" xfId="32014" quotePrefix="1" applyNumberFormat="1" applyFont="1" applyFill="1" applyBorder="1" applyAlignment="1">
      <alignment horizontal="center" vertical="center" wrapText="1"/>
    </xf>
    <xf numFmtId="49" fontId="127" fillId="0" borderId="18" xfId="32014" quotePrefix="1" applyNumberFormat="1" applyFont="1" applyFill="1" applyBorder="1" applyAlignment="1">
      <alignment horizontal="center" vertical="center" wrapText="1"/>
    </xf>
    <xf numFmtId="49" fontId="127" fillId="0" borderId="19" xfId="32014" quotePrefix="1" applyNumberFormat="1" applyFont="1" applyFill="1" applyBorder="1" applyAlignment="1">
      <alignment horizontal="center" vertical="center" wrapText="1"/>
    </xf>
    <xf numFmtId="49" fontId="128" fillId="39" borderId="17" xfId="49727" applyNumberFormat="1" applyFont="1" applyFill="1" applyBorder="1" applyAlignment="1">
      <alignment horizontal="center" vertical="center" wrapText="1"/>
    </xf>
    <xf numFmtId="49" fontId="128" fillId="39" borderId="18" xfId="49727" applyNumberFormat="1" applyFont="1" applyFill="1" applyBorder="1" applyAlignment="1">
      <alignment horizontal="center" vertical="center" wrapText="1"/>
    </xf>
    <xf numFmtId="49" fontId="128" fillId="39" borderId="19" xfId="49727" applyNumberFormat="1" applyFont="1" applyFill="1" applyBorder="1" applyAlignment="1">
      <alignment horizontal="center" vertical="center" wrapText="1"/>
    </xf>
    <xf numFmtId="0" fontId="143" fillId="0" borderId="17" xfId="32014" applyFont="1" applyFill="1" applyBorder="1" applyAlignment="1">
      <alignment horizontal="center" vertical="center" wrapText="1"/>
    </xf>
    <xf numFmtId="0" fontId="143" fillId="0" borderId="18" xfId="32014" applyFont="1" applyFill="1" applyBorder="1" applyAlignment="1">
      <alignment horizontal="center" vertical="center" wrapText="1"/>
    </xf>
    <xf numFmtId="0" fontId="143" fillId="0" borderId="19" xfId="32014" applyFont="1" applyFill="1" applyBorder="1" applyAlignment="1">
      <alignment horizontal="center" vertical="center" wrapText="1"/>
    </xf>
    <xf numFmtId="17" fontId="128" fillId="0" borderId="25" xfId="32014" applyNumberFormat="1" applyFont="1" applyFill="1" applyBorder="1" applyAlignment="1">
      <alignment horizontal="center" vertical="center" wrapText="1"/>
    </xf>
    <xf numFmtId="17" fontId="128" fillId="0" borderId="26" xfId="32014" applyNumberFormat="1" applyFont="1" applyFill="1" applyBorder="1" applyAlignment="1">
      <alignment horizontal="center" vertical="center" wrapText="1"/>
    </xf>
    <xf numFmtId="17" fontId="128" fillId="0" borderId="27" xfId="32014" applyNumberFormat="1" applyFont="1" applyFill="1" applyBorder="1" applyAlignment="1">
      <alignment horizontal="center" vertical="center" wrapText="1"/>
    </xf>
    <xf numFmtId="17" fontId="128" fillId="0" borderId="20" xfId="32014" applyNumberFormat="1" applyFont="1" applyFill="1" applyBorder="1" applyAlignment="1">
      <alignment horizontal="center" vertical="center" wrapText="1"/>
    </xf>
    <xf numFmtId="17" fontId="128" fillId="0" borderId="0" xfId="32014" applyNumberFormat="1" applyFont="1" applyFill="1" applyBorder="1" applyAlignment="1">
      <alignment horizontal="center" vertical="center" wrapText="1"/>
    </xf>
    <xf numFmtId="17" fontId="128" fillId="0" borderId="21" xfId="32014" applyNumberFormat="1" applyFont="1" applyFill="1" applyBorder="1" applyAlignment="1">
      <alignment horizontal="center" vertical="center" wrapText="1"/>
    </xf>
    <xf numFmtId="17" fontId="128" fillId="0" borderId="22" xfId="32014" applyNumberFormat="1" applyFont="1" applyFill="1" applyBorder="1" applyAlignment="1">
      <alignment horizontal="center" vertical="center" wrapText="1"/>
    </xf>
    <xf numFmtId="17" fontId="128" fillId="0" borderId="23" xfId="32014" applyNumberFormat="1" applyFont="1" applyFill="1" applyBorder="1" applyAlignment="1">
      <alignment horizontal="center" vertical="center" wrapText="1"/>
    </xf>
    <xf numFmtId="17" fontId="128" fillId="0" borderId="24" xfId="32014" applyNumberFormat="1" applyFont="1" applyFill="1" applyBorder="1" applyAlignment="1">
      <alignment horizontal="center" vertical="center" wrapText="1"/>
    </xf>
    <xf numFmtId="0" fontId="128" fillId="0" borderId="18" xfId="32014" applyFont="1" applyFill="1" applyBorder="1" applyAlignment="1">
      <alignment horizontal="center" vertical="center" wrapText="1"/>
    </xf>
    <xf numFmtId="0" fontId="145" fillId="0" borderId="17" xfId="116" applyNumberFormat="1" applyFont="1" applyFill="1" applyBorder="1" applyAlignment="1">
      <alignment horizontal="center" vertical="center"/>
    </xf>
    <xf numFmtId="0" fontId="158" fillId="33" borderId="35" xfId="4156" applyFont="1" applyFill="1" applyBorder="1" applyAlignment="1">
      <alignment horizontal="center" vertical="center"/>
    </xf>
    <xf numFmtId="0" fontId="158" fillId="33" borderId="2" xfId="4156" applyFont="1" applyFill="1" applyBorder="1" applyAlignment="1">
      <alignment horizontal="center" vertical="center"/>
    </xf>
    <xf numFmtId="0" fontId="158" fillId="33" borderId="36" xfId="4156" applyFont="1" applyFill="1" applyBorder="1" applyAlignment="1">
      <alignment horizontal="center" vertical="center"/>
    </xf>
    <xf numFmtId="17" fontId="128" fillId="0" borderId="55" xfId="49727" quotePrefix="1" applyNumberFormat="1" applyFont="1" applyFill="1" applyBorder="1" applyAlignment="1">
      <alignment horizontal="center" vertical="center" wrapText="1"/>
    </xf>
    <xf numFmtId="17" fontId="128" fillId="0" borderId="56" xfId="49727" quotePrefix="1" applyNumberFormat="1" applyFont="1" applyFill="1" applyBorder="1" applyAlignment="1">
      <alignment horizontal="center" vertical="center" wrapText="1"/>
    </xf>
    <xf numFmtId="17" fontId="128" fillId="0" borderId="50" xfId="49727" quotePrefix="1" applyNumberFormat="1" applyFont="1" applyFill="1" applyBorder="1" applyAlignment="1">
      <alignment horizontal="center" vertical="center" wrapText="1"/>
    </xf>
    <xf numFmtId="17" fontId="128" fillId="0" borderId="20" xfId="49727" quotePrefix="1" applyNumberFormat="1" applyFont="1" applyFill="1" applyBorder="1" applyAlignment="1">
      <alignment horizontal="center" vertical="center" wrapText="1"/>
    </xf>
    <xf numFmtId="17" fontId="128" fillId="0" borderId="0" xfId="49727" quotePrefix="1" applyNumberFormat="1" applyFont="1" applyFill="1" applyBorder="1" applyAlignment="1">
      <alignment horizontal="center" vertical="center" wrapText="1"/>
    </xf>
    <xf numFmtId="17" fontId="128" fillId="0" borderId="21" xfId="49727" quotePrefix="1" applyNumberFormat="1" applyFont="1" applyFill="1" applyBorder="1" applyAlignment="1">
      <alignment horizontal="center" vertical="center" wrapText="1"/>
    </xf>
    <xf numFmtId="17" fontId="128" fillId="0" borderId="22" xfId="49727" quotePrefix="1" applyNumberFormat="1" applyFont="1" applyFill="1" applyBorder="1" applyAlignment="1">
      <alignment horizontal="center" vertical="center" wrapText="1"/>
    </xf>
    <xf numFmtId="17" fontId="128" fillId="0" borderId="23" xfId="49727" quotePrefix="1" applyNumberFormat="1" applyFont="1" applyFill="1" applyBorder="1" applyAlignment="1">
      <alignment horizontal="center" vertical="center" wrapText="1"/>
    </xf>
    <xf numFmtId="17" fontId="128" fillId="0" borderId="24" xfId="49727" quotePrefix="1" applyNumberFormat="1" applyFont="1" applyFill="1" applyBorder="1" applyAlignment="1">
      <alignment horizontal="center" vertical="center" wrapText="1"/>
    </xf>
    <xf numFmtId="0" fontId="128" fillId="25" borderId="45" xfId="49727" quotePrefix="1" applyFont="1" applyFill="1" applyBorder="1" applyAlignment="1">
      <alignment horizontal="center" vertical="center" wrapText="1"/>
    </xf>
    <xf numFmtId="0" fontId="145" fillId="0" borderId="17" xfId="116" applyFont="1" applyFill="1" applyBorder="1" applyAlignment="1">
      <alignment horizontal="center" vertical="center" wrapText="1"/>
    </xf>
    <xf numFmtId="0" fontId="141" fillId="0" borderId="17" xfId="116" applyFont="1" applyFill="1" applyBorder="1" applyAlignment="1">
      <alignment horizontal="center" vertical="center" wrapText="1"/>
    </xf>
    <xf numFmtId="0" fontId="141" fillId="0" borderId="18" xfId="116" applyFont="1" applyFill="1" applyBorder="1" applyAlignment="1">
      <alignment horizontal="center" vertical="center" wrapText="1"/>
    </xf>
    <xf numFmtId="0" fontId="141" fillId="0" borderId="19" xfId="116" applyFont="1" applyFill="1" applyBorder="1" applyAlignment="1">
      <alignment horizontal="center" vertical="center" wrapText="1"/>
    </xf>
    <xf numFmtId="0" fontId="141" fillId="25" borderId="17" xfId="49727" applyFont="1" applyFill="1" applyBorder="1" applyAlignment="1">
      <alignment horizontal="center" vertical="center" wrapText="1"/>
    </xf>
    <xf numFmtId="0" fontId="141" fillId="25" borderId="18" xfId="49727" applyFont="1" applyFill="1" applyBorder="1" applyAlignment="1">
      <alignment horizontal="center" vertical="center" wrapText="1"/>
    </xf>
    <xf numFmtId="0" fontId="141" fillId="25" borderId="54" xfId="49727" applyFont="1" applyFill="1" applyBorder="1" applyAlignment="1">
      <alignment horizontal="center" vertical="center" wrapText="1"/>
    </xf>
    <xf numFmtId="0" fontId="131" fillId="33" borderId="25" xfId="4156" applyFont="1" applyFill="1" applyBorder="1" applyAlignment="1">
      <alignment horizontal="center" vertical="center"/>
    </xf>
    <xf numFmtId="0" fontId="131" fillId="33" borderId="26" xfId="4156" applyFont="1" applyFill="1" applyBorder="1" applyAlignment="1">
      <alignment horizontal="center" vertical="center"/>
    </xf>
    <xf numFmtId="0" fontId="131" fillId="33" borderId="27" xfId="4156" applyFont="1" applyFill="1" applyBorder="1" applyAlignment="1">
      <alignment horizontal="center" vertical="center"/>
    </xf>
    <xf numFmtId="0" fontId="127" fillId="0" borderId="17" xfId="49738" applyNumberFormat="1" applyFont="1" applyBorder="1" applyAlignment="1">
      <alignment horizontal="center" vertical="center"/>
    </xf>
    <xf numFmtId="0" fontId="127" fillId="0" borderId="18" xfId="49738" applyNumberFormat="1" applyFont="1" applyBorder="1" applyAlignment="1">
      <alignment horizontal="center" vertical="center"/>
    </xf>
    <xf numFmtId="0" fontId="127" fillId="0" borderId="19" xfId="49738" applyNumberFormat="1" applyFont="1" applyBorder="1" applyAlignment="1">
      <alignment horizontal="center" vertical="center"/>
    </xf>
    <xf numFmtId="0" fontId="157" fillId="25" borderId="45" xfId="49727" applyFont="1" applyFill="1" applyBorder="1" applyAlignment="1">
      <alignment horizontal="center" vertical="center"/>
    </xf>
    <xf numFmtId="0" fontId="157" fillId="25" borderId="18" xfId="49727" applyFont="1" applyFill="1" applyBorder="1" applyAlignment="1">
      <alignment horizontal="center" vertical="center"/>
    </xf>
    <xf numFmtId="0" fontId="157" fillId="25" borderId="19" xfId="49727" applyFont="1" applyFill="1" applyBorder="1" applyAlignment="1">
      <alignment horizontal="center" vertical="center"/>
    </xf>
    <xf numFmtId="0" fontId="128" fillId="25" borderId="19" xfId="49738" applyFont="1" applyFill="1" applyBorder="1" applyAlignment="1">
      <alignment horizontal="center" vertical="center" wrapText="1"/>
    </xf>
    <xf numFmtId="0" fontId="144" fillId="0" borderId="17" xfId="4156" applyFont="1" applyBorder="1" applyAlignment="1">
      <alignment horizontal="center" vertical="center"/>
    </xf>
    <xf numFmtId="0" fontId="144" fillId="0" borderId="18" xfId="4156" applyFont="1" applyBorder="1" applyAlignment="1">
      <alignment horizontal="center" vertical="center"/>
    </xf>
    <xf numFmtId="0" fontId="144" fillId="0" borderId="19" xfId="4156" applyFont="1" applyBorder="1" applyAlignment="1">
      <alignment horizontal="center" vertical="center"/>
    </xf>
    <xf numFmtId="49" fontId="127" fillId="25" borderId="17" xfId="49727" applyNumberFormat="1" applyFont="1" applyFill="1" applyBorder="1" applyAlignment="1">
      <alignment horizontal="center" vertical="center" wrapText="1"/>
    </xf>
    <xf numFmtId="49" fontId="127" fillId="25" borderId="18" xfId="49727" applyNumberFormat="1" applyFont="1" applyFill="1" applyBorder="1" applyAlignment="1">
      <alignment horizontal="center" vertical="center" wrapText="1"/>
    </xf>
    <xf numFmtId="0" fontId="157" fillId="25" borderId="17" xfId="49727" applyFont="1" applyFill="1" applyBorder="1" applyAlignment="1">
      <alignment horizontal="center" vertical="center" wrapText="1"/>
    </xf>
    <xf numFmtId="0" fontId="157" fillId="25" borderId="54" xfId="49727" applyFont="1" applyFill="1" applyBorder="1" applyAlignment="1">
      <alignment horizontal="center" vertical="center" wrapText="1"/>
    </xf>
    <xf numFmtId="17" fontId="157" fillId="0" borderId="55" xfId="49727" applyNumberFormat="1" applyFont="1" applyFill="1" applyBorder="1" applyAlignment="1">
      <alignment horizontal="center" vertical="center" wrapText="1"/>
    </xf>
    <xf numFmtId="17" fontId="157" fillId="0" borderId="56" xfId="49727" applyNumberFormat="1" applyFont="1" applyFill="1" applyBorder="1" applyAlignment="1">
      <alignment horizontal="center" vertical="center" wrapText="1"/>
    </xf>
    <xf numFmtId="17" fontId="157" fillId="0" borderId="50" xfId="49727" applyNumberFormat="1" applyFont="1" applyFill="1" applyBorder="1" applyAlignment="1">
      <alignment horizontal="center" vertical="center" wrapText="1"/>
    </xf>
    <xf numFmtId="17" fontId="157" fillId="0" borderId="20" xfId="49727" applyNumberFormat="1" applyFont="1" applyFill="1" applyBorder="1" applyAlignment="1">
      <alignment horizontal="center" vertical="center" wrapText="1"/>
    </xf>
    <xf numFmtId="17" fontId="157" fillId="0" borderId="0" xfId="49727" applyNumberFormat="1" applyFont="1" applyFill="1" applyBorder="1" applyAlignment="1">
      <alignment horizontal="center" vertical="center" wrapText="1"/>
    </xf>
    <xf numFmtId="17" fontId="157" fillId="0" borderId="21" xfId="49727" applyNumberFormat="1" applyFont="1" applyFill="1" applyBorder="1" applyAlignment="1">
      <alignment horizontal="center" vertical="center" wrapText="1"/>
    </xf>
    <xf numFmtId="17" fontId="157" fillId="0" borderId="22" xfId="49727" applyNumberFormat="1" applyFont="1" applyFill="1" applyBorder="1" applyAlignment="1">
      <alignment horizontal="center" vertical="center" wrapText="1"/>
    </xf>
    <xf numFmtId="17" fontId="157" fillId="0" borderId="23" xfId="49727" applyNumberFormat="1" applyFont="1" applyFill="1" applyBorder="1" applyAlignment="1">
      <alignment horizontal="center" vertical="center" wrapText="1"/>
    </xf>
    <xf numFmtId="17" fontId="157" fillId="0" borderId="24" xfId="49727" applyNumberFormat="1" applyFont="1" applyFill="1" applyBorder="1" applyAlignment="1">
      <alignment horizontal="center" vertical="center" wrapText="1"/>
    </xf>
    <xf numFmtId="17" fontId="141" fillId="0" borderId="25" xfId="49727" applyNumberFormat="1" applyFont="1" applyFill="1" applyBorder="1" applyAlignment="1">
      <alignment horizontal="center" vertical="center" wrapText="1"/>
    </xf>
    <xf numFmtId="17" fontId="141" fillId="0" borderId="26" xfId="49727" applyNumberFormat="1" applyFont="1" applyFill="1" applyBorder="1" applyAlignment="1">
      <alignment horizontal="center" vertical="center" wrapText="1"/>
    </xf>
    <xf numFmtId="17" fontId="141" fillId="0" borderId="27" xfId="49727" applyNumberFormat="1" applyFont="1" applyFill="1" applyBorder="1" applyAlignment="1">
      <alignment horizontal="center" vertical="center" wrapText="1"/>
    </xf>
    <xf numFmtId="17" fontId="141" fillId="0" borderId="20" xfId="49727" applyNumberFormat="1" applyFont="1" applyFill="1" applyBorder="1" applyAlignment="1">
      <alignment horizontal="center" vertical="center" wrapText="1"/>
    </xf>
    <xf numFmtId="17" fontId="141" fillId="0" borderId="0" xfId="49727" applyNumberFormat="1" applyFont="1" applyFill="1" applyBorder="1" applyAlignment="1">
      <alignment horizontal="center" vertical="center" wrapText="1"/>
    </xf>
    <xf numFmtId="17" fontId="141" fillId="0" borderId="21" xfId="49727" applyNumberFormat="1" applyFont="1" applyFill="1" applyBorder="1" applyAlignment="1">
      <alignment horizontal="center" vertical="center" wrapText="1"/>
    </xf>
    <xf numFmtId="17" fontId="141" fillId="0" borderId="51" xfId="49727" applyNumberFormat="1" applyFont="1" applyFill="1" applyBorder="1" applyAlignment="1">
      <alignment horizontal="center" vertical="center" wrapText="1"/>
    </xf>
    <xf numFmtId="17" fontId="141" fillId="0" borderId="52" xfId="49727" applyNumberFormat="1" applyFont="1" applyFill="1" applyBorder="1" applyAlignment="1">
      <alignment horizontal="center" vertical="center" wrapText="1"/>
    </xf>
    <xf numFmtId="17" fontId="141" fillId="0" borderId="53" xfId="49727" applyNumberFormat="1" applyFont="1" applyFill="1" applyBorder="1" applyAlignment="1">
      <alignment horizontal="center" vertical="center" wrapText="1"/>
    </xf>
    <xf numFmtId="0" fontId="127" fillId="25" borderId="27" xfId="49727" applyNumberFormat="1" applyFont="1" applyFill="1" applyBorder="1" applyAlignment="1">
      <alignment horizontal="center" vertical="center" wrapText="1"/>
    </xf>
    <xf numFmtId="0" fontId="127" fillId="25" borderId="21" xfId="49727" applyNumberFormat="1" applyFont="1" applyFill="1" applyBorder="1" applyAlignment="1">
      <alignment horizontal="center" vertical="center" wrapText="1"/>
    </xf>
    <xf numFmtId="0" fontId="127" fillId="25" borderId="24" xfId="49727" applyNumberFormat="1" applyFont="1" applyFill="1" applyBorder="1" applyAlignment="1">
      <alignment horizontal="center" vertical="center" wrapText="1"/>
    </xf>
    <xf numFmtId="49" fontId="127" fillId="25" borderId="19" xfId="49727" applyNumberFormat="1" applyFont="1" applyFill="1" applyBorder="1" applyAlignment="1">
      <alignment horizontal="center" vertical="center" wrapText="1"/>
    </xf>
    <xf numFmtId="14" fontId="130" fillId="0" borderId="19" xfId="32014" quotePrefix="1" applyNumberFormat="1" applyFont="1" applyFill="1" applyBorder="1" applyAlignment="1">
      <alignment horizontal="center" vertical="center"/>
    </xf>
    <xf numFmtId="0" fontId="127" fillId="25" borderId="17" xfId="32014" applyFont="1" applyFill="1" applyBorder="1" applyAlignment="1">
      <alignment horizontal="center" vertical="center"/>
    </xf>
    <xf numFmtId="0" fontId="127" fillId="25" borderId="18" xfId="32014" applyFont="1" applyFill="1" applyBorder="1" applyAlignment="1">
      <alignment horizontal="center" vertical="center"/>
    </xf>
    <xf numFmtId="0" fontId="127" fillId="25" borderId="19" xfId="32014" applyFont="1" applyFill="1" applyBorder="1" applyAlignment="1">
      <alignment horizontal="center" vertical="center"/>
    </xf>
    <xf numFmtId="0" fontId="157" fillId="25" borderId="17" xfId="49727" applyFont="1" applyFill="1" applyBorder="1" applyAlignment="1">
      <alignment horizontal="center" vertical="center"/>
    </xf>
    <xf numFmtId="17" fontId="127" fillId="0" borderId="22" xfId="49727" applyNumberFormat="1" applyFont="1" applyFill="1" applyBorder="1" applyAlignment="1">
      <alignment horizontal="center" vertical="center" wrapText="1"/>
    </xf>
    <xf numFmtId="17" fontId="127" fillId="0" borderId="23" xfId="49727" applyNumberFormat="1" applyFont="1" applyFill="1" applyBorder="1" applyAlignment="1">
      <alignment horizontal="center" vertical="center" wrapText="1"/>
    </xf>
    <xf numFmtId="17" fontId="127" fillId="0" borderId="24" xfId="49727" applyNumberFormat="1" applyFont="1" applyFill="1" applyBorder="1" applyAlignment="1">
      <alignment horizontal="center" vertical="center" wrapText="1"/>
    </xf>
    <xf numFmtId="49" fontId="160" fillId="0" borderId="45" xfId="49727" applyNumberFormat="1" applyFont="1" applyBorder="1" applyAlignment="1">
      <alignment horizontal="center" vertical="center" wrapText="1"/>
    </xf>
    <xf numFmtId="49" fontId="160" fillId="0" borderId="18" xfId="49727" applyNumberFormat="1" applyFont="1" applyBorder="1" applyAlignment="1">
      <alignment horizontal="center" vertical="center" wrapText="1"/>
    </xf>
    <xf numFmtId="49" fontId="32" fillId="37" borderId="17" xfId="49727" applyNumberFormat="1" applyFont="1" applyFill="1" applyBorder="1" applyAlignment="1">
      <alignment horizontal="center" vertical="center" wrapText="1"/>
    </xf>
    <xf numFmtId="49" fontId="32" fillId="37" borderId="18" xfId="49727" applyNumberFormat="1" applyFont="1" applyFill="1" applyBorder="1" applyAlignment="1">
      <alignment horizontal="center" vertical="center" wrapText="1"/>
    </xf>
    <xf numFmtId="49" fontId="32" fillId="37" borderId="19" xfId="49727" applyNumberFormat="1" applyFont="1" applyFill="1" applyBorder="1" applyAlignment="1">
      <alignment horizontal="center" vertical="center" wrapText="1"/>
    </xf>
    <xf numFmtId="0" fontId="127" fillId="0" borderId="19" xfId="49727" quotePrefix="1" applyNumberFormat="1" applyFont="1" applyFill="1" applyBorder="1" applyAlignment="1">
      <alignment horizontal="center" vertical="center" wrapText="1"/>
    </xf>
    <xf numFmtId="49" fontId="127" fillId="25" borderId="17" xfId="49727" quotePrefix="1" applyNumberFormat="1" applyFont="1" applyFill="1" applyBorder="1" applyAlignment="1">
      <alignment horizontal="center" vertical="center" wrapText="1"/>
    </xf>
    <xf numFmtId="49" fontId="127" fillId="25" borderId="18" xfId="49727" quotePrefix="1" applyNumberFormat="1" applyFont="1" applyFill="1" applyBorder="1" applyAlignment="1">
      <alignment horizontal="center" vertical="center" wrapText="1"/>
    </xf>
    <xf numFmtId="49" fontId="127" fillId="25" borderId="19" xfId="49727" quotePrefix="1" applyNumberFormat="1" applyFont="1" applyFill="1" applyBorder="1" applyAlignment="1">
      <alignment horizontal="center" vertical="center" wrapText="1"/>
    </xf>
    <xf numFmtId="17" fontId="127" fillId="0" borderId="25" xfId="49727" quotePrefix="1" applyNumberFormat="1" applyFont="1" applyFill="1" applyBorder="1" applyAlignment="1">
      <alignment horizontal="center" vertical="center" wrapText="1"/>
    </xf>
    <xf numFmtId="17" fontId="127" fillId="0" borderId="26" xfId="49727" quotePrefix="1" applyNumberFormat="1" applyFont="1" applyFill="1" applyBorder="1" applyAlignment="1">
      <alignment horizontal="center" vertical="center" wrapText="1"/>
    </xf>
    <xf numFmtId="17" fontId="127" fillId="0" borderId="27" xfId="49727" quotePrefix="1" applyNumberFormat="1" applyFont="1" applyFill="1" applyBorder="1" applyAlignment="1">
      <alignment horizontal="center" vertical="center" wrapText="1"/>
    </xf>
    <xf numFmtId="17" fontId="127" fillId="0" borderId="20" xfId="49727" quotePrefix="1" applyNumberFormat="1" applyFont="1" applyFill="1" applyBorder="1" applyAlignment="1">
      <alignment horizontal="center" vertical="center" wrapText="1"/>
    </xf>
    <xf numFmtId="17" fontId="127" fillId="0" borderId="0" xfId="49727" quotePrefix="1" applyNumberFormat="1" applyFont="1" applyFill="1" applyBorder="1" applyAlignment="1">
      <alignment horizontal="center" vertical="center" wrapText="1"/>
    </xf>
    <xf numFmtId="17" fontId="127" fillId="0" borderId="21" xfId="49727" quotePrefix="1" applyNumberFormat="1" applyFont="1" applyFill="1" applyBorder="1" applyAlignment="1">
      <alignment horizontal="center" vertical="center" wrapText="1"/>
    </xf>
    <xf numFmtId="17" fontId="127" fillId="0" borderId="22" xfId="49727" quotePrefix="1" applyNumberFormat="1" applyFont="1" applyFill="1" applyBorder="1" applyAlignment="1">
      <alignment horizontal="center" vertical="center" wrapText="1"/>
    </xf>
    <xf numFmtId="17" fontId="127" fillId="0" borderId="23" xfId="49727" quotePrefix="1" applyNumberFormat="1" applyFont="1" applyFill="1" applyBorder="1" applyAlignment="1">
      <alignment horizontal="center" vertical="center" wrapText="1"/>
    </xf>
    <xf numFmtId="17" fontId="127" fillId="0" borderId="24" xfId="49727" quotePrefix="1" applyNumberFormat="1" applyFont="1" applyFill="1" applyBorder="1" applyAlignment="1">
      <alignment horizontal="center" vertical="center" wrapText="1"/>
    </xf>
    <xf numFmtId="0" fontId="130" fillId="25" borderId="17" xfId="49733" applyFont="1" applyFill="1" applyBorder="1" applyAlignment="1">
      <alignment horizontal="center" vertical="center" wrapText="1"/>
    </xf>
    <xf numFmtId="0" fontId="130" fillId="25" borderId="18" xfId="49733" applyFont="1" applyFill="1" applyBorder="1" applyAlignment="1">
      <alignment horizontal="center" vertical="center" wrapText="1"/>
    </xf>
    <xf numFmtId="0" fontId="130" fillId="25" borderId="19" xfId="49733" applyFont="1" applyFill="1" applyBorder="1" applyAlignment="1">
      <alignment horizontal="center" vertical="center" wrapText="1"/>
    </xf>
    <xf numFmtId="0" fontId="128" fillId="0" borderId="25" xfId="116" applyNumberFormat="1" applyFont="1" applyFill="1" applyBorder="1" applyAlignment="1">
      <alignment horizontal="center" vertical="center" wrapText="1"/>
    </xf>
    <xf numFmtId="0" fontId="128" fillId="0" borderId="26" xfId="116" applyNumberFormat="1" applyFont="1" applyFill="1" applyBorder="1" applyAlignment="1">
      <alignment horizontal="center" vertical="center" wrapText="1"/>
    </xf>
    <xf numFmtId="0" fontId="128" fillId="0" borderId="27" xfId="116" applyNumberFormat="1" applyFont="1" applyFill="1" applyBorder="1" applyAlignment="1">
      <alignment horizontal="center" vertical="center" wrapText="1"/>
    </xf>
    <xf numFmtId="0" fontId="128" fillId="0" borderId="20" xfId="116" applyNumberFormat="1" applyFont="1" applyFill="1" applyBorder="1" applyAlignment="1">
      <alignment horizontal="center" vertical="center" wrapText="1"/>
    </xf>
    <xf numFmtId="0" fontId="128" fillId="0" borderId="0" xfId="116" applyNumberFormat="1" applyFont="1" applyFill="1" applyBorder="1" applyAlignment="1">
      <alignment horizontal="center" vertical="center" wrapText="1"/>
    </xf>
    <xf numFmtId="0" fontId="128" fillId="0" borderId="21" xfId="116" applyNumberFormat="1" applyFont="1" applyFill="1" applyBorder="1" applyAlignment="1">
      <alignment horizontal="center" vertical="center" wrapText="1"/>
    </xf>
    <xf numFmtId="0" fontId="128" fillId="0" borderId="22" xfId="116" applyNumberFormat="1" applyFont="1" applyFill="1" applyBorder="1" applyAlignment="1">
      <alignment horizontal="center" vertical="center" wrapText="1"/>
    </xf>
    <xf numFmtId="0" fontId="128" fillId="0" borderId="23" xfId="116" applyNumberFormat="1" applyFont="1" applyFill="1" applyBorder="1" applyAlignment="1">
      <alignment horizontal="center" vertical="center" wrapText="1"/>
    </xf>
    <xf numFmtId="0" fontId="128" fillId="0" borderId="24" xfId="116" applyNumberFormat="1" applyFont="1" applyFill="1" applyBorder="1" applyAlignment="1">
      <alignment horizontal="center" vertical="center" wrapText="1"/>
    </xf>
    <xf numFmtId="17" fontId="157" fillId="0" borderId="25" xfId="49727" applyNumberFormat="1" applyFont="1" applyBorder="1" applyAlignment="1">
      <alignment horizontal="center" vertical="center" wrapText="1"/>
    </xf>
    <xf numFmtId="17" fontId="157" fillId="0" borderId="26" xfId="49727" applyNumberFormat="1" applyFont="1" applyBorder="1" applyAlignment="1">
      <alignment horizontal="center" vertical="center" wrapText="1"/>
    </xf>
    <xf numFmtId="17" fontId="157" fillId="0" borderId="27" xfId="49727" applyNumberFormat="1" applyFont="1" applyBorder="1" applyAlignment="1">
      <alignment horizontal="center" vertical="center" wrapText="1"/>
    </xf>
    <xf numFmtId="17" fontId="157" fillId="0" borderId="20" xfId="49727" applyNumberFormat="1" applyFont="1" applyBorder="1" applyAlignment="1">
      <alignment horizontal="center" vertical="center" wrapText="1"/>
    </xf>
    <xf numFmtId="17" fontId="157" fillId="0" borderId="0" xfId="49727" applyNumberFormat="1" applyFont="1" applyAlignment="1">
      <alignment horizontal="center" vertical="center" wrapText="1"/>
    </xf>
    <xf numFmtId="17" fontId="157" fillId="0" borderId="21" xfId="49727" applyNumberFormat="1" applyFont="1" applyBorder="1" applyAlignment="1">
      <alignment horizontal="center" vertical="center" wrapText="1"/>
    </xf>
    <xf numFmtId="17" fontId="157" fillId="0" borderId="22" xfId="49727" applyNumberFormat="1" applyFont="1" applyBorder="1" applyAlignment="1">
      <alignment horizontal="center" vertical="center" wrapText="1"/>
    </xf>
    <xf numFmtId="17" fontId="157" fillId="0" borderId="23" xfId="49727" applyNumberFormat="1" applyFont="1" applyBorder="1" applyAlignment="1">
      <alignment horizontal="center" vertical="center" wrapText="1"/>
    </xf>
    <xf numFmtId="17" fontId="157" fillId="0" borderId="24" xfId="49727" applyNumberFormat="1" applyFont="1" applyBorder="1" applyAlignment="1">
      <alignment horizontal="center" vertical="center" wrapText="1"/>
    </xf>
    <xf numFmtId="49" fontId="130" fillId="39" borderId="17" xfId="49727" applyNumberFormat="1" applyFont="1" applyFill="1" applyBorder="1" applyAlignment="1">
      <alignment horizontal="center" vertical="center" wrapText="1"/>
    </xf>
    <xf numFmtId="49" fontId="130" fillId="39" borderId="18" xfId="49727" applyNumberFormat="1" applyFont="1" applyFill="1" applyBorder="1" applyAlignment="1">
      <alignment horizontal="center" vertical="center" wrapText="1"/>
    </xf>
    <xf numFmtId="49" fontId="130" fillId="39" borderId="19" xfId="49727" applyNumberFormat="1" applyFont="1" applyFill="1" applyBorder="1" applyAlignment="1">
      <alignment horizontal="center" vertical="center" wrapText="1"/>
    </xf>
    <xf numFmtId="14" fontId="130" fillId="0" borderId="17" xfId="49727" quotePrefix="1" applyNumberFormat="1" applyFont="1" applyFill="1" applyBorder="1" applyAlignment="1">
      <alignment horizontal="center" vertical="center"/>
    </xf>
    <xf numFmtId="14" fontId="130" fillId="0" borderId="18" xfId="49727" quotePrefix="1" applyNumberFormat="1" applyFont="1" applyFill="1" applyBorder="1" applyAlignment="1">
      <alignment horizontal="center" vertical="center"/>
    </xf>
    <xf numFmtId="14" fontId="130" fillId="0" borderId="19" xfId="49727" quotePrefix="1" applyNumberFormat="1" applyFont="1" applyFill="1" applyBorder="1" applyAlignment="1">
      <alignment horizontal="center" vertical="center"/>
    </xf>
    <xf numFmtId="0" fontId="130" fillId="25" borderId="17" xfId="49733" applyFont="1" applyFill="1" applyBorder="1" applyAlignment="1">
      <alignment horizontal="center" vertical="center"/>
    </xf>
    <xf numFmtId="0" fontId="130" fillId="25" borderId="18" xfId="49733" applyFont="1" applyFill="1" applyBorder="1" applyAlignment="1">
      <alignment horizontal="center" vertical="center"/>
    </xf>
    <xf numFmtId="0" fontId="130" fillId="25" borderId="19" xfId="49733" applyFont="1" applyFill="1" applyBorder="1" applyAlignment="1">
      <alignment horizontal="center" vertical="center"/>
    </xf>
    <xf numFmtId="0" fontId="154" fillId="39" borderId="17" xfId="49727" applyNumberFormat="1" applyFont="1" applyFill="1" applyBorder="1" applyAlignment="1">
      <alignment horizontal="center" vertical="center" wrapText="1"/>
    </xf>
    <xf numFmtId="0" fontId="154" fillId="39" borderId="18" xfId="49727" applyNumberFormat="1" applyFont="1" applyFill="1" applyBorder="1" applyAlignment="1">
      <alignment horizontal="center" vertical="center" wrapText="1"/>
    </xf>
    <xf numFmtId="0" fontId="154" fillId="39" borderId="19" xfId="49727" applyNumberFormat="1" applyFont="1" applyFill="1" applyBorder="1" applyAlignment="1">
      <alignment horizontal="center" vertical="center" wrapText="1"/>
    </xf>
    <xf numFmtId="0" fontId="130" fillId="0" borderId="17" xfId="4156" applyFont="1" applyBorder="1" applyAlignment="1">
      <alignment horizontal="center" vertical="center"/>
    </xf>
    <xf numFmtId="0" fontId="130" fillId="0" borderId="18" xfId="4156" applyFont="1" applyBorder="1" applyAlignment="1">
      <alignment horizontal="center" vertical="center"/>
    </xf>
    <xf numFmtId="0" fontId="130" fillId="0" borderId="19" xfId="4156" applyFont="1" applyBorder="1" applyAlignment="1">
      <alignment horizontal="center" vertical="center"/>
    </xf>
    <xf numFmtId="0" fontId="130" fillId="0" borderId="18" xfId="32014" applyFont="1" applyFill="1" applyBorder="1" applyAlignment="1">
      <alignment horizontal="center" vertical="center"/>
    </xf>
    <xf numFmtId="17" fontId="130" fillId="25" borderId="25" xfId="32014" applyNumberFormat="1" applyFont="1" applyFill="1" applyBorder="1" applyAlignment="1">
      <alignment horizontal="center" vertical="center" wrapText="1"/>
    </xf>
    <xf numFmtId="17" fontId="130" fillId="25" borderId="26" xfId="32014" applyNumberFormat="1" applyFont="1" applyFill="1" applyBorder="1" applyAlignment="1">
      <alignment horizontal="center" vertical="center" wrapText="1"/>
    </xf>
    <xf numFmtId="17" fontId="130" fillId="25" borderId="27" xfId="32014" applyNumberFormat="1" applyFont="1" applyFill="1" applyBorder="1" applyAlignment="1">
      <alignment horizontal="center" vertical="center" wrapText="1"/>
    </xf>
    <xf numFmtId="17" fontId="130" fillId="25" borderId="20" xfId="32014" applyNumberFormat="1" applyFont="1" applyFill="1" applyBorder="1" applyAlignment="1">
      <alignment horizontal="center" vertical="center" wrapText="1"/>
    </xf>
    <xf numFmtId="17" fontId="130" fillId="25" borderId="0" xfId="32014" applyNumberFormat="1" applyFont="1" applyFill="1" applyBorder="1" applyAlignment="1">
      <alignment horizontal="center" vertical="center" wrapText="1"/>
    </xf>
    <xf numFmtId="17" fontId="130" fillId="25" borderId="21" xfId="32014" applyNumberFormat="1" applyFont="1" applyFill="1" applyBorder="1" applyAlignment="1">
      <alignment horizontal="center" vertical="center" wrapText="1"/>
    </xf>
    <xf numFmtId="17" fontId="130" fillId="25" borderId="22" xfId="32014" applyNumberFormat="1" applyFont="1" applyFill="1" applyBorder="1" applyAlignment="1">
      <alignment horizontal="center" vertical="center" wrapText="1"/>
    </xf>
    <xf numFmtId="17" fontId="130" fillId="25" borderId="23" xfId="32014" applyNumberFormat="1" applyFont="1" applyFill="1" applyBorder="1" applyAlignment="1">
      <alignment horizontal="center" vertical="center" wrapText="1"/>
    </xf>
    <xf numFmtId="17" fontId="130" fillId="25" borderId="24" xfId="32014" applyNumberFormat="1" applyFont="1" applyFill="1" applyBorder="1" applyAlignment="1">
      <alignment horizontal="center" vertical="center" wrapText="1"/>
    </xf>
    <xf numFmtId="0" fontId="85" fillId="0" borderId="17" xfId="4156" applyFont="1" applyBorder="1" applyAlignment="1">
      <alignment horizontal="center" vertical="center"/>
    </xf>
    <xf numFmtId="0" fontId="85" fillId="0" borderId="18" xfId="4156" applyFont="1" applyBorder="1" applyAlignment="1">
      <alignment horizontal="center" vertical="center"/>
    </xf>
    <xf numFmtId="0" fontId="85" fillId="0" borderId="19" xfId="4156" applyFont="1" applyBorder="1" applyAlignment="1">
      <alignment horizontal="center" vertical="center"/>
    </xf>
    <xf numFmtId="0" fontId="131" fillId="0" borderId="17" xfId="4156" applyFont="1" applyBorder="1" applyAlignment="1">
      <alignment horizontal="center" vertical="center"/>
    </xf>
    <xf numFmtId="0" fontId="131" fillId="0" borderId="18" xfId="4156" applyFont="1" applyBorder="1" applyAlignment="1">
      <alignment horizontal="center" vertical="center"/>
    </xf>
    <xf numFmtId="0" fontId="131" fillId="0" borderId="19" xfId="4156" applyFont="1" applyBorder="1" applyAlignment="1">
      <alignment horizontal="center" vertical="center"/>
    </xf>
    <xf numFmtId="0" fontId="130" fillId="25" borderId="25" xfId="32014" applyFont="1" applyFill="1" applyBorder="1" applyAlignment="1">
      <alignment horizontal="center" vertical="center" wrapText="1"/>
    </xf>
    <xf numFmtId="0" fontId="130" fillId="25" borderId="26" xfId="32014" applyFont="1" applyFill="1" applyBorder="1" applyAlignment="1">
      <alignment horizontal="center" vertical="center" wrapText="1"/>
    </xf>
    <xf numFmtId="0" fontId="130" fillId="25" borderId="27" xfId="32014" applyFont="1" applyFill="1" applyBorder="1" applyAlignment="1">
      <alignment horizontal="center" vertical="center" wrapText="1"/>
    </xf>
    <xf numFmtId="0" fontId="130" fillId="25" borderId="20" xfId="32014" applyFont="1" applyFill="1" applyBorder="1" applyAlignment="1">
      <alignment horizontal="center" vertical="center" wrapText="1"/>
    </xf>
    <xf numFmtId="0" fontId="130" fillId="25" borderId="0" xfId="32014" applyFont="1" applyFill="1" applyBorder="1" applyAlignment="1">
      <alignment horizontal="center" vertical="center" wrapText="1"/>
    </xf>
    <xf numFmtId="0" fontId="130" fillId="25" borderId="21" xfId="32014" applyFont="1" applyFill="1" applyBorder="1" applyAlignment="1">
      <alignment horizontal="center" vertical="center" wrapText="1"/>
    </xf>
    <xf numFmtId="0" fontId="130" fillId="25" borderId="22" xfId="32014" applyFont="1" applyFill="1" applyBorder="1" applyAlignment="1">
      <alignment horizontal="center" vertical="center" wrapText="1"/>
    </xf>
    <xf numFmtId="0" fontId="130" fillId="25" borderId="23" xfId="32014" applyFont="1" applyFill="1" applyBorder="1" applyAlignment="1">
      <alignment horizontal="center" vertical="center" wrapText="1"/>
    </xf>
    <xf numFmtId="0" fontId="130" fillId="25" borderId="24" xfId="32014" applyFont="1" applyFill="1" applyBorder="1" applyAlignment="1">
      <alignment horizontal="center" vertical="center" wrapText="1"/>
    </xf>
    <xf numFmtId="0" fontId="142" fillId="0" borderId="17" xfId="32014" applyFont="1" applyFill="1" applyBorder="1" applyAlignment="1">
      <alignment horizontal="center" vertical="center" wrapText="1"/>
    </xf>
    <xf numFmtId="0" fontId="142" fillId="0" borderId="18" xfId="32014" applyFont="1" applyFill="1" applyBorder="1" applyAlignment="1">
      <alignment horizontal="center" vertical="center" wrapText="1"/>
    </xf>
    <xf numFmtId="0" fontId="142" fillId="0" borderId="19" xfId="32014" applyFont="1" applyFill="1" applyBorder="1" applyAlignment="1">
      <alignment horizontal="center" vertical="center" wrapText="1"/>
    </xf>
    <xf numFmtId="17" fontId="41" fillId="25" borderId="25" xfId="32014" applyNumberFormat="1" applyFont="1" applyFill="1" applyBorder="1" applyAlignment="1">
      <alignment horizontal="center" vertical="center" wrapText="1"/>
    </xf>
    <xf numFmtId="17" fontId="41" fillId="25" borderId="26" xfId="32014" applyNumberFormat="1" applyFont="1" applyFill="1" applyBorder="1" applyAlignment="1">
      <alignment horizontal="center" vertical="center" wrapText="1"/>
    </xf>
    <xf numFmtId="17" fontId="41" fillId="25" borderId="27" xfId="32014" applyNumberFormat="1" applyFont="1" applyFill="1" applyBorder="1" applyAlignment="1">
      <alignment horizontal="center" vertical="center" wrapText="1"/>
    </xf>
    <xf numFmtId="17" fontId="41" fillId="25" borderId="22" xfId="32014" applyNumberFormat="1" applyFont="1" applyFill="1" applyBorder="1" applyAlignment="1">
      <alignment horizontal="center" vertical="center" wrapText="1"/>
    </xf>
    <xf numFmtId="17" fontId="41" fillId="25" borderId="23" xfId="32014" applyNumberFormat="1" applyFont="1" applyFill="1" applyBorder="1" applyAlignment="1">
      <alignment horizontal="center" vertical="center" wrapText="1"/>
    </xf>
    <xf numFmtId="17" fontId="41" fillId="25" borderId="24" xfId="32014" applyNumberFormat="1" applyFont="1" applyFill="1" applyBorder="1" applyAlignment="1">
      <alignment horizontal="center" vertical="center" wrapText="1"/>
    </xf>
    <xf numFmtId="0" fontId="41" fillId="25" borderId="17" xfId="32014" applyFont="1" applyFill="1" applyBorder="1" applyAlignment="1">
      <alignment horizontal="center" vertical="center" wrapText="1"/>
    </xf>
    <xf numFmtId="0" fontId="41" fillId="25" borderId="19" xfId="32014" applyFont="1" applyFill="1" applyBorder="1" applyAlignment="1">
      <alignment horizontal="center" vertical="center" wrapText="1"/>
    </xf>
    <xf numFmtId="0" fontId="128" fillId="25" borderId="17" xfId="32014" quotePrefix="1" applyFont="1" applyFill="1" applyBorder="1" applyAlignment="1">
      <alignment horizontal="center" vertical="center" wrapText="1"/>
    </xf>
    <xf numFmtId="0" fontId="128" fillId="25" borderId="18" xfId="32014" quotePrefix="1" applyFont="1" applyFill="1" applyBorder="1" applyAlignment="1">
      <alignment horizontal="center" vertical="center" wrapText="1"/>
    </xf>
    <xf numFmtId="0" fontId="128" fillId="25" borderId="19" xfId="32014" quotePrefix="1" applyFont="1" applyFill="1" applyBorder="1" applyAlignment="1">
      <alignment horizontal="center" vertical="center" wrapText="1"/>
    </xf>
    <xf numFmtId="0" fontId="127" fillId="0" borderId="17" xfId="49727" quotePrefix="1" applyFont="1" applyBorder="1" applyAlignment="1">
      <alignment horizontal="center" vertical="center" wrapText="1"/>
    </xf>
    <xf numFmtId="0" fontId="127" fillId="0" borderId="18" xfId="49727" quotePrefix="1" applyFont="1" applyBorder="1" applyAlignment="1">
      <alignment horizontal="center" vertical="center" wrapText="1"/>
    </xf>
    <xf numFmtId="0" fontId="127" fillId="0" borderId="19" xfId="49727" quotePrefix="1" applyFont="1" applyBorder="1" applyAlignment="1">
      <alignment horizontal="center" vertical="center" wrapText="1"/>
    </xf>
    <xf numFmtId="0" fontId="128" fillId="0" borderId="25" xfId="32014" applyNumberFormat="1" applyFont="1" applyFill="1" applyBorder="1" applyAlignment="1">
      <alignment horizontal="center" vertical="center" wrapText="1"/>
    </xf>
    <xf numFmtId="0" fontId="128" fillId="0" borderId="26" xfId="32014" applyNumberFormat="1" applyFont="1" applyFill="1" applyBorder="1" applyAlignment="1">
      <alignment horizontal="center" vertical="center" wrapText="1"/>
    </xf>
    <xf numFmtId="0" fontId="128" fillId="0" borderId="27" xfId="32014" applyNumberFormat="1" applyFont="1" applyFill="1" applyBorder="1" applyAlignment="1">
      <alignment horizontal="center" vertical="center" wrapText="1"/>
    </xf>
    <xf numFmtId="0" fontId="128" fillId="0" borderId="20" xfId="32014" applyNumberFormat="1" applyFont="1" applyFill="1" applyBorder="1" applyAlignment="1">
      <alignment horizontal="center" vertical="center" wrapText="1"/>
    </xf>
    <xf numFmtId="0" fontId="128" fillId="0" borderId="0" xfId="32014" applyNumberFormat="1" applyFont="1" applyFill="1" applyBorder="1" applyAlignment="1">
      <alignment horizontal="center" vertical="center" wrapText="1"/>
    </xf>
    <xf numFmtId="0" fontId="128" fillId="0" borderId="21" xfId="32014" applyNumberFormat="1" applyFont="1" applyFill="1" applyBorder="1" applyAlignment="1">
      <alignment horizontal="center" vertical="center" wrapText="1"/>
    </xf>
    <xf numFmtId="0" fontId="128" fillId="0" borderId="22" xfId="32014" applyNumberFormat="1" applyFont="1" applyFill="1" applyBorder="1" applyAlignment="1">
      <alignment horizontal="center" vertical="center" wrapText="1"/>
    </xf>
    <xf numFmtId="0" fontId="128" fillId="0" borderId="23" xfId="32014" applyNumberFormat="1" applyFont="1" applyFill="1" applyBorder="1" applyAlignment="1">
      <alignment horizontal="center" vertical="center" wrapText="1"/>
    </xf>
    <xf numFmtId="0" fontId="128" fillId="0" borderId="24" xfId="32014" applyNumberFormat="1" applyFont="1" applyFill="1" applyBorder="1" applyAlignment="1">
      <alignment horizontal="center" vertical="center" wrapText="1"/>
    </xf>
    <xf numFmtId="0" fontId="130" fillId="0" borderId="17" xfId="32014" applyFont="1" applyFill="1" applyBorder="1" applyAlignment="1">
      <alignment horizontal="center" vertical="center" wrapText="1" shrinkToFit="1"/>
    </xf>
    <xf numFmtId="0" fontId="130" fillId="0" borderId="18" xfId="32014" applyFont="1" applyFill="1" applyBorder="1" applyAlignment="1">
      <alignment horizontal="center" vertical="center" wrapText="1" shrinkToFit="1"/>
    </xf>
    <xf numFmtId="0" fontId="130" fillId="0" borderId="19" xfId="32014" applyFont="1" applyFill="1" applyBorder="1" applyAlignment="1">
      <alignment horizontal="center" vertical="center" wrapText="1" shrinkToFit="1"/>
    </xf>
    <xf numFmtId="0" fontId="130" fillId="25" borderId="17" xfId="4156" applyFont="1" applyFill="1" applyBorder="1" applyAlignment="1">
      <alignment horizontal="center" vertical="center"/>
    </xf>
    <xf numFmtId="0" fontId="130" fillId="25" borderId="18" xfId="4156" applyFont="1" applyFill="1" applyBorder="1" applyAlignment="1">
      <alignment horizontal="center" vertical="center"/>
    </xf>
    <xf numFmtId="0" fontId="130" fillId="25" borderId="19" xfId="4156" applyFont="1" applyFill="1" applyBorder="1" applyAlignment="1">
      <alignment horizontal="center" vertical="center"/>
    </xf>
    <xf numFmtId="0" fontId="128" fillId="25" borderId="25" xfId="32014" quotePrefix="1" applyFont="1" applyFill="1" applyBorder="1" applyAlignment="1">
      <alignment horizontal="center" vertical="center" wrapText="1"/>
    </xf>
    <xf numFmtId="0" fontId="128" fillId="25" borderId="26" xfId="32014" quotePrefix="1" applyFont="1" applyFill="1" applyBorder="1" applyAlignment="1">
      <alignment horizontal="center" vertical="center" wrapText="1"/>
    </xf>
    <xf numFmtId="0" fontId="128" fillId="25" borderId="27" xfId="32014" quotePrefix="1" applyFont="1" applyFill="1" applyBorder="1" applyAlignment="1">
      <alignment horizontal="center" vertical="center" wrapText="1"/>
    </xf>
    <xf numFmtId="0" fontId="128" fillId="25" borderId="20" xfId="32014" quotePrefix="1" applyFont="1" applyFill="1" applyBorder="1" applyAlignment="1">
      <alignment horizontal="center" vertical="center" wrapText="1"/>
    </xf>
    <xf numFmtId="0" fontId="128" fillId="25" borderId="0" xfId="32014" quotePrefix="1" applyFont="1" applyFill="1" applyBorder="1" applyAlignment="1">
      <alignment horizontal="center" vertical="center" wrapText="1"/>
    </xf>
    <xf numFmtId="0" fontId="128" fillId="25" borderId="21" xfId="32014" quotePrefix="1" applyFont="1" applyFill="1" applyBorder="1" applyAlignment="1">
      <alignment horizontal="center" vertical="center" wrapText="1"/>
    </xf>
    <xf numFmtId="0" fontId="128" fillId="25" borderId="22" xfId="32014" quotePrefix="1" applyFont="1" applyFill="1" applyBorder="1" applyAlignment="1">
      <alignment horizontal="center" vertical="center" wrapText="1"/>
    </xf>
    <xf numFmtId="0" fontId="128" fillId="25" borderId="23" xfId="32014" quotePrefix="1" applyFont="1" applyFill="1" applyBorder="1" applyAlignment="1">
      <alignment horizontal="center" vertical="center" wrapText="1"/>
    </xf>
    <xf numFmtId="0" fontId="128" fillId="25" borderId="24" xfId="32014" quotePrefix="1" applyFont="1" applyFill="1" applyBorder="1" applyAlignment="1">
      <alignment horizontal="center" vertical="center" wrapText="1"/>
    </xf>
    <xf numFmtId="17" fontId="38" fillId="0" borderId="25" xfId="32014" applyNumberFormat="1" applyFont="1" applyFill="1" applyBorder="1" applyAlignment="1">
      <alignment horizontal="center" vertical="center" wrapText="1"/>
    </xf>
    <xf numFmtId="17" fontId="38" fillId="0" borderId="26" xfId="32014" applyNumberFormat="1" applyFont="1" applyFill="1" applyBorder="1" applyAlignment="1">
      <alignment horizontal="center" vertical="center" wrapText="1"/>
    </xf>
    <xf numFmtId="17" fontId="38" fillId="0" borderId="27" xfId="32014" applyNumberFormat="1" applyFont="1" applyFill="1" applyBorder="1" applyAlignment="1">
      <alignment horizontal="center" vertical="center" wrapText="1"/>
    </xf>
    <xf numFmtId="17" fontId="38" fillId="0" borderId="20" xfId="32014" applyNumberFormat="1" applyFont="1" applyFill="1" applyBorder="1" applyAlignment="1">
      <alignment horizontal="center" vertical="center" wrapText="1"/>
    </xf>
    <xf numFmtId="17" fontId="38" fillId="0" borderId="0" xfId="32014" applyNumberFormat="1" applyFont="1" applyFill="1" applyBorder="1" applyAlignment="1">
      <alignment horizontal="center" vertical="center" wrapText="1"/>
    </xf>
    <xf numFmtId="17" fontId="38" fillId="0" borderId="21" xfId="32014" applyNumberFormat="1" applyFont="1" applyFill="1" applyBorder="1" applyAlignment="1">
      <alignment horizontal="center" vertical="center" wrapText="1"/>
    </xf>
    <xf numFmtId="17" fontId="38" fillId="0" borderId="22" xfId="32014" applyNumberFormat="1" applyFont="1" applyFill="1" applyBorder="1" applyAlignment="1">
      <alignment horizontal="center" vertical="center" wrapText="1"/>
    </xf>
    <xf numFmtId="17" fontId="38" fillId="0" borderId="23" xfId="32014" applyNumberFormat="1" applyFont="1" applyFill="1" applyBorder="1" applyAlignment="1">
      <alignment horizontal="center" vertical="center" wrapText="1"/>
    </xf>
    <xf numFmtId="17" fontId="38" fillId="0" borderId="24" xfId="32014" applyNumberFormat="1" applyFont="1" applyFill="1" applyBorder="1" applyAlignment="1">
      <alignment horizontal="center" vertical="center" wrapText="1"/>
    </xf>
    <xf numFmtId="0" fontId="130" fillId="0" borderId="25" xfId="4156" quotePrefix="1" applyFont="1" applyFill="1" applyBorder="1" applyAlignment="1">
      <alignment horizontal="center" vertical="center" wrapText="1"/>
    </xf>
    <xf numFmtId="0" fontId="130" fillId="0" borderId="26" xfId="4156" quotePrefix="1" applyFont="1" applyFill="1" applyBorder="1" applyAlignment="1">
      <alignment horizontal="center" vertical="center" wrapText="1"/>
    </xf>
    <xf numFmtId="0" fontId="130" fillId="0" borderId="27" xfId="4156" quotePrefix="1" applyFont="1" applyFill="1" applyBorder="1" applyAlignment="1">
      <alignment horizontal="center" vertical="center" wrapText="1"/>
    </xf>
    <xf numFmtId="0" fontId="130" fillId="0" borderId="20" xfId="4156" quotePrefix="1" applyFont="1" applyFill="1" applyBorder="1" applyAlignment="1">
      <alignment horizontal="center" vertical="center" wrapText="1"/>
    </xf>
    <xf numFmtId="0" fontId="130" fillId="0" borderId="0" xfId="4156" quotePrefix="1" applyFont="1" applyFill="1" applyBorder="1" applyAlignment="1">
      <alignment horizontal="center" vertical="center" wrapText="1"/>
    </xf>
    <xf numFmtId="0" fontId="130" fillId="0" borderId="21" xfId="4156" quotePrefix="1" applyFont="1" applyFill="1" applyBorder="1" applyAlignment="1">
      <alignment horizontal="center" vertical="center" wrapText="1"/>
    </xf>
    <xf numFmtId="0" fontId="130" fillId="0" borderId="22" xfId="4156" quotePrefix="1" applyFont="1" applyFill="1" applyBorder="1" applyAlignment="1">
      <alignment horizontal="center" vertical="center" wrapText="1"/>
    </xf>
    <xf numFmtId="0" fontId="130" fillId="0" borderId="23" xfId="4156" quotePrefix="1" applyFont="1" applyFill="1" applyBorder="1" applyAlignment="1">
      <alignment horizontal="center" vertical="center" wrapText="1"/>
    </xf>
    <xf numFmtId="0" fontId="130" fillId="0" borderId="24" xfId="4156" quotePrefix="1" applyFont="1" applyFill="1" applyBorder="1" applyAlignment="1">
      <alignment horizontal="center" vertical="center" wrapText="1"/>
    </xf>
    <xf numFmtId="0" fontId="42" fillId="33" borderId="35" xfId="4156" applyFont="1" applyFill="1" applyBorder="1" applyAlignment="1">
      <alignment horizontal="center" vertical="center"/>
    </xf>
    <xf numFmtId="0" fontId="42" fillId="33" borderId="2" xfId="4156" applyFont="1" applyFill="1" applyBorder="1" applyAlignment="1">
      <alignment horizontal="center" vertical="center"/>
    </xf>
    <xf numFmtId="0" fontId="42" fillId="33" borderId="36" xfId="4156" applyFont="1" applyFill="1" applyBorder="1" applyAlignment="1">
      <alignment horizontal="center" vertical="center"/>
    </xf>
    <xf numFmtId="0" fontId="127" fillId="0" borderId="17" xfId="49727" applyFont="1" applyBorder="1" applyAlignment="1">
      <alignment horizontal="center" vertical="center"/>
    </xf>
    <xf numFmtId="0" fontId="127" fillId="0" borderId="18" xfId="49727" applyFont="1" applyBorder="1" applyAlignment="1">
      <alignment horizontal="center" vertical="center"/>
    </xf>
    <xf numFmtId="0" fontId="127" fillId="0" borderId="19" xfId="49727" applyFont="1" applyBorder="1" applyAlignment="1">
      <alignment horizontal="center" vertical="center"/>
    </xf>
    <xf numFmtId="0" fontId="127" fillId="0" borderId="17" xfId="0" applyNumberFormat="1" applyFont="1" applyFill="1" applyBorder="1" applyAlignment="1">
      <alignment horizontal="center" vertical="center" wrapText="1"/>
    </xf>
    <xf numFmtId="0" fontId="127" fillId="0" borderId="19" xfId="0" applyNumberFormat="1" applyFont="1" applyFill="1" applyBorder="1" applyAlignment="1">
      <alignment horizontal="center" vertical="center" wrapText="1"/>
    </xf>
    <xf numFmtId="0" fontId="128" fillId="25" borderId="17" xfId="116" applyFont="1" applyFill="1" applyBorder="1" applyAlignment="1">
      <alignment horizontal="center" vertical="center"/>
    </xf>
    <xf numFmtId="0" fontId="128" fillId="25" borderId="19" xfId="116" applyFont="1" applyFill="1" applyBorder="1" applyAlignment="1">
      <alignment horizontal="center" vertical="center"/>
    </xf>
    <xf numFmtId="0" fontId="128" fillId="25" borderId="18" xfId="116" applyFont="1" applyFill="1" applyBorder="1" applyAlignment="1">
      <alignment horizontal="center" vertical="center"/>
    </xf>
    <xf numFmtId="0" fontId="127" fillId="0" borderId="3" xfId="49724" applyNumberFormat="1" applyFont="1" applyFill="1" applyBorder="1" applyAlignment="1">
      <alignment horizontal="center" vertical="center" wrapText="1"/>
    </xf>
    <xf numFmtId="0" fontId="127" fillId="0" borderId="25" xfId="49724" applyNumberFormat="1" applyFont="1" applyFill="1" applyBorder="1" applyAlignment="1">
      <alignment horizontal="center" vertical="center" wrapText="1"/>
    </xf>
    <xf numFmtId="0" fontId="127" fillId="0" borderId="26" xfId="49724" applyNumberFormat="1" applyFont="1" applyFill="1" applyBorder="1" applyAlignment="1">
      <alignment horizontal="center" vertical="center" wrapText="1"/>
    </xf>
    <xf numFmtId="0" fontId="127" fillId="0" borderId="27" xfId="49724" applyNumberFormat="1" applyFont="1" applyFill="1" applyBorder="1" applyAlignment="1">
      <alignment horizontal="center" vertical="center" wrapText="1"/>
    </xf>
    <xf numFmtId="0" fontId="127" fillId="0" borderId="20" xfId="49724" applyNumberFormat="1" applyFont="1" applyFill="1" applyBorder="1" applyAlignment="1">
      <alignment horizontal="center" vertical="center" wrapText="1"/>
    </xf>
    <xf numFmtId="0" fontId="127" fillId="0" borderId="0" xfId="49724" applyNumberFormat="1" applyFont="1" applyFill="1" applyBorder="1" applyAlignment="1">
      <alignment horizontal="center" vertical="center" wrapText="1"/>
    </xf>
    <xf numFmtId="0" fontId="127" fillId="0" borderId="21" xfId="49724" applyNumberFormat="1" applyFont="1" applyFill="1" applyBorder="1" applyAlignment="1">
      <alignment horizontal="center" vertical="center" wrapText="1"/>
    </xf>
    <xf numFmtId="0" fontId="127" fillId="0" borderId="22" xfId="49724" applyNumberFormat="1" applyFont="1" applyFill="1" applyBorder="1" applyAlignment="1">
      <alignment horizontal="center" vertical="center" wrapText="1"/>
    </xf>
    <xf numFmtId="0" fontId="127" fillId="0" borderId="23" xfId="49724" applyNumberFormat="1" applyFont="1" applyFill="1" applyBorder="1" applyAlignment="1">
      <alignment horizontal="center" vertical="center" wrapText="1"/>
    </xf>
    <xf numFmtId="0" fontId="127" fillId="0" borderId="24" xfId="49724" applyNumberFormat="1" applyFont="1" applyFill="1" applyBorder="1" applyAlignment="1">
      <alignment horizontal="center" vertical="center" wrapText="1"/>
    </xf>
    <xf numFmtId="0" fontId="130" fillId="25" borderId="25" xfId="4156" applyFont="1" applyFill="1" applyBorder="1" applyAlignment="1">
      <alignment horizontal="center" vertical="center"/>
    </xf>
    <xf numFmtId="0" fontId="130" fillId="25" borderId="26" xfId="4156" applyFont="1" applyFill="1" applyBorder="1" applyAlignment="1">
      <alignment horizontal="center" vertical="center"/>
    </xf>
    <xf numFmtId="0" fontId="130" fillId="25" borderId="27" xfId="4156" applyFont="1" applyFill="1" applyBorder="1" applyAlignment="1">
      <alignment horizontal="center" vertical="center"/>
    </xf>
    <xf numFmtId="0" fontId="130" fillId="25" borderId="22" xfId="4156" applyFont="1" applyFill="1" applyBorder="1" applyAlignment="1">
      <alignment horizontal="center" vertical="center"/>
    </xf>
    <xf numFmtId="0" fontId="130" fillId="25" borderId="23" xfId="4156" applyFont="1" applyFill="1" applyBorder="1" applyAlignment="1">
      <alignment horizontal="center" vertical="center"/>
    </xf>
    <xf numFmtId="0" fontId="130" fillId="25" borderId="24" xfId="4156" applyFont="1" applyFill="1" applyBorder="1" applyAlignment="1">
      <alignment horizontal="center" vertical="center"/>
    </xf>
    <xf numFmtId="41" fontId="130" fillId="0" borderId="25" xfId="6962" applyFont="1" applyFill="1" applyBorder="1" applyAlignment="1">
      <alignment horizontal="center" vertical="center"/>
    </xf>
    <xf numFmtId="41" fontId="130" fillId="0" borderId="26" xfId="6962" applyFont="1" applyFill="1" applyBorder="1" applyAlignment="1">
      <alignment horizontal="center" vertical="center"/>
    </xf>
    <xf numFmtId="41" fontId="130" fillId="0" borderId="27" xfId="6962" applyFont="1" applyFill="1" applyBorder="1" applyAlignment="1">
      <alignment horizontal="center" vertical="center"/>
    </xf>
    <xf numFmtId="41" fontId="130" fillId="0" borderId="22" xfId="6962" applyFont="1" applyFill="1" applyBorder="1" applyAlignment="1">
      <alignment horizontal="center" vertical="center"/>
    </xf>
    <xf numFmtId="41" fontId="130" fillId="0" borderId="23" xfId="6962" applyFont="1" applyFill="1" applyBorder="1" applyAlignment="1">
      <alignment horizontal="center" vertical="center"/>
    </xf>
    <xf numFmtId="41" fontId="130" fillId="0" borderId="24" xfId="6962" applyFont="1" applyFill="1" applyBorder="1" applyAlignment="1">
      <alignment horizontal="center" vertical="center"/>
    </xf>
    <xf numFmtId="0" fontId="151" fillId="0" borderId="17" xfId="32014" applyFont="1" applyFill="1" applyBorder="1" applyAlignment="1">
      <alignment horizontal="center" vertical="center" wrapText="1"/>
    </xf>
    <xf numFmtId="0" fontId="151" fillId="0" borderId="18" xfId="32014" applyFont="1" applyFill="1" applyBorder="1" applyAlignment="1">
      <alignment horizontal="center" vertical="center" wrapText="1"/>
    </xf>
    <xf numFmtId="0" fontId="151" fillId="0" borderId="19" xfId="32014" applyFont="1" applyFill="1" applyBorder="1" applyAlignment="1">
      <alignment horizontal="center" vertical="center" wrapText="1"/>
    </xf>
    <xf numFmtId="0" fontId="128" fillId="25" borderId="17" xfId="32014" applyFont="1" applyFill="1" applyBorder="1" applyAlignment="1">
      <alignment horizontal="center" vertical="center"/>
    </xf>
    <xf numFmtId="0" fontId="128" fillId="25" borderId="19" xfId="32014" applyFont="1" applyFill="1" applyBorder="1" applyAlignment="1">
      <alignment horizontal="center" vertical="center"/>
    </xf>
    <xf numFmtId="0" fontId="157" fillId="0" borderId="25" xfId="4156" applyFont="1" applyBorder="1" applyAlignment="1">
      <alignment horizontal="center" vertical="center"/>
    </xf>
    <xf numFmtId="0" fontId="157" fillId="0" borderId="26" xfId="4156" applyFont="1" applyBorder="1" applyAlignment="1">
      <alignment horizontal="center" vertical="center"/>
    </xf>
    <xf numFmtId="0" fontId="157" fillId="0" borderId="27" xfId="4156" applyFont="1" applyBorder="1" applyAlignment="1">
      <alignment horizontal="center" vertical="center"/>
    </xf>
    <xf numFmtId="0" fontId="157" fillId="0" borderId="20" xfId="4156" applyFont="1" applyBorder="1" applyAlignment="1">
      <alignment horizontal="center" vertical="center"/>
    </xf>
    <xf numFmtId="0" fontId="157" fillId="0" borderId="0" xfId="4156" applyFont="1" applyAlignment="1">
      <alignment horizontal="center" vertical="center"/>
    </xf>
    <xf numFmtId="0" fontId="157" fillId="0" borderId="21" xfId="4156" applyFont="1" applyBorder="1" applyAlignment="1">
      <alignment horizontal="center" vertical="center"/>
    </xf>
    <xf numFmtId="0" fontId="157" fillId="0" borderId="22" xfId="4156" applyFont="1" applyBorder="1" applyAlignment="1">
      <alignment horizontal="center" vertical="center"/>
    </xf>
    <xf numFmtId="0" fontId="157" fillId="0" borderId="23" xfId="4156" applyFont="1" applyBorder="1" applyAlignment="1">
      <alignment horizontal="center" vertical="center"/>
    </xf>
    <xf numFmtId="0" fontId="157" fillId="0" borderId="24" xfId="4156" applyFont="1" applyBorder="1" applyAlignment="1">
      <alignment horizontal="center" vertical="center"/>
    </xf>
    <xf numFmtId="0" fontId="130" fillId="25" borderId="41" xfId="4156" applyFont="1" applyFill="1" applyBorder="1" applyAlignment="1">
      <alignment horizontal="center" vertical="center"/>
    </xf>
    <xf numFmtId="0" fontId="130" fillId="25" borderId="42" xfId="4156" applyFont="1" applyFill="1" applyBorder="1" applyAlignment="1">
      <alignment horizontal="center" vertical="center"/>
    </xf>
    <xf numFmtId="0" fontId="130" fillId="25" borderId="43" xfId="4156" applyFont="1" applyFill="1" applyBorder="1" applyAlignment="1">
      <alignment horizontal="center" vertical="center"/>
    </xf>
    <xf numFmtId="0" fontId="131" fillId="25" borderId="25" xfId="4156" applyFont="1" applyFill="1" applyBorder="1" applyAlignment="1">
      <alignment horizontal="center" vertical="center"/>
    </xf>
    <xf numFmtId="0" fontId="131" fillId="25" borderId="26" xfId="4156" applyFont="1" applyFill="1" applyBorder="1" applyAlignment="1">
      <alignment horizontal="center" vertical="center"/>
    </xf>
    <xf numFmtId="0" fontId="131" fillId="25" borderId="27" xfId="4156" applyFont="1" applyFill="1" applyBorder="1" applyAlignment="1">
      <alignment horizontal="center" vertical="center"/>
    </xf>
    <xf numFmtId="0" fontId="131" fillId="25" borderId="20" xfId="4156" applyFont="1" applyFill="1" applyBorder="1" applyAlignment="1">
      <alignment horizontal="center" vertical="center"/>
    </xf>
    <xf numFmtId="0" fontId="131" fillId="25" borderId="0" xfId="4156" applyFont="1" applyFill="1" applyBorder="1" applyAlignment="1">
      <alignment horizontal="center" vertical="center"/>
    </xf>
    <xf numFmtId="0" fontId="131" fillId="25" borderId="21" xfId="4156" applyFont="1" applyFill="1" applyBorder="1" applyAlignment="1">
      <alignment horizontal="center" vertical="center"/>
    </xf>
    <xf numFmtId="0" fontId="131" fillId="25" borderId="22" xfId="4156" applyFont="1" applyFill="1" applyBorder="1" applyAlignment="1">
      <alignment horizontal="center" vertical="center"/>
    </xf>
    <xf numFmtId="0" fontId="131" fillId="25" borderId="23" xfId="4156" applyFont="1" applyFill="1" applyBorder="1" applyAlignment="1">
      <alignment horizontal="center" vertical="center"/>
    </xf>
    <xf numFmtId="0" fontId="131" fillId="25" borderId="24" xfId="4156" applyFont="1" applyFill="1" applyBorder="1" applyAlignment="1">
      <alignment horizontal="center" vertical="center"/>
    </xf>
    <xf numFmtId="0" fontId="128" fillId="25" borderId="18" xfId="32014" applyFont="1" applyFill="1" applyBorder="1" applyAlignment="1">
      <alignment horizontal="center" vertical="center"/>
    </xf>
    <xf numFmtId="0" fontId="127" fillId="0" borderId="25" xfId="32014" applyFont="1" applyFill="1" applyBorder="1" applyAlignment="1">
      <alignment horizontal="center" vertical="center" wrapText="1"/>
    </xf>
    <xf numFmtId="0" fontId="127" fillId="0" borderId="26" xfId="32014" applyFont="1" applyFill="1" applyBorder="1" applyAlignment="1">
      <alignment horizontal="center" vertical="center" wrapText="1"/>
    </xf>
    <xf numFmtId="0" fontId="127" fillId="0" borderId="20" xfId="32014" applyFont="1" applyFill="1" applyBorder="1" applyAlignment="1">
      <alignment horizontal="center" vertical="center" wrapText="1"/>
    </xf>
    <xf numFmtId="0" fontId="127" fillId="0" borderId="0" xfId="32014" applyFont="1" applyFill="1" applyBorder="1" applyAlignment="1">
      <alignment horizontal="center" vertical="center" wrapText="1"/>
    </xf>
    <xf numFmtId="0" fontId="127" fillId="0" borderId="22" xfId="32014" applyFont="1" applyFill="1" applyBorder="1" applyAlignment="1">
      <alignment horizontal="center" vertical="center" wrapText="1"/>
    </xf>
    <xf numFmtId="0" fontId="127" fillId="0" borderId="23" xfId="32014" applyFont="1" applyFill="1" applyBorder="1" applyAlignment="1">
      <alignment horizontal="center" vertical="center" wrapText="1"/>
    </xf>
    <xf numFmtId="0" fontId="127" fillId="0" borderId="24" xfId="32014" applyFont="1" applyFill="1" applyBorder="1" applyAlignment="1">
      <alignment horizontal="center" vertical="center" wrapText="1"/>
    </xf>
    <xf numFmtId="14" fontId="134" fillId="0" borderId="17" xfId="49719" quotePrefix="1" applyNumberFormat="1" applyFont="1" applyFill="1" applyBorder="1" applyAlignment="1">
      <alignment horizontal="center" vertical="center"/>
    </xf>
    <xf numFmtId="14" fontId="134" fillId="0" borderId="18" xfId="49719" quotePrefix="1" applyNumberFormat="1" applyFont="1" applyFill="1" applyBorder="1" applyAlignment="1">
      <alignment horizontal="center" vertical="center"/>
    </xf>
    <xf numFmtId="14" fontId="134" fillId="0" borderId="19" xfId="49719" quotePrefix="1" applyNumberFormat="1" applyFont="1" applyFill="1" applyBorder="1" applyAlignment="1">
      <alignment horizontal="center" vertical="center"/>
    </xf>
    <xf numFmtId="0" fontId="127" fillId="0" borderId="17" xfId="0" applyFont="1" applyBorder="1" applyAlignment="1">
      <alignment horizontal="center" vertical="center"/>
    </xf>
    <xf numFmtId="0" fontId="127" fillId="0" borderId="18" xfId="0" applyFont="1" applyBorder="1" applyAlignment="1">
      <alignment horizontal="center" vertical="center"/>
    </xf>
    <xf numFmtId="0" fontId="127" fillId="0" borderId="19" xfId="0" applyFont="1" applyBorder="1" applyAlignment="1">
      <alignment horizontal="center" vertical="center"/>
    </xf>
    <xf numFmtId="41" fontId="128" fillId="0" borderId="17" xfId="49719" applyFont="1" applyFill="1" applyBorder="1" applyAlignment="1">
      <alignment horizontal="right" vertical="center" wrapText="1"/>
    </xf>
    <xf numFmtId="41" fontId="128" fillId="0" borderId="18" xfId="49719" applyFont="1" applyFill="1" applyBorder="1" applyAlignment="1">
      <alignment horizontal="right" vertical="center" wrapText="1"/>
    </xf>
    <xf numFmtId="41" fontId="128" fillId="0" borderId="19" xfId="49719" applyFont="1" applyFill="1" applyBorder="1" applyAlignment="1">
      <alignment horizontal="right" vertical="center" wrapText="1"/>
    </xf>
    <xf numFmtId="0" fontId="128" fillId="0" borderId="17" xfId="116" quotePrefix="1" applyFont="1" applyFill="1" applyBorder="1" applyAlignment="1">
      <alignment horizontal="center" vertical="center" wrapText="1"/>
    </xf>
    <xf numFmtId="0" fontId="128" fillId="0" borderId="18" xfId="116" quotePrefix="1" applyFont="1" applyFill="1" applyBorder="1" applyAlignment="1">
      <alignment horizontal="center" vertical="center" wrapText="1"/>
    </xf>
    <xf numFmtId="0" fontId="128" fillId="0" borderId="19" xfId="116" quotePrefix="1" applyFont="1" applyFill="1" applyBorder="1" applyAlignment="1">
      <alignment horizontal="center" vertical="center" wrapText="1"/>
    </xf>
    <xf numFmtId="0" fontId="134" fillId="0" borderId="17" xfId="116" applyFont="1" applyFill="1" applyBorder="1" applyAlignment="1">
      <alignment horizontal="center" vertical="center"/>
    </xf>
    <xf numFmtId="0" fontId="134" fillId="0" borderId="18" xfId="116" applyFont="1" applyFill="1" applyBorder="1" applyAlignment="1">
      <alignment horizontal="center" vertical="center"/>
    </xf>
    <xf numFmtId="0" fontId="134" fillId="0" borderId="19" xfId="116" applyFont="1" applyFill="1" applyBorder="1" applyAlignment="1">
      <alignment horizontal="center" vertical="center"/>
    </xf>
    <xf numFmtId="0" fontId="129" fillId="0" borderId="25" xfId="2500" applyFont="1" applyFill="1" applyBorder="1" applyAlignment="1">
      <alignment horizontal="center" vertical="center" wrapText="1"/>
    </xf>
    <xf numFmtId="0" fontId="129" fillId="0" borderId="20" xfId="2500" applyFont="1" applyFill="1" applyBorder="1" applyAlignment="1">
      <alignment horizontal="center" vertical="center" wrapText="1"/>
    </xf>
    <xf numFmtId="0" fontId="129" fillId="0" borderId="22" xfId="2500" applyFont="1" applyFill="1" applyBorder="1" applyAlignment="1">
      <alignment horizontal="center" vertical="center" wrapText="1"/>
    </xf>
    <xf numFmtId="0" fontId="129" fillId="0" borderId="26" xfId="2500" applyFont="1" applyFill="1" applyBorder="1" applyAlignment="1">
      <alignment horizontal="center" vertical="center" wrapText="1"/>
    </xf>
    <xf numFmtId="0" fontId="129" fillId="0" borderId="0" xfId="2500" applyFont="1" applyFill="1" applyBorder="1" applyAlignment="1">
      <alignment horizontal="center" vertical="center" wrapText="1"/>
    </xf>
    <xf numFmtId="0" fontId="129" fillId="0" borderId="23" xfId="2500" applyFont="1" applyFill="1" applyBorder="1" applyAlignment="1">
      <alignment horizontal="center" vertical="center" wrapText="1"/>
    </xf>
    <xf numFmtId="0" fontId="129" fillId="0" borderId="26" xfId="2500" applyFont="1" applyFill="1" applyBorder="1" applyAlignment="1">
      <alignment horizontal="center" vertical="center"/>
    </xf>
    <xf numFmtId="0" fontId="129" fillId="0" borderId="0" xfId="2500" applyFont="1" applyFill="1" applyBorder="1" applyAlignment="1">
      <alignment horizontal="center" vertical="center"/>
    </xf>
    <xf numFmtId="0" fontId="129" fillId="0" borderId="23" xfId="2500" applyFont="1" applyFill="1" applyBorder="1" applyAlignment="1">
      <alignment horizontal="center" vertical="center"/>
    </xf>
    <xf numFmtId="0" fontId="129" fillId="0" borderId="27" xfId="2500" applyFont="1" applyFill="1" applyBorder="1" applyAlignment="1">
      <alignment horizontal="center" vertical="center" wrapText="1"/>
    </xf>
    <xf numFmtId="0" fontId="129" fillId="0" borderId="21" xfId="2500" applyFont="1" applyFill="1" applyBorder="1" applyAlignment="1">
      <alignment horizontal="center" vertical="center" wrapText="1"/>
    </xf>
    <xf numFmtId="0" fontId="129" fillId="0" borderId="24" xfId="2500" applyFont="1" applyFill="1" applyBorder="1" applyAlignment="1">
      <alignment horizontal="center" vertical="center" wrapText="1"/>
    </xf>
    <xf numFmtId="0" fontId="128" fillId="0" borderId="17" xfId="2500" applyFont="1" applyFill="1" applyBorder="1" applyAlignment="1">
      <alignment horizontal="center" vertical="center" wrapText="1"/>
    </xf>
    <xf numFmtId="0" fontId="128" fillId="0" borderId="18" xfId="2500" applyFont="1" applyFill="1" applyBorder="1" applyAlignment="1">
      <alignment horizontal="center" vertical="center" wrapText="1"/>
    </xf>
    <xf numFmtId="0" fontId="128" fillId="0" borderId="19" xfId="2500" applyFont="1" applyFill="1" applyBorder="1" applyAlignment="1">
      <alignment horizontal="center" vertical="center" wrapText="1"/>
    </xf>
    <xf numFmtId="0" fontId="128" fillId="0" borderId="17" xfId="2500" applyFont="1" applyFill="1" applyBorder="1" applyAlignment="1">
      <alignment horizontal="center" vertical="center"/>
    </xf>
    <xf numFmtId="0" fontId="128" fillId="0" borderId="18" xfId="2500" applyFont="1" applyFill="1" applyBorder="1" applyAlignment="1">
      <alignment horizontal="center" vertical="center"/>
    </xf>
    <xf numFmtId="0" fontId="128" fillId="0" borderId="19" xfId="2500" applyFont="1" applyFill="1" applyBorder="1" applyAlignment="1">
      <alignment horizontal="center" vertical="center"/>
    </xf>
    <xf numFmtId="0" fontId="128" fillId="0" borderId="3" xfId="116" applyFont="1" applyFill="1" applyBorder="1" applyAlignment="1">
      <alignment horizontal="center" vertical="center"/>
    </xf>
    <xf numFmtId="192" fontId="128" fillId="0" borderId="17" xfId="2500" applyNumberFormat="1" applyFont="1" applyFill="1" applyBorder="1" applyAlignment="1">
      <alignment horizontal="center" vertical="center" wrapText="1"/>
    </xf>
    <xf numFmtId="192" fontId="128" fillId="0" borderId="18" xfId="2500" applyNumberFormat="1" applyFont="1" applyFill="1" applyBorder="1" applyAlignment="1">
      <alignment horizontal="center" vertical="center" wrapText="1"/>
    </xf>
    <xf numFmtId="192" fontId="128" fillId="0" borderId="19" xfId="2500" applyNumberFormat="1" applyFont="1" applyFill="1" applyBorder="1" applyAlignment="1">
      <alignment horizontal="center" vertical="center" wrapText="1"/>
    </xf>
    <xf numFmtId="0" fontId="129" fillId="0" borderId="17" xfId="2500" applyFont="1" applyFill="1" applyBorder="1" applyAlignment="1">
      <alignment horizontal="center" vertical="center" wrapText="1"/>
    </xf>
    <xf numFmtId="0" fontId="129" fillId="0" borderId="18" xfId="2500" applyFont="1" applyFill="1" applyBorder="1" applyAlignment="1">
      <alignment horizontal="center" vertical="center" wrapText="1"/>
    </xf>
    <xf numFmtId="0" fontId="129" fillId="0" borderId="19" xfId="2500" applyFont="1" applyFill="1" applyBorder="1" applyAlignment="1">
      <alignment horizontal="center" vertical="center" wrapText="1"/>
    </xf>
    <xf numFmtId="0" fontId="130" fillId="0" borderId="25" xfId="116" applyFont="1" applyBorder="1" applyAlignment="1">
      <alignment horizontal="center" vertical="center" wrapText="1"/>
    </xf>
    <xf numFmtId="0" fontId="130" fillId="0" borderId="26" xfId="116" applyFont="1" applyBorder="1" applyAlignment="1">
      <alignment horizontal="center" vertical="center" wrapText="1"/>
    </xf>
    <xf numFmtId="0" fontId="130" fillId="0" borderId="27" xfId="116" applyFont="1" applyBorder="1" applyAlignment="1">
      <alignment horizontal="center" vertical="center" wrapText="1"/>
    </xf>
    <xf numFmtId="0" fontId="130" fillId="0" borderId="20" xfId="116" applyFont="1" applyBorder="1" applyAlignment="1">
      <alignment horizontal="center" vertical="center" wrapText="1"/>
    </xf>
    <xf numFmtId="0" fontId="130" fillId="0" borderId="0" xfId="116" applyFont="1" applyBorder="1" applyAlignment="1">
      <alignment horizontal="center" vertical="center" wrapText="1"/>
    </xf>
    <xf numFmtId="0" fontId="130" fillId="0" borderId="21" xfId="116" applyFont="1" applyBorder="1" applyAlignment="1">
      <alignment horizontal="center" vertical="center" wrapText="1"/>
    </xf>
    <xf numFmtId="0" fontId="130" fillId="0" borderId="22" xfId="116" applyFont="1" applyBorder="1" applyAlignment="1">
      <alignment horizontal="center" vertical="center" wrapText="1"/>
    </xf>
    <xf numFmtId="0" fontId="130" fillId="0" borderId="23" xfId="116" applyFont="1" applyBorder="1" applyAlignment="1">
      <alignment horizontal="center" vertical="center" wrapText="1"/>
    </xf>
    <xf numFmtId="0" fontId="130" fillId="0" borderId="24" xfId="116" applyFont="1" applyBorder="1" applyAlignment="1">
      <alignment horizontal="center" vertical="center" wrapText="1"/>
    </xf>
    <xf numFmtId="0" fontId="128" fillId="0" borderId="25" xfId="116" applyFont="1" applyBorder="1" applyAlignment="1">
      <alignment horizontal="center" vertical="center" wrapText="1"/>
    </xf>
    <xf numFmtId="0" fontId="128" fillId="0" borderId="26" xfId="116" applyFont="1" applyBorder="1" applyAlignment="1">
      <alignment horizontal="center" vertical="center" wrapText="1"/>
    </xf>
    <xf numFmtId="0" fontId="128" fillId="0" borderId="27" xfId="116" applyFont="1" applyBorder="1" applyAlignment="1">
      <alignment horizontal="center" vertical="center" wrapText="1"/>
    </xf>
    <xf numFmtId="0" fontId="128" fillId="0" borderId="20" xfId="116" applyFont="1" applyBorder="1" applyAlignment="1">
      <alignment horizontal="center" vertical="center" wrapText="1"/>
    </xf>
    <xf numFmtId="0" fontId="128" fillId="0" borderId="0" xfId="116" applyFont="1" applyBorder="1" applyAlignment="1">
      <alignment horizontal="center" vertical="center" wrapText="1"/>
    </xf>
    <xf numFmtId="0" fontId="128" fillId="0" borderId="21" xfId="116" applyFont="1" applyBorder="1" applyAlignment="1">
      <alignment horizontal="center" vertical="center" wrapText="1"/>
    </xf>
    <xf numFmtId="0" fontId="128" fillId="0" borderId="22" xfId="116" applyFont="1" applyBorder="1" applyAlignment="1">
      <alignment horizontal="center" vertical="center" wrapText="1"/>
    </xf>
    <xf numFmtId="0" fontId="128" fillId="0" borderId="23" xfId="116" applyFont="1" applyBorder="1" applyAlignment="1">
      <alignment horizontal="center" vertical="center" wrapText="1"/>
    </xf>
    <xf numFmtId="0" fontId="128" fillId="0" borderId="24" xfId="116" applyFont="1" applyBorder="1" applyAlignment="1">
      <alignment horizontal="center" vertical="center" wrapText="1"/>
    </xf>
    <xf numFmtId="0" fontId="128" fillId="0" borderId="3" xfId="116" applyFont="1" applyFill="1" applyBorder="1" applyAlignment="1">
      <alignment horizontal="center" vertical="center" shrinkToFit="1"/>
    </xf>
    <xf numFmtId="0" fontId="129" fillId="25" borderId="25" xfId="2500" applyFont="1" applyFill="1" applyBorder="1" applyAlignment="1">
      <alignment horizontal="center" vertical="center" wrapText="1"/>
    </xf>
    <xf numFmtId="0" fontId="129" fillId="25" borderId="26" xfId="2500" applyFont="1" applyFill="1" applyBorder="1" applyAlignment="1">
      <alignment horizontal="center" vertical="center" wrapText="1"/>
    </xf>
    <xf numFmtId="0" fontId="129" fillId="25" borderId="27" xfId="2500" applyFont="1" applyFill="1" applyBorder="1" applyAlignment="1">
      <alignment horizontal="center" vertical="center" wrapText="1"/>
    </xf>
    <xf numFmtId="0" fontId="129" fillId="25" borderId="20" xfId="2500" applyFont="1" applyFill="1" applyBorder="1" applyAlignment="1">
      <alignment horizontal="center" vertical="center" wrapText="1"/>
    </xf>
    <xf numFmtId="0" fontId="129" fillId="25" borderId="0" xfId="2500" applyFont="1" applyFill="1" applyBorder="1" applyAlignment="1">
      <alignment horizontal="center" vertical="center" wrapText="1"/>
    </xf>
    <xf numFmtId="0" fontId="129" fillId="25" borderId="21" xfId="2500" applyFont="1" applyFill="1" applyBorder="1" applyAlignment="1">
      <alignment horizontal="center" vertical="center" wrapText="1"/>
    </xf>
    <xf numFmtId="0" fontId="129" fillId="25" borderId="22" xfId="2500" applyFont="1" applyFill="1" applyBorder="1" applyAlignment="1">
      <alignment horizontal="center" vertical="center" wrapText="1"/>
    </xf>
    <xf numFmtId="0" fontId="129" fillId="25" borderId="23" xfId="2500" applyFont="1" applyFill="1" applyBorder="1" applyAlignment="1">
      <alignment horizontal="center" vertical="center" wrapText="1"/>
    </xf>
    <xf numFmtId="0" fontId="129" fillId="25" borderId="24" xfId="2500" applyFont="1" applyFill="1" applyBorder="1" applyAlignment="1">
      <alignment horizontal="center" vertical="center" wrapText="1"/>
    </xf>
    <xf numFmtId="0" fontId="127" fillId="25" borderId="17" xfId="32014" quotePrefix="1" applyFont="1" applyFill="1" applyBorder="1" applyAlignment="1">
      <alignment horizontal="center" vertical="center"/>
    </xf>
    <xf numFmtId="0" fontId="127" fillId="25" borderId="18" xfId="32014" quotePrefix="1" applyFont="1" applyFill="1" applyBorder="1" applyAlignment="1">
      <alignment horizontal="center" vertical="center"/>
    </xf>
    <xf numFmtId="0" fontId="127" fillId="25" borderId="19" xfId="32014" quotePrefix="1" applyFont="1" applyFill="1" applyBorder="1" applyAlignment="1">
      <alignment horizontal="center" vertical="center"/>
    </xf>
    <xf numFmtId="0" fontId="128" fillId="0" borderId="25" xfId="2500" applyFont="1" applyFill="1" applyBorder="1" applyAlignment="1">
      <alignment horizontal="center" vertical="center" wrapText="1"/>
    </xf>
    <xf numFmtId="0" fontId="128" fillId="0" borderId="26" xfId="2500" applyFont="1" applyFill="1" applyBorder="1" applyAlignment="1">
      <alignment horizontal="center" vertical="center" wrapText="1"/>
    </xf>
    <xf numFmtId="0" fontId="128" fillId="0" borderId="27" xfId="2500" applyFont="1" applyFill="1" applyBorder="1" applyAlignment="1">
      <alignment horizontal="center" vertical="center" wrapText="1"/>
    </xf>
    <xf numFmtId="0" fontId="128" fillId="0" borderId="20" xfId="2500" applyFont="1" applyFill="1" applyBorder="1" applyAlignment="1">
      <alignment horizontal="center" vertical="center" wrapText="1"/>
    </xf>
    <xf numFmtId="0" fontId="128" fillId="0" borderId="0" xfId="2500" applyFont="1" applyFill="1" applyBorder="1" applyAlignment="1">
      <alignment horizontal="center" vertical="center" wrapText="1"/>
    </xf>
    <xf numFmtId="0" fontId="128" fillId="0" borderId="21" xfId="2500" applyFont="1" applyFill="1" applyBorder="1" applyAlignment="1">
      <alignment horizontal="center" vertical="center" wrapText="1"/>
    </xf>
    <xf numFmtId="0" fontId="128" fillId="0" borderId="22" xfId="2500" applyFont="1" applyFill="1" applyBorder="1" applyAlignment="1">
      <alignment horizontal="center" vertical="center" wrapText="1"/>
    </xf>
    <xf numFmtId="0" fontId="128" fillId="0" borderId="23" xfId="2500" applyFont="1" applyFill="1" applyBorder="1" applyAlignment="1">
      <alignment horizontal="center" vertical="center" wrapText="1"/>
    </xf>
    <xf numFmtId="0" fontId="128" fillId="0" borderId="24" xfId="2500" applyFont="1" applyFill="1" applyBorder="1" applyAlignment="1">
      <alignment horizontal="center" vertical="center" wrapText="1"/>
    </xf>
    <xf numFmtId="0" fontId="129" fillId="0" borderId="17" xfId="2500" applyFont="1" applyBorder="1" applyAlignment="1">
      <alignment horizontal="center" vertical="center" wrapText="1"/>
    </xf>
    <xf numFmtId="0" fontId="129" fillId="0" borderId="18" xfId="2500" applyFont="1" applyBorder="1" applyAlignment="1">
      <alignment horizontal="center" vertical="center" wrapText="1"/>
    </xf>
    <xf numFmtId="0" fontId="129" fillId="0" borderId="19" xfId="2500" applyFont="1" applyBorder="1" applyAlignment="1">
      <alignment horizontal="center" vertical="center" wrapText="1"/>
    </xf>
    <xf numFmtId="0" fontId="129" fillId="0" borderId="17" xfId="2500" applyFont="1" applyBorder="1" applyAlignment="1">
      <alignment horizontal="center" vertical="center"/>
    </xf>
    <xf numFmtId="0" fontId="129" fillId="0" borderId="18" xfId="2500" applyFont="1" applyBorder="1" applyAlignment="1">
      <alignment horizontal="center" vertical="center"/>
    </xf>
    <xf numFmtId="0" fontId="129" fillId="0" borderId="19" xfId="2500" applyFont="1" applyBorder="1" applyAlignment="1">
      <alignment horizontal="center" vertical="center"/>
    </xf>
    <xf numFmtId="0" fontId="118" fillId="35" borderId="25" xfId="116" applyFont="1" applyFill="1" applyBorder="1" applyAlignment="1">
      <alignment horizontal="center" vertical="center"/>
    </xf>
    <xf numFmtId="0" fontId="118" fillId="35" borderId="26" xfId="116" applyFont="1" applyFill="1" applyBorder="1" applyAlignment="1">
      <alignment horizontal="center" vertical="center"/>
    </xf>
    <xf numFmtId="0" fontId="118" fillId="35" borderId="27" xfId="116" applyFont="1" applyFill="1" applyBorder="1" applyAlignment="1">
      <alignment horizontal="center" vertical="center"/>
    </xf>
    <xf numFmtId="41" fontId="138" fillId="27" borderId="17" xfId="49729" applyFont="1" applyFill="1" applyBorder="1" applyAlignment="1">
      <alignment horizontal="center" vertical="center" wrapText="1"/>
    </xf>
    <xf numFmtId="41" fontId="138" fillId="27" borderId="19" xfId="49729" applyFont="1" applyFill="1" applyBorder="1" applyAlignment="1">
      <alignment horizontal="center" vertical="center" wrapText="1"/>
    </xf>
    <xf numFmtId="0" fontId="128" fillId="0" borderId="17" xfId="116" applyNumberFormat="1" applyFont="1" applyFill="1" applyBorder="1" applyAlignment="1">
      <alignment horizontal="center" vertical="center" shrinkToFit="1"/>
    </xf>
    <xf numFmtId="0" fontId="128" fillId="0" borderId="18" xfId="116" applyNumberFormat="1" applyFont="1" applyFill="1" applyBorder="1" applyAlignment="1">
      <alignment horizontal="center" vertical="center" shrinkToFit="1"/>
    </xf>
    <xf numFmtId="0" fontId="128" fillId="0" borderId="19" xfId="116" applyNumberFormat="1" applyFont="1" applyFill="1" applyBorder="1" applyAlignment="1">
      <alignment horizontal="center" vertical="center" shrinkToFit="1"/>
    </xf>
    <xf numFmtId="0" fontId="132" fillId="33" borderId="35" xfId="4156" applyFont="1" applyFill="1" applyBorder="1" applyAlignment="1">
      <alignment horizontal="center" vertical="center"/>
    </xf>
    <xf numFmtId="0" fontId="132" fillId="33" borderId="2" xfId="4156" applyFont="1" applyFill="1" applyBorder="1" applyAlignment="1">
      <alignment horizontal="center" vertical="center"/>
    </xf>
    <xf numFmtId="0" fontId="132" fillId="33" borderId="36" xfId="4156" applyFont="1" applyFill="1" applyBorder="1" applyAlignment="1">
      <alignment horizontal="center" vertical="center"/>
    </xf>
    <xf numFmtId="0" fontId="128" fillId="0" borderId="17" xfId="116" applyNumberFormat="1" applyFont="1" applyFill="1" applyBorder="1" applyAlignment="1">
      <alignment horizontal="center" vertical="center" wrapText="1"/>
    </xf>
    <xf numFmtId="0" fontId="128" fillId="0" borderId="18" xfId="116" applyNumberFormat="1" applyFont="1" applyFill="1" applyBorder="1" applyAlignment="1">
      <alignment horizontal="center" vertical="center" wrapText="1"/>
    </xf>
    <xf numFmtId="0" fontId="128" fillId="0" borderId="19" xfId="116" applyNumberFormat="1" applyFont="1" applyFill="1" applyBorder="1" applyAlignment="1">
      <alignment horizontal="center" vertical="center" wrapText="1"/>
    </xf>
    <xf numFmtId="17" fontId="130" fillId="0" borderId="17" xfId="2500" quotePrefix="1" applyNumberFormat="1" applyFont="1" applyBorder="1" applyAlignment="1">
      <alignment horizontal="center" vertical="center"/>
    </xf>
    <xf numFmtId="17" fontId="130" fillId="0" borderId="18" xfId="2500" quotePrefix="1" applyNumberFormat="1" applyFont="1" applyBorder="1" applyAlignment="1">
      <alignment horizontal="center" vertical="center"/>
    </xf>
    <xf numFmtId="17" fontId="130" fillId="0" borderId="19" xfId="2500" quotePrefix="1" applyNumberFormat="1" applyFont="1" applyBorder="1" applyAlignment="1">
      <alignment horizontal="center" vertical="center"/>
    </xf>
    <xf numFmtId="0" fontId="130" fillId="0" borderId="17" xfId="2500" applyFont="1" applyBorder="1" applyAlignment="1">
      <alignment horizontal="center" vertical="center"/>
    </xf>
    <xf numFmtId="0" fontId="130" fillId="0" borderId="18" xfId="2500" applyFont="1" applyBorder="1" applyAlignment="1">
      <alignment horizontal="center" vertical="center"/>
    </xf>
    <xf numFmtId="0" fontId="130" fillId="0" borderId="19" xfId="2500" applyFont="1" applyBorder="1" applyAlignment="1">
      <alignment horizontal="center" vertical="center"/>
    </xf>
    <xf numFmtId="0" fontId="108" fillId="0" borderId="23" xfId="116" applyFont="1" applyBorder="1" applyAlignment="1">
      <alignment horizontal="left" vertical="center"/>
    </xf>
    <xf numFmtId="0" fontId="107" fillId="36" borderId="3" xfId="116" applyFont="1" applyFill="1" applyBorder="1" applyAlignment="1">
      <alignment horizontal="center" vertical="center"/>
    </xf>
    <xf numFmtId="0" fontId="107" fillId="36" borderId="25" xfId="116" applyFont="1" applyFill="1" applyBorder="1" applyAlignment="1">
      <alignment horizontal="center" vertical="center" wrapText="1"/>
    </xf>
    <xf numFmtId="0" fontId="107" fillId="36" borderId="26" xfId="116" applyFont="1" applyFill="1" applyBorder="1" applyAlignment="1">
      <alignment horizontal="center" vertical="center" wrapText="1"/>
    </xf>
    <xf numFmtId="0" fontId="107" fillId="36" borderId="27" xfId="116" applyFont="1" applyFill="1" applyBorder="1" applyAlignment="1">
      <alignment horizontal="center" vertical="center" wrapText="1"/>
    </xf>
    <xf numFmtId="0" fontId="107" fillId="36" borderId="20" xfId="116" applyFont="1" applyFill="1" applyBorder="1" applyAlignment="1">
      <alignment horizontal="center" vertical="center" wrapText="1"/>
    </xf>
    <xf numFmtId="0" fontId="107" fillId="36" borderId="0" xfId="116" applyFont="1" applyFill="1" applyBorder="1" applyAlignment="1">
      <alignment horizontal="center" vertical="center" wrapText="1"/>
    </xf>
    <xf numFmtId="0" fontId="107" fillId="36" borderId="21" xfId="116" applyFont="1" applyFill="1" applyBorder="1" applyAlignment="1">
      <alignment horizontal="center" vertical="center" wrapText="1"/>
    </xf>
    <xf numFmtId="0" fontId="107" fillId="36" borderId="22" xfId="116" applyFont="1" applyFill="1" applyBorder="1" applyAlignment="1">
      <alignment horizontal="center" vertical="center" wrapText="1"/>
    </xf>
    <xf numFmtId="0" fontId="107" fillId="36" borderId="23" xfId="116" applyFont="1" applyFill="1" applyBorder="1" applyAlignment="1">
      <alignment horizontal="center" vertical="center" wrapText="1"/>
    </xf>
    <xf numFmtId="0" fontId="107" fillId="36" borderId="24" xfId="116" applyFont="1" applyFill="1" applyBorder="1" applyAlignment="1">
      <alignment horizontal="center" vertical="center" wrapText="1"/>
    </xf>
    <xf numFmtId="0" fontId="135" fillId="27" borderId="25" xfId="3340" applyNumberFormat="1" applyFont="1" applyFill="1" applyBorder="1" applyAlignment="1">
      <alignment horizontal="center" vertical="center"/>
    </xf>
    <xf numFmtId="0" fontId="135" fillId="27" borderId="27" xfId="3340" applyNumberFormat="1" applyFont="1" applyFill="1" applyBorder="1" applyAlignment="1">
      <alignment horizontal="center" vertical="center"/>
    </xf>
    <xf numFmtId="0" fontId="135" fillId="27" borderId="22" xfId="3340" applyNumberFormat="1" applyFont="1" applyFill="1" applyBorder="1" applyAlignment="1">
      <alignment horizontal="center" vertical="center"/>
    </xf>
    <xf numFmtId="0" fontId="135" fillId="27" borderId="24" xfId="3340" applyNumberFormat="1" applyFont="1" applyFill="1" applyBorder="1" applyAlignment="1">
      <alignment horizontal="center" vertical="center"/>
    </xf>
    <xf numFmtId="0" fontId="132" fillId="36" borderId="17" xfId="116" applyNumberFormat="1" applyFont="1" applyFill="1" applyBorder="1" applyAlignment="1">
      <alignment horizontal="center" vertical="center" wrapText="1"/>
    </xf>
    <xf numFmtId="0" fontId="132" fillId="36" borderId="18" xfId="116" applyNumberFormat="1" applyFont="1" applyFill="1" applyBorder="1" applyAlignment="1">
      <alignment horizontal="center" vertical="center" wrapText="1"/>
    </xf>
    <xf numFmtId="0" fontId="132" fillId="36" borderId="19" xfId="116" applyNumberFormat="1" applyFont="1" applyFill="1" applyBorder="1" applyAlignment="1">
      <alignment horizontal="center" vertical="center" wrapText="1"/>
    </xf>
    <xf numFmtId="0" fontId="131" fillId="26" borderId="17" xfId="116" applyNumberFormat="1" applyFont="1" applyFill="1" applyBorder="1" applyAlignment="1">
      <alignment horizontal="center" vertical="center" wrapText="1"/>
    </xf>
    <xf numFmtId="0" fontId="131" fillId="26" borderId="18" xfId="116" applyNumberFormat="1" applyFont="1" applyFill="1" applyBorder="1" applyAlignment="1">
      <alignment horizontal="center" vertical="center" wrapText="1"/>
    </xf>
    <xf numFmtId="0" fontId="131" fillId="26" borderId="19" xfId="116" applyNumberFormat="1" applyFont="1" applyFill="1" applyBorder="1" applyAlignment="1">
      <alignment horizontal="center" vertical="center" wrapText="1"/>
    </xf>
    <xf numFmtId="0" fontId="107" fillId="36" borderId="17" xfId="116" applyFont="1" applyFill="1" applyBorder="1" applyAlignment="1">
      <alignment horizontal="center" vertical="center"/>
    </xf>
    <xf numFmtId="0" fontId="107" fillId="36" borderId="19" xfId="116" applyFont="1" applyFill="1" applyBorder="1" applyAlignment="1">
      <alignment horizontal="center" vertical="center"/>
    </xf>
    <xf numFmtId="0" fontId="107" fillId="26" borderId="17" xfId="116" applyFont="1" applyFill="1" applyBorder="1" applyAlignment="1">
      <alignment horizontal="center" vertical="center"/>
    </xf>
    <xf numFmtId="0" fontId="107" fillId="26" borderId="19" xfId="116" applyFont="1" applyFill="1" applyBorder="1" applyAlignment="1">
      <alignment horizontal="center" vertical="center"/>
    </xf>
    <xf numFmtId="0" fontId="107" fillId="36" borderId="17" xfId="116" applyFont="1" applyFill="1" applyBorder="1" applyAlignment="1">
      <alignment horizontal="center" vertical="center" wrapText="1"/>
    </xf>
    <xf numFmtId="0" fontId="107" fillId="36" borderId="19" xfId="116" applyFont="1" applyFill="1" applyBorder="1" applyAlignment="1">
      <alignment horizontal="center" vertical="center" wrapText="1"/>
    </xf>
    <xf numFmtId="0" fontId="107" fillId="36" borderId="17" xfId="116" applyNumberFormat="1" applyFont="1" applyFill="1" applyBorder="1" applyAlignment="1">
      <alignment horizontal="center" vertical="center" wrapText="1"/>
    </xf>
    <xf numFmtId="0" fontId="107" fillId="36" borderId="19" xfId="116" applyNumberFormat="1" applyFont="1" applyFill="1" applyBorder="1" applyAlignment="1">
      <alignment horizontal="center" vertical="center" wrapText="1"/>
    </xf>
    <xf numFmtId="14" fontId="132" fillId="36" borderId="17" xfId="116" applyNumberFormat="1" applyFont="1" applyFill="1" applyBorder="1" applyAlignment="1">
      <alignment horizontal="center" vertical="center" wrapText="1"/>
    </xf>
    <xf numFmtId="14" fontId="132" fillId="36" borderId="18" xfId="116" applyNumberFormat="1" applyFont="1" applyFill="1" applyBorder="1" applyAlignment="1">
      <alignment horizontal="center" vertical="center" wrapText="1"/>
    </xf>
    <xf numFmtId="14" fontId="132" fillId="36" borderId="19" xfId="116" applyNumberFormat="1" applyFont="1" applyFill="1" applyBorder="1" applyAlignment="1">
      <alignment horizontal="center" vertical="center" wrapText="1"/>
    </xf>
    <xf numFmtId="0" fontId="107" fillId="36" borderId="25" xfId="116" applyNumberFormat="1" applyFont="1" applyFill="1" applyBorder="1" applyAlignment="1">
      <alignment horizontal="center" vertical="center"/>
    </xf>
    <xf numFmtId="0" fontId="107" fillId="36" borderId="22" xfId="116" applyNumberFormat="1" applyFont="1" applyFill="1" applyBorder="1" applyAlignment="1">
      <alignment horizontal="center" vertical="center"/>
    </xf>
    <xf numFmtId="0" fontId="107" fillId="36" borderId="26" xfId="116" applyNumberFormat="1" applyFont="1" applyFill="1" applyBorder="1" applyAlignment="1">
      <alignment horizontal="center" vertical="center"/>
    </xf>
    <xf numFmtId="0" fontId="107" fillId="36" borderId="27" xfId="116" applyNumberFormat="1" applyFont="1" applyFill="1" applyBorder="1" applyAlignment="1">
      <alignment horizontal="center" vertical="center"/>
    </xf>
    <xf numFmtId="0" fontId="107" fillId="36" borderId="0" xfId="116" applyNumberFormat="1" applyFont="1" applyFill="1" applyBorder="1" applyAlignment="1">
      <alignment horizontal="center" vertical="center"/>
    </xf>
    <xf numFmtId="0" fontId="107" fillId="36" borderId="21" xfId="116" applyNumberFormat="1" applyFont="1" applyFill="1" applyBorder="1" applyAlignment="1">
      <alignment horizontal="center" vertical="center"/>
    </xf>
    <xf numFmtId="0" fontId="118" fillId="35" borderId="25" xfId="116" applyFont="1" applyFill="1" applyBorder="1" applyAlignment="1">
      <alignment horizontal="center" vertical="center" wrapText="1"/>
    </xf>
    <xf numFmtId="0" fontId="118" fillId="35" borderId="26" xfId="116" applyFont="1" applyFill="1" applyBorder="1" applyAlignment="1">
      <alignment horizontal="center" vertical="center" wrapText="1"/>
    </xf>
    <xf numFmtId="0" fontId="118" fillId="35" borderId="27" xfId="116" applyFont="1" applyFill="1" applyBorder="1" applyAlignment="1">
      <alignment horizontal="center" vertical="center" wrapText="1"/>
    </xf>
    <xf numFmtId="0" fontId="127" fillId="25" borderId="27" xfId="32014" applyFont="1" applyFill="1" applyBorder="1" applyAlignment="1">
      <alignment horizontal="center" vertical="center"/>
    </xf>
    <xf numFmtId="0" fontId="127" fillId="25" borderId="21" xfId="32014" applyFont="1" applyFill="1" applyBorder="1" applyAlignment="1">
      <alignment horizontal="center" vertical="center"/>
    </xf>
    <xf numFmtId="0" fontId="130" fillId="0" borderId="17" xfId="48454" applyFont="1" applyFill="1" applyBorder="1" applyAlignment="1">
      <alignment horizontal="center" vertical="center" wrapText="1"/>
    </xf>
    <xf numFmtId="0" fontId="130" fillId="0" borderId="18" xfId="48454" applyFont="1" applyFill="1" applyBorder="1" applyAlignment="1">
      <alignment horizontal="center" vertical="center" wrapText="1"/>
    </xf>
    <xf numFmtId="0" fontId="130" fillId="0" borderId="19" xfId="48454" applyFont="1" applyFill="1" applyBorder="1" applyAlignment="1">
      <alignment horizontal="center" vertical="center" wrapText="1"/>
    </xf>
    <xf numFmtId="0" fontId="128" fillId="39" borderId="17" xfId="2500" applyNumberFormat="1" applyFont="1" applyFill="1" applyBorder="1" applyAlignment="1">
      <alignment horizontal="center" vertical="center"/>
    </xf>
    <xf numFmtId="0" fontId="128" fillId="39" borderId="18" xfId="2500" applyNumberFormat="1" applyFont="1" applyFill="1" applyBorder="1" applyAlignment="1">
      <alignment horizontal="center" vertical="center"/>
    </xf>
    <xf numFmtId="0" fontId="128" fillId="39" borderId="19" xfId="2500" applyNumberFormat="1" applyFont="1" applyFill="1" applyBorder="1" applyAlignment="1">
      <alignment horizontal="center" vertical="center"/>
    </xf>
    <xf numFmtId="0" fontId="130" fillId="25" borderId="17" xfId="4156" quotePrefix="1" applyFont="1" applyFill="1" applyBorder="1" applyAlignment="1">
      <alignment horizontal="center" vertical="center" wrapText="1"/>
    </xf>
    <xf numFmtId="0" fontId="130" fillId="25" borderId="18" xfId="4156" quotePrefix="1" applyFont="1" applyFill="1" applyBorder="1" applyAlignment="1">
      <alignment horizontal="center" vertical="center" wrapText="1"/>
    </xf>
    <xf numFmtId="0" fontId="130" fillId="25" borderId="19" xfId="4156" quotePrefix="1" applyFont="1" applyFill="1" applyBorder="1" applyAlignment="1">
      <alignment horizontal="center" vertical="center" wrapText="1"/>
    </xf>
    <xf numFmtId="0" fontId="128" fillId="25" borderId="17" xfId="116" applyNumberFormat="1" applyFont="1" applyFill="1" applyBorder="1" applyAlignment="1">
      <alignment horizontal="center" vertical="center" shrinkToFit="1"/>
    </xf>
    <xf numFmtId="0" fontId="128" fillId="25" borderId="18" xfId="116" applyNumberFormat="1" applyFont="1" applyFill="1" applyBorder="1" applyAlignment="1">
      <alignment horizontal="center" vertical="center" shrinkToFit="1"/>
    </xf>
    <xf numFmtId="0" fontId="128" fillId="25" borderId="19" xfId="116" applyNumberFormat="1" applyFont="1" applyFill="1" applyBorder="1" applyAlignment="1">
      <alignment horizontal="center" vertical="center" shrinkToFit="1"/>
    </xf>
    <xf numFmtId="14" fontId="128" fillId="0" borderId="17" xfId="2500" applyNumberFormat="1" applyFont="1" applyFill="1" applyBorder="1" applyAlignment="1">
      <alignment horizontal="center" vertical="center"/>
    </xf>
    <xf numFmtId="14" fontId="128" fillId="0" borderId="18" xfId="2500" applyNumberFormat="1" applyFont="1" applyFill="1" applyBorder="1" applyAlignment="1">
      <alignment horizontal="center" vertical="center"/>
    </xf>
    <xf numFmtId="14" fontId="128" fillId="0" borderId="19" xfId="2500" applyNumberFormat="1" applyFont="1" applyFill="1" applyBorder="1" applyAlignment="1">
      <alignment horizontal="center" vertical="center"/>
    </xf>
    <xf numFmtId="0" fontId="145" fillId="0" borderId="17" xfId="2500" quotePrefix="1" applyFont="1" applyFill="1" applyBorder="1" applyAlignment="1">
      <alignment horizontal="center" vertical="center"/>
    </xf>
    <xf numFmtId="0" fontId="128" fillId="0" borderId="18" xfId="2500" quotePrefix="1" applyFont="1" applyFill="1" applyBorder="1" applyAlignment="1">
      <alignment horizontal="center" vertical="center"/>
    </xf>
    <xf numFmtId="0" fontId="128" fillId="0" borderId="19" xfId="2500" quotePrefix="1" applyFont="1" applyFill="1" applyBorder="1" applyAlignment="1">
      <alignment horizontal="center" vertical="center"/>
    </xf>
    <xf numFmtId="14" fontId="128" fillId="0" borderId="17" xfId="2500" quotePrefix="1" applyNumberFormat="1" applyFont="1" applyFill="1" applyBorder="1" applyAlignment="1">
      <alignment horizontal="center" vertical="center"/>
    </xf>
    <xf numFmtId="14" fontId="128" fillId="0" borderId="18" xfId="2500" quotePrefix="1" applyNumberFormat="1" applyFont="1" applyFill="1" applyBorder="1" applyAlignment="1">
      <alignment horizontal="center" vertical="center"/>
    </xf>
    <xf numFmtId="14" fontId="128" fillId="0" borderId="19" xfId="2500" quotePrefix="1" applyNumberFormat="1" applyFont="1" applyFill="1" applyBorder="1" applyAlignment="1">
      <alignment horizontal="center" vertical="center"/>
    </xf>
    <xf numFmtId="0" fontId="128" fillId="0" borderId="17" xfId="2500" applyNumberFormat="1" applyFont="1" applyFill="1" applyBorder="1" applyAlignment="1">
      <alignment horizontal="center" vertical="center"/>
    </xf>
    <xf numFmtId="0" fontId="128" fillId="0" borderId="18" xfId="2500" applyNumberFormat="1" applyFont="1" applyFill="1" applyBorder="1" applyAlignment="1">
      <alignment horizontal="center" vertical="center"/>
    </xf>
    <xf numFmtId="0" fontId="128" fillId="0" borderId="19" xfId="2500" applyNumberFormat="1" applyFont="1" applyFill="1" applyBorder="1" applyAlignment="1">
      <alignment horizontal="center" vertical="center"/>
    </xf>
    <xf numFmtId="0" fontId="134" fillId="0" borderId="17" xfId="49719" quotePrefix="1" applyNumberFormat="1" applyFont="1" applyFill="1" applyBorder="1" applyAlignment="1">
      <alignment horizontal="center" vertical="center"/>
    </xf>
    <xf numFmtId="0" fontId="134" fillId="0" borderId="18" xfId="49719" quotePrefix="1" applyNumberFormat="1" applyFont="1" applyFill="1" applyBorder="1" applyAlignment="1">
      <alignment horizontal="center" vertical="center"/>
    </xf>
    <xf numFmtId="0" fontId="134" fillId="0" borderId="19" xfId="49719" quotePrefix="1" applyNumberFormat="1" applyFont="1" applyFill="1" applyBorder="1" applyAlignment="1">
      <alignment horizontal="center" vertical="center"/>
    </xf>
    <xf numFmtId="0" fontId="134" fillId="0" borderId="17" xfId="32014" applyFont="1" applyFill="1" applyBorder="1" applyAlignment="1">
      <alignment horizontal="center" vertical="center" wrapText="1"/>
    </xf>
    <xf numFmtId="0" fontId="134" fillId="0" borderId="18" xfId="32014" applyFont="1" applyFill="1" applyBorder="1" applyAlignment="1">
      <alignment horizontal="center" vertical="center" wrapText="1"/>
    </xf>
    <xf numFmtId="0" fontId="134" fillId="0" borderId="19" xfId="32014" applyFont="1" applyFill="1" applyBorder="1" applyAlignment="1">
      <alignment horizontal="center" vertical="center" wrapText="1"/>
    </xf>
    <xf numFmtId="14" fontId="128" fillId="39" borderId="17" xfId="49719" quotePrefix="1" applyNumberFormat="1" applyFont="1" applyFill="1" applyBorder="1" applyAlignment="1">
      <alignment horizontal="center" vertical="center"/>
    </xf>
    <xf numFmtId="14" fontId="128" fillId="39" borderId="18" xfId="49719" quotePrefix="1" applyNumberFormat="1" applyFont="1" applyFill="1" applyBorder="1" applyAlignment="1">
      <alignment horizontal="center" vertical="center"/>
    </xf>
    <xf numFmtId="14" fontId="128" fillId="39" borderId="19" xfId="49719" quotePrefix="1" applyNumberFormat="1" applyFont="1" applyFill="1" applyBorder="1" applyAlignment="1">
      <alignment horizontal="center" vertical="center"/>
    </xf>
    <xf numFmtId="192" fontId="128" fillId="0" borderId="17" xfId="2500" quotePrefix="1" applyNumberFormat="1" applyFont="1" applyFill="1" applyBorder="1" applyAlignment="1">
      <alignment horizontal="center" vertical="center"/>
    </xf>
    <xf numFmtId="192" fontId="128" fillId="0" borderId="18" xfId="2500" quotePrefix="1" applyNumberFormat="1" applyFont="1" applyFill="1" applyBorder="1" applyAlignment="1">
      <alignment horizontal="center" vertical="center"/>
    </xf>
    <xf numFmtId="192" fontId="128" fillId="0" borderId="19" xfId="2500" quotePrefix="1" applyNumberFormat="1" applyFont="1" applyFill="1" applyBorder="1" applyAlignment="1">
      <alignment horizontal="center" vertical="center"/>
    </xf>
    <xf numFmtId="0" fontId="128" fillId="0" borderId="17" xfId="2500" quotePrefix="1" applyFont="1" applyFill="1" applyBorder="1" applyAlignment="1">
      <alignment horizontal="center" vertical="center"/>
    </xf>
    <xf numFmtId="0" fontId="128" fillId="0" borderId="17" xfId="116" applyNumberFormat="1" applyFont="1" applyBorder="1" applyAlignment="1">
      <alignment horizontal="center" vertical="center" wrapText="1"/>
    </xf>
    <xf numFmtId="0" fontId="128" fillId="0" borderId="18" xfId="116" applyNumberFormat="1" applyFont="1" applyBorder="1" applyAlignment="1">
      <alignment horizontal="center" vertical="center" wrapText="1"/>
    </xf>
    <xf numFmtId="0" fontId="128" fillId="0" borderId="19" xfId="116" applyNumberFormat="1" applyFont="1" applyBorder="1" applyAlignment="1">
      <alignment horizontal="center" vertical="center" wrapText="1"/>
    </xf>
    <xf numFmtId="0" fontId="128" fillId="0" borderId="17" xfId="2500" applyFont="1" applyBorder="1" applyAlignment="1">
      <alignment horizontal="center" vertical="center"/>
    </xf>
    <xf numFmtId="0" fontId="128" fillId="0" borderId="18" xfId="2500" applyFont="1" applyBorder="1" applyAlignment="1">
      <alignment horizontal="center" vertical="center"/>
    </xf>
    <xf numFmtId="0" fontId="128" fillId="0" borderId="19" xfId="2500" applyFont="1" applyBorder="1" applyAlignment="1">
      <alignment horizontal="center" vertical="center"/>
    </xf>
    <xf numFmtId="0" fontId="128" fillId="25" borderId="17" xfId="116" applyNumberFormat="1" applyFont="1" applyFill="1" applyBorder="1" applyAlignment="1">
      <alignment horizontal="center" vertical="center"/>
    </xf>
    <xf numFmtId="0" fontId="128" fillId="25" borderId="18" xfId="116" applyNumberFormat="1" applyFont="1" applyFill="1" applyBorder="1" applyAlignment="1">
      <alignment horizontal="center" vertical="center"/>
    </xf>
    <xf numFmtId="0" fontId="128" fillId="25" borderId="19" xfId="116" applyNumberFormat="1" applyFont="1" applyFill="1" applyBorder="1" applyAlignment="1">
      <alignment horizontal="center" vertical="center"/>
    </xf>
    <xf numFmtId="0" fontId="128" fillId="39" borderId="17" xfId="2500" applyFont="1" applyFill="1" applyBorder="1" applyAlignment="1">
      <alignment horizontal="center" vertical="center"/>
    </xf>
    <xf numFmtId="0" fontId="128" fillId="39" borderId="18" xfId="2500" applyFont="1" applyFill="1" applyBorder="1" applyAlignment="1">
      <alignment horizontal="center" vertical="center"/>
    </xf>
    <xf numFmtId="0" fontId="128" fillId="39" borderId="19" xfId="2500" applyFont="1" applyFill="1" applyBorder="1" applyAlignment="1">
      <alignment horizontal="center" vertical="center"/>
    </xf>
    <xf numFmtId="49" fontId="130" fillId="0" borderId="17" xfId="32014" applyNumberFormat="1" applyFont="1" applyFill="1" applyBorder="1" applyAlignment="1">
      <alignment horizontal="center" vertical="center"/>
    </xf>
    <xf numFmtId="49" fontId="130" fillId="0" borderId="18" xfId="32014" applyNumberFormat="1" applyFont="1" applyFill="1" applyBorder="1" applyAlignment="1">
      <alignment horizontal="center" vertical="center"/>
    </xf>
    <xf numFmtId="49" fontId="130" fillId="0" borderId="19" xfId="32014" applyNumberFormat="1" applyFont="1" applyFill="1" applyBorder="1" applyAlignment="1">
      <alignment horizontal="center" vertical="center"/>
    </xf>
    <xf numFmtId="0" fontId="128" fillId="0" borderId="17" xfId="116" applyNumberFormat="1" applyFont="1" applyFill="1" applyBorder="1" applyAlignment="1">
      <alignment horizontal="center" vertical="center" wrapText="1" shrinkToFit="1"/>
    </xf>
    <xf numFmtId="0" fontId="128" fillId="0" borderId="18" xfId="116" applyNumberFormat="1" applyFont="1" applyFill="1" applyBorder="1" applyAlignment="1">
      <alignment horizontal="center" vertical="center" wrapText="1" shrinkToFit="1"/>
    </xf>
    <xf numFmtId="0" fontId="128" fillId="0" borderId="19" xfId="116" applyNumberFormat="1" applyFont="1" applyFill="1" applyBorder="1" applyAlignment="1">
      <alignment horizontal="center" vertical="center" wrapText="1" shrinkToFit="1"/>
    </xf>
    <xf numFmtId="0" fontId="128" fillId="39" borderId="17" xfId="116" applyNumberFormat="1" applyFont="1" applyFill="1" applyBorder="1" applyAlignment="1">
      <alignment horizontal="center" vertical="center"/>
    </xf>
    <xf numFmtId="0" fontId="128" fillId="39" borderId="18" xfId="116" applyNumberFormat="1" applyFont="1" applyFill="1" applyBorder="1" applyAlignment="1">
      <alignment horizontal="center" vertical="center"/>
    </xf>
    <xf numFmtId="0" fontId="128" fillId="39" borderId="19" xfId="116" applyNumberFormat="1" applyFont="1" applyFill="1" applyBorder="1" applyAlignment="1">
      <alignment horizontal="center" vertical="center"/>
    </xf>
    <xf numFmtId="0" fontId="130" fillId="39" borderId="17" xfId="2500" applyFont="1" applyFill="1" applyBorder="1" applyAlignment="1">
      <alignment horizontal="center" vertical="center" wrapText="1"/>
    </xf>
    <xf numFmtId="0" fontId="130" fillId="39" borderId="18" xfId="2500" applyFont="1" applyFill="1" applyBorder="1" applyAlignment="1">
      <alignment horizontal="center" vertical="center" wrapText="1"/>
    </xf>
    <xf numFmtId="0" fontId="130" fillId="39" borderId="19" xfId="2500" applyFont="1" applyFill="1" applyBorder="1" applyAlignment="1">
      <alignment horizontal="center" vertical="center" wrapText="1"/>
    </xf>
    <xf numFmtId="49" fontId="128" fillId="0" borderId="17" xfId="4156" applyNumberFormat="1" applyFont="1" applyBorder="1" applyAlignment="1">
      <alignment horizontal="center" vertical="center"/>
    </xf>
    <xf numFmtId="49" fontId="128" fillId="0" borderId="18" xfId="4156" applyNumberFormat="1" applyFont="1" applyBorder="1" applyAlignment="1">
      <alignment horizontal="center" vertical="center"/>
    </xf>
    <xf numFmtId="49" fontId="128" fillId="0" borderId="19" xfId="4156" applyNumberFormat="1" applyFont="1" applyBorder="1" applyAlignment="1">
      <alignment horizontal="center" vertical="center"/>
    </xf>
    <xf numFmtId="49" fontId="128" fillId="0" borderId="17" xfId="4156" applyNumberFormat="1" applyFont="1" applyBorder="1" applyAlignment="1">
      <alignment horizontal="center" vertical="center" wrapText="1"/>
    </xf>
    <xf numFmtId="49" fontId="128" fillId="0" borderId="18" xfId="4156" applyNumberFormat="1" applyFont="1" applyBorder="1" applyAlignment="1">
      <alignment horizontal="center" vertical="center" wrapText="1"/>
    </xf>
    <xf numFmtId="49" fontId="128" fillId="0" borderId="19" xfId="4156" applyNumberFormat="1" applyFont="1" applyBorder="1" applyAlignment="1">
      <alignment horizontal="center" vertical="center" wrapText="1"/>
    </xf>
    <xf numFmtId="49" fontId="145" fillId="0" borderId="17" xfId="4156" applyNumberFormat="1" applyFont="1" applyBorder="1" applyAlignment="1">
      <alignment horizontal="center" vertical="center"/>
    </xf>
    <xf numFmtId="14" fontId="128" fillId="0" borderId="17" xfId="49719" quotePrefix="1" applyNumberFormat="1" applyFont="1" applyFill="1" applyBorder="1" applyAlignment="1">
      <alignment horizontal="center" vertical="center" wrapText="1"/>
    </xf>
    <xf numFmtId="14" fontId="128" fillId="0" borderId="18" xfId="49719" quotePrefix="1" applyNumberFormat="1" applyFont="1" applyFill="1" applyBorder="1" applyAlignment="1">
      <alignment horizontal="center" vertical="center" wrapText="1"/>
    </xf>
    <xf numFmtId="14" fontId="128" fillId="0" borderId="19" xfId="49719" quotePrefix="1" applyNumberFormat="1" applyFont="1" applyFill="1" applyBorder="1" applyAlignment="1">
      <alignment horizontal="center" vertical="center" wrapText="1"/>
    </xf>
    <xf numFmtId="0" fontId="156" fillId="39" borderId="17" xfId="32014" applyFont="1" applyFill="1" applyBorder="1" applyAlignment="1">
      <alignment horizontal="center" vertical="center" wrapText="1"/>
    </xf>
    <xf numFmtId="0" fontId="156" fillId="39" borderId="18" xfId="32014" applyFont="1" applyFill="1" applyBorder="1" applyAlignment="1">
      <alignment horizontal="center" vertical="center" wrapText="1"/>
    </xf>
    <xf numFmtId="0" fontId="156" fillId="39" borderId="19" xfId="32014" applyFont="1" applyFill="1" applyBorder="1" applyAlignment="1">
      <alignment horizontal="center" vertical="center" wrapText="1"/>
    </xf>
    <xf numFmtId="49" fontId="141" fillId="39" borderId="17" xfId="32014" applyNumberFormat="1" applyFont="1" applyFill="1" applyBorder="1" applyAlignment="1">
      <alignment horizontal="center" vertical="center" wrapText="1"/>
    </xf>
    <xf numFmtId="49" fontId="141" fillId="39" borderId="18" xfId="32014" applyNumberFormat="1" applyFont="1" applyFill="1" applyBorder="1" applyAlignment="1">
      <alignment horizontal="center" vertical="center" wrapText="1"/>
    </xf>
    <xf numFmtId="49" fontId="141" fillId="39" borderId="19" xfId="32014" applyNumberFormat="1" applyFont="1" applyFill="1" applyBorder="1" applyAlignment="1">
      <alignment horizontal="center" vertical="center" wrapText="1"/>
    </xf>
    <xf numFmtId="14" fontId="130" fillId="25" borderId="17" xfId="32014" quotePrefix="1" applyNumberFormat="1" applyFont="1" applyFill="1" applyBorder="1" applyAlignment="1">
      <alignment horizontal="center" vertical="center"/>
    </xf>
    <xf numFmtId="14" fontId="130" fillId="25" borderId="18" xfId="32014" quotePrefix="1" applyNumberFormat="1" applyFont="1" applyFill="1" applyBorder="1" applyAlignment="1">
      <alignment horizontal="center" vertical="center"/>
    </xf>
    <xf numFmtId="14" fontId="130" fillId="25" borderId="19" xfId="32014" quotePrefix="1" applyNumberFormat="1" applyFont="1" applyFill="1" applyBorder="1" applyAlignment="1">
      <alignment horizontal="center" vertical="center"/>
    </xf>
    <xf numFmtId="0" fontId="130" fillId="0" borderId="17" xfId="2500" applyFont="1" applyBorder="1" applyAlignment="1">
      <alignment horizontal="center" vertical="center" wrapText="1"/>
    </xf>
    <xf numFmtId="0" fontId="130" fillId="0" borderId="18" xfId="2500" applyFont="1" applyBorder="1" applyAlignment="1">
      <alignment horizontal="center" vertical="center" wrapText="1"/>
    </xf>
    <xf numFmtId="0" fontId="130" fillId="0" borderId="19" xfId="2500" applyFont="1" applyBorder="1" applyAlignment="1">
      <alignment horizontal="center" vertical="center" wrapText="1"/>
    </xf>
    <xf numFmtId="41" fontId="134" fillId="33" borderId="35" xfId="49719" applyFont="1" applyFill="1" applyBorder="1" applyAlignment="1">
      <alignment horizontal="center" vertical="center"/>
    </xf>
    <xf numFmtId="41" fontId="134" fillId="33" borderId="2" xfId="49719" applyFont="1" applyFill="1" applyBorder="1" applyAlignment="1">
      <alignment horizontal="center" vertical="center"/>
    </xf>
    <xf numFmtId="41" fontId="134" fillId="33" borderId="36" xfId="49719" applyFont="1" applyFill="1" applyBorder="1" applyAlignment="1">
      <alignment horizontal="center" vertical="center"/>
    </xf>
    <xf numFmtId="14" fontId="145" fillId="0" borderId="17" xfId="49719" quotePrefix="1" applyNumberFormat="1" applyFont="1" applyFill="1" applyBorder="1" applyAlignment="1">
      <alignment horizontal="center" vertical="center"/>
    </xf>
    <xf numFmtId="14" fontId="145" fillId="0" borderId="18" xfId="49719" quotePrefix="1" applyNumberFormat="1" applyFont="1" applyFill="1" applyBorder="1" applyAlignment="1">
      <alignment horizontal="center" vertical="center"/>
    </xf>
    <xf numFmtId="14" fontId="145" fillId="0" borderId="19" xfId="49719" quotePrefix="1" applyNumberFormat="1" applyFont="1" applyFill="1" applyBorder="1" applyAlignment="1">
      <alignment horizontal="center" vertical="center"/>
    </xf>
    <xf numFmtId="0" fontId="130" fillId="0" borderId="17" xfId="49719" quotePrefix="1" applyNumberFormat="1" applyFont="1" applyFill="1" applyBorder="1" applyAlignment="1">
      <alignment horizontal="center" vertical="center"/>
    </xf>
    <xf numFmtId="0" fontId="130" fillId="0" borderId="18" xfId="49719" quotePrefix="1" applyNumberFormat="1" applyFont="1" applyFill="1" applyBorder="1" applyAlignment="1">
      <alignment horizontal="center" vertical="center"/>
    </xf>
    <xf numFmtId="0" fontId="130" fillId="0" borderId="19" xfId="49719" quotePrefix="1" applyNumberFormat="1" applyFont="1" applyFill="1" applyBorder="1" applyAlignment="1">
      <alignment horizontal="center" vertical="center"/>
    </xf>
    <xf numFmtId="0" fontId="130" fillId="25" borderId="17" xfId="32014" applyNumberFormat="1" applyFont="1" applyFill="1" applyBorder="1" applyAlignment="1">
      <alignment horizontal="center" vertical="center" wrapText="1"/>
    </xf>
    <xf numFmtId="0" fontId="130" fillId="25" borderId="18" xfId="32014" applyNumberFormat="1" applyFont="1" applyFill="1" applyBorder="1" applyAlignment="1">
      <alignment horizontal="center" vertical="center" wrapText="1"/>
    </xf>
    <xf numFmtId="0" fontId="130" fillId="25" borderId="19" xfId="32014" applyNumberFormat="1" applyFont="1" applyFill="1" applyBorder="1" applyAlignment="1">
      <alignment horizontal="center" vertical="center" wrapText="1"/>
    </xf>
    <xf numFmtId="0" fontId="129" fillId="0" borderId="27" xfId="2500" applyFont="1" applyFill="1" applyBorder="1" applyAlignment="1">
      <alignment horizontal="center" vertical="center"/>
    </xf>
    <xf numFmtId="0" fontId="129" fillId="0" borderId="21" xfId="2500" applyFont="1" applyFill="1" applyBorder="1" applyAlignment="1">
      <alignment horizontal="center" vertical="center"/>
    </xf>
    <xf numFmtId="0" fontId="129" fillId="0" borderId="24" xfId="2500" applyFont="1" applyFill="1" applyBorder="1" applyAlignment="1">
      <alignment horizontal="center" vertical="center"/>
    </xf>
    <xf numFmtId="0" fontId="104" fillId="0" borderId="17" xfId="32014" quotePrefix="1" applyFont="1" applyFill="1" applyBorder="1" applyAlignment="1">
      <alignment horizontal="center" vertical="center" wrapText="1"/>
    </xf>
    <xf numFmtId="0" fontId="104" fillId="0" borderId="18" xfId="32014" quotePrefix="1" applyFont="1" applyFill="1" applyBorder="1" applyAlignment="1">
      <alignment horizontal="center" vertical="center" wrapText="1"/>
    </xf>
    <xf numFmtId="0" fontId="104" fillId="0" borderId="19" xfId="32014" quotePrefix="1" applyFont="1" applyFill="1" applyBorder="1" applyAlignment="1">
      <alignment horizontal="center" vertical="center" wrapText="1"/>
    </xf>
    <xf numFmtId="41" fontId="128" fillId="0" borderId="17" xfId="49719" applyFont="1" applyFill="1" applyBorder="1" applyAlignment="1">
      <alignment vertical="center" wrapText="1"/>
    </xf>
    <xf numFmtId="41" fontId="128" fillId="0" borderId="18" xfId="49719" applyFont="1" applyFill="1" applyBorder="1" applyAlignment="1">
      <alignment vertical="center" wrapText="1"/>
    </xf>
    <xf numFmtId="41" fontId="128" fillId="0" borderId="19" xfId="49719" applyFont="1" applyFill="1" applyBorder="1" applyAlignment="1">
      <alignment vertical="center" wrapText="1"/>
    </xf>
    <xf numFmtId="192" fontId="128" fillId="0" borderId="17" xfId="2500" applyNumberFormat="1" applyFont="1" applyFill="1" applyBorder="1" applyAlignment="1">
      <alignment horizontal="center" vertical="center"/>
    </xf>
    <xf numFmtId="192" fontId="128" fillId="0" borderId="18" xfId="2500" applyNumberFormat="1" applyFont="1" applyFill="1" applyBorder="1" applyAlignment="1">
      <alignment horizontal="center" vertical="center"/>
    </xf>
    <xf numFmtId="192" fontId="128" fillId="0" borderId="19" xfId="2500" applyNumberFormat="1" applyFont="1" applyFill="1" applyBorder="1" applyAlignment="1">
      <alignment horizontal="center" vertical="center"/>
    </xf>
    <xf numFmtId="0" fontId="144" fillId="39" borderId="17" xfId="32014" applyFont="1" applyFill="1" applyBorder="1" applyAlignment="1">
      <alignment horizontal="center" vertical="center" wrapText="1"/>
    </xf>
    <xf numFmtId="0" fontId="130" fillId="39" borderId="18" xfId="32014" applyFont="1" applyFill="1" applyBorder="1" applyAlignment="1">
      <alignment horizontal="center" vertical="center" wrapText="1"/>
    </xf>
    <xf numFmtId="0" fontId="130" fillId="39" borderId="19" xfId="32014" applyFont="1" applyFill="1" applyBorder="1" applyAlignment="1">
      <alignment horizontal="center" vertical="center" wrapText="1"/>
    </xf>
    <xf numFmtId="0" fontId="130" fillId="39" borderId="17" xfId="32014" applyNumberFormat="1" applyFont="1" applyFill="1" applyBorder="1" applyAlignment="1">
      <alignment horizontal="center" vertical="center" wrapText="1"/>
    </xf>
    <xf numFmtId="0" fontId="130" fillId="39" borderId="18" xfId="32014" applyNumberFormat="1" applyFont="1" applyFill="1" applyBorder="1" applyAlignment="1">
      <alignment horizontal="center" vertical="center" wrapText="1"/>
    </xf>
    <xf numFmtId="0" fontId="130" fillId="39" borderId="19" xfId="32014" applyNumberFormat="1" applyFont="1" applyFill="1" applyBorder="1" applyAlignment="1">
      <alignment horizontal="center" vertical="center" wrapText="1"/>
    </xf>
    <xf numFmtId="0" fontId="145" fillId="25" borderId="17" xfId="32014" applyNumberFormat="1" applyFont="1" applyFill="1" applyBorder="1" applyAlignment="1">
      <alignment horizontal="center" vertical="center" wrapText="1"/>
    </xf>
    <xf numFmtId="0" fontId="145" fillId="25" borderId="18" xfId="32014" applyNumberFormat="1" applyFont="1" applyFill="1" applyBorder="1" applyAlignment="1">
      <alignment horizontal="center" vertical="center" wrapText="1"/>
    </xf>
    <xf numFmtId="0" fontId="145" fillId="25" borderId="19" xfId="32014" applyNumberFormat="1" applyFont="1" applyFill="1" applyBorder="1" applyAlignment="1">
      <alignment horizontal="center" vertical="center" wrapText="1"/>
    </xf>
    <xf numFmtId="0" fontId="130" fillId="25" borderId="17" xfId="32014" applyFont="1" applyFill="1" applyBorder="1" applyAlignment="1">
      <alignment horizontal="center" vertical="center"/>
    </xf>
    <xf numFmtId="0" fontId="130" fillId="25" borderId="19" xfId="32014" applyFont="1" applyFill="1" applyBorder="1" applyAlignment="1">
      <alignment horizontal="center" vertical="center"/>
    </xf>
    <xf numFmtId="0" fontId="127" fillId="0" borderId="25" xfId="0" applyFont="1" applyBorder="1" applyAlignment="1">
      <alignment horizontal="center" vertical="center"/>
    </xf>
    <xf numFmtId="0" fontId="127" fillId="0" borderId="26" xfId="0" applyFont="1" applyBorder="1" applyAlignment="1">
      <alignment horizontal="center" vertical="center"/>
    </xf>
    <xf numFmtId="0" fontId="127" fillId="0" borderId="27" xfId="0" applyFont="1" applyBorder="1" applyAlignment="1">
      <alignment horizontal="center" vertical="center"/>
    </xf>
    <xf numFmtId="0" fontId="127" fillId="0" borderId="20" xfId="0" applyFont="1" applyBorder="1" applyAlignment="1">
      <alignment horizontal="center" vertical="center"/>
    </xf>
    <xf numFmtId="0" fontId="127" fillId="0" borderId="0" xfId="0" applyFont="1" applyBorder="1" applyAlignment="1">
      <alignment horizontal="center" vertical="center"/>
    </xf>
    <xf numFmtId="0" fontId="127" fillId="0" borderId="21" xfId="0" applyFont="1" applyBorder="1" applyAlignment="1">
      <alignment horizontal="center" vertical="center"/>
    </xf>
    <xf numFmtId="0" fontId="127" fillId="0" borderId="22" xfId="0" applyFont="1" applyBorder="1" applyAlignment="1">
      <alignment horizontal="center" vertical="center"/>
    </xf>
    <xf numFmtId="0" fontId="127" fillId="0" borderId="23" xfId="0" applyFont="1" applyBorder="1" applyAlignment="1">
      <alignment horizontal="center" vertical="center"/>
    </xf>
    <xf numFmtId="0" fontId="127" fillId="0" borderId="24" xfId="0" applyFont="1" applyBorder="1" applyAlignment="1">
      <alignment horizontal="center" vertical="center"/>
    </xf>
    <xf numFmtId="0" fontId="128" fillId="25" borderId="17" xfId="32014" applyNumberFormat="1" applyFont="1" applyFill="1" applyBorder="1" applyAlignment="1">
      <alignment horizontal="center" vertical="center" wrapText="1"/>
    </xf>
    <xf numFmtId="0" fontId="128" fillId="25" borderId="18" xfId="32014" applyNumberFormat="1" applyFont="1" applyFill="1" applyBorder="1" applyAlignment="1">
      <alignment horizontal="center" vertical="center" wrapText="1"/>
    </xf>
    <xf numFmtId="0" fontId="128" fillId="25" borderId="19" xfId="32014" applyNumberFormat="1" applyFont="1" applyFill="1" applyBorder="1" applyAlignment="1">
      <alignment horizontal="center" vertical="center" wrapText="1"/>
    </xf>
    <xf numFmtId="0" fontId="128" fillId="25" borderId="17" xfId="32014" applyNumberFormat="1" applyFont="1" applyFill="1" applyBorder="1" applyAlignment="1">
      <alignment horizontal="center" vertical="center" shrinkToFit="1"/>
    </xf>
    <xf numFmtId="0" fontId="128" fillId="25" borderId="18" xfId="32014" applyNumberFormat="1" applyFont="1" applyFill="1" applyBorder="1" applyAlignment="1">
      <alignment horizontal="center" vertical="center" shrinkToFit="1"/>
    </xf>
    <xf numFmtId="0" fontId="128" fillId="25" borderId="19" xfId="32014" applyNumberFormat="1" applyFont="1" applyFill="1" applyBorder="1" applyAlignment="1">
      <alignment horizontal="center" vertical="center" shrinkToFit="1"/>
    </xf>
    <xf numFmtId="0" fontId="130" fillId="25" borderId="20" xfId="4156" applyFont="1" applyFill="1" applyBorder="1" applyAlignment="1">
      <alignment horizontal="center" vertical="center"/>
    </xf>
    <xf numFmtId="0" fontId="130" fillId="25" borderId="0" xfId="4156" applyFont="1" applyFill="1" applyBorder="1" applyAlignment="1">
      <alignment horizontal="center" vertical="center"/>
    </xf>
    <xf numFmtId="0" fontId="130" fillId="25" borderId="21" xfId="4156" applyFont="1" applyFill="1" applyBorder="1" applyAlignment="1">
      <alignment horizontal="center" vertical="center"/>
    </xf>
    <xf numFmtId="0" fontId="41" fillId="25" borderId="17" xfId="4156" applyFill="1" applyBorder="1" applyAlignment="1">
      <alignment horizontal="center" vertical="center"/>
    </xf>
    <xf numFmtId="0" fontId="41" fillId="25" borderId="18" xfId="4156" applyFill="1" applyBorder="1" applyAlignment="1">
      <alignment horizontal="center" vertical="center"/>
    </xf>
    <xf numFmtId="0" fontId="41" fillId="25" borderId="19" xfId="4156" applyFill="1" applyBorder="1" applyAlignment="1">
      <alignment horizontal="center" vertical="center"/>
    </xf>
    <xf numFmtId="14" fontId="127" fillId="25" borderId="17" xfId="49719" quotePrefix="1" applyNumberFormat="1" applyFont="1" applyFill="1" applyBorder="1" applyAlignment="1">
      <alignment horizontal="center" vertical="center"/>
    </xf>
    <xf numFmtId="14" fontId="127" fillId="25" borderId="18" xfId="49719" quotePrefix="1" applyNumberFormat="1" applyFont="1" applyFill="1" applyBorder="1" applyAlignment="1">
      <alignment horizontal="center" vertical="center"/>
    </xf>
    <xf numFmtId="14" fontId="127" fillId="25" borderId="19" xfId="49719" quotePrefix="1" applyNumberFormat="1" applyFont="1" applyFill="1" applyBorder="1" applyAlignment="1">
      <alignment horizontal="center" vertical="center"/>
    </xf>
    <xf numFmtId="14" fontId="130" fillId="25" borderId="17" xfId="49719" quotePrefix="1" applyNumberFormat="1" applyFont="1" applyFill="1" applyBorder="1" applyAlignment="1">
      <alignment horizontal="center" vertical="center"/>
    </xf>
    <xf numFmtId="14" fontId="130" fillId="25" borderId="18" xfId="49719" quotePrefix="1" applyNumberFormat="1" applyFont="1" applyFill="1" applyBorder="1" applyAlignment="1">
      <alignment horizontal="center" vertical="center"/>
    </xf>
    <xf numFmtId="14" fontId="130" fillId="25" borderId="19" xfId="49719" quotePrefix="1" applyNumberFormat="1" applyFont="1" applyFill="1" applyBorder="1" applyAlignment="1">
      <alignment horizontal="center" vertical="center"/>
    </xf>
    <xf numFmtId="0" fontId="41" fillId="25" borderId="25" xfId="4156" applyFill="1" applyBorder="1" applyAlignment="1">
      <alignment horizontal="center" vertical="center"/>
    </xf>
    <xf numFmtId="0" fontId="41" fillId="25" borderId="26" xfId="4156" applyFill="1" applyBorder="1" applyAlignment="1">
      <alignment horizontal="center" vertical="center"/>
    </xf>
    <xf numFmtId="0" fontId="41" fillId="25" borderId="27" xfId="4156" applyFill="1" applyBorder="1" applyAlignment="1">
      <alignment horizontal="center" vertical="center"/>
    </xf>
    <xf numFmtId="0" fontId="41" fillId="25" borderId="20" xfId="4156" applyFill="1" applyBorder="1" applyAlignment="1">
      <alignment horizontal="center" vertical="center"/>
    </xf>
    <xf numFmtId="0" fontId="41" fillId="25" borderId="0" xfId="4156" applyFill="1" applyBorder="1" applyAlignment="1">
      <alignment horizontal="center" vertical="center"/>
    </xf>
    <xf numFmtId="0" fontId="41" fillId="25" borderId="21" xfId="4156" applyFill="1" applyBorder="1" applyAlignment="1">
      <alignment horizontal="center" vertical="center"/>
    </xf>
    <xf numFmtId="0" fontId="41" fillId="25" borderId="22" xfId="4156" applyFill="1" applyBorder="1" applyAlignment="1">
      <alignment horizontal="center" vertical="center"/>
    </xf>
    <xf numFmtId="0" fontId="41" fillId="25" borderId="23" xfId="4156" applyFill="1" applyBorder="1" applyAlignment="1">
      <alignment horizontal="center" vertical="center"/>
    </xf>
    <xf numFmtId="0" fontId="41" fillId="25" borderId="24" xfId="4156" applyFill="1" applyBorder="1" applyAlignment="1">
      <alignment horizontal="center" vertical="center"/>
    </xf>
    <xf numFmtId="14" fontId="128" fillId="25" borderId="17" xfId="32014" quotePrefix="1" applyNumberFormat="1" applyFont="1" applyFill="1" applyBorder="1" applyAlignment="1">
      <alignment horizontal="center" vertical="center"/>
    </xf>
    <xf numFmtId="14" fontId="128" fillId="25" borderId="18" xfId="32014" quotePrefix="1" applyNumberFormat="1" applyFont="1" applyFill="1" applyBorder="1" applyAlignment="1">
      <alignment horizontal="center" vertical="center"/>
    </xf>
    <xf numFmtId="14" fontId="128" fillId="25" borderId="19" xfId="32014" quotePrefix="1" applyNumberFormat="1" applyFont="1" applyFill="1" applyBorder="1" applyAlignment="1">
      <alignment horizontal="center" vertical="center"/>
    </xf>
    <xf numFmtId="0" fontId="127" fillId="0" borderId="18" xfId="0" applyNumberFormat="1" applyFont="1" applyFill="1" applyBorder="1" applyAlignment="1">
      <alignment horizontal="center" vertical="center" wrapText="1"/>
    </xf>
    <xf numFmtId="49" fontId="154" fillId="0" borderId="17" xfId="32014" applyNumberFormat="1" applyFont="1" applyFill="1" applyBorder="1" applyAlignment="1">
      <alignment horizontal="center" vertical="center" wrapText="1"/>
    </xf>
    <xf numFmtId="0" fontId="131" fillId="33" borderId="17" xfId="4156" applyFont="1" applyFill="1" applyBorder="1" applyAlignment="1">
      <alignment horizontal="center" vertical="center"/>
    </xf>
    <xf numFmtId="0" fontId="131" fillId="25" borderId="3" xfId="4156" applyFont="1" applyFill="1" applyBorder="1" applyAlignment="1">
      <alignment horizontal="center" vertical="center"/>
    </xf>
    <xf numFmtId="0" fontId="141" fillId="25" borderId="17" xfId="116" applyNumberFormat="1" applyFont="1" applyFill="1" applyBorder="1" applyAlignment="1">
      <alignment horizontal="center" vertical="center"/>
    </xf>
    <xf numFmtId="0" fontId="141" fillId="25" borderId="18" xfId="116" applyNumberFormat="1" applyFont="1" applyFill="1" applyBorder="1" applyAlignment="1">
      <alignment horizontal="center" vertical="center"/>
    </xf>
    <xf numFmtId="0" fontId="141" fillId="25" borderId="19" xfId="116" applyNumberFormat="1" applyFont="1" applyFill="1" applyBorder="1" applyAlignment="1">
      <alignment horizontal="center" vertical="center"/>
    </xf>
    <xf numFmtId="0" fontId="151" fillId="0" borderId="17" xfId="116" applyFont="1" applyFill="1" applyBorder="1" applyAlignment="1">
      <alignment horizontal="center" vertical="center" shrinkToFit="1"/>
    </xf>
    <xf numFmtId="0" fontId="151" fillId="0" borderId="18" xfId="116" applyFont="1" applyFill="1" applyBorder="1" applyAlignment="1">
      <alignment horizontal="center" vertical="center" shrinkToFit="1"/>
    </xf>
    <xf numFmtId="0" fontId="151" fillId="0" borderId="19" xfId="116" applyFont="1" applyFill="1" applyBorder="1" applyAlignment="1">
      <alignment horizontal="center" vertical="center" shrinkToFit="1"/>
    </xf>
    <xf numFmtId="192" fontId="130" fillId="0" borderId="17" xfId="32014" quotePrefix="1" applyNumberFormat="1" applyFont="1" applyFill="1" applyBorder="1" applyAlignment="1">
      <alignment horizontal="center" vertical="center" wrapText="1"/>
    </xf>
    <xf numFmtId="192" fontId="130" fillId="0" borderId="18" xfId="32014" quotePrefix="1" applyNumberFormat="1" applyFont="1" applyFill="1" applyBorder="1" applyAlignment="1">
      <alignment horizontal="center" vertical="center" wrapText="1"/>
    </xf>
    <xf numFmtId="192" fontId="130" fillId="0" borderId="19" xfId="32014" quotePrefix="1" applyNumberFormat="1" applyFont="1" applyFill="1" applyBorder="1" applyAlignment="1">
      <alignment horizontal="center" vertical="center" wrapText="1"/>
    </xf>
    <xf numFmtId="0" fontId="128" fillId="25" borderId="17" xfId="4156" applyNumberFormat="1" applyFont="1" applyFill="1" applyBorder="1" applyAlignment="1">
      <alignment horizontal="center" vertical="center"/>
    </xf>
    <xf numFmtId="0" fontId="128" fillId="25" borderId="18" xfId="4156" applyNumberFormat="1" applyFont="1" applyFill="1" applyBorder="1" applyAlignment="1">
      <alignment horizontal="center" vertical="center"/>
    </xf>
    <xf numFmtId="0" fontId="128" fillId="25" borderId="19" xfId="4156" applyNumberFormat="1" applyFont="1" applyFill="1" applyBorder="1" applyAlignment="1">
      <alignment horizontal="center" vertical="center"/>
    </xf>
    <xf numFmtId="49" fontId="130" fillId="0" borderId="17" xfId="4156" applyNumberFormat="1" applyFont="1" applyFill="1" applyBorder="1" applyAlignment="1">
      <alignment horizontal="center" vertical="center"/>
    </xf>
    <xf numFmtId="49" fontId="130" fillId="0" borderId="18" xfId="4156" applyNumberFormat="1" applyFont="1" applyFill="1" applyBorder="1" applyAlignment="1">
      <alignment horizontal="center" vertical="center"/>
    </xf>
    <xf numFmtId="49" fontId="130" fillId="0" borderId="19" xfId="4156" applyNumberFormat="1" applyFont="1" applyFill="1" applyBorder="1" applyAlignment="1">
      <alignment horizontal="center" vertical="center"/>
    </xf>
    <xf numFmtId="49" fontId="146" fillId="0" borderId="17" xfId="32014" applyNumberFormat="1" applyFont="1" applyFill="1" applyBorder="1" applyAlignment="1">
      <alignment horizontal="center" vertical="center" wrapText="1"/>
    </xf>
    <xf numFmtId="49" fontId="146" fillId="0" borderId="18" xfId="32014" applyNumberFormat="1" applyFont="1" applyFill="1" applyBorder="1" applyAlignment="1">
      <alignment horizontal="center" vertical="center" wrapText="1"/>
    </xf>
    <xf numFmtId="49" fontId="146" fillId="0" borderId="19" xfId="32014" applyNumberFormat="1" applyFont="1" applyFill="1" applyBorder="1" applyAlignment="1">
      <alignment horizontal="center" vertical="center" wrapText="1"/>
    </xf>
    <xf numFmtId="49" fontId="130" fillId="39" borderId="17" xfId="4156" applyNumberFormat="1" applyFont="1" applyFill="1" applyBorder="1" applyAlignment="1">
      <alignment horizontal="center" vertical="center"/>
    </xf>
    <xf numFmtId="49" fontId="130" fillId="39" borderId="18" xfId="4156" applyNumberFormat="1" applyFont="1" applyFill="1" applyBorder="1" applyAlignment="1">
      <alignment horizontal="center" vertical="center"/>
    </xf>
    <xf numFmtId="49" fontId="130" fillId="39" borderId="19" xfId="4156" applyNumberFormat="1" applyFont="1" applyFill="1" applyBorder="1" applyAlignment="1">
      <alignment horizontal="center" vertical="center"/>
    </xf>
    <xf numFmtId="49" fontId="128" fillId="39" borderId="17" xfId="32014" applyNumberFormat="1" applyFont="1" applyFill="1" applyBorder="1" applyAlignment="1">
      <alignment horizontal="center" vertical="center" wrapText="1"/>
    </xf>
    <xf numFmtId="49" fontId="128" fillId="39" borderId="18" xfId="32014" applyNumberFormat="1" applyFont="1" applyFill="1" applyBorder="1" applyAlignment="1">
      <alignment horizontal="center" vertical="center" wrapText="1"/>
    </xf>
    <xf numFmtId="49" fontId="128" fillId="39" borderId="19" xfId="32014" applyNumberFormat="1" applyFont="1" applyFill="1" applyBorder="1" applyAlignment="1">
      <alignment horizontal="center" vertical="center" wrapText="1"/>
    </xf>
    <xf numFmtId="0" fontId="130" fillId="0" borderId="17" xfId="4156" applyNumberFormat="1" applyFont="1" applyBorder="1" applyAlignment="1">
      <alignment horizontal="center" vertical="center" wrapText="1"/>
    </xf>
    <xf numFmtId="0" fontId="130" fillId="0" borderId="18" xfId="4156" applyNumberFormat="1" applyFont="1" applyBorder="1" applyAlignment="1">
      <alignment horizontal="center" vertical="center" wrapText="1"/>
    </xf>
    <xf numFmtId="0" fontId="130" fillId="0" borderId="19" xfId="4156" applyNumberFormat="1" applyFont="1" applyBorder="1" applyAlignment="1">
      <alignment horizontal="center" vertical="center" wrapText="1"/>
    </xf>
    <xf numFmtId="0" fontId="128" fillId="0" borderId="17" xfId="4156" quotePrefix="1" applyNumberFormat="1" applyFont="1" applyBorder="1" applyAlignment="1">
      <alignment horizontal="center" vertical="center" wrapText="1"/>
    </xf>
    <xf numFmtId="0" fontId="128" fillId="0" borderId="18" xfId="4156" quotePrefix="1" applyNumberFormat="1" applyFont="1" applyBorder="1" applyAlignment="1">
      <alignment horizontal="center" vertical="center" wrapText="1"/>
    </xf>
    <xf numFmtId="0" fontId="128" fillId="0" borderId="19" xfId="4156" quotePrefix="1" applyNumberFormat="1" applyFont="1" applyBorder="1" applyAlignment="1">
      <alignment horizontal="center" vertical="center" wrapText="1"/>
    </xf>
    <xf numFmtId="0" fontId="128" fillId="25" borderId="17" xfId="4156" applyNumberFormat="1" applyFont="1" applyFill="1" applyBorder="1" applyAlignment="1">
      <alignment horizontal="center" vertical="center" wrapText="1"/>
    </xf>
    <xf numFmtId="0" fontId="128" fillId="25" borderId="18" xfId="4156" applyNumberFormat="1" applyFont="1" applyFill="1" applyBorder="1" applyAlignment="1">
      <alignment horizontal="center" vertical="center" wrapText="1"/>
    </xf>
    <xf numFmtId="0" fontId="128" fillId="25" borderId="19" xfId="4156" applyNumberFormat="1" applyFont="1" applyFill="1" applyBorder="1" applyAlignment="1">
      <alignment horizontal="center" vertical="center" wrapText="1"/>
    </xf>
    <xf numFmtId="14" fontId="141" fillId="25" borderId="17" xfId="49719" quotePrefix="1" applyNumberFormat="1" applyFont="1" applyFill="1" applyBorder="1" applyAlignment="1">
      <alignment horizontal="center" vertical="center"/>
    </xf>
    <xf numFmtId="14" fontId="141" fillId="25" borderId="18" xfId="49719" quotePrefix="1" applyNumberFormat="1" applyFont="1" applyFill="1" applyBorder="1" applyAlignment="1">
      <alignment horizontal="center" vertical="center"/>
    </xf>
    <xf numFmtId="14" fontId="141" fillId="25" borderId="19" xfId="49719" quotePrefix="1" applyNumberFormat="1" applyFont="1" applyFill="1" applyBorder="1" applyAlignment="1">
      <alignment horizontal="center" vertical="center"/>
    </xf>
    <xf numFmtId="41" fontId="130" fillId="0" borderId="25" xfId="6962" quotePrefix="1" applyFont="1" applyFill="1" applyBorder="1" applyAlignment="1">
      <alignment horizontal="center" vertical="center" wrapText="1"/>
    </xf>
    <xf numFmtId="41" fontId="130" fillId="0" borderId="26" xfId="6962" quotePrefix="1" applyFont="1" applyFill="1" applyBorder="1" applyAlignment="1">
      <alignment horizontal="center" vertical="center" wrapText="1"/>
    </xf>
    <xf numFmtId="41" fontId="130" fillId="0" borderId="27" xfId="6962" quotePrefix="1" applyFont="1" applyFill="1" applyBorder="1" applyAlignment="1">
      <alignment horizontal="center" vertical="center" wrapText="1"/>
    </xf>
    <xf numFmtId="41" fontId="130" fillId="0" borderId="20" xfId="6962" quotePrefix="1" applyFont="1" applyFill="1" applyBorder="1" applyAlignment="1">
      <alignment horizontal="center" vertical="center" wrapText="1"/>
    </xf>
    <xf numFmtId="41" fontId="130" fillId="0" borderId="0" xfId="6962" quotePrefix="1" applyFont="1" applyFill="1" applyBorder="1" applyAlignment="1">
      <alignment horizontal="center" vertical="center" wrapText="1"/>
    </xf>
    <xf numFmtId="41" fontId="130" fillId="0" borderId="21" xfId="6962" quotePrefix="1" applyFont="1" applyFill="1" applyBorder="1" applyAlignment="1">
      <alignment horizontal="center" vertical="center" wrapText="1"/>
    </xf>
    <xf numFmtId="41" fontId="130" fillId="0" borderId="22" xfId="6962" quotePrefix="1" applyFont="1" applyFill="1" applyBorder="1" applyAlignment="1">
      <alignment horizontal="center" vertical="center" wrapText="1"/>
    </xf>
    <xf numFmtId="41" fontId="130" fillId="0" borderId="23" xfId="6962" quotePrefix="1" applyFont="1" applyFill="1" applyBorder="1" applyAlignment="1">
      <alignment horizontal="center" vertical="center" wrapText="1"/>
    </xf>
    <xf numFmtId="41" fontId="130" fillId="0" borderId="24" xfId="6962" quotePrefix="1" applyFont="1" applyFill="1" applyBorder="1" applyAlignment="1">
      <alignment horizontal="center" vertical="center" wrapText="1"/>
    </xf>
    <xf numFmtId="0" fontId="127" fillId="0" borderId="18" xfId="49724" applyNumberFormat="1" applyFont="1" applyFill="1" applyBorder="1" applyAlignment="1">
      <alignment horizontal="center" vertical="center"/>
    </xf>
    <xf numFmtId="49" fontId="41" fillId="25" borderId="3" xfId="32014" applyNumberFormat="1" applyFont="1" applyFill="1" applyBorder="1" applyAlignment="1">
      <alignment horizontal="center" vertical="center" wrapText="1"/>
    </xf>
    <xf numFmtId="0" fontId="128" fillId="39" borderId="17" xfId="116" applyFont="1" applyFill="1" applyBorder="1" applyAlignment="1">
      <alignment horizontal="center" vertical="center"/>
    </xf>
    <xf numFmtId="0" fontId="128" fillId="39" borderId="18" xfId="116" applyFont="1" applyFill="1" applyBorder="1" applyAlignment="1">
      <alignment horizontal="center" vertical="center"/>
    </xf>
    <xf numFmtId="0" fontId="128" fillId="39" borderId="19" xfId="116" applyFont="1" applyFill="1" applyBorder="1" applyAlignment="1">
      <alignment horizontal="center" vertical="center"/>
    </xf>
    <xf numFmtId="14" fontId="141" fillId="25" borderId="17" xfId="49719" quotePrefix="1" applyNumberFormat="1" applyFont="1" applyFill="1" applyBorder="1" applyAlignment="1">
      <alignment horizontal="center" vertical="center" wrapText="1"/>
    </xf>
    <xf numFmtId="14" fontId="141" fillId="25" borderId="18" xfId="49719" quotePrefix="1" applyNumberFormat="1" applyFont="1" applyFill="1" applyBorder="1" applyAlignment="1">
      <alignment horizontal="center" vertical="center" wrapText="1"/>
    </xf>
    <xf numFmtId="14" fontId="141" fillId="25" borderId="19" xfId="49719" quotePrefix="1" applyNumberFormat="1" applyFont="1" applyFill="1" applyBorder="1" applyAlignment="1">
      <alignment horizontal="center" vertical="center" wrapText="1"/>
    </xf>
    <xf numFmtId="41" fontId="158" fillId="0" borderId="3" xfId="6962" applyFont="1" applyFill="1" applyBorder="1" applyAlignment="1">
      <alignment horizontal="center" vertical="center"/>
    </xf>
    <xf numFmtId="0" fontId="141" fillId="39" borderId="17" xfId="32014" applyNumberFormat="1" applyFont="1" applyFill="1" applyBorder="1" applyAlignment="1">
      <alignment horizontal="center" vertical="center" wrapText="1"/>
    </xf>
    <xf numFmtId="0" fontId="141" fillId="39" borderId="18" xfId="32014" applyNumberFormat="1" applyFont="1" applyFill="1" applyBorder="1" applyAlignment="1">
      <alignment horizontal="center" vertical="center" wrapText="1"/>
    </xf>
    <xf numFmtId="0" fontId="141" fillId="39" borderId="19" xfId="32014" applyNumberFormat="1" applyFont="1" applyFill="1" applyBorder="1" applyAlignment="1">
      <alignment horizontal="center" vertical="center" wrapText="1"/>
    </xf>
    <xf numFmtId="41" fontId="130" fillId="0" borderId="20" xfId="6962" applyFont="1" applyFill="1" applyBorder="1" applyAlignment="1">
      <alignment horizontal="center" vertical="center"/>
    </xf>
    <xf numFmtId="41" fontId="130" fillId="0" borderId="0" xfId="6962" applyFont="1" applyFill="1" applyBorder="1" applyAlignment="1">
      <alignment horizontal="center" vertical="center"/>
    </xf>
    <xf numFmtId="41" fontId="130" fillId="0" borderId="21" xfId="6962" applyFont="1" applyFill="1" applyBorder="1" applyAlignment="1">
      <alignment horizontal="center" vertical="center"/>
    </xf>
    <xf numFmtId="14" fontId="146" fillId="0" borderId="17" xfId="49719" quotePrefix="1" applyNumberFormat="1" applyFont="1" applyFill="1" applyBorder="1" applyAlignment="1">
      <alignment horizontal="center" vertical="center"/>
    </xf>
    <xf numFmtId="14" fontId="146" fillId="0" borderId="18" xfId="49719" quotePrefix="1" applyNumberFormat="1" applyFont="1" applyFill="1" applyBorder="1" applyAlignment="1">
      <alignment horizontal="center" vertical="center"/>
    </xf>
    <xf numFmtId="14" fontId="146" fillId="0" borderId="19" xfId="49719" quotePrefix="1" applyNumberFormat="1" applyFont="1" applyFill="1" applyBorder="1" applyAlignment="1">
      <alignment horizontal="center" vertical="center"/>
    </xf>
    <xf numFmtId="0" fontId="128" fillId="39" borderId="17" xfId="4156" applyNumberFormat="1" applyFont="1" applyFill="1" applyBorder="1" applyAlignment="1">
      <alignment horizontal="center" vertical="center" wrapText="1"/>
    </xf>
    <xf numFmtId="0" fontId="128" fillId="39" borderId="18" xfId="4156" applyNumberFormat="1" applyFont="1" applyFill="1" applyBorder="1" applyAlignment="1">
      <alignment horizontal="center" vertical="center" wrapText="1"/>
    </xf>
    <xf numFmtId="0" fontId="128" fillId="39" borderId="19" xfId="4156" applyNumberFormat="1" applyFont="1" applyFill="1" applyBorder="1" applyAlignment="1">
      <alignment horizontal="center" vertical="center" wrapText="1"/>
    </xf>
    <xf numFmtId="49" fontId="127" fillId="0" borderId="17" xfId="49727" applyNumberFormat="1" applyFont="1" applyBorder="1" applyAlignment="1">
      <alignment horizontal="center" vertical="center" wrapText="1"/>
    </xf>
    <xf numFmtId="49" fontId="127" fillId="0" borderId="18" xfId="49727" applyNumberFormat="1" applyFont="1" applyBorder="1" applyAlignment="1">
      <alignment horizontal="center" vertical="center" wrapText="1"/>
    </xf>
    <xf numFmtId="49" fontId="127" fillId="0" borderId="19" xfId="49727" applyNumberFormat="1" applyFont="1" applyBorder="1" applyAlignment="1">
      <alignment horizontal="center" vertical="center" wrapText="1"/>
    </xf>
    <xf numFmtId="178" fontId="127" fillId="0" borderId="17" xfId="49727" quotePrefix="1" applyNumberFormat="1" applyFont="1" applyBorder="1" applyAlignment="1">
      <alignment horizontal="center" vertical="center"/>
    </xf>
    <xf numFmtId="178" fontId="127" fillId="0" borderId="18" xfId="49727" quotePrefix="1" applyNumberFormat="1" applyFont="1" applyBorder="1" applyAlignment="1">
      <alignment horizontal="center" vertical="center"/>
    </xf>
    <xf numFmtId="178" fontId="127" fillId="0" borderId="19" xfId="49727" quotePrefix="1" applyNumberFormat="1" applyFont="1" applyBorder="1" applyAlignment="1">
      <alignment horizontal="center" vertical="center"/>
    </xf>
    <xf numFmtId="49" fontId="127" fillId="0" borderId="17" xfId="49727" quotePrefix="1" applyNumberFormat="1" applyFont="1" applyFill="1" applyBorder="1" applyAlignment="1">
      <alignment horizontal="center" vertical="center" wrapText="1"/>
    </xf>
    <xf numFmtId="49" fontId="127" fillId="0" borderId="18" xfId="49727" quotePrefix="1" applyNumberFormat="1" applyFont="1" applyFill="1" applyBorder="1" applyAlignment="1">
      <alignment horizontal="center" vertical="center" wrapText="1"/>
    </xf>
    <xf numFmtId="49" fontId="127" fillId="0" borderId="19" xfId="49727" quotePrefix="1" applyNumberFormat="1" applyFont="1" applyFill="1" applyBorder="1" applyAlignment="1">
      <alignment horizontal="center" vertical="center" wrapText="1"/>
    </xf>
    <xf numFmtId="178" fontId="130" fillId="0" borderId="17" xfId="32014" applyNumberFormat="1" applyFont="1" applyFill="1" applyBorder="1" applyAlignment="1">
      <alignment horizontal="center" vertical="center"/>
    </xf>
    <xf numFmtId="178" fontId="130" fillId="0" borderId="18" xfId="32014" applyNumberFormat="1" applyFont="1" applyFill="1" applyBorder="1" applyAlignment="1">
      <alignment horizontal="center" vertical="center"/>
    </xf>
    <xf numFmtId="178" fontId="130" fillId="0" borderId="19" xfId="32014" applyNumberFormat="1" applyFont="1" applyFill="1" applyBorder="1" applyAlignment="1">
      <alignment horizontal="center" vertical="center"/>
    </xf>
    <xf numFmtId="0" fontId="127" fillId="37" borderId="17" xfId="49727" applyFont="1" applyFill="1" applyBorder="1" applyAlignment="1">
      <alignment horizontal="center" vertical="center"/>
    </xf>
    <xf numFmtId="0" fontId="127" fillId="37" borderId="18" xfId="49727" applyFont="1" applyFill="1" applyBorder="1" applyAlignment="1">
      <alignment horizontal="center" vertical="center"/>
    </xf>
    <xf numFmtId="0" fontId="127" fillId="37" borderId="19" xfId="49727" applyFont="1" applyFill="1" applyBorder="1" applyAlignment="1">
      <alignment horizontal="center" vertical="center"/>
    </xf>
    <xf numFmtId="0" fontId="127" fillId="0" borderId="25" xfId="49727" applyFont="1" applyBorder="1" applyAlignment="1">
      <alignment horizontal="center" vertical="center" wrapText="1"/>
    </xf>
    <xf numFmtId="0" fontId="127" fillId="0" borderId="26" xfId="49727" applyFont="1" applyBorder="1" applyAlignment="1">
      <alignment horizontal="center" vertical="center" wrapText="1"/>
    </xf>
    <xf numFmtId="0" fontId="127" fillId="0" borderId="27" xfId="49727" applyFont="1" applyBorder="1" applyAlignment="1">
      <alignment horizontal="center" vertical="center" wrapText="1"/>
    </xf>
    <xf numFmtId="0" fontId="127" fillId="0" borderId="20" xfId="49727" applyFont="1" applyBorder="1" applyAlignment="1">
      <alignment horizontal="center" vertical="center" wrapText="1"/>
    </xf>
    <xf numFmtId="0" fontId="127" fillId="0" borderId="0" xfId="49727" applyFont="1" applyBorder="1" applyAlignment="1">
      <alignment horizontal="center" vertical="center" wrapText="1"/>
    </xf>
    <xf numFmtId="0" fontId="127" fillId="0" borderId="21" xfId="49727" applyFont="1" applyBorder="1" applyAlignment="1">
      <alignment horizontal="center" vertical="center" wrapText="1"/>
    </xf>
    <xf numFmtId="0" fontId="127" fillId="0" borderId="22" xfId="49727" applyFont="1" applyBorder="1" applyAlignment="1">
      <alignment horizontal="center" vertical="center" wrapText="1"/>
    </xf>
    <xf numFmtId="0" fontId="127" fillId="0" borderId="23" xfId="49727" applyFont="1" applyBorder="1" applyAlignment="1">
      <alignment horizontal="center" vertical="center" wrapText="1"/>
    </xf>
    <xf numFmtId="0" fontId="127" fillId="0" borderId="24" xfId="49727" applyFont="1" applyBorder="1" applyAlignment="1">
      <alignment horizontal="center" vertical="center" wrapText="1"/>
    </xf>
    <xf numFmtId="49" fontId="127" fillId="0" borderId="17" xfId="49727" quotePrefix="1" applyNumberFormat="1" applyFont="1" applyBorder="1" applyAlignment="1">
      <alignment horizontal="center" vertical="center" wrapText="1"/>
    </xf>
    <xf numFmtId="49" fontId="127" fillId="0" borderId="18" xfId="49727" quotePrefix="1" applyNumberFormat="1" applyFont="1" applyBorder="1" applyAlignment="1">
      <alignment horizontal="center" vertical="center" wrapText="1"/>
    </xf>
    <xf numFmtId="49" fontId="127" fillId="0" borderId="19" xfId="49727" quotePrefix="1" applyNumberFormat="1" applyFont="1" applyBorder="1" applyAlignment="1">
      <alignment horizontal="center" vertical="center" wrapText="1"/>
    </xf>
    <xf numFmtId="0" fontId="146" fillId="39" borderId="17" xfId="32014" applyNumberFormat="1" applyFont="1" applyFill="1" applyBorder="1" applyAlignment="1">
      <alignment horizontal="center" vertical="center"/>
    </xf>
    <xf numFmtId="0" fontId="130" fillId="39" borderId="18" xfId="32014" applyNumberFormat="1" applyFont="1" applyFill="1" applyBorder="1" applyAlignment="1">
      <alignment horizontal="center" vertical="center"/>
    </xf>
    <xf numFmtId="0" fontId="130" fillId="39" borderId="19" xfId="32014" applyNumberFormat="1" applyFont="1" applyFill="1" applyBorder="1" applyAlignment="1">
      <alignment horizontal="center" vertical="center"/>
    </xf>
    <xf numFmtId="14" fontId="128" fillId="39" borderId="3" xfId="49719" quotePrefix="1" applyNumberFormat="1" applyFont="1" applyFill="1" applyBorder="1" applyAlignment="1">
      <alignment horizontal="center" vertical="center"/>
    </xf>
    <xf numFmtId="14" fontId="128" fillId="25" borderId="3" xfId="49719" quotePrefix="1" applyNumberFormat="1" applyFont="1" applyFill="1" applyBorder="1" applyAlignment="1">
      <alignment horizontal="center" vertical="center"/>
    </xf>
    <xf numFmtId="17" fontId="127" fillId="0" borderId="17" xfId="49727" applyNumberFormat="1" applyFont="1" applyBorder="1" applyAlignment="1">
      <alignment horizontal="center" vertical="center" wrapText="1"/>
    </xf>
    <xf numFmtId="17" fontId="127" fillId="0" borderId="18" xfId="49727" applyNumberFormat="1" applyFont="1" applyBorder="1" applyAlignment="1">
      <alignment horizontal="center" vertical="center" wrapText="1"/>
    </xf>
    <xf numFmtId="17" fontId="127" fillId="0" borderId="19" xfId="49727" applyNumberFormat="1" applyFont="1" applyBorder="1" applyAlignment="1">
      <alignment horizontal="center" vertical="center" wrapText="1"/>
    </xf>
    <xf numFmtId="41" fontId="130" fillId="0" borderId="17" xfId="6962" applyFont="1" applyFill="1" applyBorder="1" applyAlignment="1">
      <alignment vertical="center"/>
    </xf>
    <xf numFmtId="41" fontId="130" fillId="0" borderId="19" xfId="6962" applyFont="1" applyFill="1" applyBorder="1" applyAlignment="1">
      <alignment vertical="center"/>
    </xf>
    <xf numFmtId="0" fontId="128" fillId="39" borderId="17" xfId="32014" applyNumberFormat="1" applyFont="1" applyFill="1" applyBorder="1" applyAlignment="1">
      <alignment horizontal="center" vertical="center" wrapText="1"/>
    </xf>
    <xf numFmtId="0" fontId="128" fillId="39" borderId="18" xfId="32014" applyNumberFormat="1" applyFont="1" applyFill="1" applyBorder="1" applyAlignment="1">
      <alignment horizontal="center" vertical="center" wrapText="1"/>
    </xf>
    <xf numFmtId="0" fontId="128" fillId="39" borderId="19" xfId="32014" applyNumberFormat="1" applyFont="1" applyFill="1" applyBorder="1" applyAlignment="1">
      <alignment horizontal="center" vertical="center" wrapText="1"/>
    </xf>
    <xf numFmtId="0" fontId="127" fillId="0" borderId="17" xfId="49727" applyFont="1" applyBorder="1" applyAlignment="1">
      <alignment horizontal="center" vertical="center" wrapText="1"/>
    </xf>
    <xf numFmtId="0" fontId="127" fillId="0" borderId="18" xfId="49727" applyFont="1" applyBorder="1" applyAlignment="1">
      <alignment horizontal="center" vertical="center" wrapText="1"/>
    </xf>
    <xf numFmtId="0" fontId="127" fillId="0" borderId="19" xfId="49727" applyFont="1" applyBorder="1" applyAlignment="1">
      <alignment horizontal="center" vertical="center" wrapText="1"/>
    </xf>
    <xf numFmtId="0" fontId="38" fillId="0" borderId="17" xfId="32014" applyFont="1" applyFill="1" applyBorder="1" applyAlignment="1">
      <alignment horizontal="center" vertical="center" wrapText="1"/>
    </xf>
    <xf numFmtId="0" fontId="38" fillId="0" borderId="18" xfId="32014" applyFont="1" applyFill="1" applyBorder="1" applyAlignment="1">
      <alignment horizontal="center" vertical="center" wrapText="1"/>
    </xf>
    <xf numFmtId="0" fontId="38" fillId="0" borderId="19" xfId="32014" applyFont="1" applyFill="1" applyBorder="1" applyAlignment="1">
      <alignment horizontal="center" vertical="center" wrapText="1"/>
    </xf>
    <xf numFmtId="0" fontId="43" fillId="0" borderId="3" xfId="4156" applyFont="1" applyBorder="1" applyAlignment="1">
      <alignment horizontal="center" vertical="center"/>
    </xf>
    <xf numFmtId="0" fontId="130" fillId="25" borderId="17" xfId="4156" applyNumberFormat="1" applyFont="1" applyFill="1" applyBorder="1" applyAlignment="1">
      <alignment horizontal="center" vertical="center"/>
    </xf>
    <xf numFmtId="0" fontId="130" fillId="25" borderId="18" xfId="4156" applyNumberFormat="1" applyFont="1" applyFill="1" applyBorder="1" applyAlignment="1">
      <alignment horizontal="center" vertical="center"/>
    </xf>
    <xf numFmtId="0" fontId="130" fillId="25" borderId="19" xfId="4156" applyNumberFormat="1" applyFont="1" applyFill="1" applyBorder="1" applyAlignment="1">
      <alignment horizontal="center" vertical="center"/>
    </xf>
    <xf numFmtId="0" fontId="128" fillId="0" borderId="25" xfId="116" applyFont="1" applyFill="1" applyBorder="1" applyAlignment="1">
      <alignment horizontal="center" vertical="center" shrinkToFit="1"/>
    </xf>
    <xf numFmtId="0" fontId="128" fillId="0" borderId="26" xfId="116" applyFont="1" applyFill="1" applyBorder="1" applyAlignment="1">
      <alignment horizontal="center" vertical="center" shrinkToFit="1"/>
    </xf>
    <xf numFmtId="0" fontId="128" fillId="0" borderId="27" xfId="116" applyFont="1" applyFill="1" applyBorder="1" applyAlignment="1">
      <alignment horizontal="center" vertical="center" shrinkToFit="1"/>
    </xf>
    <xf numFmtId="0" fontId="128" fillId="0" borderId="20" xfId="116" applyFont="1" applyFill="1" applyBorder="1" applyAlignment="1">
      <alignment horizontal="center" vertical="center" shrinkToFit="1"/>
    </xf>
    <xf numFmtId="0" fontId="128" fillId="0" borderId="0" xfId="116" applyFont="1" applyFill="1" applyBorder="1" applyAlignment="1">
      <alignment horizontal="center" vertical="center" shrinkToFit="1"/>
    </xf>
    <xf numFmtId="0" fontId="128" fillId="0" borderId="21" xfId="116" applyFont="1" applyFill="1" applyBorder="1" applyAlignment="1">
      <alignment horizontal="center" vertical="center" shrinkToFit="1"/>
    </xf>
    <xf numFmtId="0" fontId="128" fillId="0" borderId="22" xfId="116" applyFont="1" applyFill="1" applyBorder="1" applyAlignment="1">
      <alignment horizontal="center" vertical="center" shrinkToFit="1"/>
    </xf>
    <xf numFmtId="0" fontId="128" fillId="0" borderId="23" xfId="116" applyFont="1" applyFill="1" applyBorder="1" applyAlignment="1">
      <alignment horizontal="center" vertical="center" shrinkToFit="1"/>
    </xf>
    <xf numFmtId="0" fontId="128" fillId="0" borderId="24" xfId="116" applyFont="1" applyFill="1" applyBorder="1" applyAlignment="1">
      <alignment horizontal="center" vertical="center" shrinkToFit="1"/>
    </xf>
    <xf numFmtId="49" fontId="128" fillId="0" borderId="17" xfId="49719" quotePrefix="1" applyNumberFormat="1" applyFont="1" applyFill="1" applyBorder="1" applyAlignment="1">
      <alignment horizontal="center" vertical="center" wrapText="1"/>
    </xf>
    <xf numFmtId="49" fontId="128" fillId="0" borderId="18" xfId="49719" quotePrefix="1" applyNumberFormat="1" applyFont="1" applyFill="1" applyBorder="1" applyAlignment="1">
      <alignment horizontal="center" vertical="center" wrapText="1"/>
    </xf>
    <xf numFmtId="49" fontId="128" fillId="0" borderId="19" xfId="49719" quotePrefix="1" applyNumberFormat="1" applyFont="1" applyFill="1" applyBorder="1" applyAlignment="1">
      <alignment horizontal="center" vertical="center" wrapText="1"/>
    </xf>
    <xf numFmtId="14" fontId="128" fillId="0" borderId="17" xfId="32014" quotePrefix="1" applyNumberFormat="1" applyFont="1" applyFill="1" applyBorder="1" applyAlignment="1">
      <alignment horizontal="center" vertical="center"/>
    </xf>
    <xf numFmtId="14" fontId="128" fillId="0" borderId="18" xfId="32014" quotePrefix="1" applyNumberFormat="1" applyFont="1" applyFill="1" applyBorder="1" applyAlignment="1">
      <alignment horizontal="center" vertical="center"/>
    </xf>
    <xf numFmtId="14" fontId="128" fillId="0" borderId="19" xfId="32014" quotePrefix="1" applyNumberFormat="1" applyFont="1" applyFill="1" applyBorder="1" applyAlignment="1">
      <alignment horizontal="center" vertical="center"/>
    </xf>
    <xf numFmtId="41" fontId="128" fillId="0" borderId="27" xfId="49719" applyFont="1" applyFill="1" applyBorder="1" applyAlignment="1">
      <alignment horizontal="center" vertical="center"/>
    </xf>
    <xf numFmtId="41" fontId="128" fillId="0" borderId="21" xfId="49719" applyFont="1" applyFill="1" applyBorder="1" applyAlignment="1">
      <alignment horizontal="center" vertical="center"/>
    </xf>
    <xf numFmtId="41" fontId="128" fillId="0" borderId="24" xfId="49719" applyFont="1" applyFill="1" applyBorder="1" applyAlignment="1">
      <alignment horizontal="center" vertical="center"/>
    </xf>
    <xf numFmtId="0" fontId="146" fillId="25" borderId="17" xfId="32014" applyNumberFormat="1" applyFont="1" applyFill="1" applyBorder="1" applyAlignment="1">
      <alignment horizontal="center" vertical="center" wrapText="1"/>
    </xf>
    <xf numFmtId="0" fontId="146" fillId="25" borderId="18" xfId="32014" applyNumberFormat="1" applyFont="1" applyFill="1" applyBorder="1" applyAlignment="1">
      <alignment horizontal="center" vertical="center" wrapText="1"/>
    </xf>
    <xf numFmtId="0" fontId="146" fillId="25" borderId="19" xfId="32014" applyNumberFormat="1" applyFont="1" applyFill="1" applyBorder="1" applyAlignment="1">
      <alignment horizontal="center" vertical="center" wrapText="1"/>
    </xf>
    <xf numFmtId="0" fontId="128" fillId="0" borderId="17" xfId="116" applyFont="1" applyBorder="1" applyAlignment="1">
      <alignment horizontal="center" vertical="center"/>
    </xf>
    <xf numFmtId="0" fontId="128" fillId="0" borderId="18" xfId="116" applyFont="1" applyBorder="1" applyAlignment="1">
      <alignment horizontal="center" vertical="center"/>
    </xf>
    <xf numFmtId="0" fontId="128" fillId="0" borderId="19" xfId="116" applyFont="1" applyBorder="1" applyAlignment="1">
      <alignment horizontal="center" vertical="center"/>
    </xf>
    <xf numFmtId="41" fontId="128" fillId="0" borderId="3" xfId="49719" applyFont="1" applyFill="1" applyBorder="1" applyAlignment="1">
      <alignment horizontal="center" vertical="center"/>
    </xf>
    <xf numFmtId="0" fontId="127" fillId="39" borderId="17" xfId="49724" applyNumberFormat="1" applyFont="1" applyFill="1" applyBorder="1" applyAlignment="1">
      <alignment horizontal="center" vertical="center"/>
    </xf>
    <xf numFmtId="0" fontId="127" fillId="39" borderId="18" xfId="49724" applyNumberFormat="1" applyFont="1" applyFill="1" applyBorder="1" applyAlignment="1">
      <alignment horizontal="center" vertical="center"/>
    </xf>
    <xf numFmtId="0" fontId="127" fillId="39" borderId="19" xfId="49724" applyNumberFormat="1" applyFont="1" applyFill="1" applyBorder="1" applyAlignment="1">
      <alignment horizontal="center" vertical="center"/>
    </xf>
    <xf numFmtId="192" fontId="128" fillId="0" borderId="17" xfId="49719" quotePrefix="1" applyNumberFormat="1" applyFont="1" applyFill="1" applyBorder="1" applyAlignment="1">
      <alignment horizontal="center" vertical="center"/>
    </xf>
    <xf numFmtId="192" fontId="128" fillId="0" borderId="18" xfId="49719" quotePrefix="1" applyNumberFormat="1" applyFont="1" applyFill="1" applyBorder="1" applyAlignment="1">
      <alignment horizontal="center" vertical="center"/>
    </xf>
    <xf numFmtId="192" fontId="128" fillId="0" borderId="19" xfId="49719" quotePrefix="1" applyNumberFormat="1" applyFont="1" applyFill="1" applyBorder="1" applyAlignment="1">
      <alignment horizontal="center" vertical="center"/>
    </xf>
    <xf numFmtId="0" fontId="161" fillId="0" borderId="17" xfId="116" quotePrefix="1" applyFont="1" applyBorder="1" applyAlignment="1">
      <alignment horizontal="center" vertical="center" wrapText="1"/>
    </xf>
    <xf numFmtId="0" fontId="161" fillId="0" borderId="18" xfId="116" applyFont="1" applyBorder="1" applyAlignment="1">
      <alignment horizontal="center" vertical="center"/>
    </xf>
    <xf numFmtId="0" fontId="161" fillId="0" borderId="19" xfId="116" applyFont="1" applyBorder="1" applyAlignment="1">
      <alignment horizontal="center" vertical="center"/>
    </xf>
    <xf numFmtId="41" fontId="104" fillId="33" borderId="35" xfId="49719" applyFont="1" applyFill="1" applyBorder="1" applyAlignment="1">
      <alignment horizontal="center" vertical="center"/>
    </xf>
    <xf numFmtId="41" fontId="104" fillId="33" borderId="2" xfId="49719" applyFont="1" applyFill="1" applyBorder="1" applyAlignment="1">
      <alignment horizontal="center" vertical="center"/>
    </xf>
    <xf numFmtId="41" fontId="104" fillId="33" borderId="36" xfId="49719" applyFont="1" applyFill="1" applyBorder="1" applyAlignment="1">
      <alignment horizontal="center" vertical="center"/>
    </xf>
    <xf numFmtId="0" fontId="134" fillId="0" borderId="0" xfId="116" applyFont="1" applyBorder="1" applyAlignment="1">
      <alignment horizontal="center" vertical="center" wrapText="1"/>
    </xf>
    <xf numFmtId="0" fontId="145" fillId="0" borderId="17" xfId="32014" applyNumberFormat="1" applyFont="1" applyFill="1" applyBorder="1" applyAlignment="1">
      <alignment horizontal="center" vertical="center" wrapText="1"/>
    </xf>
    <xf numFmtId="0" fontId="145" fillId="0" borderId="18" xfId="32014" applyNumberFormat="1" applyFont="1" applyFill="1" applyBorder="1" applyAlignment="1">
      <alignment horizontal="center" vertical="center" wrapText="1"/>
    </xf>
    <xf numFmtId="0" fontId="145" fillId="0" borderId="19" xfId="32014" applyNumberFormat="1" applyFont="1" applyFill="1" applyBorder="1" applyAlignment="1">
      <alignment horizontal="center" vertical="center" wrapText="1"/>
    </xf>
    <xf numFmtId="41" fontId="130" fillId="33" borderId="35" xfId="6962" applyFont="1" applyFill="1" applyBorder="1" applyAlignment="1">
      <alignment horizontal="center" vertical="center"/>
    </xf>
    <xf numFmtId="41" fontId="130" fillId="33" borderId="2" xfId="6962" applyFont="1" applyFill="1" applyBorder="1" applyAlignment="1">
      <alignment horizontal="center" vertical="center"/>
    </xf>
    <xf numFmtId="41" fontId="130" fillId="33" borderId="36" xfId="6962" applyFont="1" applyFill="1" applyBorder="1" applyAlignment="1">
      <alignment horizontal="center" vertical="center"/>
    </xf>
    <xf numFmtId="0" fontId="130" fillId="0" borderId="17" xfId="32014" quotePrefix="1" applyFont="1" applyFill="1" applyBorder="1" applyAlignment="1">
      <alignment horizontal="center" vertical="center" wrapText="1"/>
    </xf>
    <xf numFmtId="0" fontId="130" fillId="0" borderId="18" xfId="32014" quotePrefix="1" applyFont="1" applyFill="1" applyBorder="1" applyAlignment="1">
      <alignment horizontal="center" vertical="center" wrapText="1"/>
    </xf>
    <xf numFmtId="0" fontId="130" fillId="0" borderId="19" xfId="32014" quotePrefix="1" applyFont="1" applyFill="1" applyBorder="1" applyAlignment="1">
      <alignment horizontal="center" vertical="center" wrapText="1"/>
    </xf>
    <xf numFmtId="41" fontId="104" fillId="33" borderId="3" xfId="49719" applyFont="1" applyFill="1" applyBorder="1" applyAlignment="1">
      <alignment horizontal="center" vertical="center"/>
    </xf>
    <xf numFmtId="49" fontId="130" fillId="0" borderId="17" xfId="4156" applyNumberFormat="1" applyFont="1" applyBorder="1" applyAlignment="1">
      <alignment horizontal="center" vertical="center"/>
    </xf>
    <xf numFmtId="49" fontId="130" fillId="0" borderId="18" xfId="4156" applyNumberFormat="1" applyFont="1" applyBorder="1" applyAlignment="1">
      <alignment horizontal="center" vertical="center"/>
    </xf>
    <xf numFmtId="49" fontId="130" fillId="0" borderId="19" xfId="4156" applyNumberFormat="1" applyFont="1" applyBorder="1" applyAlignment="1">
      <alignment horizontal="center" vertical="center"/>
    </xf>
    <xf numFmtId="0" fontId="104" fillId="0" borderId="18" xfId="32014" applyFont="1" applyFill="1" applyBorder="1" applyAlignment="1">
      <alignment horizontal="center" vertical="center" wrapText="1"/>
    </xf>
    <xf numFmtId="0" fontId="104" fillId="0" borderId="19" xfId="32014" applyFont="1" applyFill="1" applyBorder="1" applyAlignment="1">
      <alignment horizontal="center" vertical="center" wrapText="1"/>
    </xf>
    <xf numFmtId="0" fontId="147" fillId="37" borderId="17" xfId="49727" applyFont="1" applyFill="1" applyBorder="1" applyAlignment="1">
      <alignment horizontal="center" vertical="center"/>
    </xf>
    <xf numFmtId="0" fontId="147" fillId="37" borderId="18" xfId="49727" applyFont="1" applyFill="1" applyBorder="1" applyAlignment="1">
      <alignment horizontal="center" vertical="center"/>
    </xf>
    <xf numFmtId="0" fontId="147" fillId="37" borderId="19" xfId="49727" applyFont="1" applyFill="1" applyBorder="1" applyAlignment="1">
      <alignment horizontal="center" vertical="center"/>
    </xf>
    <xf numFmtId="0" fontId="145" fillId="0" borderId="17" xfId="32014" applyFont="1" applyFill="1" applyBorder="1" applyAlignment="1">
      <alignment horizontal="center" vertical="center" wrapText="1"/>
    </xf>
    <xf numFmtId="14" fontId="154" fillId="0" borderId="17" xfId="49719" quotePrefix="1" applyNumberFormat="1" applyFont="1" applyFill="1" applyBorder="1" applyAlignment="1">
      <alignment horizontal="center" vertical="center"/>
    </xf>
    <xf numFmtId="0" fontId="149" fillId="0" borderId="18" xfId="49727" applyFont="1" applyBorder="1" applyAlignment="1">
      <alignment horizontal="center" vertical="center" wrapText="1"/>
    </xf>
    <xf numFmtId="0" fontId="149" fillId="0" borderId="27" xfId="49727" applyFont="1" applyBorder="1" applyAlignment="1">
      <alignment horizontal="center" vertical="center" wrapText="1"/>
    </xf>
    <xf numFmtId="0" fontId="149" fillId="0" borderId="21" xfId="49727" applyFont="1" applyBorder="1" applyAlignment="1">
      <alignment horizontal="center" vertical="center" wrapText="1"/>
    </xf>
    <xf numFmtId="0" fontId="149" fillId="0" borderId="24" xfId="49727" applyFont="1" applyBorder="1" applyAlignment="1">
      <alignment horizontal="center" vertical="center" wrapText="1"/>
    </xf>
    <xf numFmtId="41" fontId="128" fillId="39" borderId="3" xfId="49719" applyFont="1" applyFill="1" applyBorder="1" applyAlignment="1">
      <alignment horizontal="center" vertical="center"/>
    </xf>
    <xf numFmtId="0" fontId="37" fillId="0" borderId="0" xfId="5" applyNumberFormat="1" applyFont="1" applyFill="1" applyBorder="1" applyAlignment="1">
      <alignment horizontal="left" vertical="center"/>
    </xf>
    <xf numFmtId="0" fontId="36" fillId="0" borderId="6" xfId="5" applyNumberFormat="1" applyFont="1" applyFill="1" applyBorder="1" applyAlignment="1" applyProtection="1">
      <alignment horizontal="center" vertical="center"/>
    </xf>
    <xf numFmtId="0" fontId="36" fillId="0" borderId="4" xfId="5" applyNumberFormat="1" applyFont="1" applyFill="1" applyBorder="1" applyAlignment="1" applyProtection="1">
      <alignment horizontal="center" vertical="center"/>
    </xf>
    <xf numFmtId="0" fontId="36" fillId="33" borderId="5" xfId="5" applyNumberFormat="1" applyFont="1" applyFill="1" applyBorder="1" applyAlignment="1" applyProtection="1">
      <alignment horizontal="center" vertical="center" wrapText="1"/>
    </xf>
    <xf numFmtId="0" fontId="36" fillId="33" borderId="3" xfId="5" applyNumberFormat="1" applyFont="1" applyFill="1" applyBorder="1" applyAlignment="1" applyProtection="1">
      <alignment horizontal="center" vertical="center"/>
    </xf>
    <xf numFmtId="0" fontId="36" fillId="2" borderId="5" xfId="5" applyNumberFormat="1" applyFont="1" applyFill="1" applyBorder="1" applyAlignment="1" applyProtection="1">
      <alignment horizontal="center" vertical="center" wrapText="1"/>
    </xf>
    <xf numFmtId="0" fontId="36" fillId="2" borderId="3" xfId="5" applyNumberFormat="1" applyFont="1" applyFill="1" applyBorder="1" applyAlignment="1" applyProtection="1">
      <alignment horizontal="center" vertical="center"/>
    </xf>
  </cellXfs>
  <cellStyles count="49742">
    <cellStyle name="??&amp;O?&amp;H?_x0008__x000f__x0007_?_x0007__x0001__x0001_" xfId="218" xr:uid="{00000000-0005-0000-0000-000000000000}"/>
    <cellStyle name="??&amp;O?&amp;H?_x0008_??_x0007__x0001__x0001_" xfId="202" xr:uid="{00000000-0005-0000-0000-000001000000}"/>
    <cellStyle name="_1111" xfId="48450" xr:uid="{00000000-0005-0000-0000-000002000000}"/>
    <cellStyle name="_Sheet1" xfId="48459" xr:uid="{00000000-0005-0000-0000-000003000000}"/>
    <cellStyle name="_Sheet3" xfId="48460" xr:uid="{00000000-0005-0000-0000-000004000000}"/>
    <cellStyle name="_노무비단가" xfId="48451" xr:uid="{00000000-0005-0000-0000-000005000000}"/>
    <cellStyle name="_설계변경내역서" xfId="48452" xr:uid="{00000000-0005-0000-0000-000006000000}"/>
    <cellStyle name="_설계설명서" xfId="48453" xr:uid="{00000000-0005-0000-0000-000007000000}"/>
    <cellStyle name="_시간당중기사용료" xfId="48454" xr:uid="{00000000-0005-0000-0000-000008000000}"/>
    <cellStyle name="_실행보고서(당초)" xfId="48455" xr:uid="{00000000-0005-0000-0000-000009000000}"/>
    <cellStyle name="_재료비단가" xfId="48456" xr:uid="{00000000-0005-0000-0000-00000A000000}"/>
    <cellStyle name="_중기적용기준" xfId="48457" xr:uid="{00000000-0005-0000-0000-00000B000000}"/>
    <cellStyle name="_증감대비표" xfId="48458" xr:uid="{00000000-0005-0000-0000-00000C000000}"/>
    <cellStyle name="¤@?e_TEST-1 " xfId="189" xr:uid="{00000000-0005-0000-0000-00000D000000}"/>
    <cellStyle name="0" xfId="48461" xr:uid="{00000000-0005-0000-0000-00000E000000}"/>
    <cellStyle name="00" xfId="48462" xr:uid="{00000000-0005-0000-0000-00000F000000}"/>
    <cellStyle name="20% - 강조색1 10" xfId="6770" xr:uid="{00000000-0005-0000-0000-000010000000}"/>
    <cellStyle name="20% - 강조색1 11" xfId="6836" xr:uid="{00000000-0005-0000-0000-000011000000}"/>
    <cellStyle name="20% - 강조색1 12" xfId="6881" xr:uid="{00000000-0005-0000-0000-000012000000}"/>
    <cellStyle name="20% - 강조색1 13" xfId="6929" xr:uid="{00000000-0005-0000-0000-000013000000}"/>
    <cellStyle name="20% - 강조색1 14" xfId="48463" xr:uid="{00000000-0005-0000-0000-000014000000}"/>
    <cellStyle name="20% - 강조색1 15" xfId="48464" xr:uid="{00000000-0005-0000-0000-000015000000}"/>
    <cellStyle name="20% - 강조색1 16" xfId="48465" xr:uid="{00000000-0005-0000-0000-000016000000}"/>
    <cellStyle name="20% - 강조색1 17" xfId="48466" xr:uid="{00000000-0005-0000-0000-000017000000}"/>
    <cellStyle name="20% - 강조색1 18" xfId="48467" xr:uid="{00000000-0005-0000-0000-000018000000}"/>
    <cellStyle name="20% - 강조색1 19" xfId="48468" xr:uid="{00000000-0005-0000-0000-000019000000}"/>
    <cellStyle name="20% - 강조색1 2" xfId="190" xr:uid="{00000000-0005-0000-0000-00001A000000}"/>
    <cellStyle name="20% - 강조색1 2 10" xfId="6880" xr:uid="{00000000-0005-0000-0000-00001B000000}"/>
    <cellStyle name="20% - 강조색1 2 11" xfId="6928" xr:uid="{00000000-0005-0000-0000-00001C000000}"/>
    <cellStyle name="20% - 강조색1 2 2" xfId="4405" xr:uid="{00000000-0005-0000-0000-00001D000000}"/>
    <cellStyle name="20% - 강조색1 2 3" xfId="6244" xr:uid="{00000000-0005-0000-0000-00001E000000}"/>
    <cellStyle name="20% - 강조색1 2 4" xfId="6558" xr:uid="{00000000-0005-0000-0000-00001F000000}"/>
    <cellStyle name="20% - 강조색1 2 5" xfId="6600" xr:uid="{00000000-0005-0000-0000-000020000000}"/>
    <cellStyle name="20% - 강조색1 2 6" xfId="6633" xr:uid="{00000000-0005-0000-0000-000021000000}"/>
    <cellStyle name="20% - 강조색1 2 7" xfId="6688" xr:uid="{00000000-0005-0000-0000-000022000000}"/>
    <cellStyle name="20% - 강조색1 2 8" xfId="6769" xr:uid="{00000000-0005-0000-0000-000023000000}"/>
    <cellStyle name="20% - 강조색1 2 9" xfId="6835" xr:uid="{00000000-0005-0000-0000-000024000000}"/>
    <cellStyle name="20% - 강조색1 20" xfId="48469" xr:uid="{00000000-0005-0000-0000-000025000000}"/>
    <cellStyle name="20% - 강조색1 21" xfId="48470" xr:uid="{00000000-0005-0000-0000-000026000000}"/>
    <cellStyle name="20% - 강조색1 22" xfId="48471" xr:uid="{00000000-0005-0000-0000-000027000000}"/>
    <cellStyle name="20% - 강조색1 23" xfId="48472" xr:uid="{00000000-0005-0000-0000-000028000000}"/>
    <cellStyle name="20% - 강조색1 24" xfId="48473" xr:uid="{00000000-0005-0000-0000-000029000000}"/>
    <cellStyle name="20% - 강조색1 25" xfId="48474" xr:uid="{00000000-0005-0000-0000-00002A000000}"/>
    <cellStyle name="20% - 강조색1 26" xfId="48475" xr:uid="{00000000-0005-0000-0000-00002B000000}"/>
    <cellStyle name="20% - 강조색1 27" xfId="48476" xr:uid="{00000000-0005-0000-0000-00002C000000}"/>
    <cellStyle name="20% - 강조색1 28" xfId="48477" xr:uid="{00000000-0005-0000-0000-00002D000000}"/>
    <cellStyle name="20% - 강조색1 29" xfId="48478" xr:uid="{00000000-0005-0000-0000-00002E000000}"/>
    <cellStyle name="20% - 강조색1 3" xfId="2816" xr:uid="{00000000-0005-0000-0000-00002F000000}"/>
    <cellStyle name="20% - 강조색1 3 10" xfId="4306" xr:uid="{00000000-0005-0000-0000-000030000000}"/>
    <cellStyle name="20% - 강조색1 3 11" xfId="3954" xr:uid="{00000000-0005-0000-0000-000031000000}"/>
    <cellStyle name="20% - 강조색1 3 2" xfId="2737" xr:uid="{00000000-0005-0000-0000-000032000000}"/>
    <cellStyle name="20% - 강조색1 3 3" xfId="2475" xr:uid="{00000000-0005-0000-0000-000033000000}"/>
    <cellStyle name="20% - 강조색1 3 4" xfId="3816" xr:uid="{00000000-0005-0000-0000-000034000000}"/>
    <cellStyle name="20% - 강조색1 3 5" xfId="2829" xr:uid="{00000000-0005-0000-0000-000035000000}"/>
    <cellStyle name="20% - 강조색1 3 6" xfId="4191" xr:uid="{00000000-0005-0000-0000-000036000000}"/>
    <cellStyle name="20% - 강조색1 3 7" xfId="3700" xr:uid="{00000000-0005-0000-0000-000037000000}"/>
    <cellStyle name="20% - 강조색1 3 8" xfId="4010" xr:uid="{00000000-0005-0000-0000-000038000000}"/>
    <cellStyle name="20% - 강조색1 3 9" xfId="3498" xr:uid="{00000000-0005-0000-0000-000039000000}"/>
    <cellStyle name="20% - 강조색1 30" xfId="48479" xr:uid="{00000000-0005-0000-0000-00003A000000}"/>
    <cellStyle name="20% - 강조색1 31" xfId="48480" xr:uid="{00000000-0005-0000-0000-00003B000000}"/>
    <cellStyle name="20% - 강조색1 32" xfId="48481" xr:uid="{00000000-0005-0000-0000-00003C000000}"/>
    <cellStyle name="20% - 강조색1 33" xfId="48482" xr:uid="{00000000-0005-0000-0000-00003D000000}"/>
    <cellStyle name="20% - 강조색1 4" xfId="374" xr:uid="{00000000-0005-0000-0000-00003E000000}"/>
    <cellStyle name="20% - 강조색1 4 10" xfId="2835" xr:uid="{00000000-0005-0000-0000-00003F000000}"/>
    <cellStyle name="20% - 강조색1 4 11" xfId="2675" xr:uid="{00000000-0005-0000-0000-000040000000}"/>
    <cellStyle name="20% - 강조색1 4 2" xfId="2647" xr:uid="{00000000-0005-0000-0000-000041000000}"/>
    <cellStyle name="20% - 강조색1 4 3" xfId="3003" xr:uid="{00000000-0005-0000-0000-000042000000}"/>
    <cellStyle name="20% - 강조색1 4 4" xfId="4262" xr:uid="{00000000-0005-0000-0000-000043000000}"/>
    <cellStyle name="20% - 강조색1 4 5" xfId="3011" xr:uid="{00000000-0005-0000-0000-000044000000}"/>
    <cellStyle name="20% - 강조색1 4 6" xfId="3925" xr:uid="{00000000-0005-0000-0000-000045000000}"/>
    <cellStyle name="20% - 강조색1 4 7" xfId="3667" xr:uid="{00000000-0005-0000-0000-000046000000}"/>
    <cellStyle name="20% - 강조색1 4 8" xfId="3769" xr:uid="{00000000-0005-0000-0000-000047000000}"/>
    <cellStyle name="20% - 강조색1 4 9" xfId="3251" xr:uid="{00000000-0005-0000-0000-000048000000}"/>
    <cellStyle name="20% - 강조색1 5" xfId="3440" xr:uid="{00000000-0005-0000-0000-000049000000}"/>
    <cellStyle name="20% - 강조색1 5 2" xfId="2525" xr:uid="{00000000-0005-0000-0000-00004A000000}"/>
    <cellStyle name="20% - 강조색1 5 3" xfId="2653" xr:uid="{00000000-0005-0000-0000-00004B000000}"/>
    <cellStyle name="20% - 강조색1 5 4" xfId="3744" xr:uid="{00000000-0005-0000-0000-00004C000000}"/>
    <cellStyle name="20% - 강조색1 5 5" xfId="3593" xr:uid="{00000000-0005-0000-0000-00004D000000}"/>
    <cellStyle name="20% - 강조색1 6" xfId="3102" xr:uid="{00000000-0005-0000-0000-00004E000000}"/>
    <cellStyle name="20% - 강조색1 6 2" xfId="3937" xr:uid="{00000000-0005-0000-0000-00004F000000}"/>
    <cellStyle name="20% - 강조색1 6 3" xfId="3264" xr:uid="{00000000-0005-0000-0000-000050000000}"/>
    <cellStyle name="20% - 강조색1 6 4" xfId="2782" xr:uid="{00000000-0005-0000-0000-000051000000}"/>
    <cellStyle name="20% - 강조색1 6 5" xfId="4146" xr:uid="{00000000-0005-0000-0000-000052000000}"/>
    <cellStyle name="20% - 강조색1 7" xfId="4241" xr:uid="{00000000-0005-0000-0000-000053000000}"/>
    <cellStyle name="20% - 강조색1 7 2" xfId="3941" xr:uid="{00000000-0005-0000-0000-000054000000}"/>
    <cellStyle name="20% - 강조색1 8" xfId="3657" xr:uid="{00000000-0005-0000-0000-000055000000}"/>
    <cellStyle name="20% - 강조색1 8 2" xfId="3023" xr:uid="{00000000-0005-0000-0000-000056000000}"/>
    <cellStyle name="20% - 강조색1 9" xfId="6689" xr:uid="{00000000-0005-0000-0000-000057000000}"/>
    <cellStyle name="20% - 강조색2 10" xfId="6763" xr:uid="{00000000-0005-0000-0000-000058000000}"/>
    <cellStyle name="20% - 강조색2 11" xfId="6831" xr:uid="{00000000-0005-0000-0000-000059000000}"/>
    <cellStyle name="20% - 강조색2 12" xfId="6877" xr:uid="{00000000-0005-0000-0000-00005A000000}"/>
    <cellStyle name="20% - 강조색2 13" xfId="6925" xr:uid="{00000000-0005-0000-0000-00005B000000}"/>
    <cellStyle name="20% - 강조색2 14" xfId="48483" xr:uid="{00000000-0005-0000-0000-00005C000000}"/>
    <cellStyle name="20% - 강조색2 15" xfId="48484" xr:uid="{00000000-0005-0000-0000-00005D000000}"/>
    <cellStyle name="20% - 강조색2 16" xfId="48485" xr:uid="{00000000-0005-0000-0000-00005E000000}"/>
    <cellStyle name="20% - 강조색2 17" xfId="48486" xr:uid="{00000000-0005-0000-0000-00005F000000}"/>
    <cellStyle name="20% - 강조색2 18" xfId="48487" xr:uid="{00000000-0005-0000-0000-000060000000}"/>
    <cellStyle name="20% - 강조색2 19" xfId="48488" xr:uid="{00000000-0005-0000-0000-000061000000}"/>
    <cellStyle name="20% - 강조색2 2" xfId="219" xr:uid="{00000000-0005-0000-0000-000062000000}"/>
    <cellStyle name="20% - 강조색2 2 10" xfId="6876" xr:uid="{00000000-0005-0000-0000-000063000000}"/>
    <cellStyle name="20% - 강조색2 2 11" xfId="6924" xr:uid="{00000000-0005-0000-0000-000064000000}"/>
    <cellStyle name="20% - 강조색2 2 2" xfId="4406" xr:uid="{00000000-0005-0000-0000-000065000000}"/>
    <cellStyle name="20% - 강조색2 2 3" xfId="6246" xr:uid="{00000000-0005-0000-0000-000066000000}"/>
    <cellStyle name="20% - 강조색2 2 4" xfId="6556" xr:uid="{00000000-0005-0000-0000-000067000000}"/>
    <cellStyle name="20% - 강조색2 2 5" xfId="6598" xr:uid="{00000000-0005-0000-0000-000068000000}"/>
    <cellStyle name="20% - 강조색2 2 6" xfId="6629" xr:uid="{00000000-0005-0000-0000-000069000000}"/>
    <cellStyle name="20% - 강조색2 2 7" xfId="6683" xr:uid="{00000000-0005-0000-0000-00006A000000}"/>
    <cellStyle name="20% - 강조색2 2 8" xfId="6762" xr:uid="{00000000-0005-0000-0000-00006B000000}"/>
    <cellStyle name="20% - 강조색2 2 9" xfId="6830" xr:uid="{00000000-0005-0000-0000-00006C000000}"/>
    <cellStyle name="20% - 강조색2 20" xfId="48489" xr:uid="{00000000-0005-0000-0000-00006D000000}"/>
    <cellStyle name="20% - 강조색2 21" xfId="48490" xr:uid="{00000000-0005-0000-0000-00006E000000}"/>
    <cellStyle name="20% - 강조색2 22" xfId="48491" xr:uid="{00000000-0005-0000-0000-00006F000000}"/>
    <cellStyle name="20% - 강조색2 23" xfId="48492" xr:uid="{00000000-0005-0000-0000-000070000000}"/>
    <cellStyle name="20% - 강조색2 24" xfId="48493" xr:uid="{00000000-0005-0000-0000-000071000000}"/>
    <cellStyle name="20% - 강조색2 25" xfId="48494" xr:uid="{00000000-0005-0000-0000-000072000000}"/>
    <cellStyle name="20% - 강조색2 26" xfId="48495" xr:uid="{00000000-0005-0000-0000-000073000000}"/>
    <cellStyle name="20% - 강조색2 27" xfId="48496" xr:uid="{00000000-0005-0000-0000-000074000000}"/>
    <cellStyle name="20% - 강조색2 28" xfId="48497" xr:uid="{00000000-0005-0000-0000-000075000000}"/>
    <cellStyle name="20% - 강조색2 29" xfId="48498" xr:uid="{00000000-0005-0000-0000-000076000000}"/>
    <cellStyle name="20% - 강조색2 3" xfId="3029" xr:uid="{00000000-0005-0000-0000-000077000000}"/>
    <cellStyle name="20% - 강조색2 3 10" xfId="3663" xr:uid="{00000000-0005-0000-0000-000078000000}"/>
    <cellStyle name="20% - 강조색2 3 11" xfId="3177" xr:uid="{00000000-0005-0000-0000-000079000000}"/>
    <cellStyle name="20% - 강조색2 3 2" xfId="3068" xr:uid="{00000000-0005-0000-0000-00007A000000}"/>
    <cellStyle name="20% - 강조색2 3 3" xfId="3971" xr:uid="{00000000-0005-0000-0000-00007B000000}"/>
    <cellStyle name="20% - 강조색2 3 4" xfId="3719" xr:uid="{00000000-0005-0000-0000-00007C000000}"/>
    <cellStyle name="20% - 강조색2 3 5" xfId="3561" xr:uid="{00000000-0005-0000-0000-00007D000000}"/>
    <cellStyle name="20% - 강조색2 3 6" xfId="4037" xr:uid="{00000000-0005-0000-0000-00007E000000}"/>
    <cellStyle name="20% - 강조색2 3 7" xfId="2715" xr:uid="{00000000-0005-0000-0000-00007F000000}"/>
    <cellStyle name="20% - 강조색2 3 8" xfId="4207" xr:uid="{00000000-0005-0000-0000-000080000000}"/>
    <cellStyle name="20% - 강조색2 3 9" xfId="2407" xr:uid="{00000000-0005-0000-0000-000081000000}"/>
    <cellStyle name="20% - 강조색2 30" xfId="48499" xr:uid="{00000000-0005-0000-0000-000082000000}"/>
    <cellStyle name="20% - 강조색2 31" xfId="48500" xr:uid="{00000000-0005-0000-0000-000083000000}"/>
    <cellStyle name="20% - 강조색2 32" xfId="48501" xr:uid="{00000000-0005-0000-0000-000084000000}"/>
    <cellStyle name="20% - 강조색2 33" xfId="48502" xr:uid="{00000000-0005-0000-0000-000085000000}"/>
    <cellStyle name="20% - 강조색2 4" xfId="2587" xr:uid="{00000000-0005-0000-0000-000086000000}"/>
    <cellStyle name="20% - 강조색2 4 10" xfId="3119" xr:uid="{00000000-0005-0000-0000-000087000000}"/>
    <cellStyle name="20% - 강조색2 4 11" xfId="2881" xr:uid="{00000000-0005-0000-0000-000088000000}"/>
    <cellStyle name="20% - 강조색2 4 2" xfId="4045" xr:uid="{00000000-0005-0000-0000-000089000000}"/>
    <cellStyle name="20% - 강조색2 4 3" xfId="2616" xr:uid="{00000000-0005-0000-0000-00008A000000}"/>
    <cellStyle name="20% - 강조색2 4 4" xfId="2940" xr:uid="{00000000-0005-0000-0000-00008B000000}"/>
    <cellStyle name="20% - 강조색2 4 5" xfId="2997" xr:uid="{00000000-0005-0000-0000-00008C000000}"/>
    <cellStyle name="20% - 강조색2 4 6" xfId="3716" xr:uid="{00000000-0005-0000-0000-00008D000000}"/>
    <cellStyle name="20% - 강조색2 4 7" xfId="3655" xr:uid="{00000000-0005-0000-0000-00008E000000}"/>
    <cellStyle name="20% - 강조색2 4 8" xfId="4268" xr:uid="{00000000-0005-0000-0000-00008F000000}"/>
    <cellStyle name="20% - 강조색2 4 9" xfId="3396" xr:uid="{00000000-0005-0000-0000-000090000000}"/>
    <cellStyle name="20% - 강조색2 5" xfId="3217" xr:uid="{00000000-0005-0000-0000-000091000000}"/>
    <cellStyle name="20% - 강조색2 5 2" xfId="2813" xr:uid="{00000000-0005-0000-0000-000092000000}"/>
    <cellStyle name="20% - 강조색2 5 3" xfId="4271" xr:uid="{00000000-0005-0000-0000-000093000000}"/>
    <cellStyle name="20% - 강조색2 5 4" xfId="4300" xr:uid="{00000000-0005-0000-0000-000094000000}"/>
    <cellStyle name="20% - 강조색2 5 5" xfId="3927" xr:uid="{00000000-0005-0000-0000-000095000000}"/>
    <cellStyle name="20% - 강조색2 6" xfId="3299" xr:uid="{00000000-0005-0000-0000-000096000000}"/>
    <cellStyle name="20% - 강조색2 6 2" xfId="3326" xr:uid="{00000000-0005-0000-0000-000097000000}"/>
    <cellStyle name="20% - 강조색2 6 3" xfId="3689" xr:uid="{00000000-0005-0000-0000-000098000000}"/>
    <cellStyle name="20% - 강조색2 6 4" xfId="3540" xr:uid="{00000000-0005-0000-0000-000099000000}"/>
    <cellStyle name="20% - 강조색2 6 5" xfId="2818" xr:uid="{00000000-0005-0000-0000-00009A000000}"/>
    <cellStyle name="20% - 강조색2 7" xfId="2694" xr:uid="{00000000-0005-0000-0000-00009B000000}"/>
    <cellStyle name="20% - 강조색2 7 2" xfId="2963" xr:uid="{00000000-0005-0000-0000-00009C000000}"/>
    <cellStyle name="20% - 강조색2 8" xfId="4183" xr:uid="{00000000-0005-0000-0000-00009D000000}"/>
    <cellStyle name="20% - 강조색2 8 2" xfId="377" xr:uid="{00000000-0005-0000-0000-00009E000000}"/>
    <cellStyle name="20% - 강조색2 9" xfId="6684" xr:uid="{00000000-0005-0000-0000-00009F000000}"/>
    <cellStyle name="20% - 강조색3 10" xfId="6758" xr:uid="{00000000-0005-0000-0000-0000A0000000}"/>
    <cellStyle name="20% - 강조색3 11" xfId="6824" xr:uid="{00000000-0005-0000-0000-0000A1000000}"/>
    <cellStyle name="20% - 강조색3 12" xfId="6875" xr:uid="{00000000-0005-0000-0000-0000A2000000}"/>
    <cellStyle name="20% - 강조색3 13" xfId="6923" xr:uid="{00000000-0005-0000-0000-0000A3000000}"/>
    <cellStyle name="20% - 강조색3 14" xfId="48503" xr:uid="{00000000-0005-0000-0000-0000A4000000}"/>
    <cellStyle name="20% - 강조색3 15" xfId="48504" xr:uid="{00000000-0005-0000-0000-0000A5000000}"/>
    <cellStyle name="20% - 강조색3 16" xfId="48505" xr:uid="{00000000-0005-0000-0000-0000A6000000}"/>
    <cellStyle name="20% - 강조색3 17" xfId="48506" xr:uid="{00000000-0005-0000-0000-0000A7000000}"/>
    <cellStyle name="20% - 강조색3 18" xfId="48507" xr:uid="{00000000-0005-0000-0000-0000A8000000}"/>
    <cellStyle name="20% - 강조색3 19" xfId="48508" xr:uid="{00000000-0005-0000-0000-0000A9000000}"/>
    <cellStyle name="20% - 강조색3 2" xfId="199" xr:uid="{00000000-0005-0000-0000-0000AA000000}"/>
    <cellStyle name="20% - 강조색3 2 10" xfId="6874" xr:uid="{00000000-0005-0000-0000-0000AB000000}"/>
    <cellStyle name="20% - 강조색3 2 11" xfId="6922" xr:uid="{00000000-0005-0000-0000-0000AC000000}"/>
    <cellStyle name="20% - 강조색3 2 2" xfId="4407" xr:uid="{00000000-0005-0000-0000-0000AD000000}"/>
    <cellStyle name="20% - 강조색3 2 3" xfId="6248" xr:uid="{00000000-0005-0000-0000-0000AE000000}"/>
    <cellStyle name="20% - 강조색3 2 4" xfId="6553" xr:uid="{00000000-0005-0000-0000-0000AF000000}"/>
    <cellStyle name="20% - 강조색3 2 5" xfId="6593" xr:uid="{00000000-0005-0000-0000-0000B0000000}"/>
    <cellStyle name="20% - 강조색3 2 6" xfId="6625" xr:uid="{00000000-0005-0000-0000-0000B1000000}"/>
    <cellStyle name="20% - 강조색3 2 7" xfId="6678" xr:uid="{00000000-0005-0000-0000-0000B2000000}"/>
    <cellStyle name="20% - 강조색3 2 8" xfId="6757" xr:uid="{00000000-0005-0000-0000-0000B3000000}"/>
    <cellStyle name="20% - 강조색3 2 9" xfId="6823" xr:uid="{00000000-0005-0000-0000-0000B4000000}"/>
    <cellStyle name="20% - 강조색3 20" xfId="48509" xr:uid="{00000000-0005-0000-0000-0000B5000000}"/>
    <cellStyle name="20% - 강조색3 21" xfId="48510" xr:uid="{00000000-0005-0000-0000-0000B6000000}"/>
    <cellStyle name="20% - 강조색3 22" xfId="48511" xr:uid="{00000000-0005-0000-0000-0000B7000000}"/>
    <cellStyle name="20% - 강조색3 23" xfId="48512" xr:uid="{00000000-0005-0000-0000-0000B8000000}"/>
    <cellStyle name="20% - 강조색3 24" xfId="48513" xr:uid="{00000000-0005-0000-0000-0000B9000000}"/>
    <cellStyle name="20% - 강조색3 25" xfId="48514" xr:uid="{00000000-0005-0000-0000-0000BA000000}"/>
    <cellStyle name="20% - 강조색3 26" xfId="48515" xr:uid="{00000000-0005-0000-0000-0000BB000000}"/>
    <cellStyle name="20% - 강조색3 27" xfId="48516" xr:uid="{00000000-0005-0000-0000-0000BC000000}"/>
    <cellStyle name="20% - 강조색3 28" xfId="48517" xr:uid="{00000000-0005-0000-0000-0000BD000000}"/>
    <cellStyle name="20% - 강조색3 29" xfId="48518" xr:uid="{00000000-0005-0000-0000-0000BE000000}"/>
    <cellStyle name="20% - 강조색3 3" xfId="2741" xr:uid="{00000000-0005-0000-0000-0000BF000000}"/>
    <cellStyle name="20% - 강조색3 3 10" xfId="2804" xr:uid="{00000000-0005-0000-0000-0000C0000000}"/>
    <cellStyle name="20% - 강조색3 3 11" xfId="2588" xr:uid="{00000000-0005-0000-0000-0000C1000000}"/>
    <cellStyle name="20% - 강조색3 3 2" xfId="4009" xr:uid="{00000000-0005-0000-0000-0000C2000000}"/>
    <cellStyle name="20% - 강조색3 3 3" xfId="2498" xr:uid="{00000000-0005-0000-0000-0000C3000000}"/>
    <cellStyle name="20% - 강조색3 3 4" xfId="3364" xr:uid="{00000000-0005-0000-0000-0000C4000000}"/>
    <cellStyle name="20% - 강조색3 3 5" xfId="4151" xr:uid="{00000000-0005-0000-0000-0000C5000000}"/>
    <cellStyle name="20% - 강조색3 3 6" xfId="2920" xr:uid="{00000000-0005-0000-0000-0000C6000000}"/>
    <cellStyle name="20% - 강조색3 3 7" xfId="2536" xr:uid="{00000000-0005-0000-0000-0000C7000000}"/>
    <cellStyle name="20% - 강조색3 3 8" xfId="2879" xr:uid="{00000000-0005-0000-0000-0000C8000000}"/>
    <cellStyle name="20% - 강조색3 3 9" xfId="2939" xr:uid="{00000000-0005-0000-0000-0000C9000000}"/>
    <cellStyle name="20% - 강조색3 30" xfId="48519" xr:uid="{00000000-0005-0000-0000-0000CA000000}"/>
    <cellStyle name="20% - 강조색3 31" xfId="48520" xr:uid="{00000000-0005-0000-0000-0000CB000000}"/>
    <cellStyle name="20% - 강조색3 32" xfId="48521" xr:uid="{00000000-0005-0000-0000-0000CC000000}"/>
    <cellStyle name="20% - 강조색3 33" xfId="48522" xr:uid="{00000000-0005-0000-0000-0000CD000000}"/>
    <cellStyle name="20% - 강조색3 4" xfId="3722" xr:uid="{00000000-0005-0000-0000-0000CE000000}"/>
    <cellStyle name="20% - 강조색3 4 10" xfId="4141" xr:uid="{00000000-0005-0000-0000-0000CF000000}"/>
    <cellStyle name="20% - 강조색3 4 11" xfId="3957" xr:uid="{00000000-0005-0000-0000-0000D0000000}"/>
    <cellStyle name="20% - 강조색3 4 2" xfId="3851" xr:uid="{00000000-0005-0000-0000-0000D1000000}"/>
    <cellStyle name="20% - 강조색3 4 3" xfId="2703" xr:uid="{00000000-0005-0000-0000-0000D2000000}"/>
    <cellStyle name="20% - 강조색3 4 4" xfId="3915" xr:uid="{00000000-0005-0000-0000-0000D3000000}"/>
    <cellStyle name="20% - 강조색3 4 5" xfId="2434" xr:uid="{00000000-0005-0000-0000-0000D4000000}"/>
    <cellStyle name="20% - 강조색3 4 6" xfId="4257" xr:uid="{00000000-0005-0000-0000-0000D5000000}"/>
    <cellStyle name="20% - 강조색3 4 7" xfId="4265" xr:uid="{00000000-0005-0000-0000-0000D6000000}"/>
    <cellStyle name="20% - 강조색3 4 8" xfId="4116" xr:uid="{00000000-0005-0000-0000-0000D7000000}"/>
    <cellStyle name="20% - 강조색3 4 9" xfId="3863" xr:uid="{00000000-0005-0000-0000-0000D8000000}"/>
    <cellStyle name="20% - 강조색3 5" xfId="3168" xr:uid="{00000000-0005-0000-0000-0000D9000000}"/>
    <cellStyle name="20% - 강조색3 5 2" xfId="3507" xr:uid="{00000000-0005-0000-0000-0000DA000000}"/>
    <cellStyle name="20% - 강조색3 5 3" xfId="4110" xr:uid="{00000000-0005-0000-0000-0000DB000000}"/>
    <cellStyle name="20% - 강조색3 5 4" xfId="2558" xr:uid="{00000000-0005-0000-0000-0000DC000000}"/>
    <cellStyle name="20% - 강조색3 5 5" xfId="2427" xr:uid="{00000000-0005-0000-0000-0000DD000000}"/>
    <cellStyle name="20% - 강조색3 6" xfId="2667" xr:uid="{00000000-0005-0000-0000-0000DE000000}"/>
    <cellStyle name="20% - 강조색3 6 2" xfId="3869" xr:uid="{00000000-0005-0000-0000-0000DF000000}"/>
    <cellStyle name="20% - 강조색3 6 3" xfId="2428" xr:uid="{00000000-0005-0000-0000-0000E0000000}"/>
    <cellStyle name="20% - 강조색3 6 4" xfId="3075" xr:uid="{00000000-0005-0000-0000-0000E1000000}"/>
    <cellStyle name="20% - 강조색3 6 5" xfId="3437" xr:uid="{00000000-0005-0000-0000-0000E2000000}"/>
    <cellStyle name="20% - 강조색3 7" xfId="4217" xr:uid="{00000000-0005-0000-0000-0000E3000000}"/>
    <cellStyle name="20% - 강조색3 7 2" xfId="2484" xr:uid="{00000000-0005-0000-0000-0000E4000000}"/>
    <cellStyle name="20% - 강조색3 8" xfId="2470" xr:uid="{00000000-0005-0000-0000-0000E5000000}"/>
    <cellStyle name="20% - 강조색3 8 2" xfId="3432" xr:uid="{00000000-0005-0000-0000-0000E6000000}"/>
    <cellStyle name="20% - 강조색3 9" xfId="6679" xr:uid="{00000000-0005-0000-0000-0000E7000000}"/>
    <cellStyle name="20% - 강조색4 10" xfId="6754" xr:uid="{00000000-0005-0000-0000-0000E8000000}"/>
    <cellStyle name="20% - 강조색4 11" xfId="6820" xr:uid="{00000000-0005-0000-0000-0000E9000000}"/>
    <cellStyle name="20% - 강조색4 12" xfId="6873" xr:uid="{00000000-0005-0000-0000-0000EA000000}"/>
    <cellStyle name="20% - 강조색4 13" xfId="6921" xr:uid="{00000000-0005-0000-0000-0000EB000000}"/>
    <cellStyle name="20% - 강조색4 14" xfId="48523" xr:uid="{00000000-0005-0000-0000-0000EC000000}"/>
    <cellStyle name="20% - 강조색4 15" xfId="48524" xr:uid="{00000000-0005-0000-0000-0000ED000000}"/>
    <cellStyle name="20% - 강조색4 16" xfId="48525" xr:uid="{00000000-0005-0000-0000-0000EE000000}"/>
    <cellStyle name="20% - 강조색4 17" xfId="48526" xr:uid="{00000000-0005-0000-0000-0000EF000000}"/>
    <cellStyle name="20% - 강조색4 18" xfId="48527" xr:uid="{00000000-0005-0000-0000-0000F0000000}"/>
    <cellStyle name="20% - 강조색4 19" xfId="48528" xr:uid="{00000000-0005-0000-0000-0000F1000000}"/>
    <cellStyle name="20% - 강조색4 2" xfId="184" xr:uid="{00000000-0005-0000-0000-0000F2000000}"/>
    <cellStyle name="20% - 강조색4 2 10" xfId="6872" xr:uid="{00000000-0005-0000-0000-0000F3000000}"/>
    <cellStyle name="20% - 강조색4 2 11" xfId="6920" xr:uid="{00000000-0005-0000-0000-0000F4000000}"/>
    <cellStyle name="20% - 강조색4 2 2" xfId="4408" xr:uid="{00000000-0005-0000-0000-0000F5000000}"/>
    <cellStyle name="20% - 강조색4 2 3" xfId="6251" xr:uid="{00000000-0005-0000-0000-0000F6000000}"/>
    <cellStyle name="20% - 강조색4 2 4" xfId="6551" xr:uid="{00000000-0005-0000-0000-0000F7000000}"/>
    <cellStyle name="20% - 강조색4 2 5" xfId="6591" xr:uid="{00000000-0005-0000-0000-0000F8000000}"/>
    <cellStyle name="20% - 강조색4 2 6" xfId="6624" xr:uid="{00000000-0005-0000-0000-0000F9000000}"/>
    <cellStyle name="20% - 강조색4 2 7" xfId="6674" xr:uid="{00000000-0005-0000-0000-0000FA000000}"/>
    <cellStyle name="20% - 강조색4 2 8" xfId="6753" xr:uid="{00000000-0005-0000-0000-0000FB000000}"/>
    <cellStyle name="20% - 강조색4 2 9" xfId="6819" xr:uid="{00000000-0005-0000-0000-0000FC000000}"/>
    <cellStyle name="20% - 강조색4 20" xfId="48529" xr:uid="{00000000-0005-0000-0000-0000FD000000}"/>
    <cellStyle name="20% - 강조색4 21" xfId="48530" xr:uid="{00000000-0005-0000-0000-0000FE000000}"/>
    <cellStyle name="20% - 강조색4 22" xfId="48531" xr:uid="{00000000-0005-0000-0000-0000FF000000}"/>
    <cellStyle name="20% - 강조색4 23" xfId="48532" xr:uid="{00000000-0005-0000-0000-000000010000}"/>
    <cellStyle name="20% - 강조색4 24" xfId="48533" xr:uid="{00000000-0005-0000-0000-000001010000}"/>
    <cellStyle name="20% - 강조색4 25" xfId="48534" xr:uid="{00000000-0005-0000-0000-000002010000}"/>
    <cellStyle name="20% - 강조색4 26" xfId="48535" xr:uid="{00000000-0005-0000-0000-000003010000}"/>
    <cellStyle name="20% - 강조색4 27" xfId="48536" xr:uid="{00000000-0005-0000-0000-000004010000}"/>
    <cellStyle name="20% - 강조색4 28" xfId="48537" xr:uid="{00000000-0005-0000-0000-000005010000}"/>
    <cellStyle name="20% - 강조색4 29" xfId="48538" xr:uid="{00000000-0005-0000-0000-000006010000}"/>
    <cellStyle name="20% - 강조색4 3" xfId="3361" xr:uid="{00000000-0005-0000-0000-000007010000}"/>
    <cellStyle name="20% - 강조색4 3 10" xfId="4044" xr:uid="{00000000-0005-0000-0000-000008010000}"/>
    <cellStyle name="20% - 강조색4 3 11" xfId="2545" xr:uid="{00000000-0005-0000-0000-000009010000}"/>
    <cellStyle name="20% - 강조색4 3 2" xfId="2862" xr:uid="{00000000-0005-0000-0000-00000A010000}"/>
    <cellStyle name="20% - 강조색4 3 3" xfId="3211" xr:uid="{00000000-0005-0000-0000-00000B010000}"/>
    <cellStyle name="20% - 강조색4 3 4" xfId="2780" xr:uid="{00000000-0005-0000-0000-00000C010000}"/>
    <cellStyle name="20% - 강조색4 3 5" xfId="2529" xr:uid="{00000000-0005-0000-0000-00000D010000}"/>
    <cellStyle name="20% - 강조색4 3 6" xfId="2947" xr:uid="{00000000-0005-0000-0000-00000E010000}"/>
    <cellStyle name="20% - 강조색4 3 7" xfId="3626" xr:uid="{00000000-0005-0000-0000-00000F010000}"/>
    <cellStyle name="20% - 강조색4 3 8" xfId="3366" xr:uid="{00000000-0005-0000-0000-000010010000}"/>
    <cellStyle name="20% - 강조색4 3 9" xfId="3198" xr:uid="{00000000-0005-0000-0000-000011010000}"/>
    <cellStyle name="20% - 강조색4 30" xfId="48539" xr:uid="{00000000-0005-0000-0000-000012010000}"/>
    <cellStyle name="20% - 강조색4 31" xfId="48540" xr:uid="{00000000-0005-0000-0000-000013010000}"/>
    <cellStyle name="20% - 강조색4 32" xfId="48541" xr:uid="{00000000-0005-0000-0000-000014010000}"/>
    <cellStyle name="20% - 강조색4 33" xfId="48542" xr:uid="{00000000-0005-0000-0000-000015010000}"/>
    <cellStyle name="20% - 강조색4 4" xfId="3519" xr:uid="{00000000-0005-0000-0000-000016010000}"/>
    <cellStyle name="20% - 강조색4 4 10" xfId="2834" xr:uid="{00000000-0005-0000-0000-000017010000}"/>
    <cellStyle name="20% - 강조색4 4 11" xfId="2726" xr:uid="{00000000-0005-0000-0000-000018010000}"/>
    <cellStyle name="20% - 강조색4 4 2" xfId="2720" xr:uid="{00000000-0005-0000-0000-000019010000}"/>
    <cellStyle name="20% - 강조색4 4 3" xfId="4060" xr:uid="{00000000-0005-0000-0000-00001A010000}"/>
    <cellStyle name="20% - 강조색4 4 4" xfId="2601" xr:uid="{00000000-0005-0000-0000-00001B010000}"/>
    <cellStyle name="20% - 강조색4 4 5" xfId="2970" xr:uid="{00000000-0005-0000-0000-00001C010000}"/>
    <cellStyle name="20% - 강조색4 4 6" xfId="3091" xr:uid="{00000000-0005-0000-0000-00001D010000}"/>
    <cellStyle name="20% - 강조색4 4 7" xfId="3082" xr:uid="{00000000-0005-0000-0000-00001E010000}"/>
    <cellStyle name="20% - 강조색4 4 8" xfId="2968" xr:uid="{00000000-0005-0000-0000-00001F010000}"/>
    <cellStyle name="20% - 강조색4 4 9" xfId="3573" xr:uid="{00000000-0005-0000-0000-000020010000}"/>
    <cellStyle name="20% - 강조색4 5" xfId="4186" xr:uid="{00000000-0005-0000-0000-000021010000}"/>
    <cellStyle name="20% - 강조색4 5 2" xfId="2430" xr:uid="{00000000-0005-0000-0000-000022010000}"/>
    <cellStyle name="20% - 강조색4 5 3" xfId="282" xr:uid="{00000000-0005-0000-0000-000023010000}"/>
    <cellStyle name="20% - 강조색4 5 4" xfId="3644" xr:uid="{00000000-0005-0000-0000-000024010000}"/>
    <cellStyle name="20% - 강조색4 5 5" xfId="3770" xr:uid="{00000000-0005-0000-0000-000025010000}"/>
    <cellStyle name="20% - 강조색4 6" xfId="3279" xr:uid="{00000000-0005-0000-0000-000026010000}"/>
    <cellStyle name="20% - 강조색4 6 2" xfId="3220" xr:uid="{00000000-0005-0000-0000-000027010000}"/>
    <cellStyle name="20% - 강조색4 6 3" xfId="2912" xr:uid="{00000000-0005-0000-0000-000028010000}"/>
    <cellStyle name="20% - 강조색4 6 4" xfId="3081" xr:uid="{00000000-0005-0000-0000-000029010000}"/>
    <cellStyle name="20% - 강조색4 6 5" xfId="4250" xr:uid="{00000000-0005-0000-0000-00002A010000}"/>
    <cellStyle name="20% - 강조색4 7" xfId="3517" xr:uid="{00000000-0005-0000-0000-00002B010000}"/>
    <cellStyle name="20% - 강조색4 7 2" xfId="3037" xr:uid="{00000000-0005-0000-0000-00002C010000}"/>
    <cellStyle name="20% - 강조색4 8" xfId="3040" xr:uid="{00000000-0005-0000-0000-00002D010000}"/>
    <cellStyle name="20% - 강조색4 8 2" xfId="2906" xr:uid="{00000000-0005-0000-0000-00002E010000}"/>
    <cellStyle name="20% - 강조색4 9" xfId="6675" xr:uid="{00000000-0005-0000-0000-00002F010000}"/>
    <cellStyle name="20% - 강조색5 10" xfId="6749" xr:uid="{00000000-0005-0000-0000-000030010000}"/>
    <cellStyle name="20% - 강조색5 11" xfId="6815" xr:uid="{00000000-0005-0000-0000-000031010000}"/>
    <cellStyle name="20% - 강조색5 12" xfId="6871" xr:uid="{00000000-0005-0000-0000-000032010000}"/>
    <cellStyle name="20% - 강조색5 13" xfId="6919" xr:uid="{00000000-0005-0000-0000-000033010000}"/>
    <cellStyle name="20% - 강조색5 14" xfId="48543" xr:uid="{00000000-0005-0000-0000-000034010000}"/>
    <cellStyle name="20% - 강조색5 15" xfId="48544" xr:uid="{00000000-0005-0000-0000-000035010000}"/>
    <cellStyle name="20% - 강조색5 16" xfId="48545" xr:uid="{00000000-0005-0000-0000-000036010000}"/>
    <cellStyle name="20% - 강조색5 17" xfId="48546" xr:uid="{00000000-0005-0000-0000-000037010000}"/>
    <cellStyle name="20% - 강조색5 18" xfId="48547" xr:uid="{00000000-0005-0000-0000-000038010000}"/>
    <cellStyle name="20% - 강조색5 19" xfId="48548" xr:uid="{00000000-0005-0000-0000-000039010000}"/>
    <cellStyle name="20% - 강조색5 2" xfId="194" xr:uid="{00000000-0005-0000-0000-00003A010000}"/>
    <cellStyle name="20% - 강조색5 2 10" xfId="6870" xr:uid="{00000000-0005-0000-0000-00003B010000}"/>
    <cellStyle name="20% - 강조색5 2 11" xfId="6918" xr:uid="{00000000-0005-0000-0000-00003C010000}"/>
    <cellStyle name="20% - 강조색5 2 2" xfId="4409" xr:uid="{00000000-0005-0000-0000-00003D010000}"/>
    <cellStyle name="20% - 강조색5 2 3" xfId="6253" xr:uid="{00000000-0005-0000-0000-00003E010000}"/>
    <cellStyle name="20% - 강조색5 2 4" xfId="6549" xr:uid="{00000000-0005-0000-0000-00003F010000}"/>
    <cellStyle name="20% - 강조색5 2 5" xfId="6589" xr:uid="{00000000-0005-0000-0000-000040010000}"/>
    <cellStyle name="20% - 강조색5 2 6" xfId="6623" xr:uid="{00000000-0005-0000-0000-000041010000}"/>
    <cellStyle name="20% - 강조색5 2 7" xfId="6662" xr:uid="{00000000-0005-0000-0000-000042010000}"/>
    <cellStyle name="20% - 강조색5 2 8" xfId="6748" xr:uid="{00000000-0005-0000-0000-000043010000}"/>
    <cellStyle name="20% - 강조색5 2 9" xfId="6814" xr:uid="{00000000-0005-0000-0000-000044010000}"/>
    <cellStyle name="20% - 강조색5 20" xfId="48549" xr:uid="{00000000-0005-0000-0000-000045010000}"/>
    <cellStyle name="20% - 강조색5 21" xfId="48550" xr:uid="{00000000-0005-0000-0000-000046010000}"/>
    <cellStyle name="20% - 강조색5 22" xfId="48551" xr:uid="{00000000-0005-0000-0000-000047010000}"/>
    <cellStyle name="20% - 강조색5 23" xfId="48552" xr:uid="{00000000-0005-0000-0000-000048010000}"/>
    <cellStyle name="20% - 강조색5 24" xfId="48553" xr:uid="{00000000-0005-0000-0000-000049010000}"/>
    <cellStyle name="20% - 강조색5 25" xfId="48554" xr:uid="{00000000-0005-0000-0000-00004A010000}"/>
    <cellStyle name="20% - 강조색5 26" xfId="48555" xr:uid="{00000000-0005-0000-0000-00004B010000}"/>
    <cellStyle name="20% - 강조색5 27" xfId="48556" xr:uid="{00000000-0005-0000-0000-00004C010000}"/>
    <cellStyle name="20% - 강조색5 28" xfId="48557" xr:uid="{00000000-0005-0000-0000-00004D010000}"/>
    <cellStyle name="20% - 강조색5 29" xfId="48558" xr:uid="{00000000-0005-0000-0000-00004E010000}"/>
    <cellStyle name="20% - 강조색5 3" xfId="2444" xr:uid="{00000000-0005-0000-0000-00004F010000}"/>
    <cellStyle name="20% - 강조색5 3 10" xfId="4259" xr:uid="{00000000-0005-0000-0000-000050010000}"/>
    <cellStyle name="20% - 강조색5 3 11" xfId="3372" xr:uid="{00000000-0005-0000-0000-000051010000}"/>
    <cellStyle name="20% - 강조색5 3 2" xfId="3044" xr:uid="{00000000-0005-0000-0000-000052010000}"/>
    <cellStyle name="20% - 강조색5 3 3" xfId="3350" xr:uid="{00000000-0005-0000-0000-000053010000}"/>
    <cellStyle name="20% - 강조색5 3 4" xfId="4240" xr:uid="{00000000-0005-0000-0000-000054010000}"/>
    <cellStyle name="20% - 강조색5 3 5" xfId="4043" xr:uid="{00000000-0005-0000-0000-000055010000}"/>
    <cellStyle name="20% - 강조색5 3 6" xfId="3385" xr:uid="{00000000-0005-0000-0000-000056010000}"/>
    <cellStyle name="20% - 강조색5 3 7" xfId="3022" xr:uid="{00000000-0005-0000-0000-000057010000}"/>
    <cellStyle name="20% - 강조색5 3 8" xfId="3629" xr:uid="{00000000-0005-0000-0000-000058010000}"/>
    <cellStyle name="20% - 강조색5 3 9" xfId="2961" xr:uid="{00000000-0005-0000-0000-000059010000}"/>
    <cellStyle name="20% - 강조색5 30" xfId="48559" xr:uid="{00000000-0005-0000-0000-00005A010000}"/>
    <cellStyle name="20% - 강조색5 31" xfId="48560" xr:uid="{00000000-0005-0000-0000-00005B010000}"/>
    <cellStyle name="20% - 강조색5 32" xfId="48561" xr:uid="{00000000-0005-0000-0000-00005C010000}"/>
    <cellStyle name="20% - 강조색5 33" xfId="48562" xr:uid="{00000000-0005-0000-0000-00005D010000}"/>
    <cellStyle name="20% - 강조색5 4" xfId="3635" xr:uid="{00000000-0005-0000-0000-00005E010000}"/>
    <cellStyle name="20% - 강조색5 4 10" xfId="3632" xr:uid="{00000000-0005-0000-0000-00005F010000}"/>
    <cellStyle name="20% - 강조색5 4 11" xfId="4002" xr:uid="{00000000-0005-0000-0000-000060010000}"/>
    <cellStyle name="20% - 강조색5 4 2" xfId="4125" xr:uid="{00000000-0005-0000-0000-000061010000}"/>
    <cellStyle name="20% - 강조색5 4 3" xfId="3395" xr:uid="{00000000-0005-0000-0000-000062010000}"/>
    <cellStyle name="20% - 강조색5 4 4" xfId="2669" xr:uid="{00000000-0005-0000-0000-000063010000}"/>
    <cellStyle name="20% - 강조색5 4 5" xfId="3750" xr:uid="{00000000-0005-0000-0000-000064010000}"/>
    <cellStyle name="20% - 강조색5 4 6" xfId="3266" xr:uid="{00000000-0005-0000-0000-000065010000}"/>
    <cellStyle name="20% - 강조색5 4 7" xfId="4218" xr:uid="{00000000-0005-0000-0000-000066010000}"/>
    <cellStyle name="20% - 강조색5 4 8" xfId="3183" xr:uid="{00000000-0005-0000-0000-000067010000}"/>
    <cellStyle name="20% - 강조색5 4 9" xfId="2471" xr:uid="{00000000-0005-0000-0000-000068010000}"/>
    <cellStyle name="20% - 강조색5 5" xfId="2762" xr:uid="{00000000-0005-0000-0000-000069010000}"/>
    <cellStyle name="20% - 강조색5 5 2" xfId="3669" xr:uid="{00000000-0005-0000-0000-00006A010000}"/>
    <cellStyle name="20% - 강조색5 5 3" xfId="3430" xr:uid="{00000000-0005-0000-0000-00006B010000}"/>
    <cellStyle name="20% - 강조색5 5 4" xfId="3305" xr:uid="{00000000-0005-0000-0000-00006C010000}"/>
    <cellStyle name="20% - 강조색5 5 5" xfId="4164" xr:uid="{00000000-0005-0000-0000-00006D010000}"/>
    <cellStyle name="20% - 강조색5 6" xfId="3195" xr:uid="{00000000-0005-0000-0000-00006E010000}"/>
    <cellStyle name="20% - 강조색5 6 2" xfId="2706" xr:uid="{00000000-0005-0000-0000-00006F010000}"/>
    <cellStyle name="20% - 강조색5 6 3" xfId="2918" xr:uid="{00000000-0005-0000-0000-000070010000}"/>
    <cellStyle name="20% - 강조색5 6 4" xfId="3678" xr:uid="{00000000-0005-0000-0000-000071010000}"/>
    <cellStyle name="20% - 강조색5 6 5" xfId="4309" xr:uid="{00000000-0005-0000-0000-000072010000}"/>
    <cellStyle name="20% - 강조색5 7" xfId="3313" xr:uid="{00000000-0005-0000-0000-000073010000}"/>
    <cellStyle name="20% - 강조색5 7 2" xfId="2831" xr:uid="{00000000-0005-0000-0000-000074010000}"/>
    <cellStyle name="20% - 강조색5 8" xfId="2820" xr:uid="{00000000-0005-0000-0000-000075010000}"/>
    <cellStyle name="20% - 강조색5 8 2" xfId="4181" xr:uid="{00000000-0005-0000-0000-000076010000}"/>
    <cellStyle name="20% - 강조색5 9" xfId="6663" xr:uid="{00000000-0005-0000-0000-000077010000}"/>
    <cellStyle name="20% - 강조색6 10" xfId="6744" xr:uid="{00000000-0005-0000-0000-000078010000}"/>
    <cellStyle name="20% - 강조색6 11" xfId="6810" xr:uid="{00000000-0005-0000-0000-000079010000}"/>
    <cellStyle name="20% - 강조색6 12" xfId="6869" xr:uid="{00000000-0005-0000-0000-00007A010000}"/>
    <cellStyle name="20% - 강조색6 13" xfId="6917" xr:uid="{00000000-0005-0000-0000-00007B010000}"/>
    <cellStyle name="20% - 강조색6 14" xfId="48563" xr:uid="{00000000-0005-0000-0000-00007C010000}"/>
    <cellStyle name="20% - 강조색6 15" xfId="48564" xr:uid="{00000000-0005-0000-0000-00007D010000}"/>
    <cellStyle name="20% - 강조색6 16" xfId="48565" xr:uid="{00000000-0005-0000-0000-00007E010000}"/>
    <cellStyle name="20% - 강조색6 17" xfId="48566" xr:uid="{00000000-0005-0000-0000-00007F010000}"/>
    <cellStyle name="20% - 강조색6 18" xfId="48567" xr:uid="{00000000-0005-0000-0000-000080010000}"/>
    <cellStyle name="20% - 강조색6 19" xfId="48568" xr:uid="{00000000-0005-0000-0000-000081010000}"/>
    <cellStyle name="20% - 강조색6 2" xfId="213" xr:uid="{00000000-0005-0000-0000-000082010000}"/>
    <cellStyle name="20% - 강조색6 2 10" xfId="6868" xr:uid="{00000000-0005-0000-0000-000083010000}"/>
    <cellStyle name="20% - 강조색6 2 11" xfId="6916" xr:uid="{00000000-0005-0000-0000-000084010000}"/>
    <cellStyle name="20% - 강조색6 2 2" xfId="4410" xr:uid="{00000000-0005-0000-0000-000085010000}"/>
    <cellStyle name="20% - 강조색6 2 3" xfId="6255" xr:uid="{00000000-0005-0000-0000-000086010000}"/>
    <cellStyle name="20% - 강조색6 2 4" xfId="6546" xr:uid="{00000000-0005-0000-0000-000087010000}"/>
    <cellStyle name="20% - 강조색6 2 5" xfId="6586" xr:uid="{00000000-0005-0000-0000-000088010000}"/>
    <cellStyle name="20% - 강조색6 2 6" xfId="6614" xr:uid="{00000000-0005-0000-0000-000089010000}"/>
    <cellStyle name="20% - 강조색6 2 7" xfId="6654" xr:uid="{00000000-0005-0000-0000-00008A010000}"/>
    <cellStyle name="20% - 강조색6 2 8" xfId="6743" xr:uid="{00000000-0005-0000-0000-00008B010000}"/>
    <cellStyle name="20% - 강조색6 2 9" xfId="6809" xr:uid="{00000000-0005-0000-0000-00008C010000}"/>
    <cellStyle name="20% - 강조색6 20" xfId="48569" xr:uid="{00000000-0005-0000-0000-00008D010000}"/>
    <cellStyle name="20% - 강조색6 21" xfId="48570" xr:uid="{00000000-0005-0000-0000-00008E010000}"/>
    <cellStyle name="20% - 강조색6 22" xfId="48571" xr:uid="{00000000-0005-0000-0000-00008F010000}"/>
    <cellStyle name="20% - 강조색6 23" xfId="48572" xr:uid="{00000000-0005-0000-0000-000090010000}"/>
    <cellStyle name="20% - 강조색6 24" xfId="48573" xr:uid="{00000000-0005-0000-0000-000091010000}"/>
    <cellStyle name="20% - 강조색6 25" xfId="48574" xr:uid="{00000000-0005-0000-0000-000092010000}"/>
    <cellStyle name="20% - 강조색6 26" xfId="48575" xr:uid="{00000000-0005-0000-0000-000093010000}"/>
    <cellStyle name="20% - 강조색6 27" xfId="48576" xr:uid="{00000000-0005-0000-0000-000094010000}"/>
    <cellStyle name="20% - 강조색6 28" xfId="48577" xr:uid="{00000000-0005-0000-0000-000095010000}"/>
    <cellStyle name="20% - 강조색6 29" xfId="48578" xr:uid="{00000000-0005-0000-0000-000096010000}"/>
    <cellStyle name="20% - 강조색6 3" xfId="2408" xr:uid="{00000000-0005-0000-0000-000097010000}"/>
    <cellStyle name="20% - 강조색6 3 10" xfId="2452" xr:uid="{00000000-0005-0000-0000-000098010000}"/>
    <cellStyle name="20% - 강조색6 3 11" xfId="2511" xr:uid="{00000000-0005-0000-0000-000099010000}"/>
    <cellStyle name="20% - 강조색6 3 2" xfId="3539" xr:uid="{00000000-0005-0000-0000-00009A010000}"/>
    <cellStyle name="20% - 강조색6 3 3" xfId="3057" xr:uid="{00000000-0005-0000-0000-00009B010000}"/>
    <cellStyle name="20% - 강조색6 3 4" xfId="3870" xr:uid="{00000000-0005-0000-0000-00009C010000}"/>
    <cellStyle name="20% - 강조색6 3 5" xfId="3900" xr:uid="{00000000-0005-0000-0000-00009D010000}"/>
    <cellStyle name="20% - 강조색6 3 6" xfId="3787" xr:uid="{00000000-0005-0000-0000-00009E010000}"/>
    <cellStyle name="20% - 강조색6 3 7" xfId="3778" xr:uid="{00000000-0005-0000-0000-00009F010000}"/>
    <cellStyle name="20% - 강조색6 3 8" xfId="2938" xr:uid="{00000000-0005-0000-0000-0000A0010000}"/>
    <cellStyle name="20% - 강조색6 3 9" xfId="4280" xr:uid="{00000000-0005-0000-0000-0000A1010000}"/>
    <cellStyle name="20% - 강조색6 30" xfId="48579" xr:uid="{00000000-0005-0000-0000-0000A2010000}"/>
    <cellStyle name="20% - 강조색6 31" xfId="48580" xr:uid="{00000000-0005-0000-0000-0000A3010000}"/>
    <cellStyle name="20% - 강조색6 32" xfId="48581" xr:uid="{00000000-0005-0000-0000-0000A4010000}"/>
    <cellStyle name="20% - 강조색6 33" xfId="48582" xr:uid="{00000000-0005-0000-0000-0000A5010000}"/>
    <cellStyle name="20% - 강조색6 4" xfId="3180" xr:uid="{00000000-0005-0000-0000-0000A6010000}"/>
    <cellStyle name="20% - 강조색6 4 10" xfId="2910" xr:uid="{00000000-0005-0000-0000-0000A7010000}"/>
    <cellStyle name="20% - 강조색6 4 11" xfId="4127" xr:uid="{00000000-0005-0000-0000-0000A8010000}"/>
    <cellStyle name="20% - 강조색6 4 2" xfId="329" xr:uid="{00000000-0005-0000-0000-0000A9010000}"/>
    <cellStyle name="20% - 강조색6 4 3" xfId="3846" xr:uid="{00000000-0005-0000-0000-0000AA010000}"/>
    <cellStyle name="20% - 강조색6 4 4" xfId="361" xr:uid="{00000000-0005-0000-0000-0000AB010000}"/>
    <cellStyle name="20% - 강조색6 4 5" xfId="3989" xr:uid="{00000000-0005-0000-0000-0000AC010000}"/>
    <cellStyle name="20% - 강조색6 4 6" xfId="3111" xr:uid="{00000000-0005-0000-0000-0000AD010000}"/>
    <cellStyle name="20% - 강조색6 4 7" xfId="3137" xr:uid="{00000000-0005-0000-0000-0000AE010000}"/>
    <cellStyle name="20% - 강조색6 4 8" xfId="3352" xr:uid="{00000000-0005-0000-0000-0000AF010000}"/>
    <cellStyle name="20% - 강조색6 4 9" xfId="3229" xr:uid="{00000000-0005-0000-0000-0000B0010000}"/>
    <cellStyle name="20% - 강조색6 5" xfId="4209" xr:uid="{00000000-0005-0000-0000-0000B1010000}"/>
    <cellStyle name="20% - 강조색6 5 2" xfId="3972" xr:uid="{00000000-0005-0000-0000-0000B2010000}"/>
    <cellStyle name="20% - 강조색6 5 3" xfId="3924" xr:uid="{00000000-0005-0000-0000-0000B3010000}"/>
    <cellStyle name="20% - 강조색6 5 4" xfId="3242" xr:uid="{00000000-0005-0000-0000-0000B4010000}"/>
    <cellStyle name="20% - 강조색6 5 5" xfId="3600" xr:uid="{00000000-0005-0000-0000-0000B5010000}"/>
    <cellStyle name="20% - 강조색6 6" xfId="3486" xr:uid="{00000000-0005-0000-0000-0000B6010000}"/>
    <cellStyle name="20% - 강조색6 6 2" xfId="2633" xr:uid="{00000000-0005-0000-0000-0000B7010000}"/>
    <cellStyle name="20% - 강조색6 6 3" xfId="2476" xr:uid="{00000000-0005-0000-0000-0000B8010000}"/>
    <cellStyle name="20% - 강조색6 6 4" xfId="314" xr:uid="{00000000-0005-0000-0000-0000B9010000}"/>
    <cellStyle name="20% - 강조색6 6 5" xfId="3126" xr:uid="{00000000-0005-0000-0000-0000BA010000}"/>
    <cellStyle name="20% - 강조색6 7" xfId="365" xr:uid="{00000000-0005-0000-0000-0000BB010000}"/>
    <cellStyle name="20% - 강조색6 7 2" xfId="2925" xr:uid="{00000000-0005-0000-0000-0000BC010000}"/>
    <cellStyle name="20% - 강조색6 8" xfId="3129" xr:uid="{00000000-0005-0000-0000-0000BD010000}"/>
    <cellStyle name="20% - 강조색6 8 2" xfId="280" xr:uid="{00000000-0005-0000-0000-0000BE010000}"/>
    <cellStyle name="20% - 강조색6 9" xfId="6655" xr:uid="{00000000-0005-0000-0000-0000BF010000}"/>
    <cellStyle name="40% - 강조색1 10" xfId="6740" xr:uid="{00000000-0005-0000-0000-0000C0010000}"/>
    <cellStyle name="40% - 강조색1 11" xfId="6806" xr:uid="{00000000-0005-0000-0000-0000C1010000}"/>
    <cellStyle name="40% - 강조색1 12" xfId="6860" xr:uid="{00000000-0005-0000-0000-0000C2010000}"/>
    <cellStyle name="40% - 강조색1 13" xfId="6907" xr:uid="{00000000-0005-0000-0000-0000C3010000}"/>
    <cellStyle name="40% - 강조색1 14" xfId="48583" xr:uid="{00000000-0005-0000-0000-0000C4010000}"/>
    <cellStyle name="40% - 강조색1 15" xfId="48584" xr:uid="{00000000-0005-0000-0000-0000C5010000}"/>
    <cellStyle name="40% - 강조색1 16" xfId="48585" xr:uid="{00000000-0005-0000-0000-0000C6010000}"/>
    <cellStyle name="40% - 강조색1 17" xfId="48586" xr:uid="{00000000-0005-0000-0000-0000C7010000}"/>
    <cellStyle name="40% - 강조색1 18" xfId="48587" xr:uid="{00000000-0005-0000-0000-0000C8010000}"/>
    <cellStyle name="40% - 강조색1 19" xfId="48588" xr:uid="{00000000-0005-0000-0000-0000C9010000}"/>
    <cellStyle name="40% - 강조색1 2" xfId="210" xr:uid="{00000000-0005-0000-0000-0000CA010000}"/>
    <cellStyle name="40% - 강조색1 2 10" xfId="6859" xr:uid="{00000000-0005-0000-0000-0000CB010000}"/>
    <cellStyle name="40% - 강조색1 2 11" xfId="6906" xr:uid="{00000000-0005-0000-0000-0000CC010000}"/>
    <cellStyle name="40% - 강조색1 2 2" xfId="4411" xr:uid="{00000000-0005-0000-0000-0000CD010000}"/>
    <cellStyle name="40% - 강조색1 2 3" xfId="6257" xr:uid="{00000000-0005-0000-0000-0000CE010000}"/>
    <cellStyle name="40% - 강조색1 2 4" xfId="6544" xr:uid="{00000000-0005-0000-0000-0000CF010000}"/>
    <cellStyle name="40% - 강조색1 2 5" xfId="6584" xr:uid="{00000000-0005-0000-0000-0000D0010000}"/>
    <cellStyle name="40% - 강조색1 2 6" xfId="6609" xr:uid="{00000000-0005-0000-0000-0000D1010000}"/>
    <cellStyle name="40% - 강조색1 2 7" xfId="6652" xr:uid="{00000000-0005-0000-0000-0000D2010000}"/>
    <cellStyle name="40% - 강조색1 2 8" xfId="6739" xr:uid="{00000000-0005-0000-0000-0000D3010000}"/>
    <cellStyle name="40% - 강조색1 2 9" xfId="6805" xr:uid="{00000000-0005-0000-0000-0000D4010000}"/>
    <cellStyle name="40% - 강조색1 20" xfId="48589" xr:uid="{00000000-0005-0000-0000-0000D5010000}"/>
    <cellStyle name="40% - 강조색1 21" xfId="48590" xr:uid="{00000000-0005-0000-0000-0000D6010000}"/>
    <cellStyle name="40% - 강조색1 22" xfId="48591" xr:uid="{00000000-0005-0000-0000-0000D7010000}"/>
    <cellStyle name="40% - 강조색1 23" xfId="48592" xr:uid="{00000000-0005-0000-0000-0000D8010000}"/>
    <cellStyle name="40% - 강조색1 24" xfId="48593" xr:uid="{00000000-0005-0000-0000-0000D9010000}"/>
    <cellStyle name="40% - 강조색1 25" xfId="48594" xr:uid="{00000000-0005-0000-0000-0000DA010000}"/>
    <cellStyle name="40% - 강조색1 26" xfId="48595" xr:uid="{00000000-0005-0000-0000-0000DB010000}"/>
    <cellStyle name="40% - 강조색1 27" xfId="48596" xr:uid="{00000000-0005-0000-0000-0000DC010000}"/>
    <cellStyle name="40% - 강조색1 28" xfId="48597" xr:uid="{00000000-0005-0000-0000-0000DD010000}"/>
    <cellStyle name="40% - 강조색1 29" xfId="48598" xr:uid="{00000000-0005-0000-0000-0000DE010000}"/>
    <cellStyle name="40% - 강조색1 3" xfId="3013" xr:uid="{00000000-0005-0000-0000-0000DF010000}"/>
    <cellStyle name="40% - 강조색1 3 10" xfId="2890" xr:uid="{00000000-0005-0000-0000-0000E0010000}"/>
    <cellStyle name="40% - 강조색1 3 11" xfId="3135" xr:uid="{00000000-0005-0000-0000-0000E1010000}"/>
    <cellStyle name="40% - 강조색1 3 2" xfId="2576" xr:uid="{00000000-0005-0000-0000-0000E2010000}"/>
    <cellStyle name="40% - 강조색1 3 3" xfId="4231" xr:uid="{00000000-0005-0000-0000-0000E3010000}"/>
    <cellStyle name="40% - 강조색1 3 4" xfId="4106" xr:uid="{00000000-0005-0000-0000-0000E4010000}"/>
    <cellStyle name="40% - 강조색1 3 5" xfId="2655" xr:uid="{00000000-0005-0000-0000-0000E5010000}"/>
    <cellStyle name="40% - 강조색1 3 6" xfId="3859" xr:uid="{00000000-0005-0000-0000-0000E6010000}"/>
    <cellStyle name="40% - 강조색1 3 7" xfId="3947" xr:uid="{00000000-0005-0000-0000-0000E7010000}"/>
    <cellStyle name="40% - 강조색1 3 8" xfId="2863" xr:uid="{00000000-0005-0000-0000-0000E8010000}"/>
    <cellStyle name="40% - 강조색1 3 9" xfId="4073" xr:uid="{00000000-0005-0000-0000-0000E9010000}"/>
    <cellStyle name="40% - 강조색1 30" xfId="48599" xr:uid="{00000000-0005-0000-0000-0000EA010000}"/>
    <cellStyle name="40% - 강조색1 31" xfId="48600" xr:uid="{00000000-0005-0000-0000-0000EB010000}"/>
    <cellStyle name="40% - 강조색1 32" xfId="48601" xr:uid="{00000000-0005-0000-0000-0000EC010000}"/>
    <cellStyle name="40% - 강조색1 33" xfId="48602" xr:uid="{00000000-0005-0000-0000-0000ED010000}"/>
    <cellStyle name="40% - 강조색1 4" xfId="3723" xr:uid="{00000000-0005-0000-0000-0000EE010000}"/>
    <cellStyle name="40% - 강조색1 4 10" xfId="3095" xr:uid="{00000000-0005-0000-0000-0000EF010000}"/>
    <cellStyle name="40% - 강조색1 4 11" xfId="2994" xr:uid="{00000000-0005-0000-0000-0000F0010000}"/>
    <cellStyle name="40% - 강조색1 4 2" xfId="3337" xr:uid="{00000000-0005-0000-0000-0000F1010000}"/>
    <cellStyle name="40% - 강조색1 4 3" xfId="2495" xr:uid="{00000000-0005-0000-0000-0000F2010000}"/>
    <cellStyle name="40% - 강조색1 4 4" xfId="3219" xr:uid="{00000000-0005-0000-0000-0000F3010000}"/>
    <cellStyle name="40% - 강조색1 4 5" xfId="3828" xr:uid="{00000000-0005-0000-0000-0000F4010000}"/>
    <cellStyle name="40% - 강조색1 4 6" xfId="2986" xr:uid="{00000000-0005-0000-0000-0000F5010000}"/>
    <cellStyle name="40% - 강조색1 4 7" xfId="3104" xr:uid="{00000000-0005-0000-0000-0000F6010000}"/>
    <cellStyle name="40% - 강조색1 4 8" xfId="2623" xr:uid="{00000000-0005-0000-0000-0000F7010000}"/>
    <cellStyle name="40% - 강조색1 4 9" xfId="3345" xr:uid="{00000000-0005-0000-0000-0000F8010000}"/>
    <cellStyle name="40% - 강조색1 5" xfId="3463" xr:uid="{00000000-0005-0000-0000-0000F9010000}"/>
    <cellStyle name="40% - 강조색1 5 2" xfId="3832" xr:uid="{00000000-0005-0000-0000-0000FA010000}"/>
    <cellStyle name="40% - 강조색1 5 3" xfId="2799" xr:uid="{00000000-0005-0000-0000-0000FB010000}"/>
    <cellStyle name="40% - 강조색1 5 4" xfId="2584" xr:uid="{00000000-0005-0000-0000-0000FC010000}"/>
    <cellStyle name="40% - 강조색1 5 5" xfId="2985" xr:uid="{00000000-0005-0000-0000-0000FD010000}"/>
    <cellStyle name="40% - 강조색1 6" xfId="3154" xr:uid="{00000000-0005-0000-0000-0000FE010000}"/>
    <cellStyle name="40% - 강조색1 6 2" xfId="3807" xr:uid="{00000000-0005-0000-0000-0000FF010000}"/>
    <cellStyle name="40% - 강조색1 6 3" xfId="2725" xr:uid="{00000000-0005-0000-0000-000000020000}"/>
    <cellStyle name="40% - 강조색1 6 4" xfId="2839" xr:uid="{00000000-0005-0000-0000-000001020000}"/>
    <cellStyle name="40% - 강조색1 6 5" xfId="2606" xr:uid="{00000000-0005-0000-0000-000002020000}"/>
    <cellStyle name="40% - 강조색1 7" xfId="3810" xr:uid="{00000000-0005-0000-0000-000003020000}"/>
    <cellStyle name="40% - 강조색1 7 2" xfId="2487" xr:uid="{00000000-0005-0000-0000-000004020000}"/>
    <cellStyle name="40% - 강조색1 8" xfId="2431" xr:uid="{00000000-0005-0000-0000-000005020000}"/>
    <cellStyle name="40% - 강조색1 8 2" xfId="2844" xr:uid="{00000000-0005-0000-0000-000006020000}"/>
    <cellStyle name="40% - 강조색1 9" xfId="6653" xr:uid="{00000000-0005-0000-0000-000007020000}"/>
    <cellStyle name="40% - 강조색2 10" xfId="6728" xr:uid="{00000000-0005-0000-0000-000008020000}"/>
    <cellStyle name="40% - 강조색2 11" xfId="6797" xr:uid="{00000000-0005-0000-0000-000009020000}"/>
    <cellStyle name="40% - 강조색2 12" xfId="6855" xr:uid="{00000000-0005-0000-0000-00000A020000}"/>
    <cellStyle name="40% - 강조색2 13" xfId="6902" xr:uid="{00000000-0005-0000-0000-00000B020000}"/>
    <cellStyle name="40% - 강조색2 14" xfId="48603" xr:uid="{00000000-0005-0000-0000-00000C020000}"/>
    <cellStyle name="40% - 강조색2 15" xfId="48604" xr:uid="{00000000-0005-0000-0000-00000D020000}"/>
    <cellStyle name="40% - 강조색2 16" xfId="48605" xr:uid="{00000000-0005-0000-0000-00000E020000}"/>
    <cellStyle name="40% - 강조색2 17" xfId="48606" xr:uid="{00000000-0005-0000-0000-00000F020000}"/>
    <cellStyle name="40% - 강조색2 18" xfId="48607" xr:uid="{00000000-0005-0000-0000-000010020000}"/>
    <cellStyle name="40% - 강조색2 19" xfId="48608" xr:uid="{00000000-0005-0000-0000-000011020000}"/>
    <cellStyle name="40% - 강조색2 2" xfId="205" xr:uid="{00000000-0005-0000-0000-000012020000}"/>
    <cellStyle name="40% - 강조색2 2 10" xfId="6854" xr:uid="{00000000-0005-0000-0000-000013020000}"/>
    <cellStyle name="40% - 강조색2 2 11" xfId="6901" xr:uid="{00000000-0005-0000-0000-000014020000}"/>
    <cellStyle name="40% - 강조색2 2 2" xfId="4412" xr:uid="{00000000-0005-0000-0000-000015020000}"/>
    <cellStyle name="40% - 강조색2 2 3" xfId="6258" xr:uid="{00000000-0005-0000-0000-000016020000}"/>
    <cellStyle name="40% - 강조색2 2 4" xfId="6537" xr:uid="{00000000-0005-0000-0000-000017020000}"/>
    <cellStyle name="40% - 강조색2 2 5" xfId="6576" xr:uid="{00000000-0005-0000-0000-000018020000}"/>
    <cellStyle name="40% - 강조색2 2 6" xfId="6608" xr:uid="{00000000-0005-0000-0000-000019020000}"/>
    <cellStyle name="40% - 강조색2 2 7" xfId="6650" xr:uid="{00000000-0005-0000-0000-00001A020000}"/>
    <cellStyle name="40% - 강조색2 2 8" xfId="6724" xr:uid="{00000000-0005-0000-0000-00001B020000}"/>
    <cellStyle name="40% - 강조색2 2 9" xfId="6796" xr:uid="{00000000-0005-0000-0000-00001C020000}"/>
    <cellStyle name="40% - 강조색2 20" xfId="48609" xr:uid="{00000000-0005-0000-0000-00001D020000}"/>
    <cellStyle name="40% - 강조색2 21" xfId="48610" xr:uid="{00000000-0005-0000-0000-00001E020000}"/>
    <cellStyle name="40% - 강조색2 22" xfId="48611" xr:uid="{00000000-0005-0000-0000-00001F020000}"/>
    <cellStyle name="40% - 강조색2 23" xfId="48612" xr:uid="{00000000-0005-0000-0000-000020020000}"/>
    <cellStyle name="40% - 강조색2 24" xfId="48613" xr:uid="{00000000-0005-0000-0000-000021020000}"/>
    <cellStyle name="40% - 강조색2 25" xfId="48614" xr:uid="{00000000-0005-0000-0000-000022020000}"/>
    <cellStyle name="40% - 강조색2 26" xfId="48615" xr:uid="{00000000-0005-0000-0000-000023020000}"/>
    <cellStyle name="40% - 강조색2 27" xfId="48616" xr:uid="{00000000-0005-0000-0000-000024020000}"/>
    <cellStyle name="40% - 강조색2 28" xfId="48617" xr:uid="{00000000-0005-0000-0000-000025020000}"/>
    <cellStyle name="40% - 강조색2 29" xfId="48618" xr:uid="{00000000-0005-0000-0000-000026020000}"/>
    <cellStyle name="40% - 강조색2 3" xfId="2490" xr:uid="{00000000-0005-0000-0000-000027020000}"/>
    <cellStyle name="40% - 강조색2 3 10" xfId="3086" xr:uid="{00000000-0005-0000-0000-000028020000}"/>
    <cellStyle name="40% - 강조색2 3 11" xfId="2611" xr:uid="{00000000-0005-0000-0000-000029020000}"/>
    <cellStyle name="40% - 강조색2 3 2" xfId="4204" xr:uid="{00000000-0005-0000-0000-00002A020000}"/>
    <cellStyle name="40% - 강조색2 3 3" xfId="311" xr:uid="{00000000-0005-0000-0000-00002B020000}"/>
    <cellStyle name="40% - 강조색2 3 4" xfId="2683" xr:uid="{00000000-0005-0000-0000-00002C020000}"/>
    <cellStyle name="40% - 강조색2 3 5" xfId="3522" xr:uid="{00000000-0005-0000-0000-00002D020000}"/>
    <cellStyle name="40% - 강조색2 3 6" xfId="2716" xr:uid="{00000000-0005-0000-0000-00002E020000}"/>
    <cellStyle name="40% - 강조색2 3 7" xfId="3032" xr:uid="{00000000-0005-0000-0000-00002F020000}"/>
    <cellStyle name="40% - 강조색2 3 8" xfId="2597" xr:uid="{00000000-0005-0000-0000-000030020000}"/>
    <cellStyle name="40% - 강조색2 3 9" xfId="4006" xr:uid="{00000000-0005-0000-0000-000031020000}"/>
    <cellStyle name="40% - 강조색2 30" xfId="48619" xr:uid="{00000000-0005-0000-0000-000032020000}"/>
    <cellStyle name="40% - 강조색2 31" xfId="48620" xr:uid="{00000000-0005-0000-0000-000033020000}"/>
    <cellStyle name="40% - 강조색2 32" xfId="48621" xr:uid="{00000000-0005-0000-0000-000034020000}"/>
    <cellStyle name="40% - 강조색2 33" xfId="48622" xr:uid="{00000000-0005-0000-0000-000035020000}"/>
    <cellStyle name="40% - 강조색2 4" xfId="2448" xr:uid="{00000000-0005-0000-0000-000036020000}"/>
    <cellStyle name="40% - 강조색2 4 10" xfId="2554" xr:uid="{00000000-0005-0000-0000-000037020000}"/>
    <cellStyle name="40% - 강조색2 4 11" xfId="2802" xr:uid="{00000000-0005-0000-0000-000038020000}"/>
    <cellStyle name="40% - 강조색2 4 2" xfId="3732" xr:uid="{00000000-0005-0000-0000-000039020000}"/>
    <cellStyle name="40% - 강조색2 4 3" xfId="3864" xr:uid="{00000000-0005-0000-0000-00003A020000}"/>
    <cellStyle name="40% - 강조색2 4 4" xfId="3660" xr:uid="{00000000-0005-0000-0000-00003B020000}"/>
    <cellStyle name="40% - 강조색2 4 5" xfId="2564" xr:uid="{00000000-0005-0000-0000-00003C020000}"/>
    <cellStyle name="40% - 강조색2 4 6" xfId="4120" xr:uid="{00000000-0005-0000-0000-00003D020000}"/>
    <cellStyle name="40% - 강조색2 4 7" xfId="3740" xr:uid="{00000000-0005-0000-0000-00003E020000}"/>
    <cellStyle name="40% - 강조색2 4 8" xfId="4051" xr:uid="{00000000-0005-0000-0000-00003F020000}"/>
    <cellStyle name="40% - 강조색2 4 9" xfId="3931" xr:uid="{00000000-0005-0000-0000-000040020000}"/>
    <cellStyle name="40% - 강조색2 5" xfId="3197" xr:uid="{00000000-0005-0000-0000-000041020000}"/>
    <cellStyle name="40% - 강조색2 5 2" xfId="3384" xr:uid="{00000000-0005-0000-0000-000042020000}"/>
    <cellStyle name="40% - 강조색2 5 3" xfId="2540" xr:uid="{00000000-0005-0000-0000-000043020000}"/>
    <cellStyle name="40% - 강조색2 5 4" xfId="3019" xr:uid="{00000000-0005-0000-0000-000044020000}"/>
    <cellStyle name="40% - 강조색2 5 5" xfId="2659" xr:uid="{00000000-0005-0000-0000-000045020000}"/>
    <cellStyle name="40% - 강조색2 6" xfId="3634" xr:uid="{00000000-0005-0000-0000-000046020000}"/>
    <cellStyle name="40% - 강조색2 6 2" xfId="3751" xr:uid="{00000000-0005-0000-0000-000047020000}"/>
    <cellStyle name="40% - 강조색2 6 3" xfId="3269" xr:uid="{00000000-0005-0000-0000-000048020000}"/>
    <cellStyle name="40% - 강조색2 6 4" xfId="4124" xr:uid="{00000000-0005-0000-0000-000049020000}"/>
    <cellStyle name="40% - 강조색2 6 5" xfId="4243" xr:uid="{00000000-0005-0000-0000-00004A020000}"/>
    <cellStyle name="40% - 강조색2 7" xfId="3753" xr:uid="{00000000-0005-0000-0000-00004B020000}"/>
    <cellStyle name="40% - 강조색2 7 2" xfId="3511" xr:uid="{00000000-0005-0000-0000-00004C020000}"/>
    <cellStyle name="40% - 강조색2 8" xfId="3025" xr:uid="{00000000-0005-0000-0000-00004D020000}"/>
    <cellStyle name="40% - 강조색2 8 2" xfId="3308" xr:uid="{00000000-0005-0000-0000-00004E020000}"/>
    <cellStyle name="40% - 강조색2 9" xfId="6651" xr:uid="{00000000-0005-0000-0000-00004F020000}"/>
    <cellStyle name="40% - 강조색3 10" xfId="6722" xr:uid="{00000000-0005-0000-0000-000050020000}"/>
    <cellStyle name="40% - 강조색3 11" xfId="6792" xr:uid="{00000000-0005-0000-0000-000051020000}"/>
    <cellStyle name="40% - 강조색3 12" xfId="6853" xr:uid="{00000000-0005-0000-0000-000052020000}"/>
    <cellStyle name="40% - 강조색3 13" xfId="6900" xr:uid="{00000000-0005-0000-0000-000053020000}"/>
    <cellStyle name="40% - 강조색3 14" xfId="48623" xr:uid="{00000000-0005-0000-0000-000054020000}"/>
    <cellStyle name="40% - 강조색3 15" xfId="48624" xr:uid="{00000000-0005-0000-0000-000055020000}"/>
    <cellStyle name="40% - 강조색3 16" xfId="48625" xr:uid="{00000000-0005-0000-0000-000056020000}"/>
    <cellStyle name="40% - 강조색3 17" xfId="48626" xr:uid="{00000000-0005-0000-0000-000057020000}"/>
    <cellStyle name="40% - 강조색3 18" xfId="48627" xr:uid="{00000000-0005-0000-0000-000058020000}"/>
    <cellStyle name="40% - 강조색3 19" xfId="48628" xr:uid="{00000000-0005-0000-0000-000059020000}"/>
    <cellStyle name="40% - 강조색3 2" xfId="192" xr:uid="{00000000-0005-0000-0000-00005A020000}"/>
    <cellStyle name="40% - 강조색3 2 10" xfId="6852" xr:uid="{00000000-0005-0000-0000-00005B020000}"/>
    <cellStyle name="40% - 강조색3 2 11" xfId="6899" xr:uid="{00000000-0005-0000-0000-00005C020000}"/>
    <cellStyle name="40% - 강조색3 2 2" xfId="4413" xr:uid="{00000000-0005-0000-0000-00005D020000}"/>
    <cellStyle name="40% - 강조색3 2 3" xfId="6259" xr:uid="{00000000-0005-0000-0000-00005E020000}"/>
    <cellStyle name="40% - 강조색3 2 4" xfId="6533" xr:uid="{00000000-0005-0000-0000-00005F020000}"/>
    <cellStyle name="40% - 강조색3 2 5" xfId="6570" xr:uid="{00000000-0005-0000-0000-000060020000}"/>
    <cellStyle name="40% - 강조색3 2 6" xfId="6607" xr:uid="{00000000-0005-0000-0000-000061020000}"/>
    <cellStyle name="40% - 강조색3 2 7" xfId="6648" xr:uid="{00000000-0005-0000-0000-000062020000}"/>
    <cellStyle name="40% - 강조색3 2 8" xfId="6721" xr:uid="{00000000-0005-0000-0000-000063020000}"/>
    <cellStyle name="40% - 강조색3 2 9" xfId="6791" xr:uid="{00000000-0005-0000-0000-000064020000}"/>
    <cellStyle name="40% - 강조색3 20" xfId="48629" xr:uid="{00000000-0005-0000-0000-000065020000}"/>
    <cellStyle name="40% - 강조색3 21" xfId="48630" xr:uid="{00000000-0005-0000-0000-000066020000}"/>
    <cellStyle name="40% - 강조색3 22" xfId="48631" xr:uid="{00000000-0005-0000-0000-000067020000}"/>
    <cellStyle name="40% - 강조색3 23" xfId="48632" xr:uid="{00000000-0005-0000-0000-000068020000}"/>
    <cellStyle name="40% - 강조색3 24" xfId="48633" xr:uid="{00000000-0005-0000-0000-000069020000}"/>
    <cellStyle name="40% - 강조색3 25" xfId="48634" xr:uid="{00000000-0005-0000-0000-00006A020000}"/>
    <cellStyle name="40% - 강조색3 26" xfId="48635" xr:uid="{00000000-0005-0000-0000-00006B020000}"/>
    <cellStyle name="40% - 강조색3 27" xfId="48636" xr:uid="{00000000-0005-0000-0000-00006C020000}"/>
    <cellStyle name="40% - 강조색3 28" xfId="48637" xr:uid="{00000000-0005-0000-0000-00006D020000}"/>
    <cellStyle name="40% - 강조색3 29" xfId="48638" xr:uid="{00000000-0005-0000-0000-00006E020000}"/>
    <cellStyle name="40% - 강조색3 3" xfId="4286" xr:uid="{00000000-0005-0000-0000-00006F020000}"/>
    <cellStyle name="40% - 강조색3 3 10" xfId="3918" xr:uid="{00000000-0005-0000-0000-000070020000}"/>
    <cellStyle name="40% - 강조색3 3 11" xfId="3790" xr:uid="{00000000-0005-0000-0000-000071020000}"/>
    <cellStyle name="40% - 강조색3 3 2" xfId="3553" xr:uid="{00000000-0005-0000-0000-000072020000}"/>
    <cellStyle name="40% - 강조색3 3 3" xfId="4284" xr:uid="{00000000-0005-0000-0000-000073020000}"/>
    <cellStyle name="40% - 강조색3 3 4" xfId="367" xr:uid="{00000000-0005-0000-0000-000074020000}"/>
    <cellStyle name="40% - 강조색3 3 5" xfId="4293" xr:uid="{00000000-0005-0000-0000-000075020000}"/>
    <cellStyle name="40% - 강조색3 3 6" xfId="344" xr:uid="{00000000-0005-0000-0000-000076020000}"/>
    <cellStyle name="40% - 강조색3 3 7" xfId="3637" xr:uid="{00000000-0005-0000-0000-000077020000}"/>
    <cellStyle name="40% - 강조색3 3 8" xfId="3365" xr:uid="{00000000-0005-0000-0000-000078020000}"/>
    <cellStyle name="40% - 강조색3 3 9" xfId="2723" xr:uid="{00000000-0005-0000-0000-000079020000}"/>
    <cellStyle name="40% - 강조색3 30" xfId="48639" xr:uid="{00000000-0005-0000-0000-00007A020000}"/>
    <cellStyle name="40% - 강조색3 31" xfId="48640" xr:uid="{00000000-0005-0000-0000-00007B020000}"/>
    <cellStyle name="40% - 강조색3 32" xfId="48641" xr:uid="{00000000-0005-0000-0000-00007C020000}"/>
    <cellStyle name="40% - 강조색3 33" xfId="48642" xr:uid="{00000000-0005-0000-0000-00007D020000}"/>
    <cellStyle name="40% - 강조색3 4" xfId="3554" xr:uid="{00000000-0005-0000-0000-00007E020000}"/>
    <cellStyle name="40% - 강조색3 4 10" xfId="3557" xr:uid="{00000000-0005-0000-0000-00007F020000}"/>
    <cellStyle name="40% - 강조색3 4 11" xfId="3484" xr:uid="{00000000-0005-0000-0000-000080020000}"/>
    <cellStyle name="40% - 강조색3 4 2" xfId="3110" xr:uid="{00000000-0005-0000-0000-000081020000}"/>
    <cellStyle name="40% - 강조색3 4 3" xfId="3290" xr:uid="{00000000-0005-0000-0000-000082020000}"/>
    <cellStyle name="40% - 강조색3 4 4" xfId="2826" xr:uid="{00000000-0005-0000-0000-000083020000}"/>
    <cellStyle name="40% - 강조색3 4 5" xfId="3772" xr:uid="{00000000-0005-0000-0000-000084020000}"/>
    <cellStyle name="40% - 강조색3 4 6" xfId="2695" xr:uid="{00000000-0005-0000-0000-000085020000}"/>
    <cellStyle name="40% - 강조색3 4 7" xfId="2808" xr:uid="{00000000-0005-0000-0000-000086020000}"/>
    <cellStyle name="40% - 강조색3 4 8" xfId="2573" xr:uid="{00000000-0005-0000-0000-000087020000}"/>
    <cellStyle name="40% - 강조색3 4 9" xfId="3777" xr:uid="{00000000-0005-0000-0000-000088020000}"/>
    <cellStyle name="40% - 강조색3 5" xfId="3536" xr:uid="{00000000-0005-0000-0000-000089020000}"/>
    <cellStyle name="40% - 강조색3 5 2" xfId="3876" xr:uid="{00000000-0005-0000-0000-00008A020000}"/>
    <cellStyle name="40% - 강조색3 5 3" xfId="2690" xr:uid="{00000000-0005-0000-0000-00008B020000}"/>
    <cellStyle name="40% - 강조색3 5 4" xfId="2937" xr:uid="{00000000-0005-0000-0000-00008C020000}"/>
    <cellStyle name="40% - 강조색3 5 5" xfId="2462" xr:uid="{00000000-0005-0000-0000-00008D020000}"/>
    <cellStyle name="40% - 강조색3 6" xfId="4277" xr:uid="{00000000-0005-0000-0000-00008E020000}"/>
    <cellStyle name="40% - 강조색3 6 2" xfId="4030" xr:uid="{00000000-0005-0000-0000-00008F020000}"/>
    <cellStyle name="40% - 강조색3 6 3" xfId="2717" xr:uid="{00000000-0005-0000-0000-000090020000}"/>
    <cellStyle name="40% - 강조색3 6 4" xfId="2631" xr:uid="{00000000-0005-0000-0000-000091020000}"/>
    <cellStyle name="40% - 강조색3 6 5" xfId="3598" xr:uid="{00000000-0005-0000-0000-000092020000}"/>
    <cellStyle name="40% - 강조색3 7" xfId="2410" xr:uid="{00000000-0005-0000-0000-000093020000}"/>
    <cellStyle name="40% - 강조색3 7 2" xfId="2507" xr:uid="{00000000-0005-0000-0000-000094020000}"/>
    <cellStyle name="40% - 강조색3 8" xfId="3838" xr:uid="{00000000-0005-0000-0000-000095020000}"/>
    <cellStyle name="40% - 강조색3 8 2" xfId="3868" xr:uid="{00000000-0005-0000-0000-000096020000}"/>
    <cellStyle name="40% - 강조색3 9" xfId="6649" xr:uid="{00000000-0005-0000-0000-000097020000}"/>
    <cellStyle name="40% - 강조색4 10" xfId="6720" xr:uid="{00000000-0005-0000-0000-000098020000}"/>
    <cellStyle name="40% - 강조색4 11" xfId="6790" xr:uid="{00000000-0005-0000-0000-000099020000}"/>
    <cellStyle name="40% - 강조색4 12" xfId="6851" xr:uid="{00000000-0005-0000-0000-00009A020000}"/>
    <cellStyle name="40% - 강조색4 13" xfId="6898" xr:uid="{00000000-0005-0000-0000-00009B020000}"/>
    <cellStyle name="40% - 강조색4 14" xfId="48643" xr:uid="{00000000-0005-0000-0000-00009C020000}"/>
    <cellStyle name="40% - 강조색4 15" xfId="48644" xr:uid="{00000000-0005-0000-0000-00009D020000}"/>
    <cellStyle name="40% - 강조색4 16" xfId="48645" xr:uid="{00000000-0005-0000-0000-00009E020000}"/>
    <cellStyle name="40% - 강조색4 17" xfId="48646" xr:uid="{00000000-0005-0000-0000-00009F020000}"/>
    <cellStyle name="40% - 강조색4 18" xfId="48647" xr:uid="{00000000-0005-0000-0000-0000A0020000}"/>
    <cellStyle name="40% - 강조색4 19" xfId="48648" xr:uid="{00000000-0005-0000-0000-0000A1020000}"/>
    <cellStyle name="40% - 강조색4 2" xfId="217" xr:uid="{00000000-0005-0000-0000-0000A2020000}"/>
    <cellStyle name="40% - 강조색4 2 10" xfId="6850" xr:uid="{00000000-0005-0000-0000-0000A3020000}"/>
    <cellStyle name="40% - 강조색4 2 11" xfId="6897" xr:uid="{00000000-0005-0000-0000-0000A4020000}"/>
    <cellStyle name="40% - 강조색4 2 2" xfId="4414" xr:uid="{00000000-0005-0000-0000-0000A5020000}"/>
    <cellStyle name="40% - 강조색4 2 3" xfId="6260" xr:uid="{00000000-0005-0000-0000-0000A6020000}"/>
    <cellStyle name="40% - 강조색4 2 4" xfId="6531" xr:uid="{00000000-0005-0000-0000-0000A7020000}"/>
    <cellStyle name="40% - 강조색4 2 5" xfId="6569" xr:uid="{00000000-0005-0000-0000-0000A8020000}"/>
    <cellStyle name="40% - 강조색4 2 6" xfId="6606" xr:uid="{00000000-0005-0000-0000-0000A9020000}"/>
    <cellStyle name="40% - 강조색4 2 7" xfId="6646" xr:uid="{00000000-0005-0000-0000-0000AA020000}"/>
    <cellStyle name="40% - 강조색4 2 8" xfId="6719" xr:uid="{00000000-0005-0000-0000-0000AB020000}"/>
    <cellStyle name="40% - 강조색4 2 9" xfId="6789" xr:uid="{00000000-0005-0000-0000-0000AC020000}"/>
    <cellStyle name="40% - 강조색4 20" xfId="48649" xr:uid="{00000000-0005-0000-0000-0000AD020000}"/>
    <cellStyle name="40% - 강조색4 21" xfId="48650" xr:uid="{00000000-0005-0000-0000-0000AE020000}"/>
    <cellStyle name="40% - 강조색4 22" xfId="48651" xr:uid="{00000000-0005-0000-0000-0000AF020000}"/>
    <cellStyle name="40% - 강조색4 23" xfId="48652" xr:uid="{00000000-0005-0000-0000-0000B0020000}"/>
    <cellStyle name="40% - 강조색4 24" xfId="48653" xr:uid="{00000000-0005-0000-0000-0000B1020000}"/>
    <cellStyle name="40% - 강조색4 25" xfId="48654" xr:uid="{00000000-0005-0000-0000-0000B2020000}"/>
    <cellStyle name="40% - 강조색4 26" xfId="48655" xr:uid="{00000000-0005-0000-0000-0000B3020000}"/>
    <cellStyle name="40% - 강조색4 27" xfId="48656" xr:uid="{00000000-0005-0000-0000-0000B4020000}"/>
    <cellStyle name="40% - 강조색4 28" xfId="48657" xr:uid="{00000000-0005-0000-0000-0000B5020000}"/>
    <cellStyle name="40% - 강조색4 29" xfId="48658" xr:uid="{00000000-0005-0000-0000-0000B6020000}"/>
    <cellStyle name="40% - 강조색4 3" xfId="3604" xr:uid="{00000000-0005-0000-0000-0000B7020000}"/>
    <cellStyle name="40% - 강조색4 3 10" xfId="3115" xr:uid="{00000000-0005-0000-0000-0000B8020000}"/>
    <cellStyle name="40% - 강조색4 3 11" xfId="2878" xr:uid="{00000000-0005-0000-0000-0000B9020000}"/>
    <cellStyle name="40% - 강조색4 3 2" xfId="3935" xr:uid="{00000000-0005-0000-0000-0000BA020000}"/>
    <cellStyle name="40% - 강조색4 3 3" xfId="3121" xr:uid="{00000000-0005-0000-0000-0000BB020000}"/>
    <cellStyle name="40% - 강조색4 3 4" xfId="2876" xr:uid="{00000000-0005-0000-0000-0000BC020000}"/>
    <cellStyle name="40% - 강조색4 3 5" xfId="4095" xr:uid="{00000000-0005-0000-0000-0000BD020000}"/>
    <cellStyle name="40% - 강조색4 3 6" xfId="3178" xr:uid="{00000000-0005-0000-0000-0000BE020000}"/>
    <cellStyle name="40% - 강조색4 3 7" xfId="4019" xr:uid="{00000000-0005-0000-0000-0000BF020000}"/>
    <cellStyle name="40% - 강조색4 3 8" xfId="3125" xr:uid="{00000000-0005-0000-0000-0000C0020000}"/>
    <cellStyle name="40% - 강조색4 3 9" xfId="4104" xr:uid="{00000000-0005-0000-0000-0000C1020000}"/>
    <cellStyle name="40% - 강조색4 30" xfId="48659" xr:uid="{00000000-0005-0000-0000-0000C2020000}"/>
    <cellStyle name="40% - 강조색4 31" xfId="48660" xr:uid="{00000000-0005-0000-0000-0000C3020000}"/>
    <cellStyle name="40% - 강조색4 32" xfId="48661" xr:uid="{00000000-0005-0000-0000-0000C4020000}"/>
    <cellStyle name="40% - 강조색4 33" xfId="48662" xr:uid="{00000000-0005-0000-0000-0000C5020000}"/>
    <cellStyle name="40% - 강조색4 4" xfId="4100" xr:uid="{00000000-0005-0000-0000-0000C6020000}"/>
    <cellStyle name="40% - 강조색4 4 10" xfId="3610" xr:uid="{00000000-0005-0000-0000-0000C7020000}"/>
    <cellStyle name="40% - 강조색4 4 11" xfId="3952" xr:uid="{00000000-0005-0000-0000-0000C8020000}"/>
    <cellStyle name="40% - 강조색4 4 2" xfId="2884" xr:uid="{00000000-0005-0000-0000-0000C9020000}"/>
    <cellStyle name="40% - 강조색4 4 3" xfId="3761" xr:uid="{00000000-0005-0000-0000-0000CA020000}"/>
    <cellStyle name="40% - 강조색4 4 4" xfId="2893" xr:uid="{00000000-0005-0000-0000-0000CB020000}"/>
    <cellStyle name="40% - 강조색4 4 5" xfId="2443" xr:uid="{00000000-0005-0000-0000-0000CC020000}"/>
    <cellStyle name="40% - 강조색4 4 6" xfId="3377" xr:uid="{00000000-0005-0000-0000-0000CD020000}"/>
    <cellStyle name="40% - 강조색4 4 7" xfId="3296" xr:uid="{00000000-0005-0000-0000-0000CE020000}"/>
    <cellStyle name="40% - 강조색4 4 8" xfId="4109" xr:uid="{00000000-0005-0000-0000-0000CF020000}"/>
    <cellStyle name="40% - 강조색4 4 9" xfId="2656" xr:uid="{00000000-0005-0000-0000-0000D0020000}"/>
    <cellStyle name="40% - 강조색4 5" xfId="3375" xr:uid="{00000000-0005-0000-0000-0000D1020000}"/>
    <cellStyle name="40% - 강조색4 5 2" xfId="2687" xr:uid="{00000000-0005-0000-0000-0000D2020000}"/>
    <cellStyle name="40% - 강조색4 5 3" xfId="385" xr:uid="{00000000-0005-0000-0000-0000D3020000}"/>
    <cellStyle name="40% - 강조색4 5 4" xfId="2481" xr:uid="{00000000-0005-0000-0000-0000D4020000}"/>
    <cellStyle name="40% - 강조색4 5 5" xfId="368" xr:uid="{00000000-0005-0000-0000-0000D5020000}"/>
    <cellStyle name="40% - 강조색4 6" xfId="3481" xr:uid="{00000000-0005-0000-0000-0000D6020000}"/>
    <cellStyle name="40% - 강조색4 6 2" xfId="3822" xr:uid="{00000000-0005-0000-0000-0000D7020000}"/>
    <cellStyle name="40% - 강조색4 6 3" xfId="3601" xr:uid="{00000000-0005-0000-0000-0000D8020000}"/>
    <cellStyle name="40% - 강조색4 6 4" xfId="316" xr:uid="{00000000-0005-0000-0000-0000D9020000}"/>
    <cellStyle name="40% - 강조색4 6 5" xfId="2627" xr:uid="{00000000-0005-0000-0000-0000DA020000}"/>
    <cellStyle name="40% - 강조색4 7" xfId="3099" xr:uid="{00000000-0005-0000-0000-0000DB020000}"/>
    <cellStyle name="40% - 강조색4 7 2" xfId="3591" xr:uid="{00000000-0005-0000-0000-0000DC020000}"/>
    <cellStyle name="40% - 강조색4 8" xfId="3438" xr:uid="{00000000-0005-0000-0000-0000DD020000}"/>
    <cellStyle name="40% - 강조색4 8 2" xfId="3956" xr:uid="{00000000-0005-0000-0000-0000DE020000}"/>
    <cellStyle name="40% - 강조색4 9" xfId="6647" xr:uid="{00000000-0005-0000-0000-0000DF020000}"/>
    <cellStyle name="40% - 강조색5 10" xfId="6718" xr:uid="{00000000-0005-0000-0000-0000E0020000}"/>
    <cellStyle name="40% - 강조색5 11" xfId="6788" xr:uid="{00000000-0005-0000-0000-0000E1020000}"/>
    <cellStyle name="40% - 강조색5 12" xfId="6849" xr:uid="{00000000-0005-0000-0000-0000E2020000}"/>
    <cellStyle name="40% - 강조색5 13" xfId="6896" xr:uid="{00000000-0005-0000-0000-0000E3020000}"/>
    <cellStyle name="40% - 강조색5 14" xfId="48663" xr:uid="{00000000-0005-0000-0000-0000E4020000}"/>
    <cellStyle name="40% - 강조색5 15" xfId="48664" xr:uid="{00000000-0005-0000-0000-0000E5020000}"/>
    <cellStyle name="40% - 강조색5 16" xfId="48665" xr:uid="{00000000-0005-0000-0000-0000E6020000}"/>
    <cellStyle name="40% - 강조색5 17" xfId="48666" xr:uid="{00000000-0005-0000-0000-0000E7020000}"/>
    <cellStyle name="40% - 강조색5 18" xfId="48667" xr:uid="{00000000-0005-0000-0000-0000E8020000}"/>
    <cellStyle name="40% - 강조색5 19" xfId="48668" xr:uid="{00000000-0005-0000-0000-0000E9020000}"/>
    <cellStyle name="40% - 강조색5 2" xfId="214" xr:uid="{00000000-0005-0000-0000-0000EA020000}"/>
    <cellStyle name="40% - 강조색5 2 10" xfId="6848" xr:uid="{00000000-0005-0000-0000-0000EB020000}"/>
    <cellStyle name="40% - 강조색5 2 11" xfId="6895" xr:uid="{00000000-0005-0000-0000-0000EC020000}"/>
    <cellStyle name="40% - 강조색5 2 2" xfId="4415" xr:uid="{00000000-0005-0000-0000-0000ED020000}"/>
    <cellStyle name="40% - 강조색5 2 3" xfId="6261" xr:uid="{00000000-0005-0000-0000-0000EE020000}"/>
    <cellStyle name="40% - 강조색5 2 4" xfId="6530" xr:uid="{00000000-0005-0000-0000-0000EF020000}"/>
    <cellStyle name="40% - 강조색5 2 5" xfId="6568" xr:uid="{00000000-0005-0000-0000-0000F0020000}"/>
    <cellStyle name="40% - 강조색5 2 6" xfId="6605" xr:uid="{00000000-0005-0000-0000-0000F1020000}"/>
    <cellStyle name="40% - 강조색5 2 7" xfId="6644" xr:uid="{00000000-0005-0000-0000-0000F2020000}"/>
    <cellStyle name="40% - 강조색5 2 8" xfId="6717" xr:uid="{00000000-0005-0000-0000-0000F3020000}"/>
    <cellStyle name="40% - 강조색5 2 9" xfId="6787" xr:uid="{00000000-0005-0000-0000-0000F4020000}"/>
    <cellStyle name="40% - 강조색5 20" xfId="48669" xr:uid="{00000000-0005-0000-0000-0000F5020000}"/>
    <cellStyle name="40% - 강조색5 21" xfId="48670" xr:uid="{00000000-0005-0000-0000-0000F6020000}"/>
    <cellStyle name="40% - 강조색5 22" xfId="48671" xr:uid="{00000000-0005-0000-0000-0000F7020000}"/>
    <cellStyle name="40% - 강조색5 23" xfId="48672" xr:uid="{00000000-0005-0000-0000-0000F8020000}"/>
    <cellStyle name="40% - 강조색5 24" xfId="48673" xr:uid="{00000000-0005-0000-0000-0000F9020000}"/>
    <cellStyle name="40% - 강조색5 25" xfId="48674" xr:uid="{00000000-0005-0000-0000-0000FA020000}"/>
    <cellStyle name="40% - 강조색5 26" xfId="48675" xr:uid="{00000000-0005-0000-0000-0000FB020000}"/>
    <cellStyle name="40% - 강조색5 27" xfId="48676" xr:uid="{00000000-0005-0000-0000-0000FC020000}"/>
    <cellStyle name="40% - 강조색5 28" xfId="48677" xr:uid="{00000000-0005-0000-0000-0000FD020000}"/>
    <cellStyle name="40% - 강조색5 29" xfId="48678" xr:uid="{00000000-0005-0000-0000-0000FE020000}"/>
    <cellStyle name="40% - 강조색5 3" xfId="3109" xr:uid="{00000000-0005-0000-0000-0000FF020000}"/>
    <cellStyle name="40% - 강조색5 3 10" xfId="3327" xr:uid="{00000000-0005-0000-0000-000000030000}"/>
    <cellStyle name="40% - 강조색5 3 11" xfId="3318" xr:uid="{00000000-0005-0000-0000-000001030000}"/>
    <cellStyle name="40% - 강조색5 3 2" xfId="3065" xr:uid="{00000000-0005-0000-0000-000002030000}"/>
    <cellStyle name="40% - 강조색5 3 3" xfId="3641" xr:uid="{00000000-0005-0000-0000-000003030000}"/>
    <cellStyle name="40% - 강조색5 3 4" xfId="3707" xr:uid="{00000000-0005-0000-0000-000004030000}"/>
    <cellStyle name="40% - 강조색5 3 5" xfId="3150" xr:uid="{00000000-0005-0000-0000-000005030000}"/>
    <cellStyle name="40% - 강조색5 3 6" xfId="3564" xr:uid="{00000000-0005-0000-0000-000006030000}"/>
    <cellStyle name="40% - 강조색5 3 7" xfId="4052" xr:uid="{00000000-0005-0000-0000-000007030000}"/>
    <cellStyle name="40% - 강조색5 3 8" xfId="2537" xr:uid="{00000000-0005-0000-0000-000008030000}"/>
    <cellStyle name="40% - 강조색5 3 9" xfId="3930" xr:uid="{00000000-0005-0000-0000-000009030000}"/>
    <cellStyle name="40% - 강조색5 30" xfId="48679" xr:uid="{00000000-0005-0000-0000-00000A030000}"/>
    <cellStyle name="40% - 강조색5 31" xfId="48680" xr:uid="{00000000-0005-0000-0000-00000B030000}"/>
    <cellStyle name="40% - 강조색5 32" xfId="48681" xr:uid="{00000000-0005-0000-0000-00000C030000}"/>
    <cellStyle name="40% - 강조색5 33" xfId="48682" xr:uid="{00000000-0005-0000-0000-00000D030000}"/>
    <cellStyle name="40% - 강조색5 4" xfId="3085" xr:uid="{00000000-0005-0000-0000-00000E030000}"/>
    <cellStyle name="40% - 강조색5 4 10" xfId="3445" xr:uid="{00000000-0005-0000-0000-00000F030000}"/>
    <cellStyle name="40% - 강조색5 4 11" xfId="2964" xr:uid="{00000000-0005-0000-0000-000010030000}"/>
    <cellStyle name="40% - 강조색5 4 2" xfId="4249" xr:uid="{00000000-0005-0000-0000-000011030000}"/>
    <cellStyle name="40% - 강조색5 4 3" xfId="3284" xr:uid="{00000000-0005-0000-0000-000012030000}"/>
    <cellStyle name="40% - 강조색5 4 4" xfId="3450" xr:uid="{00000000-0005-0000-0000-000013030000}"/>
    <cellStyle name="40% - 강조색5 4 5" xfId="4187" xr:uid="{00000000-0005-0000-0000-000014030000}"/>
    <cellStyle name="40% - 강조색5 4 6" xfId="3818" xr:uid="{00000000-0005-0000-0000-000015030000}"/>
    <cellStyle name="40% - 강조색5 4 7" xfId="3334" xr:uid="{00000000-0005-0000-0000-000016030000}"/>
    <cellStyle name="40% - 강조색5 4 8" xfId="3645" xr:uid="{00000000-0005-0000-0000-000017030000}"/>
    <cellStyle name="40% - 강조색5 4 9" xfId="4281" xr:uid="{00000000-0005-0000-0000-000018030000}"/>
    <cellStyle name="40% - 강조색5 5" xfId="3155" xr:uid="{00000000-0005-0000-0000-000019030000}"/>
    <cellStyle name="40% - 강조색5 5 2" xfId="2677" xr:uid="{00000000-0005-0000-0000-00001A030000}"/>
    <cellStyle name="40% - 강조색5 5 3" xfId="318" xr:uid="{00000000-0005-0000-0000-00001B030000}"/>
    <cellStyle name="40% - 강조색5 5 4" xfId="2734" xr:uid="{00000000-0005-0000-0000-00001C030000}"/>
    <cellStyle name="40% - 강조색5 5 5" xfId="3153" xr:uid="{00000000-0005-0000-0000-00001D030000}"/>
    <cellStyle name="40% - 강조색5 6" xfId="3404" xr:uid="{00000000-0005-0000-0000-00001E030000}"/>
    <cellStyle name="40% - 강조색5 6 2" xfId="2924" xr:uid="{00000000-0005-0000-0000-00001F030000}"/>
    <cellStyle name="40% - 강조색5 6 3" xfId="3607" xr:uid="{00000000-0005-0000-0000-000020030000}"/>
    <cellStyle name="40% - 강조색5 6 4" xfId="3892" xr:uid="{00000000-0005-0000-0000-000021030000}"/>
    <cellStyle name="40% - 강조색5 6 5" xfId="2921" xr:uid="{00000000-0005-0000-0000-000022030000}"/>
    <cellStyle name="40% - 강조색5 7" xfId="3418" xr:uid="{00000000-0005-0000-0000-000023030000}"/>
    <cellStyle name="40% - 강조색5 7 2" xfId="4137" xr:uid="{00000000-0005-0000-0000-000024030000}"/>
    <cellStyle name="40% - 강조색5 8" xfId="4140" xr:uid="{00000000-0005-0000-0000-000025030000}"/>
    <cellStyle name="40% - 강조색5 8 2" xfId="3286" xr:uid="{00000000-0005-0000-0000-000026030000}"/>
    <cellStyle name="40% - 강조색5 9" xfId="6645" xr:uid="{00000000-0005-0000-0000-000027030000}"/>
    <cellStyle name="40% - 강조색6 10" xfId="6716" xr:uid="{00000000-0005-0000-0000-000028030000}"/>
    <cellStyle name="40% - 강조색6 11" xfId="6786" xr:uid="{00000000-0005-0000-0000-000029030000}"/>
    <cellStyle name="40% - 강조색6 12" xfId="6847" xr:uid="{00000000-0005-0000-0000-00002A030000}"/>
    <cellStyle name="40% - 강조색6 13" xfId="6894" xr:uid="{00000000-0005-0000-0000-00002B030000}"/>
    <cellStyle name="40% - 강조색6 14" xfId="48683" xr:uid="{00000000-0005-0000-0000-00002C030000}"/>
    <cellStyle name="40% - 강조색6 15" xfId="48684" xr:uid="{00000000-0005-0000-0000-00002D030000}"/>
    <cellStyle name="40% - 강조색6 16" xfId="48685" xr:uid="{00000000-0005-0000-0000-00002E030000}"/>
    <cellStyle name="40% - 강조색6 17" xfId="48686" xr:uid="{00000000-0005-0000-0000-00002F030000}"/>
    <cellStyle name="40% - 강조색6 18" xfId="48687" xr:uid="{00000000-0005-0000-0000-000030030000}"/>
    <cellStyle name="40% - 강조색6 19" xfId="48688" xr:uid="{00000000-0005-0000-0000-000031030000}"/>
    <cellStyle name="40% - 강조색6 2" xfId="195" xr:uid="{00000000-0005-0000-0000-000032030000}"/>
    <cellStyle name="40% - 강조색6 2 10" xfId="6846" xr:uid="{00000000-0005-0000-0000-000033030000}"/>
    <cellStyle name="40% - 강조색6 2 11" xfId="6893" xr:uid="{00000000-0005-0000-0000-000034030000}"/>
    <cellStyle name="40% - 강조색6 2 2" xfId="4416" xr:uid="{00000000-0005-0000-0000-000035030000}"/>
    <cellStyle name="40% - 강조색6 2 3" xfId="6262" xr:uid="{00000000-0005-0000-0000-000036030000}"/>
    <cellStyle name="40% - 강조색6 2 4" xfId="6529" xr:uid="{00000000-0005-0000-0000-000037030000}"/>
    <cellStyle name="40% - 강조색6 2 5" xfId="6567" xr:uid="{00000000-0005-0000-0000-000038030000}"/>
    <cellStyle name="40% - 강조색6 2 6" xfId="6604" xr:uid="{00000000-0005-0000-0000-000039030000}"/>
    <cellStyle name="40% - 강조색6 2 7" xfId="6642" xr:uid="{00000000-0005-0000-0000-00003A030000}"/>
    <cellStyle name="40% - 강조색6 2 8" xfId="6715" xr:uid="{00000000-0005-0000-0000-00003B030000}"/>
    <cellStyle name="40% - 강조색6 2 9" xfId="6785" xr:uid="{00000000-0005-0000-0000-00003C030000}"/>
    <cellStyle name="40% - 강조색6 20" xfId="48689" xr:uid="{00000000-0005-0000-0000-00003D030000}"/>
    <cellStyle name="40% - 강조색6 21" xfId="48690" xr:uid="{00000000-0005-0000-0000-00003E030000}"/>
    <cellStyle name="40% - 강조색6 22" xfId="48691" xr:uid="{00000000-0005-0000-0000-00003F030000}"/>
    <cellStyle name="40% - 강조색6 23" xfId="48692" xr:uid="{00000000-0005-0000-0000-000040030000}"/>
    <cellStyle name="40% - 강조색6 24" xfId="48693" xr:uid="{00000000-0005-0000-0000-000041030000}"/>
    <cellStyle name="40% - 강조색6 25" xfId="48694" xr:uid="{00000000-0005-0000-0000-000042030000}"/>
    <cellStyle name="40% - 강조색6 26" xfId="48695" xr:uid="{00000000-0005-0000-0000-000043030000}"/>
    <cellStyle name="40% - 강조색6 27" xfId="48696" xr:uid="{00000000-0005-0000-0000-000044030000}"/>
    <cellStyle name="40% - 강조색6 28" xfId="48697" xr:uid="{00000000-0005-0000-0000-000045030000}"/>
    <cellStyle name="40% - 강조색6 29" xfId="48698" xr:uid="{00000000-0005-0000-0000-000046030000}"/>
    <cellStyle name="40% - 강조색6 3" xfId="3381" xr:uid="{00000000-0005-0000-0000-000047030000}"/>
    <cellStyle name="40% - 강조색6 3 10" xfId="2911" xr:uid="{00000000-0005-0000-0000-000048030000}"/>
    <cellStyle name="40% - 강조색6 3 11" xfId="3049" xr:uid="{00000000-0005-0000-0000-000049030000}"/>
    <cellStyle name="40% - 강조색6 3 2" xfId="3866" xr:uid="{00000000-0005-0000-0000-00004A030000}"/>
    <cellStyle name="40% - 강조색6 3 3" xfId="3630" xr:uid="{00000000-0005-0000-0000-00004B030000}"/>
    <cellStyle name="40% - 강조색6 3 4" xfId="4115" xr:uid="{00000000-0005-0000-0000-00004C030000}"/>
    <cellStyle name="40% - 강조색6 3 5" xfId="3995" xr:uid="{00000000-0005-0000-0000-00004D030000}"/>
    <cellStyle name="40% - 강조색6 3 6" xfId="2807" xr:uid="{00000000-0005-0000-0000-00004E030000}"/>
    <cellStyle name="40% - 강조색6 3 7" xfId="4003" xr:uid="{00000000-0005-0000-0000-00004F030000}"/>
    <cellStyle name="40% - 강조색6 3 8" xfId="2486" xr:uid="{00000000-0005-0000-0000-000050030000}"/>
    <cellStyle name="40% - 강조색6 3 9" xfId="4121" xr:uid="{00000000-0005-0000-0000-000051030000}"/>
    <cellStyle name="40% - 강조색6 30" xfId="48699" xr:uid="{00000000-0005-0000-0000-000052030000}"/>
    <cellStyle name="40% - 강조색6 31" xfId="48700" xr:uid="{00000000-0005-0000-0000-000053030000}"/>
    <cellStyle name="40% - 강조색6 32" xfId="48701" xr:uid="{00000000-0005-0000-0000-000054030000}"/>
    <cellStyle name="40% - 강조색6 33" xfId="48702" xr:uid="{00000000-0005-0000-0000-000055030000}"/>
    <cellStyle name="40% - 강조색6 4" xfId="2670" xr:uid="{00000000-0005-0000-0000-000056030000}"/>
    <cellStyle name="40% - 강조색6 4 10" xfId="2787" xr:uid="{00000000-0005-0000-0000-000057030000}"/>
    <cellStyle name="40% - 강조색6 4 11" xfId="3999" xr:uid="{00000000-0005-0000-0000-000058030000}"/>
    <cellStyle name="40% - 강조색6 4 2" xfId="4042" xr:uid="{00000000-0005-0000-0000-000059030000}"/>
    <cellStyle name="40% - 강조색6 4 3" xfId="354" xr:uid="{00000000-0005-0000-0000-00005A030000}"/>
    <cellStyle name="40% - 강조색6 4 4" xfId="3062" xr:uid="{00000000-0005-0000-0000-00005B030000}"/>
    <cellStyle name="40% - 강조색6 4 5" xfId="277" xr:uid="{00000000-0005-0000-0000-00005C030000}"/>
    <cellStyle name="40% - 강조색6 4 6" xfId="288" xr:uid="{00000000-0005-0000-0000-00005D030000}"/>
    <cellStyle name="40% - 강조색6 4 7" xfId="2523" xr:uid="{00000000-0005-0000-0000-00005E030000}"/>
    <cellStyle name="40% - 강조색6 4 8" xfId="4039" xr:uid="{00000000-0005-0000-0000-00005F030000}"/>
    <cellStyle name="40% - 강조색6 4 9" xfId="2709" xr:uid="{00000000-0005-0000-0000-000060030000}"/>
    <cellStyle name="40% - 강조색6 5" xfId="3196" xr:uid="{00000000-0005-0000-0000-000061030000}"/>
    <cellStyle name="40% - 강조색6 5 2" xfId="2707" xr:uid="{00000000-0005-0000-0000-000062030000}"/>
    <cellStyle name="40% - 강조색6 5 3" xfId="2978" xr:uid="{00000000-0005-0000-0000-000063030000}"/>
    <cellStyle name="40% - 강조색6 5 4" xfId="3679" xr:uid="{00000000-0005-0000-0000-000064030000}"/>
    <cellStyle name="40% - 강조색6 5 5" xfId="347" xr:uid="{00000000-0005-0000-0000-000065030000}"/>
    <cellStyle name="40% - 강조색6 6" xfId="3190" xr:uid="{00000000-0005-0000-0000-000066030000}"/>
    <cellStyle name="40% - 강조색6 6 2" xfId="2712" xr:uid="{00000000-0005-0000-0000-000067030000}"/>
    <cellStyle name="40% - 강조색6 6 3" xfId="3548" xr:uid="{00000000-0005-0000-0000-000068030000}"/>
    <cellStyle name="40% - 강조색6 6 4" xfId="3625" xr:uid="{00000000-0005-0000-0000-000069030000}"/>
    <cellStyle name="40% - 강조색6 6 5" xfId="2657" xr:uid="{00000000-0005-0000-0000-00006A030000}"/>
    <cellStyle name="40% - 강조색6 7" xfId="3411" xr:uid="{00000000-0005-0000-0000-00006B030000}"/>
    <cellStyle name="40% - 강조색6 7 2" xfId="3623" xr:uid="{00000000-0005-0000-0000-00006C030000}"/>
    <cellStyle name="40% - 강조색6 8" xfId="4242" xr:uid="{00000000-0005-0000-0000-00006D030000}"/>
    <cellStyle name="40% - 강조색6 8 2" xfId="3896" xr:uid="{00000000-0005-0000-0000-00006E030000}"/>
    <cellStyle name="40% - 강조색6 9" xfId="6643" xr:uid="{00000000-0005-0000-0000-00006F030000}"/>
    <cellStyle name="60% - 강조색1 10" xfId="6784" xr:uid="{00000000-0005-0000-0000-000070030000}"/>
    <cellStyle name="60% - 강조색1 11" xfId="6845" xr:uid="{00000000-0005-0000-0000-000071030000}"/>
    <cellStyle name="60% - 강조색1 12" xfId="6892" xr:uid="{00000000-0005-0000-0000-000072030000}"/>
    <cellStyle name="60% - 강조색1 13" xfId="48703" xr:uid="{00000000-0005-0000-0000-000073030000}"/>
    <cellStyle name="60% - 강조색1 14" xfId="48704" xr:uid="{00000000-0005-0000-0000-000074030000}"/>
    <cellStyle name="60% - 강조색1 15" xfId="48705" xr:uid="{00000000-0005-0000-0000-000075030000}"/>
    <cellStyle name="60% - 강조색1 16" xfId="48706" xr:uid="{00000000-0005-0000-0000-000076030000}"/>
    <cellStyle name="60% - 강조색1 17" xfId="48707" xr:uid="{00000000-0005-0000-0000-000077030000}"/>
    <cellStyle name="60% - 강조색1 18" xfId="48708" xr:uid="{00000000-0005-0000-0000-000078030000}"/>
    <cellStyle name="60% - 강조색1 19" xfId="48709" xr:uid="{00000000-0005-0000-0000-000079030000}"/>
    <cellStyle name="60% - 강조색1 2" xfId="204" xr:uid="{00000000-0005-0000-0000-00007A030000}"/>
    <cellStyle name="60% - 강조색1 2 10" xfId="6844" xr:uid="{00000000-0005-0000-0000-00007B030000}"/>
    <cellStyle name="60% - 강조색1 2 11" xfId="6891" xr:uid="{00000000-0005-0000-0000-00007C030000}"/>
    <cellStyle name="60% - 강조색1 2 2" xfId="4417" xr:uid="{00000000-0005-0000-0000-00007D030000}"/>
    <cellStyle name="60% - 강조색1 2 3" xfId="6263" xr:uid="{00000000-0005-0000-0000-00007E030000}"/>
    <cellStyle name="60% - 강조색1 2 4" xfId="6528" xr:uid="{00000000-0005-0000-0000-00007F030000}"/>
    <cellStyle name="60% - 강조색1 2 5" xfId="6566" xr:uid="{00000000-0005-0000-0000-000080030000}"/>
    <cellStyle name="60% - 강조색1 2 6" xfId="6603" xr:uid="{00000000-0005-0000-0000-000081030000}"/>
    <cellStyle name="60% - 강조색1 2 7" xfId="6641" xr:uid="{00000000-0005-0000-0000-000082030000}"/>
    <cellStyle name="60% - 강조색1 2 8" xfId="6713" xr:uid="{00000000-0005-0000-0000-000083030000}"/>
    <cellStyle name="60% - 강조색1 2 9" xfId="6783" xr:uid="{00000000-0005-0000-0000-000084030000}"/>
    <cellStyle name="60% - 강조색1 20" xfId="48710" xr:uid="{00000000-0005-0000-0000-000085030000}"/>
    <cellStyle name="60% - 강조색1 21" xfId="48711" xr:uid="{00000000-0005-0000-0000-000086030000}"/>
    <cellStyle name="60% - 강조색1 22" xfId="48712" xr:uid="{00000000-0005-0000-0000-000087030000}"/>
    <cellStyle name="60% - 강조색1 23" xfId="48713" xr:uid="{00000000-0005-0000-0000-000088030000}"/>
    <cellStyle name="60% - 강조색1 24" xfId="48714" xr:uid="{00000000-0005-0000-0000-000089030000}"/>
    <cellStyle name="60% - 강조색1 25" xfId="48715" xr:uid="{00000000-0005-0000-0000-00008A030000}"/>
    <cellStyle name="60% - 강조색1 26" xfId="48716" xr:uid="{00000000-0005-0000-0000-00008B030000}"/>
    <cellStyle name="60% - 강조색1 27" xfId="48717" xr:uid="{00000000-0005-0000-0000-00008C030000}"/>
    <cellStyle name="60% - 강조색1 28" xfId="48718" xr:uid="{00000000-0005-0000-0000-00008D030000}"/>
    <cellStyle name="60% - 강조색1 29" xfId="48719" xr:uid="{00000000-0005-0000-0000-00008E030000}"/>
    <cellStyle name="60% - 강조색1 3" xfId="2928" xr:uid="{00000000-0005-0000-0000-00008F030000}"/>
    <cellStyle name="60% - 강조색1 3 10" xfId="4149" xr:uid="{00000000-0005-0000-0000-000090030000}"/>
    <cellStyle name="60% - 강조색1 3 11" xfId="2934" xr:uid="{00000000-0005-0000-0000-000091030000}"/>
    <cellStyle name="60% - 강조색1 3 2" xfId="4150" xr:uid="{00000000-0005-0000-0000-000092030000}"/>
    <cellStyle name="60% - 강조색1 3 3" xfId="2668" xr:uid="{00000000-0005-0000-0000-000093030000}"/>
    <cellStyle name="60% - 강조색1 3 4" xfId="3419" xr:uid="{00000000-0005-0000-0000-000094030000}"/>
    <cellStyle name="60% - 강조색1 3 5" xfId="3181" xr:uid="{00000000-0005-0000-0000-000095030000}"/>
    <cellStyle name="60% - 강조색1 3 6" xfId="3662" xr:uid="{00000000-0005-0000-0000-000096030000}"/>
    <cellStyle name="60% - 강조색1 3 7" xfId="3176" xr:uid="{00000000-0005-0000-0000-000097030000}"/>
    <cellStyle name="60% - 강조색1 3 8" xfId="4210" xr:uid="{00000000-0005-0000-0000-000098030000}"/>
    <cellStyle name="60% - 강조색1 3 9" xfId="4208" xr:uid="{00000000-0005-0000-0000-000099030000}"/>
    <cellStyle name="60% - 강조색1 30" xfId="48720" xr:uid="{00000000-0005-0000-0000-00009A030000}"/>
    <cellStyle name="60% - 강조색1 31" xfId="48721" xr:uid="{00000000-0005-0000-0000-00009B030000}"/>
    <cellStyle name="60% - 강조색1 32" xfId="48722" xr:uid="{00000000-0005-0000-0000-00009C030000}"/>
    <cellStyle name="60% - 강조색1 33" xfId="48723" xr:uid="{00000000-0005-0000-0000-00009D030000}"/>
    <cellStyle name="60% - 강조색1 4" xfId="3478" xr:uid="{00000000-0005-0000-0000-00009E030000}"/>
    <cellStyle name="60% - 강조색1 4 10" xfId="3261" xr:uid="{00000000-0005-0000-0000-00009F030000}"/>
    <cellStyle name="60% - 강조색1 4 11" xfId="2990" xr:uid="{00000000-0005-0000-0000-0000A0030000}"/>
    <cellStyle name="60% - 강조색1 4 2" xfId="2620" xr:uid="{00000000-0005-0000-0000-0000A1030000}"/>
    <cellStyle name="60% - 강조색1 4 3" xfId="2629" xr:uid="{00000000-0005-0000-0000-0000A2030000}"/>
    <cellStyle name="60% - 강조색1 4 4" xfId="3728" xr:uid="{00000000-0005-0000-0000-0000A3030000}"/>
    <cellStyle name="60% - 강조색1 4 5" xfId="3902" xr:uid="{00000000-0005-0000-0000-0000A4030000}"/>
    <cellStyle name="60% - 강조색1 4 6" xfId="3898" xr:uid="{00000000-0005-0000-0000-0000A5030000}"/>
    <cellStyle name="60% - 강조색1 4 7" xfId="2515" xr:uid="{00000000-0005-0000-0000-0000A6030000}"/>
    <cellStyle name="60% - 강조색1 4 8" xfId="2519" xr:uid="{00000000-0005-0000-0000-0000A7030000}"/>
    <cellStyle name="60% - 강조색1 4 9" xfId="3725" xr:uid="{00000000-0005-0000-0000-0000A8030000}"/>
    <cellStyle name="60% - 강조색1 5" xfId="2638" xr:uid="{00000000-0005-0000-0000-0000A9030000}"/>
    <cellStyle name="60% - 강조색1 5 2" xfId="2751" xr:uid="{00000000-0005-0000-0000-0000AA030000}"/>
    <cellStyle name="60% - 강조색1 5 3" xfId="4096" xr:uid="{00000000-0005-0000-0000-0000AB030000}"/>
    <cellStyle name="60% - 강조색1 5 4" xfId="2524" xr:uid="{00000000-0005-0000-0000-0000AC030000}"/>
    <cellStyle name="60% - 강조색1 5 5" xfId="3249" xr:uid="{00000000-0005-0000-0000-0000AD030000}"/>
    <cellStyle name="60% - 강조색1 6" xfId="3979" xr:uid="{00000000-0005-0000-0000-0000AE030000}"/>
    <cellStyle name="60% - 강조색1 6 2" xfId="319" xr:uid="{00000000-0005-0000-0000-0000AF030000}"/>
    <cellStyle name="60% - 강조색1 6 3" xfId="3491" xr:uid="{00000000-0005-0000-0000-0000B0030000}"/>
    <cellStyle name="60% - 강조색1 6 4" xfId="3709" xr:uid="{00000000-0005-0000-0000-0000B1030000}"/>
    <cellStyle name="60% - 강조색1 6 5" xfId="2645" xr:uid="{00000000-0005-0000-0000-0000B2030000}"/>
    <cellStyle name="60% - 강조색1 7" xfId="3255" xr:uid="{00000000-0005-0000-0000-0000B3030000}"/>
    <cellStyle name="60% - 강조색1 7 2" xfId="2766" xr:uid="{00000000-0005-0000-0000-0000B4030000}"/>
    <cellStyle name="60% - 강조색1 8" xfId="4230" xr:uid="{00000000-0005-0000-0000-0000B5030000}"/>
    <cellStyle name="60% - 강조색1 8 2" xfId="3388" xr:uid="{00000000-0005-0000-0000-0000B6030000}"/>
    <cellStyle name="60% - 강조색1 9" xfId="6714" xr:uid="{00000000-0005-0000-0000-0000B7030000}"/>
    <cellStyle name="60% - 강조색2 10" xfId="6782" xr:uid="{00000000-0005-0000-0000-0000B8030000}"/>
    <cellStyle name="60% - 강조색2 11" xfId="6843" xr:uid="{00000000-0005-0000-0000-0000B9030000}"/>
    <cellStyle name="60% - 강조색2 12" xfId="6890" xr:uid="{00000000-0005-0000-0000-0000BA030000}"/>
    <cellStyle name="60% - 강조색2 13" xfId="48724" xr:uid="{00000000-0005-0000-0000-0000BB030000}"/>
    <cellStyle name="60% - 강조색2 14" xfId="48725" xr:uid="{00000000-0005-0000-0000-0000BC030000}"/>
    <cellStyle name="60% - 강조색2 15" xfId="48726" xr:uid="{00000000-0005-0000-0000-0000BD030000}"/>
    <cellStyle name="60% - 강조색2 16" xfId="48727" xr:uid="{00000000-0005-0000-0000-0000BE030000}"/>
    <cellStyle name="60% - 강조색2 17" xfId="48728" xr:uid="{00000000-0005-0000-0000-0000BF030000}"/>
    <cellStyle name="60% - 강조색2 18" xfId="48729" xr:uid="{00000000-0005-0000-0000-0000C0030000}"/>
    <cellStyle name="60% - 강조색2 19" xfId="48730" xr:uid="{00000000-0005-0000-0000-0000C1030000}"/>
    <cellStyle name="60% - 강조색2 2" xfId="182" xr:uid="{00000000-0005-0000-0000-0000C2030000}"/>
    <cellStyle name="60% - 강조색2 2 10" xfId="6842" xr:uid="{00000000-0005-0000-0000-0000C3030000}"/>
    <cellStyle name="60% - 강조색2 2 11" xfId="6889" xr:uid="{00000000-0005-0000-0000-0000C4030000}"/>
    <cellStyle name="60% - 강조색2 2 2" xfId="4418" xr:uid="{00000000-0005-0000-0000-0000C5030000}"/>
    <cellStyle name="60% - 강조색2 2 3" xfId="6264" xr:uid="{00000000-0005-0000-0000-0000C6030000}"/>
    <cellStyle name="60% - 강조색2 2 4" xfId="6527" xr:uid="{00000000-0005-0000-0000-0000C7030000}"/>
    <cellStyle name="60% - 강조색2 2 5" xfId="6565" xr:uid="{00000000-0005-0000-0000-0000C8030000}"/>
    <cellStyle name="60% - 강조색2 2 6" xfId="6559" xr:uid="{00000000-0005-0000-0000-0000C9030000}"/>
    <cellStyle name="60% - 강조색2 2 7" xfId="6640" xr:uid="{00000000-0005-0000-0000-0000CA030000}"/>
    <cellStyle name="60% - 강조색2 2 8" xfId="6711" xr:uid="{00000000-0005-0000-0000-0000CB030000}"/>
    <cellStyle name="60% - 강조색2 2 9" xfId="6781" xr:uid="{00000000-0005-0000-0000-0000CC030000}"/>
    <cellStyle name="60% - 강조색2 20" xfId="48731" xr:uid="{00000000-0005-0000-0000-0000CD030000}"/>
    <cellStyle name="60% - 강조색2 21" xfId="48732" xr:uid="{00000000-0005-0000-0000-0000CE030000}"/>
    <cellStyle name="60% - 강조색2 22" xfId="48733" xr:uid="{00000000-0005-0000-0000-0000CF030000}"/>
    <cellStyle name="60% - 강조색2 23" xfId="48734" xr:uid="{00000000-0005-0000-0000-0000D0030000}"/>
    <cellStyle name="60% - 강조색2 24" xfId="48735" xr:uid="{00000000-0005-0000-0000-0000D1030000}"/>
    <cellStyle name="60% - 강조색2 25" xfId="48736" xr:uid="{00000000-0005-0000-0000-0000D2030000}"/>
    <cellStyle name="60% - 강조색2 26" xfId="48737" xr:uid="{00000000-0005-0000-0000-0000D3030000}"/>
    <cellStyle name="60% - 강조색2 27" xfId="48738" xr:uid="{00000000-0005-0000-0000-0000D4030000}"/>
    <cellStyle name="60% - 강조색2 28" xfId="48739" xr:uid="{00000000-0005-0000-0000-0000D5030000}"/>
    <cellStyle name="60% - 강조색2 29" xfId="48740" xr:uid="{00000000-0005-0000-0000-0000D6030000}"/>
    <cellStyle name="60% - 강조색2 3" xfId="4228" xr:uid="{00000000-0005-0000-0000-0000D7030000}"/>
    <cellStyle name="60% - 강조색2 3 10" xfId="3739" xr:uid="{00000000-0005-0000-0000-0000D8030000}"/>
    <cellStyle name="60% - 강조색2 3 11" xfId="3132" xr:uid="{00000000-0005-0000-0000-0000D9030000}"/>
    <cellStyle name="60% - 강조색2 3 2" xfId="4195" xr:uid="{00000000-0005-0000-0000-0000DA030000}"/>
    <cellStyle name="60% - 강조색2 3 3" xfId="4192" xr:uid="{00000000-0005-0000-0000-0000DB030000}"/>
    <cellStyle name="60% - 강조색2 3 4" xfId="3461" xr:uid="{00000000-0005-0000-0000-0000DC030000}"/>
    <cellStyle name="60% - 강조색2 3 5" xfId="4290" xr:uid="{00000000-0005-0000-0000-0000DD030000}"/>
    <cellStyle name="60% - 강조색2 3 6" xfId="2972" xr:uid="{00000000-0005-0000-0000-0000DE030000}"/>
    <cellStyle name="60% - 강조색2 3 7" xfId="2517" xr:uid="{00000000-0005-0000-0000-0000DF030000}"/>
    <cellStyle name="60% - 강조색2 3 8" xfId="3459" xr:uid="{00000000-0005-0000-0000-0000E0030000}"/>
    <cellStyle name="60% - 강조색2 3 9" xfId="3586" xr:uid="{00000000-0005-0000-0000-0000E1030000}"/>
    <cellStyle name="60% - 강조색2 30" xfId="48741" xr:uid="{00000000-0005-0000-0000-0000E2030000}"/>
    <cellStyle name="60% - 강조색2 31" xfId="48742" xr:uid="{00000000-0005-0000-0000-0000E3030000}"/>
    <cellStyle name="60% - 강조색2 32" xfId="48743" xr:uid="{00000000-0005-0000-0000-0000E4030000}"/>
    <cellStyle name="60% - 강조색2 33" xfId="48744" xr:uid="{00000000-0005-0000-0000-0000E5030000}"/>
    <cellStyle name="60% - 강조색2 4" xfId="3468" xr:uid="{00000000-0005-0000-0000-0000E6030000}"/>
    <cellStyle name="60% - 강조색2 4 10" xfId="384" xr:uid="{00000000-0005-0000-0000-0000E7030000}"/>
    <cellStyle name="60% - 강조색2 4 11" xfId="3701" xr:uid="{00000000-0005-0000-0000-0000E8030000}"/>
    <cellStyle name="60% - 강조색2 4 2" xfId="3409" xr:uid="{00000000-0005-0000-0000-0000E9030000}"/>
    <cellStyle name="60% - 강조색2 4 3" xfId="3615" xr:uid="{00000000-0005-0000-0000-0000EA030000}"/>
    <cellStyle name="60% - 강조색2 4 4" xfId="2621" xr:uid="{00000000-0005-0000-0000-0000EB030000}"/>
    <cellStyle name="60% - 강조색2 4 5" xfId="2624" xr:uid="{00000000-0005-0000-0000-0000EC030000}"/>
    <cellStyle name="60% - 강조색2 4 6" xfId="4080" xr:uid="{00000000-0005-0000-0000-0000ED030000}"/>
    <cellStyle name="60% - 강조색2 4 7" xfId="3494" xr:uid="{00000000-0005-0000-0000-0000EE030000}"/>
    <cellStyle name="60% - 강조색2 4 8" xfId="3836" xr:uid="{00000000-0005-0000-0000-0000EF030000}"/>
    <cellStyle name="60% - 강조색2 4 9" xfId="4298" xr:uid="{00000000-0005-0000-0000-0000F0030000}"/>
    <cellStyle name="60% - 강조색2 5" xfId="3321" xr:uid="{00000000-0005-0000-0000-0000F1030000}"/>
    <cellStyle name="60% - 강조색2 5 2" xfId="2847" xr:uid="{00000000-0005-0000-0000-0000F2030000}"/>
    <cellStyle name="60% - 강조색2 5 3" xfId="3609" xr:uid="{00000000-0005-0000-0000-0000F3030000}"/>
    <cellStyle name="60% - 강조색2 5 4" xfId="3808" xr:uid="{00000000-0005-0000-0000-0000F4030000}"/>
    <cellStyle name="60% - 강조색2 5 5" xfId="3563" xr:uid="{00000000-0005-0000-0000-0000F5030000}"/>
    <cellStyle name="60% - 강조색2 6" xfId="4302" xr:uid="{00000000-0005-0000-0000-0000F6030000}"/>
    <cellStyle name="60% - 강조색2 6 2" xfId="2979" xr:uid="{00000000-0005-0000-0000-0000F7030000}"/>
    <cellStyle name="60% - 강조색2 6 3" xfId="2489" xr:uid="{00000000-0005-0000-0000-0000F8030000}"/>
    <cellStyle name="60% - 강조색2 6 4" xfId="3330" xr:uid="{00000000-0005-0000-0000-0000F9030000}"/>
    <cellStyle name="60% - 강조색2 6 5" xfId="2846" xr:uid="{00000000-0005-0000-0000-0000FA030000}"/>
    <cellStyle name="60% - 강조색2 7" xfId="2609" xr:uid="{00000000-0005-0000-0000-0000FB030000}"/>
    <cellStyle name="60% - 강조색2 7 2" xfId="2589" xr:uid="{00000000-0005-0000-0000-0000FC030000}"/>
    <cellStyle name="60% - 강조색2 8" xfId="3332" xr:uid="{00000000-0005-0000-0000-0000FD030000}"/>
    <cellStyle name="60% - 강조색2 8 2" xfId="2977" xr:uid="{00000000-0005-0000-0000-0000FE030000}"/>
    <cellStyle name="60% - 강조색2 9" xfId="6712" xr:uid="{00000000-0005-0000-0000-0000FF030000}"/>
    <cellStyle name="60% - 강조색3 10" xfId="6780" xr:uid="{00000000-0005-0000-0000-000000040000}"/>
    <cellStyle name="60% - 강조색3 11" xfId="6841" xr:uid="{00000000-0005-0000-0000-000001040000}"/>
    <cellStyle name="60% - 강조색3 12" xfId="6888" xr:uid="{00000000-0005-0000-0000-000002040000}"/>
    <cellStyle name="60% - 강조색3 13" xfId="48745" xr:uid="{00000000-0005-0000-0000-000003040000}"/>
    <cellStyle name="60% - 강조색3 14" xfId="48746" xr:uid="{00000000-0005-0000-0000-000004040000}"/>
    <cellStyle name="60% - 강조색3 15" xfId="48747" xr:uid="{00000000-0005-0000-0000-000005040000}"/>
    <cellStyle name="60% - 강조색3 16" xfId="48748" xr:uid="{00000000-0005-0000-0000-000006040000}"/>
    <cellStyle name="60% - 강조색3 17" xfId="48749" xr:uid="{00000000-0005-0000-0000-000007040000}"/>
    <cellStyle name="60% - 강조색3 18" xfId="48750" xr:uid="{00000000-0005-0000-0000-000008040000}"/>
    <cellStyle name="60% - 강조색3 19" xfId="48751" xr:uid="{00000000-0005-0000-0000-000009040000}"/>
    <cellStyle name="60% - 강조색3 2" xfId="203" xr:uid="{00000000-0005-0000-0000-00000A040000}"/>
    <cellStyle name="60% - 강조색3 2 10" xfId="6840" xr:uid="{00000000-0005-0000-0000-00000B040000}"/>
    <cellStyle name="60% - 강조색3 2 11" xfId="6887" xr:uid="{00000000-0005-0000-0000-00000C040000}"/>
    <cellStyle name="60% - 강조색3 2 2" xfId="4419" xr:uid="{00000000-0005-0000-0000-00000D040000}"/>
    <cellStyle name="60% - 강조색3 2 3" xfId="6265" xr:uid="{00000000-0005-0000-0000-00000E040000}"/>
    <cellStyle name="60% - 강조색3 2 4" xfId="6526" xr:uid="{00000000-0005-0000-0000-00000F040000}"/>
    <cellStyle name="60% - 강조색3 2 5" xfId="6564" xr:uid="{00000000-0005-0000-0000-000010040000}"/>
    <cellStyle name="60% - 강조색3 2 6" xfId="6557" xr:uid="{00000000-0005-0000-0000-000011040000}"/>
    <cellStyle name="60% - 강조색3 2 7" xfId="6639" xr:uid="{00000000-0005-0000-0000-000012040000}"/>
    <cellStyle name="60% - 강조색3 2 8" xfId="6709" xr:uid="{00000000-0005-0000-0000-000013040000}"/>
    <cellStyle name="60% - 강조색3 2 9" xfId="6779" xr:uid="{00000000-0005-0000-0000-000014040000}"/>
    <cellStyle name="60% - 강조색3 20" xfId="48752" xr:uid="{00000000-0005-0000-0000-000015040000}"/>
    <cellStyle name="60% - 강조색3 21" xfId="48753" xr:uid="{00000000-0005-0000-0000-000016040000}"/>
    <cellStyle name="60% - 강조색3 22" xfId="48754" xr:uid="{00000000-0005-0000-0000-000017040000}"/>
    <cellStyle name="60% - 강조색3 23" xfId="48755" xr:uid="{00000000-0005-0000-0000-000018040000}"/>
    <cellStyle name="60% - 강조색3 24" xfId="48756" xr:uid="{00000000-0005-0000-0000-000019040000}"/>
    <cellStyle name="60% - 강조색3 25" xfId="48757" xr:uid="{00000000-0005-0000-0000-00001A040000}"/>
    <cellStyle name="60% - 강조색3 26" xfId="48758" xr:uid="{00000000-0005-0000-0000-00001B040000}"/>
    <cellStyle name="60% - 강조색3 27" xfId="48759" xr:uid="{00000000-0005-0000-0000-00001C040000}"/>
    <cellStyle name="60% - 강조색3 28" xfId="48760" xr:uid="{00000000-0005-0000-0000-00001D040000}"/>
    <cellStyle name="60% - 강조색3 29" xfId="48761" xr:uid="{00000000-0005-0000-0000-00001E040000}"/>
    <cellStyle name="60% - 강조색3 3" xfId="4253" xr:uid="{00000000-0005-0000-0000-00001F040000}"/>
    <cellStyle name="60% - 강조색3 3 10" xfId="363" xr:uid="{00000000-0005-0000-0000-000020040000}"/>
    <cellStyle name="60% - 강조색3 3 11" xfId="3987" xr:uid="{00000000-0005-0000-0000-000021040000}"/>
    <cellStyle name="60% - 강조색3 3 2" xfId="3034" xr:uid="{00000000-0005-0000-0000-000022040000}"/>
    <cellStyle name="60% - 강조색3 3 3" xfId="336" xr:uid="{00000000-0005-0000-0000-000023040000}"/>
    <cellStyle name="60% - 강조색3 3 4" xfId="2672" xr:uid="{00000000-0005-0000-0000-000024040000}"/>
    <cellStyle name="60% - 강조색3 3 5" xfId="4223" xr:uid="{00000000-0005-0000-0000-000025040000}"/>
    <cellStyle name="60% - 강조색3 3 6" xfId="2440" xr:uid="{00000000-0005-0000-0000-000026040000}"/>
    <cellStyle name="60% - 강조색3 3 7" xfId="3288" xr:uid="{00000000-0005-0000-0000-000027040000}"/>
    <cellStyle name="60% - 강조색3 3 8" xfId="2794" xr:uid="{00000000-0005-0000-0000-000028040000}"/>
    <cellStyle name="60% - 강조색3 3 9" xfId="2770" xr:uid="{00000000-0005-0000-0000-000029040000}"/>
    <cellStyle name="60% - 강조색3 30" xfId="48762" xr:uid="{00000000-0005-0000-0000-00002A040000}"/>
    <cellStyle name="60% - 강조색3 31" xfId="48763" xr:uid="{00000000-0005-0000-0000-00002B040000}"/>
    <cellStyle name="60% - 강조색3 32" xfId="48764" xr:uid="{00000000-0005-0000-0000-00002C040000}"/>
    <cellStyle name="60% - 강조색3 33" xfId="48765" xr:uid="{00000000-0005-0000-0000-00002D040000}"/>
    <cellStyle name="60% - 강조색3 4" xfId="3767" xr:uid="{00000000-0005-0000-0000-00002E040000}"/>
    <cellStyle name="60% - 강조색3 4 10" xfId="3028" xr:uid="{00000000-0005-0000-0000-00002F040000}"/>
    <cellStyle name="60% - 강조색3 4 11" xfId="3997" xr:uid="{00000000-0005-0000-0000-000030040000}"/>
    <cellStyle name="60% - 강조색3 4 2" xfId="2532" xr:uid="{00000000-0005-0000-0000-000031040000}"/>
    <cellStyle name="60% - 강조색3 4 3" xfId="3734" xr:uid="{00000000-0005-0000-0000-000032040000}"/>
    <cellStyle name="60% - 강조색3 4 4" xfId="3448" xr:uid="{00000000-0005-0000-0000-000033040000}"/>
    <cellStyle name="60% - 강조색3 4 5" xfId="3684" xr:uid="{00000000-0005-0000-0000-000034040000}"/>
    <cellStyle name="60% - 강조색3 4 6" xfId="2542" xr:uid="{00000000-0005-0000-0000-000035040000}"/>
    <cellStyle name="60% - 강조색3 4 7" xfId="3933" xr:uid="{00000000-0005-0000-0000-000036040000}"/>
    <cellStyle name="60% - 강조색3 4 8" xfId="2544" xr:uid="{00000000-0005-0000-0000-000037040000}"/>
    <cellStyle name="60% - 강조색3 4 9" xfId="2779" xr:uid="{00000000-0005-0000-0000-000038040000}"/>
    <cellStyle name="60% - 강조색3 5" xfId="3343" xr:uid="{00000000-0005-0000-0000-000039040000}"/>
    <cellStyle name="60% - 강조색3 5 2" xfId="4189" xr:uid="{00000000-0005-0000-0000-00003A040000}"/>
    <cellStyle name="60% - 강조색3 5 3" xfId="2661" xr:uid="{00000000-0005-0000-0000-00003B040000}"/>
    <cellStyle name="60% - 강조색3 5 4" xfId="3510" xr:uid="{00000000-0005-0000-0000-00003C040000}"/>
    <cellStyle name="60% - 강조색3 5 5" xfId="3617" xr:uid="{00000000-0005-0000-0000-00003D040000}"/>
    <cellStyle name="60% - 강조색3 6" xfId="4245" xr:uid="{00000000-0005-0000-0000-00003E040000}"/>
    <cellStyle name="60% - 강조색3 6 2" xfId="3252" xr:uid="{00000000-0005-0000-0000-00003F040000}"/>
    <cellStyle name="60% - 강조색3 6 3" xfId="3513" xr:uid="{00000000-0005-0000-0000-000040040000}"/>
    <cellStyle name="60% - 강조색3 6 4" xfId="3173" xr:uid="{00000000-0005-0000-0000-000041040000}"/>
    <cellStyle name="60% - 강조색3 6 5" xfId="3789" xr:uid="{00000000-0005-0000-0000-000042040000}"/>
    <cellStyle name="60% - 강조색3 7" xfId="3067" xr:uid="{00000000-0005-0000-0000-000043040000}"/>
    <cellStyle name="60% - 강조색3 7 2" xfId="3063" xr:uid="{00000000-0005-0000-0000-000044040000}"/>
    <cellStyle name="60% - 강조색3 8" xfId="4282" xr:uid="{00000000-0005-0000-0000-000045040000}"/>
    <cellStyle name="60% - 강조색3 8 2" xfId="3444" xr:uid="{00000000-0005-0000-0000-000046040000}"/>
    <cellStyle name="60% - 강조색3 9" xfId="6710" xr:uid="{00000000-0005-0000-0000-000047040000}"/>
    <cellStyle name="60% - 강조색4 10" xfId="6778" xr:uid="{00000000-0005-0000-0000-000048040000}"/>
    <cellStyle name="60% - 강조색4 11" xfId="6772" xr:uid="{00000000-0005-0000-0000-000049040000}"/>
    <cellStyle name="60% - 강조색4 12" xfId="6886" xr:uid="{00000000-0005-0000-0000-00004A040000}"/>
    <cellStyle name="60% - 강조색4 13" xfId="48766" xr:uid="{00000000-0005-0000-0000-00004B040000}"/>
    <cellStyle name="60% - 강조색4 14" xfId="48767" xr:uid="{00000000-0005-0000-0000-00004C040000}"/>
    <cellStyle name="60% - 강조색4 15" xfId="48768" xr:uid="{00000000-0005-0000-0000-00004D040000}"/>
    <cellStyle name="60% - 강조색4 16" xfId="48769" xr:uid="{00000000-0005-0000-0000-00004E040000}"/>
    <cellStyle name="60% - 강조색4 17" xfId="48770" xr:uid="{00000000-0005-0000-0000-00004F040000}"/>
    <cellStyle name="60% - 강조색4 18" xfId="48771" xr:uid="{00000000-0005-0000-0000-000050040000}"/>
    <cellStyle name="60% - 강조색4 19" xfId="48772" xr:uid="{00000000-0005-0000-0000-000051040000}"/>
    <cellStyle name="60% - 강조색4 2" xfId="193" xr:uid="{00000000-0005-0000-0000-000052040000}"/>
    <cellStyle name="60% - 강조색4 2 10" xfId="6771" xr:uid="{00000000-0005-0000-0000-000053040000}"/>
    <cellStyle name="60% - 강조색4 2 11" xfId="6885" xr:uid="{00000000-0005-0000-0000-000054040000}"/>
    <cellStyle name="60% - 강조색4 2 2" xfId="4420" xr:uid="{00000000-0005-0000-0000-000055040000}"/>
    <cellStyle name="60% - 강조색4 2 3" xfId="6266" xr:uid="{00000000-0005-0000-0000-000056040000}"/>
    <cellStyle name="60% - 강조색4 2 4" xfId="6525" xr:uid="{00000000-0005-0000-0000-000057040000}"/>
    <cellStyle name="60% - 강조색4 2 5" xfId="6563" xr:uid="{00000000-0005-0000-0000-000058040000}"/>
    <cellStyle name="60% - 강조색4 2 6" xfId="6555" xr:uid="{00000000-0005-0000-0000-000059040000}"/>
    <cellStyle name="60% - 강조색4 2 7" xfId="6601" xr:uid="{00000000-0005-0000-0000-00005A040000}"/>
    <cellStyle name="60% - 강조색4 2 8" xfId="6707" xr:uid="{00000000-0005-0000-0000-00005B040000}"/>
    <cellStyle name="60% - 강조색4 2 9" xfId="6777" xr:uid="{00000000-0005-0000-0000-00005C040000}"/>
    <cellStyle name="60% - 강조색4 20" xfId="48773" xr:uid="{00000000-0005-0000-0000-00005D040000}"/>
    <cellStyle name="60% - 강조색4 21" xfId="48774" xr:uid="{00000000-0005-0000-0000-00005E040000}"/>
    <cellStyle name="60% - 강조색4 22" xfId="48775" xr:uid="{00000000-0005-0000-0000-00005F040000}"/>
    <cellStyle name="60% - 강조색4 23" xfId="48776" xr:uid="{00000000-0005-0000-0000-000060040000}"/>
    <cellStyle name="60% - 강조색4 24" xfId="48777" xr:uid="{00000000-0005-0000-0000-000061040000}"/>
    <cellStyle name="60% - 강조색4 25" xfId="48778" xr:uid="{00000000-0005-0000-0000-000062040000}"/>
    <cellStyle name="60% - 강조색4 26" xfId="48779" xr:uid="{00000000-0005-0000-0000-000063040000}"/>
    <cellStyle name="60% - 강조색4 27" xfId="48780" xr:uid="{00000000-0005-0000-0000-000064040000}"/>
    <cellStyle name="60% - 강조색4 28" xfId="48781" xr:uid="{00000000-0005-0000-0000-000065040000}"/>
    <cellStyle name="60% - 강조색4 29" xfId="48782" xr:uid="{00000000-0005-0000-0000-000066040000}"/>
    <cellStyle name="60% - 강조색4 3" xfId="3962" xr:uid="{00000000-0005-0000-0000-000067040000}"/>
    <cellStyle name="60% - 강조색4 3 10" xfId="3841" xr:uid="{00000000-0005-0000-0000-000068040000}"/>
    <cellStyle name="60% - 강조색4 3 11" xfId="2595" xr:uid="{00000000-0005-0000-0000-000069040000}"/>
    <cellStyle name="60% - 강조색4 3 2" xfId="3076" xr:uid="{00000000-0005-0000-0000-00006A040000}"/>
    <cellStyle name="60% - 강조색4 3 3" xfId="2888" xr:uid="{00000000-0005-0000-0000-00006B040000}"/>
    <cellStyle name="60% - 강조색4 3 4" xfId="3357" xr:uid="{00000000-0005-0000-0000-00006C040000}"/>
    <cellStyle name="60% - 강조색4 3 5" xfId="2479" xr:uid="{00000000-0005-0000-0000-00006D040000}"/>
    <cellStyle name="60% - 강조색4 3 6" xfId="4069" xr:uid="{00000000-0005-0000-0000-00006E040000}"/>
    <cellStyle name="60% - 강조색4 3 7" xfId="2995" xr:uid="{00000000-0005-0000-0000-00006F040000}"/>
    <cellStyle name="60% - 강조색4 3 8" xfId="3234" xr:uid="{00000000-0005-0000-0000-000070040000}"/>
    <cellStyle name="60% - 강조색4 3 9" xfId="3502" xr:uid="{00000000-0005-0000-0000-000071040000}"/>
    <cellStyle name="60% - 강조색4 30" xfId="48783" xr:uid="{00000000-0005-0000-0000-000072040000}"/>
    <cellStyle name="60% - 강조색4 31" xfId="48784" xr:uid="{00000000-0005-0000-0000-000073040000}"/>
    <cellStyle name="60% - 강조색4 32" xfId="48785" xr:uid="{00000000-0005-0000-0000-000074040000}"/>
    <cellStyle name="60% - 강조색4 33" xfId="48786" xr:uid="{00000000-0005-0000-0000-000075040000}"/>
    <cellStyle name="60% - 강조색4 4" xfId="2571" xr:uid="{00000000-0005-0000-0000-000076040000}"/>
    <cellStyle name="60% - 강조색4 4 10" xfId="3047" xr:uid="{00000000-0005-0000-0000-000077040000}"/>
    <cellStyle name="60% - 강조색4 4 11" xfId="3151" xr:uid="{00000000-0005-0000-0000-000078040000}"/>
    <cellStyle name="60% - 강조색4 4 2" xfId="2809" xr:uid="{00000000-0005-0000-0000-000079040000}"/>
    <cellStyle name="60% - 강조색4 4 3" xfId="3533" xr:uid="{00000000-0005-0000-0000-00007A040000}"/>
    <cellStyle name="60% - 강조색4 4 4" xfId="3295" xr:uid="{00000000-0005-0000-0000-00007B040000}"/>
    <cellStyle name="60% - 강조색4 4 5" xfId="2738" xr:uid="{00000000-0005-0000-0000-00007C040000}"/>
    <cellStyle name="60% - 강조색4 4 6" xfId="3394" xr:uid="{00000000-0005-0000-0000-00007D040000}"/>
    <cellStyle name="60% - 강조색4 4 7" xfId="3170" xr:uid="{00000000-0005-0000-0000-00007E040000}"/>
    <cellStyle name="60% - 강조색4 4 8" xfId="2464" xr:uid="{00000000-0005-0000-0000-00007F040000}"/>
    <cellStyle name="60% - 강조색4 4 9" xfId="3878" xr:uid="{00000000-0005-0000-0000-000080040000}"/>
    <cellStyle name="60% - 강조색4 5" xfId="3861" xr:uid="{00000000-0005-0000-0000-000081040000}"/>
    <cellStyle name="60% - 강조색4 5 2" xfId="2579" xr:uid="{00000000-0005-0000-0000-000082040000}"/>
    <cellStyle name="60% - 강조색4 5 3" xfId="3201" xr:uid="{00000000-0005-0000-0000-000083040000}"/>
    <cellStyle name="60% - 강조색4 5 4" xfId="4179" xr:uid="{00000000-0005-0000-0000-000084040000}"/>
    <cellStyle name="60% - 강조색4 5 5" xfId="3358" xr:uid="{00000000-0005-0000-0000-000085040000}"/>
    <cellStyle name="60% - 강조색4 6" xfId="4086" xr:uid="{00000000-0005-0000-0000-000086040000}"/>
    <cellStyle name="60% - 강조색4 6 2" xfId="3529" xr:uid="{00000000-0005-0000-0000-000087040000}"/>
    <cellStyle name="60% - 강조색4 6 3" xfId="3842" xr:uid="{00000000-0005-0000-0000-000088040000}"/>
    <cellStyle name="60% - 강조색4 6 4" xfId="2868" xr:uid="{00000000-0005-0000-0000-000089040000}"/>
    <cellStyle name="60% - 강조색4 6 5" xfId="2582" xr:uid="{00000000-0005-0000-0000-00008A040000}"/>
    <cellStyle name="60% - 강조색4 7" xfId="2678" xr:uid="{00000000-0005-0000-0000-00008B040000}"/>
    <cellStyle name="60% - 강조색4 7 2" xfId="3596" xr:uid="{00000000-0005-0000-0000-00008C040000}"/>
    <cellStyle name="60% - 강조색4 8" xfId="3363" xr:uid="{00000000-0005-0000-0000-00008D040000}"/>
    <cellStyle name="60% - 강조색4 8 2" xfId="2870" xr:uid="{00000000-0005-0000-0000-00008E040000}"/>
    <cellStyle name="60% - 강조색4 9" xfId="6708" xr:uid="{00000000-0005-0000-0000-00008F040000}"/>
    <cellStyle name="60% - 강조색5 10" xfId="6776" xr:uid="{00000000-0005-0000-0000-000090040000}"/>
    <cellStyle name="60% - 강조색5 11" xfId="6768" xr:uid="{00000000-0005-0000-0000-000091040000}"/>
    <cellStyle name="60% - 강조색5 12" xfId="6884" xr:uid="{00000000-0005-0000-0000-000092040000}"/>
    <cellStyle name="60% - 강조색5 13" xfId="48787" xr:uid="{00000000-0005-0000-0000-000093040000}"/>
    <cellStyle name="60% - 강조색5 14" xfId="48788" xr:uid="{00000000-0005-0000-0000-000094040000}"/>
    <cellStyle name="60% - 강조색5 15" xfId="48789" xr:uid="{00000000-0005-0000-0000-000095040000}"/>
    <cellStyle name="60% - 강조색5 16" xfId="48790" xr:uid="{00000000-0005-0000-0000-000096040000}"/>
    <cellStyle name="60% - 강조색5 17" xfId="48791" xr:uid="{00000000-0005-0000-0000-000097040000}"/>
    <cellStyle name="60% - 강조색5 18" xfId="48792" xr:uid="{00000000-0005-0000-0000-000098040000}"/>
    <cellStyle name="60% - 강조색5 19" xfId="48793" xr:uid="{00000000-0005-0000-0000-000099040000}"/>
    <cellStyle name="60% - 강조색5 2" xfId="196" xr:uid="{00000000-0005-0000-0000-00009A040000}"/>
    <cellStyle name="60% - 강조색5 2 10" xfId="6767" xr:uid="{00000000-0005-0000-0000-00009B040000}"/>
    <cellStyle name="60% - 강조색5 2 11" xfId="6883" xr:uid="{00000000-0005-0000-0000-00009C040000}"/>
    <cellStyle name="60% - 강조색5 2 2" xfId="4421" xr:uid="{00000000-0005-0000-0000-00009D040000}"/>
    <cellStyle name="60% - 강조색5 2 3" xfId="6267" xr:uid="{00000000-0005-0000-0000-00009E040000}"/>
    <cellStyle name="60% - 강조색5 2 4" xfId="6524" xr:uid="{00000000-0005-0000-0000-00009F040000}"/>
    <cellStyle name="60% - 강조색5 2 5" xfId="6562" xr:uid="{00000000-0005-0000-0000-0000A0040000}"/>
    <cellStyle name="60% - 강조색5 2 6" xfId="6554" xr:uid="{00000000-0005-0000-0000-0000A1040000}"/>
    <cellStyle name="60% - 강조색5 2 7" xfId="6599" xr:uid="{00000000-0005-0000-0000-0000A2040000}"/>
    <cellStyle name="60% - 강조색5 2 8" xfId="6705" xr:uid="{00000000-0005-0000-0000-0000A3040000}"/>
    <cellStyle name="60% - 강조색5 2 9" xfId="6775" xr:uid="{00000000-0005-0000-0000-0000A4040000}"/>
    <cellStyle name="60% - 강조색5 20" xfId="48794" xr:uid="{00000000-0005-0000-0000-0000A5040000}"/>
    <cellStyle name="60% - 강조색5 21" xfId="48795" xr:uid="{00000000-0005-0000-0000-0000A6040000}"/>
    <cellStyle name="60% - 강조색5 22" xfId="48796" xr:uid="{00000000-0005-0000-0000-0000A7040000}"/>
    <cellStyle name="60% - 강조색5 23" xfId="48797" xr:uid="{00000000-0005-0000-0000-0000A8040000}"/>
    <cellStyle name="60% - 강조색5 24" xfId="48798" xr:uid="{00000000-0005-0000-0000-0000A9040000}"/>
    <cellStyle name="60% - 강조색5 25" xfId="48799" xr:uid="{00000000-0005-0000-0000-0000AA040000}"/>
    <cellStyle name="60% - 강조색5 26" xfId="48800" xr:uid="{00000000-0005-0000-0000-0000AB040000}"/>
    <cellStyle name="60% - 강조색5 27" xfId="48801" xr:uid="{00000000-0005-0000-0000-0000AC040000}"/>
    <cellStyle name="60% - 강조색5 28" xfId="48802" xr:uid="{00000000-0005-0000-0000-0000AD040000}"/>
    <cellStyle name="60% - 강조색5 29" xfId="48803" xr:uid="{00000000-0005-0000-0000-0000AE040000}"/>
    <cellStyle name="60% - 강조색5 3" xfId="3843" xr:uid="{00000000-0005-0000-0000-0000AF040000}"/>
    <cellStyle name="60% - 강조색5 3 10" xfId="3303" xr:uid="{00000000-0005-0000-0000-0000B0040000}"/>
    <cellStyle name="60% - 강조색5 3 11" xfId="3666" xr:uid="{00000000-0005-0000-0000-0000B1040000}"/>
    <cellStyle name="60% - 강조색5 3 2" xfId="4139" xr:uid="{00000000-0005-0000-0000-0000B2040000}"/>
    <cellStyle name="60% - 강조색5 3 3" xfId="3893" xr:uid="{00000000-0005-0000-0000-0000B3040000}"/>
    <cellStyle name="60% - 강조색5 3 4" xfId="3370" xr:uid="{00000000-0005-0000-0000-0000B4040000}"/>
    <cellStyle name="60% - 강조색5 3 5" xfId="3853" xr:uid="{00000000-0005-0000-0000-0000B5040000}"/>
    <cellStyle name="60% - 강조색5 3 6" xfId="2821" xr:uid="{00000000-0005-0000-0000-0000B6040000}"/>
    <cellStyle name="60% - 강조색5 3 7" xfId="2441" xr:uid="{00000000-0005-0000-0000-0000B7040000}"/>
    <cellStyle name="60% - 강조색5 3 8" xfId="3368" xr:uid="{00000000-0005-0000-0000-0000B8040000}"/>
    <cellStyle name="60% - 강조색5 3 9" xfId="2795" xr:uid="{00000000-0005-0000-0000-0000B9040000}"/>
    <cellStyle name="60% - 강조색5 30" xfId="48804" xr:uid="{00000000-0005-0000-0000-0000BA040000}"/>
    <cellStyle name="60% - 강조색5 31" xfId="48805" xr:uid="{00000000-0005-0000-0000-0000BB040000}"/>
    <cellStyle name="60% - 강조색5 32" xfId="48806" xr:uid="{00000000-0005-0000-0000-0000BC040000}"/>
    <cellStyle name="60% - 강조색5 33" xfId="48807" xr:uid="{00000000-0005-0000-0000-0000BD040000}"/>
    <cellStyle name="60% - 강조색5 4" xfId="4167" xr:uid="{00000000-0005-0000-0000-0000BE040000}"/>
    <cellStyle name="60% - 강조색5 4 10" xfId="325" xr:uid="{00000000-0005-0000-0000-0000BF040000}"/>
    <cellStyle name="60% - 강조색5 4 11" xfId="3877" xr:uid="{00000000-0005-0000-0000-0000C0040000}"/>
    <cellStyle name="60% - 강조색5 4 2" xfId="324" xr:uid="{00000000-0005-0000-0000-0000C1040000}"/>
    <cellStyle name="60% - 강조색5 4 3" xfId="2528" xr:uid="{00000000-0005-0000-0000-0000C2040000}"/>
    <cellStyle name="60% - 강조색5 4 4" xfId="4225" xr:uid="{00000000-0005-0000-0000-0000C3040000}"/>
    <cellStyle name="60% - 강조색5 4 5" xfId="3128" xr:uid="{00000000-0005-0000-0000-0000C4040000}"/>
    <cellStyle name="60% - 강조색5 4 6" xfId="4026" xr:uid="{00000000-0005-0000-0000-0000C5040000}"/>
    <cellStyle name="60% - 강조색5 4 7" xfId="3996" xr:uid="{00000000-0005-0000-0000-0000C6040000}"/>
    <cellStyle name="60% - 강조색5 4 8" xfId="3339" xr:uid="{00000000-0005-0000-0000-0000C7040000}"/>
    <cellStyle name="60% - 강조색5 4 9" xfId="3820" xr:uid="{00000000-0005-0000-0000-0000C8040000}"/>
    <cellStyle name="60% - 강조색5 5" xfId="2417" xr:uid="{00000000-0005-0000-0000-0000C9040000}"/>
    <cellStyle name="60% - 강조색5 5 2" xfId="286" xr:uid="{00000000-0005-0000-0000-0000CA040000}"/>
    <cellStyle name="60% - 강조색5 5 3" xfId="305" xr:uid="{00000000-0005-0000-0000-0000CB040000}"/>
    <cellStyle name="60% - 강조색5 5 4" xfId="281" xr:uid="{00000000-0005-0000-0000-0000CC040000}"/>
    <cellStyle name="60% - 강조색5 5 5" xfId="3795" xr:uid="{00000000-0005-0000-0000-0000CD040000}"/>
    <cellStyle name="60% - 강조색5 6" xfId="2619" xr:uid="{00000000-0005-0000-0000-0000CE040000}"/>
    <cellStyle name="60% - 강조색5 6 2" xfId="4082" xr:uid="{00000000-0005-0000-0000-0000CF040000}"/>
    <cellStyle name="60% - 강조색5 6 3" xfId="3583" xr:uid="{00000000-0005-0000-0000-0000D0040000}"/>
    <cellStyle name="60% - 강조색5 6 4" xfId="3222" xr:uid="{00000000-0005-0000-0000-0000D1040000}"/>
    <cellStyle name="60% - 강조색5 6 5" xfId="2860" xr:uid="{00000000-0005-0000-0000-0000D2040000}"/>
    <cellStyle name="60% - 강조색5 7" xfId="322" xr:uid="{00000000-0005-0000-0000-0000D3040000}"/>
    <cellStyle name="60% - 강조색5 7 2" xfId="3092" xr:uid="{00000000-0005-0000-0000-0000D4040000}"/>
    <cellStyle name="60% - 강조색5 8" xfId="2710" xr:uid="{00000000-0005-0000-0000-0000D5040000}"/>
    <cellStyle name="60% - 강조색5 8 2" xfId="2953" xr:uid="{00000000-0005-0000-0000-0000D6040000}"/>
    <cellStyle name="60% - 강조색5 9" xfId="6706" xr:uid="{00000000-0005-0000-0000-0000D7040000}"/>
    <cellStyle name="60% - 강조색6 10" xfId="6774" xr:uid="{00000000-0005-0000-0000-0000D8040000}"/>
    <cellStyle name="60% - 강조색6 11" xfId="6764" xr:uid="{00000000-0005-0000-0000-0000D9040000}"/>
    <cellStyle name="60% - 강조색6 12" xfId="6838" xr:uid="{00000000-0005-0000-0000-0000DA040000}"/>
    <cellStyle name="60% - 강조색6 13" xfId="48808" xr:uid="{00000000-0005-0000-0000-0000DB040000}"/>
    <cellStyle name="60% - 강조색6 14" xfId="48809" xr:uid="{00000000-0005-0000-0000-0000DC040000}"/>
    <cellStyle name="60% - 강조색6 15" xfId="48810" xr:uid="{00000000-0005-0000-0000-0000DD040000}"/>
    <cellStyle name="60% - 강조색6 16" xfId="48811" xr:uid="{00000000-0005-0000-0000-0000DE040000}"/>
    <cellStyle name="60% - 강조색6 17" xfId="48812" xr:uid="{00000000-0005-0000-0000-0000DF040000}"/>
    <cellStyle name="60% - 강조색6 18" xfId="48813" xr:uid="{00000000-0005-0000-0000-0000E0040000}"/>
    <cellStyle name="60% - 강조색6 19" xfId="48814" xr:uid="{00000000-0005-0000-0000-0000E1040000}"/>
    <cellStyle name="60% - 강조색6 2" xfId="215" xr:uid="{00000000-0005-0000-0000-0000E2040000}"/>
    <cellStyle name="60% - 강조색6 2 10" xfId="6761" xr:uid="{00000000-0005-0000-0000-0000E3040000}"/>
    <cellStyle name="60% - 강조색6 2 11" xfId="6837" xr:uid="{00000000-0005-0000-0000-0000E4040000}"/>
    <cellStyle name="60% - 강조색6 2 2" xfId="4422" xr:uid="{00000000-0005-0000-0000-0000E5040000}"/>
    <cellStyle name="60% - 강조색6 2 3" xfId="6268" xr:uid="{00000000-0005-0000-0000-0000E6040000}"/>
    <cellStyle name="60% - 강조색6 2 4" xfId="6523" xr:uid="{00000000-0005-0000-0000-0000E7040000}"/>
    <cellStyle name="60% - 강조색6 2 5" xfId="6561" xr:uid="{00000000-0005-0000-0000-0000E8040000}"/>
    <cellStyle name="60% - 강조색6 2 6" xfId="6552" xr:uid="{00000000-0005-0000-0000-0000E9040000}"/>
    <cellStyle name="60% - 강조색6 2 7" xfId="6595" xr:uid="{00000000-0005-0000-0000-0000EA040000}"/>
    <cellStyle name="60% - 강조색6 2 8" xfId="6703" xr:uid="{00000000-0005-0000-0000-0000EB040000}"/>
    <cellStyle name="60% - 강조색6 2 9" xfId="6773" xr:uid="{00000000-0005-0000-0000-0000EC040000}"/>
    <cellStyle name="60% - 강조색6 20" xfId="48815" xr:uid="{00000000-0005-0000-0000-0000ED040000}"/>
    <cellStyle name="60% - 강조색6 21" xfId="48816" xr:uid="{00000000-0005-0000-0000-0000EE040000}"/>
    <cellStyle name="60% - 강조색6 22" xfId="48817" xr:uid="{00000000-0005-0000-0000-0000EF040000}"/>
    <cellStyle name="60% - 강조색6 23" xfId="48818" xr:uid="{00000000-0005-0000-0000-0000F0040000}"/>
    <cellStyle name="60% - 강조색6 24" xfId="48819" xr:uid="{00000000-0005-0000-0000-0000F1040000}"/>
    <cellStyle name="60% - 강조색6 25" xfId="48820" xr:uid="{00000000-0005-0000-0000-0000F2040000}"/>
    <cellStyle name="60% - 강조색6 26" xfId="48821" xr:uid="{00000000-0005-0000-0000-0000F3040000}"/>
    <cellStyle name="60% - 강조색6 27" xfId="48822" xr:uid="{00000000-0005-0000-0000-0000F4040000}"/>
    <cellStyle name="60% - 강조색6 28" xfId="48823" xr:uid="{00000000-0005-0000-0000-0000F5040000}"/>
    <cellStyle name="60% - 강조색6 29" xfId="48824" xr:uid="{00000000-0005-0000-0000-0000F6040000}"/>
    <cellStyle name="60% - 강조색6 3" xfId="3215" xr:uid="{00000000-0005-0000-0000-0000F7040000}"/>
    <cellStyle name="60% - 강조색6 3 10" xfId="4058" xr:uid="{00000000-0005-0000-0000-0000F8040000}"/>
    <cellStyle name="60% - 강조색6 3 11" xfId="4054" xr:uid="{00000000-0005-0000-0000-0000F9040000}"/>
    <cellStyle name="60% - 강조색6 3 2" xfId="3566" xr:uid="{00000000-0005-0000-0000-0000FA040000}"/>
    <cellStyle name="60% - 강조색6 3 3" xfId="2722" xr:uid="{00000000-0005-0000-0000-0000FB040000}"/>
    <cellStyle name="60% - 강조색6 3 4" xfId="3273" xr:uid="{00000000-0005-0000-0000-0000FC040000}"/>
    <cellStyle name="60% - 강조색6 3 5" xfId="4056" xr:uid="{00000000-0005-0000-0000-0000FD040000}"/>
    <cellStyle name="60% - 강조색6 3 6" xfId="2599" xr:uid="{00000000-0005-0000-0000-0000FE040000}"/>
    <cellStyle name="60% - 강조색6 3 7" xfId="3449" xr:uid="{00000000-0005-0000-0000-0000FF040000}"/>
    <cellStyle name="60% - 강조색6 3 8" xfId="3089" xr:uid="{00000000-0005-0000-0000-000000050000}"/>
    <cellStyle name="60% - 강조색6 3 9" xfId="3693" xr:uid="{00000000-0005-0000-0000-000001050000}"/>
    <cellStyle name="60% - 강조색6 30" xfId="48825" xr:uid="{00000000-0005-0000-0000-000002050000}"/>
    <cellStyle name="60% - 강조색6 31" xfId="48826" xr:uid="{00000000-0005-0000-0000-000003050000}"/>
    <cellStyle name="60% - 강조색6 32" xfId="48827" xr:uid="{00000000-0005-0000-0000-000004050000}"/>
    <cellStyle name="60% - 강조색6 33" xfId="48828" xr:uid="{00000000-0005-0000-0000-000005050000}"/>
    <cellStyle name="60% - 강조색6 4" xfId="3093" xr:uid="{00000000-0005-0000-0000-000006050000}"/>
    <cellStyle name="60% - 강조색6 4 10" xfId="3452" xr:uid="{00000000-0005-0000-0000-000007050000}"/>
    <cellStyle name="60% - 강조색6 4 11" xfId="3942" xr:uid="{00000000-0005-0000-0000-000008050000}"/>
    <cellStyle name="60% - 강조색6 4 2" xfId="4182" xr:uid="{00000000-0005-0000-0000-000009050000}"/>
    <cellStyle name="60% - 강조색6 4 3" xfId="337" xr:uid="{00000000-0005-0000-0000-00000A050000}"/>
    <cellStyle name="60% - 강조색6 4 4" xfId="4131" xr:uid="{00000000-0005-0000-0000-00000B050000}"/>
    <cellStyle name="60% - 강조색6 4 5" xfId="3643" xr:uid="{00000000-0005-0000-0000-00000C050000}"/>
    <cellStyle name="60% - 강조색6 4 6" xfId="3639" xr:uid="{00000000-0005-0000-0000-00000D050000}"/>
    <cellStyle name="60% - 강조색6 4 7" xfId="2914" xr:uid="{00000000-0005-0000-0000-00000E050000}"/>
    <cellStyle name="60% - 강조색6 4 8" xfId="3472" xr:uid="{00000000-0005-0000-0000-00000F050000}"/>
    <cellStyle name="60% - 강조색6 4 9" xfId="4129" xr:uid="{00000000-0005-0000-0000-000010050000}"/>
    <cellStyle name="60% - 강조색6 5" xfId="3762" xr:uid="{00000000-0005-0000-0000-000011050000}"/>
    <cellStyle name="60% - 강조색6 5 2" xfId="3407" xr:uid="{00000000-0005-0000-0000-000012050000}"/>
    <cellStyle name="60% - 강조색6 5 3" xfId="3045" xr:uid="{00000000-0005-0000-0000-000013050000}"/>
    <cellStyle name="60% - 강조색6 5 4" xfId="3651" xr:uid="{00000000-0005-0000-0000-000014050000}"/>
    <cellStyle name="60% - 강조색6 5 5" xfId="2967" xr:uid="{00000000-0005-0000-0000-000015050000}"/>
    <cellStyle name="60% - 강조색6 6" xfId="3714" xr:uid="{00000000-0005-0000-0000-000016050000}"/>
    <cellStyle name="60% - 강조색6 6 2" xfId="4264" xr:uid="{00000000-0005-0000-0000-000017050000}"/>
    <cellStyle name="60% - 강조색6 6 3" xfId="3058" xr:uid="{00000000-0005-0000-0000-000018050000}"/>
    <cellStyle name="60% - 강조색6 6 4" xfId="3379" xr:uid="{00000000-0005-0000-0000-000019050000}"/>
    <cellStyle name="60% - 강조색6 6 5" xfId="3278" xr:uid="{00000000-0005-0000-0000-00001A050000}"/>
    <cellStyle name="60% - 강조색6 7" xfId="2900" xr:uid="{00000000-0005-0000-0000-00001B050000}"/>
    <cellStyle name="60% - 강조색6 7 2" xfId="3441" xr:uid="{00000000-0005-0000-0000-00001C050000}"/>
    <cellStyle name="60% - 강조색6 8" xfId="4114" xr:uid="{00000000-0005-0000-0000-00001D050000}"/>
    <cellStyle name="60% - 강조색6 8 2" xfId="3382" xr:uid="{00000000-0005-0000-0000-00001E050000}"/>
    <cellStyle name="60% - 강조색6 9" xfId="6704" xr:uid="{00000000-0005-0000-0000-00001F050000}"/>
    <cellStyle name="A¨­￠￢￠O [0]_INQUIRY ￠?￥i¨u¡AAⓒ￢Aⓒª " xfId="197" xr:uid="{00000000-0005-0000-0000-000020050000}"/>
    <cellStyle name="A¨­￠￢￠O_INQUIRY ￠?￥i¨u¡AAⓒ￢Aⓒª " xfId="207" xr:uid="{00000000-0005-0000-0000-000021050000}"/>
    <cellStyle name="AeE­ [0]_´eAN°yC￥ " xfId="216" xr:uid="{00000000-0005-0000-0000-000022050000}"/>
    <cellStyle name="AeE­_´eAN°yC￥ " xfId="211" xr:uid="{00000000-0005-0000-0000-000023050000}"/>
    <cellStyle name="AeE¡ⓒ [0]_INQUIRY ￠?￥i¨u¡AAⓒ￢Aⓒª " xfId="208" xr:uid="{00000000-0005-0000-0000-000024050000}"/>
    <cellStyle name="AeE¡ⓒ_INQUIRY ￠?￥i¨u¡AAⓒ￢Aⓒª " xfId="201" xr:uid="{00000000-0005-0000-0000-000025050000}"/>
    <cellStyle name="ALIGNMENT" xfId="49620" xr:uid="{00000000-0005-0000-0000-000026050000}"/>
    <cellStyle name="AÞ¸¶ [0]_´eAN°yC￥ " xfId="220" xr:uid="{00000000-0005-0000-0000-000027050000}"/>
    <cellStyle name="AÞ¸¶_´eAN°yC￥ " xfId="187" xr:uid="{00000000-0005-0000-0000-000028050000}"/>
    <cellStyle name="C¡IA¨ª_¡ic¨u¡A¨￢I¨￢¡Æ AN¡Æe " xfId="209" xr:uid="{00000000-0005-0000-0000-000029050000}"/>
    <cellStyle name="C￥AØ_´eAN°yC￥ " xfId="185" xr:uid="{00000000-0005-0000-0000-00002A050000}"/>
    <cellStyle name="category" xfId="49621" xr:uid="{00000000-0005-0000-0000-00002B050000}"/>
    <cellStyle name="Comma [0]" xfId="188" xr:uid="{00000000-0005-0000-0000-00002C050000}"/>
    <cellStyle name="comma zerodec" xfId="198" xr:uid="{00000000-0005-0000-0000-00002D050000}"/>
    <cellStyle name="comma zerodec 2" xfId="49622" xr:uid="{00000000-0005-0000-0000-00002E050000}"/>
    <cellStyle name="Comma_ SG&amp;A Bridge " xfId="200" xr:uid="{00000000-0005-0000-0000-00002F050000}"/>
    <cellStyle name="Comma0" xfId="183" xr:uid="{00000000-0005-0000-0000-000030050000}"/>
    <cellStyle name="Curren?_x0012_퐀_x0017_?" xfId="221" xr:uid="{00000000-0005-0000-0000-000031050000}"/>
    <cellStyle name="Currency [0]" xfId="181" xr:uid="{00000000-0005-0000-0000-000032050000}"/>
    <cellStyle name="Currency_ SG&amp;A Bridge " xfId="206" xr:uid="{00000000-0005-0000-0000-000033050000}"/>
    <cellStyle name="Currency0" xfId="186" xr:uid="{00000000-0005-0000-0000-000034050000}"/>
    <cellStyle name="Currency0 2" xfId="4172" xr:uid="{00000000-0005-0000-0000-000035050000}"/>
    <cellStyle name="Currency0 2 10" xfId="2819" xr:uid="{00000000-0005-0000-0000-000036050000}"/>
    <cellStyle name="Currency0 2 11" xfId="2713" xr:uid="{00000000-0005-0000-0000-000037050000}"/>
    <cellStyle name="Currency0 2 2" xfId="2526" xr:uid="{00000000-0005-0000-0000-000038050000}"/>
    <cellStyle name="Currency0 2 3" xfId="3681" xr:uid="{00000000-0005-0000-0000-000039050000}"/>
    <cellStyle name="Currency0 2 4" xfId="3677" xr:uid="{00000000-0005-0000-0000-00003A050000}"/>
    <cellStyle name="Currency0 2 5" xfId="4049" xr:uid="{00000000-0005-0000-0000-00003B050000}"/>
    <cellStyle name="Currency0 2 6" xfId="3797" xr:uid="{00000000-0005-0000-0000-00003C050000}"/>
    <cellStyle name="Currency0 2 7" xfId="2585" xr:uid="{00000000-0005-0000-0000-00003D050000}"/>
    <cellStyle name="Currency0 2 8" xfId="3078" xr:uid="{00000000-0005-0000-0000-00003E050000}"/>
    <cellStyle name="Currency0 2 9" xfId="3897" xr:uid="{00000000-0005-0000-0000-00003F050000}"/>
    <cellStyle name="Currency0 3" xfId="4113" xr:uid="{00000000-0005-0000-0000-000040050000}"/>
    <cellStyle name="Currency0 3 10" xfId="4272" xr:uid="{00000000-0005-0000-0000-000041050000}"/>
    <cellStyle name="Currency0 3 11" xfId="2509" xr:uid="{00000000-0005-0000-0000-000042050000}"/>
    <cellStyle name="Currency0 3 2" xfId="2746" xr:uid="{00000000-0005-0000-0000-000043050000}"/>
    <cellStyle name="Currency0 3 3" xfId="3053" xr:uid="{00000000-0005-0000-0000-000044050000}"/>
    <cellStyle name="Currency0 3 4" xfId="2565" xr:uid="{00000000-0005-0000-0000-000045050000}"/>
    <cellStyle name="Currency0 3 5" xfId="4154" xr:uid="{00000000-0005-0000-0000-000046050000}"/>
    <cellStyle name="Currency0 3 6" xfId="2930" xr:uid="{00000000-0005-0000-0000-000047050000}"/>
    <cellStyle name="Currency0 3 7" xfId="3661" xr:uid="{00000000-0005-0000-0000-000048050000}"/>
    <cellStyle name="Currency0 3 8" xfId="2935" xr:uid="{00000000-0005-0000-0000-000049050000}"/>
    <cellStyle name="Currency0 3 9" xfId="4157" xr:uid="{00000000-0005-0000-0000-00004A050000}"/>
    <cellStyle name="Currency0 4" xfId="2492" xr:uid="{00000000-0005-0000-0000-00004B050000}"/>
    <cellStyle name="Currency0 4 10" xfId="3664" xr:uid="{00000000-0005-0000-0000-00004C050000}"/>
    <cellStyle name="Currency0 4 11" xfId="4269" xr:uid="{00000000-0005-0000-0000-00004D050000}"/>
    <cellStyle name="Currency0 4 2" xfId="2988" xr:uid="{00000000-0005-0000-0000-00004E050000}"/>
    <cellStyle name="Currency0 4 3" xfId="3963" xr:uid="{00000000-0005-0000-0000-00004F050000}"/>
    <cellStyle name="Currency0 4 4" xfId="3959" xr:uid="{00000000-0005-0000-0000-000050050000}"/>
    <cellStyle name="Currency0 4 5" xfId="3474" xr:uid="{00000000-0005-0000-0000-000051050000}"/>
    <cellStyle name="Currency0 4 6" xfId="4144" xr:uid="{00000000-0005-0000-0000-000052050000}"/>
    <cellStyle name="Currency0 4 7" xfId="2630" xr:uid="{00000000-0005-0000-0000-000053050000}"/>
    <cellStyle name="Currency0 4 8" xfId="2871" xr:uid="{00000000-0005-0000-0000-000054050000}"/>
    <cellStyle name="Currency0 4 9" xfId="2749" xr:uid="{00000000-0005-0000-0000-000055050000}"/>
    <cellStyle name="Currency1" xfId="191" xr:uid="{00000000-0005-0000-0000-000056050000}"/>
    <cellStyle name="Currency1 2" xfId="49623" xr:uid="{00000000-0005-0000-0000-000057050000}"/>
    <cellStyle name="Date" xfId="180" xr:uid="{00000000-0005-0000-0000-000058050000}"/>
    <cellStyle name="Dollar (zero dec)" xfId="222" xr:uid="{00000000-0005-0000-0000-000059050000}"/>
    <cellStyle name="Dollar (zero dec) 2" xfId="49624" xr:uid="{00000000-0005-0000-0000-00005A050000}"/>
    <cellStyle name="Excel_BuiltIn_Hyperlink 1" xfId="49625" xr:uid="{00000000-0005-0000-0000-00005B050000}"/>
    <cellStyle name="F2" xfId="6233" xr:uid="{00000000-0005-0000-0000-00005C050000}"/>
    <cellStyle name="F3" xfId="6234" xr:uid="{00000000-0005-0000-0000-00005D050000}"/>
    <cellStyle name="F4" xfId="6235" xr:uid="{00000000-0005-0000-0000-00005E050000}"/>
    <cellStyle name="F5" xfId="6236" xr:uid="{00000000-0005-0000-0000-00005F050000}"/>
    <cellStyle name="F6" xfId="6237" xr:uid="{00000000-0005-0000-0000-000060050000}"/>
    <cellStyle name="F7" xfId="6238" xr:uid="{00000000-0005-0000-0000-000061050000}"/>
    <cellStyle name="F8" xfId="6239" xr:uid="{00000000-0005-0000-0000-000062050000}"/>
    <cellStyle name="Fixed" xfId="223" xr:uid="{00000000-0005-0000-0000-000063050000}"/>
    <cellStyle name="Grey" xfId="49626" xr:uid="{00000000-0005-0000-0000-000064050000}"/>
    <cellStyle name="HEADER" xfId="49627" xr:uid="{00000000-0005-0000-0000-000065050000}"/>
    <cellStyle name="Header1" xfId="9" xr:uid="{00000000-0005-0000-0000-000066050000}"/>
    <cellStyle name="Header1 10" xfId="6926" xr:uid="{00000000-0005-0000-0000-000067050000}"/>
    <cellStyle name="Header1 11" xfId="6939" xr:uid="{00000000-0005-0000-0000-000068050000}"/>
    <cellStyle name="Header1 2" xfId="103" xr:uid="{00000000-0005-0000-0000-000069050000}"/>
    <cellStyle name="Header1 2 2" xfId="6240" xr:uid="{00000000-0005-0000-0000-00006A050000}"/>
    <cellStyle name="Header1 3" xfId="224" xr:uid="{00000000-0005-0000-0000-00006B050000}"/>
    <cellStyle name="Header1 4" xfId="6596" xr:uid="{00000000-0005-0000-0000-00006C050000}"/>
    <cellStyle name="Header1 5" xfId="6637" xr:uid="{00000000-0005-0000-0000-00006D050000}"/>
    <cellStyle name="Header1 6" xfId="6693" xr:uid="{00000000-0005-0000-0000-00006E050000}"/>
    <cellStyle name="Header1 7" xfId="6765" xr:uid="{00000000-0005-0000-0000-00006F050000}"/>
    <cellStyle name="Header1 8" xfId="6828" xr:uid="{00000000-0005-0000-0000-000070050000}"/>
    <cellStyle name="Header1 9" xfId="6878" xr:uid="{00000000-0005-0000-0000-000071050000}"/>
    <cellStyle name="Header2" xfId="10" xr:uid="{00000000-0005-0000-0000-000072050000}"/>
    <cellStyle name="Header2 10" xfId="6927" xr:uid="{00000000-0005-0000-0000-000073050000}"/>
    <cellStyle name="Header2 11" xfId="6940" xr:uid="{00000000-0005-0000-0000-000074050000}"/>
    <cellStyle name="Header2 2" xfId="104" xr:uid="{00000000-0005-0000-0000-000075050000}"/>
    <cellStyle name="Header2 2 2" xfId="6241" xr:uid="{00000000-0005-0000-0000-000076050000}"/>
    <cellStyle name="Header2 3" xfId="225" xr:uid="{00000000-0005-0000-0000-000077050000}"/>
    <cellStyle name="Header2 4" xfId="6597" xr:uid="{00000000-0005-0000-0000-000078050000}"/>
    <cellStyle name="Header2 5" xfId="6638" xr:uid="{00000000-0005-0000-0000-000079050000}"/>
    <cellStyle name="Header2 6" xfId="6694" xr:uid="{00000000-0005-0000-0000-00007A050000}"/>
    <cellStyle name="Header2 7" xfId="6766" xr:uid="{00000000-0005-0000-0000-00007B050000}"/>
    <cellStyle name="Header2 8" xfId="6829" xr:uid="{00000000-0005-0000-0000-00007C050000}"/>
    <cellStyle name="Header2 9" xfId="6879" xr:uid="{00000000-0005-0000-0000-00007D050000}"/>
    <cellStyle name="Header2_업체별" xfId="6242" xr:uid="{00000000-0005-0000-0000-00007E050000}"/>
    <cellStyle name="Heading 1" xfId="226" xr:uid="{00000000-0005-0000-0000-00007F050000}"/>
    <cellStyle name="Heading 2" xfId="227" xr:uid="{00000000-0005-0000-0000-000080050000}"/>
    <cellStyle name="Helv8_PFD4.XLS" xfId="49628" xr:uid="{00000000-0005-0000-0000-000081050000}"/>
    <cellStyle name="Input [yellow]" xfId="49629" xr:uid="{00000000-0005-0000-0000-000082050000}"/>
    <cellStyle name="Milliers [0]_Arabian Spec" xfId="228" xr:uid="{00000000-0005-0000-0000-000083050000}"/>
    <cellStyle name="Milliers_Arabian Spec" xfId="229" xr:uid="{00000000-0005-0000-0000-000084050000}"/>
    <cellStyle name="Model" xfId="49630" xr:uid="{00000000-0005-0000-0000-000085050000}"/>
    <cellStyle name="Mon?aire [0]_Arabian Spec" xfId="230" xr:uid="{00000000-0005-0000-0000-000086050000}"/>
    <cellStyle name="Mon?aire_Arabian Spec" xfId="231" xr:uid="{00000000-0005-0000-0000-000087050000}"/>
    <cellStyle name="no dec" xfId="49631" xr:uid="{00000000-0005-0000-0000-000088050000}"/>
    <cellStyle name="Normal - Style1" xfId="49632" xr:uid="{00000000-0005-0000-0000-000089050000}"/>
    <cellStyle name="Normal_ SG&amp;A Bridge " xfId="232" xr:uid="{00000000-0005-0000-0000-00008A050000}"/>
    <cellStyle name="Percent [2]" xfId="233" xr:uid="{00000000-0005-0000-0000-00008B050000}"/>
    <cellStyle name="subhead" xfId="234" xr:uid="{00000000-0005-0000-0000-00008C050000}"/>
    <cellStyle name="Title" xfId="49633" xr:uid="{00000000-0005-0000-0000-00008D050000}"/>
    <cellStyle name="title [1]" xfId="49634" xr:uid="{00000000-0005-0000-0000-00008E050000}"/>
    <cellStyle name="title [2]" xfId="49635" xr:uid="{00000000-0005-0000-0000-00008F050000}"/>
    <cellStyle name="Total" xfId="235" xr:uid="{00000000-0005-0000-0000-000090050000}"/>
    <cellStyle name="강조색1 10" xfId="6691" xr:uid="{00000000-0005-0000-0000-000091050000}"/>
    <cellStyle name="강조색1 11" xfId="6760" xr:uid="{00000000-0005-0000-0000-000092050000}"/>
    <cellStyle name="강조색1 12" xfId="6834" xr:uid="{00000000-0005-0000-0000-000093050000}"/>
    <cellStyle name="강조색1 13" xfId="48829" xr:uid="{00000000-0005-0000-0000-000094050000}"/>
    <cellStyle name="강조색1 14" xfId="48830" xr:uid="{00000000-0005-0000-0000-000095050000}"/>
    <cellStyle name="강조색1 15" xfId="48831" xr:uid="{00000000-0005-0000-0000-000096050000}"/>
    <cellStyle name="강조색1 16" xfId="48832" xr:uid="{00000000-0005-0000-0000-000097050000}"/>
    <cellStyle name="강조색1 17" xfId="48833" xr:uid="{00000000-0005-0000-0000-000098050000}"/>
    <cellStyle name="강조색1 18" xfId="48834" xr:uid="{00000000-0005-0000-0000-000099050000}"/>
    <cellStyle name="강조색1 19" xfId="48835" xr:uid="{00000000-0005-0000-0000-00009A050000}"/>
    <cellStyle name="강조색1 2" xfId="236" xr:uid="{00000000-0005-0000-0000-00009B050000}"/>
    <cellStyle name="강조색1 2 10" xfId="6759" xr:uid="{00000000-0005-0000-0000-00009C050000}"/>
    <cellStyle name="강조색1 2 11" xfId="6833" xr:uid="{00000000-0005-0000-0000-00009D050000}"/>
    <cellStyle name="강조색1 2 2" xfId="4423" xr:uid="{00000000-0005-0000-0000-00009E050000}"/>
    <cellStyle name="강조색1 2 3" xfId="6269" xr:uid="{00000000-0005-0000-0000-00009F050000}"/>
    <cellStyle name="강조색1 2 4" xfId="6522" xr:uid="{00000000-0005-0000-0000-0000A0050000}"/>
    <cellStyle name="강조색1 2 5" xfId="6243" xr:uid="{00000000-0005-0000-0000-0000A1050000}"/>
    <cellStyle name="강조색1 2 6" xfId="6550" xr:uid="{00000000-0005-0000-0000-0000A2050000}"/>
    <cellStyle name="강조색1 2 7" xfId="6594" xr:uid="{00000000-0005-0000-0000-0000A3050000}"/>
    <cellStyle name="강조색1 2 8" xfId="6701" xr:uid="{00000000-0005-0000-0000-0000A4050000}"/>
    <cellStyle name="강조색1 2 9" xfId="6690" xr:uid="{00000000-0005-0000-0000-0000A5050000}"/>
    <cellStyle name="강조색1 20" xfId="48836" xr:uid="{00000000-0005-0000-0000-0000A6050000}"/>
    <cellStyle name="강조색1 21" xfId="48837" xr:uid="{00000000-0005-0000-0000-0000A7050000}"/>
    <cellStyle name="강조색1 22" xfId="48838" xr:uid="{00000000-0005-0000-0000-0000A8050000}"/>
    <cellStyle name="강조색1 23" xfId="48839" xr:uid="{00000000-0005-0000-0000-0000A9050000}"/>
    <cellStyle name="강조색1 24" xfId="48840" xr:uid="{00000000-0005-0000-0000-0000AA050000}"/>
    <cellStyle name="강조색1 25" xfId="48841" xr:uid="{00000000-0005-0000-0000-0000AB050000}"/>
    <cellStyle name="강조색1 26" xfId="48842" xr:uid="{00000000-0005-0000-0000-0000AC050000}"/>
    <cellStyle name="강조색1 27" xfId="48843" xr:uid="{00000000-0005-0000-0000-0000AD050000}"/>
    <cellStyle name="강조색1 28" xfId="48844" xr:uid="{00000000-0005-0000-0000-0000AE050000}"/>
    <cellStyle name="강조색1 29" xfId="48845" xr:uid="{00000000-0005-0000-0000-0000AF050000}"/>
    <cellStyle name="강조색1 3" xfId="4222" xr:uid="{00000000-0005-0000-0000-0000B0050000}"/>
    <cellStyle name="강조색1 3 10" xfId="4232" xr:uid="{00000000-0005-0000-0000-0000B1050000}"/>
    <cellStyle name="강조색1 3 11" xfId="3495" xr:uid="{00000000-0005-0000-0000-0000B2050000}"/>
    <cellStyle name="강조색1 3 2" xfId="3636" xr:uid="{00000000-0005-0000-0000-0000B3050000}"/>
    <cellStyle name="강조색1 3 3" xfId="3616" xr:uid="{00000000-0005-0000-0000-0000B4050000}"/>
    <cellStyle name="강조색1 3 4" xfId="3134" xr:uid="{00000000-0005-0000-0000-0000B5050000}"/>
    <cellStyle name="강조색1 3 5" xfId="2971" xr:uid="{00000000-0005-0000-0000-0000B6050000}"/>
    <cellStyle name="강조색1 3 6" xfId="3946" xr:uid="{00000000-0005-0000-0000-0000B7050000}"/>
    <cellStyle name="강조색1 3 7" xfId="3943" xr:uid="{00000000-0005-0000-0000-0000B8050000}"/>
    <cellStyle name="강조색1 3 8" xfId="3457" xr:uid="{00000000-0005-0000-0000-0000B9050000}"/>
    <cellStyle name="강조색1 3 9" xfId="3237" xr:uid="{00000000-0005-0000-0000-0000BA050000}"/>
    <cellStyle name="강조색1 30" xfId="48846" xr:uid="{00000000-0005-0000-0000-0000BB050000}"/>
    <cellStyle name="강조색1 31" xfId="48847" xr:uid="{00000000-0005-0000-0000-0000BC050000}"/>
    <cellStyle name="강조색1 32" xfId="48848" xr:uid="{00000000-0005-0000-0000-0000BD050000}"/>
    <cellStyle name="강조색1 33" xfId="48849" xr:uid="{00000000-0005-0000-0000-0000BE050000}"/>
    <cellStyle name="강조색1 4" xfId="2613" xr:uid="{00000000-0005-0000-0000-0000BF050000}"/>
    <cellStyle name="강조색1 4 10" xfId="2854" xr:uid="{00000000-0005-0000-0000-0000C0050000}"/>
    <cellStyle name="강조색1 4 11" xfId="3886" xr:uid="{00000000-0005-0000-0000-0000C1050000}"/>
    <cellStyle name="강조색1 4 2" xfId="3227" xr:uid="{00000000-0005-0000-0000-0000C2050000}"/>
    <cellStyle name="강조색1 4 3" xfId="3955" xr:uid="{00000000-0005-0000-0000-0000C3050000}"/>
    <cellStyle name="강조색1 4 4" xfId="2447" xr:uid="{00000000-0005-0000-0000-0000C4050000}"/>
    <cellStyle name="강조색1 4 5" xfId="3401" xr:uid="{00000000-0005-0000-0000-0000C5050000}"/>
    <cellStyle name="강조색1 4 6" xfId="2744" xr:uid="{00000000-0005-0000-0000-0000C6050000}"/>
    <cellStyle name="강조색1 4 7" xfId="2437" xr:uid="{00000000-0005-0000-0000-0000C7050000}"/>
    <cellStyle name="강조색1 4 8" xfId="3471" xr:uid="{00000000-0005-0000-0000-0000C8050000}"/>
    <cellStyle name="강조색1 4 9" xfId="4072" xr:uid="{00000000-0005-0000-0000-0000C9050000}"/>
    <cellStyle name="강조색1 5" xfId="3976" xr:uid="{00000000-0005-0000-0000-0000CA050000}"/>
    <cellStyle name="강조색1 5 2" xfId="2449" xr:uid="{00000000-0005-0000-0000-0000CB050000}"/>
    <cellStyle name="강조색1 5 3" xfId="3489" xr:uid="{00000000-0005-0000-0000-0000CC050000}"/>
    <cellStyle name="강조색1 5 4" xfId="3320" xr:uid="{00000000-0005-0000-0000-0000CD050000}"/>
    <cellStyle name="강조색1 5 5" xfId="2482" xr:uid="{00000000-0005-0000-0000-0000CE050000}"/>
    <cellStyle name="강조색1 6" xfId="2721" xr:uid="{00000000-0005-0000-0000-0000CF050000}"/>
    <cellStyle name="강조색1 6 2" xfId="3805" xr:uid="{00000000-0005-0000-0000-0000D0050000}"/>
    <cellStyle name="강조색1 6 3" xfId="2602" xr:uid="{00000000-0005-0000-0000-0000D1050000}"/>
    <cellStyle name="강조색1 6 4" xfId="3079" xr:uid="{00000000-0005-0000-0000-0000D2050000}"/>
    <cellStyle name="강조색1 6 5" xfId="4312" xr:uid="{00000000-0005-0000-0000-0000D3050000}"/>
    <cellStyle name="강조색1 7" xfId="2605" xr:uid="{00000000-0005-0000-0000-0000D4050000}"/>
    <cellStyle name="강조색1 7 2" xfId="355" xr:uid="{00000000-0005-0000-0000-0000D5050000}"/>
    <cellStyle name="강조색1 8" xfId="326" xr:uid="{00000000-0005-0000-0000-0000D6050000}"/>
    <cellStyle name="강조색1 8 2" xfId="3073" xr:uid="{00000000-0005-0000-0000-0000D7050000}"/>
    <cellStyle name="강조색1 9" xfId="6702" xr:uid="{00000000-0005-0000-0000-0000D8050000}"/>
    <cellStyle name="강조색2 10" xfId="6687" xr:uid="{00000000-0005-0000-0000-0000D9050000}"/>
    <cellStyle name="강조색2 11" xfId="6756" xr:uid="{00000000-0005-0000-0000-0000DA050000}"/>
    <cellStyle name="강조색2 12" xfId="6832" xr:uid="{00000000-0005-0000-0000-0000DB050000}"/>
    <cellStyle name="강조색2 13" xfId="48850" xr:uid="{00000000-0005-0000-0000-0000DC050000}"/>
    <cellStyle name="강조색2 14" xfId="48851" xr:uid="{00000000-0005-0000-0000-0000DD050000}"/>
    <cellStyle name="강조색2 15" xfId="48852" xr:uid="{00000000-0005-0000-0000-0000DE050000}"/>
    <cellStyle name="강조색2 16" xfId="48853" xr:uid="{00000000-0005-0000-0000-0000DF050000}"/>
    <cellStyle name="강조색2 17" xfId="48854" xr:uid="{00000000-0005-0000-0000-0000E0050000}"/>
    <cellStyle name="강조색2 18" xfId="48855" xr:uid="{00000000-0005-0000-0000-0000E1050000}"/>
    <cellStyle name="강조색2 19" xfId="48856" xr:uid="{00000000-0005-0000-0000-0000E2050000}"/>
    <cellStyle name="강조색2 2" xfId="237" xr:uid="{00000000-0005-0000-0000-0000E3050000}"/>
    <cellStyle name="강조색2 2 10" xfId="6755" xr:uid="{00000000-0005-0000-0000-0000E4050000}"/>
    <cellStyle name="강조색2 2 11" xfId="6827" xr:uid="{00000000-0005-0000-0000-0000E5050000}"/>
    <cellStyle name="강조색2 2 2" xfId="4424" xr:uid="{00000000-0005-0000-0000-0000E6050000}"/>
    <cellStyle name="강조색2 2 3" xfId="6270" xr:uid="{00000000-0005-0000-0000-0000E7050000}"/>
    <cellStyle name="강조색2 2 4" xfId="6521" xr:uid="{00000000-0005-0000-0000-0000E8050000}"/>
    <cellStyle name="강조색2 2 5" xfId="6245" xr:uid="{00000000-0005-0000-0000-0000E9050000}"/>
    <cellStyle name="강조색2 2 6" xfId="6548" xr:uid="{00000000-0005-0000-0000-0000EA050000}"/>
    <cellStyle name="강조색2 2 7" xfId="6592" xr:uid="{00000000-0005-0000-0000-0000EB050000}"/>
    <cellStyle name="강조색2 2 8" xfId="6699" xr:uid="{00000000-0005-0000-0000-0000EC050000}"/>
    <cellStyle name="강조색2 2 9" xfId="6686" xr:uid="{00000000-0005-0000-0000-0000ED050000}"/>
    <cellStyle name="강조색2 20" xfId="48857" xr:uid="{00000000-0005-0000-0000-0000EE050000}"/>
    <cellStyle name="강조색2 21" xfId="48858" xr:uid="{00000000-0005-0000-0000-0000EF050000}"/>
    <cellStyle name="강조색2 22" xfId="48859" xr:uid="{00000000-0005-0000-0000-0000F0050000}"/>
    <cellStyle name="강조색2 23" xfId="48860" xr:uid="{00000000-0005-0000-0000-0000F1050000}"/>
    <cellStyle name="강조색2 24" xfId="48861" xr:uid="{00000000-0005-0000-0000-0000F2050000}"/>
    <cellStyle name="강조색2 25" xfId="48862" xr:uid="{00000000-0005-0000-0000-0000F3050000}"/>
    <cellStyle name="강조색2 26" xfId="48863" xr:uid="{00000000-0005-0000-0000-0000F4050000}"/>
    <cellStyle name="강조색2 27" xfId="48864" xr:uid="{00000000-0005-0000-0000-0000F5050000}"/>
    <cellStyle name="강조색2 28" xfId="48865" xr:uid="{00000000-0005-0000-0000-0000F6050000}"/>
    <cellStyle name="강조색2 29" xfId="48866" xr:uid="{00000000-0005-0000-0000-0000F7050000}"/>
    <cellStyle name="강조색2 3" xfId="3845" xr:uid="{00000000-0005-0000-0000-0000F8050000}"/>
    <cellStyle name="강조색2 3 10" xfId="2719" xr:uid="{00000000-0005-0000-0000-0000F9050000}"/>
    <cellStyle name="강조색2 3 11" xfId="4130" xr:uid="{00000000-0005-0000-0000-0000FA050000}"/>
    <cellStyle name="강조색2 3 2" xfId="3763" xr:uid="{00000000-0005-0000-0000-0000FB050000}"/>
    <cellStyle name="강조색2 3 3" xfId="3759" xr:uid="{00000000-0005-0000-0000-0000FC050000}"/>
    <cellStyle name="강조색2 3 4" xfId="2913" xr:uid="{00000000-0005-0000-0000-0000FD050000}"/>
    <cellStyle name="강조색2 3 5" xfId="4255" xr:uid="{00000000-0005-0000-0000-0000FE050000}"/>
    <cellStyle name="강조색2 3 6" xfId="4251" xr:uid="{00000000-0005-0000-0000-0000FF050000}"/>
    <cellStyle name="강조색2 3 7" xfId="3523" xr:uid="{00000000-0005-0000-0000-000000060000}"/>
    <cellStyle name="강조색2 3 8" xfId="3406" xr:uid="{00000000-0005-0000-0000-000001060000}"/>
    <cellStyle name="강조색2 3 9" xfId="2562" xr:uid="{00000000-0005-0000-0000-000002060000}"/>
    <cellStyle name="강조색2 30" xfId="48867" xr:uid="{00000000-0005-0000-0000-000003060000}"/>
    <cellStyle name="강조색2 31" xfId="48868" xr:uid="{00000000-0005-0000-0000-000004060000}"/>
    <cellStyle name="강조색2 32" xfId="48869" xr:uid="{00000000-0005-0000-0000-000005060000}"/>
    <cellStyle name="강조색2 33" xfId="48870" xr:uid="{00000000-0005-0000-0000-000006060000}"/>
    <cellStyle name="강조색2 4" xfId="3042" xr:uid="{00000000-0005-0000-0000-000007060000}"/>
    <cellStyle name="강조색2 4 10" xfId="3446" xr:uid="{00000000-0005-0000-0000-000008060000}"/>
    <cellStyle name="강조색2 4 11" xfId="4028" xr:uid="{00000000-0005-0000-0000-000009060000}"/>
    <cellStyle name="강조색2 4 2" xfId="2446" xr:uid="{00000000-0005-0000-0000-00000A060000}"/>
    <cellStyle name="강조색2 4 3" xfId="3174" xr:uid="{00000000-0005-0000-0000-00000B060000}"/>
    <cellStyle name="강조색2 4 4" xfId="2681" xr:uid="{00000000-0005-0000-0000-00000C060000}"/>
    <cellStyle name="강조색2 4 5" xfId="3036" xr:uid="{00000000-0005-0000-0000-00000D060000}"/>
    <cellStyle name="강조색2 4 6" xfId="2899" xr:uid="{00000000-0005-0000-0000-00000E060000}"/>
    <cellStyle name="강조색2 4 7" xfId="3929" xr:uid="{00000000-0005-0000-0000-00000F060000}"/>
    <cellStyle name="강조색2 4 8" xfId="4235" xr:uid="{00000000-0005-0000-0000-000010060000}"/>
    <cellStyle name="강조색2 4 9" xfId="353" xr:uid="{00000000-0005-0000-0000-000011060000}"/>
    <cellStyle name="강조색2 5" xfId="3026" xr:uid="{00000000-0005-0000-0000-000012060000}"/>
    <cellStyle name="강조색2 5 2" xfId="3017" xr:uid="{00000000-0005-0000-0000-000013060000}"/>
    <cellStyle name="강조색2 5 3" xfId="2965" xr:uid="{00000000-0005-0000-0000-000014060000}"/>
    <cellStyle name="강조색2 5 4" xfId="3633" xr:uid="{00000000-0005-0000-0000-000015060000}"/>
    <cellStyle name="강조색2 5 5" xfId="3747" xr:uid="{00000000-0005-0000-0000-000016060000}"/>
    <cellStyle name="강조색2 6" xfId="3267" xr:uid="{00000000-0005-0000-0000-000017060000}"/>
    <cellStyle name="강조색2 6 2" xfId="3618" xr:uid="{00000000-0005-0000-0000-000018060000}"/>
    <cellStyle name="강조색2 6 3" xfId="3149" xr:uid="{00000000-0005-0000-0000-000019060000}"/>
    <cellStyle name="강조색2 6 4" xfId="3130" xr:uid="{00000000-0005-0000-0000-00001A060000}"/>
    <cellStyle name="강조색2 6 5" xfId="2785" xr:uid="{00000000-0005-0000-0000-00001B060000}"/>
    <cellStyle name="강조색2 7" xfId="3021" xr:uid="{00000000-0005-0000-0000-00001C060000}"/>
    <cellStyle name="강조색2 7 2" xfId="2704" xr:uid="{00000000-0005-0000-0000-00001D060000}"/>
    <cellStyle name="강조색2 8" xfId="2824" xr:uid="{00000000-0005-0000-0000-00001E060000}"/>
    <cellStyle name="강조색2 8 2" xfId="2583" xr:uid="{00000000-0005-0000-0000-00001F060000}"/>
    <cellStyle name="강조색2 9" xfId="6700" xr:uid="{00000000-0005-0000-0000-000020060000}"/>
    <cellStyle name="강조색3 10" xfId="6685" xr:uid="{00000000-0005-0000-0000-000021060000}"/>
    <cellStyle name="강조색3 11" xfId="6752" xr:uid="{00000000-0005-0000-0000-000022060000}"/>
    <cellStyle name="강조색3 12" xfId="6826" xr:uid="{00000000-0005-0000-0000-000023060000}"/>
    <cellStyle name="강조색3 13" xfId="48871" xr:uid="{00000000-0005-0000-0000-000024060000}"/>
    <cellStyle name="강조색3 14" xfId="48872" xr:uid="{00000000-0005-0000-0000-000025060000}"/>
    <cellStyle name="강조색3 15" xfId="48873" xr:uid="{00000000-0005-0000-0000-000026060000}"/>
    <cellStyle name="강조색3 16" xfId="48874" xr:uid="{00000000-0005-0000-0000-000027060000}"/>
    <cellStyle name="강조색3 17" xfId="48875" xr:uid="{00000000-0005-0000-0000-000028060000}"/>
    <cellStyle name="강조색3 18" xfId="48876" xr:uid="{00000000-0005-0000-0000-000029060000}"/>
    <cellStyle name="강조색3 19" xfId="48877" xr:uid="{00000000-0005-0000-0000-00002A060000}"/>
    <cellStyle name="강조색3 2" xfId="238" xr:uid="{00000000-0005-0000-0000-00002B060000}"/>
    <cellStyle name="강조색3 2 10" xfId="6751" xr:uid="{00000000-0005-0000-0000-00002C060000}"/>
    <cellStyle name="강조색3 2 11" xfId="6825" xr:uid="{00000000-0005-0000-0000-00002D060000}"/>
    <cellStyle name="강조색3 2 2" xfId="4425" xr:uid="{00000000-0005-0000-0000-00002E060000}"/>
    <cellStyle name="강조색3 2 3" xfId="6271" xr:uid="{00000000-0005-0000-0000-00002F060000}"/>
    <cellStyle name="강조색3 2 4" xfId="6520" xr:uid="{00000000-0005-0000-0000-000030060000}"/>
    <cellStyle name="강조색3 2 5" xfId="6247" xr:uid="{00000000-0005-0000-0000-000031060000}"/>
    <cellStyle name="강조색3 2 6" xfId="6547" xr:uid="{00000000-0005-0000-0000-000032060000}"/>
    <cellStyle name="강조색3 2 7" xfId="6590" xr:uid="{00000000-0005-0000-0000-000033060000}"/>
    <cellStyle name="강조색3 2 8" xfId="6697" xr:uid="{00000000-0005-0000-0000-000034060000}"/>
    <cellStyle name="강조색3 2 9" xfId="6682" xr:uid="{00000000-0005-0000-0000-000035060000}"/>
    <cellStyle name="강조색3 20" xfId="48878" xr:uid="{00000000-0005-0000-0000-000036060000}"/>
    <cellStyle name="강조색3 21" xfId="48879" xr:uid="{00000000-0005-0000-0000-000037060000}"/>
    <cellStyle name="강조색3 22" xfId="48880" xr:uid="{00000000-0005-0000-0000-000038060000}"/>
    <cellStyle name="강조색3 23" xfId="48881" xr:uid="{00000000-0005-0000-0000-000039060000}"/>
    <cellStyle name="강조색3 24" xfId="48882" xr:uid="{00000000-0005-0000-0000-00003A060000}"/>
    <cellStyle name="강조색3 25" xfId="48883" xr:uid="{00000000-0005-0000-0000-00003B060000}"/>
    <cellStyle name="강조색3 26" xfId="48884" xr:uid="{00000000-0005-0000-0000-00003C060000}"/>
    <cellStyle name="강조색3 27" xfId="48885" xr:uid="{00000000-0005-0000-0000-00003D060000}"/>
    <cellStyle name="강조색3 28" xfId="48886" xr:uid="{00000000-0005-0000-0000-00003E060000}"/>
    <cellStyle name="강조색3 29" xfId="48887" xr:uid="{00000000-0005-0000-0000-00003F060000}"/>
    <cellStyle name="강조색3 3" xfId="2955" xr:uid="{00000000-0005-0000-0000-000040060000}"/>
    <cellStyle name="강조색3 3 10" xfId="2822" xr:uid="{00000000-0005-0000-0000-000041060000}"/>
    <cellStyle name="강조색3 3 11" xfId="4297" xr:uid="{00000000-0005-0000-0000-000042060000}"/>
    <cellStyle name="강조색3 3 2" xfId="4171" xr:uid="{00000000-0005-0000-0000-000043060000}"/>
    <cellStyle name="강조색3 3 3" xfId="4291" xr:uid="{00000000-0005-0000-0000-000044060000}"/>
    <cellStyle name="강조색3 3 4" xfId="3800" xr:uid="{00000000-0005-0000-0000-000045060000}"/>
    <cellStyle name="강조색3 3 5" xfId="3749" xr:uid="{00000000-0005-0000-0000-000046060000}"/>
    <cellStyle name="강조색3 3 6" xfId="3680" xr:uid="{00000000-0005-0000-0000-000047060000}"/>
    <cellStyle name="강조색3 3 7" xfId="3798" xr:uid="{00000000-0005-0000-0000-000048060000}"/>
    <cellStyle name="강조색3 3 8" xfId="3315" xr:uid="{00000000-0005-0000-0000-000049060000}"/>
    <cellStyle name="강조색3 3 9" xfId="3555" xr:uid="{00000000-0005-0000-0000-00004A060000}"/>
    <cellStyle name="강조색3 30" xfId="48888" xr:uid="{00000000-0005-0000-0000-00004B060000}"/>
    <cellStyle name="강조색3 31" xfId="48889" xr:uid="{00000000-0005-0000-0000-00004C060000}"/>
    <cellStyle name="강조색3 32" xfId="48890" xr:uid="{00000000-0005-0000-0000-00004D060000}"/>
    <cellStyle name="강조색3 33" xfId="48891" xr:uid="{00000000-0005-0000-0000-00004E060000}"/>
    <cellStyle name="강조색3 4" xfId="3310" xr:uid="{00000000-0005-0000-0000-00004F060000}"/>
    <cellStyle name="강조색3 4 10" xfId="3676" xr:uid="{00000000-0005-0000-0000-000050060000}"/>
    <cellStyle name="강조색3 4 11" xfId="4025" xr:uid="{00000000-0005-0000-0000-000051060000}"/>
    <cellStyle name="강조색3 4 2" xfId="2568" xr:uid="{00000000-0005-0000-0000-000052060000}"/>
    <cellStyle name="강조색3 4 3" xfId="2454" xr:uid="{00000000-0005-0000-0000-000053060000}"/>
    <cellStyle name="강조색3 4 4" xfId="2691" xr:uid="{00000000-0005-0000-0000-000054060000}"/>
    <cellStyle name="강조색3 4 5" xfId="2806" xr:uid="{00000000-0005-0000-0000-000055060000}"/>
    <cellStyle name="강조색3 4 6" xfId="2570" xr:uid="{00000000-0005-0000-0000-000056060000}"/>
    <cellStyle name="강조색3 4 7" xfId="3775" xr:uid="{00000000-0005-0000-0000-000057060000}"/>
    <cellStyle name="강조색3 4 8" xfId="4153" xr:uid="{00000000-0005-0000-0000-000058060000}"/>
    <cellStyle name="강조색3 4 9" xfId="3874" xr:uid="{00000000-0005-0000-0000-000059060000}"/>
    <cellStyle name="강조색3 5" xfId="3782" xr:uid="{00000000-0005-0000-0000-00005A060000}"/>
    <cellStyle name="강조색3 5 2" xfId="3699" xr:uid="{00000000-0005-0000-0000-00005B060000}"/>
    <cellStyle name="강조색3 5 3" xfId="2933" xr:uid="{00000000-0005-0000-0000-00005C060000}"/>
    <cellStyle name="강조색3 5 4" xfId="4275" xr:uid="{00000000-0005-0000-0000-00005D060000}"/>
    <cellStyle name="강조색3 5 5" xfId="4273" xr:uid="{00000000-0005-0000-0000-00005E060000}"/>
    <cellStyle name="강조색3 6" xfId="3538" xr:uid="{00000000-0005-0000-0000-00005F060000}"/>
    <cellStyle name="강조색3 6 2" xfId="2632" xr:uid="{00000000-0005-0000-0000-000060060000}"/>
    <cellStyle name="강조색3 6 3" xfId="335" xr:uid="{00000000-0005-0000-0000-000061060000}"/>
    <cellStyle name="강조색3 6 4" xfId="2869" xr:uid="{00000000-0005-0000-0000-000062060000}"/>
    <cellStyle name="강조색3 6 5" xfId="3113" xr:uid="{00000000-0005-0000-0000-000063060000}"/>
    <cellStyle name="강조색3 7" xfId="330" xr:uid="{00000000-0005-0000-0000-000064060000}"/>
    <cellStyle name="강조색3 7 2" xfId="3354" xr:uid="{00000000-0005-0000-0000-000065060000}"/>
    <cellStyle name="강조색3 8" xfId="379" xr:uid="{00000000-0005-0000-0000-000066060000}"/>
    <cellStyle name="강조색3 8 2" xfId="3721" xr:uid="{00000000-0005-0000-0000-000067060000}"/>
    <cellStyle name="강조색3 9" xfId="6698" xr:uid="{00000000-0005-0000-0000-000068060000}"/>
    <cellStyle name="강조색4 10" xfId="6681" xr:uid="{00000000-0005-0000-0000-000069060000}"/>
    <cellStyle name="강조색4 11" xfId="6750" xr:uid="{00000000-0005-0000-0000-00006A060000}"/>
    <cellStyle name="강조색4 12" xfId="6822" xr:uid="{00000000-0005-0000-0000-00006B060000}"/>
    <cellStyle name="강조색4 13" xfId="48892" xr:uid="{00000000-0005-0000-0000-00006C060000}"/>
    <cellStyle name="강조색4 14" xfId="48893" xr:uid="{00000000-0005-0000-0000-00006D060000}"/>
    <cellStyle name="강조색4 15" xfId="48894" xr:uid="{00000000-0005-0000-0000-00006E060000}"/>
    <cellStyle name="강조색4 16" xfId="48895" xr:uid="{00000000-0005-0000-0000-00006F060000}"/>
    <cellStyle name="강조색4 17" xfId="48896" xr:uid="{00000000-0005-0000-0000-000070060000}"/>
    <cellStyle name="강조색4 18" xfId="48897" xr:uid="{00000000-0005-0000-0000-000071060000}"/>
    <cellStyle name="강조색4 19" xfId="48898" xr:uid="{00000000-0005-0000-0000-000072060000}"/>
    <cellStyle name="강조색4 2" xfId="239" xr:uid="{00000000-0005-0000-0000-000073060000}"/>
    <cellStyle name="강조색4 2 10" xfId="6747" xr:uid="{00000000-0005-0000-0000-000074060000}"/>
    <cellStyle name="강조색4 2 11" xfId="6821" xr:uid="{00000000-0005-0000-0000-000075060000}"/>
    <cellStyle name="강조색4 2 2" xfId="4426" xr:uid="{00000000-0005-0000-0000-000076060000}"/>
    <cellStyle name="강조색4 2 3" xfId="6272" xr:uid="{00000000-0005-0000-0000-000077060000}"/>
    <cellStyle name="강조색4 2 4" xfId="6519" xr:uid="{00000000-0005-0000-0000-000078060000}"/>
    <cellStyle name="강조색4 2 5" xfId="6249" xr:uid="{00000000-0005-0000-0000-000079060000}"/>
    <cellStyle name="강조색4 2 6" xfId="6545" xr:uid="{00000000-0005-0000-0000-00007A060000}"/>
    <cellStyle name="강조색4 2 7" xfId="6588" xr:uid="{00000000-0005-0000-0000-00007B060000}"/>
    <cellStyle name="강조색4 2 8" xfId="6695" xr:uid="{00000000-0005-0000-0000-00007C060000}"/>
    <cellStyle name="강조색4 2 9" xfId="6680" xr:uid="{00000000-0005-0000-0000-00007D060000}"/>
    <cellStyle name="강조색4 20" xfId="48899" xr:uid="{00000000-0005-0000-0000-00007E060000}"/>
    <cellStyle name="강조색4 21" xfId="48900" xr:uid="{00000000-0005-0000-0000-00007F060000}"/>
    <cellStyle name="강조색4 22" xfId="48901" xr:uid="{00000000-0005-0000-0000-000080060000}"/>
    <cellStyle name="강조색4 23" xfId="48902" xr:uid="{00000000-0005-0000-0000-000081060000}"/>
    <cellStyle name="강조색4 24" xfId="48903" xr:uid="{00000000-0005-0000-0000-000082060000}"/>
    <cellStyle name="강조색4 25" xfId="48904" xr:uid="{00000000-0005-0000-0000-000083060000}"/>
    <cellStyle name="강조색4 26" xfId="48905" xr:uid="{00000000-0005-0000-0000-000084060000}"/>
    <cellStyle name="강조색4 27" xfId="48906" xr:uid="{00000000-0005-0000-0000-000085060000}"/>
    <cellStyle name="강조색4 28" xfId="48907" xr:uid="{00000000-0005-0000-0000-000086060000}"/>
    <cellStyle name="강조색4 29" xfId="48908" xr:uid="{00000000-0005-0000-0000-000087060000}"/>
    <cellStyle name="강조색4 3" xfId="3964" xr:uid="{00000000-0005-0000-0000-000088060000}"/>
    <cellStyle name="강조색4 3 10" xfId="3405" xr:uid="{00000000-0005-0000-0000-000089060000}"/>
    <cellStyle name="강조색4 3 11" xfId="3120" xr:uid="{00000000-0005-0000-0000-00008A060000}"/>
    <cellStyle name="강조색4 3 2" xfId="2641" xr:uid="{00000000-0005-0000-0000-00008B060000}"/>
    <cellStyle name="강조색4 3 3" xfId="4093" xr:uid="{00000000-0005-0000-0000-00008C060000}"/>
    <cellStyle name="강조색4 3 4" xfId="3606" xr:uid="{00000000-0005-0000-0000-00008D060000}"/>
    <cellStyle name="강조색4 3 5" xfId="339" xr:uid="{00000000-0005-0000-0000-00008E060000}"/>
    <cellStyle name="강조색4 3 6" xfId="2648" xr:uid="{00000000-0005-0000-0000-00008F060000}"/>
    <cellStyle name="강조색4 3 7" xfId="3608" xr:uid="{00000000-0005-0000-0000-000090060000}"/>
    <cellStyle name="강조색4 3 8" xfId="3614" xr:uid="{00000000-0005-0000-0000-000091060000}"/>
    <cellStyle name="강조색4 3 9" xfId="3611" xr:uid="{00000000-0005-0000-0000-000092060000}"/>
    <cellStyle name="강조색4 30" xfId="48909" xr:uid="{00000000-0005-0000-0000-000093060000}"/>
    <cellStyle name="강조색4 31" xfId="48910" xr:uid="{00000000-0005-0000-0000-000094060000}"/>
    <cellStyle name="강조색4 32" xfId="48911" xr:uid="{00000000-0005-0000-0000-000095060000}"/>
    <cellStyle name="강조색4 33" xfId="48912" xr:uid="{00000000-0005-0000-0000-000096060000}"/>
    <cellStyle name="강조색4 4" xfId="4099" xr:uid="{00000000-0005-0000-0000-000097060000}"/>
    <cellStyle name="강조색4 4 10" xfId="3854" xr:uid="{00000000-0005-0000-0000-000098060000}"/>
    <cellStyle name="강조색4 4 11" xfId="348" xr:uid="{00000000-0005-0000-0000-000099060000}"/>
    <cellStyle name="강조색4 4 2" xfId="3007" xr:uid="{00000000-0005-0000-0000-00009A060000}"/>
    <cellStyle name="강조색4 4 3" xfId="3621" xr:uid="{00000000-0005-0000-0000-00009B060000}"/>
    <cellStyle name="강조색4 4 4" xfId="3127" xr:uid="{00000000-0005-0000-0000-00009C060000}"/>
    <cellStyle name="강조색4 4 5" xfId="3882" xr:uid="{00000000-0005-0000-0000-00009D060000}"/>
    <cellStyle name="강조색4 4 6" xfId="4107" xr:uid="{00000000-0005-0000-0000-00009E060000}"/>
    <cellStyle name="강조색4 4 7" xfId="4185" xr:uid="{00000000-0005-0000-0000-00009F060000}"/>
    <cellStyle name="강조색4 4 8" xfId="3254" xr:uid="{00000000-0005-0000-0000-0000A0060000}"/>
    <cellStyle name="강조색4 4 9" xfId="4119" xr:uid="{00000000-0005-0000-0000-0000A1060000}"/>
    <cellStyle name="강조색4 5" xfId="2614" xr:uid="{00000000-0005-0000-0000-0000A2060000}"/>
    <cellStyle name="강조색4 5 2" xfId="2855" xr:uid="{00000000-0005-0000-0000-0000A3060000}"/>
    <cellStyle name="강조색4 5 3" xfId="2851" xr:uid="{00000000-0005-0000-0000-0000A4060000}"/>
    <cellStyle name="강조색4 5 4" xfId="3096" xr:uid="{00000000-0005-0000-0000-0000A5060000}"/>
    <cellStyle name="강조색4 5 5" xfId="3341" xr:uid="{00000000-0005-0000-0000-0000A6060000}"/>
    <cellStyle name="강조색4 6" xfId="310" xr:uid="{00000000-0005-0000-0000-0000A7060000}"/>
    <cellStyle name="강조색4 6 2" xfId="369" xr:uid="{00000000-0005-0000-0000-0000A8060000}"/>
    <cellStyle name="강조색4 6 3" xfId="3588" xr:uid="{00000000-0005-0000-0000-0000A9060000}"/>
    <cellStyle name="강조색4 6 4" xfId="3107" xr:uid="{00000000-0005-0000-0000-0000AA060000}"/>
    <cellStyle name="강조색4 6 5" xfId="3830" xr:uid="{00000000-0005-0000-0000-0000AB060000}"/>
    <cellStyle name="강조색4 7" xfId="2736" xr:uid="{00000000-0005-0000-0000-0000AC060000}"/>
    <cellStyle name="강조색4 7 2" xfId="2557" xr:uid="{00000000-0005-0000-0000-0000AD060000}"/>
    <cellStyle name="강조색4 8" xfId="2625" xr:uid="{00000000-0005-0000-0000-0000AE060000}"/>
    <cellStyle name="강조색4 8 2" xfId="3281" xr:uid="{00000000-0005-0000-0000-0000AF060000}"/>
    <cellStyle name="강조색4 9" xfId="6696" xr:uid="{00000000-0005-0000-0000-0000B0060000}"/>
    <cellStyle name="강조색5 10" xfId="6677" xr:uid="{00000000-0005-0000-0000-0000B1060000}"/>
    <cellStyle name="강조색5 11" xfId="6746" xr:uid="{00000000-0005-0000-0000-0000B2060000}"/>
    <cellStyle name="강조색5 12" xfId="6818" xr:uid="{00000000-0005-0000-0000-0000B3060000}"/>
    <cellStyle name="강조색5 13" xfId="48913" xr:uid="{00000000-0005-0000-0000-0000B4060000}"/>
    <cellStyle name="강조색5 14" xfId="48914" xr:uid="{00000000-0005-0000-0000-0000B5060000}"/>
    <cellStyle name="강조색5 15" xfId="48915" xr:uid="{00000000-0005-0000-0000-0000B6060000}"/>
    <cellStyle name="강조색5 16" xfId="48916" xr:uid="{00000000-0005-0000-0000-0000B7060000}"/>
    <cellStyle name="강조색5 17" xfId="48917" xr:uid="{00000000-0005-0000-0000-0000B8060000}"/>
    <cellStyle name="강조색5 18" xfId="48918" xr:uid="{00000000-0005-0000-0000-0000B9060000}"/>
    <cellStyle name="강조색5 19" xfId="48919" xr:uid="{00000000-0005-0000-0000-0000BA060000}"/>
    <cellStyle name="강조색5 2" xfId="240" xr:uid="{00000000-0005-0000-0000-0000BB060000}"/>
    <cellStyle name="강조색5 2 10" xfId="6745" xr:uid="{00000000-0005-0000-0000-0000BC060000}"/>
    <cellStyle name="강조색5 2 11" xfId="6817" xr:uid="{00000000-0005-0000-0000-0000BD060000}"/>
    <cellStyle name="강조색5 2 2" xfId="4427" xr:uid="{00000000-0005-0000-0000-0000BE060000}"/>
    <cellStyle name="강조색5 2 3" xfId="6273" xr:uid="{00000000-0005-0000-0000-0000BF060000}"/>
    <cellStyle name="강조색5 2 4" xfId="6518" xr:uid="{00000000-0005-0000-0000-0000C0060000}"/>
    <cellStyle name="강조색5 2 5" xfId="6250" xr:uid="{00000000-0005-0000-0000-0000C1060000}"/>
    <cellStyle name="강조색5 2 6" xfId="6539" xr:uid="{00000000-0005-0000-0000-0000C2060000}"/>
    <cellStyle name="강조색5 2 7" xfId="6587" xr:uid="{00000000-0005-0000-0000-0000C3060000}"/>
    <cellStyle name="강조색5 2 8" xfId="6634" xr:uid="{00000000-0005-0000-0000-0000C4060000}"/>
    <cellStyle name="강조색5 2 9" xfId="6676" xr:uid="{00000000-0005-0000-0000-0000C5060000}"/>
    <cellStyle name="강조색5 20" xfId="48920" xr:uid="{00000000-0005-0000-0000-0000C6060000}"/>
    <cellStyle name="강조색5 21" xfId="48921" xr:uid="{00000000-0005-0000-0000-0000C7060000}"/>
    <cellStyle name="강조색5 22" xfId="48922" xr:uid="{00000000-0005-0000-0000-0000C8060000}"/>
    <cellStyle name="강조색5 23" xfId="48923" xr:uid="{00000000-0005-0000-0000-0000C9060000}"/>
    <cellStyle name="강조색5 24" xfId="48924" xr:uid="{00000000-0005-0000-0000-0000CA060000}"/>
    <cellStyle name="강조색5 25" xfId="48925" xr:uid="{00000000-0005-0000-0000-0000CB060000}"/>
    <cellStyle name="강조색5 26" xfId="48926" xr:uid="{00000000-0005-0000-0000-0000CC060000}"/>
    <cellStyle name="강조색5 27" xfId="48927" xr:uid="{00000000-0005-0000-0000-0000CD060000}"/>
    <cellStyle name="강조색5 28" xfId="48928" xr:uid="{00000000-0005-0000-0000-0000CE060000}"/>
    <cellStyle name="강조색5 29" xfId="48929" xr:uid="{00000000-0005-0000-0000-0000CF060000}"/>
    <cellStyle name="강조색5 3" xfId="359" xr:uid="{00000000-0005-0000-0000-0000D0060000}"/>
    <cellStyle name="강조색5 3 10" xfId="380" xr:uid="{00000000-0005-0000-0000-0000D1060000}"/>
    <cellStyle name="강조색5 3 11" xfId="3292" xr:uid="{00000000-0005-0000-0000-0000D2060000}"/>
    <cellStyle name="강조색5 3 2" xfId="3640" xr:uid="{00000000-0005-0000-0000-0000D3060000}"/>
    <cellStyle name="강조색5 3 3" xfId="3703" xr:uid="{00000000-0005-0000-0000-0000D4060000}"/>
    <cellStyle name="강조색5 3 4" xfId="3443" xr:uid="{00000000-0005-0000-0000-0000D5060000}"/>
    <cellStyle name="강조색5 3 5" xfId="3051" xr:uid="{00000000-0005-0000-0000-0000D6060000}"/>
    <cellStyle name="강조색5 3 6" xfId="2718" xr:uid="{00000000-0005-0000-0000-0000D7060000}"/>
    <cellStyle name="강조색5 3 7" xfId="3928" xr:uid="{00000000-0005-0000-0000-0000D8060000}"/>
    <cellStyle name="강조색5 3 8" xfId="3487" xr:uid="{00000000-0005-0000-0000-0000D9060000}"/>
    <cellStyle name="강조색5 3 9" xfId="3301" xr:uid="{00000000-0005-0000-0000-0000DA060000}"/>
    <cellStyle name="강조색5 30" xfId="48930" xr:uid="{00000000-0005-0000-0000-0000DB060000}"/>
    <cellStyle name="강조색5 31" xfId="48931" xr:uid="{00000000-0005-0000-0000-0000DC060000}"/>
    <cellStyle name="강조색5 32" xfId="48932" xr:uid="{00000000-0005-0000-0000-0000DD060000}"/>
    <cellStyle name="강조색5 33" xfId="48933" xr:uid="{00000000-0005-0000-0000-0000DE060000}"/>
    <cellStyle name="강조색5 4" xfId="2960" xr:uid="{00000000-0005-0000-0000-0000DF060000}"/>
    <cellStyle name="강조색5 4 10" xfId="3694" xr:uid="{00000000-0005-0000-0000-0000E0060000}"/>
    <cellStyle name="강조색5 4 11" xfId="3785" xr:uid="{00000000-0005-0000-0000-0000E1060000}"/>
    <cellStyle name="강조색5 4 2" xfId="3814" xr:uid="{00000000-0005-0000-0000-0000E2060000}"/>
    <cellStyle name="강조색5 4 3" xfId="4184" xr:uid="{00000000-0005-0000-0000-0000E3060000}"/>
    <cellStyle name="강조색5 4 4" xfId="3697" xr:uid="{00000000-0005-0000-0000-0000E4060000}"/>
    <cellStyle name="강조색5 4 5" xfId="4178" xr:uid="{00000000-0005-0000-0000-0000E5060000}"/>
    <cellStyle name="강조색5 4 6" xfId="4018" xr:uid="{00000000-0005-0000-0000-0000E6060000}"/>
    <cellStyle name="강조색5 4 7" xfId="3224" xr:uid="{00000000-0005-0000-0000-0000E7060000}"/>
    <cellStyle name="강조색5 4 8" xfId="371" xr:uid="{00000000-0005-0000-0000-0000E8060000}"/>
    <cellStyle name="강조색5 4 9" xfId="2823" xr:uid="{00000000-0005-0000-0000-0000E9060000}"/>
    <cellStyle name="강조색5 5" xfId="4133" xr:uid="{00000000-0005-0000-0000-0000EA060000}"/>
    <cellStyle name="강조색5 5 2" xfId="356" xr:uid="{00000000-0005-0000-0000-0000EB060000}"/>
    <cellStyle name="강조색5 5 3" xfId="3638" xr:uid="{00000000-0005-0000-0000-0000EC060000}"/>
    <cellStyle name="강조색5 5 4" xfId="3356" xr:uid="{00000000-0005-0000-0000-0000ED060000}"/>
    <cellStyle name="강조색5 5 5" xfId="3888" xr:uid="{00000000-0005-0000-0000-0000EE060000}"/>
    <cellStyle name="강조색5 6" xfId="3652" xr:uid="{00000000-0005-0000-0000-0000EF060000}"/>
    <cellStyle name="강조색5 6 2" xfId="3429" xr:uid="{00000000-0005-0000-0000-0000F0060000}"/>
    <cellStyle name="강조색5 6 3" xfId="3422" xr:uid="{00000000-0005-0000-0000-0000F1060000}"/>
    <cellStyle name="강조색5 6 4" xfId="3403" xr:uid="{00000000-0005-0000-0000-0000F2060000}"/>
    <cellStyle name="강조색5 6 5" xfId="2941" xr:uid="{00000000-0005-0000-0000-0000F3060000}"/>
    <cellStyle name="강조색5 7" xfId="4138" xr:uid="{00000000-0005-0000-0000-0000F4060000}"/>
    <cellStyle name="강조색5 7 2" xfId="4011" xr:uid="{00000000-0005-0000-0000-0000F5060000}"/>
    <cellStyle name="강조색5 8" xfId="3307" xr:uid="{00000000-0005-0000-0000-0000F6060000}"/>
    <cellStyle name="강조색5 8 2" xfId="2764" xr:uid="{00000000-0005-0000-0000-0000F7060000}"/>
    <cellStyle name="강조색5 9" xfId="6635" xr:uid="{00000000-0005-0000-0000-0000F8060000}"/>
    <cellStyle name="강조색6 10" xfId="6673" xr:uid="{00000000-0005-0000-0000-0000F9060000}"/>
    <cellStyle name="강조색6 11" xfId="6742" xr:uid="{00000000-0005-0000-0000-0000FA060000}"/>
    <cellStyle name="강조색6 12" xfId="6816" xr:uid="{00000000-0005-0000-0000-0000FB060000}"/>
    <cellStyle name="강조색6 13" xfId="48934" xr:uid="{00000000-0005-0000-0000-0000FC060000}"/>
    <cellStyle name="강조색6 14" xfId="48935" xr:uid="{00000000-0005-0000-0000-0000FD060000}"/>
    <cellStyle name="강조색6 15" xfId="48936" xr:uid="{00000000-0005-0000-0000-0000FE060000}"/>
    <cellStyle name="강조색6 16" xfId="48937" xr:uid="{00000000-0005-0000-0000-0000FF060000}"/>
    <cellStyle name="강조색6 17" xfId="48938" xr:uid="{00000000-0005-0000-0000-000000070000}"/>
    <cellStyle name="강조색6 18" xfId="48939" xr:uid="{00000000-0005-0000-0000-000001070000}"/>
    <cellStyle name="강조색6 19" xfId="48940" xr:uid="{00000000-0005-0000-0000-000002070000}"/>
    <cellStyle name="강조색6 2" xfId="241" xr:uid="{00000000-0005-0000-0000-000003070000}"/>
    <cellStyle name="강조색6 2 10" xfId="6741" xr:uid="{00000000-0005-0000-0000-000004070000}"/>
    <cellStyle name="강조색6 2 11" xfId="6813" xr:uid="{00000000-0005-0000-0000-000005070000}"/>
    <cellStyle name="강조색6 2 2" xfId="4428" xr:uid="{00000000-0005-0000-0000-000006070000}"/>
    <cellStyle name="강조색6 2 3" xfId="6274" xr:uid="{00000000-0005-0000-0000-000007070000}"/>
    <cellStyle name="강조색6 2 4" xfId="6517" xr:uid="{00000000-0005-0000-0000-000008070000}"/>
    <cellStyle name="강조색6 2 5" xfId="6252" xr:uid="{00000000-0005-0000-0000-000009070000}"/>
    <cellStyle name="강조색6 2 6" xfId="6535" xr:uid="{00000000-0005-0000-0000-00000A070000}"/>
    <cellStyle name="강조색6 2 7" xfId="6585" xr:uid="{00000000-0005-0000-0000-00000B070000}"/>
    <cellStyle name="강조색6 2 8" xfId="6631" xr:uid="{00000000-0005-0000-0000-00000C070000}"/>
    <cellStyle name="강조색6 2 9" xfId="6672" xr:uid="{00000000-0005-0000-0000-00000D070000}"/>
    <cellStyle name="강조색6 20" xfId="48941" xr:uid="{00000000-0005-0000-0000-00000E070000}"/>
    <cellStyle name="강조색6 21" xfId="48942" xr:uid="{00000000-0005-0000-0000-00000F070000}"/>
    <cellStyle name="강조색6 22" xfId="48943" xr:uid="{00000000-0005-0000-0000-000010070000}"/>
    <cellStyle name="강조색6 23" xfId="48944" xr:uid="{00000000-0005-0000-0000-000011070000}"/>
    <cellStyle name="강조색6 24" xfId="48945" xr:uid="{00000000-0005-0000-0000-000012070000}"/>
    <cellStyle name="강조색6 25" xfId="48946" xr:uid="{00000000-0005-0000-0000-000013070000}"/>
    <cellStyle name="강조색6 26" xfId="48947" xr:uid="{00000000-0005-0000-0000-000014070000}"/>
    <cellStyle name="강조색6 27" xfId="48948" xr:uid="{00000000-0005-0000-0000-000015070000}"/>
    <cellStyle name="강조색6 28" xfId="48949" xr:uid="{00000000-0005-0000-0000-000016070000}"/>
    <cellStyle name="강조색6 29" xfId="48950" xr:uid="{00000000-0005-0000-0000-000017070000}"/>
    <cellStyle name="강조색6 3" xfId="4078" xr:uid="{00000000-0005-0000-0000-000018070000}"/>
    <cellStyle name="강조색6 3 10" xfId="4175" xr:uid="{00000000-0005-0000-0000-000019070000}"/>
    <cellStyle name="강조색6 3 11" xfId="2898" xr:uid="{00000000-0005-0000-0000-00001A070000}"/>
    <cellStyle name="강조색6 3 2" xfId="4117" xr:uid="{00000000-0005-0000-0000-00001B070000}"/>
    <cellStyle name="강조색6 3 3" xfId="2425" xr:uid="{00000000-0005-0000-0000-00001C070000}"/>
    <cellStyle name="강조색6 3 4" xfId="3628" xr:uid="{00000000-0005-0000-0000-00001D070000}"/>
    <cellStyle name="강조색6 3 5" xfId="2569" xr:uid="{00000000-0005-0000-0000-00001E070000}"/>
    <cellStyle name="강조색6 3 6" xfId="2886" xr:uid="{00000000-0005-0000-0000-00001F070000}"/>
    <cellStyle name="강조색6 3 7" xfId="3656" xr:uid="{00000000-0005-0000-0000-000020070000}"/>
    <cellStyle name="강조색6 3 8" xfId="3998" xr:uid="{00000000-0005-0000-0000-000021070000}"/>
    <cellStyle name="강조색6 3 9" xfId="2459" xr:uid="{00000000-0005-0000-0000-000022070000}"/>
    <cellStyle name="강조색6 30" xfId="48951" xr:uid="{00000000-0005-0000-0000-000023070000}"/>
    <cellStyle name="강조색6 31" xfId="48952" xr:uid="{00000000-0005-0000-0000-000024070000}"/>
    <cellStyle name="강조색6 32" xfId="48953" xr:uid="{00000000-0005-0000-0000-000025070000}"/>
    <cellStyle name="강조색6 33" xfId="48954" xr:uid="{00000000-0005-0000-0000-000026070000}"/>
    <cellStyle name="강조색6 4" xfId="276" xr:uid="{00000000-0005-0000-0000-000027070000}"/>
    <cellStyle name="강조색6 4 10" xfId="2830" xr:uid="{00000000-0005-0000-0000-000028070000}"/>
    <cellStyle name="강조색6 4 11" xfId="2531" xr:uid="{00000000-0005-0000-0000-000029070000}"/>
    <cellStyle name="강조색6 4 2" xfId="3431" xr:uid="{00000000-0005-0000-0000-00002A070000}"/>
    <cellStyle name="강조색6 4 3" xfId="2488" xr:uid="{00000000-0005-0000-0000-00002B070000}"/>
    <cellStyle name="강조색6 4 4" xfId="3550" xr:uid="{00000000-0005-0000-0000-00002C070000}"/>
    <cellStyle name="강조색6 4 5" xfId="272" xr:uid="{00000000-0005-0000-0000-00002D070000}"/>
    <cellStyle name="강조색6 4 6" xfId="3913" xr:uid="{00000000-0005-0000-0000-00002E070000}"/>
    <cellStyle name="강조색6 4 7" xfId="3340" xr:uid="{00000000-0005-0000-0000-00002F070000}"/>
    <cellStyle name="강조색6 4 7 2" xfId="49732" xr:uid="{00000000-0005-0000-0000-000030070000}"/>
    <cellStyle name="강조색6 4 8" xfId="4168" xr:uid="{00000000-0005-0000-0000-000031070000}"/>
    <cellStyle name="강조색6 4 9" xfId="2714" xr:uid="{00000000-0005-0000-0000-000032070000}"/>
    <cellStyle name="강조색6 5" xfId="2455" xr:uid="{00000000-0005-0000-0000-000033070000}"/>
    <cellStyle name="강조색6 5 2" xfId="2727" xr:uid="{00000000-0005-0000-0000-000034070000}"/>
    <cellStyle name="강조색6 5 3" xfId="3265" xr:uid="{00000000-0005-0000-0000-000035070000}"/>
    <cellStyle name="강조색6 5 4" xfId="4050" xr:uid="{00000000-0005-0000-0000-000036070000}"/>
    <cellStyle name="강조색6 5 5" xfId="4205" xr:uid="{00000000-0005-0000-0000-000037070000}"/>
    <cellStyle name="강조색6 6" xfId="3069" xr:uid="{00000000-0005-0000-0000-000038070000}"/>
    <cellStyle name="강조색6 6 2" xfId="3434" xr:uid="{00000000-0005-0000-0000-000039070000}"/>
    <cellStyle name="강조색6 6 3" xfId="3746" xr:uid="{00000000-0005-0000-0000-00003A070000}"/>
    <cellStyle name="강조색6 6 4" xfId="2926" xr:uid="{00000000-0005-0000-0000-00003B070000}"/>
    <cellStyle name="강조색6 6 5" xfId="2465" xr:uid="{00000000-0005-0000-0000-00003C070000}"/>
    <cellStyle name="강조색6 7" xfId="4238" xr:uid="{00000000-0005-0000-0000-00003D070000}"/>
    <cellStyle name="강조색6 7 2" xfId="2897" xr:uid="{00000000-0005-0000-0000-00003E070000}"/>
    <cellStyle name="강조색6 8" xfId="2702" xr:uid="{00000000-0005-0000-0000-00003F070000}"/>
    <cellStyle name="강조색6 8 2" xfId="2508" xr:uid="{00000000-0005-0000-0000-000040070000}"/>
    <cellStyle name="강조색6 9" xfId="6632" xr:uid="{00000000-0005-0000-0000-000041070000}"/>
    <cellStyle name="경고문 10" xfId="6666" xr:uid="{00000000-0005-0000-0000-000042070000}"/>
    <cellStyle name="경고문 11" xfId="6733" xr:uid="{00000000-0005-0000-0000-000043070000}"/>
    <cellStyle name="경고문 12" xfId="6812" xr:uid="{00000000-0005-0000-0000-000044070000}"/>
    <cellStyle name="경고문 13" xfId="48955" xr:uid="{00000000-0005-0000-0000-000045070000}"/>
    <cellStyle name="경고문 14" xfId="48956" xr:uid="{00000000-0005-0000-0000-000046070000}"/>
    <cellStyle name="경고문 15" xfId="48957" xr:uid="{00000000-0005-0000-0000-000047070000}"/>
    <cellStyle name="경고문 16" xfId="48958" xr:uid="{00000000-0005-0000-0000-000048070000}"/>
    <cellStyle name="경고문 17" xfId="48959" xr:uid="{00000000-0005-0000-0000-000049070000}"/>
    <cellStyle name="경고문 18" xfId="48960" xr:uid="{00000000-0005-0000-0000-00004A070000}"/>
    <cellStyle name="경고문 19" xfId="48961" xr:uid="{00000000-0005-0000-0000-00004B070000}"/>
    <cellStyle name="경고문 2" xfId="242" xr:uid="{00000000-0005-0000-0000-00004C070000}"/>
    <cellStyle name="경고문 2 10" xfId="6730" xr:uid="{00000000-0005-0000-0000-00004D070000}"/>
    <cellStyle name="경고문 2 11" xfId="6811" xr:uid="{00000000-0005-0000-0000-00004E070000}"/>
    <cellStyle name="경고문 2 2" xfId="4429" xr:uid="{00000000-0005-0000-0000-00004F070000}"/>
    <cellStyle name="경고문 2 3" xfId="6275" xr:uid="{00000000-0005-0000-0000-000050070000}"/>
    <cellStyle name="경고문 2 4" xfId="6516" xr:uid="{00000000-0005-0000-0000-000051070000}"/>
    <cellStyle name="경고문 2 5" xfId="6254" xr:uid="{00000000-0005-0000-0000-000052070000}"/>
    <cellStyle name="경고문 2 6" xfId="6534" xr:uid="{00000000-0005-0000-0000-000053070000}"/>
    <cellStyle name="경고문 2 7" xfId="6583" xr:uid="{00000000-0005-0000-0000-000054070000}"/>
    <cellStyle name="경고문 2 8" xfId="6628" xr:uid="{00000000-0005-0000-0000-000055070000}"/>
    <cellStyle name="경고문 2 9" xfId="6661" xr:uid="{00000000-0005-0000-0000-000056070000}"/>
    <cellStyle name="경고문 20" xfId="48962" xr:uid="{00000000-0005-0000-0000-000057070000}"/>
    <cellStyle name="경고문 21" xfId="48963" xr:uid="{00000000-0005-0000-0000-000058070000}"/>
    <cellStyle name="경고문 22" xfId="48964" xr:uid="{00000000-0005-0000-0000-000059070000}"/>
    <cellStyle name="경고문 23" xfId="48965" xr:uid="{00000000-0005-0000-0000-00005A070000}"/>
    <cellStyle name="경고문 24" xfId="48966" xr:uid="{00000000-0005-0000-0000-00005B070000}"/>
    <cellStyle name="경고문 25" xfId="48967" xr:uid="{00000000-0005-0000-0000-00005C070000}"/>
    <cellStyle name="경고문 26" xfId="48968" xr:uid="{00000000-0005-0000-0000-00005D070000}"/>
    <cellStyle name="경고문 27" xfId="48969" xr:uid="{00000000-0005-0000-0000-00005E070000}"/>
    <cellStyle name="경고문 28" xfId="48970" xr:uid="{00000000-0005-0000-0000-00005F070000}"/>
    <cellStyle name="경고문 29" xfId="48971" xr:uid="{00000000-0005-0000-0000-000060070000}"/>
    <cellStyle name="경고문 3" xfId="2931" xr:uid="{00000000-0005-0000-0000-000061070000}"/>
    <cellStyle name="경고문 3 10" xfId="3232" xr:uid="{00000000-0005-0000-0000-000062070000}"/>
    <cellStyle name="경고문 3 11" xfId="4174" xr:uid="{00000000-0005-0000-0000-000063070000}"/>
    <cellStyle name="경고문 3 2" xfId="2665" xr:uid="{00000000-0005-0000-0000-000064070000}"/>
    <cellStyle name="경고문 3 3" xfId="4152" xr:uid="{00000000-0005-0000-0000-000065070000}"/>
    <cellStyle name="경고문 3 4" xfId="3665" xr:uid="{00000000-0005-0000-0000-000066070000}"/>
    <cellStyle name="경고문 3 5" xfId="3172" xr:uid="{00000000-0005-0000-0000-000067070000}"/>
    <cellStyle name="경고문 3 6" xfId="3547" xr:uid="{00000000-0005-0000-0000-000068070000}"/>
    <cellStyle name="경고문 3 7" xfId="340" xr:uid="{00000000-0005-0000-0000-000069070000}"/>
    <cellStyle name="경고문 3 8" xfId="4206" xr:uid="{00000000-0005-0000-0000-00006A070000}"/>
    <cellStyle name="경고문 3 9" xfId="4038" xr:uid="{00000000-0005-0000-0000-00006B070000}"/>
    <cellStyle name="경고문 30" xfId="48972" xr:uid="{00000000-0005-0000-0000-00006C070000}"/>
    <cellStyle name="경고문 31" xfId="48973" xr:uid="{00000000-0005-0000-0000-00006D070000}"/>
    <cellStyle name="경고문 32" xfId="48974" xr:uid="{00000000-0005-0000-0000-00006E070000}"/>
    <cellStyle name="경고문 33" xfId="48975" xr:uid="{00000000-0005-0000-0000-00006F070000}"/>
    <cellStyle name="경고문 4" xfId="2634" xr:uid="{00000000-0005-0000-0000-000070070000}"/>
    <cellStyle name="경고문 4 10" xfId="2987" xr:uid="{00000000-0005-0000-0000-000071070000}"/>
    <cellStyle name="경고문 4 11" xfId="3015" xr:uid="{00000000-0005-0000-0000-000072070000}"/>
    <cellStyle name="경고문 4 2" xfId="2711" xr:uid="{00000000-0005-0000-0000-000073070000}"/>
    <cellStyle name="경고문 4 3" xfId="3910" xr:uid="{00000000-0005-0000-0000-000074070000}"/>
    <cellStyle name="경고문 4 4" xfId="3417" xr:uid="{00000000-0005-0000-0000-000075070000}"/>
    <cellStyle name="경고문 4 5" xfId="2936" xr:uid="{00000000-0005-0000-0000-000076070000}"/>
    <cellStyle name="경고문 4 6" xfId="2853" xr:uid="{00000000-0005-0000-0000-000077070000}"/>
    <cellStyle name="경고문 4 7" xfId="3425" xr:uid="{00000000-0005-0000-0000-000078070000}"/>
    <cellStyle name="경고문 4 8" xfId="2932" xr:uid="{00000000-0005-0000-0000-000079070000}"/>
    <cellStyle name="경고문 4 9" xfId="2759" xr:uid="{00000000-0005-0000-0000-00007A070000}"/>
    <cellStyle name="경고문 5" xfId="3477" xr:uid="{00000000-0005-0000-0000-00007B070000}"/>
    <cellStyle name="경고문 5 2" xfId="3619" xr:uid="{00000000-0005-0000-0000-00007C070000}"/>
    <cellStyle name="경고문 5 3" xfId="373" xr:uid="{00000000-0005-0000-0000-00007D070000}"/>
    <cellStyle name="경고문 5 4" xfId="4221" xr:uid="{00000000-0005-0000-0000-00007E070000}"/>
    <cellStyle name="경고문 5 5" xfId="3152" xr:uid="{00000000-0005-0000-0000-00007F070000}"/>
    <cellStyle name="경고문 6" xfId="381" xr:uid="{00000000-0005-0000-0000-000080070000}"/>
    <cellStyle name="경고문 6 2" xfId="3005" xr:uid="{00000000-0005-0000-0000-000081070000}"/>
    <cellStyle name="경고문 6 3" xfId="378" xr:uid="{00000000-0005-0000-0000-000082070000}"/>
    <cellStyle name="경고문 6 4" xfId="4254" xr:uid="{00000000-0005-0000-0000-000083070000}"/>
    <cellStyle name="경고문 6 5" xfId="2772" xr:uid="{00000000-0005-0000-0000-000084070000}"/>
    <cellStyle name="경고문 7" xfId="3917" xr:uid="{00000000-0005-0000-0000-000085070000}"/>
    <cellStyle name="경고문 7 2" xfId="4212" xr:uid="{00000000-0005-0000-0000-000086070000}"/>
    <cellStyle name="경고문 8" xfId="2771" xr:uid="{00000000-0005-0000-0000-000087070000}"/>
    <cellStyle name="경고문 8 2" xfId="2533" xr:uid="{00000000-0005-0000-0000-000088070000}"/>
    <cellStyle name="경고문 9" xfId="6630" xr:uid="{00000000-0005-0000-0000-000089070000}"/>
    <cellStyle name="계산 10" xfId="6657" xr:uid="{00000000-0005-0000-0000-00008A070000}"/>
    <cellStyle name="계산 11" xfId="6729" xr:uid="{00000000-0005-0000-0000-00008B070000}"/>
    <cellStyle name="계산 12" xfId="6808" xr:uid="{00000000-0005-0000-0000-00008C070000}"/>
    <cellStyle name="계산 13" xfId="48976" xr:uid="{00000000-0005-0000-0000-00008D070000}"/>
    <cellStyle name="계산 14" xfId="48977" xr:uid="{00000000-0005-0000-0000-00008E070000}"/>
    <cellStyle name="계산 15" xfId="48978" xr:uid="{00000000-0005-0000-0000-00008F070000}"/>
    <cellStyle name="계산 16" xfId="48979" xr:uid="{00000000-0005-0000-0000-000090070000}"/>
    <cellStyle name="계산 17" xfId="48980" xr:uid="{00000000-0005-0000-0000-000091070000}"/>
    <cellStyle name="계산 18" xfId="48981" xr:uid="{00000000-0005-0000-0000-000092070000}"/>
    <cellStyle name="계산 19" xfId="48982" xr:uid="{00000000-0005-0000-0000-000093070000}"/>
    <cellStyle name="계산 2" xfId="243" xr:uid="{00000000-0005-0000-0000-000094070000}"/>
    <cellStyle name="계산 2 10" xfId="4431" xr:uid="{00000000-0005-0000-0000-000095070000}"/>
    <cellStyle name="계산 2 10 2" xfId="4432" xr:uid="{00000000-0005-0000-0000-000096070000}"/>
    <cellStyle name="계산 2 11" xfId="4433" xr:uid="{00000000-0005-0000-0000-000097070000}"/>
    <cellStyle name="계산 2 11 2" xfId="4434" xr:uid="{00000000-0005-0000-0000-000098070000}"/>
    <cellStyle name="계산 2 12" xfId="4435" xr:uid="{00000000-0005-0000-0000-000099070000}"/>
    <cellStyle name="계산 2 12 2" xfId="4436" xr:uid="{00000000-0005-0000-0000-00009A070000}"/>
    <cellStyle name="계산 2 13" xfId="4437" xr:uid="{00000000-0005-0000-0000-00009B070000}"/>
    <cellStyle name="계산 2 13 2" xfId="4438" xr:uid="{00000000-0005-0000-0000-00009C070000}"/>
    <cellStyle name="계산 2 14" xfId="4439" xr:uid="{00000000-0005-0000-0000-00009D070000}"/>
    <cellStyle name="계산 2 14 2" xfId="4440" xr:uid="{00000000-0005-0000-0000-00009E070000}"/>
    <cellStyle name="계산 2 15" xfId="4441" xr:uid="{00000000-0005-0000-0000-00009F070000}"/>
    <cellStyle name="계산 2 15 2" xfId="4442" xr:uid="{00000000-0005-0000-0000-0000A0070000}"/>
    <cellStyle name="계산 2 16" xfId="4443" xr:uid="{00000000-0005-0000-0000-0000A1070000}"/>
    <cellStyle name="계산 2 16 2" xfId="4444" xr:uid="{00000000-0005-0000-0000-0000A2070000}"/>
    <cellStyle name="계산 2 17" xfId="4445" xr:uid="{00000000-0005-0000-0000-0000A3070000}"/>
    <cellStyle name="계산 2 17 2" xfId="4446" xr:uid="{00000000-0005-0000-0000-0000A4070000}"/>
    <cellStyle name="계산 2 18" xfId="4447" xr:uid="{00000000-0005-0000-0000-0000A5070000}"/>
    <cellStyle name="계산 2 18 2" xfId="4448" xr:uid="{00000000-0005-0000-0000-0000A6070000}"/>
    <cellStyle name="계산 2 19" xfId="4449" xr:uid="{00000000-0005-0000-0000-0000A7070000}"/>
    <cellStyle name="계산 2 19 2" xfId="4450" xr:uid="{00000000-0005-0000-0000-0000A8070000}"/>
    <cellStyle name="계산 2 2" xfId="4430" xr:uid="{00000000-0005-0000-0000-0000A9070000}"/>
    <cellStyle name="계산 2 2 10" xfId="4452" xr:uid="{00000000-0005-0000-0000-0000AA070000}"/>
    <cellStyle name="계산 2 2 10 2" xfId="4453" xr:uid="{00000000-0005-0000-0000-0000AB070000}"/>
    <cellStyle name="계산 2 2 11" xfId="4454" xr:uid="{00000000-0005-0000-0000-0000AC070000}"/>
    <cellStyle name="계산 2 2 11 2" xfId="4455" xr:uid="{00000000-0005-0000-0000-0000AD070000}"/>
    <cellStyle name="계산 2 2 12" xfId="4456" xr:uid="{00000000-0005-0000-0000-0000AE070000}"/>
    <cellStyle name="계산 2 2 12 2" xfId="4457" xr:uid="{00000000-0005-0000-0000-0000AF070000}"/>
    <cellStyle name="계산 2 2 13" xfId="4458" xr:uid="{00000000-0005-0000-0000-0000B0070000}"/>
    <cellStyle name="계산 2 2 13 2" xfId="4459" xr:uid="{00000000-0005-0000-0000-0000B1070000}"/>
    <cellStyle name="계산 2 2 14" xfId="4460" xr:uid="{00000000-0005-0000-0000-0000B2070000}"/>
    <cellStyle name="계산 2 2 14 2" xfId="4461" xr:uid="{00000000-0005-0000-0000-0000B3070000}"/>
    <cellStyle name="계산 2 2 15" xfId="4462" xr:uid="{00000000-0005-0000-0000-0000B4070000}"/>
    <cellStyle name="계산 2 2 15 2" xfId="4463" xr:uid="{00000000-0005-0000-0000-0000B5070000}"/>
    <cellStyle name="계산 2 2 16" xfId="4464" xr:uid="{00000000-0005-0000-0000-0000B6070000}"/>
    <cellStyle name="계산 2 2 16 2" xfId="4465" xr:uid="{00000000-0005-0000-0000-0000B7070000}"/>
    <cellStyle name="계산 2 2 17" xfId="4466" xr:uid="{00000000-0005-0000-0000-0000B8070000}"/>
    <cellStyle name="계산 2 2 17 2" xfId="4467" xr:uid="{00000000-0005-0000-0000-0000B9070000}"/>
    <cellStyle name="계산 2 2 18" xfId="4468" xr:uid="{00000000-0005-0000-0000-0000BA070000}"/>
    <cellStyle name="계산 2 2 18 2" xfId="4469" xr:uid="{00000000-0005-0000-0000-0000BB070000}"/>
    <cellStyle name="계산 2 2 19" xfId="4470" xr:uid="{00000000-0005-0000-0000-0000BC070000}"/>
    <cellStyle name="계산 2 2 19 2" xfId="4471" xr:uid="{00000000-0005-0000-0000-0000BD070000}"/>
    <cellStyle name="계산 2 2 2" xfId="4472" xr:uid="{00000000-0005-0000-0000-0000BE070000}"/>
    <cellStyle name="계산 2 2 2 10" xfId="4473" xr:uid="{00000000-0005-0000-0000-0000BF070000}"/>
    <cellStyle name="계산 2 2 2 10 2" xfId="4474" xr:uid="{00000000-0005-0000-0000-0000C0070000}"/>
    <cellStyle name="계산 2 2 2 11" xfId="4475" xr:uid="{00000000-0005-0000-0000-0000C1070000}"/>
    <cellStyle name="계산 2 2 2 11 2" xfId="4476" xr:uid="{00000000-0005-0000-0000-0000C2070000}"/>
    <cellStyle name="계산 2 2 2 12" xfId="4477" xr:uid="{00000000-0005-0000-0000-0000C3070000}"/>
    <cellStyle name="계산 2 2 2 12 2" xfId="4478" xr:uid="{00000000-0005-0000-0000-0000C4070000}"/>
    <cellStyle name="계산 2 2 2 13" xfId="4479" xr:uid="{00000000-0005-0000-0000-0000C5070000}"/>
    <cellStyle name="계산 2 2 2 13 2" xfId="4480" xr:uid="{00000000-0005-0000-0000-0000C6070000}"/>
    <cellStyle name="계산 2 2 2 14" xfId="4481" xr:uid="{00000000-0005-0000-0000-0000C7070000}"/>
    <cellStyle name="계산 2 2 2 14 2" xfId="4482" xr:uid="{00000000-0005-0000-0000-0000C8070000}"/>
    <cellStyle name="계산 2 2 2 15" xfId="4483" xr:uid="{00000000-0005-0000-0000-0000C9070000}"/>
    <cellStyle name="계산 2 2 2 15 2" xfId="4484" xr:uid="{00000000-0005-0000-0000-0000CA070000}"/>
    <cellStyle name="계산 2 2 2 16" xfId="4485" xr:uid="{00000000-0005-0000-0000-0000CB070000}"/>
    <cellStyle name="계산 2 2 2 16 2" xfId="4486" xr:uid="{00000000-0005-0000-0000-0000CC070000}"/>
    <cellStyle name="계산 2 2 2 17" xfId="4487" xr:uid="{00000000-0005-0000-0000-0000CD070000}"/>
    <cellStyle name="계산 2 2 2 17 2" xfId="4488" xr:uid="{00000000-0005-0000-0000-0000CE070000}"/>
    <cellStyle name="계산 2 2 2 18" xfId="4489" xr:uid="{00000000-0005-0000-0000-0000CF070000}"/>
    <cellStyle name="계산 2 2 2 18 2" xfId="4490" xr:uid="{00000000-0005-0000-0000-0000D0070000}"/>
    <cellStyle name="계산 2 2 2 19" xfId="4491" xr:uid="{00000000-0005-0000-0000-0000D1070000}"/>
    <cellStyle name="계산 2 2 2 19 2" xfId="4492" xr:uid="{00000000-0005-0000-0000-0000D2070000}"/>
    <cellStyle name="계산 2 2 2 2" xfId="4493" xr:uid="{00000000-0005-0000-0000-0000D3070000}"/>
    <cellStyle name="계산 2 2 2 2 10" xfId="4494" xr:uid="{00000000-0005-0000-0000-0000D4070000}"/>
    <cellStyle name="계산 2 2 2 2 10 2" xfId="4495" xr:uid="{00000000-0005-0000-0000-0000D5070000}"/>
    <cellStyle name="계산 2 2 2 2 11" xfId="4496" xr:uid="{00000000-0005-0000-0000-0000D6070000}"/>
    <cellStyle name="계산 2 2 2 2 11 2" xfId="4497" xr:uid="{00000000-0005-0000-0000-0000D7070000}"/>
    <cellStyle name="계산 2 2 2 2 12" xfId="4498" xr:uid="{00000000-0005-0000-0000-0000D8070000}"/>
    <cellStyle name="계산 2 2 2 2 12 2" xfId="4499" xr:uid="{00000000-0005-0000-0000-0000D9070000}"/>
    <cellStyle name="계산 2 2 2 2 13" xfId="4500" xr:uid="{00000000-0005-0000-0000-0000DA070000}"/>
    <cellStyle name="계산 2 2 2 2 13 2" xfId="4501" xr:uid="{00000000-0005-0000-0000-0000DB070000}"/>
    <cellStyle name="계산 2 2 2 2 14" xfId="4502" xr:uid="{00000000-0005-0000-0000-0000DC070000}"/>
    <cellStyle name="계산 2 2 2 2 14 2" xfId="4503" xr:uid="{00000000-0005-0000-0000-0000DD070000}"/>
    <cellStyle name="계산 2 2 2 2 15" xfId="4504" xr:uid="{00000000-0005-0000-0000-0000DE070000}"/>
    <cellStyle name="계산 2 2 2 2 15 2" xfId="4505" xr:uid="{00000000-0005-0000-0000-0000DF070000}"/>
    <cellStyle name="계산 2 2 2 2 16" xfId="4506" xr:uid="{00000000-0005-0000-0000-0000E0070000}"/>
    <cellStyle name="계산 2 2 2 2 16 2" xfId="4507" xr:uid="{00000000-0005-0000-0000-0000E1070000}"/>
    <cellStyle name="계산 2 2 2 2 17" xfId="4508" xr:uid="{00000000-0005-0000-0000-0000E2070000}"/>
    <cellStyle name="계산 2 2 2 2 17 2" xfId="4509" xr:uid="{00000000-0005-0000-0000-0000E3070000}"/>
    <cellStyle name="계산 2 2 2 2 18" xfId="4510" xr:uid="{00000000-0005-0000-0000-0000E4070000}"/>
    <cellStyle name="계산 2 2 2 2 18 2" xfId="4511" xr:uid="{00000000-0005-0000-0000-0000E5070000}"/>
    <cellStyle name="계산 2 2 2 2 19" xfId="4512" xr:uid="{00000000-0005-0000-0000-0000E6070000}"/>
    <cellStyle name="계산 2 2 2 2 19 2" xfId="4513" xr:uid="{00000000-0005-0000-0000-0000E7070000}"/>
    <cellStyle name="계산 2 2 2 2 2" xfId="4514" xr:uid="{00000000-0005-0000-0000-0000E8070000}"/>
    <cellStyle name="계산 2 2 2 2 2 2" xfId="4515" xr:uid="{00000000-0005-0000-0000-0000E9070000}"/>
    <cellStyle name="계산 2 2 2 2 20" xfId="4516" xr:uid="{00000000-0005-0000-0000-0000EA070000}"/>
    <cellStyle name="계산 2 2 2 2 3" xfId="4517" xr:uid="{00000000-0005-0000-0000-0000EB070000}"/>
    <cellStyle name="계산 2 2 2 2 3 2" xfId="4518" xr:uid="{00000000-0005-0000-0000-0000EC070000}"/>
    <cellStyle name="계산 2 2 2 2 4" xfId="4519" xr:uid="{00000000-0005-0000-0000-0000ED070000}"/>
    <cellStyle name="계산 2 2 2 2 4 2" xfId="4520" xr:uid="{00000000-0005-0000-0000-0000EE070000}"/>
    <cellStyle name="계산 2 2 2 2 5" xfId="4521" xr:uid="{00000000-0005-0000-0000-0000EF070000}"/>
    <cellStyle name="계산 2 2 2 2 5 2" xfId="4522" xr:uid="{00000000-0005-0000-0000-0000F0070000}"/>
    <cellStyle name="계산 2 2 2 2 6" xfId="4523" xr:uid="{00000000-0005-0000-0000-0000F1070000}"/>
    <cellStyle name="계산 2 2 2 2 6 2" xfId="4524" xr:uid="{00000000-0005-0000-0000-0000F2070000}"/>
    <cellStyle name="계산 2 2 2 2 7" xfId="4525" xr:uid="{00000000-0005-0000-0000-0000F3070000}"/>
    <cellStyle name="계산 2 2 2 2 7 2" xfId="4526" xr:uid="{00000000-0005-0000-0000-0000F4070000}"/>
    <cellStyle name="계산 2 2 2 2 8" xfId="4527" xr:uid="{00000000-0005-0000-0000-0000F5070000}"/>
    <cellStyle name="계산 2 2 2 2 8 2" xfId="4528" xr:uid="{00000000-0005-0000-0000-0000F6070000}"/>
    <cellStyle name="계산 2 2 2 2 9" xfId="4529" xr:uid="{00000000-0005-0000-0000-0000F7070000}"/>
    <cellStyle name="계산 2 2 2 2 9 2" xfId="4530" xr:uid="{00000000-0005-0000-0000-0000F8070000}"/>
    <cellStyle name="계산 2 2 2 20" xfId="4531" xr:uid="{00000000-0005-0000-0000-0000F9070000}"/>
    <cellStyle name="계산 2 2 2 20 2" xfId="4532" xr:uid="{00000000-0005-0000-0000-0000FA070000}"/>
    <cellStyle name="계산 2 2 2 21" xfId="4533" xr:uid="{00000000-0005-0000-0000-0000FB070000}"/>
    <cellStyle name="계산 2 2 2 3" xfId="4534" xr:uid="{00000000-0005-0000-0000-0000FC070000}"/>
    <cellStyle name="계산 2 2 2 3 2" xfId="4535" xr:uid="{00000000-0005-0000-0000-0000FD070000}"/>
    <cellStyle name="계산 2 2 2 4" xfId="4536" xr:uid="{00000000-0005-0000-0000-0000FE070000}"/>
    <cellStyle name="계산 2 2 2 4 2" xfId="4537" xr:uid="{00000000-0005-0000-0000-0000FF070000}"/>
    <cellStyle name="계산 2 2 2 5" xfId="4538" xr:uid="{00000000-0005-0000-0000-000000080000}"/>
    <cellStyle name="계산 2 2 2 5 2" xfId="4539" xr:uid="{00000000-0005-0000-0000-000001080000}"/>
    <cellStyle name="계산 2 2 2 6" xfId="4540" xr:uid="{00000000-0005-0000-0000-000002080000}"/>
    <cellStyle name="계산 2 2 2 6 2" xfId="4541" xr:uid="{00000000-0005-0000-0000-000003080000}"/>
    <cellStyle name="계산 2 2 2 7" xfId="4542" xr:uid="{00000000-0005-0000-0000-000004080000}"/>
    <cellStyle name="계산 2 2 2 7 2" xfId="4543" xr:uid="{00000000-0005-0000-0000-000005080000}"/>
    <cellStyle name="계산 2 2 2 8" xfId="4544" xr:uid="{00000000-0005-0000-0000-000006080000}"/>
    <cellStyle name="계산 2 2 2 8 2" xfId="4545" xr:uid="{00000000-0005-0000-0000-000007080000}"/>
    <cellStyle name="계산 2 2 2 9" xfId="4546" xr:uid="{00000000-0005-0000-0000-000008080000}"/>
    <cellStyle name="계산 2 2 2 9 2" xfId="4547" xr:uid="{00000000-0005-0000-0000-000009080000}"/>
    <cellStyle name="계산 2 2 20" xfId="4548" xr:uid="{00000000-0005-0000-0000-00000A080000}"/>
    <cellStyle name="계산 2 2 20 2" xfId="4549" xr:uid="{00000000-0005-0000-0000-00000B080000}"/>
    <cellStyle name="계산 2 2 21" xfId="4550" xr:uid="{00000000-0005-0000-0000-00000C080000}"/>
    <cellStyle name="계산 2 2 21 2" xfId="4551" xr:uid="{00000000-0005-0000-0000-00000D080000}"/>
    <cellStyle name="계산 2 2 22" xfId="4552" xr:uid="{00000000-0005-0000-0000-00000E080000}"/>
    <cellStyle name="계산 2 2 22 2" xfId="4553" xr:uid="{00000000-0005-0000-0000-00000F080000}"/>
    <cellStyle name="계산 2 2 23" xfId="4554" xr:uid="{00000000-0005-0000-0000-000010080000}"/>
    <cellStyle name="계산 2 2 23 2" xfId="4555" xr:uid="{00000000-0005-0000-0000-000011080000}"/>
    <cellStyle name="계산 2 2 24" xfId="4556" xr:uid="{00000000-0005-0000-0000-000012080000}"/>
    <cellStyle name="계산 2 2 3" xfId="4557" xr:uid="{00000000-0005-0000-0000-000013080000}"/>
    <cellStyle name="계산 2 2 3 10" xfId="4558" xr:uid="{00000000-0005-0000-0000-000014080000}"/>
    <cellStyle name="계산 2 2 3 10 2" xfId="4559" xr:uid="{00000000-0005-0000-0000-000015080000}"/>
    <cellStyle name="계산 2 2 3 11" xfId="4560" xr:uid="{00000000-0005-0000-0000-000016080000}"/>
    <cellStyle name="계산 2 2 3 11 2" xfId="4561" xr:uid="{00000000-0005-0000-0000-000017080000}"/>
    <cellStyle name="계산 2 2 3 12" xfId="4562" xr:uid="{00000000-0005-0000-0000-000018080000}"/>
    <cellStyle name="계산 2 2 3 12 2" xfId="4563" xr:uid="{00000000-0005-0000-0000-000019080000}"/>
    <cellStyle name="계산 2 2 3 13" xfId="4564" xr:uid="{00000000-0005-0000-0000-00001A080000}"/>
    <cellStyle name="계산 2 2 3 13 2" xfId="4565" xr:uid="{00000000-0005-0000-0000-00001B080000}"/>
    <cellStyle name="계산 2 2 3 14" xfId="4566" xr:uid="{00000000-0005-0000-0000-00001C080000}"/>
    <cellStyle name="계산 2 2 3 14 2" xfId="4567" xr:uid="{00000000-0005-0000-0000-00001D080000}"/>
    <cellStyle name="계산 2 2 3 15" xfId="4568" xr:uid="{00000000-0005-0000-0000-00001E080000}"/>
    <cellStyle name="계산 2 2 3 15 2" xfId="4569" xr:uid="{00000000-0005-0000-0000-00001F080000}"/>
    <cellStyle name="계산 2 2 3 16" xfId="4570" xr:uid="{00000000-0005-0000-0000-000020080000}"/>
    <cellStyle name="계산 2 2 3 16 2" xfId="4571" xr:uid="{00000000-0005-0000-0000-000021080000}"/>
    <cellStyle name="계산 2 2 3 17" xfId="4572" xr:uid="{00000000-0005-0000-0000-000022080000}"/>
    <cellStyle name="계산 2 2 3 17 2" xfId="4573" xr:uid="{00000000-0005-0000-0000-000023080000}"/>
    <cellStyle name="계산 2 2 3 18" xfId="4574" xr:uid="{00000000-0005-0000-0000-000024080000}"/>
    <cellStyle name="계산 2 2 3 18 2" xfId="4575" xr:uid="{00000000-0005-0000-0000-000025080000}"/>
    <cellStyle name="계산 2 2 3 19" xfId="4576" xr:uid="{00000000-0005-0000-0000-000026080000}"/>
    <cellStyle name="계산 2 2 3 19 2" xfId="4577" xr:uid="{00000000-0005-0000-0000-000027080000}"/>
    <cellStyle name="계산 2 2 3 2" xfId="4578" xr:uid="{00000000-0005-0000-0000-000028080000}"/>
    <cellStyle name="계산 2 2 3 2 10" xfId="4579" xr:uid="{00000000-0005-0000-0000-000029080000}"/>
    <cellStyle name="계산 2 2 3 2 10 2" xfId="4580" xr:uid="{00000000-0005-0000-0000-00002A080000}"/>
    <cellStyle name="계산 2 2 3 2 11" xfId="4581" xr:uid="{00000000-0005-0000-0000-00002B080000}"/>
    <cellStyle name="계산 2 2 3 2 11 2" xfId="4582" xr:uid="{00000000-0005-0000-0000-00002C080000}"/>
    <cellStyle name="계산 2 2 3 2 12" xfId="4583" xr:uid="{00000000-0005-0000-0000-00002D080000}"/>
    <cellStyle name="계산 2 2 3 2 12 2" xfId="4584" xr:uid="{00000000-0005-0000-0000-00002E080000}"/>
    <cellStyle name="계산 2 2 3 2 13" xfId="4585" xr:uid="{00000000-0005-0000-0000-00002F080000}"/>
    <cellStyle name="계산 2 2 3 2 13 2" xfId="4586" xr:uid="{00000000-0005-0000-0000-000030080000}"/>
    <cellStyle name="계산 2 2 3 2 14" xfId="4587" xr:uid="{00000000-0005-0000-0000-000031080000}"/>
    <cellStyle name="계산 2 2 3 2 14 2" xfId="4588" xr:uid="{00000000-0005-0000-0000-000032080000}"/>
    <cellStyle name="계산 2 2 3 2 15" xfId="4589" xr:uid="{00000000-0005-0000-0000-000033080000}"/>
    <cellStyle name="계산 2 2 3 2 15 2" xfId="4590" xr:uid="{00000000-0005-0000-0000-000034080000}"/>
    <cellStyle name="계산 2 2 3 2 16" xfId="4591" xr:uid="{00000000-0005-0000-0000-000035080000}"/>
    <cellStyle name="계산 2 2 3 2 16 2" xfId="4592" xr:uid="{00000000-0005-0000-0000-000036080000}"/>
    <cellStyle name="계산 2 2 3 2 17" xfId="4593" xr:uid="{00000000-0005-0000-0000-000037080000}"/>
    <cellStyle name="계산 2 2 3 2 17 2" xfId="4594" xr:uid="{00000000-0005-0000-0000-000038080000}"/>
    <cellStyle name="계산 2 2 3 2 18" xfId="4595" xr:uid="{00000000-0005-0000-0000-000039080000}"/>
    <cellStyle name="계산 2 2 3 2 18 2" xfId="4596" xr:uid="{00000000-0005-0000-0000-00003A080000}"/>
    <cellStyle name="계산 2 2 3 2 19" xfId="4597" xr:uid="{00000000-0005-0000-0000-00003B080000}"/>
    <cellStyle name="계산 2 2 3 2 19 2" xfId="4598" xr:uid="{00000000-0005-0000-0000-00003C080000}"/>
    <cellStyle name="계산 2 2 3 2 2" xfId="4599" xr:uid="{00000000-0005-0000-0000-00003D080000}"/>
    <cellStyle name="계산 2 2 3 2 2 2" xfId="4600" xr:uid="{00000000-0005-0000-0000-00003E080000}"/>
    <cellStyle name="계산 2 2 3 2 20" xfId="4601" xr:uid="{00000000-0005-0000-0000-00003F080000}"/>
    <cellStyle name="계산 2 2 3 2 3" xfId="4602" xr:uid="{00000000-0005-0000-0000-000040080000}"/>
    <cellStyle name="계산 2 2 3 2 3 2" xfId="4603" xr:uid="{00000000-0005-0000-0000-000041080000}"/>
    <cellStyle name="계산 2 2 3 2 4" xfId="4604" xr:uid="{00000000-0005-0000-0000-000042080000}"/>
    <cellStyle name="계산 2 2 3 2 4 2" xfId="4605" xr:uid="{00000000-0005-0000-0000-000043080000}"/>
    <cellStyle name="계산 2 2 3 2 5" xfId="4606" xr:uid="{00000000-0005-0000-0000-000044080000}"/>
    <cellStyle name="계산 2 2 3 2 5 2" xfId="4607" xr:uid="{00000000-0005-0000-0000-000045080000}"/>
    <cellStyle name="계산 2 2 3 2 6" xfId="4608" xr:uid="{00000000-0005-0000-0000-000046080000}"/>
    <cellStyle name="계산 2 2 3 2 6 2" xfId="4609" xr:uid="{00000000-0005-0000-0000-000047080000}"/>
    <cellStyle name="계산 2 2 3 2 7" xfId="4610" xr:uid="{00000000-0005-0000-0000-000048080000}"/>
    <cellStyle name="계산 2 2 3 2 7 2" xfId="4611" xr:uid="{00000000-0005-0000-0000-000049080000}"/>
    <cellStyle name="계산 2 2 3 2 8" xfId="4612" xr:uid="{00000000-0005-0000-0000-00004A080000}"/>
    <cellStyle name="계산 2 2 3 2 8 2" xfId="4613" xr:uid="{00000000-0005-0000-0000-00004B080000}"/>
    <cellStyle name="계산 2 2 3 2 9" xfId="4614" xr:uid="{00000000-0005-0000-0000-00004C080000}"/>
    <cellStyle name="계산 2 2 3 2 9 2" xfId="4615" xr:uid="{00000000-0005-0000-0000-00004D080000}"/>
    <cellStyle name="계산 2 2 3 20" xfId="4616" xr:uid="{00000000-0005-0000-0000-00004E080000}"/>
    <cellStyle name="계산 2 2 3 20 2" xfId="4617" xr:uid="{00000000-0005-0000-0000-00004F080000}"/>
    <cellStyle name="계산 2 2 3 21" xfId="4618" xr:uid="{00000000-0005-0000-0000-000050080000}"/>
    <cellStyle name="계산 2 2 3 3" xfId="4619" xr:uid="{00000000-0005-0000-0000-000051080000}"/>
    <cellStyle name="계산 2 2 3 3 2" xfId="4620" xr:uid="{00000000-0005-0000-0000-000052080000}"/>
    <cellStyle name="계산 2 2 3 4" xfId="4621" xr:uid="{00000000-0005-0000-0000-000053080000}"/>
    <cellStyle name="계산 2 2 3 4 2" xfId="4622" xr:uid="{00000000-0005-0000-0000-000054080000}"/>
    <cellStyle name="계산 2 2 3 5" xfId="4623" xr:uid="{00000000-0005-0000-0000-000055080000}"/>
    <cellStyle name="계산 2 2 3 5 2" xfId="4624" xr:uid="{00000000-0005-0000-0000-000056080000}"/>
    <cellStyle name="계산 2 2 3 6" xfId="4625" xr:uid="{00000000-0005-0000-0000-000057080000}"/>
    <cellStyle name="계산 2 2 3 6 2" xfId="4626" xr:uid="{00000000-0005-0000-0000-000058080000}"/>
    <cellStyle name="계산 2 2 3 7" xfId="4627" xr:uid="{00000000-0005-0000-0000-000059080000}"/>
    <cellStyle name="계산 2 2 3 7 2" xfId="4628" xr:uid="{00000000-0005-0000-0000-00005A080000}"/>
    <cellStyle name="계산 2 2 3 8" xfId="4629" xr:uid="{00000000-0005-0000-0000-00005B080000}"/>
    <cellStyle name="계산 2 2 3 8 2" xfId="4630" xr:uid="{00000000-0005-0000-0000-00005C080000}"/>
    <cellStyle name="계산 2 2 3 9" xfId="4631" xr:uid="{00000000-0005-0000-0000-00005D080000}"/>
    <cellStyle name="계산 2 2 3 9 2" xfId="4632" xr:uid="{00000000-0005-0000-0000-00005E080000}"/>
    <cellStyle name="계산 2 2 4" xfId="4633" xr:uid="{00000000-0005-0000-0000-00005F080000}"/>
    <cellStyle name="계산 2 2 4 10" xfId="4634" xr:uid="{00000000-0005-0000-0000-000060080000}"/>
    <cellStyle name="계산 2 2 4 10 2" xfId="4635" xr:uid="{00000000-0005-0000-0000-000061080000}"/>
    <cellStyle name="계산 2 2 4 11" xfId="4636" xr:uid="{00000000-0005-0000-0000-000062080000}"/>
    <cellStyle name="계산 2 2 4 11 2" xfId="4637" xr:uid="{00000000-0005-0000-0000-000063080000}"/>
    <cellStyle name="계산 2 2 4 12" xfId="4638" xr:uid="{00000000-0005-0000-0000-000064080000}"/>
    <cellStyle name="계산 2 2 4 12 2" xfId="4639" xr:uid="{00000000-0005-0000-0000-000065080000}"/>
    <cellStyle name="계산 2 2 4 13" xfId="4640" xr:uid="{00000000-0005-0000-0000-000066080000}"/>
    <cellStyle name="계산 2 2 4 13 2" xfId="4641" xr:uid="{00000000-0005-0000-0000-000067080000}"/>
    <cellStyle name="계산 2 2 4 14" xfId="4642" xr:uid="{00000000-0005-0000-0000-000068080000}"/>
    <cellStyle name="계산 2 2 4 14 2" xfId="4643" xr:uid="{00000000-0005-0000-0000-000069080000}"/>
    <cellStyle name="계산 2 2 4 15" xfId="4644" xr:uid="{00000000-0005-0000-0000-00006A080000}"/>
    <cellStyle name="계산 2 2 4 15 2" xfId="4645" xr:uid="{00000000-0005-0000-0000-00006B080000}"/>
    <cellStyle name="계산 2 2 4 16" xfId="4646" xr:uid="{00000000-0005-0000-0000-00006C080000}"/>
    <cellStyle name="계산 2 2 4 16 2" xfId="4647" xr:uid="{00000000-0005-0000-0000-00006D080000}"/>
    <cellStyle name="계산 2 2 4 17" xfId="4648" xr:uid="{00000000-0005-0000-0000-00006E080000}"/>
    <cellStyle name="계산 2 2 4 17 2" xfId="4649" xr:uid="{00000000-0005-0000-0000-00006F080000}"/>
    <cellStyle name="계산 2 2 4 18" xfId="4650" xr:uid="{00000000-0005-0000-0000-000070080000}"/>
    <cellStyle name="계산 2 2 4 18 2" xfId="4651" xr:uid="{00000000-0005-0000-0000-000071080000}"/>
    <cellStyle name="계산 2 2 4 19" xfId="4652" xr:uid="{00000000-0005-0000-0000-000072080000}"/>
    <cellStyle name="계산 2 2 4 19 2" xfId="4653" xr:uid="{00000000-0005-0000-0000-000073080000}"/>
    <cellStyle name="계산 2 2 4 2" xfId="4654" xr:uid="{00000000-0005-0000-0000-000074080000}"/>
    <cellStyle name="계산 2 2 4 2 10" xfId="4655" xr:uid="{00000000-0005-0000-0000-000075080000}"/>
    <cellStyle name="계산 2 2 4 2 10 2" xfId="4656" xr:uid="{00000000-0005-0000-0000-000076080000}"/>
    <cellStyle name="계산 2 2 4 2 11" xfId="4657" xr:uid="{00000000-0005-0000-0000-000077080000}"/>
    <cellStyle name="계산 2 2 4 2 11 2" xfId="4658" xr:uid="{00000000-0005-0000-0000-000078080000}"/>
    <cellStyle name="계산 2 2 4 2 12" xfId="4659" xr:uid="{00000000-0005-0000-0000-000079080000}"/>
    <cellStyle name="계산 2 2 4 2 12 2" xfId="4660" xr:uid="{00000000-0005-0000-0000-00007A080000}"/>
    <cellStyle name="계산 2 2 4 2 13" xfId="4661" xr:uid="{00000000-0005-0000-0000-00007B080000}"/>
    <cellStyle name="계산 2 2 4 2 13 2" xfId="4662" xr:uid="{00000000-0005-0000-0000-00007C080000}"/>
    <cellStyle name="계산 2 2 4 2 14" xfId="4663" xr:uid="{00000000-0005-0000-0000-00007D080000}"/>
    <cellStyle name="계산 2 2 4 2 14 2" xfId="4664" xr:uid="{00000000-0005-0000-0000-00007E080000}"/>
    <cellStyle name="계산 2 2 4 2 15" xfId="4665" xr:uid="{00000000-0005-0000-0000-00007F080000}"/>
    <cellStyle name="계산 2 2 4 2 15 2" xfId="4666" xr:uid="{00000000-0005-0000-0000-000080080000}"/>
    <cellStyle name="계산 2 2 4 2 16" xfId="4667" xr:uid="{00000000-0005-0000-0000-000081080000}"/>
    <cellStyle name="계산 2 2 4 2 16 2" xfId="4668" xr:uid="{00000000-0005-0000-0000-000082080000}"/>
    <cellStyle name="계산 2 2 4 2 17" xfId="4669" xr:uid="{00000000-0005-0000-0000-000083080000}"/>
    <cellStyle name="계산 2 2 4 2 17 2" xfId="4670" xr:uid="{00000000-0005-0000-0000-000084080000}"/>
    <cellStyle name="계산 2 2 4 2 18" xfId="4671" xr:uid="{00000000-0005-0000-0000-000085080000}"/>
    <cellStyle name="계산 2 2 4 2 18 2" xfId="4672" xr:uid="{00000000-0005-0000-0000-000086080000}"/>
    <cellStyle name="계산 2 2 4 2 19" xfId="4673" xr:uid="{00000000-0005-0000-0000-000087080000}"/>
    <cellStyle name="계산 2 2 4 2 19 2" xfId="4674" xr:uid="{00000000-0005-0000-0000-000088080000}"/>
    <cellStyle name="계산 2 2 4 2 2" xfId="4675" xr:uid="{00000000-0005-0000-0000-000089080000}"/>
    <cellStyle name="계산 2 2 4 2 2 2" xfId="4676" xr:uid="{00000000-0005-0000-0000-00008A080000}"/>
    <cellStyle name="계산 2 2 4 2 20" xfId="4677" xr:uid="{00000000-0005-0000-0000-00008B080000}"/>
    <cellStyle name="계산 2 2 4 2 3" xfId="4678" xr:uid="{00000000-0005-0000-0000-00008C080000}"/>
    <cellStyle name="계산 2 2 4 2 3 2" xfId="4679" xr:uid="{00000000-0005-0000-0000-00008D080000}"/>
    <cellStyle name="계산 2 2 4 2 4" xfId="4680" xr:uid="{00000000-0005-0000-0000-00008E080000}"/>
    <cellStyle name="계산 2 2 4 2 4 2" xfId="4681" xr:uid="{00000000-0005-0000-0000-00008F080000}"/>
    <cellStyle name="계산 2 2 4 2 5" xfId="4682" xr:uid="{00000000-0005-0000-0000-000090080000}"/>
    <cellStyle name="계산 2 2 4 2 5 2" xfId="4683" xr:uid="{00000000-0005-0000-0000-000091080000}"/>
    <cellStyle name="계산 2 2 4 2 6" xfId="4684" xr:uid="{00000000-0005-0000-0000-000092080000}"/>
    <cellStyle name="계산 2 2 4 2 6 2" xfId="4685" xr:uid="{00000000-0005-0000-0000-000093080000}"/>
    <cellStyle name="계산 2 2 4 2 7" xfId="4686" xr:uid="{00000000-0005-0000-0000-000094080000}"/>
    <cellStyle name="계산 2 2 4 2 7 2" xfId="4687" xr:uid="{00000000-0005-0000-0000-000095080000}"/>
    <cellStyle name="계산 2 2 4 2 8" xfId="4688" xr:uid="{00000000-0005-0000-0000-000096080000}"/>
    <cellStyle name="계산 2 2 4 2 8 2" xfId="4689" xr:uid="{00000000-0005-0000-0000-000097080000}"/>
    <cellStyle name="계산 2 2 4 2 9" xfId="4690" xr:uid="{00000000-0005-0000-0000-000098080000}"/>
    <cellStyle name="계산 2 2 4 2 9 2" xfId="4691" xr:uid="{00000000-0005-0000-0000-000099080000}"/>
    <cellStyle name="계산 2 2 4 20" xfId="4692" xr:uid="{00000000-0005-0000-0000-00009A080000}"/>
    <cellStyle name="계산 2 2 4 20 2" xfId="4693" xr:uid="{00000000-0005-0000-0000-00009B080000}"/>
    <cellStyle name="계산 2 2 4 21" xfId="4694" xr:uid="{00000000-0005-0000-0000-00009C080000}"/>
    <cellStyle name="계산 2 2 4 3" xfId="4695" xr:uid="{00000000-0005-0000-0000-00009D080000}"/>
    <cellStyle name="계산 2 2 4 3 2" xfId="4696" xr:uid="{00000000-0005-0000-0000-00009E080000}"/>
    <cellStyle name="계산 2 2 4 4" xfId="4697" xr:uid="{00000000-0005-0000-0000-00009F080000}"/>
    <cellStyle name="계산 2 2 4 4 2" xfId="4698" xr:uid="{00000000-0005-0000-0000-0000A0080000}"/>
    <cellStyle name="계산 2 2 4 5" xfId="4699" xr:uid="{00000000-0005-0000-0000-0000A1080000}"/>
    <cellStyle name="계산 2 2 4 5 2" xfId="4700" xr:uid="{00000000-0005-0000-0000-0000A2080000}"/>
    <cellStyle name="계산 2 2 4 6" xfId="4701" xr:uid="{00000000-0005-0000-0000-0000A3080000}"/>
    <cellStyle name="계산 2 2 4 6 2" xfId="4702" xr:uid="{00000000-0005-0000-0000-0000A4080000}"/>
    <cellStyle name="계산 2 2 4 7" xfId="4703" xr:uid="{00000000-0005-0000-0000-0000A5080000}"/>
    <cellStyle name="계산 2 2 4 7 2" xfId="4704" xr:uid="{00000000-0005-0000-0000-0000A6080000}"/>
    <cellStyle name="계산 2 2 4 8" xfId="4705" xr:uid="{00000000-0005-0000-0000-0000A7080000}"/>
    <cellStyle name="계산 2 2 4 8 2" xfId="4706" xr:uid="{00000000-0005-0000-0000-0000A8080000}"/>
    <cellStyle name="계산 2 2 4 9" xfId="4707" xr:uid="{00000000-0005-0000-0000-0000A9080000}"/>
    <cellStyle name="계산 2 2 4 9 2" xfId="4708" xr:uid="{00000000-0005-0000-0000-0000AA080000}"/>
    <cellStyle name="계산 2 2 5" xfId="4709" xr:uid="{00000000-0005-0000-0000-0000AB080000}"/>
    <cellStyle name="계산 2 2 5 10" xfId="4710" xr:uid="{00000000-0005-0000-0000-0000AC080000}"/>
    <cellStyle name="계산 2 2 5 10 2" xfId="4711" xr:uid="{00000000-0005-0000-0000-0000AD080000}"/>
    <cellStyle name="계산 2 2 5 11" xfId="4712" xr:uid="{00000000-0005-0000-0000-0000AE080000}"/>
    <cellStyle name="계산 2 2 5 11 2" xfId="4713" xr:uid="{00000000-0005-0000-0000-0000AF080000}"/>
    <cellStyle name="계산 2 2 5 12" xfId="4714" xr:uid="{00000000-0005-0000-0000-0000B0080000}"/>
    <cellStyle name="계산 2 2 5 12 2" xfId="4715" xr:uid="{00000000-0005-0000-0000-0000B1080000}"/>
    <cellStyle name="계산 2 2 5 13" xfId="4716" xr:uid="{00000000-0005-0000-0000-0000B2080000}"/>
    <cellStyle name="계산 2 2 5 13 2" xfId="4717" xr:uid="{00000000-0005-0000-0000-0000B3080000}"/>
    <cellStyle name="계산 2 2 5 14" xfId="4718" xr:uid="{00000000-0005-0000-0000-0000B4080000}"/>
    <cellStyle name="계산 2 2 5 14 2" xfId="4719" xr:uid="{00000000-0005-0000-0000-0000B5080000}"/>
    <cellStyle name="계산 2 2 5 15" xfId="4720" xr:uid="{00000000-0005-0000-0000-0000B6080000}"/>
    <cellStyle name="계산 2 2 5 15 2" xfId="4721" xr:uid="{00000000-0005-0000-0000-0000B7080000}"/>
    <cellStyle name="계산 2 2 5 16" xfId="4722" xr:uid="{00000000-0005-0000-0000-0000B8080000}"/>
    <cellStyle name="계산 2 2 5 16 2" xfId="4723" xr:uid="{00000000-0005-0000-0000-0000B9080000}"/>
    <cellStyle name="계산 2 2 5 17" xfId="4724" xr:uid="{00000000-0005-0000-0000-0000BA080000}"/>
    <cellStyle name="계산 2 2 5 17 2" xfId="4725" xr:uid="{00000000-0005-0000-0000-0000BB080000}"/>
    <cellStyle name="계산 2 2 5 18" xfId="4726" xr:uid="{00000000-0005-0000-0000-0000BC080000}"/>
    <cellStyle name="계산 2 2 5 18 2" xfId="4727" xr:uid="{00000000-0005-0000-0000-0000BD080000}"/>
    <cellStyle name="계산 2 2 5 19" xfId="4728" xr:uid="{00000000-0005-0000-0000-0000BE080000}"/>
    <cellStyle name="계산 2 2 5 19 2" xfId="4729" xr:uid="{00000000-0005-0000-0000-0000BF080000}"/>
    <cellStyle name="계산 2 2 5 2" xfId="4730" xr:uid="{00000000-0005-0000-0000-0000C0080000}"/>
    <cellStyle name="계산 2 2 5 2 2" xfId="4731" xr:uid="{00000000-0005-0000-0000-0000C1080000}"/>
    <cellStyle name="계산 2 2 5 20" xfId="4732" xr:uid="{00000000-0005-0000-0000-0000C2080000}"/>
    <cellStyle name="계산 2 2 5 3" xfId="4733" xr:uid="{00000000-0005-0000-0000-0000C3080000}"/>
    <cellStyle name="계산 2 2 5 3 2" xfId="4734" xr:uid="{00000000-0005-0000-0000-0000C4080000}"/>
    <cellStyle name="계산 2 2 5 4" xfId="4735" xr:uid="{00000000-0005-0000-0000-0000C5080000}"/>
    <cellStyle name="계산 2 2 5 4 2" xfId="4736" xr:uid="{00000000-0005-0000-0000-0000C6080000}"/>
    <cellStyle name="계산 2 2 5 5" xfId="4737" xr:uid="{00000000-0005-0000-0000-0000C7080000}"/>
    <cellStyle name="계산 2 2 5 5 2" xfId="4738" xr:uid="{00000000-0005-0000-0000-0000C8080000}"/>
    <cellStyle name="계산 2 2 5 6" xfId="4739" xr:uid="{00000000-0005-0000-0000-0000C9080000}"/>
    <cellStyle name="계산 2 2 5 6 2" xfId="4740" xr:uid="{00000000-0005-0000-0000-0000CA080000}"/>
    <cellStyle name="계산 2 2 5 7" xfId="4741" xr:uid="{00000000-0005-0000-0000-0000CB080000}"/>
    <cellStyle name="계산 2 2 5 7 2" xfId="4742" xr:uid="{00000000-0005-0000-0000-0000CC080000}"/>
    <cellStyle name="계산 2 2 5 8" xfId="4743" xr:uid="{00000000-0005-0000-0000-0000CD080000}"/>
    <cellStyle name="계산 2 2 5 8 2" xfId="4744" xr:uid="{00000000-0005-0000-0000-0000CE080000}"/>
    <cellStyle name="계산 2 2 5 9" xfId="4745" xr:uid="{00000000-0005-0000-0000-0000CF080000}"/>
    <cellStyle name="계산 2 2 5 9 2" xfId="4746" xr:uid="{00000000-0005-0000-0000-0000D0080000}"/>
    <cellStyle name="계산 2 2 6" xfId="4747" xr:uid="{00000000-0005-0000-0000-0000D1080000}"/>
    <cellStyle name="계산 2 2 6 2" xfId="4748" xr:uid="{00000000-0005-0000-0000-0000D2080000}"/>
    <cellStyle name="계산 2 2 7" xfId="4749" xr:uid="{00000000-0005-0000-0000-0000D3080000}"/>
    <cellStyle name="계산 2 2 7 2" xfId="4750" xr:uid="{00000000-0005-0000-0000-0000D4080000}"/>
    <cellStyle name="계산 2 2 8" xfId="4751" xr:uid="{00000000-0005-0000-0000-0000D5080000}"/>
    <cellStyle name="계산 2 2 8 2" xfId="4752" xr:uid="{00000000-0005-0000-0000-0000D6080000}"/>
    <cellStyle name="계산 2 2 9" xfId="4753" xr:uid="{00000000-0005-0000-0000-0000D7080000}"/>
    <cellStyle name="계산 2 2 9 2" xfId="4754" xr:uid="{00000000-0005-0000-0000-0000D8080000}"/>
    <cellStyle name="계산 2 20" xfId="4755" xr:uid="{00000000-0005-0000-0000-0000D9080000}"/>
    <cellStyle name="계산 2 20 2" xfId="4756" xr:uid="{00000000-0005-0000-0000-0000DA080000}"/>
    <cellStyle name="계산 2 21" xfId="4757" xr:uid="{00000000-0005-0000-0000-0000DB080000}"/>
    <cellStyle name="계산 2 22" xfId="6276" xr:uid="{00000000-0005-0000-0000-0000DC080000}"/>
    <cellStyle name="계산 2 23" xfId="6515" xr:uid="{00000000-0005-0000-0000-0000DD080000}"/>
    <cellStyle name="계산 2 24" xfId="6256" xr:uid="{00000000-0005-0000-0000-0000DE080000}"/>
    <cellStyle name="계산 2 25" xfId="6532" xr:uid="{00000000-0005-0000-0000-0000DF080000}"/>
    <cellStyle name="계산 2 26" xfId="6574" xr:uid="{00000000-0005-0000-0000-0000E0080000}"/>
    <cellStyle name="계산 2 27" xfId="6626" xr:uid="{00000000-0005-0000-0000-0000E1080000}"/>
    <cellStyle name="계산 2 28" xfId="6656" xr:uid="{00000000-0005-0000-0000-0000E2080000}"/>
    <cellStyle name="계산 2 29" xfId="6723" xr:uid="{00000000-0005-0000-0000-0000E3080000}"/>
    <cellStyle name="계산 2 3" xfId="4758" xr:uid="{00000000-0005-0000-0000-0000E4080000}"/>
    <cellStyle name="계산 2 3 2" xfId="4759" xr:uid="{00000000-0005-0000-0000-0000E5080000}"/>
    <cellStyle name="계산 2 30" xfId="6807" xr:uid="{00000000-0005-0000-0000-0000E6080000}"/>
    <cellStyle name="계산 2 4" xfId="4760" xr:uid="{00000000-0005-0000-0000-0000E7080000}"/>
    <cellStyle name="계산 2 4 2" xfId="4761" xr:uid="{00000000-0005-0000-0000-0000E8080000}"/>
    <cellStyle name="계산 2 5" xfId="4762" xr:uid="{00000000-0005-0000-0000-0000E9080000}"/>
    <cellStyle name="계산 2 5 2" xfId="4763" xr:uid="{00000000-0005-0000-0000-0000EA080000}"/>
    <cellStyle name="계산 2 6" xfId="4764" xr:uid="{00000000-0005-0000-0000-0000EB080000}"/>
    <cellStyle name="계산 2 6 2" xfId="4765" xr:uid="{00000000-0005-0000-0000-0000EC080000}"/>
    <cellStyle name="계산 2 7" xfId="4766" xr:uid="{00000000-0005-0000-0000-0000ED080000}"/>
    <cellStyle name="계산 2 7 2" xfId="4767" xr:uid="{00000000-0005-0000-0000-0000EE080000}"/>
    <cellStyle name="계산 2 8" xfId="4768" xr:uid="{00000000-0005-0000-0000-0000EF080000}"/>
    <cellStyle name="계산 2 8 2" xfId="4769" xr:uid="{00000000-0005-0000-0000-0000F0080000}"/>
    <cellStyle name="계산 2 9" xfId="4770" xr:uid="{00000000-0005-0000-0000-0000F1080000}"/>
    <cellStyle name="계산 2 9 2" xfId="4771" xr:uid="{00000000-0005-0000-0000-0000F2080000}"/>
    <cellStyle name="계산 20" xfId="48983" xr:uid="{00000000-0005-0000-0000-0000F3080000}"/>
    <cellStyle name="계산 21" xfId="48984" xr:uid="{00000000-0005-0000-0000-0000F4080000}"/>
    <cellStyle name="계산 22" xfId="48985" xr:uid="{00000000-0005-0000-0000-0000F5080000}"/>
    <cellStyle name="계산 23" xfId="48986" xr:uid="{00000000-0005-0000-0000-0000F6080000}"/>
    <cellStyle name="계산 24" xfId="48987" xr:uid="{00000000-0005-0000-0000-0000F7080000}"/>
    <cellStyle name="계산 25" xfId="48988" xr:uid="{00000000-0005-0000-0000-0000F8080000}"/>
    <cellStyle name="계산 26" xfId="48989" xr:uid="{00000000-0005-0000-0000-0000F9080000}"/>
    <cellStyle name="계산 27" xfId="48990" xr:uid="{00000000-0005-0000-0000-0000FA080000}"/>
    <cellStyle name="계산 28" xfId="48991" xr:uid="{00000000-0005-0000-0000-0000FB080000}"/>
    <cellStyle name="계산 29" xfId="48992" xr:uid="{00000000-0005-0000-0000-0000FC080000}"/>
    <cellStyle name="계산 3" xfId="3257" xr:uid="{00000000-0005-0000-0000-0000FD080000}"/>
    <cellStyle name="계산 3 10" xfId="3333" xr:uid="{00000000-0005-0000-0000-0000FE080000}"/>
    <cellStyle name="계산 3 11" xfId="3705" xr:uid="{00000000-0005-0000-0000-0000FF080000}"/>
    <cellStyle name="계산 3 2" xfId="3216" xr:uid="{00000000-0005-0000-0000-000000090000}"/>
    <cellStyle name="계산 3 3" xfId="3817" xr:uid="{00000000-0005-0000-0000-000001090000}"/>
    <cellStyle name="계산 3 4" xfId="2617" xr:uid="{00000000-0005-0000-0000-000002090000}"/>
    <cellStyle name="계산 3 5" xfId="3702" xr:uid="{00000000-0005-0000-0000-000003090000}"/>
    <cellStyle name="계산 3 6" xfId="2753" xr:uid="{00000000-0005-0000-0000-000004090000}"/>
    <cellStyle name="계산 3 7" xfId="3084" xr:uid="{00000000-0005-0000-0000-000005090000}"/>
    <cellStyle name="계산 3 8" xfId="3466" xr:uid="{00000000-0005-0000-0000-000006090000}"/>
    <cellStyle name="계산 3 9" xfId="2982" xr:uid="{00000000-0005-0000-0000-000007090000}"/>
    <cellStyle name="계산 30" xfId="48993" xr:uid="{00000000-0005-0000-0000-000008090000}"/>
    <cellStyle name="계산 31" xfId="48994" xr:uid="{00000000-0005-0000-0000-000009090000}"/>
    <cellStyle name="계산 32" xfId="48995" xr:uid="{00000000-0005-0000-0000-00000A090000}"/>
    <cellStyle name="계산 33" xfId="48996" xr:uid="{00000000-0005-0000-0000-00000B090000}"/>
    <cellStyle name="계산 4" xfId="3239" xr:uid="{00000000-0005-0000-0000-00000C090000}"/>
    <cellStyle name="계산 4 10" xfId="4101" xr:uid="{00000000-0005-0000-0000-00000D090000}"/>
    <cellStyle name="계산 4 11" xfId="2980" xr:uid="{00000000-0005-0000-0000-00000E090000}"/>
    <cellStyle name="계산 4 2" xfId="4201" xr:uid="{00000000-0005-0000-0000-00000F090000}"/>
    <cellStyle name="계산 4 3" xfId="2622" xr:uid="{00000000-0005-0000-0000-000010090000}"/>
    <cellStyle name="계산 4 4" xfId="4196" xr:uid="{00000000-0005-0000-0000-000011090000}"/>
    <cellStyle name="계산 4 5" xfId="352" xr:uid="{00000000-0005-0000-0000-000012090000}"/>
    <cellStyle name="계산 4 6" xfId="2857" xr:uid="{00000000-0005-0000-0000-000013090000}"/>
    <cellStyle name="계산 4 7" xfId="2673" xr:uid="{00000000-0005-0000-0000-000014090000}"/>
    <cellStyle name="계산 4 8" xfId="4057" xr:uid="{00000000-0005-0000-0000-000015090000}"/>
    <cellStyle name="계산 4 9" xfId="3821" xr:uid="{00000000-0005-0000-0000-000016090000}"/>
    <cellStyle name="계산 5" xfId="3323" xr:uid="{00000000-0005-0000-0000-000017090000}"/>
    <cellStyle name="계산 5 2" xfId="3080" xr:uid="{00000000-0005-0000-0000-000018090000}"/>
    <cellStyle name="계산 5 3" xfId="2521" xr:uid="{00000000-0005-0000-0000-000019090000}"/>
    <cellStyle name="계산 5 4" xfId="2429" xr:uid="{00000000-0005-0000-0000-00001A090000}"/>
    <cellStyle name="계산 5 5" xfId="2840" xr:uid="{00000000-0005-0000-0000-00001B090000}"/>
    <cellStyle name="계산 6" xfId="2607" xr:uid="{00000000-0005-0000-0000-00001C090000}"/>
    <cellStyle name="계산 6 2" xfId="2742" xr:uid="{00000000-0005-0000-0000-00001D090000}"/>
    <cellStyle name="계산 6 3" xfId="3812" xr:uid="{00000000-0005-0000-0000-00001E090000}"/>
    <cellStyle name="계산 6 4" xfId="2432" xr:uid="{00000000-0005-0000-0000-00001F090000}"/>
    <cellStyle name="계산 6 5" xfId="2626" xr:uid="{00000000-0005-0000-0000-000020090000}"/>
    <cellStyle name="계산 7" xfId="4305" xr:uid="{00000000-0005-0000-0000-000021090000}"/>
    <cellStyle name="계산 7 2" xfId="2491" xr:uid="{00000000-0005-0000-0000-000022090000}"/>
    <cellStyle name="계산 8" xfId="4311" xr:uid="{00000000-0005-0000-0000-000023090000}"/>
    <cellStyle name="계산 8 2" xfId="2976" xr:uid="{00000000-0005-0000-0000-000024090000}"/>
    <cellStyle name="계산 9" xfId="6627" xr:uid="{00000000-0005-0000-0000-000025090000}"/>
    <cellStyle name="咬訌裝?INCOM1" xfId="48997" xr:uid="{00000000-0005-0000-0000-000026090000}"/>
    <cellStyle name="咬訌裝?INCOM10" xfId="48998" xr:uid="{00000000-0005-0000-0000-000027090000}"/>
    <cellStyle name="咬訌裝?INCOM2" xfId="48999" xr:uid="{00000000-0005-0000-0000-000028090000}"/>
    <cellStyle name="咬訌裝?INCOM3" xfId="49000" xr:uid="{00000000-0005-0000-0000-000029090000}"/>
    <cellStyle name="咬訌裝?INCOM4" xfId="49001" xr:uid="{00000000-0005-0000-0000-00002A090000}"/>
    <cellStyle name="咬訌裝?INCOM5" xfId="49002" xr:uid="{00000000-0005-0000-0000-00002B090000}"/>
    <cellStyle name="咬訌裝?INCOM6" xfId="49003" xr:uid="{00000000-0005-0000-0000-00002C090000}"/>
    <cellStyle name="咬訌裝?INCOM7" xfId="49004" xr:uid="{00000000-0005-0000-0000-00002D090000}"/>
    <cellStyle name="咬訌裝?INCOM8" xfId="49005" xr:uid="{00000000-0005-0000-0000-00002E090000}"/>
    <cellStyle name="咬訌裝?INCOM9" xfId="49006" xr:uid="{00000000-0005-0000-0000-00002F090000}"/>
    <cellStyle name="咬訌裝?PRIB11" xfId="49007" xr:uid="{00000000-0005-0000-0000-000030090000}"/>
    <cellStyle name="나쁨 10" xfId="6295" xr:uid="{00000000-0005-0000-0000-000031090000}"/>
    <cellStyle name="나쁨 11" xfId="6500" xr:uid="{00000000-0005-0000-0000-000032090000}"/>
    <cellStyle name="나쁨 12" xfId="6277" xr:uid="{00000000-0005-0000-0000-000033090000}"/>
    <cellStyle name="나쁨 13" xfId="49008" xr:uid="{00000000-0005-0000-0000-000034090000}"/>
    <cellStyle name="나쁨 14" xfId="49009" xr:uid="{00000000-0005-0000-0000-000035090000}"/>
    <cellStyle name="나쁨 15" xfId="49010" xr:uid="{00000000-0005-0000-0000-000036090000}"/>
    <cellStyle name="나쁨 16" xfId="49011" xr:uid="{00000000-0005-0000-0000-000037090000}"/>
    <cellStyle name="나쁨 17" xfId="49012" xr:uid="{00000000-0005-0000-0000-000038090000}"/>
    <cellStyle name="나쁨 18" xfId="49013" xr:uid="{00000000-0005-0000-0000-000039090000}"/>
    <cellStyle name="나쁨 19" xfId="49014" xr:uid="{00000000-0005-0000-0000-00003A090000}"/>
    <cellStyle name="나쁨 2" xfId="244" xr:uid="{00000000-0005-0000-0000-00003B090000}"/>
    <cellStyle name="나쁨 2 10" xfId="6499" xr:uid="{00000000-0005-0000-0000-00003C090000}"/>
    <cellStyle name="나쁨 2 11" xfId="6278" xr:uid="{00000000-0005-0000-0000-00003D090000}"/>
    <cellStyle name="나쁨 2 2" xfId="4772" xr:uid="{00000000-0005-0000-0000-00003E090000}"/>
    <cellStyle name="나쁨 2 3" xfId="6331" xr:uid="{00000000-0005-0000-0000-00003F090000}"/>
    <cellStyle name="나쁨 2 4" xfId="6462" xr:uid="{00000000-0005-0000-0000-000040090000}"/>
    <cellStyle name="나쁨 2 5" xfId="6322" xr:uid="{00000000-0005-0000-0000-000041090000}"/>
    <cellStyle name="나쁨 2 6" xfId="6471" xr:uid="{00000000-0005-0000-0000-000042090000}"/>
    <cellStyle name="나쁨 2 7" xfId="6314" xr:uid="{00000000-0005-0000-0000-000043090000}"/>
    <cellStyle name="나쁨 2 8" xfId="6482" xr:uid="{00000000-0005-0000-0000-000044090000}"/>
    <cellStyle name="나쁨 2 9" xfId="6296" xr:uid="{00000000-0005-0000-0000-000045090000}"/>
    <cellStyle name="나쁨 20" xfId="49015" xr:uid="{00000000-0005-0000-0000-000046090000}"/>
    <cellStyle name="나쁨 21" xfId="49016" xr:uid="{00000000-0005-0000-0000-000047090000}"/>
    <cellStyle name="나쁨 22" xfId="49017" xr:uid="{00000000-0005-0000-0000-000048090000}"/>
    <cellStyle name="나쁨 23" xfId="49018" xr:uid="{00000000-0005-0000-0000-000049090000}"/>
    <cellStyle name="나쁨 24" xfId="49019" xr:uid="{00000000-0005-0000-0000-00004A090000}"/>
    <cellStyle name="나쁨 25" xfId="49020" xr:uid="{00000000-0005-0000-0000-00004B090000}"/>
    <cellStyle name="나쁨 26" xfId="49021" xr:uid="{00000000-0005-0000-0000-00004C090000}"/>
    <cellStyle name="나쁨 27" xfId="49022" xr:uid="{00000000-0005-0000-0000-00004D090000}"/>
    <cellStyle name="나쁨 28" xfId="49023" xr:uid="{00000000-0005-0000-0000-00004E090000}"/>
    <cellStyle name="나쁨 29" xfId="49024" xr:uid="{00000000-0005-0000-0000-00004F090000}"/>
    <cellStyle name="나쁨 3" xfId="3035" xr:uid="{00000000-0005-0000-0000-000050090000}"/>
    <cellStyle name="나쁨 3 10" xfId="3499" xr:uid="{00000000-0005-0000-0000-000051090000}"/>
    <cellStyle name="나쁨 3 11" xfId="2527" xr:uid="{00000000-0005-0000-0000-000052090000}"/>
    <cellStyle name="나쁨 3 2" xfId="4012" xr:uid="{00000000-0005-0000-0000-000053090000}"/>
    <cellStyle name="나쁨 3 3" xfId="3033" xr:uid="{00000000-0005-0000-0000-000054090000}"/>
    <cellStyle name="나쁨 3 4" xfId="3158" xr:uid="{00000000-0005-0000-0000-000055090000}"/>
    <cellStyle name="나쁨 3 5" xfId="3730" xr:uid="{00000000-0005-0000-0000-000056090000}"/>
    <cellStyle name="나쁨 3 6" xfId="360" xr:uid="{00000000-0005-0000-0000-000057090000}"/>
    <cellStyle name="나쁨 3 7" xfId="4016" xr:uid="{00000000-0005-0000-0000-000058090000}"/>
    <cellStyle name="나쁨 3 8" xfId="2650" xr:uid="{00000000-0005-0000-0000-000059090000}"/>
    <cellStyle name="나쁨 3 9" xfId="3285" xr:uid="{00000000-0005-0000-0000-00005A090000}"/>
    <cellStyle name="나쁨 30" xfId="49025" xr:uid="{00000000-0005-0000-0000-00005B090000}"/>
    <cellStyle name="나쁨 31" xfId="49026" xr:uid="{00000000-0005-0000-0000-00005C090000}"/>
    <cellStyle name="나쁨 32" xfId="49027" xr:uid="{00000000-0005-0000-0000-00005D090000}"/>
    <cellStyle name="나쁨 33" xfId="49028" xr:uid="{00000000-0005-0000-0000-00005E090000}"/>
    <cellStyle name="나쁨 4" xfId="4013" xr:uid="{00000000-0005-0000-0000-00005F090000}"/>
    <cellStyle name="나쁨 4 10" xfId="3027" xr:uid="{00000000-0005-0000-0000-000060090000}"/>
    <cellStyle name="나쁨 4 11" xfId="3737" xr:uid="{00000000-0005-0000-0000-000061090000}"/>
    <cellStyle name="나쁨 4 2" xfId="3256" xr:uid="{00000000-0005-0000-0000-000062090000}"/>
    <cellStyle name="나쁨 4 3" xfId="3244" xr:uid="{00000000-0005-0000-0000-000063090000}"/>
    <cellStyle name="나쁨 4 4" xfId="3745" xr:uid="{00000000-0005-0000-0000-000064090000}"/>
    <cellStyle name="나쁨 4 5" xfId="3504" xr:uid="{00000000-0005-0000-0000-000065090000}"/>
    <cellStyle name="나쁨 4 6" xfId="4087" xr:uid="{00000000-0005-0000-0000-000066090000}"/>
    <cellStyle name="나쁨 4 7" xfId="4237" xr:uid="{00000000-0005-0000-0000-000067090000}"/>
    <cellStyle name="나쁨 4 8" xfId="3991" xr:uid="{00000000-0005-0000-0000-000068090000}"/>
    <cellStyle name="나쁨 4 9" xfId="3020" xr:uid="{00000000-0005-0000-0000-000069090000}"/>
    <cellStyle name="나쁨 5" xfId="3895" xr:uid="{00000000-0005-0000-0000-00006A090000}"/>
    <cellStyle name="나쁨 5 2" xfId="2547" xr:uid="{00000000-0005-0000-0000-00006B090000}"/>
    <cellStyle name="나쁨 5 3" xfId="3752" xr:uid="{00000000-0005-0000-0000-00006C090000}"/>
    <cellStyle name="나쁨 5 4" xfId="3270" xr:uid="{00000000-0005-0000-0000-00006D090000}"/>
    <cellStyle name="나쁨 5 5" xfId="2784" xr:uid="{00000000-0005-0000-0000-00006E090000}"/>
    <cellStyle name="나쁨 6" xfId="2769" xr:uid="{00000000-0005-0000-0000-00006F090000}"/>
    <cellStyle name="나쁨 6 2" xfId="3754" xr:uid="{00000000-0005-0000-0000-000070090000}"/>
    <cellStyle name="나쁨 6 3" xfId="3899" xr:uid="{00000000-0005-0000-0000-000071090000}"/>
    <cellStyle name="나쁨 6 4" xfId="3415" xr:uid="{00000000-0005-0000-0000-000072090000}"/>
    <cellStyle name="나쁨 6 5" xfId="4289" xr:uid="{00000000-0005-0000-0000-000073090000}"/>
    <cellStyle name="나쁨 7" xfId="3306" xr:uid="{00000000-0005-0000-0000-000074090000}"/>
    <cellStyle name="나쁨 7 2" xfId="3603" xr:uid="{00000000-0005-0000-0000-000075090000}"/>
    <cellStyle name="나쁨 8" xfId="3070" xr:uid="{00000000-0005-0000-0000-000076090000}"/>
    <cellStyle name="나쁨 8 2" xfId="3791" xr:uid="{00000000-0005-0000-0000-000077090000}"/>
    <cellStyle name="나쁨 9" xfId="6483" xr:uid="{00000000-0005-0000-0000-000078090000}"/>
    <cellStyle name="내역서" xfId="49029" xr:uid="{00000000-0005-0000-0000-000079090000}"/>
    <cellStyle name="뒤에 오는 하이퍼링크_1111" xfId="49030" xr:uid="{00000000-0005-0000-0000-00007A090000}"/>
    <cellStyle name="똿뗦먛귟 [0.00]_PRODUCT DETAIL Q1" xfId="245" xr:uid="{00000000-0005-0000-0000-00007B090000}"/>
    <cellStyle name="똿뗦먛귟_PRODUCT DETAIL Q1" xfId="246" xr:uid="{00000000-0005-0000-0000-00007C090000}"/>
    <cellStyle name="마이너스키" xfId="49031" xr:uid="{00000000-0005-0000-0000-00007D090000}"/>
    <cellStyle name="메모 10" xfId="6297" xr:uid="{00000000-0005-0000-0000-00007E090000}"/>
    <cellStyle name="메모 11" xfId="6498" xr:uid="{00000000-0005-0000-0000-00007F090000}"/>
    <cellStyle name="메모 12" xfId="6279" xr:uid="{00000000-0005-0000-0000-000080090000}"/>
    <cellStyle name="메모 13" xfId="49032" xr:uid="{00000000-0005-0000-0000-000081090000}"/>
    <cellStyle name="메모 14" xfId="49033" xr:uid="{00000000-0005-0000-0000-000082090000}"/>
    <cellStyle name="메모 15" xfId="49034" xr:uid="{00000000-0005-0000-0000-000083090000}"/>
    <cellStyle name="메모 16" xfId="49035" xr:uid="{00000000-0005-0000-0000-000084090000}"/>
    <cellStyle name="메모 17" xfId="49036" xr:uid="{00000000-0005-0000-0000-000085090000}"/>
    <cellStyle name="메모 18" xfId="49037" xr:uid="{00000000-0005-0000-0000-000086090000}"/>
    <cellStyle name="메모 19" xfId="49038" xr:uid="{00000000-0005-0000-0000-000087090000}"/>
    <cellStyle name="메모 2" xfId="247" xr:uid="{00000000-0005-0000-0000-000088090000}"/>
    <cellStyle name="메모 2 10" xfId="4773" xr:uid="{00000000-0005-0000-0000-000089090000}"/>
    <cellStyle name="메모 2 10 2" xfId="4774" xr:uid="{00000000-0005-0000-0000-00008A090000}"/>
    <cellStyle name="메모 2 11" xfId="4775" xr:uid="{00000000-0005-0000-0000-00008B090000}"/>
    <cellStyle name="메모 2 11 2" xfId="4776" xr:uid="{00000000-0005-0000-0000-00008C090000}"/>
    <cellStyle name="메모 2 12" xfId="4777" xr:uid="{00000000-0005-0000-0000-00008D090000}"/>
    <cellStyle name="메모 2 12 2" xfId="4778" xr:uid="{00000000-0005-0000-0000-00008E090000}"/>
    <cellStyle name="메모 2 13" xfId="4779" xr:uid="{00000000-0005-0000-0000-00008F090000}"/>
    <cellStyle name="메모 2 13 2" xfId="4780" xr:uid="{00000000-0005-0000-0000-000090090000}"/>
    <cellStyle name="메모 2 14" xfId="4781" xr:uid="{00000000-0005-0000-0000-000091090000}"/>
    <cellStyle name="메모 2 14 2" xfId="4782" xr:uid="{00000000-0005-0000-0000-000092090000}"/>
    <cellStyle name="메모 2 15" xfId="4783" xr:uid="{00000000-0005-0000-0000-000093090000}"/>
    <cellStyle name="메모 2 15 2" xfId="4784" xr:uid="{00000000-0005-0000-0000-000094090000}"/>
    <cellStyle name="메모 2 16" xfId="4785" xr:uid="{00000000-0005-0000-0000-000095090000}"/>
    <cellStyle name="메모 2 16 2" xfId="4786" xr:uid="{00000000-0005-0000-0000-000096090000}"/>
    <cellStyle name="메모 2 17" xfId="4787" xr:uid="{00000000-0005-0000-0000-000097090000}"/>
    <cellStyle name="메모 2 17 2" xfId="4788" xr:uid="{00000000-0005-0000-0000-000098090000}"/>
    <cellStyle name="메모 2 18" xfId="4789" xr:uid="{00000000-0005-0000-0000-000099090000}"/>
    <cellStyle name="메모 2 18 2" xfId="4790" xr:uid="{00000000-0005-0000-0000-00009A090000}"/>
    <cellStyle name="메모 2 19" xfId="4791" xr:uid="{00000000-0005-0000-0000-00009B090000}"/>
    <cellStyle name="메모 2 19 2" xfId="4792" xr:uid="{00000000-0005-0000-0000-00009C090000}"/>
    <cellStyle name="메모 2 2" xfId="4294" xr:uid="{00000000-0005-0000-0000-00009D090000}"/>
    <cellStyle name="메모 2 2 10" xfId="3793" xr:uid="{00000000-0005-0000-0000-00009E090000}"/>
    <cellStyle name="메모 2 2 10 2" xfId="4793" xr:uid="{00000000-0005-0000-0000-00009F090000}"/>
    <cellStyle name="메모 2 2 11" xfId="2760" xr:uid="{00000000-0005-0000-0000-0000A0090000}"/>
    <cellStyle name="메모 2 2 11 2" xfId="4794" xr:uid="{00000000-0005-0000-0000-0000A1090000}"/>
    <cellStyle name="메모 2 2 12" xfId="4795" xr:uid="{00000000-0005-0000-0000-0000A2090000}"/>
    <cellStyle name="메모 2 2 12 2" xfId="4796" xr:uid="{00000000-0005-0000-0000-0000A3090000}"/>
    <cellStyle name="메모 2 2 13" xfId="4797" xr:uid="{00000000-0005-0000-0000-0000A4090000}"/>
    <cellStyle name="메모 2 2 13 2" xfId="4798" xr:uid="{00000000-0005-0000-0000-0000A5090000}"/>
    <cellStyle name="메모 2 2 14" xfId="4799" xr:uid="{00000000-0005-0000-0000-0000A6090000}"/>
    <cellStyle name="메모 2 2 14 2" xfId="4800" xr:uid="{00000000-0005-0000-0000-0000A7090000}"/>
    <cellStyle name="메모 2 2 15" xfId="4801" xr:uid="{00000000-0005-0000-0000-0000A8090000}"/>
    <cellStyle name="메모 2 2 15 2" xfId="4802" xr:uid="{00000000-0005-0000-0000-0000A9090000}"/>
    <cellStyle name="메모 2 2 16" xfId="4803" xr:uid="{00000000-0005-0000-0000-0000AA090000}"/>
    <cellStyle name="메모 2 2 16 2" xfId="4804" xr:uid="{00000000-0005-0000-0000-0000AB090000}"/>
    <cellStyle name="메모 2 2 17" xfId="4805" xr:uid="{00000000-0005-0000-0000-0000AC090000}"/>
    <cellStyle name="메모 2 2 17 2" xfId="4806" xr:uid="{00000000-0005-0000-0000-0000AD090000}"/>
    <cellStyle name="메모 2 2 18" xfId="4807" xr:uid="{00000000-0005-0000-0000-0000AE090000}"/>
    <cellStyle name="메모 2 2 18 2" xfId="4808" xr:uid="{00000000-0005-0000-0000-0000AF090000}"/>
    <cellStyle name="메모 2 2 19" xfId="4809" xr:uid="{00000000-0005-0000-0000-0000B0090000}"/>
    <cellStyle name="메모 2 2 19 2" xfId="4810" xr:uid="{00000000-0005-0000-0000-0000B1090000}"/>
    <cellStyle name="메모 2 2 2" xfId="3071" xr:uid="{00000000-0005-0000-0000-0000B2090000}"/>
    <cellStyle name="메모 2 2 2 10" xfId="4811" xr:uid="{00000000-0005-0000-0000-0000B3090000}"/>
    <cellStyle name="메모 2 2 2 10 2" xfId="4812" xr:uid="{00000000-0005-0000-0000-0000B4090000}"/>
    <cellStyle name="메모 2 2 2 11" xfId="4813" xr:uid="{00000000-0005-0000-0000-0000B5090000}"/>
    <cellStyle name="메모 2 2 2 11 2" xfId="4814" xr:uid="{00000000-0005-0000-0000-0000B6090000}"/>
    <cellStyle name="메모 2 2 2 12" xfId="4815" xr:uid="{00000000-0005-0000-0000-0000B7090000}"/>
    <cellStyle name="메모 2 2 2 12 2" xfId="4816" xr:uid="{00000000-0005-0000-0000-0000B8090000}"/>
    <cellStyle name="메모 2 2 2 13" xfId="4817" xr:uid="{00000000-0005-0000-0000-0000B9090000}"/>
    <cellStyle name="메모 2 2 2 13 2" xfId="4818" xr:uid="{00000000-0005-0000-0000-0000BA090000}"/>
    <cellStyle name="메모 2 2 2 14" xfId="4819" xr:uid="{00000000-0005-0000-0000-0000BB090000}"/>
    <cellStyle name="메모 2 2 2 14 2" xfId="4820" xr:uid="{00000000-0005-0000-0000-0000BC090000}"/>
    <cellStyle name="메모 2 2 2 15" xfId="4821" xr:uid="{00000000-0005-0000-0000-0000BD090000}"/>
    <cellStyle name="메모 2 2 2 15 2" xfId="4822" xr:uid="{00000000-0005-0000-0000-0000BE090000}"/>
    <cellStyle name="메모 2 2 2 16" xfId="4823" xr:uid="{00000000-0005-0000-0000-0000BF090000}"/>
    <cellStyle name="메모 2 2 2 16 2" xfId="4824" xr:uid="{00000000-0005-0000-0000-0000C0090000}"/>
    <cellStyle name="메모 2 2 2 17" xfId="4825" xr:uid="{00000000-0005-0000-0000-0000C1090000}"/>
    <cellStyle name="메모 2 2 2 17 2" xfId="4826" xr:uid="{00000000-0005-0000-0000-0000C2090000}"/>
    <cellStyle name="메모 2 2 2 18" xfId="4827" xr:uid="{00000000-0005-0000-0000-0000C3090000}"/>
    <cellStyle name="메모 2 2 2 18 2" xfId="4828" xr:uid="{00000000-0005-0000-0000-0000C4090000}"/>
    <cellStyle name="메모 2 2 2 19" xfId="4829" xr:uid="{00000000-0005-0000-0000-0000C5090000}"/>
    <cellStyle name="메모 2 2 2 19 2" xfId="4830" xr:uid="{00000000-0005-0000-0000-0000C6090000}"/>
    <cellStyle name="메모 2 2 2 2" xfId="4831" xr:uid="{00000000-0005-0000-0000-0000C7090000}"/>
    <cellStyle name="메모 2 2 2 2 10" xfId="4832" xr:uid="{00000000-0005-0000-0000-0000C8090000}"/>
    <cellStyle name="메모 2 2 2 2 10 2" xfId="4833" xr:uid="{00000000-0005-0000-0000-0000C9090000}"/>
    <cellStyle name="메모 2 2 2 2 11" xfId="4834" xr:uid="{00000000-0005-0000-0000-0000CA090000}"/>
    <cellStyle name="메모 2 2 2 2 11 2" xfId="4835" xr:uid="{00000000-0005-0000-0000-0000CB090000}"/>
    <cellStyle name="메모 2 2 2 2 12" xfId="4836" xr:uid="{00000000-0005-0000-0000-0000CC090000}"/>
    <cellStyle name="메모 2 2 2 2 12 2" xfId="4837" xr:uid="{00000000-0005-0000-0000-0000CD090000}"/>
    <cellStyle name="메모 2 2 2 2 13" xfId="4838" xr:uid="{00000000-0005-0000-0000-0000CE090000}"/>
    <cellStyle name="메모 2 2 2 2 13 2" xfId="4839" xr:uid="{00000000-0005-0000-0000-0000CF090000}"/>
    <cellStyle name="메모 2 2 2 2 14" xfId="4840" xr:uid="{00000000-0005-0000-0000-0000D0090000}"/>
    <cellStyle name="메모 2 2 2 2 14 2" xfId="4841" xr:uid="{00000000-0005-0000-0000-0000D1090000}"/>
    <cellStyle name="메모 2 2 2 2 15" xfId="4842" xr:uid="{00000000-0005-0000-0000-0000D2090000}"/>
    <cellStyle name="메모 2 2 2 2 15 2" xfId="4843" xr:uid="{00000000-0005-0000-0000-0000D3090000}"/>
    <cellStyle name="메모 2 2 2 2 16" xfId="4844" xr:uid="{00000000-0005-0000-0000-0000D4090000}"/>
    <cellStyle name="메모 2 2 2 2 16 2" xfId="4845" xr:uid="{00000000-0005-0000-0000-0000D5090000}"/>
    <cellStyle name="메모 2 2 2 2 17" xfId="4846" xr:uid="{00000000-0005-0000-0000-0000D6090000}"/>
    <cellStyle name="메모 2 2 2 2 17 2" xfId="4847" xr:uid="{00000000-0005-0000-0000-0000D7090000}"/>
    <cellStyle name="메모 2 2 2 2 18" xfId="4848" xr:uid="{00000000-0005-0000-0000-0000D8090000}"/>
    <cellStyle name="메모 2 2 2 2 18 2" xfId="4849" xr:uid="{00000000-0005-0000-0000-0000D9090000}"/>
    <cellStyle name="메모 2 2 2 2 19" xfId="4850" xr:uid="{00000000-0005-0000-0000-0000DA090000}"/>
    <cellStyle name="메모 2 2 2 2 19 2" xfId="4851" xr:uid="{00000000-0005-0000-0000-0000DB090000}"/>
    <cellStyle name="메모 2 2 2 2 2" xfId="4852" xr:uid="{00000000-0005-0000-0000-0000DC090000}"/>
    <cellStyle name="메모 2 2 2 2 2 2" xfId="4853" xr:uid="{00000000-0005-0000-0000-0000DD090000}"/>
    <cellStyle name="메모 2 2 2 2 20" xfId="4854" xr:uid="{00000000-0005-0000-0000-0000DE090000}"/>
    <cellStyle name="메모 2 2 2 2 3" xfId="4855" xr:uid="{00000000-0005-0000-0000-0000DF090000}"/>
    <cellStyle name="메모 2 2 2 2 3 2" xfId="4856" xr:uid="{00000000-0005-0000-0000-0000E0090000}"/>
    <cellStyle name="메모 2 2 2 2 4" xfId="4857" xr:uid="{00000000-0005-0000-0000-0000E1090000}"/>
    <cellStyle name="메모 2 2 2 2 4 2" xfId="4858" xr:uid="{00000000-0005-0000-0000-0000E2090000}"/>
    <cellStyle name="메모 2 2 2 2 5" xfId="4859" xr:uid="{00000000-0005-0000-0000-0000E3090000}"/>
    <cellStyle name="메모 2 2 2 2 5 2" xfId="4860" xr:uid="{00000000-0005-0000-0000-0000E4090000}"/>
    <cellStyle name="메모 2 2 2 2 6" xfId="4861" xr:uid="{00000000-0005-0000-0000-0000E5090000}"/>
    <cellStyle name="메모 2 2 2 2 6 2" xfId="4862" xr:uid="{00000000-0005-0000-0000-0000E6090000}"/>
    <cellStyle name="메모 2 2 2 2 7" xfId="4863" xr:uid="{00000000-0005-0000-0000-0000E7090000}"/>
    <cellStyle name="메모 2 2 2 2 7 2" xfId="4864" xr:uid="{00000000-0005-0000-0000-0000E8090000}"/>
    <cellStyle name="메모 2 2 2 2 8" xfId="4865" xr:uid="{00000000-0005-0000-0000-0000E9090000}"/>
    <cellStyle name="메모 2 2 2 2 8 2" xfId="4866" xr:uid="{00000000-0005-0000-0000-0000EA090000}"/>
    <cellStyle name="메모 2 2 2 2 9" xfId="4867" xr:uid="{00000000-0005-0000-0000-0000EB090000}"/>
    <cellStyle name="메모 2 2 2 2 9 2" xfId="4868" xr:uid="{00000000-0005-0000-0000-0000EC090000}"/>
    <cellStyle name="메모 2 2 2 20" xfId="4869" xr:uid="{00000000-0005-0000-0000-0000ED090000}"/>
    <cellStyle name="메모 2 2 2 20 2" xfId="4870" xr:uid="{00000000-0005-0000-0000-0000EE090000}"/>
    <cellStyle name="메모 2 2 2 21" xfId="4871" xr:uid="{00000000-0005-0000-0000-0000EF090000}"/>
    <cellStyle name="메모 2 2 2 3" xfId="4872" xr:uid="{00000000-0005-0000-0000-0000F0090000}"/>
    <cellStyle name="메모 2 2 2 3 2" xfId="4873" xr:uid="{00000000-0005-0000-0000-0000F1090000}"/>
    <cellStyle name="메모 2 2 2 4" xfId="4874" xr:uid="{00000000-0005-0000-0000-0000F2090000}"/>
    <cellStyle name="메모 2 2 2 4 2" xfId="4875" xr:uid="{00000000-0005-0000-0000-0000F3090000}"/>
    <cellStyle name="메모 2 2 2 5" xfId="4876" xr:uid="{00000000-0005-0000-0000-0000F4090000}"/>
    <cellStyle name="메모 2 2 2 5 2" xfId="4877" xr:uid="{00000000-0005-0000-0000-0000F5090000}"/>
    <cellStyle name="메모 2 2 2 6" xfId="4878" xr:uid="{00000000-0005-0000-0000-0000F6090000}"/>
    <cellStyle name="메모 2 2 2 6 2" xfId="4879" xr:uid="{00000000-0005-0000-0000-0000F7090000}"/>
    <cellStyle name="메모 2 2 2 7" xfId="4880" xr:uid="{00000000-0005-0000-0000-0000F8090000}"/>
    <cellStyle name="메모 2 2 2 7 2" xfId="4881" xr:uid="{00000000-0005-0000-0000-0000F9090000}"/>
    <cellStyle name="메모 2 2 2 8" xfId="4882" xr:uid="{00000000-0005-0000-0000-0000FA090000}"/>
    <cellStyle name="메모 2 2 2 8 2" xfId="4883" xr:uid="{00000000-0005-0000-0000-0000FB090000}"/>
    <cellStyle name="메모 2 2 2 9" xfId="4884" xr:uid="{00000000-0005-0000-0000-0000FC090000}"/>
    <cellStyle name="메모 2 2 2 9 2" xfId="4885" xr:uid="{00000000-0005-0000-0000-0000FD090000}"/>
    <cellStyle name="메모 2 2 20" xfId="4886" xr:uid="{00000000-0005-0000-0000-0000FE090000}"/>
    <cellStyle name="메모 2 2 20 2" xfId="4887" xr:uid="{00000000-0005-0000-0000-0000FF090000}"/>
    <cellStyle name="메모 2 2 21" xfId="4888" xr:uid="{00000000-0005-0000-0000-0000000A0000}"/>
    <cellStyle name="메모 2 2 21 2" xfId="4889" xr:uid="{00000000-0005-0000-0000-0000010A0000}"/>
    <cellStyle name="메모 2 2 22" xfId="4890" xr:uid="{00000000-0005-0000-0000-0000020A0000}"/>
    <cellStyle name="메모 2 2 22 2" xfId="4891" xr:uid="{00000000-0005-0000-0000-0000030A0000}"/>
    <cellStyle name="메모 2 2 23" xfId="4892" xr:uid="{00000000-0005-0000-0000-0000040A0000}"/>
    <cellStyle name="메모 2 2 23 2" xfId="4893" xr:uid="{00000000-0005-0000-0000-0000050A0000}"/>
    <cellStyle name="메모 2 2 24" xfId="4894" xr:uid="{00000000-0005-0000-0000-0000060A0000}"/>
    <cellStyle name="메모 2 2 25" xfId="49040" xr:uid="{00000000-0005-0000-0000-0000070A0000}"/>
    <cellStyle name="메모 2 2 3" xfId="3577" xr:uid="{00000000-0005-0000-0000-0000080A0000}"/>
    <cellStyle name="메모 2 2 3 10" xfId="4895" xr:uid="{00000000-0005-0000-0000-0000090A0000}"/>
    <cellStyle name="메모 2 2 3 10 2" xfId="4896" xr:uid="{00000000-0005-0000-0000-00000A0A0000}"/>
    <cellStyle name="메모 2 2 3 11" xfId="4897" xr:uid="{00000000-0005-0000-0000-00000B0A0000}"/>
    <cellStyle name="메모 2 2 3 11 2" xfId="4898" xr:uid="{00000000-0005-0000-0000-00000C0A0000}"/>
    <cellStyle name="메모 2 2 3 12" xfId="4899" xr:uid="{00000000-0005-0000-0000-00000D0A0000}"/>
    <cellStyle name="메모 2 2 3 12 2" xfId="4900" xr:uid="{00000000-0005-0000-0000-00000E0A0000}"/>
    <cellStyle name="메모 2 2 3 13" xfId="4901" xr:uid="{00000000-0005-0000-0000-00000F0A0000}"/>
    <cellStyle name="메모 2 2 3 13 2" xfId="4902" xr:uid="{00000000-0005-0000-0000-0000100A0000}"/>
    <cellStyle name="메모 2 2 3 14" xfId="4903" xr:uid="{00000000-0005-0000-0000-0000110A0000}"/>
    <cellStyle name="메모 2 2 3 14 2" xfId="4904" xr:uid="{00000000-0005-0000-0000-0000120A0000}"/>
    <cellStyle name="메모 2 2 3 15" xfId="4905" xr:uid="{00000000-0005-0000-0000-0000130A0000}"/>
    <cellStyle name="메모 2 2 3 15 2" xfId="4906" xr:uid="{00000000-0005-0000-0000-0000140A0000}"/>
    <cellStyle name="메모 2 2 3 16" xfId="4907" xr:uid="{00000000-0005-0000-0000-0000150A0000}"/>
    <cellStyle name="메모 2 2 3 16 2" xfId="4908" xr:uid="{00000000-0005-0000-0000-0000160A0000}"/>
    <cellStyle name="메모 2 2 3 17" xfId="4909" xr:uid="{00000000-0005-0000-0000-0000170A0000}"/>
    <cellStyle name="메모 2 2 3 17 2" xfId="4910" xr:uid="{00000000-0005-0000-0000-0000180A0000}"/>
    <cellStyle name="메모 2 2 3 18" xfId="4911" xr:uid="{00000000-0005-0000-0000-0000190A0000}"/>
    <cellStyle name="메모 2 2 3 18 2" xfId="4912" xr:uid="{00000000-0005-0000-0000-00001A0A0000}"/>
    <cellStyle name="메모 2 2 3 19" xfId="4913" xr:uid="{00000000-0005-0000-0000-00001B0A0000}"/>
    <cellStyle name="메모 2 2 3 19 2" xfId="4914" xr:uid="{00000000-0005-0000-0000-00001C0A0000}"/>
    <cellStyle name="메모 2 2 3 2" xfId="4915" xr:uid="{00000000-0005-0000-0000-00001D0A0000}"/>
    <cellStyle name="메모 2 2 3 2 10" xfId="4916" xr:uid="{00000000-0005-0000-0000-00001E0A0000}"/>
    <cellStyle name="메모 2 2 3 2 10 2" xfId="4917" xr:uid="{00000000-0005-0000-0000-00001F0A0000}"/>
    <cellStyle name="메모 2 2 3 2 11" xfId="4918" xr:uid="{00000000-0005-0000-0000-0000200A0000}"/>
    <cellStyle name="메모 2 2 3 2 11 2" xfId="4919" xr:uid="{00000000-0005-0000-0000-0000210A0000}"/>
    <cellStyle name="메모 2 2 3 2 12" xfId="4920" xr:uid="{00000000-0005-0000-0000-0000220A0000}"/>
    <cellStyle name="메모 2 2 3 2 12 2" xfId="4921" xr:uid="{00000000-0005-0000-0000-0000230A0000}"/>
    <cellStyle name="메모 2 2 3 2 13" xfId="4922" xr:uid="{00000000-0005-0000-0000-0000240A0000}"/>
    <cellStyle name="메모 2 2 3 2 13 2" xfId="4923" xr:uid="{00000000-0005-0000-0000-0000250A0000}"/>
    <cellStyle name="메모 2 2 3 2 14" xfId="4924" xr:uid="{00000000-0005-0000-0000-0000260A0000}"/>
    <cellStyle name="메모 2 2 3 2 14 2" xfId="4925" xr:uid="{00000000-0005-0000-0000-0000270A0000}"/>
    <cellStyle name="메모 2 2 3 2 15" xfId="4926" xr:uid="{00000000-0005-0000-0000-0000280A0000}"/>
    <cellStyle name="메모 2 2 3 2 15 2" xfId="4927" xr:uid="{00000000-0005-0000-0000-0000290A0000}"/>
    <cellStyle name="메모 2 2 3 2 16" xfId="4928" xr:uid="{00000000-0005-0000-0000-00002A0A0000}"/>
    <cellStyle name="메모 2 2 3 2 16 2" xfId="4929" xr:uid="{00000000-0005-0000-0000-00002B0A0000}"/>
    <cellStyle name="메모 2 2 3 2 17" xfId="4930" xr:uid="{00000000-0005-0000-0000-00002C0A0000}"/>
    <cellStyle name="메모 2 2 3 2 17 2" xfId="4931" xr:uid="{00000000-0005-0000-0000-00002D0A0000}"/>
    <cellStyle name="메모 2 2 3 2 18" xfId="4932" xr:uid="{00000000-0005-0000-0000-00002E0A0000}"/>
    <cellStyle name="메모 2 2 3 2 18 2" xfId="4933" xr:uid="{00000000-0005-0000-0000-00002F0A0000}"/>
    <cellStyle name="메모 2 2 3 2 19" xfId="4934" xr:uid="{00000000-0005-0000-0000-0000300A0000}"/>
    <cellStyle name="메모 2 2 3 2 19 2" xfId="4935" xr:uid="{00000000-0005-0000-0000-0000310A0000}"/>
    <cellStyle name="메모 2 2 3 2 2" xfId="4936" xr:uid="{00000000-0005-0000-0000-0000320A0000}"/>
    <cellStyle name="메모 2 2 3 2 2 2" xfId="4937" xr:uid="{00000000-0005-0000-0000-0000330A0000}"/>
    <cellStyle name="메모 2 2 3 2 20" xfId="4938" xr:uid="{00000000-0005-0000-0000-0000340A0000}"/>
    <cellStyle name="메모 2 2 3 2 3" xfId="4939" xr:uid="{00000000-0005-0000-0000-0000350A0000}"/>
    <cellStyle name="메모 2 2 3 2 3 2" xfId="4940" xr:uid="{00000000-0005-0000-0000-0000360A0000}"/>
    <cellStyle name="메모 2 2 3 2 4" xfId="4941" xr:uid="{00000000-0005-0000-0000-0000370A0000}"/>
    <cellStyle name="메모 2 2 3 2 4 2" xfId="4942" xr:uid="{00000000-0005-0000-0000-0000380A0000}"/>
    <cellStyle name="메모 2 2 3 2 5" xfId="4943" xr:uid="{00000000-0005-0000-0000-0000390A0000}"/>
    <cellStyle name="메모 2 2 3 2 5 2" xfId="4944" xr:uid="{00000000-0005-0000-0000-00003A0A0000}"/>
    <cellStyle name="메모 2 2 3 2 6" xfId="4945" xr:uid="{00000000-0005-0000-0000-00003B0A0000}"/>
    <cellStyle name="메모 2 2 3 2 6 2" xfId="4946" xr:uid="{00000000-0005-0000-0000-00003C0A0000}"/>
    <cellStyle name="메모 2 2 3 2 7" xfId="4947" xr:uid="{00000000-0005-0000-0000-00003D0A0000}"/>
    <cellStyle name="메모 2 2 3 2 7 2" xfId="4948" xr:uid="{00000000-0005-0000-0000-00003E0A0000}"/>
    <cellStyle name="메모 2 2 3 2 8" xfId="4949" xr:uid="{00000000-0005-0000-0000-00003F0A0000}"/>
    <cellStyle name="메모 2 2 3 2 8 2" xfId="4950" xr:uid="{00000000-0005-0000-0000-0000400A0000}"/>
    <cellStyle name="메모 2 2 3 2 9" xfId="4951" xr:uid="{00000000-0005-0000-0000-0000410A0000}"/>
    <cellStyle name="메모 2 2 3 2 9 2" xfId="4952" xr:uid="{00000000-0005-0000-0000-0000420A0000}"/>
    <cellStyle name="메모 2 2 3 20" xfId="4953" xr:uid="{00000000-0005-0000-0000-0000430A0000}"/>
    <cellStyle name="메모 2 2 3 20 2" xfId="4954" xr:uid="{00000000-0005-0000-0000-0000440A0000}"/>
    <cellStyle name="메모 2 2 3 21" xfId="4955" xr:uid="{00000000-0005-0000-0000-0000450A0000}"/>
    <cellStyle name="메모 2 2 3 3" xfId="4956" xr:uid="{00000000-0005-0000-0000-0000460A0000}"/>
    <cellStyle name="메모 2 2 3 3 2" xfId="4957" xr:uid="{00000000-0005-0000-0000-0000470A0000}"/>
    <cellStyle name="메모 2 2 3 4" xfId="4958" xr:uid="{00000000-0005-0000-0000-0000480A0000}"/>
    <cellStyle name="메모 2 2 3 4 2" xfId="4959" xr:uid="{00000000-0005-0000-0000-0000490A0000}"/>
    <cellStyle name="메모 2 2 3 5" xfId="4960" xr:uid="{00000000-0005-0000-0000-00004A0A0000}"/>
    <cellStyle name="메모 2 2 3 5 2" xfId="4961" xr:uid="{00000000-0005-0000-0000-00004B0A0000}"/>
    <cellStyle name="메모 2 2 3 6" xfId="4962" xr:uid="{00000000-0005-0000-0000-00004C0A0000}"/>
    <cellStyle name="메모 2 2 3 6 2" xfId="4963" xr:uid="{00000000-0005-0000-0000-00004D0A0000}"/>
    <cellStyle name="메모 2 2 3 7" xfId="4964" xr:uid="{00000000-0005-0000-0000-00004E0A0000}"/>
    <cellStyle name="메모 2 2 3 7 2" xfId="4965" xr:uid="{00000000-0005-0000-0000-00004F0A0000}"/>
    <cellStyle name="메모 2 2 3 8" xfId="4966" xr:uid="{00000000-0005-0000-0000-0000500A0000}"/>
    <cellStyle name="메모 2 2 3 8 2" xfId="4967" xr:uid="{00000000-0005-0000-0000-0000510A0000}"/>
    <cellStyle name="메모 2 2 3 9" xfId="4968" xr:uid="{00000000-0005-0000-0000-0000520A0000}"/>
    <cellStyle name="메모 2 2 3 9 2" xfId="4969" xr:uid="{00000000-0005-0000-0000-0000530A0000}"/>
    <cellStyle name="메모 2 2 4" xfId="2755" xr:uid="{00000000-0005-0000-0000-0000540A0000}"/>
    <cellStyle name="메모 2 2 4 10" xfId="4970" xr:uid="{00000000-0005-0000-0000-0000550A0000}"/>
    <cellStyle name="메모 2 2 4 10 2" xfId="4971" xr:uid="{00000000-0005-0000-0000-0000560A0000}"/>
    <cellStyle name="메모 2 2 4 11" xfId="4972" xr:uid="{00000000-0005-0000-0000-0000570A0000}"/>
    <cellStyle name="메모 2 2 4 11 2" xfId="4973" xr:uid="{00000000-0005-0000-0000-0000580A0000}"/>
    <cellStyle name="메모 2 2 4 12" xfId="4974" xr:uid="{00000000-0005-0000-0000-0000590A0000}"/>
    <cellStyle name="메모 2 2 4 12 2" xfId="4975" xr:uid="{00000000-0005-0000-0000-00005A0A0000}"/>
    <cellStyle name="메모 2 2 4 13" xfId="4976" xr:uid="{00000000-0005-0000-0000-00005B0A0000}"/>
    <cellStyle name="메모 2 2 4 13 2" xfId="4977" xr:uid="{00000000-0005-0000-0000-00005C0A0000}"/>
    <cellStyle name="메모 2 2 4 14" xfId="4978" xr:uid="{00000000-0005-0000-0000-00005D0A0000}"/>
    <cellStyle name="메모 2 2 4 14 2" xfId="4979" xr:uid="{00000000-0005-0000-0000-00005E0A0000}"/>
    <cellStyle name="메모 2 2 4 15" xfId="4980" xr:uid="{00000000-0005-0000-0000-00005F0A0000}"/>
    <cellStyle name="메모 2 2 4 15 2" xfId="4981" xr:uid="{00000000-0005-0000-0000-0000600A0000}"/>
    <cellStyle name="메모 2 2 4 16" xfId="4982" xr:uid="{00000000-0005-0000-0000-0000610A0000}"/>
    <cellStyle name="메모 2 2 4 16 2" xfId="4983" xr:uid="{00000000-0005-0000-0000-0000620A0000}"/>
    <cellStyle name="메모 2 2 4 17" xfId="4984" xr:uid="{00000000-0005-0000-0000-0000630A0000}"/>
    <cellStyle name="메모 2 2 4 17 2" xfId="4985" xr:uid="{00000000-0005-0000-0000-0000640A0000}"/>
    <cellStyle name="메모 2 2 4 18" xfId="4986" xr:uid="{00000000-0005-0000-0000-0000650A0000}"/>
    <cellStyle name="메모 2 2 4 18 2" xfId="4987" xr:uid="{00000000-0005-0000-0000-0000660A0000}"/>
    <cellStyle name="메모 2 2 4 19" xfId="4988" xr:uid="{00000000-0005-0000-0000-0000670A0000}"/>
    <cellStyle name="메모 2 2 4 19 2" xfId="4989" xr:uid="{00000000-0005-0000-0000-0000680A0000}"/>
    <cellStyle name="메모 2 2 4 2" xfId="4990" xr:uid="{00000000-0005-0000-0000-0000690A0000}"/>
    <cellStyle name="메모 2 2 4 2 10" xfId="4991" xr:uid="{00000000-0005-0000-0000-00006A0A0000}"/>
    <cellStyle name="메모 2 2 4 2 10 2" xfId="4992" xr:uid="{00000000-0005-0000-0000-00006B0A0000}"/>
    <cellStyle name="메모 2 2 4 2 11" xfId="4993" xr:uid="{00000000-0005-0000-0000-00006C0A0000}"/>
    <cellStyle name="메모 2 2 4 2 11 2" xfId="4994" xr:uid="{00000000-0005-0000-0000-00006D0A0000}"/>
    <cellStyle name="메모 2 2 4 2 12" xfId="4995" xr:uid="{00000000-0005-0000-0000-00006E0A0000}"/>
    <cellStyle name="메모 2 2 4 2 12 2" xfId="4996" xr:uid="{00000000-0005-0000-0000-00006F0A0000}"/>
    <cellStyle name="메모 2 2 4 2 13" xfId="4997" xr:uid="{00000000-0005-0000-0000-0000700A0000}"/>
    <cellStyle name="메모 2 2 4 2 13 2" xfId="4998" xr:uid="{00000000-0005-0000-0000-0000710A0000}"/>
    <cellStyle name="메모 2 2 4 2 14" xfId="4999" xr:uid="{00000000-0005-0000-0000-0000720A0000}"/>
    <cellStyle name="메모 2 2 4 2 14 2" xfId="5000" xr:uid="{00000000-0005-0000-0000-0000730A0000}"/>
    <cellStyle name="메모 2 2 4 2 15" xfId="5001" xr:uid="{00000000-0005-0000-0000-0000740A0000}"/>
    <cellStyle name="메모 2 2 4 2 15 2" xfId="5002" xr:uid="{00000000-0005-0000-0000-0000750A0000}"/>
    <cellStyle name="메모 2 2 4 2 16" xfId="5003" xr:uid="{00000000-0005-0000-0000-0000760A0000}"/>
    <cellStyle name="메모 2 2 4 2 16 2" xfId="5004" xr:uid="{00000000-0005-0000-0000-0000770A0000}"/>
    <cellStyle name="메모 2 2 4 2 17" xfId="5005" xr:uid="{00000000-0005-0000-0000-0000780A0000}"/>
    <cellStyle name="메모 2 2 4 2 17 2" xfId="5006" xr:uid="{00000000-0005-0000-0000-0000790A0000}"/>
    <cellStyle name="메모 2 2 4 2 18" xfId="5007" xr:uid="{00000000-0005-0000-0000-00007A0A0000}"/>
    <cellStyle name="메모 2 2 4 2 18 2" xfId="5008" xr:uid="{00000000-0005-0000-0000-00007B0A0000}"/>
    <cellStyle name="메모 2 2 4 2 19" xfId="5009" xr:uid="{00000000-0005-0000-0000-00007C0A0000}"/>
    <cellStyle name="메모 2 2 4 2 19 2" xfId="5010" xr:uid="{00000000-0005-0000-0000-00007D0A0000}"/>
    <cellStyle name="메모 2 2 4 2 2" xfId="5011" xr:uid="{00000000-0005-0000-0000-00007E0A0000}"/>
    <cellStyle name="메모 2 2 4 2 2 2" xfId="5012" xr:uid="{00000000-0005-0000-0000-00007F0A0000}"/>
    <cellStyle name="메모 2 2 4 2 20" xfId="5013" xr:uid="{00000000-0005-0000-0000-0000800A0000}"/>
    <cellStyle name="메모 2 2 4 2 3" xfId="5014" xr:uid="{00000000-0005-0000-0000-0000810A0000}"/>
    <cellStyle name="메모 2 2 4 2 3 2" xfId="5015" xr:uid="{00000000-0005-0000-0000-0000820A0000}"/>
    <cellStyle name="메모 2 2 4 2 4" xfId="5016" xr:uid="{00000000-0005-0000-0000-0000830A0000}"/>
    <cellStyle name="메모 2 2 4 2 4 2" xfId="5017" xr:uid="{00000000-0005-0000-0000-0000840A0000}"/>
    <cellStyle name="메모 2 2 4 2 5" xfId="5018" xr:uid="{00000000-0005-0000-0000-0000850A0000}"/>
    <cellStyle name="메모 2 2 4 2 5 2" xfId="5019" xr:uid="{00000000-0005-0000-0000-0000860A0000}"/>
    <cellStyle name="메모 2 2 4 2 6" xfId="5020" xr:uid="{00000000-0005-0000-0000-0000870A0000}"/>
    <cellStyle name="메모 2 2 4 2 6 2" xfId="5021" xr:uid="{00000000-0005-0000-0000-0000880A0000}"/>
    <cellStyle name="메모 2 2 4 2 7" xfId="5022" xr:uid="{00000000-0005-0000-0000-0000890A0000}"/>
    <cellStyle name="메모 2 2 4 2 7 2" xfId="5023" xr:uid="{00000000-0005-0000-0000-00008A0A0000}"/>
    <cellStyle name="메모 2 2 4 2 8" xfId="5024" xr:uid="{00000000-0005-0000-0000-00008B0A0000}"/>
    <cellStyle name="메모 2 2 4 2 8 2" xfId="5025" xr:uid="{00000000-0005-0000-0000-00008C0A0000}"/>
    <cellStyle name="메모 2 2 4 2 9" xfId="5026" xr:uid="{00000000-0005-0000-0000-00008D0A0000}"/>
    <cellStyle name="메모 2 2 4 2 9 2" xfId="5027" xr:uid="{00000000-0005-0000-0000-00008E0A0000}"/>
    <cellStyle name="메모 2 2 4 20" xfId="5028" xr:uid="{00000000-0005-0000-0000-00008F0A0000}"/>
    <cellStyle name="메모 2 2 4 20 2" xfId="5029" xr:uid="{00000000-0005-0000-0000-0000900A0000}"/>
    <cellStyle name="메모 2 2 4 21" xfId="5030" xr:uid="{00000000-0005-0000-0000-0000910A0000}"/>
    <cellStyle name="메모 2 2 4 3" xfId="5031" xr:uid="{00000000-0005-0000-0000-0000920A0000}"/>
    <cellStyle name="메모 2 2 4 3 2" xfId="5032" xr:uid="{00000000-0005-0000-0000-0000930A0000}"/>
    <cellStyle name="메모 2 2 4 4" xfId="5033" xr:uid="{00000000-0005-0000-0000-0000940A0000}"/>
    <cellStyle name="메모 2 2 4 4 2" xfId="5034" xr:uid="{00000000-0005-0000-0000-0000950A0000}"/>
    <cellStyle name="메모 2 2 4 5" xfId="5035" xr:uid="{00000000-0005-0000-0000-0000960A0000}"/>
    <cellStyle name="메모 2 2 4 5 2" xfId="5036" xr:uid="{00000000-0005-0000-0000-0000970A0000}"/>
    <cellStyle name="메모 2 2 4 6" xfId="5037" xr:uid="{00000000-0005-0000-0000-0000980A0000}"/>
    <cellStyle name="메모 2 2 4 6 2" xfId="5038" xr:uid="{00000000-0005-0000-0000-0000990A0000}"/>
    <cellStyle name="메모 2 2 4 7" xfId="5039" xr:uid="{00000000-0005-0000-0000-00009A0A0000}"/>
    <cellStyle name="메모 2 2 4 7 2" xfId="5040" xr:uid="{00000000-0005-0000-0000-00009B0A0000}"/>
    <cellStyle name="메모 2 2 4 8" xfId="5041" xr:uid="{00000000-0005-0000-0000-00009C0A0000}"/>
    <cellStyle name="메모 2 2 4 8 2" xfId="5042" xr:uid="{00000000-0005-0000-0000-00009D0A0000}"/>
    <cellStyle name="메모 2 2 4 9" xfId="5043" xr:uid="{00000000-0005-0000-0000-00009E0A0000}"/>
    <cellStyle name="메모 2 2 4 9 2" xfId="5044" xr:uid="{00000000-0005-0000-0000-00009F0A0000}"/>
    <cellStyle name="메모 2 2 5" xfId="2758" xr:uid="{00000000-0005-0000-0000-0000A00A0000}"/>
    <cellStyle name="메모 2 2 5 10" xfId="5045" xr:uid="{00000000-0005-0000-0000-0000A10A0000}"/>
    <cellStyle name="메모 2 2 5 10 2" xfId="5046" xr:uid="{00000000-0005-0000-0000-0000A20A0000}"/>
    <cellStyle name="메모 2 2 5 11" xfId="5047" xr:uid="{00000000-0005-0000-0000-0000A30A0000}"/>
    <cellStyle name="메모 2 2 5 11 2" xfId="5048" xr:uid="{00000000-0005-0000-0000-0000A40A0000}"/>
    <cellStyle name="메모 2 2 5 12" xfId="5049" xr:uid="{00000000-0005-0000-0000-0000A50A0000}"/>
    <cellStyle name="메모 2 2 5 12 2" xfId="5050" xr:uid="{00000000-0005-0000-0000-0000A60A0000}"/>
    <cellStyle name="메모 2 2 5 13" xfId="5051" xr:uid="{00000000-0005-0000-0000-0000A70A0000}"/>
    <cellStyle name="메모 2 2 5 13 2" xfId="5052" xr:uid="{00000000-0005-0000-0000-0000A80A0000}"/>
    <cellStyle name="메모 2 2 5 14" xfId="5053" xr:uid="{00000000-0005-0000-0000-0000A90A0000}"/>
    <cellStyle name="메모 2 2 5 14 2" xfId="5054" xr:uid="{00000000-0005-0000-0000-0000AA0A0000}"/>
    <cellStyle name="메모 2 2 5 15" xfId="5055" xr:uid="{00000000-0005-0000-0000-0000AB0A0000}"/>
    <cellStyle name="메모 2 2 5 15 2" xfId="5056" xr:uid="{00000000-0005-0000-0000-0000AC0A0000}"/>
    <cellStyle name="메모 2 2 5 16" xfId="5057" xr:uid="{00000000-0005-0000-0000-0000AD0A0000}"/>
    <cellStyle name="메모 2 2 5 16 2" xfId="5058" xr:uid="{00000000-0005-0000-0000-0000AE0A0000}"/>
    <cellStyle name="메모 2 2 5 17" xfId="5059" xr:uid="{00000000-0005-0000-0000-0000AF0A0000}"/>
    <cellStyle name="메모 2 2 5 17 2" xfId="5060" xr:uid="{00000000-0005-0000-0000-0000B00A0000}"/>
    <cellStyle name="메모 2 2 5 18" xfId="5061" xr:uid="{00000000-0005-0000-0000-0000B10A0000}"/>
    <cellStyle name="메모 2 2 5 18 2" xfId="5062" xr:uid="{00000000-0005-0000-0000-0000B20A0000}"/>
    <cellStyle name="메모 2 2 5 19" xfId="5063" xr:uid="{00000000-0005-0000-0000-0000B30A0000}"/>
    <cellStyle name="메모 2 2 5 19 2" xfId="5064" xr:uid="{00000000-0005-0000-0000-0000B40A0000}"/>
    <cellStyle name="메모 2 2 5 2" xfId="5065" xr:uid="{00000000-0005-0000-0000-0000B50A0000}"/>
    <cellStyle name="메모 2 2 5 2 2" xfId="5066" xr:uid="{00000000-0005-0000-0000-0000B60A0000}"/>
    <cellStyle name="메모 2 2 5 20" xfId="5067" xr:uid="{00000000-0005-0000-0000-0000B70A0000}"/>
    <cellStyle name="메모 2 2 5 3" xfId="5068" xr:uid="{00000000-0005-0000-0000-0000B80A0000}"/>
    <cellStyle name="메모 2 2 5 3 2" xfId="5069" xr:uid="{00000000-0005-0000-0000-0000B90A0000}"/>
    <cellStyle name="메모 2 2 5 4" xfId="5070" xr:uid="{00000000-0005-0000-0000-0000BA0A0000}"/>
    <cellStyle name="메모 2 2 5 4 2" xfId="5071" xr:uid="{00000000-0005-0000-0000-0000BB0A0000}"/>
    <cellStyle name="메모 2 2 5 5" xfId="5072" xr:uid="{00000000-0005-0000-0000-0000BC0A0000}"/>
    <cellStyle name="메모 2 2 5 5 2" xfId="5073" xr:uid="{00000000-0005-0000-0000-0000BD0A0000}"/>
    <cellStyle name="메모 2 2 5 6" xfId="5074" xr:uid="{00000000-0005-0000-0000-0000BE0A0000}"/>
    <cellStyle name="메모 2 2 5 6 2" xfId="5075" xr:uid="{00000000-0005-0000-0000-0000BF0A0000}"/>
    <cellStyle name="메모 2 2 5 7" xfId="5076" xr:uid="{00000000-0005-0000-0000-0000C00A0000}"/>
    <cellStyle name="메모 2 2 5 7 2" xfId="5077" xr:uid="{00000000-0005-0000-0000-0000C10A0000}"/>
    <cellStyle name="메모 2 2 5 8" xfId="5078" xr:uid="{00000000-0005-0000-0000-0000C20A0000}"/>
    <cellStyle name="메모 2 2 5 8 2" xfId="5079" xr:uid="{00000000-0005-0000-0000-0000C30A0000}"/>
    <cellStyle name="메모 2 2 5 9" xfId="5080" xr:uid="{00000000-0005-0000-0000-0000C40A0000}"/>
    <cellStyle name="메모 2 2 5 9 2" xfId="5081" xr:uid="{00000000-0005-0000-0000-0000C50A0000}"/>
    <cellStyle name="메모 2 2 6" xfId="362" xr:uid="{00000000-0005-0000-0000-0000C60A0000}"/>
    <cellStyle name="메모 2 2 6 2" xfId="5082" xr:uid="{00000000-0005-0000-0000-0000C70A0000}"/>
    <cellStyle name="메모 2 2 7" xfId="3410" xr:uid="{00000000-0005-0000-0000-0000C80A0000}"/>
    <cellStyle name="메모 2 2 7 2" xfId="5083" xr:uid="{00000000-0005-0000-0000-0000C90A0000}"/>
    <cellStyle name="메모 2 2 8" xfId="3289" xr:uid="{00000000-0005-0000-0000-0000CA0A0000}"/>
    <cellStyle name="메모 2 2 8 2" xfId="5084" xr:uid="{00000000-0005-0000-0000-0000CB0A0000}"/>
    <cellStyle name="메모 2 2 9" xfId="3520" xr:uid="{00000000-0005-0000-0000-0000CC0A0000}"/>
    <cellStyle name="메모 2 2 9 2" xfId="5085" xr:uid="{00000000-0005-0000-0000-0000CD0A0000}"/>
    <cellStyle name="메모 2 20" xfId="5086" xr:uid="{00000000-0005-0000-0000-0000CE0A0000}"/>
    <cellStyle name="메모 2 20 2" xfId="5087" xr:uid="{00000000-0005-0000-0000-0000CF0A0000}"/>
    <cellStyle name="메모 2 21" xfId="5088" xr:uid="{00000000-0005-0000-0000-0000D00A0000}"/>
    <cellStyle name="메모 2 22" xfId="6332" xr:uid="{00000000-0005-0000-0000-0000D10A0000}"/>
    <cellStyle name="메모 2 23" xfId="6461" xr:uid="{00000000-0005-0000-0000-0000D20A0000}"/>
    <cellStyle name="메모 2 24" xfId="6323" xr:uid="{00000000-0005-0000-0000-0000D30A0000}"/>
    <cellStyle name="메모 2 25" xfId="6469" xr:uid="{00000000-0005-0000-0000-0000D40A0000}"/>
    <cellStyle name="메모 2 26" xfId="6320" xr:uid="{00000000-0005-0000-0000-0000D50A0000}"/>
    <cellStyle name="메모 2 27" xfId="6479" xr:uid="{00000000-0005-0000-0000-0000D60A0000}"/>
    <cellStyle name="메모 2 28" xfId="6298" xr:uid="{00000000-0005-0000-0000-0000D70A0000}"/>
    <cellStyle name="메모 2 29" xfId="6497" xr:uid="{00000000-0005-0000-0000-0000D80A0000}"/>
    <cellStyle name="메모 2 3" xfId="3881" xr:uid="{00000000-0005-0000-0000-0000D90A0000}"/>
    <cellStyle name="메모 2 3 10" xfId="3050" xr:uid="{00000000-0005-0000-0000-0000DA0A0000}"/>
    <cellStyle name="메모 2 3 11" xfId="2688" xr:uid="{00000000-0005-0000-0000-0000DB0A0000}"/>
    <cellStyle name="메모 2 3 2" xfId="4024" xr:uid="{00000000-0005-0000-0000-0000DC0A0000}"/>
    <cellStyle name="메모 2 3 3" xfId="3687" xr:uid="{00000000-0005-0000-0000-0000DD0A0000}"/>
    <cellStyle name="메모 2 3 4" xfId="3300" xr:uid="{00000000-0005-0000-0000-0000DE0A0000}"/>
    <cellStyle name="메모 2 3 5" xfId="3056" xr:uid="{00000000-0005-0000-0000-0000DF0A0000}"/>
    <cellStyle name="메모 2 3 6" xfId="3083" xr:uid="{00000000-0005-0000-0000-0000E00A0000}"/>
    <cellStyle name="메모 2 3 7" xfId="3784" xr:uid="{00000000-0005-0000-0000-0000E10A0000}"/>
    <cellStyle name="메모 2 3 8" xfId="3541" xr:uid="{00000000-0005-0000-0000-0000E20A0000}"/>
    <cellStyle name="메모 2 3 9" xfId="4278" xr:uid="{00000000-0005-0000-0000-0000E30A0000}"/>
    <cellStyle name="메모 2 30" xfId="6280" xr:uid="{00000000-0005-0000-0000-0000E40A0000}"/>
    <cellStyle name="메모 2 31" xfId="49039" xr:uid="{00000000-0005-0000-0000-0000E50A0000}"/>
    <cellStyle name="메모 2 4" xfId="4062" xr:uid="{00000000-0005-0000-0000-0000E60A0000}"/>
    <cellStyle name="메모 2 4 10" xfId="3447" xr:uid="{00000000-0005-0000-0000-0000E70A0000}"/>
    <cellStyle name="메모 2 4 11" xfId="3840" xr:uid="{00000000-0005-0000-0000-0000E80A0000}"/>
    <cellStyle name="메모 2 4 2" xfId="3771" xr:uid="{00000000-0005-0000-0000-0000E90A0000}"/>
    <cellStyle name="메모 2 4 3" xfId="4142" xr:uid="{00000000-0005-0000-0000-0000EA0A0000}"/>
    <cellStyle name="메모 2 4 4" xfId="2419" xr:uid="{00000000-0005-0000-0000-0000EB0A0000}"/>
    <cellStyle name="메모 2 4 5" xfId="2466" xr:uid="{00000000-0005-0000-0000-0000EC0A0000}"/>
    <cellStyle name="메모 2 4 6" xfId="2596" xr:uid="{00000000-0005-0000-0000-0000ED0A0000}"/>
    <cellStyle name="메모 2 4 7" xfId="3399" xr:uid="{00000000-0005-0000-0000-0000EE0A0000}"/>
    <cellStyle name="메모 2 4 8" xfId="3960" xr:uid="{00000000-0005-0000-0000-0000EF0A0000}"/>
    <cellStyle name="메모 2 4 9" xfId="3116" xr:uid="{00000000-0005-0000-0000-0000F00A0000}"/>
    <cellStyle name="메모 2 5" xfId="5089" xr:uid="{00000000-0005-0000-0000-0000F10A0000}"/>
    <cellStyle name="메모 2 5 2" xfId="5090" xr:uid="{00000000-0005-0000-0000-0000F20A0000}"/>
    <cellStyle name="메모 2 6" xfId="5091" xr:uid="{00000000-0005-0000-0000-0000F30A0000}"/>
    <cellStyle name="메모 2 6 2" xfId="5092" xr:uid="{00000000-0005-0000-0000-0000F40A0000}"/>
    <cellStyle name="메모 2 7" xfId="5093" xr:uid="{00000000-0005-0000-0000-0000F50A0000}"/>
    <cellStyle name="메모 2 7 2" xfId="5094" xr:uid="{00000000-0005-0000-0000-0000F60A0000}"/>
    <cellStyle name="메모 2 8" xfId="5095" xr:uid="{00000000-0005-0000-0000-0000F70A0000}"/>
    <cellStyle name="메모 2 8 2" xfId="5096" xr:uid="{00000000-0005-0000-0000-0000F80A0000}"/>
    <cellStyle name="메모 2 9" xfId="5097" xr:uid="{00000000-0005-0000-0000-0000F90A0000}"/>
    <cellStyle name="메모 2 9 2" xfId="5098" xr:uid="{00000000-0005-0000-0000-0000FA0A0000}"/>
    <cellStyle name="메모 20" xfId="49041" xr:uid="{00000000-0005-0000-0000-0000FB0A0000}"/>
    <cellStyle name="메모 21" xfId="49042" xr:uid="{00000000-0005-0000-0000-0000FC0A0000}"/>
    <cellStyle name="메모 22" xfId="49043" xr:uid="{00000000-0005-0000-0000-0000FD0A0000}"/>
    <cellStyle name="메모 23" xfId="49044" xr:uid="{00000000-0005-0000-0000-0000FE0A0000}"/>
    <cellStyle name="메모 24" xfId="49045" xr:uid="{00000000-0005-0000-0000-0000FF0A0000}"/>
    <cellStyle name="메모 25" xfId="49046" xr:uid="{00000000-0005-0000-0000-0000000B0000}"/>
    <cellStyle name="메모 26" xfId="49047" xr:uid="{00000000-0005-0000-0000-0000010B0000}"/>
    <cellStyle name="메모 27" xfId="49048" xr:uid="{00000000-0005-0000-0000-0000020B0000}"/>
    <cellStyle name="메모 28" xfId="49049" xr:uid="{00000000-0005-0000-0000-0000030B0000}"/>
    <cellStyle name="메모 29" xfId="49050" xr:uid="{00000000-0005-0000-0000-0000040B0000}"/>
    <cellStyle name="메모 3" xfId="3041" xr:uid="{00000000-0005-0000-0000-0000050B0000}"/>
    <cellStyle name="메모 3 10" xfId="2505" xr:uid="{00000000-0005-0000-0000-0000060B0000}"/>
    <cellStyle name="메모 3 11" xfId="2474" xr:uid="{00000000-0005-0000-0000-0000070B0000}"/>
    <cellStyle name="메모 3 12" xfId="5099" xr:uid="{00000000-0005-0000-0000-0000080B0000}"/>
    <cellStyle name="메모 3 2" xfId="3179" xr:uid="{00000000-0005-0000-0000-0000090B0000}"/>
    <cellStyle name="메모 3 2 2" xfId="49051" xr:uid="{00000000-0005-0000-0000-00000A0B0000}"/>
    <cellStyle name="메모 3 3" xfId="2518" xr:uid="{00000000-0005-0000-0000-00000B0B0000}"/>
    <cellStyle name="메모 3 4" xfId="2501" xr:uid="{00000000-0005-0000-0000-00000C0B0000}"/>
    <cellStyle name="메모 3 5" xfId="2916" xr:uid="{00000000-0005-0000-0000-00000D0B0000}"/>
    <cellStyle name="메모 3 6" xfId="2439" xr:uid="{00000000-0005-0000-0000-00000E0B0000}"/>
    <cellStyle name="메모 3 7" xfId="2581" xr:uid="{00000000-0005-0000-0000-00000F0B0000}"/>
    <cellStyle name="메모 3 8" xfId="3184" xr:uid="{00000000-0005-0000-0000-0000100B0000}"/>
    <cellStyle name="메모 3 9" xfId="4077" xr:uid="{00000000-0005-0000-0000-0000110B0000}"/>
    <cellStyle name="메모 30" xfId="49052" xr:uid="{00000000-0005-0000-0000-0000120B0000}"/>
    <cellStyle name="메모 31" xfId="49053" xr:uid="{00000000-0005-0000-0000-0000130B0000}"/>
    <cellStyle name="메모 32" xfId="49054" xr:uid="{00000000-0005-0000-0000-0000140B0000}"/>
    <cellStyle name="메모 33" xfId="49055" xr:uid="{00000000-0005-0000-0000-0000150B0000}"/>
    <cellStyle name="메모 34" xfId="49056" xr:uid="{00000000-0005-0000-0000-0000160B0000}"/>
    <cellStyle name="메모 35" xfId="49057" xr:uid="{00000000-0005-0000-0000-0000170B0000}"/>
    <cellStyle name="메모 4" xfId="2553" xr:uid="{00000000-0005-0000-0000-0000180B0000}"/>
    <cellStyle name="메모 4 10" xfId="3829" xr:uid="{00000000-0005-0000-0000-0000190B0000}"/>
    <cellStyle name="메모 4 11" xfId="2535" xr:uid="{00000000-0005-0000-0000-00001A0B0000}"/>
    <cellStyle name="메모 4 12" xfId="49058" xr:uid="{00000000-0005-0000-0000-00001B0B0000}"/>
    <cellStyle name="메모 4 2" xfId="2894" xr:uid="{00000000-0005-0000-0000-00001C0B0000}"/>
    <cellStyle name="메모 4 3" xfId="2864" xr:uid="{00000000-0005-0000-0000-00001D0B0000}"/>
    <cellStyle name="메모 4 4" xfId="3779" xr:uid="{00000000-0005-0000-0000-00001E0B0000}"/>
    <cellStyle name="메모 4 5" xfId="2442" xr:uid="{00000000-0005-0000-0000-00001F0B0000}"/>
    <cellStyle name="메모 4 6" xfId="2445" xr:uid="{00000000-0005-0000-0000-0000200B0000}"/>
    <cellStyle name="메모 4 7" xfId="2797" xr:uid="{00000000-0005-0000-0000-0000210B0000}"/>
    <cellStyle name="메모 4 8" xfId="3627" xr:uid="{00000000-0005-0000-0000-0000220B0000}"/>
    <cellStyle name="메모 4 9" xfId="2902" xr:uid="{00000000-0005-0000-0000-0000230B0000}"/>
    <cellStyle name="메모 5" xfId="372" xr:uid="{00000000-0005-0000-0000-0000240B0000}"/>
    <cellStyle name="메모 5 2" xfId="3847" xr:uid="{00000000-0005-0000-0000-0000250B0000}"/>
    <cellStyle name="메모 5 3" xfId="3559" xr:uid="{00000000-0005-0000-0000-0000260B0000}"/>
    <cellStyle name="메모 5 4" xfId="2639" xr:uid="{00000000-0005-0000-0000-0000270B0000}"/>
    <cellStyle name="메모 5 5" xfId="3823" xr:uid="{00000000-0005-0000-0000-0000280B0000}"/>
    <cellStyle name="메모 6" xfId="3602" xr:uid="{00000000-0005-0000-0000-0000290B0000}"/>
    <cellStyle name="메모 6 2" xfId="3673" xr:uid="{00000000-0005-0000-0000-00002A0B0000}"/>
    <cellStyle name="메모 6 3" xfId="3819" xr:uid="{00000000-0005-0000-0000-00002B0B0000}"/>
    <cellStyle name="메모 6 4" xfId="2423" xr:uid="{00000000-0005-0000-0000-00002C0B0000}"/>
    <cellStyle name="메모 6 5" xfId="2473" xr:uid="{00000000-0005-0000-0000-00002D0B0000}"/>
    <cellStyle name="메모 7" xfId="4194" xr:uid="{00000000-0005-0000-0000-00002E0B0000}"/>
    <cellStyle name="메모 7 2" xfId="2420" xr:uid="{00000000-0005-0000-0000-00002F0B0000}"/>
    <cellStyle name="메모 8" xfId="4310" xr:uid="{00000000-0005-0000-0000-0000300B0000}"/>
    <cellStyle name="메모 8 2" xfId="2966" xr:uid="{00000000-0005-0000-0000-0000310B0000}"/>
    <cellStyle name="메모 9" xfId="6480" xr:uid="{00000000-0005-0000-0000-0000320B0000}"/>
    <cellStyle name="믅됞 [0.00]_PRODUCT DETAIL Q1" xfId="248" xr:uid="{00000000-0005-0000-0000-0000330B0000}"/>
    <cellStyle name="믅됞_PRODUCT DETAIL Q1" xfId="249" xr:uid="{00000000-0005-0000-0000-0000340B0000}"/>
    <cellStyle name="백분율" xfId="49728" builtinId="5"/>
    <cellStyle name="백분율 [0]" xfId="49059" xr:uid="{00000000-0005-0000-0000-0000360B0000}"/>
    <cellStyle name="백분율 [2]" xfId="49060" xr:uid="{00000000-0005-0000-0000-0000370B0000}"/>
    <cellStyle name="백분율 2" xfId="13" xr:uid="{00000000-0005-0000-0000-0000380B0000}"/>
    <cellStyle name="백분율 2 10" xfId="6443" xr:uid="{00000000-0005-0000-0000-0000390B0000}"/>
    <cellStyle name="백분율 2 11" xfId="6343" xr:uid="{00000000-0005-0000-0000-00003A0B0000}"/>
    <cellStyle name="백분율 2 12" xfId="6451" xr:uid="{00000000-0005-0000-0000-00003B0B0000}"/>
    <cellStyle name="백분율 2 13" xfId="6333" xr:uid="{00000000-0005-0000-0000-00003C0B0000}"/>
    <cellStyle name="백분율 2 2" xfId="25" xr:uid="{00000000-0005-0000-0000-00003D0B0000}"/>
    <cellStyle name="백분율 2 2 2" xfId="119" xr:uid="{00000000-0005-0000-0000-00003E0B0000}"/>
    <cellStyle name="백분율 2 2 3" xfId="3200" xr:uid="{00000000-0005-0000-0000-00003F0B0000}"/>
    <cellStyle name="백분율 2 3" xfId="46" xr:uid="{00000000-0005-0000-0000-0000400B0000}"/>
    <cellStyle name="백분율 2 3 2" xfId="140" xr:uid="{00000000-0005-0000-0000-0000410B0000}"/>
    <cellStyle name="백분율 2 3 3" xfId="4036" xr:uid="{00000000-0005-0000-0000-0000420B0000}"/>
    <cellStyle name="백분율 2 4" xfId="107" xr:uid="{00000000-0005-0000-0000-0000430B0000}"/>
    <cellStyle name="백분율 2 4 2" xfId="3811" xr:uid="{00000000-0005-0000-0000-0000440B0000}"/>
    <cellStyle name="백분율 2 5" xfId="4008" xr:uid="{00000000-0005-0000-0000-0000450B0000}"/>
    <cellStyle name="백분율 2 6" xfId="2959" xr:uid="{00000000-0005-0000-0000-0000460B0000}"/>
    <cellStyle name="백분율 2 7" xfId="4304" xr:uid="{00000000-0005-0000-0000-0000470B0000}"/>
    <cellStyle name="백분율 2 8" xfId="3247" xr:uid="{00000000-0005-0000-0000-0000480B0000}"/>
    <cellStyle name="백분율 2 9" xfId="6357" xr:uid="{00000000-0005-0000-0000-0000490B0000}"/>
    <cellStyle name="백분율 3" xfId="179" xr:uid="{00000000-0005-0000-0000-00004A0B0000}"/>
    <cellStyle name="백분율 3 2" xfId="3833" xr:uid="{00000000-0005-0000-0000-00004B0B0000}"/>
    <cellStyle name="백분율 3 2 2" xfId="5100" xr:uid="{00000000-0005-0000-0000-00004C0B0000}"/>
    <cellStyle name="백분율 3 3" xfId="3210" xr:uid="{00000000-0005-0000-0000-00004D0B0000}"/>
    <cellStyle name="백분율 3 3 2" xfId="5101" xr:uid="{00000000-0005-0000-0000-00004E0B0000}"/>
    <cellStyle name="백분율 3 4" xfId="3206" xr:uid="{00000000-0005-0000-0000-00004F0B0000}"/>
    <cellStyle name="백분율 3 5" xfId="3574" xr:uid="{00000000-0005-0000-0000-0000500B0000}"/>
    <cellStyle name="백분율 3 6" xfId="3696" xr:uid="{00000000-0005-0000-0000-0000510B0000}"/>
    <cellStyle name="백분율 3 7" xfId="341" xr:uid="{00000000-0005-0000-0000-0000520B0000}"/>
    <cellStyle name="백분율 3 8" xfId="4065" xr:uid="{00000000-0005-0000-0000-0000530B0000}"/>
    <cellStyle name="백분율 3 9" xfId="3203" xr:uid="{00000000-0005-0000-0000-0000540B0000}"/>
    <cellStyle name="백분율 4" xfId="48420" xr:uid="{00000000-0005-0000-0000-0000550B0000}"/>
    <cellStyle name="백분율 4 2" xfId="3328" xr:uid="{00000000-0005-0000-0000-0000560B0000}"/>
    <cellStyle name="백분율 4 3" xfId="2842" xr:uid="{00000000-0005-0000-0000-0000570B0000}"/>
    <cellStyle name="백분율 4 4" xfId="3850" xr:uid="{00000000-0005-0000-0000-0000580B0000}"/>
    <cellStyle name="백분율 4 5" xfId="4007" xr:uid="{00000000-0005-0000-0000-0000590B0000}"/>
    <cellStyle name="백분율 4 6" xfId="3528" xr:uid="{00000000-0005-0000-0000-00005A0B0000}"/>
    <cellStyle name="보통 10" xfId="6345" xr:uid="{00000000-0005-0000-0000-00005B0B0000}"/>
    <cellStyle name="보통 11" xfId="6450" xr:uid="{00000000-0005-0000-0000-00005C0B0000}"/>
    <cellStyle name="보통 12" xfId="6334" xr:uid="{00000000-0005-0000-0000-00005D0B0000}"/>
    <cellStyle name="보통 13" xfId="49061" xr:uid="{00000000-0005-0000-0000-00005E0B0000}"/>
    <cellStyle name="보통 14" xfId="49062" xr:uid="{00000000-0005-0000-0000-00005F0B0000}"/>
    <cellStyle name="보통 15" xfId="49063" xr:uid="{00000000-0005-0000-0000-0000600B0000}"/>
    <cellStyle name="보통 16" xfId="49064" xr:uid="{00000000-0005-0000-0000-0000610B0000}"/>
    <cellStyle name="보통 17" xfId="49065" xr:uid="{00000000-0005-0000-0000-0000620B0000}"/>
    <cellStyle name="보통 18" xfId="49066" xr:uid="{00000000-0005-0000-0000-0000630B0000}"/>
    <cellStyle name="보통 19" xfId="49067" xr:uid="{00000000-0005-0000-0000-0000640B0000}"/>
    <cellStyle name="보통 2" xfId="250" xr:uid="{00000000-0005-0000-0000-0000650B0000}"/>
    <cellStyle name="보통 2 10" xfId="6449" xr:uid="{00000000-0005-0000-0000-0000660B0000}"/>
    <cellStyle name="보통 2 11" xfId="6335" xr:uid="{00000000-0005-0000-0000-0000670B0000}"/>
    <cellStyle name="보통 2 2" xfId="5102" xr:uid="{00000000-0005-0000-0000-0000680B0000}"/>
    <cellStyle name="보통 2 3" xfId="6377" xr:uid="{00000000-0005-0000-0000-0000690B0000}"/>
    <cellStyle name="보통 2 4" xfId="6421" xr:uid="{00000000-0005-0000-0000-00006A0B0000}"/>
    <cellStyle name="보통 2 5" xfId="6364" xr:uid="{00000000-0005-0000-0000-00006B0B0000}"/>
    <cellStyle name="보통 2 6" xfId="6424" xr:uid="{00000000-0005-0000-0000-00006C0B0000}"/>
    <cellStyle name="보통 2 7" xfId="6359" xr:uid="{00000000-0005-0000-0000-00006D0B0000}"/>
    <cellStyle name="보통 2 8" xfId="6440" xr:uid="{00000000-0005-0000-0000-00006E0B0000}"/>
    <cellStyle name="보통 2 9" xfId="6346" xr:uid="{00000000-0005-0000-0000-00006F0B0000}"/>
    <cellStyle name="보통 20" xfId="49068" xr:uid="{00000000-0005-0000-0000-0000700B0000}"/>
    <cellStyle name="보통 21" xfId="49069" xr:uid="{00000000-0005-0000-0000-0000710B0000}"/>
    <cellStyle name="보통 22" xfId="49070" xr:uid="{00000000-0005-0000-0000-0000720B0000}"/>
    <cellStyle name="보통 23" xfId="49071" xr:uid="{00000000-0005-0000-0000-0000730B0000}"/>
    <cellStyle name="보통 24" xfId="49072" xr:uid="{00000000-0005-0000-0000-0000740B0000}"/>
    <cellStyle name="보통 25" xfId="49073" xr:uid="{00000000-0005-0000-0000-0000750B0000}"/>
    <cellStyle name="보통 26" xfId="49074" xr:uid="{00000000-0005-0000-0000-0000760B0000}"/>
    <cellStyle name="보통 27" xfId="49075" xr:uid="{00000000-0005-0000-0000-0000770B0000}"/>
    <cellStyle name="보통 28" xfId="49076" xr:uid="{00000000-0005-0000-0000-0000780B0000}"/>
    <cellStyle name="보통 29" xfId="49077" xr:uid="{00000000-0005-0000-0000-0000790B0000}"/>
    <cellStyle name="보통 3" xfId="2674" xr:uid="{00000000-0005-0000-0000-00007A0B0000}"/>
    <cellStyle name="보통 3 10" xfId="3397" xr:uid="{00000000-0005-0000-0000-00007B0B0000}"/>
    <cellStyle name="보통 3 11" xfId="2552" xr:uid="{00000000-0005-0000-0000-00007C0B0000}"/>
    <cellStyle name="보통 3 2" xfId="3157" xr:uid="{00000000-0005-0000-0000-00007D0B0000}"/>
    <cellStyle name="보통 3 3" xfId="3163" xr:uid="{00000000-0005-0000-0000-00007E0B0000}"/>
    <cellStyle name="보통 3 4" xfId="2676" xr:uid="{00000000-0005-0000-0000-00007F0B0000}"/>
    <cellStyle name="보통 3 5" xfId="321" xr:uid="{00000000-0005-0000-0000-0000800B0000}"/>
    <cellStyle name="보통 3 6" xfId="3647" xr:uid="{00000000-0005-0000-0000-0000810B0000}"/>
    <cellStyle name="보통 3 7" xfId="3302" xr:uid="{00000000-0005-0000-0000-0000820B0000}"/>
    <cellStyle name="보통 3 8" xfId="3282" xr:uid="{00000000-0005-0000-0000-0000830B0000}"/>
    <cellStyle name="보통 3 9" xfId="2800" xr:uid="{00000000-0005-0000-0000-0000840B0000}"/>
    <cellStyle name="보통 30" xfId="49078" xr:uid="{00000000-0005-0000-0000-0000850B0000}"/>
    <cellStyle name="보통 31" xfId="49079" xr:uid="{00000000-0005-0000-0000-0000860B0000}"/>
    <cellStyle name="보통 32" xfId="49080" xr:uid="{00000000-0005-0000-0000-0000870B0000}"/>
    <cellStyle name="보통 33" xfId="49081" xr:uid="{00000000-0005-0000-0000-0000880B0000}"/>
    <cellStyle name="보통 4" xfId="2436" xr:uid="{00000000-0005-0000-0000-0000890B0000}"/>
    <cellStyle name="보통 4 10" xfId="2664" xr:uid="{00000000-0005-0000-0000-00008A0B0000}"/>
    <cellStyle name="보통 4 11" xfId="2660" xr:uid="{00000000-0005-0000-0000-00008B0B0000}"/>
    <cellStyle name="보통 4 2" xfId="3994" xr:uid="{00000000-0005-0000-0000-00008C0B0000}"/>
    <cellStyle name="보통 4 3" xfId="3143" xr:uid="{00000000-0005-0000-0000-00008D0B0000}"/>
    <cellStyle name="보통 4 4" xfId="3123" xr:uid="{00000000-0005-0000-0000-00008E0B0000}"/>
    <cellStyle name="보통 4 5" xfId="2662" xr:uid="{00000000-0005-0000-0000-00008F0B0000}"/>
    <cellStyle name="보통 4 6" xfId="2776" xr:uid="{00000000-0005-0000-0000-0000900B0000}"/>
    <cellStyle name="보통 4 7" xfId="3872" xr:uid="{00000000-0005-0000-0000-0000910B0000}"/>
    <cellStyle name="보통 4 8" xfId="3512" xr:uid="{00000000-0005-0000-0000-0000920B0000}"/>
    <cellStyle name="보통 4 9" xfId="4122" xr:uid="{00000000-0005-0000-0000-0000930B0000}"/>
    <cellStyle name="보통 5" xfId="3516" xr:uid="{00000000-0005-0000-0000-0000940B0000}"/>
    <cellStyle name="보통 5 2" xfId="3875" xr:uid="{00000000-0005-0000-0000-0000950B0000}"/>
    <cellStyle name="보통 5 3" xfId="2731" xr:uid="{00000000-0005-0000-0000-0000960B0000}"/>
    <cellStyle name="보통 5 4" xfId="2904" xr:uid="{00000000-0005-0000-0000-0000970B0000}"/>
    <cellStyle name="보통 5 5" xfId="3451" xr:uid="{00000000-0005-0000-0000-0000980B0000}"/>
    <cellStyle name="보통 6" xfId="3427" xr:uid="{00000000-0005-0000-0000-0000990B0000}"/>
    <cellStyle name="보통 6 2" xfId="3674" xr:uid="{00000000-0005-0000-0000-00009A0B0000}"/>
    <cellStyle name="보통 6 3" xfId="3670" xr:uid="{00000000-0005-0000-0000-00009B0B0000}"/>
    <cellStyle name="보통 6 4" xfId="3912" xr:uid="{00000000-0005-0000-0000-00009C0B0000}"/>
    <cellStyle name="보통 6 5" xfId="4128" xr:uid="{00000000-0005-0000-0000-00009D0B0000}"/>
    <cellStyle name="보통 7" xfId="4161" xr:uid="{00000000-0005-0000-0000-00009E0B0000}"/>
    <cellStyle name="보통 7 2" xfId="3794" xr:uid="{00000000-0005-0000-0000-00009F0B0000}"/>
    <cellStyle name="보통 8" xfId="3439" xr:uid="{00000000-0005-0000-0000-0000A00B0000}"/>
    <cellStyle name="보통 8 2" xfId="4048" xr:uid="{00000000-0005-0000-0000-0000A10B0000}"/>
    <cellStyle name="보통 9" xfId="6441" xr:uid="{00000000-0005-0000-0000-0000A20B0000}"/>
    <cellStyle name="뷭?_BOOKSHIP" xfId="251" xr:uid="{00000000-0005-0000-0000-0000A30B0000}"/>
    <cellStyle name="설계서" xfId="49082" xr:uid="{00000000-0005-0000-0000-0000A40B0000}"/>
    <cellStyle name="설명 텍스트 10" xfId="6347" xr:uid="{00000000-0005-0000-0000-0000A50B0000}"/>
    <cellStyle name="설명 텍스트 11" xfId="6448" xr:uid="{00000000-0005-0000-0000-0000A60B0000}"/>
    <cellStyle name="설명 텍스트 12" xfId="6336" xr:uid="{00000000-0005-0000-0000-0000A70B0000}"/>
    <cellStyle name="설명 텍스트 13" xfId="49083" xr:uid="{00000000-0005-0000-0000-0000A80B0000}"/>
    <cellStyle name="설명 텍스트 14" xfId="49084" xr:uid="{00000000-0005-0000-0000-0000A90B0000}"/>
    <cellStyle name="설명 텍스트 15" xfId="49085" xr:uid="{00000000-0005-0000-0000-0000AA0B0000}"/>
    <cellStyle name="설명 텍스트 16" xfId="49086" xr:uid="{00000000-0005-0000-0000-0000AB0B0000}"/>
    <cellStyle name="설명 텍스트 17" xfId="49087" xr:uid="{00000000-0005-0000-0000-0000AC0B0000}"/>
    <cellStyle name="설명 텍스트 18" xfId="49088" xr:uid="{00000000-0005-0000-0000-0000AD0B0000}"/>
    <cellStyle name="설명 텍스트 19" xfId="49089" xr:uid="{00000000-0005-0000-0000-0000AE0B0000}"/>
    <cellStyle name="설명 텍스트 2" xfId="252" xr:uid="{00000000-0005-0000-0000-0000AF0B0000}"/>
    <cellStyle name="설명 텍스트 2 10" xfId="6447" xr:uid="{00000000-0005-0000-0000-0000B00B0000}"/>
    <cellStyle name="설명 텍스트 2 11" xfId="6337" xr:uid="{00000000-0005-0000-0000-0000B10B0000}"/>
    <cellStyle name="설명 텍스트 2 2" xfId="5103" xr:uid="{00000000-0005-0000-0000-0000B20B0000}"/>
    <cellStyle name="설명 텍스트 2 3" xfId="6379" xr:uid="{00000000-0005-0000-0000-0000B30B0000}"/>
    <cellStyle name="설명 텍스트 2 4" xfId="6419" xr:uid="{00000000-0005-0000-0000-0000B40B0000}"/>
    <cellStyle name="설명 텍스트 2 5" xfId="6367" xr:uid="{00000000-0005-0000-0000-0000B50B0000}"/>
    <cellStyle name="설명 텍스트 2 6" xfId="6420" xr:uid="{00000000-0005-0000-0000-0000B60B0000}"/>
    <cellStyle name="설명 텍스트 2 7" xfId="6361" xr:uid="{00000000-0005-0000-0000-0000B70B0000}"/>
    <cellStyle name="설명 텍스트 2 8" xfId="6438" xr:uid="{00000000-0005-0000-0000-0000B80B0000}"/>
    <cellStyle name="설명 텍스트 2 9" xfId="6348" xr:uid="{00000000-0005-0000-0000-0000B90B0000}"/>
    <cellStyle name="설명 텍스트 20" xfId="49090" xr:uid="{00000000-0005-0000-0000-0000BA0B0000}"/>
    <cellStyle name="설명 텍스트 21" xfId="49091" xr:uid="{00000000-0005-0000-0000-0000BB0B0000}"/>
    <cellStyle name="설명 텍스트 22" xfId="49092" xr:uid="{00000000-0005-0000-0000-0000BC0B0000}"/>
    <cellStyle name="설명 텍스트 23" xfId="49093" xr:uid="{00000000-0005-0000-0000-0000BD0B0000}"/>
    <cellStyle name="설명 텍스트 24" xfId="49094" xr:uid="{00000000-0005-0000-0000-0000BE0B0000}"/>
    <cellStyle name="설명 텍스트 25" xfId="49095" xr:uid="{00000000-0005-0000-0000-0000BF0B0000}"/>
    <cellStyle name="설명 텍스트 26" xfId="49096" xr:uid="{00000000-0005-0000-0000-0000C00B0000}"/>
    <cellStyle name="설명 텍스트 27" xfId="49097" xr:uid="{00000000-0005-0000-0000-0000C10B0000}"/>
    <cellStyle name="설명 텍스트 28" xfId="49098" xr:uid="{00000000-0005-0000-0000-0000C20B0000}"/>
    <cellStyle name="설명 텍스트 29" xfId="49099" xr:uid="{00000000-0005-0000-0000-0000C30B0000}"/>
    <cellStyle name="설명 텍스트 3" xfId="3532" xr:uid="{00000000-0005-0000-0000-0000C40B0000}"/>
    <cellStyle name="설명 텍스트 3 10" xfId="3558" xr:uid="{00000000-0005-0000-0000-0000C50B0000}"/>
    <cellStyle name="설명 텍스트 3 11" xfId="3568" xr:uid="{00000000-0005-0000-0000-0000C60B0000}"/>
    <cellStyle name="설명 텍스트 3 2" xfId="2477" xr:uid="{00000000-0005-0000-0000-0000C70B0000}"/>
    <cellStyle name="설명 텍스트 3 3" xfId="3309" xr:uid="{00000000-0005-0000-0000-0000C80B0000}"/>
    <cellStyle name="설명 텍스트 3 4" xfId="2538" xr:uid="{00000000-0005-0000-0000-0000C90B0000}"/>
    <cellStyle name="설명 텍스트 3 5" xfId="2929" xr:uid="{00000000-0005-0000-0000-0000CA0B0000}"/>
    <cellStyle name="설명 텍스트 3 6" xfId="3654" xr:uid="{00000000-0005-0000-0000-0000CB0B0000}"/>
    <cellStyle name="설명 텍스트 3 7" xfId="2472" xr:uid="{00000000-0005-0000-0000-0000CC0B0000}"/>
    <cellStyle name="설명 텍스트 3 8" xfId="3659" xr:uid="{00000000-0005-0000-0000-0000CD0B0000}"/>
    <cellStyle name="설명 텍스트 3 9" xfId="4145" xr:uid="{00000000-0005-0000-0000-0000CE0B0000}"/>
    <cellStyle name="설명 텍스트 30" xfId="49100" xr:uid="{00000000-0005-0000-0000-0000CF0B0000}"/>
    <cellStyle name="설명 텍스트 31" xfId="49101" xr:uid="{00000000-0005-0000-0000-0000D00B0000}"/>
    <cellStyle name="설명 텍스트 32" xfId="49102" xr:uid="{00000000-0005-0000-0000-0000D10B0000}"/>
    <cellStyle name="설명 텍스트 33" xfId="49103" xr:uid="{00000000-0005-0000-0000-0000D20B0000}"/>
    <cellStyle name="설명 텍스트 4" xfId="3171" xr:uid="{00000000-0005-0000-0000-0000D30B0000}"/>
    <cellStyle name="설명 텍스트 4 10" xfId="3774" xr:uid="{00000000-0005-0000-0000-0000D40B0000}"/>
    <cellStyle name="설명 텍스트 4 11" xfId="4035" xr:uid="{00000000-0005-0000-0000-0000D50B0000}"/>
    <cellStyle name="설명 텍스트 4 2" xfId="4031" xr:uid="{00000000-0005-0000-0000-0000D60B0000}"/>
    <cellStyle name="설명 텍스트 4 3" xfId="3544" xr:uid="{00000000-0005-0000-0000-0000D70B0000}"/>
    <cellStyle name="설명 텍스트 4 4" xfId="2701" xr:uid="{00000000-0005-0000-0000-0000D80B0000}"/>
    <cellStyle name="설명 텍스트 4 5" xfId="3718" xr:uid="{00000000-0005-0000-0000-0000D90B0000}"/>
    <cellStyle name="설명 텍스트 4 6" xfId="4033" xr:uid="{00000000-0005-0000-0000-0000DA0B0000}"/>
    <cellStyle name="설명 텍스트 4 7" xfId="2575" xr:uid="{00000000-0005-0000-0000-0000DB0B0000}"/>
    <cellStyle name="설명 텍스트 4 8" xfId="2460" xr:uid="{00000000-0005-0000-0000-0000DC0B0000}"/>
    <cellStyle name="설명 텍스트 4 9" xfId="3464" xr:uid="{00000000-0005-0000-0000-0000DD0B0000}"/>
    <cellStyle name="설명 텍스트 5" xfId="3473" xr:uid="{00000000-0005-0000-0000-0000DE0B0000}"/>
    <cellStyle name="설명 텍스트 5 2" xfId="2635" xr:uid="{00000000-0005-0000-0000-0000DF0B0000}"/>
    <cellStyle name="설명 텍스트 5 3" xfId="3949" xr:uid="{00000000-0005-0000-0000-0000E00B0000}"/>
    <cellStyle name="설명 텍스트 5 4" xfId="3958" xr:uid="{00000000-0005-0000-0000-0000E10B0000}"/>
    <cellStyle name="설명 텍스트 5 5" xfId="3595" xr:uid="{00000000-0005-0000-0000-0000E20B0000}"/>
    <cellStyle name="설명 텍스트 6" xfId="4084" xr:uid="{00000000-0005-0000-0000-0000E30B0000}"/>
    <cellStyle name="설명 텍스트 6 2" xfId="3720" xr:uid="{00000000-0005-0000-0000-0000E40B0000}"/>
    <cellStyle name="설명 텍스트 6 3" xfId="3485" xr:uid="{00000000-0005-0000-0000-0000E50B0000}"/>
    <cellStyle name="설명 텍스트 6 4" xfId="2991" xr:uid="{00000000-0005-0000-0000-0000E60B0000}"/>
    <cellStyle name="설명 텍스트 6 5" xfId="3262" xr:uid="{00000000-0005-0000-0000-0000E70B0000}"/>
    <cellStyle name="설명 텍스트 7" xfId="3967" xr:uid="{00000000-0005-0000-0000-0000E80B0000}"/>
    <cellStyle name="설명 텍스트 7 2" xfId="333" xr:uid="{00000000-0005-0000-0000-0000E90B0000}"/>
    <cellStyle name="설명 텍스트 8" xfId="4092" xr:uid="{00000000-0005-0000-0000-0000EA0B0000}"/>
    <cellStyle name="설명 텍스트 8 2" xfId="3605" xr:uid="{00000000-0005-0000-0000-0000EB0B0000}"/>
    <cellStyle name="설명 텍스트 9" xfId="6439" xr:uid="{00000000-0005-0000-0000-0000EC0B0000}"/>
    <cellStyle name="셀 확인 10" xfId="6349" xr:uid="{00000000-0005-0000-0000-0000ED0B0000}"/>
    <cellStyle name="셀 확인 11" xfId="6444" xr:uid="{00000000-0005-0000-0000-0000EE0B0000}"/>
    <cellStyle name="셀 확인 12" xfId="6340" xr:uid="{00000000-0005-0000-0000-0000EF0B0000}"/>
    <cellStyle name="셀 확인 13" xfId="49104" xr:uid="{00000000-0005-0000-0000-0000F00B0000}"/>
    <cellStyle name="셀 확인 14" xfId="49105" xr:uid="{00000000-0005-0000-0000-0000F10B0000}"/>
    <cellStyle name="셀 확인 15" xfId="49106" xr:uid="{00000000-0005-0000-0000-0000F20B0000}"/>
    <cellStyle name="셀 확인 16" xfId="49107" xr:uid="{00000000-0005-0000-0000-0000F30B0000}"/>
    <cellStyle name="셀 확인 17" xfId="49108" xr:uid="{00000000-0005-0000-0000-0000F40B0000}"/>
    <cellStyle name="셀 확인 18" xfId="49109" xr:uid="{00000000-0005-0000-0000-0000F50B0000}"/>
    <cellStyle name="셀 확인 19" xfId="49110" xr:uid="{00000000-0005-0000-0000-0000F60B0000}"/>
    <cellStyle name="셀 확인 2" xfId="253" xr:uid="{00000000-0005-0000-0000-0000F70B0000}"/>
    <cellStyle name="셀 확인 2 10" xfId="6442" xr:uid="{00000000-0005-0000-0000-0000F80B0000}"/>
    <cellStyle name="셀 확인 2 11" xfId="6341" xr:uid="{00000000-0005-0000-0000-0000F90B0000}"/>
    <cellStyle name="셀 확인 2 2" xfId="5104" xr:uid="{00000000-0005-0000-0000-0000FA0B0000}"/>
    <cellStyle name="셀 확인 2 3" xfId="6381" xr:uid="{00000000-0005-0000-0000-0000FB0B0000}"/>
    <cellStyle name="셀 확인 2 4" xfId="6418" xr:uid="{00000000-0005-0000-0000-0000FC0B0000}"/>
    <cellStyle name="셀 확인 2 5" xfId="6368" xr:uid="{00000000-0005-0000-0000-0000FD0B0000}"/>
    <cellStyle name="셀 확인 2 6" xfId="6417" xr:uid="{00000000-0005-0000-0000-0000FE0B0000}"/>
    <cellStyle name="셀 확인 2 7" xfId="6363" xr:uid="{00000000-0005-0000-0000-0000FF0B0000}"/>
    <cellStyle name="셀 확인 2 8" xfId="6436" xr:uid="{00000000-0005-0000-0000-0000000C0000}"/>
    <cellStyle name="셀 확인 2 9" xfId="6350" xr:uid="{00000000-0005-0000-0000-0000010C0000}"/>
    <cellStyle name="셀 확인 20" xfId="49111" xr:uid="{00000000-0005-0000-0000-0000020C0000}"/>
    <cellStyle name="셀 확인 21" xfId="49112" xr:uid="{00000000-0005-0000-0000-0000030C0000}"/>
    <cellStyle name="셀 확인 22" xfId="49113" xr:uid="{00000000-0005-0000-0000-0000040C0000}"/>
    <cellStyle name="셀 확인 23" xfId="49114" xr:uid="{00000000-0005-0000-0000-0000050C0000}"/>
    <cellStyle name="셀 확인 24" xfId="49115" xr:uid="{00000000-0005-0000-0000-0000060C0000}"/>
    <cellStyle name="셀 확인 25" xfId="49116" xr:uid="{00000000-0005-0000-0000-0000070C0000}"/>
    <cellStyle name="셀 확인 26" xfId="49117" xr:uid="{00000000-0005-0000-0000-0000080C0000}"/>
    <cellStyle name="셀 확인 27" xfId="49118" xr:uid="{00000000-0005-0000-0000-0000090C0000}"/>
    <cellStyle name="셀 확인 28" xfId="49119" xr:uid="{00000000-0005-0000-0000-00000A0C0000}"/>
    <cellStyle name="셀 확인 29" xfId="49120" xr:uid="{00000000-0005-0000-0000-00000B0C0000}"/>
    <cellStyle name="셀 확인 3" xfId="3493" xr:uid="{00000000-0005-0000-0000-00000C0C0000}"/>
    <cellStyle name="셀 확인 3 10" xfId="4111" xr:uid="{00000000-0005-0000-0000-00000D0C0000}"/>
    <cellStyle name="셀 확인 3 11" xfId="3613" xr:uid="{00000000-0005-0000-0000-00000E0C0000}"/>
    <cellStyle name="셀 확인 3 2" xfId="2740" xr:uid="{00000000-0005-0000-0000-00000F0C0000}"/>
    <cellStyle name="셀 확인 3 3" xfId="2643" xr:uid="{00000000-0005-0000-0000-0000100C0000}"/>
    <cellStyle name="셀 확인 3 4" xfId="3710" xr:uid="{00000000-0005-0000-0000-0000110C0000}"/>
    <cellStyle name="셀 확인 3 5" xfId="2882" xr:uid="{00000000-0005-0000-0000-0000120C0000}"/>
    <cellStyle name="셀 확인 3 6" xfId="3914" xr:uid="{00000000-0005-0000-0000-0000130C0000}"/>
    <cellStyle name="셀 확인 3 7" xfId="2767" xr:uid="{00000000-0005-0000-0000-0000140C0000}"/>
    <cellStyle name="셀 확인 3 8" xfId="3374" xr:uid="{00000000-0005-0000-0000-0000150C0000}"/>
    <cellStyle name="셀 확인 3 9" xfId="2909" xr:uid="{00000000-0005-0000-0000-0000160C0000}"/>
    <cellStyle name="셀 확인 30" xfId="49121" xr:uid="{00000000-0005-0000-0000-0000170C0000}"/>
    <cellStyle name="셀 확인 31" xfId="49122" xr:uid="{00000000-0005-0000-0000-0000180C0000}"/>
    <cellStyle name="셀 확인 32" xfId="49123" xr:uid="{00000000-0005-0000-0000-0000190C0000}"/>
    <cellStyle name="셀 확인 33" xfId="49124" xr:uid="{00000000-0005-0000-0000-00001A0C0000}"/>
    <cellStyle name="셀 확인 4" xfId="2651" xr:uid="{00000000-0005-0000-0000-00001B0C0000}"/>
    <cellStyle name="셀 확인 4 10" xfId="3984" xr:uid="{00000000-0005-0000-0000-00001C0C0000}"/>
    <cellStyle name="셀 확인 4 11" xfId="2891" xr:uid="{00000000-0005-0000-0000-00001D0C0000}"/>
    <cellStyle name="셀 확인 4 2" xfId="3008" xr:uid="{00000000-0005-0000-0000-00001E0C0000}"/>
    <cellStyle name="셀 확인 4 3" xfId="3421" xr:uid="{00000000-0005-0000-0000-00001F0C0000}"/>
    <cellStyle name="셀 확인 4 4" xfId="4193" xr:uid="{00000000-0005-0000-0000-0000200C0000}"/>
    <cellStyle name="셀 확인 4 5" xfId="338" xr:uid="{00000000-0005-0000-0000-0000210C0000}"/>
    <cellStyle name="셀 확인 4 6" xfId="3906" xr:uid="{00000000-0005-0000-0000-0000220C0000}"/>
    <cellStyle name="셀 확인 4 7" xfId="2973" xr:uid="{00000000-0005-0000-0000-0000230C0000}"/>
    <cellStyle name="셀 확인 4 8" xfId="3578" xr:uid="{00000000-0005-0000-0000-0000240C0000}"/>
    <cellStyle name="셀 확인 4 9" xfId="3097" xr:uid="{00000000-0005-0000-0000-0000250C0000}"/>
    <cellStyle name="셀 확인 5" xfId="3704" xr:uid="{00000000-0005-0000-0000-0000260C0000}"/>
    <cellStyle name="셀 확인 5 2" xfId="3469" xr:uid="{00000000-0005-0000-0000-0000270C0000}"/>
    <cellStyle name="셀 확인 5 3" xfId="2975" xr:uid="{00000000-0005-0000-0000-0000280C0000}"/>
    <cellStyle name="셀 확인 5 4" xfId="3862" xr:uid="{00000000-0005-0000-0000-0000290C0000}"/>
    <cellStyle name="셀 확인 5 5" xfId="3950" xr:uid="{00000000-0005-0000-0000-00002A0C0000}"/>
    <cellStyle name="셀 확인 6" xfId="3852" xr:uid="{00000000-0005-0000-0000-00002B0C0000}"/>
    <cellStyle name="셀 확인 6 2" xfId="4076" xr:uid="{00000000-0005-0000-0000-00002C0C0000}"/>
    <cellStyle name="셀 확인 6 3" xfId="3589" xr:uid="{00000000-0005-0000-0000-00002D0C0000}"/>
    <cellStyle name="셀 확인 6 4" xfId="2615" xr:uid="{00000000-0005-0000-0000-00002E0C0000}"/>
    <cellStyle name="셀 확인 6 5" xfId="3378" xr:uid="{00000000-0005-0000-0000-00002F0C0000}"/>
    <cellStyle name="셀 확인 7" xfId="3291" xr:uid="{00000000-0005-0000-0000-0000300C0000}"/>
    <cellStyle name="셀 확인 7 2" xfId="2503" xr:uid="{00000000-0005-0000-0000-0000310C0000}"/>
    <cellStyle name="셀 확인 8" xfId="2424" xr:uid="{00000000-0005-0000-0000-0000320C0000}"/>
    <cellStyle name="셀 확인 8 2" xfId="3646" xr:uid="{00000000-0005-0000-0000-0000330C0000}"/>
    <cellStyle name="셀 확인 9" xfId="6437" xr:uid="{00000000-0005-0000-0000-0000340C0000}"/>
    <cellStyle name="쉼표 [0]" xfId="49729" builtinId="6"/>
    <cellStyle name="쉼표 [0] 10" xfId="80" xr:uid="{00000000-0005-0000-0000-0000360C0000}"/>
    <cellStyle name="쉼표 [0] 10 10" xfId="79" xr:uid="{00000000-0005-0000-0000-0000370C0000}"/>
    <cellStyle name="쉼표 [0] 10 10 2" xfId="173" xr:uid="{00000000-0005-0000-0000-0000380C0000}"/>
    <cellStyle name="쉼표 [0] 10 11" xfId="4301" xr:uid="{00000000-0005-0000-0000-0000390C0000}"/>
    <cellStyle name="쉼표 [0] 10 12" xfId="4053" xr:uid="{00000000-0005-0000-0000-00003A0C0000}"/>
    <cellStyle name="쉼표 [0] 10 13" xfId="3209" xr:uid="{00000000-0005-0000-0000-00003B0C0000}"/>
    <cellStyle name="쉼표 [0] 10 14" xfId="3329" xr:uid="{00000000-0005-0000-0000-00003C0C0000}"/>
    <cellStyle name="쉼표 [0] 10 15" xfId="2845" xr:uid="{00000000-0005-0000-0000-00003D0C0000}"/>
    <cellStyle name="쉼표 [0] 10 16" xfId="3695" xr:uid="{00000000-0005-0000-0000-00003E0C0000}"/>
    <cellStyle name="쉼표 [0] 10 2" xfId="174" xr:uid="{00000000-0005-0000-0000-00003F0C0000}"/>
    <cellStyle name="쉼표 [0] 10 2 2" xfId="48444" xr:uid="{00000000-0005-0000-0000-0000400C0000}"/>
    <cellStyle name="쉼표 [0] 10 3" xfId="3331" xr:uid="{00000000-0005-0000-0000-0000410C0000}"/>
    <cellStyle name="쉼표 [0] 10 4" xfId="3088" xr:uid="{00000000-0005-0000-0000-0000420C0000}"/>
    <cellStyle name="쉼표 [0] 10 5" xfId="4307" xr:uid="{00000000-0005-0000-0000-0000430C0000}"/>
    <cellStyle name="쉼표 [0] 10 6" xfId="2556" xr:uid="{00000000-0005-0000-0000-0000440C0000}"/>
    <cellStyle name="쉼표 [0] 10 7" xfId="3274" xr:uid="{00000000-0005-0000-0000-0000450C0000}"/>
    <cellStyle name="쉼표 [0] 10 8" xfId="3280" xr:uid="{00000000-0005-0000-0000-0000460C0000}"/>
    <cellStyle name="쉼표 [0] 10 9" xfId="3883" xr:uid="{00000000-0005-0000-0000-0000470C0000}"/>
    <cellStyle name="쉼표 [0] 100" xfId="49125" xr:uid="{00000000-0005-0000-0000-0000480C0000}"/>
    <cellStyle name="쉼표 [0] 101" xfId="49126" xr:uid="{00000000-0005-0000-0000-0000490C0000}"/>
    <cellStyle name="쉼표 [0] 102" xfId="49127" xr:uid="{00000000-0005-0000-0000-00004A0C0000}"/>
    <cellStyle name="쉼표 [0] 103" xfId="49128" xr:uid="{00000000-0005-0000-0000-00004B0C0000}"/>
    <cellStyle name="쉼표 [0] 104" xfId="49129" xr:uid="{00000000-0005-0000-0000-00004C0C0000}"/>
    <cellStyle name="쉼표 [0] 105" xfId="49130" xr:uid="{00000000-0005-0000-0000-00004D0C0000}"/>
    <cellStyle name="쉼표 [0] 106" xfId="49131" xr:uid="{00000000-0005-0000-0000-00004E0C0000}"/>
    <cellStyle name="쉼표 [0] 107" xfId="49132" xr:uid="{00000000-0005-0000-0000-00004F0C0000}"/>
    <cellStyle name="쉼표 [0] 108" xfId="49133" xr:uid="{00000000-0005-0000-0000-0000500C0000}"/>
    <cellStyle name="쉼표 [0] 109" xfId="49134" xr:uid="{00000000-0005-0000-0000-0000510C0000}"/>
    <cellStyle name="쉼표 [0] 11" xfId="3758" xr:uid="{00000000-0005-0000-0000-0000520C0000}"/>
    <cellStyle name="쉼표 [0] 11 2" xfId="49135" xr:uid="{00000000-0005-0000-0000-0000530C0000}"/>
    <cellStyle name="쉼표 [0] 110" xfId="49136" xr:uid="{00000000-0005-0000-0000-0000540C0000}"/>
    <cellStyle name="쉼표 [0] 111" xfId="49137" xr:uid="{00000000-0005-0000-0000-0000550C0000}"/>
    <cellStyle name="쉼표 [0] 112" xfId="49138" xr:uid="{00000000-0005-0000-0000-0000560C0000}"/>
    <cellStyle name="쉼표 [0] 113" xfId="49139" xr:uid="{00000000-0005-0000-0000-0000570C0000}"/>
    <cellStyle name="쉼표 [0] 114" xfId="49140" xr:uid="{00000000-0005-0000-0000-0000580C0000}"/>
    <cellStyle name="쉼표 [0] 115" xfId="49141" xr:uid="{00000000-0005-0000-0000-0000590C0000}"/>
    <cellStyle name="쉼표 [0] 116" xfId="49142" xr:uid="{00000000-0005-0000-0000-00005A0C0000}"/>
    <cellStyle name="쉼표 [0] 117" xfId="49143" xr:uid="{00000000-0005-0000-0000-00005B0C0000}"/>
    <cellStyle name="쉼표 [0] 118" xfId="49144" xr:uid="{00000000-0005-0000-0000-00005C0C0000}"/>
    <cellStyle name="쉼표 [0] 119" xfId="49145" xr:uid="{00000000-0005-0000-0000-00005D0C0000}"/>
    <cellStyle name="쉼표 [0] 12" xfId="3521" xr:uid="{00000000-0005-0000-0000-00005E0C0000}"/>
    <cellStyle name="쉼표 [0] 12 2" xfId="49146" xr:uid="{00000000-0005-0000-0000-00005F0C0000}"/>
    <cellStyle name="쉼표 [0] 120" xfId="49147" xr:uid="{00000000-0005-0000-0000-0000600C0000}"/>
    <cellStyle name="쉼표 [0] 121" xfId="49148" xr:uid="{00000000-0005-0000-0000-0000610C0000}"/>
    <cellStyle name="쉼표 [0] 122" xfId="49149" xr:uid="{00000000-0005-0000-0000-0000620C0000}"/>
    <cellStyle name="쉼표 [0] 123" xfId="49150" xr:uid="{00000000-0005-0000-0000-0000630C0000}"/>
    <cellStyle name="쉼표 [0] 124" xfId="49151" xr:uid="{00000000-0005-0000-0000-0000640C0000}"/>
    <cellStyle name="쉼표 [0] 125" xfId="49152" xr:uid="{00000000-0005-0000-0000-0000650C0000}"/>
    <cellStyle name="쉼표 [0] 126" xfId="49153" xr:uid="{00000000-0005-0000-0000-0000660C0000}"/>
    <cellStyle name="쉼표 [0] 127" xfId="49154" xr:uid="{00000000-0005-0000-0000-0000670C0000}"/>
    <cellStyle name="쉼표 [0] 128" xfId="49155" xr:uid="{00000000-0005-0000-0000-0000680C0000}"/>
    <cellStyle name="쉼표 [0] 129" xfId="49156" xr:uid="{00000000-0005-0000-0000-0000690C0000}"/>
    <cellStyle name="쉼표 [0] 13" xfId="320" xr:uid="{00000000-0005-0000-0000-00006A0C0000}"/>
    <cellStyle name="쉼표 [0] 13 2" xfId="49157" xr:uid="{00000000-0005-0000-0000-00006B0C0000}"/>
    <cellStyle name="쉼표 [0] 130" xfId="49158" xr:uid="{00000000-0005-0000-0000-00006C0C0000}"/>
    <cellStyle name="쉼표 [0] 131" xfId="49159" xr:uid="{00000000-0005-0000-0000-00006D0C0000}"/>
    <cellStyle name="쉼표 [0] 132" xfId="49160" xr:uid="{00000000-0005-0000-0000-00006E0C0000}"/>
    <cellStyle name="쉼표 [0] 133" xfId="49161" xr:uid="{00000000-0005-0000-0000-00006F0C0000}"/>
    <cellStyle name="쉼표 [0] 134" xfId="49162" xr:uid="{00000000-0005-0000-0000-0000700C0000}"/>
    <cellStyle name="쉼표 [0] 135" xfId="49163" xr:uid="{00000000-0005-0000-0000-0000710C0000}"/>
    <cellStyle name="쉼표 [0] 136" xfId="49164" xr:uid="{00000000-0005-0000-0000-0000720C0000}"/>
    <cellStyle name="쉼표 [0] 137" xfId="49165" xr:uid="{00000000-0005-0000-0000-0000730C0000}"/>
    <cellStyle name="쉼표 [0] 138" xfId="49166" xr:uid="{00000000-0005-0000-0000-0000740C0000}"/>
    <cellStyle name="쉼표 [0] 139" xfId="49167" xr:uid="{00000000-0005-0000-0000-0000750C0000}"/>
    <cellStyle name="쉼표 [0] 14" xfId="6941" xr:uid="{00000000-0005-0000-0000-0000760C0000}"/>
    <cellStyle name="쉼표 [0] 14 2" xfId="3156" xr:uid="{00000000-0005-0000-0000-0000770C0000}"/>
    <cellStyle name="쉼표 [0] 14 3" xfId="3287" xr:uid="{00000000-0005-0000-0000-0000780C0000}"/>
    <cellStyle name="쉼표 [0] 14 4" xfId="2793" xr:uid="{00000000-0005-0000-0000-0000790C0000}"/>
    <cellStyle name="쉼표 [0] 14 5" xfId="49168" xr:uid="{00000000-0005-0000-0000-00007A0C0000}"/>
    <cellStyle name="쉼표 [0] 140" xfId="49169" xr:uid="{00000000-0005-0000-0000-00007B0C0000}"/>
    <cellStyle name="쉼표 [0] 141" xfId="49170" xr:uid="{00000000-0005-0000-0000-00007C0C0000}"/>
    <cellStyle name="쉼표 [0] 142" xfId="49171" xr:uid="{00000000-0005-0000-0000-00007D0C0000}"/>
    <cellStyle name="쉼표 [0] 143" xfId="49172" xr:uid="{00000000-0005-0000-0000-00007E0C0000}"/>
    <cellStyle name="쉼표 [0] 144" xfId="49173" xr:uid="{00000000-0005-0000-0000-00007F0C0000}"/>
    <cellStyle name="쉼표 [0] 145" xfId="49174" xr:uid="{00000000-0005-0000-0000-0000800C0000}"/>
    <cellStyle name="쉼표 [0] 146" xfId="49175" xr:uid="{00000000-0005-0000-0000-0000810C0000}"/>
    <cellStyle name="쉼표 [0] 147" xfId="49176" xr:uid="{00000000-0005-0000-0000-0000820C0000}"/>
    <cellStyle name="쉼표 [0] 148" xfId="49177" xr:uid="{00000000-0005-0000-0000-0000830C0000}"/>
    <cellStyle name="쉼표 [0] 149" xfId="49178" xr:uid="{00000000-0005-0000-0000-0000840C0000}"/>
    <cellStyle name="쉼표 [0] 15" xfId="6944" xr:uid="{00000000-0005-0000-0000-0000850C0000}"/>
    <cellStyle name="쉼표 [0] 15 2" xfId="49179" xr:uid="{00000000-0005-0000-0000-0000860C0000}"/>
    <cellStyle name="쉼표 [0] 150" xfId="49180" xr:uid="{00000000-0005-0000-0000-0000870C0000}"/>
    <cellStyle name="쉼표 [0] 151" xfId="49181" xr:uid="{00000000-0005-0000-0000-0000880C0000}"/>
    <cellStyle name="쉼표 [0] 152" xfId="49182" xr:uid="{00000000-0005-0000-0000-0000890C0000}"/>
    <cellStyle name="쉼표 [0] 153" xfId="49183" xr:uid="{00000000-0005-0000-0000-00008A0C0000}"/>
    <cellStyle name="쉼표 [0] 154" xfId="49184" xr:uid="{00000000-0005-0000-0000-00008B0C0000}"/>
    <cellStyle name="쉼표 [0] 155" xfId="49185" xr:uid="{00000000-0005-0000-0000-00008C0C0000}"/>
    <cellStyle name="쉼표 [0] 156" xfId="49186" xr:uid="{00000000-0005-0000-0000-00008D0C0000}"/>
    <cellStyle name="쉼표 [0] 157" xfId="49187" xr:uid="{00000000-0005-0000-0000-00008E0C0000}"/>
    <cellStyle name="쉼표 [0] 158" xfId="49188" xr:uid="{00000000-0005-0000-0000-00008F0C0000}"/>
    <cellStyle name="쉼표 [0] 159" xfId="49189" xr:uid="{00000000-0005-0000-0000-0000900C0000}"/>
    <cellStyle name="쉼표 [0] 16" xfId="2951" xr:uid="{00000000-0005-0000-0000-0000910C0000}"/>
    <cellStyle name="쉼표 [0] 16 2" xfId="3766" xr:uid="{00000000-0005-0000-0000-0000920C0000}"/>
    <cellStyle name="쉼표 [0] 16 3" xfId="4032" xr:uid="{00000000-0005-0000-0000-0000930C0000}"/>
    <cellStyle name="쉼표 [0] 16 4" xfId="4260" xr:uid="{00000000-0005-0000-0000-0000940C0000}"/>
    <cellStyle name="쉼표 [0] 16 5" xfId="4263" xr:uid="{00000000-0005-0000-0000-0000950C0000}"/>
    <cellStyle name="쉼표 [0] 16 6" xfId="3741" xr:uid="{00000000-0005-0000-0000-0000960C0000}"/>
    <cellStyle name="쉼표 [0] 16 7" xfId="2663" xr:uid="{00000000-0005-0000-0000-0000970C0000}"/>
    <cellStyle name="쉼표 [0] 16 8" xfId="49190" xr:uid="{00000000-0005-0000-0000-0000980C0000}"/>
    <cellStyle name="쉼표 [0] 160" xfId="49191" xr:uid="{00000000-0005-0000-0000-0000990C0000}"/>
    <cellStyle name="쉼표 [0] 161" xfId="49192" xr:uid="{00000000-0005-0000-0000-00009A0C0000}"/>
    <cellStyle name="쉼표 [0] 162" xfId="49193" xr:uid="{00000000-0005-0000-0000-00009B0C0000}"/>
    <cellStyle name="쉼표 [0] 163" xfId="49194" xr:uid="{00000000-0005-0000-0000-00009C0C0000}"/>
    <cellStyle name="쉼표 [0] 164" xfId="49195" xr:uid="{00000000-0005-0000-0000-00009D0C0000}"/>
    <cellStyle name="쉼표 [0] 165" xfId="49196" xr:uid="{00000000-0005-0000-0000-00009E0C0000}"/>
    <cellStyle name="쉼표 [0] 166" xfId="49197" xr:uid="{00000000-0005-0000-0000-00009F0C0000}"/>
    <cellStyle name="쉼표 [0] 167" xfId="49198" xr:uid="{00000000-0005-0000-0000-0000A00C0000}"/>
    <cellStyle name="쉼표 [0] 168" xfId="49199" xr:uid="{00000000-0005-0000-0000-0000A10C0000}"/>
    <cellStyle name="쉼표 [0] 169" xfId="49200" xr:uid="{00000000-0005-0000-0000-0000A20C0000}"/>
    <cellStyle name="쉼표 [0] 17" xfId="6962" xr:uid="{00000000-0005-0000-0000-0000A30C0000}"/>
    <cellStyle name="쉼표 [0] 17 2" xfId="49201" xr:uid="{00000000-0005-0000-0000-0000A40C0000}"/>
    <cellStyle name="쉼표 [0] 170" xfId="49202" xr:uid="{00000000-0005-0000-0000-0000A50C0000}"/>
    <cellStyle name="쉼표 [0] 171" xfId="49203" xr:uid="{00000000-0005-0000-0000-0000A60C0000}"/>
    <cellStyle name="쉼표 [0] 172" xfId="49204" xr:uid="{00000000-0005-0000-0000-0000A70C0000}"/>
    <cellStyle name="쉼표 [0] 173" xfId="49205" xr:uid="{00000000-0005-0000-0000-0000A80C0000}"/>
    <cellStyle name="쉼표 [0] 174" xfId="49206" xr:uid="{00000000-0005-0000-0000-0000A90C0000}"/>
    <cellStyle name="쉼표 [0] 175" xfId="49207" xr:uid="{00000000-0005-0000-0000-0000AA0C0000}"/>
    <cellStyle name="쉼표 [0] 176" xfId="49208" xr:uid="{00000000-0005-0000-0000-0000AB0C0000}"/>
    <cellStyle name="쉼표 [0] 177" xfId="49209" xr:uid="{00000000-0005-0000-0000-0000AC0C0000}"/>
    <cellStyle name="쉼표 [0] 178" xfId="49210" xr:uid="{00000000-0005-0000-0000-0000AD0C0000}"/>
    <cellStyle name="쉼표 [0] 179" xfId="49211" xr:uid="{00000000-0005-0000-0000-0000AE0C0000}"/>
    <cellStyle name="쉼표 [0] 18" xfId="3742" xr:uid="{00000000-0005-0000-0000-0000AF0C0000}"/>
    <cellStyle name="쉼표 [0] 18 2" xfId="2541" xr:uid="{00000000-0005-0000-0000-0000B00C0000}"/>
    <cellStyle name="쉼표 [0] 18 3" xfId="3142" xr:uid="{00000000-0005-0000-0000-0000B10C0000}"/>
    <cellStyle name="쉼표 [0] 18 4" xfId="4234" xr:uid="{00000000-0005-0000-0000-0000B20C0000}"/>
    <cellStyle name="쉼표 [0] 18 5" xfId="2778" xr:uid="{00000000-0005-0000-0000-0000B30C0000}"/>
    <cellStyle name="쉼표 [0] 18 6" xfId="3503" xr:uid="{00000000-0005-0000-0000-0000B40C0000}"/>
    <cellStyle name="쉼표 [0] 18 7" xfId="3030" xr:uid="{00000000-0005-0000-0000-0000B50C0000}"/>
    <cellStyle name="쉼표 [0] 18 8" xfId="49212" xr:uid="{00000000-0005-0000-0000-0000B60C0000}"/>
    <cellStyle name="쉼표 [0] 180" xfId="49213" xr:uid="{00000000-0005-0000-0000-0000B70C0000}"/>
    <cellStyle name="쉼표 [0] 181" xfId="49214" xr:uid="{00000000-0005-0000-0000-0000B80C0000}"/>
    <cellStyle name="쉼표 [0] 182" xfId="49215" xr:uid="{00000000-0005-0000-0000-0000B90C0000}"/>
    <cellStyle name="쉼표 [0] 183" xfId="49216" xr:uid="{00000000-0005-0000-0000-0000BA0C0000}"/>
    <cellStyle name="쉼표 [0] 184" xfId="49217" xr:uid="{00000000-0005-0000-0000-0000BB0C0000}"/>
    <cellStyle name="쉼표 [0] 185" xfId="49218" xr:uid="{00000000-0005-0000-0000-0000BC0C0000}"/>
    <cellStyle name="쉼표 [0] 186" xfId="49219" xr:uid="{00000000-0005-0000-0000-0000BD0C0000}"/>
    <cellStyle name="쉼표 [0] 187" xfId="49220" xr:uid="{00000000-0005-0000-0000-0000BE0C0000}"/>
    <cellStyle name="쉼표 [0] 188" xfId="49221" xr:uid="{00000000-0005-0000-0000-0000BF0C0000}"/>
    <cellStyle name="쉼표 [0] 189" xfId="49222" xr:uid="{00000000-0005-0000-0000-0000C00C0000}"/>
    <cellStyle name="쉼표 [0] 19" xfId="6963" xr:uid="{00000000-0005-0000-0000-0000C10C0000}"/>
    <cellStyle name="쉼표 [0] 19 2" xfId="49223" xr:uid="{00000000-0005-0000-0000-0000C20C0000}"/>
    <cellStyle name="쉼표 [0] 190" xfId="49224" xr:uid="{00000000-0005-0000-0000-0000C30C0000}"/>
    <cellStyle name="쉼표 [0] 191" xfId="49225" xr:uid="{00000000-0005-0000-0000-0000C40C0000}"/>
    <cellStyle name="쉼표 [0] 192" xfId="49226" xr:uid="{00000000-0005-0000-0000-0000C50C0000}"/>
    <cellStyle name="쉼표 [0] 193" xfId="49227" xr:uid="{00000000-0005-0000-0000-0000C60C0000}"/>
    <cellStyle name="쉼표 [0] 194" xfId="49228" xr:uid="{00000000-0005-0000-0000-0000C70C0000}"/>
    <cellStyle name="쉼표 [0] 195" xfId="49229" xr:uid="{00000000-0005-0000-0000-0000C80C0000}"/>
    <cellStyle name="쉼표 [0] 196" xfId="49230" xr:uid="{00000000-0005-0000-0000-0000C90C0000}"/>
    <cellStyle name="쉼표 [0] 197" xfId="49231" xr:uid="{00000000-0005-0000-0000-0000CA0C0000}"/>
    <cellStyle name="쉼표 [0] 198" xfId="49232" xr:uid="{00000000-0005-0000-0000-0000CB0C0000}"/>
    <cellStyle name="쉼표 [0] 199" xfId="49233" xr:uid="{00000000-0005-0000-0000-0000CC0C0000}"/>
    <cellStyle name="쉼표 [0] 2" xfId="1" xr:uid="{00000000-0005-0000-0000-0000CD0C0000}"/>
    <cellStyle name="쉼표 [0] 2 10" xfId="2969" xr:uid="{00000000-0005-0000-0000-0000CE0C0000}"/>
    <cellStyle name="쉼표 [0] 2 10 2" xfId="6410" xr:uid="{00000000-0005-0000-0000-0000CF0C0000}"/>
    <cellStyle name="쉼표 [0] 2 11" xfId="3213" xr:uid="{00000000-0005-0000-0000-0000D00C0000}"/>
    <cellStyle name="쉼표 [0] 2 11 2" xfId="6369" xr:uid="{00000000-0005-0000-0000-0000D10C0000}"/>
    <cellStyle name="쉼표 [0] 2 12" xfId="3497" xr:uid="{00000000-0005-0000-0000-0000D20C0000}"/>
    <cellStyle name="쉼표 [0] 2 12 2" xfId="6433" xr:uid="{00000000-0005-0000-0000-0000D30C0000}"/>
    <cellStyle name="쉼표 [0] 2 13" xfId="3455" xr:uid="{00000000-0005-0000-0000-0000D40C0000}"/>
    <cellStyle name="쉼표 [0] 2 14" xfId="3436" xr:uid="{00000000-0005-0000-0000-0000D50C0000}"/>
    <cellStyle name="쉼표 [0] 2 15" xfId="3140" xr:uid="{00000000-0005-0000-0000-0000D60C0000}"/>
    <cellStyle name="쉼표 [0] 2 16" xfId="4163" xr:uid="{00000000-0005-0000-0000-0000D70C0000}"/>
    <cellStyle name="쉼표 [0] 2 17" xfId="386" xr:uid="{00000000-0005-0000-0000-0000D80C0000}"/>
    <cellStyle name="쉼표 [0] 2 18" xfId="3792" xr:uid="{00000000-0005-0000-0000-0000D90C0000}"/>
    <cellStyle name="쉼표 [0] 2 19" xfId="2945" xr:uid="{00000000-0005-0000-0000-0000DA0C0000}"/>
    <cellStyle name="쉼표 [0] 2 2" xfId="2" xr:uid="{00000000-0005-0000-0000-0000DB0C0000}"/>
    <cellStyle name="쉼표 [0] 2 2 10" xfId="6409" xr:uid="{00000000-0005-0000-0000-0000DC0C0000}"/>
    <cellStyle name="쉼표 [0] 2 2 11" xfId="6370" xr:uid="{00000000-0005-0000-0000-0000DD0C0000}"/>
    <cellStyle name="쉼표 [0] 2 2 12" xfId="6432" xr:uid="{00000000-0005-0000-0000-0000DE0C0000}"/>
    <cellStyle name="쉼표 [0] 2 2 13" xfId="6356" xr:uid="{00000000-0005-0000-0000-0000DF0C0000}"/>
    <cellStyle name="쉼표 [0] 2 2 14" xfId="6434" xr:uid="{00000000-0005-0000-0000-0000E00C0000}"/>
    <cellStyle name="쉼표 [0] 2 2 15" xfId="6344" xr:uid="{00000000-0005-0000-0000-0000E10C0000}"/>
    <cellStyle name="쉼표 [0] 2 2 2" xfId="21" xr:uid="{00000000-0005-0000-0000-0000E20C0000}"/>
    <cellStyle name="쉼표 [0] 2 2 2 10" xfId="331" xr:uid="{00000000-0005-0000-0000-0000E30C0000}"/>
    <cellStyle name="쉼표 [0] 2 2 2 11" xfId="3552" xr:uid="{00000000-0005-0000-0000-0000E40C0000}"/>
    <cellStyle name="쉼표 [0] 2 2 2 12" xfId="4285" xr:uid="{00000000-0005-0000-0000-0000E50C0000}"/>
    <cellStyle name="쉼표 [0] 2 2 2 2" xfId="115" xr:uid="{00000000-0005-0000-0000-0000E60C0000}"/>
    <cellStyle name="쉼표 [0] 2 2 2 2 2" xfId="2594" xr:uid="{00000000-0005-0000-0000-0000E70C0000}"/>
    <cellStyle name="쉼표 [0] 2 2 2 3" xfId="2411" xr:uid="{00000000-0005-0000-0000-0000E80C0000}"/>
    <cellStyle name="쉼표 [0] 2 2 2 4" xfId="3245" xr:uid="{00000000-0005-0000-0000-0000E90C0000}"/>
    <cellStyle name="쉼표 [0] 2 2 2 5" xfId="2591" xr:uid="{00000000-0005-0000-0000-0000EA0C0000}"/>
    <cellStyle name="쉼표 [0] 2 2 2 6" xfId="2478" xr:uid="{00000000-0005-0000-0000-0000EB0C0000}"/>
    <cellStyle name="쉼표 [0] 2 2 2 7" xfId="3314" xr:uid="{00000000-0005-0000-0000-0000EC0C0000}"/>
    <cellStyle name="쉼표 [0] 2 2 2 8" xfId="2832" xr:uid="{00000000-0005-0000-0000-0000ED0C0000}"/>
    <cellStyle name="쉼표 [0] 2 2 2 9" xfId="370" xr:uid="{00000000-0005-0000-0000-0000EE0C0000}"/>
    <cellStyle name="쉼표 [0] 2 2 3" xfId="33" xr:uid="{00000000-0005-0000-0000-0000EF0C0000}"/>
    <cellStyle name="쉼표 [0] 2 2 3 10" xfId="2480" xr:uid="{00000000-0005-0000-0000-0000F00C0000}"/>
    <cellStyle name="쉼표 [0] 2 2 3 11" xfId="2903" xr:uid="{00000000-0005-0000-0000-0000F10C0000}"/>
    <cellStyle name="쉼표 [0] 2 2 3 12" xfId="3016" xr:uid="{00000000-0005-0000-0000-0000F20C0000}"/>
    <cellStyle name="쉼표 [0] 2 2 3 2" xfId="127" xr:uid="{00000000-0005-0000-0000-0000F30C0000}"/>
    <cellStyle name="쉼표 [0] 2 2 3 2 2" xfId="2833" xr:uid="{00000000-0005-0000-0000-0000F40C0000}"/>
    <cellStyle name="쉼표 [0] 2 2 3 3" xfId="3658" xr:uid="{00000000-0005-0000-0000-0000F50C0000}"/>
    <cellStyle name="쉼표 [0] 2 2 3 4" xfId="3387" xr:uid="{00000000-0005-0000-0000-0000F60C0000}"/>
    <cellStyle name="쉼표 [0] 2 2 3 5" xfId="3294" xr:uid="{00000000-0005-0000-0000-0000F70C0000}"/>
    <cellStyle name="쉼표 [0] 2 2 3 6" xfId="4021" xr:uid="{00000000-0005-0000-0000-0000F80C0000}"/>
    <cellStyle name="쉼표 [0] 2 2 3 7" xfId="4034" xr:uid="{00000000-0005-0000-0000-0000F90C0000}"/>
    <cellStyle name="쉼표 [0] 2 2 3 8" xfId="3297" xr:uid="{00000000-0005-0000-0000-0000FA0C0000}"/>
    <cellStyle name="쉼표 [0] 2 2 3 9" xfId="2463" xr:uid="{00000000-0005-0000-0000-0000FB0C0000}"/>
    <cellStyle name="쉼표 [0] 2 2 4" xfId="47" xr:uid="{00000000-0005-0000-0000-0000FC0C0000}"/>
    <cellStyle name="쉼표 [0] 2 2 4 10" xfId="3781" xr:uid="{00000000-0005-0000-0000-0000FD0C0000}"/>
    <cellStyle name="쉼표 [0] 2 2 4 11" xfId="2578" xr:uid="{00000000-0005-0000-0000-0000FE0C0000}"/>
    <cellStyle name="쉼표 [0] 2 2 4 12" xfId="2700" xr:uid="{00000000-0005-0000-0000-0000FF0C0000}"/>
    <cellStyle name="쉼표 [0] 2 2 4 2" xfId="141" xr:uid="{00000000-0005-0000-0000-0000000D0000}"/>
    <cellStyle name="쉼표 [0] 2 2 4 2 2" xfId="3055" xr:uid="{00000000-0005-0000-0000-0000010D0000}"/>
    <cellStyle name="쉼표 [0] 2 2 4 3" xfId="4274" xr:uid="{00000000-0005-0000-0000-0000020D0000}"/>
    <cellStyle name="쉼표 [0] 2 2 4 4" xfId="4088" xr:uid="{00000000-0005-0000-0000-0000030D0000}"/>
    <cellStyle name="쉼표 [0] 2 2 4 5" xfId="4085" xr:uid="{00000000-0005-0000-0000-0000040D0000}"/>
    <cellStyle name="쉼표 [0] 2 2 4 6" xfId="3355" xr:uid="{00000000-0005-0000-0000-0000050D0000}"/>
    <cellStyle name="쉼표 [0] 2 2 4 7" xfId="4090" xr:uid="{00000000-0005-0000-0000-0000060D0000}"/>
    <cellStyle name="쉼표 [0] 2 2 4 8" xfId="2867" xr:uid="{00000000-0005-0000-0000-0000070D0000}"/>
    <cellStyle name="쉼표 [0] 2 2 4 9" xfId="2412" xr:uid="{00000000-0005-0000-0000-0000080D0000}"/>
    <cellStyle name="쉼표 [0] 2 2 5" xfId="61" xr:uid="{00000000-0005-0000-0000-0000090D0000}"/>
    <cellStyle name="쉼표 [0] 2 2 5 2" xfId="155" xr:uid="{00000000-0005-0000-0000-00000A0D0000}"/>
    <cellStyle name="쉼표 [0] 2 2 6" xfId="96" xr:uid="{00000000-0005-0000-0000-00000B0D0000}"/>
    <cellStyle name="쉼표 [0] 2 2 6 2" xfId="5105" xr:uid="{00000000-0005-0000-0000-00000C0D0000}"/>
    <cellStyle name="쉼표 [0] 2 2 7" xfId="255" xr:uid="{00000000-0005-0000-0000-00000D0D0000}"/>
    <cellStyle name="쉼표 [0] 2 2 7 2" xfId="6980" xr:uid="{00000000-0005-0000-0000-00000E0D0000}"/>
    <cellStyle name="쉼표 [0] 2 2 7 3" xfId="48424" xr:uid="{00000000-0005-0000-0000-00000F0D0000}"/>
    <cellStyle name="쉼표 [0] 2 2 8" xfId="6413" xr:uid="{00000000-0005-0000-0000-0000100D0000}"/>
    <cellStyle name="쉼표 [0] 2 2 8 2" xfId="7006" xr:uid="{00000000-0005-0000-0000-0000110D0000}"/>
    <cellStyle name="쉼표 [0] 2 2 9" xfId="6375" xr:uid="{00000000-0005-0000-0000-0000120D0000}"/>
    <cellStyle name="쉼표 [0] 2 20" xfId="3353" xr:uid="{00000000-0005-0000-0000-0000130D0000}"/>
    <cellStyle name="쉼표 [0] 2 21" xfId="343" xr:uid="{00000000-0005-0000-0000-0000140D0000}"/>
    <cellStyle name="쉼표 [0] 2 22" xfId="3362" xr:uid="{00000000-0005-0000-0000-0000150D0000}"/>
    <cellStyle name="쉼표 [0] 2 23" xfId="345" xr:uid="{00000000-0005-0000-0000-0000160D0000}"/>
    <cellStyle name="쉼표 [0] 2 24" xfId="3214" xr:uid="{00000000-0005-0000-0000-0000170D0000}"/>
    <cellStyle name="쉼표 [0] 2 25" xfId="3000" xr:uid="{00000000-0005-0000-0000-0000180D0000}"/>
    <cellStyle name="쉼표 [0] 2 26" xfId="2604" xr:uid="{00000000-0005-0000-0000-0000190D0000}"/>
    <cellStyle name="쉼표 [0] 2 27" xfId="2413" xr:uid="{00000000-0005-0000-0000-00001A0D0000}"/>
    <cellStyle name="쉼표 [0] 2 28" xfId="2415" xr:uid="{00000000-0005-0000-0000-00001B0D0000}"/>
    <cellStyle name="쉼표 [0] 2 29" xfId="3160" xr:uid="{00000000-0005-0000-0000-00001C0D0000}"/>
    <cellStyle name="쉼표 [0] 2 3" xfId="14" xr:uid="{00000000-0005-0000-0000-00001D0D0000}"/>
    <cellStyle name="쉼표 [0] 2 3 2" xfId="26" xr:uid="{00000000-0005-0000-0000-00001E0D0000}"/>
    <cellStyle name="쉼표 [0] 2 3 2 2" xfId="120" xr:uid="{00000000-0005-0000-0000-00001F0D0000}"/>
    <cellStyle name="쉼표 [0] 2 3 3" xfId="37" xr:uid="{00000000-0005-0000-0000-0000200D0000}"/>
    <cellStyle name="쉼표 [0] 2 3 3 2" xfId="131" xr:uid="{00000000-0005-0000-0000-0000210D0000}"/>
    <cellStyle name="쉼표 [0] 2 3 4" xfId="51" xr:uid="{00000000-0005-0000-0000-0000220D0000}"/>
    <cellStyle name="쉼표 [0] 2 3 4 2" xfId="145" xr:uid="{00000000-0005-0000-0000-0000230D0000}"/>
    <cellStyle name="쉼표 [0] 2 3 5" xfId="65" xr:uid="{00000000-0005-0000-0000-0000240D0000}"/>
    <cellStyle name="쉼표 [0] 2 3 5 2" xfId="159" xr:uid="{00000000-0005-0000-0000-0000250D0000}"/>
    <cellStyle name="쉼표 [0] 2 3 6" xfId="108" xr:uid="{00000000-0005-0000-0000-0000260D0000}"/>
    <cellStyle name="쉼표 [0] 2 3 7" xfId="383" xr:uid="{00000000-0005-0000-0000-0000270D0000}"/>
    <cellStyle name="쉼표 [0] 2 3 7 2" xfId="6984" xr:uid="{00000000-0005-0000-0000-0000280D0000}"/>
    <cellStyle name="쉼표 [0] 2 3 8" xfId="7010" xr:uid="{00000000-0005-0000-0000-0000290D0000}"/>
    <cellStyle name="쉼표 [0] 2 30" xfId="2561" xr:uid="{00000000-0005-0000-0000-00002A0D0000}"/>
    <cellStyle name="쉼표 [0] 2 31" xfId="3855" xr:uid="{00000000-0005-0000-0000-00002B0D0000}"/>
    <cellStyle name="쉼표 [0] 2 32" xfId="3465" xr:uid="{00000000-0005-0000-0000-00002C0D0000}"/>
    <cellStyle name="쉼표 [0] 2 33" xfId="49719" xr:uid="{00000000-0005-0000-0000-00002D0D0000}"/>
    <cellStyle name="쉼표 [0] 2 34" xfId="49739" xr:uid="{00000000-0005-0000-0000-00002E0D0000}"/>
    <cellStyle name="쉼표 [0] 2 4" xfId="15" xr:uid="{00000000-0005-0000-0000-00002F0D0000}"/>
    <cellStyle name="쉼표 [0] 2 4 10" xfId="3585" xr:uid="{00000000-0005-0000-0000-0000300D0000}"/>
    <cellStyle name="쉼표 [0] 2 4 11" xfId="2435" xr:uid="{00000000-0005-0000-0000-0000310D0000}"/>
    <cellStyle name="쉼표 [0] 2 4 12" xfId="3367" xr:uid="{00000000-0005-0000-0000-0000320D0000}"/>
    <cellStyle name="쉼표 [0] 2 4 2" xfId="27" xr:uid="{00000000-0005-0000-0000-0000330D0000}"/>
    <cellStyle name="쉼표 [0] 2 4 2 2" xfId="121" xr:uid="{00000000-0005-0000-0000-0000340D0000}"/>
    <cellStyle name="쉼표 [0] 2 4 2 3" xfId="3988" xr:uid="{00000000-0005-0000-0000-0000350D0000}"/>
    <cellStyle name="쉼표 [0] 2 4 3" xfId="38" xr:uid="{00000000-0005-0000-0000-0000360D0000}"/>
    <cellStyle name="쉼표 [0] 2 4 3 2" xfId="132" xr:uid="{00000000-0005-0000-0000-0000370D0000}"/>
    <cellStyle name="쉼표 [0] 2 4 3 3" xfId="2646" xr:uid="{00000000-0005-0000-0000-0000380D0000}"/>
    <cellStyle name="쉼표 [0] 2 4 4" xfId="52" xr:uid="{00000000-0005-0000-0000-0000390D0000}"/>
    <cellStyle name="쉼표 [0] 2 4 4 2" xfId="146" xr:uid="{00000000-0005-0000-0000-00003A0D0000}"/>
    <cellStyle name="쉼표 [0] 2 4 4 3" xfId="3136" xr:uid="{00000000-0005-0000-0000-00003B0D0000}"/>
    <cellStyle name="쉼표 [0] 2 4 5" xfId="66" xr:uid="{00000000-0005-0000-0000-00003C0D0000}"/>
    <cellStyle name="쉼표 [0] 2 4 5 2" xfId="160" xr:uid="{00000000-0005-0000-0000-00003D0D0000}"/>
    <cellStyle name="쉼표 [0] 2 4 5 3" xfId="2461" xr:uid="{00000000-0005-0000-0000-00003E0D0000}"/>
    <cellStyle name="쉼표 [0] 2 4 6" xfId="109" xr:uid="{00000000-0005-0000-0000-00003F0D0000}"/>
    <cellStyle name="쉼표 [0] 2 4 6 2" xfId="3501" xr:uid="{00000000-0005-0000-0000-0000400D0000}"/>
    <cellStyle name="쉼표 [0] 2 4 7" xfId="2892" xr:uid="{00000000-0005-0000-0000-0000410D0000}"/>
    <cellStyle name="쉼표 [0] 2 4 7 2" xfId="6985" xr:uid="{00000000-0005-0000-0000-0000420D0000}"/>
    <cellStyle name="쉼표 [0] 2 4 8" xfId="2895" xr:uid="{00000000-0005-0000-0000-0000430D0000}"/>
    <cellStyle name="쉼표 [0] 2 4 8 2" xfId="7011" xr:uid="{00000000-0005-0000-0000-0000440D0000}"/>
    <cellStyle name="쉼표 [0] 2 4 9" xfId="2598" xr:uid="{00000000-0005-0000-0000-0000450D0000}"/>
    <cellStyle name="쉼표 [0] 2 5" xfId="19" xr:uid="{00000000-0005-0000-0000-0000460D0000}"/>
    <cellStyle name="쉼표 [0] 2 5 10" xfId="4068" xr:uid="{00000000-0005-0000-0000-0000470D0000}"/>
    <cellStyle name="쉼표 [0] 2 5 11" xfId="4074" xr:uid="{00000000-0005-0000-0000-0000480D0000}"/>
    <cellStyle name="쉼표 [0] 2 5 12" xfId="3101" xr:uid="{00000000-0005-0000-0000-0000490D0000}"/>
    <cellStyle name="쉼표 [0] 2 5 2" xfId="31" xr:uid="{00000000-0005-0000-0000-00004A0D0000}"/>
    <cellStyle name="쉼표 [0] 2 5 2 2" xfId="125" xr:uid="{00000000-0005-0000-0000-00004B0D0000}"/>
    <cellStyle name="쉼표 [0] 2 5 2 3" xfId="4071" xr:uid="{00000000-0005-0000-0000-00004C0D0000}"/>
    <cellStyle name="쉼표 [0] 2 5 3" xfId="42" xr:uid="{00000000-0005-0000-0000-00004D0D0000}"/>
    <cellStyle name="쉼표 [0] 2 5 3 2" xfId="136" xr:uid="{00000000-0005-0000-0000-00004E0D0000}"/>
    <cellStyle name="쉼표 [0] 2 5 3 3" xfId="274" xr:uid="{00000000-0005-0000-0000-00004F0D0000}"/>
    <cellStyle name="쉼표 [0] 2 5 4" xfId="56" xr:uid="{00000000-0005-0000-0000-0000500D0000}"/>
    <cellStyle name="쉼표 [0] 2 5 4 2" xfId="150" xr:uid="{00000000-0005-0000-0000-0000510D0000}"/>
    <cellStyle name="쉼표 [0] 2 5 4 3" xfId="283" xr:uid="{00000000-0005-0000-0000-0000520D0000}"/>
    <cellStyle name="쉼표 [0] 2 5 5" xfId="70" xr:uid="{00000000-0005-0000-0000-0000530D0000}"/>
    <cellStyle name="쉼표 [0] 2 5 5 2" xfId="164" xr:uid="{00000000-0005-0000-0000-0000540D0000}"/>
    <cellStyle name="쉼표 [0] 2 5 5 3" xfId="3338" xr:uid="{00000000-0005-0000-0000-0000550D0000}"/>
    <cellStyle name="쉼표 [0] 2 5 6" xfId="113" xr:uid="{00000000-0005-0000-0000-0000560D0000}"/>
    <cellStyle name="쉼표 [0] 2 5 6 2" xfId="3462" xr:uid="{00000000-0005-0000-0000-0000570D0000}"/>
    <cellStyle name="쉼표 [0] 2 5 7" xfId="4081" xr:uid="{00000000-0005-0000-0000-0000580D0000}"/>
    <cellStyle name="쉼표 [0] 2 5 7 2" xfId="6989" xr:uid="{00000000-0005-0000-0000-0000590D0000}"/>
    <cellStyle name="쉼표 [0] 2 5 8" xfId="3582" xr:uid="{00000000-0005-0000-0000-00005A0D0000}"/>
    <cellStyle name="쉼표 [0] 2 5 8 2" xfId="7015" xr:uid="{00000000-0005-0000-0000-00005B0D0000}"/>
    <cellStyle name="쉼표 [0] 2 5 9" xfId="3932" xr:uid="{00000000-0005-0000-0000-00005C0D0000}"/>
    <cellStyle name="쉼표 [0] 2 6" xfId="95" xr:uid="{00000000-0005-0000-0000-00005D0D0000}"/>
    <cellStyle name="쉼표 [0] 2 6 10" xfId="2791" xr:uid="{00000000-0005-0000-0000-00005E0D0000}"/>
    <cellStyle name="쉼표 [0] 2 6 11" xfId="3346" xr:uid="{00000000-0005-0000-0000-00005F0D0000}"/>
    <cellStyle name="쉼표 [0] 2 6 12" xfId="2859" xr:uid="{00000000-0005-0000-0000-0000600D0000}"/>
    <cellStyle name="쉼표 [0] 2 6 13" xfId="7113" xr:uid="{00000000-0005-0000-0000-0000610D0000}"/>
    <cellStyle name="쉼표 [0] 2 6 14" xfId="48449" xr:uid="{00000000-0005-0000-0000-0000620D0000}"/>
    <cellStyle name="쉼표 [0] 2 6 2" xfId="3348" xr:uid="{00000000-0005-0000-0000-0000630D0000}"/>
    <cellStyle name="쉼표 [0] 2 6 3" xfId="4097" xr:uid="{00000000-0005-0000-0000-0000640D0000}"/>
    <cellStyle name="쉼표 [0] 2 6 4" xfId="3837" xr:uid="{00000000-0005-0000-0000-0000650D0000}"/>
    <cellStyle name="쉼표 [0] 2 6 5" xfId="284" xr:uid="{00000000-0005-0000-0000-0000660D0000}"/>
    <cellStyle name="쉼표 [0] 2 6 6" xfId="2496" xr:uid="{00000000-0005-0000-0000-0000670D0000}"/>
    <cellStyle name="쉼표 [0] 2 6 7" xfId="2956" xr:uid="{00000000-0005-0000-0000-0000680D0000}"/>
    <cellStyle name="쉼표 [0] 2 6 8" xfId="3592" xr:uid="{00000000-0005-0000-0000-0000690D0000}"/>
    <cellStyle name="쉼표 [0] 2 6 9" xfId="2814" xr:uid="{00000000-0005-0000-0000-00006A0D0000}"/>
    <cellStyle name="쉼표 [0] 2 7" xfId="254" xr:uid="{00000000-0005-0000-0000-00006B0D0000}"/>
    <cellStyle name="쉼표 [0] 2 7 2" xfId="3442" xr:uid="{00000000-0005-0000-0000-00006C0D0000}"/>
    <cellStyle name="쉼표 [0] 2 8" xfId="3204" xr:uid="{00000000-0005-0000-0000-00006D0D0000}"/>
    <cellStyle name="쉼표 [0] 2 9" xfId="3686" xr:uid="{00000000-0005-0000-0000-00006E0D0000}"/>
    <cellStyle name="쉼표 [0] 2 9 2" xfId="6374" xr:uid="{00000000-0005-0000-0000-00006F0D0000}"/>
    <cellStyle name="쉼표 [0] 2_업체별" xfId="5106" xr:uid="{00000000-0005-0000-0000-0000700D0000}"/>
    <cellStyle name="쉼표 [0] 20" xfId="83" xr:uid="{00000000-0005-0000-0000-0000710D0000}"/>
    <cellStyle name="쉼표 [0] 20 2" xfId="177" xr:uid="{00000000-0005-0000-0000-0000720D0000}"/>
    <cellStyle name="쉼표 [0] 20 3" xfId="3575" xr:uid="{00000000-0005-0000-0000-0000730D0000}"/>
    <cellStyle name="쉼표 [0] 20 4" xfId="3060" xr:uid="{00000000-0005-0000-0000-0000740D0000}"/>
    <cellStyle name="쉼표 [0] 20 5" xfId="3692" xr:uid="{00000000-0005-0000-0000-0000750D0000}"/>
    <cellStyle name="쉼표 [0] 200" xfId="49234" xr:uid="{00000000-0005-0000-0000-0000760D0000}"/>
    <cellStyle name="쉼표 [0] 201" xfId="49235" xr:uid="{00000000-0005-0000-0000-0000770D0000}"/>
    <cellStyle name="쉼표 [0] 202" xfId="49236" xr:uid="{00000000-0005-0000-0000-0000780D0000}"/>
    <cellStyle name="쉼표 [0] 203" xfId="49237" xr:uid="{00000000-0005-0000-0000-0000790D0000}"/>
    <cellStyle name="쉼표 [0] 204" xfId="49238" xr:uid="{00000000-0005-0000-0000-00007A0D0000}"/>
    <cellStyle name="쉼표 [0] 205" xfId="49239" xr:uid="{00000000-0005-0000-0000-00007B0D0000}"/>
    <cellStyle name="쉼표 [0] 206" xfId="49240" xr:uid="{00000000-0005-0000-0000-00007C0D0000}"/>
    <cellStyle name="쉼표 [0] 207" xfId="48445" xr:uid="{00000000-0005-0000-0000-00007D0D0000}"/>
    <cellStyle name="쉼표 [0] 208" xfId="48446" xr:uid="{00000000-0005-0000-0000-00007E0D0000}"/>
    <cellStyle name="쉼표 [0] 209" xfId="49741" xr:uid="{3D18F606-4333-4A6F-AE6E-CA7A37E37DF6}"/>
    <cellStyle name="쉼표 [0] 21" xfId="19724" xr:uid="{00000000-0005-0000-0000-00007F0D0000}"/>
    <cellStyle name="쉼표 [0] 21 2" xfId="4066" xr:uid="{00000000-0005-0000-0000-0000800D0000}"/>
    <cellStyle name="쉼표 [0] 21 3" xfId="3456" xr:uid="{00000000-0005-0000-0000-0000810D0000}"/>
    <cellStyle name="쉼표 [0] 21 4" xfId="49241" xr:uid="{00000000-0005-0000-0000-0000820D0000}"/>
    <cellStyle name="쉼표 [0] 22" xfId="49242" xr:uid="{00000000-0005-0000-0000-0000830D0000}"/>
    <cellStyle name="쉼표 [0] 22 2" xfId="3571" xr:uid="{00000000-0005-0000-0000-0000840D0000}"/>
    <cellStyle name="쉼표 [0] 22 3" xfId="3891" xr:uid="{00000000-0005-0000-0000-0000850D0000}"/>
    <cellStyle name="쉼표 [0] 23" xfId="92" xr:uid="{00000000-0005-0000-0000-0000860D0000}"/>
    <cellStyle name="쉼표 [0] 23 2" xfId="3400" xr:uid="{00000000-0005-0000-0000-0000870D0000}"/>
    <cellStyle name="쉼표 [0] 23 3" xfId="3729" xr:uid="{00000000-0005-0000-0000-0000880D0000}"/>
    <cellStyle name="쉼표 [0] 23 4" xfId="6342" xr:uid="{00000000-0005-0000-0000-0000890D0000}"/>
    <cellStyle name="쉼표 [0] 23 5" xfId="49243" xr:uid="{00000000-0005-0000-0000-00008A0D0000}"/>
    <cellStyle name="쉼표 [0] 24" xfId="2803" xr:uid="{00000000-0005-0000-0000-00008B0D0000}"/>
    <cellStyle name="쉼표 [0] 24 2" xfId="3885" xr:uid="{00000000-0005-0000-0000-00008C0D0000}"/>
    <cellStyle name="쉼표 [0] 24 3" xfId="3398" xr:uid="{00000000-0005-0000-0000-00008D0D0000}"/>
    <cellStyle name="쉼표 [0] 24 4" xfId="49244" xr:uid="{00000000-0005-0000-0000-00008E0D0000}"/>
    <cellStyle name="쉼표 [0] 25" xfId="49245" xr:uid="{00000000-0005-0000-0000-00008F0D0000}"/>
    <cellStyle name="쉼표 [0] 25 2" xfId="349" xr:uid="{00000000-0005-0000-0000-0000900D0000}"/>
    <cellStyle name="쉼표 [0] 25 2 2" xfId="49722" xr:uid="{00000000-0005-0000-0000-0000910D0000}"/>
    <cellStyle name="쉼표 [0] 25 2 2 10" xfId="49725" xr:uid="{00000000-0005-0000-0000-0000920D0000}"/>
    <cellStyle name="쉼표 [0] 25 3" xfId="2680" xr:uid="{00000000-0005-0000-0000-0000930D0000}"/>
    <cellStyle name="쉼표 [0] 26" xfId="82" xr:uid="{00000000-0005-0000-0000-0000940D0000}"/>
    <cellStyle name="쉼표 [0] 26 2" xfId="176" xr:uid="{00000000-0005-0000-0000-0000950D0000}"/>
    <cellStyle name="쉼표 [0] 26 3" xfId="2458" xr:uid="{00000000-0005-0000-0000-0000960D0000}"/>
    <cellStyle name="쉼표 [0] 27" xfId="49246" xr:uid="{00000000-0005-0000-0000-0000970D0000}"/>
    <cellStyle name="쉼표 [0] 27 2" xfId="3235" xr:uid="{00000000-0005-0000-0000-0000980D0000}"/>
    <cellStyle name="쉼표 [0] 27 3" xfId="2686" xr:uid="{00000000-0005-0000-0000-0000990D0000}"/>
    <cellStyle name="쉼표 [0] 28" xfId="49247" xr:uid="{00000000-0005-0000-0000-00009A0D0000}"/>
    <cellStyle name="쉼표 [0] 28 2" xfId="4015" xr:uid="{00000000-0005-0000-0000-00009B0D0000}"/>
    <cellStyle name="쉼표 [0] 28 3" xfId="3531" xr:uid="{00000000-0005-0000-0000-00009C0D0000}"/>
    <cellStyle name="쉼표 [0] 29" xfId="49248" xr:uid="{00000000-0005-0000-0000-00009D0D0000}"/>
    <cellStyle name="쉼표 [0] 29 2" xfId="382" xr:uid="{00000000-0005-0000-0000-00009E0D0000}"/>
    <cellStyle name="쉼표 [0] 29 3" xfId="3672" xr:uid="{00000000-0005-0000-0000-00009F0D0000}"/>
    <cellStyle name="쉼표 [0] 3" xfId="3" xr:uid="{00000000-0005-0000-0000-0000A00D0000}"/>
    <cellStyle name="쉼표 [0] 3 10" xfId="3867" xr:uid="{00000000-0005-0000-0000-0000A10D0000}"/>
    <cellStyle name="쉼표 [0] 3 11" xfId="49730" xr:uid="{00000000-0005-0000-0000-0000A20D0000}"/>
    <cellStyle name="쉼표 [0] 3 2" xfId="97" xr:uid="{00000000-0005-0000-0000-0000A30D0000}"/>
    <cellStyle name="쉼표 [0] 3 2 2" xfId="256" xr:uid="{00000000-0005-0000-0000-0000A40D0000}"/>
    <cellStyle name="쉼표 [0] 3 2 2 10" xfId="2451" xr:uid="{00000000-0005-0000-0000-0000A50D0000}"/>
    <cellStyle name="쉼표 [0] 3 2 2 11" xfId="3668" xr:uid="{00000000-0005-0000-0000-0000A60D0000}"/>
    <cellStyle name="쉼표 [0] 3 2 2 2" xfId="3537" xr:uid="{00000000-0005-0000-0000-0000A70D0000}"/>
    <cellStyle name="쉼표 [0] 3 2 2 3" xfId="3386" xr:uid="{00000000-0005-0000-0000-0000A80D0000}"/>
    <cellStyle name="쉼표 [0] 3 2 2 4" xfId="4123" xr:uid="{00000000-0005-0000-0000-0000A90D0000}"/>
    <cellStyle name="쉼표 [0] 3 2 2 5" xfId="4112" xr:uid="{00000000-0005-0000-0000-0000AA0D0000}"/>
    <cellStyle name="쉼표 [0] 3 2 2 6" xfId="4244" xr:uid="{00000000-0005-0000-0000-0000AB0D0000}"/>
    <cellStyle name="쉼표 [0] 3 2 2 7" xfId="2905" xr:uid="{00000000-0005-0000-0000-0000AC0D0000}"/>
    <cellStyle name="쉼표 [0] 3 2 2 8" xfId="4126" xr:uid="{00000000-0005-0000-0000-0000AD0D0000}"/>
    <cellStyle name="쉼표 [0] 3 2 2 9" xfId="2901" xr:uid="{00000000-0005-0000-0000-0000AE0D0000}"/>
    <cellStyle name="쉼표 [0] 3 2 3" xfId="3193" xr:uid="{00000000-0005-0000-0000-0000AF0D0000}"/>
    <cellStyle name="쉼표 [0] 3 2 3 10" xfId="3675" xr:uid="{00000000-0005-0000-0000-0000B00D0000}"/>
    <cellStyle name="쉼표 [0] 3 2 3 11" xfId="3671" xr:uid="{00000000-0005-0000-0000-0000B10D0000}"/>
    <cellStyle name="쉼표 [0] 3 2 3 2" xfId="3359" xr:uid="{00000000-0005-0000-0000-0000B20D0000}"/>
    <cellStyle name="쉼표 [0] 3 2 3 3" xfId="4165" xr:uid="{00000000-0005-0000-0000-0000B30D0000}"/>
    <cellStyle name="쉼표 [0] 3 2 3 4" xfId="4162" xr:uid="{00000000-0005-0000-0000-0000B40D0000}"/>
    <cellStyle name="쉼표 [0] 3 2 3 5" xfId="2433" xr:uid="{00000000-0005-0000-0000-0000B50D0000}"/>
    <cellStyle name="쉼표 [0] 3 2 3 6" xfId="2590" xr:uid="{00000000-0005-0000-0000-0000B60D0000}"/>
    <cellStyle name="쉼표 [0] 3 2 3 7" xfId="3920" xr:uid="{00000000-0005-0000-0000-0000B70D0000}"/>
    <cellStyle name="쉼표 [0] 3 2 3 8" xfId="2952" xr:uid="{00000000-0005-0000-0000-0000B80D0000}"/>
    <cellStyle name="쉼표 [0] 3 2 3 9" xfId="4143" xr:uid="{00000000-0005-0000-0000-0000B90D0000}"/>
    <cellStyle name="쉼표 [0] 3 2 4" xfId="3934" xr:uid="{00000000-0005-0000-0000-0000BA0D0000}"/>
    <cellStyle name="쉼표 [0] 3 2 4 10" xfId="3435" xr:uid="{00000000-0005-0000-0000-0000BB0D0000}"/>
    <cellStyle name="쉼표 [0] 3 2 4 11" xfId="4020" xr:uid="{00000000-0005-0000-0000-0000BC0D0000}"/>
    <cellStyle name="쉼표 [0] 3 2 4 2" xfId="4296" xr:uid="{00000000-0005-0000-0000-0000BD0D0000}"/>
    <cellStyle name="쉼표 [0] 3 2 4 3" xfId="3186" xr:uid="{00000000-0005-0000-0000-0000BE0D0000}"/>
    <cellStyle name="쉼표 [0] 3 2 4 4" xfId="3926" xr:uid="{00000000-0005-0000-0000-0000BF0D0000}"/>
    <cellStyle name="쉼표 [0] 3 2 4 5" xfId="2873" xr:uid="{00000000-0005-0000-0000-0000C00D0000}"/>
    <cellStyle name="쉼표 [0] 3 2 4 6" xfId="2689" xr:uid="{00000000-0005-0000-0000-0000C10D0000}"/>
    <cellStyle name="쉼표 [0] 3 2 4 7" xfId="3426" xr:uid="{00000000-0005-0000-0000-0000C20D0000}"/>
    <cellStyle name="쉼표 [0] 3 2 4 8" xfId="3508" xr:uid="{00000000-0005-0000-0000-0000C30D0000}"/>
    <cellStyle name="쉼표 [0] 3 2 4 9" xfId="3169" xr:uid="{00000000-0005-0000-0000-0000C40D0000}"/>
    <cellStyle name="쉼표 [0] 3 2 5" xfId="48421" xr:uid="{00000000-0005-0000-0000-0000C50D0000}"/>
    <cellStyle name="쉼표 [0] 3 2 6" xfId="49671" xr:uid="{00000000-0005-0000-0000-0000C60D0000}"/>
    <cellStyle name="쉼표 [0] 3 2 7" xfId="49735" xr:uid="{00000000-0005-0000-0000-0000C70D0000}"/>
    <cellStyle name="쉼표 [0] 3 3" xfId="3973" xr:uid="{00000000-0005-0000-0000-0000C80D0000}"/>
    <cellStyle name="쉼표 [0] 3 4" xfId="3653" xr:uid="{00000000-0005-0000-0000-0000C90D0000}"/>
    <cellStyle name="쉼표 [0] 3 5" xfId="3755" xr:uid="{00000000-0005-0000-0000-0000CA0D0000}"/>
    <cellStyle name="쉼표 [0] 3 6" xfId="3901" xr:uid="{00000000-0005-0000-0000-0000CB0D0000}"/>
    <cellStyle name="쉼표 [0] 3 7" xfId="3420" xr:uid="{00000000-0005-0000-0000-0000CC0D0000}"/>
    <cellStyle name="쉼표 [0] 3 8" xfId="4247" xr:uid="{00000000-0005-0000-0000-0000CD0D0000}"/>
    <cellStyle name="쉼표 [0] 3 9" xfId="2697" xr:uid="{00000000-0005-0000-0000-0000CE0D0000}"/>
    <cellStyle name="쉼표 [0] 3_업체별" xfId="5107" xr:uid="{00000000-0005-0000-0000-0000CF0D0000}"/>
    <cellStyle name="쉼표 [0] 30" xfId="49249" xr:uid="{00000000-0005-0000-0000-0000D00D0000}"/>
    <cellStyle name="쉼표 [0] 30 2" xfId="3905" xr:uid="{00000000-0005-0000-0000-0000D10D0000}"/>
    <cellStyle name="쉼표 [0] 30 3" xfId="2512" xr:uid="{00000000-0005-0000-0000-0000D20D0000}"/>
    <cellStyle name="쉼표 [0] 31" xfId="49250" xr:uid="{00000000-0005-0000-0000-0000D30D0000}"/>
    <cellStyle name="쉼표 [0] 31 2" xfId="3414" xr:uid="{00000000-0005-0000-0000-0000D40D0000}"/>
    <cellStyle name="쉼표 [0] 31 3" xfId="4211" xr:uid="{00000000-0005-0000-0000-0000D50D0000}"/>
    <cellStyle name="쉼표 [0] 32" xfId="49251" xr:uid="{00000000-0005-0000-0000-0000D60D0000}"/>
    <cellStyle name="쉼표 [0] 32 2" xfId="2747" xr:uid="{00000000-0005-0000-0000-0000D70D0000}"/>
    <cellStyle name="쉼표 [0] 32 3" xfId="2993" xr:uid="{00000000-0005-0000-0000-0000D80D0000}"/>
    <cellStyle name="쉼표 [0] 33" xfId="49252" xr:uid="{00000000-0005-0000-0000-0000D90D0000}"/>
    <cellStyle name="쉼표 [0] 33 2" xfId="3185" xr:uid="{00000000-0005-0000-0000-0000DA0D0000}"/>
    <cellStyle name="쉼표 [0] 33 3" xfId="3231" xr:uid="{00000000-0005-0000-0000-0000DB0D0000}"/>
    <cellStyle name="쉼표 [0] 34" xfId="49253" xr:uid="{00000000-0005-0000-0000-0000DC0D0000}"/>
    <cellStyle name="쉼표 [0] 35" xfId="85" xr:uid="{00000000-0005-0000-0000-0000DD0D0000}"/>
    <cellStyle name="쉼표 [0] 35 2" xfId="312" xr:uid="{00000000-0005-0000-0000-0000DE0D0000}"/>
    <cellStyle name="쉼표 [0] 35 3" xfId="49254" xr:uid="{00000000-0005-0000-0000-0000DF0D0000}"/>
    <cellStyle name="쉼표 [0] 36" xfId="49255" xr:uid="{00000000-0005-0000-0000-0000E00D0000}"/>
    <cellStyle name="쉼표 [0] 37" xfId="49256" xr:uid="{00000000-0005-0000-0000-0000E10D0000}"/>
    <cellStyle name="쉼표 [0] 38" xfId="49257" xr:uid="{00000000-0005-0000-0000-0000E20D0000}"/>
    <cellStyle name="쉼표 [0] 39" xfId="49258" xr:uid="{00000000-0005-0000-0000-0000E30D0000}"/>
    <cellStyle name="쉼표 [0] 4" xfId="4" xr:uid="{00000000-0005-0000-0000-0000E40D0000}"/>
    <cellStyle name="쉼표 [0] 4 10" xfId="4215" xr:uid="{00000000-0005-0000-0000-0000E50D0000}"/>
    <cellStyle name="쉼표 [0] 4 10 2" xfId="6360" xr:uid="{00000000-0005-0000-0000-0000E60D0000}"/>
    <cellStyle name="쉼표 [0] 4 11" xfId="3233" xr:uid="{00000000-0005-0000-0000-0000E70D0000}"/>
    <cellStyle name="쉼표 [0] 4 12" xfId="3046" xr:uid="{00000000-0005-0000-0000-0000E80D0000}"/>
    <cellStyle name="쉼표 [0] 4 13" xfId="4287" xr:uid="{00000000-0005-0000-0000-0000E90D0000}"/>
    <cellStyle name="쉼표 [0] 4 2" xfId="98" xr:uid="{00000000-0005-0000-0000-0000EA0D0000}"/>
    <cellStyle name="쉼표 [0] 4 2 10" xfId="6431" xr:uid="{00000000-0005-0000-0000-0000EB0D0000}"/>
    <cellStyle name="쉼표 [0] 4 2 11" xfId="6351" xr:uid="{00000000-0005-0000-0000-0000EC0D0000}"/>
    <cellStyle name="쉼표 [0] 4 2 12" xfId="5108" xr:uid="{00000000-0005-0000-0000-0000ED0D0000}"/>
    <cellStyle name="쉼표 [0] 4 2 2" xfId="3726" xr:uid="{00000000-0005-0000-0000-0000EE0D0000}"/>
    <cellStyle name="쉼표 [0] 4 2 2 10" xfId="3480" xr:uid="{00000000-0005-0000-0000-0000EF0D0000}"/>
    <cellStyle name="쉼표 [0] 4 2 2 11" xfId="2998" xr:uid="{00000000-0005-0000-0000-0000F00D0000}"/>
    <cellStyle name="쉼표 [0] 4 2 2 2" xfId="3717" xr:uid="{00000000-0005-0000-0000-0000F10D0000}"/>
    <cellStyle name="쉼표 [0] 4 2 2 3" xfId="3733" xr:uid="{00000000-0005-0000-0000-0000F20D0000}"/>
    <cellStyle name="쉼표 [0] 4 2 2 4" xfId="3731" xr:uid="{00000000-0005-0000-0000-0000F30D0000}"/>
    <cellStyle name="쉼표 [0] 4 2 2 5" xfId="3006" xr:uid="{00000000-0005-0000-0000-0000F40D0000}"/>
    <cellStyle name="쉼표 [0] 4 2 2 6" xfId="2836" xr:uid="{00000000-0005-0000-0000-0000F50D0000}"/>
    <cellStyle name="쉼표 [0] 4 2 2 7" xfId="4220" xr:uid="{00000000-0005-0000-0000-0000F60D0000}"/>
    <cellStyle name="쉼표 [0] 4 2 2 8" xfId="3981" xr:uid="{00000000-0005-0000-0000-0000F70D0000}"/>
    <cellStyle name="쉼표 [0] 4 2 2 9" xfId="3004" xr:uid="{00000000-0005-0000-0000-0000F80D0000}"/>
    <cellStyle name="쉼표 [0] 4 2 3" xfId="3131" xr:uid="{00000000-0005-0000-0000-0000F90D0000}"/>
    <cellStyle name="쉼표 [0] 4 2 3 10" xfId="3012" xr:uid="{00000000-0005-0000-0000-0000FA0D0000}"/>
    <cellStyle name="쉼표 [0] 4 2 3 11" xfId="275" xr:uid="{00000000-0005-0000-0000-0000FB0D0000}"/>
    <cellStyle name="쉼표 [0] 4 2 3 2" xfId="3148" xr:uid="{00000000-0005-0000-0000-0000FC0D0000}"/>
    <cellStyle name="쉼표 [0] 4 2 3 3" xfId="2954" xr:uid="{00000000-0005-0000-0000-0000FD0D0000}"/>
    <cellStyle name="쉼표 [0] 4 2 3 4" xfId="3144" xr:uid="{00000000-0005-0000-0000-0000FE0D0000}"/>
    <cellStyle name="쉼표 [0] 4 2 3 5" xfId="3982" xr:uid="{00000000-0005-0000-0000-0000FF0D0000}"/>
    <cellStyle name="쉼표 [0] 4 2 3 6" xfId="3985" xr:uid="{00000000-0005-0000-0000-0000000E0000}"/>
    <cellStyle name="쉼표 [0] 4 2 3 7" xfId="4079" xr:uid="{00000000-0005-0000-0000-0000010E0000}"/>
    <cellStyle name="쉼표 [0] 4 2 3 8" xfId="2612" xr:uid="{00000000-0005-0000-0000-0000020E0000}"/>
    <cellStyle name="쉼표 [0] 4 2 3 9" xfId="2974" xr:uid="{00000000-0005-0000-0000-0000030E0000}"/>
    <cellStyle name="쉼표 [0] 4 2 4" xfId="4063" xr:uid="{00000000-0005-0000-0000-0000040E0000}"/>
    <cellStyle name="쉼표 [0] 4 2 4 10" xfId="3094" xr:uid="{00000000-0005-0000-0000-0000050E0000}"/>
    <cellStyle name="쉼표 [0] 4 2 4 11" xfId="3460" xr:uid="{00000000-0005-0000-0000-0000060E0000}"/>
    <cellStyle name="쉼표 [0] 4 2 4 2" xfId="4067" xr:uid="{00000000-0005-0000-0000-0000070E0000}"/>
    <cellStyle name="쉼표 [0] 4 2 4 3" xfId="3813" xr:uid="{00000000-0005-0000-0000-0000080E0000}"/>
    <cellStyle name="쉼표 [0] 4 2 4 4" xfId="3226" xr:uid="{00000000-0005-0000-0000-0000090E0000}"/>
    <cellStyle name="쉼표 [0] 4 2 4 5" xfId="2499" xr:uid="{00000000-0005-0000-0000-00000A0E0000}"/>
    <cellStyle name="쉼표 [0] 4 2 4 6" xfId="2739" xr:uid="{00000000-0005-0000-0000-00000B0E0000}"/>
    <cellStyle name="쉼표 [0] 4 2 4 7" xfId="3223" xr:uid="{00000000-0005-0000-0000-00000C0E0000}"/>
    <cellStyle name="쉼표 [0] 4 2 4 8" xfId="2743" xr:uid="{00000000-0005-0000-0000-00000D0E0000}"/>
    <cellStyle name="쉼표 [0] 4 2 4 9" xfId="4200" xr:uid="{00000000-0005-0000-0000-00000E0E0000}"/>
    <cellStyle name="쉼표 [0] 4 2 5" xfId="6382" xr:uid="{00000000-0005-0000-0000-00000F0E0000}"/>
    <cellStyle name="쉼표 [0] 4 2 6" xfId="6404" xr:uid="{00000000-0005-0000-0000-0000100E0000}"/>
    <cellStyle name="쉼표 [0] 4 2 7" xfId="6378" xr:uid="{00000000-0005-0000-0000-0000110E0000}"/>
    <cellStyle name="쉼표 [0] 4 2 8" xfId="6429" xr:uid="{00000000-0005-0000-0000-0000120E0000}"/>
    <cellStyle name="쉼표 [0] 4 2 9" xfId="6362" xr:uid="{00000000-0005-0000-0000-0000130E0000}"/>
    <cellStyle name="쉼표 [0] 4 3" xfId="3713" xr:uid="{00000000-0005-0000-0000-0000140E0000}"/>
    <cellStyle name="쉼표 [0] 4 3 2" xfId="5109" xr:uid="{00000000-0005-0000-0000-0000150E0000}"/>
    <cellStyle name="쉼표 [0] 4 4" xfId="3576" xr:uid="{00000000-0005-0000-0000-0000160E0000}"/>
    <cellStyle name="쉼표 [0] 4 5" xfId="3620" xr:uid="{00000000-0005-0000-0000-0000170E0000}"/>
    <cellStyle name="쉼표 [0] 4 5 2" xfId="6408" xr:uid="{00000000-0005-0000-0000-0000180E0000}"/>
    <cellStyle name="쉼표 [0] 4 6" xfId="3167" xr:uid="{00000000-0005-0000-0000-0000190E0000}"/>
    <cellStyle name="쉼표 [0] 4 6 2" xfId="6380" xr:uid="{00000000-0005-0000-0000-00001A0E0000}"/>
    <cellStyle name="쉼표 [0] 4 7" xfId="3642" xr:uid="{00000000-0005-0000-0000-00001B0E0000}"/>
    <cellStyle name="쉼표 [0] 4 8" xfId="2679" xr:uid="{00000000-0005-0000-0000-00001C0E0000}"/>
    <cellStyle name="쉼표 [0] 4 9" xfId="2848" xr:uid="{00000000-0005-0000-0000-00001D0E0000}"/>
    <cellStyle name="쉼표 [0] 4 9 2" xfId="6430" xr:uid="{00000000-0005-0000-0000-00001E0E0000}"/>
    <cellStyle name="쉼표 [0] 40" xfId="49259" xr:uid="{00000000-0005-0000-0000-00001F0E0000}"/>
    <cellStyle name="쉼표 [0] 41" xfId="49260" xr:uid="{00000000-0005-0000-0000-0000200E0000}"/>
    <cellStyle name="쉼표 [0] 42" xfId="49261" xr:uid="{00000000-0005-0000-0000-0000210E0000}"/>
    <cellStyle name="쉼표 [0] 43" xfId="49262" xr:uid="{00000000-0005-0000-0000-0000220E0000}"/>
    <cellStyle name="쉼표 [0] 44" xfId="49263" xr:uid="{00000000-0005-0000-0000-0000230E0000}"/>
    <cellStyle name="쉼표 [0] 45" xfId="49264" xr:uid="{00000000-0005-0000-0000-0000240E0000}"/>
    <cellStyle name="쉼표 [0] 46" xfId="49265" xr:uid="{00000000-0005-0000-0000-0000250E0000}"/>
    <cellStyle name="쉼표 [0] 47" xfId="49266" xr:uid="{00000000-0005-0000-0000-0000260E0000}"/>
    <cellStyle name="쉼표 [0] 48" xfId="49267" xr:uid="{00000000-0005-0000-0000-0000270E0000}"/>
    <cellStyle name="쉼표 [0] 49" xfId="49268" xr:uid="{00000000-0005-0000-0000-0000280E0000}"/>
    <cellStyle name="쉼표 [0] 5" xfId="178" xr:uid="{00000000-0005-0000-0000-0000290E0000}"/>
    <cellStyle name="쉼표 [0] 5 10" xfId="2426" xr:uid="{00000000-0005-0000-0000-00002A0E0000}"/>
    <cellStyle name="쉼표 [0] 5 10 2" xfId="6427" xr:uid="{00000000-0005-0000-0000-00002B0E0000}"/>
    <cellStyle name="쉼표 [0] 5 11" xfId="2485" xr:uid="{00000000-0005-0000-0000-00002C0E0000}"/>
    <cellStyle name="쉼표 [0] 5 11 2" xfId="6354" xr:uid="{00000000-0005-0000-0000-00002D0E0000}"/>
    <cellStyle name="쉼표 [0] 5 12" xfId="2603" xr:uid="{00000000-0005-0000-0000-00002E0E0000}"/>
    <cellStyle name="쉼표 [0] 5 13" xfId="2889" xr:uid="{00000000-0005-0000-0000-00002F0E0000}"/>
    <cellStyle name="쉼표 [0] 5 14" xfId="3825" xr:uid="{00000000-0005-0000-0000-0000300E0000}"/>
    <cellStyle name="쉼표 [0] 5 15" xfId="2483" xr:uid="{00000000-0005-0000-0000-0000310E0000}"/>
    <cellStyle name="쉼표 [0] 5 16" xfId="32013" xr:uid="{00000000-0005-0000-0000-0000320E0000}"/>
    <cellStyle name="쉼표 [0] 5 17" xfId="40224" xr:uid="{00000000-0005-0000-0000-0000330E0000}"/>
    <cellStyle name="쉼표 [0] 5 18" xfId="48417" xr:uid="{00000000-0005-0000-0000-0000340E0000}"/>
    <cellStyle name="쉼표 [0] 5 19" xfId="48447" xr:uid="{00000000-0005-0000-0000-0000350E0000}"/>
    <cellStyle name="쉼표 [0] 5 2" xfId="4055" xr:uid="{00000000-0005-0000-0000-0000360E0000}"/>
    <cellStyle name="쉼표 [0] 5 2 10" xfId="6426" xr:uid="{00000000-0005-0000-0000-0000370E0000}"/>
    <cellStyle name="쉼표 [0] 5 2 11" xfId="6358" xr:uid="{00000000-0005-0000-0000-0000380E0000}"/>
    <cellStyle name="쉼표 [0] 5 2 2" xfId="5110" xr:uid="{00000000-0005-0000-0000-0000390E0000}"/>
    <cellStyle name="쉼표 [0] 5 2 3" xfId="6391" xr:uid="{00000000-0005-0000-0000-00003A0E0000}"/>
    <cellStyle name="쉼표 [0] 5 2 4" xfId="6407" xr:uid="{00000000-0005-0000-0000-00003B0E0000}"/>
    <cellStyle name="쉼표 [0] 5 2 5" xfId="6385" xr:uid="{00000000-0005-0000-0000-00003C0E0000}"/>
    <cellStyle name="쉼표 [0] 5 2 6" xfId="6400" xr:uid="{00000000-0005-0000-0000-00003D0E0000}"/>
    <cellStyle name="쉼표 [0] 5 2 7" xfId="6386" xr:uid="{00000000-0005-0000-0000-00003E0E0000}"/>
    <cellStyle name="쉼표 [0] 5 2 8" xfId="6428" xr:uid="{00000000-0005-0000-0000-00003F0E0000}"/>
    <cellStyle name="쉼표 [0] 5 2 9" xfId="6366" xr:uid="{00000000-0005-0000-0000-0000400E0000}"/>
    <cellStyle name="쉼표 [0] 5 3" xfId="3087" xr:uid="{00000000-0005-0000-0000-0000410E0000}"/>
    <cellStyle name="쉼표 [0] 5 4" xfId="3191" xr:uid="{00000000-0005-0000-0000-0000420E0000}"/>
    <cellStyle name="쉼표 [0] 5 5" xfId="3815" xr:uid="{00000000-0005-0000-0000-0000430E0000}"/>
    <cellStyle name="쉼표 [0] 5 5 2" xfId="6384" xr:uid="{00000000-0005-0000-0000-0000440E0000}"/>
    <cellStyle name="쉼표 [0] 5 6" xfId="2828" xr:uid="{00000000-0005-0000-0000-0000450E0000}"/>
    <cellStyle name="쉼표 [0] 5 6 2" xfId="6402" xr:uid="{00000000-0005-0000-0000-0000460E0000}"/>
    <cellStyle name="쉼표 [0] 5 7" xfId="3090" xr:uid="{00000000-0005-0000-0000-0000470E0000}"/>
    <cellStyle name="쉼표 [0] 5 8" xfId="4203" xr:uid="{00000000-0005-0000-0000-0000480E0000}"/>
    <cellStyle name="쉼표 [0] 5 9" xfId="2790" xr:uid="{00000000-0005-0000-0000-0000490E0000}"/>
    <cellStyle name="쉼표 [0] 5 9 2" xfId="6365" xr:uid="{00000000-0005-0000-0000-00004A0E0000}"/>
    <cellStyle name="쉼표 [0] 50" xfId="49269" xr:uid="{00000000-0005-0000-0000-00004B0E0000}"/>
    <cellStyle name="쉼표 [0] 51" xfId="49270" xr:uid="{00000000-0005-0000-0000-00004C0E0000}"/>
    <cellStyle name="쉼표 [0] 52" xfId="49271" xr:uid="{00000000-0005-0000-0000-00004D0E0000}"/>
    <cellStyle name="쉼표 [0] 53" xfId="49272" xr:uid="{00000000-0005-0000-0000-00004E0E0000}"/>
    <cellStyle name="쉼표 [0] 54" xfId="49273" xr:uid="{00000000-0005-0000-0000-00004F0E0000}"/>
    <cellStyle name="쉼표 [0] 55" xfId="49274" xr:uid="{00000000-0005-0000-0000-0000500E0000}"/>
    <cellStyle name="쉼표 [0] 56" xfId="49275" xr:uid="{00000000-0005-0000-0000-0000510E0000}"/>
    <cellStyle name="쉼표 [0] 57" xfId="49276" xr:uid="{00000000-0005-0000-0000-0000520E0000}"/>
    <cellStyle name="쉼표 [0] 58" xfId="49277" xr:uid="{00000000-0005-0000-0000-0000530E0000}"/>
    <cellStyle name="쉼표 [0] 59" xfId="49278" xr:uid="{00000000-0005-0000-0000-0000540E0000}"/>
    <cellStyle name="쉼표 [0] 6" xfId="3764" xr:uid="{00000000-0005-0000-0000-0000550E0000}"/>
    <cellStyle name="쉼표 [0] 6 10" xfId="49279" xr:uid="{00000000-0005-0000-0000-0000560E0000}"/>
    <cellStyle name="쉼표 [0] 6 2" xfId="3760" xr:uid="{00000000-0005-0000-0000-0000570E0000}"/>
    <cellStyle name="쉼표 [0] 6 3" xfId="3276" xr:uid="{00000000-0005-0000-0000-0000580E0000}"/>
    <cellStyle name="쉼표 [0] 6 4" xfId="350" xr:uid="{00000000-0005-0000-0000-0000590E0000}"/>
    <cellStyle name="쉼표 [0] 6 5" xfId="4252" xr:uid="{00000000-0005-0000-0000-00005A0E0000}"/>
    <cellStyle name="쉼표 [0] 6 6" xfId="4224" xr:uid="{00000000-0005-0000-0000-00005B0E0000}"/>
    <cellStyle name="쉼표 [0] 6 7" xfId="4261" xr:uid="{00000000-0005-0000-0000-00005C0E0000}"/>
    <cellStyle name="쉼표 [0] 6 8" xfId="32031" xr:uid="{00000000-0005-0000-0000-00005D0E0000}"/>
    <cellStyle name="쉼표 [0] 6 9" xfId="48419" xr:uid="{00000000-0005-0000-0000-00005E0E0000}"/>
    <cellStyle name="쉼표 [0] 60" xfId="49280" xr:uid="{00000000-0005-0000-0000-00005F0E0000}"/>
    <cellStyle name="쉼표 [0] 61" xfId="49281" xr:uid="{00000000-0005-0000-0000-0000600E0000}"/>
    <cellStyle name="쉼표 [0] 62" xfId="49282" xr:uid="{00000000-0005-0000-0000-0000610E0000}"/>
    <cellStyle name="쉼표 [0] 63" xfId="49283" xr:uid="{00000000-0005-0000-0000-0000620E0000}"/>
    <cellStyle name="쉼표 [0] 64" xfId="49284" xr:uid="{00000000-0005-0000-0000-0000630E0000}"/>
    <cellStyle name="쉼표 [0] 65" xfId="49285" xr:uid="{00000000-0005-0000-0000-0000640E0000}"/>
    <cellStyle name="쉼표 [0] 66" xfId="49286" xr:uid="{00000000-0005-0000-0000-0000650E0000}"/>
    <cellStyle name="쉼표 [0] 67" xfId="49287" xr:uid="{00000000-0005-0000-0000-0000660E0000}"/>
    <cellStyle name="쉼표 [0] 68" xfId="49288" xr:uid="{00000000-0005-0000-0000-0000670E0000}"/>
    <cellStyle name="쉼표 [0] 69" xfId="49289" xr:uid="{00000000-0005-0000-0000-0000680E0000}"/>
    <cellStyle name="쉼표 [0] 7" xfId="4014" xr:uid="{00000000-0005-0000-0000-0000690E0000}"/>
    <cellStyle name="쉼표 [0] 7 10" xfId="3043" xr:uid="{00000000-0005-0000-0000-00006A0E0000}"/>
    <cellStyle name="쉼표 [0] 7 11" xfId="49290" xr:uid="{00000000-0005-0000-0000-00006B0E0000}"/>
    <cellStyle name="쉼표 [0] 7 2" xfId="3392" xr:uid="{00000000-0005-0000-0000-00006C0E0000}"/>
    <cellStyle name="쉼표 [0] 7 3" xfId="3768" xr:uid="{00000000-0005-0000-0000-00006D0E0000}"/>
    <cellStyle name="쉼표 [0] 7 4" xfId="3526" xr:uid="{00000000-0005-0000-0000-00006E0E0000}"/>
    <cellStyle name="쉼표 [0] 7 5" xfId="3515" xr:uid="{00000000-0005-0000-0000-00006F0E0000}"/>
    <cellStyle name="쉼표 [0] 7 6" xfId="4226" xr:uid="{00000000-0005-0000-0000-0000700E0000}"/>
    <cellStyle name="쉼표 [0] 7 7" xfId="2765" xr:uid="{00000000-0005-0000-0000-0000710E0000}"/>
    <cellStyle name="쉼표 [0] 7 8" xfId="3743" xr:uid="{00000000-0005-0000-0000-0000720E0000}"/>
    <cellStyle name="쉼표 [0] 7 9" xfId="3189" xr:uid="{00000000-0005-0000-0000-0000730E0000}"/>
    <cellStyle name="쉼표 [0] 70" xfId="49291" xr:uid="{00000000-0005-0000-0000-0000740E0000}"/>
    <cellStyle name="쉼표 [0] 71" xfId="49292" xr:uid="{00000000-0005-0000-0000-0000750E0000}"/>
    <cellStyle name="쉼표 [0] 72" xfId="49293" xr:uid="{00000000-0005-0000-0000-0000760E0000}"/>
    <cellStyle name="쉼표 [0] 73" xfId="49294" xr:uid="{00000000-0005-0000-0000-0000770E0000}"/>
    <cellStyle name="쉼표 [0] 74" xfId="49295" xr:uid="{00000000-0005-0000-0000-0000780E0000}"/>
    <cellStyle name="쉼표 [0] 75" xfId="49296" xr:uid="{00000000-0005-0000-0000-0000790E0000}"/>
    <cellStyle name="쉼표 [0] 76" xfId="49297" xr:uid="{00000000-0005-0000-0000-00007A0E0000}"/>
    <cellStyle name="쉼표 [0] 77" xfId="49298" xr:uid="{00000000-0005-0000-0000-00007B0E0000}"/>
    <cellStyle name="쉼표 [0] 78" xfId="49299" xr:uid="{00000000-0005-0000-0000-00007C0E0000}"/>
    <cellStyle name="쉼표 [0] 79" xfId="49300" xr:uid="{00000000-0005-0000-0000-00007D0E0000}"/>
    <cellStyle name="쉼표 [0] 8" xfId="4236" xr:uid="{00000000-0005-0000-0000-00007E0E0000}"/>
    <cellStyle name="쉼표 [0] 8 10" xfId="3145" xr:uid="{00000000-0005-0000-0000-00007F0E0000}"/>
    <cellStyle name="쉼표 [0] 8 11" xfId="3263" xr:uid="{00000000-0005-0000-0000-0000800E0000}"/>
    <cellStyle name="쉼표 [0] 8 12" xfId="49301" xr:uid="{00000000-0005-0000-0000-0000810E0000}"/>
    <cellStyle name="쉼표 [0] 8 2" xfId="2781" xr:uid="{00000000-0005-0000-0000-0000820E0000}"/>
    <cellStyle name="쉼표 [0] 8 3" xfId="4239" xr:uid="{00000000-0005-0000-0000-0000830E0000}"/>
    <cellStyle name="쉼표 [0] 8 4" xfId="2546" xr:uid="{00000000-0005-0000-0000-0000840E0000}"/>
    <cellStyle name="쉼표 [0] 8 5" xfId="3940" xr:uid="{00000000-0005-0000-0000-0000850E0000}"/>
    <cellStyle name="쉼표 [0] 8 6" xfId="3268" xr:uid="{00000000-0005-0000-0000-0000860E0000}"/>
    <cellStyle name="쉼표 [0] 8 7" xfId="3871" xr:uid="{00000000-0005-0000-0000-0000870E0000}"/>
    <cellStyle name="쉼표 [0] 8 8" xfId="2548" xr:uid="{00000000-0005-0000-0000-0000880E0000}"/>
    <cellStyle name="쉼표 [0] 8 9" xfId="3509" xr:uid="{00000000-0005-0000-0000-0000890E0000}"/>
    <cellStyle name="쉼표 [0] 80" xfId="49302" xr:uid="{00000000-0005-0000-0000-00008A0E0000}"/>
    <cellStyle name="쉼표 [0] 81" xfId="49303" xr:uid="{00000000-0005-0000-0000-00008B0E0000}"/>
    <cellStyle name="쉼표 [0] 82" xfId="49304" xr:uid="{00000000-0005-0000-0000-00008C0E0000}"/>
    <cellStyle name="쉼표 [0] 83" xfId="49305" xr:uid="{00000000-0005-0000-0000-00008D0E0000}"/>
    <cellStyle name="쉼표 [0] 84" xfId="49306" xr:uid="{00000000-0005-0000-0000-00008E0E0000}"/>
    <cellStyle name="쉼표 [0] 85" xfId="49307" xr:uid="{00000000-0005-0000-0000-00008F0E0000}"/>
    <cellStyle name="쉼표 [0] 86" xfId="49308" xr:uid="{00000000-0005-0000-0000-0000900E0000}"/>
    <cellStyle name="쉼표 [0] 87" xfId="49309" xr:uid="{00000000-0005-0000-0000-0000910E0000}"/>
    <cellStyle name="쉼표 [0] 88" xfId="49310" xr:uid="{00000000-0005-0000-0000-0000920E0000}"/>
    <cellStyle name="쉼표 [0] 89" xfId="49311" xr:uid="{00000000-0005-0000-0000-0000930E0000}"/>
    <cellStyle name="쉼표 [0] 9" xfId="2786" xr:uid="{00000000-0005-0000-0000-0000940E0000}"/>
    <cellStyle name="쉼표 [0] 9 2" xfId="3412" xr:uid="{00000000-0005-0000-0000-0000950E0000}"/>
    <cellStyle name="쉼표 [0] 9 3" xfId="2468" xr:uid="{00000000-0005-0000-0000-0000960E0000}"/>
    <cellStyle name="쉼표 [0] 9 4" xfId="2825" xr:uid="{00000000-0005-0000-0000-0000970E0000}"/>
    <cellStyle name="쉼표 [0] 9 5" xfId="3551" xr:uid="{00000000-0005-0000-0000-0000980E0000}"/>
    <cellStyle name="쉼표 [0] 9 6" xfId="3138" xr:uid="{00000000-0005-0000-0000-0000990E0000}"/>
    <cellStyle name="쉼표 [0] 9 7" xfId="3066" xr:uid="{00000000-0005-0000-0000-00009A0E0000}"/>
    <cellStyle name="쉼표 [0] 9 8" xfId="2775" xr:uid="{00000000-0005-0000-0000-00009B0E0000}"/>
    <cellStyle name="쉼표 [0] 9 9" xfId="49312" xr:uid="{00000000-0005-0000-0000-00009C0E0000}"/>
    <cellStyle name="쉼표 [0] 90" xfId="49313" xr:uid="{00000000-0005-0000-0000-00009D0E0000}"/>
    <cellStyle name="쉼표 [0] 91" xfId="49314" xr:uid="{00000000-0005-0000-0000-00009E0E0000}"/>
    <cellStyle name="쉼표 [0] 92" xfId="49315" xr:uid="{00000000-0005-0000-0000-00009F0E0000}"/>
    <cellStyle name="쉼표 [0] 93" xfId="49316" xr:uid="{00000000-0005-0000-0000-0000A00E0000}"/>
    <cellStyle name="쉼표 [0] 94" xfId="49317" xr:uid="{00000000-0005-0000-0000-0000A10E0000}"/>
    <cellStyle name="쉼표 [0] 95" xfId="49318" xr:uid="{00000000-0005-0000-0000-0000A20E0000}"/>
    <cellStyle name="쉼표 [0] 96" xfId="49319" xr:uid="{00000000-0005-0000-0000-0000A30E0000}"/>
    <cellStyle name="쉼표 [0] 97" xfId="49320" xr:uid="{00000000-0005-0000-0000-0000A40E0000}"/>
    <cellStyle name="쉼표 [0] 98" xfId="49321" xr:uid="{00000000-0005-0000-0000-0000A50E0000}"/>
    <cellStyle name="쉼표 [0] 99" xfId="49322" xr:uid="{00000000-0005-0000-0000-0000A60E0000}"/>
    <cellStyle name="쉼표 10" xfId="49323" xr:uid="{00000000-0005-0000-0000-0000A70E0000}"/>
    <cellStyle name="쉼표 11" xfId="49324" xr:uid="{00000000-0005-0000-0000-0000A80E0000}"/>
    <cellStyle name="쉼표 12" xfId="49325" xr:uid="{00000000-0005-0000-0000-0000A90E0000}"/>
    <cellStyle name="쉼표 13" xfId="49326" xr:uid="{00000000-0005-0000-0000-0000AA0E0000}"/>
    <cellStyle name="쉼표 14" xfId="49327" xr:uid="{00000000-0005-0000-0000-0000AB0E0000}"/>
    <cellStyle name="쉼표 15" xfId="49328" xr:uid="{00000000-0005-0000-0000-0000AC0E0000}"/>
    <cellStyle name="쉼표 16" xfId="49329" xr:uid="{00000000-0005-0000-0000-0000AD0E0000}"/>
    <cellStyle name="쉼표 17" xfId="49330" xr:uid="{00000000-0005-0000-0000-0000AE0E0000}"/>
    <cellStyle name="쉼표 18" xfId="49331" xr:uid="{00000000-0005-0000-0000-0000AF0E0000}"/>
    <cellStyle name="쉼표 19" xfId="49332" xr:uid="{00000000-0005-0000-0000-0000B00E0000}"/>
    <cellStyle name="쉼표 2" xfId="49333" xr:uid="{00000000-0005-0000-0000-0000B10E0000}"/>
    <cellStyle name="쉼표 20" xfId="49334" xr:uid="{00000000-0005-0000-0000-0000B20E0000}"/>
    <cellStyle name="쉼표 21" xfId="49335" xr:uid="{00000000-0005-0000-0000-0000B30E0000}"/>
    <cellStyle name="쉼표 22" xfId="49336" xr:uid="{00000000-0005-0000-0000-0000B40E0000}"/>
    <cellStyle name="쉼표 23" xfId="49337" xr:uid="{00000000-0005-0000-0000-0000B50E0000}"/>
    <cellStyle name="쉼표 24" xfId="49338" xr:uid="{00000000-0005-0000-0000-0000B60E0000}"/>
    <cellStyle name="쉼표 25" xfId="49339" xr:uid="{00000000-0005-0000-0000-0000B70E0000}"/>
    <cellStyle name="쉼표 26" xfId="49340" xr:uid="{00000000-0005-0000-0000-0000B80E0000}"/>
    <cellStyle name="쉼표 27" xfId="49341" xr:uid="{00000000-0005-0000-0000-0000B90E0000}"/>
    <cellStyle name="쉼표 28" xfId="49342" xr:uid="{00000000-0005-0000-0000-0000BA0E0000}"/>
    <cellStyle name="쉼표 29" xfId="49343" xr:uid="{00000000-0005-0000-0000-0000BB0E0000}"/>
    <cellStyle name="쉼표 3" xfId="49344" xr:uid="{00000000-0005-0000-0000-0000BC0E0000}"/>
    <cellStyle name="쉼표 30" xfId="49345" xr:uid="{00000000-0005-0000-0000-0000BD0E0000}"/>
    <cellStyle name="쉼표 31" xfId="49346" xr:uid="{00000000-0005-0000-0000-0000BE0E0000}"/>
    <cellStyle name="쉼표 32" xfId="49347" xr:uid="{00000000-0005-0000-0000-0000BF0E0000}"/>
    <cellStyle name="쉼표 33" xfId="49348" xr:uid="{00000000-0005-0000-0000-0000C00E0000}"/>
    <cellStyle name="쉼표 34" xfId="49349" xr:uid="{00000000-0005-0000-0000-0000C10E0000}"/>
    <cellStyle name="쉼표 35" xfId="49350" xr:uid="{00000000-0005-0000-0000-0000C20E0000}"/>
    <cellStyle name="쉼표 36" xfId="49351" xr:uid="{00000000-0005-0000-0000-0000C30E0000}"/>
    <cellStyle name="쉼표 37" xfId="49352" xr:uid="{00000000-0005-0000-0000-0000C40E0000}"/>
    <cellStyle name="쉼표 38" xfId="49353" xr:uid="{00000000-0005-0000-0000-0000C50E0000}"/>
    <cellStyle name="쉼표 39" xfId="49354" xr:uid="{00000000-0005-0000-0000-0000C60E0000}"/>
    <cellStyle name="쉼표 4" xfId="49355" xr:uid="{00000000-0005-0000-0000-0000C70E0000}"/>
    <cellStyle name="쉼표 40" xfId="49356" xr:uid="{00000000-0005-0000-0000-0000C80E0000}"/>
    <cellStyle name="쉼표 41" xfId="49357" xr:uid="{00000000-0005-0000-0000-0000C90E0000}"/>
    <cellStyle name="쉼표 42" xfId="49358" xr:uid="{00000000-0005-0000-0000-0000CA0E0000}"/>
    <cellStyle name="쉼표 43" xfId="49359" xr:uid="{00000000-0005-0000-0000-0000CB0E0000}"/>
    <cellStyle name="쉼표 44" xfId="49360" xr:uid="{00000000-0005-0000-0000-0000CC0E0000}"/>
    <cellStyle name="쉼표 45" xfId="49361" xr:uid="{00000000-0005-0000-0000-0000CD0E0000}"/>
    <cellStyle name="쉼표 46" xfId="49668" xr:uid="{00000000-0005-0000-0000-0000CE0E0000}"/>
    <cellStyle name="쉼표 47" xfId="49666" xr:uid="{00000000-0005-0000-0000-0000CF0E0000}"/>
    <cellStyle name="쉼표 48" xfId="49669" xr:uid="{00000000-0005-0000-0000-0000D00E0000}"/>
    <cellStyle name="쉼표 49" xfId="49670" xr:uid="{00000000-0005-0000-0000-0000D10E0000}"/>
    <cellStyle name="쉼표 5" xfId="49362" xr:uid="{00000000-0005-0000-0000-0000D20E0000}"/>
    <cellStyle name="쉼표 50" xfId="49660" xr:uid="{00000000-0005-0000-0000-0000D30E0000}"/>
    <cellStyle name="쉼표 51" xfId="49664" xr:uid="{00000000-0005-0000-0000-0000D40E0000}"/>
    <cellStyle name="쉼표 52" xfId="49661" xr:uid="{00000000-0005-0000-0000-0000D50E0000}"/>
    <cellStyle name="쉼표 53" xfId="49662" xr:uid="{00000000-0005-0000-0000-0000D60E0000}"/>
    <cellStyle name="쉼표 54" xfId="49663" xr:uid="{00000000-0005-0000-0000-0000D70E0000}"/>
    <cellStyle name="쉼표 55" xfId="49665" xr:uid="{00000000-0005-0000-0000-0000D80E0000}"/>
    <cellStyle name="쉼표 56" xfId="49676" xr:uid="{00000000-0005-0000-0000-0000D90E0000}"/>
    <cellStyle name="쉼표 57" xfId="49672" xr:uid="{00000000-0005-0000-0000-0000DA0E0000}"/>
    <cellStyle name="쉼표 58" xfId="49667" xr:uid="{00000000-0005-0000-0000-0000DB0E0000}"/>
    <cellStyle name="쉼표 59" xfId="49675" xr:uid="{00000000-0005-0000-0000-0000DC0E0000}"/>
    <cellStyle name="쉼표 6" xfId="49363" xr:uid="{00000000-0005-0000-0000-0000DD0E0000}"/>
    <cellStyle name="쉼표 60" xfId="49673" xr:uid="{00000000-0005-0000-0000-0000DE0E0000}"/>
    <cellStyle name="쉼표 61" xfId="49677" xr:uid="{00000000-0005-0000-0000-0000DF0E0000}"/>
    <cellStyle name="쉼표 62" xfId="49678" xr:uid="{00000000-0005-0000-0000-0000E00E0000}"/>
    <cellStyle name="쉼표 63" xfId="49680" xr:uid="{00000000-0005-0000-0000-0000E10E0000}"/>
    <cellStyle name="쉼표 64" xfId="49681" xr:uid="{00000000-0005-0000-0000-0000E20E0000}"/>
    <cellStyle name="쉼표 65" xfId="49684" xr:uid="{00000000-0005-0000-0000-0000E30E0000}"/>
    <cellStyle name="쉼표 66" xfId="49679" xr:uid="{00000000-0005-0000-0000-0000E40E0000}"/>
    <cellStyle name="쉼표 67" xfId="49682" xr:uid="{00000000-0005-0000-0000-0000E50E0000}"/>
    <cellStyle name="쉼표 68" xfId="49683" xr:uid="{00000000-0005-0000-0000-0000E60E0000}"/>
    <cellStyle name="쉼표 69" xfId="49685" xr:uid="{00000000-0005-0000-0000-0000E70E0000}"/>
    <cellStyle name="쉼표 7" xfId="49364" xr:uid="{00000000-0005-0000-0000-0000E80E0000}"/>
    <cellStyle name="쉼표 70" xfId="49686" xr:uid="{00000000-0005-0000-0000-0000E90E0000}"/>
    <cellStyle name="쉼표 8" xfId="49365" xr:uid="{00000000-0005-0000-0000-0000EA0E0000}"/>
    <cellStyle name="쉼표 9" xfId="49366" xr:uid="{00000000-0005-0000-0000-0000EB0E0000}"/>
    <cellStyle name="스타일 1" xfId="257" xr:uid="{00000000-0005-0000-0000-0000EC0E0000}"/>
    <cellStyle name="스타일 1 10" xfId="49367" xr:uid="{00000000-0005-0000-0000-0000ED0E0000}"/>
    <cellStyle name="스타일 1 11" xfId="49368" xr:uid="{00000000-0005-0000-0000-0000EE0E0000}"/>
    <cellStyle name="스타일 1 12" xfId="49369" xr:uid="{00000000-0005-0000-0000-0000EF0E0000}"/>
    <cellStyle name="스타일 1 13" xfId="49370" xr:uid="{00000000-0005-0000-0000-0000F00E0000}"/>
    <cellStyle name="스타일 1 14" xfId="49371" xr:uid="{00000000-0005-0000-0000-0000F10E0000}"/>
    <cellStyle name="스타일 1 15" xfId="49372" xr:uid="{00000000-0005-0000-0000-0000F20E0000}"/>
    <cellStyle name="스타일 1 16" xfId="49373" xr:uid="{00000000-0005-0000-0000-0000F30E0000}"/>
    <cellStyle name="스타일 1 17" xfId="49374" xr:uid="{00000000-0005-0000-0000-0000F40E0000}"/>
    <cellStyle name="스타일 1 18" xfId="49375" xr:uid="{00000000-0005-0000-0000-0000F50E0000}"/>
    <cellStyle name="스타일 1 19" xfId="49376" xr:uid="{00000000-0005-0000-0000-0000F60E0000}"/>
    <cellStyle name="스타일 1 2" xfId="49377" xr:uid="{00000000-0005-0000-0000-0000F70E0000}"/>
    <cellStyle name="스타일 1 20" xfId="49378" xr:uid="{00000000-0005-0000-0000-0000F80E0000}"/>
    <cellStyle name="스타일 1 21" xfId="49379" xr:uid="{00000000-0005-0000-0000-0000F90E0000}"/>
    <cellStyle name="스타일 1 22" xfId="49380" xr:uid="{00000000-0005-0000-0000-0000FA0E0000}"/>
    <cellStyle name="스타일 1 23" xfId="49381" xr:uid="{00000000-0005-0000-0000-0000FB0E0000}"/>
    <cellStyle name="스타일 1 24" xfId="49382" xr:uid="{00000000-0005-0000-0000-0000FC0E0000}"/>
    <cellStyle name="스타일 1 25" xfId="49383" xr:uid="{00000000-0005-0000-0000-0000FD0E0000}"/>
    <cellStyle name="스타일 1 26" xfId="49384" xr:uid="{00000000-0005-0000-0000-0000FE0E0000}"/>
    <cellStyle name="스타일 1 27" xfId="49385" xr:uid="{00000000-0005-0000-0000-0000FF0E0000}"/>
    <cellStyle name="스타일 1 28" xfId="49386" xr:uid="{00000000-0005-0000-0000-0000000F0000}"/>
    <cellStyle name="스타일 1 29" xfId="49387" xr:uid="{00000000-0005-0000-0000-0000010F0000}"/>
    <cellStyle name="스타일 1 3" xfId="49388" xr:uid="{00000000-0005-0000-0000-0000020F0000}"/>
    <cellStyle name="스타일 1 30" xfId="49389" xr:uid="{00000000-0005-0000-0000-0000030F0000}"/>
    <cellStyle name="스타일 1 31" xfId="49390" xr:uid="{00000000-0005-0000-0000-0000040F0000}"/>
    <cellStyle name="스타일 1 32" xfId="49391" xr:uid="{00000000-0005-0000-0000-0000050F0000}"/>
    <cellStyle name="스타일 1 33" xfId="49392" xr:uid="{00000000-0005-0000-0000-0000060F0000}"/>
    <cellStyle name="스타일 1 4" xfId="49393" xr:uid="{00000000-0005-0000-0000-0000070F0000}"/>
    <cellStyle name="스타일 1 5" xfId="49394" xr:uid="{00000000-0005-0000-0000-0000080F0000}"/>
    <cellStyle name="스타일 1 6" xfId="49395" xr:uid="{00000000-0005-0000-0000-0000090F0000}"/>
    <cellStyle name="스타일 1 7" xfId="49396" xr:uid="{00000000-0005-0000-0000-00000A0F0000}"/>
    <cellStyle name="스타일 1 8" xfId="49397" xr:uid="{00000000-0005-0000-0000-00000B0F0000}"/>
    <cellStyle name="스타일 1 9" xfId="49398" xr:uid="{00000000-0005-0000-0000-00000C0F0000}"/>
    <cellStyle name="연결된 셀 10" xfId="6383" xr:uid="{00000000-0005-0000-0000-00000D0F0000}"/>
    <cellStyle name="연결된 셀 11" xfId="6412" xr:uid="{00000000-0005-0000-0000-00000E0F0000}"/>
    <cellStyle name="연결된 셀 12" xfId="6372" xr:uid="{00000000-0005-0000-0000-00000F0F0000}"/>
    <cellStyle name="연결된 셀 13" xfId="49399" xr:uid="{00000000-0005-0000-0000-0000100F0000}"/>
    <cellStyle name="연결된 셀 14" xfId="49400" xr:uid="{00000000-0005-0000-0000-0000110F0000}"/>
    <cellStyle name="연결된 셀 15" xfId="49401" xr:uid="{00000000-0005-0000-0000-0000120F0000}"/>
    <cellStyle name="연결된 셀 16" xfId="49402" xr:uid="{00000000-0005-0000-0000-0000130F0000}"/>
    <cellStyle name="연결된 셀 17" xfId="49403" xr:uid="{00000000-0005-0000-0000-0000140F0000}"/>
    <cellStyle name="연결된 셀 18" xfId="49404" xr:uid="{00000000-0005-0000-0000-0000150F0000}"/>
    <cellStyle name="연결된 셀 19" xfId="49405" xr:uid="{00000000-0005-0000-0000-0000160F0000}"/>
    <cellStyle name="연결된 셀 2" xfId="258" xr:uid="{00000000-0005-0000-0000-0000170F0000}"/>
    <cellStyle name="연결된 셀 2 10" xfId="6411" xr:uid="{00000000-0005-0000-0000-0000180F0000}"/>
    <cellStyle name="연결된 셀 2 11" xfId="6373" xr:uid="{00000000-0005-0000-0000-0000190F0000}"/>
    <cellStyle name="연결된 셀 2 2" xfId="5111" xr:uid="{00000000-0005-0000-0000-00001A0F0000}"/>
    <cellStyle name="연결된 셀 2 3" xfId="6394" xr:uid="{00000000-0005-0000-0000-00001B0F0000}"/>
    <cellStyle name="연결된 셀 2 4" xfId="6403" xr:uid="{00000000-0005-0000-0000-00001C0F0000}"/>
    <cellStyle name="연결된 셀 2 5" xfId="6392" xr:uid="{00000000-0005-0000-0000-00001D0F0000}"/>
    <cellStyle name="연결된 셀 2 6" xfId="6399" xr:uid="{00000000-0005-0000-0000-00001E0F0000}"/>
    <cellStyle name="연결된 셀 2 7" xfId="6396" xr:uid="{00000000-0005-0000-0000-00001F0F0000}"/>
    <cellStyle name="연결된 셀 2 8" xfId="6422" xr:uid="{00000000-0005-0000-0000-0000200F0000}"/>
    <cellStyle name="연결된 셀 2 9" xfId="6387" xr:uid="{00000000-0005-0000-0000-0000210F0000}"/>
    <cellStyle name="연결된 셀 20" xfId="49406" xr:uid="{00000000-0005-0000-0000-0000220F0000}"/>
    <cellStyle name="연결된 셀 21" xfId="49407" xr:uid="{00000000-0005-0000-0000-0000230F0000}"/>
    <cellStyle name="연결된 셀 22" xfId="49408" xr:uid="{00000000-0005-0000-0000-0000240F0000}"/>
    <cellStyle name="연결된 셀 23" xfId="49409" xr:uid="{00000000-0005-0000-0000-0000250F0000}"/>
    <cellStyle name="연결된 셀 24" xfId="49410" xr:uid="{00000000-0005-0000-0000-0000260F0000}"/>
    <cellStyle name="연결된 셀 25" xfId="49411" xr:uid="{00000000-0005-0000-0000-0000270F0000}"/>
    <cellStyle name="연결된 셀 26" xfId="49412" xr:uid="{00000000-0005-0000-0000-0000280F0000}"/>
    <cellStyle name="연결된 셀 27" xfId="49413" xr:uid="{00000000-0005-0000-0000-0000290F0000}"/>
    <cellStyle name="연결된 셀 28" xfId="49414" xr:uid="{00000000-0005-0000-0000-00002A0F0000}"/>
    <cellStyle name="연결된 셀 29" xfId="49415" xr:uid="{00000000-0005-0000-0000-00002B0F0000}"/>
    <cellStyle name="연결된 셀 3" xfId="2586" xr:uid="{00000000-0005-0000-0000-00002C0F0000}"/>
    <cellStyle name="연결된 셀 3 10" xfId="3801" xr:uid="{00000000-0005-0000-0000-00002D0F0000}"/>
    <cellStyle name="연결된 셀 3 11" xfId="2438" xr:uid="{00000000-0005-0000-0000-00002E0F0000}"/>
    <cellStyle name="연결된 셀 3 2" xfId="2593" xr:uid="{00000000-0005-0000-0000-00002F0F0000}"/>
    <cellStyle name="연결된 셀 3 3" xfId="3799" xr:uid="{00000000-0005-0000-0000-0000300F0000}"/>
    <cellStyle name="연결된 셀 3 4" xfId="3316" xr:uid="{00000000-0005-0000-0000-0000310F0000}"/>
    <cellStyle name="연결된 셀 3 5" xfId="2996" xr:uid="{00000000-0005-0000-0000-0000320F0000}"/>
    <cellStyle name="연결된 셀 3 6" xfId="3483" xr:uid="{00000000-0005-0000-0000-0000330F0000}"/>
    <cellStyle name="연결된 셀 3 7" xfId="3961" xr:uid="{00000000-0005-0000-0000-0000340F0000}"/>
    <cellStyle name="연결된 셀 3 8" xfId="4267" xr:uid="{00000000-0005-0000-0000-0000350F0000}"/>
    <cellStyle name="연결된 셀 3 9" xfId="3319" xr:uid="{00000000-0005-0000-0000-0000360F0000}"/>
    <cellStyle name="연결된 셀 30" xfId="49416" xr:uid="{00000000-0005-0000-0000-0000370F0000}"/>
    <cellStyle name="연결된 셀 31" xfId="49417" xr:uid="{00000000-0005-0000-0000-0000380F0000}"/>
    <cellStyle name="연결된 셀 32" xfId="49418" xr:uid="{00000000-0005-0000-0000-0000390F0000}"/>
    <cellStyle name="연결된 셀 33" xfId="49419" xr:uid="{00000000-0005-0000-0000-00003A0F0000}"/>
    <cellStyle name="연결된 셀 4" xfId="3534" xr:uid="{00000000-0005-0000-0000-00003B0F0000}"/>
    <cellStyle name="연결된 셀 4 10" xfId="3048" xr:uid="{00000000-0005-0000-0000-00003C0F0000}"/>
    <cellStyle name="연결된 셀 4 11" xfId="3390" xr:uid="{00000000-0005-0000-0000-00003D0F0000}"/>
    <cellStyle name="연결된 셀 4 2" xfId="4022" xr:uid="{00000000-0005-0000-0000-00003E0F0000}"/>
    <cellStyle name="연결된 셀 4 3" xfId="4132" xr:uid="{00000000-0005-0000-0000-00003F0F0000}"/>
    <cellStyle name="연결된 셀 4 4" xfId="3298" xr:uid="{00000000-0005-0000-0000-0000400F0000}"/>
    <cellStyle name="연결된 셀 4 5" xfId="3052" xr:uid="{00000000-0005-0000-0000-0000410F0000}"/>
    <cellStyle name="연결된 셀 4 6" xfId="3783" xr:uid="{00000000-0005-0000-0000-0000420F0000}"/>
    <cellStyle name="연결된 셀 4 7" xfId="3159" xr:uid="{00000000-0005-0000-0000-0000430F0000}"/>
    <cellStyle name="연결된 셀 4 8" xfId="2817" xr:uid="{00000000-0005-0000-0000-0000440F0000}"/>
    <cellStyle name="연결된 셀 4 9" xfId="2796" xr:uid="{00000000-0005-0000-0000-0000450F0000}"/>
    <cellStyle name="연결된 셀 5" xfId="3786" xr:uid="{00000000-0005-0000-0000-0000460F0000}"/>
    <cellStyle name="연결된 셀 5 2" xfId="3567" xr:uid="{00000000-0005-0000-0000-0000470F0000}"/>
    <cellStyle name="연결된 셀 5 3" xfId="2866" xr:uid="{00000000-0005-0000-0000-0000480F0000}"/>
    <cellStyle name="연결된 셀 5 4" xfId="3839" xr:uid="{00000000-0005-0000-0000-0000490F0000}"/>
    <cellStyle name="연결된 셀 5 5" xfId="3835" xr:uid="{00000000-0005-0000-0000-00004A0F0000}"/>
    <cellStyle name="연결된 셀 6" xfId="3351" xr:uid="{00000000-0005-0000-0000-00004B0F0000}"/>
    <cellStyle name="연결된 셀 6 2" xfId="3380" xr:uid="{00000000-0005-0000-0000-00004C0F0000}"/>
    <cellStyle name="연결된 셀 6 3" xfId="2405" xr:uid="{00000000-0005-0000-0000-00004D0F0000}"/>
    <cellStyle name="연결된 셀 6 4" xfId="3650" xr:uid="{00000000-0005-0000-0000-00004E0F0000}"/>
    <cellStyle name="연결된 셀 6 5" xfId="3479" xr:uid="{00000000-0005-0000-0000-00004F0F0000}"/>
    <cellStyle name="연결된 셀 7" xfId="3122" xr:uid="{00000000-0005-0000-0000-0000500F0000}"/>
    <cellStyle name="연결된 셀 7 2" xfId="3848" xr:uid="{00000000-0005-0000-0000-0000510F0000}"/>
    <cellStyle name="연결된 셀 8" xfId="4166" xr:uid="{00000000-0005-0000-0000-0000520F0000}"/>
    <cellStyle name="연결된 셀 8 2" xfId="2992" xr:uid="{00000000-0005-0000-0000-0000530F0000}"/>
    <cellStyle name="연결된 셀 9" xfId="6423" xr:uid="{00000000-0005-0000-0000-0000540F0000}"/>
    <cellStyle name="요약 10" xfId="6389" xr:uid="{00000000-0005-0000-0000-0000550F0000}"/>
    <cellStyle name="요약 11" xfId="6406" xr:uid="{00000000-0005-0000-0000-0000560F0000}"/>
    <cellStyle name="요약 12" xfId="6376" xr:uid="{00000000-0005-0000-0000-0000570F0000}"/>
    <cellStyle name="요약 13" xfId="49420" xr:uid="{00000000-0005-0000-0000-0000580F0000}"/>
    <cellStyle name="요약 14" xfId="49421" xr:uid="{00000000-0005-0000-0000-0000590F0000}"/>
    <cellStyle name="요약 15" xfId="49422" xr:uid="{00000000-0005-0000-0000-00005A0F0000}"/>
    <cellStyle name="요약 16" xfId="49423" xr:uid="{00000000-0005-0000-0000-00005B0F0000}"/>
    <cellStyle name="요약 17" xfId="49424" xr:uid="{00000000-0005-0000-0000-00005C0F0000}"/>
    <cellStyle name="요약 18" xfId="49425" xr:uid="{00000000-0005-0000-0000-00005D0F0000}"/>
    <cellStyle name="요약 19" xfId="49426" xr:uid="{00000000-0005-0000-0000-00005E0F0000}"/>
    <cellStyle name="요약 2" xfId="259" xr:uid="{00000000-0005-0000-0000-00005F0F0000}"/>
    <cellStyle name="요약 2 10" xfId="5113" xr:uid="{00000000-0005-0000-0000-0000600F0000}"/>
    <cellStyle name="요약 2 10 2" xfId="5114" xr:uid="{00000000-0005-0000-0000-0000610F0000}"/>
    <cellStyle name="요약 2 11" xfId="5115" xr:uid="{00000000-0005-0000-0000-0000620F0000}"/>
    <cellStyle name="요약 2 11 2" xfId="5116" xr:uid="{00000000-0005-0000-0000-0000630F0000}"/>
    <cellStyle name="요약 2 12" xfId="5117" xr:uid="{00000000-0005-0000-0000-0000640F0000}"/>
    <cellStyle name="요약 2 12 2" xfId="5118" xr:uid="{00000000-0005-0000-0000-0000650F0000}"/>
    <cellStyle name="요약 2 13" xfId="5119" xr:uid="{00000000-0005-0000-0000-0000660F0000}"/>
    <cellStyle name="요약 2 13 2" xfId="5120" xr:uid="{00000000-0005-0000-0000-0000670F0000}"/>
    <cellStyle name="요약 2 14" xfId="5121" xr:uid="{00000000-0005-0000-0000-0000680F0000}"/>
    <cellStyle name="요약 2 14 2" xfId="5122" xr:uid="{00000000-0005-0000-0000-0000690F0000}"/>
    <cellStyle name="요약 2 15" xfId="5123" xr:uid="{00000000-0005-0000-0000-00006A0F0000}"/>
    <cellStyle name="요약 2 15 2" xfId="5124" xr:uid="{00000000-0005-0000-0000-00006B0F0000}"/>
    <cellStyle name="요약 2 16" xfId="5125" xr:uid="{00000000-0005-0000-0000-00006C0F0000}"/>
    <cellStyle name="요약 2 16 2" xfId="5126" xr:uid="{00000000-0005-0000-0000-00006D0F0000}"/>
    <cellStyle name="요약 2 17" xfId="5127" xr:uid="{00000000-0005-0000-0000-00006E0F0000}"/>
    <cellStyle name="요약 2 17 2" xfId="5128" xr:uid="{00000000-0005-0000-0000-00006F0F0000}"/>
    <cellStyle name="요약 2 18" xfId="5129" xr:uid="{00000000-0005-0000-0000-0000700F0000}"/>
    <cellStyle name="요약 2 18 2" xfId="5130" xr:uid="{00000000-0005-0000-0000-0000710F0000}"/>
    <cellStyle name="요약 2 19" xfId="5131" xr:uid="{00000000-0005-0000-0000-0000720F0000}"/>
    <cellStyle name="요약 2 19 2" xfId="5132" xr:uid="{00000000-0005-0000-0000-0000730F0000}"/>
    <cellStyle name="요약 2 2" xfId="5112" xr:uid="{00000000-0005-0000-0000-0000740F0000}"/>
    <cellStyle name="요약 2 2 10" xfId="5133" xr:uid="{00000000-0005-0000-0000-0000750F0000}"/>
    <cellStyle name="요약 2 2 10 2" xfId="5134" xr:uid="{00000000-0005-0000-0000-0000760F0000}"/>
    <cellStyle name="요약 2 2 11" xfId="5135" xr:uid="{00000000-0005-0000-0000-0000770F0000}"/>
    <cellStyle name="요약 2 2 11 2" xfId="5136" xr:uid="{00000000-0005-0000-0000-0000780F0000}"/>
    <cellStyle name="요약 2 2 12" xfId="5137" xr:uid="{00000000-0005-0000-0000-0000790F0000}"/>
    <cellStyle name="요약 2 2 12 2" xfId="5138" xr:uid="{00000000-0005-0000-0000-00007A0F0000}"/>
    <cellStyle name="요약 2 2 13" xfId="5139" xr:uid="{00000000-0005-0000-0000-00007B0F0000}"/>
    <cellStyle name="요약 2 2 13 2" xfId="5140" xr:uid="{00000000-0005-0000-0000-00007C0F0000}"/>
    <cellStyle name="요약 2 2 14" xfId="5141" xr:uid="{00000000-0005-0000-0000-00007D0F0000}"/>
    <cellStyle name="요약 2 2 14 2" xfId="5142" xr:uid="{00000000-0005-0000-0000-00007E0F0000}"/>
    <cellStyle name="요약 2 2 15" xfId="5143" xr:uid="{00000000-0005-0000-0000-00007F0F0000}"/>
    <cellStyle name="요약 2 2 15 2" xfId="5144" xr:uid="{00000000-0005-0000-0000-0000800F0000}"/>
    <cellStyle name="요약 2 2 16" xfId="5145" xr:uid="{00000000-0005-0000-0000-0000810F0000}"/>
    <cellStyle name="요약 2 2 16 2" xfId="5146" xr:uid="{00000000-0005-0000-0000-0000820F0000}"/>
    <cellStyle name="요약 2 2 17" xfId="5147" xr:uid="{00000000-0005-0000-0000-0000830F0000}"/>
    <cellStyle name="요약 2 2 17 2" xfId="5148" xr:uid="{00000000-0005-0000-0000-0000840F0000}"/>
    <cellStyle name="요약 2 2 18" xfId="5149" xr:uid="{00000000-0005-0000-0000-0000850F0000}"/>
    <cellStyle name="요약 2 2 18 2" xfId="5150" xr:uid="{00000000-0005-0000-0000-0000860F0000}"/>
    <cellStyle name="요약 2 2 19" xfId="5151" xr:uid="{00000000-0005-0000-0000-0000870F0000}"/>
    <cellStyle name="요약 2 2 19 2" xfId="5152" xr:uid="{00000000-0005-0000-0000-0000880F0000}"/>
    <cellStyle name="요약 2 2 2" xfId="5153" xr:uid="{00000000-0005-0000-0000-0000890F0000}"/>
    <cellStyle name="요약 2 2 2 10" xfId="5154" xr:uid="{00000000-0005-0000-0000-00008A0F0000}"/>
    <cellStyle name="요약 2 2 2 10 2" xfId="5155" xr:uid="{00000000-0005-0000-0000-00008B0F0000}"/>
    <cellStyle name="요약 2 2 2 11" xfId="5156" xr:uid="{00000000-0005-0000-0000-00008C0F0000}"/>
    <cellStyle name="요약 2 2 2 11 2" xfId="5157" xr:uid="{00000000-0005-0000-0000-00008D0F0000}"/>
    <cellStyle name="요약 2 2 2 12" xfId="5158" xr:uid="{00000000-0005-0000-0000-00008E0F0000}"/>
    <cellStyle name="요약 2 2 2 12 2" xfId="5159" xr:uid="{00000000-0005-0000-0000-00008F0F0000}"/>
    <cellStyle name="요약 2 2 2 13" xfId="5160" xr:uid="{00000000-0005-0000-0000-0000900F0000}"/>
    <cellStyle name="요약 2 2 2 13 2" xfId="5161" xr:uid="{00000000-0005-0000-0000-0000910F0000}"/>
    <cellStyle name="요약 2 2 2 14" xfId="5162" xr:uid="{00000000-0005-0000-0000-0000920F0000}"/>
    <cellStyle name="요약 2 2 2 14 2" xfId="5163" xr:uid="{00000000-0005-0000-0000-0000930F0000}"/>
    <cellStyle name="요약 2 2 2 15" xfId="5164" xr:uid="{00000000-0005-0000-0000-0000940F0000}"/>
    <cellStyle name="요약 2 2 2 15 2" xfId="5165" xr:uid="{00000000-0005-0000-0000-0000950F0000}"/>
    <cellStyle name="요약 2 2 2 16" xfId="5166" xr:uid="{00000000-0005-0000-0000-0000960F0000}"/>
    <cellStyle name="요약 2 2 2 16 2" xfId="5167" xr:uid="{00000000-0005-0000-0000-0000970F0000}"/>
    <cellStyle name="요약 2 2 2 17" xfId="5168" xr:uid="{00000000-0005-0000-0000-0000980F0000}"/>
    <cellStyle name="요약 2 2 2 17 2" xfId="5169" xr:uid="{00000000-0005-0000-0000-0000990F0000}"/>
    <cellStyle name="요약 2 2 2 18" xfId="5170" xr:uid="{00000000-0005-0000-0000-00009A0F0000}"/>
    <cellStyle name="요약 2 2 2 18 2" xfId="5171" xr:uid="{00000000-0005-0000-0000-00009B0F0000}"/>
    <cellStyle name="요약 2 2 2 19" xfId="5172" xr:uid="{00000000-0005-0000-0000-00009C0F0000}"/>
    <cellStyle name="요약 2 2 2 19 2" xfId="5173" xr:uid="{00000000-0005-0000-0000-00009D0F0000}"/>
    <cellStyle name="요약 2 2 2 2" xfId="5174" xr:uid="{00000000-0005-0000-0000-00009E0F0000}"/>
    <cellStyle name="요약 2 2 2 2 10" xfId="5175" xr:uid="{00000000-0005-0000-0000-00009F0F0000}"/>
    <cellStyle name="요약 2 2 2 2 10 2" xfId="5176" xr:uid="{00000000-0005-0000-0000-0000A00F0000}"/>
    <cellStyle name="요약 2 2 2 2 11" xfId="5177" xr:uid="{00000000-0005-0000-0000-0000A10F0000}"/>
    <cellStyle name="요약 2 2 2 2 11 2" xfId="5178" xr:uid="{00000000-0005-0000-0000-0000A20F0000}"/>
    <cellStyle name="요약 2 2 2 2 12" xfId="5179" xr:uid="{00000000-0005-0000-0000-0000A30F0000}"/>
    <cellStyle name="요약 2 2 2 2 12 2" xfId="5180" xr:uid="{00000000-0005-0000-0000-0000A40F0000}"/>
    <cellStyle name="요약 2 2 2 2 13" xfId="5181" xr:uid="{00000000-0005-0000-0000-0000A50F0000}"/>
    <cellStyle name="요약 2 2 2 2 13 2" xfId="5182" xr:uid="{00000000-0005-0000-0000-0000A60F0000}"/>
    <cellStyle name="요약 2 2 2 2 14" xfId="5183" xr:uid="{00000000-0005-0000-0000-0000A70F0000}"/>
    <cellStyle name="요약 2 2 2 2 14 2" xfId="5184" xr:uid="{00000000-0005-0000-0000-0000A80F0000}"/>
    <cellStyle name="요약 2 2 2 2 15" xfId="5185" xr:uid="{00000000-0005-0000-0000-0000A90F0000}"/>
    <cellStyle name="요약 2 2 2 2 15 2" xfId="5186" xr:uid="{00000000-0005-0000-0000-0000AA0F0000}"/>
    <cellStyle name="요약 2 2 2 2 16" xfId="5187" xr:uid="{00000000-0005-0000-0000-0000AB0F0000}"/>
    <cellStyle name="요약 2 2 2 2 16 2" xfId="5188" xr:uid="{00000000-0005-0000-0000-0000AC0F0000}"/>
    <cellStyle name="요약 2 2 2 2 17" xfId="5189" xr:uid="{00000000-0005-0000-0000-0000AD0F0000}"/>
    <cellStyle name="요약 2 2 2 2 17 2" xfId="5190" xr:uid="{00000000-0005-0000-0000-0000AE0F0000}"/>
    <cellStyle name="요약 2 2 2 2 18" xfId="5191" xr:uid="{00000000-0005-0000-0000-0000AF0F0000}"/>
    <cellStyle name="요약 2 2 2 2 18 2" xfId="5192" xr:uid="{00000000-0005-0000-0000-0000B00F0000}"/>
    <cellStyle name="요약 2 2 2 2 19" xfId="5193" xr:uid="{00000000-0005-0000-0000-0000B10F0000}"/>
    <cellStyle name="요약 2 2 2 2 19 2" xfId="5194" xr:uid="{00000000-0005-0000-0000-0000B20F0000}"/>
    <cellStyle name="요약 2 2 2 2 2" xfId="5195" xr:uid="{00000000-0005-0000-0000-0000B30F0000}"/>
    <cellStyle name="요약 2 2 2 2 2 2" xfId="5196" xr:uid="{00000000-0005-0000-0000-0000B40F0000}"/>
    <cellStyle name="요약 2 2 2 2 20" xfId="5197" xr:uid="{00000000-0005-0000-0000-0000B50F0000}"/>
    <cellStyle name="요약 2 2 2 2 3" xfId="5198" xr:uid="{00000000-0005-0000-0000-0000B60F0000}"/>
    <cellStyle name="요약 2 2 2 2 3 2" xfId="5199" xr:uid="{00000000-0005-0000-0000-0000B70F0000}"/>
    <cellStyle name="요약 2 2 2 2 4" xfId="5200" xr:uid="{00000000-0005-0000-0000-0000B80F0000}"/>
    <cellStyle name="요약 2 2 2 2 4 2" xfId="5201" xr:uid="{00000000-0005-0000-0000-0000B90F0000}"/>
    <cellStyle name="요약 2 2 2 2 5" xfId="5202" xr:uid="{00000000-0005-0000-0000-0000BA0F0000}"/>
    <cellStyle name="요약 2 2 2 2 5 2" xfId="5203" xr:uid="{00000000-0005-0000-0000-0000BB0F0000}"/>
    <cellStyle name="요약 2 2 2 2 6" xfId="5204" xr:uid="{00000000-0005-0000-0000-0000BC0F0000}"/>
    <cellStyle name="요약 2 2 2 2 6 2" xfId="5205" xr:uid="{00000000-0005-0000-0000-0000BD0F0000}"/>
    <cellStyle name="요약 2 2 2 2 7" xfId="5206" xr:uid="{00000000-0005-0000-0000-0000BE0F0000}"/>
    <cellStyle name="요약 2 2 2 2 7 2" xfId="5207" xr:uid="{00000000-0005-0000-0000-0000BF0F0000}"/>
    <cellStyle name="요약 2 2 2 2 8" xfId="5208" xr:uid="{00000000-0005-0000-0000-0000C00F0000}"/>
    <cellStyle name="요약 2 2 2 2 8 2" xfId="5209" xr:uid="{00000000-0005-0000-0000-0000C10F0000}"/>
    <cellStyle name="요약 2 2 2 2 9" xfId="5210" xr:uid="{00000000-0005-0000-0000-0000C20F0000}"/>
    <cellStyle name="요약 2 2 2 2 9 2" xfId="5211" xr:uid="{00000000-0005-0000-0000-0000C30F0000}"/>
    <cellStyle name="요약 2 2 2 20" xfId="5212" xr:uid="{00000000-0005-0000-0000-0000C40F0000}"/>
    <cellStyle name="요약 2 2 2 20 2" xfId="5213" xr:uid="{00000000-0005-0000-0000-0000C50F0000}"/>
    <cellStyle name="요약 2 2 2 21" xfId="5214" xr:uid="{00000000-0005-0000-0000-0000C60F0000}"/>
    <cellStyle name="요약 2 2 2 3" xfId="5215" xr:uid="{00000000-0005-0000-0000-0000C70F0000}"/>
    <cellStyle name="요약 2 2 2 3 2" xfId="5216" xr:uid="{00000000-0005-0000-0000-0000C80F0000}"/>
    <cellStyle name="요약 2 2 2 4" xfId="5217" xr:uid="{00000000-0005-0000-0000-0000C90F0000}"/>
    <cellStyle name="요약 2 2 2 4 2" xfId="5218" xr:uid="{00000000-0005-0000-0000-0000CA0F0000}"/>
    <cellStyle name="요약 2 2 2 5" xfId="5219" xr:uid="{00000000-0005-0000-0000-0000CB0F0000}"/>
    <cellStyle name="요약 2 2 2 5 2" xfId="5220" xr:uid="{00000000-0005-0000-0000-0000CC0F0000}"/>
    <cellStyle name="요약 2 2 2 6" xfId="5221" xr:uid="{00000000-0005-0000-0000-0000CD0F0000}"/>
    <cellStyle name="요약 2 2 2 6 2" xfId="5222" xr:uid="{00000000-0005-0000-0000-0000CE0F0000}"/>
    <cellStyle name="요약 2 2 2 7" xfId="5223" xr:uid="{00000000-0005-0000-0000-0000CF0F0000}"/>
    <cellStyle name="요약 2 2 2 7 2" xfId="5224" xr:uid="{00000000-0005-0000-0000-0000D00F0000}"/>
    <cellStyle name="요약 2 2 2 8" xfId="5225" xr:uid="{00000000-0005-0000-0000-0000D10F0000}"/>
    <cellStyle name="요약 2 2 2 8 2" xfId="5226" xr:uid="{00000000-0005-0000-0000-0000D20F0000}"/>
    <cellStyle name="요약 2 2 2 9" xfId="5227" xr:uid="{00000000-0005-0000-0000-0000D30F0000}"/>
    <cellStyle name="요약 2 2 2 9 2" xfId="5228" xr:uid="{00000000-0005-0000-0000-0000D40F0000}"/>
    <cellStyle name="요약 2 2 20" xfId="5229" xr:uid="{00000000-0005-0000-0000-0000D50F0000}"/>
    <cellStyle name="요약 2 2 20 2" xfId="5230" xr:uid="{00000000-0005-0000-0000-0000D60F0000}"/>
    <cellStyle name="요약 2 2 21" xfId="5231" xr:uid="{00000000-0005-0000-0000-0000D70F0000}"/>
    <cellStyle name="요약 2 2 21 2" xfId="5232" xr:uid="{00000000-0005-0000-0000-0000D80F0000}"/>
    <cellStyle name="요약 2 2 22" xfId="5233" xr:uid="{00000000-0005-0000-0000-0000D90F0000}"/>
    <cellStyle name="요약 2 2 22 2" xfId="5234" xr:uid="{00000000-0005-0000-0000-0000DA0F0000}"/>
    <cellStyle name="요약 2 2 23" xfId="5235" xr:uid="{00000000-0005-0000-0000-0000DB0F0000}"/>
    <cellStyle name="요약 2 2 23 2" xfId="5236" xr:uid="{00000000-0005-0000-0000-0000DC0F0000}"/>
    <cellStyle name="요약 2 2 24" xfId="5237" xr:uid="{00000000-0005-0000-0000-0000DD0F0000}"/>
    <cellStyle name="요약 2 2 3" xfId="5238" xr:uid="{00000000-0005-0000-0000-0000DE0F0000}"/>
    <cellStyle name="요약 2 2 3 10" xfId="5239" xr:uid="{00000000-0005-0000-0000-0000DF0F0000}"/>
    <cellStyle name="요약 2 2 3 10 2" xfId="5240" xr:uid="{00000000-0005-0000-0000-0000E00F0000}"/>
    <cellStyle name="요약 2 2 3 11" xfId="5241" xr:uid="{00000000-0005-0000-0000-0000E10F0000}"/>
    <cellStyle name="요약 2 2 3 11 2" xfId="5242" xr:uid="{00000000-0005-0000-0000-0000E20F0000}"/>
    <cellStyle name="요약 2 2 3 12" xfId="5243" xr:uid="{00000000-0005-0000-0000-0000E30F0000}"/>
    <cellStyle name="요약 2 2 3 12 2" xfId="5244" xr:uid="{00000000-0005-0000-0000-0000E40F0000}"/>
    <cellStyle name="요약 2 2 3 13" xfId="5245" xr:uid="{00000000-0005-0000-0000-0000E50F0000}"/>
    <cellStyle name="요약 2 2 3 13 2" xfId="5246" xr:uid="{00000000-0005-0000-0000-0000E60F0000}"/>
    <cellStyle name="요약 2 2 3 14" xfId="5247" xr:uid="{00000000-0005-0000-0000-0000E70F0000}"/>
    <cellStyle name="요약 2 2 3 14 2" xfId="5248" xr:uid="{00000000-0005-0000-0000-0000E80F0000}"/>
    <cellStyle name="요약 2 2 3 15" xfId="5249" xr:uid="{00000000-0005-0000-0000-0000E90F0000}"/>
    <cellStyle name="요약 2 2 3 15 2" xfId="5250" xr:uid="{00000000-0005-0000-0000-0000EA0F0000}"/>
    <cellStyle name="요약 2 2 3 16" xfId="5251" xr:uid="{00000000-0005-0000-0000-0000EB0F0000}"/>
    <cellStyle name="요약 2 2 3 16 2" xfId="5252" xr:uid="{00000000-0005-0000-0000-0000EC0F0000}"/>
    <cellStyle name="요약 2 2 3 17" xfId="5253" xr:uid="{00000000-0005-0000-0000-0000ED0F0000}"/>
    <cellStyle name="요약 2 2 3 17 2" xfId="5254" xr:uid="{00000000-0005-0000-0000-0000EE0F0000}"/>
    <cellStyle name="요약 2 2 3 18" xfId="5255" xr:uid="{00000000-0005-0000-0000-0000EF0F0000}"/>
    <cellStyle name="요약 2 2 3 18 2" xfId="5256" xr:uid="{00000000-0005-0000-0000-0000F00F0000}"/>
    <cellStyle name="요약 2 2 3 19" xfId="5257" xr:uid="{00000000-0005-0000-0000-0000F10F0000}"/>
    <cellStyle name="요약 2 2 3 19 2" xfId="5258" xr:uid="{00000000-0005-0000-0000-0000F20F0000}"/>
    <cellStyle name="요약 2 2 3 2" xfId="5259" xr:uid="{00000000-0005-0000-0000-0000F30F0000}"/>
    <cellStyle name="요약 2 2 3 2 10" xfId="5260" xr:uid="{00000000-0005-0000-0000-0000F40F0000}"/>
    <cellStyle name="요약 2 2 3 2 10 2" xfId="5261" xr:uid="{00000000-0005-0000-0000-0000F50F0000}"/>
    <cellStyle name="요약 2 2 3 2 11" xfId="5262" xr:uid="{00000000-0005-0000-0000-0000F60F0000}"/>
    <cellStyle name="요약 2 2 3 2 11 2" xfId="5263" xr:uid="{00000000-0005-0000-0000-0000F70F0000}"/>
    <cellStyle name="요약 2 2 3 2 12" xfId="5264" xr:uid="{00000000-0005-0000-0000-0000F80F0000}"/>
    <cellStyle name="요약 2 2 3 2 12 2" xfId="5265" xr:uid="{00000000-0005-0000-0000-0000F90F0000}"/>
    <cellStyle name="요약 2 2 3 2 13" xfId="5266" xr:uid="{00000000-0005-0000-0000-0000FA0F0000}"/>
    <cellStyle name="요약 2 2 3 2 13 2" xfId="5267" xr:uid="{00000000-0005-0000-0000-0000FB0F0000}"/>
    <cellStyle name="요약 2 2 3 2 14" xfId="5268" xr:uid="{00000000-0005-0000-0000-0000FC0F0000}"/>
    <cellStyle name="요약 2 2 3 2 14 2" xfId="5269" xr:uid="{00000000-0005-0000-0000-0000FD0F0000}"/>
    <cellStyle name="요약 2 2 3 2 15" xfId="5270" xr:uid="{00000000-0005-0000-0000-0000FE0F0000}"/>
    <cellStyle name="요약 2 2 3 2 15 2" xfId="5271" xr:uid="{00000000-0005-0000-0000-0000FF0F0000}"/>
    <cellStyle name="요약 2 2 3 2 16" xfId="5272" xr:uid="{00000000-0005-0000-0000-000000100000}"/>
    <cellStyle name="요약 2 2 3 2 16 2" xfId="5273" xr:uid="{00000000-0005-0000-0000-000001100000}"/>
    <cellStyle name="요약 2 2 3 2 17" xfId="5274" xr:uid="{00000000-0005-0000-0000-000002100000}"/>
    <cellStyle name="요약 2 2 3 2 17 2" xfId="5275" xr:uid="{00000000-0005-0000-0000-000003100000}"/>
    <cellStyle name="요약 2 2 3 2 18" xfId="5276" xr:uid="{00000000-0005-0000-0000-000004100000}"/>
    <cellStyle name="요약 2 2 3 2 18 2" xfId="5277" xr:uid="{00000000-0005-0000-0000-000005100000}"/>
    <cellStyle name="요약 2 2 3 2 19" xfId="5278" xr:uid="{00000000-0005-0000-0000-000006100000}"/>
    <cellStyle name="요약 2 2 3 2 19 2" xfId="5279" xr:uid="{00000000-0005-0000-0000-000007100000}"/>
    <cellStyle name="요약 2 2 3 2 2" xfId="5280" xr:uid="{00000000-0005-0000-0000-000008100000}"/>
    <cellStyle name="요약 2 2 3 2 2 2" xfId="5281" xr:uid="{00000000-0005-0000-0000-000009100000}"/>
    <cellStyle name="요약 2 2 3 2 20" xfId="5282" xr:uid="{00000000-0005-0000-0000-00000A100000}"/>
    <cellStyle name="요약 2 2 3 2 3" xfId="5283" xr:uid="{00000000-0005-0000-0000-00000B100000}"/>
    <cellStyle name="요약 2 2 3 2 3 2" xfId="5284" xr:uid="{00000000-0005-0000-0000-00000C100000}"/>
    <cellStyle name="요약 2 2 3 2 4" xfId="5285" xr:uid="{00000000-0005-0000-0000-00000D100000}"/>
    <cellStyle name="요약 2 2 3 2 4 2" xfId="5286" xr:uid="{00000000-0005-0000-0000-00000E100000}"/>
    <cellStyle name="요약 2 2 3 2 5" xfId="5287" xr:uid="{00000000-0005-0000-0000-00000F100000}"/>
    <cellStyle name="요약 2 2 3 2 5 2" xfId="5288" xr:uid="{00000000-0005-0000-0000-000010100000}"/>
    <cellStyle name="요약 2 2 3 2 6" xfId="5289" xr:uid="{00000000-0005-0000-0000-000011100000}"/>
    <cellStyle name="요약 2 2 3 2 6 2" xfId="5290" xr:uid="{00000000-0005-0000-0000-000012100000}"/>
    <cellStyle name="요약 2 2 3 2 7" xfId="5291" xr:uid="{00000000-0005-0000-0000-000013100000}"/>
    <cellStyle name="요약 2 2 3 2 7 2" xfId="5292" xr:uid="{00000000-0005-0000-0000-000014100000}"/>
    <cellStyle name="요약 2 2 3 2 8" xfId="5293" xr:uid="{00000000-0005-0000-0000-000015100000}"/>
    <cellStyle name="요약 2 2 3 2 8 2" xfId="5294" xr:uid="{00000000-0005-0000-0000-000016100000}"/>
    <cellStyle name="요약 2 2 3 2 9" xfId="5295" xr:uid="{00000000-0005-0000-0000-000017100000}"/>
    <cellStyle name="요약 2 2 3 2 9 2" xfId="5296" xr:uid="{00000000-0005-0000-0000-000018100000}"/>
    <cellStyle name="요약 2 2 3 20" xfId="5297" xr:uid="{00000000-0005-0000-0000-000019100000}"/>
    <cellStyle name="요약 2 2 3 20 2" xfId="5298" xr:uid="{00000000-0005-0000-0000-00001A100000}"/>
    <cellStyle name="요약 2 2 3 21" xfId="5299" xr:uid="{00000000-0005-0000-0000-00001B100000}"/>
    <cellStyle name="요약 2 2 3 3" xfId="5300" xr:uid="{00000000-0005-0000-0000-00001C100000}"/>
    <cellStyle name="요약 2 2 3 3 2" xfId="5301" xr:uid="{00000000-0005-0000-0000-00001D100000}"/>
    <cellStyle name="요약 2 2 3 4" xfId="5302" xr:uid="{00000000-0005-0000-0000-00001E100000}"/>
    <cellStyle name="요약 2 2 3 4 2" xfId="5303" xr:uid="{00000000-0005-0000-0000-00001F100000}"/>
    <cellStyle name="요약 2 2 3 5" xfId="5304" xr:uid="{00000000-0005-0000-0000-000020100000}"/>
    <cellStyle name="요약 2 2 3 5 2" xfId="5305" xr:uid="{00000000-0005-0000-0000-000021100000}"/>
    <cellStyle name="요약 2 2 3 6" xfId="5306" xr:uid="{00000000-0005-0000-0000-000022100000}"/>
    <cellStyle name="요약 2 2 3 6 2" xfId="5307" xr:uid="{00000000-0005-0000-0000-000023100000}"/>
    <cellStyle name="요약 2 2 3 7" xfId="5308" xr:uid="{00000000-0005-0000-0000-000024100000}"/>
    <cellStyle name="요약 2 2 3 7 2" xfId="5309" xr:uid="{00000000-0005-0000-0000-000025100000}"/>
    <cellStyle name="요약 2 2 3 8" xfId="5310" xr:uid="{00000000-0005-0000-0000-000026100000}"/>
    <cellStyle name="요약 2 2 3 8 2" xfId="5311" xr:uid="{00000000-0005-0000-0000-000027100000}"/>
    <cellStyle name="요약 2 2 3 9" xfId="5312" xr:uid="{00000000-0005-0000-0000-000028100000}"/>
    <cellStyle name="요약 2 2 3 9 2" xfId="5313" xr:uid="{00000000-0005-0000-0000-000029100000}"/>
    <cellStyle name="요약 2 2 4" xfId="5314" xr:uid="{00000000-0005-0000-0000-00002A100000}"/>
    <cellStyle name="요약 2 2 4 10" xfId="5315" xr:uid="{00000000-0005-0000-0000-00002B100000}"/>
    <cellStyle name="요약 2 2 4 10 2" xfId="5316" xr:uid="{00000000-0005-0000-0000-00002C100000}"/>
    <cellStyle name="요약 2 2 4 11" xfId="5317" xr:uid="{00000000-0005-0000-0000-00002D100000}"/>
    <cellStyle name="요약 2 2 4 11 2" xfId="5318" xr:uid="{00000000-0005-0000-0000-00002E100000}"/>
    <cellStyle name="요약 2 2 4 12" xfId="5319" xr:uid="{00000000-0005-0000-0000-00002F100000}"/>
    <cellStyle name="요약 2 2 4 12 2" xfId="5320" xr:uid="{00000000-0005-0000-0000-000030100000}"/>
    <cellStyle name="요약 2 2 4 13" xfId="5321" xr:uid="{00000000-0005-0000-0000-000031100000}"/>
    <cellStyle name="요약 2 2 4 13 2" xfId="5322" xr:uid="{00000000-0005-0000-0000-000032100000}"/>
    <cellStyle name="요약 2 2 4 14" xfId="5323" xr:uid="{00000000-0005-0000-0000-000033100000}"/>
    <cellStyle name="요약 2 2 4 14 2" xfId="5324" xr:uid="{00000000-0005-0000-0000-000034100000}"/>
    <cellStyle name="요약 2 2 4 15" xfId="5325" xr:uid="{00000000-0005-0000-0000-000035100000}"/>
    <cellStyle name="요약 2 2 4 15 2" xfId="5326" xr:uid="{00000000-0005-0000-0000-000036100000}"/>
    <cellStyle name="요약 2 2 4 16" xfId="5327" xr:uid="{00000000-0005-0000-0000-000037100000}"/>
    <cellStyle name="요약 2 2 4 16 2" xfId="5328" xr:uid="{00000000-0005-0000-0000-000038100000}"/>
    <cellStyle name="요약 2 2 4 17" xfId="5329" xr:uid="{00000000-0005-0000-0000-000039100000}"/>
    <cellStyle name="요약 2 2 4 17 2" xfId="5330" xr:uid="{00000000-0005-0000-0000-00003A100000}"/>
    <cellStyle name="요약 2 2 4 18" xfId="5331" xr:uid="{00000000-0005-0000-0000-00003B100000}"/>
    <cellStyle name="요약 2 2 4 18 2" xfId="5332" xr:uid="{00000000-0005-0000-0000-00003C100000}"/>
    <cellStyle name="요약 2 2 4 19" xfId="5333" xr:uid="{00000000-0005-0000-0000-00003D100000}"/>
    <cellStyle name="요약 2 2 4 19 2" xfId="5334" xr:uid="{00000000-0005-0000-0000-00003E100000}"/>
    <cellStyle name="요약 2 2 4 2" xfId="5335" xr:uid="{00000000-0005-0000-0000-00003F100000}"/>
    <cellStyle name="요약 2 2 4 2 10" xfId="5336" xr:uid="{00000000-0005-0000-0000-000040100000}"/>
    <cellStyle name="요약 2 2 4 2 10 2" xfId="5337" xr:uid="{00000000-0005-0000-0000-000041100000}"/>
    <cellStyle name="요약 2 2 4 2 11" xfId="5338" xr:uid="{00000000-0005-0000-0000-000042100000}"/>
    <cellStyle name="요약 2 2 4 2 11 2" xfId="5339" xr:uid="{00000000-0005-0000-0000-000043100000}"/>
    <cellStyle name="요약 2 2 4 2 12" xfId="5340" xr:uid="{00000000-0005-0000-0000-000044100000}"/>
    <cellStyle name="요약 2 2 4 2 12 2" xfId="5341" xr:uid="{00000000-0005-0000-0000-000045100000}"/>
    <cellStyle name="요약 2 2 4 2 13" xfId="5342" xr:uid="{00000000-0005-0000-0000-000046100000}"/>
    <cellStyle name="요약 2 2 4 2 13 2" xfId="5343" xr:uid="{00000000-0005-0000-0000-000047100000}"/>
    <cellStyle name="요약 2 2 4 2 14" xfId="5344" xr:uid="{00000000-0005-0000-0000-000048100000}"/>
    <cellStyle name="요약 2 2 4 2 14 2" xfId="5345" xr:uid="{00000000-0005-0000-0000-000049100000}"/>
    <cellStyle name="요약 2 2 4 2 15" xfId="5346" xr:uid="{00000000-0005-0000-0000-00004A100000}"/>
    <cellStyle name="요약 2 2 4 2 15 2" xfId="5347" xr:uid="{00000000-0005-0000-0000-00004B100000}"/>
    <cellStyle name="요약 2 2 4 2 16" xfId="5348" xr:uid="{00000000-0005-0000-0000-00004C100000}"/>
    <cellStyle name="요약 2 2 4 2 16 2" xfId="5349" xr:uid="{00000000-0005-0000-0000-00004D100000}"/>
    <cellStyle name="요약 2 2 4 2 17" xfId="5350" xr:uid="{00000000-0005-0000-0000-00004E100000}"/>
    <cellStyle name="요약 2 2 4 2 17 2" xfId="5351" xr:uid="{00000000-0005-0000-0000-00004F100000}"/>
    <cellStyle name="요약 2 2 4 2 18" xfId="5352" xr:uid="{00000000-0005-0000-0000-000050100000}"/>
    <cellStyle name="요약 2 2 4 2 18 2" xfId="5353" xr:uid="{00000000-0005-0000-0000-000051100000}"/>
    <cellStyle name="요약 2 2 4 2 19" xfId="5354" xr:uid="{00000000-0005-0000-0000-000052100000}"/>
    <cellStyle name="요약 2 2 4 2 19 2" xfId="5355" xr:uid="{00000000-0005-0000-0000-000053100000}"/>
    <cellStyle name="요약 2 2 4 2 2" xfId="5356" xr:uid="{00000000-0005-0000-0000-000054100000}"/>
    <cellStyle name="요약 2 2 4 2 2 2" xfId="5357" xr:uid="{00000000-0005-0000-0000-000055100000}"/>
    <cellStyle name="요약 2 2 4 2 20" xfId="5358" xr:uid="{00000000-0005-0000-0000-000056100000}"/>
    <cellStyle name="요약 2 2 4 2 3" xfId="5359" xr:uid="{00000000-0005-0000-0000-000057100000}"/>
    <cellStyle name="요약 2 2 4 2 3 2" xfId="5360" xr:uid="{00000000-0005-0000-0000-000058100000}"/>
    <cellStyle name="요약 2 2 4 2 4" xfId="5361" xr:uid="{00000000-0005-0000-0000-000059100000}"/>
    <cellStyle name="요약 2 2 4 2 4 2" xfId="5362" xr:uid="{00000000-0005-0000-0000-00005A100000}"/>
    <cellStyle name="요약 2 2 4 2 5" xfId="5363" xr:uid="{00000000-0005-0000-0000-00005B100000}"/>
    <cellStyle name="요약 2 2 4 2 5 2" xfId="5364" xr:uid="{00000000-0005-0000-0000-00005C100000}"/>
    <cellStyle name="요약 2 2 4 2 6" xfId="5365" xr:uid="{00000000-0005-0000-0000-00005D100000}"/>
    <cellStyle name="요약 2 2 4 2 6 2" xfId="5366" xr:uid="{00000000-0005-0000-0000-00005E100000}"/>
    <cellStyle name="요약 2 2 4 2 7" xfId="5367" xr:uid="{00000000-0005-0000-0000-00005F100000}"/>
    <cellStyle name="요약 2 2 4 2 7 2" xfId="5368" xr:uid="{00000000-0005-0000-0000-000060100000}"/>
    <cellStyle name="요약 2 2 4 2 8" xfId="5369" xr:uid="{00000000-0005-0000-0000-000061100000}"/>
    <cellStyle name="요약 2 2 4 2 8 2" xfId="5370" xr:uid="{00000000-0005-0000-0000-000062100000}"/>
    <cellStyle name="요약 2 2 4 2 9" xfId="5371" xr:uid="{00000000-0005-0000-0000-000063100000}"/>
    <cellStyle name="요약 2 2 4 2 9 2" xfId="5372" xr:uid="{00000000-0005-0000-0000-000064100000}"/>
    <cellStyle name="요약 2 2 4 20" xfId="5373" xr:uid="{00000000-0005-0000-0000-000065100000}"/>
    <cellStyle name="요약 2 2 4 20 2" xfId="5374" xr:uid="{00000000-0005-0000-0000-000066100000}"/>
    <cellStyle name="요약 2 2 4 21" xfId="5375" xr:uid="{00000000-0005-0000-0000-000067100000}"/>
    <cellStyle name="요약 2 2 4 3" xfId="5376" xr:uid="{00000000-0005-0000-0000-000068100000}"/>
    <cellStyle name="요약 2 2 4 3 2" xfId="5377" xr:uid="{00000000-0005-0000-0000-000069100000}"/>
    <cellStyle name="요약 2 2 4 4" xfId="5378" xr:uid="{00000000-0005-0000-0000-00006A100000}"/>
    <cellStyle name="요약 2 2 4 4 2" xfId="5379" xr:uid="{00000000-0005-0000-0000-00006B100000}"/>
    <cellStyle name="요약 2 2 4 5" xfId="5380" xr:uid="{00000000-0005-0000-0000-00006C100000}"/>
    <cellStyle name="요약 2 2 4 5 2" xfId="5381" xr:uid="{00000000-0005-0000-0000-00006D100000}"/>
    <cellStyle name="요약 2 2 4 6" xfId="5382" xr:uid="{00000000-0005-0000-0000-00006E100000}"/>
    <cellStyle name="요약 2 2 4 6 2" xfId="5383" xr:uid="{00000000-0005-0000-0000-00006F100000}"/>
    <cellStyle name="요약 2 2 4 7" xfId="5384" xr:uid="{00000000-0005-0000-0000-000070100000}"/>
    <cellStyle name="요약 2 2 4 7 2" xfId="5385" xr:uid="{00000000-0005-0000-0000-000071100000}"/>
    <cellStyle name="요약 2 2 4 8" xfId="5386" xr:uid="{00000000-0005-0000-0000-000072100000}"/>
    <cellStyle name="요약 2 2 4 8 2" xfId="5387" xr:uid="{00000000-0005-0000-0000-000073100000}"/>
    <cellStyle name="요약 2 2 4 9" xfId="5388" xr:uid="{00000000-0005-0000-0000-000074100000}"/>
    <cellStyle name="요약 2 2 4 9 2" xfId="5389" xr:uid="{00000000-0005-0000-0000-000075100000}"/>
    <cellStyle name="요약 2 2 5" xfId="5390" xr:uid="{00000000-0005-0000-0000-000076100000}"/>
    <cellStyle name="요약 2 2 5 10" xfId="5391" xr:uid="{00000000-0005-0000-0000-000077100000}"/>
    <cellStyle name="요약 2 2 5 10 2" xfId="5392" xr:uid="{00000000-0005-0000-0000-000078100000}"/>
    <cellStyle name="요약 2 2 5 11" xfId="5393" xr:uid="{00000000-0005-0000-0000-000079100000}"/>
    <cellStyle name="요약 2 2 5 11 2" xfId="5394" xr:uid="{00000000-0005-0000-0000-00007A100000}"/>
    <cellStyle name="요약 2 2 5 12" xfId="5395" xr:uid="{00000000-0005-0000-0000-00007B100000}"/>
    <cellStyle name="요약 2 2 5 12 2" xfId="5396" xr:uid="{00000000-0005-0000-0000-00007C100000}"/>
    <cellStyle name="요약 2 2 5 13" xfId="5397" xr:uid="{00000000-0005-0000-0000-00007D100000}"/>
    <cellStyle name="요약 2 2 5 13 2" xfId="5398" xr:uid="{00000000-0005-0000-0000-00007E100000}"/>
    <cellStyle name="요약 2 2 5 14" xfId="5399" xr:uid="{00000000-0005-0000-0000-00007F100000}"/>
    <cellStyle name="요약 2 2 5 14 2" xfId="5400" xr:uid="{00000000-0005-0000-0000-000080100000}"/>
    <cellStyle name="요약 2 2 5 15" xfId="5401" xr:uid="{00000000-0005-0000-0000-000081100000}"/>
    <cellStyle name="요약 2 2 5 15 2" xfId="5402" xr:uid="{00000000-0005-0000-0000-000082100000}"/>
    <cellStyle name="요약 2 2 5 16" xfId="5403" xr:uid="{00000000-0005-0000-0000-000083100000}"/>
    <cellStyle name="요약 2 2 5 16 2" xfId="5404" xr:uid="{00000000-0005-0000-0000-000084100000}"/>
    <cellStyle name="요약 2 2 5 17" xfId="5405" xr:uid="{00000000-0005-0000-0000-000085100000}"/>
    <cellStyle name="요약 2 2 5 17 2" xfId="5406" xr:uid="{00000000-0005-0000-0000-000086100000}"/>
    <cellStyle name="요약 2 2 5 18" xfId="5407" xr:uid="{00000000-0005-0000-0000-000087100000}"/>
    <cellStyle name="요약 2 2 5 18 2" xfId="5408" xr:uid="{00000000-0005-0000-0000-000088100000}"/>
    <cellStyle name="요약 2 2 5 19" xfId="5409" xr:uid="{00000000-0005-0000-0000-000089100000}"/>
    <cellStyle name="요약 2 2 5 19 2" xfId="5410" xr:uid="{00000000-0005-0000-0000-00008A100000}"/>
    <cellStyle name="요약 2 2 5 2" xfId="5411" xr:uid="{00000000-0005-0000-0000-00008B100000}"/>
    <cellStyle name="요약 2 2 5 2 2" xfId="5412" xr:uid="{00000000-0005-0000-0000-00008C100000}"/>
    <cellStyle name="요약 2 2 5 20" xfId="5413" xr:uid="{00000000-0005-0000-0000-00008D100000}"/>
    <cellStyle name="요약 2 2 5 3" xfId="5414" xr:uid="{00000000-0005-0000-0000-00008E100000}"/>
    <cellStyle name="요약 2 2 5 3 2" xfId="5415" xr:uid="{00000000-0005-0000-0000-00008F100000}"/>
    <cellStyle name="요약 2 2 5 4" xfId="5416" xr:uid="{00000000-0005-0000-0000-000090100000}"/>
    <cellStyle name="요약 2 2 5 4 2" xfId="5417" xr:uid="{00000000-0005-0000-0000-000091100000}"/>
    <cellStyle name="요약 2 2 5 5" xfId="5418" xr:uid="{00000000-0005-0000-0000-000092100000}"/>
    <cellStyle name="요약 2 2 5 5 2" xfId="5419" xr:uid="{00000000-0005-0000-0000-000093100000}"/>
    <cellStyle name="요약 2 2 5 6" xfId="5420" xr:uid="{00000000-0005-0000-0000-000094100000}"/>
    <cellStyle name="요약 2 2 5 6 2" xfId="5421" xr:uid="{00000000-0005-0000-0000-000095100000}"/>
    <cellStyle name="요약 2 2 5 7" xfId="5422" xr:uid="{00000000-0005-0000-0000-000096100000}"/>
    <cellStyle name="요약 2 2 5 7 2" xfId="5423" xr:uid="{00000000-0005-0000-0000-000097100000}"/>
    <cellStyle name="요약 2 2 5 8" xfId="5424" xr:uid="{00000000-0005-0000-0000-000098100000}"/>
    <cellStyle name="요약 2 2 5 8 2" xfId="5425" xr:uid="{00000000-0005-0000-0000-000099100000}"/>
    <cellStyle name="요약 2 2 5 9" xfId="5426" xr:uid="{00000000-0005-0000-0000-00009A100000}"/>
    <cellStyle name="요약 2 2 5 9 2" xfId="5427" xr:uid="{00000000-0005-0000-0000-00009B100000}"/>
    <cellStyle name="요약 2 2 6" xfId="5428" xr:uid="{00000000-0005-0000-0000-00009C100000}"/>
    <cellStyle name="요약 2 2 6 2" xfId="5429" xr:uid="{00000000-0005-0000-0000-00009D100000}"/>
    <cellStyle name="요약 2 2 7" xfId="5430" xr:uid="{00000000-0005-0000-0000-00009E100000}"/>
    <cellStyle name="요약 2 2 7 2" xfId="5431" xr:uid="{00000000-0005-0000-0000-00009F100000}"/>
    <cellStyle name="요약 2 2 8" xfId="5432" xr:uid="{00000000-0005-0000-0000-0000A0100000}"/>
    <cellStyle name="요약 2 2 8 2" xfId="5433" xr:uid="{00000000-0005-0000-0000-0000A1100000}"/>
    <cellStyle name="요약 2 2 9" xfId="5434" xr:uid="{00000000-0005-0000-0000-0000A2100000}"/>
    <cellStyle name="요약 2 2 9 2" xfId="5435" xr:uid="{00000000-0005-0000-0000-0000A3100000}"/>
    <cellStyle name="요약 2 20" xfId="5436" xr:uid="{00000000-0005-0000-0000-0000A4100000}"/>
    <cellStyle name="요약 2 20 2" xfId="5437" xr:uid="{00000000-0005-0000-0000-0000A5100000}"/>
    <cellStyle name="요약 2 21" xfId="5438" xr:uid="{00000000-0005-0000-0000-0000A6100000}"/>
    <cellStyle name="요약 2 22" xfId="6395" xr:uid="{00000000-0005-0000-0000-0000A7100000}"/>
    <cellStyle name="요약 2 23" xfId="6401" xr:uid="{00000000-0005-0000-0000-0000A8100000}"/>
    <cellStyle name="요약 2 24" xfId="6393" xr:uid="{00000000-0005-0000-0000-0000A9100000}"/>
    <cellStyle name="요약 2 25" xfId="6398" xr:uid="{00000000-0005-0000-0000-0000AA100000}"/>
    <cellStyle name="요약 2 26" xfId="6397" xr:uid="{00000000-0005-0000-0000-0000AB100000}"/>
    <cellStyle name="요약 2 27" xfId="6414" xr:uid="{00000000-0005-0000-0000-0000AC100000}"/>
    <cellStyle name="요약 2 28" xfId="6390" xr:uid="{00000000-0005-0000-0000-0000AD100000}"/>
    <cellStyle name="요약 2 29" xfId="6405" xr:uid="{00000000-0005-0000-0000-0000AE100000}"/>
    <cellStyle name="요약 2 3" xfId="5439" xr:uid="{00000000-0005-0000-0000-0000AF100000}"/>
    <cellStyle name="요약 2 3 2" xfId="5440" xr:uid="{00000000-0005-0000-0000-0000B0100000}"/>
    <cellStyle name="요약 2 30" xfId="6388" xr:uid="{00000000-0005-0000-0000-0000B1100000}"/>
    <cellStyle name="요약 2 4" xfId="5441" xr:uid="{00000000-0005-0000-0000-0000B2100000}"/>
    <cellStyle name="요약 2 4 2" xfId="5442" xr:uid="{00000000-0005-0000-0000-0000B3100000}"/>
    <cellStyle name="요약 2 5" xfId="5443" xr:uid="{00000000-0005-0000-0000-0000B4100000}"/>
    <cellStyle name="요약 2 5 2" xfId="5444" xr:uid="{00000000-0005-0000-0000-0000B5100000}"/>
    <cellStyle name="요약 2 6" xfId="5445" xr:uid="{00000000-0005-0000-0000-0000B6100000}"/>
    <cellStyle name="요약 2 6 2" xfId="5446" xr:uid="{00000000-0005-0000-0000-0000B7100000}"/>
    <cellStyle name="요약 2 7" xfId="5447" xr:uid="{00000000-0005-0000-0000-0000B8100000}"/>
    <cellStyle name="요약 2 7 2" xfId="5448" xr:uid="{00000000-0005-0000-0000-0000B9100000}"/>
    <cellStyle name="요약 2 8" xfId="5449" xr:uid="{00000000-0005-0000-0000-0000BA100000}"/>
    <cellStyle name="요약 2 8 2" xfId="5450" xr:uid="{00000000-0005-0000-0000-0000BB100000}"/>
    <cellStyle name="요약 2 9" xfId="5451" xr:uid="{00000000-0005-0000-0000-0000BC100000}"/>
    <cellStyle name="요약 2 9 2" xfId="5452" xr:uid="{00000000-0005-0000-0000-0000BD100000}"/>
    <cellStyle name="요약 20" xfId="49427" xr:uid="{00000000-0005-0000-0000-0000BE100000}"/>
    <cellStyle name="요약 21" xfId="49428" xr:uid="{00000000-0005-0000-0000-0000BF100000}"/>
    <cellStyle name="요약 22" xfId="49429" xr:uid="{00000000-0005-0000-0000-0000C0100000}"/>
    <cellStyle name="요약 23" xfId="49430" xr:uid="{00000000-0005-0000-0000-0000C1100000}"/>
    <cellStyle name="요약 24" xfId="49431" xr:uid="{00000000-0005-0000-0000-0000C2100000}"/>
    <cellStyle name="요약 25" xfId="49432" xr:uid="{00000000-0005-0000-0000-0000C3100000}"/>
    <cellStyle name="요약 26" xfId="49433" xr:uid="{00000000-0005-0000-0000-0000C4100000}"/>
    <cellStyle name="요약 27" xfId="49434" xr:uid="{00000000-0005-0000-0000-0000C5100000}"/>
    <cellStyle name="요약 28" xfId="49435" xr:uid="{00000000-0005-0000-0000-0000C6100000}"/>
    <cellStyle name="요약 29" xfId="49436" xr:uid="{00000000-0005-0000-0000-0000C7100000}"/>
    <cellStyle name="요약 3" xfId="3059" xr:uid="{00000000-0005-0000-0000-0000C8100000}"/>
    <cellStyle name="요약 3 10" xfId="2514" xr:uid="{00000000-0005-0000-0000-0000C9100000}"/>
    <cellStyle name="요약 3 11" xfId="2923" xr:uid="{00000000-0005-0000-0000-0000CA100000}"/>
    <cellStyle name="요약 3 2" xfId="2885" xr:uid="{00000000-0005-0000-0000-0000CB100000}"/>
    <cellStyle name="요약 3 3" xfId="357" xr:uid="{00000000-0005-0000-0000-0000CC100000}"/>
    <cellStyle name="요약 3 4" xfId="2788" xr:uid="{00000000-0005-0000-0000-0000CD100000}"/>
    <cellStyle name="요약 3 5" xfId="3369" xr:uid="{00000000-0005-0000-0000-0000CE100000}"/>
    <cellStyle name="요약 3 6" xfId="273" xr:uid="{00000000-0005-0000-0000-0000CF100000}"/>
    <cellStyle name="요약 3 7" xfId="2550" xr:uid="{00000000-0005-0000-0000-0000D0100000}"/>
    <cellStyle name="요약 3 8" xfId="3796" xr:uid="{00000000-0005-0000-0000-0000D1100000}"/>
    <cellStyle name="요약 3 9" xfId="3980" xr:uid="{00000000-0005-0000-0000-0000D2100000}"/>
    <cellStyle name="요약 30" xfId="49437" xr:uid="{00000000-0005-0000-0000-0000D3100000}"/>
    <cellStyle name="요약 31" xfId="49438" xr:uid="{00000000-0005-0000-0000-0000D4100000}"/>
    <cellStyle name="요약 32" xfId="49439" xr:uid="{00000000-0005-0000-0000-0000D5100000}"/>
    <cellStyle name="요약 33" xfId="49440" xr:uid="{00000000-0005-0000-0000-0000D6100000}"/>
    <cellStyle name="요약 4" xfId="3622" xr:uid="{00000000-0005-0000-0000-0000D7100000}"/>
    <cellStyle name="요약 4 10" xfId="2815" xr:uid="{00000000-0005-0000-0000-0000D8100000}"/>
    <cellStyle name="요약 4 11" xfId="3860" xr:uid="{00000000-0005-0000-0000-0000D9100000}"/>
    <cellStyle name="요약 4 2" xfId="4108" xr:uid="{00000000-0005-0000-0000-0000DA100000}"/>
    <cellStyle name="요약 4 3" xfId="4233" xr:uid="{00000000-0005-0000-0000-0000DB100000}"/>
    <cellStyle name="요약 4 4" xfId="2837" xr:uid="{00000000-0005-0000-0000-0000DC100000}"/>
    <cellStyle name="요약 4 5" xfId="3139" xr:uid="{00000000-0005-0000-0000-0000DD100000}"/>
    <cellStyle name="요약 4 6" xfId="3579" xr:uid="{00000000-0005-0000-0000-0000DE100000}"/>
    <cellStyle name="요약 4 7" xfId="2856" xr:uid="{00000000-0005-0000-0000-0000DF100000}"/>
    <cellStyle name="요약 4 8" xfId="2852" xr:uid="{00000000-0005-0000-0000-0000E0100000}"/>
    <cellStyle name="요약 4 9" xfId="4070" xr:uid="{00000000-0005-0000-0000-0000E1100000}"/>
    <cellStyle name="요약 5" xfId="3118" xr:uid="{00000000-0005-0000-0000-0000E2100000}"/>
    <cellStyle name="요약 5 2" xfId="315" xr:uid="{00000000-0005-0000-0000-0000E3100000}"/>
    <cellStyle name="요약 5 3" xfId="2872" xr:uid="{00000000-0005-0000-0000-0000E4100000}"/>
    <cellStyle name="요약 5 4" xfId="3347" xr:uid="{00000000-0005-0000-0000-0000E5100000}"/>
    <cellStyle name="요약 5 5" xfId="2421" xr:uid="{00000000-0005-0000-0000-0000E6100000}"/>
    <cellStyle name="요약 6" xfId="3831" xr:uid="{00000000-0005-0000-0000-0000E7100000}"/>
    <cellStyle name="요약 6 2" xfId="2566" xr:uid="{00000000-0005-0000-0000-0000E8100000}"/>
    <cellStyle name="요약 6 3" xfId="2861" xr:uid="{00000000-0005-0000-0000-0000E9100000}"/>
    <cellStyle name="요약 6 4" xfId="287" xr:uid="{00000000-0005-0000-0000-0000EA100000}"/>
    <cellStyle name="요약 6 5" xfId="306" xr:uid="{00000000-0005-0000-0000-0000EB100000}"/>
    <cellStyle name="요약 7" xfId="3691" xr:uid="{00000000-0005-0000-0000-0000EC100000}"/>
    <cellStyle name="요약 7 2" xfId="3194" xr:uid="{00000000-0005-0000-0000-0000ED100000}"/>
    <cellStyle name="요약 8" xfId="2942" xr:uid="{00000000-0005-0000-0000-0000EE100000}"/>
    <cellStyle name="요약 8 2" xfId="2493" xr:uid="{00000000-0005-0000-0000-0000EF100000}"/>
    <cellStyle name="요약 9" xfId="6415" xr:uid="{00000000-0005-0000-0000-0000F0100000}"/>
    <cellStyle name="입력 10" xfId="6445" xr:uid="{00000000-0005-0000-0000-0000F1100000}"/>
    <cellStyle name="입력 11" xfId="6339" xr:uid="{00000000-0005-0000-0000-0000F2100000}"/>
    <cellStyle name="입력 12" xfId="6452" xr:uid="{00000000-0005-0000-0000-0000F3100000}"/>
    <cellStyle name="입력 13" xfId="49441" xr:uid="{00000000-0005-0000-0000-0000F4100000}"/>
    <cellStyle name="입력 14" xfId="49442" xr:uid="{00000000-0005-0000-0000-0000F5100000}"/>
    <cellStyle name="입력 15" xfId="49443" xr:uid="{00000000-0005-0000-0000-0000F6100000}"/>
    <cellStyle name="입력 16" xfId="49444" xr:uid="{00000000-0005-0000-0000-0000F7100000}"/>
    <cellStyle name="입력 17" xfId="49445" xr:uid="{00000000-0005-0000-0000-0000F8100000}"/>
    <cellStyle name="입력 18" xfId="49446" xr:uid="{00000000-0005-0000-0000-0000F9100000}"/>
    <cellStyle name="입력 19" xfId="49447" xr:uid="{00000000-0005-0000-0000-0000FA100000}"/>
    <cellStyle name="입력 2" xfId="260" xr:uid="{00000000-0005-0000-0000-0000FB100000}"/>
    <cellStyle name="입력 2 10" xfId="5454" xr:uid="{00000000-0005-0000-0000-0000FC100000}"/>
    <cellStyle name="입력 2 10 2" xfId="5455" xr:uid="{00000000-0005-0000-0000-0000FD100000}"/>
    <cellStyle name="입력 2 11" xfId="5456" xr:uid="{00000000-0005-0000-0000-0000FE100000}"/>
    <cellStyle name="입력 2 11 2" xfId="5457" xr:uid="{00000000-0005-0000-0000-0000FF100000}"/>
    <cellStyle name="입력 2 12" xfId="5458" xr:uid="{00000000-0005-0000-0000-000000110000}"/>
    <cellStyle name="입력 2 12 2" xfId="5459" xr:uid="{00000000-0005-0000-0000-000001110000}"/>
    <cellStyle name="입력 2 13" xfId="5460" xr:uid="{00000000-0005-0000-0000-000002110000}"/>
    <cellStyle name="입력 2 13 2" xfId="5461" xr:uid="{00000000-0005-0000-0000-000003110000}"/>
    <cellStyle name="입력 2 14" xfId="5462" xr:uid="{00000000-0005-0000-0000-000004110000}"/>
    <cellStyle name="입력 2 14 2" xfId="5463" xr:uid="{00000000-0005-0000-0000-000005110000}"/>
    <cellStyle name="입력 2 15" xfId="5464" xr:uid="{00000000-0005-0000-0000-000006110000}"/>
    <cellStyle name="입력 2 15 2" xfId="5465" xr:uid="{00000000-0005-0000-0000-000007110000}"/>
    <cellStyle name="입력 2 16" xfId="5466" xr:uid="{00000000-0005-0000-0000-000008110000}"/>
    <cellStyle name="입력 2 16 2" xfId="5467" xr:uid="{00000000-0005-0000-0000-000009110000}"/>
    <cellStyle name="입력 2 17" xfId="5468" xr:uid="{00000000-0005-0000-0000-00000A110000}"/>
    <cellStyle name="입력 2 17 2" xfId="5469" xr:uid="{00000000-0005-0000-0000-00000B110000}"/>
    <cellStyle name="입력 2 18" xfId="5470" xr:uid="{00000000-0005-0000-0000-00000C110000}"/>
    <cellStyle name="입력 2 18 2" xfId="5471" xr:uid="{00000000-0005-0000-0000-00000D110000}"/>
    <cellStyle name="입력 2 19" xfId="5472" xr:uid="{00000000-0005-0000-0000-00000E110000}"/>
    <cellStyle name="입력 2 19 2" xfId="5473" xr:uid="{00000000-0005-0000-0000-00000F110000}"/>
    <cellStyle name="입력 2 2" xfId="5453" xr:uid="{00000000-0005-0000-0000-000010110000}"/>
    <cellStyle name="입력 2 2 10" xfId="5474" xr:uid="{00000000-0005-0000-0000-000011110000}"/>
    <cellStyle name="입력 2 2 10 2" xfId="5475" xr:uid="{00000000-0005-0000-0000-000012110000}"/>
    <cellStyle name="입력 2 2 11" xfId="5476" xr:uid="{00000000-0005-0000-0000-000013110000}"/>
    <cellStyle name="입력 2 2 11 2" xfId="5477" xr:uid="{00000000-0005-0000-0000-000014110000}"/>
    <cellStyle name="입력 2 2 12" xfId="5478" xr:uid="{00000000-0005-0000-0000-000015110000}"/>
    <cellStyle name="입력 2 2 12 2" xfId="5479" xr:uid="{00000000-0005-0000-0000-000016110000}"/>
    <cellStyle name="입력 2 2 13" xfId="5480" xr:uid="{00000000-0005-0000-0000-000017110000}"/>
    <cellStyle name="입력 2 2 13 2" xfId="5481" xr:uid="{00000000-0005-0000-0000-000018110000}"/>
    <cellStyle name="입력 2 2 14" xfId="5482" xr:uid="{00000000-0005-0000-0000-000019110000}"/>
    <cellStyle name="입력 2 2 14 2" xfId="5483" xr:uid="{00000000-0005-0000-0000-00001A110000}"/>
    <cellStyle name="입력 2 2 15" xfId="5484" xr:uid="{00000000-0005-0000-0000-00001B110000}"/>
    <cellStyle name="입력 2 2 15 2" xfId="5485" xr:uid="{00000000-0005-0000-0000-00001C110000}"/>
    <cellStyle name="입력 2 2 16" xfId="5486" xr:uid="{00000000-0005-0000-0000-00001D110000}"/>
    <cellStyle name="입력 2 2 16 2" xfId="5487" xr:uid="{00000000-0005-0000-0000-00001E110000}"/>
    <cellStyle name="입력 2 2 17" xfId="5488" xr:uid="{00000000-0005-0000-0000-00001F110000}"/>
    <cellStyle name="입력 2 2 17 2" xfId="5489" xr:uid="{00000000-0005-0000-0000-000020110000}"/>
    <cellStyle name="입력 2 2 18" xfId="5490" xr:uid="{00000000-0005-0000-0000-000021110000}"/>
    <cellStyle name="입력 2 2 18 2" xfId="5491" xr:uid="{00000000-0005-0000-0000-000022110000}"/>
    <cellStyle name="입력 2 2 19" xfId="5492" xr:uid="{00000000-0005-0000-0000-000023110000}"/>
    <cellStyle name="입력 2 2 19 2" xfId="5493" xr:uid="{00000000-0005-0000-0000-000024110000}"/>
    <cellStyle name="입력 2 2 2" xfId="5494" xr:uid="{00000000-0005-0000-0000-000025110000}"/>
    <cellStyle name="입력 2 2 2 10" xfId="5495" xr:uid="{00000000-0005-0000-0000-000026110000}"/>
    <cellStyle name="입력 2 2 2 10 2" xfId="5496" xr:uid="{00000000-0005-0000-0000-000027110000}"/>
    <cellStyle name="입력 2 2 2 11" xfId="5497" xr:uid="{00000000-0005-0000-0000-000028110000}"/>
    <cellStyle name="입력 2 2 2 11 2" xfId="5498" xr:uid="{00000000-0005-0000-0000-000029110000}"/>
    <cellStyle name="입력 2 2 2 12" xfId="5499" xr:uid="{00000000-0005-0000-0000-00002A110000}"/>
    <cellStyle name="입력 2 2 2 12 2" xfId="5500" xr:uid="{00000000-0005-0000-0000-00002B110000}"/>
    <cellStyle name="입력 2 2 2 13" xfId="5501" xr:uid="{00000000-0005-0000-0000-00002C110000}"/>
    <cellStyle name="입력 2 2 2 13 2" xfId="5502" xr:uid="{00000000-0005-0000-0000-00002D110000}"/>
    <cellStyle name="입력 2 2 2 14" xfId="5503" xr:uid="{00000000-0005-0000-0000-00002E110000}"/>
    <cellStyle name="입력 2 2 2 14 2" xfId="5504" xr:uid="{00000000-0005-0000-0000-00002F110000}"/>
    <cellStyle name="입력 2 2 2 15" xfId="5505" xr:uid="{00000000-0005-0000-0000-000030110000}"/>
    <cellStyle name="입력 2 2 2 15 2" xfId="5506" xr:uid="{00000000-0005-0000-0000-000031110000}"/>
    <cellStyle name="입력 2 2 2 16" xfId="5507" xr:uid="{00000000-0005-0000-0000-000032110000}"/>
    <cellStyle name="입력 2 2 2 16 2" xfId="5508" xr:uid="{00000000-0005-0000-0000-000033110000}"/>
    <cellStyle name="입력 2 2 2 17" xfId="5509" xr:uid="{00000000-0005-0000-0000-000034110000}"/>
    <cellStyle name="입력 2 2 2 17 2" xfId="5510" xr:uid="{00000000-0005-0000-0000-000035110000}"/>
    <cellStyle name="입력 2 2 2 18" xfId="5511" xr:uid="{00000000-0005-0000-0000-000036110000}"/>
    <cellStyle name="입력 2 2 2 18 2" xfId="5512" xr:uid="{00000000-0005-0000-0000-000037110000}"/>
    <cellStyle name="입력 2 2 2 19" xfId="5513" xr:uid="{00000000-0005-0000-0000-000038110000}"/>
    <cellStyle name="입력 2 2 2 19 2" xfId="5514" xr:uid="{00000000-0005-0000-0000-000039110000}"/>
    <cellStyle name="입력 2 2 2 2" xfId="5515" xr:uid="{00000000-0005-0000-0000-00003A110000}"/>
    <cellStyle name="입력 2 2 2 2 10" xfId="5516" xr:uid="{00000000-0005-0000-0000-00003B110000}"/>
    <cellStyle name="입력 2 2 2 2 10 2" xfId="5517" xr:uid="{00000000-0005-0000-0000-00003C110000}"/>
    <cellStyle name="입력 2 2 2 2 11" xfId="5518" xr:uid="{00000000-0005-0000-0000-00003D110000}"/>
    <cellStyle name="입력 2 2 2 2 11 2" xfId="5519" xr:uid="{00000000-0005-0000-0000-00003E110000}"/>
    <cellStyle name="입력 2 2 2 2 12" xfId="5520" xr:uid="{00000000-0005-0000-0000-00003F110000}"/>
    <cellStyle name="입력 2 2 2 2 12 2" xfId="5521" xr:uid="{00000000-0005-0000-0000-000040110000}"/>
    <cellStyle name="입력 2 2 2 2 13" xfId="5522" xr:uid="{00000000-0005-0000-0000-000041110000}"/>
    <cellStyle name="입력 2 2 2 2 13 2" xfId="5523" xr:uid="{00000000-0005-0000-0000-000042110000}"/>
    <cellStyle name="입력 2 2 2 2 14" xfId="5524" xr:uid="{00000000-0005-0000-0000-000043110000}"/>
    <cellStyle name="입력 2 2 2 2 14 2" xfId="5525" xr:uid="{00000000-0005-0000-0000-000044110000}"/>
    <cellStyle name="입력 2 2 2 2 15" xfId="5526" xr:uid="{00000000-0005-0000-0000-000045110000}"/>
    <cellStyle name="입력 2 2 2 2 15 2" xfId="5527" xr:uid="{00000000-0005-0000-0000-000046110000}"/>
    <cellStyle name="입력 2 2 2 2 16" xfId="5528" xr:uid="{00000000-0005-0000-0000-000047110000}"/>
    <cellStyle name="입력 2 2 2 2 16 2" xfId="5529" xr:uid="{00000000-0005-0000-0000-000048110000}"/>
    <cellStyle name="입력 2 2 2 2 17" xfId="5530" xr:uid="{00000000-0005-0000-0000-000049110000}"/>
    <cellStyle name="입력 2 2 2 2 17 2" xfId="5531" xr:uid="{00000000-0005-0000-0000-00004A110000}"/>
    <cellStyle name="입력 2 2 2 2 18" xfId="5532" xr:uid="{00000000-0005-0000-0000-00004B110000}"/>
    <cellStyle name="입력 2 2 2 2 18 2" xfId="5533" xr:uid="{00000000-0005-0000-0000-00004C110000}"/>
    <cellStyle name="입력 2 2 2 2 19" xfId="5534" xr:uid="{00000000-0005-0000-0000-00004D110000}"/>
    <cellStyle name="입력 2 2 2 2 19 2" xfId="5535" xr:uid="{00000000-0005-0000-0000-00004E110000}"/>
    <cellStyle name="입력 2 2 2 2 2" xfId="5536" xr:uid="{00000000-0005-0000-0000-00004F110000}"/>
    <cellStyle name="입력 2 2 2 2 2 2" xfId="5537" xr:uid="{00000000-0005-0000-0000-000050110000}"/>
    <cellStyle name="입력 2 2 2 2 20" xfId="5538" xr:uid="{00000000-0005-0000-0000-000051110000}"/>
    <cellStyle name="입력 2 2 2 2 3" xfId="5539" xr:uid="{00000000-0005-0000-0000-000052110000}"/>
    <cellStyle name="입력 2 2 2 2 3 2" xfId="5540" xr:uid="{00000000-0005-0000-0000-000053110000}"/>
    <cellStyle name="입력 2 2 2 2 4" xfId="5541" xr:uid="{00000000-0005-0000-0000-000054110000}"/>
    <cellStyle name="입력 2 2 2 2 4 2" xfId="5542" xr:uid="{00000000-0005-0000-0000-000055110000}"/>
    <cellStyle name="입력 2 2 2 2 5" xfId="5543" xr:uid="{00000000-0005-0000-0000-000056110000}"/>
    <cellStyle name="입력 2 2 2 2 5 2" xfId="5544" xr:uid="{00000000-0005-0000-0000-000057110000}"/>
    <cellStyle name="입력 2 2 2 2 6" xfId="5545" xr:uid="{00000000-0005-0000-0000-000058110000}"/>
    <cellStyle name="입력 2 2 2 2 6 2" xfId="5546" xr:uid="{00000000-0005-0000-0000-000059110000}"/>
    <cellStyle name="입력 2 2 2 2 7" xfId="5547" xr:uid="{00000000-0005-0000-0000-00005A110000}"/>
    <cellStyle name="입력 2 2 2 2 7 2" xfId="5548" xr:uid="{00000000-0005-0000-0000-00005B110000}"/>
    <cellStyle name="입력 2 2 2 2 8" xfId="5549" xr:uid="{00000000-0005-0000-0000-00005C110000}"/>
    <cellStyle name="입력 2 2 2 2 8 2" xfId="5550" xr:uid="{00000000-0005-0000-0000-00005D110000}"/>
    <cellStyle name="입력 2 2 2 2 9" xfId="5551" xr:uid="{00000000-0005-0000-0000-00005E110000}"/>
    <cellStyle name="입력 2 2 2 2 9 2" xfId="5552" xr:uid="{00000000-0005-0000-0000-00005F110000}"/>
    <cellStyle name="입력 2 2 2 20" xfId="5553" xr:uid="{00000000-0005-0000-0000-000060110000}"/>
    <cellStyle name="입력 2 2 2 20 2" xfId="5554" xr:uid="{00000000-0005-0000-0000-000061110000}"/>
    <cellStyle name="입력 2 2 2 21" xfId="5555" xr:uid="{00000000-0005-0000-0000-000062110000}"/>
    <cellStyle name="입력 2 2 2 3" xfId="5556" xr:uid="{00000000-0005-0000-0000-000063110000}"/>
    <cellStyle name="입력 2 2 2 3 2" xfId="5557" xr:uid="{00000000-0005-0000-0000-000064110000}"/>
    <cellStyle name="입력 2 2 2 4" xfId="5558" xr:uid="{00000000-0005-0000-0000-000065110000}"/>
    <cellStyle name="입력 2 2 2 4 2" xfId="5559" xr:uid="{00000000-0005-0000-0000-000066110000}"/>
    <cellStyle name="입력 2 2 2 5" xfId="5560" xr:uid="{00000000-0005-0000-0000-000067110000}"/>
    <cellStyle name="입력 2 2 2 5 2" xfId="5561" xr:uid="{00000000-0005-0000-0000-000068110000}"/>
    <cellStyle name="입력 2 2 2 6" xfId="5562" xr:uid="{00000000-0005-0000-0000-000069110000}"/>
    <cellStyle name="입력 2 2 2 6 2" xfId="5563" xr:uid="{00000000-0005-0000-0000-00006A110000}"/>
    <cellStyle name="입력 2 2 2 7" xfId="5564" xr:uid="{00000000-0005-0000-0000-00006B110000}"/>
    <cellStyle name="입력 2 2 2 7 2" xfId="5565" xr:uid="{00000000-0005-0000-0000-00006C110000}"/>
    <cellStyle name="입력 2 2 2 8" xfId="5566" xr:uid="{00000000-0005-0000-0000-00006D110000}"/>
    <cellStyle name="입력 2 2 2 8 2" xfId="5567" xr:uid="{00000000-0005-0000-0000-00006E110000}"/>
    <cellStyle name="입력 2 2 2 9" xfId="5568" xr:uid="{00000000-0005-0000-0000-00006F110000}"/>
    <cellStyle name="입력 2 2 2 9 2" xfId="5569" xr:uid="{00000000-0005-0000-0000-000070110000}"/>
    <cellStyle name="입력 2 2 20" xfId="5570" xr:uid="{00000000-0005-0000-0000-000071110000}"/>
    <cellStyle name="입력 2 2 20 2" xfId="5571" xr:uid="{00000000-0005-0000-0000-000072110000}"/>
    <cellStyle name="입력 2 2 21" xfId="5572" xr:uid="{00000000-0005-0000-0000-000073110000}"/>
    <cellStyle name="입력 2 2 21 2" xfId="5573" xr:uid="{00000000-0005-0000-0000-000074110000}"/>
    <cellStyle name="입력 2 2 22" xfId="5574" xr:uid="{00000000-0005-0000-0000-000075110000}"/>
    <cellStyle name="입력 2 2 22 2" xfId="5575" xr:uid="{00000000-0005-0000-0000-000076110000}"/>
    <cellStyle name="입력 2 2 23" xfId="5576" xr:uid="{00000000-0005-0000-0000-000077110000}"/>
    <cellStyle name="입력 2 2 23 2" xfId="5577" xr:uid="{00000000-0005-0000-0000-000078110000}"/>
    <cellStyle name="입력 2 2 24" xfId="5578" xr:uid="{00000000-0005-0000-0000-000079110000}"/>
    <cellStyle name="입력 2 2 3" xfId="5579" xr:uid="{00000000-0005-0000-0000-00007A110000}"/>
    <cellStyle name="입력 2 2 3 10" xfId="5580" xr:uid="{00000000-0005-0000-0000-00007B110000}"/>
    <cellStyle name="입력 2 2 3 10 2" xfId="5581" xr:uid="{00000000-0005-0000-0000-00007C110000}"/>
    <cellStyle name="입력 2 2 3 11" xfId="5582" xr:uid="{00000000-0005-0000-0000-00007D110000}"/>
    <cellStyle name="입력 2 2 3 11 2" xfId="5583" xr:uid="{00000000-0005-0000-0000-00007E110000}"/>
    <cellStyle name="입력 2 2 3 12" xfId="5584" xr:uid="{00000000-0005-0000-0000-00007F110000}"/>
    <cellStyle name="입력 2 2 3 12 2" xfId="5585" xr:uid="{00000000-0005-0000-0000-000080110000}"/>
    <cellStyle name="입력 2 2 3 13" xfId="5586" xr:uid="{00000000-0005-0000-0000-000081110000}"/>
    <cellStyle name="입력 2 2 3 13 2" xfId="5587" xr:uid="{00000000-0005-0000-0000-000082110000}"/>
    <cellStyle name="입력 2 2 3 14" xfId="5588" xr:uid="{00000000-0005-0000-0000-000083110000}"/>
    <cellStyle name="입력 2 2 3 14 2" xfId="5589" xr:uid="{00000000-0005-0000-0000-000084110000}"/>
    <cellStyle name="입력 2 2 3 15" xfId="5590" xr:uid="{00000000-0005-0000-0000-000085110000}"/>
    <cellStyle name="입력 2 2 3 15 2" xfId="5591" xr:uid="{00000000-0005-0000-0000-000086110000}"/>
    <cellStyle name="입력 2 2 3 16" xfId="5592" xr:uid="{00000000-0005-0000-0000-000087110000}"/>
    <cellStyle name="입력 2 2 3 16 2" xfId="5593" xr:uid="{00000000-0005-0000-0000-000088110000}"/>
    <cellStyle name="입력 2 2 3 17" xfId="5594" xr:uid="{00000000-0005-0000-0000-000089110000}"/>
    <cellStyle name="입력 2 2 3 17 2" xfId="5595" xr:uid="{00000000-0005-0000-0000-00008A110000}"/>
    <cellStyle name="입력 2 2 3 18" xfId="5596" xr:uid="{00000000-0005-0000-0000-00008B110000}"/>
    <cellStyle name="입력 2 2 3 18 2" xfId="5597" xr:uid="{00000000-0005-0000-0000-00008C110000}"/>
    <cellStyle name="입력 2 2 3 19" xfId="5598" xr:uid="{00000000-0005-0000-0000-00008D110000}"/>
    <cellStyle name="입력 2 2 3 19 2" xfId="5599" xr:uid="{00000000-0005-0000-0000-00008E110000}"/>
    <cellStyle name="입력 2 2 3 2" xfId="5600" xr:uid="{00000000-0005-0000-0000-00008F110000}"/>
    <cellStyle name="입력 2 2 3 2 10" xfId="5601" xr:uid="{00000000-0005-0000-0000-000090110000}"/>
    <cellStyle name="입력 2 2 3 2 10 2" xfId="5602" xr:uid="{00000000-0005-0000-0000-000091110000}"/>
    <cellStyle name="입력 2 2 3 2 11" xfId="5603" xr:uid="{00000000-0005-0000-0000-000092110000}"/>
    <cellStyle name="입력 2 2 3 2 11 2" xfId="5604" xr:uid="{00000000-0005-0000-0000-000093110000}"/>
    <cellStyle name="입력 2 2 3 2 12" xfId="5605" xr:uid="{00000000-0005-0000-0000-000094110000}"/>
    <cellStyle name="입력 2 2 3 2 12 2" xfId="5606" xr:uid="{00000000-0005-0000-0000-000095110000}"/>
    <cellStyle name="입력 2 2 3 2 13" xfId="5607" xr:uid="{00000000-0005-0000-0000-000096110000}"/>
    <cellStyle name="입력 2 2 3 2 13 2" xfId="5608" xr:uid="{00000000-0005-0000-0000-000097110000}"/>
    <cellStyle name="입력 2 2 3 2 14" xfId="5609" xr:uid="{00000000-0005-0000-0000-000098110000}"/>
    <cellStyle name="입력 2 2 3 2 14 2" xfId="5610" xr:uid="{00000000-0005-0000-0000-000099110000}"/>
    <cellStyle name="입력 2 2 3 2 15" xfId="5611" xr:uid="{00000000-0005-0000-0000-00009A110000}"/>
    <cellStyle name="입력 2 2 3 2 15 2" xfId="5612" xr:uid="{00000000-0005-0000-0000-00009B110000}"/>
    <cellStyle name="입력 2 2 3 2 16" xfId="5613" xr:uid="{00000000-0005-0000-0000-00009C110000}"/>
    <cellStyle name="입력 2 2 3 2 16 2" xfId="5614" xr:uid="{00000000-0005-0000-0000-00009D110000}"/>
    <cellStyle name="입력 2 2 3 2 17" xfId="5615" xr:uid="{00000000-0005-0000-0000-00009E110000}"/>
    <cellStyle name="입력 2 2 3 2 17 2" xfId="5616" xr:uid="{00000000-0005-0000-0000-00009F110000}"/>
    <cellStyle name="입력 2 2 3 2 18" xfId="5617" xr:uid="{00000000-0005-0000-0000-0000A0110000}"/>
    <cellStyle name="입력 2 2 3 2 18 2" xfId="5618" xr:uid="{00000000-0005-0000-0000-0000A1110000}"/>
    <cellStyle name="입력 2 2 3 2 19" xfId="5619" xr:uid="{00000000-0005-0000-0000-0000A2110000}"/>
    <cellStyle name="입력 2 2 3 2 19 2" xfId="5620" xr:uid="{00000000-0005-0000-0000-0000A3110000}"/>
    <cellStyle name="입력 2 2 3 2 2" xfId="5621" xr:uid="{00000000-0005-0000-0000-0000A4110000}"/>
    <cellStyle name="입력 2 2 3 2 2 2" xfId="5622" xr:uid="{00000000-0005-0000-0000-0000A5110000}"/>
    <cellStyle name="입력 2 2 3 2 20" xfId="5623" xr:uid="{00000000-0005-0000-0000-0000A6110000}"/>
    <cellStyle name="입력 2 2 3 2 3" xfId="5624" xr:uid="{00000000-0005-0000-0000-0000A7110000}"/>
    <cellStyle name="입력 2 2 3 2 3 2" xfId="5625" xr:uid="{00000000-0005-0000-0000-0000A8110000}"/>
    <cellStyle name="입력 2 2 3 2 4" xfId="5626" xr:uid="{00000000-0005-0000-0000-0000A9110000}"/>
    <cellStyle name="입력 2 2 3 2 4 2" xfId="5627" xr:uid="{00000000-0005-0000-0000-0000AA110000}"/>
    <cellStyle name="입력 2 2 3 2 5" xfId="5628" xr:uid="{00000000-0005-0000-0000-0000AB110000}"/>
    <cellStyle name="입력 2 2 3 2 5 2" xfId="5629" xr:uid="{00000000-0005-0000-0000-0000AC110000}"/>
    <cellStyle name="입력 2 2 3 2 6" xfId="5630" xr:uid="{00000000-0005-0000-0000-0000AD110000}"/>
    <cellStyle name="입력 2 2 3 2 6 2" xfId="5631" xr:uid="{00000000-0005-0000-0000-0000AE110000}"/>
    <cellStyle name="입력 2 2 3 2 7" xfId="5632" xr:uid="{00000000-0005-0000-0000-0000AF110000}"/>
    <cellStyle name="입력 2 2 3 2 7 2" xfId="5633" xr:uid="{00000000-0005-0000-0000-0000B0110000}"/>
    <cellStyle name="입력 2 2 3 2 8" xfId="5634" xr:uid="{00000000-0005-0000-0000-0000B1110000}"/>
    <cellStyle name="입력 2 2 3 2 8 2" xfId="5635" xr:uid="{00000000-0005-0000-0000-0000B2110000}"/>
    <cellStyle name="입력 2 2 3 2 9" xfId="5636" xr:uid="{00000000-0005-0000-0000-0000B3110000}"/>
    <cellStyle name="입력 2 2 3 2 9 2" xfId="5637" xr:uid="{00000000-0005-0000-0000-0000B4110000}"/>
    <cellStyle name="입력 2 2 3 20" xfId="5638" xr:uid="{00000000-0005-0000-0000-0000B5110000}"/>
    <cellStyle name="입력 2 2 3 20 2" xfId="5639" xr:uid="{00000000-0005-0000-0000-0000B6110000}"/>
    <cellStyle name="입력 2 2 3 21" xfId="5640" xr:uid="{00000000-0005-0000-0000-0000B7110000}"/>
    <cellStyle name="입력 2 2 3 3" xfId="5641" xr:uid="{00000000-0005-0000-0000-0000B8110000}"/>
    <cellStyle name="입력 2 2 3 3 2" xfId="5642" xr:uid="{00000000-0005-0000-0000-0000B9110000}"/>
    <cellStyle name="입력 2 2 3 4" xfId="5643" xr:uid="{00000000-0005-0000-0000-0000BA110000}"/>
    <cellStyle name="입력 2 2 3 4 2" xfId="5644" xr:uid="{00000000-0005-0000-0000-0000BB110000}"/>
    <cellStyle name="입력 2 2 3 5" xfId="5645" xr:uid="{00000000-0005-0000-0000-0000BC110000}"/>
    <cellStyle name="입력 2 2 3 5 2" xfId="5646" xr:uid="{00000000-0005-0000-0000-0000BD110000}"/>
    <cellStyle name="입력 2 2 3 6" xfId="5647" xr:uid="{00000000-0005-0000-0000-0000BE110000}"/>
    <cellStyle name="입력 2 2 3 6 2" xfId="5648" xr:uid="{00000000-0005-0000-0000-0000BF110000}"/>
    <cellStyle name="입력 2 2 3 7" xfId="5649" xr:uid="{00000000-0005-0000-0000-0000C0110000}"/>
    <cellStyle name="입력 2 2 3 7 2" xfId="5650" xr:uid="{00000000-0005-0000-0000-0000C1110000}"/>
    <cellStyle name="입력 2 2 3 8" xfId="5651" xr:uid="{00000000-0005-0000-0000-0000C2110000}"/>
    <cellStyle name="입력 2 2 3 8 2" xfId="5652" xr:uid="{00000000-0005-0000-0000-0000C3110000}"/>
    <cellStyle name="입력 2 2 3 9" xfId="5653" xr:uid="{00000000-0005-0000-0000-0000C4110000}"/>
    <cellStyle name="입력 2 2 3 9 2" xfId="5654" xr:uid="{00000000-0005-0000-0000-0000C5110000}"/>
    <cellStyle name="입력 2 2 4" xfId="5655" xr:uid="{00000000-0005-0000-0000-0000C6110000}"/>
    <cellStyle name="입력 2 2 4 10" xfId="5656" xr:uid="{00000000-0005-0000-0000-0000C7110000}"/>
    <cellStyle name="입력 2 2 4 10 2" xfId="5657" xr:uid="{00000000-0005-0000-0000-0000C8110000}"/>
    <cellStyle name="입력 2 2 4 11" xfId="5658" xr:uid="{00000000-0005-0000-0000-0000C9110000}"/>
    <cellStyle name="입력 2 2 4 11 2" xfId="5659" xr:uid="{00000000-0005-0000-0000-0000CA110000}"/>
    <cellStyle name="입력 2 2 4 12" xfId="5660" xr:uid="{00000000-0005-0000-0000-0000CB110000}"/>
    <cellStyle name="입력 2 2 4 12 2" xfId="5661" xr:uid="{00000000-0005-0000-0000-0000CC110000}"/>
    <cellStyle name="입력 2 2 4 13" xfId="5662" xr:uid="{00000000-0005-0000-0000-0000CD110000}"/>
    <cellStyle name="입력 2 2 4 13 2" xfId="5663" xr:uid="{00000000-0005-0000-0000-0000CE110000}"/>
    <cellStyle name="입력 2 2 4 14" xfId="5664" xr:uid="{00000000-0005-0000-0000-0000CF110000}"/>
    <cellStyle name="입력 2 2 4 14 2" xfId="5665" xr:uid="{00000000-0005-0000-0000-0000D0110000}"/>
    <cellStyle name="입력 2 2 4 15" xfId="5666" xr:uid="{00000000-0005-0000-0000-0000D1110000}"/>
    <cellStyle name="입력 2 2 4 15 2" xfId="5667" xr:uid="{00000000-0005-0000-0000-0000D2110000}"/>
    <cellStyle name="입력 2 2 4 16" xfId="5668" xr:uid="{00000000-0005-0000-0000-0000D3110000}"/>
    <cellStyle name="입력 2 2 4 16 2" xfId="5669" xr:uid="{00000000-0005-0000-0000-0000D4110000}"/>
    <cellStyle name="입력 2 2 4 17" xfId="5670" xr:uid="{00000000-0005-0000-0000-0000D5110000}"/>
    <cellStyle name="입력 2 2 4 17 2" xfId="5671" xr:uid="{00000000-0005-0000-0000-0000D6110000}"/>
    <cellStyle name="입력 2 2 4 18" xfId="5672" xr:uid="{00000000-0005-0000-0000-0000D7110000}"/>
    <cellStyle name="입력 2 2 4 18 2" xfId="5673" xr:uid="{00000000-0005-0000-0000-0000D8110000}"/>
    <cellStyle name="입력 2 2 4 19" xfId="5674" xr:uid="{00000000-0005-0000-0000-0000D9110000}"/>
    <cellStyle name="입력 2 2 4 19 2" xfId="5675" xr:uid="{00000000-0005-0000-0000-0000DA110000}"/>
    <cellStyle name="입력 2 2 4 2" xfId="5676" xr:uid="{00000000-0005-0000-0000-0000DB110000}"/>
    <cellStyle name="입력 2 2 4 2 10" xfId="5677" xr:uid="{00000000-0005-0000-0000-0000DC110000}"/>
    <cellStyle name="입력 2 2 4 2 10 2" xfId="5678" xr:uid="{00000000-0005-0000-0000-0000DD110000}"/>
    <cellStyle name="입력 2 2 4 2 11" xfId="5679" xr:uid="{00000000-0005-0000-0000-0000DE110000}"/>
    <cellStyle name="입력 2 2 4 2 11 2" xfId="5680" xr:uid="{00000000-0005-0000-0000-0000DF110000}"/>
    <cellStyle name="입력 2 2 4 2 12" xfId="5681" xr:uid="{00000000-0005-0000-0000-0000E0110000}"/>
    <cellStyle name="입력 2 2 4 2 12 2" xfId="5682" xr:uid="{00000000-0005-0000-0000-0000E1110000}"/>
    <cellStyle name="입력 2 2 4 2 13" xfId="5683" xr:uid="{00000000-0005-0000-0000-0000E2110000}"/>
    <cellStyle name="입력 2 2 4 2 13 2" xfId="5684" xr:uid="{00000000-0005-0000-0000-0000E3110000}"/>
    <cellStyle name="입력 2 2 4 2 14" xfId="5685" xr:uid="{00000000-0005-0000-0000-0000E4110000}"/>
    <cellStyle name="입력 2 2 4 2 14 2" xfId="5686" xr:uid="{00000000-0005-0000-0000-0000E5110000}"/>
    <cellStyle name="입력 2 2 4 2 15" xfId="5687" xr:uid="{00000000-0005-0000-0000-0000E6110000}"/>
    <cellStyle name="입력 2 2 4 2 15 2" xfId="5688" xr:uid="{00000000-0005-0000-0000-0000E7110000}"/>
    <cellStyle name="입력 2 2 4 2 16" xfId="5689" xr:uid="{00000000-0005-0000-0000-0000E8110000}"/>
    <cellStyle name="입력 2 2 4 2 16 2" xfId="5690" xr:uid="{00000000-0005-0000-0000-0000E9110000}"/>
    <cellStyle name="입력 2 2 4 2 17" xfId="5691" xr:uid="{00000000-0005-0000-0000-0000EA110000}"/>
    <cellStyle name="입력 2 2 4 2 17 2" xfId="5692" xr:uid="{00000000-0005-0000-0000-0000EB110000}"/>
    <cellStyle name="입력 2 2 4 2 18" xfId="5693" xr:uid="{00000000-0005-0000-0000-0000EC110000}"/>
    <cellStyle name="입력 2 2 4 2 18 2" xfId="5694" xr:uid="{00000000-0005-0000-0000-0000ED110000}"/>
    <cellStyle name="입력 2 2 4 2 19" xfId="5695" xr:uid="{00000000-0005-0000-0000-0000EE110000}"/>
    <cellStyle name="입력 2 2 4 2 19 2" xfId="5696" xr:uid="{00000000-0005-0000-0000-0000EF110000}"/>
    <cellStyle name="입력 2 2 4 2 2" xfId="5697" xr:uid="{00000000-0005-0000-0000-0000F0110000}"/>
    <cellStyle name="입력 2 2 4 2 2 2" xfId="5698" xr:uid="{00000000-0005-0000-0000-0000F1110000}"/>
    <cellStyle name="입력 2 2 4 2 20" xfId="5699" xr:uid="{00000000-0005-0000-0000-0000F2110000}"/>
    <cellStyle name="입력 2 2 4 2 3" xfId="5700" xr:uid="{00000000-0005-0000-0000-0000F3110000}"/>
    <cellStyle name="입력 2 2 4 2 3 2" xfId="5701" xr:uid="{00000000-0005-0000-0000-0000F4110000}"/>
    <cellStyle name="입력 2 2 4 2 4" xfId="5702" xr:uid="{00000000-0005-0000-0000-0000F5110000}"/>
    <cellStyle name="입력 2 2 4 2 4 2" xfId="5703" xr:uid="{00000000-0005-0000-0000-0000F6110000}"/>
    <cellStyle name="입력 2 2 4 2 5" xfId="5704" xr:uid="{00000000-0005-0000-0000-0000F7110000}"/>
    <cellStyle name="입력 2 2 4 2 5 2" xfId="5705" xr:uid="{00000000-0005-0000-0000-0000F8110000}"/>
    <cellStyle name="입력 2 2 4 2 6" xfId="5706" xr:uid="{00000000-0005-0000-0000-0000F9110000}"/>
    <cellStyle name="입력 2 2 4 2 6 2" xfId="5707" xr:uid="{00000000-0005-0000-0000-0000FA110000}"/>
    <cellStyle name="입력 2 2 4 2 7" xfId="5708" xr:uid="{00000000-0005-0000-0000-0000FB110000}"/>
    <cellStyle name="입력 2 2 4 2 7 2" xfId="5709" xr:uid="{00000000-0005-0000-0000-0000FC110000}"/>
    <cellStyle name="입력 2 2 4 2 8" xfId="5710" xr:uid="{00000000-0005-0000-0000-0000FD110000}"/>
    <cellStyle name="입력 2 2 4 2 8 2" xfId="5711" xr:uid="{00000000-0005-0000-0000-0000FE110000}"/>
    <cellStyle name="입력 2 2 4 2 9" xfId="5712" xr:uid="{00000000-0005-0000-0000-0000FF110000}"/>
    <cellStyle name="입력 2 2 4 2 9 2" xfId="5713" xr:uid="{00000000-0005-0000-0000-000000120000}"/>
    <cellStyle name="입력 2 2 4 20" xfId="5714" xr:uid="{00000000-0005-0000-0000-000001120000}"/>
    <cellStyle name="입력 2 2 4 20 2" xfId="5715" xr:uid="{00000000-0005-0000-0000-000002120000}"/>
    <cellStyle name="입력 2 2 4 21" xfId="5716" xr:uid="{00000000-0005-0000-0000-000003120000}"/>
    <cellStyle name="입력 2 2 4 3" xfId="5717" xr:uid="{00000000-0005-0000-0000-000004120000}"/>
    <cellStyle name="입력 2 2 4 3 2" xfId="5718" xr:uid="{00000000-0005-0000-0000-000005120000}"/>
    <cellStyle name="입력 2 2 4 4" xfId="5719" xr:uid="{00000000-0005-0000-0000-000006120000}"/>
    <cellStyle name="입력 2 2 4 4 2" xfId="5720" xr:uid="{00000000-0005-0000-0000-000007120000}"/>
    <cellStyle name="입력 2 2 4 5" xfId="5721" xr:uid="{00000000-0005-0000-0000-000008120000}"/>
    <cellStyle name="입력 2 2 4 5 2" xfId="5722" xr:uid="{00000000-0005-0000-0000-000009120000}"/>
    <cellStyle name="입력 2 2 4 6" xfId="5723" xr:uid="{00000000-0005-0000-0000-00000A120000}"/>
    <cellStyle name="입력 2 2 4 6 2" xfId="5724" xr:uid="{00000000-0005-0000-0000-00000B120000}"/>
    <cellStyle name="입력 2 2 4 7" xfId="5725" xr:uid="{00000000-0005-0000-0000-00000C120000}"/>
    <cellStyle name="입력 2 2 4 7 2" xfId="5726" xr:uid="{00000000-0005-0000-0000-00000D120000}"/>
    <cellStyle name="입력 2 2 4 8" xfId="5727" xr:uid="{00000000-0005-0000-0000-00000E120000}"/>
    <cellStyle name="입력 2 2 4 8 2" xfId="5728" xr:uid="{00000000-0005-0000-0000-00000F120000}"/>
    <cellStyle name="입력 2 2 4 9" xfId="5729" xr:uid="{00000000-0005-0000-0000-000010120000}"/>
    <cellStyle name="입력 2 2 4 9 2" xfId="5730" xr:uid="{00000000-0005-0000-0000-000011120000}"/>
    <cellStyle name="입력 2 2 5" xfId="5731" xr:uid="{00000000-0005-0000-0000-000012120000}"/>
    <cellStyle name="입력 2 2 5 10" xfId="5732" xr:uid="{00000000-0005-0000-0000-000013120000}"/>
    <cellStyle name="입력 2 2 5 10 2" xfId="5733" xr:uid="{00000000-0005-0000-0000-000014120000}"/>
    <cellStyle name="입력 2 2 5 11" xfId="5734" xr:uid="{00000000-0005-0000-0000-000015120000}"/>
    <cellStyle name="입력 2 2 5 11 2" xfId="5735" xr:uid="{00000000-0005-0000-0000-000016120000}"/>
    <cellStyle name="입력 2 2 5 12" xfId="5736" xr:uid="{00000000-0005-0000-0000-000017120000}"/>
    <cellStyle name="입력 2 2 5 12 2" xfId="5737" xr:uid="{00000000-0005-0000-0000-000018120000}"/>
    <cellStyle name="입력 2 2 5 13" xfId="5738" xr:uid="{00000000-0005-0000-0000-000019120000}"/>
    <cellStyle name="입력 2 2 5 13 2" xfId="5739" xr:uid="{00000000-0005-0000-0000-00001A120000}"/>
    <cellStyle name="입력 2 2 5 14" xfId="5740" xr:uid="{00000000-0005-0000-0000-00001B120000}"/>
    <cellStyle name="입력 2 2 5 14 2" xfId="5741" xr:uid="{00000000-0005-0000-0000-00001C120000}"/>
    <cellStyle name="입력 2 2 5 15" xfId="5742" xr:uid="{00000000-0005-0000-0000-00001D120000}"/>
    <cellStyle name="입력 2 2 5 15 2" xfId="5743" xr:uid="{00000000-0005-0000-0000-00001E120000}"/>
    <cellStyle name="입력 2 2 5 16" xfId="5744" xr:uid="{00000000-0005-0000-0000-00001F120000}"/>
    <cellStyle name="입력 2 2 5 16 2" xfId="5745" xr:uid="{00000000-0005-0000-0000-000020120000}"/>
    <cellStyle name="입력 2 2 5 17" xfId="5746" xr:uid="{00000000-0005-0000-0000-000021120000}"/>
    <cellStyle name="입력 2 2 5 17 2" xfId="5747" xr:uid="{00000000-0005-0000-0000-000022120000}"/>
    <cellStyle name="입력 2 2 5 18" xfId="5748" xr:uid="{00000000-0005-0000-0000-000023120000}"/>
    <cellStyle name="입력 2 2 5 18 2" xfId="5749" xr:uid="{00000000-0005-0000-0000-000024120000}"/>
    <cellStyle name="입력 2 2 5 19" xfId="5750" xr:uid="{00000000-0005-0000-0000-000025120000}"/>
    <cellStyle name="입력 2 2 5 19 2" xfId="5751" xr:uid="{00000000-0005-0000-0000-000026120000}"/>
    <cellStyle name="입력 2 2 5 2" xfId="5752" xr:uid="{00000000-0005-0000-0000-000027120000}"/>
    <cellStyle name="입력 2 2 5 2 2" xfId="5753" xr:uid="{00000000-0005-0000-0000-000028120000}"/>
    <cellStyle name="입력 2 2 5 20" xfId="5754" xr:uid="{00000000-0005-0000-0000-000029120000}"/>
    <cellStyle name="입력 2 2 5 3" xfId="5755" xr:uid="{00000000-0005-0000-0000-00002A120000}"/>
    <cellStyle name="입력 2 2 5 3 2" xfId="5756" xr:uid="{00000000-0005-0000-0000-00002B120000}"/>
    <cellStyle name="입력 2 2 5 4" xfId="5757" xr:uid="{00000000-0005-0000-0000-00002C120000}"/>
    <cellStyle name="입력 2 2 5 4 2" xfId="5758" xr:uid="{00000000-0005-0000-0000-00002D120000}"/>
    <cellStyle name="입력 2 2 5 5" xfId="5759" xr:uid="{00000000-0005-0000-0000-00002E120000}"/>
    <cellStyle name="입력 2 2 5 5 2" xfId="5760" xr:uid="{00000000-0005-0000-0000-00002F120000}"/>
    <cellStyle name="입력 2 2 5 6" xfId="5761" xr:uid="{00000000-0005-0000-0000-000030120000}"/>
    <cellStyle name="입력 2 2 5 6 2" xfId="5762" xr:uid="{00000000-0005-0000-0000-000031120000}"/>
    <cellStyle name="입력 2 2 5 7" xfId="5763" xr:uid="{00000000-0005-0000-0000-000032120000}"/>
    <cellStyle name="입력 2 2 5 7 2" xfId="5764" xr:uid="{00000000-0005-0000-0000-000033120000}"/>
    <cellStyle name="입력 2 2 5 8" xfId="5765" xr:uid="{00000000-0005-0000-0000-000034120000}"/>
    <cellStyle name="입력 2 2 5 8 2" xfId="5766" xr:uid="{00000000-0005-0000-0000-000035120000}"/>
    <cellStyle name="입력 2 2 5 9" xfId="5767" xr:uid="{00000000-0005-0000-0000-000036120000}"/>
    <cellStyle name="입력 2 2 5 9 2" xfId="5768" xr:uid="{00000000-0005-0000-0000-000037120000}"/>
    <cellStyle name="입력 2 2 6" xfId="5769" xr:uid="{00000000-0005-0000-0000-000038120000}"/>
    <cellStyle name="입력 2 2 6 2" xfId="5770" xr:uid="{00000000-0005-0000-0000-000039120000}"/>
    <cellStyle name="입력 2 2 7" xfId="5771" xr:uid="{00000000-0005-0000-0000-00003A120000}"/>
    <cellStyle name="입력 2 2 7 2" xfId="5772" xr:uid="{00000000-0005-0000-0000-00003B120000}"/>
    <cellStyle name="입력 2 2 8" xfId="5773" xr:uid="{00000000-0005-0000-0000-00003C120000}"/>
    <cellStyle name="입력 2 2 8 2" xfId="5774" xr:uid="{00000000-0005-0000-0000-00003D120000}"/>
    <cellStyle name="입력 2 2 9" xfId="5775" xr:uid="{00000000-0005-0000-0000-00003E120000}"/>
    <cellStyle name="입력 2 2 9 2" xfId="5776" xr:uid="{00000000-0005-0000-0000-00003F120000}"/>
    <cellStyle name="입력 2 20" xfId="5777" xr:uid="{00000000-0005-0000-0000-000040120000}"/>
    <cellStyle name="입력 2 20 2" xfId="5778" xr:uid="{00000000-0005-0000-0000-000041120000}"/>
    <cellStyle name="입력 2 21" xfId="5779" xr:uid="{00000000-0005-0000-0000-000042120000}"/>
    <cellStyle name="입력 2 22" xfId="6416" xr:uid="{00000000-0005-0000-0000-000043120000}"/>
    <cellStyle name="입력 2 23" xfId="6371" xr:uid="{00000000-0005-0000-0000-000044120000}"/>
    <cellStyle name="입력 2 24" xfId="6425" xr:uid="{00000000-0005-0000-0000-000045120000}"/>
    <cellStyle name="입력 2 25" xfId="6355" xr:uid="{00000000-0005-0000-0000-000046120000}"/>
    <cellStyle name="입력 2 26" xfId="6435" xr:uid="{00000000-0005-0000-0000-000047120000}"/>
    <cellStyle name="입력 2 27" xfId="6352" xr:uid="{00000000-0005-0000-0000-000048120000}"/>
    <cellStyle name="입력 2 28" xfId="6446" xr:uid="{00000000-0005-0000-0000-000049120000}"/>
    <cellStyle name="입력 2 29" xfId="6338" xr:uid="{00000000-0005-0000-0000-00004A120000}"/>
    <cellStyle name="입력 2 3" xfId="5780" xr:uid="{00000000-0005-0000-0000-00004B120000}"/>
    <cellStyle name="입력 2 3 2" xfId="5781" xr:uid="{00000000-0005-0000-0000-00004C120000}"/>
    <cellStyle name="입력 2 30" xfId="6453" xr:uid="{00000000-0005-0000-0000-00004D120000}"/>
    <cellStyle name="입력 2 4" xfId="5782" xr:uid="{00000000-0005-0000-0000-00004E120000}"/>
    <cellStyle name="입력 2 4 2" xfId="5783" xr:uid="{00000000-0005-0000-0000-00004F120000}"/>
    <cellStyle name="입력 2 5" xfId="5784" xr:uid="{00000000-0005-0000-0000-000050120000}"/>
    <cellStyle name="입력 2 5 2" xfId="5785" xr:uid="{00000000-0005-0000-0000-000051120000}"/>
    <cellStyle name="입력 2 6" xfId="5786" xr:uid="{00000000-0005-0000-0000-000052120000}"/>
    <cellStyle name="입력 2 6 2" xfId="5787" xr:uid="{00000000-0005-0000-0000-000053120000}"/>
    <cellStyle name="입력 2 7" xfId="5788" xr:uid="{00000000-0005-0000-0000-000054120000}"/>
    <cellStyle name="입력 2 7 2" xfId="5789" xr:uid="{00000000-0005-0000-0000-000055120000}"/>
    <cellStyle name="입력 2 8" xfId="5790" xr:uid="{00000000-0005-0000-0000-000056120000}"/>
    <cellStyle name="입력 2 8 2" xfId="5791" xr:uid="{00000000-0005-0000-0000-000057120000}"/>
    <cellStyle name="입력 2 9" xfId="5792" xr:uid="{00000000-0005-0000-0000-000058120000}"/>
    <cellStyle name="입력 2 9 2" xfId="5793" xr:uid="{00000000-0005-0000-0000-000059120000}"/>
    <cellStyle name="입력 20" xfId="49448" xr:uid="{00000000-0005-0000-0000-00005A120000}"/>
    <cellStyle name="입력 21" xfId="49449" xr:uid="{00000000-0005-0000-0000-00005B120000}"/>
    <cellStyle name="입력 22" xfId="49450" xr:uid="{00000000-0005-0000-0000-00005C120000}"/>
    <cellStyle name="입력 23" xfId="49451" xr:uid="{00000000-0005-0000-0000-00005D120000}"/>
    <cellStyle name="입력 24" xfId="49452" xr:uid="{00000000-0005-0000-0000-00005E120000}"/>
    <cellStyle name="입력 25" xfId="49453" xr:uid="{00000000-0005-0000-0000-00005F120000}"/>
    <cellStyle name="입력 26" xfId="49454" xr:uid="{00000000-0005-0000-0000-000060120000}"/>
    <cellStyle name="입력 27" xfId="49455" xr:uid="{00000000-0005-0000-0000-000061120000}"/>
    <cellStyle name="입력 28" xfId="49456" xr:uid="{00000000-0005-0000-0000-000062120000}"/>
    <cellStyle name="입력 29" xfId="49457" xr:uid="{00000000-0005-0000-0000-000063120000}"/>
    <cellStyle name="입력 3" xfId="3887" xr:uid="{00000000-0005-0000-0000-000064120000}"/>
    <cellStyle name="입력 3 10" xfId="3685" xr:uid="{00000000-0005-0000-0000-000065120000}"/>
    <cellStyle name="입력 3 11" xfId="2957" xr:uid="{00000000-0005-0000-0000-000066120000}"/>
    <cellStyle name="입력 3 2" xfId="4180" xr:uid="{00000000-0005-0000-0000-000067120000}"/>
    <cellStyle name="입력 3 3" xfId="3879" xr:uid="{00000000-0005-0000-0000-000068120000}"/>
    <cellStyle name="입력 3 4" xfId="3688" xr:uid="{00000000-0005-0000-0000-000069120000}"/>
    <cellStyle name="입력 3 5" xfId="3208" xr:uid="{00000000-0005-0000-0000-00006A120000}"/>
    <cellStyle name="입력 3 6" xfId="2642" xr:uid="{00000000-0005-0000-0000-00006B120000}"/>
    <cellStyle name="입력 3 7" xfId="2724" xr:uid="{00000000-0005-0000-0000-00006C120000}"/>
    <cellStyle name="입력 3 8" xfId="4061" xr:uid="{00000000-0005-0000-0000-00006D120000}"/>
    <cellStyle name="입력 3 9" xfId="2730" xr:uid="{00000000-0005-0000-0000-00006E120000}"/>
    <cellStyle name="입력 30" xfId="49458" xr:uid="{00000000-0005-0000-0000-00006F120000}"/>
    <cellStyle name="입력 31" xfId="49459" xr:uid="{00000000-0005-0000-0000-000070120000}"/>
    <cellStyle name="입력 32" xfId="49460" xr:uid="{00000000-0005-0000-0000-000071120000}"/>
    <cellStyle name="입력 33" xfId="49461" xr:uid="{00000000-0005-0000-0000-000072120000}"/>
    <cellStyle name="입력 4" xfId="2543" xr:uid="{00000000-0005-0000-0000-000073120000}"/>
    <cellStyle name="입력 4 10" xfId="4064" xr:uid="{00000000-0005-0000-0000-000074120000}"/>
    <cellStyle name="입력 4 11" xfId="2838" xr:uid="{00000000-0005-0000-0000-000075120000}"/>
    <cellStyle name="입력 4 2" xfId="3884" xr:uid="{00000000-0005-0000-0000-000076120000}"/>
    <cellStyle name="입력 4 3" xfId="3524" xr:uid="{00000000-0005-0000-0000-000077120000}"/>
    <cellStyle name="입력 4 4" xfId="4134" xr:uid="{00000000-0005-0000-0000-000078120000}"/>
    <cellStyle name="입력 4 5" xfId="327" xr:uid="{00000000-0005-0000-0000-000079120000}"/>
    <cellStyle name="입력 4 6" xfId="2494" xr:uid="{00000000-0005-0000-0000-00007A120000}"/>
    <cellStyle name="입력 4 7" xfId="3788" xr:uid="{00000000-0005-0000-0000-00007B120000}"/>
    <cellStyle name="입력 4 8" xfId="2915" xr:uid="{00000000-0005-0000-0000-00007C120000}"/>
    <cellStyle name="입력 4 9" xfId="3165" xr:uid="{00000000-0005-0000-0000-00007D120000}"/>
    <cellStyle name="입력 5" xfId="3911" xr:uid="{00000000-0005-0000-0000-00007E120000}"/>
    <cellStyle name="입력 5 2" xfId="2684" xr:uid="{00000000-0005-0000-0000-00007F120000}"/>
    <cellStyle name="입력 5 3" xfId="2958" xr:uid="{00000000-0005-0000-0000-000080120000}"/>
    <cellStyle name="입력 5 4" xfId="2685" xr:uid="{00000000-0005-0000-0000-000081120000}"/>
    <cellStyle name="입력 5 5" xfId="2682" xr:uid="{00000000-0005-0000-0000-000082120000}"/>
    <cellStyle name="입력 6" xfId="4017" xr:uid="{00000000-0005-0000-0000-000083120000}"/>
    <cellStyle name="입력 6 2" xfId="2798" xr:uid="{00000000-0005-0000-0000-000084120000}"/>
    <cellStyle name="입력 6 3" xfId="3857" xr:uid="{00000000-0005-0000-0000-000085120000}"/>
    <cellStyle name="입력 6 4" xfId="3258" xr:uid="{00000000-0005-0000-0000-000086120000}"/>
    <cellStyle name="입력 6 5" xfId="2549" xr:uid="{00000000-0005-0000-0000-000087120000}"/>
    <cellStyle name="입력 7" xfId="3992" xr:uid="{00000000-0005-0000-0000-000088120000}"/>
    <cellStyle name="입력 7 2" xfId="2658" xr:uid="{00000000-0005-0000-0000-000089120000}"/>
    <cellStyle name="입력 8" xfId="2567" xr:uid="{00000000-0005-0000-0000-00008A120000}"/>
    <cellStyle name="입력 8 2" xfId="2453" xr:uid="{00000000-0005-0000-0000-00008B120000}"/>
    <cellStyle name="입력 9" xfId="6353" xr:uid="{00000000-0005-0000-0000-00008C120000}"/>
    <cellStyle name="자리수0" xfId="261" xr:uid="{00000000-0005-0000-0000-00008D120000}"/>
    <cellStyle name="자리수0 2" xfId="49462" xr:uid="{00000000-0005-0000-0000-00008E120000}"/>
    <cellStyle name="제목 1 10" xfId="6484" xr:uid="{00000000-0005-0000-0000-00008F120000}"/>
    <cellStyle name="제목 1 11" xfId="6293" xr:uid="{00000000-0005-0000-0000-000090120000}"/>
    <cellStyle name="제목 1 12" xfId="6502" xr:uid="{00000000-0005-0000-0000-000091120000}"/>
    <cellStyle name="제목 1 13" xfId="49463" xr:uid="{00000000-0005-0000-0000-000092120000}"/>
    <cellStyle name="제목 1 14" xfId="49464" xr:uid="{00000000-0005-0000-0000-000093120000}"/>
    <cellStyle name="제목 1 15" xfId="49465" xr:uid="{00000000-0005-0000-0000-000094120000}"/>
    <cellStyle name="제목 1 16" xfId="49466" xr:uid="{00000000-0005-0000-0000-000095120000}"/>
    <cellStyle name="제목 1 17" xfId="49467" xr:uid="{00000000-0005-0000-0000-000096120000}"/>
    <cellStyle name="제목 1 18" xfId="49468" xr:uid="{00000000-0005-0000-0000-000097120000}"/>
    <cellStyle name="제목 1 19" xfId="49469" xr:uid="{00000000-0005-0000-0000-000098120000}"/>
    <cellStyle name="제목 1 2" xfId="262" xr:uid="{00000000-0005-0000-0000-000099120000}"/>
    <cellStyle name="제목 1 2 10" xfId="6292" xr:uid="{00000000-0005-0000-0000-00009A120000}"/>
    <cellStyle name="제목 1 2 11" xfId="6503" xr:uid="{00000000-0005-0000-0000-00009B120000}"/>
    <cellStyle name="제목 1 2 2" xfId="5794" xr:uid="{00000000-0005-0000-0000-00009C120000}"/>
    <cellStyle name="제목 1 2 3" xfId="6454" xr:uid="{00000000-0005-0000-0000-00009D120000}"/>
    <cellStyle name="제목 1 2 4" xfId="6330" xr:uid="{00000000-0005-0000-0000-00009E120000}"/>
    <cellStyle name="제목 1 2 5" xfId="6463" xr:uid="{00000000-0005-0000-0000-00009F120000}"/>
    <cellStyle name="제목 1 2 6" xfId="6321" xr:uid="{00000000-0005-0000-0000-0000A0120000}"/>
    <cellStyle name="제목 1 2 7" xfId="6472" xr:uid="{00000000-0005-0000-0000-0000A1120000}"/>
    <cellStyle name="제목 1 2 8" xfId="6310" xr:uid="{00000000-0005-0000-0000-0000A2120000}"/>
    <cellStyle name="제목 1 2 9" xfId="6485" xr:uid="{00000000-0005-0000-0000-0000A3120000}"/>
    <cellStyle name="제목 1 20" xfId="49470" xr:uid="{00000000-0005-0000-0000-0000A4120000}"/>
    <cellStyle name="제목 1 21" xfId="49471" xr:uid="{00000000-0005-0000-0000-0000A5120000}"/>
    <cellStyle name="제목 1 22" xfId="49472" xr:uid="{00000000-0005-0000-0000-0000A6120000}"/>
    <cellStyle name="제목 1 23" xfId="49473" xr:uid="{00000000-0005-0000-0000-0000A7120000}"/>
    <cellStyle name="제목 1 24" xfId="49474" xr:uid="{00000000-0005-0000-0000-0000A8120000}"/>
    <cellStyle name="제목 1 25" xfId="49475" xr:uid="{00000000-0005-0000-0000-0000A9120000}"/>
    <cellStyle name="제목 1 26" xfId="49476" xr:uid="{00000000-0005-0000-0000-0000AA120000}"/>
    <cellStyle name="제목 1 27" xfId="49477" xr:uid="{00000000-0005-0000-0000-0000AB120000}"/>
    <cellStyle name="제목 1 28" xfId="49478" xr:uid="{00000000-0005-0000-0000-0000AC120000}"/>
    <cellStyle name="제목 1 29" xfId="49479" xr:uid="{00000000-0005-0000-0000-0000AD120000}"/>
    <cellStyle name="제목 1 3" xfId="3389" xr:uid="{00000000-0005-0000-0000-0000AE120000}"/>
    <cellStyle name="제목 1 3 10" xfId="3166" xr:uid="{00000000-0005-0000-0000-0000AF120000}"/>
    <cellStyle name="제목 1 3 11" xfId="4029" xr:uid="{00000000-0005-0000-0000-0000B0120000}"/>
    <cellStyle name="제목 1 3 2" xfId="3873" xr:uid="{00000000-0005-0000-0000-0000B1120000}"/>
    <cellStyle name="제목 1 3 3" xfId="2908" xr:uid="{00000000-0005-0000-0000-0000B2120000}"/>
    <cellStyle name="제목 1 3 4" xfId="4248" xr:uid="{00000000-0005-0000-0000-0000B3120000}"/>
    <cellStyle name="제목 1 3 5" xfId="3756" xr:uid="{00000000-0005-0000-0000-0000B4120000}"/>
    <cellStyle name="제목 1 3 6" xfId="2946" xr:uid="{00000000-0005-0000-0000-0000B5120000}"/>
    <cellStyle name="제목 1 3 7" xfId="2628" xr:uid="{00000000-0005-0000-0000-0000B6120000}"/>
    <cellStyle name="제목 1 3 8" xfId="3187" xr:uid="{00000000-0005-0000-0000-0000B7120000}"/>
    <cellStyle name="제목 1 3 9" xfId="375" xr:uid="{00000000-0005-0000-0000-0000B8120000}"/>
    <cellStyle name="제목 1 30" xfId="49480" xr:uid="{00000000-0005-0000-0000-0000B9120000}"/>
    <cellStyle name="제목 1 31" xfId="49481" xr:uid="{00000000-0005-0000-0000-0000BA120000}"/>
    <cellStyle name="제목 1 32" xfId="49482" xr:uid="{00000000-0005-0000-0000-0000BB120000}"/>
    <cellStyle name="제목 1 33" xfId="49483" xr:uid="{00000000-0005-0000-0000-0000BC120000}"/>
    <cellStyle name="제목 1 4" xfId="2944" xr:uid="{00000000-0005-0000-0000-0000BD120000}"/>
    <cellStyle name="제목 1 4 10" xfId="2768" xr:uid="{00000000-0005-0000-0000-0000BE120000}"/>
    <cellStyle name="제목 1 4 11" xfId="4160" xr:uid="{00000000-0005-0000-0000-0000BF120000}"/>
    <cellStyle name="제목 1 4 2" xfId="3560" xr:uid="{00000000-0005-0000-0000-0000C0120000}"/>
    <cellStyle name="제목 1 4 3" xfId="3922" xr:uid="{00000000-0005-0000-0000-0000C1120000}"/>
    <cellStyle name="제목 1 4 4" xfId="2522" xr:uid="{00000000-0005-0000-0000-0000C2120000}"/>
    <cellStyle name="제목 1 4 5" xfId="3212" xr:uid="{00000000-0005-0000-0000-0000C3120000}"/>
    <cellStyle name="제목 1 4 6" xfId="3919" xr:uid="{00000000-0005-0000-0000-0000C4120000}"/>
    <cellStyle name="제목 1 4 7" xfId="3556" xr:uid="{00000000-0005-0000-0000-0000C5120000}"/>
    <cellStyle name="제목 1 4 8" xfId="4169" xr:uid="{00000000-0005-0000-0000-0000C6120000}"/>
    <cellStyle name="제목 1 4 9" xfId="4288" xr:uid="{00000000-0005-0000-0000-0000C7120000}"/>
    <cellStyle name="제목 1 5" xfId="3317" xr:uid="{00000000-0005-0000-0000-0000C8120000}"/>
    <cellStyle name="제목 1 5 2" xfId="3064" xr:uid="{00000000-0005-0000-0000-0000C9120000}"/>
    <cellStyle name="제목 1 5 3" xfId="2404" xr:uid="{00000000-0005-0000-0000-0000CA120000}"/>
    <cellStyle name="제목 1 5 4" xfId="4075" xr:uid="{00000000-0005-0000-0000-0000CB120000}"/>
    <cellStyle name="제목 1 5 5" xfId="3228" xr:uid="{00000000-0005-0000-0000-0000CC120000}"/>
    <cellStyle name="제목 1 6" xfId="2927" xr:uid="{00000000-0005-0000-0000-0000CD120000}"/>
    <cellStyle name="제목 1 6 2" xfId="4148" xr:uid="{00000000-0005-0000-0000-0000CE120000}"/>
    <cellStyle name="제목 1 6 3" xfId="3757" xr:uid="{00000000-0005-0000-0000-0000CF120000}"/>
    <cellStyle name="제목 1 6 4" xfId="2692" xr:uid="{00000000-0005-0000-0000-0000D0120000}"/>
    <cellStyle name="제목 1 6 5" xfId="2748" xr:uid="{00000000-0005-0000-0000-0000D1120000}"/>
    <cellStyle name="제목 1 7" xfId="3230" xr:uid="{00000000-0005-0000-0000-0000D2120000}"/>
    <cellStyle name="제목 1 7 2" xfId="3542" xr:uid="{00000000-0005-0000-0000-0000D3120000}"/>
    <cellStyle name="제목 1 8" xfId="3009" xr:uid="{00000000-0005-0000-0000-0000D4120000}"/>
    <cellStyle name="제목 1 8 2" xfId="2516" xr:uid="{00000000-0005-0000-0000-0000D5120000}"/>
    <cellStyle name="제목 1 9" xfId="6311" xr:uid="{00000000-0005-0000-0000-0000D6120000}"/>
    <cellStyle name="제목 10" xfId="3907" xr:uid="{00000000-0005-0000-0000-0000D7120000}"/>
    <cellStyle name="제목 10 2" xfId="3061" xr:uid="{00000000-0005-0000-0000-0000D8120000}"/>
    <cellStyle name="제목 11" xfId="2456" xr:uid="{00000000-0005-0000-0000-0000D9120000}"/>
    <cellStyle name="제목 11 2" xfId="3715" xr:uid="{00000000-0005-0000-0000-0000DA120000}"/>
    <cellStyle name="제목 12" xfId="6312" xr:uid="{00000000-0005-0000-0000-0000DB120000}"/>
    <cellStyle name="제목 13" xfId="6481" xr:uid="{00000000-0005-0000-0000-0000DC120000}"/>
    <cellStyle name="제목 14" xfId="6294" xr:uid="{00000000-0005-0000-0000-0000DD120000}"/>
    <cellStyle name="제목 15" xfId="6501" xr:uid="{00000000-0005-0000-0000-0000DE120000}"/>
    <cellStyle name="제목 16" xfId="49484" xr:uid="{00000000-0005-0000-0000-0000DF120000}"/>
    <cellStyle name="제목 17" xfId="49485" xr:uid="{00000000-0005-0000-0000-0000E0120000}"/>
    <cellStyle name="제목 18" xfId="49486" xr:uid="{00000000-0005-0000-0000-0000E1120000}"/>
    <cellStyle name="제목 19" xfId="49487" xr:uid="{00000000-0005-0000-0000-0000E2120000}"/>
    <cellStyle name="제목 2 10" xfId="6486" xr:uid="{00000000-0005-0000-0000-0000E3120000}"/>
    <cellStyle name="제목 2 11" xfId="6291" xr:uid="{00000000-0005-0000-0000-0000E4120000}"/>
    <cellStyle name="제목 2 12" xfId="6504" xr:uid="{00000000-0005-0000-0000-0000E5120000}"/>
    <cellStyle name="제목 2 13" xfId="49488" xr:uid="{00000000-0005-0000-0000-0000E6120000}"/>
    <cellStyle name="제목 2 14" xfId="49489" xr:uid="{00000000-0005-0000-0000-0000E7120000}"/>
    <cellStyle name="제목 2 15" xfId="49490" xr:uid="{00000000-0005-0000-0000-0000E8120000}"/>
    <cellStyle name="제목 2 16" xfId="49491" xr:uid="{00000000-0005-0000-0000-0000E9120000}"/>
    <cellStyle name="제목 2 17" xfId="49492" xr:uid="{00000000-0005-0000-0000-0000EA120000}"/>
    <cellStyle name="제목 2 18" xfId="49493" xr:uid="{00000000-0005-0000-0000-0000EB120000}"/>
    <cellStyle name="제목 2 19" xfId="49494" xr:uid="{00000000-0005-0000-0000-0000EC120000}"/>
    <cellStyle name="제목 2 2" xfId="263" xr:uid="{00000000-0005-0000-0000-0000ED120000}"/>
    <cellStyle name="제목 2 2 10" xfId="6290" xr:uid="{00000000-0005-0000-0000-0000EE120000}"/>
    <cellStyle name="제목 2 2 11" xfId="6505" xr:uid="{00000000-0005-0000-0000-0000EF120000}"/>
    <cellStyle name="제목 2 2 2" xfId="5795" xr:uid="{00000000-0005-0000-0000-0000F0120000}"/>
    <cellStyle name="제목 2 2 3" xfId="6455" xr:uid="{00000000-0005-0000-0000-0000F1120000}"/>
    <cellStyle name="제목 2 2 4" xfId="6329" xr:uid="{00000000-0005-0000-0000-0000F2120000}"/>
    <cellStyle name="제목 2 2 5" xfId="6464" xr:uid="{00000000-0005-0000-0000-0000F3120000}"/>
    <cellStyle name="제목 2 2 6" xfId="6319" xr:uid="{00000000-0005-0000-0000-0000F4120000}"/>
    <cellStyle name="제목 2 2 7" xfId="6473" xr:uid="{00000000-0005-0000-0000-0000F5120000}"/>
    <cellStyle name="제목 2 2 8" xfId="6308" xr:uid="{00000000-0005-0000-0000-0000F6120000}"/>
    <cellStyle name="제목 2 2 9" xfId="6487" xr:uid="{00000000-0005-0000-0000-0000F7120000}"/>
    <cellStyle name="제목 2 20" xfId="49495" xr:uid="{00000000-0005-0000-0000-0000F8120000}"/>
    <cellStyle name="제목 2 21" xfId="49496" xr:uid="{00000000-0005-0000-0000-0000F9120000}"/>
    <cellStyle name="제목 2 22" xfId="49497" xr:uid="{00000000-0005-0000-0000-0000FA120000}"/>
    <cellStyle name="제목 2 23" xfId="49498" xr:uid="{00000000-0005-0000-0000-0000FB120000}"/>
    <cellStyle name="제목 2 24" xfId="49499" xr:uid="{00000000-0005-0000-0000-0000FC120000}"/>
    <cellStyle name="제목 2 25" xfId="49500" xr:uid="{00000000-0005-0000-0000-0000FD120000}"/>
    <cellStyle name="제목 2 26" xfId="49501" xr:uid="{00000000-0005-0000-0000-0000FE120000}"/>
    <cellStyle name="제목 2 27" xfId="49502" xr:uid="{00000000-0005-0000-0000-0000FF120000}"/>
    <cellStyle name="제목 2 28" xfId="49503" xr:uid="{00000000-0005-0000-0000-000000130000}"/>
    <cellStyle name="제목 2 29" xfId="49504" xr:uid="{00000000-0005-0000-0000-000001130000}"/>
    <cellStyle name="제목 2 3" xfId="342" xr:uid="{00000000-0005-0000-0000-000002130000}"/>
    <cellStyle name="제목 2 3 10" xfId="3475" xr:uid="{00000000-0005-0000-0000-000003130000}"/>
    <cellStyle name="제목 2 3 11" xfId="3965" xr:uid="{00000000-0005-0000-0000-000004130000}"/>
    <cellStyle name="제목 2 3 2" xfId="3535" xr:uid="{00000000-0005-0000-0000-000005130000}"/>
    <cellStyle name="제목 2 3 3" xfId="3117" xr:uid="{00000000-0005-0000-0000-000006130000}"/>
    <cellStyle name="제목 2 3 4" xfId="3727" xr:uid="{00000000-0005-0000-0000-000007130000}"/>
    <cellStyle name="제목 2 3 5" xfId="364" xr:uid="{00000000-0005-0000-0000-000008130000}"/>
    <cellStyle name="제목 2 3 6" xfId="2999" xr:uid="{00000000-0005-0000-0000-000009130000}"/>
    <cellStyle name="제목 2 3 7" xfId="2754" xr:uid="{00000000-0005-0000-0000-00000A130000}"/>
    <cellStyle name="제목 2 3 8" xfId="3241" xr:uid="{00000000-0005-0000-0000-00000B130000}"/>
    <cellStyle name="제목 2 3 9" xfId="3966" xr:uid="{00000000-0005-0000-0000-00000C130000}"/>
    <cellStyle name="제목 2 30" xfId="49505" xr:uid="{00000000-0005-0000-0000-00000D130000}"/>
    <cellStyle name="제목 2 31" xfId="49506" xr:uid="{00000000-0005-0000-0000-00000E130000}"/>
    <cellStyle name="제목 2 32" xfId="49507" xr:uid="{00000000-0005-0000-0000-00000F130000}"/>
    <cellStyle name="제목 2 33" xfId="49508" xr:uid="{00000000-0005-0000-0000-000010130000}"/>
    <cellStyle name="제목 2 4" xfId="4216" xr:uid="{00000000-0005-0000-0000-000011130000}"/>
    <cellStyle name="제목 2 4 10" xfId="2874" xr:uid="{00000000-0005-0000-0000-000012130000}"/>
    <cellStyle name="제목 2 4 11" xfId="3114" xr:uid="{00000000-0005-0000-0000-000013130000}"/>
    <cellStyle name="제목 2 4 2" xfId="4219" xr:uid="{00000000-0005-0000-0000-000014130000}"/>
    <cellStyle name="제목 2 4 3" xfId="3492" xr:uid="{00000000-0005-0000-0000-000015130000}"/>
    <cellStyle name="제목 2 4 4" xfId="3488" xr:uid="{00000000-0005-0000-0000-000016130000}"/>
    <cellStyle name="제목 2 4 5" xfId="3002" xr:uid="{00000000-0005-0000-0000-000017130000}"/>
    <cellStyle name="제목 2 4 6" xfId="3221" xr:uid="{00000000-0005-0000-0000-000018130000}"/>
    <cellStyle name="제목 2 4 7" xfId="3974" xr:uid="{00000000-0005-0000-0000-000019130000}"/>
    <cellStyle name="제목 2 4 8" xfId="4102" xr:uid="{00000000-0005-0000-0000-00001A130000}"/>
    <cellStyle name="제목 2 4 9" xfId="3433" xr:uid="{00000000-0005-0000-0000-00001B130000}"/>
    <cellStyle name="제목 2 5" xfId="2773" xr:uid="{00000000-0005-0000-0000-00001C130000}"/>
    <cellStyle name="제목 2 5 2" xfId="3500" xr:uid="{00000000-0005-0000-0000-00001D130000}"/>
    <cellStyle name="제목 2 5 3" xfId="2652" xr:uid="{00000000-0005-0000-0000-00001E130000}"/>
    <cellStyle name="제목 2 5 4" xfId="2948" xr:uid="{00000000-0005-0000-0000-00001F130000}"/>
    <cellStyle name="제목 2 5 5" xfId="2534" xr:uid="{00000000-0005-0000-0000-000020130000}"/>
    <cellStyle name="제목 2 6" xfId="3391" xr:uid="{00000000-0005-0000-0000-000021130000}"/>
    <cellStyle name="제목 2 6 2" xfId="3014" xr:uid="{00000000-0005-0000-0000-000022130000}"/>
    <cellStyle name="제목 2 6 3" xfId="2733" xr:uid="{00000000-0005-0000-0000-000023130000}"/>
    <cellStyle name="제목 2 6 4" xfId="3706" xr:uid="{00000000-0005-0000-0000-000024130000}"/>
    <cellStyle name="제목 2 6 5" xfId="2618" xr:uid="{00000000-0005-0000-0000-000025130000}"/>
    <cellStyle name="제목 2 7" xfId="3335" xr:uid="{00000000-0005-0000-0000-000026130000}"/>
    <cellStyle name="제목 2 7 2" xfId="3945" xr:uid="{00000000-0005-0000-0000-000027130000}"/>
    <cellStyle name="제목 2 8" xfId="4158" xr:uid="{00000000-0005-0000-0000-000028130000}"/>
    <cellStyle name="제목 2 8 2" xfId="3098" xr:uid="{00000000-0005-0000-0000-000029130000}"/>
    <cellStyle name="제목 2 9" xfId="6309" xr:uid="{00000000-0005-0000-0000-00002A130000}"/>
    <cellStyle name="제목 20" xfId="49509" xr:uid="{00000000-0005-0000-0000-00002B130000}"/>
    <cellStyle name="제목 21" xfId="49510" xr:uid="{00000000-0005-0000-0000-00002C130000}"/>
    <cellStyle name="제목 22" xfId="49511" xr:uid="{00000000-0005-0000-0000-00002D130000}"/>
    <cellStyle name="제목 23" xfId="49512" xr:uid="{00000000-0005-0000-0000-00002E130000}"/>
    <cellStyle name="제목 24" xfId="49513" xr:uid="{00000000-0005-0000-0000-00002F130000}"/>
    <cellStyle name="제목 25" xfId="49514" xr:uid="{00000000-0005-0000-0000-000030130000}"/>
    <cellStyle name="제목 26" xfId="49515" xr:uid="{00000000-0005-0000-0000-000031130000}"/>
    <cellStyle name="제목 27" xfId="49516" xr:uid="{00000000-0005-0000-0000-000032130000}"/>
    <cellStyle name="제목 28" xfId="49517" xr:uid="{00000000-0005-0000-0000-000033130000}"/>
    <cellStyle name="제목 29" xfId="49518" xr:uid="{00000000-0005-0000-0000-000034130000}"/>
    <cellStyle name="제목 3 10" xfId="6488" xr:uid="{00000000-0005-0000-0000-000035130000}"/>
    <cellStyle name="제목 3 11" xfId="6289" xr:uid="{00000000-0005-0000-0000-000036130000}"/>
    <cellStyle name="제목 3 12" xfId="6506" xr:uid="{00000000-0005-0000-0000-000037130000}"/>
    <cellStyle name="제목 3 13" xfId="49519" xr:uid="{00000000-0005-0000-0000-000038130000}"/>
    <cellStyle name="제목 3 14" xfId="49520" xr:uid="{00000000-0005-0000-0000-000039130000}"/>
    <cellStyle name="제목 3 15" xfId="49521" xr:uid="{00000000-0005-0000-0000-00003A130000}"/>
    <cellStyle name="제목 3 16" xfId="49522" xr:uid="{00000000-0005-0000-0000-00003B130000}"/>
    <cellStyle name="제목 3 17" xfId="49523" xr:uid="{00000000-0005-0000-0000-00003C130000}"/>
    <cellStyle name="제목 3 18" xfId="49524" xr:uid="{00000000-0005-0000-0000-00003D130000}"/>
    <cellStyle name="제목 3 19" xfId="49525" xr:uid="{00000000-0005-0000-0000-00003E130000}"/>
    <cellStyle name="제목 3 2" xfId="264" xr:uid="{00000000-0005-0000-0000-00003F130000}"/>
    <cellStyle name="제목 3 2 10" xfId="6288" xr:uid="{00000000-0005-0000-0000-000040130000}"/>
    <cellStyle name="제목 3 2 11" xfId="6507" xr:uid="{00000000-0005-0000-0000-000041130000}"/>
    <cellStyle name="제목 3 2 2" xfId="5796" xr:uid="{00000000-0005-0000-0000-000042130000}"/>
    <cellStyle name="제목 3 2 3" xfId="6456" xr:uid="{00000000-0005-0000-0000-000043130000}"/>
    <cellStyle name="제목 3 2 4" xfId="6328" xr:uid="{00000000-0005-0000-0000-000044130000}"/>
    <cellStyle name="제목 3 2 5" xfId="6465" xr:uid="{00000000-0005-0000-0000-000045130000}"/>
    <cellStyle name="제목 3 2 6" xfId="6318" xr:uid="{00000000-0005-0000-0000-000046130000}"/>
    <cellStyle name="제목 3 2 7" xfId="6474" xr:uid="{00000000-0005-0000-0000-000047130000}"/>
    <cellStyle name="제목 3 2 8" xfId="6306" xr:uid="{00000000-0005-0000-0000-000048130000}"/>
    <cellStyle name="제목 3 2 9" xfId="6489" xr:uid="{00000000-0005-0000-0000-000049130000}"/>
    <cellStyle name="제목 3 20" xfId="49526" xr:uid="{00000000-0005-0000-0000-00004A130000}"/>
    <cellStyle name="제목 3 21" xfId="49527" xr:uid="{00000000-0005-0000-0000-00004B130000}"/>
    <cellStyle name="제목 3 22" xfId="49528" xr:uid="{00000000-0005-0000-0000-00004C130000}"/>
    <cellStyle name="제목 3 23" xfId="49529" xr:uid="{00000000-0005-0000-0000-00004D130000}"/>
    <cellStyle name="제목 3 24" xfId="49530" xr:uid="{00000000-0005-0000-0000-00004E130000}"/>
    <cellStyle name="제목 3 25" xfId="49531" xr:uid="{00000000-0005-0000-0000-00004F130000}"/>
    <cellStyle name="제목 3 26" xfId="49532" xr:uid="{00000000-0005-0000-0000-000050130000}"/>
    <cellStyle name="제목 3 27" xfId="49533" xr:uid="{00000000-0005-0000-0000-000051130000}"/>
    <cellStyle name="제목 3 28" xfId="49534" xr:uid="{00000000-0005-0000-0000-000052130000}"/>
    <cellStyle name="제목 3 29" xfId="49535" xr:uid="{00000000-0005-0000-0000-000053130000}"/>
    <cellStyle name="제목 3 3" xfId="3218" xr:uid="{00000000-0005-0000-0000-000054130000}"/>
    <cellStyle name="제목 3 3 10" xfId="2983" xr:uid="{00000000-0005-0000-0000-000055130000}"/>
    <cellStyle name="제목 3 3 11" xfId="3683" xr:uid="{00000000-0005-0000-0000-000056130000}"/>
    <cellStyle name="제목 3 3 2" xfId="3225" xr:uid="{00000000-0005-0000-0000-000057130000}"/>
    <cellStyle name="제목 3 3 3" xfId="2981" xr:uid="{00000000-0005-0000-0000-000058130000}"/>
    <cellStyle name="제목 3 3 4" xfId="4202" xr:uid="{00000000-0005-0000-0000-000059130000}"/>
    <cellStyle name="제목 3 3 5" xfId="3587" xr:uid="{00000000-0005-0000-0000-00005A130000}"/>
    <cellStyle name="제목 3 3 6" xfId="3948" xr:uid="{00000000-0005-0000-0000-00005B130000}"/>
    <cellStyle name="제목 3 3 7" xfId="3612" xr:uid="{00000000-0005-0000-0000-00005C130000}"/>
    <cellStyle name="제목 3 3 8" xfId="328" xr:uid="{00000000-0005-0000-0000-00005D130000}"/>
    <cellStyle name="제목 3 3 9" xfId="3490" xr:uid="{00000000-0005-0000-0000-00005E130000}"/>
    <cellStyle name="제목 3 30" xfId="49536" xr:uid="{00000000-0005-0000-0000-00005F130000}"/>
    <cellStyle name="제목 3 31" xfId="49537" xr:uid="{00000000-0005-0000-0000-000060130000}"/>
    <cellStyle name="제목 3 32" xfId="49538" xr:uid="{00000000-0005-0000-0000-000061130000}"/>
    <cellStyle name="제목 3 33" xfId="49539" xr:uid="{00000000-0005-0000-0000-000062130000}"/>
    <cellStyle name="제목 3 4" xfId="2422" xr:uid="{00000000-0005-0000-0000-000063130000}"/>
    <cellStyle name="제목 3 4 10" xfId="3806" xr:uid="{00000000-0005-0000-0000-000064130000}"/>
    <cellStyle name="제목 3 4 11" xfId="2865" xr:uid="{00000000-0005-0000-0000-000065130000}"/>
    <cellStyle name="제목 3 4 2" xfId="4308" xr:uid="{00000000-0005-0000-0000-000066130000}"/>
    <cellStyle name="제목 3 4 3" xfId="4299" xr:uid="{00000000-0005-0000-0000-000067130000}"/>
    <cellStyle name="제목 3 4 4" xfId="346" xr:uid="{00000000-0005-0000-0000-000068130000}"/>
    <cellStyle name="제목 3 4 5" xfId="3207" xr:uid="{00000000-0005-0000-0000-000069130000}"/>
    <cellStyle name="제목 3 4 6" xfId="3325" xr:uid="{00000000-0005-0000-0000-00006A130000}"/>
    <cellStyle name="제목 3 4 7" xfId="2843" xr:uid="{00000000-0005-0000-0000-00006B130000}"/>
    <cellStyle name="제목 3 4 8" xfId="3192" xr:uid="{00000000-0005-0000-0000-00006C130000}"/>
    <cellStyle name="제목 3 4 9" xfId="2729" xr:uid="{00000000-0005-0000-0000-00006D130000}"/>
    <cellStyle name="제목 3 5" xfId="2708" xr:uid="{00000000-0005-0000-0000-00006E130000}"/>
    <cellStyle name="제목 3 5 2" xfId="2610" xr:uid="{00000000-0005-0000-0000-00006F130000}"/>
    <cellStyle name="제목 3 5 3" xfId="4303" xr:uid="{00000000-0005-0000-0000-000070130000}"/>
    <cellStyle name="제목 3 5 4" xfId="323" xr:uid="{00000000-0005-0000-0000-000071130000}"/>
    <cellStyle name="제목 3 5 5" xfId="2792" xr:uid="{00000000-0005-0000-0000-000072130000}"/>
    <cellStyle name="제목 3 6" xfId="279" xr:uid="{00000000-0005-0000-0000-000073130000}"/>
    <cellStyle name="제목 3 6 2" xfId="3243" xr:uid="{00000000-0005-0000-0000-000074130000}"/>
    <cellStyle name="제목 3 6 3" xfId="3402" xr:uid="{00000000-0005-0000-0000-000075130000}"/>
    <cellStyle name="제목 3 6 4" xfId="366" xr:uid="{00000000-0005-0000-0000-000076130000}"/>
    <cellStyle name="제목 3 6 5" xfId="3038" xr:uid="{00000000-0005-0000-0000-000077130000}"/>
    <cellStyle name="제목 3 7" xfId="3164" xr:uid="{00000000-0005-0000-0000-000078130000}"/>
    <cellStyle name="제목 3 7 2" xfId="4258" xr:uid="{00000000-0005-0000-0000-000079130000}"/>
    <cellStyle name="제목 3 8" xfId="2801" xr:uid="{00000000-0005-0000-0000-00007A130000}"/>
    <cellStyle name="제목 3 8 2" xfId="2497" xr:uid="{00000000-0005-0000-0000-00007B130000}"/>
    <cellStyle name="제목 3 9" xfId="6307" xr:uid="{00000000-0005-0000-0000-00007C130000}"/>
    <cellStyle name="제목 30" xfId="49540" xr:uid="{00000000-0005-0000-0000-00007D130000}"/>
    <cellStyle name="제목 31" xfId="49541" xr:uid="{00000000-0005-0000-0000-00007E130000}"/>
    <cellStyle name="제목 32" xfId="49542" xr:uid="{00000000-0005-0000-0000-00007F130000}"/>
    <cellStyle name="제목 33" xfId="49543" xr:uid="{00000000-0005-0000-0000-000080130000}"/>
    <cellStyle name="제목 34" xfId="49544" xr:uid="{00000000-0005-0000-0000-000081130000}"/>
    <cellStyle name="제목 35" xfId="49545" xr:uid="{00000000-0005-0000-0000-000082130000}"/>
    <cellStyle name="제목 36" xfId="49546" xr:uid="{00000000-0005-0000-0000-000083130000}"/>
    <cellStyle name="제목 4 10" xfId="6490" xr:uid="{00000000-0005-0000-0000-000084130000}"/>
    <cellStyle name="제목 4 11" xfId="6287" xr:uid="{00000000-0005-0000-0000-000085130000}"/>
    <cellStyle name="제목 4 12" xfId="6508" xr:uid="{00000000-0005-0000-0000-000086130000}"/>
    <cellStyle name="제목 4 13" xfId="49547" xr:uid="{00000000-0005-0000-0000-000087130000}"/>
    <cellStyle name="제목 4 14" xfId="49548" xr:uid="{00000000-0005-0000-0000-000088130000}"/>
    <cellStyle name="제목 4 15" xfId="49549" xr:uid="{00000000-0005-0000-0000-000089130000}"/>
    <cellStyle name="제목 4 16" xfId="49550" xr:uid="{00000000-0005-0000-0000-00008A130000}"/>
    <cellStyle name="제목 4 17" xfId="49551" xr:uid="{00000000-0005-0000-0000-00008B130000}"/>
    <cellStyle name="제목 4 18" xfId="49552" xr:uid="{00000000-0005-0000-0000-00008C130000}"/>
    <cellStyle name="제목 4 19" xfId="49553" xr:uid="{00000000-0005-0000-0000-00008D130000}"/>
    <cellStyle name="제목 4 2" xfId="265" xr:uid="{00000000-0005-0000-0000-00008E130000}"/>
    <cellStyle name="제목 4 2 10" xfId="6286" xr:uid="{00000000-0005-0000-0000-00008F130000}"/>
    <cellStyle name="제목 4 2 11" xfId="6509" xr:uid="{00000000-0005-0000-0000-000090130000}"/>
    <cellStyle name="제목 4 2 2" xfId="5797" xr:uid="{00000000-0005-0000-0000-000091130000}"/>
    <cellStyle name="제목 4 2 3" xfId="6457" xr:uid="{00000000-0005-0000-0000-000092130000}"/>
    <cellStyle name="제목 4 2 4" xfId="6327" xr:uid="{00000000-0005-0000-0000-000093130000}"/>
    <cellStyle name="제목 4 2 5" xfId="6466" xr:uid="{00000000-0005-0000-0000-000094130000}"/>
    <cellStyle name="제목 4 2 6" xfId="6317" xr:uid="{00000000-0005-0000-0000-000095130000}"/>
    <cellStyle name="제목 4 2 7" xfId="6475" xr:uid="{00000000-0005-0000-0000-000096130000}"/>
    <cellStyle name="제목 4 2 8" xfId="6304" xr:uid="{00000000-0005-0000-0000-000097130000}"/>
    <cellStyle name="제목 4 2 9" xfId="6491" xr:uid="{00000000-0005-0000-0000-000098130000}"/>
    <cellStyle name="제목 4 20" xfId="49554" xr:uid="{00000000-0005-0000-0000-000099130000}"/>
    <cellStyle name="제목 4 21" xfId="49555" xr:uid="{00000000-0005-0000-0000-00009A130000}"/>
    <cellStyle name="제목 4 22" xfId="49556" xr:uid="{00000000-0005-0000-0000-00009B130000}"/>
    <cellStyle name="제목 4 23" xfId="49557" xr:uid="{00000000-0005-0000-0000-00009C130000}"/>
    <cellStyle name="제목 4 24" xfId="49558" xr:uid="{00000000-0005-0000-0000-00009D130000}"/>
    <cellStyle name="제목 4 25" xfId="49559" xr:uid="{00000000-0005-0000-0000-00009E130000}"/>
    <cellStyle name="제목 4 26" xfId="49560" xr:uid="{00000000-0005-0000-0000-00009F130000}"/>
    <cellStyle name="제목 4 27" xfId="49561" xr:uid="{00000000-0005-0000-0000-0000A0130000}"/>
    <cellStyle name="제목 4 28" xfId="49562" xr:uid="{00000000-0005-0000-0000-0000A1130000}"/>
    <cellStyle name="제목 4 29" xfId="49563" xr:uid="{00000000-0005-0000-0000-0000A2130000}"/>
    <cellStyle name="제목 4 3" xfId="3765" xr:uid="{00000000-0005-0000-0000-0000A3130000}"/>
    <cellStyle name="제목 4 3 10" xfId="2563" xr:uid="{00000000-0005-0000-0000-0000A4130000}"/>
    <cellStyle name="제목 4 3 11" xfId="3525" xr:uid="{00000000-0005-0000-0000-0000A5130000}"/>
    <cellStyle name="제목 4 3 2" xfId="3162" xr:uid="{00000000-0005-0000-0000-0000A6130000}"/>
    <cellStyle name="제목 4 3 3" xfId="3624" xr:uid="{00000000-0005-0000-0000-0000A7130000}"/>
    <cellStyle name="제목 4 3 4" xfId="3549" xr:uid="{00000000-0005-0000-0000-0000A8130000}"/>
    <cellStyle name="제목 4 3 5" xfId="3259" xr:uid="{00000000-0005-0000-0000-0000A9130000}"/>
    <cellStyle name="제목 4 3 6" xfId="3146" xr:uid="{00000000-0005-0000-0000-0000AA130000}"/>
    <cellStyle name="제목 4 3 7" xfId="3141" xr:uid="{00000000-0005-0000-0000-0000AB130000}"/>
    <cellStyle name="제목 4 3 8" xfId="2666" xr:uid="{00000000-0005-0000-0000-0000AC130000}"/>
    <cellStyle name="제목 4 3 9" xfId="2777" xr:uid="{00000000-0005-0000-0000-0000AD130000}"/>
    <cellStyle name="제목 4 30" xfId="49564" xr:uid="{00000000-0005-0000-0000-0000AE130000}"/>
    <cellStyle name="제목 4 31" xfId="49565" xr:uid="{00000000-0005-0000-0000-0000AF130000}"/>
    <cellStyle name="제목 4 32" xfId="49566" xr:uid="{00000000-0005-0000-0000-0000B0130000}"/>
    <cellStyle name="제목 4 33" xfId="49567" xr:uid="{00000000-0005-0000-0000-0000B1130000}"/>
    <cellStyle name="제목 4 4" xfId="4159" xr:uid="{00000000-0005-0000-0000-0000B2130000}"/>
    <cellStyle name="제목 4 4 10" xfId="3514" xr:uid="{00000000-0005-0000-0000-0000B3130000}"/>
    <cellStyle name="제목 4 4 11" xfId="3506" xr:uid="{00000000-0005-0000-0000-0000B4130000}"/>
    <cellStyle name="제목 4 4 2" xfId="3393" xr:uid="{00000000-0005-0000-0000-0000B5130000}"/>
    <cellStyle name="제목 4 4 3" xfId="4001" xr:uid="{00000000-0005-0000-0000-0000B6130000}"/>
    <cellStyle name="제목 4 4 4" xfId="2907" xr:uid="{00000000-0005-0000-0000-0000B7130000}"/>
    <cellStyle name="제목 4 4 5" xfId="3939" xr:uid="{00000000-0005-0000-0000-0000B8130000}"/>
    <cellStyle name="제목 4 4 6" xfId="3453" xr:uid="{00000000-0005-0000-0000-0000B9130000}"/>
    <cellStyle name="제목 4 4 7" xfId="334" xr:uid="{00000000-0005-0000-0000-0000BA130000}"/>
    <cellStyle name="제목 4 4 8" xfId="3074" xr:uid="{00000000-0005-0000-0000-0000BB130000}"/>
    <cellStyle name="제목 4 4 9" xfId="307" xr:uid="{00000000-0005-0000-0000-0000BC130000}"/>
    <cellStyle name="제목 4 5" xfId="2774" xr:uid="{00000000-0005-0000-0000-0000BD130000}"/>
    <cellStyle name="제목 4 5 2" xfId="2943" xr:uid="{00000000-0005-0000-0000-0000BE130000}"/>
    <cellStyle name="제목 4 5 3" xfId="3505" xr:uid="{00000000-0005-0000-0000-0000BF130000}"/>
    <cellStyle name="제목 4 5 4" xfId="4283" xr:uid="{00000000-0005-0000-0000-0000C0130000}"/>
    <cellStyle name="제목 4 5 5" xfId="4098" xr:uid="{00000000-0005-0000-0000-0000C1130000}"/>
    <cellStyle name="제목 4 6" xfId="4040" xr:uid="{00000000-0005-0000-0000-0000C2130000}"/>
    <cellStyle name="제목 4 6 2" xfId="2418" xr:uid="{00000000-0005-0000-0000-0000C3130000}"/>
    <cellStyle name="제목 4 6 3" xfId="3690" xr:uid="{00000000-0005-0000-0000-0000C4130000}"/>
    <cellStyle name="제목 4 6 4" xfId="3077" xr:uid="{00000000-0005-0000-0000-0000C5130000}"/>
    <cellStyle name="제목 4 6 5" xfId="2827" xr:uid="{00000000-0005-0000-0000-0000C6130000}"/>
    <cellStyle name="제목 4 7" xfId="3849" xr:uid="{00000000-0005-0000-0000-0000C7130000}"/>
    <cellStyle name="제목 4 7 2" xfId="2469" xr:uid="{00000000-0005-0000-0000-0000C8130000}"/>
    <cellStyle name="제목 4 8" xfId="4047" xr:uid="{00000000-0005-0000-0000-0000C9130000}"/>
    <cellStyle name="제목 4 8 2" xfId="2705" xr:uid="{00000000-0005-0000-0000-0000CA130000}"/>
    <cellStyle name="제목 4 9" xfId="6305" xr:uid="{00000000-0005-0000-0000-0000CB130000}"/>
    <cellStyle name="제목 5" xfId="266" xr:uid="{00000000-0005-0000-0000-0000CC130000}"/>
    <cellStyle name="제목 5 10" xfId="6285" xr:uid="{00000000-0005-0000-0000-0000CD130000}"/>
    <cellStyle name="제목 5 11" xfId="6510" xr:uid="{00000000-0005-0000-0000-0000CE130000}"/>
    <cellStyle name="제목 5 2" xfId="5798" xr:uid="{00000000-0005-0000-0000-0000CF130000}"/>
    <cellStyle name="제목 5 3" xfId="6458" xr:uid="{00000000-0005-0000-0000-0000D0130000}"/>
    <cellStyle name="제목 5 4" xfId="6326" xr:uid="{00000000-0005-0000-0000-0000D1130000}"/>
    <cellStyle name="제목 5 5" xfId="6467" xr:uid="{00000000-0005-0000-0000-0000D2130000}"/>
    <cellStyle name="제목 5 6" xfId="6316" xr:uid="{00000000-0005-0000-0000-0000D3130000}"/>
    <cellStyle name="제목 5 7" xfId="6476" xr:uid="{00000000-0005-0000-0000-0000D4130000}"/>
    <cellStyle name="제목 5 8" xfId="6303" xr:uid="{00000000-0005-0000-0000-0000D5130000}"/>
    <cellStyle name="제목 5 9" xfId="6492" xr:uid="{00000000-0005-0000-0000-0000D6130000}"/>
    <cellStyle name="제목 6" xfId="3865" xr:uid="{00000000-0005-0000-0000-0000D7130000}"/>
    <cellStyle name="제목 6 10" xfId="3773" xr:uid="{00000000-0005-0000-0000-0000D8130000}"/>
    <cellStyle name="제목 6 11" xfId="3413" xr:uid="{00000000-0005-0000-0000-0000D9130000}"/>
    <cellStyle name="제목 6 2" xfId="4147" xr:uid="{00000000-0005-0000-0000-0000DA130000}"/>
    <cellStyle name="제목 6 3" xfId="4266" xr:uid="{00000000-0005-0000-0000-0000DB130000}"/>
    <cellStyle name="제목 6 4" xfId="3776" xr:uid="{00000000-0005-0000-0000-0000DC130000}"/>
    <cellStyle name="제목 6 5" xfId="3175" xr:uid="{00000000-0005-0000-0000-0000DD130000}"/>
    <cellStyle name="제목 6 6" xfId="3293" xr:uid="{00000000-0005-0000-0000-0000DE130000}"/>
    <cellStyle name="제목 6 7" xfId="2812" xr:uid="{00000000-0005-0000-0000-0000DF130000}"/>
    <cellStyle name="제목 6 8" xfId="2752" xr:uid="{00000000-0005-0000-0000-0000E0130000}"/>
    <cellStyle name="제목 6 9" xfId="2699" xr:uid="{00000000-0005-0000-0000-0000E1130000}"/>
    <cellStyle name="제목 7" xfId="3527" xr:uid="{00000000-0005-0000-0000-0000E2130000}"/>
    <cellStyle name="제목 7 10" xfId="2577" xr:uid="{00000000-0005-0000-0000-0000E3130000}"/>
    <cellStyle name="제목 7 11" xfId="4270" xr:uid="{00000000-0005-0000-0000-0000E4130000}"/>
    <cellStyle name="제목 7 2" xfId="2989" xr:uid="{00000000-0005-0000-0000-0000E5130000}"/>
    <cellStyle name="제목 7 3" xfId="3597" xr:uid="{00000000-0005-0000-0000-0000E6130000}"/>
    <cellStyle name="제목 7 4" xfId="3112" xr:uid="{00000000-0005-0000-0000-0000E7130000}"/>
    <cellStyle name="제목 7 5" xfId="3834" xr:uid="{00000000-0005-0000-0000-0000E8130000}"/>
    <cellStyle name="제목 7 6" xfId="3584" xr:uid="{00000000-0005-0000-0000-0000E9130000}"/>
    <cellStyle name="제목 7 7" xfId="3594" xr:uid="{00000000-0005-0000-0000-0000EA130000}"/>
    <cellStyle name="제목 7 8" xfId="3826" xr:uid="{00000000-0005-0000-0000-0000EB130000}"/>
    <cellStyle name="제목 7 9" xfId="2640" xr:uid="{00000000-0005-0000-0000-0000EC130000}"/>
    <cellStyle name="제목 8" xfId="3360" xr:uid="{00000000-0005-0000-0000-0000ED130000}"/>
    <cellStyle name="제목 8 2" xfId="2877" xr:uid="{00000000-0005-0000-0000-0000EE130000}"/>
    <cellStyle name="제목 8 3" xfId="2805" xr:uid="{00000000-0005-0000-0000-0000EF130000}"/>
    <cellStyle name="제목 8 4" xfId="3969" xr:uid="{00000000-0005-0000-0000-0000F0130000}"/>
    <cellStyle name="제목 8 5" xfId="2875" xr:uid="{00000000-0005-0000-0000-0000F1130000}"/>
    <cellStyle name="제목 9" xfId="4094" xr:uid="{00000000-0005-0000-0000-0000F2130000}"/>
    <cellStyle name="제목 9 2" xfId="2414" xr:uid="{00000000-0005-0000-0000-0000F3130000}"/>
    <cellStyle name="제목 9 3" xfId="4089" xr:uid="{00000000-0005-0000-0000-0000F4130000}"/>
    <cellStyle name="제목 9 4" xfId="3975" xr:uid="{00000000-0005-0000-0000-0000F5130000}"/>
    <cellStyle name="제목 9 5" xfId="4103" xr:uid="{00000000-0005-0000-0000-0000F6130000}"/>
    <cellStyle name="좋음 10" xfId="6493" xr:uid="{00000000-0005-0000-0000-0000F7130000}"/>
    <cellStyle name="좋음 11" xfId="6284" xr:uid="{00000000-0005-0000-0000-0000F8130000}"/>
    <cellStyle name="좋음 12" xfId="6511" xr:uid="{00000000-0005-0000-0000-0000F9130000}"/>
    <cellStyle name="좋음 13" xfId="49568" xr:uid="{00000000-0005-0000-0000-0000FA130000}"/>
    <cellStyle name="좋음 14" xfId="49569" xr:uid="{00000000-0005-0000-0000-0000FB130000}"/>
    <cellStyle name="좋음 15" xfId="49570" xr:uid="{00000000-0005-0000-0000-0000FC130000}"/>
    <cellStyle name="좋음 16" xfId="49571" xr:uid="{00000000-0005-0000-0000-0000FD130000}"/>
    <cellStyle name="좋음 17" xfId="49572" xr:uid="{00000000-0005-0000-0000-0000FE130000}"/>
    <cellStyle name="좋음 18" xfId="49573" xr:uid="{00000000-0005-0000-0000-0000FF130000}"/>
    <cellStyle name="좋음 19" xfId="49574" xr:uid="{00000000-0005-0000-0000-000000140000}"/>
    <cellStyle name="좋음 2" xfId="267" xr:uid="{00000000-0005-0000-0000-000001140000}"/>
    <cellStyle name="좋음 2 10" xfId="6283" xr:uid="{00000000-0005-0000-0000-000002140000}"/>
    <cellStyle name="좋음 2 11" xfId="6512" xr:uid="{00000000-0005-0000-0000-000003140000}"/>
    <cellStyle name="좋음 2 2" xfId="5799" xr:uid="{00000000-0005-0000-0000-000004140000}"/>
    <cellStyle name="좋음 2 3" xfId="6459" xr:uid="{00000000-0005-0000-0000-000005140000}"/>
    <cellStyle name="좋음 2 4" xfId="6325" xr:uid="{00000000-0005-0000-0000-000006140000}"/>
    <cellStyle name="좋음 2 5" xfId="6468" xr:uid="{00000000-0005-0000-0000-000007140000}"/>
    <cellStyle name="좋음 2 6" xfId="6315" xr:uid="{00000000-0005-0000-0000-000008140000}"/>
    <cellStyle name="좋음 2 7" xfId="6477" xr:uid="{00000000-0005-0000-0000-000009140000}"/>
    <cellStyle name="좋음 2 8" xfId="6301" xr:uid="{00000000-0005-0000-0000-00000A140000}"/>
    <cellStyle name="좋음 2 9" xfId="6494" xr:uid="{00000000-0005-0000-0000-00000B140000}"/>
    <cellStyle name="좋음 20" xfId="49575" xr:uid="{00000000-0005-0000-0000-00000C140000}"/>
    <cellStyle name="좋음 21" xfId="49576" xr:uid="{00000000-0005-0000-0000-00000D140000}"/>
    <cellStyle name="좋음 22" xfId="49577" xr:uid="{00000000-0005-0000-0000-00000E140000}"/>
    <cellStyle name="좋음 23" xfId="49578" xr:uid="{00000000-0005-0000-0000-00000F140000}"/>
    <cellStyle name="좋음 24" xfId="49579" xr:uid="{00000000-0005-0000-0000-000010140000}"/>
    <cellStyle name="좋음 25" xfId="49580" xr:uid="{00000000-0005-0000-0000-000011140000}"/>
    <cellStyle name="좋음 26" xfId="49581" xr:uid="{00000000-0005-0000-0000-000012140000}"/>
    <cellStyle name="좋음 27" xfId="49582" xr:uid="{00000000-0005-0000-0000-000013140000}"/>
    <cellStyle name="좋음 28" xfId="49583" xr:uid="{00000000-0005-0000-0000-000014140000}"/>
    <cellStyle name="좋음 29" xfId="49584" xr:uid="{00000000-0005-0000-0000-000015140000}"/>
    <cellStyle name="좋음 3" xfId="2644" xr:uid="{00000000-0005-0000-0000-000016140000}"/>
    <cellStyle name="좋음 3 10" xfId="2887" xr:uid="{00000000-0005-0000-0000-000017140000}"/>
    <cellStyle name="좋음 3 11" xfId="2883" xr:uid="{00000000-0005-0000-0000-000018140000}"/>
    <cellStyle name="좋음 3 2" xfId="3856" xr:uid="{00000000-0005-0000-0000-000019140000}"/>
    <cellStyle name="좋음 3 3" xfId="3133" xr:uid="{00000000-0005-0000-0000-00001A140000}"/>
    <cellStyle name="좋음 3 4" xfId="2654" xr:uid="{00000000-0005-0000-0000-00001B140000}"/>
    <cellStyle name="좋음 3 5" xfId="3376" xr:uid="{00000000-0005-0000-0000-00001C140000}"/>
    <cellStyle name="좋음 3 6" xfId="3373" xr:uid="{00000000-0005-0000-0000-00001D140000}"/>
    <cellStyle name="좋음 3 7" xfId="2457" xr:uid="{00000000-0005-0000-0000-00001E140000}"/>
    <cellStyle name="좋음 3 8" xfId="3986" xr:uid="{00000000-0005-0000-0000-00001F140000}"/>
    <cellStyle name="좋음 3 9" xfId="2811" xr:uid="{00000000-0005-0000-0000-000020140000}"/>
    <cellStyle name="좋음 30" xfId="49585" xr:uid="{00000000-0005-0000-0000-000021140000}"/>
    <cellStyle name="좋음 31" xfId="49586" xr:uid="{00000000-0005-0000-0000-000022140000}"/>
    <cellStyle name="좋음 32" xfId="49587" xr:uid="{00000000-0005-0000-0000-000023140000}"/>
    <cellStyle name="좋음 33" xfId="49588" xr:uid="{00000000-0005-0000-0000-000024140000}"/>
    <cellStyle name="좋음 4" xfId="2559" xr:uid="{00000000-0005-0000-0000-000025140000}"/>
    <cellStyle name="좋음 4 10" xfId="2849" xr:uid="{00000000-0005-0000-0000-000026140000}"/>
    <cellStyle name="좋음 4 11" xfId="3581" xr:uid="{00000000-0005-0000-0000-000027140000}"/>
    <cellStyle name="좋음 4 2" xfId="2850" xr:uid="{00000000-0005-0000-0000-000028140000}"/>
    <cellStyle name="좋음 4 3" xfId="3908" xr:uid="{00000000-0005-0000-0000-000029140000}"/>
    <cellStyle name="좋음 4 4" xfId="3238" xr:uid="{00000000-0005-0000-0000-00002A140000}"/>
    <cellStyle name="좋음 4 5" xfId="3336" xr:uid="{00000000-0005-0000-0000-00002B140000}"/>
    <cellStyle name="좋음 4 6" xfId="3482" xr:uid="{00000000-0005-0000-0000-00002C140000}"/>
    <cellStyle name="좋음 4 7" xfId="3470" xr:uid="{00000000-0005-0000-0000-00002D140000}"/>
    <cellStyle name="좋음 4 8" xfId="3344" xr:uid="{00000000-0005-0000-0000-00002E140000}"/>
    <cellStyle name="좋음 4 9" xfId="3590" xr:uid="{00000000-0005-0000-0000-00002F140000}"/>
    <cellStyle name="좋음 5" xfId="3304" xr:uid="{00000000-0005-0000-0000-000030140000}"/>
    <cellStyle name="좋음 5 2" xfId="2984" xr:uid="{00000000-0005-0000-0000-000031140000}"/>
    <cellStyle name="좋음 5 3" xfId="2858" xr:uid="{00000000-0005-0000-0000-000032140000}"/>
    <cellStyle name="좋음 5 4" xfId="3108" xr:uid="{00000000-0005-0000-0000-000033140000}"/>
    <cellStyle name="좋음 5 5" xfId="317" xr:uid="{00000000-0005-0000-0000-000034140000}"/>
    <cellStyle name="좋음 6" xfId="2600" xr:uid="{00000000-0005-0000-0000-000035140000}"/>
    <cellStyle name="좋음 6 2" xfId="3371" xr:uid="{00000000-0005-0000-0000-000036140000}"/>
    <cellStyle name="좋음 6 3" xfId="3311" xr:uid="{00000000-0005-0000-0000-000037140000}"/>
    <cellStyle name="좋음 6 4" xfId="2572" xr:uid="{00000000-0005-0000-0000-000038140000}"/>
    <cellStyle name="좋음 6 5" xfId="2732" xr:uid="{00000000-0005-0000-0000-000039140000}"/>
    <cellStyle name="좋음 7" xfId="4197" xr:uid="{00000000-0005-0000-0000-00003A140000}"/>
    <cellStyle name="좋음 7 2" xfId="2810" xr:uid="{00000000-0005-0000-0000-00003B140000}"/>
    <cellStyle name="좋음 8" xfId="2919" xr:uid="{00000000-0005-0000-0000-00003C140000}"/>
    <cellStyle name="좋음 8 2" xfId="4176" xr:uid="{00000000-0005-0000-0000-00003D140000}"/>
    <cellStyle name="좋음 9" xfId="6302" xr:uid="{00000000-0005-0000-0000-00003E140000}"/>
    <cellStyle name="지정되지 않음" xfId="268" xr:uid="{00000000-0005-0000-0000-00003F140000}"/>
    <cellStyle name="출력 10" xfId="6495" xr:uid="{00000000-0005-0000-0000-000040140000}"/>
    <cellStyle name="출력 11" xfId="6282" xr:uid="{00000000-0005-0000-0000-000041140000}"/>
    <cellStyle name="출력 12" xfId="6513" xr:uid="{00000000-0005-0000-0000-000042140000}"/>
    <cellStyle name="출력 13" xfId="49589" xr:uid="{00000000-0005-0000-0000-000043140000}"/>
    <cellStyle name="출력 14" xfId="49590" xr:uid="{00000000-0005-0000-0000-000044140000}"/>
    <cellStyle name="출력 15" xfId="49591" xr:uid="{00000000-0005-0000-0000-000045140000}"/>
    <cellStyle name="출력 16" xfId="49592" xr:uid="{00000000-0005-0000-0000-000046140000}"/>
    <cellStyle name="출력 17" xfId="49593" xr:uid="{00000000-0005-0000-0000-000047140000}"/>
    <cellStyle name="출력 18" xfId="49594" xr:uid="{00000000-0005-0000-0000-000048140000}"/>
    <cellStyle name="출력 19" xfId="49595" xr:uid="{00000000-0005-0000-0000-000049140000}"/>
    <cellStyle name="출력 2" xfId="269" xr:uid="{00000000-0005-0000-0000-00004A140000}"/>
    <cellStyle name="출력 2 10" xfId="5801" xr:uid="{00000000-0005-0000-0000-00004B140000}"/>
    <cellStyle name="출력 2 10 2" xfId="5802" xr:uid="{00000000-0005-0000-0000-00004C140000}"/>
    <cellStyle name="출력 2 11" xfId="5803" xr:uid="{00000000-0005-0000-0000-00004D140000}"/>
    <cellStyle name="출력 2 11 2" xfId="5804" xr:uid="{00000000-0005-0000-0000-00004E140000}"/>
    <cellStyle name="출력 2 12" xfId="5805" xr:uid="{00000000-0005-0000-0000-00004F140000}"/>
    <cellStyle name="출력 2 12 2" xfId="5806" xr:uid="{00000000-0005-0000-0000-000050140000}"/>
    <cellStyle name="출력 2 13" xfId="5807" xr:uid="{00000000-0005-0000-0000-000051140000}"/>
    <cellStyle name="출력 2 13 2" xfId="5808" xr:uid="{00000000-0005-0000-0000-000052140000}"/>
    <cellStyle name="출력 2 14" xfId="5809" xr:uid="{00000000-0005-0000-0000-000053140000}"/>
    <cellStyle name="출력 2 14 2" xfId="5810" xr:uid="{00000000-0005-0000-0000-000054140000}"/>
    <cellStyle name="출력 2 15" xfId="5811" xr:uid="{00000000-0005-0000-0000-000055140000}"/>
    <cellStyle name="출력 2 15 2" xfId="5812" xr:uid="{00000000-0005-0000-0000-000056140000}"/>
    <cellStyle name="출력 2 16" xfId="5813" xr:uid="{00000000-0005-0000-0000-000057140000}"/>
    <cellStyle name="출력 2 16 2" xfId="5814" xr:uid="{00000000-0005-0000-0000-000058140000}"/>
    <cellStyle name="출력 2 17" xfId="5815" xr:uid="{00000000-0005-0000-0000-000059140000}"/>
    <cellStyle name="출력 2 17 2" xfId="5816" xr:uid="{00000000-0005-0000-0000-00005A140000}"/>
    <cellStyle name="출력 2 18" xfId="5817" xr:uid="{00000000-0005-0000-0000-00005B140000}"/>
    <cellStyle name="출력 2 18 2" xfId="5818" xr:uid="{00000000-0005-0000-0000-00005C140000}"/>
    <cellStyle name="출력 2 19" xfId="5819" xr:uid="{00000000-0005-0000-0000-00005D140000}"/>
    <cellStyle name="출력 2 19 2" xfId="5820" xr:uid="{00000000-0005-0000-0000-00005E140000}"/>
    <cellStyle name="출력 2 2" xfId="5800" xr:uid="{00000000-0005-0000-0000-00005F140000}"/>
    <cellStyle name="출력 2 2 10" xfId="5821" xr:uid="{00000000-0005-0000-0000-000060140000}"/>
    <cellStyle name="출력 2 2 10 2" xfId="5822" xr:uid="{00000000-0005-0000-0000-000061140000}"/>
    <cellStyle name="출력 2 2 11" xfId="5823" xr:uid="{00000000-0005-0000-0000-000062140000}"/>
    <cellStyle name="출력 2 2 11 2" xfId="5824" xr:uid="{00000000-0005-0000-0000-000063140000}"/>
    <cellStyle name="출력 2 2 12" xfId="5825" xr:uid="{00000000-0005-0000-0000-000064140000}"/>
    <cellStyle name="출력 2 2 12 2" xfId="5826" xr:uid="{00000000-0005-0000-0000-000065140000}"/>
    <cellStyle name="출력 2 2 13" xfId="5827" xr:uid="{00000000-0005-0000-0000-000066140000}"/>
    <cellStyle name="출력 2 2 13 2" xfId="5828" xr:uid="{00000000-0005-0000-0000-000067140000}"/>
    <cellStyle name="출력 2 2 14" xfId="5829" xr:uid="{00000000-0005-0000-0000-000068140000}"/>
    <cellStyle name="출력 2 2 14 2" xfId="5830" xr:uid="{00000000-0005-0000-0000-000069140000}"/>
    <cellStyle name="출력 2 2 15" xfId="5831" xr:uid="{00000000-0005-0000-0000-00006A140000}"/>
    <cellStyle name="출력 2 2 15 2" xfId="5832" xr:uid="{00000000-0005-0000-0000-00006B140000}"/>
    <cellStyle name="출력 2 2 16" xfId="5833" xr:uid="{00000000-0005-0000-0000-00006C140000}"/>
    <cellStyle name="출력 2 2 16 2" xfId="5834" xr:uid="{00000000-0005-0000-0000-00006D140000}"/>
    <cellStyle name="출력 2 2 17" xfId="5835" xr:uid="{00000000-0005-0000-0000-00006E140000}"/>
    <cellStyle name="출력 2 2 17 2" xfId="5836" xr:uid="{00000000-0005-0000-0000-00006F140000}"/>
    <cellStyle name="출력 2 2 18" xfId="5837" xr:uid="{00000000-0005-0000-0000-000070140000}"/>
    <cellStyle name="출력 2 2 18 2" xfId="5838" xr:uid="{00000000-0005-0000-0000-000071140000}"/>
    <cellStyle name="출력 2 2 19" xfId="5839" xr:uid="{00000000-0005-0000-0000-000072140000}"/>
    <cellStyle name="출력 2 2 19 2" xfId="5840" xr:uid="{00000000-0005-0000-0000-000073140000}"/>
    <cellStyle name="출력 2 2 2" xfId="5841" xr:uid="{00000000-0005-0000-0000-000074140000}"/>
    <cellStyle name="출력 2 2 2 10" xfId="5842" xr:uid="{00000000-0005-0000-0000-000075140000}"/>
    <cellStyle name="출력 2 2 2 10 2" xfId="5843" xr:uid="{00000000-0005-0000-0000-000076140000}"/>
    <cellStyle name="출력 2 2 2 11" xfId="5844" xr:uid="{00000000-0005-0000-0000-000077140000}"/>
    <cellStyle name="출력 2 2 2 11 2" xfId="5845" xr:uid="{00000000-0005-0000-0000-000078140000}"/>
    <cellStyle name="출력 2 2 2 12" xfId="5846" xr:uid="{00000000-0005-0000-0000-000079140000}"/>
    <cellStyle name="출력 2 2 2 12 2" xfId="5847" xr:uid="{00000000-0005-0000-0000-00007A140000}"/>
    <cellStyle name="출력 2 2 2 13" xfId="5848" xr:uid="{00000000-0005-0000-0000-00007B140000}"/>
    <cellStyle name="출력 2 2 2 13 2" xfId="5849" xr:uid="{00000000-0005-0000-0000-00007C140000}"/>
    <cellStyle name="출력 2 2 2 14" xfId="5850" xr:uid="{00000000-0005-0000-0000-00007D140000}"/>
    <cellStyle name="출력 2 2 2 14 2" xfId="5851" xr:uid="{00000000-0005-0000-0000-00007E140000}"/>
    <cellStyle name="출력 2 2 2 15" xfId="5852" xr:uid="{00000000-0005-0000-0000-00007F140000}"/>
    <cellStyle name="출력 2 2 2 15 2" xfId="5853" xr:uid="{00000000-0005-0000-0000-000080140000}"/>
    <cellStyle name="출력 2 2 2 16" xfId="5854" xr:uid="{00000000-0005-0000-0000-000081140000}"/>
    <cellStyle name="출력 2 2 2 16 2" xfId="5855" xr:uid="{00000000-0005-0000-0000-000082140000}"/>
    <cellStyle name="출력 2 2 2 17" xfId="5856" xr:uid="{00000000-0005-0000-0000-000083140000}"/>
    <cellStyle name="출력 2 2 2 17 2" xfId="5857" xr:uid="{00000000-0005-0000-0000-000084140000}"/>
    <cellStyle name="출력 2 2 2 18" xfId="5858" xr:uid="{00000000-0005-0000-0000-000085140000}"/>
    <cellStyle name="출력 2 2 2 18 2" xfId="5859" xr:uid="{00000000-0005-0000-0000-000086140000}"/>
    <cellStyle name="출력 2 2 2 19" xfId="5860" xr:uid="{00000000-0005-0000-0000-000087140000}"/>
    <cellStyle name="출력 2 2 2 19 2" xfId="5861" xr:uid="{00000000-0005-0000-0000-000088140000}"/>
    <cellStyle name="출력 2 2 2 2" xfId="5862" xr:uid="{00000000-0005-0000-0000-000089140000}"/>
    <cellStyle name="출력 2 2 2 2 10" xfId="5863" xr:uid="{00000000-0005-0000-0000-00008A140000}"/>
    <cellStyle name="출력 2 2 2 2 10 2" xfId="5864" xr:uid="{00000000-0005-0000-0000-00008B140000}"/>
    <cellStyle name="출력 2 2 2 2 11" xfId="5865" xr:uid="{00000000-0005-0000-0000-00008C140000}"/>
    <cellStyle name="출력 2 2 2 2 11 2" xfId="5866" xr:uid="{00000000-0005-0000-0000-00008D140000}"/>
    <cellStyle name="출력 2 2 2 2 12" xfId="5867" xr:uid="{00000000-0005-0000-0000-00008E140000}"/>
    <cellStyle name="출력 2 2 2 2 12 2" xfId="5868" xr:uid="{00000000-0005-0000-0000-00008F140000}"/>
    <cellStyle name="출력 2 2 2 2 13" xfId="5869" xr:uid="{00000000-0005-0000-0000-000090140000}"/>
    <cellStyle name="출력 2 2 2 2 13 2" xfId="5870" xr:uid="{00000000-0005-0000-0000-000091140000}"/>
    <cellStyle name="출력 2 2 2 2 14" xfId="5871" xr:uid="{00000000-0005-0000-0000-000092140000}"/>
    <cellStyle name="출력 2 2 2 2 14 2" xfId="5872" xr:uid="{00000000-0005-0000-0000-000093140000}"/>
    <cellStyle name="출력 2 2 2 2 15" xfId="5873" xr:uid="{00000000-0005-0000-0000-000094140000}"/>
    <cellStyle name="출력 2 2 2 2 15 2" xfId="5874" xr:uid="{00000000-0005-0000-0000-000095140000}"/>
    <cellStyle name="출력 2 2 2 2 16" xfId="5875" xr:uid="{00000000-0005-0000-0000-000096140000}"/>
    <cellStyle name="출력 2 2 2 2 16 2" xfId="5876" xr:uid="{00000000-0005-0000-0000-000097140000}"/>
    <cellStyle name="출력 2 2 2 2 17" xfId="5877" xr:uid="{00000000-0005-0000-0000-000098140000}"/>
    <cellStyle name="출력 2 2 2 2 17 2" xfId="5878" xr:uid="{00000000-0005-0000-0000-000099140000}"/>
    <cellStyle name="출력 2 2 2 2 18" xfId="5879" xr:uid="{00000000-0005-0000-0000-00009A140000}"/>
    <cellStyle name="출력 2 2 2 2 18 2" xfId="5880" xr:uid="{00000000-0005-0000-0000-00009B140000}"/>
    <cellStyle name="출력 2 2 2 2 19" xfId="5881" xr:uid="{00000000-0005-0000-0000-00009C140000}"/>
    <cellStyle name="출력 2 2 2 2 19 2" xfId="5882" xr:uid="{00000000-0005-0000-0000-00009D140000}"/>
    <cellStyle name="출력 2 2 2 2 2" xfId="5883" xr:uid="{00000000-0005-0000-0000-00009E140000}"/>
    <cellStyle name="출력 2 2 2 2 2 2" xfId="5884" xr:uid="{00000000-0005-0000-0000-00009F140000}"/>
    <cellStyle name="출력 2 2 2 2 20" xfId="5885" xr:uid="{00000000-0005-0000-0000-0000A0140000}"/>
    <cellStyle name="출력 2 2 2 2 3" xfId="5886" xr:uid="{00000000-0005-0000-0000-0000A1140000}"/>
    <cellStyle name="출력 2 2 2 2 3 2" xfId="5887" xr:uid="{00000000-0005-0000-0000-0000A2140000}"/>
    <cellStyle name="출력 2 2 2 2 4" xfId="5888" xr:uid="{00000000-0005-0000-0000-0000A3140000}"/>
    <cellStyle name="출력 2 2 2 2 4 2" xfId="5889" xr:uid="{00000000-0005-0000-0000-0000A4140000}"/>
    <cellStyle name="출력 2 2 2 2 5" xfId="5890" xr:uid="{00000000-0005-0000-0000-0000A5140000}"/>
    <cellStyle name="출력 2 2 2 2 5 2" xfId="5891" xr:uid="{00000000-0005-0000-0000-0000A6140000}"/>
    <cellStyle name="출력 2 2 2 2 6" xfId="5892" xr:uid="{00000000-0005-0000-0000-0000A7140000}"/>
    <cellStyle name="출력 2 2 2 2 6 2" xfId="5893" xr:uid="{00000000-0005-0000-0000-0000A8140000}"/>
    <cellStyle name="출력 2 2 2 2 7" xfId="5894" xr:uid="{00000000-0005-0000-0000-0000A9140000}"/>
    <cellStyle name="출력 2 2 2 2 7 2" xfId="5895" xr:uid="{00000000-0005-0000-0000-0000AA140000}"/>
    <cellStyle name="출력 2 2 2 2 8" xfId="5896" xr:uid="{00000000-0005-0000-0000-0000AB140000}"/>
    <cellStyle name="출력 2 2 2 2 8 2" xfId="5897" xr:uid="{00000000-0005-0000-0000-0000AC140000}"/>
    <cellStyle name="출력 2 2 2 2 9" xfId="5898" xr:uid="{00000000-0005-0000-0000-0000AD140000}"/>
    <cellStyle name="출력 2 2 2 2 9 2" xfId="5899" xr:uid="{00000000-0005-0000-0000-0000AE140000}"/>
    <cellStyle name="출력 2 2 2 20" xfId="5900" xr:uid="{00000000-0005-0000-0000-0000AF140000}"/>
    <cellStyle name="출력 2 2 2 20 2" xfId="5901" xr:uid="{00000000-0005-0000-0000-0000B0140000}"/>
    <cellStyle name="출력 2 2 2 21" xfId="5902" xr:uid="{00000000-0005-0000-0000-0000B1140000}"/>
    <cellStyle name="출력 2 2 2 3" xfId="5903" xr:uid="{00000000-0005-0000-0000-0000B2140000}"/>
    <cellStyle name="출력 2 2 2 3 2" xfId="5904" xr:uid="{00000000-0005-0000-0000-0000B3140000}"/>
    <cellStyle name="출력 2 2 2 4" xfId="5905" xr:uid="{00000000-0005-0000-0000-0000B4140000}"/>
    <cellStyle name="출력 2 2 2 4 2" xfId="5906" xr:uid="{00000000-0005-0000-0000-0000B5140000}"/>
    <cellStyle name="출력 2 2 2 5" xfId="5907" xr:uid="{00000000-0005-0000-0000-0000B6140000}"/>
    <cellStyle name="출력 2 2 2 5 2" xfId="5908" xr:uid="{00000000-0005-0000-0000-0000B7140000}"/>
    <cellStyle name="출력 2 2 2 6" xfId="5909" xr:uid="{00000000-0005-0000-0000-0000B8140000}"/>
    <cellStyle name="출력 2 2 2 6 2" xfId="5910" xr:uid="{00000000-0005-0000-0000-0000B9140000}"/>
    <cellStyle name="출력 2 2 2 7" xfId="5911" xr:uid="{00000000-0005-0000-0000-0000BA140000}"/>
    <cellStyle name="출력 2 2 2 7 2" xfId="5912" xr:uid="{00000000-0005-0000-0000-0000BB140000}"/>
    <cellStyle name="출력 2 2 2 8" xfId="5913" xr:uid="{00000000-0005-0000-0000-0000BC140000}"/>
    <cellStyle name="출력 2 2 2 8 2" xfId="5914" xr:uid="{00000000-0005-0000-0000-0000BD140000}"/>
    <cellStyle name="출력 2 2 2 9" xfId="5915" xr:uid="{00000000-0005-0000-0000-0000BE140000}"/>
    <cellStyle name="출력 2 2 2 9 2" xfId="5916" xr:uid="{00000000-0005-0000-0000-0000BF140000}"/>
    <cellStyle name="출력 2 2 20" xfId="5917" xr:uid="{00000000-0005-0000-0000-0000C0140000}"/>
    <cellStyle name="출력 2 2 20 2" xfId="5918" xr:uid="{00000000-0005-0000-0000-0000C1140000}"/>
    <cellStyle name="출력 2 2 21" xfId="5919" xr:uid="{00000000-0005-0000-0000-0000C2140000}"/>
    <cellStyle name="출력 2 2 21 2" xfId="5920" xr:uid="{00000000-0005-0000-0000-0000C3140000}"/>
    <cellStyle name="출력 2 2 22" xfId="5921" xr:uid="{00000000-0005-0000-0000-0000C4140000}"/>
    <cellStyle name="출력 2 2 22 2" xfId="5922" xr:uid="{00000000-0005-0000-0000-0000C5140000}"/>
    <cellStyle name="출력 2 2 23" xfId="5923" xr:uid="{00000000-0005-0000-0000-0000C6140000}"/>
    <cellStyle name="출력 2 2 23 2" xfId="5924" xr:uid="{00000000-0005-0000-0000-0000C7140000}"/>
    <cellStyle name="출력 2 2 24" xfId="5925" xr:uid="{00000000-0005-0000-0000-0000C8140000}"/>
    <cellStyle name="출력 2 2 24 2" xfId="5926" xr:uid="{00000000-0005-0000-0000-0000C9140000}"/>
    <cellStyle name="출력 2 2 25" xfId="5927" xr:uid="{00000000-0005-0000-0000-0000CA140000}"/>
    <cellStyle name="출력 2 2 3" xfId="5928" xr:uid="{00000000-0005-0000-0000-0000CB140000}"/>
    <cellStyle name="출력 2 2 3 10" xfId="5929" xr:uid="{00000000-0005-0000-0000-0000CC140000}"/>
    <cellStyle name="출력 2 2 3 10 2" xfId="5930" xr:uid="{00000000-0005-0000-0000-0000CD140000}"/>
    <cellStyle name="출력 2 2 3 11" xfId="5931" xr:uid="{00000000-0005-0000-0000-0000CE140000}"/>
    <cellStyle name="출력 2 2 3 11 2" xfId="5932" xr:uid="{00000000-0005-0000-0000-0000CF140000}"/>
    <cellStyle name="출력 2 2 3 12" xfId="5933" xr:uid="{00000000-0005-0000-0000-0000D0140000}"/>
    <cellStyle name="출력 2 2 3 12 2" xfId="5934" xr:uid="{00000000-0005-0000-0000-0000D1140000}"/>
    <cellStyle name="출력 2 2 3 13" xfId="5935" xr:uid="{00000000-0005-0000-0000-0000D2140000}"/>
    <cellStyle name="출력 2 2 3 13 2" xfId="5936" xr:uid="{00000000-0005-0000-0000-0000D3140000}"/>
    <cellStyle name="출력 2 2 3 14" xfId="5937" xr:uid="{00000000-0005-0000-0000-0000D4140000}"/>
    <cellStyle name="출력 2 2 3 14 2" xfId="5938" xr:uid="{00000000-0005-0000-0000-0000D5140000}"/>
    <cellStyle name="출력 2 2 3 15" xfId="5939" xr:uid="{00000000-0005-0000-0000-0000D6140000}"/>
    <cellStyle name="출력 2 2 3 15 2" xfId="5940" xr:uid="{00000000-0005-0000-0000-0000D7140000}"/>
    <cellStyle name="출력 2 2 3 16" xfId="5941" xr:uid="{00000000-0005-0000-0000-0000D8140000}"/>
    <cellStyle name="출력 2 2 3 16 2" xfId="5942" xr:uid="{00000000-0005-0000-0000-0000D9140000}"/>
    <cellStyle name="출력 2 2 3 17" xfId="5943" xr:uid="{00000000-0005-0000-0000-0000DA140000}"/>
    <cellStyle name="출력 2 2 3 17 2" xfId="5944" xr:uid="{00000000-0005-0000-0000-0000DB140000}"/>
    <cellStyle name="출력 2 2 3 18" xfId="5945" xr:uid="{00000000-0005-0000-0000-0000DC140000}"/>
    <cellStyle name="출력 2 2 3 18 2" xfId="5946" xr:uid="{00000000-0005-0000-0000-0000DD140000}"/>
    <cellStyle name="출력 2 2 3 19" xfId="5947" xr:uid="{00000000-0005-0000-0000-0000DE140000}"/>
    <cellStyle name="출력 2 2 3 19 2" xfId="5948" xr:uid="{00000000-0005-0000-0000-0000DF140000}"/>
    <cellStyle name="출력 2 2 3 2" xfId="5949" xr:uid="{00000000-0005-0000-0000-0000E0140000}"/>
    <cellStyle name="출력 2 2 3 2 10" xfId="5950" xr:uid="{00000000-0005-0000-0000-0000E1140000}"/>
    <cellStyle name="출력 2 2 3 2 10 2" xfId="5951" xr:uid="{00000000-0005-0000-0000-0000E2140000}"/>
    <cellStyle name="출력 2 2 3 2 11" xfId="5952" xr:uid="{00000000-0005-0000-0000-0000E3140000}"/>
    <cellStyle name="출력 2 2 3 2 11 2" xfId="5953" xr:uid="{00000000-0005-0000-0000-0000E4140000}"/>
    <cellStyle name="출력 2 2 3 2 12" xfId="5954" xr:uid="{00000000-0005-0000-0000-0000E5140000}"/>
    <cellStyle name="출력 2 2 3 2 12 2" xfId="5955" xr:uid="{00000000-0005-0000-0000-0000E6140000}"/>
    <cellStyle name="출력 2 2 3 2 13" xfId="5956" xr:uid="{00000000-0005-0000-0000-0000E7140000}"/>
    <cellStyle name="출력 2 2 3 2 13 2" xfId="5957" xr:uid="{00000000-0005-0000-0000-0000E8140000}"/>
    <cellStyle name="출력 2 2 3 2 14" xfId="5958" xr:uid="{00000000-0005-0000-0000-0000E9140000}"/>
    <cellStyle name="출력 2 2 3 2 14 2" xfId="5959" xr:uid="{00000000-0005-0000-0000-0000EA140000}"/>
    <cellStyle name="출력 2 2 3 2 15" xfId="5960" xr:uid="{00000000-0005-0000-0000-0000EB140000}"/>
    <cellStyle name="출력 2 2 3 2 15 2" xfId="5961" xr:uid="{00000000-0005-0000-0000-0000EC140000}"/>
    <cellStyle name="출력 2 2 3 2 16" xfId="5962" xr:uid="{00000000-0005-0000-0000-0000ED140000}"/>
    <cellStyle name="출력 2 2 3 2 16 2" xfId="5963" xr:uid="{00000000-0005-0000-0000-0000EE140000}"/>
    <cellStyle name="출력 2 2 3 2 17" xfId="5964" xr:uid="{00000000-0005-0000-0000-0000EF140000}"/>
    <cellStyle name="출력 2 2 3 2 17 2" xfId="5965" xr:uid="{00000000-0005-0000-0000-0000F0140000}"/>
    <cellStyle name="출력 2 2 3 2 18" xfId="5966" xr:uid="{00000000-0005-0000-0000-0000F1140000}"/>
    <cellStyle name="출력 2 2 3 2 18 2" xfId="5967" xr:uid="{00000000-0005-0000-0000-0000F2140000}"/>
    <cellStyle name="출력 2 2 3 2 19" xfId="5968" xr:uid="{00000000-0005-0000-0000-0000F3140000}"/>
    <cellStyle name="출력 2 2 3 2 19 2" xfId="5969" xr:uid="{00000000-0005-0000-0000-0000F4140000}"/>
    <cellStyle name="출력 2 2 3 2 2" xfId="5970" xr:uid="{00000000-0005-0000-0000-0000F5140000}"/>
    <cellStyle name="출력 2 2 3 2 2 2" xfId="5971" xr:uid="{00000000-0005-0000-0000-0000F6140000}"/>
    <cellStyle name="출력 2 2 3 2 20" xfId="5972" xr:uid="{00000000-0005-0000-0000-0000F7140000}"/>
    <cellStyle name="출력 2 2 3 2 3" xfId="5973" xr:uid="{00000000-0005-0000-0000-0000F8140000}"/>
    <cellStyle name="출력 2 2 3 2 3 2" xfId="5974" xr:uid="{00000000-0005-0000-0000-0000F9140000}"/>
    <cellStyle name="출력 2 2 3 2 4" xfId="5975" xr:uid="{00000000-0005-0000-0000-0000FA140000}"/>
    <cellStyle name="출력 2 2 3 2 4 2" xfId="5976" xr:uid="{00000000-0005-0000-0000-0000FB140000}"/>
    <cellStyle name="출력 2 2 3 2 5" xfId="5977" xr:uid="{00000000-0005-0000-0000-0000FC140000}"/>
    <cellStyle name="출력 2 2 3 2 5 2" xfId="5978" xr:uid="{00000000-0005-0000-0000-0000FD140000}"/>
    <cellStyle name="출력 2 2 3 2 6" xfId="5979" xr:uid="{00000000-0005-0000-0000-0000FE140000}"/>
    <cellStyle name="출력 2 2 3 2 6 2" xfId="5980" xr:uid="{00000000-0005-0000-0000-0000FF140000}"/>
    <cellStyle name="출력 2 2 3 2 7" xfId="5981" xr:uid="{00000000-0005-0000-0000-000000150000}"/>
    <cellStyle name="출력 2 2 3 2 7 2" xfId="5982" xr:uid="{00000000-0005-0000-0000-000001150000}"/>
    <cellStyle name="출력 2 2 3 2 8" xfId="5983" xr:uid="{00000000-0005-0000-0000-000002150000}"/>
    <cellStyle name="출력 2 2 3 2 8 2" xfId="5984" xr:uid="{00000000-0005-0000-0000-000003150000}"/>
    <cellStyle name="출력 2 2 3 2 9" xfId="5985" xr:uid="{00000000-0005-0000-0000-000004150000}"/>
    <cellStyle name="출력 2 2 3 2 9 2" xfId="5986" xr:uid="{00000000-0005-0000-0000-000005150000}"/>
    <cellStyle name="출력 2 2 3 20" xfId="5987" xr:uid="{00000000-0005-0000-0000-000006150000}"/>
    <cellStyle name="출력 2 2 3 20 2" xfId="5988" xr:uid="{00000000-0005-0000-0000-000007150000}"/>
    <cellStyle name="출력 2 2 3 21" xfId="5989" xr:uid="{00000000-0005-0000-0000-000008150000}"/>
    <cellStyle name="출력 2 2 3 3" xfId="5990" xr:uid="{00000000-0005-0000-0000-000009150000}"/>
    <cellStyle name="출력 2 2 3 3 2" xfId="5991" xr:uid="{00000000-0005-0000-0000-00000A150000}"/>
    <cellStyle name="출력 2 2 3 4" xfId="5992" xr:uid="{00000000-0005-0000-0000-00000B150000}"/>
    <cellStyle name="출력 2 2 3 4 2" xfId="5993" xr:uid="{00000000-0005-0000-0000-00000C150000}"/>
    <cellStyle name="출력 2 2 3 5" xfId="5994" xr:uid="{00000000-0005-0000-0000-00000D150000}"/>
    <cellStyle name="출력 2 2 3 5 2" xfId="5995" xr:uid="{00000000-0005-0000-0000-00000E150000}"/>
    <cellStyle name="출력 2 2 3 6" xfId="5996" xr:uid="{00000000-0005-0000-0000-00000F150000}"/>
    <cellStyle name="출력 2 2 3 6 2" xfId="5997" xr:uid="{00000000-0005-0000-0000-000010150000}"/>
    <cellStyle name="출력 2 2 3 7" xfId="5998" xr:uid="{00000000-0005-0000-0000-000011150000}"/>
    <cellStyle name="출력 2 2 3 7 2" xfId="5999" xr:uid="{00000000-0005-0000-0000-000012150000}"/>
    <cellStyle name="출력 2 2 3 8" xfId="6000" xr:uid="{00000000-0005-0000-0000-000013150000}"/>
    <cellStyle name="출력 2 2 3 8 2" xfId="6001" xr:uid="{00000000-0005-0000-0000-000014150000}"/>
    <cellStyle name="출력 2 2 3 9" xfId="6002" xr:uid="{00000000-0005-0000-0000-000015150000}"/>
    <cellStyle name="출력 2 2 3 9 2" xfId="6003" xr:uid="{00000000-0005-0000-0000-000016150000}"/>
    <cellStyle name="출력 2 2 4" xfId="6004" xr:uid="{00000000-0005-0000-0000-000017150000}"/>
    <cellStyle name="출력 2 2 4 10" xfId="6005" xr:uid="{00000000-0005-0000-0000-000018150000}"/>
    <cellStyle name="출력 2 2 4 10 2" xfId="6006" xr:uid="{00000000-0005-0000-0000-000019150000}"/>
    <cellStyle name="출력 2 2 4 11" xfId="6007" xr:uid="{00000000-0005-0000-0000-00001A150000}"/>
    <cellStyle name="출력 2 2 4 11 2" xfId="6008" xr:uid="{00000000-0005-0000-0000-00001B150000}"/>
    <cellStyle name="출력 2 2 4 12" xfId="6009" xr:uid="{00000000-0005-0000-0000-00001C150000}"/>
    <cellStyle name="출력 2 2 4 12 2" xfId="6010" xr:uid="{00000000-0005-0000-0000-00001D150000}"/>
    <cellStyle name="출력 2 2 4 13" xfId="6011" xr:uid="{00000000-0005-0000-0000-00001E150000}"/>
    <cellStyle name="출력 2 2 4 13 2" xfId="6012" xr:uid="{00000000-0005-0000-0000-00001F150000}"/>
    <cellStyle name="출력 2 2 4 14" xfId="6013" xr:uid="{00000000-0005-0000-0000-000020150000}"/>
    <cellStyle name="출력 2 2 4 14 2" xfId="6014" xr:uid="{00000000-0005-0000-0000-000021150000}"/>
    <cellStyle name="출력 2 2 4 15" xfId="6015" xr:uid="{00000000-0005-0000-0000-000022150000}"/>
    <cellStyle name="출력 2 2 4 15 2" xfId="6016" xr:uid="{00000000-0005-0000-0000-000023150000}"/>
    <cellStyle name="출력 2 2 4 16" xfId="6017" xr:uid="{00000000-0005-0000-0000-000024150000}"/>
    <cellStyle name="출력 2 2 4 16 2" xfId="6018" xr:uid="{00000000-0005-0000-0000-000025150000}"/>
    <cellStyle name="출력 2 2 4 17" xfId="6019" xr:uid="{00000000-0005-0000-0000-000026150000}"/>
    <cellStyle name="출력 2 2 4 17 2" xfId="6020" xr:uid="{00000000-0005-0000-0000-000027150000}"/>
    <cellStyle name="출력 2 2 4 18" xfId="6021" xr:uid="{00000000-0005-0000-0000-000028150000}"/>
    <cellStyle name="출력 2 2 4 18 2" xfId="6022" xr:uid="{00000000-0005-0000-0000-000029150000}"/>
    <cellStyle name="출력 2 2 4 19" xfId="6023" xr:uid="{00000000-0005-0000-0000-00002A150000}"/>
    <cellStyle name="출력 2 2 4 19 2" xfId="6024" xr:uid="{00000000-0005-0000-0000-00002B150000}"/>
    <cellStyle name="출력 2 2 4 2" xfId="6025" xr:uid="{00000000-0005-0000-0000-00002C150000}"/>
    <cellStyle name="출력 2 2 4 2 10" xfId="6026" xr:uid="{00000000-0005-0000-0000-00002D150000}"/>
    <cellStyle name="출력 2 2 4 2 10 2" xfId="6027" xr:uid="{00000000-0005-0000-0000-00002E150000}"/>
    <cellStyle name="출력 2 2 4 2 11" xfId="6028" xr:uid="{00000000-0005-0000-0000-00002F150000}"/>
    <cellStyle name="출력 2 2 4 2 11 2" xfId="6029" xr:uid="{00000000-0005-0000-0000-000030150000}"/>
    <cellStyle name="출력 2 2 4 2 12" xfId="6030" xr:uid="{00000000-0005-0000-0000-000031150000}"/>
    <cellStyle name="출력 2 2 4 2 12 2" xfId="6031" xr:uid="{00000000-0005-0000-0000-000032150000}"/>
    <cellStyle name="출력 2 2 4 2 13" xfId="6032" xr:uid="{00000000-0005-0000-0000-000033150000}"/>
    <cellStyle name="출력 2 2 4 2 13 2" xfId="6033" xr:uid="{00000000-0005-0000-0000-000034150000}"/>
    <cellStyle name="출력 2 2 4 2 14" xfId="6034" xr:uid="{00000000-0005-0000-0000-000035150000}"/>
    <cellStyle name="출력 2 2 4 2 14 2" xfId="6035" xr:uid="{00000000-0005-0000-0000-000036150000}"/>
    <cellStyle name="출력 2 2 4 2 15" xfId="6036" xr:uid="{00000000-0005-0000-0000-000037150000}"/>
    <cellStyle name="출력 2 2 4 2 15 2" xfId="6037" xr:uid="{00000000-0005-0000-0000-000038150000}"/>
    <cellStyle name="출력 2 2 4 2 16" xfId="6038" xr:uid="{00000000-0005-0000-0000-000039150000}"/>
    <cellStyle name="출력 2 2 4 2 16 2" xfId="6039" xr:uid="{00000000-0005-0000-0000-00003A150000}"/>
    <cellStyle name="출력 2 2 4 2 17" xfId="6040" xr:uid="{00000000-0005-0000-0000-00003B150000}"/>
    <cellStyle name="출력 2 2 4 2 17 2" xfId="6041" xr:uid="{00000000-0005-0000-0000-00003C150000}"/>
    <cellStyle name="출력 2 2 4 2 18" xfId="6042" xr:uid="{00000000-0005-0000-0000-00003D150000}"/>
    <cellStyle name="출력 2 2 4 2 18 2" xfId="6043" xr:uid="{00000000-0005-0000-0000-00003E150000}"/>
    <cellStyle name="출력 2 2 4 2 19" xfId="6044" xr:uid="{00000000-0005-0000-0000-00003F150000}"/>
    <cellStyle name="출력 2 2 4 2 19 2" xfId="6045" xr:uid="{00000000-0005-0000-0000-000040150000}"/>
    <cellStyle name="출력 2 2 4 2 2" xfId="6046" xr:uid="{00000000-0005-0000-0000-000041150000}"/>
    <cellStyle name="출력 2 2 4 2 2 2" xfId="6047" xr:uid="{00000000-0005-0000-0000-000042150000}"/>
    <cellStyle name="출력 2 2 4 2 20" xfId="6048" xr:uid="{00000000-0005-0000-0000-000043150000}"/>
    <cellStyle name="출력 2 2 4 2 3" xfId="6049" xr:uid="{00000000-0005-0000-0000-000044150000}"/>
    <cellStyle name="출력 2 2 4 2 3 2" xfId="6050" xr:uid="{00000000-0005-0000-0000-000045150000}"/>
    <cellStyle name="출력 2 2 4 2 4" xfId="6051" xr:uid="{00000000-0005-0000-0000-000046150000}"/>
    <cellStyle name="출력 2 2 4 2 4 2" xfId="6052" xr:uid="{00000000-0005-0000-0000-000047150000}"/>
    <cellStyle name="출력 2 2 4 2 5" xfId="6053" xr:uid="{00000000-0005-0000-0000-000048150000}"/>
    <cellStyle name="출력 2 2 4 2 5 2" xfId="6054" xr:uid="{00000000-0005-0000-0000-000049150000}"/>
    <cellStyle name="출력 2 2 4 2 6" xfId="6055" xr:uid="{00000000-0005-0000-0000-00004A150000}"/>
    <cellStyle name="출력 2 2 4 2 6 2" xfId="6056" xr:uid="{00000000-0005-0000-0000-00004B150000}"/>
    <cellStyle name="출력 2 2 4 2 7" xfId="6057" xr:uid="{00000000-0005-0000-0000-00004C150000}"/>
    <cellStyle name="출력 2 2 4 2 7 2" xfId="6058" xr:uid="{00000000-0005-0000-0000-00004D150000}"/>
    <cellStyle name="출력 2 2 4 2 8" xfId="6059" xr:uid="{00000000-0005-0000-0000-00004E150000}"/>
    <cellStyle name="출력 2 2 4 2 8 2" xfId="6060" xr:uid="{00000000-0005-0000-0000-00004F150000}"/>
    <cellStyle name="출력 2 2 4 2 9" xfId="6061" xr:uid="{00000000-0005-0000-0000-000050150000}"/>
    <cellStyle name="출력 2 2 4 2 9 2" xfId="6062" xr:uid="{00000000-0005-0000-0000-000051150000}"/>
    <cellStyle name="출력 2 2 4 20" xfId="6063" xr:uid="{00000000-0005-0000-0000-000052150000}"/>
    <cellStyle name="출력 2 2 4 20 2" xfId="6064" xr:uid="{00000000-0005-0000-0000-000053150000}"/>
    <cellStyle name="출력 2 2 4 21" xfId="6065" xr:uid="{00000000-0005-0000-0000-000054150000}"/>
    <cellStyle name="출력 2 2 4 3" xfId="6066" xr:uid="{00000000-0005-0000-0000-000055150000}"/>
    <cellStyle name="출력 2 2 4 3 2" xfId="6067" xr:uid="{00000000-0005-0000-0000-000056150000}"/>
    <cellStyle name="출력 2 2 4 4" xfId="6068" xr:uid="{00000000-0005-0000-0000-000057150000}"/>
    <cellStyle name="출력 2 2 4 4 2" xfId="6069" xr:uid="{00000000-0005-0000-0000-000058150000}"/>
    <cellStyle name="출력 2 2 4 5" xfId="6070" xr:uid="{00000000-0005-0000-0000-000059150000}"/>
    <cellStyle name="출력 2 2 4 5 2" xfId="6071" xr:uid="{00000000-0005-0000-0000-00005A150000}"/>
    <cellStyle name="출력 2 2 4 6" xfId="6072" xr:uid="{00000000-0005-0000-0000-00005B150000}"/>
    <cellStyle name="출력 2 2 4 6 2" xfId="6073" xr:uid="{00000000-0005-0000-0000-00005C150000}"/>
    <cellStyle name="출력 2 2 4 7" xfId="6074" xr:uid="{00000000-0005-0000-0000-00005D150000}"/>
    <cellStyle name="출력 2 2 4 7 2" xfId="6075" xr:uid="{00000000-0005-0000-0000-00005E150000}"/>
    <cellStyle name="출력 2 2 4 8" xfId="6076" xr:uid="{00000000-0005-0000-0000-00005F150000}"/>
    <cellStyle name="출력 2 2 4 8 2" xfId="6077" xr:uid="{00000000-0005-0000-0000-000060150000}"/>
    <cellStyle name="출력 2 2 4 9" xfId="6078" xr:uid="{00000000-0005-0000-0000-000061150000}"/>
    <cellStyle name="출력 2 2 4 9 2" xfId="6079" xr:uid="{00000000-0005-0000-0000-000062150000}"/>
    <cellStyle name="출력 2 2 5" xfId="6080" xr:uid="{00000000-0005-0000-0000-000063150000}"/>
    <cellStyle name="출력 2 2 5 10" xfId="6081" xr:uid="{00000000-0005-0000-0000-000064150000}"/>
    <cellStyle name="출력 2 2 5 10 2" xfId="6082" xr:uid="{00000000-0005-0000-0000-000065150000}"/>
    <cellStyle name="출력 2 2 5 11" xfId="6083" xr:uid="{00000000-0005-0000-0000-000066150000}"/>
    <cellStyle name="출력 2 2 5 11 2" xfId="6084" xr:uid="{00000000-0005-0000-0000-000067150000}"/>
    <cellStyle name="출력 2 2 5 12" xfId="6085" xr:uid="{00000000-0005-0000-0000-000068150000}"/>
    <cellStyle name="출력 2 2 5 12 2" xfId="6086" xr:uid="{00000000-0005-0000-0000-000069150000}"/>
    <cellStyle name="출력 2 2 5 13" xfId="6087" xr:uid="{00000000-0005-0000-0000-00006A150000}"/>
    <cellStyle name="출력 2 2 5 13 2" xfId="6088" xr:uid="{00000000-0005-0000-0000-00006B150000}"/>
    <cellStyle name="출력 2 2 5 14" xfId="6089" xr:uid="{00000000-0005-0000-0000-00006C150000}"/>
    <cellStyle name="출력 2 2 5 14 2" xfId="6090" xr:uid="{00000000-0005-0000-0000-00006D150000}"/>
    <cellStyle name="출력 2 2 5 15" xfId="6091" xr:uid="{00000000-0005-0000-0000-00006E150000}"/>
    <cellStyle name="출력 2 2 5 15 2" xfId="6092" xr:uid="{00000000-0005-0000-0000-00006F150000}"/>
    <cellStyle name="출력 2 2 5 16" xfId="6093" xr:uid="{00000000-0005-0000-0000-000070150000}"/>
    <cellStyle name="출력 2 2 5 16 2" xfId="6094" xr:uid="{00000000-0005-0000-0000-000071150000}"/>
    <cellStyle name="출력 2 2 5 17" xfId="6095" xr:uid="{00000000-0005-0000-0000-000072150000}"/>
    <cellStyle name="출력 2 2 5 17 2" xfId="6096" xr:uid="{00000000-0005-0000-0000-000073150000}"/>
    <cellStyle name="출력 2 2 5 18" xfId="6097" xr:uid="{00000000-0005-0000-0000-000074150000}"/>
    <cellStyle name="출력 2 2 5 18 2" xfId="6098" xr:uid="{00000000-0005-0000-0000-000075150000}"/>
    <cellStyle name="출력 2 2 5 19" xfId="6099" xr:uid="{00000000-0005-0000-0000-000076150000}"/>
    <cellStyle name="출력 2 2 5 19 2" xfId="6100" xr:uid="{00000000-0005-0000-0000-000077150000}"/>
    <cellStyle name="출력 2 2 5 2" xfId="6101" xr:uid="{00000000-0005-0000-0000-000078150000}"/>
    <cellStyle name="출력 2 2 5 2 10" xfId="6102" xr:uid="{00000000-0005-0000-0000-000079150000}"/>
    <cellStyle name="출력 2 2 5 2 10 2" xfId="6103" xr:uid="{00000000-0005-0000-0000-00007A150000}"/>
    <cellStyle name="출력 2 2 5 2 11" xfId="6104" xr:uid="{00000000-0005-0000-0000-00007B150000}"/>
    <cellStyle name="출력 2 2 5 2 11 2" xfId="6105" xr:uid="{00000000-0005-0000-0000-00007C150000}"/>
    <cellStyle name="출력 2 2 5 2 12" xfId="6106" xr:uid="{00000000-0005-0000-0000-00007D150000}"/>
    <cellStyle name="출력 2 2 5 2 12 2" xfId="6107" xr:uid="{00000000-0005-0000-0000-00007E150000}"/>
    <cellStyle name="출력 2 2 5 2 13" xfId="6108" xr:uid="{00000000-0005-0000-0000-00007F150000}"/>
    <cellStyle name="출력 2 2 5 2 13 2" xfId="6109" xr:uid="{00000000-0005-0000-0000-000080150000}"/>
    <cellStyle name="출력 2 2 5 2 14" xfId="6110" xr:uid="{00000000-0005-0000-0000-000081150000}"/>
    <cellStyle name="출력 2 2 5 2 14 2" xfId="6111" xr:uid="{00000000-0005-0000-0000-000082150000}"/>
    <cellStyle name="출력 2 2 5 2 15" xfId="6112" xr:uid="{00000000-0005-0000-0000-000083150000}"/>
    <cellStyle name="출력 2 2 5 2 15 2" xfId="6113" xr:uid="{00000000-0005-0000-0000-000084150000}"/>
    <cellStyle name="출력 2 2 5 2 16" xfId="6114" xr:uid="{00000000-0005-0000-0000-000085150000}"/>
    <cellStyle name="출력 2 2 5 2 16 2" xfId="6115" xr:uid="{00000000-0005-0000-0000-000086150000}"/>
    <cellStyle name="출력 2 2 5 2 17" xfId="6116" xr:uid="{00000000-0005-0000-0000-000087150000}"/>
    <cellStyle name="출력 2 2 5 2 17 2" xfId="6117" xr:uid="{00000000-0005-0000-0000-000088150000}"/>
    <cellStyle name="출력 2 2 5 2 18" xfId="6118" xr:uid="{00000000-0005-0000-0000-000089150000}"/>
    <cellStyle name="출력 2 2 5 2 18 2" xfId="6119" xr:uid="{00000000-0005-0000-0000-00008A150000}"/>
    <cellStyle name="출력 2 2 5 2 19" xfId="6120" xr:uid="{00000000-0005-0000-0000-00008B150000}"/>
    <cellStyle name="출력 2 2 5 2 19 2" xfId="6121" xr:uid="{00000000-0005-0000-0000-00008C150000}"/>
    <cellStyle name="출력 2 2 5 2 2" xfId="6122" xr:uid="{00000000-0005-0000-0000-00008D150000}"/>
    <cellStyle name="출력 2 2 5 2 2 2" xfId="6123" xr:uid="{00000000-0005-0000-0000-00008E150000}"/>
    <cellStyle name="출력 2 2 5 2 20" xfId="6124" xr:uid="{00000000-0005-0000-0000-00008F150000}"/>
    <cellStyle name="출력 2 2 5 2 3" xfId="6125" xr:uid="{00000000-0005-0000-0000-000090150000}"/>
    <cellStyle name="출력 2 2 5 2 3 2" xfId="6126" xr:uid="{00000000-0005-0000-0000-000091150000}"/>
    <cellStyle name="출력 2 2 5 2 4" xfId="6127" xr:uid="{00000000-0005-0000-0000-000092150000}"/>
    <cellStyle name="출력 2 2 5 2 4 2" xfId="6128" xr:uid="{00000000-0005-0000-0000-000093150000}"/>
    <cellStyle name="출력 2 2 5 2 5" xfId="6129" xr:uid="{00000000-0005-0000-0000-000094150000}"/>
    <cellStyle name="출력 2 2 5 2 5 2" xfId="6130" xr:uid="{00000000-0005-0000-0000-000095150000}"/>
    <cellStyle name="출력 2 2 5 2 6" xfId="6131" xr:uid="{00000000-0005-0000-0000-000096150000}"/>
    <cellStyle name="출력 2 2 5 2 6 2" xfId="6132" xr:uid="{00000000-0005-0000-0000-000097150000}"/>
    <cellStyle name="출력 2 2 5 2 7" xfId="6133" xr:uid="{00000000-0005-0000-0000-000098150000}"/>
    <cellStyle name="출력 2 2 5 2 7 2" xfId="6134" xr:uid="{00000000-0005-0000-0000-000099150000}"/>
    <cellStyle name="출력 2 2 5 2 8" xfId="6135" xr:uid="{00000000-0005-0000-0000-00009A150000}"/>
    <cellStyle name="출력 2 2 5 2 8 2" xfId="6136" xr:uid="{00000000-0005-0000-0000-00009B150000}"/>
    <cellStyle name="출력 2 2 5 2 9" xfId="6137" xr:uid="{00000000-0005-0000-0000-00009C150000}"/>
    <cellStyle name="출력 2 2 5 2 9 2" xfId="6138" xr:uid="{00000000-0005-0000-0000-00009D150000}"/>
    <cellStyle name="출력 2 2 5 20" xfId="6139" xr:uid="{00000000-0005-0000-0000-00009E150000}"/>
    <cellStyle name="출력 2 2 5 20 2" xfId="6140" xr:uid="{00000000-0005-0000-0000-00009F150000}"/>
    <cellStyle name="출력 2 2 5 21" xfId="6141" xr:uid="{00000000-0005-0000-0000-0000A0150000}"/>
    <cellStyle name="출력 2 2 5 3" xfId="6142" xr:uid="{00000000-0005-0000-0000-0000A1150000}"/>
    <cellStyle name="출력 2 2 5 3 2" xfId="6143" xr:uid="{00000000-0005-0000-0000-0000A2150000}"/>
    <cellStyle name="출력 2 2 5 4" xfId="6144" xr:uid="{00000000-0005-0000-0000-0000A3150000}"/>
    <cellStyle name="출력 2 2 5 4 2" xfId="6145" xr:uid="{00000000-0005-0000-0000-0000A4150000}"/>
    <cellStyle name="출력 2 2 5 5" xfId="6146" xr:uid="{00000000-0005-0000-0000-0000A5150000}"/>
    <cellStyle name="출력 2 2 5 5 2" xfId="6147" xr:uid="{00000000-0005-0000-0000-0000A6150000}"/>
    <cellStyle name="출력 2 2 5 6" xfId="6148" xr:uid="{00000000-0005-0000-0000-0000A7150000}"/>
    <cellStyle name="출력 2 2 5 6 2" xfId="6149" xr:uid="{00000000-0005-0000-0000-0000A8150000}"/>
    <cellStyle name="출력 2 2 5 7" xfId="6150" xr:uid="{00000000-0005-0000-0000-0000A9150000}"/>
    <cellStyle name="출력 2 2 5 7 2" xfId="6151" xr:uid="{00000000-0005-0000-0000-0000AA150000}"/>
    <cellStyle name="출력 2 2 5 8" xfId="6152" xr:uid="{00000000-0005-0000-0000-0000AB150000}"/>
    <cellStyle name="출력 2 2 5 8 2" xfId="6153" xr:uid="{00000000-0005-0000-0000-0000AC150000}"/>
    <cellStyle name="출력 2 2 5 9" xfId="6154" xr:uid="{00000000-0005-0000-0000-0000AD150000}"/>
    <cellStyle name="출력 2 2 5 9 2" xfId="6155" xr:uid="{00000000-0005-0000-0000-0000AE150000}"/>
    <cellStyle name="출력 2 2 6" xfId="6156" xr:uid="{00000000-0005-0000-0000-0000AF150000}"/>
    <cellStyle name="출력 2 2 6 10" xfId="6157" xr:uid="{00000000-0005-0000-0000-0000B0150000}"/>
    <cellStyle name="출력 2 2 6 10 2" xfId="6158" xr:uid="{00000000-0005-0000-0000-0000B1150000}"/>
    <cellStyle name="출력 2 2 6 11" xfId="6159" xr:uid="{00000000-0005-0000-0000-0000B2150000}"/>
    <cellStyle name="출력 2 2 6 11 2" xfId="6160" xr:uid="{00000000-0005-0000-0000-0000B3150000}"/>
    <cellStyle name="출력 2 2 6 12" xfId="6161" xr:uid="{00000000-0005-0000-0000-0000B4150000}"/>
    <cellStyle name="출력 2 2 6 12 2" xfId="6162" xr:uid="{00000000-0005-0000-0000-0000B5150000}"/>
    <cellStyle name="출력 2 2 6 13" xfId="6163" xr:uid="{00000000-0005-0000-0000-0000B6150000}"/>
    <cellStyle name="출력 2 2 6 13 2" xfId="6164" xr:uid="{00000000-0005-0000-0000-0000B7150000}"/>
    <cellStyle name="출력 2 2 6 14" xfId="6165" xr:uid="{00000000-0005-0000-0000-0000B8150000}"/>
    <cellStyle name="출력 2 2 6 14 2" xfId="6166" xr:uid="{00000000-0005-0000-0000-0000B9150000}"/>
    <cellStyle name="출력 2 2 6 15" xfId="6167" xr:uid="{00000000-0005-0000-0000-0000BA150000}"/>
    <cellStyle name="출력 2 2 6 15 2" xfId="6168" xr:uid="{00000000-0005-0000-0000-0000BB150000}"/>
    <cellStyle name="출력 2 2 6 16" xfId="6169" xr:uid="{00000000-0005-0000-0000-0000BC150000}"/>
    <cellStyle name="출력 2 2 6 16 2" xfId="6170" xr:uid="{00000000-0005-0000-0000-0000BD150000}"/>
    <cellStyle name="출력 2 2 6 17" xfId="6171" xr:uid="{00000000-0005-0000-0000-0000BE150000}"/>
    <cellStyle name="출력 2 2 6 17 2" xfId="6172" xr:uid="{00000000-0005-0000-0000-0000BF150000}"/>
    <cellStyle name="출력 2 2 6 18" xfId="6173" xr:uid="{00000000-0005-0000-0000-0000C0150000}"/>
    <cellStyle name="출력 2 2 6 18 2" xfId="6174" xr:uid="{00000000-0005-0000-0000-0000C1150000}"/>
    <cellStyle name="출력 2 2 6 19" xfId="6175" xr:uid="{00000000-0005-0000-0000-0000C2150000}"/>
    <cellStyle name="출력 2 2 6 19 2" xfId="6176" xr:uid="{00000000-0005-0000-0000-0000C3150000}"/>
    <cellStyle name="출력 2 2 6 2" xfId="6177" xr:uid="{00000000-0005-0000-0000-0000C4150000}"/>
    <cellStyle name="출력 2 2 6 2 2" xfId="6178" xr:uid="{00000000-0005-0000-0000-0000C5150000}"/>
    <cellStyle name="출력 2 2 6 20" xfId="6179" xr:uid="{00000000-0005-0000-0000-0000C6150000}"/>
    <cellStyle name="출력 2 2 6 3" xfId="6180" xr:uid="{00000000-0005-0000-0000-0000C7150000}"/>
    <cellStyle name="출력 2 2 6 3 2" xfId="6181" xr:uid="{00000000-0005-0000-0000-0000C8150000}"/>
    <cellStyle name="출력 2 2 6 4" xfId="6182" xr:uid="{00000000-0005-0000-0000-0000C9150000}"/>
    <cellStyle name="출력 2 2 6 4 2" xfId="6183" xr:uid="{00000000-0005-0000-0000-0000CA150000}"/>
    <cellStyle name="출력 2 2 6 5" xfId="6184" xr:uid="{00000000-0005-0000-0000-0000CB150000}"/>
    <cellStyle name="출력 2 2 6 5 2" xfId="6185" xr:uid="{00000000-0005-0000-0000-0000CC150000}"/>
    <cellStyle name="출력 2 2 6 6" xfId="6186" xr:uid="{00000000-0005-0000-0000-0000CD150000}"/>
    <cellStyle name="출력 2 2 6 6 2" xfId="6187" xr:uid="{00000000-0005-0000-0000-0000CE150000}"/>
    <cellStyle name="출력 2 2 6 7" xfId="6188" xr:uid="{00000000-0005-0000-0000-0000CF150000}"/>
    <cellStyle name="출력 2 2 6 7 2" xfId="6189" xr:uid="{00000000-0005-0000-0000-0000D0150000}"/>
    <cellStyle name="출력 2 2 6 8" xfId="6190" xr:uid="{00000000-0005-0000-0000-0000D1150000}"/>
    <cellStyle name="출력 2 2 6 8 2" xfId="6191" xr:uid="{00000000-0005-0000-0000-0000D2150000}"/>
    <cellStyle name="출력 2 2 6 9" xfId="6192" xr:uid="{00000000-0005-0000-0000-0000D3150000}"/>
    <cellStyle name="출력 2 2 6 9 2" xfId="6193" xr:uid="{00000000-0005-0000-0000-0000D4150000}"/>
    <cellStyle name="출력 2 2 7" xfId="6194" xr:uid="{00000000-0005-0000-0000-0000D5150000}"/>
    <cellStyle name="출력 2 2 7 2" xfId="6195" xr:uid="{00000000-0005-0000-0000-0000D6150000}"/>
    <cellStyle name="출력 2 2 8" xfId="6196" xr:uid="{00000000-0005-0000-0000-0000D7150000}"/>
    <cellStyle name="출력 2 2 8 2" xfId="6197" xr:uid="{00000000-0005-0000-0000-0000D8150000}"/>
    <cellStyle name="출력 2 2 9" xfId="6198" xr:uid="{00000000-0005-0000-0000-0000D9150000}"/>
    <cellStyle name="출력 2 2 9 2" xfId="6199" xr:uid="{00000000-0005-0000-0000-0000DA150000}"/>
    <cellStyle name="출력 2 20" xfId="6200" xr:uid="{00000000-0005-0000-0000-0000DB150000}"/>
    <cellStyle name="출력 2 20 2" xfId="6201" xr:uid="{00000000-0005-0000-0000-0000DC150000}"/>
    <cellStyle name="출력 2 21" xfId="6202" xr:uid="{00000000-0005-0000-0000-0000DD150000}"/>
    <cellStyle name="출력 2 22" xfId="6460" xr:uid="{00000000-0005-0000-0000-0000DE150000}"/>
    <cellStyle name="출력 2 23" xfId="6324" xr:uid="{00000000-0005-0000-0000-0000DF150000}"/>
    <cellStyle name="출력 2 24" xfId="6470" xr:uid="{00000000-0005-0000-0000-0000E0150000}"/>
    <cellStyle name="출력 2 25" xfId="6313" xr:uid="{00000000-0005-0000-0000-0000E1150000}"/>
    <cellStyle name="출력 2 26" xfId="6478" xr:uid="{00000000-0005-0000-0000-0000E2150000}"/>
    <cellStyle name="출력 2 27" xfId="6299" xr:uid="{00000000-0005-0000-0000-0000E3150000}"/>
    <cellStyle name="출력 2 28" xfId="6496" xr:uid="{00000000-0005-0000-0000-0000E4150000}"/>
    <cellStyle name="출력 2 29" xfId="6281" xr:uid="{00000000-0005-0000-0000-0000E5150000}"/>
    <cellStyle name="출력 2 3" xfId="6203" xr:uid="{00000000-0005-0000-0000-0000E6150000}"/>
    <cellStyle name="출력 2 3 2" xfId="6204" xr:uid="{00000000-0005-0000-0000-0000E7150000}"/>
    <cellStyle name="출력 2 30" xfId="6514" xr:uid="{00000000-0005-0000-0000-0000E8150000}"/>
    <cellStyle name="출력 2 4" xfId="6205" xr:uid="{00000000-0005-0000-0000-0000E9150000}"/>
    <cellStyle name="출력 2 4 2" xfId="6206" xr:uid="{00000000-0005-0000-0000-0000EA150000}"/>
    <cellStyle name="출력 2 5" xfId="6207" xr:uid="{00000000-0005-0000-0000-0000EB150000}"/>
    <cellStyle name="출력 2 5 2" xfId="6208" xr:uid="{00000000-0005-0000-0000-0000EC150000}"/>
    <cellStyle name="출력 2 6" xfId="6209" xr:uid="{00000000-0005-0000-0000-0000ED150000}"/>
    <cellStyle name="출력 2 6 2" xfId="6210" xr:uid="{00000000-0005-0000-0000-0000EE150000}"/>
    <cellStyle name="출력 2 7" xfId="6211" xr:uid="{00000000-0005-0000-0000-0000EF150000}"/>
    <cellStyle name="출력 2 7 2" xfId="6212" xr:uid="{00000000-0005-0000-0000-0000F0150000}"/>
    <cellStyle name="출력 2 8" xfId="6213" xr:uid="{00000000-0005-0000-0000-0000F1150000}"/>
    <cellStyle name="출력 2 8 2" xfId="6214" xr:uid="{00000000-0005-0000-0000-0000F2150000}"/>
    <cellStyle name="출력 2 9" xfId="6215" xr:uid="{00000000-0005-0000-0000-0000F3150000}"/>
    <cellStyle name="출력 2 9 2" xfId="6216" xr:uid="{00000000-0005-0000-0000-0000F4150000}"/>
    <cellStyle name="출력 20" xfId="49596" xr:uid="{00000000-0005-0000-0000-0000F5150000}"/>
    <cellStyle name="출력 21" xfId="49597" xr:uid="{00000000-0005-0000-0000-0000F6150000}"/>
    <cellStyle name="출력 22" xfId="49598" xr:uid="{00000000-0005-0000-0000-0000F7150000}"/>
    <cellStyle name="출력 23" xfId="49599" xr:uid="{00000000-0005-0000-0000-0000F8150000}"/>
    <cellStyle name="출력 24" xfId="49600" xr:uid="{00000000-0005-0000-0000-0000F9150000}"/>
    <cellStyle name="출력 25" xfId="49601" xr:uid="{00000000-0005-0000-0000-0000FA150000}"/>
    <cellStyle name="출력 26" xfId="49602" xr:uid="{00000000-0005-0000-0000-0000FB150000}"/>
    <cellStyle name="출력 27" xfId="49603" xr:uid="{00000000-0005-0000-0000-0000FC150000}"/>
    <cellStyle name="출력 28" xfId="49604" xr:uid="{00000000-0005-0000-0000-0000FD150000}"/>
    <cellStyle name="출력 29" xfId="49605" xr:uid="{00000000-0005-0000-0000-0000FE150000}"/>
    <cellStyle name="출력 3" xfId="3202" xr:uid="{00000000-0005-0000-0000-0000FF150000}"/>
    <cellStyle name="출력 3 10" xfId="2539" xr:uid="{00000000-0005-0000-0000-000000160000}"/>
    <cellStyle name="출력 3 11" xfId="3283" xr:uid="{00000000-0005-0000-0000-000001160000}"/>
    <cellStyle name="출력 3 2" xfId="3543" xr:uid="{00000000-0005-0000-0000-000002160000}"/>
    <cellStyle name="출력 3 3" xfId="3569" xr:uid="{00000000-0005-0000-0000-000003160000}"/>
    <cellStyle name="출력 3 4" xfId="3936" xr:uid="{00000000-0005-0000-0000-000004160000}"/>
    <cellStyle name="출력 3 5" xfId="3182" xr:uid="{00000000-0005-0000-0000-000005160000}"/>
    <cellStyle name="출력 3 6" xfId="2406" xr:uid="{00000000-0005-0000-0000-000006160000}"/>
    <cellStyle name="출력 3 7" xfId="3408" xr:uid="{00000000-0005-0000-0000-000007160000}"/>
    <cellStyle name="출력 3 8" xfId="4135" xr:uid="{00000000-0005-0000-0000-000008160000}"/>
    <cellStyle name="출력 3 9" xfId="2467" xr:uid="{00000000-0005-0000-0000-000009160000}"/>
    <cellStyle name="출력 30" xfId="49606" xr:uid="{00000000-0005-0000-0000-00000A160000}"/>
    <cellStyle name="출력 31" xfId="49607" xr:uid="{00000000-0005-0000-0000-00000B160000}"/>
    <cellStyle name="출력 32" xfId="49608" xr:uid="{00000000-0005-0000-0000-00000C160000}"/>
    <cellStyle name="출력 33" xfId="49609" xr:uid="{00000000-0005-0000-0000-00000D160000}"/>
    <cellStyle name="출력 4" xfId="4256" xr:uid="{00000000-0005-0000-0000-00000E160000}"/>
    <cellStyle name="출력 4 10" xfId="2917" xr:uid="{00000000-0005-0000-0000-00000F160000}"/>
    <cellStyle name="출력 4 11" xfId="3880" xr:uid="{00000000-0005-0000-0000-000010160000}"/>
    <cellStyle name="출력 4 2" xfId="2592" xr:uid="{00000000-0005-0000-0000-000011160000}"/>
    <cellStyle name="출력 4 3" xfId="3161" xr:uid="{00000000-0005-0000-0000-000012160000}"/>
    <cellStyle name="출력 4 4" xfId="2502" xr:uid="{00000000-0005-0000-0000-000013160000}"/>
    <cellStyle name="출력 4 5" xfId="3454" xr:uid="{00000000-0005-0000-0000-000014160000}"/>
    <cellStyle name="출력 4 6" xfId="3545" xr:uid="{00000000-0005-0000-0000-000015160000}"/>
    <cellStyle name="출력 4 7" xfId="2756" xr:uid="{00000000-0005-0000-0000-000016160000}"/>
    <cellStyle name="출력 4 8" xfId="3889" xr:uid="{00000000-0005-0000-0000-000017160000}"/>
    <cellStyle name="출력 4 9" xfId="2580" xr:uid="{00000000-0005-0000-0000-000018160000}"/>
    <cellStyle name="출력 5" xfId="2922" xr:uid="{00000000-0005-0000-0000-000019160000}"/>
    <cellStyle name="출력 5 2" xfId="3275" xr:uid="{00000000-0005-0000-0000-00001A160000}"/>
    <cellStyle name="출력 5 3" xfId="3428" xr:uid="{00000000-0005-0000-0000-00001B160000}"/>
    <cellStyle name="출력 5 4" xfId="3250" xr:uid="{00000000-0005-0000-0000-00001C160000}"/>
    <cellStyle name="출력 5 5" xfId="2789" xr:uid="{00000000-0005-0000-0000-00001D160000}"/>
    <cellStyle name="출력 6" xfId="3804" xr:uid="{00000000-0005-0000-0000-00001E160000}"/>
    <cellStyle name="출력 6 2" xfId="3018" xr:uid="{00000000-0005-0000-0000-00001F160000}"/>
    <cellStyle name="출력 6 3" xfId="2450" xr:uid="{00000000-0005-0000-0000-000020160000}"/>
    <cellStyle name="출력 6 4" xfId="3780" xr:uid="{00000000-0005-0000-0000-000021160000}"/>
    <cellStyle name="출력 6 5" xfId="3748" xr:uid="{00000000-0005-0000-0000-000022160000}"/>
    <cellStyle name="출력 7" xfId="4118" xr:uid="{00000000-0005-0000-0000-000023160000}"/>
    <cellStyle name="출력 7 2" xfId="3383" xr:uid="{00000000-0005-0000-0000-000024160000}"/>
    <cellStyle name="출력 8" xfId="3342" xr:uid="{00000000-0005-0000-0000-000025160000}"/>
    <cellStyle name="출력 8 2" xfId="4276" xr:uid="{00000000-0005-0000-0000-000026160000}"/>
    <cellStyle name="출력 9" xfId="6300" xr:uid="{00000000-0005-0000-0000-000027160000}"/>
    <cellStyle name="콤마 [0]?SAUP-1" xfId="6217" xr:uid="{00000000-0005-0000-0000-000028160000}"/>
    <cellStyle name="콤마 [0]_ 94경비율" xfId="6218" xr:uid="{00000000-0005-0000-0000-000029160000}"/>
    <cellStyle name="콤마 [0]⛸SAUP-1" xfId="6219" xr:uid="{00000000-0005-0000-0000-00002A160000}"/>
    <cellStyle name="콤마 [2]" xfId="49610" xr:uid="{00000000-0005-0000-0000-00002B160000}"/>
    <cellStyle name="콤마_ 94경비율" xfId="6220" xr:uid="{00000000-0005-0000-0000-00002C160000}"/>
    <cellStyle name="통화 [0] 2" xfId="6221" xr:uid="{00000000-0005-0000-0000-00002D160000}"/>
    <cellStyle name="통화 [0] 2 2" xfId="49611" xr:uid="{00000000-0005-0000-0000-00002E160000}"/>
    <cellStyle name="표준" xfId="0" builtinId="0"/>
    <cellStyle name="표준 10" xfId="309" xr:uid="{00000000-0005-0000-0000-000030160000}"/>
    <cellStyle name="표준 10 10" xfId="3682" xr:uid="{00000000-0005-0000-0000-000031160000}"/>
    <cellStyle name="표준 10 11" xfId="3188" xr:uid="{00000000-0005-0000-0000-000032160000}"/>
    <cellStyle name="표준 10 12" xfId="3824" xr:uid="{00000000-0005-0000-0000-000033160000}"/>
    <cellStyle name="표준 10 13" xfId="2409" xr:uid="{00000000-0005-0000-0000-000034160000}"/>
    <cellStyle name="표준 10 14" xfId="49659" xr:uid="{00000000-0005-0000-0000-000035160000}"/>
    <cellStyle name="표준 10 2" xfId="4041" xr:uid="{00000000-0005-0000-0000-000036160000}"/>
    <cellStyle name="표준 10 3" xfId="332" xr:uid="{00000000-0005-0000-0000-000037160000}"/>
    <cellStyle name="표준 10 4" xfId="285" xr:uid="{00000000-0005-0000-0000-000038160000}"/>
    <cellStyle name="표준 10 5" xfId="4292" xr:uid="{00000000-0005-0000-0000-000039160000}"/>
    <cellStyle name="표준 10 6" xfId="2950" xr:uid="{00000000-0005-0000-0000-00003A160000}"/>
    <cellStyle name="표준 10 7" xfId="3916" xr:uid="{00000000-0005-0000-0000-00003B160000}"/>
    <cellStyle name="표준 10 8" xfId="2608" xr:uid="{00000000-0005-0000-0000-00003C160000}"/>
    <cellStyle name="표준 10 9" xfId="3938" xr:uid="{00000000-0005-0000-0000-00003D160000}"/>
    <cellStyle name="표준 11" xfId="4170" xr:uid="{00000000-0005-0000-0000-00003E160000}"/>
    <cellStyle name="표준 11 2" xfId="48422" xr:uid="{00000000-0005-0000-0000-00003F160000}"/>
    <cellStyle name="표준 11 3" xfId="48448" xr:uid="{00000000-0005-0000-0000-000040160000}"/>
    <cellStyle name="표준 12" xfId="4173" xr:uid="{00000000-0005-0000-0000-000041160000}"/>
    <cellStyle name="표준 13" xfId="4004" xr:uid="{00000000-0005-0000-0000-000042160000}"/>
    <cellStyle name="표준 14" xfId="3001" xr:uid="{00000000-0005-0000-0000-000043160000}"/>
    <cellStyle name="표준 14 2" xfId="3990" xr:uid="{00000000-0005-0000-0000-000044160000}"/>
    <cellStyle name="표준 14 3" xfId="2636" xr:uid="{00000000-0005-0000-0000-000045160000}"/>
    <cellStyle name="표준 14 4" xfId="4023" xr:uid="{00000000-0005-0000-0000-000046160000}"/>
    <cellStyle name="표준 14 5" xfId="3698" xr:uid="{00000000-0005-0000-0000-000047160000}"/>
    <cellStyle name="표준 14 6" xfId="3993" xr:uid="{00000000-0005-0000-0000-000048160000}"/>
    <cellStyle name="표준 14 7" xfId="4451" xr:uid="{00000000-0005-0000-0000-000049160000}"/>
    <cellStyle name="표준 15" xfId="6560" xr:uid="{00000000-0005-0000-0000-00004A160000}"/>
    <cellStyle name="표준 16" xfId="4083" xr:uid="{00000000-0005-0000-0000-00004B160000}"/>
    <cellStyle name="표준 16 2" xfId="2693" xr:uid="{00000000-0005-0000-0000-00004C160000}"/>
    <cellStyle name="표준 16 3" xfId="3024" xr:uid="{00000000-0005-0000-0000-00004D160000}"/>
    <cellStyle name="표준 16 4" xfId="4027" xr:uid="{00000000-0005-0000-0000-00004E160000}"/>
    <cellStyle name="표준 16 5" xfId="3416" xr:uid="{00000000-0005-0000-0000-00004F160000}"/>
    <cellStyle name="표준 16 6" xfId="2530" xr:uid="{00000000-0005-0000-0000-000050160000}"/>
    <cellStyle name="표준 16 7" xfId="4246" xr:uid="{00000000-0005-0000-0000-000051160000}"/>
    <cellStyle name="표준 16 8" xfId="6602" xr:uid="{00000000-0005-0000-0000-000052160000}"/>
    <cellStyle name="표준 17" xfId="88" xr:uid="{00000000-0005-0000-0000-000053160000}"/>
    <cellStyle name="표준 17 2" xfId="6636" xr:uid="{00000000-0005-0000-0000-000054160000}"/>
    <cellStyle name="표준 18" xfId="89" xr:uid="{00000000-0005-0000-0000-000055160000}"/>
    <cellStyle name="표준 18 2" xfId="3904" xr:uid="{00000000-0005-0000-0000-000056160000}"/>
    <cellStyle name="표준 18 3" xfId="2745" xr:uid="{00000000-0005-0000-0000-000057160000}"/>
    <cellStyle name="표준 18 4" xfId="278" xr:uid="{00000000-0005-0000-0000-000058160000}"/>
    <cellStyle name="표준 18 5" xfId="2513" xr:uid="{00000000-0005-0000-0000-000059160000}"/>
    <cellStyle name="표준 18 6" xfId="2510" xr:uid="{00000000-0005-0000-0000-00005A160000}"/>
    <cellStyle name="표준 18 7" xfId="3260" xr:uid="{00000000-0005-0000-0000-00005B160000}"/>
    <cellStyle name="표준 18 8" xfId="3253" xr:uid="{00000000-0005-0000-0000-00005C160000}"/>
    <cellStyle name="표준 18 9" xfId="6692" xr:uid="{00000000-0005-0000-0000-00005D160000}"/>
    <cellStyle name="표준 19" xfId="6942" xr:uid="{00000000-0005-0000-0000-00005E160000}"/>
    <cellStyle name="표준 2" xfId="5" xr:uid="{00000000-0005-0000-0000-00005F160000}"/>
    <cellStyle name="표준 2 10" xfId="358" xr:uid="{00000000-0005-0000-0000-000060160000}"/>
    <cellStyle name="표준 2 10 2" xfId="6571" xr:uid="{00000000-0005-0000-0000-000061160000}"/>
    <cellStyle name="표준 2 11" xfId="3476" xr:uid="{00000000-0005-0000-0000-000062160000}"/>
    <cellStyle name="표준 2 11 2" xfId="6610" xr:uid="{00000000-0005-0000-0000-000063160000}"/>
    <cellStyle name="표준 2 12" xfId="4295" xr:uid="{00000000-0005-0000-0000-000064160000}"/>
    <cellStyle name="표준 2 12 2" xfId="6658" xr:uid="{00000000-0005-0000-0000-000065160000}"/>
    <cellStyle name="표준 2 13" xfId="2637" xr:uid="{00000000-0005-0000-0000-000066160000}"/>
    <cellStyle name="표준 2 13 2" xfId="6725" xr:uid="{00000000-0005-0000-0000-000067160000}"/>
    <cellStyle name="표준 2 14" xfId="3240" xr:uid="{00000000-0005-0000-0000-000068160000}"/>
    <cellStyle name="표준 2 15" xfId="2671" xr:uid="{00000000-0005-0000-0000-000069160000}"/>
    <cellStyle name="표준 2 16" xfId="3802" xr:uid="{00000000-0005-0000-0000-00006A160000}"/>
    <cellStyle name="표준 2 17" xfId="3724" xr:uid="{00000000-0005-0000-0000-00006B160000}"/>
    <cellStyle name="표준 2 18" xfId="2757" xr:uid="{00000000-0005-0000-0000-00006C160000}"/>
    <cellStyle name="표준 2 19" xfId="2750" xr:uid="{00000000-0005-0000-0000-00006D160000}"/>
    <cellStyle name="표준 2 2" xfId="6" xr:uid="{00000000-0005-0000-0000-00006E160000}"/>
    <cellStyle name="표준 2 2 10" xfId="6659" xr:uid="{00000000-0005-0000-0000-00006F160000}"/>
    <cellStyle name="표준 2 2 11" xfId="6726" xr:uid="{00000000-0005-0000-0000-000070160000}"/>
    <cellStyle name="표준 2 2 12" xfId="6793" xr:uid="{00000000-0005-0000-0000-000071160000}"/>
    <cellStyle name="표준 2 2 13" xfId="6856" xr:uid="{00000000-0005-0000-0000-000072160000}"/>
    <cellStyle name="표준 2 2 14" xfId="6903" xr:uid="{00000000-0005-0000-0000-000073160000}"/>
    <cellStyle name="표준 2 2 15" xfId="6930" xr:uid="{00000000-0005-0000-0000-000074160000}"/>
    <cellStyle name="표준 2 2 16" xfId="6948" xr:uid="{00000000-0005-0000-0000-000075160000}"/>
    <cellStyle name="표준 2 2 17" xfId="49724" xr:uid="{00000000-0005-0000-0000-000076160000}"/>
    <cellStyle name="표준 2 2 2" xfId="22" xr:uid="{00000000-0005-0000-0000-000077160000}"/>
    <cellStyle name="표준 2 2 2 2" xfId="116" xr:uid="{00000000-0005-0000-0000-000078160000}"/>
    <cellStyle name="표준 2 2 3" xfId="34" xr:uid="{00000000-0005-0000-0000-000079160000}"/>
    <cellStyle name="표준 2 2 3 2" xfId="128" xr:uid="{00000000-0005-0000-0000-00007A160000}"/>
    <cellStyle name="표준 2 2 4" xfId="48" xr:uid="{00000000-0005-0000-0000-00007B160000}"/>
    <cellStyle name="표준 2 2 4 2" xfId="142" xr:uid="{00000000-0005-0000-0000-00007C160000}"/>
    <cellStyle name="표준 2 2 5" xfId="62" xr:uid="{00000000-0005-0000-0000-00007D160000}"/>
    <cellStyle name="표준 2 2 5 2" xfId="156" xr:uid="{00000000-0005-0000-0000-00007E160000}"/>
    <cellStyle name="표준 2 2 6" xfId="100" xr:uid="{00000000-0005-0000-0000-00007F160000}"/>
    <cellStyle name="표준 2 2 6 2" xfId="6222" xr:uid="{00000000-0005-0000-0000-000080160000}"/>
    <cellStyle name="표준 2 2 6 3" xfId="49653" xr:uid="{00000000-0005-0000-0000-000081160000}"/>
    <cellStyle name="표준 2 2 7" xfId="271" xr:uid="{00000000-0005-0000-0000-000082160000}"/>
    <cellStyle name="표준 2 2 7 2" xfId="6981" xr:uid="{00000000-0005-0000-0000-000083160000}"/>
    <cellStyle name="표준 2 2 7 3" xfId="48423" xr:uid="{00000000-0005-0000-0000-000084160000}"/>
    <cellStyle name="표준 2 2 8" xfId="6572" xr:uid="{00000000-0005-0000-0000-000085160000}"/>
    <cellStyle name="표준 2 2 8 2" xfId="7007" xr:uid="{00000000-0005-0000-0000-000086160000}"/>
    <cellStyle name="표준 2 2 9" xfId="6611" xr:uid="{00000000-0005-0000-0000-000087160000}"/>
    <cellStyle name="표준 2 20" xfId="3518" xr:uid="{00000000-0005-0000-0000-000088160000}"/>
    <cellStyle name="표준 2 21" xfId="3248" xr:uid="{00000000-0005-0000-0000-000089160000}"/>
    <cellStyle name="표준 2 22" xfId="2763" xr:uid="{00000000-0005-0000-0000-00008A160000}"/>
    <cellStyle name="표준 2 23" xfId="4005" xr:uid="{00000000-0005-0000-0000-00008B160000}"/>
    <cellStyle name="표준 2 24" xfId="3978" xr:uid="{00000000-0005-0000-0000-00008C160000}"/>
    <cellStyle name="표준 2 25" xfId="3246" xr:uid="{00000000-0005-0000-0000-00008D160000}"/>
    <cellStyle name="표준 2 26" xfId="3890" xr:uid="{00000000-0005-0000-0000-00008E160000}"/>
    <cellStyle name="표준 2 27" xfId="3530" xr:uid="{00000000-0005-0000-0000-00008F160000}"/>
    <cellStyle name="표준 2 28" xfId="3010" xr:uid="{00000000-0005-0000-0000-000090160000}"/>
    <cellStyle name="표준 2 29" xfId="4229" xr:uid="{00000000-0005-0000-0000-000091160000}"/>
    <cellStyle name="표준 2 3" xfId="12" xr:uid="{00000000-0005-0000-0000-000092160000}"/>
    <cellStyle name="표준 2 3 10" xfId="6660" xr:uid="{00000000-0005-0000-0000-000093160000}"/>
    <cellStyle name="표준 2 3 11" xfId="6727" xr:uid="{00000000-0005-0000-0000-000094160000}"/>
    <cellStyle name="표준 2 3 12" xfId="6794" xr:uid="{00000000-0005-0000-0000-000095160000}"/>
    <cellStyle name="표준 2 3 13" xfId="6857" xr:uid="{00000000-0005-0000-0000-000096160000}"/>
    <cellStyle name="표준 2 3 14" xfId="6904" xr:uid="{00000000-0005-0000-0000-000097160000}"/>
    <cellStyle name="표준 2 3 15" xfId="6931" xr:uid="{00000000-0005-0000-0000-000098160000}"/>
    <cellStyle name="표준 2 3 2" xfId="24" xr:uid="{00000000-0005-0000-0000-000099160000}"/>
    <cellStyle name="표준 2 3 2 2" xfId="118" xr:uid="{00000000-0005-0000-0000-00009A160000}"/>
    <cellStyle name="표준 2 3 3" xfId="36" xr:uid="{00000000-0005-0000-0000-00009B160000}"/>
    <cellStyle name="표준 2 3 3 2" xfId="130" xr:uid="{00000000-0005-0000-0000-00009C160000}"/>
    <cellStyle name="표준 2 3 4" xfId="50" xr:uid="{00000000-0005-0000-0000-00009D160000}"/>
    <cellStyle name="표준 2 3 4 2" xfId="144" xr:uid="{00000000-0005-0000-0000-00009E160000}"/>
    <cellStyle name="표준 2 3 5" xfId="64" xr:uid="{00000000-0005-0000-0000-00009F160000}"/>
    <cellStyle name="표준 2 3 5 2" xfId="158" xr:uid="{00000000-0005-0000-0000-0000A0160000}"/>
    <cellStyle name="표준 2 3 6" xfId="106" xr:uid="{00000000-0005-0000-0000-0000A1160000}"/>
    <cellStyle name="표준 2 3 6 2" xfId="6223" xr:uid="{00000000-0005-0000-0000-0000A2160000}"/>
    <cellStyle name="표준 2 3 6 3" xfId="49654" xr:uid="{00000000-0005-0000-0000-0000A3160000}"/>
    <cellStyle name="표준 2 3 7" xfId="3423" xr:uid="{00000000-0005-0000-0000-0000A4160000}"/>
    <cellStyle name="표준 2 3 7 2" xfId="6536" xr:uid="{00000000-0005-0000-0000-0000A5160000}"/>
    <cellStyle name="표준 2 3 7 3" xfId="6983" xr:uid="{00000000-0005-0000-0000-0000A6160000}"/>
    <cellStyle name="표준 2 3 7 4" xfId="48425" xr:uid="{00000000-0005-0000-0000-0000A7160000}"/>
    <cellStyle name="표준 2 3 8" xfId="6573" xr:uid="{00000000-0005-0000-0000-0000A8160000}"/>
    <cellStyle name="표준 2 3 8 2" xfId="7009" xr:uid="{00000000-0005-0000-0000-0000A9160000}"/>
    <cellStyle name="표준 2 3 9" xfId="6612" xr:uid="{00000000-0005-0000-0000-0000AA160000}"/>
    <cellStyle name="표준 2 30" xfId="3147" xr:uid="{00000000-0005-0000-0000-0000AB160000}"/>
    <cellStyle name="표준 2 31" xfId="4227" xr:uid="{00000000-0005-0000-0000-0000AC160000}"/>
    <cellStyle name="표준 2 32" xfId="3738" xr:uid="{00000000-0005-0000-0000-0000AD160000}"/>
    <cellStyle name="표준 2 33" xfId="3983" xr:uid="{00000000-0005-0000-0000-0000AE160000}"/>
    <cellStyle name="표준 2 34" xfId="3570" xr:uid="{00000000-0005-0000-0000-0000AF160000}"/>
    <cellStyle name="표준 2 35" xfId="3953" xr:uid="{00000000-0005-0000-0000-0000B0160000}"/>
    <cellStyle name="표준 2 36" xfId="376" xr:uid="{00000000-0005-0000-0000-0000B1160000}"/>
    <cellStyle name="표준 2 37" xfId="2880" xr:uid="{00000000-0005-0000-0000-0000B2160000}"/>
    <cellStyle name="표준 2 38" xfId="4059" xr:uid="{00000000-0005-0000-0000-0000B3160000}"/>
    <cellStyle name="표준 2 39" xfId="3100" xr:uid="{00000000-0005-0000-0000-0000B4160000}"/>
    <cellStyle name="표준 2 4" xfId="17" xr:uid="{00000000-0005-0000-0000-0000B5160000}"/>
    <cellStyle name="표준 2 4 2" xfId="29" xr:uid="{00000000-0005-0000-0000-0000B6160000}"/>
    <cellStyle name="표준 2 4 2 2" xfId="123" xr:uid="{00000000-0005-0000-0000-0000B7160000}"/>
    <cellStyle name="표준 2 4 3" xfId="40" xr:uid="{00000000-0005-0000-0000-0000B8160000}"/>
    <cellStyle name="표준 2 4 3 2" xfId="134" xr:uid="{00000000-0005-0000-0000-0000B9160000}"/>
    <cellStyle name="표준 2 4 4" xfId="54" xr:uid="{00000000-0005-0000-0000-0000BA160000}"/>
    <cellStyle name="표준 2 4 4 2" xfId="148" xr:uid="{00000000-0005-0000-0000-0000BB160000}"/>
    <cellStyle name="표준 2 4 5" xfId="68" xr:uid="{00000000-0005-0000-0000-0000BC160000}"/>
    <cellStyle name="표준 2 4 5 2" xfId="162" xr:uid="{00000000-0005-0000-0000-0000BD160000}"/>
    <cellStyle name="표준 2 4 6" xfId="111" xr:uid="{00000000-0005-0000-0000-0000BE160000}"/>
    <cellStyle name="표준 2 4 6 2" xfId="49655" xr:uid="{00000000-0005-0000-0000-0000BF160000}"/>
    <cellStyle name="표준 2 4 7" xfId="3458" xr:uid="{00000000-0005-0000-0000-0000C0160000}"/>
    <cellStyle name="표준 2 4 7 2" xfId="6987" xr:uid="{00000000-0005-0000-0000-0000C1160000}"/>
    <cellStyle name="표준 2 4 8" xfId="7013" xr:uid="{00000000-0005-0000-0000-0000C2160000}"/>
    <cellStyle name="표준 2 40" xfId="3809" xr:uid="{00000000-0005-0000-0000-0000C3160000}"/>
    <cellStyle name="표준 2 41" xfId="3467" xr:uid="{00000000-0005-0000-0000-0000C4160000}"/>
    <cellStyle name="표준 2 42" xfId="2506" xr:uid="{00000000-0005-0000-0000-0000C5160000}"/>
    <cellStyle name="표준 2 43" xfId="49734" xr:uid="{00000000-0005-0000-0000-0000C6160000}"/>
    <cellStyle name="표준 2 5" xfId="16" xr:uid="{00000000-0005-0000-0000-0000C7160000}"/>
    <cellStyle name="표준 2 5 10" xfId="3324" xr:uid="{00000000-0005-0000-0000-0000C8160000}"/>
    <cellStyle name="표준 2 5 11" xfId="3708" xr:uid="{00000000-0005-0000-0000-0000C9160000}"/>
    <cellStyle name="표준 2 5 12" xfId="3909" xr:uid="{00000000-0005-0000-0000-0000CA160000}"/>
    <cellStyle name="표준 2 5 2" xfId="28" xr:uid="{00000000-0005-0000-0000-0000CB160000}"/>
    <cellStyle name="표준 2 5 2 2" xfId="122" xr:uid="{00000000-0005-0000-0000-0000CC160000}"/>
    <cellStyle name="표준 2 5 2 3" xfId="3894" xr:uid="{00000000-0005-0000-0000-0000CD160000}"/>
    <cellStyle name="표준 2 5 3" xfId="39" xr:uid="{00000000-0005-0000-0000-0000CE160000}"/>
    <cellStyle name="표준 2 5 3 2" xfId="133" xr:uid="{00000000-0005-0000-0000-0000CF160000}"/>
    <cellStyle name="표준 2 5 3 3" xfId="2735" xr:uid="{00000000-0005-0000-0000-0000D0160000}"/>
    <cellStyle name="표준 2 5 4" xfId="53" xr:uid="{00000000-0005-0000-0000-0000D1160000}"/>
    <cellStyle name="표준 2 5 4 2" xfId="147" xr:uid="{00000000-0005-0000-0000-0000D2160000}"/>
    <cellStyle name="표준 2 5 4 3" xfId="3106" xr:uid="{00000000-0005-0000-0000-0000D3160000}"/>
    <cellStyle name="표준 2 5 5" xfId="67" xr:uid="{00000000-0005-0000-0000-0000D4160000}"/>
    <cellStyle name="표준 2 5 5 2" xfId="161" xr:uid="{00000000-0005-0000-0000-0000D5160000}"/>
    <cellStyle name="표준 2 5 5 3" xfId="3735" xr:uid="{00000000-0005-0000-0000-0000D6160000}"/>
    <cellStyle name="표준 2 5 6" xfId="110" xr:uid="{00000000-0005-0000-0000-0000D7160000}"/>
    <cellStyle name="표준 2 5 6 2" xfId="3599" xr:uid="{00000000-0005-0000-0000-0000D8160000}"/>
    <cellStyle name="표준 2 5 7" xfId="3349" xr:uid="{00000000-0005-0000-0000-0000D9160000}"/>
    <cellStyle name="표준 2 5 7 2" xfId="6986" xr:uid="{00000000-0005-0000-0000-0000DA160000}"/>
    <cellStyle name="표준 2 5 8" xfId="4177" xr:uid="{00000000-0005-0000-0000-0000DB160000}"/>
    <cellStyle name="표준 2 5 8 2" xfId="7012" xr:uid="{00000000-0005-0000-0000-0000DC160000}"/>
    <cellStyle name="표준 2 5 9" xfId="3827" xr:uid="{00000000-0005-0000-0000-0000DD160000}"/>
    <cellStyle name="표준 2 6" xfId="20" xr:uid="{00000000-0005-0000-0000-0000DE160000}"/>
    <cellStyle name="표준 2 6 10" xfId="4136" xr:uid="{00000000-0005-0000-0000-0000DF160000}"/>
    <cellStyle name="표준 2 6 11" xfId="3205" xr:uid="{00000000-0005-0000-0000-0000E0160000}"/>
    <cellStyle name="표준 2 6 12" xfId="308" xr:uid="{00000000-0005-0000-0000-0000E1160000}"/>
    <cellStyle name="표준 2 6 2" xfId="32" xr:uid="{00000000-0005-0000-0000-0000E2160000}"/>
    <cellStyle name="표준 2 6 2 2" xfId="126" xr:uid="{00000000-0005-0000-0000-0000E3160000}"/>
    <cellStyle name="표준 2 6 2 3" xfId="3322" xr:uid="{00000000-0005-0000-0000-0000E4160000}"/>
    <cellStyle name="표준 2 6 3" xfId="43" xr:uid="{00000000-0005-0000-0000-0000E5160000}"/>
    <cellStyle name="표준 2 6 3 2" xfId="137" xr:uid="{00000000-0005-0000-0000-0000E6160000}"/>
    <cellStyle name="표준 2 6 3 3" xfId="3124" xr:uid="{00000000-0005-0000-0000-0000E7160000}"/>
    <cellStyle name="표준 2 6 4" xfId="57" xr:uid="{00000000-0005-0000-0000-0000E8160000}"/>
    <cellStyle name="표준 2 6 4 2" xfId="151" xr:uid="{00000000-0005-0000-0000-0000E9160000}"/>
    <cellStyle name="표준 2 6 4 3" xfId="2649" xr:uid="{00000000-0005-0000-0000-0000EA160000}"/>
    <cellStyle name="표준 2 6 5" xfId="71" xr:uid="{00000000-0005-0000-0000-0000EB160000}"/>
    <cellStyle name="표준 2 6 5 2" xfId="165" xr:uid="{00000000-0005-0000-0000-0000EC160000}"/>
    <cellStyle name="표준 2 6 5 3" xfId="3649" xr:uid="{00000000-0005-0000-0000-0000ED160000}"/>
    <cellStyle name="표준 2 6 6" xfId="114" xr:uid="{00000000-0005-0000-0000-0000EE160000}"/>
    <cellStyle name="표준 2 6 6 2" xfId="3562" xr:uid="{00000000-0005-0000-0000-0000EF160000}"/>
    <cellStyle name="표준 2 6 7" xfId="3977" xr:uid="{00000000-0005-0000-0000-0000F0160000}"/>
    <cellStyle name="표준 2 6 7 2" xfId="6990" xr:uid="{00000000-0005-0000-0000-0000F1160000}"/>
    <cellStyle name="표준 2 6 7 3" xfId="48426" xr:uid="{00000000-0005-0000-0000-0000F2160000}"/>
    <cellStyle name="표준 2 6 8" xfId="4199" xr:uid="{00000000-0005-0000-0000-0000F3160000}"/>
    <cellStyle name="표준 2 6 8 2" xfId="7016" xr:uid="{00000000-0005-0000-0000-0000F4160000}"/>
    <cellStyle name="표준 2 6 9" xfId="351" xr:uid="{00000000-0005-0000-0000-0000F5160000}"/>
    <cellStyle name="표준 2 7" xfId="45" xr:uid="{00000000-0005-0000-0000-0000F6160000}"/>
    <cellStyle name="표준 2 7 10" xfId="3103" xr:uid="{00000000-0005-0000-0000-0000F7160000}"/>
    <cellStyle name="표준 2 7 11" xfId="3712" xr:uid="{00000000-0005-0000-0000-0000F8160000}"/>
    <cellStyle name="표준 2 7 12" xfId="3565" xr:uid="{00000000-0005-0000-0000-0000F9160000}"/>
    <cellStyle name="표준 2 7 2" xfId="139" xr:uid="{00000000-0005-0000-0000-0000FA160000}"/>
    <cellStyle name="표준 2 7 2 2" xfId="3272" xr:uid="{00000000-0005-0000-0000-0000FB160000}"/>
    <cellStyle name="표준 2 7 3" xfId="3736" xr:uid="{00000000-0005-0000-0000-0000FC160000}"/>
    <cellStyle name="표준 2 7 4" xfId="3923" xr:uid="{00000000-0005-0000-0000-0000FD160000}"/>
    <cellStyle name="표준 2 7 5" xfId="3031" xr:uid="{00000000-0005-0000-0000-0000FE160000}"/>
    <cellStyle name="표준 2 7 6" xfId="3572" xr:uid="{00000000-0005-0000-0000-0000FF160000}"/>
    <cellStyle name="표준 2 7 7" xfId="4198" xr:uid="{00000000-0005-0000-0000-000000170000}"/>
    <cellStyle name="표준 2 7 8" xfId="2728" xr:uid="{00000000-0005-0000-0000-000001170000}"/>
    <cellStyle name="표준 2 7 9" xfId="3072" xr:uid="{00000000-0005-0000-0000-000002170000}"/>
    <cellStyle name="표준 2 8" xfId="99" xr:uid="{00000000-0005-0000-0000-000003170000}"/>
    <cellStyle name="표준 2 8 2" xfId="4091" xr:uid="{00000000-0005-0000-0000-000004170000}"/>
    <cellStyle name="표준 2 8 3" xfId="7112" xr:uid="{00000000-0005-0000-0000-000005170000}"/>
    <cellStyle name="표준 2 9" xfId="270" xr:uid="{00000000-0005-0000-0000-000006170000}"/>
    <cellStyle name="표준 2 9 2" xfId="3903" xr:uid="{00000000-0005-0000-0000-000007170000}"/>
    <cellStyle name="표준 2_2011년_급식업체_현황(1)" xfId="49612" xr:uid="{00000000-0005-0000-0000-000008170000}"/>
    <cellStyle name="표준 20" xfId="90" xr:uid="{00000000-0005-0000-0000-000009170000}"/>
    <cellStyle name="표준 20 2" xfId="3951" xr:uid="{00000000-0005-0000-0000-00000A170000}"/>
    <cellStyle name="표준 20 3" xfId="387" xr:uid="{00000000-0005-0000-0000-00000B170000}"/>
    <cellStyle name="표준 20 4" xfId="4213" xr:uid="{00000000-0005-0000-0000-00000C170000}"/>
    <cellStyle name="표준 20 5" xfId="3844" xr:uid="{00000000-0005-0000-0000-00000D170000}"/>
    <cellStyle name="표준 20 6" xfId="6839" xr:uid="{00000000-0005-0000-0000-00000E170000}"/>
    <cellStyle name="표준 21" xfId="91" xr:uid="{00000000-0005-0000-0000-00000F170000}"/>
    <cellStyle name="표준 21 2" xfId="2560" xr:uid="{00000000-0005-0000-0000-000010170000}"/>
    <cellStyle name="표준 21 3" xfId="4105" xr:uid="{00000000-0005-0000-0000-000011170000}"/>
    <cellStyle name="표준 21 4" xfId="6882" xr:uid="{00000000-0005-0000-0000-000012170000}"/>
    <cellStyle name="표준 22" xfId="2949" xr:uid="{00000000-0005-0000-0000-000013170000}"/>
    <cellStyle name="표준 22 2" xfId="3236" xr:uid="{00000000-0005-0000-0000-000014170000}"/>
    <cellStyle name="표준 22 3" xfId="2841" xr:uid="{00000000-0005-0000-0000-000015170000}"/>
    <cellStyle name="표준 23" xfId="6943" xr:uid="{00000000-0005-0000-0000-000016170000}"/>
    <cellStyle name="표준 23 2" xfId="3054" xr:uid="{00000000-0005-0000-0000-000017170000}"/>
    <cellStyle name="표준 23 3" xfId="3105" xr:uid="{00000000-0005-0000-0000-000018170000}"/>
    <cellStyle name="표준 24" xfId="3803" xr:uid="{00000000-0005-0000-0000-000019170000}"/>
    <cellStyle name="표준 24 2" xfId="4214" xr:uid="{00000000-0005-0000-0000-00001A170000}"/>
    <cellStyle name="표준 24 3" xfId="3424" xr:uid="{00000000-0005-0000-0000-00001B170000}"/>
    <cellStyle name="표준 25" xfId="19723" xr:uid="{00000000-0005-0000-0000-00001C170000}"/>
    <cellStyle name="표준 25 2" xfId="3039" xr:uid="{00000000-0005-0000-0000-00001D170000}"/>
    <cellStyle name="표준 25 3" xfId="2551" xr:uid="{00000000-0005-0000-0000-00001E170000}"/>
    <cellStyle name="표준 26" xfId="81" xr:uid="{00000000-0005-0000-0000-00001F170000}"/>
    <cellStyle name="표준 26 2" xfId="175" xr:uid="{00000000-0005-0000-0000-000020170000}"/>
    <cellStyle name="표준 26 3" xfId="4190" xr:uid="{00000000-0005-0000-0000-000021170000}"/>
    <cellStyle name="표준 27" xfId="49720" xr:uid="{00000000-0005-0000-0000-000022170000}"/>
    <cellStyle name="표준 27 2" xfId="4000" xr:uid="{00000000-0005-0000-0000-000023170000}"/>
    <cellStyle name="표준 27 3" xfId="3631" xr:uid="{00000000-0005-0000-0000-000024170000}"/>
    <cellStyle name="표준 28" xfId="2555" xr:uid="{00000000-0005-0000-0000-000025170000}"/>
    <cellStyle name="표준 28 2" xfId="3496" xr:uid="{00000000-0005-0000-0000-000026170000}"/>
    <cellStyle name="표준 28 3" xfId="3711" xr:uid="{00000000-0005-0000-0000-000027170000}"/>
    <cellStyle name="표준 3" xfId="7" xr:uid="{00000000-0005-0000-0000-000028170000}"/>
    <cellStyle name="표준 3 10" xfId="2783" xr:uid="{00000000-0005-0000-0000-000029170000}"/>
    <cellStyle name="표준 3 11" xfId="3199" xr:uid="{00000000-0005-0000-0000-00002A170000}"/>
    <cellStyle name="표준 3 12" xfId="2500" xr:uid="{00000000-0005-0000-0000-00002B170000}"/>
    <cellStyle name="표준 3 12 2" xfId="49737" xr:uid="{00000000-0005-0000-0000-00002C170000}"/>
    <cellStyle name="표준 3 12 3" xfId="49731" xr:uid="{00000000-0005-0000-0000-00002D170000}"/>
    <cellStyle name="표준 3 13" xfId="2504" xr:uid="{00000000-0005-0000-0000-00002E170000}"/>
    <cellStyle name="표준 3 14" xfId="4188" xr:uid="{00000000-0005-0000-0000-00002F170000}"/>
    <cellStyle name="표준 3 15" xfId="3944" xr:uid="{00000000-0005-0000-0000-000030170000}"/>
    <cellStyle name="표준 3 16" xfId="3970" xr:uid="{00000000-0005-0000-0000-000031170000}"/>
    <cellStyle name="표준 3 17" xfId="3648" xr:uid="{00000000-0005-0000-0000-000032170000}"/>
    <cellStyle name="표준 3 2" xfId="101" xr:uid="{00000000-0005-0000-0000-000033170000}"/>
    <cellStyle name="표준 3 2 2" xfId="6224" xr:uid="{00000000-0005-0000-0000-000034170000}"/>
    <cellStyle name="표준 3 2 3" xfId="49613" xr:uid="{00000000-0005-0000-0000-000035170000}"/>
    <cellStyle name="표준 3 3" xfId="2962" xr:uid="{00000000-0005-0000-0000-000036170000}"/>
    <cellStyle name="표준 3 3 2" xfId="49614" xr:uid="{00000000-0005-0000-0000-000037170000}"/>
    <cellStyle name="표준 3 4" xfId="2520" xr:uid="{00000000-0005-0000-0000-000038170000}"/>
    <cellStyle name="표준 3 4 2" xfId="49674" xr:uid="{00000000-0005-0000-0000-000039170000}"/>
    <cellStyle name="표준 3 5" xfId="2696" xr:uid="{00000000-0005-0000-0000-00003A170000}"/>
    <cellStyle name="표준 3 6" xfId="2896" xr:uid="{00000000-0005-0000-0000-00003B170000}"/>
    <cellStyle name="표준 3 7" xfId="3858" xr:uid="{00000000-0005-0000-0000-00003C170000}"/>
    <cellStyle name="표준 3 8" xfId="4046" xr:uid="{00000000-0005-0000-0000-00003D170000}"/>
    <cellStyle name="표준 3 9" xfId="3580" xr:uid="{00000000-0005-0000-0000-00003E170000}"/>
    <cellStyle name="표준 3_2011년_급식업체_현황(1)" xfId="49615" xr:uid="{00000000-0005-0000-0000-00003F170000}"/>
    <cellStyle name="표준 30 2" xfId="3546" xr:uid="{00000000-0005-0000-0000-000040170000}"/>
    <cellStyle name="표준 30 3" xfId="4279" xr:uid="{00000000-0005-0000-0000-000041170000}"/>
    <cellStyle name="표준 31" xfId="49740" xr:uid="{00000000-0005-0000-0000-000042170000}"/>
    <cellStyle name="표준 31 2" xfId="3277" xr:uid="{00000000-0005-0000-0000-000043170000}"/>
    <cellStyle name="표준 31 2 2" xfId="49721" xr:uid="{00000000-0005-0000-0000-000044170000}"/>
    <cellStyle name="표준 31 2 2 10" xfId="49726" xr:uid="{00000000-0005-0000-0000-000045170000}"/>
    <cellStyle name="표준 31 3" xfId="3312" xr:uid="{00000000-0005-0000-0000-000046170000}"/>
    <cellStyle name="표준 32 2" xfId="3968" xr:uid="{00000000-0005-0000-0000-000047170000}"/>
    <cellStyle name="표준 32 3" xfId="4155" xr:uid="{00000000-0005-0000-0000-000048170000}"/>
    <cellStyle name="표준 33 2" xfId="2761" xr:uid="{00000000-0005-0000-0000-000049170000}"/>
    <cellStyle name="표준 33 3" xfId="2574" xr:uid="{00000000-0005-0000-0000-00004A170000}"/>
    <cellStyle name="표준 35" xfId="86" xr:uid="{00000000-0005-0000-0000-00004B170000}"/>
    <cellStyle name="표준 35 2" xfId="313" xr:uid="{00000000-0005-0000-0000-00004C170000}"/>
    <cellStyle name="표준 4" xfId="8" xr:uid="{00000000-0005-0000-0000-00004D170000}"/>
    <cellStyle name="표준 4 10" xfId="4156" xr:uid="{00000000-0005-0000-0000-00004E170000}"/>
    <cellStyle name="표준 4 10 2" xfId="6905" xr:uid="{00000000-0005-0000-0000-00004F170000}"/>
    <cellStyle name="표준 4 10 2 2" xfId="49738" xr:uid="{00000000-0005-0000-0000-000050170000}"/>
    <cellStyle name="표준 4 10 3" xfId="49733" xr:uid="{00000000-0005-0000-0000-000051170000}"/>
    <cellStyle name="표준 4 11" xfId="2698" xr:uid="{00000000-0005-0000-0000-000052170000}"/>
    <cellStyle name="표준 4 11 2" xfId="6932" xr:uid="{00000000-0005-0000-0000-000053170000}"/>
    <cellStyle name="표준 4 12" xfId="3271" xr:uid="{00000000-0005-0000-0000-000054170000}"/>
    <cellStyle name="표준 4 13" xfId="3921" xr:uid="{00000000-0005-0000-0000-000055170000}"/>
    <cellStyle name="표준 4 14" xfId="4313" xr:uid="{00000000-0005-0000-0000-000056170000}"/>
    <cellStyle name="표준 4 15" xfId="4314" xr:uid="{00000000-0005-0000-0000-000057170000}"/>
    <cellStyle name="표준 4 16" xfId="4315" xr:uid="{00000000-0005-0000-0000-000058170000}"/>
    <cellStyle name="표준 4 17" xfId="4316" xr:uid="{00000000-0005-0000-0000-000059170000}"/>
    <cellStyle name="표준 4 18" xfId="2416" xr:uid="{00000000-0005-0000-0000-00005A170000}"/>
    <cellStyle name="표준 4 2" xfId="102" xr:uid="{00000000-0005-0000-0000-00005B170000}"/>
    <cellStyle name="표준 4 2 2" xfId="4317" xr:uid="{00000000-0005-0000-0000-00005C170000}"/>
    <cellStyle name="표준 4 2 3" xfId="49616" xr:uid="{00000000-0005-0000-0000-00005D170000}"/>
    <cellStyle name="표준 4 2 4" xfId="49736" xr:uid="{00000000-0005-0000-0000-00005E170000}"/>
    <cellStyle name="표준 4 3" xfId="4318" xr:uid="{00000000-0005-0000-0000-00005F170000}"/>
    <cellStyle name="표준 4 3 2" xfId="49617" xr:uid="{00000000-0005-0000-0000-000060170000}"/>
    <cellStyle name="표준 4 4" xfId="4319" xr:uid="{00000000-0005-0000-0000-000061170000}"/>
    <cellStyle name="표준 4 4 2" xfId="6575" xr:uid="{00000000-0005-0000-0000-000062170000}"/>
    <cellStyle name="표준 4 4 3" xfId="49656" xr:uid="{00000000-0005-0000-0000-000063170000}"/>
    <cellStyle name="표준 4 5" xfId="4320" xr:uid="{00000000-0005-0000-0000-000064170000}"/>
    <cellStyle name="표준 4 5 2" xfId="6613" xr:uid="{00000000-0005-0000-0000-000065170000}"/>
    <cellStyle name="표준 4 6" xfId="4321" xr:uid="{00000000-0005-0000-0000-000066170000}"/>
    <cellStyle name="표준 4 7" xfId="4322" xr:uid="{00000000-0005-0000-0000-000067170000}"/>
    <cellStyle name="표준 4 8" xfId="4323" xr:uid="{00000000-0005-0000-0000-000068170000}"/>
    <cellStyle name="표준 4 8 2" xfId="6795" xr:uid="{00000000-0005-0000-0000-000069170000}"/>
    <cellStyle name="표준 4 9" xfId="4324" xr:uid="{00000000-0005-0000-0000-00006A170000}"/>
    <cellStyle name="표준 4 9 2" xfId="6858" xr:uid="{00000000-0005-0000-0000-00006B170000}"/>
    <cellStyle name="표준 4_2011년_급식업체_현황(1)" xfId="49618" xr:uid="{00000000-0005-0000-0000-00006C170000}"/>
    <cellStyle name="표준 44" xfId="4325" xr:uid="{00000000-0005-0000-0000-00006D170000}"/>
    <cellStyle name="표준 45" xfId="4326" xr:uid="{00000000-0005-0000-0000-00006E170000}"/>
    <cellStyle name="표준 46" xfId="4327" xr:uid="{00000000-0005-0000-0000-00006F170000}"/>
    <cellStyle name="표준 47" xfId="87" xr:uid="{00000000-0005-0000-0000-000070170000}"/>
    <cellStyle name="표준 47 2" xfId="4328" xr:uid="{00000000-0005-0000-0000-000071170000}"/>
    <cellStyle name="표준 48" xfId="4329" xr:uid="{00000000-0005-0000-0000-000072170000}"/>
    <cellStyle name="표준 49" xfId="4330" xr:uid="{00000000-0005-0000-0000-000073170000}"/>
    <cellStyle name="표준 5" xfId="11" xr:uid="{00000000-0005-0000-0000-000074170000}"/>
    <cellStyle name="표준 5 10" xfId="612" xr:uid="{00000000-0005-0000-0000-000075170000}"/>
    <cellStyle name="표준 5 10 10" xfId="19981" xr:uid="{00000000-0005-0000-0000-000076170000}"/>
    <cellStyle name="표준 5 10 11" xfId="24077" xr:uid="{00000000-0005-0000-0000-000077170000}"/>
    <cellStyle name="표준 5 10 12" xfId="32288" xr:uid="{00000000-0005-0000-0000-000078170000}"/>
    <cellStyle name="표준 5 10 13" xfId="40481" xr:uid="{00000000-0005-0000-0000-000079170000}"/>
    <cellStyle name="표준 5 10 2" xfId="1124" xr:uid="{00000000-0005-0000-0000-00007A170000}"/>
    <cellStyle name="표준 5 10 2 2" xfId="10027" xr:uid="{00000000-0005-0000-0000-00007B170000}"/>
    <cellStyle name="표준 5 10 2 2 2" xfId="14139" xr:uid="{00000000-0005-0000-0000-00007C170000}"/>
    <cellStyle name="표준 5 10 2 2 2 2" xfId="30733" xr:uid="{00000000-0005-0000-0000-00007D170000}"/>
    <cellStyle name="표준 5 10 2 2 2 3" xfId="38944" xr:uid="{00000000-0005-0000-0000-00007E170000}"/>
    <cellStyle name="표준 5 10 2 2 2 4" xfId="47137" xr:uid="{00000000-0005-0000-0000-00007F170000}"/>
    <cellStyle name="표준 5 10 2 2 3" xfId="18379" xr:uid="{00000000-0005-0000-0000-000080170000}"/>
    <cellStyle name="표준 5 10 2 2 4" xfId="22541" xr:uid="{00000000-0005-0000-0000-000081170000}"/>
    <cellStyle name="표준 5 10 2 2 5" xfId="26637" xr:uid="{00000000-0005-0000-0000-000082170000}"/>
    <cellStyle name="표준 5 10 2 2 6" xfId="34848" xr:uid="{00000000-0005-0000-0000-000083170000}"/>
    <cellStyle name="표준 5 10 2 2 7" xfId="43041" xr:uid="{00000000-0005-0000-0000-000084170000}"/>
    <cellStyle name="표준 5 10 2 3" xfId="7979" xr:uid="{00000000-0005-0000-0000-000085170000}"/>
    <cellStyle name="표준 5 10 2 3 2" xfId="28685" xr:uid="{00000000-0005-0000-0000-000086170000}"/>
    <cellStyle name="표준 5 10 2 3 3" xfId="36896" xr:uid="{00000000-0005-0000-0000-000087170000}"/>
    <cellStyle name="표준 5 10 2 3 4" xfId="45089" xr:uid="{00000000-0005-0000-0000-000088170000}"/>
    <cellStyle name="표준 5 10 2 4" xfId="12091" xr:uid="{00000000-0005-0000-0000-000089170000}"/>
    <cellStyle name="표준 5 10 2 5" xfId="16331" xr:uid="{00000000-0005-0000-0000-00008A170000}"/>
    <cellStyle name="표준 5 10 2 6" xfId="20493" xr:uid="{00000000-0005-0000-0000-00008B170000}"/>
    <cellStyle name="표준 5 10 2 7" xfId="24589" xr:uid="{00000000-0005-0000-0000-00008C170000}"/>
    <cellStyle name="표준 5 10 2 8" xfId="32800" xr:uid="{00000000-0005-0000-0000-00008D170000}"/>
    <cellStyle name="표준 5 10 2 9" xfId="40993" xr:uid="{00000000-0005-0000-0000-00008E170000}"/>
    <cellStyle name="표준 5 10 3" xfId="1636" xr:uid="{00000000-0005-0000-0000-00008F170000}"/>
    <cellStyle name="표준 5 10 3 2" xfId="10539" xr:uid="{00000000-0005-0000-0000-000090170000}"/>
    <cellStyle name="표준 5 10 3 2 2" xfId="14651" xr:uid="{00000000-0005-0000-0000-000091170000}"/>
    <cellStyle name="표준 5 10 3 2 2 2" xfId="31245" xr:uid="{00000000-0005-0000-0000-000092170000}"/>
    <cellStyle name="표준 5 10 3 2 2 3" xfId="39456" xr:uid="{00000000-0005-0000-0000-000093170000}"/>
    <cellStyle name="표준 5 10 3 2 2 4" xfId="47649" xr:uid="{00000000-0005-0000-0000-000094170000}"/>
    <cellStyle name="표준 5 10 3 2 3" xfId="18891" xr:uid="{00000000-0005-0000-0000-000095170000}"/>
    <cellStyle name="표준 5 10 3 2 4" xfId="23053" xr:uid="{00000000-0005-0000-0000-000096170000}"/>
    <cellStyle name="표준 5 10 3 2 5" xfId="27149" xr:uid="{00000000-0005-0000-0000-000097170000}"/>
    <cellStyle name="표준 5 10 3 2 6" xfId="35360" xr:uid="{00000000-0005-0000-0000-000098170000}"/>
    <cellStyle name="표준 5 10 3 2 7" xfId="43553" xr:uid="{00000000-0005-0000-0000-000099170000}"/>
    <cellStyle name="표준 5 10 3 3" xfId="8491" xr:uid="{00000000-0005-0000-0000-00009A170000}"/>
    <cellStyle name="표준 5 10 3 3 2" xfId="29197" xr:uid="{00000000-0005-0000-0000-00009B170000}"/>
    <cellStyle name="표준 5 10 3 3 3" xfId="37408" xr:uid="{00000000-0005-0000-0000-00009C170000}"/>
    <cellStyle name="표준 5 10 3 3 4" xfId="45601" xr:uid="{00000000-0005-0000-0000-00009D170000}"/>
    <cellStyle name="표준 5 10 3 4" xfId="12603" xr:uid="{00000000-0005-0000-0000-00009E170000}"/>
    <cellStyle name="표준 5 10 3 5" xfId="16843" xr:uid="{00000000-0005-0000-0000-00009F170000}"/>
    <cellStyle name="표준 5 10 3 6" xfId="21005" xr:uid="{00000000-0005-0000-0000-0000A0170000}"/>
    <cellStyle name="표준 5 10 3 7" xfId="25101" xr:uid="{00000000-0005-0000-0000-0000A1170000}"/>
    <cellStyle name="표준 5 10 3 8" xfId="33312" xr:uid="{00000000-0005-0000-0000-0000A2170000}"/>
    <cellStyle name="표준 5 10 3 9" xfId="41505" xr:uid="{00000000-0005-0000-0000-0000A3170000}"/>
    <cellStyle name="표준 5 10 4" xfId="2148" xr:uid="{00000000-0005-0000-0000-0000A4170000}"/>
    <cellStyle name="표준 5 10 4 2" xfId="11051" xr:uid="{00000000-0005-0000-0000-0000A5170000}"/>
    <cellStyle name="표준 5 10 4 2 2" xfId="15163" xr:uid="{00000000-0005-0000-0000-0000A6170000}"/>
    <cellStyle name="표준 5 10 4 2 2 2" xfId="31757" xr:uid="{00000000-0005-0000-0000-0000A7170000}"/>
    <cellStyle name="표준 5 10 4 2 2 3" xfId="39968" xr:uid="{00000000-0005-0000-0000-0000A8170000}"/>
    <cellStyle name="표준 5 10 4 2 2 4" xfId="48161" xr:uid="{00000000-0005-0000-0000-0000A9170000}"/>
    <cellStyle name="표준 5 10 4 2 3" xfId="19403" xr:uid="{00000000-0005-0000-0000-0000AA170000}"/>
    <cellStyle name="표준 5 10 4 2 4" xfId="23565" xr:uid="{00000000-0005-0000-0000-0000AB170000}"/>
    <cellStyle name="표준 5 10 4 2 5" xfId="27661" xr:uid="{00000000-0005-0000-0000-0000AC170000}"/>
    <cellStyle name="표준 5 10 4 2 6" xfId="35872" xr:uid="{00000000-0005-0000-0000-0000AD170000}"/>
    <cellStyle name="표준 5 10 4 2 7" xfId="44065" xr:uid="{00000000-0005-0000-0000-0000AE170000}"/>
    <cellStyle name="표준 5 10 4 3" xfId="9003" xr:uid="{00000000-0005-0000-0000-0000AF170000}"/>
    <cellStyle name="표준 5 10 4 3 2" xfId="29709" xr:uid="{00000000-0005-0000-0000-0000B0170000}"/>
    <cellStyle name="표준 5 10 4 3 3" xfId="37920" xr:uid="{00000000-0005-0000-0000-0000B1170000}"/>
    <cellStyle name="표준 5 10 4 3 4" xfId="46113" xr:uid="{00000000-0005-0000-0000-0000B2170000}"/>
    <cellStyle name="표준 5 10 4 4" xfId="13115" xr:uid="{00000000-0005-0000-0000-0000B3170000}"/>
    <cellStyle name="표준 5 10 4 5" xfId="17355" xr:uid="{00000000-0005-0000-0000-0000B4170000}"/>
    <cellStyle name="표준 5 10 4 6" xfId="21517" xr:uid="{00000000-0005-0000-0000-0000B5170000}"/>
    <cellStyle name="표준 5 10 4 7" xfId="25613" xr:uid="{00000000-0005-0000-0000-0000B6170000}"/>
    <cellStyle name="표준 5 10 4 8" xfId="33824" xr:uid="{00000000-0005-0000-0000-0000B7170000}"/>
    <cellStyle name="표준 5 10 4 9" xfId="42017" xr:uid="{00000000-0005-0000-0000-0000B8170000}"/>
    <cellStyle name="표준 5 10 5" xfId="4332" xr:uid="{00000000-0005-0000-0000-0000B9170000}"/>
    <cellStyle name="표준 5 10 5 2" xfId="9515" xr:uid="{00000000-0005-0000-0000-0000BA170000}"/>
    <cellStyle name="표준 5 10 5 2 2" xfId="30221" xr:uid="{00000000-0005-0000-0000-0000BB170000}"/>
    <cellStyle name="표준 5 10 5 2 3" xfId="38432" xr:uid="{00000000-0005-0000-0000-0000BC170000}"/>
    <cellStyle name="표준 5 10 5 2 4" xfId="46625" xr:uid="{00000000-0005-0000-0000-0000BD170000}"/>
    <cellStyle name="표준 5 10 5 3" xfId="13627" xr:uid="{00000000-0005-0000-0000-0000BE170000}"/>
    <cellStyle name="표준 5 10 5 4" xfId="17867" xr:uid="{00000000-0005-0000-0000-0000BF170000}"/>
    <cellStyle name="표준 5 10 5 5" xfId="22029" xr:uid="{00000000-0005-0000-0000-0000C0170000}"/>
    <cellStyle name="표준 5 10 5 6" xfId="26125" xr:uid="{00000000-0005-0000-0000-0000C1170000}"/>
    <cellStyle name="표준 5 10 5 7" xfId="34336" xr:uid="{00000000-0005-0000-0000-0000C2170000}"/>
    <cellStyle name="표준 5 10 5 8" xfId="42529" xr:uid="{00000000-0005-0000-0000-0000C3170000}"/>
    <cellStyle name="표준 5 10 6" xfId="6664" xr:uid="{00000000-0005-0000-0000-0000C4170000}"/>
    <cellStyle name="표준 5 10 6 2" xfId="28173" xr:uid="{00000000-0005-0000-0000-0000C5170000}"/>
    <cellStyle name="표준 5 10 6 3" xfId="36384" xr:uid="{00000000-0005-0000-0000-0000C6170000}"/>
    <cellStyle name="표준 5 10 6 4" xfId="44577" xr:uid="{00000000-0005-0000-0000-0000C7170000}"/>
    <cellStyle name="표준 5 10 7" xfId="7467" xr:uid="{00000000-0005-0000-0000-0000C8170000}"/>
    <cellStyle name="표준 5 10 8" xfId="11579" xr:uid="{00000000-0005-0000-0000-0000C9170000}"/>
    <cellStyle name="표준 5 10 9" xfId="15819" xr:uid="{00000000-0005-0000-0000-0000CA170000}"/>
    <cellStyle name="표준 5 11" xfId="868" xr:uid="{00000000-0005-0000-0000-0000CB170000}"/>
    <cellStyle name="표준 5 11 10" xfId="40737" xr:uid="{00000000-0005-0000-0000-0000CC170000}"/>
    <cellStyle name="표준 5 11 2" xfId="4333" xr:uid="{00000000-0005-0000-0000-0000CD170000}"/>
    <cellStyle name="표준 5 11 2 2" xfId="9771" xr:uid="{00000000-0005-0000-0000-0000CE170000}"/>
    <cellStyle name="표준 5 11 2 2 2" xfId="30477" xr:uid="{00000000-0005-0000-0000-0000CF170000}"/>
    <cellStyle name="표준 5 11 2 2 3" xfId="38688" xr:uid="{00000000-0005-0000-0000-0000D0170000}"/>
    <cellStyle name="표준 5 11 2 2 4" xfId="46881" xr:uid="{00000000-0005-0000-0000-0000D1170000}"/>
    <cellStyle name="표준 5 11 2 3" xfId="13883" xr:uid="{00000000-0005-0000-0000-0000D2170000}"/>
    <cellStyle name="표준 5 11 2 4" xfId="18123" xr:uid="{00000000-0005-0000-0000-0000D3170000}"/>
    <cellStyle name="표준 5 11 2 5" xfId="22285" xr:uid="{00000000-0005-0000-0000-0000D4170000}"/>
    <cellStyle name="표준 5 11 2 6" xfId="26381" xr:uid="{00000000-0005-0000-0000-0000D5170000}"/>
    <cellStyle name="표준 5 11 2 7" xfId="34592" xr:uid="{00000000-0005-0000-0000-0000D6170000}"/>
    <cellStyle name="표준 5 11 2 8" xfId="42785" xr:uid="{00000000-0005-0000-0000-0000D7170000}"/>
    <cellStyle name="표준 5 11 3" xfId="6731" xr:uid="{00000000-0005-0000-0000-0000D8170000}"/>
    <cellStyle name="표준 5 11 3 2" xfId="28429" xr:uid="{00000000-0005-0000-0000-0000D9170000}"/>
    <cellStyle name="표준 5 11 3 3" xfId="36640" xr:uid="{00000000-0005-0000-0000-0000DA170000}"/>
    <cellStyle name="표준 5 11 3 4" xfId="44833" xr:uid="{00000000-0005-0000-0000-0000DB170000}"/>
    <cellStyle name="표준 5 11 4" xfId="7723" xr:uid="{00000000-0005-0000-0000-0000DC170000}"/>
    <cellStyle name="표준 5 11 5" xfId="11835" xr:uid="{00000000-0005-0000-0000-0000DD170000}"/>
    <cellStyle name="표준 5 11 6" xfId="16075" xr:uid="{00000000-0005-0000-0000-0000DE170000}"/>
    <cellStyle name="표준 5 11 7" xfId="20237" xr:uid="{00000000-0005-0000-0000-0000DF170000}"/>
    <cellStyle name="표준 5 11 8" xfId="24333" xr:uid="{00000000-0005-0000-0000-0000E0170000}"/>
    <cellStyle name="표준 5 11 9" xfId="32544" xr:uid="{00000000-0005-0000-0000-0000E1170000}"/>
    <cellStyle name="표준 5 12" xfId="1380" xr:uid="{00000000-0005-0000-0000-0000E2170000}"/>
    <cellStyle name="표준 5 12 2" xfId="4334" xr:uid="{00000000-0005-0000-0000-0000E3170000}"/>
    <cellStyle name="표준 5 12 2 2" xfId="10283" xr:uid="{00000000-0005-0000-0000-0000E4170000}"/>
    <cellStyle name="표준 5 12 2 2 2" xfId="30989" xr:uid="{00000000-0005-0000-0000-0000E5170000}"/>
    <cellStyle name="표준 5 12 2 2 3" xfId="39200" xr:uid="{00000000-0005-0000-0000-0000E6170000}"/>
    <cellStyle name="표준 5 12 2 2 4" xfId="47393" xr:uid="{00000000-0005-0000-0000-0000E7170000}"/>
    <cellStyle name="표준 5 12 2 3" xfId="14395" xr:uid="{00000000-0005-0000-0000-0000E8170000}"/>
    <cellStyle name="표준 5 12 2 4" xfId="18635" xr:uid="{00000000-0005-0000-0000-0000E9170000}"/>
    <cellStyle name="표준 5 12 2 5" xfId="22797" xr:uid="{00000000-0005-0000-0000-0000EA170000}"/>
    <cellStyle name="표준 5 12 2 6" xfId="26893" xr:uid="{00000000-0005-0000-0000-0000EB170000}"/>
    <cellStyle name="표준 5 12 2 7" xfId="35104" xr:uid="{00000000-0005-0000-0000-0000EC170000}"/>
    <cellStyle name="표준 5 12 2 8" xfId="43297" xr:uid="{00000000-0005-0000-0000-0000ED170000}"/>
    <cellStyle name="표준 5 12 3" xfId="8235" xr:uid="{00000000-0005-0000-0000-0000EE170000}"/>
    <cellStyle name="표준 5 12 3 2" xfId="28941" xr:uid="{00000000-0005-0000-0000-0000EF170000}"/>
    <cellStyle name="표준 5 12 3 3" xfId="37152" xr:uid="{00000000-0005-0000-0000-0000F0170000}"/>
    <cellStyle name="표준 5 12 3 4" xfId="45345" xr:uid="{00000000-0005-0000-0000-0000F1170000}"/>
    <cellStyle name="표준 5 12 4" xfId="12347" xr:uid="{00000000-0005-0000-0000-0000F2170000}"/>
    <cellStyle name="표준 5 12 5" xfId="16587" xr:uid="{00000000-0005-0000-0000-0000F3170000}"/>
    <cellStyle name="표준 5 12 6" xfId="20749" xr:uid="{00000000-0005-0000-0000-0000F4170000}"/>
    <cellStyle name="표준 5 12 7" xfId="24845" xr:uid="{00000000-0005-0000-0000-0000F5170000}"/>
    <cellStyle name="표준 5 12 8" xfId="33056" xr:uid="{00000000-0005-0000-0000-0000F6170000}"/>
    <cellStyle name="표준 5 12 9" xfId="41249" xr:uid="{00000000-0005-0000-0000-0000F7170000}"/>
    <cellStyle name="표준 5 13" xfId="1892" xr:uid="{00000000-0005-0000-0000-0000F8170000}"/>
    <cellStyle name="표준 5 13 2" xfId="4335" xr:uid="{00000000-0005-0000-0000-0000F9170000}"/>
    <cellStyle name="표준 5 13 2 2" xfId="10795" xr:uid="{00000000-0005-0000-0000-0000FA170000}"/>
    <cellStyle name="표준 5 13 2 2 2" xfId="31501" xr:uid="{00000000-0005-0000-0000-0000FB170000}"/>
    <cellStyle name="표준 5 13 2 2 3" xfId="39712" xr:uid="{00000000-0005-0000-0000-0000FC170000}"/>
    <cellStyle name="표준 5 13 2 2 4" xfId="47905" xr:uid="{00000000-0005-0000-0000-0000FD170000}"/>
    <cellStyle name="표준 5 13 2 3" xfId="14907" xr:uid="{00000000-0005-0000-0000-0000FE170000}"/>
    <cellStyle name="표준 5 13 2 4" xfId="19147" xr:uid="{00000000-0005-0000-0000-0000FF170000}"/>
    <cellStyle name="표준 5 13 2 5" xfId="23309" xr:uid="{00000000-0005-0000-0000-000000180000}"/>
    <cellStyle name="표준 5 13 2 6" xfId="27405" xr:uid="{00000000-0005-0000-0000-000001180000}"/>
    <cellStyle name="표준 5 13 2 7" xfId="35616" xr:uid="{00000000-0005-0000-0000-000002180000}"/>
    <cellStyle name="표준 5 13 2 8" xfId="43809" xr:uid="{00000000-0005-0000-0000-000003180000}"/>
    <cellStyle name="표준 5 13 3" xfId="8747" xr:uid="{00000000-0005-0000-0000-000004180000}"/>
    <cellStyle name="표준 5 13 3 2" xfId="29453" xr:uid="{00000000-0005-0000-0000-000005180000}"/>
    <cellStyle name="표준 5 13 3 3" xfId="37664" xr:uid="{00000000-0005-0000-0000-000006180000}"/>
    <cellStyle name="표준 5 13 3 4" xfId="45857" xr:uid="{00000000-0005-0000-0000-000007180000}"/>
    <cellStyle name="표준 5 13 4" xfId="12859" xr:uid="{00000000-0005-0000-0000-000008180000}"/>
    <cellStyle name="표준 5 13 5" xfId="17099" xr:uid="{00000000-0005-0000-0000-000009180000}"/>
    <cellStyle name="표준 5 13 6" xfId="21261" xr:uid="{00000000-0005-0000-0000-00000A180000}"/>
    <cellStyle name="표준 5 13 7" xfId="25357" xr:uid="{00000000-0005-0000-0000-00000B180000}"/>
    <cellStyle name="표준 5 13 8" xfId="33568" xr:uid="{00000000-0005-0000-0000-00000C180000}"/>
    <cellStyle name="표준 5 13 9" xfId="41761" xr:uid="{00000000-0005-0000-0000-00000D180000}"/>
    <cellStyle name="표준 5 14" xfId="4336" xr:uid="{00000000-0005-0000-0000-00000E180000}"/>
    <cellStyle name="표준 5 14 2" xfId="6908" xr:uid="{00000000-0005-0000-0000-00000F180000}"/>
    <cellStyle name="표준 5 14 2 2" xfId="29965" xr:uid="{00000000-0005-0000-0000-000010180000}"/>
    <cellStyle name="표준 5 14 2 3" xfId="38176" xr:uid="{00000000-0005-0000-0000-000011180000}"/>
    <cellStyle name="표준 5 14 2 4" xfId="46369" xr:uid="{00000000-0005-0000-0000-000012180000}"/>
    <cellStyle name="표준 5 14 3" xfId="9259" xr:uid="{00000000-0005-0000-0000-000013180000}"/>
    <cellStyle name="표준 5 14 4" xfId="13371" xr:uid="{00000000-0005-0000-0000-000014180000}"/>
    <cellStyle name="표준 5 14 5" xfId="17611" xr:uid="{00000000-0005-0000-0000-000015180000}"/>
    <cellStyle name="표준 5 14 6" xfId="21773" xr:uid="{00000000-0005-0000-0000-000016180000}"/>
    <cellStyle name="표준 5 14 7" xfId="25869" xr:uid="{00000000-0005-0000-0000-000017180000}"/>
    <cellStyle name="표준 5 14 8" xfId="34080" xr:uid="{00000000-0005-0000-0000-000018180000}"/>
    <cellStyle name="표준 5 14 9" xfId="42273" xr:uid="{00000000-0005-0000-0000-000019180000}"/>
    <cellStyle name="표준 5 15" xfId="4331" xr:uid="{00000000-0005-0000-0000-00001A180000}"/>
    <cellStyle name="표준 5 15 2" xfId="27917" xr:uid="{00000000-0005-0000-0000-00001B180000}"/>
    <cellStyle name="표준 5 15 3" xfId="36128" xr:uid="{00000000-0005-0000-0000-00001C180000}"/>
    <cellStyle name="표준 5 15 4" xfId="44321" xr:uid="{00000000-0005-0000-0000-00001D180000}"/>
    <cellStyle name="표준 5 16" xfId="4389" xr:uid="{00000000-0005-0000-0000-00001E180000}"/>
    <cellStyle name="표준 5 17" xfId="6945" xr:uid="{00000000-0005-0000-0000-00001F180000}"/>
    <cellStyle name="표준 5 18" xfId="7064" xr:uid="{00000000-0005-0000-0000-000020180000}"/>
    <cellStyle name="표준 5 19" xfId="7080" xr:uid="{00000000-0005-0000-0000-000021180000}"/>
    <cellStyle name="표준 5 2" xfId="23" xr:uid="{00000000-0005-0000-0000-000022180000}"/>
    <cellStyle name="표준 5 2 10" xfId="869" xr:uid="{00000000-0005-0000-0000-000023180000}"/>
    <cellStyle name="표준 5 2 10 2" xfId="6732" xr:uid="{00000000-0005-0000-0000-000024180000}"/>
    <cellStyle name="표준 5 2 10 2 2" xfId="9772" xr:uid="{00000000-0005-0000-0000-000025180000}"/>
    <cellStyle name="표준 5 2 10 2 2 2" xfId="30478" xr:uid="{00000000-0005-0000-0000-000026180000}"/>
    <cellStyle name="표준 5 2 10 2 2 3" xfId="38689" xr:uid="{00000000-0005-0000-0000-000027180000}"/>
    <cellStyle name="표준 5 2 10 2 2 4" xfId="46882" xr:uid="{00000000-0005-0000-0000-000028180000}"/>
    <cellStyle name="표준 5 2 10 2 3" xfId="13884" xr:uid="{00000000-0005-0000-0000-000029180000}"/>
    <cellStyle name="표준 5 2 10 2 4" xfId="18124" xr:uid="{00000000-0005-0000-0000-00002A180000}"/>
    <cellStyle name="표준 5 2 10 2 5" xfId="22286" xr:uid="{00000000-0005-0000-0000-00002B180000}"/>
    <cellStyle name="표준 5 2 10 2 6" xfId="26382" xr:uid="{00000000-0005-0000-0000-00002C180000}"/>
    <cellStyle name="표준 5 2 10 2 7" xfId="34593" xr:uid="{00000000-0005-0000-0000-00002D180000}"/>
    <cellStyle name="표준 5 2 10 2 8" xfId="42786" xr:uid="{00000000-0005-0000-0000-00002E180000}"/>
    <cellStyle name="표준 5 2 10 3" xfId="7724" xr:uid="{00000000-0005-0000-0000-00002F180000}"/>
    <cellStyle name="표준 5 2 10 3 2" xfId="28430" xr:uid="{00000000-0005-0000-0000-000030180000}"/>
    <cellStyle name="표준 5 2 10 3 3" xfId="36641" xr:uid="{00000000-0005-0000-0000-000031180000}"/>
    <cellStyle name="표준 5 2 10 3 4" xfId="44834" xr:uid="{00000000-0005-0000-0000-000032180000}"/>
    <cellStyle name="표준 5 2 10 4" xfId="11836" xr:uid="{00000000-0005-0000-0000-000033180000}"/>
    <cellStyle name="표준 5 2 10 5" xfId="16076" xr:uid="{00000000-0005-0000-0000-000034180000}"/>
    <cellStyle name="표준 5 2 10 6" xfId="20238" xr:uid="{00000000-0005-0000-0000-000035180000}"/>
    <cellStyle name="표준 5 2 10 7" xfId="24334" xr:uid="{00000000-0005-0000-0000-000036180000}"/>
    <cellStyle name="표준 5 2 10 8" xfId="32545" xr:uid="{00000000-0005-0000-0000-000037180000}"/>
    <cellStyle name="표준 5 2 10 9" xfId="40738" xr:uid="{00000000-0005-0000-0000-000038180000}"/>
    <cellStyle name="표준 5 2 11" xfId="1381" xr:uid="{00000000-0005-0000-0000-000039180000}"/>
    <cellStyle name="표준 5 2 11 2" xfId="6798" xr:uid="{00000000-0005-0000-0000-00003A180000}"/>
    <cellStyle name="표준 5 2 11 2 2" xfId="10284" xr:uid="{00000000-0005-0000-0000-00003B180000}"/>
    <cellStyle name="표준 5 2 11 2 2 2" xfId="30990" xr:uid="{00000000-0005-0000-0000-00003C180000}"/>
    <cellStyle name="표준 5 2 11 2 2 3" xfId="39201" xr:uid="{00000000-0005-0000-0000-00003D180000}"/>
    <cellStyle name="표준 5 2 11 2 2 4" xfId="47394" xr:uid="{00000000-0005-0000-0000-00003E180000}"/>
    <cellStyle name="표준 5 2 11 2 3" xfId="14396" xr:uid="{00000000-0005-0000-0000-00003F180000}"/>
    <cellStyle name="표준 5 2 11 2 4" xfId="18636" xr:uid="{00000000-0005-0000-0000-000040180000}"/>
    <cellStyle name="표준 5 2 11 2 5" xfId="22798" xr:uid="{00000000-0005-0000-0000-000041180000}"/>
    <cellStyle name="표준 5 2 11 2 6" xfId="26894" xr:uid="{00000000-0005-0000-0000-000042180000}"/>
    <cellStyle name="표준 5 2 11 2 7" xfId="35105" xr:uid="{00000000-0005-0000-0000-000043180000}"/>
    <cellStyle name="표준 5 2 11 2 8" xfId="43298" xr:uid="{00000000-0005-0000-0000-000044180000}"/>
    <cellStyle name="표준 5 2 11 3" xfId="8236" xr:uid="{00000000-0005-0000-0000-000045180000}"/>
    <cellStyle name="표준 5 2 11 3 2" xfId="28942" xr:uid="{00000000-0005-0000-0000-000046180000}"/>
    <cellStyle name="표준 5 2 11 3 3" xfId="37153" xr:uid="{00000000-0005-0000-0000-000047180000}"/>
    <cellStyle name="표준 5 2 11 3 4" xfId="45346" xr:uid="{00000000-0005-0000-0000-000048180000}"/>
    <cellStyle name="표준 5 2 11 4" xfId="12348" xr:uid="{00000000-0005-0000-0000-000049180000}"/>
    <cellStyle name="표준 5 2 11 5" xfId="16588" xr:uid="{00000000-0005-0000-0000-00004A180000}"/>
    <cellStyle name="표준 5 2 11 6" xfId="20750" xr:uid="{00000000-0005-0000-0000-00004B180000}"/>
    <cellStyle name="표준 5 2 11 7" xfId="24846" xr:uid="{00000000-0005-0000-0000-00004C180000}"/>
    <cellStyle name="표준 5 2 11 8" xfId="33057" xr:uid="{00000000-0005-0000-0000-00004D180000}"/>
    <cellStyle name="표준 5 2 11 9" xfId="41250" xr:uid="{00000000-0005-0000-0000-00004E180000}"/>
    <cellStyle name="표준 5 2 12" xfId="1893" xr:uid="{00000000-0005-0000-0000-00004F180000}"/>
    <cellStyle name="표준 5 2 12 2" xfId="6861" xr:uid="{00000000-0005-0000-0000-000050180000}"/>
    <cellStyle name="표준 5 2 12 2 2" xfId="10796" xr:uid="{00000000-0005-0000-0000-000051180000}"/>
    <cellStyle name="표준 5 2 12 2 2 2" xfId="31502" xr:uid="{00000000-0005-0000-0000-000052180000}"/>
    <cellStyle name="표준 5 2 12 2 2 3" xfId="39713" xr:uid="{00000000-0005-0000-0000-000053180000}"/>
    <cellStyle name="표준 5 2 12 2 2 4" xfId="47906" xr:uid="{00000000-0005-0000-0000-000054180000}"/>
    <cellStyle name="표준 5 2 12 2 3" xfId="14908" xr:uid="{00000000-0005-0000-0000-000055180000}"/>
    <cellStyle name="표준 5 2 12 2 4" xfId="19148" xr:uid="{00000000-0005-0000-0000-000056180000}"/>
    <cellStyle name="표준 5 2 12 2 5" xfId="23310" xr:uid="{00000000-0005-0000-0000-000057180000}"/>
    <cellStyle name="표준 5 2 12 2 6" xfId="27406" xr:uid="{00000000-0005-0000-0000-000058180000}"/>
    <cellStyle name="표준 5 2 12 2 7" xfId="35617" xr:uid="{00000000-0005-0000-0000-000059180000}"/>
    <cellStyle name="표준 5 2 12 2 8" xfId="43810" xr:uid="{00000000-0005-0000-0000-00005A180000}"/>
    <cellStyle name="표준 5 2 12 3" xfId="8748" xr:uid="{00000000-0005-0000-0000-00005B180000}"/>
    <cellStyle name="표준 5 2 12 3 2" xfId="29454" xr:uid="{00000000-0005-0000-0000-00005C180000}"/>
    <cellStyle name="표준 5 2 12 3 3" xfId="37665" xr:uid="{00000000-0005-0000-0000-00005D180000}"/>
    <cellStyle name="표준 5 2 12 3 4" xfId="45858" xr:uid="{00000000-0005-0000-0000-00005E180000}"/>
    <cellStyle name="표준 5 2 12 4" xfId="12860" xr:uid="{00000000-0005-0000-0000-00005F180000}"/>
    <cellStyle name="표준 5 2 12 5" xfId="17100" xr:uid="{00000000-0005-0000-0000-000060180000}"/>
    <cellStyle name="표준 5 2 12 6" xfId="21262" xr:uid="{00000000-0005-0000-0000-000061180000}"/>
    <cellStyle name="표준 5 2 12 7" xfId="25358" xr:uid="{00000000-0005-0000-0000-000062180000}"/>
    <cellStyle name="표준 5 2 12 8" xfId="33569" xr:uid="{00000000-0005-0000-0000-000063180000}"/>
    <cellStyle name="표준 5 2 12 9" xfId="41762" xr:uid="{00000000-0005-0000-0000-000064180000}"/>
    <cellStyle name="표준 5 2 13" xfId="4337" xr:uid="{00000000-0005-0000-0000-000065180000}"/>
    <cellStyle name="표준 5 2 13 2" xfId="6909" xr:uid="{00000000-0005-0000-0000-000066180000}"/>
    <cellStyle name="표준 5 2 13 2 2" xfId="29966" xr:uid="{00000000-0005-0000-0000-000067180000}"/>
    <cellStyle name="표준 5 2 13 2 3" xfId="38177" xr:uid="{00000000-0005-0000-0000-000068180000}"/>
    <cellStyle name="표준 5 2 13 2 4" xfId="46370" xr:uid="{00000000-0005-0000-0000-000069180000}"/>
    <cellStyle name="표준 5 2 13 3" xfId="9260" xr:uid="{00000000-0005-0000-0000-00006A180000}"/>
    <cellStyle name="표준 5 2 13 4" xfId="13372" xr:uid="{00000000-0005-0000-0000-00006B180000}"/>
    <cellStyle name="표준 5 2 13 5" xfId="17612" xr:uid="{00000000-0005-0000-0000-00006C180000}"/>
    <cellStyle name="표준 5 2 13 6" xfId="21774" xr:uid="{00000000-0005-0000-0000-00006D180000}"/>
    <cellStyle name="표준 5 2 13 7" xfId="25870" xr:uid="{00000000-0005-0000-0000-00006E180000}"/>
    <cellStyle name="표준 5 2 13 8" xfId="34081" xr:uid="{00000000-0005-0000-0000-00006F180000}"/>
    <cellStyle name="표준 5 2 13 9" xfId="42274" xr:uid="{00000000-0005-0000-0000-000070180000}"/>
    <cellStyle name="표준 5 2 14" xfId="6933" xr:uid="{00000000-0005-0000-0000-000071180000}"/>
    <cellStyle name="표준 5 2 14 2" xfId="27918" xr:uid="{00000000-0005-0000-0000-000072180000}"/>
    <cellStyle name="표준 5 2 14 3" xfId="36129" xr:uid="{00000000-0005-0000-0000-000073180000}"/>
    <cellStyle name="표준 5 2 14 4" xfId="44322" xr:uid="{00000000-0005-0000-0000-000074180000}"/>
    <cellStyle name="표준 5 2 15" xfId="4390" xr:uid="{00000000-0005-0000-0000-000075180000}"/>
    <cellStyle name="표준 5 2 16" xfId="6946" xr:uid="{00000000-0005-0000-0000-000076180000}"/>
    <cellStyle name="표준 5 2 17" xfId="7065" xr:uid="{00000000-0005-0000-0000-000077180000}"/>
    <cellStyle name="표준 5 2 18" xfId="7081" xr:uid="{00000000-0005-0000-0000-000078180000}"/>
    <cellStyle name="표준 5 2 19" xfId="7097" xr:uid="{00000000-0005-0000-0000-000079180000}"/>
    <cellStyle name="표준 5 2 2" xfId="44" xr:uid="{00000000-0005-0000-0000-00007A180000}"/>
    <cellStyle name="표준 5 2 2 10" xfId="1383" xr:uid="{00000000-0005-0000-0000-00007B180000}"/>
    <cellStyle name="표준 5 2 2 10 2" xfId="10286" xr:uid="{00000000-0005-0000-0000-00007C180000}"/>
    <cellStyle name="표준 5 2 2 10 2 2" xfId="14398" xr:uid="{00000000-0005-0000-0000-00007D180000}"/>
    <cellStyle name="표준 5 2 2 10 2 2 2" xfId="30992" xr:uid="{00000000-0005-0000-0000-00007E180000}"/>
    <cellStyle name="표준 5 2 2 10 2 2 3" xfId="39203" xr:uid="{00000000-0005-0000-0000-00007F180000}"/>
    <cellStyle name="표준 5 2 2 10 2 2 4" xfId="47396" xr:uid="{00000000-0005-0000-0000-000080180000}"/>
    <cellStyle name="표준 5 2 2 10 2 3" xfId="18638" xr:uid="{00000000-0005-0000-0000-000081180000}"/>
    <cellStyle name="표준 5 2 2 10 2 4" xfId="22800" xr:uid="{00000000-0005-0000-0000-000082180000}"/>
    <cellStyle name="표준 5 2 2 10 2 5" xfId="26896" xr:uid="{00000000-0005-0000-0000-000083180000}"/>
    <cellStyle name="표준 5 2 2 10 2 6" xfId="35107" xr:uid="{00000000-0005-0000-0000-000084180000}"/>
    <cellStyle name="표준 5 2 2 10 2 7" xfId="43300" xr:uid="{00000000-0005-0000-0000-000085180000}"/>
    <cellStyle name="표준 5 2 2 10 3" xfId="8238" xr:uid="{00000000-0005-0000-0000-000086180000}"/>
    <cellStyle name="표준 5 2 2 10 3 2" xfId="28944" xr:uid="{00000000-0005-0000-0000-000087180000}"/>
    <cellStyle name="표준 5 2 2 10 3 3" xfId="37155" xr:uid="{00000000-0005-0000-0000-000088180000}"/>
    <cellStyle name="표준 5 2 2 10 3 4" xfId="45348" xr:uid="{00000000-0005-0000-0000-000089180000}"/>
    <cellStyle name="표준 5 2 2 10 4" xfId="12350" xr:uid="{00000000-0005-0000-0000-00008A180000}"/>
    <cellStyle name="표준 5 2 2 10 5" xfId="16590" xr:uid="{00000000-0005-0000-0000-00008B180000}"/>
    <cellStyle name="표준 5 2 2 10 6" xfId="20752" xr:uid="{00000000-0005-0000-0000-00008C180000}"/>
    <cellStyle name="표준 5 2 2 10 7" xfId="24848" xr:uid="{00000000-0005-0000-0000-00008D180000}"/>
    <cellStyle name="표준 5 2 2 10 8" xfId="33059" xr:uid="{00000000-0005-0000-0000-00008E180000}"/>
    <cellStyle name="표준 5 2 2 10 9" xfId="41252" xr:uid="{00000000-0005-0000-0000-00008F180000}"/>
    <cellStyle name="표준 5 2 2 11" xfId="1895" xr:uid="{00000000-0005-0000-0000-000090180000}"/>
    <cellStyle name="표준 5 2 2 11 2" xfId="10798" xr:uid="{00000000-0005-0000-0000-000091180000}"/>
    <cellStyle name="표준 5 2 2 11 2 2" xfId="14910" xr:uid="{00000000-0005-0000-0000-000092180000}"/>
    <cellStyle name="표준 5 2 2 11 2 2 2" xfId="31504" xr:uid="{00000000-0005-0000-0000-000093180000}"/>
    <cellStyle name="표준 5 2 2 11 2 2 3" xfId="39715" xr:uid="{00000000-0005-0000-0000-000094180000}"/>
    <cellStyle name="표준 5 2 2 11 2 2 4" xfId="47908" xr:uid="{00000000-0005-0000-0000-000095180000}"/>
    <cellStyle name="표준 5 2 2 11 2 3" xfId="19150" xr:uid="{00000000-0005-0000-0000-000096180000}"/>
    <cellStyle name="표준 5 2 2 11 2 4" xfId="23312" xr:uid="{00000000-0005-0000-0000-000097180000}"/>
    <cellStyle name="표준 5 2 2 11 2 5" xfId="27408" xr:uid="{00000000-0005-0000-0000-000098180000}"/>
    <cellStyle name="표준 5 2 2 11 2 6" xfId="35619" xr:uid="{00000000-0005-0000-0000-000099180000}"/>
    <cellStyle name="표준 5 2 2 11 2 7" xfId="43812" xr:uid="{00000000-0005-0000-0000-00009A180000}"/>
    <cellStyle name="표준 5 2 2 11 3" xfId="8750" xr:uid="{00000000-0005-0000-0000-00009B180000}"/>
    <cellStyle name="표준 5 2 2 11 3 2" xfId="29456" xr:uid="{00000000-0005-0000-0000-00009C180000}"/>
    <cellStyle name="표준 5 2 2 11 3 3" xfId="37667" xr:uid="{00000000-0005-0000-0000-00009D180000}"/>
    <cellStyle name="표준 5 2 2 11 3 4" xfId="45860" xr:uid="{00000000-0005-0000-0000-00009E180000}"/>
    <cellStyle name="표준 5 2 2 11 4" xfId="12862" xr:uid="{00000000-0005-0000-0000-00009F180000}"/>
    <cellStyle name="표준 5 2 2 11 5" xfId="17102" xr:uid="{00000000-0005-0000-0000-0000A0180000}"/>
    <cellStyle name="표준 5 2 2 11 6" xfId="21264" xr:uid="{00000000-0005-0000-0000-0000A1180000}"/>
    <cellStyle name="표준 5 2 2 11 7" xfId="25360" xr:uid="{00000000-0005-0000-0000-0000A2180000}"/>
    <cellStyle name="표준 5 2 2 11 8" xfId="33571" xr:uid="{00000000-0005-0000-0000-0000A3180000}"/>
    <cellStyle name="표준 5 2 2 11 9" xfId="41764" xr:uid="{00000000-0005-0000-0000-0000A4180000}"/>
    <cellStyle name="표준 5 2 2 12" xfId="4392" xr:uid="{00000000-0005-0000-0000-0000A5180000}"/>
    <cellStyle name="표준 5 2 2 12 2" xfId="9262" xr:uid="{00000000-0005-0000-0000-0000A6180000}"/>
    <cellStyle name="표준 5 2 2 12 2 2" xfId="29968" xr:uid="{00000000-0005-0000-0000-0000A7180000}"/>
    <cellStyle name="표준 5 2 2 12 2 3" xfId="38179" xr:uid="{00000000-0005-0000-0000-0000A8180000}"/>
    <cellStyle name="표준 5 2 2 12 2 4" xfId="46372" xr:uid="{00000000-0005-0000-0000-0000A9180000}"/>
    <cellStyle name="표준 5 2 2 12 3" xfId="13374" xr:uid="{00000000-0005-0000-0000-0000AA180000}"/>
    <cellStyle name="표준 5 2 2 12 4" xfId="17614" xr:uid="{00000000-0005-0000-0000-0000AB180000}"/>
    <cellStyle name="표준 5 2 2 12 5" xfId="21776" xr:uid="{00000000-0005-0000-0000-0000AC180000}"/>
    <cellStyle name="표준 5 2 2 12 6" xfId="25872" xr:uid="{00000000-0005-0000-0000-0000AD180000}"/>
    <cellStyle name="표준 5 2 2 12 7" xfId="34083" xr:uid="{00000000-0005-0000-0000-0000AE180000}"/>
    <cellStyle name="표준 5 2 2 12 8" xfId="42276" xr:uid="{00000000-0005-0000-0000-0000AF180000}"/>
    <cellStyle name="표준 5 2 2 13" xfId="6949" xr:uid="{00000000-0005-0000-0000-0000B0180000}"/>
    <cellStyle name="표준 5 2 2 13 2" xfId="27920" xr:uid="{00000000-0005-0000-0000-0000B1180000}"/>
    <cellStyle name="표준 5 2 2 13 3" xfId="36131" xr:uid="{00000000-0005-0000-0000-0000B2180000}"/>
    <cellStyle name="표준 5 2 2 13 4" xfId="44324" xr:uid="{00000000-0005-0000-0000-0000B3180000}"/>
    <cellStyle name="표준 5 2 2 14" xfId="7067" xr:uid="{00000000-0005-0000-0000-0000B4180000}"/>
    <cellStyle name="표준 5 2 2 15" xfId="7083" xr:uid="{00000000-0005-0000-0000-0000B5180000}"/>
    <cellStyle name="표준 5 2 2 16" xfId="7099" xr:uid="{00000000-0005-0000-0000-0000B6180000}"/>
    <cellStyle name="표준 5 2 2 17" xfId="7207" xr:uid="{00000000-0005-0000-0000-0000B7180000}"/>
    <cellStyle name="표준 5 2 2 18" xfId="7214" xr:uid="{00000000-0005-0000-0000-0000B8180000}"/>
    <cellStyle name="표준 5 2 2 19" xfId="11310" xr:uid="{00000000-0005-0000-0000-0000B9180000}"/>
    <cellStyle name="표준 5 2 2 2" xfId="60" xr:uid="{00000000-0005-0000-0000-0000BA180000}"/>
    <cellStyle name="표준 5 2 2 2 10" xfId="1899" xr:uid="{00000000-0005-0000-0000-0000BB180000}"/>
    <cellStyle name="표준 5 2 2 2 10 2" xfId="10802" xr:uid="{00000000-0005-0000-0000-0000BC180000}"/>
    <cellStyle name="표준 5 2 2 2 10 2 2" xfId="14914" xr:uid="{00000000-0005-0000-0000-0000BD180000}"/>
    <cellStyle name="표준 5 2 2 2 10 2 2 2" xfId="31508" xr:uid="{00000000-0005-0000-0000-0000BE180000}"/>
    <cellStyle name="표준 5 2 2 2 10 2 2 3" xfId="39719" xr:uid="{00000000-0005-0000-0000-0000BF180000}"/>
    <cellStyle name="표준 5 2 2 2 10 2 2 4" xfId="47912" xr:uid="{00000000-0005-0000-0000-0000C0180000}"/>
    <cellStyle name="표준 5 2 2 2 10 2 3" xfId="19154" xr:uid="{00000000-0005-0000-0000-0000C1180000}"/>
    <cellStyle name="표준 5 2 2 2 10 2 4" xfId="23316" xr:uid="{00000000-0005-0000-0000-0000C2180000}"/>
    <cellStyle name="표준 5 2 2 2 10 2 5" xfId="27412" xr:uid="{00000000-0005-0000-0000-0000C3180000}"/>
    <cellStyle name="표준 5 2 2 2 10 2 6" xfId="35623" xr:uid="{00000000-0005-0000-0000-0000C4180000}"/>
    <cellStyle name="표준 5 2 2 2 10 2 7" xfId="43816" xr:uid="{00000000-0005-0000-0000-0000C5180000}"/>
    <cellStyle name="표준 5 2 2 2 10 3" xfId="8754" xr:uid="{00000000-0005-0000-0000-0000C6180000}"/>
    <cellStyle name="표준 5 2 2 2 10 3 2" xfId="29460" xr:uid="{00000000-0005-0000-0000-0000C7180000}"/>
    <cellStyle name="표준 5 2 2 2 10 3 3" xfId="37671" xr:uid="{00000000-0005-0000-0000-0000C8180000}"/>
    <cellStyle name="표준 5 2 2 2 10 3 4" xfId="45864" xr:uid="{00000000-0005-0000-0000-0000C9180000}"/>
    <cellStyle name="표준 5 2 2 2 10 4" xfId="12866" xr:uid="{00000000-0005-0000-0000-0000CA180000}"/>
    <cellStyle name="표준 5 2 2 2 10 5" xfId="17106" xr:uid="{00000000-0005-0000-0000-0000CB180000}"/>
    <cellStyle name="표준 5 2 2 2 10 6" xfId="21268" xr:uid="{00000000-0005-0000-0000-0000CC180000}"/>
    <cellStyle name="표준 5 2 2 2 10 7" xfId="25364" xr:uid="{00000000-0005-0000-0000-0000CD180000}"/>
    <cellStyle name="표준 5 2 2 2 10 8" xfId="33575" xr:uid="{00000000-0005-0000-0000-0000CE180000}"/>
    <cellStyle name="표준 5 2 2 2 10 9" xfId="41768" xr:uid="{00000000-0005-0000-0000-0000CF180000}"/>
    <cellStyle name="표준 5 2 2 2 11" xfId="4396" xr:uid="{00000000-0005-0000-0000-0000D0180000}"/>
    <cellStyle name="표준 5 2 2 2 11 2" xfId="9266" xr:uid="{00000000-0005-0000-0000-0000D1180000}"/>
    <cellStyle name="표준 5 2 2 2 11 2 2" xfId="29972" xr:uid="{00000000-0005-0000-0000-0000D2180000}"/>
    <cellStyle name="표준 5 2 2 2 11 2 3" xfId="38183" xr:uid="{00000000-0005-0000-0000-0000D3180000}"/>
    <cellStyle name="표준 5 2 2 2 11 2 4" xfId="46376" xr:uid="{00000000-0005-0000-0000-0000D4180000}"/>
    <cellStyle name="표준 5 2 2 2 11 3" xfId="13378" xr:uid="{00000000-0005-0000-0000-0000D5180000}"/>
    <cellStyle name="표준 5 2 2 2 11 4" xfId="17618" xr:uid="{00000000-0005-0000-0000-0000D6180000}"/>
    <cellStyle name="표준 5 2 2 2 11 5" xfId="21780" xr:uid="{00000000-0005-0000-0000-0000D7180000}"/>
    <cellStyle name="표준 5 2 2 2 11 6" xfId="25876" xr:uid="{00000000-0005-0000-0000-0000D8180000}"/>
    <cellStyle name="표준 5 2 2 2 11 7" xfId="34087" xr:uid="{00000000-0005-0000-0000-0000D9180000}"/>
    <cellStyle name="표준 5 2 2 2 11 8" xfId="42280" xr:uid="{00000000-0005-0000-0000-0000DA180000}"/>
    <cellStyle name="표준 5 2 2 2 12" xfId="6953" xr:uid="{00000000-0005-0000-0000-0000DB180000}"/>
    <cellStyle name="표준 5 2 2 2 12 2" xfId="27924" xr:uid="{00000000-0005-0000-0000-0000DC180000}"/>
    <cellStyle name="표준 5 2 2 2 12 3" xfId="36135" xr:uid="{00000000-0005-0000-0000-0000DD180000}"/>
    <cellStyle name="표준 5 2 2 2 12 4" xfId="44328" xr:uid="{00000000-0005-0000-0000-0000DE180000}"/>
    <cellStyle name="표준 5 2 2 2 13" xfId="7071" xr:uid="{00000000-0005-0000-0000-0000DF180000}"/>
    <cellStyle name="표준 5 2 2 2 14" xfId="7087" xr:uid="{00000000-0005-0000-0000-0000E0180000}"/>
    <cellStyle name="표준 5 2 2 2 15" xfId="7103" xr:uid="{00000000-0005-0000-0000-0000E1180000}"/>
    <cellStyle name="표준 5 2 2 2 16" xfId="7203" xr:uid="{00000000-0005-0000-0000-0000E2180000}"/>
    <cellStyle name="표준 5 2 2 2 17" xfId="7218" xr:uid="{00000000-0005-0000-0000-0000E3180000}"/>
    <cellStyle name="표준 5 2 2 2 18" xfId="11314" xr:uid="{00000000-0005-0000-0000-0000E4180000}"/>
    <cellStyle name="표준 5 2 2 2 19" xfId="11330" xr:uid="{00000000-0005-0000-0000-0000E5180000}"/>
    <cellStyle name="표준 5 2 2 2 2" xfId="78" xr:uid="{00000000-0005-0000-0000-0000E6180000}"/>
    <cellStyle name="표준 5 2 2 2 2 10" xfId="4404" xr:uid="{00000000-0005-0000-0000-0000E7180000}"/>
    <cellStyle name="표준 5 2 2 2 2 10 2" xfId="9274" xr:uid="{00000000-0005-0000-0000-0000E8180000}"/>
    <cellStyle name="표준 5 2 2 2 2 10 2 2" xfId="29980" xr:uid="{00000000-0005-0000-0000-0000E9180000}"/>
    <cellStyle name="표준 5 2 2 2 2 10 2 3" xfId="38191" xr:uid="{00000000-0005-0000-0000-0000EA180000}"/>
    <cellStyle name="표준 5 2 2 2 2 10 2 4" xfId="46384" xr:uid="{00000000-0005-0000-0000-0000EB180000}"/>
    <cellStyle name="표준 5 2 2 2 2 10 3" xfId="13386" xr:uid="{00000000-0005-0000-0000-0000EC180000}"/>
    <cellStyle name="표준 5 2 2 2 2 10 4" xfId="17626" xr:uid="{00000000-0005-0000-0000-0000ED180000}"/>
    <cellStyle name="표준 5 2 2 2 2 10 5" xfId="21788" xr:uid="{00000000-0005-0000-0000-0000EE180000}"/>
    <cellStyle name="표준 5 2 2 2 2 10 6" xfId="25884" xr:uid="{00000000-0005-0000-0000-0000EF180000}"/>
    <cellStyle name="표준 5 2 2 2 2 10 7" xfId="34095" xr:uid="{00000000-0005-0000-0000-0000F0180000}"/>
    <cellStyle name="표준 5 2 2 2 2 10 8" xfId="42288" xr:uid="{00000000-0005-0000-0000-0000F1180000}"/>
    <cellStyle name="표준 5 2 2 2 2 11" xfId="6961" xr:uid="{00000000-0005-0000-0000-0000F2180000}"/>
    <cellStyle name="표준 5 2 2 2 2 11 2" xfId="27932" xr:uid="{00000000-0005-0000-0000-0000F3180000}"/>
    <cellStyle name="표준 5 2 2 2 2 11 3" xfId="36143" xr:uid="{00000000-0005-0000-0000-0000F4180000}"/>
    <cellStyle name="표준 5 2 2 2 2 11 4" xfId="44336" xr:uid="{00000000-0005-0000-0000-0000F5180000}"/>
    <cellStyle name="표준 5 2 2 2 2 12" xfId="7079" xr:uid="{00000000-0005-0000-0000-0000F6180000}"/>
    <cellStyle name="표준 5 2 2 2 2 13" xfId="7095" xr:uid="{00000000-0005-0000-0000-0000F7180000}"/>
    <cellStyle name="표준 5 2 2 2 2 14" xfId="7111" xr:uid="{00000000-0005-0000-0000-0000F8180000}"/>
    <cellStyle name="표준 5 2 2 2 2 15" xfId="7195" xr:uid="{00000000-0005-0000-0000-0000F9180000}"/>
    <cellStyle name="표준 5 2 2 2 2 16" xfId="7226" xr:uid="{00000000-0005-0000-0000-0000FA180000}"/>
    <cellStyle name="표준 5 2 2 2 2 17" xfId="11322" xr:uid="{00000000-0005-0000-0000-0000FB180000}"/>
    <cellStyle name="표준 5 2 2 2 2 18" xfId="11338" xr:uid="{00000000-0005-0000-0000-0000FC180000}"/>
    <cellStyle name="표준 5 2 2 2 2 19" xfId="15434" xr:uid="{00000000-0005-0000-0000-0000FD180000}"/>
    <cellStyle name="표준 5 2 2 2 2 2" xfId="172" xr:uid="{00000000-0005-0000-0000-0000FE180000}"/>
    <cellStyle name="표준 5 2 2 2 2 2 10" xfId="7179" xr:uid="{00000000-0005-0000-0000-0000FF180000}"/>
    <cellStyle name="표준 5 2 2 2 2 2 10 2" xfId="27948" xr:uid="{00000000-0005-0000-0000-000000190000}"/>
    <cellStyle name="표준 5 2 2 2 2 2 10 3" xfId="36159" xr:uid="{00000000-0005-0000-0000-000001190000}"/>
    <cellStyle name="표준 5 2 2 2 2 2 10 4" xfId="44352" xr:uid="{00000000-0005-0000-0000-000002190000}"/>
    <cellStyle name="표준 5 2 2 2 2 2 11" xfId="7242" xr:uid="{00000000-0005-0000-0000-000003190000}"/>
    <cellStyle name="표준 5 2 2 2 2 2 12" xfId="11354" xr:uid="{00000000-0005-0000-0000-000004190000}"/>
    <cellStyle name="표준 5 2 2 2 2 2 13" xfId="15482" xr:uid="{00000000-0005-0000-0000-000005190000}"/>
    <cellStyle name="표준 5 2 2 2 2 2 14" xfId="15594" xr:uid="{00000000-0005-0000-0000-000006190000}"/>
    <cellStyle name="표준 5 2 2 2 2 2 15" xfId="19756" xr:uid="{00000000-0005-0000-0000-000007190000}"/>
    <cellStyle name="표준 5 2 2 2 2 2 16" xfId="23852" xr:uid="{00000000-0005-0000-0000-000008190000}"/>
    <cellStyle name="표준 5 2 2 2 2 2 17" xfId="32063" xr:uid="{00000000-0005-0000-0000-000009190000}"/>
    <cellStyle name="표준 5 2 2 2 2 2 18" xfId="40256" xr:uid="{00000000-0005-0000-0000-00000A190000}"/>
    <cellStyle name="표준 5 2 2 2 2 2 19" xfId="49637" xr:uid="{00000000-0005-0000-0000-00000B190000}"/>
    <cellStyle name="표준 5 2 2 2 2 2 2" xfId="419" xr:uid="{00000000-0005-0000-0000-00000C190000}"/>
    <cellStyle name="표준 5 2 2 2 2 2 2 10" xfId="7274" xr:uid="{00000000-0005-0000-0000-00000D190000}"/>
    <cellStyle name="표준 5 2 2 2 2 2 2 11" xfId="11386" xr:uid="{00000000-0005-0000-0000-00000E190000}"/>
    <cellStyle name="표준 5 2 2 2 2 2 2 12" xfId="15530" xr:uid="{00000000-0005-0000-0000-00000F190000}"/>
    <cellStyle name="표준 5 2 2 2 2 2 2 13" xfId="15626" xr:uid="{00000000-0005-0000-0000-000010190000}"/>
    <cellStyle name="표준 5 2 2 2 2 2 2 14" xfId="19788" xr:uid="{00000000-0005-0000-0000-000011190000}"/>
    <cellStyle name="표준 5 2 2 2 2 2 2 15" xfId="23884" xr:uid="{00000000-0005-0000-0000-000012190000}"/>
    <cellStyle name="표준 5 2 2 2 2 2 2 16" xfId="32095" xr:uid="{00000000-0005-0000-0000-000013190000}"/>
    <cellStyle name="표준 5 2 2 2 2 2 2 17" xfId="40288" xr:uid="{00000000-0005-0000-0000-000014190000}"/>
    <cellStyle name="표준 5 2 2 2 2 2 2 18" xfId="49703" xr:uid="{00000000-0005-0000-0000-000015190000}"/>
    <cellStyle name="표준 5 2 2 2 2 2 2 2" xfId="483" xr:uid="{00000000-0005-0000-0000-000016190000}"/>
    <cellStyle name="표준 5 2 2 2 2 2 2 2 10" xfId="15690" xr:uid="{00000000-0005-0000-0000-000017190000}"/>
    <cellStyle name="표준 5 2 2 2 2 2 2 2 11" xfId="19852" xr:uid="{00000000-0005-0000-0000-000018190000}"/>
    <cellStyle name="표준 5 2 2 2 2 2 2 2 12" xfId="23948" xr:uid="{00000000-0005-0000-0000-000019190000}"/>
    <cellStyle name="표준 5 2 2 2 2 2 2 2 13" xfId="32159" xr:uid="{00000000-0005-0000-0000-00001A190000}"/>
    <cellStyle name="표준 5 2 2 2 2 2 2 2 14" xfId="40352" xr:uid="{00000000-0005-0000-0000-00001B190000}"/>
    <cellStyle name="표준 5 2 2 2 2 2 2 2 2" xfId="611" xr:uid="{00000000-0005-0000-0000-00001C190000}"/>
    <cellStyle name="표준 5 2 2 2 2 2 2 2 2 10" xfId="19980" xr:uid="{00000000-0005-0000-0000-00001D190000}"/>
    <cellStyle name="표준 5 2 2 2 2 2 2 2 2 11" xfId="24076" xr:uid="{00000000-0005-0000-0000-00001E190000}"/>
    <cellStyle name="표준 5 2 2 2 2 2 2 2 2 12" xfId="32287" xr:uid="{00000000-0005-0000-0000-00001F190000}"/>
    <cellStyle name="표준 5 2 2 2 2 2 2 2 2 13" xfId="40480" xr:uid="{00000000-0005-0000-0000-000020190000}"/>
    <cellStyle name="표준 5 2 2 2 2 2 2 2 2 2" xfId="867" xr:uid="{00000000-0005-0000-0000-000021190000}"/>
    <cellStyle name="표준 5 2 2 2 2 2 2 2 2 2 10" xfId="24332" xr:uid="{00000000-0005-0000-0000-000022190000}"/>
    <cellStyle name="표준 5 2 2 2 2 2 2 2 2 2 11" xfId="32543" xr:uid="{00000000-0005-0000-0000-000023190000}"/>
    <cellStyle name="표준 5 2 2 2 2 2 2 2 2 2 12" xfId="40736" xr:uid="{00000000-0005-0000-0000-000024190000}"/>
    <cellStyle name="표준 5 2 2 2 2 2 2 2 2 2 2" xfId="1379" xr:uid="{00000000-0005-0000-0000-000025190000}"/>
    <cellStyle name="표준 5 2 2 2 2 2 2 2 2 2 2 2" xfId="10282" xr:uid="{00000000-0005-0000-0000-000026190000}"/>
    <cellStyle name="표준 5 2 2 2 2 2 2 2 2 2 2 2 2" xfId="14394" xr:uid="{00000000-0005-0000-0000-000027190000}"/>
    <cellStyle name="표준 5 2 2 2 2 2 2 2 2 2 2 2 2 2" xfId="30988" xr:uid="{00000000-0005-0000-0000-000028190000}"/>
    <cellStyle name="표준 5 2 2 2 2 2 2 2 2 2 2 2 2 3" xfId="39199" xr:uid="{00000000-0005-0000-0000-000029190000}"/>
    <cellStyle name="표준 5 2 2 2 2 2 2 2 2 2 2 2 2 4" xfId="47392" xr:uid="{00000000-0005-0000-0000-00002A190000}"/>
    <cellStyle name="표준 5 2 2 2 2 2 2 2 2 2 2 2 3" xfId="18634" xr:uid="{00000000-0005-0000-0000-00002B190000}"/>
    <cellStyle name="표준 5 2 2 2 2 2 2 2 2 2 2 2 4" xfId="22796" xr:uid="{00000000-0005-0000-0000-00002C190000}"/>
    <cellStyle name="표준 5 2 2 2 2 2 2 2 2 2 2 2 5" xfId="26892" xr:uid="{00000000-0005-0000-0000-00002D190000}"/>
    <cellStyle name="표준 5 2 2 2 2 2 2 2 2 2 2 2 6" xfId="35103" xr:uid="{00000000-0005-0000-0000-00002E190000}"/>
    <cellStyle name="표준 5 2 2 2 2 2 2 2 2 2 2 2 7" xfId="43296" xr:uid="{00000000-0005-0000-0000-00002F190000}"/>
    <cellStyle name="표준 5 2 2 2 2 2 2 2 2 2 2 3" xfId="8234" xr:uid="{00000000-0005-0000-0000-000030190000}"/>
    <cellStyle name="표준 5 2 2 2 2 2 2 2 2 2 2 3 2" xfId="28940" xr:uid="{00000000-0005-0000-0000-000031190000}"/>
    <cellStyle name="표준 5 2 2 2 2 2 2 2 2 2 2 3 3" xfId="37151" xr:uid="{00000000-0005-0000-0000-000032190000}"/>
    <cellStyle name="표준 5 2 2 2 2 2 2 2 2 2 2 3 4" xfId="45344" xr:uid="{00000000-0005-0000-0000-000033190000}"/>
    <cellStyle name="표준 5 2 2 2 2 2 2 2 2 2 2 4" xfId="12346" xr:uid="{00000000-0005-0000-0000-000034190000}"/>
    <cellStyle name="표준 5 2 2 2 2 2 2 2 2 2 2 5" xfId="16586" xr:uid="{00000000-0005-0000-0000-000035190000}"/>
    <cellStyle name="표준 5 2 2 2 2 2 2 2 2 2 2 6" xfId="20748" xr:uid="{00000000-0005-0000-0000-000036190000}"/>
    <cellStyle name="표준 5 2 2 2 2 2 2 2 2 2 2 7" xfId="24844" xr:uid="{00000000-0005-0000-0000-000037190000}"/>
    <cellStyle name="표준 5 2 2 2 2 2 2 2 2 2 2 8" xfId="33055" xr:uid="{00000000-0005-0000-0000-000038190000}"/>
    <cellStyle name="표준 5 2 2 2 2 2 2 2 2 2 2 9" xfId="41248" xr:uid="{00000000-0005-0000-0000-000039190000}"/>
    <cellStyle name="표준 5 2 2 2 2 2 2 2 2 2 3" xfId="1891" xr:uid="{00000000-0005-0000-0000-00003A190000}"/>
    <cellStyle name="표준 5 2 2 2 2 2 2 2 2 2 3 2" xfId="10794" xr:uid="{00000000-0005-0000-0000-00003B190000}"/>
    <cellStyle name="표준 5 2 2 2 2 2 2 2 2 2 3 2 2" xfId="14906" xr:uid="{00000000-0005-0000-0000-00003C190000}"/>
    <cellStyle name="표준 5 2 2 2 2 2 2 2 2 2 3 2 2 2" xfId="31500" xr:uid="{00000000-0005-0000-0000-00003D190000}"/>
    <cellStyle name="표준 5 2 2 2 2 2 2 2 2 2 3 2 2 3" xfId="39711" xr:uid="{00000000-0005-0000-0000-00003E190000}"/>
    <cellStyle name="표준 5 2 2 2 2 2 2 2 2 2 3 2 2 4" xfId="47904" xr:uid="{00000000-0005-0000-0000-00003F190000}"/>
    <cellStyle name="표준 5 2 2 2 2 2 2 2 2 2 3 2 3" xfId="19146" xr:uid="{00000000-0005-0000-0000-000040190000}"/>
    <cellStyle name="표준 5 2 2 2 2 2 2 2 2 2 3 2 4" xfId="23308" xr:uid="{00000000-0005-0000-0000-000041190000}"/>
    <cellStyle name="표준 5 2 2 2 2 2 2 2 2 2 3 2 5" xfId="27404" xr:uid="{00000000-0005-0000-0000-000042190000}"/>
    <cellStyle name="표준 5 2 2 2 2 2 2 2 2 2 3 2 6" xfId="35615" xr:uid="{00000000-0005-0000-0000-000043190000}"/>
    <cellStyle name="표준 5 2 2 2 2 2 2 2 2 2 3 2 7" xfId="43808" xr:uid="{00000000-0005-0000-0000-000044190000}"/>
    <cellStyle name="표준 5 2 2 2 2 2 2 2 2 2 3 3" xfId="8746" xr:uid="{00000000-0005-0000-0000-000045190000}"/>
    <cellStyle name="표준 5 2 2 2 2 2 2 2 2 2 3 3 2" xfId="29452" xr:uid="{00000000-0005-0000-0000-000046190000}"/>
    <cellStyle name="표준 5 2 2 2 2 2 2 2 2 2 3 3 3" xfId="37663" xr:uid="{00000000-0005-0000-0000-000047190000}"/>
    <cellStyle name="표준 5 2 2 2 2 2 2 2 2 2 3 3 4" xfId="45856" xr:uid="{00000000-0005-0000-0000-000048190000}"/>
    <cellStyle name="표준 5 2 2 2 2 2 2 2 2 2 3 4" xfId="12858" xr:uid="{00000000-0005-0000-0000-000049190000}"/>
    <cellStyle name="표준 5 2 2 2 2 2 2 2 2 2 3 5" xfId="17098" xr:uid="{00000000-0005-0000-0000-00004A190000}"/>
    <cellStyle name="표준 5 2 2 2 2 2 2 2 2 2 3 6" xfId="21260" xr:uid="{00000000-0005-0000-0000-00004B190000}"/>
    <cellStyle name="표준 5 2 2 2 2 2 2 2 2 2 3 7" xfId="25356" xr:uid="{00000000-0005-0000-0000-00004C190000}"/>
    <cellStyle name="표준 5 2 2 2 2 2 2 2 2 2 3 8" xfId="33567" xr:uid="{00000000-0005-0000-0000-00004D190000}"/>
    <cellStyle name="표준 5 2 2 2 2 2 2 2 2 2 3 9" xfId="41760" xr:uid="{00000000-0005-0000-0000-00004E190000}"/>
    <cellStyle name="표준 5 2 2 2 2 2 2 2 2 2 4" xfId="2403" xr:uid="{00000000-0005-0000-0000-00004F190000}"/>
    <cellStyle name="표준 5 2 2 2 2 2 2 2 2 2 4 2" xfId="11306" xr:uid="{00000000-0005-0000-0000-000050190000}"/>
    <cellStyle name="표준 5 2 2 2 2 2 2 2 2 2 4 2 2" xfId="15418" xr:uid="{00000000-0005-0000-0000-000051190000}"/>
    <cellStyle name="표준 5 2 2 2 2 2 2 2 2 2 4 2 2 2" xfId="32012" xr:uid="{00000000-0005-0000-0000-000052190000}"/>
    <cellStyle name="표준 5 2 2 2 2 2 2 2 2 2 4 2 2 3" xfId="40223" xr:uid="{00000000-0005-0000-0000-000053190000}"/>
    <cellStyle name="표준 5 2 2 2 2 2 2 2 2 2 4 2 2 4" xfId="48416" xr:uid="{00000000-0005-0000-0000-000054190000}"/>
    <cellStyle name="표준 5 2 2 2 2 2 2 2 2 2 4 2 3" xfId="19658" xr:uid="{00000000-0005-0000-0000-000055190000}"/>
    <cellStyle name="표준 5 2 2 2 2 2 2 2 2 2 4 2 4" xfId="23820" xr:uid="{00000000-0005-0000-0000-000056190000}"/>
    <cellStyle name="표준 5 2 2 2 2 2 2 2 2 2 4 2 5" xfId="27916" xr:uid="{00000000-0005-0000-0000-000057190000}"/>
    <cellStyle name="표준 5 2 2 2 2 2 2 2 2 2 4 2 6" xfId="36127" xr:uid="{00000000-0005-0000-0000-000058190000}"/>
    <cellStyle name="표준 5 2 2 2 2 2 2 2 2 2 4 2 7" xfId="44320" xr:uid="{00000000-0005-0000-0000-000059190000}"/>
    <cellStyle name="표준 5 2 2 2 2 2 2 2 2 2 4 3" xfId="9258" xr:uid="{00000000-0005-0000-0000-00005A190000}"/>
    <cellStyle name="표준 5 2 2 2 2 2 2 2 2 2 4 3 2" xfId="29964" xr:uid="{00000000-0005-0000-0000-00005B190000}"/>
    <cellStyle name="표준 5 2 2 2 2 2 2 2 2 2 4 3 3" xfId="38175" xr:uid="{00000000-0005-0000-0000-00005C190000}"/>
    <cellStyle name="표준 5 2 2 2 2 2 2 2 2 2 4 3 4" xfId="46368" xr:uid="{00000000-0005-0000-0000-00005D190000}"/>
    <cellStyle name="표준 5 2 2 2 2 2 2 2 2 2 4 4" xfId="13370" xr:uid="{00000000-0005-0000-0000-00005E190000}"/>
    <cellStyle name="표준 5 2 2 2 2 2 2 2 2 2 4 5" xfId="17610" xr:uid="{00000000-0005-0000-0000-00005F190000}"/>
    <cellStyle name="표준 5 2 2 2 2 2 2 2 2 2 4 6" xfId="21772" xr:uid="{00000000-0005-0000-0000-000060190000}"/>
    <cellStyle name="표준 5 2 2 2 2 2 2 2 2 2 4 7" xfId="25868" xr:uid="{00000000-0005-0000-0000-000061190000}"/>
    <cellStyle name="표준 5 2 2 2 2 2 2 2 2 2 4 8" xfId="34079" xr:uid="{00000000-0005-0000-0000-000062190000}"/>
    <cellStyle name="표준 5 2 2 2 2 2 2 2 2 2 4 9" xfId="42272" xr:uid="{00000000-0005-0000-0000-000063190000}"/>
    <cellStyle name="표준 5 2 2 2 2 2 2 2 2 2 5" xfId="9770" xr:uid="{00000000-0005-0000-0000-000064190000}"/>
    <cellStyle name="표준 5 2 2 2 2 2 2 2 2 2 5 2" xfId="13882" xr:uid="{00000000-0005-0000-0000-000065190000}"/>
    <cellStyle name="표준 5 2 2 2 2 2 2 2 2 2 5 2 2" xfId="30476" xr:uid="{00000000-0005-0000-0000-000066190000}"/>
    <cellStyle name="표준 5 2 2 2 2 2 2 2 2 2 5 2 3" xfId="38687" xr:uid="{00000000-0005-0000-0000-000067190000}"/>
    <cellStyle name="표준 5 2 2 2 2 2 2 2 2 2 5 2 4" xfId="46880" xr:uid="{00000000-0005-0000-0000-000068190000}"/>
    <cellStyle name="표준 5 2 2 2 2 2 2 2 2 2 5 3" xfId="18122" xr:uid="{00000000-0005-0000-0000-000069190000}"/>
    <cellStyle name="표준 5 2 2 2 2 2 2 2 2 2 5 4" xfId="22284" xr:uid="{00000000-0005-0000-0000-00006A190000}"/>
    <cellStyle name="표준 5 2 2 2 2 2 2 2 2 2 5 5" xfId="26380" xr:uid="{00000000-0005-0000-0000-00006B190000}"/>
    <cellStyle name="표준 5 2 2 2 2 2 2 2 2 2 5 6" xfId="34591" xr:uid="{00000000-0005-0000-0000-00006C190000}"/>
    <cellStyle name="표준 5 2 2 2 2 2 2 2 2 2 5 7" xfId="42784" xr:uid="{00000000-0005-0000-0000-00006D190000}"/>
    <cellStyle name="표준 5 2 2 2 2 2 2 2 2 2 6" xfId="7722" xr:uid="{00000000-0005-0000-0000-00006E190000}"/>
    <cellStyle name="표준 5 2 2 2 2 2 2 2 2 2 6 2" xfId="28428" xr:uid="{00000000-0005-0000-0000-00006F190000}"/>
    <cellStyle name="표준 5 2 2 2 2 2 2 2 2 2 6 3" xfId="36639" xr:uid="{00000000-0005-0000-0000-000070190000}"/>
    <cellStyle name="표준 5 2 2 2 2 2 2 2 2 2 6 4" xfId="44832" xr:uid="{00000000-0005-0000-0000-000071190000}"/>
    <cellStyle name="표준 5 2 2 2 2 2 2 2 2 2 7" xfId="11834" xr:uid="{00000000-0005-0000-0000-000072190000}"/>
    <cellStyle name="표준 5 2 2 2 2 2 2 2 2 2 8" xfId="16074" xr:uid="{00000000-0005-0000-0000-000073190000}"/>
    <cellStyle name="표준 5 2 2 2 2 2 2 2 2 2 9" xfId="20236" xr:uid="{00000000-0005-0000-0000-000074190000}"/>
    <cellStyle name="표준 5 2 2 2 2 2 2 2 2 3" xfId="1123" xr:uid="{00000000-0005-0000-0000-000075190000}"/>
    <cellStyle name="표준 5 2 2 2 2 2 2 2 2 3 2" xfId="10026" xr:uid="{00000000-0005-0000-0000-000076190000}"/>
    <cellStyle name="표준 5 2 2 2 2 2 2 2 2 3 2 2" xfId="14138" xr:uid="{00000000-0005-0000-0000-000077190000}"/>
    <cellStyle name="표준 5 2 2 2 2 2 2 2 2 3 2 2 2" xfId="30732" xr:uid="{00000000-0005-0000-0000-000078190000}"/>
    <cellStyle name="표준 5 2 2 2 2 2 2 2 2 3 2 2 3" xfId="38943" xr:uid="{00000000-0005-0000-0000-000079190000}"/>
    <cellStyle name="표준 5 2 2 2 2 2 2 2 2 3 2 2 4" xfId="47136" xr:uid="{00000000-0005-0000-0000-00007A190000}"/>
    <cellStyle name="표준 5 2 2 2 2 2 2 2 2 3 2 3" xfId="18378" xr:uid="{00000000-0005-0000-0000-00007B190000}"/>
    <cellStyle name="표준 5 2 2 2 2 2 2 2 2 3 2 4" xfId="22540" xr:uid="{00000000-0005-0000-0000-00007C190000}"/>
    <cellStyle name="표준 5 2 2 2 2 2 2 2 2 3 2 5" xfId="26636" xr:uid="{00000000-0005-0000-0000-00007D190000}"/>
    <cellStyle name="표준 5 2 2 2 2 2 2 2 2 3 2 6" xfId="34847" xr:uid="{00000000-0005-0000-0000-00007E190000}"/>
    <cellStyle name="표준 5 2 2 2 2 2 2 2 2 3 2 7" xfId="43040" xr:uid="{00000000-0005-0000-0000-00007F190000}"/>
    <cellStyle name="표준 5 2 2 2 2 2 2 2 2 3 3" xfId="7978" xr:uid="{00000000-0005-0000-0000-000080190000}"/>
    <cellStyle name="표준 5 2 2 2 2 2 2 2 2 3 3 2" xfId="28684" xr:uid="{00000000-0005-0000-0000-000081190000}"/>
    <cellStyle name="표준 5 2 2 2 2 2 2 2 2 3 3 3" xfId="36895" xr:uid="{00000000-0005-0000-0000-000082190000}"/>
    <cellStyle name="표준 5 2 2 2 2 2 2 2 2 3 3 4" xfId="45088" xr:uid="{00000000-0005-0000-0000-000083190000}"/>
    <cellStyle name="표준 5 2 2 2 2 2 2 2 2 3 4" xfId="12090" xr:uid="{00000000-0005-0000-0000-000084190000}"/>
    <cellStyle name="표준 5 2 2 2 2 2 2 2 2 3 5" xfId="16330" xr:uid="{00000000-0005-0000-0000-000085190000}"/>
    <cellStyle name="표준 5 2 2 2 2 2 2 2 2 3 6" xfId="20492" xr:uid="{00000000-0005-0000-0000-000086190000}"/>
    <cellStyle name="표준 5 2 2 2 2 2 2 2 2 3 7" xfId="24588" xr:uid="{00000000-0005-0000-0000-000087190000}"/>
    <cellStyle name="표준 5 2 2 2 2 2 2 2 2 3 8" xfId="32799" xr:uid="{00000000-0005-0000-0000-000088190000}"/>
    <cellStyle name="표준 5 2 2 2 2 2 2 2 2 3 9" xfId="40992" xr:uid="{00000000-0005-0000-0000-000089190000}"/>
    <cellStyle name="표준 5 2 2 2 2 2 2 2 2 4" xfId="1635" xr:uid="{00000000-0005-0000-0000-00008A190000}"/>
    <cellStyle name="표준 5 2 2 2 2 2 2 2 2 4 2" xfId="10538" xr:uid="{00000000-0005-0000-0000-00008B190000}"/>
    <cellStyle name="표준 5 2 2 2 2 2 2 2 2 4 2 2" xfId="14650" xr:uid="{00000000-0005-0000-0000-00008C190000}"/>
    <cellStyle name="표준 5 2 2 2 2 2 2 2 2 4 2 2 2" xfId="31244" xr:uid="{00000000-0005-0000-0000-00008D190000}"/>
    <cellStyle name="표준 5 2 2 2 2 2 2 2 2 4 2 2 3" xfId="39455" xr:uid="{00000000-0005-0000-0000-00008E190000}"/>
    <cellStyle name="표준 5 2 2 2 2 2 2 2 2 4 2 2 4" xfId="47648" xr:uid="{00000000-0005-0000-0000-00008F190000}"/>
    <cellStyle name="표준 5 2 2 2 2 2 2 2 2 4 2 3" xfId="18890" xr:uid="{00000000-0005-0000-0000-000090190000}"/>
    <cellStyle name="표준 5 2 2 2 2 2 2 2 2 4 2 4" xfId="23052" xr:uid="{00000000-0005-0000-0000-000091190000}"/>
    <cellStyle name="표준 5 2 2 2 2 2 2 2 2 4 2 5" xfId="27148" xr:uid="{00000000-0005-0000-0000-000092190000}"/>
    <cellStyle name="표준 5 2 2 2 2 2 2 2 2 4 2 6" xfId="35359" xr:uid="{00000000-0005-0000-0000-000093190000}"/>
    <cellStyle name="표준 5 2 2 2 2 2 2 2 2 4 2 7" xfId="43552" xr:uid="{00000000-0005-0000-0000-000094190000}"/>
    <cellStyle name="표준 5 2 2 2 2 2 2 2 2 4 3" xfId="8490" xr:uid="{00000000-0005-0000-0000-000095190000}"/>
    <cellStyle name="표준 5 2 2 2 2 2 2 2 2 4 3 2" xfId="29196" xr:uid="{00000000-0005-0000-0000-000096190000}"/>
    <cellStyle name="표준 5 2 2 2 2 2 2 2 2 4 3 3" xfId="37407" xr:uid="{00000000-0005-0000-0000-000097190000}"/>
    <cellStyle name="표준 5 2 2 2 2 2 2 2 2 4 3 4" xfId="45600" xr:uid="{00000000-0005-0000-0000-000098190000}"/>
    <cellStyle name="표준 5 2 2 2 2 2 2 2 2 4 4" xfId="12602" xr:uid="{00000000-0005-0000-0000-000099190000}"/>
    <cellStyle name="표준 5 2 2 2 2 2 2 2 2 4 5" xfId="16842" xr:uid="{00000000-0005-0000-0000-00009A190000}"/>
    <cellStyle name="표준 5 2 2 2 2 2 2 2 2 4 6" xfId="21004" xr:uid="{00000000-0005-0000-0000-00009B190000}"/>
    <cellStyle name="표준 5 2 2 2 2 2 2 2 2 4 7" xfId="25100" xr:uid="{00000000-0005-0000-0000-00009C190000}"/>
    <cellStyle name="표준 5 2 2 2 2 2 2 2 2 4 8" xfId="33311" xr:uid="{00000000-0005-0000-0000-00009D190000}"/>
    <cellStyle name="표준 5 2 2 2 2 2 2 2 2 4 9" xfId="41504" xr:uid="{00000000-0005-0000-0000-00009E190000}"/>
    <cellStyle name="표준 5 2 2 2 2 2 2 2 2 5" xfId="2147" xr:uid="{00000000-0005-0000-0000-00009F190000}"/>
    <cellStyle name="표준 5 2 2 2 2 2 2 2 2 5 2" xfId="11050" xr:uid="{00000000-0005-0000-0000-0000A0190000}"/>
    <cellStyle name="표준 5 2 2 2 2 2 2 2 2 5 2 2" xfId="15162" xr:uid="{00000000-0005-0000-0000-0000A1190000}"/>
    <cellStyle name="표준 5 2 2 2 2 2 2 2 2 5 2 2 2" xfId="31756" xr:uid="{00000000-0005-0000-0000-0000A2190000}"/>
    <cellStyle name="표준 5 2 2 2 2 2 2 2 2 5 2 2 3" xfId="39967" xr:uid="{00000000-0005-0000-0000-0000A3190000}"/>
    <cellStyle name="표준 5 2 2 2 2 2 2 2 2 5 2 2 4" xfId="48160" xr:uid="{00000000-0005-0000-0000-0000A4190000}"/>
    <cellStyle name="표준 5 2 2 2 2 2 2 2 2 5 2 3" xfId="19402" xr:uid="{00000000-0005-0000-0000-0000A5190000}"/>
    <cellStyle name="표준 5 2 2 2 2 2 2 2 2 5 2 4" xfId="23564" xr:uid="{00000000-0005-0000-0000-0000A6190000}"/>
    <cellStyle name="표준 5 2 2 2 2 2 2 2 2 5 2 5" xfId="27660" xr:uid="{00000000-0005-0000-0000-0000A7190000}"/>
    <cellStyle name="표준 5 2 2 2 2 2 2 2 2 5 2 6" xfId="35871" xr:uid="{00000000-0005-0000-0000-0000A8190000}"/>
    <cellStyle name="표준 5 2 2 2 2 2 2 2 2 5 2 7" xfId="44064" xr:uid="{00000000-0005-0000-0000-0000A9190000}"/>
    <cellStyle name="표준 5 2 2 2 2 2 2 2 2 5 3" xfId="9002" xr:uid="{00000000-0005-0000-0000-0000AA190000}"/>
    <cellStyle name="표준 5 2 2 2 2 2 2 2 2 5 3 2" xfId="29708" xr:uid="{00000000-0005-0000-0000-0000AB190000}"/>
    <cellStyle name="표준 5 2 2 2 2 2 2 2 2 5 3 3" xfId="37919" xr:uid="{00000000-0005-0000-0000-0000AC190000}"/>
    <cellStyle name="표준 5 2 2 2 2 2 2 2 2 5 3 4" xfId="46112" xr:uid="{00000000-0005-0000-0000-0000AD190000}"/>
    <cellStyle name="표준 5 2 2 2 2 2 2 2 2 5 4" xfId="13114" xr:uid="{00000000-0005-0000-0000-0000AE190000}"/>
    <cellStyle name="표준 5 2 2 2 2 2 2 2 2 5 5" xfId="17354" xr:uid="{00000000-0005-0000-0000-0000AF190000}"/>
    <cellStyle name="표준 5 2 2 2 2 2 2 2 2 5 6" xfId="21516" xr:uid="{00000000-0005-0000-0000-0000B0190000}"/>
    <cellStyle name="표준 5 2 2 2 2 2 2 2 2 5 7" xfId="25612" xr:uid="{00000000-0005-0000-0000-0000B1190000}"/>
    <cellStyle name="표준 5 2 2 2 2 2 2 2 2 5 8" xfId="33823" xr:uid="{00000000-0005-0000-0000-0000B2190000}"/>
    <cellStyle name="표준 5 2 2 2 2 2 2 2 2 5 9" xfId="42016" xr:uid="{00000000-0005-0000-0000-0000B3190000}"/>
    <cellStyle name="표준 5 2 2 2 2 2 2 2 2 6" xfId="9514" xr:uid="{00000000-0005-0000-0000-0000B4190000}"/>
    <cellStyle name="표준 5 2 2 2 2 2 2 2 2 6 2" xfId="13626" xr:uid="{00000000-0005-0000-0000-0000B5190000}"/>
    <cellStyle name="표준 5 2 2 2 2 2 2 2 2 6 2 2" xfId="30220" xr:uid="{00000000-0005-0000-0000-0000B6190000}"/>
    <cellStyle name="표준 5 2 2 2 2 2 2 2 2 6 2 3" xfId="38431" xr:uid="{00000000-0005-0000-0000-0000B7190000}"/>
    <cellStyle name="표준 5 2 2 2 2 2 2 2 2 6 2 4" xfId="46624" xr:uid="{00000000-0005-0000-0000-0000B8190000}"/>
    <cellStyle name="표준 5 2 2 2 2 2 2 2 2 6 3" xfId="17866" xr:uid="{00000000-0005-0000-0000-0000B9190000}"/>
    <cellStyle name="표준 5 2 2 2 2 2 2 2 2 6 4" xfId="22028" xr:uid="{00000000-0005-0000-0000-0000BA190000}"/>
    <cellStyle name="표준 5 2 2 2 2 2 2 2 2 6 5" xfId="26124" xr:uid="{00000000-0005-0000-0000-0000BB190000}"/>
    <cellStyle name="표준 5 2 2 2 2 2 2 2 2 6 6" xfId="34335" xr:uid="{00000000-0005-0000-0000-0000BC190000}"/>
    <cellStyle name="표준 5 2 2 2 2 2 2 2 2 6 7" xfId="42528" xr:uid="{00000000-0005-0000-0000-0000BD190000}"/>
    <cellStyle name="표준 5 2 2 2 2 2 2 2 2 7" xfId="7466" xr:uid="{00000000-0005-0000-0000-0000BE190000}"/>
    <cellStyle name="표준 5 2 2 2 2 2 2 2 2 7 2" xfId="28172" xr:uid="{00000000-0005-0000-0000-0000BF190000}"/>
    <cellStyle name="표준 5 2 2 2 2 2 2 2 2 7 3" xfId="36383" xr:uid="{00000000-0005-0000-0000-0000C0190000}"/>
    <cellStyle name="표준 5 2 2 2 2 2 2 2 2 7 4" xfId="44576" xr:uid="{00000000-0005-0000-0000-0000C1190000}"/>
    <cellStyle name="표준 5 2 2 2 2 2 2 2 2 8" xfId="11578" xr:uid="{00000000-0005-0000-0000-0000C2190000}"/>
    <cellStyle name="표준 5 2 2 2 2 2 2 2 2 9" xfId="15818" xr:uid="{00000000-0005-0000-0000-0000C3190000}"/>
    <cellStyle name="표준 5 2 2 2 2 2 2 2 3" xfId="739" xr:uid="{00000000-0005-0000-0000-0000C4190000}"/>
    <cellStyle name="표준 5 2 2 2 2 2 2 2 3 10" xfId="24204" xr:uid="{00000000-0005-0000-0000-0000C5190000}"/>
    <cellStyle name="표준 5 2 2 2 2 2 2 2 3 11" xfId="32415" xr:uid="{00000000-0005-0000-0000-0000C6190000}"/>
    <cellStyle name="표준 5 2 2 2 2 2 2 2 3 12" xfId="40608" xr:uid="{00000000-0005-0000-0000-0000C7190000}"/>
    <cellStyle name="표준 5 2 2 2 2 2 2 2 3 2" xfId="1251" xr:uid="{00000000-0005-0000-0000-0000C8190000}"/>
    <cellStyle name="표준 5 2 2 2 2 2 2 2 3 2 2" xfId="10154" xr:uid="{00000000-0005-0000-0000-0000C9190000}"/>
    <cellStyle name="표준 5 2 2 2 2 2 2 2 3 2 2 2" xfId="14266" xr:uid="{00000000-0005-0000-0000-0000CA190000}"/>
    <cellStyle name="표준 5 2 2 2 2 2 2 2 3 2 2 2 2" xfId="30860" xr:uid="{00000000-0005-0000-0000-0000CB190000}"/>
    <cellStyle name="표준 5 2 2 2 2 2 2 2 3 2 2 2 3" xfId="39071" xr:uid="{00000000-0005-0000-0000-0000CC190000}"/>
    <cellStyle name="표준 5 2 2 2 2 2 2 2 3 2 2 2 4" xfId="47264" xr:uid="{00000000-0005-0000-0000-0000CD190000}"/>
    <cellStyle name="표준 5 2 2 2 2 2 2 2 3 2 2 3" xfId="18506" xr:uid="{00000000-0005-0000-0000-0000CE190000}"/>
    <cellStyle name="표준 5 2 2 2 2 2 2 2 3 2 2 4" xfId="22668" xr:uid="{00000000-0005-0000-0000-0000CF190000}"/>
    <cellStyle name="표준 5 2 2 2 2 2 2 2 3 2 2 5" xfId="26764" xr:uid="{00000000-0005-0000-0000-0000D0190000}"/>
    <cellStyle name="표준 5 2 2 2 2 2 2 2 3 2 2 6" xfId="34975" xr:uid="{00000000-0005-0000-0000-0000D1190000}"/>
    <cellStyle name="표준 5 2 2 2 2 2 2 2 3 2 2 7" xfId="43168" xr:uid="{00000000-0005-0000-0000-0000D2190000}"/>
    <cellStyle name="표준 5 2 2 2 2 2 2 2 3 2 3" xfId="8106" xr:uid="{00000000-0005-0000-0000-0000D3190000}"/>
    <cellStyle name="표준 5 2 2 2 2 2 2 2 3 2 3 2" xfId="28812" xr:uid="{00000000-0005-0000-0000-0000D4190000}"/>
    <cellStyle name="표준 5 2 2 2 2 2 2 2 3 2 3 3" xfId="37023" xr:uid="{00000000-0005-0000-0000-0000D5190000}"/>
    <cellStyle name="표준 5 2 2 2 2 2 2 2 3 2 3 4" xfId="45216" xr:uid="{00000000-0005-0000-0000-0000D6190000}"/>
    <cellStyle name="표준 5 2 2 2 2 2 2 2 3 2 4" xfId="12218" xr:uid="{00000000-0005-0000-0000-0000D7190000}"/>
    <cellStyle name="표준 5 2 2 2 2 2 2 2 3 2 5" xfId="16458" xr:uid="{00000000-0005-0000-0000-0000D8190000}"/>
    <cellStyle name="표준 5 2 2 2 2 2 2 2 3 2 6" xfId="20620" xr:uid="{00000000-0005-0000-0000-0000D9190000}"/>
    <cellStyle name="표준 5 2 2 2 2 2 2 2 3 2 7" xfId="24716" xr:uid="{00000000-0005-0000-0000-0000DA190000}"/>
    <cellStyle name="표준 5 2 2 2 2 2 2 2 3 2 8" xfId="32927" xr:uid="{00000000-0005-0000-0000-0000DB190000}"/>
    <cellStyle name="표준 5 2 2 2 2 2 2 2 3 2 9" xfId="41120" xr:uid="{00000000-0005-0000-0000-0000DC190000}"/>
    <cellStyle name="표준 5 2 2 2 2 2 2 2 3 3" xfId="1763" xr:uid="{00000000-0005-0000-0000-0000DD190000}"/>
    <cellStyle name="표준 5 2 2 2 2 2 2 2 3 3 2" xfId="10666" xr:uid="{00000000-0005-0000-0000-0000DE190000}"/>
    <cellStyle name="표준 5 2 2 2 2 2 2 2 3 3 2 2" xfId="14778" xr:uid="{00000000-0005-0000-0000-0000DF190000}"/>
    <cellStyle name="표준 5 2 2 2 2 2 2 2 3 3 2 2 2" xfId="31372" xr:uid="{00000000-0005-0000-0000-0000E0190000}"/>
    <cellStyle name="표준 5 2 2 2 2 2 2 2 3 3 2 2 3" xfId="39583" xr:uid="{00000000-0005-0000-0000-0000E1190000}"/>
    <cellStyle name="표준 5 2 2 2 2 2 2 2 3 3 2 2 4" xfId="47776" xr:uid="{00000000-0005-0000-0000-0000E2190000}"/>
    <cellStyle name="표준 5 2 2 2 2 2 2 2 3 3 2 3" xfId="19018" xr:uid="{00000000-0005-0000-0000-0000E3190000}"/>
    <cellStyle name="표준 5 2 2 2 2 2 2 2 3 3 2 4" xfId="23180" xr:uid="{00000000-0005-0000-0000-0000E4190000}"/>
    <cellStyle name="표준 5 2 2 2 2 2 2 2 3 3 2 5" xfId="27276" xr:uid="{00000000-0005-0000-0000-0000E5190000}"/>
    <cellStyle name="표준 5 2 2 2 2 2 2 2 3 3 2 6" xfId="35487" xr:uid="{00000000-0005-0000-0000-0000E6190000}"/>
    <cellStyle name="표준 5 2 2 2 2 2 2 2 3 3 2 7" xfId="43680" xr:uid="{00000000-0005-0000-0000-0000E7190000}"/>
    <cellStyle name="표준 5 2 2 2 2 2 2 2 3 3 3" xfId="8618" xr:uid="{00000000-0005-0000-0000-0000E8190000}"/>
    <cellStyle name="표준 5 2 2 2 2 2 2 2 3 3 3 2" xfId="29324" xr:uid="{00000000-0005-0000-0000-0000E9190000}"/>
    <cellStyle name="표준 5 2 2 2 2 2 2 2 3 3 3 3" xfId="37535" xr:uid="{00000000-0005-0000-0000-0000EA190000}"/>
    <cellStyle name="표준 5 2 2 2 2 2 2 2 3 3 3 4" xfId="45728" xr:uid="{00000000-0005-0000-0000-0000EB190000}"/>
    <cellStyle name="표준 5 2 2 2 2 2 2 2 3 3 4" xfId="12730" xr:uid="{00000000-0005-0000-0000-0000EC190000}"/>
    <cellStyle name="표준 5 2 2 2 2 2 2 2 3 3 5" xfId="16970" xr:uid="{00000000-0005-0000-0000-0000ED190000}"/>
    <cellStyle name="표준 5 2 2 2 2 2 2 2 3 3 6" xfId="21132" xr:uid="{00000000-0005-0000-0000-0000EE190000}"/>
    <cellStyle name="표준 5 2 2 2 2 2 2 2 3 3 7" xfId="25228" xr:uid="{00000000-0005-0000-0000-0000EF190000}"/>
    <cellStyle name="표준 5 2 2 2 2 2 2 2 3 3 8" xfId="33439" xr:uid="{00000000-0005-0000-0000-0000F0190000}"/>
    <cellStyle name="표준 5 2 2 2 2 2 2 2 3 3 9" xfId="41632" xr:uid="{00000000-0005-0000-0000-0000F1190000}"/>
    <cellStyle name="표준 5 2 2 2 2 2 2 2 3 4" xfId="2275" xr:uid="{00000000-0005-0000-0000-0000F2190000}"/>
    <cellStyle name="표준 5 2 2 2 2 2 2 2 3 4 2" xfId="11178" xr:uid="{00000000-0005-0000-0000-0000F3190000}"/>
    <cellStyle name="표준 5 2 2 2 2 2 2 2 3 4 2 2" xfId="15290" xr:uid="{00000000-0005-0000-0000-0000F4190000}"/>
    <cellStyle name="표준 5 2 2 2 2 2 2 2 3 4 2 2 2" xfId="31884" xr:uid="{00000000-0005-0000-0000-0000F5190000}"/>
    <cellStyle name="표준 5 2 2 2 2 2 2 2 3 4 2 2 3" xfId="40095" xr:uid="{00000000-0005-0000-0000-0000F6190000}"/>
    <cellStyle name="표준 5 2 2 2 2 2 2 2 3 4 2 2 4" xfId="48288" xr:uid="{00000000-0005-0000-0000-0000F7190000}"/>
    <cellStyle name="표준 5 2 2 2 2 2 2 2 3 4 2 3" xfId="19530" xr:uid="{00000000-0005-0000-0000-0000F8190000}"/>
    <cellStyle name="표준 5 2 2 2 2 2 2 2 3 4 2 4" xfId="23692" xr:uid="{00000000-0005-0000-0000-0000F9190000}"/>
    <cellStyle name="표준 5 2 2 2 2 2 2 2 3 4 2 5" xfId="27788" xr:uid="{00000000-0005-0000-0000-0000FA190000}"/>
    <cellStyle name="표준 5 2 2 2 2 2 2 2 3 4 2 6" xfId="35999" xr:uid="{00000000-0005-0000-0000-0000FB190000}"/>
    <cellStyle name="표준 5 2 2 2 2 2 2 2 3 4 2 7" xfId="44192" xr:uid="{00000000-0005-0000-0000-0000FC190000}"/>
    <cellStyle name="표준 5 2 2 2 2 2 2 2 3 4 3" xfId="9130" xr:uid="{00000000-0005-0000-0000-0000FD190000}"/>
    <cellStyle name="표준 5 2 2 2 2 2 2 2 3 4 3 2" xfId="29836" xr:uid="{00000000-0005-0000-0000-0000FE190000}"/>
    <cellStyle name="표준 5 2 2 2 2 2 2 2 3 4 3 3" xfId="38047" xr:uid="{00000000-0005-0000-0000-0000FF190000}"/>
    <cellStyle name="표준 5 2 2 2 2 2 2 2 3 4 3 4" xfId="46240" xr:uid="{00000000-0005-0000-0000-0000001A0000}"/>
    <cellStyle name="표준 5 2 2 2 2 2 2 2 3 4 4" xfId="13242" xr:uid="{00000000-0005-0000-0000-0000011A0000}"/>
    <cellStyle name="표준 5 2 2 2 2 2 2 2 3 4 5" xfId="17482" xr:uid="{00000000-0005-0000-0000-0000021A0000}"/>
    <cellStyle name="표준 5 2 2 2 2 2 2 2 3 4 6" xfId="21644" xr:uid="{00000000-0005-0000-0000-0000031A0000}"/>
    <cellStyle name="표준 5 2 2 2 2 2 2 2 3 4 7" xfId="25740" xr:uid="{00000000-0005-0000-0000-0000041A0000}"/>
    <cellStyle name="표준 5 2 2 2 2 2 2 2 3 4 8" xfId="33951" xr:uid="{00000000-0005-0000-0000-0000051A0000}"/>
    <cellStyle name="표준 5 2 2 2 2 2 2 2 3 4 9" xfId="42144" xr:uid="{00000000-0005-0000-0000-0000061A0000}"/>
    <cellStyle name="표준 5 2 2 2 2 2 2 2 3 5" xfId="9642" xr:uid="{00000000-0005-0000-0000-0000071A0000}"/>
    <cellStyle name="표준 5 2 2 2 2 2 2 2 3 5 2" xfId="13754" xr:uid="{00000000-0005-0000-0000-0000081A0000}"/>
    <cellStyle name="표준 5 2 2 2 2 2 2 2 3 5 2 2" xfId="30348" xr:uid="{00000000-0005-0000-0000-0000091A0000}"/>
    <cellStyle name="표준 5 2 2 2 2 2 2 2 3 5 2 3" xfId="38559" xr:uid="{00000000-0005-0000-0000-00000A1A0000}"/>
    <cellStyle name="표준 5 2 2 2 2 2 2 2 3 5 2 4" xfId="46752" xr:uid="{00000000-0005-0000-0000-00000B1A0000}"/>
    <cellStyle name="표준 5 2 2 2 2 2 2 2 3 5 3" xfId="17994" xr:uid="{00000000-0005-0000-0000-00000C1A0000}"/>
    <cellStyle name="표준 5 2 2 2 2 2 2 2 3 5 4" xfId="22156" xr:uid="{00000000-0005-0000-0000-00000D1A0000}"/>
    <cellStyle name="표준 5 2 2 2 2 2 2 2 3 5 5" xfId="26252" xr:uid="{00000000-0005-0000-0000-00000E1A0000}"/>
    <cellStyle name="표준 5 2 2 2 2 2 2 2 3 5 6" xfId="34463" xr:uid="{00000000-0005-0000-0000-00000F1A0000}"/>
    <cellStyle name="표준 5 2 2 2 2 2 2 2 3 5 7" xfId="42656" xr:uid="{00000000-0005-0000-0000-0000101A0000}"/>
    <cellStyle name="표준 5 2 2 2 2 2 2 2 3 6" xfId="7594" xr:uid="{00000000-0005-0000-0000-0000111A0000}"/>
    <cellStyle name="표준 5 2 2 2 2 2 2 2 3 6 2" xfId="28300" xr:uid="{00000000-0005-0000-0000-0000121A0000}"/>
    <cellStyle name="표준 5 2 2 2 2 2 2 2 3 6 3" xfId="36511" xr:uid="{00000000-0005-0000-0000-0000131A0000}"/>
    <cellStyle name="표준 5 2 2 2 2 2 2 2 3 6 4" xfId="44704" xr:uid="{00000000-0005-0000-0000-0000141A0000}"/>
    <cellStyle name="표준 5 2 2 2 2 2 2 2 3 7" xfId="11706" xr:uid="{00000000-0005-0000-0000-0000151A0000}"/>
    <cellStyle name="표준 5 2 2 2 2 2 2 2 3 8" xfId="15946" xr:uid="{00000000-0005-0000-0000-0000161A0000}"/>
    <cellStyle name="표준 5 2 2 2 2 2 2 2 3 9" xfId="20108" xr:uid="{00000000-0005-0000-0000-0000171A0000}"/>
    <cellStyle name="표준 5 2 2 2 2 2 2 2 4" xfId="995" xr:uid="{00000000-0005-0000-0000-0000181A0000}"/>
    <cellStyle name="표준 5 2 2 2 2 2 2 2 4 2" xfId="9898" xr:uid="{00000000-0005-0000-0000-0000191A0000}"/>
    <cellStyle name="표준 5 2 2 2 2 2 2 2 4 2 2" xfId="14010" xr:uid="{00000000-0005-0000-0000-00001A1A0000}"/>
    <cellStyle name="표준 5 2 2 2 2 2 2 2 4 2 2 2" xfId="30604" xr:uid="{00000000-0005-0000-0000-00001B1A0000}"/>
    <cellStyle name="표준 5 2 2 2 2 2 2 2 4 2 2 3" xfId="38815" xr:uid="{00000000-0005-0000-0000-00001C1A0000}"/>
    <cellStyle name="표준 5 2 2 2 2 2 2 2 4 2 2 4" xfId="47008" xr:uid="{00000000-0005-0000-0000-00001D1A0000}"/>
    <cellStyle name="표준 5 2 2 2 2 2 2 2 4 2 3" xfId="18250" xr:uid="{00000000-0005-0000-0000-00001E1A0000}"/>
    <cellStyle name="표준 5 2 2 2 2 2 2 2 4 2 4" xfId="22412" xr:uid="{00000000-0005-0000-0000-00001F1A0000}"/>
    <cellStyle name="표준 5 2 2 2 2 2 2 2 4 2 5" xfId="26508" xr:uid="{00000000-0005-0000-0000-0000201A0000}"/>
    <cellStyle name="표준 5 2 2 2 2 2 2 2 4 2 6" xfId="34719" xr:uid="{00000000-0005-0000-0000-0000211A0000}"/>
    <cellStyle name="표준 5 2 2 2 2 2 2 2 4 2 7" xfId="42912" xr:uid="{00000000-0005-0000-0000-0000221A0000}"/>
    <cellStyle name="표준 5 2 2 2 2 2 2 2 4 3" xfId="7850" xr:uid="{00000000-0005-0000-0000-0000231A0000}"/>
    <cellStyle name="표준 5 2 2 2 2 2 2 2 4 3 2" xfId="28556" xr:uid="{00000000-0005-0000-0000-0000241A0000}"/>
    <cellStyle name="표준 5 2 2 2 2 2 2 2 4 3 3" xfId="36767" xr:uid="{00000000-0005-0000-0000-0000251A0000}"/>
    <cellStyle name="표준 5 2 2 2 2 2 2 2 4 3 4" xfId="44960" xr:uid="{00000000-0005-0000-0000-0000261A0000}"/>
    <cellStyle name="표준 5 2 2 2 2 2 2 2 4 4" xfId="11962" xr:uid="{00000000-0005-0000-0000-0000271A0000}"/>
    <cellStyle name="표준 5 2 2 2 2 2 2 2 4 5" xfId="16202" xr:uid="{00000000-0005-0000-0000-0000281A0000}"/>
    <cellStyle name="표준 5 2 2 2 2 2 2 2 4 6" xfId="20364" xr:uid="{00000000-0005-0000-0000-0000291A0000}"/>
    <cellStyle name="표준 5 2 2 2 2 2 2 2 4 7" xfId="24460" xr:uid="{00000000-0005-0000-0000-00002A1A0000}"/>
    <cellStyle name="표준 5 2 2 2 2 2 2 2 4 8" xfId="32671" xr:uid="{00000000-0005-0000-0000-00002B1A0000}"/>
    <cellStyle name="표준 5 2 2 2 2 2 2 2 4 9" xfId="40864" xr:uid="{00000000-0005-0000-0000-00002C1A0000}"/>
    <cellStyle name="표준 5 2 2 2 2 2 2 2 5" xfId="1507" xr:uid="{00000000-0005-0000-0000-00002D1A0000}"/>
    <cellStyle name="표준 5 2 2 2 2 2 2 2 5 2" xfId="10410" xr:uid="{00000000-0005-0000-0000-00002E1A0000}"/>
    <cellStyle name="표준 5 2 2 2 2 2 2 2 5 2 2" xfId="14522" xr:uid="{00000000-0005-0000-0000-00002F1A0000}"/>
    <cellStyle name="표준 5 2 2 2 2 2 2 2 5 2 2 2" xfId="31116" xr:uid="{00000000-0005-0000-0000-0000301A0000}"/>
    <cellStyle name="표준 5 2 2 2 2 2 2 2 5 2 2 3" xfId="39327" xr:uid="{00000000-0005-0000-0000-0000311A0000}"/>
    <cellStyle name="표준 5 2 2 2 2 2 2 2 5 2 2 4" xfId="47520" xr:uid="{00000000-0005-0000-0000-0000321A0000}"/>
    <cellStyle name="표준 5 2 2 2 2 2 2 2 5 2 3" xfId="18762" xr:uid="{00000000-0005-0000-0000-0000331A0000}"/>
    <cellStyle name="표준 5 2 2 2 2 2 2 2 5 2 4" xfId="22924" xr:uid="{00000000-0005-0000-0000-0000341A0000}"/>
    <cellStyle name="표준 5 2 2 2 2 2 2 2 5 2 5" xfId="27020" xr:uid="{00000000-0005-0000-0000-0000351A0000}"/>
    <cellStyle name="표준 5 2 2 2 2 2 2 2 5 2 6" xfId="35231" xr:uid="{00000000-0005-0000-0000-0000361A0000}"/>
    <cellStyle name="표준 5 2 2 2 2 2 2 2 5 2 7" xfId="43424" xr:uid="{00000000-0005-0000-0000-0000371A0000}"/>
    <cellStyle name="표준 5 2 2 2 2 2 2 2 5 3" xfId="8362" xr:uid="{00000000-0005-0000-0000-0000381A0000}"/>
    <cellStyle name="표준 5 2 2 2 2 2 2 2 5 3 2" xfId="29068" xr:uid="{00000000-0005-0000-0000-0000391A0000}"/>
    <cellStyle name="표준 5 2 2 2 2 2 2 2 5 3 3" xfId="37279" xr:uid="{00000000-0005-0000-0000-00003A1A0000}"/>
    <cellStyle name="표준 5 2 2 2 2 2 2 2 5 3 4" xfId="45472" xr:uid="{00000000-0005-0000-0000-00003B1A0000}"/>
    <cellStyle name="표준 5 2 2 2 2 2 2 2 5 4" xfId="12474" xr:uid="{00000000-0005-0000-0000-00003C1A0000}"/>
    <cellStyle name="표준 5 2 2 2 2 2 2 2 5 5" xfId="16714" xr:uid="{00000000-0005-0000-0000-00003D1A0000}"/>
    <cellStyle name="표준 5 2 2 2 2 2 2 2 5 6" xfId="20876" xr:uid="{00000000-0005-0000-0000-00003E1A0000}"/>
    <cellStyle name="표준 5 2 2 2 2 2 2 2 5 7" xfId="24972" xr:uid="{00000000-0005-0000-0000-00003F1A0000}"/>
    <cellStyle name="표준 5 2 2 2 2 2 2 2 5 8" xfId="33183" xr:uid="{00000000-0005-0000-0000-0000401A0000}"/>
    <cellStyle name="표준 5 2 2 2 2 2 2 2 5 9" xfId="41376" xr:uid="{00000000-0005-0000-0000-0000411A0000}"/>
    <cellStyle name="표준 5 2 2 2 2 2 2 2 6" xfId="2019" xr:uid="{00000000-0005-0000-0000-0000421A0000}"/>
    <cellStyle name="표준 5 2 2 2 2 2 2 2 6 2" xfId="10922" xr:uid="{00000000-0005-0000-0000-0000431A0000}"/>
    <cellStyle name="표준 5 2 2 2 2 2 2 2 6 2 2" xfId="15034" xr:uid="{00000000-0005-0000-0000-0000441A0000}"/>
    <cellStyle name="표준 5 2 2 2 2 2 2 2 6 2 2 2" xfId="31628" xr:uid="{00000000-0005-0000-0000-0000451A0000}"/>
    <cellStyle name="표준 5 2 2 2 2 2 2 2 6 2 2 3" xfId="39839" xr:uid="{00000000-0005-0000-0000-0000461A0000}"/>
    <cellStyle name="표준 5 2 2 2 2 2 2 2 6 2 2 4" xfId="48032" xr:uid="{00000000-0005-0000-0000-0000471A0000}"/>
    <cellStyle name="표준 5 2 2 2 2 2 2 2 6 2 3" xfId="19274" xr:uid="{00000000-0005-0000-0000-0000481A0000}"/>
    <cellStyle name="표준 5 2 2 2 2 2 2 2 6 2 4" xfId="23436" xr:uid="{00000000-0005-0000-0000-0000491A0000}"/>
    <cellStyle name="표준 5 2 2 2 2 2 2 2 6 2 5" xfId="27532" xr:uid="{00000000-0005-0000-0000-00004A1A0000}"/>
    <cellStyle name="표준 5 2 2 2 2 2 2 2 6 2 6" xfId="35743" xr:uid="{00000000-0005-0000-0000-00004B1A0000}"/>
    <cellStyle name="표준 5 2 2 2 2 2 2 2 6 2 7" xfId="43936" xr:uid="{00000000-0005-0000-0000-00004C1A0000}"/>
    <cellStyle name="표준 5 2 2 2 2 2 2 2 6 3" xfId="8874" xr:uid="{00000000-0005-0000-0000-00004D1A0000}"/>
    <cellStyle name="표준 5 2 2 2 2 2 2 2 6 3 2" xfId="29580" xr:uid="{00000000-0005-0000-0000-00004E1A0000}"/>
    <cellStyle name="표준 5 2 2 2 2 2 2 2 6 3 3" xfId="37791" xr:uid="{00000000-0005-0000-0000-00004F1A0000}"/>
    <cellStyle name="표준 5 2 2 2 2 2 2 2 6 3 4" xfId="45984" xr:uid="{00000000-0005-0000-0000-0000501A0000}"/>
    <cellStyle name="표준 5 2 2 2 2 2 2 2 6 4" xfId="12986" xr:uid="{00000000-0005-0000-0000-0000511A0000}"/>
    <cellStyle name="표준 5 2 2 2 2 2 2 2 6 5" xfId="17226" xr:uid="{00000000-0005-0000-0000-0000521A0000}"/>
    <cellStyle name="표준 5 2 2 2 2 2 2 2 6 6" xfId="21388" xr:uid="{00000000-0005-0000-0000-0000531A0000}"/>
    <cellStyle name="표준 5 2 2 2 2 2 2 2 6 7" xfId="25484" xr:uid="{00000000-0005-0000-0000-0000541A0000}"/>
    <cellStyle name="표준 5 2 2 2 2 2 2 2 6 8" xfId="33695" xr:uid="{00000000-0005-0000-0000-0000551A0000}"/>
    <cellStyle name="표준 5 2 2 2 2 2 2 2 6 9" xfId="41888" xr:uid="{00000000-0005-0000-0000-0000561A0000}"/>
    <cellStyle name="표준 5 2 2 2 2 2 2 2 7" xfId="9386" xr:uid="{00000000-0005-0000-0000-0000571A0000}"/>
    <cellStyle name="표준 5 2 2 2 2 2 2 2 7 2" xfId="13498" xr:uid="{00000000-0005-0000-0000-0000581A0000}"/>
    <cellStyle name="표준 5 2 2 2 2 2 2 2 7 2 2" xfId="30092" xr:uid="{00000000-0005-0000-0000-0000591A0000}"/>
    <cellStyle name="표준 5 2 2 2 2 2 2 2 7 2 3" xfId="38303" xr:uid="{00000000-0005-0000-0000-00005A1A0000}"/>
    <cellStyle name="표준 5 2 2 2 2 2 2 2 7 2 4" xfId="46496" xr:uid="{00000000-0005-0000-0000-00005B1A0000}"/>
    <cellStyle name="표준 5 2 2 2 2 2 2 2 7 3" xfId="17738" xr:uid="{00000000-0005-0000-0000-00005C1A0000}"/>
    <cellStyle name="표준 5 2 2 2 2 2 2 2 7 4" xfId="21900" xr:uid="{00000000-0005-0000-0000-00005D1A0000}"/>
    <cellStyle name="표준 5 2 2 2 2 2 2 2 7 5" xfId="25996" xr:uid="{00000000-0005-0000-0000-00005E1A0000}"/>
    <cellStyle name="표준 5 2 2 2 2 2 2 2 7 6" xfId="34207" xr:uid="{00000000-0005-0000-0000-00005F1A0000}"/>
    <cellStyle name="표준 5 2 2 2 2 2 2 2 7 7" xfId="42400" xr:uid="{00000000-0005-0000-0000-0000601A0000}"/>
    <cellStyle name="표준 5 2 2 2 2 2 2 2 8" xfId="7338" xr:uid="{00000000-0005-0000-0000-0000611A0000}"/>
    <cellStyle name="표준 5 2 2 2 2 2 2 2 8 2" xfId="28044" xr:uid="{00000000-0005-0000-0000-0000621A0000}"/>
    <cellStyle name="표준 5 2 2 2 2 2 2 2 8 3" xfId="36255" xr:uid="{00000000-0005-0000-0000-0000631A0000}"/>
    <cellStyle name="표준 5 2 2 2 2 2 2 2 8 4" xfId="44448" xr:uid="{00000000-0005-0000-0000-0000641A0000}"/>
    <cellStyle name="표준 5 2 2 2 2 2 2 2 9" xfId="11450" xr:uid="{00000000-0005-0000-0000-0000651A0000}"/>
    <cellStyle name="표준 5 2 2 2 2 2 2 3" xfId="547" xr:uid="{00000000-0005-0000-0000-0000661A0000}"/>
    <cellStyle name="표준 5 2 2 2 2 2 2 3 10" xfId="19916" xr:uid="{00000000-0005-0000-0000-0000671A0000}"/>
    <cellStyle name="표준 5 2 2 2 2 2 2 3 11" xfId="24012" xr:uid="{00000000-0005-0000-0000-0000681A0000}"/>
    <cellStyle name="표준 5 2 2 2 2 2 2 3 12" xfId="32223" xr:uid="{00000000-0005-0000-0000-0000691A0000}"/>
    <cellStyle name="표준 5 2 2 2 2 2 2 3 13" xfId="40416" xr:uid="{00000000-0005-0000-0000-00006A1A0000}"/>
    <cellStyle name="표준 5 2 2 2 2 2 2 3 2" xfId="803" xr:uid="{00000000-0005-0000-0000-00006B1A0000}"/>
    <cellStyle name="표준 5 2 2 2 2 2 2 3 2 10" xfId="24268" xr:uid="{00000000-0005-0000-0000-00006C1A0000}"/>
    <cellStyle name="표준 5 2 2 2 2 2 2 3 2 11" xfId="32479" xr:uid="{00000000-0005-0000-0000-00006D1A0000}"/>
    <cellStyle name="표준 5 2 2 2 2 2 2 3 2 12" xfId="40672" xr:uid="{00000000-0005-0000-0000-00006E1A0000}"/>
    <cellStyle name="표준 5 2 2 2 2 2 2 3 2 2" xfId="1315" xr:uid="{00000000-0005-0000-0000-00006F1A0000}"/>
    <cellStyle name="표준 5 2 2 2 2 2 2 3 2 2 2" xfId="10218" xr:uid="{00000000-0005-0000-0000-0000701A0000}"/>
    <cellStyle name="표준 5 2 2 2 2 2 2 3 2 2 2 2" xfId="14330" xr:uid="{00000000-0005-0000-0000-0000711A0000}"/>
    <cellStyle name="표준 5 2 2 2 2 2 2 3 2 2 2 2 2" xfId="30924" xr:uid="{00000000-0005-0000-0000-0000721A0000}"/>
    <cellStyle name="표준 5 2 2 2 2 2 2 3 2 2 2 2 3" xfId="39135" xr:uid="{00000000-0005-0000-0000-0000731A0000}"/>
    <cellStyle name="표준 5 2 2 2 2 2 2 3 2 2 2 2 4" xfId="47328" xr:uid="{00000000-0005-0000-0000-0000741A0000}"/>
    <cellStyle name="표준 5 2 2 2 2 2 2 3 2 2 2 3" xfId="18570" xr:uid="{00000000-0005-0000-0000-0000751A0000}"/>
    <cellStyle name="표준 5 2 2 2 2 2 2 3 2 2 2 4" xfId="22732" xr:uid="{00000000-0005-0000-0000-0000761A0000}"/>
    <cellStyle name="표준 5 2 2 2 2 2 2 3 2 2 2 5" xfId="26828" xr:uid="{00000000-0005-0000-0000-0000771A0000}"/>
    <cellStyle name="표준 5 2 2 2 2 2 2 3 2 2 2 6" xfId="35039" xr:uid="{00000000-0005-0000-0000-0000781A0000}"/>
    <cellStyle name="표준 5 2 2 2 2 2 2 3 2 2 2 7" xfId="43232" xr:uid="{00000000-0005-0000-0000-0000791A0000}"/>
    <cellStyle name="표준 5 2 2 2 2 2 2 3 2 2 3" xfId="8170" xr:uid="{00000000-0005-0000-0000-00007A1A0000}"/>
    <cellStyle name="표준 5 2 2 2 2 2 2 3 2 2 3 2" xfId="28876" xr:uid="{00000000-0005-0000-0000-00007B1A0000}"/>
    <cellStyle name="표준 5 2 2 2 2 2 2 3 2 2 3 3" xfId="37087" xr:uid="{00000000-0005-0000-0000-00007C1A0000}"/>
    <cellStyle name="표준 5 2 2 2 2 2 2 3 2 2 3 4" xfId="45280" xr:uid="{00000000-0005-0000-0000-00007D1A0000}"/>
    <cellStyle name="표준 5 2 2 2 2 2 2 3 2 2 4" xfId="12282" xr:uid="{00000000-0005-0000-0000-00007E1A0000}"/>
    <cellStyle name="표준 5 2 2 2 2 2 2 3 2 2 5" xfId="16522" xr:uid="{00000000-0005-0000-0000-00007F1A0000}"/>
    <cellStyle name="표준 5 2 2 2 2 2 2 3 2 2 6" xfId="20684" xr:uid="{00000000-0005-0000-0000-0000801A0000}"/>
    <cellStyle name="표준 5 2 2 2 2 2 2 3 2 2 7" xfId="24780" xr:uid="{00000000-0005-0000-0000-0000811A0000}"/>
    <cellStyle name="표준 5 2 2 2 2 2 2 3 2 2 8" xfId="32991" xr:uid="{00000000-0005-0000-0000-0000821A0000}"/>
    <cellStyle name="표준 5 2 2 2 2 2 2 3 2 2 9" xfId="41184" xr:uid="{00000000-0005-0000-0000-0000831A0000}"/>
    <cellStyle name="표준 5 2 2 2 2 2 2 3 2 3" xfId="1827" xr:uid="{00000000-0005-0000-0000-0000841A0000}"/>
    <cellStyle name="표준 5 2 2 2 2 2 2 3 2 3 2" xfId="10730" xr:uid="{00000000-0005-0000-0000-0000851A0000}"/>
    <cellStyle name="표준 5 2 2 2 2 2 2 3 2 3 2 2" xfId="14842" xr:uid="{00000000-0005-0000-0000-0000861A0000}"/>
    <cellStyle name="표준 5 2 2 2 2 2 2 3 2 3 2 2 2" xfId="31436" xr:uid="{00000000-0005-0000-0000-0000871A0000}"/>
    <cellStyle name="표준 5 2 2 2 2 2 2 3 2 3 2 2 3" xfId="39647" xr:uid="{00000000-0005-0000-0000-0000881A0000}"/>
    <cellStyle name="표준 5 2 2 2 2 2 2 3 2 3 2 2 4" xfId="47840" xr:uid="{00000000-0005-0000-0000-0000891A0000}"/>
    <cellStyle name="표준 5 2 2 2 2 2 2 3 2 3 2 3" xfId="19082" xr:uid="{00000000-0005-0000-0000-00008A1A0000}"/>
    <cellStyle name="표준 5 2 2 2 2 2 2 3 2 3 2 4" xfId="23244" xr:uid="{00000000-0005-0000-0000-00008B1A0000}"/>
    <cellStyle name="표준 5 2 2 2 2 2 2 3 2 3 2 5" xfId="27340" xr:uid="{00000000-0005-0000-0000-00008C1A0000}"/>
    <cellStyle name="표준 5 2 2 2 2 2 2 3 2 3 2 6" xfId="35551" xr:uid="{00000000-0005-0000-0000-00008D1A0000}"/>
    <cellStyle name="표준 5 2 2 2 2 2 2 3 2 3 2 7" xfId="43744" xr:uid="{00000000-0005-0000-0000-00008E1A0000}"/>
    <cellStyle name="표준 5 2 2 2 2 2 2 3 2 3 3" xfId="8682" xr:uid="{00000000-0005-0000-0000-00008F1A0000}"/>
    <cellStyle name="표준 5 2 2 2 2 2 2 3 2 3 3 2" xfId="29388" xr:uid="{00000000-0005-0000-0000-0000901A0000}"/>
    <cellStyle name="표준 5 2 2 2 2 2 2 3 2 3 3 3" xfId="37599" xr:uid="{00000000-0005-0000-0000-0000911A0000}"/>
    <cellStyle name="표준 5 2 2 2 2 2 2 3 2 3 3 4" xfId="45792" xr:uid="{00000000-0005-0000-0000-0000921A0000}"/>
    <cellStyle name="표준 5 2 2 2 2 2 2 3 2 3 4" xfId="12794" xr:uid="{00000000-0005-0000-0000-0000931A0000}"/>
    <cellStyle name="표준 5 2 2 2 2 2 2 3 2 3 5" xfId="17034" xr:uid="{00000000-0005-0000-0000-0000941A0000}"/>
    <cellStyle name="표준 5 2 2 2 2 2 2 3 2 3 6" xfId="21196" xr:uid="{00000000-0005-0000-0000-0000951A0000}"/>
    <cellStyle name="표준 5 2 2 2 2 2 2 3 2 3 7" xfId="25292" xr:uid="{00000000-0005-0000-0000-0000961A0000}"/>
    <cellStyle name="표준 5 2 2 2 2 2 2 3 2 3 8" xfId="33503" xr:uid="{00000000-0005-0000-0000-0000971A0000}"/>
    <cellStyle name="표준 5 2 2 2 2 2 2 3 2 3 9" xfId="41696" xr:uid="{00000000-0005-0000-0000-0000981A0000}"/>
    <cellStyle name="표준 5 2 2 2 2 2 2 3 2 4" xfId="2339" xr:uid="{00000000-0005-0000-0000-0000991A0000}"/>
    <cellStyle name="표준 5 2 2 2 2 2 2 3 2 4 2" xfId="11242" xr:uid="{00000000-0005-0000-0000-00009A1A0000}"/>
    <cellStyle name="표준 5 2 2 2 2 2 2 3 2 4 2 2" xfId="15354" xr:uid="{00000000-0005-0000-0000-00009B1A0000}"/>
    <cellStyle name="표준 5 2 2 2 2 2 2 3 2 4 2 2 2" xfId="31948" xr:uid="{00000000-0005-0000-0000-00009C1A0000}"/>
    <cellStyle name="표준 5 2 2 2 2 2 2 3 2 4 2 2 3" xfId="40159" xr:uid="{00000000-0005-0000-0000-00009D1A0000}"/>
    <cellStyle name="표준 5 2 2 2 2 2 2 3 2 4 2 2 4" xfId="48352" xr:uid="{00000000-0005-0000-0000-00009E1A0000}"/>
    <cellStyle name="표준 5 2 2 2 2 2 2 3 2 4 2 3" xfId="19594" xr:uid="{00000000-0005-0000-0000-00009F1A0000}"/>
    <cellStyle name="표준 5 2 2 2 2 2 2 3 2 4 2 4" xfId="23756" xr:uid="{00000000-0005-0000-0000-0000A01A0000}"/>
    <cellStyle name="표준 5 2 2 2 2 2 2 3 2 4 2 5" xfId="27852" xr:uid="{00000000-0005-0000-0000-0000A11A0000}"/>
    <cellStyle name="표준 5 2 2 2 2 2 2 3 2 4 2 6" xfId="36063" xr:uid="{00000000-0005-0000-0000-0000A21A0000}"/>
    <cellStyle name="표준 5 2 2 2 2 2 2 3 2 4 2 7" xfId="44256" xr:uid="{00000000-0005-0000-0000-0000A31A0000}"/>
    <cellStyle name="표준 5 2 2 2 2 2 2 3 2 4 3" xfId="9194" xr:uid="{00000000-0005-0000-0000-0000A41A0000}"/>
    <cellStyle name="표준 5 2 2 2 2 2 2 3 2 4 3 2" xfId="29900" xr:uid="{00000000-0005-0000-0000-0000A51A0000}"/>
    <cellStyle name="표준 5 2 2 2 2 2 2 3 2 4 3 3" xfId="38111" xr:uid="{00000000-0005-0000-0000-0000A61A0000}"/>
    <cellStyle name="표준 5 2 2 2 2 2 2 3 2 4 3 4" xfId="46304" xr:uid="{00000000-0005-0000-0000-0000A71A0000}"/>
    <cellStyle name="표준 5 2 2 2 2 2 2 3 2 4 4" xfId="13306" xr:uid="{00000000-0005-0000-0000-0000A81A0000}"/>
    <cellStyle name="표준 5 2 2 2 2 2 2 3 2 4 5" xfId="17546" xr:uid="{00000000-0005-0000-0000-0000A91A0000}"/>
    <cellStyle name="표준 5 2 2 2 2 2 2 3 2 4 6" xfId="21708" xr:uid="{00000000-0005-0000-0000-0000AA1A0000}"/>
    <cellStyle name="표준 5 2 2 2 2 2 2 3 2 4 7" xfId="25804" xr:uid="{00000000-0005-0000-0000-0000AB1A0000}"/>
    <cellStyle name="표준 5 2 2 2 2 2 2 3 2 4 8" xfId="34015" xr:uid="{00000000-0005-0000-0000-0000AC1A0000}"/>
    <cellStyle name="표준 5 2 2 2 2 2 2 3 2 4 9" xfId="42208" xr:uid="{00000000-0005-0000-0000-0000AD1A0000}"/>
    <cellStyle name="표준 5 2 2 2 2 2 2 3 2 5" xfId="9706" xr:uid="{00000000-0005-0000-0000-0000AE1A0000}"/>
    <cellStyle name="표준 5 2 2 2 2 2 2 3 2 5 2" xfId="13818" xr:uid="{00000000-0005-0000-0000-0000AF1A0000}"/>
    <cellStyle name="표준 5 2 2 2 2 2 2 3 2 5 2 2" xfId="30412" xr:uid="{00000000-0005-0000-0000-0000B01A0000}"/>
    <cellStyle name="표준 5 2 2 2 2 2 2 3 2 5 2 3" xfId="38623" xr:uid="{00000000-0005-0000-0000-0000B11A0000}"/>
    <cellStyle name="표준 5 2 2 2 2 2 2 3 2 5 2 4" xfId="46816" xr:uid="{00000000-0005-0000-0000-0000B21A0000}"/>
    <cellStyle name="표준 5 2 2 2 2 2 2 3 2 5 3" xfId="18058" xr:uid="{00000000-0005-0000-0000-0000B31A0000}"/>
    <cellStyle name="표준 5 2 2 2 2 2 2 3 2 5 4" xfId="22220" xr:uid="{00000000-0005-0000-0000-0000B41A0000}"/>
    <cellStyle name="표준 5 2 2 2 2 2 2 3 2 5 5" xfId="26316" xr:uid="{00000000-0005-0000-0000-0000B51A0000}"/>
    <cellStyle name="표준 5 2 2 2 2 2 2 3 2 5 6" xfId="34527" xr:uid="{00000000-0005-0000-0000-0000B61A0000}"/>
    <cellStyle name="표준 5 2 2 2 2 2 2 3 2 5 7" xfId="42720" xr:uid="{00000000-0005-0000-0000-0000B71A0000}"/>
    <cellStyle name="표준 5 2 2 2 2 2 2 3 2 6" xfId="7658" xr:uid="{00000000-0005-0000-0000-0000B81A0000}"/>
    <cellStyle name="표준 5 2 2 2 2 2 2 3 2 6 2" xfId="28364" xr:uid="{00000000-0005-0000-0000-0000B91A0000}"/>
    <cellStyle name="표준 5 2 2 2 2 2 2 3 2 6 3" xfId="36575" xr:uid="{00000000-0005-0000-0000-0000BA1A0000}"/>
    <cellStyle name="표준 5 2 2 2 2 2 2 3 2 6 4" xfId="44768" xr:uid="{00000000-0005-0000-0000-0000BB1A0000}"/>
    <cellStyle name="표준 5 2 2 2 2 2 2 3 2 7" xfId="11770" xr:uid="{00000000-0005-0000-0000-0000BC1A0000}"/>
    <cellStyle name="표준 5 2 2 2 2 2 2 3 2 8" xfId="16010" xr:uid="{00000000-0005-0000-0000-0000BD1A0000}"/>
    <cellStyle name="표준 5 2 2 2 2 2 2 3 2 9" xfId="20172" xr:uid="{00000000-0005-0000-0000-0000BE1A0000}"/>
    <cellStyle name="표준 5 2 2 2 2 2 2 3 3" xfId="1059" xr:uid="{00000000-0005-0000-0000-0000BF1A0000}"/>
    <cellStyle name="표준 5 2 2 2 2 2 2 3 3 2" xfId="9962" xr:uid="{00000000-0005-0000-0000-0000C01A0000}"/>
    <cellStyle name="표준 5 2 2 2 2 2 2 3 3 2 2" xfId="14074" xr:uid="{00000000-0005-0000-0000-0000C11A0000}"/>
    <cellStyle name="표준 5 2 2 2 2 2 2 3 3 2 2 2" xfId="30668" xr:uid="{00000000-0005-0000-0000-0000C21A0000}"/>
    <cellStyle name="표준 5 2 2 2 2 2 2 3 3 2 2 3" xfId="38879" xr:uid="{00000000-0005-0000-0000-0000C31A0000}"/>
    <cellStyle name="표준 5 2 2 2 2 2 2 3 3 2 2 4" xfId="47072" xr:uid="{00000000-0005-0000-0000-0000C41A0000}"/>
    <cellStyle name="표준 5 2 2 2 2 2 2 3 3 2 3" xfId="18314" xr:uid="{00000000-0005-0000-0000-0000C51A0000}"/>
    <cellStyle name="표준 5 2 2 2 2 2 2 3 3 2 4" xfId="22476" xr:uid="{00000000-0005-0000-0000-0000C61A0000}"/>
    <cellStyle name="표준 5 2 2 2 2 2 2 3 3 2 5" xfId="26572" xr:uid="{00000000-0005-0000-0000-0000C71A0000}"/>
    <cellStyle name="표준 5 2 2 2 2 2 2 3 3 2 6" xfId="34783" xr:uid="{00000000-0005-0000-0000-0000C81A0000}"/>
    <cellStyle name="표준 5 2 2 2 2 2 2 3 3 2 7" xfId="42976" xr:uid="{00000000-0005-0000-0000-0000C91A0000}"/>
    <cellStyle name="표준 5 2 2 2 2 2 2 3 3 3" xfId="7914" xr:uid="{00000000-0005-0000-0000-0000CA1A0000}"/>
    <cellStyle name="표준 5 2 2 2 2 2 2 3 3 3 2" xfId="28620" xr:uid="{00000000-0005-0000-0000-0000CB1A0000}"/>
    <cellStyle name="표준 5 2 2 2 2 2 2 3 3 3 3" xfId="36831" xr:uid="{00000000-0005-0000-0000-0000CC1A0000}"/>
    <cellStyle name="표준 5 2 2 2 2 2 2 3 3 3 4" xfId="45024" xr:uid="{00000000-0005-0000-0000-0000CD1A0000}"/>
    <cellStyle name="표준 5 2 2 2 2 2 2 3 3 4" xfId="12026" xr:uid="{00000000-0005-0000-0000-0000CE1A0000}"/>
    <cellStyle name="표준 5 2 2 2 2 2 2 3 3 5" xfId="16266" xr:uid="{00000000-0005-0000-0000-0000CF1A0000}"/>
    <cellStyle name="표준 5 2 2 2 2 2 2 3 3 6" xfId="20428" xr:uid="{00000000-0005-0000-0000-0000D01A0000}"/>
    <cellStyle name="표준 5 2 2 2 2 2 2 3 3 7" xfId="24524" xr:uid="{00000000-0005-0000-0000-0000D11A0000}"/>
    <cellStyle name="표준 5 2 2 2 2 2 2 3 3 8" xfId="32735" xr:uid="{00000000-0005-0000-0000-0000D21A0000}"/>
    <cellStyle name="표준 5 2 2 2 2 2 2 3 3 9" xfId="40928" xr:uid="{00000000-0005-0000-0000-0000D31A0000}"/>
    <cellStyle name="표준 5 2 2 2 2 2 2 3 4" xfId="1571" xr:uid="{00000000-0005-0000-0000-0000D41A0000}"/>
    <cellStyle name="표준 5 2 2 2 2 2 2 3 4 2" xfId="10474" xr:uid="{00000000-0005-0000-0000-0000D51A0000}"/>
    <cellStyle name="표준 5 2 2 2 2 2 2 3 4 2 2" xfId="14586" xr:uid="{00000000-0005-0000-0000-0000D61A0000}"/>
    <cellStyle name="표준 5 2 2 2 2 2 2 3 4 2 2 2" xfId="31180" xr:uid="{00000000-0005-0000-0000-0000D71A0000}"/>
    <cellStyle name="표준 5 2 2 2 2 2 2 3 4 2 2 3" xfId="39391" xr:uid="{00000000-0005-0000-0000-0000D81A0000}"/>
    <cellStyle name="표준 5 2 2 2 2 2 2 3 4 2 2 4" xfId="47584" xr:uid="{00000000-0005-0000-0000-0000D91A0000}"/>
    <cellStyle name="표준 5 2 2 2 2 2 2 3 4 2 3" xfId="18826" xr:uid="{00000000-0005-0000-0000-0000DA1A0000}"/>
    <cellStyle name="표준 5 2 2 2 2 2 2 3 4 2 4" xfId="22988" xr:uid="{00000000-0005-0000-0000-0000DB1A0000}"/>
    <cellStyle name="표준 5 2 2 2 2 2 2 3 4 2 5" xfId="27084" xr:uid="{00000000-0005-0000-0000-0000DC1A0000}"/>
    <cellStyle name="표준 5 2 2 2 2 2 2 3 4 2 6" xfId="35295" xr:uid="{00000000-0005-0000-0000-0000DD1A0000}"/>
    <cellStyle name="표준 5 2 2 2 2 2 2 3 4 2 7" xfId="43488" xr:uid="{00000000-0005-0000-0000-0000DE1A0000}"/>
    <cellStyle name="표준 5 2 2 2 2 2 2 3 4 3" xfId="8426" xr:uid="{00000000-0005-0000-0000-0000DF1A0000}"/>
    <cellStyle name="표준 5 2 2 2 2 2 2 3 4 3 2" xfId="29132" xr:uid="{00000000-0005-0000-0000-0000E01A0000}"/>
    <cellStyle name="표준 5 2 2 2 2 2 2 3 4 3 3" xfId="37343" xr:uid="{00000000-0005-0000-0000-0000E11A0000}"/>
    <cellStyle name="표준 5 2 2 2 2 2 2 3 4 3 4" xfId="45536" xr:uid="{00000000-0005-0000-0000-0000E21A0000}"/>
    <cellStyle name="표준 5 2 2 2 2 2 2 3 4 4" xfId="12538" xr:uid="{00000000-0005-0000-0000-0000E31A0000}"/>
    <cellStyle name="표준 5 2 2 2 2 2 2 3 4 5" xfId="16778" xr:uid="{00000000-0005-0000-0000-0000E41A0000}"/>
    <cellStyle name="표준 5 2 2 2 2 2 2 3 4 6" xfId="20940" xr:uid="{00000000-0005-0000-0000-0000E51A0000}"/>
    <cellStyle name="표준 5 2 2 2 2 2 2 3 4 7" xfId="25036" xr:uid="{00000000-0005-0000-0000-0000E61A0000}"/>
    <cellStyle name="표준 5 2 2 2 2 2 2 3 4 8" xfId="33247" xr:uid="{00000000-0005-0000-0000-0000E71A0000}"/>
    <cellStyle name="표준 5 2 2 2 2 2 2 3 4 9" xfId="41440" xr:uid="{00000000-0005-0000-0000-0000E81A0000}"/>
    <cellStyle name="표준 5 2 2 2 2 2 2 3 5" xfId="2083" xr:uid="{00000000-0005-0000-0000-0000E91A0000}"/>
    <cellStyle name="표준 5 2 2 2 2 2 2 3 5 2" xfId="10986" xr:uid="{00000000-0005-0000-0000-0000EA1A0000}"/>
    <cellStyle name="표준 5 2 2 2 2 2 2 3 5 2 2" xfId="15098" xr:uid="{00000000-0005-0000-0000-0000EB1A0000}"/>
    <cellStyle name="표준 5 2 2 2 2 2 2 3 5 2 2 2" xfId="31692" xr:uid="{00000000-0005-0000-0000-0000EC1A0000}"/>
    <cellStyle name="표준 5 2 2 2 2 2 2 3 5 2 2 3" xfId="39903" xr:uid="{00000000-0005-0000-0000-0000ED1A0000}"/>
    <cellStyle name="표준 5 2 2 2 2 2 2 3 5 2 2 4" xfId="48096" xr:uid="{00000000-0005-0000-0000-0000EE1A0000}"/>
    <cellStyle name="표준 5 2 2 2 2 2 2 3 5 2 3" xfId="19338" xr:uid="{00000000-0005-0000-0000-0000EF1A0000}"/>
    <cellStyle name="표준 5 2 2 2 2 2 2 3 5 2 4" xfId="23500" xr:uid="{00000000-0005-0000-0000-0000F01A0000}"/>
    <cellStyle name="표준 5 2 2 2 2 2 2 3 5 2 5" xfId="27596" xr:uid="{00000000-0005-0000-0000-0000F11A0000}"/>
    <cellStyle name="표준 5 2 2 2 2 2 2 3 5 2 6" xfId="35807" xr:uid="{00000000-0005-0000-0000-0000F21A0000}"/>
    <cellStyle name="표준 5 2 2 2 2 2 2 3 5 2 7" xfId="44000" xr:uid="{00000000-0005-0000-0000-0000F31A0000}"/>
    <cellStyle name="표준 5 2 2 2 2 2 2 3 5 3" xfId="8938" xr:uid="{00000000-0005-0000-0000-0000F41A0000}"/>
    <cellStyle name="표준 5 2 2 2 2 2 2 3 5 3 2" xfId="29644" xr:uid="{00000000-0005-0000-0000-0000F51A0000}"/>
    <cellStyle name="표준 5 2 2 2 2 2 2 3 5 3 3" xfId="37855" xr:uid="{00000000-0005-0000-0000-0000F61A0000}"/>
    <cellStyle name="표준 5 2 2 2 2 2 2 3 5 3 4" xfId="46048" xr:uid="{00000000-0005-0000-0000-0000F71A0000}"/>
    <cellStyle name="표준 5 2 2 2 2 2 2 3 5 4" xfId="13050" xr:uid="{00000000-0005-0000-0000-0000F81A0000}"/>
    <cellStyle name="표준 5 2 2 2 2 2 2 3 5 5" xfId="17290" xr:uid="{00000000-0005-0000-0000-0000F91A0000}"/>
    <cellStyle name="표준 5 2 2 2 2 2 2 3 5 6" xfId="21452" xr:uid="{00000000-0005-0000-0000-0000FA1A0000}"/>
    <cellStyle name="표준 5 2 2 2 2 2 2 3 5 7" xfId="25548" xr:uid="{00000000-0005-0000-0000-0000FB1A0000}"/>
    <cellStyle name="표준 5 2 2 2 2 2 2 3 5 8" xfId="33759" xr:uid="{00000000-0005-0000-0000-0000FC1A0000}"/>
    <cellStyle name="표준 5 2 2 2 2 2 2 3 5 9" xfId="41952" xr:uid="{00000000-0005-0000-0000-0000FD1A0000}"/>
    <cellStyle name="표준 5 2 2 2 2 2 2 3 6" xfId="9450" xr:uid="{00000000-0005-0000-0000-0000FE1A0000}"/>
    <cellStyle name="표준 5 2 2 2 2 2 2 3 6 2" xfId="13562" xr:uid="{00000000-0005-0000-0000-0000FF1A0000}"/>
    <cellStyle name="표준 5 2 2 2 2 2 2 3 6 2 2" xfId="30156" xr:uid="{00000000-0005-0000-0000-0000001B0000}"/>
    <cellStyle name="표준 5 2 2 2 2 2 2 3 6 2 3" xfId="38367" xr:uid="{00000000-0005-0000-0000-0000011B0000}"/>
    <cellStyle name="표준 5 2 2 2 2 2 2 3 6 2 4" xfId="46560" xr:uid="{00000000-0005-0000-0000-0000021B0000}"/>
    <cellStyle name="표준 5 2 2 2 2 2 2 3 6 3" xfId="17802" xr:uid="{00000000-0005-0000-0000-0000031B0000}"/>
    <cellStyle name="표준 5 2 2 2 2 2 2 3 6 4" xfId="21964" xr:uid="{00000000-0005-0000-0000-0000041B0000}"/>
    <cellStyle name="표준 5 2 2 2 2 2 2 3 6 5" xfId="26060" xr:uid="{00000000-0005-0000-0000-0000051B0000}"/>
    <cellStyle name="표준 5 2 2 2 2 2 2 3 6 6" xfId="34271" xr:uid="{00000000-0005-0000-0000-0000061B0000}"/>
    <cellStyle name="표준 5 2 2 2 2 2 2 3 6 7" xfId="42464" xr:uid="{00000000-0005-0000-0000-0000071B0000}"/>
    <cellStyle name="표준 5 2 2 2 2 2 2 3 7" xfId="7402" xr:uid="{00000000-0005-0000-0000-0000081B0000}"/>
    <cellStyle name="표준 5 2 2 2 2 2 2 3 7 2" xfId="28108" xr:uid="{00000000-0005-0000-0000-0000091B0000}"/>
    <cellStyle name="표준 5 2 2 2 2 2 2 3 7 3" xfId="36319" xr:uid="{00000000-0005-0000-0000-00000A1B0000}"/>
    <cellStyle name="표준 5 2 2 2 2 2 2 3 7 4" xfId="44512" xr:uid="{00000000-0005-0000-0000-00000B1B0000}"/>
    <cellStyle name="표준 5 2 2 2 2 2 2 3 8" xfId="11514" xr:uid="{00000000-0005-0000-0000-00000C1B0000}"/>
    <cellStyle name="표준 5 2 2 2 2 2 2 3 9" xfId="15754" xr:uid="{00000000-0005-0000-0000-00000D1B0000}"/>
    <cellStyle name="표준 5 2 2 2 2 2 2 4" xfId="675" xr:uid="{00000000-0005-0000-0000-00000E1B0000}"/>
    <cellStyle name="표준 5 2 2 2 2 2 2 4 10" xfId="24140" xr:uid="{00000000-0005-0000-0000-00000F1B0000}"/>
    <cellStyle name="표준 5 2 2 2 2 2 2 4 11" xfId="32351" xr:uid="{00000000-0005-0000-0000-0000101B0000}"/>
    <cellStyle name="표준 5 2 2 2 2 2 2 4 12" xfId="40544" xr:uid="{00000000-0005-0000-0000-0000111B0000}"/>
    <cellStyle name="표준 5 2 2 2 2 2 2 4 2" xfId="1187" xr:uid="{00000000-0005-0000-0000-0000121B0000}"/>
    <cellStyle name="표준 5 2 2 2 2 2 2 4 2 2" xfId="10090" xr:uid="{00000000-0005-0000-0000-0000131B0000}"/>
    <cellStyle name="표준 5 2 2 2 2 2 2 4 2 2 2" xfId="14202" xr:uid="{00000000-0005-0000-0000-0000141B0000}"/>
    <cellStyle name="표준 5 2 2 2 2 2 2 4 2 2 2 2" xfId="30796" xr:uid="{00000000-0005-0000-0000-0000151B0000}"/>
    <cellStyle name="표준 5 2 2 2 2 2 2 4 2 2 2 3" xfId="39007" xr:uid="{00000000-0005-0000-0000-0000161B0000}"/>
    <cellStyle name="표준 5 2 2 2 2 2 2 4 2 2 2 4" xfId="47200" xr:uid="{00000000-0005-0000-0000-0000171B0000}"/>
    <cellStyle name="표준 5 2 2 2 2 2 2 4 2 2 3" xfId="18442" xr:uid="{00000000-0005-0000-0000-0000181B0000}"/>
    <cellStyle name="표준 5 2 2 2 2 2 2 4 2 2 4" xfId="22604" xr:uid="{00000000-0005-0000-0000-0000191B0000}"/>
    <cellStyle name="표준 5 2 2 2 2 2 2 4 2 2 5" xfId="26700" xr:uid="{00000000-0005-0000-0000-00001A1B0000}"/>
    <cellStyle name="표준 5 2 2 2 2 2 2 4 2 2 6" xfId="34911" xr:uid="{00000000-0005-0000-0000-00001B1B0000}"/>
    <cellStyle name="표준 5 2 2 2 2 2 2 4 2 2 7" xfId="43104" xr:uid="{00000000-0005-0000-0000-00001C1B0000}"/>
    <cellStyle name="표준 5 2 2 2 2 2 2 4 2 3" xfId="8042" xr:uid="{00000000-0005-0000-0000-00001D1B0000}"/>
    <cellStyle name="표준 5 2 2 2 2 2 2 4 2 3 2" xfId="28748" xr:uid="{00000000-0005-0000-0000-00001E1B0000}"/>
    <cellStyle name="표준 5 2 2 2 2 2 2 4 2 3 3" xfId="36959" xr:uid="{00000000-0005-0000-0000-00001F1B0000}"/>
    <cellStyle name="표준 5 2 2 2 2 2 2 4 2 3 4" xfId="45152" xr:uid="{00000000-0005-0000-0000-0000201B0000}"/>
    <cellStyle name="표준 5 2 2 2 2 2 2 4 2 4" xfId="12154" xr:uid="{00000000-0005-0000-0000-0000211B0000}"/>
    <cellStyle name="표준 5 2 2 2 2 2 2 4 2 5" xfId="16394" xr:uid="{00000000-0005-0000-0000-0000221B0000}"/>
    <cellStyle name="표준 5 2 2 2 2 2 2 4 2 6" xfId="20556" xr:uid="{00000000-0005-0000-0000-0000231B0000}"/>
    <cellStyle name="표준 5 2 2 2 2 2 2 4 2 7" xfId="24652" xr:uid="{00000000-0005-0000-0000-0000241B0000}"/>
    <cellStyle name="표준 5 2 2 2 2 2 2 4 2 8" xfId="32863" xr:uid="{00000000-0005-0000-0000-0000251B0000}"/>
    <cellStyle name="표준 5 2 2 2 2 2 2 4 2 9" xfId="41056" xr:uid="{00000000-0005-0000-0000-0000261B0000}"/>
    <cellStyle name="표준 5 2 2 2 2 2 2 4 3" xfId="1699" xr:uid="{00000000-0005-0000-0000-0000271B0000}"/>
    <cellStyle name="표준 5 2 2 2 2 2 2 4 3 2" xfId="10602" xr:uid="{00000000-0005-0000-0000-0000281B0000}"/>
    <cellStyle name="표준 5 2 2 2 2 2 2 4 3 2 2" xfId="14714" xr:uid="{00000000-0005-0000-0000-0000291B0000}"/>
    <cellStyle name="표준 5 2 2 2 2 2 2 4 3 2 2 2" xfId="31308" xr:uid="{00000000-0005-0000-0000-00002A1B0000}"/>
    <cellStyle name="표준 5 2 2 2 2 2 2 4 3 2 2 3" xfId="39519" xr:uid="{00000000-0005-0000-0000-00002B1B0000}"/>
    <cellStyle name="표준 5 2 2 2 2 2 2 4 3 2 2 4" xfId="47712" xr:uid="{00000000-0005-0000-0000-00002C1B0000}"/>
    <cellStyle name="표준 5 2 2 2 2 2 2 4 3 2 3" xfId="18954" xr:uid="{00000000-0005-0000-0000-00002D1B0000}"/>
    <cellStyle name="표준 5 2 2 2 2 2 2 4 3 2 4" xfId="23116" xr:uid="{00000000-0005-0000-0000-00002E1B0000}"/>
    <cellStyle name="표준 5 2 2 2 2 2 2 4 3 2 5" xfId="27212" xr:uid="{00000000-0005-0000-0000-00002F1B0000}"/>
    <cellStyle name="표준 5 2 2 2 2 2 2 4 3 2 6" xfId="35423" xr:uid="{00000000-0005-0000-0000-0000301B0000}"/>
    <cellStyle name="표준 5 2 2 2 2 2 2 4 3 2 7" xfId="43616" xr:uid="{00000000-0005-0000-0000-0000311B0000}"/>
    <cellStyle name="표준 5 2 2 2 2 2 2 4 3 3" xfId="8554" xr:uid="{00000000-0005-0000-0000-0000321B0000}"/>
    <cellStyle name="표준 5 2 2 2 2 2 2 4 3 3 2" xfId="29260" xr:uid="{00000000-0005-0000-0000-0000331B0000}"/>
    <cellStyle name="표준 5 2 2 2 2 2 2 4 3 3 3" xfId="37471" xr:uid="{00000000-0005-0000-0000-0000341B0000}"/>
    <cellStyle name="표준 5 2 2 2 2 2 2 4 3 3 4" xfId="45664" xr:uid="{00000000-0005-0000-0000-0000351B0000}"/>
    <cellStyle name="표준 5 2 2 2 2 2 2 4 3 4" xfId="12666" xr:uid="{00000000-0005-0000-0000-0000361B0000}"/>
    <cellStyle name="표준 5 2 2 2 2 2 2 4 3 5" xfId="16906" xr:uid="{00000000-0005-0000-0000-0000371B0000}"/>
    <cellStyle name="표준 5 2 2 2 2 2 2 4 3 6" xfId="21068" xr:uid="{00000000-0005-0000-0000-0000381B0000}"/>
    <cellStyle name="표준 5 2 2 2 2 2 2 4 3 7" xfId="25164" xr:uid="{00000000-0005-0000-0000-0000391B0000}"/>
    <cellStyle name="표준 5 2 2 2 2 2 2 4 3 8" xfId="33375" xr:uid="{00000000-0005-0000-0000-00003A1B0000}"/>
    <cellStyle name="표준 5 2 2 2 2 2 2 4 3 9" xfId="41568" xr:uid="{00000000-0005-0000-0000-00003B1B0000}"/>
    <cellStyle name="표준 5 2 2 2 2 2 2 4 4" xfId="2211" xr:uid="{00000000-0005-0000-0000-00003C1B0000}"/>
    <cellStyle name="표준 5 2 2 2 2 2 2 4 4 2" xfId="11114" xr:uid="{00000000-0005-0000-0000-00003D1B0000}"/>
    <cellStyle name="표준 5 2 2 2 2 2 2 4 4 2 2" xfId="15226" xr:uid="{00000000-0005-0000-0000-00003E1B0000}"/>
    <cellStyle name="표준 5 2 2 2 2 2 2 4 4 2 2 2" xfId="31820" xr:uid="{00000000-0005-0000-0000-00003F1B0000}"/>
    <cellStyle name="표준 5 2 2 2 2 2 2 4 4 2 2 3" xfId="40031" xr:uid="{00000000-0005-0000-0000-0000401B0000}"/>
    <cellStyle name="표준 5 2 2 2 2 2 2 4 4 2 2 4" xfId="48224" xr:uid="{00000000-0005-0000-0000-0000411B0000}"/>
    <cellStyle name="표준 5 2 2 2 2 2 2 4 4 2 3" xfId="19466" xr:uid="{00000000-0005-0000-0000-0000421B0000}"/>
    <cellStyle name="표준 5 2 2 2 2 2 2 4 4 2 4" xfId="23628" xr:uid="{00000000-0005-0000-0000-0000431B0000}"/>
    <cellStyle name="표준 5 2 2 2 2 2 2 4 4 2 5" xfId="27724" xr:uid="{00000000-0005-0000-0000-0000441B0000}"/>
    <cellStyle name="표준 5 2 2 2 2 2 2 4 4 2 6" xfId="35935" xr:uid="{00000000-0005-0000-0000-0000451B0000}"/>
    <cellStyle name="표준 5 2 2 2 2 2 2 4 4 2 7" xfId="44128" xr:uid="{00000000-0005-0000-0000-0000461B0000}"/>
    <cellStyle name="표준 5 2 2 2 2 2 2 4 4 3" xfId="9066" xr:uid="{00000000-0005-0000-0000-0000471B0000}"/>
    <cellStyle name="표준 5 2 2 2 2 2 2 4 4 3 2" xfId="29772" xr:uid="{00000000-0005-0000-0000-0000481B0000}"/>
    <cellStyle name="표준 5 2 2 2 2 2 2 4 4 3 3" xfId="37983" xr:uid="{00000000-0005-0000-0000-0000491B0000}"/>
    <cellStyle name="표준 5 2 2 2 2 2 2 4 4 3 4" xfId="46176" xr:uid="{00000000-0005-0000-0000-00004A1B0000}"/>
    <cellStyle name="표준 5 2 2 2 2 2 2 4 4 4" xfId="13178" xr:uid="{00000000-0005-0000-0000-00004B1B0000}"/>
    <cellStyle name="표준 5 2 2 2 2 2 2 4 4 5" xfId="17418" xr:uid="{00000000-0005-0000-0000-00004C1B0000}"/>
    <cellStyle name="표준 5 2 2 2 2 2 2 4 4 6" xfId="21580" xr:uid="{00000000-0005-0000-0000-00004D1B0000}"/>
    <cellStyle name="표준 5 2 2 2 2 2 2 4 4 7" xfId="25676" xr:uid="{00000000-0005-0000-0000-00004E1B0000}"/>
    <cellStyle name="표준 5 2 2 2 2 2 2 4 4 8" xfId="33887" xr:uid="{00000000-0005-0000-0000-00004F1B0000}"/>
    <cellStyle name="표준 5 2 2 2 2 2 2 4 4 9" xfId="42080" xr:uid="{00000000-0005-0000-0000-0000501B0000}"/>
    <cellStyle name="표준 5 2 2 2 2 2 2 4 5" xfId="9578" xr:uid="{00000000-0005-0000-0000-0000511B0000}"/>
    <cellStyle name="표준 5 2 2 2 2 2 2 4 5 2" xfId="13690" xr:uid="{00000000-0005-0000-0000-0000521B0000}"/>
    <cellStyle name="표준 5 2 2 2 2 2 2 4 5 2 2" xfId="30284" xr:uid="{00000000-0005-0000-0000-0000531B0000}"/>
    <cellStyle name="표준 5 2 2 2 2 2 2 4 5 2 3" xfId="38495" xr:uid="{00000000-0005-0000-0000-0000541B0000}"/>
    <cellStyle name="표준 5 2 2 2 2 2 2 4 5 2 4" xfId="46688" xr:uid="{00000000-0005-0000-0000-0000551B0000}"/>
    <cellStyle name="표준 5 2 2 2 2 2 2 4 5 3" xfId="17930" xr:uid="{00000000-0005-0000-0000-0000561B0000}"/>
    <cellStyle name="표준 5 2 2 2 2 2 2 4 5 4" xfId="22092" xr:uid="{00000000-0005-0000-0000-0000571B0000}"/>
    <cellStyle name="표준 5 2 2 2 2 2 2 4 5 5" xfId="26188" xr:uid="{00000000-0005-0000-0000-0000581B0000}"/>
    <cellStyle name="표준 5 2 2 2 2 2 2 4 5 6" xfId="34399" xr:uid="{00000000-0005-0000-0000-0000591B0000}"/>
    <cellStyle name="표준 5 2 2 2 2 2 2 4 5 7" xfId="42592" xr:uid="{00000000-0005-0000-0000-00005A1B0000}"/>
    <cellStyle name="표준 5 2 2 2 2 2 2 4 6" xfId="7530" xr:uid="{00000000-0005-0000-0000-00005B1B0000}"/>
    <cellStyle name="표준 5 2 2 2 2 2 2 4 6 2" xfId="28236" xr:uid="{00000000-0005-0000-0000-00005C1B0000}"/>
    <cellStyle name="표준 5 2 2 2 2 2 2 4 6 3" xfId="36447" xr:uid="{00000000-0005-0000-0000-00005D1B0000}"/>
    <cellStyle name="표준 5 2 2 2 2 2 2 4 6 4" xfId="44640" xr:uid="{00000000-0005-0000-0000-00005E1B0000}"/>
    <cellStyle name="표준 5 2 2 2 2 2 2 4 7" xfId="11642" xr:uid="{00000000-0005-0000-0000-00005F1B0000}"/>
    <cellStyle name="표준 5 2 2 2 2 2 2 4 8" xfId="15882" xr:uid="{00000000-0005-0000-0000-0000601B0000}"/>
    <cellStyle name="표준 5 2 2 2 2 2 2 4 9" xfId="20044" xr:uid="{00000000-0005-0000-0000-0000611B0000}"/>
    <cellStyle name="표준 5 2 2 2 2 2 2 5" xfId="931" xr:uid="{00000000-0005-0000-0000-0000621B0000}"/>
    <cellStyle name="표준 5 2 2 2 2 2 2 5 2" xfId="9834" xr:uid="{00000000-0005-0000-0000-0000631B0000}"/>
    <cellStyle name="표준 5 2 2 2 2 2 2 5 2 2" xfId="13946" xr:uid="{00000000-0005-0000-0000-0000641B0000}"/>
    <cellStyle name="표준 5 2 2 2 2 2 2 5 2 2 2" xfId="30540" xr:uid="{00000000-0005-0000-0000-0000651B0000}"/>
    <cellStyle name="표준 5 2 2 2 2 2 2 5 2 2 3" xfId="38751" xr:uid="{00000000-0005-0000-0000-0000661B0000}"/>
    <cellStyle name="표준 5 2 2 2 2 2 2 5 2 2 4" xfId="46944" xr:uid="{00000000-0005-0000-0000-0000671B0000}"/>
    <cellStyle name="표준 5 2 2 2 2 2 2 5 2 3" xfId="18186" xr:uid="{00000000-0005-0000-0000-0000681B0000}"/>
    <cellStyle name="표준 5 2 2 2 2 2 2 5 2 4" xfId="22348" xr:uid="{00000000-0005-0000-0000-0000691B0000}"/>
    <cellStyle name="표준 5 2 2 2 2 2 2 5 2 5" xfId="26444" xr:uid="{00000000-0005-0000-0000-00006A1B0000}"/>
    <cellStyle name="표준 5 2 2 2 2 2 2 5 2 6" xfId="34655" xr:uid="{00000000-0005-0000-0000-00006B1B0000}"/>
    <cellStyle name="표준 5 2 2 2 2 2 2 5 2 7" xfId="42848" xr:uid="{00000000-0005-0000-0000-00006C1B0000}"/>
    <cellStyle name="표준 5 2 2 2 2 2 2 5 3" xfId="7786" xr:uid="{00000000-0005-0000-0000-00006D1B0000}"/>
    <cellStyle name="표준 5 2 2 2 2 2 2 5 3 2" xfId="28492" xr:uid="{00000000-0005-0000-0000-00006E1B0000}"/>
    <cellStyle name="표준 5 2 2 2 2 2 2 5 3 3" xfId="36703" xr:uid="{00000000-0005-0000-0000-00006F1B0000}"/>
    <cellStyle name="표준 5 2 2 2 2 2 2 5 3 4" xfId="44896" xr:uid="{00000000-0005-0000-0000-0000701B0000}"/>
    <cellStyle name="표준 5 2 2 2 2 2 2 5 4" xfId="11898" xr:uid="{00000000-0005-0000-0000-0000711B0000}"/>
    <cellStyle name="표준 5 2 2 2 2 2 2 5 5" xfId="16138" xr:uid="{00000000-0005-0000-0000-0000721B0000}"/>
    <cellStyle name="표준 5 2 2 2 2 2 2 5 6" xfId="20300" xr:uid="{00000000-0005-0000-0000-0000731B0000}"/>
    <cellStyle name="표준 5 2 2 2 2 2 2 5 7" xfId="24396" xr:uid="{00000000-0005-0000-0000-0000741B0000}"/>
    <cellStyle name="표준 5 2 2 2 2 2 2 5 8" xfId="32607" xr:uid="{00000000-0005-0000-0000-0000751B0000}"/>
    <cellStyle name="표준 5 2 2 2 2 2 2 5 9" xfId="40800" xr:uid="{00000000-0005-0000-0000-0000761B0000}"/>
    <cellStyle name="표준 5 2 2 2 2 2 2 6" xfId="1443" xr:uid="{00000000-0005-0000-0000-0000771B0000}"/>
    <cellStyle name="표준 5 2 2 2 2 2 2 6 2" xfId="10346" xr:uid="{00000000-0005-0000-0000-0000781B0000}"/>
    <cellStyle name="표준 5 2 2 2 2 2 2 6 2 2" xfId="14458" xr:uid="{00000000-0005-0000-0000-0000791B0000}"/>
    <cellStyle name="표준 5 2 2 2 2 2 2 6 2 2 2" xfId="31052" xr:uid="{00000000-0005-0000-0000-00007A1B0000}"/>
    <cellStyle name="표준 5 2 2 2 2 2 2 6 2 2 3" xfId="39263" xr:uid="{00000000-0005-0000-0000-00007B1B0000}"/>
    <cellStyle name="표준 5 2 2 2 2 2 2 6 2 2 4" xfId="47456" xr:uid="{00000000-0005-0000-0000-00007C1B0000}"/>
    <cellStyle name="표준 5 2 2 2 2 2 2 6 2 3" xfId="18698" xr:uid="{00000000-0005-0000-0000-00007D1B0000}"/>
    <cellStyle name="표준 5 2 2 2 2 2 2 6 2 4" xfId="22860" xr:uid="{00000000-0005-0000-0000-00007E1B0000}"/>
    <cellStyle name="표준 5 2 2 2 2 2 2 6 2 5" xfId="26956" xr:uid="{00000000-0005-0000-0000-00007F1B0000}"/>
    <cellStyle name="표준 5 2 2 2 2 2 2 6 2 6" xfId="35167" xr:uid="{00000000-0005-0000-0000-0000801B0000}"/>
    <cellStyle name="표준 5 2 2 2 2 2 2 6 2 7" xfId="43360" xr:uid="{00000000-0005-0000-0000-0000811B0000}"/>
    <cellStyle name="표준 5 2 2 2 2 2 2 6 3" xfId="8298" xr:uid="{00000000-0005-0000-0000-0000821B0000}"/>
    <cellStyle name="표준 5 2 2 2 2 2 2 6 3 2" xfId="29004" xr:uid="{00000000-0005-0000-0000-0000831B0000}"/>
    <cellStyle name="표준 5 2 2 2 2 2 2 6 3 3" xfId="37215" xr:uid="{00000000-0005-0000-0000-0000841B0000}"/>
    <cellStyle name="표준 5 2 2 2 2 2 2 6 3 4" xfId="45408" xr:uid="{00000000-0005-0000-0000-0000851B0000}"/>
    <cellStyle name="표준 5 2 2 2 2 2 2 6 4" xfId="12410" xr:uid="{00000000-0005-0000-0000-0000861B0000}"/>
    <cellStyle name="표준 5 2 2 2 2 2 2 6 5" xfId="16650" xr:uid="{00000000-0005-0000-0000-0000871B0000}"/>
    <cellStyle name="표준 5 2 2 2 2 2 2 6 6" xfId="20812" xr:uid="{00000000-0005-0000-0000-0000881B0000}"/>
    <cellStyle name="표준 5 2 2 2 2 2 2 6 7" xfId="24908" xr:uid="{00000000-0005-0000-0000-0000891B0000}"/>
    <cellStyle name="표준 5 2 2 2 2 2 2 6 8" xfId="33119" xr:uid="{00000000-0005-0000-0000-00008A1B0000}"/>
    <cellStyle name="표준 5 2 2 2 2 2 2 6 9" xfId="41312" xr:uid="{00000000-0005-0000-0000-00008B1B0000}"/>
    <cellStyle name="표준 5 2 2 2 2 2 2 7" xfId="1955" xr:uid="{00000000-0005-0000-0000-00008C1B0000}"/>
    <cellStyle name="표준 5 2 2 2 2 2 2 7 2" xfId="10858" xr:uid="{00000000-0005-0000-0000-00008D1B0000}"/>
    <cellStyle name="표준 5 2 2 2 2 2 2 7 2 2" xfId="14970" xr:uid="{00000000-0005-0000-0000-00008E1B0000}"/>
    <cellStyle name="표준 5 2 2 2 2 2 2 7 2 2 2" xfId="31564" xr:uid="{00000000-0005-0000-0000-00008F1B0000}"/>
    <cellStyle name="표준 5 2 2 2 2 2 2 7 2 2 3" xfId="39775" xr:uid="{00000000-0005-0000-0000-0000901B0000}"/>
    <cellStyle name="표준 5 2 2 2 2 2 2 7 2 2 4" xfId="47968" xr:uid="{00000000-0005-0000-0000-0000911B0000}"/>
    <cellStyle name="표준 5 2 2 2 2 2 2 7 2 3" xfId="19210" xr:uid="{00000000-0005-0000-0000-0000921B0000}"/>
    <cellStyle name="표준 5 2 2 2 2 2 2 7 2 4" xfId="23372" xr:uid="{00000000-0005-0000-0000-0000931B0000}"/>
    <cellStyle name="표준 5 2 2 2 2 2 2 7 2 5" xfId="27468" xr:uid="{00000000-0005-0000-0000-0000941B0000}"/>
    <cellStyle name="표준 5 2 2 2 2 2 2 7 2 6" xfId="35679" xr:uid="{00000000-0005-0000-0000-0000951B0000}"/>
    <cellStyle name="표준 5 2 2 2 2 2 2 7 2 7" xfId="43872" xr:uid="{00000000-0005-0000-0000-0000961B0000}"/>
    <cellStyle name="표준 5 2 2 2 2 2 2 7 3" xfId="8810" xr:uid="{00000000-0005-0000-0000-0000971B0000}"/>
    <cellStyle name="표준 5 2 2 2 2 2 2 7 3 2" xfId="29516" xr:uid="{00000000-0005-0000-0000-0000981B0000}"/>
    <cellStyle name="표준 5 2 2 2 2 2 2 7 3 3" xfId="37727" xr:uid="{00000000-0005-0000-0000-0000991B0000}"/>
    <cellStyle name="표준 5 2 2 2 2 2 2 7 3 4" xfId="45920" xr:uid="{00000000-0005-0000-0000-00009A1B0000}"/>
    <cellStyle name="표준 5 2 2 2 2 2 2 7 4" xfId="12922" xr:uid="{00000000-0005-0000-0000-00009B1B0000}"/>
    <cellStyle name="표준 5 2 2 2 2 2 2 7 5" xfId="17162" xr:uid="{00000000-0005-0000-0000-00009C1B0000}"/>
    <cellStyle name="표준 5 2 2 2 2 2 2 7 6" xfId="21324" xr:uid="{00000000-0005-0000-0000-00009D1B0000}"/>
    <cellStyle name="표준 5 2 2 2 2 2 2 7 7" xfId="25420" xr:uid="{00000000-0005-0000-0000-00009E1B0000}"/>
    <cellStyle name="표준 5 2 2 2 2 2 2 7 8" xfId="33631" xr:uid="{00000000-0005-0000-0000-00009F1B0000}"/>
    <cellStyle name="표준 5 2 2 2 2 2 2 7 9" xfId="41824" xr:uid="{00000000-0005-0000-0000-0000A01B0000}"/>
    <cellStyle name="표준 5 2 2 2 2 2 2 8" xfId="7047" xr:uid="{00000000-0005-0000-0000-0000A11B0000}"/>
    <cellStyle name="표준 5 2 2 2 2 2 2 8 2" xfId="9322" xr:uid="{00000000-0005-0000-0000-0000A21B0000}"/>
    <cellStyle name="표준 5 2 2 2 2 2 2 8 2 2" xfId="30028" xr:uid="{00000000-0005-0000-0000-0000A31B0000}"/>
    <cellStyle name="표준 5 2 2 2 2 2 2 8 2 3" xfId="38239" xr:uid="{00000000-0005-0000-0000-0000A41B0000}"/>
    <cellStyle name="표준 5 2 2 2 2 2 2 8 2 4" xfId="46432" xr:uid="{00000000-0005-0000-0000-0000A51B0000}"/>
    <cellStyle name="표준 5 2 2 2 2 2 2 8 3" xfId="13434" xr:uid="{00000000-0005-0000-0000-0000A61B0000}"/>
    <cellStyle name="표준 5 2 2 2 2 2 2 8 4" xfId="17674" xr:uid="{00000000-0005-0000-0000-0000A71B0000}"/>
    <cellStyle name="표준 5 2 2 2 2 2 2 8 5" xfId="21836" xr:uid="{00000000-0005-0000-0000-0000A81B0000}"/>
    <cellStyle name="표준 5 2 2 2 2 2 2 8 6" xfId="25932" xr:uid="{00000000-0005-0000-0000-0000A91B0000}"/>
    <cellStyle name="표준 5 2 2 2 2 2 2 8 7" xfId="34143" xr:uid="{00000000-0005-0000-0000-0000AA1B0000}"/>
    <cellStyle name="표준 5 2 2 2 2 2 2 8 8" xfId="42336" xr:uid="{00000000-0005-0000-0000-0000AB1B0000}"/>
    <cellStyle name="표준 5 2 2 2 2 2 2 9" xfId="7131" xr:uid="{00000000-0005-0000-0000-0000AC1B0000}"/>
    <cellStyle name="표준 5 2 2 2 2 2 2 9 2" xfId="27980" xr:uid="{00000000-0005-0000-0000-0000AD1B0000}"/>
    <cellStyle name="표준 5 2 2 2 2 2 2 9 3" xfId="36191" xr:uid="{00000000-0005-0000-0000-0000AE1B0000}"/>
    <cellStyle name="표준 5 2 2 2 2 2 2 9 4" xfId="44384" xr:uid="{00000000-0005-0000-0000-0000AF1B0000}"/>
    <cellStyle name="표준 5 2 2 2 2 2 3" xfId="451" xr:uid="{00000000-0005-0000-0000-0000B01B0000}"/>
    <cellStyle name="표준 5 2 2 2 2 2 3 10" xfId="15658" xr:uid="{00000000-0005-0000-0000-0000B11B0000}"/>
    <cellStyle name="표준 5 2 2 2 2 2 3 11" xfId="19820" xr:uid="{00000000-0005-0000-0000-0000B21B0000}"/>
    <cellStyle name="표준 5 2 2 2 2 2 3 12" xfId="23916" xr:uid="{00000000-0005-0000-0000-0000B31B0000}"/>
    <cellStyle name="표준 5 2 2 2 2 2 3 13" xfId="32127" xr:uid="{00000000-0005-0000-0000-0000B41B0000}"/>
    <cellStyle name="표준 5 2 2 2 2 2 3 14" xfId="40320" xr:uid="{00000000-0005-0000-0000-0000B51B0000}"/>
    <cellStyle name="표준 5 2 2 2 2 2 3 2" xfId="579" xr:uid="{00000000-0005-0000-0000-0000B61B0000}"/>
    <cellStyle name="표준 5 2 2 2 2 2 3 2 10" xfId="19948" xr:uid="{00000000-0005-0000-0000-0000B71B0000}"/>
    <cellStyle name="표준 5 2 2 2 2 2 3 2 11" xfId="24044" xr:uid="{00000000-0005-0000-0000-0000B81B0000}"/>
    <cellStyle name="표준 5 2 2 2 2 2 3 2 12" xfId="32255" xr:uid="{00000000-0005-0000-0000-0000B91B0000}"/>
    <cellStyle name="표준 5 2 2 2 2 2 3 2 13" xfId="40448" xr:uid="{00000000-0005-0000-0000-0000BA1B0000}"/>
    <cellStyle name="표준 5 2 2 2 2 2 3 2 2" xfId="835" xr:uid="{00000000-0005-0000-0000-0000BB1B0000}"/>
    <cellStyle name="표준 5 2 2 2 2 2 3 2 2 10" xfId="24300" xr:uid="{00000000-0005-0000-0000-0000BC1B0000}"/>
    <cellStyle name="표준 5 2 2 2 2 2 3 2 2 11" xfId="32511" xr:uid="{00000000-0005-0000-0000-0000BD1B0000}"/>
    <cellStyle name="표준 5 2 2 2 2 2 3 2 2 12" xfId="40704" xr:uid="{00000000-0005-0000-0000-0000BE1B0000}"/>
    <cellStyle name="표준 5 2 2 2 2 2 3 2 2 2" xfId="1347" xr:uid="{00000000-0005-0000-0000-0000BF1B0000}"/>
    <cellStyle name="표준 5 2 2 2 2 2 3 2 2 2 2" xfId="10250" xr:uid="{00000000-0005-0000-0000-0000C01B0000}"/>
    <cellStyle name="표준 5 2 2 2 2 2 3 2 2 2 2 2" xfId="14362" xr:uid="{00000000-0005-0000-0000-0000C11B0000}"/>
    <cellStyle name="표준 5 2 2 2 2 2 3 2 2 2 2 2 2" xfId="30956" xr:uid="{00000000-0005-0000-0000-0000C21B0000}"/>
    <cellStyle name="표준 5 2 2 2 2 2 3 2 2 2 2 2 3" xfId="39167" xr:uid="{00000000-0005-0000-0000-0000C31B0000}"/>
    <cellStyle name="표준 5 2 2 2 2 2 3 2 2 2 2 2 4" xfId="47360" xr:uid="{00000000-0005-0000-0000-0000C41B0000}"/>
    <cellStyle name="표준 5 2 2 2 2 2 3 2 2 2 2 3" xfId="18602" xr:uid="{00000000-0005-0000-0000-0000C51B0000}"/>
    <cellStyle name="표준 5 2 2 2 2 2 3 2 2 2 2 4" xfId="22764" xr:uid="{00000000-0005-0000-0000-0000C61B0000}"/>
    <cellStyle name="표준 5 2 2 2 2 2 3 2 2 2 2 5" xfId="26860" xr:uid="{00000000-0005-0000-0000-0000C71B0000}"/>
    <cellStyle name="표준 5 2 2 2 2 2 3 2 2 2 2 6" xfId="35071" xr:uid="{00000000-0005-0000-0000-0000C81B0000}"/>
    <cellStyle name="표준 5 2 2 2 2 2 3 2 2 2 2 7" xfId="43264" xr:uid="{00000000-0005-0000-0000-0000C91B0000}"/>
    <cellStyle name="표준 5 2 2 2 2 2 3 2 2 2 3" xfId="8202" xr:uid="{00000000-0005-0000-0000-0000CA1B0000}"/>
    <cellStyle name="표준 5 2 2 2 2 2 3 2 2 2 3 2" xfId="28908" xr:uid="{00000000-0005-0000-0000-0000CB1B0000}"/>
    <cellStyle name="표준 5 2 2 2 2 2 3 2 2 2 3 3" xfId="37119" xr:uid="{00000000-0005-0000-0000-0000CC1B0000}"/>
    <cellStyle name="표준 5 2 2 2 2 2 3 2 2 2 3 4" xfId="45312" xr:uid="{00000000-0005-0000-0000-0000CD1B0000}"/>
    <cellStyle name="표준 5 2 2 2 2 2 3 2 2 2 4" xfId="12314" xr:uid="{00000000-0005-0000-0000-0000CE1B0000}"/>
    <cellStyle name="표준 5 2 2 2 2 2 3 2 2 2 5" xfId="16554" xr:uid="{00000000-0005-0000-0000-0000CF1B0000}"/>
    <cellStyle name="표준 5 2 2 2 2 2 3 2 2 2 6" xfId="20716" xr:uid="{00000000-0005-0000-0000-0000D01B0000}"/>
    <cellStyle name="표준 5 2 2 2 2 2 3 2 2 2 7" xfId="24812" xr:uid="{00000000-0005-0000-0000-0000D11B0000}"/>
    <cellStyle name="표준 5 2 2 2 2 2 3 2 2 2 8" xfId="33023" xr:uid="{00000000-0005-0000-0000-0000D21B0000}"/>
    <cellStyle name="표준 5 2 2 2 2 2 3 2 2 2 9" xfId="41216" xr:uid="{00000000-0005-0000-0000-0000D31B0000}"/>
    <cellStyle name="표준 5 2 2 2 2 2 3 2 2 3" xfId="1859" xr:uid="{00000000-0005-0000-0000-0000D41B0000}"/>
    <cellStyle name="표준 5 2 2 2 2 2 3 2 2 3 2" xfId="10762" xr:uid="{00000000-0005-0000-0000-0000D51B0000}"/>
    <cellStyle name="표준 5 2 2 2 2 2 3 2 2 3 2 2" xfId="14874" xr:uid="{00000000-0005-0000-0000-0000D61B0000}"/>
    <cellStyle name="표준 5 2 2 2 2 2 3 2 2 3 2 2 2" xfId="31468" xr:uid="{00000000-0005-0000-0000-0000D71B0000}"/>
    <cellStyle name="표준 5 2 2 2 2 2 3 2 2 3 2 2 3" xfId="39679" xr:uid="{00000000-0005-0000-0000-0000D81B0000}"/>
    <cellStyle name="표준 5 2 2 2 2 2 3 2 2 3 2 2 4" xfId="47872" xr:uid="{00000000-0005-0000-0000-0000D91B0000}"/>
    <cellStyle name="표준 5 2 2 2 2 2 3 2 2 3 2 3" xfId="19114" xr:uid="{00000000-0005-0000-0000-0000DA1B0000}"/>
    <cellStyle name="표준 5 2 2 2 2 2 3 2 2 3 2 4" xfId="23276" xr:uid="{00000000-0005-0000-0000-0000DB1B0000}"/>
    <cellStyle name="표준 5 2 2 2 2 2 3 2 2 3 2 5" xfId="27372" xr:uid="{00000000-0005-0000-0000-0000DC1B0000}"/>
    <cellStyle name="표준 5 2 2 2 2 2 3 2 2 3 2 6" xfId="35583" xr:uid="{00000000-0005-0000-0000-0000DD1B0000}"/>
    <cellStyle name="표준 5 2 2 2 2 2 3 2 2 3 2 7" xfId="43776" xr:uid="{00000000-0005-0000-0000-0000DE1B0000}"/>
    <cellStyle name="표준 5 2 2 2 2 2 3 2 2 3 3" xfId="8714" xr:uid="{00000000-0005-0000-0000-0000DF1B0000}"/>
    <cellStyle name="표준 5 2 2 2 2 2 3 2 2 3 3 2" xfId="29420" xr:uid="{00000000-0005-0000-0000-0000E01B0000}"/>
    <cellStyle name="표준 5 2 2 2 2 2 3 2 2 3 3 3" xfId="37631" xr:uid="{00000000-0005-0000-0000-0000E11B0000}"/>
    <cellStyle name="표준 5 2 2 2 2 2 3 2 2 3 3 4" xfId="45824" xr:uid="{00000000-0005-0000-0000-0000E21B0000}"/>
    <cellStyle name="표준 5 2 2 2 2 2 3 2 2 3 4" xfId="12826" xr:uid="{00000000-0005-0000-0000-0000E31B0000}"/>
    <cellStyle name="표준 5 2 2 2 2 2 3 2 2 3 5" xfId="17066" xr:uid="{00000000-0005-0000-0000-0000E41B0000}"/>
    <cellStyle name="표준 5 2 2 2 2 2 3 2 2 3 6" xfId="21228" xr:uid="{00000000-0005-0000-0000-0000E51B0000}"/>
    <cellStyle name="표준 5 2 2 2 2 2 3 2 2 3 7" xfId="25324" xr:uid="{00000000-0005-0000-0000-0000E61B0000}"/>
    <cellStyle name="표준 5 2 2 2 2 2 3 2 2 3 8" xfId="33535" xr:uid="{00000000-0005-0000-0000-0000E71B0000}"/>
    <cellStyle name="표준 5 2 2 2 2 2 3 2 2 3 9" xfId="41728" xr:uid="{00000000-0005-0000-0000-0000E81B0000}"/>
    <cellStyle name="표준 5 2 2 2 2 2 3 2 2 4" xfId="2371" xr:uid="{00000000-0005-0000-0000-0000E91B0000}"/>
    <cellStyle name="표준 5 2 2 2 2 2 3 2 2 4 2" xfId="11274" xr:uid="{00000000-0005-0000-0000-0000EA1B0000}"/>
    <cellStyle name="표준 5 2 2 2 2 2 3 2 2 4 2 2" xfId="15386" xr:uid="{00000000-0005-0000-0000-0000EB1B0000}"/>
    <cellStyle name="표준 5 2 2 2 2 2 3 2 2 4 2 2 2" xfId="31980" xr:uid="{00000000-0005-0000-0000-0000EC1B0000}"/>
    <cellStyle name="표준 5 2 2 2 2 2 3 2 2 4 2 2 3" xfId="40191" xr:uid="{00000000-0005-0000-0000-0000ED1B0000}"/>
    <cellStyle name="표준 5 2 2 2 2 2 3 2 2 4 2 2 4" xfId="48384" xr:uid="{00000000-0005-0000-0000-0000EE1B0000}"/>
    <cellStyle name="표준 5 2 2 2 2 2 3 2 2 4 2 3" xfId="19626" xr:uid="{00000000-0005-0000-0000-0000EF1B0000}"/>
    <cellStyle name="표준 5 2 2 2 2 2 3 2 2 4 2 4" xfId="23788" xr:uid="{00000000-0005-0000-0000-0000F01B0000}"/>
    <cellStyle name="표준 5 2 2 2 2 2 3 2 2 4 2 5" xfId="27884" xr:uid="{00000000-0005-0000-0000-0000F11B0000}"/>
    <cellStyle name="표준 5 2 2 2 2 2 3 2 2 4 2 6" xfId="36095" xr:uid="{00000000-0005-0000-0000-0000F21B0000}"/>
    <cellStyle name="표준 5 2 2 2 2 2 3 2 2 4 2 7" xfId="44288" xr:uid="{00000000-0005-0000-0000-0000F31B0000}"/>
    <cellStyle name="표준 5 2 2 2 2 2 3 2 2 4 3" xfId="9226" xr:uid="{00000000-0005-0000-0000-0000F41B0000}"/>
    <cellStyle name="표준 5 2 2 2 2 2 3 2 2 4 3 2" xfId="29932" xr:uid="{00000000-0005-0000-0000-0000F51B0000}"/>
    <cellStyle name="표준 5 2 2 2 2 2 3 2 2 4 3 3" xfId="38143" xr:uid="{00000000-0005-0000-0000-0000F61B0000}"/>
    <cellStyle name="표준 5 2 2 2 2 2 3 2 2 4 3 4" xfId="46336" xr:uid="{00000000-0005-0000-0000-0000F71B0000}"/>
    <cellStyle name="표준 5 2 2 2 2 2 3 2 2 4 4" xfId="13338" xr:uid="{00000000-0005-0000-0000-0000F81B0000}"/>
    <cellStyle name="표준 5 2 2 2 2 2 3 2 2 4 5" xfId="17578" xr:uid="{00000000-0005-0000-0000-0000F91B0000}"/>
    <cellStyle name="표준 5 2 2 2 2 2 3 2 2 4 6" xfId="21740" xr:uid="{00000000-0005-0000-0000-0000FA1B0000}"/>
    <cellStyle name="표준 5 2 2 2 2 2 3 2 2 4 7" xfId="25836" xr:uid="{00000000-0005-0000-0000-0000FB1B0000}"/>
    <cellStyle name="표준 5 2 2 2 2 2 3 2 2 4 8" xfId="34047" xr:uid="{00000000-0005-0000-0000-0000FC1B0000}"/>
    <cellStyle name="표준 5 2 2 2 2 2 3 2 2 4 9" xfId="42240" xr:uid="{00000000-0005-0000-0000-0000FD1B0000}"/>
    <cellStyle name="표준 5 2 2 2 2 2 3 2 2 5" xfId="9738" xr:uid="{00000000-0005-0000-0000-0000FE1B0000}"/>
    <cellStyle name="표준 5 2 2 2 2 2 3 2 2 5 2" xfId="13850" xr:uid="{00000000-0005-0000-0000-0000FF1B0000}"/>
    <cellStyle name="표준 5 2 2 2 2 2 3 2 2 5 2 2" xfId="30444" xr:uid="{00000000-0005-0000-0000-0000001C0000}"/>
    <cellStyle name="표준 5 2 2 2 2 2 3 2 2 5 2 3" xfId="38655" xr:uid="{00000000-0005-0000-0000-0000011C0000}"/>
    <cellStyle name="표준 5 2 2 2 2 2 3 2 2 5 2 4" xfId="46848" xr:uid="{00000000-0005-0000-0000-0000021C0000}"/>
    <cellStyle name="표준 5 2 2 2 2 2 3 2 2 5 3" xfId="18090" xr:uid="{00000000-0005-0000-0000-0000031C0000}"/>
    <cellStyle name="표준 5 2 2 2 2 2 3 2 2 5 4" xfId="22252" xr:uid="{00000000-0005-0000-0000-0000041C0000}"/>
    <cellStyle name="표준 5 2 2 2 2 2 3 2 2 5 5" xfId="26348" xr:uid="{00000000-0005-0000-0000-0000051C0000}"/>
    <cellStyle name="표준 5 2 2 2 2 2 3 2 2 5 6" xfId="34559" xr:uid="{00000000-0005-0000-0000-0000061C0000}"/>
    <cellStyle name="표준 5 2 2 2 2 2 3 2 2 5 7" xfId="42752" xr:uid="{00000000-0005-0000-0000-0000071C0000}"/>
    <cellStyle name="표준 5 2 2 2 2 2 3 2 2 6" xfId="7690" xr:uid="{00000000-0005-0000-0000-0000081C0000}"/>
    <cellStyle name="표준 5 2 2 2 2 2 3 2 2 6 2" xfId="28396" xr:uid="{00000000-0005-0000-0000-0000091C0000}"/>
    <cellStyle name="표준 5 2 2 2 2 2 3 2 2 6 3" xfId="36607" xr:uid="{00000000-0005-0000-0000-00000A1C0000}"/>
    <cellStyle name="표준 5 2 2 2 2 2 3 2 2 6 4" xfId="44800" xr:uid="{00000000-0005-0000-0000-00000B1C0000}"/>
    <cellStyle name="표준 5 2 2 2 2 2 3 2 2 7" xfId="11802" xr:uid="{00000000-0005-0000-0000-00000C1C0000}"/>
    <cellStyle name="표준 5 2 2 2 2 2 3 2 2 8" xfId="16042" xr:uid="{00000000-0005-0000-0000-00000D1C0000}"/>
    <cellStyle name="표준 5 2 2 2 2 2 3 2 2 9" xfId="20204" xr:uid="{00000000-0005-0000-0000-00000E1C0000}"/>
    <cellStyle name="표준 5 2 2 2 2 2 3 2 3" xfId="1091" xr:uid="{00000000-0005-0000-0000-00000F1C0000}"/>
    <cellStyle name="표준 5 2 2 2 2 2 3 2 3 2" xfId="9994" xr:uid="{00000000-0005-0000-0000-0000101C0000}"/>
    <cellStyle name="표준 5 2 2 2 2 2 3 2 3 2 2" xfId="14106" xr:uid="{00000000-0005-0000-0000-0000111C0000}"/>
    <cellStyle name="표준 5 2 2 2 2 2 3 2 3 2 2 2" xfId="30700" xr:uid="{00000000-0005-0000-0000-0000121C0000}"/>
    <cellStyle name="표준 5 2 2 2 2 2 3 2 3 2 2 3" xfId="38911" xr:uid="{00000000-0005-0000-0000-0000131C0000}"/>
    <cellStyle name="표준 5 2 2 2 2 2 3 2 3 2 2 4" xfId="47104" xr:uid="{00000000-0005-0000-0000-0000141C0000}"/>
    <cellStyle name="표준 5 2 2 2 2 2 3 2 3 2 3" xfId="18346" xr:uid="{00000000-0005-0000-0000-0000151C0000}"/>
    <cellStyle name="표준 5 2 2 2 2 2 3 2 3 2 4" xfId="22508" xr:uid="{00000000-0005-0000-0000-0000161C0000}"/>
    <cellStyle name="표준 5 2 2 2 2 2 3 2 3 2 5" xfId="26604" xr:uid="{00000000-0005-0000-0000-0000171C0000}"/>
    <cellStyle name="표준 5 2 2 2 2 2 3 2 3 2 6" xfId="34815" xr:uid="{00000000-0005-0000-0000-0000181C0000}"/>
    <cellStyle name="표준 5 2 2 2 2 2 3 2 3 2 7" xfId="43008" xr:uid="{00000000-0005-0000-0000-0000191C0000}"/>
    <cellStyle name="표준 5 2 2 2 2 2 3 2 3 3" xfId="7946" xr:uid="{00000000-0005-0000-0000-00001A1C0000}"/>
    <cellStyle name="표준 5 2 2 2 2 2 3 2 3 3 2" xfId="28652" xr:uid="{00000000-0005-0000-0000-00001B1C0000}"/>
    <cellStyle name="표준 5 2 2 2 2 2 3 2 3 3 3" xfId="36863" xr:uid="{00000000-0005-0000-0000-00001C1C0000}"/>
    <cellStyle name="표준 5 2 2 2 2 2 3 2 3 3 4" xfId="45056" xr:uid="{00000000-0005-0000-0000-00001D1C0000}"/>
    <cellStyle name="표준 5 2 2 2 2 2 3 2 3 4" xfId="12058" xr:uid="{00000000-0005-0000-0000-00001E1C0000}"/>
    <cellStyle name="표준 5 2 2 2 2 2 3 2 3 5" xfId="16298" xr:uid="{00000000-0005-0000-0000-00001F1C0000}"/>
    <cellStyle name="표준 5 2 2 2 2 2 3 2 3 6" xfId="20460" xr:uid="{00000000-0005-0000-0000-0000201C0000}"/>
    <cellStyle name="표준 5 2 2 2 2 2 3 2 3 7" xfId="24556" xr:uid="{00000000-0005-0000-0000-0000211C0000}"/>
    <cellStyle name="표준 5 2 2 2 2 2 3 2 3 8" xfId="32767" xr:uid="{00000000-0005-0000-0000-0000221C0000}"/>
    <cellStyle name="표준 5 2 2 2 2 2 3 2 3 9" xfId="40960" xr:uid="{00000000-0005-0000-0000-0000231C0000}"/>
    <cellStyle name="표준 5 2 2 2 2 2 3 2 4" xfId="1603" xr:uid="{00000000-0005-0000-0000-0000241C0000}"/>
    <cellStyle name="표준 5 2 2 2 2 2 3 2 4 2" xfId="10506" xr:uid="{00000000-0005-0000-0000-0000251C0000}"/>
    <cellStyle name="표준 5 2 2 2 2 2 3 2 4 2 2" xfId="14618" xr:uid="{00000000-0005-0000-0000-0000261C0000}"/>
    <cellStyle name="표준 5 2 2 2 2 2 3 2 4 2 2 2" xfId="31212" xr:uid="{00000000-0005-0000-0000-0000271C0000}"/>
    <cellStyle name="표준 5 2 2 2 2 2 3 2 4 2 2 3" xfId="39423" xr:uid="{00000000-0005-0000-0000-0000281C0000}"/>
    <cellStyle name="표준 5 2 2 2 2 2 3 2 4 2 2 4" xfId="47616" xr:uid="{00000000-0005-0000-0000-0000291C0000}"/>
    <cellStyle name="표준 5 2 2 2 2 2 3 2 4 2 3" xfId="18858" xr:uid="{00000000-0005-0000-0000-00002A1C0000}"/>
    <cellStyle name="표준 5 2 2 2 2 2 3 2 4 2 4" xfId="23020" xr:uid="{00000000-0005-0000-0000-00002B1C0000}"/>
    <cellStyle name="표준 5 2 2 2 2 2 3 2 4 2 5" xfId="27116" xr:uid="{00000000-0005-0000-0000-00002C1C0000}"/>
    <cellStyle name="표준 5 2 2 2 2 2 3 2 4 2 6" xfId="35327" xr:uid="{00000000-0005-0000-0000-00002D1C0000}"/>
    <cellStyle name="표준 5 2 2 2 2 2 3 2 4 2 7" xfId="43520" xr:uid="{00000000-0005-0000-0000-00002E1C0000}"/>
    <cellStyle name="표준 5 2 2 2 2 2 3 2 4 3" xfId="8458" xr:uid="{00000000-0005-0000-0000-00002F1C0000}"/>
    <cellStyle name="표준 5 2 2 2 2 2 3 2 4 3 2" xfId="29164" xr:uid="{00000000-0005-0000-0000-0000301C0000}"/>
    <cellStyle name="표준 5 2 2 2 2 2 3 2 4 3 3" xfId="37375" xr:uid="{00000000-0005-0000-0000-0000311C0000}"/>
    <cellStyle name="표준 5 2 2 2 2 2 3 2 4 3 4" xfId="45568" xr:uid="{00000000-0005-0000-0000-0000321C0000}"/>
    <cellStyle name="표준 5 2 2 2 2 2 3 2 4 4" xfId="12570" xr:uid="{00000000-0005-0000-0000-0000331C0000}"/>
    <cellStyle name="표준 5 2 2 2 2 2 3 2 4 5" xfId="16810" xr:uid="{00000000-0005-0000-0000-0000341C0000}"/>
    <cellStyle name="표준 5 2 2 2 2 2 3 2 4 6" xfId="20972" xr:uid="{00000000-0005-0000-0000-0000351C0000}"/>
    <cellStyle name="표준 5 2 2 2 2 2 3 2 4 7" xfId="25068" xr:uid="{00000000-0005-0000-0000-0000361C0000}"/>
    <cellStyle name="표준 5 2 2 2 2 2 3 2 4 8" xfId="33279" xr:uid="{00000000-0005-0000-0000-0000371C0000}"/>
    <cellStyle name="표준 5 2 2 2 2 2 3 2 4 9" xfId="41472" xr:uid="{00000000-0005-0000-0000-0000381C0000}"/>
    <cellStyle name="표준 5 2 2 2 2 2 3 2 5" xfId="2115" xr:uid="{00000000-0005-0000-0000-0000391C0000}"/>
    <cellStyle name="표준 5 2 2 2 2 2 3 2 5 2" xfId="11018" xr:uid="{00000000-0005-0000-0000-00003A1C0000}"/>
    <cellStyle name="표준 5 2 2 2 2 2 3 2 5 2 2" xfId="15130" xr:uid="{00000000-0005-0000-0000-00003B1C0000}"/>
    <cellStyle name="표준 5 2 2 2 2 2 3 2 5 2 2 2" xfId="31724" xr:uid="{00000000-0005-0000-0000-00003C1C0000}"/>
    <cellStyle name="표준 5 2 2 2 2 2 3 2 5 2 2 3" xfId="39935" xr:uid="{00000000-0005-0000-0000-00003D1C0000}"/>
    <cellStyle name="표준 5 2 2 2 2 2 3 2 5 2 2 4" xfId="48128" xr:uid="{00000000-0005-0000-0000-00003E1C0000}"/>
    <cellStyle name="표준 5 2 2 2 2 2 3 2 5 2 3" xfId="19370" xr:uid="{00000000-0005-0000-0000-00003F1C0000}"/>
    <cellStyle name="표준 5 2 2 2 2 2 3 2 5 2 4" xfId="23532" xr:uid="{00000000-0005-0000-0000-0000401C0000}"/>
    <cellStyle name="표준 5 2 2 2 2 2 3 2 5 2 5" xfId="27628" xr:uid="{00000000-0005-0000-0000-0000411C0000}"/>
    <cellStyle name="표준 5 2 2 2 2 2 3 2 5 2 6" xfId="35839" xr:uid="{00000000-0005-0000-0000-0000421C0000}"/>
    <cellStyle name="표준 5 2 2 2 2 2 3 2 5 2 7" xfId="44032" xr:uid="{00000000-0005-0000-0000-0000431C0000}"/>
    <cellStyle name="표준 5 2 2 2 2 2 3 2 5 3" xfId="8970" xr:uid="{00000000-0005-0000-0000-0000441C0000}"/>
    <cellStyle name="표준 5 2 2 2 2 2 3 2 5 3 2" xfId="29676" xr:uid="{00000000-0005-0000-0000-0000451C0000}"/>
    <cellStyle name="표준 5 2 2 2 2 2 3 2 5 3 3" xfId="37887" xr:uid="{00000000-0005-0000-0000-0000461C0000}"/>
    <cellStyle name="표준 5 2 2 2 2 2 3 2 5 3 4" xfId="46080" xr:uid="{00000000-0005-0000-0000-0000471C0000}"/>
    <cellStyle name="표준 5 2 2 2 2 2 3 2 5 4" xfId="13082" xr:uid="{00000000-0005-0000-0000-0000481C0000}"/>
    <cellStyle name="표준 5 2 2 2 2 2 3 2 5 5" xfId="17322" xr:uid="{00000000-0005-0000-0000-0000491C0000}"/>
    <cellStyle name="표준 5 2 2 2 2 2 3 2 5 6" xfId="21484" xr:uid="{00000000-0005-0000-0000-00004A1C0000}"/>
    <cellStyle name="표준 5 2 2 2 2 2 3 2 5 7" xfId="25580" xr:uid="{00000000-0005-0000-0000-00004B1C0000}"/>
    <cellStyle name="표준 5 2 2 2 2 2 3 2 5 8" xfId="33791" xr:uid="{00000000-0005-0000-0000-00004C1C0000}"/>
    <cellStyle name="표준 5 2 2 2 2 2 3 2 5 9" xfId="41984" xr:uid="{00000000-0005-0000-0000-00004D1C0000}"/>
    <cellStyle name="표준 5 2 2 2 2 2 3 2 6" xfId="9482" xr:uid="{00000000-0005-0000-0000-00004E1C0000}"/>
    <cellStyle name="표준 5 2 2 2 2 2 3 2 6 2" xfId="13594" xr:uid="{00000000-0005-0000-0000-00004F1C0000}"/>
    <cellStyle name="표준 5 2 2 2 2 2 3 2 6 2 2" xfId="30188" xr:uid="{00000000-0005-0000-0000-0000501C0000}"/>
    <cellStyle name="표준 5 2 2 2 2 2 3 2 6 2 3" xfId="38399" xr:uid="{00000000-0005-0000-0000-0000511C0000}"/>
    <cellStyle name="표준 5 2 2 2 2 2 3 2 6 2 4" xfId="46592" xr:uid="{00000000-0005-0000-0000-0000521C0000}"/>
    <cellStyle name="표준 5 2 2 2 2 2 3 2 6 3" xfId="17834" xr:uid="{00000000-0005-0000-0000-0000531C0000}"/>
    <cellStyle name="표준 5 2 2 2 2 2 3 2 6 4" xfId="21996" xr:uid="{00000000-0005-0000-0000-0000541C0000}"/>
    <cellStyle name="표준 5 2 2 2 2 2 3 2 6 5" xfId="26092" xr:uid="{00000000-0005-0000-0000-0000551C0000}"/>
    <cellStyle name="표준 5 2 2 2 2 2 3 2 6 6" xfId="34303" xr:uid="{00000000-0005-0000-0000-0000561C0000}"/>
    <cellStyle name="표준 5 2 2 2 2 2 3 2 6 7" xfId="42496" xr:uid="{00000000-0005-0000-0000-0000571C0000}"/>
    <cellStyle name="표준 5 2 2 2 2 2 3 2 7" xfId="7434" xr:uid="{00000000-0005-0000-0000-0000581C0000}"/>
    <cellStyle name="표준 5 2 2 2 2 2 3 2 7 2" xfId="28140" xr:uid="{00000000-0005-0000-0000-0000591C0000}"/>
    <cellStyle name="표준 5 2 2 2 2 2 3 2 7 3" xfId="36351" xr:uid="{00000000-0005-0000-0000-00005A1C0000}"/>
    <cellStyle name="표준 5 2 2 2 2 2 3 2 7 4" xfId="44544" xr:uid="{00000000-0005-0000-0000-00005B1C0000}"/>
    <cellStyle name="표준 5 2 2 2 2 2 3 2 8" xfId="11546" xr:uid="{00000000-0005-0000-0000-00005C1C0000}"/>
    <cellStyle name="표준 5 2 2 2 2 2 3 2 9" xfId="15786" xr:uid="{00000000-0005-0000-0000-00005D1C0000}"/>
    <cellStyle name="표준 5 2 2 2 2 2 3 3" xfId="707" xr:uid="{00000000-0005-0000-0000-00005E1C0000}"/>
    <cellStyle name="표준 5 2 2 2 2 2 3 3 10" xfId="24172" xr:uid="{00000000-0005-0000-0000-00005F1C0000}"/>
    <cellStyle name="표준 5 2 2 2 2 2 3 3 11" xfId="32383" xr:uid="{00000000-0005-0000-0000-0000601C0000}"/>
    <cellStyle name="표준 5 2 2 2 2 2 3 3 12" xfId="40576" xr:uid="{00000000-0005-0000-0000-0000611C0000}"/>
    <cellStyle name="표준 5 2 2 2 2 2 3 3 2" xfId="1219" xr:uid="{00000000-0005-0000-0000-0000621C0000}"/>
    <cellStyle name="표준 5 2 2 2 2 2 3 3 2 2" xfId="10122" xr:uid="{00000000-0005-0000-0000-0000631C0000}"/>
    <cellStyle name="표준 5 2 2 2 2 2 3 3 2 2 2" xfId="14234" xr:uid="{00000000-0005-0000-0000-0000641C0000}"/>
    <cellStyle name="표준 5 2 2 2 2 2 3 3 2 2 2 2" xfId="30828" xr:uid="{00000000-0005-0000-0000-0000651C0000}"/>
    <cellStyle name="표준 5 2 2 2 2 2 3 3 2 2 2 3" xfId="39039" xr:uid="{00000000-0005-0000-0000-0000661C0000}"/>
    <cellStyle name="표준 5 2 2 2 2 2 3 3 2 2 2 4" xfId="47232" xr:uid="{00000000-0005-0000-0000-0000671C0000}"/>
    <cellStyle name="표준 5 2 2 2 2 2 3 3 2 2 3" xfId="18474" xr:uid="{00000000-0005-0000-0000-0000681C0000}"/>
    <cellStyle name="표준 5 2 2 2 2 2 3 3 2 2 4" xfId="22636" xr:uid="{00000000-0005-0000-0000-0000691C0000}"/>
    <cellStyle name="표준 5 2 2 2 2 2 3 3 2 2 5" xfId="26732" xr:uid="{00000000-0005-0000-0000-00006A1C0000}"/>
    <cellStyle name="표준 5 2 2 2 2 2 3 3 2 2 6" xfId="34943" xr:uid="{00000000-0005-0000-0000-00006B1C0000}"/>
    <cellStyle name="표준 5 2 2 2 2 2 3 3 2 2 7" xfId="43136" xr:uid="{00000000-0005-0000-0000-00006C1C0000}"/>
    <cellStyle name="표준 5 2 2 2 2 2 3 3 2 3" xfId="8074" xr:uid="{00000000-0005-0000-0000-00006D1C0000}"/>
    <cellStyle name="표준 5 2 2 2 2 2 3 3 2 3 2" xfId="28780" xr:uid="{00000000-0005-0000-0000-00006E1C0000}"/>
    <cellStyle name="표준 5 2 2 2 2 2 3 3 2 3 3" xfId="36991" xr:uid="{00000000-0005-0000-0000-00006F1C0000}"/>
    <cellStyle name="표준 5 2 2 2 2 2 3 3 2 3 4" xfId="45184" xr:uid="{00000000-0005-0000-0000-0000701C0000}"/>
    <cellStyle name="표준 5 2 2 2 2 2 3 3 2 4" xfId="12186" xr:uid="{00000000-0005-0000-0000-0000711C0000}"/>
    <cellStyle name="표준 5 2 2 2 2 2 3 3 2 5" xfId="16426" xr:uid="{00000000-0005-0000-0000-0000721C0000}"/>
    <cellStyle name="표준 5 2 2 2 2 2 3 3 2 6" xfId="20588" xr:uid="{00000000-0005-0000-0000-0000731C0000}"/>
    <cellStyle name="표준 5 2 2 2 2 2 3 3 2 7" xfId="24684" xr:uid="{00000000-0005-0000-0000-0000741C0000}"/>
    <cellStyle name="표준 5 2 2 2 2 2 3 3 2 8" xfId="32895" xr:uid="{00000000-0005-0000-0000-0000751C0000}"/>
    <cellStyle name="표준 5 2 2 2 2 2 3 3 2 9" xfId="41088" xr:uid="{00000000-0005-0000-0000-0000761C0000}"/>
    <cellStyle name="표준 5 2 2 2 2 2 3 3 3" xfId="1731" xr:uid="{00000000-0005-0000-0000-0000771C0000}"/>
    <cellStyle name="표준 5 2 2 2 2 2 3 3 3 2" xfId="10634" xr:uid="{00000000-0005-0000-0000-0000781C0000}"/>
    <cellStyle name="표준 5 2 2 2 2 2 3 3 3 2 2" xfId="14746" xr:uid="{00000000-0005-0000-0000-0000791C0000}"/>
    <cellStyle name="표준 5 2 2 2 2 2 3 3 3 2 2 2" xfId="31340" xr:uid="{00000000-0005-0000-0000-00007A1C0000}"/>
    <cellStyle name="표준 5 2 2 2 2 2 3 3 3 2 2 3" xfId="39551" xr:uid="{00000000-0005-0000-0000-00007B1C0000}"/>
    <cellStyle name="표준 5 2 2 2 2 2 3 3 3 2 2 4" xfId="47744" xr:uid="{00000000-0005-0000-0000-00007C1C0000}"/>
    <cellStyle name="표준 5 2 2 2 2 2 3 3 3 2 3" xfId="18986" xr:uid="{00000000-0005-0000-0000-00007D1C0000}"/>
    <cellStyle name="표준 5 2 2 2 2 2 3 3 3 2 4" xfId="23148" xr:uid="{00000000-0005-0000-0000-00007E1C0000}"/>
    <cellStyle name="표준 5 2 2 2 2 2 3 3 3 2 5" xfId="27244" xr:uid="{00000000-0005-0000-0000-00007F1C0000}"/>
    <cellStyle name="표준 5 2 2 2 2 2 3 3 3 2 6" xfId="35455" xr:uid="{00000000-0005-0000-0000-0000801C0000}"/>
    <cellStyle name="표준 5 2 2 2 2 2 3 3 3 2 7" xfId="43648" xr:uid="{00000000-0005-0000-0000-0000811C0000}"/>
    <cellStyle name="표준 5 2 2 2 2 2 3 3 3 3" xfId="8586" xr:uid="{00000000-0005-0000-0000-0000821C0000}"/>
    <cellStyle name="표준 5 2 2 2 2 2 3 3 3 3 2" xfId="29292" xr:uid="{00000000-0005-0000-0000-0000831C0000}"/>
    <cellStyle name="표준 5 2 2 2 2 2 3 3 3 3 3" xfId="37503" xr:uid="{00000000-0005-0000-0000-0000841C0000}"/>
    <cellStyle name="표준 5 2 2 2 2 2 3 3 3 3 4" xfId="45696" xr:uid="{00000000-0005-0000-0000-0000851C0000}"/>
    <cellStyle name="표준 5 2 2 2 2 2 3 3 3 4" xfId="12698" xr:uid="{00000000-0005-0000-0000-0000861C0000}"/>
    <cellStyle name="표준 5 2 2 2 2 2 3 3 3 5" xfId="16938" xr:uid="{00000000-0005-0000-0000-0000871C0000}"/>
    <cellStyle name="표준 5 2 2 2 2 2 3 3 3 6" xfId="21100" xr:uid="{00000000-0005-0000-0000-0000881C0000}"/>
    <cellStyle name="표준 5 2 2 2 2 2 3 3 3 7" xfId="25196" xr:uid="{00000000-0005-0000-0000-0000891C0000}"/>
    <cellStyle name="표준 5 2 2 2 2 2 3 3 3 8" xfId="33407" xr:uid="{00000000-0005-0000-0000-00008A1C0000}"/>
    <cellStyle name="표준 5 2 2 2 2 2 3 3 3 9" xfId="41600" xr:uid="{00000000-0005-0000-0000-00008B1C0000}"/>
    <cellStyle name="표준 5 2 2 2 2 2 3 3 4" xfId="2243" xr:uid="{00000000-0005-0000-0000-00008C1C0000}"/>
    <cellStyle name="표준 5 2 2 2 2 2 3 3 4 2" xfId="11146" xr:uid="{00000000-0005-0000-0000-00008D1C0000}"/>
    <cellStyle name="표준 5 2 2 2 2 2 3 3 4 2 2" xfId="15258" xr:uid="{00000000-0005-0000-0000-00008E1C0000}"/>
    <cellStyle name="표준 5 2 2 2 2 2 3 3 4 2 2 2" xfId="31852" xr:uid="{00000000-0005-0000-0000-00008F1C0000}"/>
    <cellStyle name="표준 5 2 2 2 2 2 3 3 4 2 2 3" xfId="40063" xr:uid="{00000000-0005-0000-0000-0000901C0000}"/>
    <cellStyle name="표준 5 2 2 2 2 2 3 3 4 2 2 4" xfId="48256" xr:uid="{00000000-0005-0000-0000-0000911C0000}"/>
    <cellStyle name="표준 5 2 2 2 2 2 3 3 4 2 3" xfId="19498" xr:uid="{00000000-0005-0000-0000-0000921C0000}"/>
    <cellStyle name="표준 5 2 2 2 2 2 3 3 4 2 4" xfId="23660" xr:uid="{00000000-0005-0000-0000-0000931C0000}"/>
    <cellStyle name="표준 5 2 2 2 2 2 3 3 4 2 5" xfId="27756" xr:uid="{00000000-0005-0000-0000-0000941C0000}"/>
    <cellStyle name="표준 5 2 2 2 2 2 3 3 4 2 6" xfId="35967" xr:uid="{00000000-0005-0000-0000-0000951C0000}"/>
    <cellStyle name="표준 5 2 2 2 2 2 3 3 4 2 7" xfId="44160" xr:uid="{00000000-0005-0000-0000-0000961C0000}"/>
    <cellStyle name="표준 5 2 2 2 2 2 3 3 4 3" xfId="9098" xr:uid="{00000000-0005-0000-0000-0000971C0000}"/>
    <cellStyle name="표준 5 2 2 2 2 2 3 3 4 3 2" xfId="29804" xr:uid="{00000000-0005-0000-0000-0000981C0000}"/>
    <cellStyle name="표준 5 2 2 2 2 2 3 3 4 3 3" xfId="38015" xr:uid="{00000000-0005-0000-0000-0000991C0000}"/>
    <cellStyle name="표준 5 2 2 2 2 2 3 3 4 3 4" xfId="46208" xr:uid="{00000000-0005-0000-0000-00009A1C0000}"/>
    <cellStyle name="표준 5 2 2 2 2 2 3 3 4 4" xfId="13210" xr:uid="{00000000-0005-0000-0000-00009B1C0000}"/>
    <cellStyle name="표준 5 2 2 2 2 2 3 3 4 5" xfId="17450" xr:uid="{00000000-0005-0000-0000-00009C1C0000}"/>
    <cellStyle name="표준 5 2 2 2 2 2 3 3 4 6" xfId="21612" xr:uid="{00000000-0005-0000-0000-00009D1C0000}"/>
    <cellStyle name="표준 5 2 2 2 2 2 3 3 4 7" xfId="25708" xr:uid="{00000000-0005-0000-0000-00009E1C0000}"/>
    <cellStyle name="표준 5 2 2 2 2 2 3 3 4 8" xfId="33919" xr:uid="{00000000-0005-0000-0000-00009F1C0000}"/>
    <cellStyle name="표준 5 2 2 2 2 2 3 3 4 9" xfId="42112" xr:uid="{00000000-0005-0000-0000-0000A01C0000}"/>
    <cellStyle name="표준 5 2 2 2 2 2 3 3 5" xfId="9610" xr:uid="{00000000-0005-0000-0000-0000A11C0000}"/>
    <cellStyle name="표준 5 2 2 2 2 2 3 3 5 2" xfId="13722" xr:uid="{00000000-0005-0000-0000-0000A21C0000}"/>
    <cellStyle name="표준 5 2 2 2 2 2 3 3 5 2 2" xfId="30316" xr:uid="{00000000-0005-0000-0000-0000A31C0000}"/>
    <cellStyle name="표준 5 2 2 2 2 2 3 3 5 2 3" xfId="38527" xr:uid="{00000000-0005-0000-0000-0000A41C0000}"/>
    <cellStyle name="표준 5 2 2 2 2 2 3 3 5 2 4" xfId="46720" xr:uid="{00000000-0005-0000-0000-0000A51C0000}"/>
    <cellStyle name="표준 5 2 2 2 2 2 3 3 5 3" xfId="17962" xr:uid="{00000000-0005-0000-0000-0000A61C0000}"/>
    <cellStyle name="표준 5 2 2 2 2 2 3 3 5 4" xfId="22124" xr:uid="{00000000-0005-0000-0000-0000A71C0000}"/>
    <cellStyle name="표준 5 2 2 2 2 2 3 3 5 5" xfId="26220" xr:uid="{00000000-0005-0000-0000-0000A81C0000}"/>
    <cellStyle name="표준 5 2 2 2 2 2 3 3 5 6" xfId="34431" xr:uid="{00000000-0005-0000-0000-0000A91C0000}"/>
    <cellStyle name="표준 5 2 2 2 2 2 3 3 5 7" xfId="42624" xr:uid="{00000000-0005-0000-0000-0000AA1C0000}"/>
    <cellStyle name="표준 5 2 2 2 2 2 3 3 6" xfId="7562" xr:uid="{00000000-0005-0000-0000-0000AB1C0000}"/>
    <cellStyle name="표준 5 2 2 2 2 2 3 3 6 2" xfId="28268" xr:uid="{00000000-0005-0000-0000-0000AC1C0000}"/>
    <cellStyle name="표준 5 2 2 2 2 2 3 3 6 3" xfId="36479" xr:uid="{00000000-0005-0000-0000-0000AD1C0000}"/>
    <cellStyle name="표준 5 2 2 2 2 2 3 3 6 4" xfId="44672" xr:uid="{00000000-0005-0000-0000-0000AE1C0000}"/>
    <cellStyle name="표준 5 2 2 2 2 2 3 3 7" xfId="11674" xr:uid="{00000000-0005-0000-0000-0000AF1C0000}"/>
    <cellStyle name="표준 5 2 2 2 2 2 3 3 8" xfId="15914" xr:uid="{00000000-0005-0000-0000-0000B01C0000}"/>
    <cellStyle name="표준 5 2 2 2 2 2 3 3 9" xfId="20076" xr:uid="{00000000-0005-0000-0000-0000B11C0000}"/>
    <cellStyle name="표준 5 2 2 2 2 2 3 4" xfId="963" xr:uid="{00000000-0005-0000-0000-0000B21C0000}"/>
    <cellStyle name="표준 5 2 2 2 2 2 3 4 2" xfId="9866" xr:uid="{00000000-0005-0000-0000-0000B31C0000}"/>
    <cellStyle name="표준 5 2 2 2 2 2 3 4 2 2" xfId="13978" xr:uid="{00000000-0005-0000-0000-0000B41C0000}"/>
    <cellStyle name="표준 5 2 2 2 2 2 3 4 2 2 2" xfId="30572" xr:uid="{00000000-0005-0000-0000-0000B51C0000}"/>
    <cellStyle name="표준 5 2 2 2 2 2 3 4 2 2 3" xfId="38783" xr:uid="{00000000-0005-0000-0000-0000B61C0000}"/>
    <cellStyle name="표준 5 2 2 2 2 2 3 4 2 2 4" xfId="46976" xr:uid="{00000000-0005-0000-0000-0000B71C0000}"/>
    <cellStyle name="표준 5 2 2 2 2 2 3 4 2 3" xfId="18218" xr:uid="{00000000-0005-0000-0000-0000B81C0000}"/>
    <cellStyle name="표준 5 2 2 2 2 2 3 4 2 4" xfId="22380" xr:uid="{00000000-0005-0000-0000-0000B91C0000}"/>
    <cellStyle name="표준 5 2 2 2 2 2 3 4 2 5" xfId="26476" xr:uid="{00000000-0005-0000-0000-0000BA1C0000}"/>
    <cellStyle name="표준 5 2 2 2 2 2 3 4 2 6" xfId="34687" xr:uid="{00000000-0005-0000-0000-0000BB1C0000}"/>
    <cellStyle name="표준 5 2 2 2 2 2 3 4 2 7" xfId="42880" xr:uid="{00000000-0005-0000-0000-0000BC1C0000}"/>
    <cellStyle name="표준 5 2 2 2 2 2 3 4 3" xfId="7818" xr:uid="{00000000-0005-0000-0000-0000BD1C0000}"/>
    <cellStyle name="표준 5 2 2 2 2 2 3 4 3 2" xfId="28524" xr:uid="{00000000-0005-0000-0000-0000BE1C0000}"/>
    <cellStyle name="표준 5 2 2 2 2 2 3 4 3 3" xfId="36735" xr:uid="{00000000-0005-0000-0000-0000BF1C0000}"/>
    <cellStyle name="표준 5 2 2 2 2 2 3 4 3 4" xfId="44928" xr:uid="{00000000-0005-0000-0000-0000C01C0000}"/>
    <cellStyle name="표준 5 2 2 2 2 2 3 4 4" xfId="11930" xr:uid="{00000000-0005-0000-0000-0000C11C0000}"/>
    <cellStyle name="표준 5 2 2 2 2 2 3 4 5" xfId="16170" xr:uid="{00000000-0005-0000-0000-0000C21C0000}"/>
    <cellStyle name="표준 5 2 2 2 2 2 3 4 6" xfId="20332" xr:uid="{00000000-0005-0000-0000-0000C31C0000}"/>
    <cellStyle name="표준 5 2 2 2 2 2 3 4 7" xfId="24428" xr:uid="{00000000-0005-0000-0000-0000C41C0000}"/>
    <cellStyle name="표준 5 2 2 2 2 2 3 4 8" xfId="32639" xr:uid="{00000000-0005-0000-0000-0000C51C0000}"/>
    <cellStyle name="표준 5 2 2 2 2 2 3 4 9" xfId="40832" xr:uid="{00000000-0005-0000-0000-0000C61C0000}"/>
    <cellStyle name="표준 5 2 2 2 2 2 3 5" xfId="1475" xr:uid="{00000000-0005-0000-0000-0000C71C0000}"/>
    <cellStyle name="표준 5 2 2 2 2 2 3 5 2" xfId="10378" xr:uid="{00000000-0005-0000-0000-0000C81C0000}"/>
    <cellStyle name="표준 5 2 2 2 2 2 3 5 2 2" xfId="14490" xr:uid="{00000000-0005-0000-0000-0000C91C0000}"/>
    <cellStyle name="표준 5 2 2 2 2 2 3 5 2 2 2" xfId="31084" xr:uid="{00000000-0005-0000-0000-0000CA1C0000}"/>
    <cellStyle name="표준 5 2 2 2 2 2 3 5 2 2 3" xfId="39295" xr:uid="{00000000-0005-0000-0000-0000CB1C0000}"/>
    <cellStyle name="표준 5 2 2 2 2 2 3 5 2 2 4" xfId="47488" xr:uid="{00000000-0005-0000-0000-0000CC1C0000}"/>
    <cellStyle name="표준 5 2 2 2 2 2 3 5 2 3" xfId="18730" xr:uid="{00000000-0005-0000-0000-0000CD1C0000}"/>
    <cellStyle name="표준 5 2 2 2 2 2 3 5 2 4" xfId="22892" xr:uid="{00000000-0005-0000-0000-0000CE1C0000}"/>
    <cellStyle name="표준 5 2 2 2 2 2 3 5 2 5" xfId="26988" xr:uid="{00000000-0005-0000-0000-0000CF1C0000}"/>
    <cellStyle name="표준 5 2 2 2 2 2 3 5 2 6" xfId="35199" xr:uid="{00000000-0005-0000-0000-0000D01C0000}"/>
    <cellStyle name="표준 5 2 2 2 2 2 3 5 2 7" xfId="43392" xr:uid="{00000000-0005-0000-0000-0000D11C0000}"/>
    <cellStyle name="표준 5 2 2 2 2 2 3 5 3" xfId="8330" xr:uid="{00000000-0005-0000-0000-0000D21C0000}"/>
    <cellStyle name="표준 5 2 2 2 2 2 3 5 3 2" xfId="29036" xr:uid="{00000000-0005-0000-0000-0000D31C0000}"/>
    <cellStyle name="표준 5 2 2 2 2 2 3 5 3 3" xfId="37247" xr:uid="{00000000-0005-0000-0000-0000D41C0000}"/>
    <cellStyle name="표준 5 2 2 2 2 2 3 5 3 4" xfId="45440" xr:uid="{00000000-0005-0000-0000-0000D51C0000}"/>
    <cellStyle name="표준 5 2 2 2 2 2 3 5 4" xfId="12442" xr:uid="{00000000-0005-0000-0000-0000D61C0000}"/>
    <cellStyle name="표준 5 2 2 2 2 2 3 5 5" xfId="16682" xr:uid="{00000000-0005-0000-0000-0000D71C0000}"/>
    <cellStyle name="표준 5 2 2 2 2 2 3 5 6" xfId="20844" xr:uid="{00000000-0005-0000-0000-0000D81C0000}"/>
    <cellStyle name="표준 5 2 2 2 2 2 3 5 7" xfId="24940" xr:uid="{00000000-0005-0000-0000-0000D91C0000}"/>
    <cellStyle name="표준 5 2 2 2 2 2 3 5 8" xfId="33151" xr:uid="{00000000-0005-0000-0000-0000DA1C0000}"/>
    <cellStyle name="표준 5 2 2 2 2 2 3 5 9" xfId="41344" xr:uid="{00000000-0005-0000-0000-0000DB1C0000}"/>
    <cellStyle name="표준 5 2 2 2 2 2 3 6" xfId="1987" xr:uid="{00000000-0005-0000-0000-0000DC1C0000}"/>
    <cellStyle name="표준 5 2 2 2 2 2 3 6 2" xfId="10890" xr:uid="{00000000-0005-0000-0000-0000DD1C0000}"/>
    <cellStyle name="표준 5 2 2 2 2 2 3 6 2 2" xfId="15002" xr:uid="{00000000-0005-0000-0000-0000DE1C0000}"/>
    <cellStyle name="표준 5 2 2 2 2 2 3 6 2 2 2" xfId="31596" xr:uid="{00000000-0005-0000-0000-0000DF1C0000}"/>
    <cellStyle name="표준 5 2 2 2 2 2 3 6 2 2 3" xfId="39807" xr:uid="{00000000-0005-0000-0000-0000E01C0000}"/>
    <cellStyle name="표준 5 2 2 2 2 2 3 6 2 2 4" xfId="48000" xr:uid="{00000000-0005-0000-0000-0000E11C0000}"/>
    <cellStyle name="표준 5 2 2 2 2 2 3 6 2 3" xfId="19242" xr:uid="{00000000-0005-0000-0000-0000E21C0000}"/>
    <cellStyle name="표준 5 2 2 2 2 2 3 6 2 4" xfId="23404" xr:uid="{00000000-0005-0000-0000-0000E31C0000}"/>
    <cellStyle name="표준 5 2 2 2 2 2 3 6 2 5" xfId="27500" xr:uid="{00000000-0005-0000-0000-0000E41C0000}"/>
    <cellStyle name="표준 5 2 2 2 2 2 3 6 2 6" xfId="35711" xr:uid="{00000000-0005-0000-0000-0000E51C0000}"/>
    <cellStyle name="표준 5 2 2 2 2 2 3 6 2 7" xfId="43904" xr:uid="{00000000-0005-0000-0000-0000E61C0000}"/>
    <cellStyle name="표준 5 2 2 2 2 2 3 6 3" xfId="8842" xr:uid="{00000000-0005-0000-0000-0000E71C0000}"/>
    <cellStyle name="표준 5 2 2 2 2 2 3 6 3 2" xfId="29548" xr:uid="{00000000-0005-0000-0000-0000E81C0000}"/>
    <cellStyle name="표준 5 2 2 2 2 2 3 6 3 3" xfId="37759" xr:uid="{00000000-0005-0000-0000-0000E91C0000}"/>
    <cellStyle name="표준 5 2 2 2 2 2 3 6 3 4" xfId="45952" xr:uid="{00000000-0005-0000-0000-0000EA1C0000}"/>
    <cellStyle name="표준 5 2 2 2 2 2 3 6 4" xfId="12954" xr:uid="{00000000-0005-0000-0000-0000EB1C0000}"/>
    <cellStyle name="표준 5 2 2 2 2 2 3 6 5" xfId="17194" xr:uid="{00000000-0005-0000-0000-0000EC1C0000}"/>
    <cellStyle name="표준 5 2 2 2 2 2 3 6 6" xfId="21356" xr:uid="{00000000-0005-0000-0000-0000ED1C0000}"/>
    <cellStyle name="표준 5 2 2 2 2 2 3 6 7" xfId="25452" xr:uid="{00000000-0005-0000-0000-0000EE1C0000}"/>
    <cellStyle name="표준 5 2 2 2 2 2 3 6 8" xfId="33663" xr:uid="{00000000-0005-0000-0000-0000EF1C0000}"/>
    <cellStyle name="표준 5 2 2 2 2 2 3 6 9" xfId="41856" xr:uid="{00000000-0005-0000-0000-0000F01C0000}"/>
    <cellStyle name="표준 5 2 2 2 2 2 3 7" xfId="9354" xr:uid="{00000000-0005-0000-0000-0000F11C0000}"/>
    <cellStyle name="표준 5 2 2 2 2 2 3 7 2" xfId="13466" xr:uid="{00000000-0005-0000-0000-0000F21C0000}"/>
    <cellStyle name="표준 5 2 2 2 2 2 3 7 2 2" xfId="30060" xr:uid="{00000000-0005-0000-0000-0000F31C0000}"/>
    <cellStyle name="표준 5 2 2 2 2 2 3 7 2 3" xfId="38271" xr:uid="{00000000-0005-0000-0000-0000F41C0000}"/>
    <cellStyle name="표준 5 2 2 2 2 2 3 7 2 4" xfId="46464" xr:uid="{00000000-0005-0000-0000-0000F51C0000}"/>
    <cellStyle name="표준 5 2 2 2 2 2 3 7 3" xfId="17706" xr:uid="{00000000-0005-0000-0000-0000F61C0000}"/>
    <cellStyle name="표준 5 2 2 2 2 2 3 7 4" xfId="21868" xr:uid="{00000000-0005-0000-0000-0000F71C0000}"/>
    <cellStyle name="표준 5 2 2 2 2 2 3 7 5" xfId="25964" xr:uid="{00000000-0005-0000-0000-0000F81C0000}"/>
    <cellStyle name="표준 5 2 2 2 2 2 3 7 6" xfId="34175" xr:uid="{00000000-0005-0000-0000-0000F91C0000}"/>
    <cellStyle name="표준 5 2 2 2 2 2 3 7 7" xfId="42368" xr:uid="{00000000-0005-0000-0000-0000FA1C0000}"/>
    <cellStyle name="표준 5 2 2 2 2 2 3 8" xfId="7306" xr:uid="{00000000-0005-0000-0000-0000FB1C0000}"/>
    <cellStyle name="표준 5 2 2 2 2 2 3 8 2" xfId="28012" xr:uid="{00000000-0005-0000-0000-0000FC1C0000}"/>
    <cellStyle name="표준 5 2 2 2 2 2 3 8 3" xfId="36223" xr:uid="{00000000-0005-0000-0000-0000FD1C0000}"/>
    <cellStyle name="표준 5 2 2 2 2 2 3 8 4" xfId="44416" xr:uid="{00000000-0005-0000-0000-0000FE1C0000}"/>
    <cellStyle name="표준 5 2 2 2 2 2 3 9" xfId="11418" xr:uid="{00000000-0005-0000-0000-0000FF1C0000}"/>
    <cellStyle name="표준 5 2 2 2 2 2 4" xfId="515" xr:uid="{00000000-0005-0000-0000-0000001D0000}"/>
    <cellStyle name="표준 5 2 2 2 2 2 4 10" xfId="19884" xr:uid="{00000000-0005-0000-0000-0000011D0000}"/>
    <cellStyle name="표준 5 2 2 2 2 2 4 11" xfId="23980" xr:uid="{00000000-0005-0000-0000-0000021D0000}"/>
    <cellStyle name="표준 5 2 2 2 2 2 4 12" xfId="32191" xr:uid="{00000000-0005-0000-0000-0000031D0000}"/>
    <cellStyle name="표준 5 2 2 2 2 2 4 13" xfId="40384" xr:uid="{00000000-0005-0000-0000-0000041D0000}"/>
    <cellStyle name="표준 5 2 2 2 2 2 4 2" xfId="771" xr:uid="{00000000-0005-0000-0000-0000051D0000}"/>
    <cellStyle name="표준 5 2 2 2 2 2 4 2 10" xfId="24236" xr:uid="{00000000-0005-0000-0000-0000061D0000}"/>
    <cellStyle name="표준 5 2 2 2 2 2 4 2 11" xfId="32447" xr:uid="{00000000-0005-0000-0000-0000071D0000}"/>
    <cellStyle name="표준 5 2 2 2 2 2 4 2 12" xfId="40640" xr:uid="{00000000-0005-0000-0000-0000081D0000}"/>
    <cellStyle name="표준 5 2 2 2 2 2 4 2 2" xfId="1283" xr:uid="{00000000-0005-0000-0000-0000091D0000}"/>
    <cellStyle name="표준 5 2 2 2 2 2 4 2 2 2" xfId="10186" xr:uid="{00000000-0005-0000-0000-00000A1D0000}"/>
    <cellStyle name="표준 5 2 2 2 2 2 4 2 2 2 2" xfId="14298" xr:uid="{00000000-0005-0000-0000-00000B1D0000}"/>
    <cellStyle name="표준 5 2 2 2 2 2 4 2 2 2 2 2" xfId="30892" xr:uid="{00000000-0005-0000-0000-00000C1D0000}"/>
    <cellStyle name="표준 5 2 2 2 2 2 4 2 2 2 2 3" xfId="39103" xr:uid="{00000000-0005-0000-0000-00000D1D0000}"/>
    <cellStyle name="표준 5 2 2 2 2 2 4 2 2 2 2 4" xfId="47296" xr:uid="{00000000-0005-0000-0000-00000E1D0000}"/>
    <cellStyle name="표준 5 2 2 2 2 2 4 2 2 2 3" xfId="18538" xr:uid="{00000000-0005-0000-0000-00000F1D0000}"/>
    <cellStyle name="표준 5 2 2 2 2 2 4 2 2 2 4" xfId="22700" xr:uid="{00000000-0005-0000-0000-0000101D0000}"/>
    <cellStyle name="표준 5 2 2 2 2 2 4 2 2 2 5" xfId="26796" xr:uid="{00000000-0005-0000-0000-0000111D0000}"/>
    <cellStyle name="표준 5 2 2 2 2 2 4 2 2 2 6" xfId="35007" xr:uid="{00000000-0005-0000-0000-0000121D0000}"/>
    <cellStyle name="표준 5 2 2 2 2 2 4 2 2 2 7" xfId="43200" xr:uid="{00000000-0005-0000-0000-0000131D0000}"/>
    <cellStyle name="표준 5 2 2 2 2 2 4 2 2 3" xfId="8138" xr:uid="{00000000-0005-0000-0000-0000141D0000}"/>
    <cellStyle name="표준 5 2 2 2 2 2 4 2 2 3 2" xfId="28844" xr:uid="{00000000-0005-0000-0000-0000151D0000}"/>
    <cellStyle name="표준 5 2 2 2 2 2 4 2 2 3 3" xfId="37055" xr:uid="{00000000-0005-0000-0000-0000161D0000}"/>
    <cellStyle name="표준 5 2 2 2 2 2 4 2 2 3 4" xfId="45248" xr:uid="{00000000-0005-0000-0000-0000171D0000}"/>
    <cellStyle name="표준 5 2 2 2 2 2 4 2 2 4" xfId="12250" xr:uid="{00000000-0005-0000-0000-0000181D0000}"/>
    <cellStyle name="표준 5 2 2 2 2 2 4 2 2 5" xfId="16490" xr:uid="{00000000-0005-0000-0000-0000191D0000}"/>
    <cellStyle name="표준 5 2 2 2 2 2 4 2 2 6" xfId="20652" xr:uid="{00000000-0005-0000-0000-00001A1D0000}"/>
    <cellStyle name="표준 5 2 2 2 2 2 4 2 2 7" xfId="24748" xr:uid="{00000000-0005-0000-0000-00001B1D0000}"/>
    <cellStyle name="표준 5 2 2 2 2 2 4 2 2 8" xfId="32959" xr:uid="{00000000-0005-0000-0000-00001C1D0000}"/>
    <cellStyle name="표준 5 2 2 2 2 2 4 2 2 9" xfId="41152" xr:uid="{00000000-0005-0000-0000-00001D1D0000}"/>
    <cellStyle name="표준 5 2 2 2 2 2 4 2 3" xfId="1795" xr:uid="{00000000-0005-0000-0000-00001E1D0000}"/>
    <cellStyle name="표준 5 2 2 2 2 2 4 2 3 2" xfId="10698" xr:uid="{00000000-0005-0000-0000-00001F1D0000}"/>
    <cellStyle name="표준 5 2 2 2 2 2 4 2 3 2 2" xfId="14810" xr:uid="{00000000-0005-0000-0000-0000201D0000}"/>
    <cellStyle name="표준 5 2 2 2 2 2 4 2 3 2 2 2" xfId="31404" xr:uid="{00000000-0005-0000-0000-0000211D0000}"/>
    <cellStyle name="표준 5 2 2 2 2 2 4 2 3 2 2 3" xfId="39615" xr:uid="{00000000-0005-0000-0000-0000221D0000}"/>
    <cellStyle name="표준 5 2 2 2 2 2 4 2 3 2 2 4" xfId="47808" xr:uid="{00000000-0005-0000-0000-0000231D0000}"/>
    <cellStyle name="표준 5 2 2 2 2 2 4 2 3 2 3" xfId="19050" xr:uid="{00000000-0005-0000-0000-0000241D0000}"/>
    <cellStyle name="표준 5 2 2 2 2 2 4 2 3 2 4" xfId="23212" xr:uid="{00000000-0005-0000-0000-0000251D0000}"/>
    <cellStyle name="표준 5 2 2 2 2 2 4 2 3 2 5" xfId="27308" xr:uid="{00000000-0005-0000-0000-0000261D0000}"/>
    <cellStyle name="표준 5 2 2 2 2 2 4 2 3 2 6" xfId="35519" xr:uid="{00000000-0005-0000-0000-0000271D0000}"/>
    <cellStyle name="표준 5 2 2 2 2 2 4 2 3 2 7" xfId="43712" xr:uid="{00000000-0005-0000-0000-0000281D0000}"/>
    <cellStyle name="표준 5 2 2 2 2 2 4 2 3 3" xfId="8650" xr:uid="{00000000-0005-0000-0000-0000291D0000}"/>
    <cellStyle name="표준 5 2 2 2 2 2 4 2 3 3 2" xfId="29356" xr:uid="{00000000-0005-0000-0000-00002A1D0000}"/>
    <cellStyle name="표준 5 2 2 2 2 2 4 2 3 3 3" xfId="37567" xr:uid="{00000000-0005-0000-0000-00002B1D0000}"/>
    <cellStyle name="표준 5 2 2 2 2 2 4 2 3 3 4" xfId="45760" xr:uid="{00000000-0005-0000-0000-00002C1D0000}"/>
    <cellStyle name="표준 5 2 2 2 2 2 4 2 3 4" xfId="12762" xr:uid="{00000000-0005-0000-0000-00002D1D0000}"/>
    <cellStyle name="표준 5 2 2 2 2 2 4 2 3 5" xfId="17002" xr:uid="{00000000-0005-0000-0000-00002E1D0000}"/>
    <cellStyle name="표준 5 2 2 2 2 2 4 2 3 6" xfId="21164" xr:uid="{00000000-0005-0000-0000-00002F1D0000}"/>
    <cellStyle name="표준 5 2 2 2 2 2 4 2 3 7" xfId="25260" xr:uid="{00000000-0005-0000-0000-0000301D0000}"/>
    <cellStyle name="표준 5 2 2 2 2 2 4 2 3 8" xfId="33471" xr:uid="{00000000-0005-0000-0000-0000311D0000}"/>
    <cellStyle name="표준 5 2 2 2 2 2 4 2 3 9" xfId="41664" xr:uid="{00000000-0005-0000-0000-0000321D0000}"/>
    <cellStyle name="표준 5 2 2 2 2 2 4 2 4" xfId="2307" xr:uid="{00000000-0005-0000-0000-0000331D0000}"/>
    <cellStyle name="표준 5 2 2 2 2 2 4 2 4 2" xfId="11210" xr:uid="{00000000-0005-0000-0000-0000341D0000}"/>
    <cellStyle name="표준 5 2 2 2 2 2 4 2 4 2 2" xfId="15322" xr:uid="{00000000-0005-0000-0000-0000351D0000}"/>
    <cellStyle name="표준 5 2 2 2 2 2 4 2 4 2 2 2" xfId="31916" xr:uid="{00000000-0005-0000-0000-0000361D0000}"/>
    <cellStyle name="표준 5 2 2 2 2 2 4 2 4 2 2 3" xfId="40127" xr:uid="{00000000-0005-0000-0000-0000371D0000}"/>
    <cellStyle name="표준 5 2 2 2 2 2 4 2 4 2 2 4" xfId="48320" xr:uid="{00000000-0005-0000-0000-0000381D0000}"/>
    <cellStyle name="표준 5 2 2 2 2 2 4 2 4 2 3" xfId="19562" xr:uid="{00000000-0005-0000-0000-0000391D0000}"/>
    <cellStyle name="표준 5 2 2 2 2 2 4 2 4 2 4" xfId="23724" xr:uid="{00000000-0005-0000-0000-00003A1D0000}"/>
    <cellStyle name="표준 5 2 2 2 2 2 4 2 4 2 5" xfId="27820" xr:uid="{00000000-0005-0000-0000-00003B1D0000}"/>
    <cellStyle name="표준 5 2 2 2 2 2 4 2 4 2 6" xfId="36031" xr:uid="{00000000-0005-0000-0000-00003C1D0000}"/>
    <cellStyle name="표준 5 2 2 2 2 2 4 2 4 2 7" xfId="44224" xr:uid="{00000000-0005-0000-0000-00003D1D0000}"/>
    <cellStyle name="표준 5 2 2 2 2 2 4 2 4 3" xfId="9162" xr:uid="{00000000-0005-0000-0000-00003E1D0000}"/>
    <cellStyle name="표준 5 2 2 2 2 2 4 2 4 3 2" xfId="29868" xr:uid="{00000000-0005-0000-0000-00003F1D0000}"/>
    <cellStyle name="표준 5 2 2 2 2 2 4 2 4 3 3" xfId="38079" xr:uid="{00000000-0005-0000-0000-0000401D0000}"/>
    <cellStyle name="표준 5 2 2 2 2 2 4 2 4 3 4" xfId="46272" xr:uid="{00000000-0005-0000-0000-0000411D0000}"/>
    <cellStyle name="표준 5 2 2 2 2 2 4 2 4 4" xfId="13274" xr:uid="{00000000-0005-0000-0000-0000421D0000}"/>
    <cellStyle name="표준 5 2 2 2 2 2 4 2 4 5" xfId="17514" xr:uid="{00000000-0005-0000-0000-0000431D0000}"/>
    <cellStyle name="표준 5 2 2 2 2 2 4 2 4 6" xfId="21676" xr:uid="{00000000-0005-0000-0000-0000441D0000}"/>
    <cellStyle name="표준 5 2 2 2 2 2 4 2 4 7" xfId="25772" xr:uid="{00000000-0005-0000-0000-0000451D0000}"/>
    <cellStyle name="표준 5 2 2 2 2 2 4 2 4 8" xfId="33983" xr:uid="{00000000-0005-0000-0000-0000461D0000}"/>
    <cellStyle name="표준 5 2 2 2 2 2 4 2 4 9" xfId="42176" xr:uid="{00000000-0005-0000-0000-0000471D0000}"/>
    <cellStyle name="표준 5 2 2 2 2 2 4 2 5" xfId="9674" xr:uid="{00000000-0005-0000-0000-0000481D0000}"/>
    <cellStyle name="표준 5 2 2 2 2 2 4 2 5 2" xfId="13786" xr:uid="{00000000-0005-0000-0000-0000491D0000}"/>
    <cellStyle name="표준 5 2 2 2 2 2 4 2 5 2 2" xfId="30380" xr:uid="{00000000-0005-0000-0000-00004A1D0000}"/>
    <cellStyle name="표준 5 2 2 2 2 2 4 2 5 2 3" xfId="38591" xr:uid="{00000000-0005-0000-0000-00004B1D0000}"/>
    <cellStyle name="표준 5 2 2 2 2 2 4 2 5 2 4" xfId="46784" xr:uid="{00000000-0005-0000-0000-00004C1D0000}"/>
    <cellStyle name="표준 5 2 2 2 2 2 4 2 5 3" xfId="18026" xr:uid="{00000000-0005-0000-0000-00004D1D0000}"/>
    <cellStyle name="표준 5 2 2 2 2 2 4 2 5 4" xfId="22188" xr:uid="{00000000-0005-0000-0000-00004E1D0000}"/>
    <cellStyle name="표준 5 2 2 2 2 2 4 2 5 5" xfId="26284" xr:uid="{00000000-0005-0000-0000-00004F1D0000}"/>
    <cellStyle name="표준 5 2 2 2 2 2 4 2 5 6" xfId="34495" xr:uid="{00000000-0005-0000-0000-0000501D0000}"/>
    <cellStyle name="표준 5 2 2 2 2 2 4 2 5 7" xfId="42688" xr:uid="{00000000-0005-0000-0000-0000511D0000}"/>
    <cellStyle name="표준 5 2 2 2 2 2 4 2 6" xfId="7626" xr:uid="{00000000-0005-0000-0000-0000521D0000}"/>
    <cellStyle name="표준 5 2 2 2 2 2 4 2 6 2" xfId="28332" xr:uid="{00000000-0005-0000-0000-0000531D0000}"/>
    <cellStyle name="표준 5 2 2 2 2 2 4 2 6 3" xfId="36543" xr:uid="{00000000-0005-0000-0000-0000541D0000}"/>
    <cellStyle name="표준 5 2 2 2 2 2 4 2 6 4" xfId="44736" xr:uid="{00000000-0005-0000-0000-0000551D0000}"/>
    <cellStyle name="표준 5 2 2 2 2 2 4 2 7" xfId="11738" xr:uid="{00000000-0005-0000-0000-0000561D0000}"/>
    <cellStyle name="표준 5 2 2 2 2 2 4 2 8" xfId="15978" xr:uid="{00000000-0005-0000-0000-0000571D0000}"/>
    <cellStyle name="표준 5 2 2 2 2 2 4 2 9" xfId="20140" xr:uid="{00000000-0005-0000-0000-0000581D0000}"/>
    <cellStyle name="표준 5 2 2 2 2 2 4 3" xfId="1027" xr:uid="{00000000-0005-0000-0000-0000591D0000}"/>
    <cellStyle name="표준 5 2 2 2 2 2 4 3 2" xfId="9930" xr:uid="{00000000-0005-0000-0000-00005A1D0000}"/>
    <cellStyle name="표준 5 2 2 2 2 2 4 3 2 2" xfId="14042" xr:uid="{00000000-0005-0000-0000-00005B1D0000}"/>
    <cellStyle name="표준 5 2 2 2 2 2 4 3 2 2 2" xfId="30636" xr:uid="{00000000-0005-0000-0000-00005C1D0000}"/>
    <cellStyle name="표준 5 2 2 2 2 2 4 3 2 2 3" xfId="38847" xr:uid="{00000000-0005-0000-0000-00005D1D0000}"/>
    <cellStyle name="표준 5 2 2 2 2 2 4 3 2 2 4" xfId="47040" xr:uid="{00000000-0005-0000-0000-00005E1D0000}"/>
    <cellStyle name="표준 5 2 2 2 2 2 4 3 2 3" xfId="18282" xr:uid="{00000000-0005-0000-0000-00005F1D0000}"/>
    <cellStyle name="표준 5 2 2 2 2 2 4 3 2 4" xfId="22444" xr:uid="{00000000-0005-0000-0000-0000601D0000}"/>
    <cellStyle name="표준 5 2 2 2 2 2 4 3 2 5" xfId="26540" xr:uid="{00000000-0005-0000-0000-0000611D0000}"/>
    <cellStyle name="표준 5 2 2 2 2 2 4 3 2 6" xfId="34751" xr:uid="{00000000-0005-0000-0000-0000621D0000}"/>
    <cellStyle name="표준 5 2 2 2 2 2 4 3 2 7" xfId="42944" xr:uid="{00000000-0005-0000-0000-0000631D0000}"/>
    <cellStyle name="표준 5 2 2 2 2 2 4 3 3" xfId="7882" xr:uid="{00000000-0005-0000-0000-0000641D0000}"/>
    <cellStyle name="표준 5 2 2 2 2 2 4 3 3 2" xfId="28588" xr:uid="{00000000-0005-0000-0000-0000651D0000}"/>
    <cellStyle name="표준 5 2 2 2 2 2 4 3 3 3" xfId="36799" xr:uid="{00000000-0005-0000-0000-0000661D0000}"/>
    <cellStyle name="표준 5 2 2 2 2 2 4 3 3 4" xfId="44992" xr:uid="{00000000-0005-0000-0000-0000671D0000}"/>
    <cellStyle name="표준 5 2 2 2 2 2 4 3 4" xfId="11994" xr:uid="{00000000-0005-0000-0000-0000681D0000}"/>
    <cellStyle name="표준 5 2 2 2 2 2 4 3 5" xfId="16234" xr:uid="{00000000-0005-0000-0000-0000691D0000}"/>
    <cellStyle name="표준 5 2 2 2 2 2 4 3 6" xfId="20396" xr:uid="{00000000-0005-0000-0000-00006A1D0000}"/>
    <cellStyle name="표준 5 2 2 2 2 2 4 3 7" xfId="24492" xr:uid="{00000000-0005-0000-0000-00006B1D0000}"/>
    <cellStyle name="표준 5 2 2 2 2 2 4 3 8" xfId="32703" xr:uid="{00000000-0005-0000-0000-00006C1D0000}"/>
    <cellStyle name="표준 5 2 2 2 2 2 4 3 9" xfId="40896" xr:uid="{00000000-0005-0000-0000-00006D1D0000}"/>
    <cellStyle name="표준 5 2 2 2 2 2 4 4" xfId="1539" xr:uid="{00000000-0005-0000-0000-00006E1D0000}"/>
    <cellStyle name="표준 5 2 2 2 2 2 4 4 2" xfId="10442" xr:uid="{00000000-0005-0000-0000-00006F1D0000}"/>
    <cellStyle name="표준 5 2 2 2 2 2 4 4 2 2" xfId="14554" xr:uid="{00000000-0005-0000-0000-0000701D0000}"/>
    <cellStyle name="표준 5 2 2 2 2 2 4 4 2 2 2" xfId="31148" xr:uid="{00000000-0005-0000-0000-0000711D0000}"/>
    <cellStyle name="표준 5 2 2 2 2 2 4 4 2 2 3" xfId="39359" xr:uid="{00000000-0005-0000-0000-0000721D0000}"/>
    <cellStyle name="표준 5 2 2 2 2 2 4 4 2 2 4" xfId="47552" xr:uid="{00000000-0005-0000-0000-0000731D0000}"/>
    <cellStyle name="표준 5 2 2 2 2 2 4 4 2 3" xfId="18794" xr:uid="{00000000-0005-0000-0000-0000741D0000}"/>
    <cellStyle name="표준 5 2 2 2 2 2 4 4 2 4" xfId="22956" xr:uid="{00000000-0005-0000-0000-0000751D0000}"/>
    <cellStyle name="표준 5 2 2 2 2 2 4 4 2 5" xfId="27052" xr:uid="{00000000-0005-0000-0000-0000761D0000}"/>
    <cellStyle name="표준 5 2 2 2 2 2 4 4 2 6" xfId="35263" xr:uid="{00000000-0005-0000-0000-0000771D0000}"/>
    <cellStyle name="표준 5 2 2 2 2 2 4 4 2 7" xfId="43456" xr:uid="{00000000-0005-0000-0000-0000781D0000}"/>
    <cellStyle name="표준 5 2 2 2 2 2 4 4 3" xfId="8394" xr:uid="{00000000-0005-0000-0000-0000791D0000}"/>
    <cellStyle name="표준 5 2 2 2 2 2 4 4 3 2" xfId="29100" xr:uid="{00000000-0005-0000-0000-00007A1D0000}"/>
    <cellStyle name="표준 5 2 2 2 2 2 4 4 3 3" xfId="37311" xr:uid="{00000000-0005-0000-0000-00007B1D0000}"/>
    <cellStyle name="표준 5 2 2 2 2 2 4 4 3 4" xfId="45504" xr:uid="{00000000-0005-0000-0000-00007C1D0000}"/>
    <cellStyle name="표준 5 2 2 2 2 2 4 4 4" xfId="12506" xr:uid="{00000000-0005-0000-0000-00007D1D0000}"/>
    <cellStyle name="표준 5 2 2 2 2 2 4 4 5" xfId="16746" xr:uid="{00000000-0005-0000-0000-00007E1D0000}"/>
    <cellStyle name="표준 5 2 2 2 2 2 4 4 6" xfId="20908" xr:uid="{00000000-0005-0000-0000-00007F1D0000}"/>
    <cellStyle name="표준 5 2 2 2 2 2 4 4 7" xfId="25004" xr:uid="{00000000-0005-0000-0000-0000801D0000}"/>
    <cellStyle name="표준 5 2 2 2 2 2 4 4 8" xfId="33215" xr:uid="{00000000-0005-0000-0000-0000811D0000}"/>
    <cellStyle name="표준 5 2 2 2 2 2 4 4 9" xfId="41408" xr:uid="{00000000-0005-0000-0000-0000821D0000}"/>
    <cellStyle name="표준 5 2 2 2 2 2 4 5" xfId="2051" xr:uid="{00000000-0005-0000-0000-0000831D0000}"/>
    <cellStyle name="표준 5 2 2 2 2 2 4 5 2" xfId="10954" xr:uid="{00000000-0005-0000-0000-0000841D0000}"/>
    <cellStyle name="표준 5 2 2 2 2 2 4 5 2 2" xfId="15066" xr:uid="{00000000-0005-0000-0000-0000851D0000}"/>
    <cellStyle name="표준 5 2 2 2 2 2 4 5 2 2 2" xfId="31660" xr:uid="{00000000-0005-0000-0000-0000861D0000}"/>
    <cellStyle name="표준 5 2 2 2 2 2 4 5 2 2 3" xfId="39871" xr:uid="{00000000-0005-0000-0000-0000871D0000}"/>
    <cellStyle name="표준 5 2 2 2 2 2 4 5 2 2 4" xfId="48064" xr:uid="{00000000-0005-0000-0000-0000881D0000}"/>
    <cellStyle name="표준 5 2 2 2 2 2 4 5 2 3" xfId="19306" xr:uid="{00000000-0005-0000-0000-0000891D0000}"/>
    <cellStyle name="표준 5 2 2 2 2 2 4 5 2 4" xfId="23468" xr:uid="{00000000-0005-0000-0000-00008A1D0000}"/>
    <cellStyle name="표준 5 2 2 2 2 2 4 5 2 5" xfId="27564" xr:uid="{00000000-0005-0000-0000-00008B1D0000}"/>
    <cellStyle name="표준 5 2 2 2 2 2 4 5 2 6" xfId="35775" xr:uid="{00000000-0005-0000-0000-00008C1D0000}"/>
    <cellStyle name="표준 5 2 2 2 2 2 4 5 2 7" xfId="43968" xr:uid="{00000000-0005-0000-0000-00008D1D0000}"/>
    <cellStyle name="표준 5 2 2 2 2 2 4 5 3" xfId="8906" xr:uid="{00000000-0005-0000-0000-00008E1D0000}"/>
    <cellStyle name="표준 5 2 2 2 2 2 4 5 3 2" xfId="29612" xr:uid="{00000000-0005-0000-0000-00008F1D0000}"/>
    <cellStyle name="표준 5 2 2 2 2 2 4 5 3 3" xfId="37823" xr:uid="{00000000-0005-0000-0000-0000901D0000}"/>
    <cellStyle name="표준 5 2 2 2 2 2 4 5 3 4" xfId="46016" xr:uid="{00000000-0005-0000-0000-0000911D0000}"/>
    <cellStyle name="표준 5 2 2 2 2 2 4 5 4" xfId="13018" xr:uid="{00000000-0005-0000-0000-0000921D0000}"/>
    <cellStyle name="표준 5 2 2 2 2 2 4 5 5" xfId="17258" xr:uid="{00000000-0005-0000-0000-0000931D0000}"/>
    <cellStyle name="표준 5 2 2 2 2 2 4 5 6" xfId="21420" xr:uid="{00000000-0005-0000-0000-0000941D0000}"/>
    <cellStyle name="표준 5 2 2 2 2 2 4 5 7" xfId="25516" xr:uid="{00000000-0005-0000-0000-0000951D0000}"/>
    <cellStyle name="표준 5 2 2 2 2 2 4 5 8" xfId="33727" xr:uid="{00000000-0005-0000-0000-0000961D0000}"/>
    <cellStyle name="표준 5 2 2 2 2 2 4 5 9" xfId="41920" xr:uid="{00000000-0005-0000-0000-0000971D0000}"/>
    <cellStyle name="표준 5 2 2 2 2 2 4 6" xfId="9418" xr:uid="{00000000-0005-0000-0000-0000981D0000}"/>
    <cellStyle name="표준 5 2 2 2 2 2 4 6 2" xfId="13530" xr:uid="{00000000-0005-0000-0000-0000991D0000}"/>
    <cellStyle name="표준 5 2 2 2 2 2 4 6 2 2" xfId="30124" xr:uid="{00000000-0005-0000-0000-00009A1D0000}"/>
    <cellStyle name="표준 5 2 2 2 2 2 4 6 2 3" xfId="38335" xr:uid="{00000000-0005-0000-0000-00009B1D0000}"/>
    <cellStyle name="표준 5 2 2 2 2 2 4 6 2 4" xfId="46528" xr:uid="{00000000-0005-0000-0000-00009C1D0000}"/>
    <cellStyle name="표준 5 2 2 2 2 2 4 6 3" xfId="17770" xr:uid="{00000000-0005-0000-0000-00009D1D0000}"/>
    <cellStyle name="표준 5 2 2 2 2 2 4 6 4" xfId="21932" xr:uid="{00000000-0005-0000-0000-00009E1D0000}"/>
    <cellStyle name="표준 5 2 2 2 2 2 4 6 5" xfId="26028" xr:uid="{00000000-0005-0000-0000-00009F1D0000}"/>
    <cellStyle name="표준 5 2 2 2 2 2 4 6 6" xfId="34239" xr:uid="{00000000-0005-0000-0000-0000A01D0000}"/>
    <cellStyle name="표준 5 2 2 2 2 2 4 6 7" xfId="42432" xr:uid="{00000000-0005-0000-0000-0000A11D0000}"/>
    <cellStyle name="표준 5 2 2 2 2 2 4 7" xfId="7370" xr:uid="{00000000-0005-0000-0000-0000A21D0000}"/>
    <cellStyle name="표준 5 2 2 2 2 2 4 7 2" xfId="28076" xr:uid="{00000000-0005-0000-0000-0000A31D0000}"/>
    <cellStyle name="표준 5 2 2 2 2 2 4 7 3" xfId="36287" xr:uid="{00000000-0005-0000-0000-0000A41D0000}"/>
    <cellStyle name="표준 5 2 2 2 2 2 4 7 4" xfId="44480" xr:uid="{00000000-0005-0000-0000-0000A51D0000}"/>
    <cellStyle name="표준 5 2 2 2 2 2 4 8" xfId="11482" xr:uid="{00000000-0005-0000-0000-0000A61D0000}"/>
    <cellStyle name="표준 5 2 2 2 2 2 4 9" xfId="15722" xr:uid="{00000000-0005-0000-0000-0000A71D0000}"/>
    <cellStyle name="표준 5 2 2 2 2 2 5" xfId="643" xr:uid="{00000000-0005-0000-0000-0000A81D0000}"/>
    <cellStyle name="표준 5 2 2 2 2 2 5 10" xfId="24108" xr:uid="{00000000-0005-0000-0000-0000A91D0000}"/>
    <cellStyle name="표준 5 2 2 2 2 2 5 11" xfId="32319" xr:uid="{00000000-0005-0000-0000-0000AA1D0000}"/>
    <cellStyle name="표준 5 2 2 2 2 2 5 12" xfId="40512" xr:uid="{00000000-0005-0000-0000-0000AB1D0000}"/>
    <cellStyle name="표준 5 2 2 2 2 2 5 2" xfId="1155" xr:uid="{00000000-0005-0000-0000-0000AC1D0000}"/>
    <cellStyle name="표준 5 2 2 2 2 2 5 2 2" xfId="10058" xr:uid="{00000000-0005-0000-0000-0000AD1D0000}"/>
    <cellStyle name="표준 5 2 2 2 2 2 5 2 2 2" xfId="14170" xr:uid="{00000000-0005-0000-0000-0000AE1D0000}"/>
    <cellStyle name="표준 5 2 2 2 2 2 5 2 2 2 2" xfId="30764" xr:uid="{00000000-0005-0000-0000-0000AF1D0000}"/>
    <cellStyle name="표준 5 2 2 2 2 2 5 2 2 2 3" xfId="38975" xr:uid="{00000000-0005-0000-0000-0000B01D0000}"/>
    <cellStyle name="표준 5 2 2 2 2 2 5 2 2 2 4" xfId="47168" xr:uid="{00000000-0005-0000-0000-0000B11D0000}"/>
    <cellStyle name="표준 5 2 2 2 2 2 5 2 2 3" xfId="18410" xr:uid="{00000000-0005-0000-0000-0000B21D0000}"/>
    <cellStyle name="표준 5 2 2 2 2 2 5 2 2 4" xfId="22572" xr:uid="{00000000-0005-0000-0000-0000B31D0000}"/>
    <cellStyle name="표준 5 2 2 2 2 2 5 2 2 5" xfId="26668" xr:uid="{00000000-0005-0000-0000-0000B41D0000}"/>
    <cellStyle name="표준 5 2 2 2 2 2 5 2 2 6" xfId="34879" xr:uid="{00000000-0005-0000-0000-0000B51D0000}"/>
    <cellStyle name="표준 5 2 2 2 2 2 5 2 2 7" xfId="43072" xr:uid="{00000000-0005-0000-0000-0000B61D0000}"/>
    <cellStyle name="표준 5 2 2 2 2 2 5 2 3" xfId="8010" xr:uid="{00000000-0005-0000-0000-0000B71D0000}"/>
    <cellStyle name="표준 5 2 2 2 2 2 5 2 3 2" xfId="28716" xr:uid="{00000000-0005-0000-0000-0000B81D0000}"/>
    <cellStyle name="표준 5 2 2 2 2 2 5 2 3 3" xfId="36927" xr:uid="{00000000-0005-0000-0000-0000B91D0000}"/>
    <cellStyle name="표준 5 2 2 2 2 2 5 2 3 4" xfId="45120" xr:uid="{00000000-0005-0000-0000-0000BA1D0000}"/>
    <cellStyle name="표준 5 2 2 2 2 2 5 2 4" xfId="12122" xr:uid="{00000000-0005-0000-0000-0000BB1D0000}"/>
    <cellStyle name="표준 5 2 2 2 2 2 5 2 5" xfId="16362" xr:uid="{00000000-0005-0000-0000-0000BC1D0000}"/>
    <cellStyle name="표준 5 2 2 2 2 2 5 2 6" xfId="20524" xr:uid="{00000000-0005-0000-0000-0000BD1D0000}"/>
    <cellStyle name="표준 5 2 2 2 2 2 5 2 7" xfId="24620" xr:uid="{00000000-0005-0000-0000-0000BE1D0000}"/>
    <cellStyle name="표준 5 2 2 2 2 2 5 2 8" xfId="32831" xr:uid="{00000000-0005-0000-0000-0000BF1D0000}"/>
    <cellStyle name="표준 5 2 2 2 2 2 5 2 9" xfId="41024" xr:uid="{00000000-0005-0000-0000-0000C01D0000}"/>
    <cellStyle name="표준 5 2 2 2 2 2 5 3" xfId="1667" xr:uid="{00000000-0005-0000-0000-0000C11D0000}"/>
    <cellStyle name="표준 5 2 2 2 2 2 5 3 2" xfId="10570" xr:uid="{00000000-0005-0000-0000-0000C21D0000}"/>
    <cellStyle name="표준 5 2 2 2 2 2 5 3 2 2" xfId="14682" xr:uid="{00000000-0005-0000-0000-0000C31D0000}"/>
    <cellStyle name="표준 5 2 2 2 2 2 5 3 2 2 2" xfId="31276" xr:uid="{00000000-0005-0000-0000-0000C41D0000}"/>
    <cellStyle name="표준 5 2 2 2 2 2 5 3 2 2 3" xfId="39487" xr:uid="{00000000-0005-0000-0000-0000C51D0000}"/>
    <cellStyle name="표준 5 2 2 2 2 2 5 3 2 2 4" xfId="47680" xr:uid="{00000000-0005-0000-0000-0000C61D0000}"/>
    <cellStyle name="표준 5 2 2 2 2 2 5 3 2 3" xfId="18922" xr:uid="{00000000-0005-0000-0000-0000C71D0000}"/>
    <cellStyle name="표준 5 2 2 2 2 2 5 3 2 4" xfId="23084" xr:uid="{00000000-0005-0000-0000-0000C81D0000}"/>
    <cellStyle name="표준 5 2 2 2 2 2 5 3 2 5" xfId="27180" xr:uid="{00000000-0005-0000-0000-0000C91D0000}"/>
    <cellStyle name="표준 5 2 2 2 2 2 5 3 2 6" xfId="35391" xr:uid="{00000000-0005-0000-0000-0000CA1D0000}"/>
    <cellStyle name="표준 5 2 2 2 2 2 5 3 2 7" xfId="43584" xr:uid="{00000000-0005-0000-0000-0000CB1D0000}"/>
    <cellStyle name="표준 5 2 2 2 2 2 5 3 3" xfId="8522" xr:uid="{00000000-0005-0000-0000-0000CC1D0000}"/>
    <cellStyle name="표준 5 2 2 2 2 2 5 3 3 2" xfId="29228" xr:uid="{00000000-0005-0000-0000-0000CD1D0000}"/>
    <cellStyle name="표준 5 2 2 2 2 2 5 3 3 3" xfId="37439" xr:uid="{00000000-0005-0000-0000-0000CE1D0000}"/>
    <cellStyle name="표준 5 2 2 2 2 2 5 3 3 4" xfId="45632" xr:uid="{00000000-0005-0000-0000-0000CF1D0000}"/>
    <cellStyle name="표준 5 2 2 2 2 2 5 3 4" xfId="12634" xr:uid="{00000000-0005-0000-0000-0000D01D0000}"/>
    <cellStyle name="표준 5 2 2 2 2 2 5 3 5" xfId="16874" xr:uid="{00000000-0005-0000-0000-0000D11D0000}"/>
    <cellStyle name="표준 5 2 2 2 2 2 5 3 6" xfId="21036" xr:uid="{00000000-0005-0000-0000-0000D21D0000}"/>
    <cellStyle name="표준 5 2 2 2 2 2 5 3 7" xfId="25132" xr:uid="{00000000-0005-0000-0000-0000D31D0000}"/>
    <cellStyle name="표준 5 2 2 2 2 2 5 3 8" xfId="33343" xr:uid="{00000000-0005-0000-0000-0000D41D0000}"/>
    <cellStyle name="표준 5 2 2 2 2 2 5 3 9" xfId="41536" xr:uid="{00000000-0005-0000-0000-0000D51D0000}"/>
    <cellStyle name="표준 5 2 2 2 2 2 5 4" xfId="2179" xr:uid="{00000000-0005-0000-0000-0000D61D0000}"/>
    <cellStyle name="표준 5 2 2 2 2 2 5 4 2" xfId="11082" xr:uid="{00000000-0005-0000-0000-0000D71D0000}"/>
    <cellStyle name="표준 5 2 2 2 2 2 5 4 2 2" xfId="15194" xr:uid="{00000000-0005-0000-0000-0000D81D0000}"/>
    <cellStyle name="표준 5 2 2 2 2 2 5 4 2 2 2" xfId="31788" xr:uid="{00000000-0005-0000-0000-0000D91D0000}"/>
    <cellStyle name="표준 5 2 2 2 2 2 5 4 2 2 3" xfId="39999" xr:uid="{00000000-0005-0000-0000-0000DA1D0000}"/>
    <cellStyle name="표준 5 2 2 2 2 2 5 4 2 2 4" xfId="48192" xr:uid="{00000000-0005-0000-0000-0000DB1D0000}"/>
    <cellStyle name="표준 5 2 2 2 2 2 5 4 2 3" xfId="19434" xr:uid="{00000000-0005-0000-0000-0000DC1D0000}"/>
    <cellStyle name="표준 5 2 2 2 2 2 5 4 2 4" xfId="23596" xr:uid="{00000000-0005-0000-0000-0000DD1D0000}"/>
    <cellStyle name="표준 5 2 2 2 2 2 5 4 2 5" xfId="27692" xr:uid="{00000000-0005-0000-0000-0000DE1D0000}"/>
    <cellStyle name="표준 5 2 2 2 2 2 5 4 2 6" xfId="35903" xr:uid="{00000000-0005-0000-0000-0000DF1D0000}"/>
    <cellStyle name="표준 5 2 2 2 2 2 5 4 2 7" xfId="44096" xr:uid="{00000000-0005-0000-0000-0000E01D0000}"/>
    <cellStyle name="표준 5 2 2 2 2 2 5 4 3" xfId="9034" xr:uid="{00000000-0005-0000-0000-0000E11D0000}"/>
    <cellStyle name="표준 5 2 2 2 2 2 5 4 3 2" xfId="29740" xr:uid="{00000000-0005-0000-0000-0000E21D0000}"/>
    <cellStyle name="표준 5 2 2 2 2 2 5 4 3 3" xfId="37951" xr:uid="{00000000-0005-0000-0000-0000E31D0000}"/>
    <cellStyle name="표준 5 2 2 2 2 2 5 4 3 4" xfId="46144" xr:uid="{00000000-0005-0000-0000-0000E41D0000}"/>
    <cellStyle name="표준 5 2 2 2 2 2 5 4 4" xfId="13146" xr:uid="{00000000-0005-0000-0000-0000E51D0000}"/>
    <cellStyle name="표준 5 2 2 2 2 2 5 4 5" xfId="17386" xr:uid="{00000000-0005-0000-0000-0000E61D0000}"/>
    <cellStyle name="표준 5 2 2 2 2 2 5 4 6" xfId="21548" xr:uid="{00000000-0005-0000-0000-0000E71D0000}"/>
    <cellStyle name="표준 5 2 2 2 2 2 5 4 7" xfId="25644" xr:uid="{00000000-0005-0000-0000-0000E81D0000}"/>
    <cellStyle name="표준 5 2 2 2 2 2 5 4 8" xfId="33855" xr:uid="{00000000-0005-0000-0000-0000E91D0000}"/>
    <cellStyle name="표준 5 2 2 2 2 2 5 4 9" xfId="42048" xr:uid="{00000000-0005-0000-0000-0000EA1D0000}"/>
    <cellStyle name="표준 5 2 2 2 2 2 5 5" xfId="9546" xr:uid="{00000000-0005-0000-0000-0000EB1D0000}"/>
    <cellStyle name="표준 5 2 2 2 2 2 5 5 2" xfId="13658" xr:uid="{00000000-0005-0000-0000-0000EC1D0000}"/>
    <cellStyle name="표준 5 2 2 2 2 2 5 5 2 2" xfId="30252" xr:uid="{00000000-0005-0000-0000-0000ED1D0000}"/>
    <cellStyle name="표준 5 2 2 2 2 2 5 5 2 3" xfId="38463" xr:uid="{00000000-0005-0000-0000-0000EE1D0000}"/>
    <cellStyle name="표준 5 2 2 2 2 2 5 5 2 4" xfId="46656" xr:uid="{00000000-0005-0000-0000-0000EF1D0000}"/>
    <cellStyle name="표준 5 2 2 2 2 2 5 5 3" xfId="17898" xr:uid="{00000000-0005-0000-0000-0000F01D0000}"/>
    <cellStyle name="표준 5 2 2 2 2 2 5 5 4" xfId="22060" xr:uid="{00000000-0005-0000-0000-0000F11D0000}"/>
    <cellStyle name="표준 5 2 2 2 2 2 5 5 5" xfId="26156" xr:uid="{00000000-0005-0000-0000-0000F21D0000}"/>
    <cellStyle name="표준 5 2 2 2 2 2 5 5 6" xfId="34367" xr:uid="{00000000-0005-0000-0000-0000F31D0000}"/>
    <cellStyle name="표준 5 2 2 2 2 2 5 5 7" xfId="42560" xr:uid="{00000000-0005-0000-0000-0000F41D0000}"/>
    <cellStyle name="표준 5 2 2 2 2 2 5 6" xfId="7498" xr:uid="{00000000-0005-0000-0000-0000F51D0000}"/>
    <cellStyle name="표준 5 2 2 2 2 2 5 6 2" xfId="28204" xr:uid="{00000000-0005-0000-0000-0000F61D0000}"/>
    <cellStyle name="표준 5 2 2 2 2 2 5 6 3" xfId="36415" xr:uid="{00000000-0005-0000-0000-0000F71D0000}"/>
    <cellStyle name="표준 5 2 2 2 2 2 5 6 4" xfId="44608" xr:uid="{00000000-0005-0000-0000-0000F81D0000}"/>
    <cellStyle name="표준 5 2 2 2 2 2 5 7" xfId="11610" xr:uid="{00000000-0005-0000-0000-0000F91D0000}"/>
    <cellStyle name="표준 5 2 2 2 2 2 5 8" xfId="15850" xr:uid="{00000000-0005-0000-0000-0000FA1D0000}"/>
    <cellStyle name="표준 5 2 2 2 2 2 5 9" xfId="20012" xr:uid="{00000000-0005-0000-0000-0000FB1D0000}"/>
    <cellStyle name="표준 5 2 2 2 2 2 6" xfId="899" xr:uid="{00000000-0005-0000-0000-0000FC1D0000}"/>
    <cellStyle name="표준 5 2 2 2 2 2 6 2" xfId="9802" xr:uid="{00000000-0005-0000-0000-0000FD1D0000}"/>
    <cellStyle name="표준 5 2 2 2 2 2 6 2 2" xfId="13914" xr:uid="{00000000-0005-0000-0000-0000FE1D0000}"/>
    <cellStyle name="표준 5 2 2 2 2 2 6 2 2 2" xfId="30508" xr:uid="{00000000-0005-0000-0000-0000FF1D0000}"/>
    <cellStyle name="표준 5 2 2 2 2 2 6 2 2 3" xfId="38719" xr:uid="{00000000-0005-0000-0000-0000001E0000}"/>
    <cellStyle name="표준 5 2 2 2 2 2 6 2 2 4" xfId="46912" xr:uid="{00000000-0005-0000-0000-0000011E0000}"/>
    <cellStyle name="표준 5 2 2 2 2 2 6 2 3" xfId="18154" xr:uid="{00000000-0005-0000-0000-0000021E0000}"/>
    <cellStyle name="표준 5 2 2 2 2 2 6 2 4" xfId="22316" xr:uid="{00000000-0005-0000-0000-0000031E0000}"/>
    <cellStyle name="표준 5 2 2 2 2 2 6 2 5" xfId="26412" xr:uid="{00000000-0005-0000-0000-0000041E0000}"/>
    <cellStyle name="표준 5 2 2 2 2 2 6 2 6" xfId="34623" xr:uid="{00000000-0005-0000-0000-0000051E0000}"/>
    <cellStyle name="표준 5 2 2 2 2 2 6 2 7" xfId="42816" xr:uid="{00000000-0005-0000-0000-0000061E0000}"/>
    <cellStyle name="표준 5 2 2 2 2 2 6 3" xfId="7754" xr:uid="{00000000-0005-0000-0000-0000071E0000}"/>
    <cellStyle name="표준 5 2 2 2 2 2 6 3 2" xfId="28460" xr:uid="{00000000-0005-0000-0000-0000081E0000}"/>
    <cellStyle name="표준 5 2 2 2 2 2 6 3 3" xfId="36671" xr:uid="{00000000-0005-0000-0000-0000091E0000}"/>
    <cellStyle name="표준 5 2 2 2 2 2 6 3 4" xfId="44864" xr:uid="{00000000-0005-0000-0000-00000A1E0000}"/>
    <cellStyle name="표준 5 2 2 2 2 2 6 4" xfId="11866" xr:uid="{00000000-0005-0000-0000-00000B1E0000}"/>
    <cellStyle name="표준 5 2 2 2 2 2 6 5" xfId="16106" xr:uid="{00000000-0005-0000-0000-00000C1E0000}"/>
    <cellStyle name="표준 5 2 2 2 2 2 6 6" xfId="20268" xr:uid="{00000000-0005-0000-0000-00000D1E0000}"/>
    <cellStyle name="표준 5 2 2 2 2 2 6 7" xfId="24364" xr:uid="{00000000-0005-0000-0000-00000E1E0000}"/>
    <cellStyle name="표준 5 2 2 2 2 2 6 8" xfId="32575" xr:uid="{00000000-0005-0000-0000-00000F1E0000}"/>
    <cellStyle name="표준 5 2 2 2 2 2 6 9" xfId="40768" xr:uid="{00000000-0005-0000-0000-0000101E0000}"/>
    <cellStyle name="표준 5 2 2 2 2 2 7" xfId="1411" xr:uid="{00000000-0005-0000-0000-0000111E0000}"/>
    <cellStyle name="표준 5 2 2 2 2 2 7 2" xfId="10314" xr:uid="{00000000-0005-0000-0000-0000121E0000}"/>
    <cellStyle name="표준 5 2 2 2 2 2 7 2 2" xfId="14426" xr:uid="{00000000-0005-0000-0000-0000131E0000}"/>
    <cellStyle name="표준 5 2 2 2 2 2 7 2 2 2" xfId="31020" xr:uid="{00000000-0005-0000-0000-0000141E0000}"/>
    <cellStyle name="표준 5 2 2 2 2 2 7 2 2 3" xfId="39231" xr:uid="{00000000-0005-0000-0000-0000151E0000}"/>
    <cellStyle name="표준 5 2 2 2 2 2 7 2 2 4" xfId="47424" xr:uid="{00000000-0005-0000-0000-0000161E0000}"/>
    <cellStyle name="표준 5 2 2 2 2 2 7 2 3" xfId="18666" xr:uid="{00000000-0005-0000-0000-0000171E0000}"/>
    <cellStyle name="표준 5 2 2 2 2 2 7 2 4" xfId="22828" xr:uid="{00000000-0005-0000-0000-0000181E0000}"/>
    <cellStyle name="표준 5 2 2 2 2 2 7 2 5" xfId="26924" xr:uid="{00000000-0005-0000-0000-0000191E0000}"/>
    <cellStyle name="표준 5 2 2 2 2 2 7 2 6" xfId="35135" xr:uid="{00000000-0005-0000-0000-00001A1E0000}"/>
    <cellStyle name="표준 5 2 2 2 2 2 7 2 7" xfId="43328" xr:uid="{00000000-0005-0000-0000-00001B1E0000}"/>
    <cellStyle name="표준 5 2 2 2 2 2 7 3" xfId="8266" xr:uid="{00000000-0005-0000-0000-00001C1E0000}"/>
    <cellStyle name="표준 5 2 2 2 2 2 7 3 2" xfId="28972" xr:uid="{00000000-0005-0000-0000-00001D1E0000}"/>
    <cellStyle name="표준 5 2 2 2 2 2 7 3 3" xfId="37183" xr:uid="{00000000-0005-0000-0000-00001E1E0000}"/>
    <cellStyle name="표준 5 2 2 2 2 2 7 3 4" xfId="45376" xr:uid="{00000000-0005-0000-0000-00001F1E0000}"/>
    <cellStyle name="표준 5 2 2 2 2 2 7 4" xfId="12378" xr:uid="{00000000-0005-0000-0000-0000201E0000}"/>
    <cellStyle name="표준 5 2 2 2 2 2 7 5" xfId="16618" xr:uid="{00000000-0005-0000-0000-0000211E0000}"/>
    <cellStyle name="표준 5 2 2 2 2 2 7 6" xfId="20780" xr:uid="{00000000-0005-0000-0000-0000221E0000}"/>
    <cellStyle name="표준 5 2 2 2 2 2 7 7" xfId="24876" xr:uid="{00000000-0005-0000-0000-0000231E0000}"/>
    <cellStyle name="표준 5 2 2 2 2 2 7 8" xfId="33087" xr:uid="{00000000-0005-0000-0000-0000241E0000}"/>
    <cellStyle name="표준 5 2 2 2 2 2 7 9" xfId="41280" xr:uid="{00000000-0005-0000-0000-0000251E0000}"/>
    <cellStyle name="표준 5 2 2 2 2 2 8" xfId="1923" xr:uid="{00000000-0005-0000-0000-0000261E0000}"/>
    <cellStyle name="표준 5 2 2 2 2 2 8 2" xfId="10826" xr:uid="{00000000-0005-0000-0000-0000271E0000}"/>
    <cellStyle name="표준 5 2 2 2 2 2 8 2 2" xfId="14938" xr:uid="{00000000-0005-0000-0000-0000281E0000}"/>
    <cellStyle name="표준 5 2 2 2 2 2 8 2 2 2" xfId="31532" xr:uid="{00000000-0005-0000-0000-0000291E0000}"/>
    <cellStyle name="표준 5 2 2 2 2 2 8 2 2 3" xfId="39743" xr:uid="{00000000-0005-0000-0000-00002A1E0000}"/>
    <cellStyle name="표준 5 2 2 2 2 2 8 2 2 4" xfId="47936" xr:uid="{00000000-0005-0000-0000-00002B1E0000}"/>
    <cellStyle name="표준 5 2 2 2 2 2 8 2 3" xfId="19178" xr:uid="{00000000-0005-0000-0000-00002C1E0000}"/>
    <cellStyle name="표준 5 2 2 2 2 2 8 2 4" xfId="23340" xr:uid="{00000000-0005-0000-0000-00002D1E0000}"/>
    <cellStyle name="표준 5 2 2 2 2 2 8 2 5" xfId="27436" xr:uid="{00000000-0005-0000-0000-00002E1E0000}"/>
    <cellStyle name="표준 5 2 2 2 2 2 8 2 6" xfId="35647" xr:uid="{00000000-0005-0000-0000-00002F1E0000}"/>
    <cellStyle name="표준 5 2 2 2 2 2 8 2 7" xfId="43840" xr:uid="{00000000-0005-0000-0000-0000301E0000}"/>
    <cellStyle name="표준 5 2 2 2 2 2 8 3" xfId="8778" xr:uid="{00000000-0005-0000-0000-0000311E0000}"/>
    <cellStyle name="표준 5 2 2 2 2 2 8 3 2" xfId="29484" xr:uid="{00000000-0005-0000-0000-0000321E0000}"/>
    <cellStyle name="표준 5 2 2 2 2 2 8 3 3" xfId="37695" xr:uid="{00000000-0005-0000-0000-0000331E0000}"/>
    <cellStyle name="표준 5 2 2 2 2 2 8 3 4" xfId="45888" xr:uid="{00000000-0005-0000-0000-0000341E0000}"/>
    <cellStyle name="표준 5 2 2 2 2 2 8 4" xfId="12890" xr:uid="{00000000-0005-0000-0000-0000351E0000}"/>
    <cellStyle name="표준 5 2 2 2 2 2 8 5" xfId="17130" xr:uid="{00000000-0005-0000-0000-0000361E0000}"/>
    <cellStyle name="표준 5 2 2 2 2 2 8 6" xfId="21292" xr:uid="{00000000-0005-0000-0000-0000371E0000}"/>
    <cellStyle name="표준 5 2 2 2 2 2 8 7" xfId="25388" xr:uid="{00000000-0005-0000-0000-0000381E0000}"/>
    <cellStyle name="표준 5 2 2 2 2 2 8 8" xfId="33599" xr:uid="{00000000-0005-0000-0000-0000391E0000}"/>
    <cellStyle name="표준 5 2 2 2 2 2 8 9" xfId="41792" xr:uid="{00000000-0005-0000-0000-00003A1E0000}"/>
    <cellStyle name="표준 5 2 2 2 2 2 9" xfId="6979" xr:uid="{00000000-0005-0000-0000-00003B1E0000}"/>
    <cellStyle name="표준 5 2 2 2 2 2 9 2" xfId="9290" xr:uid="{00000000-0005-0000-0000-00003C1E0000}"/>
    <cellStyle name="표준 5 2 2 2 2 2 9 2 2" xfId="29996" xr:uid="{00000000-0005-0000-0000-00003D1E0000}"/>
    <cellStyle name="표준 5 2 2 2 2 2 9 2 3" xfId="38207" xr:uid="{00000000-0005-0000-0000-00003E1E0000}"/>
    <cellStyle name="표준 5 2 2 2 2 2 9 2 4" xfId="46400" xr:uid="{00000000-0005-0000-0000-00003F1E0000}"/>
    <cellStyle name="표준 5 2 2 2 2 2 9 3" xfId="13402" xr:uid="{00000000-0005-0000-0000-0000401E0000}"/>
    <cellStyle name="표준 5 2 2 2 2 2 9 4" xfId="17642" xr:uid="{00000000-0005-0000-0000-0000411E0000}"/>
    <cellStyle name="표준 5 2 2 2 2 2 9 5" xfId="21804" xr:uid="{00000000-0005-0000-0000-0000421E0000}"/>
    <cellStyle name="표준 5 2 2 2 2 2 9 6" xfId="25900" xr:uid="{00000000-0005-0000-0000-0000431E0000}"/>
    <cellStyle name="표준 5 2 2 2 2 2 9 7" xfId="34111" xr:uid="{00000000-0005-0000-0000-0000441E0000}"/>
    <cellStyle name="표준 5 2 2 2 2 2 9 8" xfId="42304" xr:uid="{00000000-0005-0000-0000-0000451E0000}"/>
    <cellStyle name="표준 5 2 2 2 2 20" xfId="15450" xr:uid="{00000000-0005-0000-0000-0000461E0000}"/>
    <cellStyle name="표준 5 2 2 2 2 21" xfId="15466" xr:uid="{00000000-0005-0000-0000-0000471E0000}"/>
    <cellStyle name="표준 5 2 2 2 2 22" xfId="15562" xr:uid="{00000000-0005-0000-0000-0000481E0000}"/>
    <cellStyle name="표준 5 2 2 2 2 23" xfId="15578" xr:uid="{00000000-0005-0000-0000-0000491E0000}"/>
    <cellStyle name="표준 5 2 2 2 2 24" xfId="19674" xr:uid="{00000000-0005-0000-0000-00004A1E0000}"/>
    <cellStyle name="표준 5 2 2 2 2 25" xfId="19690" xr:uid="{00000000-0005-0000-0000-00004B1E0000}"/>
    <cellStyle name="표준 5 2 2 2 2 26" xfId="19706" xr:uid="{00000000-0005-0000-0000-00004C1E0000}"/>
    <cellStyle name="표준 5 2 2 2 2 27" xfId="19722" xr:uid="{00000000-0005-0000-0000-00004D1E0000}"/>
    <cellStyle name="표준 5 2 2 2 2 28" xfId="19725" xr:uid="{00000000-0005-0000-0000-00004E1E0000}"/>
    <cellStyle name="표준 5 2 2 2 2 29" xfId="23836" xr:uid="{00000000-0005-0000-0000-00004F1E0000}"/>
    <cellStyle name="표준 5 2 2 2 2 3" xfId="293" xr:uid="{00000000-0005-0000-0000-0000501E0000}"/>
    <cellStyle name="표준 5 2 2 2 2 3 10" xfId="7163" xr:uid="{00000000-0005-0000-0000-0000511E0000}"/>
    <cellStyle name="표준 5 2 2 2 2 3 11" xfId="7258" xr:uid="{00000000-0005-0000-0000-0000521E0000}"/>
    <cellStyle name="표준 5 2 2 2 2 3 12" xfId="11370" xr:uid="{00000000-0005-0000-0000-0000531E0000}"/>
    <cellStyle name="표준 5 2 2 2 2 3 13" xfId="15498" xr:uid="{00000000-0005-0000-0000-0000541E0000}"/>
    <cellStyle name="표준 5 2 2 2 2 3 14" xfId="15610" xr:uid="{00000000-0005-0000-0000-0000551E0000}"/>
    <cellStyle name="표준 5 2 2 2 2 3 15" xfId="19772" xr:uid="{00000000-0005-0000-0000-0000561E0000}"/>
    <cellStyle name="표준 5 2 2 2 2 3 16" xfId="23868" xr:uid="{00000000-0005-0000-0000-0000571E0000}"/>
    <cellStyle name="표준 5 2 2 2 2 3 17" xfId="32079" xr:uid="{00000000-0005-0000-0000-0000581E0000}"/>
    <cellStyle name="표준 5 2 2 2 2 3 18" xfId="40272" xr:uid="{00000000-0005-0000-0000-0000591E0000}"/>
    <cellStyle name="표준 5 2 2 2 2 3 19" xfId="49702" xr:uid="{00000000-0005-0000-0000-00005A1E0000}"/>
    <cellStyle name="표준 5 2 2 2 2 3 2" xfId="467" xr:uid="{00000000-0005-0000-0000-00005B1E0000}"/>
    <cellStyle name="표준 5 2 2 2 2 3 2 10" xfId="11434" xr:uid="{00000000-0005-0000-0000-00005C1E0000}"/>
    <cellStyle name="표준 5 2 2 2 2 3 2 11" xfId="15546" xr:uid="{00000000-0005-0000-0000-00005D1E0000}"/>
    <cellStyle name="표준 5 2 2 2 2 3 2 12" xfId="15674" xr:uid="{00000000-0005-0000-0000-00005E1E0000}"/>
    <cellStyle name="표준 5 2 2 2 2 3 2 13" xfId="19836" xr:uid="{00000000-0005-0000-0000-00005F1E0000}"/>
    <cellStyle name="표준 5 2 2 2 2 3 2 14" xfId="23932" xr:uid="{00000000-0005-0000-0000-0000601E0000}"/>
    <cellStyle name="표준 5 2 2 2 2 3 2 15" xfId="32143" xr:uid="{00000000-0005-0000-0000-0000611E0000}"/>
    <cellStyle name="표준 5 2 2 2 2 3 2 16" xfId="40336" xr:uid="{00000000-0005-0000-0000-0000621E0000}"/>
    <cellStyle name="표준 5 2 2 2 2 3 2 2" xfId="595" xr:uid="{00000000-0005-0000-0000-0000631E0000}"/>
    <cellStyle name="표준 5 2 2 2 2 3 2 2 10" xfId="19964" xr:uid="{00000000-0005-0000-0000-0000641E0000}"/>
    <cellStyle name="표준 5 2 2 2 2 3 2 2 11" xfId="24060" xr:uid="{00000000-0005-0000-0000-0000651E0000}"/>
    <cellStyle name="표준 5 2 2 2 2 3 2 2 12" xfId="32271" xr:uid="{00000000-0005-0000-0000-0000661E0000}"/>
    <cellStyle name="표준 5 2 2 2 2 3 2 2 13" xfId="40464" xr:uid="{00000000-0005-0000-0000-0000671E0000}"/>
    <cellStyle name="표준 5 2 2 2 2 3 2 2 2" xfId="851" xr:uid="{00000000-0005-0000-0000-0000681E0000}"/>
    <cellStyle name="표준 5 2 2 2 2 3 2 2 2 10" xfId="24316" xr:uid="{00000000-0005-0000-0000-0000691E0000}"/>
    <cellStyle name="표준 5 2 2 2 2 3 2 2 2 11" xfId="32527" xr:uid="{00000000-0005-0000-0000-00006A1E0000}"/>
    <cellStyle name="표준 5 2 2 2 2 3 2 2 2 12" xfId="40720" xr:uid="{00000000-0005-0000-0000-00006B1E0000}"/>
    <cellStyle name="표준 5 2 2 2 2 3 2 2 2 2" xfId="1363" xr:uid="{00000000-0005-0000-0000-00006C1E0000}"/>
    <cellStyle name="표준 5 2 2 2 2 3 2 2 2 2 2" xfId="10266" xr:uid="{00000000-0005-0000-0000-00006D1E0000}"/>
    <cellStyle name="표준 5 2 2 2 2 3 2 2 2 2 2 2" xfId="14378" xr:uid="{00000000-0005-0000-0000-00006E1E0000}"/>
    <cellStyle name="표준 5 2 2 2 2 3 2 2 2 2 2 2 2" xfId="30972" xr:uid="{00000000-0005-0000-0000-00006F1E0000}"/>
    <cellStyle name="표준 5 2 2 2 2 3 2 2 2 2 2 2 3" xfId="39183" xr:uid="{00000000-0005-0000-0000-0000701E0000}"/>
    <cellStyle name="표준 5 2 2 2 2 3 2 2 2 2 2 2 4" xfId="47376" xr:uid="{00000000-0005-0000-0000-0000711E0000}"/>
    <cellStyle name="표준 5 2 2 2 2 3 2 2 2 2 2 3" xfId="18618" xr:uid="{00000000-0005-0000-0000-0000721E0000}"/>
    <cellStyle name="표준 5 2 2 2 2 3 2 2 2 2 2 4" xfId="22780" xr:uid="{00000000-0005-0000-0000-0000731E0000}"/>
    <cellStyle name="표준 5 2 2 2 2 3 2 2 2 2 2 5" xfId="26876" xr:uid="{00000000-0005-0000-0000-0000741E0000}"/>
    <cellStyle name="표준 5 2 2 2 2 3 2 2 2 2 2 6" xfId="35087" xr:uid="{00000000-0005-0000-0000-0000751E0000}"/>
    <cellStyle name="표준 5 2 2 2 2 3 2 2 2 2 2 7" xfId="43280" xr:uid="{00000000-0005-0000-0000-0000761E0000}"/>
    <cellStyle name="표준 5 2 2 2 2 3 2 2 2 2 3" xfId="8218" xr:uid="{00000000-0005-0000-0000-0000771E0000}"/>
    <cellStyle name="표준 5 2 2 2 2 3 2 2 2 2 3 2" xfId="28924" xr:uid="{00000000-0005-0000-0000-0000781E0000}"/>
    <cellStyle name="표준 5 2 2 2 2 3 2 2 2 2 3 3" xfId="37135" xr:uid="{00000000-0005-0000-0000-0000791E0000}"/>
    <cellStyle name="표준 5 2 2 2 2 3 2 2 2 2 3 4" xfId="45328" xr:uid="{00000000-0005-0000-0000-00007A1E0000}"/>
    <cellStyle name="표준 5 2 2 2 2 3 2 2 2 2 4" xfId="12330" xr:uid="{00000000-0005-0000-0000-00007B1E0000}"/>
    <cellStyle name="표준 5 2 2 2 2 3 2 2 2 2 5" xfId="16570" xr:uid="{00000000-0005-0000-0000-00007C1E0000}"/>
    <cellStyle name="표준 5 2 2 2 2 3 2 2 2 2 6" xfId="20732" xr:uid="{00000000-0005-0000-0000-00007D1E0000}"/>
    <cellStyle name="표준 5 2 2 2 2 3 2 2 2 2 7" xfId="24828" xr:uid="{00000000-0005-0000-0000-00007E1E0000}"/>
    <cellStyle name="표준 5 2 2 2 2 3 2 2 2 2 8" xfId="33039" xr:uid="{00000000-0005-0000-0000-00007F1E0000}"/>
    <cellStyle name="표준 5 2 2 2 2 3 2 2 2 2 9" xfId="41232" xr:uid="{00000000-0005-0000-0000-0000801E0000}"/>
    <cellStyle name="표준 5 2 2 2 2 3 2 2 2 3" xfId="1875" xr:uid="{00000000-0005-0000-0000-0000811E0000}"/>
    <cellStyle name="표준 5 2 2 2 2 3 2 2 2 3 2" xfId="10778" xr:uid="{00000000-0005-0000-0000-0000821E0000}"/>
    <cellStyle name="표준 5 2 2 2 2 3 2 2 2 3 2 2" xfId="14890" xr:uid="{00000000-0005-0000-0000-0000831E0000}"/>
    <cellStyle name="표준 5 2 2 2 2 3 2 2 2 3 2 2 2" xfId="31484" xr:uid="{00000000-0005-0000-0000-0000841E0000}"/>
    <cellStyle name="표준 5 2 2 2 2 3 2 2 2 3 2 2 3" xfId="39695" xr:uid="{00000000-0005-0000-0000-0000851E0000}"/>
    <cellStyle name="표준 5 2 2 2 2 3 2 2 2 3 2 2 4" xfId="47888" xr:uid="{00000000-0005-0000-0000-0000861E0000}"/>
    <cellStyle name="표준 5 2 2 2 2 3 2 2 2 3 2 3" xfId="19130" xr:uid="{00000000-0005-0000-0000-0000871E0000}"/>
    <cellStyle name="표준 5 2 2 2 2 3 2 2 2 3 2 4" xfId="23292" xr:uid="{00000000-0005-0000-0000-0000881E0000}"/>
    <cellStyle name="표준 5 2 2 2 2 3 2 2 2 3 2 5" xfId="27388" xr:uid="{00000000-0005-0000-0000-0000891E0000}"/>
    <cellStyle name="표준 5 2 2 2 2 3 2 2 2 3 2 6" xfId="35599" xr:uid="{00000000-0005-0000-0000-00008A1E0000}"/>
    <cellStyle name="표준 5 2 2 2 2 3 2 2 2 3 2 7" xfId="43792" xr:uid="{00000000-0005-0000-0000-00008B1E0000}"/>
    <cellStyle name="표준 5 2 2 2 2 3 2 2 2 3 3" xfId="8730" xr:uid="{00000000-0005-0000-0000-00008C1E0000}"/>
    <cellStyle name="표준 5 2 2 2 2 3 2 2 2 3 3 2" xfId="29436" xr:uid="{00000000-0005-0000-0000-00008D1E0000}"/>
    <cellStyle name="표준 5 2 2 2 2 3 2 2 2 3 3 3" xfId="37647" xr:uid="{00000000-0005-0000-0000-00008E1E0000}"/>
    <cellStyle name="표준 5 2 2 2 2 3 2 2 2 3 3 4" xfId="45840" xr:uid="{00000000-0005-0000-0000-00008F1E0000}"/>
    <cellStyle name="표준 5 2 2 2 2 3 2 2 2 3 4" xfId="12842" xr:uid="{00000000-0005-0000-0000-0000901E0000}"/>
    <cellStyle name="표준 5 2 2 2 2 3 2 2 2 3 5" xfId="17082" xr:uid="{00000000-0005-0000-0000-0000911E0000}"/>
    <cellStyle name="표준 5 2 2 2 2 3 2 2 2 3 6" xfId="21244" xr:uid="{00000000-0005-0000-0000-0000921E0000}"/>
    <cellStyle name="표준 5 2 2 2 2 3 2 2 2 3 7" xfId="25340" xr:uid="{00000000-0005-0000-0000-0000931E0000}"/>
    <cellStyle name="표준 5 2 2 2 2 3 2 2 2 3 8" xfId="33551" xr:uid="{00000000-0005-0000-0000-0000941E0000}"/>
    <cellStyle name="표준 5 2 2 2 2 3 2 2 2 3 9" xfId="41744" xr:uid="{00000000-0005-0000-0000-0000951E0000}"/>
    <cellStyle name="표준 5 2 2 2 2 3 2 2 2 4" xfId="2387" xr:uid="{00000000-0005-0000-0000-0000961E0000}"/>
    <cellStyle name="표준 5 2 2 2 2 3 2 2 2 4 2" xfId="11290" xr:uid="{00000000-0005-0000-0000-0000971E0000}"/>
    <cellStyle name="표준 5 2 2 2 2 3 2 2 2 4 2 2" xfId="15402" xr:uid="{00000000-0005-0000-0000-0000981E0000}"/>
    <cellStyle name="표준 5 2 2 2 2 3 2 2 2 4 2 2 2" xfId="31996" xr:uid="{00000000-0005-0000-0000-0000991E0000}"/>
    <cellStyle name="표준 5 2 2 2 2 3 2 2 2 4 2 2 3" xfId="40207" xr:uid="{00000000-0005-0000-0000-00009A1E0000}"/>
    <cellStyle name="표준 5 2 2 2 2 3 2 2 2 4 2 2 4" xfId="48400" xr:uid="{00000000-0005-0000-0000-00009B1E0000}"/>
    <cellStyle name="표준 5 2 2 2 2 3 2 2 2 4 2 3" xfId="19642" xr:uid="{00000000-0005-0000-0000-00009C1E0000}"/>
    <cellStyle name="표준 5 2 2 2 2 3 2 2 2 4 2 4" xfId="23804" xr:uid="{00000000-0005-0000-0000-00009D1E0000}"/>
    <cellStyle name="표준 5 2 2 2 2 3 2 2 2 4 2 5" xfId="27900" xr:uid="{00000000-0005-0000-0000-00009E1E0000}"/>
    <cellStyle name="표준 5 2 2 2 2 3 2 2 2 4 2 6" xfId="36111" xr:uid="{00000000-0005-0000-0000-00009F1E0000}"/>
    <cellStyle name="표준 5 2 2 2 2 3 2 2 2 4 2 7" xfId="44304" xr:uid="{00000000-0005-0000-0000-0000A01E0000}"/>
    <cellStyle name="표준 5 2 2 2 2 3 2 2 2 4 3" xfId="9242" xr:uid="{00000000-0005-0000-0000-0000A11E0000}"/>
    <cellStyle name="표준 5 2 2 2 2 3 2 2 2 4 3 2" xfId="29948" xr:uid="{00000000-0005-0000-0000-0000A21E0000}"/>
    <cellStyle name="표준 5 2 2 2 2 3 2 2 2 4 3 3" xfId="38159" xr:uid="{00000000-0005-0000-0000-0000A31E0000}"/>
    <cellStyle name="표준 5 2 2 2 2 3 2 2 2 4 3 4" xfId="46352" xr:uid="{00000000-0005-0000-0000-0000A41E0000}"/>
    <cellStyle name="표준 5 2 2 2 2 3 2 2 2 4 4" xfId="13354" xr:uid="{00000000-0005-0000-0000-0000A51E0000}"/>
    <cellStyle name="표준 5 2 2 2 2 3 2 2 2 4 5" xfId="17594" xr:uid="{00000000-0005-0000-0000-0000A61E0000}"/>
    <cellStyle name="표준 5 2 2 2 2 3 2 2 2 4 6" xfId="21756" xr:uid="{00000000-0005-0000-0000-0000A71E0000}"/>
    <cellStyle name="표준 5 2 2 2 2 3 2 2 2 4 7" xfId="25852" xr:uid="{00000000-0005-0000-0000-0000A81E0000}"/>
    <cellStyle name="표준 5 2 2 2 2 3 2 2 2 4 8" xfId="34063" xr:uid="{00000000-0005-0000-0000-0000A91E0000}"/>
    <cellStyle name="표준 5 2 2 2 2 3 2 2 2 4 9" xfId="42256" xr:uid="{00000000-0005-0000-0000-0000AA1E0000}"/>
    <cellStyle name="표준 5 2 2 2 2 3 2 2 2 5" xfId="9754" xr:uid="{00000000-0005-0000-0000-0000AB1E0000}"/>
    <cellStyle name="표준 5 2 2 2 2 3 2 2 2 5 2" xfId="13866" xr:uid="{00000000-0005-0000-0000-0000AC1E0000}"/>
    <cellStyle name="표준 5 2 2 2 2 3 2 2 2 5 2 2" xfId="30460" xr:uid="{00000000-0005-0000-0000-0000AD1E0000}"/>
    <cellStyle name="표준 5 2 2 2 2 3 2 2 2 5 2 3" xfId="38671" xr:uid="{00000000-0005-0000-0000-0000AE1E0000}"/>
    <cellStyle name="표준 5 2 2 2 2 3 2 2 2 5 2 4" xfId="46864" xr:uid="{00000000-0005-0000-0000-0000AF1E0000}"/>
    <cellStyle name="표준 5 2 2 2 2 3 2 2 2 5 3" xfId="18106" xr:uid="{00000000-0005-0000-0000-0000B01E0000}"/>
    <cellStyle name="표준 5 2 2 2 2 3 2 2 2 5 4" xfId="22268" xr:uid="{00000000-0005-0000-0000-0000B11E0000}"/>
    <cellStyle name="표준 5 2 2 2 2 3 2 2 2 5 5" xfId="26364" xr:uid="{00000000-0005-0000-0000-0000B21E0000}"/>
    <cellStyle name="표준 5 2 2 2 2 3 2 2 2 5 6" xfId="34575" xr:uid="{00000000-0005-0000-0000-0000B31E0000}"/>
    <cellStyle name="표준 5 2 2 2 2 3 2 2 2 5 7" xfId="42768" xr:uid="{00000000-0005-0000-0000-0000B41E0000}"/>
    <cellStyle name="표준 5 2 2 2 2 3 2 2 2 6" xfId="7706" xr:uid="{00000000-0005-0000-0000-0000B51E0000}"/>
    <cellStyle name="표준 5 2 2 2 2 3 2 2 2 6 2" xfId="28412" xr:uid="{00000000-0005-0000-0000-0000B61E0000}"/>
    <cellStyle name="표준 5 2 2 2 2 3 2 2 2 6 3" xfId="36623" xr:uid="{00000000-0005-0000-0000-0000B71E0000}"/>
    <cellStyle name="표준 5 2 2 2 2 3 2 2 2 6 4" xfId="44816" xr:uid="{00000000-0005-0000-0000-0000B81E0000}"/>
    <cellStyle name="표준 5 2 2 2 2 3 2 2 2 7" xfId="11818" xr:uid="{00000000-0005-0000-0000-0000B91E0000}"/>
    <cellStyle name="표준 5 2 2 2 2 3 2 2 2 8" xfId="16058" xr:uid="{00000000-0005-0000-0000-0000BA1E0000}"/>
    <cellStyle name="표준 5 2 2 2 2 3 2 2 2 9" xfId="20220" xr:uid="{00000000-0005-0000-0000-0000BB1E0000}"/>
    <cellStyle name="표준 5 2 2 2 2 3 2 2 3" xfId="1107" xr:uid="{00000000-0005-0000-0000-0000BC1E0000}"/>
    <cellStyle name="표준 5 2 2 2 2 3 2 2 3 2" xfId="10010" xr:uid="{00000000-0005-0000-0000-0000BD1E0000}"/>
    <cellStyle name="표준 5 2 2 2 2 3 2 2 3 2 2" xfId="14122" xr:uid="{00000000-0005-0000-0000-0000BE1E0000}"/>
    <cellStyle name="표준 5 2 2 2 2 3 2 2 3 2 2 2" xfId="30716" xr:uid="{00000000-0005-0000-0000-0000BF1E0000}"/>
    <cellStyle name="표준 5 2 2 2 2 3 2 2 3 2 2 3" xfId="38927" xr:uid="{00000000-0005-0000-0000-0000C01E0000}"/>
    <cellStyle name="표준 5 2 2 2 2 3 2 2 3 2 2 4" xfId="47120" xr:uid="{00000000-0005-0000-0000-0000C11E0000}"/>
    <cellStyle name="표준 5 2 2 2 2 3 2 2 3 2 3" xfId="18362" xr:uid="{00000000-0005-0000-0000-0000C21E0000}"/>
    <cellStyle name="표준 5 2 2 2 2 3 2 2 3 2 4" xfId="22524" xr:uid="{00000000-0005-0000-0000-0000C31E0000}"/>
    <cellStyle name="표준 5 2 2 2 2 3 2 2 3 2 5" xfId="26620" xr:uid="{00000000-0005-0000-0000-0000C41E0000}"/>
    <cellStyle name="표준 5 2 2 2 2 3 2 2 3 2 6" xfId="34831" xr:uid="{00000000-0005-0000-0000-0000C51E0000}"/>
    <cellStyle name="표준 5 2 2 2 2 3 2 2 3 2 7" xfId="43024" xr:uid="{00000000-0005-0000-0000-0000C61E0000}"/>
    <cellStyle name="표준 5 2 2 2 2 3 2 2 3 3" xfId="7962" xr:uid="{00000000-0005-0000-0000-0000C71E0000}"/>
    <cellStyle name="표준 5 2 2 2 2 3 2 2 3 3 2" xfId="28668" xr:uid="{00000000-0005-0000-0000-0000C81E0000}"/>
    <cellStyle name="표준 5 2 2 2 2 3 2 2 3 3 3" xfId="36879" xr:uid="{00000000-0005-0000-0000-0000C91E0000}"/>
    <cellStyle name="표준 5 2 2 2 2 3 2 2 3 3 4" xfId="45072" xr:uid="{00000000-0005-0000-0000-0000CA1E0000}"/>
    <cellStyle name="표준 5 2 2 2 2 3 2 2 3 4" xfId="12074" xr:uid="{00000000-0005-0000-0000-0000CB1E0000}"/>
    <cellStyle name="표준 5 2 2 2 2 3 2 2 3 5" xfId="16314" xr:uid="{00000000-0005-0000-0000-0000CC1E0000}"/>
    <cellStyle name="표준 5 2 2 2 2 3 2 2 3 6" xfId="20476" xr:uid="{00000000-0005-0000-0000-0000CD1E0000}"/>
    <cellStyle name="표준 5 2 2 2 2 3 2 2 3 7" xfId="24572" xr:uid="{00000000-0005-0000-0000-0000CE1E0000}"/>
    <cellStyle name="표준 5 2 2 2 2 3 2 2 3 8" xfId="32783" xr:uid="{00000000-0005-0000-0000-0000CF1E0000}"/>
    <cellStyle name="표준 5 2 2 2 2 3 2 2 3 9" xfId="40976" xr:uid="{00000000-0005-0000-0000-0000D01E0000}"/>
    <cellStyle name="표준 5 2 2 2 2 3 2 2 4" xfId="1619" xr:uid="{00000000-0005-0000-0000-0000D11E0000}"/>
    <cellStyle name="표준 5 2 2 2 2 3 2 2 4 2" xfId="10522" xr:uid="{00000000-0005-0000-0000-0000D21E0000}"/>
    <cellStyle name="표준 5 2 2 2 2 3 2 2 4 2 2" xfId="14634" xr:uid="{00000000-0005-0000-0000-0000D31E0000}"/>
    <cellStyle name="표준 5 2 2 2 2 3 2 2 4 2 2 2" xfId="31228" xr:uid="{00000000-0005-0000-0000-0000D41E0000}"/>
    <cellStyle name="표준 5 2 2 2 2 3 2 2 4 2 2 3" xfId="39439" xr:uid="{00000000-0005-0000-0000-0000D51E0000}"/>
    <cellStyle name="표준 5 2 2 2 2 3 2 2 4 2 2 4" xfId="47632" xr:uid="{00000000-0005-0000-0000-0000D61E0000}"/>
    <cellStyle name="표준 5 2 2 2 2 3 2 2 4 2 3" xfId="18874" xr:uid="{00000000-0005-0000-0000-0000D71E0000}"/>
    <cellStyle name="표준 5 2 2 2 2 3 2 2 4 2 4" xfId="23036" xr:uid="{00000000-0005-0000-0000-0000D81E0000}"/>
    <cellStyle name="표준 5 2 2 2 2 3 2 2 4 2 5" xfId="27132" xr:uid="{00000000-0005-0000-0000-0000D91E0000}"/>
    <cellStyle name="표준 5 2 2 2 2 3 2 2 4 2 6" xfId="35343" xr:uid="{00000000-0005-0000-0000-0000DA1E0000}"/>
    <cellStyle name="표준 5 2 2 2 2 3 2 2 4 2 7" xfId="43536" xr:uid="{00000000-0005-0000-0000-0000DB1E0000}"/>
    <cellStyle name="표준 5 2 2 2 2 3 2 2 4 3" xfId="8474" xr:uid="{00000000-0005-0000-0000-0000DC1E0000}"/>
    <cellStyle name="표준 5 2 2 2 2 3 2 2 4 3 2" xfId="29180" xr:uid="{00000000-0005-0000-0000-0000DD1E0000}"/>
    <cellStyle name="표준 5 2 2 2 2 3 2 2 4 3 3" xfId="37391" xr:uid="{00000000-0005-0000-0000-0000DE1E0000}"/>
    <cellStyle name="표준 5 2 2 2 2 3 2 2 4 3 4" xfId="45584" xr:uid="{00000000-0005-0000-0000-0000DF1E0000}"/>
    <cellStyle name="표준 5 2 2 2 2 3 2 2 4 4" xfId="12586" xr:uid="{00000000-0005-0000-0000-0000E01E0000}"/>
    <cellStyle name="표준 5 2 2 2 2 3 2 2 4 5" xfId="16826" xr:uid="{00000000-0005-0000-0000-0000E11E0000}"/>
    <cellStyle name="표준 5 2 2 2 2 3 2 2 4 6" xfId="20988" xr:uid="{00000000-0005-0000-0000-0000E21E0000}"/>
    <cellStyle name="표준 5 2 2 2 2 3 2 2 4 7" xfId="25084" xr:uid="{00000000-0005-0000-0000-0000E31E0000}"/>
    <cellStyle name="표준 5 2 2 2 2 3 2 2 4 8" xfId="33295" xr:uid="{00000000-0005-0000-0000-0000E41E0000}"/>
    <cellStyle name="표준 5 2 2 2 2 3 2 2 4 9" xfId="41488" xr:uid="{00000000-0005-0000-0000-0000E51E0000}"/>
    <cellStyle name="표준 5 2 2 2 2 3 2 2 5" xfId="2131" xr:uid="{00000000-0005-0000-0000-0000E61E0000}"/>
    <cellStyle name="표준 5 2 2 2 2 3 2 2 5 2" xfId="11034" xr:uid="{00000000-0005-0000-0000-0000E71E0000}"/>
    <cellStyle name="표준 5 2 2 2 2 3 2 2 5 2 2" xfId="15146" xr:uid="{00000000-0005-0000-0000-0000E81E0000}"/>
    <cellStyle name="표준 5 2 2 2 2 3 2 2 5 2 2 2" xfId="31740" xr:uid="{00000000-0005-0000-0000-0000E91E0000}"/>
    <cellStyle name="표준 5 2 2 2 2 3 2 2 5 2 2 3" xfId="39951" xr:uid="{00000000-0005-0000-0000-0000EA1E0000}"/>
    <cellStyle name="표준 5 2 2 2 2 3 2 2 5 2 2 4" xfId="48144" xr:uid="{00000000-0005-0000-0000-0000EB1E0000}"/>
    <cellStyle name="표준 5 2 2 2 2 3 2 2 5 2 3" xfId="19386" xr:uid="{00000000-0005-0000-0000-0000EC1E0000}"/>
    <cellStyle name="표준 5 2 2 2 2 3 2 2 5 2 4" xfId="23548" xr:uid="{00000000-0005-0000-0000-0000ED1E0000}"/>
    <cellStyle name="표준 5 2 2 2 2 3 2 2 5 2 5" xfId="27644" xr:uid="{00000000-0005-0000-0000-0000EE1E0000}"/>
    <cellStyle name="표준 5 2 2 2 2 3 2 2 5 2 6" xfId="35855" xr:uid="{00000000-0005-0000-0000-0000EF1E0000}"/>
    <cellStyle name="표준 5 2 2 2 2 3 2 2 5 2 7" xfId="44048" xr:uid="{00000000-0005-0000-0000-0000F01E0000}"/>
    <cellStyle name="표준 5 2 2 2 2 3 2 2 5 3" xfId="8986" xr:uid="{00000000-0005-0000-0000-0000F11E0000}"/>
    <cellStyle name="표준 5 2 2 2 2 3 2 2 5 3 2" xfId="29692" xr:uid="{00000000-0005-0000-0000-0000F21E0000}"/>
    <cellStyle name="표준 5 2 2 2 2 3 2 2 5 3 3" xfId="37903" xr:uid="{00000000-0005-0000-0000-0000F31E0000}"/>
    <cellStyle name="표준 5 2 2 2 2 3 2 2 5 3 4" xfId="46096" xr:uid="{00000000-0005-0000-0000-0000F41E0000}"/>
    <cellStyle name="표준 5 2 2 2 2 3 2 2 5 4" xfId="13098" xr:uid="{00000000-0005-0000-0000-0000F51E0000}"/>
    <cellStyle name="표준 5 2 2 2 2 3 2 2 5 5" xfId="17338" xr:uid="{00000000-0005-0000-0000-0000F61E0000}"/>
    <cellStyle name="표준 5 2 2 2 2 3 2 2 5 6" xfId="21500" xr:uid="{00000000-0005-0000-0000-0000F71E0000}"/>
    <cellStyle name="표준 5 2 2 2 2 3 2 2 5 7" xfId="25596" xr:uid="{00000000-0005-0000-0000-0000F81E0000}"/>
    <cellStyle name="표준 5 2 2 2 2 3 2 2 5 8" xfId="33807" xr:uid="{00000000-0005-0000-0000-0000F91E0000}"/>
    <cellStyle name="표준 5 2 2 2 2 3 2 2 5 9" xfId="42000" xr:uid="{00000000-0005-0000-0000-0000FA1E0000}"/>
    <cellStyle name="표준 5 2 2 2 2 3 2 2 6" xfId="9498" xr:uid="{00000000-0005-0000-0000-0000FB1E0000}"/>
    <cellStyle name="표준 5 2 2 2 2 3 2 2 6 2" xfId="13610" xr:uid="{00000000-0005-0000-0000-0000FC1E0000}"/>
    <cellStyle name="표준 5 2 2 2 2 3 2 2 6 2 2" xfId="30204" xr:uid="{00000000-0005-0000-0000-0000FD1E0000}"/>
    <cellStyle name="표준 5 2 2 2 2 3 2 2 6 2 3" xfId="38415" xr:uid="{00000000-0005-0000-0000-0000FE1E0000}"/>
    <cellStyle name="표준 5 2 2 2 2 3 2 2 6 2 4" xfId="46608" xr:uid="{00000000-0005-0000-0000-0000FF1E0000}"/>
    <cellStyle name="표준 5 2 2 2 2 3 2 2 6 3" xfId="17850" xr:uid="{00000000-0005-0000-0000-0000001F0000}"/>
    <cellStyle name="표준 5 2 2 2 2 3 2 2 6 4" xfId="22012" xr:uid="{00000000-0005-0000-0000-0000011F0000}"/>
    <cellStyle name="표준 5 2 2 2 2 3 2 2 6 5" xfId="26108" xr:uid="{00000000-0005-0000-0000-0000021F0000}"/>
    <cellStyle name="표준 5 2 2 2 2 3 2 2 6 6" xfId="34319" xr:uid="{00000000-0005-0000-0000-0000031F0000}"/>
    <cellStyle name="표준 5 2 2 2 2 3 2 2 6 7" xfId="42512" xr:uid="{00000000-0005-0000-0000-0000041F0000}"/>
    <cellStyle name="표준 5 2 2 2 2 3 2 2 7" xfId="7450" xr:uid="{00000000-0005-0000-0000-0000051F0000}"/>
    <cellStyle name="표준 5 2 2 2 2 3 2 2 7 2" xfId="28156" xr:uid="{00000000-0005-0000-0000-0000061F0000}"/>
    <cellStyle name="표준 5 2 2 2 2 3 2 2 7 3" xfId="36367" xr:uid="{00000000-0005-0000-0000-0000071F0000}"/>
    <cellStyle name="표준 5 2 2 2 2 3 2 2 7 4" xfId="44560" xr:uid="{00000000-0005-0000-0000-0000081F0000}"/>
    <cellStyle name="표준 5 2 2 2 2 3 2 2 8" xfId="11562" xr:uid="{00000000-0005-0000-0000-0000091F0000}"/>
    <cellStyle name="표준 5 2 2 2 2 3 2 2 9" xfId="15802" xr:uid="{00000000-0005-0000-0000-00000A1F0000}"/>
    <cellStyle name="표준 5 2 2 2 2 3 2 3" xfId="723" xr:uid="{00000000-0005-0000-0000-00000B1F0000}"/>
    <cellStyle name="표준 5 2 2 2 2 3 2 3 10" xfId="24188" xr:uid="{00000000-0005-0000-0000-00000C1F0000}"/>
    <cellStyle name="표준 5 2 2 2 2 3 2 3 11" xfId="32399" xr:uid="{00000000-0005-0000-0000-00000D1F0000}"/>
    <cellStyle name="표준 5 2 2 2 2 3 2 3 12" xfId="40592" xr:uid="{00000000-0005-0000-0000-00000E1F0000}"/>
    <cellStyle name="표준 5 2 2 2 2 3 2 3 2" xfId="1235" xr:uid="{00000000-0005-0000-0000-00000F1F0000}"/>
    <cellStyle name="표준 5 2 2 2 2 3 2 3 2 2" xfId="10138" xr:uid="{00000000-0005-0000-0000-0000101F0000}"/>
    <cellStyle name="표준 5 2 2 2 2 3 2 3 2 2 2" xfId="14250" xr:uid="{00000000-0005-0000-0000-0000111F0000}"/>
    <cellStyle name="표준 5 2 2 2 2 3 2 3 2 2 2 2" xfId="30844" xr:uid="{00000000-0005-0000-0000-0000121F0000}"/>
    <cellStyle name="표준 5 2 2 2 2 3 2 3 2 2 2 3" xfId="39055" xr:uid="{00000000-0005-0000-0000-0000131F0000}"/>
    <cellStyle name="표준 5 2 2 2 2 3 2 3 2 2 2 4" xfId="47248" xr:uid="{00000000-0005-0000-0000-0000141F0000}"/>
    <cellStyle name="표준 5 2 2 2 2 3 2 3 2 2 3" xfId="18490" xr:uid="{00000000-0005-0000-0000-0000151F0000}"/>
    <cellStyle name="표준 5 2 2 2 2 3 2 3 2 2 4" xfId="22652" xr:uid="{00000000-0005-0000-0000-0000161F0000}"/>
    <cellStyle name="표준 5 2 2 2 2 3 2 3 2 2 5" xfId="26748" xr:uid="{00000000-0005-0000-0000-0000171F0000}"/>
    <cellStyle name="표준 5 2 2 2 2 3 2 3 2 2 6" xfId="34959" xr:uid="{00000000-0005-0000-0000-0000181F0000}"/>
    <cellStyle name="표준 5 2 2 2 2 3 2 3 2 2 7" xfId="43152" xr:uid="{00000000-0005-0000-0000-0000191F0000}"/>
    <cellStyle name="표준 5 2 2 2 2 3 2 3 2 3" xfId="8090" xr:uid="{00000000-0005-0000-0000-00001A1F0000}"/>
    <cellStyle name="표준 5 2 2 2 2 3 2 3 2 3 2" xfId="28796" xr:uid="{00000000-0005-0000-0000-00001B1F0000}"/>
    <cellStyle name="표준 5 2 2 2 2 3 2 3 2 3 3" xfId="37007" xr:uid="{00000000-0005-0000-0000-00001C1F0000}"/>
    <cellStyle name="표준 5 2 2 2 2 3 2 3 2 3 4" xfId="45200" xr:uid="{00000000-0005-0000-0000-00001D1F0000}"/>
    <cellStyle name="표준 5 2 2 2 2 3 2 3 2 4" xfId="12202" xr:uid="{00000000-0005-0000-0000-00001E1F0000}"/>
    <cellStyle name="표준 5 2 2 2 2 3 2 3 2 5" xfId="16442" xr:uid="{00000000-0005-0000-0000-00001F1F0000}"/>
    <cellStyle name="표준 5 2 2 2 2 3 2 3 2 6" xfId="20604" xr:uid="{00000000-0005-0000-0000-0000201F0000}"/>
    <cellStyle name="표준 5 2 2 2 2 3 2 3 2 7" xfId="24700" xr:uid="{00000000-0005-0000-0000-0000211F0000}"/>
    <cellStyle name="표준 5 2 2 2 2 3 2 3 2 8" xfId="32911" xr:uid="{00000000-0005-0000-0000-0000221F0000}"/>
    <cellStyle name="표준 5 2 2 2 2 3 2 3 2 9" xfId="41104" xr:uid="{00000000-0005-0000-0000-0000231F0000}"/>
    <cellStyle name="표준 5 2 2 2 2 3 2 3 3" xfId="1747" xr:uid="{00000000-0005-0000-0000-0000241F0000}"/>
    <cellStyle name="표준 5 2 2 2 2 3 2 3 3 2" xfId="10650" xr:uid="{00000000-0005-0000-0000-0000251F0000}"/>
    <cellStyle name="표준 5 2 2 2 2 3 2 3 3 2 2" xfId="14762" xr:uid="{00000000-0005-0000-0000-0000261F0000}"/>
    <cellStyle name="표준 5 2 2 2 2 3 2 3 3 2 2 2" xfId="31356" xr:uid="{00000000-0005-0000-0000-0000271F0000}"/>
    <cellStyle name="표준 5 2 2 2 2 3 2 3 3 2 2 3" xfId="39567" xr:uid="{00000000-0005-0000-0000-0000281F0000}"/>
    <cellStyle name="표준 5 2 2 2 2 3 2 3 3 2 2 4" xfId="47760" xr:uid="{00000000-0005-0000-0000-0000291F0000}"/>
    <cellStyle name="표준 5 2 2 2 2 3 2 3 3 2 3" xfId="19002" xr:uid="{00000000-0005-0000-0000-00002A1F0000}"/>
    <cellStyle name="표준 5 2 2 2 2 3 2 3 3 2 4" xfId="23164" xr:uid="{00000000-0005-0000-0000-00002B1F0000}"/>
    <cellStyle name="표준 5 2 2 2 2 3 2 3 3 2 5" xfId="27260" xr:uid="{00000000-0005-0000-0000-00002C1F0000}"/>
    <cellStyle name="표준 5 2 2 2 2 3 2 3 3 2 6" xfId="35471" xr:uid="{00000000-0005-0000-0000-00002D1F0000}"/>
    <cellStyle name="표준 5 2 2 2 2 3 2 3 3 2 7" xfId="43664" xr:uid="{00000000-0005-0000-0000-00002E1F0000}"/>
    <cellStyle name="표준 5 2 2 2 2 3 2 3 3 3" xfId="8602" xr:uid="{00000000-0005-0000-0000-00002F1F0000}"/>
    <cellStyle name="표준 5 2 2 2 2 3 2 3 3 3 2" xfId="29308" xr:uid="{00000000-0005-0000-0000-0000301F0000}"/>
    <cellStyle name="표준 5 2 2 2 2 3 2 3 3 3 3" xfId="37519" xr:uid="{00000000-0005-0000-0000-0000311F0000}"/>
    <cellStyle name="표준 5 2 2 2 2 3 2 3 3 3 4" xfId="45712" xr:uid="{00000000-0005-0000-0000-0000321F0000}"/>
    <cellStyle name="표준 5 2 2 2 2 3 2 3 3 4" xfId="12714" xr:uid="{00000000-0005-0000-0000-0000331F0000}"/>
    <cellStyle name="표준 5 2 2 2 2 3 2 3 3 5" xfId="16954" xr:uid="{00000000-0005-0000-0000-0000341F0000}"/>
    <cellStyle name="표준 5 2 2 2 2 3 2 3 3 6" xfId="21116" xr:uid="{00000000-0005-0000-0000-0000351F0000}"/>
    <cellStyle name="표준 5 2 2 2 2 3 2 3 3 7" xfId="25212" xr:uid="{00000000-0005-0000-0000-0000361F0000}"/>
    <cellStyle name="표준 5 2 2 2 2 3 2 3 3 8" xfId="33423" xr:uid="{00000000-0005-0000-0000-0000371F0000}"/>
    <cellStyle name="표준 5 2 2 2 2 3 2 3 3 9" xfId="41616" xr:uid="{00000000-0005-0000-0000-0000381F0000}"/>
    <cellStyle name="표준 5 2 2 2 2 3 2 3 4" xfId="2259" xr:uid="{00000000-0005-0000-0000-0000391F0000}"/>
    <cellStyle name="표준 5 2 2 2 2 3 2 3 4 2" xfId="11162" xr:uid="{00000000-0005-0000-0000-00003A1F0000}"/>
    <cellStyle name="표준 5 2 2 2 2 3 2 3 4 2 2" xfId="15274" xr:uid="{00000000-0005-0000-0000-00003B1F0000}"/>
    <cellStyle name="표준 5 2 2 2 2 3 2 3 4 2 2 2" xfId="31868" xr:uid="{00000000-0005-0000-0000-00003C1F0000}"/>
    <cellStyle name="표준 5 2 2 2 2 3 2 3 4 2 2 3" xfId="40079" xr:uid="{00000000-0005-0000-0000-00003D1F0000}"/>
    <cellStyle name="표준 5 2 2 2 2 3 2 3 4 2 2 4" xfId="48272" xr:uid="{00000000-0005-0000-0000-00003E1F0000}"/>
    <cellStyle name="표준 5 2 2 2 2 3 2 3 4 2 3" xfId="19514" xr:uid="{00000000-0005-0000-0000-00003F1F0000}"/>
    <cellStyle name="표준 5 2 2 2 2 3 2 3 4 2 4" xfId="23676" xr:uid="{00000000-0005-0000-0000-0000401F0000}"/>
    <cellStyle name="표준 5 2 2 2 2 3 2 3 4 2 5" xfId="27772" xr:uid="{00000000-0005-0000-0000-0000411F0000}"/>
    <cellStyle name="표준 5 2 2 2 2 3 2 3 4 2 6" xfId="35983" xr:uid="{00000000-0005-0000-0000-0000421F0000}"/>
    <cellStyle name="표준 5 2 2 2 2 3 2 3 4 2 7" xfId="44176" xr:uid="{00000000-0005-0000-0000-0000431F0000}"/>
    <cellStyle name="표준 5 2 2 2 2 3 2 3 4 3" xfId="9114" xr:uid="{00000000-0005-0000-0000-0000441F0000}"/>
    <cellStyle name="표준 5 2 2 2 2 3 2 3 4 3 2" xfId="29820" xr:uid="{00000000-0005-0000-0000-0000451F0000}"/>
    <cellStyle name="표준 5 2 2 2 2 3 2 3 4 3 3" xfId="38031" xr:uid="{00000000-0005-0000-0000-0000461F0000}"/>
    <cellStyle name="표준 5 2 2 2 2 3 2 3 4 3 4" xfId="46224" xr:uid="{00000000-0005-0000-0000-0000471F0000}"/>
    <cellStyle name="표준 5 2 2 2 2 3 2 3 4 4" xfId="13226" xr:uid="{00000000-0005-0000-0000-0000481F0000}"/>
    <cellStyle name="표준 5 2 2 2 2 3 2 3 4 5" xfId="17466" xr:uid="{00000000-0005-0000-0000-0000491F0000}"/>
    <cellStyle name="표준 5 2 2 2 2 3 2 3 4 6" xfId="21628" xr:uid="{00000000-0005-0000-0000-00004A1F0000}"/>
    <cellStyle name="표준 5 2 2 2 2 3 2 3 4 7" xfId="25724" xr:uid="{00000000-0005-0000-0000-00004B1F0000}"/>
    <cellStyle name="표준 5 2 2 2 2 3 2 3 4 8" xfId="33935" xr:uid="{00000000-0005-0000-0000-00004C1F0000}"/>
    <cellStyle name="표준 5 2 2 2 2 3 2 3 4 9" xfId="42128" xr:uid="{00000000-0005-0000-0000-00004D1F0000}"/>
    <cellStyle name="표준 5 2 2 2 2 3 2 3 5" xfId="9626" xr:uid="{00000000-0005-0000-0000-00004E1F0000}"/>
    <cellStyle name="표준 5 2 2 2 2 3 2 3 5 2" xfId="13738" xr:uid="{00000000-0005-0000-0000-00004F1F0000}"/>
    <cellStyle name="표준 5 2 2 2 2 3 2 3 5 2 2" xfId="30332" xr:uid="{00000000-0005-0000-0000-0000501F0000}"/>
    <cellStyle name="표준 5 2 2 2 2 3 2 3 5 2 3" xfId="38543" xr:uid="{00000000-0005-0000-0000-0000511F0000}"/>
    <cellStyle name="표준 5 2 2 2 2 3 2 3 5 2 4" xfId="46736" xr:uid="{00000000-0005-0000-0000-0000521F0000}"/>
    <cellStyle name="표준 5 2 2 2 2 3 2 3 5 3" xfId="17978" xr:uid="{00000000-0005-0000-0000-0000531F0000}"/>
    <cellStyle name="표준 5 2 2 2 2 3 2 3 5 4" xfId="22140" xr:uid="{00000000-0005-0000-0000-0000541F0000}"/>
    <cellStyle name="표준 5 2 2 2 2 3 2 3 5 5" xfId="26236" xr:uid="{00000000-0005-0000-0000-0000551F0000}"/>
    <cellStyle name="표준 5 2 2 2 2 3 2 3 5 6" xfId="34447" xr:uid="{00000000-0005-0000-0000-0000561F0000}"/>
    <cellStyle name="표준 5 2 2 2 2 3 2 3 5 7" xfId="42640" xr:uid="{00000000-0005-0000-0000-0000571F0000}"/>
    <cellStyle name="표준 5 2 2 2 2 3 2 3 6" xfId="7578" xr:uid="{00000000-0005-0000-0000-0000581F0000}"/>
    <cellStyle name="표준 5 2 2 2 2 3 2 3 6 2" xfId="28284" xr:uid="{00000000-0005-0000-0000-0000591F0000}"/>
    <cellStyle name="표준 5 2 2 2 2 3 2 3 6 3" xfId="36495" xr:uid="{00000000-0005-0000-0000-00005A1F0000}"/>
    <cellStyle name="표준 5 2 2 2 2 3 2 3 6 4" xfId="44688" xr:uid="{00000000-0005-0000-0000-00005B1F0000}"/>
    <cellStyle name="표준 5 2 2 2 2 3 2 3 7" xfId="11690" xr:uid="{00000000-0005-0000-0000-00005C1F0000}"/>
    <cellStyle name="표준 5 2 2 2 2 3 2 3 8" xfId="15930" xr:uid="{00000000-0005-0000-0000-00005D1F0000}"/>
    <cellStyle name="표준 5 2 2 2 2 3 2 3 9" xfId="20092" xr:uid="{00000000-0005-0000-0000-00005E1F0000}"/>
    <cellStyle name="표준 5 2 2 2 2 3 2 4" xfId="979" xr:uid="{00000000-0005-0000-0000-00005F1F0000}"/>
    <cellStyle name="표준 5 2 2 2 2 3 2 4 2" xfId="9882" xr:uid="{00000000-0005-0000-0000-0000601F0000}"/>
    <cellStyle name="표준 5 2 2 2 2 3 2 4 2 2" xfId="13994" xr:uid="{00000000-0005-0000-0000-0000611F0000}"/>
    <cellStyle name="표준 5 2 2 2 2 3 2 4 2 2 2" xfId="30588" xr:uid="{00000000-0005-0000-0000-0000621F0000}"/>
    <cellStyle name="표준 5 2 2 2 2 3 2 4 2 2 3" xfId="38799" xr:uid="{00000000-0005-0000-0000-0000631F0000}"/>
    <cellStyle name="표준 5 2 2 2 2 3 2 4 2 2 4" xfId="46992" xr:uid="{00000000-0005-0000-0000-0000641F0000}"/>
    <cellStyle name="표준 5 2 2 2 2 3 2 4 2 3" xfId="18234" xr:uid="{00000000-0005-0000-0000-0000651F0000}"/>
    <cellStyle name="표준 5 2 2 2 2 3 2 4 2 4" xfId="22396" xr:uid="{00000000-0005-0000-0000-0000661F0000}"/>
    <cellStyle name="표준 5 2 2 2 2 3 2 4 2 5" xfId="26492" xr:uid="{00000000-0005-0000-0000-0000671F0000}"/>
    <cellStyle name="표준 5 2 2 2 2 3 2 4 2 6" xfId="34703" xr:uid="{00000000-0005-0000-0000-0000681F0000}"/>
    <cellStyle name="표준 5 2 2 2 2 3 2 4 2 7" xfId="42896" xr:uid="{00000000-0005-0000-0000-0000691F0000}"/>
    <cellStyle name="표준 5 2 2 2 2 3 2 4 3" xfId="7834" xr:uid="{00000000-0005-0000-0000-00006A1F0000}"/>
    <cellStyle name="표준 5 2 2 2 2 3 2 4 3 2" xfId="28540" xr:uid="{00000000-0005-0000-0000-00006B1F0000}"/>
    <cellStyle name="표준 5 2 2 2 2 3 2 4 3 3" xfId="36751" xr:uid="{00000000-0005-0000-0000-00006C1F0000}"/>
    <cellStyle name="표준 5 2 2 2 2 3 2 4 3 4" xfId="44944" xr:uid="{00000000-0005-0000-0000-00006D1F0000}"/>
    <cellStyle name="표준 5 2 2 2 2 3 2 4 4" xfId="11946" xr:uid="{00000000-0005-0000-0000-00006E1F0000}"/>
    <cellStyle name="표준 5 2 2 2 2 3 2 4 5" xfId="16186" xr:uid="{00000000-0005-0000-0000-00006F1F0000}"/>
    <cellStyle name="표준 5 2 2 2 2 3 2 4 6" xfId="20348" xr:uid="{00000000-0005-0000-0000-0000701F0000}"/>
    <cellStyle name="표준 5 2 2 2 2 3 2 4 7" xfId="24444" xr:uid="{00000000-0005-0000-0000-0000711F0000}"/>
    <cellStyle name="표준 5 2 2 2 2 3 2 4 8" xfId="32655" xr:uid="{00000000-0005-0000-0000-0000721F0000}"/>
    <cellStyle name="표준 5 2 2 2 2 3 2 4 9" xfId="40848" xr:uid="{00000000-0005-0000-0000-0000731F0000}"/>
    <cellStyle name="표준 5 2 2 2 2 3 2 5" xfId="1491" xr:uid="{00000000-0005-0000-0000-0000741F0000}"/>
    <cellStyle name="표준 5 2 2 2 2 3 2 5 2" xfId="10394" xr:uid="{00000000-0005-0000-0000-0000751F0000}"/>
    <cellStyle name="표준 5 2 2 2 2 3 2 5 2 2" xfId="14506" xr:uid="{00000000-0005-0000-0000-0000761F0000}"/>
    <cellStyle name="표준 5 2 2 2 2 3 2 5 2 2 2" xfId="31100" xr:uid="{00000000-0005-0000-0000-0000771F0000}"/>
    <cellStyle name="표준 5 2 2 2 2 3 2 5 2 2 3" xfId="39311" xr:uid="{00000000-0005-0000-0000-0000781F0000}"/>
    <cellStyle name="표준 5 2 2 2 2 3 2 5 2 2 4" xfId="47504" xr:uid="{00000000-0005-0000-0000-0000791F0000}"/>
    <cellStyle name="표준 5 2 2 2 2 3 2 5 2 3" xfId="18746" xr:uid="{00000000-0005-0000-0000-00007A1F0000}"/>
    <cellStyle name="표준 5 2 2 2 2 3 2 5 2 4" xfId="22908" xr:uid="{00000000-0005-0000-0000-00007B1F0000}"/>
    <cellStyle name="표준 5 2 2 2 2 3 2 5 2 5" xfId="27004" xr:uid="{00000000-0005-0000-0000-00007C1F0000}"/>
    <cellStyle name="표준 5 2 2 2 2 3 2 5 2 6" xfId="35215" xr:uid="{00000000-0005-0000-0000-00007D1F0000}"/>
    <cellStyle name="표준 5 2 2 2 2 3 2 5 2 7" xfId="43408" xr:uid="{00000000-0005-0000-0000-00007E1F0000}"/>
    <cellStyle name="표준 5 2 2 2 2 3 2 5 3" xfId="8346" xr:uid="{00000000-0005-0000-0000-00007F1F0000}"/>
    <cellStyle name="표준 5 2 2 2 2 3 2 5 3 2" xfId="29052" xr:uid="{00000000-0005-0000-0000-0000801F0000}"/>
    <cellStyle name="표준 5 2 2 2 2 3 2 5 3 3" xfId="37263" xr:uid="{00000000-0005-0000-0000-0000811F0000}"/>
    <cellStyle name="표준 5 2 2 2 2 3 2 5 3 4" xfId="45456" xr:uid="{00000000-0005-0000-0000-0000821F0000}"/>
    <cellStyle name="표준 5 2 2 2 2 3 2 5 4" xfId="12458" xr:uid="{00000000-0005-0000-0000-0000831F0000}"/>
    <cellStyle name="표준 5 2 2 2 2 3 2 5 5" xfId="16698" xr:uid="{00000000-0005-0000-0000-0000841F0000}"/>
    <cellStyle name="표준 5 2 2 2 2 3 2 5 6" xfId="20860" xr:uid="{00000000-0005-0000-0000-0000851F0000}"/>
    <cellStyle name="표준 5 2 2 2 2 3 2 5 7" xfId="24956" xr:uid="{00000000-0005-0000-0000-0000861F0000}"/>
    <cellStyle name="표준 5 2 2 2 2 3 2 5 8" xfId="33167" xr:uid="{00000000-0005-0000-0000-0000871F0000}"/>
    <cellStyle name="표준 5 2 2 2 2 3 2 5 9" xfId="41360" xr:uid="{00000000-0005-0000-0000-0000881F0000}"/>
    <cellStyle name="표준 5 2 2 2 2 3 2 6" xfId="2003" xr:uid="{00000000-0005-0000-0000-0000891F0000}"/>
    <cellStyle name="표준 5 2 2 2 2 3 2 6 2" xfId="10906" xr:uid="{00000000-0005-0000-0000-00008A1F0000}"/>
    <cellStyle name="표준 5 2 2 2 2 3 2 6 2 2" xfId="15018" xr:uid="{00000000-0005-0000-0000-00008B1F0000}"/>
    <cellStyle name="표준 5 2 2 2 2 3 2 6 2 2 2" xfId="31612" xr:uid="{00000000-0005-0000-0000-00008C1F0000}"/>
    <cellStyle name="표준 5 2 2 2 2 3 2 6 2 2 3" xfId="39823" xr:uid="{00000000-0005-0000-0000-00008D1F0000}"/>
    <cellStyle name="표준 5 2 2 2 2 3 2 6 2 2 4" xfId="48016" xr:uid="{00000000-0005-0000-0000-00008E1F0000}"/>
    <cellStyle name="표준 5 2 2 2 2 3 2 6 2 3" xfId="19258" xr:uid="{00000000-0005-0000-0000-00008F1F0000}"/>
    <cellStyle name="표준 5 2 2 2 2 3 2 6 2 4" xfId="23420" xr:uid="{00000000-0005-0000-0000-0000901F0000}"/>
    <cellStyle name="표준 5 2 2 2 2 3 2 6 2 5" xfId="27516" xr:uid="{00000000-0005-0000-0000-0000911F0000}"/>
    <cellStyle name="표준 5 2 2 2 2 3 2 6 2 6" xfId="35727" xr:uid="{00000000-0005-0000-0000-0000921F0000}"/>
    <cellStyle name="표준 5 2 2 2 2 3 2 6 2 7" xfId="43920" xr:uid="{00000000-0005-0000-0000-0000931F0000}"/>
    <cellStyle name="표준 5 2 2 2 2 3 2 6 3" xfId="8858" xr:uid="{00000000-0005-0000-0000-0000941F0000}"/>
    <cellStyle name="표준 5 2 2 2 2 3 2 6 3 2" xfId="29564" xr:uid="{00000000-0005-0000-0000-0000951F0000}"/>
    <cellStyle name="표준 5 2 2 2 2 3 2 6 3 3" xfId="37775" xr:uid="{00000000-0005-0000-0000-0000961F0000}"/>
    <cellStyle name="표준 5 2 2 2 2 3 2 6 3 4" xfId="45968" xr:uid="{00000000-0005-0000-0000-0000971F0000}"/>
    <cellStyle name="표준 5 2 2 2 2 3 2 6 4" xfId="12970" xr:uid="{00000000-0005-0000-0000-0000981F0000}"/>
    <cellStyle name="표준 5 2 2 2 2 3 2 6 5" xfId="17210" xr:uid="{00000000-0005-0000-0000-0000991F0000}"/>
    <cellStyle name="표준 5 2 2 2 2 3 2 6 6" xfId="21372" xr:uid="{00000000-0005-0000-0000-00009A1F0000}"/>
    <cellStyle name="표준 5 2 2 2 2 3 2 6 7" xfId="25468" xr:uid="{00000000-0005-0000-0000-00009B1F0000}"/>
    <cellStyle name="표준 5 2 2 2 2 3 2 6 8" xfId="33679" xr:uid="{00000000-0005-0000-0000-00009C1F0000}"/>
    <cellStyle name="표준 5 2 2 2 2 3 2 6 9" xfId="41872" xr:uid="{00000000-0005-0000-0000-00009D1F0000}"/>
    <cellStyle name="표준 5 2 2 2 2 3 2 7" xfId="7063" xr:uid="{00000000-0005-0000-0000-00009E1F0000}"/>
    <cellStyle name="표준 5 2 2 2 2 3 2 7 2" xfId="9370" xr:uid="{00000000-0005-0000-0000-00009F1F0000}"/>
    <cellStyle name="표준 5 2 2 2 2 3 2 7 2 2" xfId="30076" xr:uid="{00000000-0005-0000-0000-0000A01F0000}"/>
    <cellStyle name="표준 5 2 2 2 2 3 2 7 2 3" xfId="38287" xr:uid="{00000000-0005-0000-0000-0000A11F0000}"/>
    <cellStyle name="표준 5 2 2 2 2 3 2 7 2 4" xfId="46480" xr:uid="{00000000-0005-0000-0000-0000A21F0000}"/>
    <cellStyle name="표준 5 2 2 2 2 3 2 7 3" xfId="13482" xr:uid="{00000000-0005-0000-0000-0000A31F0000}"/>
    <cellStyle name="표준 5 2 2 2 2 3 2 7 4" xfId="17722" xr:uid="{00000000-0005-0000-0000-0000A41F0000}"/>
    <cellStyle name="표준 5 2 2 2 2 3 2 7 5" xfId="21884" xr:uid="{00000000-0005-0000-0000-0000A51F0000}"/>
    <cellStyle name="표준 5 2 2 2 2 3 2 7 6" xfId="25980" xr:uid="{00000000-0005-0000-0000-0000A61F0000}"/>
    <cellStyle name="표준 5 2 2 2 2 3 2 7 7" xfId="34191" xr:uid="{00000000-0005-0000-0000-0000A71F0000}"/>
    <cellStyle name="표준 5 2 2 2 2 3 2 7 8" xfId="42384" xr:uid="{00000000-0005-0000-0000-0000A81F0000}"/>
    <cellStyle name="표준 5 2 2 2 2 3 2 8" xfId="7115" xr:uid="{00000000-0005-0000-0000-0000A91F0000}"/>
    <cellStyle name="표준 5 2 2 2 2 3 2 8 2" xfId="28028" xr:uid="{00000000-0005-0000-0000-0000AA1F0000}"/>
    <cellStyle name="표준 5 2 2 2 2 3 2 8 3" xfId="36239" xr:uid="{00000000-0005-0000-0000-0000AB1F0000}"/>
    <cellStyle name="표준 5 2 2 2 2 3 2 8 4" xfId="44432" xr:uid="{00000000-0005-0000-0000-0000AC1F0000}"/>
    <cellStyle name="표준 5 2 2 2 2 3 2 9" xfId="7322" xr:uid="{00000000-0005-0000-0000-0000AD1F0000}"/>
    <cellStyle name="표준 5 2 2 2 2 3 3" xfId="531" xr:uid="{00000000-0005-0000-0000-0000AE1F0000}"/>
    <cellStyle name="표준 5 2 2 2 2 3 3 10" xfId="19900" xr:uid="{00000000-0005-0000-0000-0000AF1F0000}"/>
    <cellStyle name="표준 5 2 2 2 2 3 3 11" xfId="23996" xr:uid="{00000000-0005-0000-0000-0000B01F0000}"/>
    <cellStyle name="표준 5 2 2 2 2 3 3 12" xfId="32207" xr:uid="{00000000-0005-0000-0000-0000B11F0000}"/>
    <cellStyle name="표준 5 2 2 2 2 3 3 13" xfId="40400" xr:uid="{00000000-0005-0000-0000-0000B21F0000}"/>
    <cellStyle name="표준 5 2 2 2 2 3 3 2" xfId="787" xr:uid="{00000000-0005-0000-0000-0000B31F0000}"/>
    <cellStyle name="표준 5 2 2 2 2 3 3 2 10" xfId="24252" xr:uid="{00000000-0005-0000-0000-0000B41F0000}"/>
    <cellStyle name="표준 5 2 2 2 2 3 3 2 11" xfId="32463" xr:uid="{00000000-0005-0000-0000-0000B51F0000}"/>
    <cellStyle name="표준 5 2 2 2 2 3 3 2 12" xfId="40656" xr:uid="{00000000-0005-0000-0000-0000B61F0000}"/>
    <cellStyle name="표준 5 2 2 2 2 3 3 2 2" xfId="1299" xr:uid="{00000000-0005-0000-0000-0000B71F0000}"/>
    <cellStyle name="표준 5 2 2 2 2 3 3 2 2 2" xfId="10202" xr:uid="{00000000-0005-0000-0000-0000B81F0000}"/>
    <cellStyle name="표준 5 2 2 2 2 3 3 2 2 2 2" xfId="14314" xr:uid="{00000000-0005-0000-0000-0000B91F0000}"/>
    <cellStyle name="표준 5 2 2 2 2 3 3 2 2 2 2 2" xfId="30908" xr:uid="{00000000-0005-0000-0000-0000BA1F0000}"/>
    <cellStyle name="표준 5 2 2 2 2 3 3 2 2 2 2 3" xfId="39119" xr:uid="{00000000-0005-0000-0000-0000BB1F0000}"/>
    <cellStyle name="표준 5 2 2 2 2 3 3 2 2 2 2 4" xfId="47312" xr:uid="{00000000-0005-0000-0000-0000BC1F0000}"/>
    <cellStyle name="표준 5 2 2 2 2 3 3 2 2 2 3" xfId="18554" xr:uid="{00000000-0005-0000-0000-0000BD1F0000}"/>
    <cellStyle name="표준 5 2 2 2 2 3 3 2 2 2 4" xfId="22716" xr:uid="{00000000-0005-0000-0000-0000BE1F0000}"/>
    <cellStyle name="표준 5 2 2 2 2 3 3 2 2 2 5" xfId="26812" xr:uid="{00000000-0005-0000-0000-0000BF1F0000}"/>
    <cellStyle name="표준 5 2 2 2 2 3 3 2 2 2 6" xfId="35023" xr:uid="{00000000-0005-0000-0000-0000C01F0000}"/>
    <cellStyle name="표준 5 2 2 2 2 3 3 2 2 2 7" xfId="43216" xr:uid="{00000000-0005-0000-0000-0000C11F0000}"/>
    <cellStyle name="표준 5 2 2 2 2 3 3 2 2 3" xfId="8154" xr:uid="{00000000-0005-0000-0000-0000C21F0000}"/>
    <cellStyle name="표준 5 2 2 2 2 3 3 2 2 3 2" xfId="28860" xr:uid="{00000000-0005-0000-0000-0000C31F0000}"/>
    <cellStyle name="표준 5 2 2 2 2 3 3 2 2 3 3" xfId="37071" xr:uid="{00000000-0005-0000-0000-0000C41F0000}"/>
    <cellStyle name="표준 5 2 2 2 2 3 3 2 2 3 4" xfId="45264" xr:uid="{00000000-0005-0000-0000-0000C51F0000}"/>
    <cellStyle name="표준 5 2 2 2 2 3 3 2 2 4" xfId="12266" xr:uid="{00000000-0005-0000-0000-0000C61F0000}"/>
    <cellStyle name="표준 5 2 2 2 2 3 3 2 2 5" xfId="16506" xr:uid="{00000000-0005-0000-0000-0000C71F0000}"/>
    <cellStyle name="표준 5 2 2 2 2 3 3 2 2 6" xfId="20668" xr:uid="{00000000-0005-0000-0000-0000C81F0000}"/>
    <cellStyle name="표준 5 2 2 2 2 3 3 2 2 7" xfId="24764" xr:uid="{00000000-0005-0000-0000-0000C91F0000}"/>
    <cellStyle name="표준 5 2 2 2 2 3 3 2 2 8" xfId="32975" xr:uid="{00000000-0005-0000-0000-0000CA1F0000}"/>
    <cellStyle name="표준 5 2 2 2 2 3 3 2 2 9" xfId="41168" xr:uid="{00000000-0005-0000-0000-0000CB1F0000}"/>
    <cellStyle name="표준 5 2 2 2 2 3 3 2 3" xfId="1811" xr:uid="{00000000-0005-0000-0000-0000CC1F0000}"/>
    <cellStyle name="표준 5 2 2 2 2 3 3 2 3 2" xfId="10714" xr:uid="{00000000-0005-0000-0000-0000CD1F0000}"/>
    <cellStyle name="표준 5 2 2 2 2 3 3 2 3 2 2" xfId="14826" xr:uid="{00000000-0005-0000-0000-0000CE1F0000}"/>
    <cellStyle name="표준 5 2 2 2 2 3 3 2 3 2 2 2" xfId="31420" xr:uid="{00000000-0005-0000-0000-0000CF1F0000}"/>
    <cellStyle name="표준 5 2 2 2 2 3 3 2 3 2 2 3" xfId="39631" xr:uid="{00000000-0005-0000-0000-0000D01F0000}"/>
    <cellStyle name="표준 5 2 2 2 2 3 3 2 3 2 2 4" xfId="47824" xr:uid="{00000000-0005-0000-0000-0000D11F0000}"/>
    <cellStyle name="표준 5 2 2 2 2 3 3 2 3 2 3" xfId="19066" xr:uid="{00000000-0005-0000-0000-0000D21F0000}"/>
    <cellStyle name="표준 5 2 2 2 2 3 3 2 3 2 4" xfId="23228" xr:uid="{00000000-0005-0000-0000-0000D31F0000}"/>
    <cellStyle name="표준 5 2 2 2 2 3 3 2 3 2 5" xfId="27324" xr:uid="{00000000-0005-0000-0000-0000D41F0000}"/>
    <cellStyle name="표준 5 2 2 2 2 3 3 2 3 2 6" xfId="35535" xr:uid="{00000000-0005-0000-0000-0000D51F0000}"/>
    <cellStyle name="표준 5 2 2 2 2 3 3 2 3 2 7" xfId="43728" xr:uid="{00000000-0005-0000-0000-0000D61F0000}"/>
    <cellStyle name="표준 5 2 2 2 2 3 3 2 3 3" xfId="8666" xr:uid="{00000000-0005-0000-0000-0000D71F0000}"/>
    <cellStyle name="표준 5 2 2 2 2 3 3 2 3 3 2" xfId="29372" xr:uid="{00000000-0005-0000-0000-0000D81F0000}"/>
    <cellStyle name="표준 5 2 2 2 2 3 3 2 3 3 3" xfId="37583" xr:uid="{00000000-0005-0000-0000-0000D91F0000}"/>
    <cellStyle name="표준 5 2 2 2 2 3 3 2 3 3 4" xfId="45776" xr:uid="{00000000-0005-0000-0000-0000DA1F0000}"/>
    <cellStyle name="표준 5 2 2 2 2 3 3 2 3 4" xfId="12778" xr:uid="{00000000-0005-0000-0000-0000DB1F0000}"/>
    <cellStyle name="표준 5 2 2 2 2 3 3 2 3 5" xfId="17018" xr:uid="{00000000-0005-0000-0000-0000DC1F0000}"/>
    <cellStyle name="표준 5 2 2 2 2 3 3 2 3 6" xfId="21180" xr:uid="{00000000-0005-0000-0000-0000DD1F0000}"/>
    <cellStyle name="표준 5 2 2 2 2 3 3 2 3 7" xfId="25276" xr:uid="{00000000-0005-0000-0000-0000DE1F0000}"/>
    <cellStyle name="표준 5 2 2 2 2 3 3 2 3 8" xfId="33487" xr:uid="{00000000-0005-0000-0000-0000DF1F0000}"/>
    <cellStyle name="표준 5 2 2 2 2 3 3 2 3 9" xfId="41680" xr:uid="{00000000-0005-0000-0000-0000E01F0000}"/>
    <cellStyle name="표준 5 2 2 2 2 3 3 2 4" xfId="2323" xr:uid="{00000000-0005-0000-0000-0000E11F0000}"/>
    <cellStyle name="표준 5 2 2 2 2 3 3 2 4 2" xfId="11226" xr:uid="{00000000-0005-0000-0000-0000E21F0000}"/>
    <cellStyle name="표준 5 2 2 2 2 3 3 2 4 2 2" xfId="15338" xr:uid="{00000000-0005-0000-0000-0000E31F0000}"/>
    <cellStyle name="표준 5 2 2 2 2 3 3 2 4 2 2 2" xfId="31932" xr:uid="{00000000-0005-0000-0000-0000E41F0000}"/>
    <cellStyle name="표준 5 2 2 2 2 3 3 2 4 2 2 3" xfId="40143" xr:uid="{00000000-0005-0000-0000-0000E51F0000}"/>
    <cellStyle name="표준 5 2 2 2 2 3 3 2 4 2 2 4" xfId="48336" xr:uid="{00000000-0005-0000-0000-0000E61F0000}"/>
    <cellStyle name="표준 5 2 2 2 2 3 3 2 4 2 3" xfId="19578" xr:uid="{00000000-0005-0000-0000-0000E71F0000}"/>
    <cellStyle name="표준 5 2 2 2 2 3 3 2 4 2 4" xfId="23740" xr:uid="{00000000-0005-0000-0000-0000E81F0000}"/>
    <cellStyle name="표준 5 2 2 2 2 3 3 2 4 2 5" xfId="27836" xr:uid="{00000000-0005-0000-0000-0000E91F0000}"/>
    <cellStyle name="표준 5 2 2 2 2 3 3 2 4 2 6" xfId="36047" xr:uid="{00000000-0005-0000-0000-0000EA1F0000}"/>
    <cellStyle name="표준 5 2 2 2 2 3 3 2 4 2 7" xfId="44240" xr:uid="{00000000-0005-0000-0000-0000EB1F0000}"/>
    <cellStyle name="표준 5 2 2 2 2 3 3 2 4 3" xfId="9178" xr:uid="{00000000-0005-0000-0000-0000EC1F0000}"/>
    <cellStyle name="표준 5 2 2 2 2 3 3 2 4 3 2" xfId="29884" xr:uid="{00000000-0005-0000-0000-0000ED1F0000}"/>
    <cellStyle name="표준 5 2 2 2 2 3 3 2 4 3 3" xfId="38095" xr:uid="{00000000-0005-0000-0000-0000EE1F0000}"/>
    <cellStyle name="표준 5 2 2 2 2 3 3 2 4 3 4" xfId="46288" xr:uid="{00000000-0005-0000-0000-0000EF1F0000}"/>
    <cellStyle name="표준 5 2 2 2 2 3 3 2 4 4" xfId="13290" xr:uid="{00000000-0005-0000-0000-0000F01F0000}"/>
    <cellStyle name="표준 5 2 2 2 2 3 3 2 4 5" xfId="17530" xr:uid="{00000000-0005-0000-0000-0000F11F0000}"/>
    <cellStyle name="표준 5 2 2 2 2 3 3 2 4 6" xfId="21692" xr:uid="{00000000-0005-0000-0000-0000F21F0000}"/>
    <cellStyle name="표준 5 2 2 2 2 3 3 2 4 7" xfId="25788" xr:uid="{00000000-0005-0000-0000-0000F31F0000}"/>
    <cellStyle name="표준 5 2 2 2 2 3 3 2 4 8" xfId="33999" xr:uid="{00000000-0005-0000-0000-0000F41F0000}"/>
    <cellStyle name="표준 5 2 2 2 2 3 3 2 4 9" xfId="42192" xr:uid="{00000000-0005-0000-0000-0000F51F0000}"/>
    <cellStyle name="표준 5 2 2 2 2 3 3 2 5" xfId="9690" xr:uid="{00000000-0005-0000-0000-0000F61F0000}"/>
    <cellStyle name="표준 5 2 2 2 2 3 3 2 5 2" xfId="13802" xr:uid="{00000000-0005-0000-0000-0000F71F0000}"/>
    <cellStyle name="표준 5 2 2 2 2 3 3 2 5 2 2" xfId="30396" xr:uid="{00000000-0005-0000-0000-0000F81F0000}"/>
    <cellStyle name="표준 5 2 2 2 2 3 3 2 5 2 3" xfId="38607" xr:uid="{00000000-0005-0000-0000-0000F91F0000}"/>
    <cellStyle name="표준 5 2 2 2 2 3 3 2 5 2 4" xfId="46800" xr:uid="{00000000-0005-0000-0000-0000FA1F0000}"/>
    <cellStyle name="표준 5 2 2 2 2 3 3 2 5 3" xfId="18042" xr:uid="{00000000-0005-0000-0000-0000FB1F0000}"/>
    <cellStyle name="표준 5 2 2 2 2 3 3 2 5 4" xfId="22204" xr:uid="{00000000-0005-0000-0000-0000FC1F0000}"/>
    <cellStyle name="표준 5 2 2 2 2 3 3 2 5 5" xfId="26300" xr:uid="{00000000-0005-0000-0000-0000FD1F0000}"/>
    <cellStyle name="표준 5 2 2 2 2 3 3 2 5 6" xfId="34511" xr:uid="{00000000-0005-0000-0000-0000FE1F0000}"/>
    <cellStyle name="표준 5 2 2 2 2 3 3 2 5 7" xfId="42704" xr:uid="{00000000-0005-0000-0000-0000FF1F0000}"/>
    <cellStyle name="표준 5 2 2 2 2 3 3 2 6" xfId="7642" xr:uid="{00000000-0005-0000-0000-000000200000}"/>
    <cellStyle name="표준 5 2 2 2 2 3 3 2 6 2" xfId="28348" xr:uid="{00000000-0005-0000-0000-000001200000}"/>
    <cellStyle name="표준 5 2 2 2 2 3 3 2 6 3" xfId="36559" xr:uid="{00000000-0005-0000-0000-000002200000}"/>
    <cellStyle name="표준 5 2 2 2 2 3 3 2 6 4" xfId="44752" xr:uid="{00000000-0005-0000-0000-000003200000}"/>
    <cellStyle name="표준 5 2 2 2 2 3 3 2 7" xfId="11754" xr:uid="{00000000-0005-0000-0000-000004200000}"/>
    <cellStyle name="표준 5 2 2 2 2 3 3 2 8" xfId="15994" xr:uid="{00000000-0005-0000-0000-000005200000}"/>
    <cellStyle name="표준 5 2 2 2 2 3 3 2 9" xfId="20156" xr:uid="{00000000-0005-0000-0000-000006200000}"/>
    <cellStyle name="표준 5 2 2 2 2 3 3 3" xfId="1043" xr:uid="{00000000-0005-0000-0000-000007200000}"/>
    <cellStyle name="표준 5 2 2 2 2 3 3 3 2" xfId="9946" xr:uid="{00000000-0005-0000-0000-000008200000}"/>
    <cellStyle name="표준 5 2 2 2 2 3 3 3 2 2" xfId="14058" xr:uid="{00000000-0005-0000-0000-000009200000}"/>
    <cellStyle name="표준 5 2 2 2 2 3 3 3 2 2 2" xfId="30652" xr:uid="{00000000-0005-0000-0000-00000A200000}"/>
    <cellStyle name="표준 5 2 2 2 2 3 3 3 2 2 3" xfId="38863" xr:uid="{00000000-0005-0000-0000-00000B200000}"/>
    <cellStyle name="표준 5 2 2 2 2 3 3 3 2 2 4" xfId="47056" xr:uid="{00000000-0005-0000-0000-00000C200000}"/>
    <cellStyle name="표준 5 2 2 2 2 3 3 3 2 3" xfId="18298" xr:uid="{00000000-0005-0000-0000-00000D200000}"/>
    <cellStyle name="표준 5 2 2 2 2 3 3 3 2 4" xfId="22460" xr:uid="{00000000-0005-0000-0000-00000E200000}"/>
    <cellStyle name="표준 5 2 2 2 2 3 3 3 2 5" xfId="26556" xr:uid="{00000000-0005-0000-0000-00000F200000}"/>
    <cellStyle name="표준 5 2 2 2 2 3 3 3 2 6" xfId="34767" xr:uid="{00000000-0005-0000-0000-000010200000}"/>
    <cellStyle name="표준 5 2 2 2 2 3 3 3 2 7" xfId="42960" xr:uid="{00000000-0005-0000-0000-000011200000}"/>
    <cellStyle name="표준 5 2 2 2 2 3 3 3 3" xfId="7898" xr:uid="{00000000-0005-0000-0000-000012200000}"/>
    <cellStyle name="표준 5 2 2 2 2 3 3 3 3 2" xfId="28604" xr:uid="{00000000-0005-0000-0000-000013200000}"/>
    <cellStyle name="표준 5 2 2 2 2 3 3 3 3 3" xfId="36815" xr:uid="{00000000-0005-0000-0000-000014200000}"/>
    <cellStyle name="표준 5 2 2 2 2 3 3 3 3 4" xfId="45008" xr:uid="{00000000-0005-0000-0000-000015200000}"/>
    <cellStyle name="표준 5 2 2 2 2 3 3 3 4" xfId="12010" xr:uid="{00000000-0005-0000-0000-000016200000}"/>
    <cellStyle name="표준 5 2 2 2 2 3 3 3 5" xfId="16250" xr:uid="{00000000-0005-0000-0000-000017200000}"/>
    <cellStyle name="표준 5 2 2 2 2 3 3 3 6" xfId="20412" xr:uid="{00000000-0005-0000-0000-000018200000}"/>
    <cellStyle name="표준 5 2 2 2 2 3 3 3 7" xfId="24508" xr:uid="{00000000-0005-0000-0000-000019200000}"/>
    <cellStyle name="표준 5 2 2 2 2 3 3 3 8" xfId="32719" xr:uid="{00000000-0005-0000-0000-00001A200000}"/>
    <cellStyle name="표준 5 2 2 2 2 3 3 3 9" xfId="40912" xr:uid="{00000000-0005-0000-0000-00001B200000}"/>
    <cellStyle name="표준 5 2 2 2 2 3 3 4" xfId="1555" xr:uid="{00000000-0005-0000-0000-00001C200000}"/>
    <cellStyle name="표준 5 2 2 2 2 3 3 4 2" xfId="10458" xr:uid="{00000000-0005-0000-0000-00001D200000}"/>
    <cellStyle name="표준 5 2 2 2 2 3 3 4 2 2" xfId="14570" xr:uid="{00000000-0005-0000-0000-00001E200000}"/>
    <cellStyle name="표준 5 2 2 2 2 3 3 4 2 2 2" xfId="31164" xr:uid="{00000000-0005-0000-0000-00001F200000}"/>
    <cellStyle name="표준 5 2 2 2 2 3 3 4 2 2 3" xfId="39375" xr:uid="{00000000-0005-0000-0000-000020200000}"/>
    <cellStyle name="표준 5 2 2 2 2 3 3 4 2 2 4" xfId="47568" xr:uid="{00000000-0005-0000-0000-000021200000}"/>
    <cellStyle name="표준 5 2 2 2 2 3 3 4 2 3" xfId="18810" xr:uid="{00000000-0005-0000-0000-000022200000}"/>
    <cellStyle name="표준 5 2 2 2 2 3 3 4 2 4" xfId="22972" xr:uid="{00000000-0005-0000-0000-000023200000}"/>
    <cellStyle name="표준 5 2 2 2 2 3 3 4 2 5" xfId="27068" xr:uid="{00000000-0005-0000-0000-000024200000}"/>
    <cellStyle name="표준 5 2 2 2 2 3 3 4 2 6" xfId="35279" xr:uid="{00000000-0005-0000-0000-000025200000}"/>
    <cellStyle name="표준 5 2 2 2 2 3 3 4 2 7" xfId="43472" xr:uid="{00000000-0005-0000-0000-000026200000}"/>
    <cellStyle name="표준 5 2 2 2 2 3 3 4 3" xfId="8410" xr:uid="{00000000-0005-0000-0000-000027200000}"/>
    <cellStyle name="표준 5 2 2 2 2 3 3 4 3 2" xfId="29116" xr:uid="{00000000-0005-0000-0000-000028200000}"/>
    <cellStyle name="표준 5 2 2 2 2 3 3 4 3 3" xfId="37327" xr:uid="{00000000-0005-0000-0000-000029200000}"/>
    <cellStyle name="표준 5 2 2 2 2 3 3 4 3 4" xfId="45520" xr:uid="{00000000-0005-0000-0000-00002A200000}"/>
    <cellStyle name="표준 5 2 2 2 2 3 3 4 4" xfId="12522" xr:uid="{00000000-0005-0000-0000-00002B200000}"/>
    <cellStyle name="표준 5 2 2 2 2 3 3 4 5" xfId="16762" xr:uid="{00000000-0005-0000-0000-00002C200000}"/>
    <cellStyle name="표준 5 2 2 2 2 3 3 4 6" xfId="20924" xr:uid="{00000000-0005-0000-0000-00002D200000}"/>
    <cellStyle name="표준 5 2 2 2 2 3 3 4 7" xfId="25020" xr:uid="{00000000-0005-0000-0000-00002E200000}"/>
    <cellStyle name="표준 5 2 2 2 2 3 3 4 8" xfId="33231" xr:uid="{00000000-0005-0000-0000-00002F200000}"/>
    <cellStyle name="표준 5 2 2 2 2 3 3 4 9" xfId="41424" xr:uid="{00000000-0005-0000-0000-000030200000}"/>
    <cellStyle name="표준 5 2 2 2 2 3 3 5" xfId="2067" xr:uid="{00000000-0005-0000-0000-000031200000}"/>
    <cellStyle name="표준 5 2 2 2 2 3 3 5 2" xfId="10970" xr:uid="{00000000-0005-0000-0000-000032200000}"/>
    <cellStyle name="표준 5 2 2 2 2 3 3 5 2 2" xfId="15082" xr:uid="{00000000-0005-0000-0000-000033200000}"/>
    <cellStyle name="표준 5 2 2 2 2 3 3 5 2 2 2" xfId="31676" xr:uid="{00000000-0005-0000-0000-000034200000}"/>
    <cellStyle name="표준 5 2 2 2 2 3 3 5 2 2 3" xfId="39887" xr:uid="{00000000-0005-0000-0000-000035200000}"/>
    <cellStyle name="표준 5 2 2 2 2 3 3 5 2 2 4" xfId="48080" xr:uid="{00000000-0005-0000-0000-000036200000}"/>
    <cellStyle name="표준 5 2 2 2 2 3 3 5 2 3" xfId="19322" xr:uid="{00000000-0005-0000-0000-000037200000}"/>
    <cellStyle name="표준 5 2 2 2 2 3 3 5 2 4" xfId="23484" xr:uid="{00000000-0005-0000-0000-000038200000}"/>
    <cellStyle name="표준 5 2 2 2 2 3 3 5 2 5" xfId="27580" xr:uid="{00000000-0005-0000-0000-000039200000}"/>
    <cellStyle name="표준 5 2 2 2 2 3 3 5 2 6" xfId="35791" xr:uid="{00000000-0005-0000-0000-00003A200000}"/>
    <cellStyle name="표준 5 2 2 2 2 3 3 5 2 7" xfId="43984" xr:uid="{00000000-0005-0000-0000-00003B200000}"/>
    <cellStyle name="표준 5 2 2 2 2 3 3 5 3" xfId="8922" xr:uid="{00000000-0005-0000-0000-00003C200000}"/>
    <cellStyle name="표준 5 2 2 2 2 3 3 5 3 2" xfId="29628" xr:uid="{00000000-0005-0000-0000-00003D200000}"/>
    <cellStyle name="표준 5 2 2 2 2 3 3 5 3 3" xfId="37839" xr:uid="{00000000-0005-0000-0000-00003E200000}"/>
    <cellStyle name="표준 5 2 2 2 2 3 3 5 3 4" xfId="46032" xr:uid="{00000000-0005-0000-0000-00003F200000}"/>
    <cellStyle name="표준 5 2 2 2 2 3 3 5 4" xfId="13034" xr:uid="{00000000-0005-0000-0000-000040200000}"/>
    <cellStyle name="표준 5 2 2 2 2 3 3 5 5" xfId="17274" xr:uid="{00000000-0005-0000-0000-000041200000}"/>
    <cellStyle name="표준 5 2 2 2 2 3 3 5 6" xfId="21436" xr:uid="{00000000-0005-0000-0000-000042200000}"/>
    <cellStyle name="표준 5 2 2 2 2 3 3 5 7" xfId="25532" xr:uid="{00000000-0005-0000-0000-000043200000}"/>
    <cellStyle name="표준 5 2 2 2 2 3 3 5 8" xfId="33743" xr:uid="{00000000-0005-0000-0000-000044200000}"/>
    <cellStyle name="표준 5 2 2 2 2 3 3 5 9" xfId="41936" xr:uid="{00000000-0005-0000-0000-000045200000}"/>
    <cellStyle name="표준 5 2 2 2 2 3 3 6" xfId="9434" xr:uid="{00000000-0005-0000-0000-000046200000}"/>
    <cellStyle name="표준 5 2 2 2 2 3 3 6 2" xfId="13546" xr:uid="{00000000-0005-0000-0000-000047200000}"/>
    <cellStyle name="표준 5 2 2 2 2 3 3 6 2 2" xfId="30140" xr:uid="{00000000-0005-0000-0000-000048200000}"/>
    <cellStyle name="표준 5 2 2 2 2 3 3 6 2 3" xfId="38351" xr:uid="{00000000-0005-0000-0000-000049200000}"/>
    <cellStyle name="표준 5 2 2 2 2 3 3 6 2 4" xfId="46544" xr:uid="{00000000-0005-0000-0000-00004A200000}"/>
    <cellStyle name="표준 5 2 2 2 2 3 3 6 3" xfId="17786" xr:uid="{00000000-0005-0000-0000-00004B200000}"/>
    <cellStyle name="표준 5 2 2 2 2 3 3 6 4" xfId="21948" xr:uid="{00000000-0005-0000-0000-00004C200000}"/>
    <cellStyle name="표준 5 2 2 2 2 3 3 6 5" xfId="26044" xr:uid="{00000000-0005-0000-0000-00004D200000}"/>
    <cellStyle name="표준 5 2 2 2 2 3 3 6 6" xfId="34255" xr:uid="{00000000-0005-0000-0000-00004E200000}"/>
    <cellStyle name="표준 5 2 2 2 2 3 3 6 7" xfId="42448" xr:uid="{00000000-0005-0000-0000-00004F200000}"/>
    <cellStyle name="표준 5 2 2 2 2 3 3 7" xfId="7386" xr:uid="{00000000-0005-0000-0000-000050200000}"/>
    <cellStyle name="표준 5 2 2 2 2 3 3 7 2" xfId="28092" xr:uid="{00000000-0005-0000-0000-000051200000}"/>
    <cellStyle name="표준 5 2 2 2 2 3 3 7 3" xfId="36303" xr:uid="{00000000-0005-0000-0000-000052200000}"/>
    <cellStyle name="표준 5 2 2 2 2 3 3 7 4" xfId="44496" xr:uid="{00000000-0005-0000-0000-000053200000}"/>
    <cellStyle name="표준 5 2 2 2 2 3 3 8" xfId="11498" xr:uid="{00000000-0005-0000-0000-000054200000}"/>
    <cellStyle name="표준 5 2 2 2 2 3 3 9" xfId="15738" xr:uid="{00000000-0005-0000-0000-000055200000}"/>
    <cellStyle name="표준 5 2 2 2 2 3 4" xfId="659" xr:uid="{00000000-0005-0000-0000-000056200000}"/>
    <cellStyle name="표준 5 2 2 2 2 3 4 10" xfId="24124" xr:uid="{00000000-0005-0000-0000-000057200000}"/>
    <cellStyle name="표준 5 2 2 2 2 3 4 11" xfId="32335" xr:uid="{00000000-0005-0000-0000-000058200000}"/>
    <cellStyle name="표준 5 2 2 2 2 3 4 12" xfId="40528" xr:uid="{00000000-0005-0000-0000-000059200000}"/>
    <cellStyle name="표준 5 2 2 2 2 3 4 2" xfId="1171" xr:uid="{00000000-0005-0000-0000-00005A200000}"/>
    <cellStyle name="표준 5 2 2 2 2 3 4 2 2" xfId="10074" xr:uid="{00000000-0005-0000-0000-00005B200000}"/>
    <cellStyle name="표준 5 2 2 2 2 3 4 2 2 2" xfId="14186" xr:uid="{00000000-0005-0000-0000-00005C200000}"/>
    <cellStyle name="표준 5 2 2 2 2 3 4 2 2 2 2" xfId="30780" xr:uid="{00000000-0005-0000-0000-00005D200000}"/>
    <cellStyle name="표준 5 2 2 2 2 3 4 2 2 2 3" xfId="38991" xr:uid="{00000000-0005-0000-0000-00005E200000}"/>
    <cellStyle name="표준 5 2 2 2 2 3 4 2 2 2 4" xfId="47184" xr:uid="{00000000-0005-0000-0000-00005F200000}"/>
    <cellStyle name="표준 5 2 2 2 2 3 4 2 2 3" xfId="18426" xr:uid="{00000000-0005-0000-0000-000060200000}"/>
    <cellStyle name="표준 5 2 2 2 2 3 4 2 2 4" xfId="22588" xr:uid="{00000000-0005-0000-0000-000061200000}"/>
    <cellStyle name="표준 5 2 2 2 2 3 4 2 2 5" xfId="26684" xr:uid="{00000000-0005-0000-0000-000062200000}"/>
    <cellStyle name="표준 5 2 2 2 2 3 4 2 2 6" xfId="34895" xr:uid="{00000000-0005-0000-0000-000063200000}"/>
    <cellStyle name="표준 5 2 2 2 2 3 4 2 2 7" xfId="43088" xr:uid="{00000000-0005-0000-0000-000064200000}"/>
    <cellStyle name="표준 5 2 2 2 2 3 4 2 3" xfId="8026" xr:uid="{00000000-0005-0000-0000-000065200000}"/>
    <cellStyle name="표준 5 2 2 2 2 3 4 2 3 2" xfId="28732" xr:uid="{00000000-0005-0000-0000-000066200000}"/>
    <cellStyle name="표준 5 2 2 2 2 3 4 2 3 3" xfId="36943" xr:uid="{00000000-0005-0000-0000-000067200000}"/>
    <cellStyle name="표준 5 2 2 2 2 3 4 2 3 4" xfId="45136" xr:uid="{00000000-0005-0000-0000-000068200000}"/>
    <cellStyle name="표준 5 2 2 2 2 3 4 2 4" xfId="12138" xr:uid="{00000000-0005-0000-0000-000069200000}"/>
    <cellStyle name="표준 5 2 2 2 2 3 4 2 5" xfId="16378" xr:uid="{00000000-0005-0000-0000-00006A200000}"/>
    <cellStyle name="표준 5 2 2 2 2 3 4 2 6" xfId="20540" xr:uid="{00000000-0005-0000-0000-00006B200000}"/>
    <cellStyle name="표준 5 2 2 2 2 3 4 2 7" xfId="24636" xr:uid="{00000000-0005-0000-0000-00006C200000}"/>
    <cellStyle name="표준 5 2 2 2 2 3 4 2 8" xfId="32847" xr:uid="{00000000-0005-0000-0000-00006D200000}"/>
    <cellStyle name="표준 5 2 2 2 2 3 4 2 9" xfId="41040" xr:uid="{00000000-0005-0000-0000-00006E200000}"/>
    <cellStyle name="표준 5 2 2 2 2 3 4 3" xfId="1683" xr:uid="{00000000-0005-0000-0000-00006F200000}"/>
    <cellStyle name="표준 5 2 2 2 2 3 4 3 2" xfId="10586" xr:uid="{00000000-0005-0000-0000-000070200000}"/>
    <cellStyle name="표준 5 2 2 2 2 3 4 3 2 2" xfId="14698" xr:uid="{00000000-0005-0000-0000-000071200000}"/>
    <cellStyle name="표준 5 2 2 2 2 3 4 3 2 2 2" xfId="31292" xr:uid="{00000000-0005-0000-0000-000072200000}"/>
    <cellStyle name="표준 5 2 2 2 2 3 4 3 2 2 3" xfId="39503" xr:uid="{00000000-0005-0000-0000-000073200000}"/>
    <cellStyle name="표준 5 2 2 2 2 3 4 3 2 2 4" xfId="47696" xr:uid="{00000000-0005-0000-0000-000074200000}"/>
    <cellStyle name="표준 5 2 2 2 2 3 4 3 2 3" xfId="18938" xr:uid="{00000000-0005-0000-0000-000075200000}"/>
    <cellStyle name="표준 5 2 2 2 2 3 4 3 2 4" xfId="23100" xr:uid="{00000000-0005-0000-0000-000076200000}"/>
    <cellStyle name="표준 5 2 2 2 2 3 4 3 2 5" xfId="27196" xr:uid="{00000000-0005-0000-0000-000077200000}"/>
    <cellStyle name="표준 5 2 2 2 2 3 4 3 2 6" xfId="35407" xr:uid="{00000000-0005-0000-0000-000078200000}"/>
    <cellStyle name="표준 5 2 2 2 2 3 4 3 2 7" xfId="43600" xr:uid="{00000000-0005-0000-0000-000079200000}"/>
    <cellStyle name="표준 5 2 2 2 2 3 4 3 3" xfId="8538" xr:uid="{00000000-0005-0000-0000-00007A200000}"/>
    <cellStyle name="표준 5 2 2 2 2 3 4 3 3 2" xfId="29244" xr:uid="{00000000-0005-0000-0000-00007B200000}"/>
    <cellStyle name="표준 5 2 2 2 2 3 4 3 3 3" xfId="37455" xr:uid="{00000000-0005-0000-0000-00007C200000}"/>
    <cellStyle name="표준 5 2 2 2 2 3 4 3 3 4" xfId="45648" xr:uid="{00000000-0005-0000-0000-00007D200000}"/>
    <cellStyle name="표준 5 2 2 2 2 3 4 3 4" xfId="12650" xr:uid="{00000000-0005-0000-0000-00007E200000}"/>
    <cellStyle name="표준 5 2 2 2 2 3 4 3 5" xfId="16890" xr:uid="{00000000-0005-0000-0000-00007F200000}"/>
    <cellStyle name="표준 5 2 2 2 2 3 4 3 6" xfId="21052" xr:uid="{00000000-0005-0000-0000-000080200000}"/>
    <cellStyle name="표준 5 2 2 2 2 3 4 3 7" xfId="25148" xr:uid="{00000000-0005-0000-0000-000081200000}"/>
    <cellStyle name="표준 5 2 2 2 2 3 4 3 8" xfId="33359" xr:uid="{00000000-0005-0000-0000-000082200000}"/>
    <cellStyle name="표준 5 2 2 2 2 3 4 3 9" xfId="41552" xr:uid="{00000000-0005-0000-0000-000083200000}"/>
    <cellStyle name="표준 5 2 2 2 2 3 4 4" xfId="2195" xr:uid="{00000000-0005-0000-0000-000084200000}"/>
    <cellStyle name="표준 5 2 2 2 2 3 4 4 2" xfId="11098" xr:uid="{00000000-0005-0000-0000-000085200000}"/>
    <cellStyle name="표준 5 2 2 2 2 3 4 4 2 2" xfId="15210" xr:uid="{00000000-0005-0000-0000-000086200000}"/>
    <cellStyle name="표준 5 2 2 2 2 3 4 4 2 2 2" xfId="31804" xr:uid="{00000000-0005-0000-0000-000087200000}"/>
    <cellStyle name="표준 5 2 2 2 2 3 4 4 2 2 3" xfId="40015" xr:uid="{00000000-0005-0000-0000-000088200000}"/>
    <cellStyle name="표준 5 2 2 2 2 3 4 4 2 2 4" xfId="48208" xr:uid="{00000000-0005-0000-0000-000089200000}"/>
    <cellStyle name="표준 5 2 2 2 2 3 4 4 2 3" xfId="19450" xr:uid="{00000000-0005-0000-0000-00008A200000}"/>
    <cellStyle name="표준 5 2 2 2 2 3 4 4 2 4" xfId="23612" xr:uid="{00000000-0005-0000-0000-00008B200000}"/>
    <cellStyle name="표준 5 2 2 2 2 3 4 4 2 5" xfId="27708" xr:uid="{00000000-0005-0000-0000-00008C200000}"/>
    <cellStyle name="표준 5 2 2 2 2 3 4 4 2 6" xfId="35919" xr:uid="{00000000-0005-0000-0000-00008D200000}"/>
    <cellStyle name="표준 5 2 2 2 2 3 4 4 2 7" xfId="44112" xr:uid="{00000000-0005-0000-0000-00008E200000}"/>
    <cellStyle name="표준 5 2 2 2 2 3 4 4 3" xfId="9050" xr:uid="{00000000-0005-0000-0000-00008F200000}"/>
    <cellStyle name="표준 5 2 2 2 2 3 4 4 3 2" xfId="29756" xr:uid="{00000000-0005-0000-0000-000090200000}"/>
    <cellStyle name="표준 5 2 2 2 2 3 4 4 3 3" xfId="37967" xr:uid="{00000000-0005-0000-0000-000091200000}"/>
    <cellStyle name="표준 5 2 2 2 2 3 4 4 3 4" xfId="46160" xr:uid="{00000000-0005-0000-0000-000092200000}"/>
    <cellStyle name="표준 5 2 2 2 2 3 4 4 4" xfId="13162" xr:uid="{00000000-0005-0000-0000-000093200000}"/>
    <cellStyle name="표준 5 2 2 2 2 3 4 4 5" xfId="17402" xr:uid="{00000000-0005-0000-0000-000094200000}"/>
    <cellStyle name="표준 5 2 2 2 2 3 4 4 6" xfId="21564" xr:uid="{00000000-0005-0000-0000-000095200000}"/>
    <cellStyle name="표준 5 2 2 2 2 3 4 4 7" xfId="25660" xr:uid="{00000000-0005-0000-0000-000096200000}"/>
    <cellStyle name="표준 5 2 2 2 2 3 4 4 8" xfId="33871" xr:uid="{00000000-0005-0000-0000-000097200000}"/>
    <cellStyle name="표준 5 2 2 2 2 3 4 4 9" xfId="42064" xr:uid="{00000000-0005-0000-0000-000098200000}"/>
    <cellStyle name="표준 5 2 2 2 2 3 4 5" xfId="9562" xr:uid="{00000000-0005-0000-0000-000099200000}"/>
    <cellStyle name="표준 5 2 2 2 2 3 4 5 2" xfId="13674" xr:uid="{00000000-0005-0000-0000-00009A200000}"/>
    <cellStyle name="표준 5 2 2 2 2 3 4 5 2 2" xfId="30268" xr:uid="{00000000-0005-0000-0000-00009B200000}"/>
    <cellStyle name="표준 5 2 2 2 2 3 4 5 2 3" xfId="38479" xr:uid="{00000000-0005-0000-0000-00009C200000}"/>
    <cellStyle name="표준 5 2 2 2 2 3 4 5 2 4" xfId="46672" xr:uid="{00000000-0005-0000-0000-00009D200000}"/>
    <cellStyle name="표준 5 2 2 2 2 3 4 5 3" xfId="17914" xr:uid="{00000000-0005-0000-0000-00009E200000}"/>
    <cellStyle name="표준 5 2 2 2 2 3 4 5 4" xfId="22076" xr:uid="{00000000-0005-0000-0000-00009F200000}"/>
    <cellStyle name="표준 5 2 2 2 2 3 4 5 5" xfId="26172" xr:uid="{00000000-0005-0000-0000-0000A0200000}"/>
    <cellStyle name="표준 5 2 2 2 2 3 4 5 6" xfId="34383" xr:uid="{00000000-0005-0000-0000-0000A1200000}"/>
    <cellStyle name="표준 5 2 2 2 2 3 4 5 7" xfId="42576" xr:uid="{00000000-0005-0000-0000-0000A2200000}"/>
    <cellStyle name="표준 5 2 2 2 2 3 4 6" xfId="7514" xr:uid="{00000000-0005-0000-0000-0000A3200000}"/>
    <cellStyle name="표준 5 2 2 2 2 3 4 6 2" xfId="28220" xr:uid="{00000000-0005-0000-0000-0000A4200000}"/>
    <cellStyle name="표준 5 2 2 2 2 3 4 6 3" xfId="36431" xr:uid="{00000000-0005-0000-0000-0000A5200000}"/>
    <cellStyle name="표준 5 2 2 2 2 3 4 6 4" xfId="44624" xr:uid="{00000000-0005-0000-0000-0000A6200000}"/>
    <cellStyle name="표준 5 2 2 2 2 3 4 7" xfId="11626" xr:uid="{00000000-0005-0000-0000-0000A7200000}"/>
    <cellStyle name="표준 5 2 2 2 2 3 4 8" xfId="15866" xr:uid="{00000000-0005-0000-0000-0000A8200000}"/>
    <cellStyle name="표준 5 2 2 2 2 3 4 9" xfId="20028" xr:uid="{00000000-0005-0000-0000-0000A9200000}"/>
    <cellStyle name="표준 5 2 2 2 2 3 5" xfId="915" xr:uid="{00000000-0005-0000-0000-0000AA200000}"/>
    <cellStyle name="표준 5 2 2 2 2 3 5 2" xfId="9818" xr:uid="{00000000-0005-0000-0000-0000AB200000}"/>
    <cellStyle name="표준 5 2 2 2 2 3 5 2 2" xfId="13930" xr:uid="{00000000-0005-0000-0000-0000AC200000}"/>
    <cellStyle name="표준 5 2 2 2 2 3 5 2 2 2" xfId="30524" xr:uid="{00000000-0005-0000-0000-0000AD200000}"/>
    <cellStyle name="표준 5 2 2 2 2 3 5 2 2 3" xfId="38735" xr:uid="{00000000-0005-0000-0000-0000AE200000}"/>
    <cellStyle name="표준 5 2 2 2 2 3 5 2 2 4" xfId="46928" xr:uid="{00000000-0005-0000-0000-0000AF200000}"/>
    <cellStyle name="표준 5 2 2 2 2 3 5 2 3" xfId="18170" xr:uid="{00000000-0005-0000-0000-0000B0200000}"/>
    <cellStyle name="표준 5 2 2 2 2 3 5 2 4" xfId="22332" xr:uid="{00000000-0005-0000-0000-0000B1200000}"/>
    <cellStyle name="표준 5 2 2 2 2 3 5 2 5" xfId="26428" xr:uid="{00000000-0005-0000-0000-0000B2200000}"/>
    <cellStyle name="표준 5 2 2 2 2 3 5 2 6" xfId="34639" xr:uid="{00000000-0005-0000-0000-0000B3200000}"/>
    <cellStyle name="표준 5 2 2 2 2 3 5 2 7" xfId="42832" xr:uid="{00000000-0005-0000-0000-0000B4200000}"/>
    <cellStyle name="표준 5 2 2 2 2 3 5 3" xfId="7770" xr:uid="{00000000-0005-0000-0000-0000B5200000}"/>
    <cellStyle name="표준 5 2 2 2 2 3 5 3 2" xfId="28476" xr:uid="{00000000-0005-0000-0000-0000B6200000}"/>
    <cellStyle name="표준 5 2 2 2 2 3 5 3 3" xfId="36687" xr:uid="{00000000-0005-0000-0000-0000B7200000}"/>
    <cellStyle name="표준 5 2 2 2 2 3 5 3 4" xfId="44880" xr:uid="{00000000-0005-0000-0000-0000B8200000}"/>
    <cellStyle name="표준 5 2 2 2 2 3 5 4" xfId="11882" xr:uid="{00000000-0005-0000-0000-0000B9200000}"/>
    <cellStyle name="표준 5 2 2 2 2 3 5 5" xfId="16122" xr:uid="{00000000-0005-0000-0000-0000BA200000}"/>
    <cellStyle name="표준 5 2 2 2 2 3 5 6" xfId="20284" xr:uid="{00000000-0005-0000-0000-0000BB200000}"/>
    <cellStyle name="표준 5 2 2 2 2 3 5 7" xfId="24380" xr:uid="{00000000-0005-0000-0000-0000BC200000}"/>
    <cellStyle name="표준 5 2 2 2 2 3 5 8" xfId="32591" xr:uid="{00000000-0005-0000-0000-0000BD200000}"/>
    <cellStyle name="표준 5 2 2 2 2 3 5 9" xfId="40784" xr:uid="{00000000-0005-0000-0000-0000BE200000}"/>
    <cellStyle name="표준 5 2 2 2 2 3 6" xfId="1427" xr:uid="{00000000-0005-0000-0000-0000BF200000}"/>
    <cellStyle name="표준 5 2 2 2 2 3 6 2" xfId="10330" xr:uid="{00000000-0005-0000-0000-0000C0200000}"/>
    <cellStyle name="표준 5 2 2 2 2 3 6 2 2" xfId="14442" xr:uid="{00000000-0005-0000-0000-0000C1200000}"/>
    <cellStyle name="표준 5 2 2 2 2 3 6 2 2 2" xfId="31036" xr:uid="{00000000-0005-0000-0000-0000C2200000}"/>
    <cellStyle name="표준 5 2 2 2 2 3 6 2 2 3" xfId="39247" xr:uid="{00000000-0005-0000-0000-0000C3200000}"/>
    <cellStyle name="표준 5 2 2 2 2 3 6 2 2 4" xfId="47440" xr:uid="{00000000-0005-0000-0000-0000C4200000}"/>
    <cellStyle name="표준 5 2 2 2 2 3 6 2 3" xfId="18682" xr:uid="{00000000-0005-0000-0000-0000C5200000}"/>
    <cellStyle name="표준 5 2 2 2 2 3 6 2 4" xfId="22844" xr:uid="{00000000-0005-0000-0000-0000C6200000}"/>
    <cellStyle name="표준 5 2 2 2 2 3 6 2 5" xfId="26940" xr:uid="{00000000-0005-0000-0000-0000C7200000}"/>
    <cellStyle name="표준 5 2 2 2 2 3 6 2 6" xfId="35151" xr:uid="{00000000-0005-0000-0000-0000C8200000}"/>
    <cellStyle name="표준 5 2 2 2 2 3 6 2 7" xfId="43344" xr:uid="{00000000-0005-0000-0000-0000C9200000}"/>
    <cellStyle name="표준 5 2 2 2 2 3 6 3" xfId="8282" xr:uid="{00000000-0005-0000-0000-0000CA200000}"/>
    <cellStyle name="표준 5 2 2 2 2 3 6 3 2" xfId="28988" xr:uid="{00000000-0005-0000-0000-0000CB200000}"/>
    <cellStyle name="표준 5 2 2 2 2 3 6 3 3" xfId="37199" xr:uid="{00000000-0005-0000-0000-0000CC200000}"/>
    <cellStyle name="표준 5 2 2 2 2 3 6 3 4" xfId="45392" xr:uid="{00000000-0005-0000-0000-0000CD200000}"/>
    <cellStyle name="표준 5 2 2 2 2 3 6 4" xfId="12394" xr:uid="{00000000-0005-0000-0000-0000CE200000}"/>
    <cellStyle name="표준 5 2 2 2 2 3 6 5" xfId="16634" xr:uid="{00000000-0005-0000-0000-0000CF200000}"/>
    <cellStyle name="표준 5 2 2 2 2 3 6 6" xfId="20796" xr:uid="{00000000-0005-0000-0000-0000D0200000}"/>
    <cellStyle name="표준 5 2 2 2 2 3 6 7" xfId="24892" xr:uid="{00000000-0005-0000-0000-0000D1200000}"/>
    <cellStyle name="표준 5 2 2 2 2 3 6 8" xfId="33103" xr:uid="{00000000-0005-0000-0000-0000D2200000}"/>
    <cellStyle name="표준 5 2 2 2 2 3 6 9" xfId="41296" xr:uid="{00000000-0005-0000-0000-0000D3200000}"/>
    <cellStyle name="표준 5 2 2 2 2 3 7" xfId="1939" xr:uid="{00000000-0005-0000-0000-0000D4200000}"/>
    <cellStyle name="표준 5 2 2 2 2 3 7 2" xfId="10842" xr:uid="{00000000-0005-0000-0000-0000D5200000}"/>
    <cellStyle name="표준 5 2 2 2 2 3 7 2 2" xfId="14954" xr:uid="{00000000-0005-0000-0000-0000D6200000}"/>
    <cellStyle name="표준 5 2 2 2 2 3 7 2 2 2" xfId="31548" xr:uid="{00000000-0005-0000-0000-0000D7200000}"/>
    <cellStyle name="표준 5 2 2 2 2 3 7 2 2 3" xfId="39759" xr:uid="{00000000-0005-0000-0000-0000D8200000}"/>
    <cellStyle name="표준 5 2 2 2 2 3 7 2 2 4" xfId="47952" xr:uid="{00000000-0005-0000-0000-0000D9200000}"/>
    <cellStyle name="표준 5 2 2 2 2 3 7 2 3" xfId="19194" xr:uid="{00000000-0005-0000-0000-0000DA200000}"/>
    <cellStyle name="표준 5 2 2 2 2 3 7 2 4" xfId="23356" xr:uid="{00000000-0005-0000-0000-0000DB200000}"/>
    <cellStyle name="표준 5 2 2 2 2 3 7 2 5" xfId="27452" xr:uid="{00000000-0005-0000-0000-0000DC200000}"/>
    <cellStyle name="표준 5 2 2 2 2 3 7 2 6" xfId="35663" xr:uid="{00000000-0005-0000-0000-0000DD200000}"/>
    <cellStyle name="표준 5 2 2 2 2 3 7 2 7" xfId="43856" xr:uid="{00000000-0005-0000-0000-0000DE200000}"/>
    <cellStyle name="표준 5 2 2 2 2 3 7 3" xfId="8794" xr:uid="{00000000-0005-0000-0000-0000DF200000}"/>
    <cellStyle name="표준 5 2 2 2 2 3 7 3 2" xfId="29500" xr:uid="{00000000-0005-0000-0000-0000E0200000}"/>
    <cellStyle name="표준 5 2 2 2 2 3 7 3 3" xfId="37711" xr:uid="{00000000-0005-0000-0000-0000E1200000}"/>
    <cellStyle name="표준 5 2 2 2 2 3 7 3 4" xfId="45904" xr:uid="{00000000-0005-0000-0000-0000E2200000}"/>
    <cellStyle name="표준 5 2 2 2 2 3 7 4" xfId="12906" xr:uid="{00000000-0005-0000-0000-0000E3200000}"/>
    <cellStyle name="표준 5 2 2 2 2 3 7 5" xfId="17146" xr:uid="{00000000-0005-0000-0000-0000E4200000}"/>
    <cellStyle name="표준 5 2 2 2 2 3 7 6" xfId="21308" xr:uid="{00000000-0005-0000-0000-0000E5200000}"/>
    <cellStyle name="표준 5 2 2 2 2 3 7 7" xfId="25404" xr:uid="{00000000-0005-0000-0000-0000E6200000}"/>
    <cellStyle name="표준 5 2 2 2 2 3 7 8" xfId="33615" xr:uid="{00000000-0005-0000-0000-0000E7200000}"/>
    <cellStyle name="표준 5 2 2 2 2 3 7 9" xfId="41808" xr:uid="{00000000-0005-0000-0000-0000E8200000}"/>
    <cellStyle name="표준 5 2 2 2 2 3 8" xfId="403" xr:uid="{00000000-0005-0000-0000-0000E9200000}"/>
    <cellStyle name="표준 5 2 2 2 2 3 8 2" xfId="9306" xr:uid="{00000000-0005-0000-0000-0000EA200000}"/>
    <cellStyle name="표준 5 2 2 2 2 3 8 2 2" xfId="30012" xr:uid="{00000000-0005-0000-0000-0000EB200000}"/>
    <cellStyle name="표준 5 2 2 2 2 3 8 2 3" xfId="38223" xr:uid="{00000000-0005-0000-0000-0000EC200000}"/>
    <cellStyle name="표준 5 2 2 2 2 3 8 2 4" xfId="46416" xr:uid="{00000000-0005-0000-0000-0000ED200000}"/>
    <cellStyle name="표준 5 2 2 2 2 3 8 3" xfId="13418" xr:uid="{00000000-0005-0000-0000-0000EE200000}"/>
    <cellStyle name="표준 5 2 2 2 2 3 8 4" xfId="17658" xr:uid="{00000000-0005-0000-0000-0000EF200000}"/>
    <cellStyle name="표준 5 2 2 2 2 3 8 5" xfId="21820" xr:uid="{00000000-0005-0000-0000-0000F0200000}"/>
    <cellStyle name="표준 5 2 2 2 2 3 8 6" xfId="25916" xr:uid="{00000000-0005-0000-0000-0000F1200000}"/>
    <cellStyle name="표준 5 2 2 2 2 3 8 7" xfId="34127" xr:uid="{00000000-0005-0000-0000-0000F2200000}"/>
    <cellStyle name="표준 5 2 2 2 2 3 8 8" xfId="42320" xr:uid="{00000000-0005-0000-0000-0000F3200000}"/>
    <cellStyle name="표준 5 2 2 2 2 3 9" xfId="7005" xr:uid="{00000000-0005-0000-0000-0000F4200000}"/>
    <cellStyle name="표준 5 2 2 2 2 3 9 2" xfId="27964" xr:uid="{00000000-0005-0000-0000-0000F5200000}"/>
    <cellStyle name="표준 5 2 2 2 2 3 9 3" xfId="36175" xr:uid="{00000000-0005-0000-0000-0000F6200000}"/>
    <cellStyle name="표준 5 2 2 2 2 3 9 4" xfId="44368" xr:uid="{00000000-0005-0000-0000-0000F7200000}"/>
    <cellStyle name="표준 5 2 2 2 2 30" xfId="32030" xr:uid="{00000000-0005-0000-0000-0000F8200000}"/>
    <cellStyle name="표준 5 2 2 2 2 31" xfId="32047" xr:uid="{00000000-0005-0000-0000-0000F9200000}"/>
    <cellStyle name="표준 5 2 2 2 2 32" xfId="40240" xr:uid="{00000000-0005-0000-0000-0000FA200000}"/>
    <cellStyle name="표준 5 2 2 2 2 33" xfId="48442" xr:uid="{00000000-0005-0000-0000-0000FB200000}"/>
    <cellStyle name="표준 5 2 2 2 2 4" xfId="435" xr:uid="{00000000-0005-0000-0000-0000FC200000}"/>
    <cellStyle name="표준 5 2 2 2 2 4 10" xfId="11402" xr:uid="{00000000-0005-0000-0000-0000FD200000}"/>
    <cellStyle name="표준 5 2 2 2 2 4 11" xfId="15514" xr:uid="{00000000-0005-0000-0000-0000FE200000}"/>
    <cellStyle name="표준 5 2 2 2 2 4 12" xfId="15642" xr:uid="{00000000-0005-0000-0000-0000FF200000}"/>
    <cellStyle name="표준 5 2 2 2 2 4 13" xfId="19804" xr:uid="{00000000-0005-0000-0000-000000210000}"/>
    <cellStyle name="표준 5 2 2 2 2 4 14" xfId="23900" xr:uid="{00000000-0005-0000-0000-000001210000}"/>
    <cellStyle name="표준 5 2 2 2 2 4 15" xfId="32111" xr:uid="{00000000-0005-0000-0000-000002210000}"/>
    <cellStyle name="표준 5 2 2 2 2 4 16" xfId="40304" xr:uid="{00000000-0005-0000-0000-000003210000}"/>
    <cellStyle name="표준 5 2 2 2 2 4 2" xfId="563" xr:uid="{00000000-0005-0000-0000-000004210000}"/>
    <cellStyle name="표준 5 2 2 2 2 4 2 10" xfId="19932" xr:uid="{00000000-0005-0000-0000-000005210000}"/>
    <cellStyle name="표준 5 2 2 2 2 4 2 11" xfId="24028" xr:uid="{00000000-0005-0000-0000-000006210000}"/>
    <cellStyle name="표준 5 2 2 2 2 4 2 12" xfId="32239" xr:uid="{00000000-0005-0000-0000-000007210000}"/>
    <cellStyle name="표준 5 2 2 2 2 4 2 13" xfId="40432" xr:uid="{00000000-0005-0000-0000-000008210000}"/>
    <cellStyle name="표준 5 2 2 2 2 4 2 2" xfId="819" xr:uid="{00000000-0005-0000-0000-000009210000}"/>
    <cellStyle name="표준 5 2 2 2 2 4 2 2 10" xfId="24284" xr:uid="{00000000-0005-0000-0000-00000A210000}"/>
    <cellStyle name="표준 5 2 2 2 2 4 2 2 11" xfId="32495" xr:uid="{00000000-0005-0000-0000-00000B210000}"/>
    <cellStyle name="표준 5 2 2 2 2 4 2 2 12" xfId="40688" xr:uid="{00000000-0005-0000-0000-00000C210000}"/>
    <cellStyle name="표준 5 2 2 2 2 4 2 2 2" xfId="1331" xr:uid="{00000000-0005-0000-0000-00000D210000}"/>
    <cellStyle name="표준 5 2 2 2 2 4 2 2 2 2" xfId="10234" xr:uid="{00000000-0005-0000-0000-00000E210000}"/>
    <cellStyle name="표준 5 2 2 2 2 4 2 2 2 2 2" xfId="14346" xr:uid="{00000000-0005-0000-0000-00000F210000}"/>
    <cellStyle name="표준 5 2 2 2 2 4 2 2 2 2 2 2" xfId="30940" xr:uid="{00000000-0005-0000-0000-000010210000}"/>
    <cellStyle name="표준 5 2 2 2 2 4 2 2 2 2 2 3" xfId="39151" xr:uid="{00000000-0005-0000-0000-000011210000}"/>
    <cellStyle name="표준 5 2 2 2 2 4 2 2 2 2 2 4" xfId="47344" xr:uid="{00000000-0005-0000-0000-000012210000}"/>
    <cellStyle name="표준 5 2 2 2 2 4 2 2 2 2 3" xfId="18586" xr:uid="{00000000-0005-0000-0000-000013210000}"/>
    <cellStyle name="표준 5 2 2 2 2 4 2 2 2 2 4" xfId="22748" xr:uid="{00000000-0005-0000-0000-000014210000}"/>
    <cellStyle name="표준 5 2 2 2 2 4 2 2 2 2 5" xfId="26844" xr:uid="{00000000-0005-0000-0000-000015210000}"/>
    <cellStyle name="표준 5 2 2 2 2 4 2 2 2 2 6" xfId="35055" xr:uid="{00000000-0005-0000-0000-000016210000}"/>
    <cellStyle name="표준 5 2 2 2 2 4 2 2 2 2 7" xfId="43248" xr:uid="{00000000-0005-0000-0000-000017210000}"/>
    <cellStyle name="표준 5 2 2 2 2 4 2 2 2 3" xfId="8186" xr:uid="{00000000-0005-0000-0000-000018210000}"/>
    <cellStyle name="표준 5 2 2 2 2 4 2 2 2 3 2" xfId="28892" xr:uid="{00000000-0005-0000-0000-000019210000}"/>
    <cellStyle name="표준 5 2 2 2 2 4 2 2 2 3 3" xfId="37103" xr:uid="{00000000-0005-0000-0000-00001A210000}"/>
    <cellStyle name="표준 5 2 2 2 2 4 2 2 2 3 4" xfId="45296" xr:uid="{00000000-0005-0000-0000-00001B210000}"/>
    <cellStyle name="표준 5 2 2 2 2 4 2 2 2 4" xfId="12298" xr:uid="{00000000-0005-0000-0000-00001C210000}"/>
    <cellStyle name="표준 5 2 2 2 2 4 2 2 2 5" xfId="16538" xr:uid="{00000000-0005-0000-0000-00001D210000}"/>
    <cellStyle name="표준 5 2 2 2 2 4 2 2 2 6" xfId="20700" xr:uid="{00000000-0005-0000-0000-00001E210000}"/>
    <cellStyle name="표준 5 2 2 2 2 4 2 2 2 7" xfId="24796" xr:uid="{00000000-0005-0000-0000-00001F210000}"/>
    <cellStyle name="표준 5 2 2 2 2 4 2 2 2 8" xfId="33007" xr:uid="{00000000-0005-0000-0000-000020210000}"/>
    <cellStyle name="표준 5 2 2 2 2 4 2 2 2 9" xfId="41200" xr:uid="{00000000-0005-0000-0000-000021210000}"/>
    <cellStyle name="표준 5 2 2 2 2 4 2 2 3" xfId="1843" xr:uid="{00000000-0005-0000-0000-000022210000}"/>
    <cellStyle name="표준 5 2 2 2 2 4 2 2 3 2" xfId="10746" xr:uid="{00000000-0005-0000-0000-000023210000}"/>
    <cellStyle name="표준 5 2 2 2 2 4 2 2 3 2 2" xfId="14858" xr:uid="{00000000-0005-0000-0000-000024210000}"/>
    <cellStyle name="표준 5 2 2 2 2 4 2 2 3 2 2 2" xfId="31452" xr:uid="{00000000-0005-0000-0000-000025210000}"/>
    <cellStyle name="표준 5 2 2 2 2 4 2 2 3 2 2 3" xfId="39663" xr:uid="{00000000-0005-0000-0000-000026210000}"/>
    <cellStyle name="표준 5 2 2 2 2 4 2 2 3 2 2 4" xfId="47856" xr:uid="{00000000-0005-0000-0000-000027210000}"/>
    <cellStyle name="표준 5 2 2 2 2 4 2 2 3 2 3" xfId="19098" xr:uid="{00000000-0005-0000-0000-000028210000}"/>
    <cellStyle name="표준 5 2 2 2 2 4 2 2 3 2 4" xfId="23260" xr:uid="{00000000-0005-0000-0000-000029210000}"/>
    <cellStyle name="표준 5 2 2 2 2 4 2 2 3 2 5" xfId="27356" xr:uid="{00000000-0005-0000-0000-00002A210000}"/>
    <cellStyle name="표준 5 2 2 2 2 4 2 2 3 2 6" xfId="35567" xr:uid="{00000000-0005-0000-0000-00002B210000}"/>
    <cellStyle name="표준 5 2 2 2 2 4 2 2 3 2 7" xfId="43760" xr:uid="{00000000-0005-0000-0000-00002C210000}"/>
    <cellStyle name="표준 5 2 2 2 2 4 2 2 3 3" xfId="8698" xr:uid="{00000000-0005-0000-0000-00002D210000}"/>
    <cellStyle name="표준 5 2 2 2 2 4 2 2 3 3 2" xfId="29404" xr:uid="{00000000-0005-0000-0000-00002E210000}"/>
    <cellStyle name="표준 5 2 2 2 2 4 2 2 3 3 3" xfId="37615" xr:uid="{00000000-0005-0000-0000-00002F210000}"/>
    <cellStyle name="표준 5 2 2 2 2 4 2 2 3 3 4" xfId="45808" xr:uid="{00000000-0005-0000-0000-000030210000}"/>
    <cellStyle name="표준 5 2 2 2 2 4 2 2 3 4" xfId="12810" xr:uid="{00000000-0005-0000-0000-000031210000}"/>
    <cellStyle name="표준 5 2 2 2 2 4 2 2 3 5" xfId="17050" xr:uid="{00000000-0005-0000-0000-000032210000}"/>
    <cellStyle name="표준 5 2 2 2 2 4 2 2 3 6" xfId="21212" xr:uid="{00000000-0005-0000-0000-000033210000}"/>
    <cellStyle name="표준 5 2 2 2 2 4 2 2 3 7" xfId="25308" xr:uid="{00000000-0005-0000-0000-000034210000}"/>
    <cellStyle name="표준 5 2 2 2 2 4 2 2 3 8" xfId="33519" xr:uid="{00000000-0005-0000-0000-000035210000}"/>
    <cellStyle name="표준 5 2 2 2 2 4 2 2 3 9" xfId="41712" xr:uid="{00000000-0005-0000-0000-000036210000}"/>
    <cellStyle name="표준 5 2 2 2 2 4 2 2 4" xfId="2355" xr:uid="{00000000-0005-0000-0000-000037210000}"/>
    <cellStyle name="표준 5 2 2 2 2 4 2 2 4 2" xfId="11258" xr:uid="{00000000-0005-0000-0000-000038210000}"/>
    <cellStyle name="표준 5 2 2 2 2 4 2 2 4 2 2" xfId="15370" xr:uid="{00000000-0005-0000-0000-000039210000}"/>
    <cellStyle name="표준 5 2 2 2 2 4 2 2 4 2 2 2" xfId="31964" xr:uid="{00000000-0005-0000-0000-00003A210000}"/>
    <cellStyle name="표준 5 2 2 2 2 4 2 2 4 2 2 3" xfId="40175" xr:uid="{00000000-0005-0000-0000-00003B210000}"/>
    <cellStyle name="표준 5 2 2 2 2 4 2 2 4 2 2 4" xfId="48368" xr:uid="{00000000-0005-0000-0000-00003C210000}"/>
    <cellStyle name="표준 5 2 2 2 2 4 2 2 4 2 3" xfId="19610" xr:uid="{00000000-0005-0000-0000-00003D210000}"/>
    <cellStyle name="표준 5 2 2 2 2 4 2 2 4 2 4" xfId="23772" xr:uid="{00000000-0005-0000-0000-00003E210000}"/>
    <cellStyle name="표준 5 2 2 2 2 4 2 2 4 2 5" xfId="27868" xr:uid="{00000000-0005-0000-0000-00003F210000}"/>
    <cellStyle name="표준 5 2 2 2 2 4 2 2 4 2 6" xfId="36079" xr:uid="{00000000-0005-0000-0000-000040210000}"/>
    <cellStyle name="표준 5 2 2 2 2 4 2 2 4 2 7" xfId="44272" xr:uid="{00000000-0005-0000-0000-000041210000}"/>
    <cellStyle name="표준 5 2 2 2 2 4 2 2 4 3" xfId="9210" xr:uid="{00000000-0005-0000-0000-000042210000}"/>
    <cellStyle name="표준 5 2 2 2 2 4 2 2 4 3 2" xfId="29916" xr:uid="{00000000-0005-0000-0000-000043210000}"/>
    <cellStyle name="표준 5 2 2 2 2 4 2 2 4 3 3" xfId="38127" xr:uid="{00000000-0005-0000-0000-000044210000}"/>
    <cellStyle name="표준 5 2 2 2 2 4 2 2 4 3 4" xfId="46320" xr:uid="{00000000-0005-0000-0000-000045210000}"/>
    <cellStyle name="표준 5 2 2 2 2 4 2 2 4 4" xfId="13322" xr:uid="{00000000-0005-0000-0000-000046210000}"/>
    <cellStyle name="표준 5 2 2 2 2 4 2 2 4 5" xfId="17562" xr:uid="{00000000-0005-0000-0000-000047210000}"/>
    <cellStyle name="표준 5 2 2 2 2 4 2 2 4 6" xfId="21724" xr:uid="{00000000-0005-0000-0000-000048210000}"/>
    <cellStyle name="표준 5 2 2 2 2 4 2 2 4 7" xfId="25820" xr:uid="{00000000-0005-0000-0000-000049210000}"/>
    <cellStyle name="표준 5 2 2 2 2 4 2 2 4 8" xfId="34031" xr:uid="{00000000-0005-0000-0000-00004A210000}"/>
    <cellStyle name="표준 5 2 2 2 2 4 2 2 4 9" xfId="42224" xr:uid="{00000000-0005-0000-0000-00004B210000}"/>
    <cellStyle name="표준 5 2 2 2 2 4 2 2 5" xfId="9722" xr:uid="{00000000-0005-0000-0000-00004C210000}"/>
    <cellStyle name="표준 5 2 2 2 2 4 2 2 5 2" xfId="13834" xr:uid="{00000000-0005-0000-0000-00004D210000}"/>
    <cellStyle name="표준 5 2 2 2 2 4 2 2 5 2 2" xfId="30428" xr:uid="{00000000-0005-0000-0000-00004E210000}"/>
    <cellStyle name="표준 5 2 2 2 2 4 2 2 5 2 3" xfId="38639" xr:uid="{00000000-0005-0000-0000-00004F210000}"/>
    <cellStyle name="표준 5 2 2 2 2 4 2 2 5 2 4" xfId="46832" xr:uid="{00000000-0005-0000-0000-000050210000}"/>
    <cellStyle name="표준 5 2 2 2 2 4 2 2 5 3" xfId="18074" xr:uid="{00000000-0005-0000-0000-000051210000}"/>
    <cellStyle name="표준 5 2 2 2 2 4 2 2 5 4" xfId="22236" xr:uid="{00000000-0005-0000-0000-000052210000}"/>
    <cellStyle name="표준 5 2 2 2 2 4 2 2 5 5" xfId="26332" xr:uid="{00000000-0005-0000-0000-000053210000}"/>
    <cellStyle name="표준 5 2 2 2 2 4 2 2 5 6" xfId="34543" xr:uid="{00000000-0005-0000-0000-000054210000}"/>
    <cellStyle name="표준 5 2 2 2 2 4 2 2 5 7" xfId="42736" xr:uid="{00000000-0005-0000-0000-000055210000}"/>
    <cellStyle name="표준 5 2 2 2 2 4 2 2 6" xfId="7674" xr:uid="{00000000-0005-0000-0000-000056210000}"/>
    <cellStyle name="표준 5 2 2 2 2 4 2 2 6 2" xfId="28380" xr:uid="{00000000-0005-0000-0000-000057210000}"/>
    <cellStyle name="표준 5 2 2 2 2 4 2 2 6 3" xfId="36591" xr:uid="{00000000-0005-0000-0000-000058210000}"/>
    <cellStyle name="표준 5 2 2 2 2 4 2 2 6 4" xfId="44784" xr:uid="{00000000-0005-0000-0000-000059210000}"/>
    <cellStyle name="표준 5 2 2 2 2 4 2 2 7" xfId="11786" xr:uid="{00000000-0005-0000-0000-00005A210000}"/>
    <cellStyle name="표준 5 2 2 2 2 4 2 2 8" xfId="16026" xr:uid="{00000000-0005-0000-0000-00005B210000}"/>
    <cellStyle name="표준 5 2 2 2 2 4 2 2 9" xfId="20188" xr:uid="{00000000-0005-0000-0000-00005C210000}"/>
    <cellStyle name="표준 5 2 2 2 2 4 2 3" xfId="1075" xr:uid="{00000000-0005-0000-0000-00005D210000}"/>
    <cellStyle name="표준 5 2 2 2 2 4 2 3 2" xfId="9978" xr:uid="{00000000-0005-0000-0000-00005E210000}"/>
    <cellStyle name="표준 5 2 2 2 2 4 2 3 2 2" xfId="14090" xr:uid="{00000000-0005-0000-0000-00005F210000}"/>
    <cellStyle name="표준 5 2 2 2 2 4 2 3 2 2 2" xfId="30684" xr:uid="{00000000-0005-0000-0000-000060210000}"/>
    <cellStyle name="표준 5 2 2 2 2 4 2 3 2 2 3" xfId="38895" xr:uid="{00000000-0005-0000-0000-000061210000}"/>
    <cellStyle name="표준 5 2 2 2 2 4 2 3 2 2 4" xfId="47088" xr:uid="{00000000-0005-0000-0000-000062210000}"/>
    <cellStyle name="표준 5 2 2 2 2 4 2 3 2 3" xfId="18330" xr:uid="{00000000-0005-0000-0000-000063210000}"/>
    <cellStyle name="표준 5 2 2 2 2 4 2 3 2 4" xfId="22492" xr:uid="{00000000-0005-0000-0000-000064210000}"/>
    <cellStyle name="표준 5 2 2 2 2 4 2 3 2 5" xfId="26588" xr:uid="{00000000-0005-0000-0000-000065210000}"/>
    <cellStyle name="표준 5 2 2 2 2 4 2 3 2 6" xfId="34799" xr:uid="{00000000-0005-0000-0000-000066210000}"/>
    <cellStyle name="표준 5 2 2 2 2 4 2 3 2 7" xfId="42992" xr:uid="{00000000-0005-0000-0000-000067210000}"/>
    <cellStyle name="표준 5 2 2 2 2 4 2 3 3" xfId="7930" xr:uid="{00000000-0005-0000-0000-000068210000}"/>
    <cellStyle name="표준 5 2 2 2 2 4 2 3 3 2" xfId="28636" xr:uid="{00000000-0005-0000-0000-000069210000}"/>
    <cellStyle name="표준 5 2 2 2 2 4 2 3 3 3" xfId="36847" xr:uid="{00000000-0005-0000-0000-00006A210000}"/>
    <cellStyle name="표준 5 2 2 2 2 4 2 3 3 4" xfId="45040" xr:uid="{00000000-0005-0000-0000-00006B210000}"/>
    <cellStyle name="표준 5 2 2 2 2 4 2 3 4" xfId="12042" xr:uid="{00000000-0005-0000-0000-00006C210000}"/>
    <cellStyle name="표준 5 2 2 2 2 4 2 3 5" xfId="16282" xr:uid="{00000000-0005-0000-0000-00006D210000}"/>
    <cellStyle name="표준 5 2 2 2 2 4 2 3 6" xfId="20444" xr:uid="{00000000-0005-0000-0000-00006E210000}"/>
    <cellStyle name="표준 5 2 2 2 2 4 2 3 7" xfId="24540" xr:uid="{00000000-0005-0000-0000-00006F210000}"/>
    <cellStyle name="표준 5 2 2 2 2 4 2 3 8" xfId="32751" xr:uid="{00000000-0005-0000-0000-000070210000}"/>
    <cellStyle name="표준 5 2 2 2 2 4 2 3 9" xfId="40944" xr:uid="{00000000-0005-0000-0000-000071210000}"/>
    <cellStyle name="표준 5 2 2 2 2 4 2 4" xfId="1587" xr:uid="{00000000-0005-0000-0000-000072210000}"/>
    <cellStyle name="표준 5 2 2 2 2 4 2 4 2" xfId="10490" xr:uid="{00000000-0005-0000-0000-000073210000}"/>
    <cellStyle name="표준 5 2 2 2 2 4 2 4 2 2" xfId="14602" xr:uid="{00000000-0005-0000-0000-000074210000}"/>
    <cellStyle name="표준 5 2 2 2 2 4 2 4 2 2 2" xfId="31196" xr:uid="{00000000-0005-0000-0000-000075210000}"/>
    <cellStyle name="표준 5 2 2 2 2 4 2 4 2 2 3" xfId="39407" xr:uid="{00000000-0005-0000-0000-000076210000}"/>
    <cellStyle name="표준 5 2 2 2 2 4 2 4 2 2 4" xfId="47600" xr:uid="{00000000-0005-0000-0000-000077210000}"/>
    <cellStyle name="표준 5 2 2 2 2 4 2 4 2 3" xfId="18842" xr:uid="{00000000-0005-0000-0000-000078210000}"/>
    <cellStyle name="표준 5 2 2 2 2 4 2 4 2 4" xfId="23004" xr:uid="{00000000-0005-0000-0000-000079210000}"/>
    <cellStyle name="표준 5 2 2 2 2 4 2 4 2 5" xfId="27100" xr:uid="{00000000-0005-0000-0000-00007A210000}"/>
    <cellStyle name="표준 5 2 2 2 2 4 2 4 2 6" xfId="35311" xr:uid="{00000000-0005-0000-0000-00007B210000}"/>
    <cellStyle name="표준 5 2 2 2 2 4 2 4 2 7" xfId="43504" xr:uid="{00000000-0005-0000-0000-00007C210000}"/>
    <cellStyle name="표준 5 2 2 2 2 4 2 4 3" xfId="8442" xr:uid="{00000000-0005-0000-0000-00007D210000}"/>
    <cellStyle name="표준 5 2 2 2 2 4 2 4 3 2" xfId="29148" xr:uid="{00000000-0005-0000-0000-00007E210000}"/>
    <cellStyle name="표준 5 2 2 2 2 4 2 4 3 3" xfId="37359" xr:uid="{00000000-0005-0000-0000-00007F210000}"/>
    <cellStyle name="표준 5 2 2 2 2 4 2 4 3 4" xfId="45552" xr:uid="{00000000-0005-0000-0000-000080210000}"/>
    <cellStyle name="표준 5 2 2 2 2 4 2 4 4" xfId="12554" xr:uid="{00000000-0005-0000-0000-000081210000}"/>
    <cellStyle name="표준 5 2 2 2 2 4 2 4 5" xfId="16794" xr:uid="{00000000-0005-0000-0000-000082210000}"/>
    <cellStyle name="표준 5 2 2 2 2 4 2 4 6" xfId="20956" xr:uid="{00000000-0005-0000-0000-000083210000}"/>
    <cellStyle name="표준 5 2 2 2 2 4 2 4 7" xfId="25052" xr:uid="{00000000-0005-0000-0000-000084210000}"/>
    <cellStyle name="표준 5 2 2 2 2 4 2 4 8" xfId="33263" xr:uid="{00000000-0005-0000-0000-000085210000}"/>
    <cellStyle name="표준 5 2 2 2 2 4 2 4 9" xfId="41456" xr:uid="{00000000-0005-0000-0000-000086210000}"/>
    <cellStyle name="표준 5 2 2 2 2 4 2 5" xfId="2099" xr:uid="{00000000-0005-0000-0000-000087210000}"/>
    <cellStyle name="표준 5 2 2 2 2 4 2 5 2" xfId="11002" xr:uid="{00000000-0005-0000-0000-000088210000}"/>
    <cellStyle name="표준 5 2 2 2 2 4 2 5 2 2" xfId="15114" xr:uid="{00000000-0005-0000-0000-000089210000}"/>
    <cellStyle name="표준 5 2 2 2 2 4 2 5 2 2 2" xfId="31708" xr:uid="{00000000-0005-0000-0000-00008A210000}"/>
    <cellStyle name="표준 5 2 2 2 2 4 2 5 2 2 3" xfId="39919" xr:uid="{00000000-0005-0000-0000-00008B210000}"/>
    <cellStyle name="표준 5 2 2 2 2 4 2 5 2 2 4" xfId="48112" xr:uid="{00000000-0005-0000-0000-00008C210000}"/>
    <cellStyle name="표준 5 2 2 2 2 4 2 5 2 3" xfId="19354" xr:uid="{00000000-0005-0000-0000-00008D210000}"/>
    <cellStyle name="표준 5 2 2 2 2 4 2 5 2 4" xfId="23516" xr:uid="{00000000-0005-0000-0000-00008E210000}"/>
    <cellStyle name="표준 5 2 2 2 2 4 2 5 2 5" xfId="27612" xr:uid="{00000000-0005-0000-0000-00008F210000}"/>
    <cellStyle name="표준 5 2 2 2 2 4 2 5 2 6" xfId="35823" xr:uid="{00000000-0005-0000-0000-000090210000}"/>
    <cellStyle name="표준 5 2 2 2 2 4 2 5 2 7" xfId="44016" xr:uid="{00000000-0005-0000-0000-000091210000}"/>
    <cellStyle name="표준 5 2 2 2 2 4 2 5 3" xfId="8954" xr:uid="{00000000-0005-0000-0000-000092210000}"/>
    <cellStyle name="표준 5 2 2 2 2 4 2 5 3 2" xfId="29660" xr:uid="{00000000-0005-0000-0000-000093210000}"/>
    <cellStyle name="표준 5 2 2 2 2 4 2 5 3 3" xfId="37871" xr:uid="{00000000-0005-0000-0000-000094210000}"/>
    <cellStyle name="표준 5 2 2 2 2 4 2 5 3 4" xfId="46064" xr:uid="{00000000-0005-0000-0000-000095210000}"/>
    <cellStyle name="표준 5 2 2 2 2 4 2 5 4" xfId="13066" xr:uid="{00000000-0005-0000-0000-000096210000}"/>
    <cellStyle name="표준 5 2 2 2 2 4 2 5 5" xfId="17306" xr:uid="{00000000-0005-0000-0000-000097210000}"/>
    <cellStyle name="표준 5 2 2 2 2 4 2 5 6" xfId="21468" xr:uid="{00000000-0005-0000-0000-000098210000}"/>
    <cellStyle name="표준 5 2 2 2 2 4 2 5 7" xfId="25564" xr:uid="{00000000-0005-0000-0000-000099210000}"/>
    <cellStyle name="표준 5 2 2 2 2 4 2 5 8" xfId="33775" xr:uid="{00000000-0005-0000-0000-00009A210000}"/>
    <cellStyle name="표준 5 2 2 2 2 4 2 5 9" xfId="41968" xr:uid="{00000000-0005-0000-0000-00009B210000}"/>
    <cellStyle name="표준 5 2 2 2 2 4 2 6" xfId="9466" xr:uid="{00000000-0005-0000-0000-00009C210000}"/>
    <cellStyle name="표준 5 2 2 2 2 4 2 6 2" xfId="13578" xr:uid="{00000000-0005-0000-0000-00009D210000}"/>
    <cellStyle name="표준 5 2 2 2 2 4 2 6 2 2" xfId="30172" xr:uid="{00000000-0005-0000-0000-00009E210000}"/>
    <cellStyle name="표준 5 2 2 2 2 4 2 6 2 3" xfId="38383" xr:uid="{00000000-0005-0000-0000-00009F210000}"/>
    <cellStyle name="표준 5 2 2 2 2 4 2 6 2 4" xfId="46576" xr:uid="{00000000-0005-0000-0000-0000A0210000}"/>
    <cellStyle name="표준 5 2 2 2 2 4 2 6 3" xfId="17818" xr:uid="{00000000-0005-0000-0000-0000A1210000}"/>
    <cellStyle name="표준 5 2 2 2 2 4 2 6 4" xfId="21980" xr:uid="{00000000-0005-0000-0000-0000A2210000}"/>
    <cellStyle name="표준 5 2 2 2 2 4 2 6 5" xfId="26076" xr:uid="{00000000-0005-0000-0000-0000A3210000}"/>
    <cellStyle name="표준 5 2 2 2 2 4 2 6 6" xfId="34287" xr:uid="{00000000-0005-0000-0000-0000A4210000}"/>
    <cellStyle name="표준 5 2 2 2 2 4 2 6 7" xfId="42480" xr:uid="{00000000-0005-0000-0000-0000A5210000}"/>
    <cellStyle name="표준 5 2 2 2 2 4 2 7" xfId="7418" xr:uid="{00000000-0005-0000-0000-0000A6210000}"/>
    <cellStyle name="표준 5 2 2 2 2 4 2 7 2" xfId="28124" xr:uid="{00000000-0005-0000-0000-0000A7210000}"/>
    <cellStyle name="표준 5 2 2 2 2 4 2 7 3" xfId="36335" xr:uid="{00000000-0005-0000-0000-0000A8210000}"/>
    <cellStyle name="표준 5 2 2 2 2 4 2 7 4" xfId="44528" xr:uid="{00000000-0005-0000-0000-0000A9210000}"/>
    <cellStyle name="표준 5 2 2 2 2 4 2 8" xfId="11530" xr:uid="{00000000-0005-0000-0000-0000AA210000}"/>
    <cellStyle name="표준 5 2 2 2 2 4 2 9" xfId="15770" xr:uid="{00000000-0005-0000-0000-0000AB210000}"/>
    <cellStyle name="표준 5 2 2 2 2 4 3" xfId="691" xr:uid="{00000000-0005-0000-0000-0000AC210000}"/>
    <cellStyle name="표준 5 2 2 2 2 4 3 10" xfId="24156" xr:uid="{00000000-0005-0000-0000-0000AD210000}"/>
    <cellStyle name="표준 5 2 2 2 2 4 3 11" xfId="32367" xr:uid="{00000000-0005-0000-0000-0000AE210000}"/>
    <cellStyle name="표준 5 2 2 2 2 4 3 12" xfId="40560" xr:uid="{00000000-0005-0000-0000-0000AF210000}"/>
    <cellStyle name="표준 5 2 2 2 2 4 3 2" xfId="1203" xr:uid="{00000000-0005-0000-0000-0000B0210000}"/>
    <cellStyle name="표준 5 2 2 2 2 4 3 2 2" xfId="10106" xr:uid="{00000000-0005-0000-0000-0000B1210000}"/>
    <cellStyle name="표준 5 2 2 2 2 4 3 2 2 2" xfId="14218" xr:uid="{00000000-0005-0000-0000-0000B2210000}"/>
    <cellStyle name="표준 5 2 2 2 2 4 3 2 2 2 2" xfId="30812" xr:uid="{00000000-0005-0000-0000-0000B3210000}"/>
    <cellStyle name="표준 5 2 2 2 2 4 3 2 2 2 3" xfId="39023" xr:uid="{00000000-0005-0000-0000-0000B4210000}"/>
    <cellStyle name="표준 5 2 2 2 2 4 3 2 2 2 4" xfId="47216" xr:uid="{00000000-0005-0000-0000-0000B5210000}"/>
    <cellStyle name="표준 5 2 2 2 2 4 3 2 2 3" xfId="18458" xr:uid="{00000000-0005-0000-0000-0000B6210000}"/>
    <cellStyle name="표준 5 2 2 2 2 4 3 2 2 4" xfId="22620" xr:uid="{00000000-0005-0000-0000-0000B7210000}"/>
    <cellStyle name="표준 5 2 2 2 2 4 3 2 2 5" xfId="26716" xr:uid="{00000000-0005-0000-0000-0000B8210000}"/>
    <cellStyle name="표준 5 2 2 2 2 4 3 2 2 6" xfId="34927" xr:uid="{00000000-0005-0000-0000-0000B9210000}"/>
    <cellStyle name="표준 5 2 2 2 2 4 3 2 2 7" xfId="43120" xr:uid="{00000000-0005-0000-0000-0000BA210000}"/>
    <cellStyle name="표준 5 2 2 2 2 4 3 2 3" xfId="8058" xr:uid="{00000000-0005-0000-0000-0000BB210000}"/>
    <cellStyle name="표준 5 2 2 2 2 4 3 2 3 2" xfId="28764" xr:uid="{00000000-0005-0000-0000-0000BC210000}"/>
    <cellStyle name="표준 5 2 2 2 2 4 3 2 3 3" xfId="36975" xr:uid="{00000000-0005-0000-0000-0000BD210000}"/>
    <cellStyle name="표준 5 2 2 2 2 4 3 2 3 4" xfId="45168" xr:uid="{00000000-0005-0000-0000-0000BE210000}"/>
    <cellStyle name="표준 5 2 2 2 2 4 3 2 4" xfId="12170" xr:uid="{00000000-0005-0000-0000-0000BF210000}"/>
    <cellStyle name="표준 5 2 2 2 2 4 3 2 5" xfId="16410" xr:uid="{00000000-0005-0000-0000-0000C0210000}"/>
    <cellStyle name="표준 5 2 2 2 2 4 3 2 6" xfId="20572" xr:uid="{00000000-0005-0000-0000-0000C1210000}"/>
    <cellStyle name="표준 5 2 2 2 2 4 3 2 7" xfId="24668" xr:uid="{00000000-0005-0000-0000-0000C2210000}"/>
    <cellStyle name="표준 5 2 2 2 2 4 3 2 8" xfId="32879" xr:uid="{00000000-0005-0000-0000-0000C3210000}"/>
    <cellStyle name="표준 5 2 2 2 2 4 3 2 9" xfId="41072" xr:uid="{00000000-0005-0000-0000-0000C4210000}"/>
    <cellStyle name="표준 5 2 2 2 2 4 3 3" xfId="1715" xr:uid="{00000000-0005-0000-0000-0000C5210000}"/>
    <cellStyle name="표준 5 2 2 2 2 4 3 3 2" xfId="10618" xr:uid="{00000000-0005-0000-0000-0000C6210000}"/>
    <cellStyle name="표준 5 2 2 2 2 4 3 3 2 2" xfId="14730" xr:uid="{00000000-0005-0000-0000-0000C7210000}"/>
    <cellStyle name="표준 5 2 2 2 2 4 3 3 2 2 2" xfId="31324" xr:uid="{00000000-0005-0000-0000-0000C8210000}"/>
    <cellStyle name="표준 5 2 2 2 2 4 3 3 2 2 3" xfId="39535" xr:uid="{00000000-0005-0000-0000-0000C9210000}"/>
    <cellStyle name="표준 5 2 2 2 2 4 3 3 2 2 4" xfId="47728" xr:uid="{00000000-0005-0000-0000-0000CA210000}"/>
    <cellStyle name="표준 5 2 2 2 2 4 3 3 2 3" xfId="18970" xr:uid="{00000000-0005-0000-0000-0000CB210000}"/>
    <cellStyle name="표준 5 2 2 2 2 4 3 3 2 4" xfId="23132" xr:uid="{00000000-0005-0000-0000-0000CC210000}"/>
    <cellStyle name="표준 5 2 2 2 2 4 3 3 2 5" xfId="27228" xr:uid="{00000000-0005-0000-0000-0000CD210000}"/>
    <cellStyle name="표준 5 2 2 2 2 4 3 3 2 6" xfId="35439" xr:uid="{00000000-0005-0000-0000-0000CE210000}"/>
    <cellStyle name="표준 5 2 2 2 2 4 3 3 2 7" xfId="43632" xr:uid="{00000000-0005-0000-0000-0000CF210000}"/>
    <cellStyle name="표준 5 2 2 2 2 4 3 3 3" xfId="8570" xr:uid="{00000000-0005-0000-0000-0000D0210000}"/>
    <cellStyle name="표준 5 2 2 2 2 4 3 3 3 2" xfId="29276" xr:uid="{00000000-0005-0000-0000-0000D1210000}"/>
    <cellStyle name="표준 5 2 2 2 2 4 3 3 3 3" xfId="37487" xr:uid="{00000000-0005-0000-0000-0000D2210000}"/>
    <cellStyle name="표준 5 2 2 2 2 4 3 3 3 4" xfId="45680" xr:uid="{00000000-0005-0000-0000-0000D3210000}"/>
    <cellStyle name="표준 5 2 2 2 2 4 3 3 4" xfId="12682" xr:uid="{00000000-0005-0000-0000-0000D4210000}"/>
    <cellStyle name="표준 5 2 2 2 2 4 3 3 5" xfId="16922" xr:uid="{00000000-0005-0000-0000-0000D5210000}"/>
    <cellStyle name="표준 5 2 2 2 2 4 3 3 6" xfId="21084" xr:uid="{00000000-0005-0000-0000-0000D6210000}"/>
    <cellStyle name="표준 5 2 2 2 2 4 3 3 7" xfId="25180" xr:uid="{00000000-0005-0000-0000-0000D7210000}"/>
    <cellStyle name="표준 5 2 2 2 2 4 3 3 8" xfId="33391" xr:uid="{00000000-0005-0000-0000-0000D8210000}"/>
    <cellStyle name="표준 5 2 2 2 2 4 3 3 9" xfId="41584" xr:uid="{00000000-0005-0000-0000-0000D9210000}"/>
    <cellStyle name="표준 5 2 2 2 2 4 3 4" xfId="2227" xr:uid="{00000000-0005-0000-0000-0000DA210000}"/>
    <cellStyle name="표준 5 2 2 2 2 4 3 4 2" xfId="11130" xr:uid="{00000000-0005-0000-0000-0000DB210000}"/>
    <cellStyle name="표준 5 2 2 2 2 4 3 4 2 2" xfId="15242" xr:uid="{00000000-0005-0000-0000-0000DC210000}"/>
    <cellStyle name="표준 5 2 2 2 2 4 3 4 2 2 2" xfId="31836" xr:uid="{00000000-0005-0000-0000-0000DD210000}"/>
    <cellStyle name="표준 5 2 2 2 2 4 3 4 2 2 3" xfId="40047" xr:uid="{00000000-0005-0000-0000-0000DE210000}"/>
    <cellStyle name="표준 5 2 2 2 2 4 3 4 2 2 4" xfId="48240" xr:uid="{00000000-0005-0000-0000-0000DF210000}"/>
    <cellStyle name="표준 5 2 2 2 2 4 3 4 2 3" xfId="19482" xr:uid="{00000000-0005-0000-0000-0000E0210000}"/>
    <cellStyle name="표준 5 2 2 2 2 4 3 4 2 4" xfId="23644" xr:uid="{00000000-0005-0000-0000-0000E1210000}"/>
    <cellStyle name="표준 5 2 2 2 2 4 3 4 2 5" xfId="27740" xr:uid="{00000000-0005-0000-0000-0000E2210000}"/>
    <cellStyle name="표준 5 2 2 2 2 4 3 4 2 6" xfId="35951" xr:uid="{00000000-0005-0000-0000-0000E3210000}"/>
    <cellStyle name="표준 5 2 2 2 2 4 3 4 2 7" xfId="44144" xr:uid="{00000000-0005-0000-0000-0000E4210000}"/>
    <cellStyle name="표준 5 2 2 2 2 4 3 4 3" xfId="9082" xr:uid="{00000000-0005-0000-0000-0000E5210000}"/>
    <cellStyle name="표준 5 2 2 2 2 4 3 4 3 2" xfId="29788" xr:uid="{00000000-0005-0000-0000-0000E6210000}"/>
    <cellStyle name="표준 5 2 2 2 2 4 3 4 3 3" xfId="37999" xr:uid="{00000000-0005-0000-0000-0000E7210000}"/>
    <cellStyle name="표준 5 2 2 2 2 4 3 4 3 4" xfId="46192" xr:uid="{00000000-0005-0000-0000-0000E8210000}"/>
    <cellStyle name="표준 5 2 2 2 2 4 3 4 4" xfId="13194" xr:uid="{00000000-0005-0000-0000-0000E9210000}"/>
    <cellStyle name="표준 5 2 2 2 2 4 3 4 5" xfId="17434" xr:uid="{00000000-0005-0000-0000-0000EA210000}"/>
    <cellStyle name="표준 5 2 2 2 2 4 3 4 6" xfId="21596" xr:uid="{00000000-0005-0000-0000-0000EB210000}"/>
    <cellStyle name="표준 5 2 2 2 2 4 3 4 7" xfId="25692" xr:uid="{00000000-0005-0000-0000-0000EC210000}"/>
    <cellStyle name="표준 5 2 2 2 2 4 3 4 8" xfId="33903" xr:uid="{00000000-0005-0000-0000-0000ED210000}"/>
    <cellStyle name="표준 5 2 2 2 2 4 3 4 9" xfId="42096" xr:uid="{00000000-0005-0000-0000-0000EE210000}"/>
    <cellStyle name="표준 5 2 2 2 2 4 3 5" xfId="9594" xr:uid="{00000000-0005-0000-0000-0000EF210000}"/>
    <cellStyle name="표준 5 2 2 2 2 4 3 5 2" xfId="13706" xr:uid="{00000000-0005-0000-0000-0000F0210000}"/>
    <cellStyle name="표준 5 2 2 2 2 4 3 5 2 2" xfId="30300" xr:uid="{00000000-0005-0000-0000-0000F1210000}"/>
    <cellStyle name="표준 5 2 2 2 2 4 3 5 2 3" xfId="38511" xr:uid="{00000000-0005-0000-0000-0000F2210000}"/>
    <cellStyle name="표준 5 2 2 2 2 4 3 5 2 4" xfId="46704" xr:uid="{00000000-0005-0000-0000-0000F3210000}"/>
    <cellStyle name="표준 5 2 2 2 2 4 3 5 3" xfId="17946" xr:uid="{00000000-0005-0000-0000-0000F4210000}"/>
    <cellStyle name="표준 5 2 2 2 2 4 3 5 4" xfId="22108" xr:uid="{00000000-0005-0000-0000-0000F5210000}"/>
    <cellStyle name="표준 5 2 2 2 2 4 3 5 5" xfId="26204" xr:uid="{00000000-0005-0000-0000-0000F6210000}"/>
    <cellStyle name="표준 5 2 2 2 2 4 3 5 6" xfId="34415" xr:uid="{00000000-0005-0000-0000-0000F7210000}"/>
    <cellStyle name="표준 5 2 2 2 2 4 3 5 7" xfId="42608" xr:uid="{00000000-0005-0000-0000-0000F8210000}"/>
    <cellStyle name="표준 5 2 2 2 2 4 3 6" xfId="7546" xr:uid="{00000000-0005-0000-0000-0000F9210000}"/>
    <cellStyle name="표준 5 2 2 2 2 4 3 6 2" xfId="28252" xr:uid="{00000000-0005-0000-0000-0000FA210000}"/>
    <cellStyle name="표준 5 2 2 2 2 4 3 6 3" xfId="36463" xr:uid="{00000000-0005-0000-0000-0000FB210000}"/>
    <cellStyle name="표준 5 2 2 2 2 4 3 6 4" xfId="44656" xr:uid="{00000000-0005-0000-0000-0000FC210000}"/>
    <cellStyle name="표준 5 2 2 2 2 4 3 7" xfId="11658" xr:uid="{00000000-0005-0000-0000-0000FD210000}"/>
    <cellStyle name="표준 5 2 2 2 2 4 3 8" xfId="15898" xr:uid="{00000000-0005-0000-0000-0000FE210000}"/>
    <cellStyle name="표준 5 2 2 2 2 4 3 9" xfId="20060" xr:uid="{00000000-0005-0000-0000-0000FF210000}"/>
    <cellStyle name="표준 5 2 2 2 2 4 4" xfId="947" xr:uid="{00000000-0005-0000-0000-000000220000}"/>
    <cellStyle name="표준 5 2 2 2 2 4 4 2" xfId="9850" xr:uid="{00000000-0005-0000-0000-000001220000}"/>
    <cellStyle name="표준 5 2 2 2 2 4 4 2 2" xfId="13962" xr:uid="{00000000-0005-0000-0000-000002220000}"/>
    <cellStyle name="표준 5 2 2 2 2 4 4 2 2 2" xfId="30556" xr:uid="{00000000-0005-0000-0000-000003220000}"/>
    <cellStyle name="표준 5 2 2 2 2 4 4 2 2 3" xfId="38767" xr:uid="{00000000-0005-0000-0000-000004220000}"/>
    <cellStyle name="표준 5 2 2 2 2 4 4 2 2 4" xfId="46960" xr:uid="{00000000-0005-0000-0000-000005220000}"/>
    <cellStyle name="표준 5 2 2 2 2 4 4 2 3" xfId="18202" xr:uid="{00000000-0005-0000-0000-000006220000}"/>
    <cellStyle name="표준 5 2 2 2 2 4 4 2 4" xfId="22364" xr:uid="{00000000-0005-0000-0000-000007220000}"/>
    <cellStyle name="표준 5 2 2 2 2 4 4 2 5" xfId="26460" xr:uid="{00000000-0005-0000-0000-000008220000}"/>
    <cellStyle name="표준 5 2 2 2 2 4 4 2 6" xfId="34671" xr:uid="{00000000-0005-0000-0000-000009220000}"/>
    <cellStyle name="표준 5 2 2 2 2 4 4 2 7" xfId="42864" xr:uid="{00000000-0005-0000-0000-00000A220000}"/>
    <cellStyle name="표준 5 2 2 2 2 4 4 3" xfId="7802" xr:uid="{00000000-0005-0000-0000-00000B220000}"/>
    <cellStyle name="표준 5 2 2 2 2 4 4 3 2" xfId="28508" xr:uid="{00000000-0005-0000-0000-00000C220000}"/>
    <cellStyle name="표준 5 2 2 2 2 4 4 3 3" xfId="36719" xr:uid="{00000000-0005-0000-0000-00000D220000}"/>
    <cellStyle name="표준 5 2 2 2 2 4 4 3 4" xfId="44912" xr:uid="{00000000-0005-0000-0000-00000E220000}"/>
    <cellStyle name="표준 5 2 2 2 2 4 4 4" xfId="11914" xr:uid="{00000000-0005-0000-0000-00000F220000}"/>
    <cellStyle name="표준 5 2 2 2 2 4 4 5" xfId="16154" xr:uid="{00000000-0005-0000-0000-000010220000}"/>
    <cellStyle name="표준 5 2 2 2 2 4 4 6" xfId="20316" xr:uid="{00000000-0005-0000-0000-000011220000}"/>
    <cellStyle name="표준 5 2 2 2 2 4 4 7" xfId="24412" xr:uid="{00000000-0005-0000-0000-000012220000}"/>
    <cellStyle name="표준 5 2 2 2 2 4 4 8" xfId="32623" xr:uid="{00000000-0005-0000-0000-000013220000}"/>
    <cellStyle name="표준 5 2 2 2 2 4 4 9" xfId="40816" xr:uid="{00000000-0005-0000-0000-000014220000}"/>
    <cellStyle name="표준 5 2 2 2 2 4 5" xfId="1459" xr:uid="{00000000-0005-0000-0000-000015220000}"/>
    <cellStyle name="표준 5 2 2 2 2 4 5 2" xfId="10362" xr:uid="{00000000-0005-0000-0000-000016220000}"/>
    <cellStyle name="표준 5 2 2 2 2 4 5 2 2" xfId="14474" xr:uid="{00000000-0005-0000-0000-000017220000}"/>
    <cellStyle name="표준 5 2 2 2 2 4 5 2 2 2" xfId="31068" xr:uid="{00000000-0005-0000-0000-000018220000}"/>
    <cellStyle name="표준 5 2 2 2 2 4 5 2 2 3" xfId="39279" xr:uid="{00000000-0005-0000-0000-000019220000}"/>
    <cellStyle name="표준 5 2 2 2 2 4 5 2 2 4" xfId="47472" xr:uid="{00000000-0005-0000-0000-00001A220000}"/>
    <cellStyle name="표준 5 2 2 2 2 4 5 2 3" xfId="18714" xr:uid="{00000000-0005-0000-0000-00001B220000}"/>
    <cellStyle name="표준 5 2 2 2 2 4 5 2 4" xfId="22876" xr:uid="{00000000-0005-0000-0000-00001C220000}"/>
    <cellStyle name="표준 5 2 2 2 2 4 5 2 5" xfId="26972" xr:uid="{00000000-0005-0000-0000-00001D220000}"/>
    <cellStyle name="표준 5 2 2 2 2 4 5 2 6" xfId="35183" xr:uid="{00000000-0005-0000-0000-00001E220000}"/>
    <cellStyle name="표준 5 2 2 2 2 4 5 2 7" xfId="43376" xr:uid="{00000000-0005-0000-0000-00001F220000}"/>
    <cellStyle name="표준 5 2 2 2 2 4 5 3" xfId="8314" xr:uid="{00000000-0005-0000-0000-000020220000}"/>
    <cellStyle name="표준 5 2 2 2 2 4 5 3 2" xfId="29020" xr:uid="{00000000-0005-0000-0000-000021220000}"/>
    <cellStyle name="표준 5 2 2 2 2 4 5 3 3" xfId="37231" xr:uid="{00000000-0005-0000-0000-000022220000}"/>
    <cellStyle name="표준 5 2 2 2 2 4 5 3 4" xfId="45424" xr:uid="{00000000-0005-0000-0000-000023220000}"/>
    <cellStyle name="표준 5 2 2 2 2 4 5 4" xfId="12426" xr:uid="{00000000-0005-0000-0000-000024220000}"/>
    <cellStyle name="표준 5 2 2 2 2 4 5 5" xfId="16666" xr:uid="{00000000-0005-0000-0000-000025220000}"/>
    <cellStyle name="표준 5 2 2 2 2 4 5 6" xfId="20828" xr:uid="{00000000-0005-0000-0000-000026220000}"/>
    <cellStyle name="표준 5 2 2 2 2 4 5 7" xfId="24924" xr:uid="{00000000-0005-0000-0000-000027220000}"/>
    <cellStyle name="표준 5 2 2 2 2 4 5 8" xfId="33135" xr:uid="{00000000-0005-0000-0000-000028220000}"/>
    <cellStyle name="표준 5 2 2 2 2 4 5 9" xfId="41328" xr:uid="{00000000-0005-0000-0000-000029220000}"/>
    <cellStyle name="표준 5 2 2 2 2 4 6" xfId="1971" xr:uid="{00000000-0005-0000-0000-00002A220000}"/>
    <cellStyle name="표준 5 2 2 2 2 4 6 2" xfId="10874" xr:uid="{00000000-0005-0000-0000-00002B220000}"/>
    <cellStyle name="표준 5 2 2 2 2 4 6 2 2" xfId="14986" xr:uid="{00000000-0005-0000-0000-00002C220000}"/>
    <cellStyle name="표준 5 2 2 2 2 4 6 2 2 2" xfId="31580" xr:uid="{00000000-0005-0000-0000-00002D220000}"/>
    <cellStyle name="표준 5 2 2 2 2 4 6 2 2 3" xfId="39791" xr:uid="{00000000-0005-0000-0000-00002E220000}"/>
    <cellStyle name="표준 5 2 2 2 2 4 6 2 2 4" xfId="47984" xr:uid="{00000000-0005-0000-0000-00002F220000}"/>
    <cellStyle name="표준 5 2 2 2 2 4 6 2 3" xfId="19226" xr:uid="{00000000-0005-0000-0000-000030220000}"/>
    <cellStyle name="표준 5 2 2 2 2 4 6 2 4" xfId="23388" xr:uid="{00000000-0005-0000-0000-000031220000}"/>
    <cellStyle name="표준 5 2 2 2 2 4 6 2 5" xfId="27484" xr:uid="{00000000-0005-0000-0000-000032220000}"/>
    <cellStyle name="표준 5 2 2 2 2 4 6 2 6" xfId="35695" xr:uid="{00000000-0005-0000-0000-000033220000}"/>
    <cellStyle name="표준 5 2 2 2 2 4 6 2 7" xfId="43888" xr:uid="{00000000-0005-0000-0000-000034220000}"/>
    <cellStyle name="표준 5 2 2 2 2 4 6 3" xfId="8826" xr:uid="{00000000-0005-0000-0000-000035220000}"/>
    <cellStyle name="표준 5 2 2 2 2 4 6 3 2" xfId="29532" xr:uid="{00000000-0005-0000-0000-000036220000}"/>
    <cellStyle name="표준 5 2 2 2 2 4 6 3 3" xfId="37743" xr:uid="{00000000-0005-0000-0000-000037220000}"/>
    <cellStyle name="표준 5 2 2 2 2 4 6 3 4" xfId="45936" xr:uid="{00000000-0005-0000-0000-000038220000}"/>
    <cellStyle name="표준 5 2 2 2 2 4 6 4" xfId="12938" xr:uid="{00000000-0005-0000-0000-000039220000}"/>
    <cellStyle name="표준 5 2 2 2 2 4 6 5" xfId="17178" xr:uid="{00000000-0005-0000-0000-00003A220000}"/>
    <cellStyle name="표준 5 2 2 2 2 4 6 6" xfId="21340" xr:uid="{00000000-0005-0000-0000-00003B220000}"/>
    <cellStyle name="표준 5 2 2 2 2 4 6 7" xfId="25436" xr:uid="{00000000-0005-0000-0000-00003C220000}"/>
    <cellStyle name="표준 5 2 2 2 2 4 6 8" xfId="33647" xr:uid="{00000000-0005-0000-0000-00003D220000}"/>
    <cellStyle name="표준 5 2 2 2 2 4 6 9" xfId="41840" xr:uid="{00000000-0005-0000-0000-00003E220000}"/>
    <cellStyle name="표준 5 2 2 2 2 4 7" xfId="7031" xr:uid="{00000000-0005-0000-0000-00003F220000}"/>
    <cellStyle name="표준 5 2 2 2 2 4 7 2" xfId="9338" xr:uid="{00000000-0005-0000-0000-000040220000}"/>
    <cellStyle name="표준 5 2 2 2 2 4 7 2 2" xfId="30044" xr:uid="{00000000-0005-0000-0000-000041220000}"/>
    <cellStyle name="표준 5 2 2 2 2 4 7 2 3" xfId="38255" xr:uid="{00000000-0005-0000-0000-000042220000}"/>
    <cellStyle name="표준 5 2 2 2 2 4 7 2 4" xfId="46448" xr:uid="{00000000-0005-0000-0000-000043220000}"/>
    <cellStyle name="표준 5 2 2 2 2 4 7 3" xfId="13450" xr:uid="{00000000-0005-0000-0000-000044220000}"/>
    <cellStyle name="표준 5 2 2 2 2 4 7 4" xfId="17690" xr:uid="{00000000-0005-0000-0000-000045220000}"/>
    <cellStyle name="표준 5 2 2 2 2 4 7 5" xfId="21852" xr:uid="{00000000-0005-0000-0000-000046220000}"/>
    <cellStyle name="표준 5 2 2 2 2 4 7 6" xfId="25948" xr:uid="{00000000-0005-0000-0000-000047220000}"/>
    <cellStyle name="표준 5 2 2 2 2 4 7 7" xfId="34159" xr:uid="{00000000-0005-0000-0000-000048220000}"/>
    <cellStyle name="표준 5 2 2 2 2 4 7 8" xfId="42352" xr:uid="{00000000-0005-0000-0000-000049220000}"/>
    <cellStyle name="표준 5 2 2 2 2 4 8" xfId="7147" xr:uid="{00000000-0005-0000-0000-00004A220000}"/>
    <cellStyle name="표준 5 2 2 2 2 4 8 2" xfId="27996" xr:uid="{00000000-0005-0000-0000-00004B220000}"/>
    <cellStyle name="표준 5 2 2 2 2 4 8 3" xfId="36207" xr:uid="{00000000-0005-0000-0000-00004C220000}"/>
    <cellStyle name="표준 5 2 2 2 2 4 8 4" xfId="44400" xr:uid="{00000000-0005-0000-0000-00004D220000}"/>
    <cellStyle name="표준 5 2 2 2 2 4 9" xfId="7290" xr:uid="{00000000-0005-0000-0000-00004E220000}"/>
    <cellStyle name="표준 5 2 2 2 2 5" xfId="499" xr:uid="{00000000-0005-0000-0000-00004F220000}"/>
    <cellStyle name="표준 5 2 2 2 2 5 10" xfId="19868" xr:uid="{00000000-0005-0000-0000-000050220000}"/>
    <cellStyle name="표준 5 2 2 2 2 5 11" xfId="23964" xr:uid="{00000000-0005-0000-0000-000051220000}"/>
    <cellStyle name="표준 5 2 2 2 2 5 12" xfId="32175" xr:uid="{00000000-0005-0000-0000-000052220000}"/>
    <cellStyle name="표준 5 2 2 2 2 5 13" xfId="40368" xr:uid="{00000000-0005-0000-0000-000053220000}"/>
    <cellStyle name="표준 5 2 2 2 2 5 2" xfId="755" xr:uid="{00000000-0005-0000-0000-000054220000}"/>
    <cellStyle name="표준 5 2 2 2 2 5 2 10" xfId="24220" xr:uid="{00000000-0005-0000-0000-000055220000}"/>
    <cellStyle name="표준 5 2 2 2 2 5 2 11" xfId="32431" xr:uid="{00000000-0005-0000-0000-000056220000}"/>
    <cellStyle name="표준 5 2 2 2 2 5 2 12" xfId="40624" xr:uid="{00000000-0005-0000-0000-000057220000}"/>
    <cellStyle name="표준 5 2 2 2 2 5 2 2" xfId="1267" xr:uid="{00000000-0005-0000-0000-000058220000}"/>
    <cellStyle name="표준 5 2 2 2 2 5 2 2 2" xfId="10170" xr:uid="{00000000-0005-0000-0000-000059220000}"/>
    <cellStyle name="표준 5 2 2 2 2 5 2 2 2 2" xfId="14282" xr:uid="{00000000-0005-0000-0000-00005A220000}"/>
    <cellStyle name="표준 5 2 2 2 2 5 2 2 2 2 2" xfId="30876" xr:uid="{00000000-0005-0000-0000-00005B220000}"/>
    <cellStyle name="표준 5 2 2 2 2 5 2 2 2 2 3" xfId="39087" xr:uid="{00000000-0005-0000-0000-00005C220000}"/>
    <cellStyle name="표준 5 2 2 2 2 5 2 2 2 2 4" xfId="47280" xr:uid="{00000000-0005-0000-0000-00005D220000}"/>
    <cellStyle name="표준 5 2 2 2 2 5 2 2 2 3" xfId="18522" xr:uid="{00000000-0005-0000-0000-00005E220000}"/>
    <cellStyle name="표준 5 2 2 2 2 5 2 2 2 4" xfId="22684" xr:uid="{00000000-0005-0000-0000-00005F220000}"/>
    <cellStyle name="표준 5 2 2 2 2 5 2 2 2 5" xfId="26780" xr:uid="{00000000-0005-0000-0000-000060220000}"/>
    <cellStyle name="표준 5 2 2 2 2 5 2 2 2 6" xfId="34991" xr:uid="{00000000-0005-0000-0000-000061220000}"/>
    <cellStyle name="표준 5 2 2 2 2 5 2 2 2 7" xfId="43184" xr:uid="{00000000-0005-0000-0000-000062220000}"/>
    <cellStyle name="표준 5 2 2 2 2 5 2 2 3" xfId="8122" xr:uid="{00000000-0005-0000-0000-000063220000}"/>
    <cellStyle name="표준 5 2 2 2 2 5 2 2 3 2" xfId="28828" xr:uid="{00000000-0005-0000-0000-000064220000}"/>
    <cellStyle name="표준 5 2 2 2 2 5 2 2 3 3" xfId="37039" xr:uid="{00000000-0005-0000-0000-000065220000}"/>
    <cellStyle name="표준 5 2 2 2 2 5 2 2 3 4" xfId="45232" xr:uid="{00000000-0005-0000-0000-000066220000}"/>
    <cellStyle name="표준 5 2 2 2 2 5 2 2 4" xfId="12234" xr:uid="{00000000-0005-0000-0000-000067220000}"/>
    <cellStyle name="표준 5 2 2 2 2 5 2 2 5" xfId="16474" xr:uid="{00000000-0005-0000-0000-000068220000}"/>
    <cellStyle name="표준 5 2 2 2 2 5 2 2 6" xfId="20636" xr:uid="{00000000-0005-0000-0000-000069220000}"/>
    <cellStyle name="표준 5 2 2 2 2 5 2 2 7" xfId="24732" xr:uid="{00000000-0005-0000-0000-00006A220000}"/>
    <cellStyle name="표준 5 2 2 2 2 5 2 2 8" xfId="32943" xr:uid="{00000000-0005-0000-0000-00006B220000}"/>
    <cellStyle name="표준 5 2 2 2 2 5 2 2 9" xfId="41136" xr:uid="{00000000-0005-0000-0000-00006C220000}"/>
    <cellStyle name="표준 5 2 2 2 2 5 2 3" xfId="1779" xr:uid="{00000000-0005-0000-0000-00006D220000}"/>
    <cellStyle name="표준 5 2 2 2 2 5 2 3 2" xfId="10682" xr:uid="{00000000-0005-0000-0000-00006E220000}"/>
    <cellStyle name="표준 5 2 2 2 2 5 2 3 2 2" xfId="14794" xr:uid="{00000000-0005-0000-0000-00006F220000}"/>
    <cellStyle name="표준 5 2 2 2 2 5 2 3 2 2 2" xfId="31388" xr:uid="{00000000-0005-0000-0000-000070220000}"/>
    <cellStyle name="표준 5 2 2 2 2 5 2 3 2 2 3" xfId="39599" xr:uid="{00000000-0005-0000-0000-000071220000}"/>
    <cellStyle name="표준 5 2 2 2 2 5 2 3 2 2 4" xfId="47792" xr:uid="{00000000-0005-0000-0000-000072220000}"/>
    <cellStyle name="표준 5 2 2 2 2 5 2 3 2 3" xfId="19034" xr:uid="{00000000-0005-0000-0000-000073220000}"/>
    <cellStyle name="표준 5 2 2 2 2 5 2 3 2 4" xfId="23196" xr:uid="{00000000-0005-0000-0000-000074220000}"/>
    <cellStyle name="표준 5 2 2 2 2 5 2 3 2 5" xfId="27292" xr:uid="{00000000-0005-0000-0000-000075220000}"/>
    <cellStyle name="표준 5 2 2 2 2 5 2 3 2 6" xfId="35503" xr:uid="{00000000-0005-0000-0000-000076220000}"/>
    <cellStyle name="표준 5 2 2 2 2 5 2 3 2 7" xfId="43696" xr:uid="{00000000-0005-0000-0000-000077220000}"/>
    <cellStyle name="표준 5 2 2 2 2 5 2 3 3" xfId="8634" xr:uid="{00000000-0005-0000-0000-000078220000}"/>
    <cellStyle name="표준 5 2 2 2 2 5 2 3 3 2" xfId="29340" xr:uid="{00000000-0005-0000-0000-000079220000}"/>
    <cellStyle name="표준 5 2 2 2 2 5 2 3 3 3" xfId="37551" xr:uid="{00000000-0005-0000-0000-00007A220000}"/>
    <cellStyle name="표준 5 2 2 2 2 5 2 3 3 4" xfId="45744" xr:uid="{00000000-0005-0000-0000-00007B220000}"/>
    <cellStyle name="표준 5 2 2 2 2 5 2 3 4" xfId="12746" xr:uid="{00000000-0005-0000-0000-00007C220000}"/>
    <cellStyle name="표준 5 2 2 2 2 5 2 3 5" xfId="16986" xr:uid="{00000000-0005-0000-0000-00007D220000}"/>
    <cellStyle name="표준 5 2 2 2 2 5 2 3 6" xfId="21148" xr:uid="{00000000-0005-0000-0000-00007E220000}"/>
    <cellStyle name="표준 5 2 2 2 2 5 2 3 7" xfId="25244" xr:uid="{00000000-0005-0000-0000-00007F220000}"/>
    <cellStyle name="표준 5 2 2 2 2 5 2 3 8" xfId="33455" xr:uid="{00000000-0005-0000-0000-000080220000}"/>
    <cellStyle name="표준 5 2 2 2 2 5 2 3 9" xfId="41648" xr:uid="{00000000-0005-0000-0000-000081220000}"/>
    <cellStyle name="표준 5 2 2 2 2 5 2 4" xfId="2291" xr:uid="{00000000-0005-0000-0000-000082220000}"/>
    <cellStyle name="표준 5 2 2 2 2 5 2 4 2" xfId="11194" xr:uid="{00000000-0005-0000-0000-000083220000}"/>
    <cellStyle name="표준 5 2 2 2 2 5 2 4 2 2" xfId="15306" xr:uid="{00000000-0005-0000-0000-000084220000}"/>
    <cellStyle name="표준 5 2 2 2 2 5 2 4 2 2 2" xfId="31900" xr:uid="{00000000-0005-0000-0000-000085220000}"/>
    <cellStyle name="표준 5 2 2 2 2 5 2 4 2 2 3" xfId="40111" xr:uid="{00000000-0005-0000-0000-000086220000}"/>
    <cellStyle name="표준 5 2 2 2 2 5 2 4 2 2 4" xfId="48304" xr:uid="{00000000-0005-0000-0000-000087220000}"/>
    <cellStyle name="표준 5 2 2 2 2 5 2 4 2 3" xfId="19546" xr:uid="{00000000-0005-0000-0000-000088220000}"/>
    <cellStyle name="표준 5 2 2 2 2 5 2 4 2 4" xfId="23708" xr:uid="{00000000-0005-0000-0000-000089220000}"/>
    <cellStyle name="표준 5 2 2 2 2 5 2 4 2 5" xfId="27804" xr:uid="{00000000-0005-0000-0000-00008A220000}"/>
    <cellStyle name="표준 5 2 2 2 2 5 2 4 2 6" xfId="36015" xr:uid="{00000000-0005-0000-0000-00008B220000}"/>
    <cellStyle name="표준 5 2 2 2 2 5 2 4 2 7" xfId="44208" xr:uid="{00000000-0005-0000-0000-00008C220000}"/>
    <cellStyle name="표준 5 2 2 2 2 5 2 4 3" xfId="9146" xr:uid="{00000000-0005-0000-0000-00008D220000}"/>
    <cellStyle name="표준 5 2 2 2 2 5 2 4 3 2" xfId="29852" xr:uid="{00000000-0005-0000-0000-00008E220000}"/>
    <cellStyle name="표준 5 2 2 2 2 5 2 4 3 3" xfId="38063" xr:uid="{00000000-0005-0000-0000-00008F220000}"/>
    <cellStyle name="표준 5 2 2 2 2 5 2 4 3 4" xfId="46256" xr:uid="{00000000-0005-0000-0000-000090220000}"/>
    <cellStyle name="표준 5 2 2 2 2 5 2 4 4" xfId="13258" xr:uid="{00000000-0005-0000-0000-000091220000}"/>
    <cellStyle name="표준 5 2 2 2 2 5 2 4 5" xfId="17498" xr:uid="{00000000-0005-0000-0000-000092220000}"/>
    <cellStyle name="표준 5 2 2 2 2 5 2 4 6" xfId="21660" xr:uid="{00000000-0005-0000-0000-000093220000}"/>
    <cellStyle name="표준 5 2 2 2 2 5 2 4 7" xfId="25756" xr:uid="{00000000-0005-0000-0000-000094220000}"/>
    <cellStyle name="표준 5 2 2 2 2 5 2 4 8" xfId="33967" xr:uid="{00000000-0005-0000-0000-000095220000}"/>
    <cellStyle name="표준 5 2 2 2 2 5 2 4 9" xfId="42160" xr:uid="{00000000-0005-0000-0000-000096220000}"/>
    <cellStyle name="표준 5 2 2 2 2 5 2 5" xfId="9658" xr:uid="{00000000-0005-0000-0000-000097220000}"/>
    <cellStyle name="표준 5 2 2 2 2 5 2 5 2" xfId="13770" xr:uid="{00000000-0005-0000-0000-000098220000}"/>
    <cellStyle name="표준 5 2 2 2 2 5 2 5 2 2" xfId="30364" xr:uid="{00000000-0005-0000-0000-000099220000}"/>
    <cellStyle name="표준 5 2 2 2 2 5 2 5 2 3" xfId="38575" xr:uid="{00000000-0005-0000-0000-00009A220000}"/>
    <cellStyle name="표준 5 2 2 2 2 5 2 5 2 4" xfId="46768" xr:uid="{00000000-0005-0000-0000-00009B220000}"/>
    <cellStyle name="표준 5 2 2 2 2 5 2 5 3" xfId="18010" xr:uid="{00000000-0005-0000-0000-00009C220000}"/>
    <cellStyle name="표준 5 2 2 2 2 5 2 5 4" xfId="22172" xr:uid="{00000000-0005-0000-0000-00009D220000}"/>
    <cellStyle name="표준 5 2 2 2 2 5 2 5 5" xfId="26268" xr:uid="{00000000-0005-0000-0000-00009E220000}"/>
    <cellStyle name="표준 5 2 2 2 2 5 2 5 6" xfId="34479" xr:uid="{00000000-0005-0000-0000-00009F220000}"/>
    <cellStyle name="표준 5 2 2 2 2 5 2 5 7" xfId="42672" xr:uid="{00000000-0005-0000-0000-0000A0220000}"/>
    <cellStyle name="표준 5 2 2 2 2 5 2 6" xfId="7610" xr:uid="{00000000-0005-0000-0000-0000A1220000}"/>
    <cellStyle name="표준 5 2 2 2 2 5 2 6 2" xfId="28316" xr:uid="{00000000-0005-0000-0000-0000A2220000}"/>
    <cellStyle name="표준 5 2 2 2 2 5 2 6 3" xfId="36527" xr:uid="{00000000-0005-0000-0000-0000A3220000}"/>
    <cellStyle name="표준 5 2 2 2 2 5 2 6 4" xfId="44720" xr:uid="{00000000-0005-0000-0000-0000A4220000}"/>
    <cellStyle name="표준 5 2 2 2 2 5 2 7" xfId="11722" xr:uid="{00000000-0005-0000-0000-0000A5220000}"/>
    <cellStyle name="표준 5 2 2 2 2 5 2 8" xfId="15962" xr:uid="{00000000-0005-0000-0000-0000A6220000}"/>
    <cellStyle name="표준 5 2 2 2 2 5 2 9" xfId="20124" xr:uid="{00000000-0005-0000-0000-0000A7220000}"/>
    <cellStyle name="표준 5 2 2 2 2 5 3" xfId="1011" xr:uid="{00000000-0005-0000-0000-0000A8220000}"/>
    <cellStyle name="표준 5 2 2 2 2 5 3 2" xfId="9914" xr:uid="{00000000-0005-0000-0000-0000A9220000}"/>
    <cellStyle name="표준 5 2 2 2 2 5 3 2 2" xfId="14026" xr:uid="{00000000-0005-0000-0000-0000AA220000}"/>
    <cellStyle name="표준 5 2 2 2 2 5 3 2 2 2" xfId="30620" xr:uid="{00000000-0005-0000-0000-0000AB220000}"/>
    <cellStyle name="표준 5 2 2 2 2 5 3 2 2 3" xfId="38831" xr:uid="{00000000-0005-0000-0000-0000AC220000}"/>
    <cellStyle name="표준 5 2 2 2 2 5 3 2 2 4" xfId="47024" xr:uid="{00000000-0005-0000-0000-0000AD220000}"/>
    <cellStyle name="표준 5 2 2 2 2 5 3 2 3" xfId="18266" xr:uid="{00000000-0005-0000-0000-0000AE220000}"/>
    <cellStyle name="표준 5 2 2 2 2 5 3 2 4" xfId="22428" xr:uid="{00000000-0005-0000-0000-0000AF220000}"/>
    <cellStyle name="표준 5 2 2 2 2 5 3 2 5" xfId="26524" xr:uid="{00000000-0005-0000-0000-0000B0220000}"/>
    <cellStyle name="표준 5 2 2 2 2 5 3 2 6" xfId="34735" xr:uid="{00000000-0005-0000-0000-0000B1220000}"/>
    <cellStyle name="표준 5 2 2 2 2 5 3 2 7" xfId="42928" xr:uid="{00000000-0005-0000-0000-0000B2220000}"/>
    <cellStyle name="표준 5 2 2 2 2 5 3 3" xfId="7866" xr:uid="{00000000-0005-0000-0000-0000B3220000}"/>
    <cellStyle name="표준 5 2 2 2 2 5 3 3 2" xfId="28572" xr:uid="{00000000-0005-0000-0000-0000B4220000}"/>
    <cellStyle name="표준 5 2 2 2 2 5 3 3 3" xfId="36783" xr:uid="{00000000-0005-0000-0000-0000B5220000}"/>
    <cellStyle name="표준 5 2 2 2 2 5 3 3 4" xfId="44976" xr:uid="{00000000-0005-0000-0000-0000B6220000}"/>
    <cellStyle name="표준 5 2 2 2 2 5 3 4" xfId="11978" xr:uid="{00000000-0005-0000-0000-0000B7220000}"/>
    <cellStyle name="표준 5 2 2 2 2 5 3 5" xfId="16218" xr:uid="{00000000-0005-0000-0000-0000B8220000}"/>
    <cellStyle name="표준 5 2 2 2 2 5 3 6" xfId="20380" xr:uid="{00000000-0005-0000-0000-0000B9220000}"/>
    <cellStyle name="표준 5 2 2 2 2 5 3 7" xfId="24476" xr:uid="{00000000-0005-0000-0000-0000BA220000}"/>
    <cellStyle name="표준 5 2 2 2 2 5 3 8" xfId="32687" xr:uid="{00000000-0005-0000-0000-0000BB220000}"/>
    <cellStyle name="표준 5 2 2 2 2 5 3 9" xfId="40880" xr:uid="{00000000-0005-0000-0000-0000BC220000}"/>
    <cellStyle name="표준 5 2 2 2 2 5 4" xfId="1523" xr:uid="{00000000-0005-0000-0000-0000BD220000}"/>
    <cellStyle name="표준 5 2 2 2 2 5 4 2" xfId="10426" xr:uid="{00000000-0005-0000-0000-0000BE220000}"/>
    <cellStyle name="표준 5 2 2 2 2 5 4 2 2" xfId="14538" xr:uid="{00000000-0005-0000-0000-0000BF220000}"/>
    <cellStyle name="표준 5 2 2 2 2 5 4 2 2 2" xfId="31132" xr:uid="{00000000-0005-0000-0000-0000C0220000}"/>
    <cellStyle name="표준 5 2 2 2 2 5 4 2 2 3" xfId="39343" xr:uid="{00000000-0005-0000-0000-0000C1220000}"/>
    <cellStyle name="표준 5 2 2 2 2 5 4 2 2 4" xfId="47536" xr:uid="{00000000-0005-0000-0000-0000C2220000}"/>
    <cellStyle name="표준 5 2 2 2 2 5 4 2 3" xfId="18778" xr:uid="{00000000-0005-0000-0000-0000C3220000}"/>
    <cellStyle name="표준 5 2 2 2 2 5 4 2 4" xfId="22940" xr:uid="{00000000-0005-0000-0000-0000C4220000}"/>
    <cellStyle name="표준 5 2 2 2 2 5 4 2 5" xfId="27036" xr:uid="{00000000-0005-0000-0000-0000C5220000}"/>
    <cellStyle name="표준 5 2 2 2 2 5 4 2 6" xfId="35247" xr:uid="{00000000-0005-0000-0000-0000C6220000}"/>
    <cellStyle name="표준 5 2 2 2 2 5 4 2 7" xfId="43440" xr:uid="{00000000-0005-0000-0000-0000C7220000}"/>
    <cellStyle name="표준 5 2 2 2 2 5 4 3" xfId="8378" xr:uid="{00000000-0005-0000-0000-0000C8220000}"/>
    <cellStyle name="표준 5 2 2 2 2 5 4 3 2" xfId="29084" xr:uid="{00000000-0005-0000-0000-0000C9220000}"/>
    <cellStyle name="표준 5 2 2 2 2 5 4 3 3" xfId="37295" xr:uid="{00000000-0005-0000-0000-0000CA220000}"/>
    <cellStyle name="표준 5 2 2 2 2 5 4 3 4" xfId="45488" xr:uid="{00000000-0005-0000-0000-0000CB220000}"/>
    <cellStyle name="표준 5 2 2 2 2 5 4 4" xfId="12490" xr:uid="{00000000-0005-0000-0000-0000CC220000}"/>
    <cellStyle name="표준 5 2 2 2 2 5 4 5" xfId="16730" xr:uid="{00000000-0005-0000-0000-0000CD220000}"/>
    <cellStyle name="표준 5 2 2 2 2 5 4 6" xfId="20892" xr:uid="{00000000-0005-0000-0000-0000CE220000}"/>
    <cellStyle name="표준 5 2 2 2 2 5 4 7" xfId="24988" xr:uid="{00000000-0005-0000-0000-0000CF220000}"/>
    <cellStyle name="표준 5 2 2 2 2 5 4 8" xfId="33199" xr:uid="{00000000-0005-0000-0000-0000D0220000}"/>
    <cellStyle name="표준 5 2 2 2 2 5 4 9" xfId="41392" xr:uid="{00000000-0005-0000-0000-0000D1220000}"/>
    <cellStyle name="표준 5 2 2 2 2 5 5" xfId="2035" xr:uid="{00000000-0005-0000-0000-0000D2220000}"/>
    <cellStyle name="표준 5 2 2 2 2 5 5 2" xfId="10938" xr:uid="{00000000-0005-0000-0000-0000D3220000}"/>
    <cellStyle name="표준 5 2 2 2 2 5 5 2 2" xfId="15050" xr:uid="{00000000-0005-0000-0000-0000D4220000}"/>
    <cellStyle name="표준 5 2 2 2 2 5 5 2 2 2" xfId="31644" xr:uid="{00000000-0005-0000-0000-0000D5220000}"/>
    <cellStyle name="표준 5 2 2 2 2 5 5 2 2 3" xfId="39855" xr:uid="{00000000-0005-0000-0000-0000D6220000}"/>
    <cellStyle name="표준 5 2 2 2 2 5 5 2 2 4" xfId="48048" xr:uid="{00000000-0005-0000-0000-0000D7220000}"/>
    <cellStyle name="표준 5 2 2 2 2 5 5 2 3" xfId="19290" xr:uid="{00000000-0005-0000-0000-0000D8220000}"/>
    <cellStyle name="표준 5 2 2 2 2 5 5 2 4" xfId="23452" xr:uid="{00000000-0005-0000-0000-0000D9220000}"/>
    <cellStyle name="표준 5 2 2 2 2 5 5 2 5" xfId="27548" xr:uid="{00000000-0005-0000-0000-0000DA220000}"/>
    <cellStyle name="표준 5 2 2 2 2 5 5 2 6" xfId="35759" xr:uid="{00000000-0005-0000-0000-0000DB220000}"/>
    <cellStyle name="표준 5 2 2 2 2 5 5 2 7" xfId="43952" xr:uid="{00000000-0005-0000-0000-0000DC220000}"/>
    <cellStyle name="표준 5 2 2 2 2 5 5 3" xfId="8890" xr:uid="{00000000-0005-0000-0000-0000DD220000}"/>
    <cellStyle name="표준 5 2 2 2 2 5 5 3 2" xfId="29596" xr:uid="{00000000-0005-0000-0000-0000DE220000}"/>
    <cellStyle name="표준 5 2 2 2 2 5 5 3 3" xfId="37807" xr:uid="{00000000-0005-0000-0000-0000DF220000}"/>
    <cellStyle name="표준 5 2 2 2 2 5 5 3 4" xfId="46000" xr:uid="{00000000-0005-0000-0000-0000E0220000}"/>
    <cellStyle name="표준 5 2 2 2 2 5 5 4" xfId="13002" xr:uid="{00000000-0005-0000-0000-0000E1220000}"/>
    <cellStyle name="표준 5 2 2 2 2 5 5 5" xfId="17242" xr:uid="{00000000-0005-0000-0000-0000E2220000}"/>
    <cellStyle name="표준 5 2 2 2 2 5 5 6" xfId="21404" xr:uid="{00000000-0005-0000-0000-0000E3220000}"/>
    <cellStyle name="표준 5 2 2 2 2 5 5 7" xfId="25500" xr:uid="{00000000-0005-0000-0000-0000E4220000}"/>
    <cellStyle name="표준 5 2 2 2 2 5 5 8" xfId="33711" xr:uid="{00000000-0005-0000-0000-0000E5220000}"/>
    <cellStyle name="표준 5 2 2 2 2 5 5 9" xfId="41904" xr:uid="{00000000-0005-0000-0000-0000E6220000}"/>
    <cellStyle name="표준 5 2 2 2 2 5 6" xfId="9402" xr:uid="{00000000-0005-0000-0000-0000E7220000}"/>
    <cellStyle name="표준 5 2 2 2 2 5 6 2" xfId="13514" xr:uid="{00000000-0005-0000-0000-0000E8220000}"/>
    <cellStyle name="표준 5 2 2 2 2 5 6 2 2" xfId="30108" xr:uid="{00000000-0005-0000-0000-0000E9220000}"/>
    <cellStyle name="표준 5 2 2 2 2 5 6 2 3" xfId="38319" xr:uid="{00000000-0005-0000-0000-0000EA220000}"/>
    <cellStyle name="표준 5 2 2 2 2 5 6 2 4" xfId="46512" xr:uid="{00000000-0005-0000-0000-0000EB220000}"/>
    <cellStyle name="표준 5 2 2 2 2 5 6 3" xfId="17754" xr:uid="{00000000-0005-0000-0000-0000EC220000}"/>
    <cellStyle name="표준 5 2 2 2 2 5 6 4" xfId="21916" xr:uid="{00000000-0005-0000-0000-0000ED220000}"/>
    <cellStyle name="표준 5 2 2 2 2 5 6 5" xfId="26012" xr:uid="{00000000-0005-0000-0000-0000EE220000}"/>
    <cellStyle name="표준 5 2 2 2 2 5 6 6" xfId="34223" xr:uid="{00000000-0005-0000-0000-0000EF220000}"/>
    <cellStyle name="표준 5 2 2 2 2 5 6 7" xfId="42416" xr:uid="{00000000-0005-0000-0000-0000F0220000}"/>
    <cellStyle name="표준 5 2 2 2 2 5 7" xfId="7354" xr:uid="{00000000-0005-0000-0000-0000F1220000}"/>
    <cellStyle name="표준 5 2 2 2 2 5 7 2" xfId="28060" xr:uid="{00000000-0005-0000-0000-0000F2220000}"/>
    <cellStyle name="표준 5 2 2 2 2 5 7 3" xfId="36271" xr:uid="{00000000-0005-0000-0000-0000F3220000}"/>
    <cellStyle name="표준 5 2 2 2 2 5 7 4" xfId="44464" xr:uid="{00000000-0005-0000-0000-0000F4220000}"/>
    <cellStyle name="표준 5 2 2 2 2 5 8" xfId="11466" xr:uid="{00000000-0005-0000-0000-0000F5220000}"/>
    <cellStyle name="표준 5 2 2 2 2 5 9" xfId="15706" xr:uid="{00000000-0005-0000-0000-0000F6220000}"/>
    <cellStyle name="표준 5 2 2 2 2 6" xfId="627" xr:uid="{00000000-0005-0000-0000-0000F7220000}"/>
    <cellStyle name="표준 5 2 2 2 2 6 10" xfId="24092" xr:uid="{00000000-0005-0000-0000-0000F8220000}"/>
    <cellStyle name="표준 5 2 2 2 2 6 11" xfId="32303" xr:uid="{00000000-0005-0000-0000-0000F9220000}"/>
    <cellStyle name="표준 5 2 2 2 2 6 12" xfId="40496" xr:uid="{00000000-0005-0000-0000-0000FA220000}"/>
    <cellStyle name="표준 5 2 2 2 2 6 2" xfId="1139" xr:uid="{00000000-0005-0000-0000-0000FB220000}"/>
    <cellStyle name="표준 5 2 2 2 2 6 2 2" xfId="10042" xr:uid="{00000000-0005-0000-0000-0000FC220000}"/>
    <cellStyle name="표준 5 2 2 2 2 6 2 2 2" xfId="14154" xr:uid="{00000000-0005-0000-0000-0000FD220000}"/>
    <cellStyle name="표준 5 2 2 2 2 6 2 2 2 2" xfId="30748" xr:uid="{00000000-0005-0000-0000-0000FE220000}"/>
    <cellStyle name="표준 5 2 2 2 2 6 2 2 2 3" xfId="38959" xr:uid="{00000000-0005-0000-0000-0000FF220000}"/>
    <cellStyle name="표준 5 2 2 2 2 6 2 2 2 4" xfId="47152" xr:uid="{00000000-0005-0000-0000-000000230000}"/>
    <cellStyle name="표준 5 2 2 2 2 6 2 2 3" xfId="18394" xr:uid="{00000000-0005-0000-0000-000001230000}"/>
    <cellStyle name="표준 5 2 2 2 2 6 2 2 4" xfId="22556" xr:uid="{00000000-0005-0000-0000-000002230000}"/>
    <cellStyle name="표준 5 2 2 2 2 6 2 2 5" xfId="26652" xr:uid="{00000000-0005-0000-0000-000003230000}"/>
    <cellStyle name="표준 5 2 2 2 2 6 2 2 6" xfId="34863" xr:uid="{00000000-0005-0000-0000-000004230000}"/>
    <cellStyle name="표준 5 2 2 2 2 6 2 2 7" xfId="43056" xr:uid="{00000000-0005-0000-0000-000005230000}"/>
    <cellStyle name="표준 5 2 2 2 2 6 2 3" xfId="7994" xr:uid="{00000000-0005-0000-0000-000006230000}"/>
    <cellStyle name="표준 5 2 2 2 2 6 2 3 2" xfId="28700" xr:uid="{00000000-0005-0000-0000-000007230000}"/>
    <cellStyle name="표준 5 2 2 2 2 6 2 3 3" xfId="36911" xr:uid="{00000000-0005-0000-0000-000008230000}"/>
    <cellStyle name="표준 5 2 2 2 2 6 2 3 4" xfId="45104" xr:uid="{00000000-0005-0000-0000-000009230000}"/>
    <cellStyle name="표준 5 2 2 2 2 6 2 4" xfId="12106" xr:uid="{00000000-0005-0000-0000-00000A230000}"/>
    <cellStyle name="표준 5 2 2 2 2 6 2 5" xfId="16346" xr:uid="{00000000-0005-0000-0000-00000B230000}"/>
    <cellStyle name="표준 5 2 2 2 2 6 2 6" xfId="20508" xr:uid="{00000000-0005-0000-0000-00000C230000}"/>
    <cellStyle name="표준 5 2 2 2 2 6 2 7" xfId="24604" xr:uid="{00000000-0005-0000-0000-00000D230000}"/>
    <cellStyle name="표준 5 2 2 2 2 6 2 8" xfId="32815" xr:uid="{00000000-0005-0000-0000-00000E230000}"/>
    <cellStyle name="표준 5 2 2 2 2 6 2 9" xfId="41008" xr:uid="{00000000-0005-0000-0000-00000F230000}"/>
    <cellStyle name="표준 5 2 2 2 2 6 3" xfId="1651" xr:uid="{00000000-0005-0000-0000-000010230000}"/>
    <cellStyle name="표준 5 2 2 2 2 6 3 2" xfId="10554" xr:uid="{00000000-0005-0000-0000-000011230000}"/>
    <cellStyle name="표준 5 2 2 2 2 6 3 2 2" xfId="14666" xr:uid="{00000000-0005-0000-0000-000012230000}"/>
    <cellStyle name="표준 5 2 2 2 2 6 3 2 2 2" xfId="31260" xr:uid="{00000000-0005-0000-0000-000013230000}"/>
    <cellStyle name="표준 5 2 2 2 2 6 3 2 2 3" xfId="39471" xr:uid="{00000000-0005-0000-0000-000014230000}"/>
    <cellStyle name="표준 5 2 2 2 2 6 3 2 2 4" xfId="47664" xr:uid="{00000000-0005-0000-0000-000015230000}"/>
    <cellStyle name="표준 5 2 2 2 2 6 3 2 3" xfId="18906" xr:uid="{00000000-0005-0000-0000-000016230000}"/>
    <cellStyle name="표준 5 2 2 2 2 6 3 2 4" xfId="23068" xr:uid="{00000000-0005-0000-0000-000017230000}"/>
    <cellStyle name="표준 5 2 2 2 2 6 3 2 5" xfId="27164" xr:uid="{00000000-0005-0000-0000-000018230000}"/>
    <cellStyle name="표준 5 2 2 2 2 6 3 2 6" xfId="35375" xr:uid="{00000000-0005-0000-0000-000019230000}"/>
    <cellStyle name="표준 5 2 2 2 2 6 3 2 7" xfId="43568" xr:uid="{00000000-0005-0000-0000-00001A230000}"/>
    <cellStyle name="표준 5 2 2 2 2 6 3 3" xfId="8506" xr:uid="{00000000-0005-0000-0000-00001B230000}"/>
    <cellStyle name="표준 5 2 2 2 2 6 3 3 2" xfId="29212" xr:uid="{00000000-0005-0000-0000-00001C230000}"/>
    <cellStyle name="표준 5 2 2 2 2 6 3 3 3" xfId="37423" xr:uid="{00000000-0005-0000-0000-00001D230000}"/>
    <cellStyle name="표준 5 2 2 2 2 6 3 3 4" xfId="45616" xr:uid="{00000000-0005-0000-0000-00001E230000}"/>
    <cellStyle name="표준 5 2 2 2 2 6 3 4" xfId="12618" xr:uid="{00000000-0005-0000-0000-00001F230000}"/>
    <cellStyle name="표준 5 2 2 2 2 6 3 5" xfId="16858" xr:uid="{00000000-0005-0000-0000-000020230000}"/>
    <cellStyle name="표준 5 2 2 2 2 6 3 6" xfId="21020" xr:uid="{00000000-0005-0000-0000-000021230000}"/>
    <cellStyle name="표준 5 2 2 2 2 6 3 7" xfId="25116" xr:uid="{00000000-0005-0000-0000-000022230000}"/>
    <cellStyle name="표준 5 2 2 2 2 6 3 8" xfId="33327" xr:uid="{00000000-0005-0000-0000-000023230000}"/>
    <cellStyle name="표준 5 2 2 2 2 6 3 9" xfId="41520" xr:uid="{00000000-0005-0000-0000-000024230000}"/>
    <cellStyle name="표준 5 2 2 2 2 6 4" xfId="2163" xr:uid="{00000000-0005-0000-0000-000025230000}"/>
    <cellStyle name="표준 5 2 2 2 2 6 4 2" xfId="11066" xr:uid="{00000000-0005-0000-0000-000026230000}"/>
    <cellStyle name="표준 5 2 2 2 2 6 4 2 2" xfId="15178" xr:uid="{00000000-0005-0000-0000-000027230000}"/>
    <cellStyle name="표준 5 2 2 2 2 6 4 2 2 2" xfId="31772" xr:uid="{00000000-0005-0000-0000-000028230000}"/>
    <cellStyle name="표준 5 2 2 2 2 6 4 2 2 3" xfId="39983" xr:uid="{00000000-0005-0000-0000-000029230000}"/>
    <cellStyle name="표준 5 2 2 2 2 6 4 2 2 4" xfId="48176" xr:uid="{00000000-0005-0000-0000-00002A230000}"/>
    <cellStyle name="표준 5 2 2 2 2 6 4 2 3" xfId="19418" xr:uid="{00000000-0005-0000-0000-00002B230000}"/>
    <cellStyle name="표준 5 2 2 2 2 6 4 2 4" xfId="23580" xr:uid="{00000000-0005-0000-0000-00002C230000}"/>
    <cellStyle name="표준 5 2 2 2 2 6 4 2 5" xfId="27676" xr:uid="{00000000-0005-0000-0000-00002D230000}"/>
    <cellStyle name="표준 5 2 2 2 2 6 4 2 6" xfId="35887" xr:uid="{00000000-0005-0000-0000-00002E230000}"/>
    <cellStyle name="표준 5 2 2 2 2 6 4 2 7" xfId="44080" xr:uid="{00000000-0005-0000-0000-00002F230000}"/>
    <cellStyle name="표준 5 2 2 2 2 6 4 3" xfId="9018" xr:uid="{00000000-0005-0000-0000-000030230000}"/>
    <cellStyle name="표준 5 2 2 2 2 6 4 3 2" xfId="29724" xr:uid="{00000000-0005-0000-0000-000031230000}"/>
    <cellStyle name="표준 5 2 2 2 2 6 4 3 3" xfId="37935" xr:uid="{00000000-0005-0000-0000-000032230000}"/>
    <cellStyle name="표준 5 2 2 2 2 6 4 3 4" xfId="46128" xr:uid="{00000000-0005-0000-0000-000033230000}"/>
    <cellStyle name="표준 5 2 2 2 2 6 4 4" xfId="13130" xr:uid="{00000000-0005-0000-0000-000034230000}"/>
    <cellStyle name="표준 5 2 2 2 2 6 4 5" xfId="17370" xr:uid="{00000000-0005-0000-0000-000035230000}"/>
    <cellStyle name="표준 5 2 2 2 2 6 4 6" xfId="21532" xr:uid="{00000000-0005-0000-0000-000036230000}"/>
    <cellStyle name="표준 5 2 2 2 2 6 4 7" xfId="25628" xr:uid="{00000000-0005-0000-0000-000037230000}"/>
    <cellStyle name="표준 5 2 2 2 2 6 4 8" xfId="33839" xr:uid="{00000000-0005-0000-0000-000038230000}"/>
    <cellStyle name="표준 5 2 2 2 2 6 4 9" xfId="42032" xr:uid="{00000000-0005-0000-0000-000039230000}"/>
    <cellStyle name="표준 5 2 2 2 2 6 5" xfId="9530" xr:uid="{00000000-0005-0000-0000-00003A230000}"/>
    <cellStyle name="표준 5 2 2 2 2 6 5 2" xfId="13642" xr:uid="{00000000-0005-0000-0000-00003B230000}"/>
    <cellStyle name="표준 5 2 2 2 2 6 5 2 2" xfId="30236" xr:uid="{00000000-0005-0000-0000-00003C230000}"/>
    <cellStyle name="표준 5 2 2 2 2 6 5 2 3" xfId="38447" xr:uid="{00000000-0005-0000-0000-00003D230000}"/>
    <cellStyle name="표준 5 2 2 2 2 6 5 2 4" xfId="46640" xr:uid="{00000000-0005-0000-0000-00003E230000}"/>
    <cellStyle name="표준 5 2 2 2 2 6 5 3" xfId="17882" xr:uid="{00000000-0005-0000-0000-00003F230000}"/>
    <cellStyle name="표준 5 2 2 2 2 6 5 4" xfId="22044" xr:uid="{00000000-0005-0000-0000-000040230000}"/>
    <cellStyle name="표준 5 2 2 2 2 6 5 5" xfId="26140" xr:uid="{00000000-0005-0000-0000-000041230000}"/>
    <cellStyle name="표준 5 2 2 2 2 6 5 6" xfId="34351" xr:uid="{00000000-0005-0000-0000-000042230000}"/>
    <cellStyle name="표준 5 2 2 2 2 6 5 7" xfId="42544" xr:uid="{00000000-0005-0000-0000-000043230000}"/>
    <cellStyle name="표준 5 2 2 2 2 6 6" xfId="7482" xr:uid="{00000000-0005-0000-0000-000044230000}"/>
    <cellStyle name="표준 5 2 2 2 2 6 6 2" xfId="28188" xr:uid="{00000000-0005-0000-0000-000045230000}"/>
    <cellStyle name="표준 5 2 2 2 2 6 6 3" xfId="36399" xr:uid="{00000000-0005-0000-0000-000046230000}"/>
    <cellStyle name="표준 5 2 2 2 2 6 6 4" xfId="44592" xr:uid="{00000000-0005-0000-0000-000047230000}"/>
    <cellStyle name="표준 5 2 2 2 2 6 7" xfId="11594" xr:uid="{00000000-0005-0000-0000-000048230000}"/>
    <cellStyle name="표준 5 2 2 2 2 6 8" xfId="15834" xr:uid="{00000000-0005-0000-0000-000049230000}"/>
    <cellStyle name="표준 5 2 2 2 2 6 9" xfId="19996" xr:uid="{00000000-0005-0000-0000-00004A230000}"/>
    <cellStyle name="표준 5 2 2 2 2 7" xfId="883" xr:uid="{00000000-0005-0000-0000-00004B230000}"/>
    <cellStyle name="표준 5 2 2 2 2 7 2" xfId="9786" xr:uid="{00000000-0005-0000-0000-00004C230000}"/>
    <cellStyle name="표준 5 2 2 2 2 7 2 2" xfId="13898" xr:uid="{00000000-0005-0000-0000-00004D230000}"/>
    <cellStyle name="표준 5 2 2 2 2 7 2 2 2" xfId="30492" xr:uid="{00000000-0005-0000-0000-00004E230000}"/>
    <cellStyle name="표준 5 2 2 2 2 7 2 2 3" xfId="38703" xr:uid="{00000000-0005-0000-0000-00004F230000}"/>
    <cellStyle name="표준 5 2 2 2 2 7 2 2 4" xfId="46896" xr:uid="{00000000-0005-0000-0000-000050230000}"/>
    <cellStyle name="표준 5 2 2 2 2 7 2 3" xfId="18138" xr:uid="{00000000-0005-0000-0000-000051230000}"/>
    <cellStyle name="표준 5 2 2 2 2 7 2 4" xfId="22300" xr:uid="{00000000-0005-0000-0000-000052230000}"/>
    <cellStyle name="표준 5 2 2 2 2 7 2 5" xfId="26396" xr:uid="{00000000-0005-0000-0000-000053230000}"/>
    <cellStyle name="표준 5 2 2 2 2 7 2 6" xfId="34607" xr:uid="{00000000-0005-0000-0000-000054230000}"/>
    <cellStyle name="표준 5 2 2 2 2 7 2 7" xfId="42800" xr:uid="{00000000-0005-0000-0000-000055230000}"/>
    <cellStyle name="표준 5 2 2 2 2 7 3" xfId="7738" xr:uid="{00000000-0005-0000-0000-000056230000}"/>
    <cellStyle name="표준 5 2 2 2 2 7 3 2" xfId="28444" xr:uid="{00000000-0005-0000-0000-000057230000}"/>
    <cellStyle name="표준 5 2 2 2 2 7 3 3" xfId="36655" xr:uid="{00000000-0005-0000-0000-000058230000}"/>
    <cellStyle name="표준 5 2 2 2 2 7 3 4" xfId="44848" xr:uid="{00000000-0005-0000-0000-000059230000}"/>
    <cellStyle name="표준 5 2 2 2 2 7 4" xfId="11850" xr:uid="{00000000-0005-0000-0000-00005A230000}"/>
    <cellStyle name="표준 5 2 2 2 2 7 5" xfId="16090" xr:uid="{00000000-0005-0000-0000-00005B230000}"/>
    <cellStyle name="표준 5 2 2 2 2 7 6" xfId="20252" xr:uid="{00000000-0005-0000-0000-00005C230000}"/>
    <cellStyle name="표준 5 2 2 2 2 7 7" xfId="24348" xr:uid="{00000000-0005-0000-0000-00005D230000}"/>
    <cellStyle name="표준 5 2 2 2 2 7 8" xfId="32559" xr:uid="{00000000-0005-0000-0000-00005E230000}"/>
    <cellStyle name="표준 5 2 2 2 2 7 9" xfId="40752" xr:uid="{00000000-0005-0000-0000-00005F230000}"/>
    <cellStyle name="표준 5 2 2 2 2 8" xfId="1395" xr:uid="{00000000-0005-0000-0000-000060230000}"/>
    <cellStyle name="표준 5 2 2 2 2 8 2" xfId="10298" xr:uid="{00000000-0005-0000-0000-000061230000}"/>
    <cellStyle name="표준 5 2 2 2 2 8 2 2" xfId="14410" xr:uid="{00000000-0005-0000-0000-000062230000}"/>
    <cellStyle name="표준 5 2 2 2 2 8 2 2 2" xfId="31004" xr:uid="{00000000-0005-0000-0000-000063230000}"/>
    <cellStyle name="표준 5 2 2 2 2 8 2 2 3" xfId="39215" xr:uid="{00000000-0005-0000-0000-000064230000}"/>
    <cellStyle name="표준 5 2 2 2 2 8 2 2 4" xfId="47408" xr:uid="{00000000-0005-0000-0000-000065230000}"/>
    <cellStyle name="표준 5 2 2 2 2 8 2 3" xfId="18650" xr:uid="{00000000-0005-0000-0000-000066230000}"/>
    <cellStyle name="표준 5 2 2 2 2 8 2 4" xfId="22812" xr:uid="{00000000-0005-0000-0000-000067230000}"/>
    <cellStyle name="표준 5 2 2 2 2 8 2 5" xfId="26908" xr:uid="{00000000-0005-0000-0000-000068230000}"/>
    <cellStyle name="표준 5 2 2 2 2 8 2 6" xfId="35119" xr:uid="{00000000-0005-0000-0000-000069230000}"/>
    <cellStyle name="표준 5 2 2 2 2 8 2 7" xfId="43312" xr:uid="{00000000-0005-0000-0000-00006A230000}"/>
    <cellStyle name="표준 5 2 2 2 2 8 3" xfId="8250" xr:uid="{00000000-0005-0000-0000-00006B230000}"/>
    <cellStyle name="표준 5 2 2 2 2 8 3 2" xfId="28956" xr:uid="{00000000-0005-0000-0000-00006C230000}"/>
    <cellStyle name="표준 5 2 2 2 2 8 3 3" xfId="37167" xr:uid="{00000000-0005-0000-0000-00006D230000}"/>
    <cellStyle name="표준 5 2 2 2 2 8 3 4" xfId="45360" xr:uid="{00000000-0005-0000-0000-00006E230000}"/>
    <cellStyle name="표준 5 2 2 2 2 8 4" xfId="12362" xr:uid="{00000000-0005-0000-0000-00006F230000}"/>
    <cellStyle name="표준 5 2 2 2 2 8 5" xfId="16602" xr:uid="{00000000-0005-0000-0000-000070230000}"/>
    <cellStyle name="표준 5 2 2 2 2 8 6" xfId="20764" xr:uid="{00000000-0005-0000-0000-000071230000}"/>
    <cellStyle name="표준 5 2 2 2 2 8 7" xfId="24860" xr:uid="{00000000-0005-0000-0000-000072230000}"/>
    <cellStyle name="표준 5 2 2 2 2 8 8" xfId="33071" xr:uid="{00000000-0005-0000-0000-000073230000}"/>
    <cellStyle name="표준 5 2 2 2 2 8 9" xfId="41264" xr:uid="{00000000-0005-0000-0000-000074230000}"/>
    <cellStyle name="표준 5 2 2 2 2 9" xfId="1907" xr:uid="{00000000-0005-0000-0000-000075230000}"/>
    <cellStyle name="표준 5 2 2 2 2 9 2" xfId="10810" xr:uid="{00000000-0005-0000-0000-000076230000}"/>
    <cellStyle name="표준 5 2 2 2 2 9 2 2" xfId="14922" xr:uid="{00000000-0005-0000-0000-000077230000}"/>
    <cellStyle name="표준 5 2 2 2 2 9 2 2 2" xfId="31516" xr:uid="{00000000-0005-0000-0000-000078230000}"/>
    <cellStyle name="표준 5 2 2 2 2 9 2 2 3" xfId="39727" xr:uid="{00000000-0005-0000-0000-000079230000}"/>
    <cellStyle name="표준 5 2 2 2 2 9 2 2 4" xfId="47920" xr:uid="{00000000-0005-0000-0000-00007A230000}"/>
    <cellStyle name="표준 5 2 2 2 2 9 2 3" xfId="19162" xr:uid="{00000000-0005-0000-0000-00007B230000}"/>
    <cellStyle name="표준 5 2 2 2 2 9 2 4" xfId="23324" xr:uid="{00000000-0005-0000-0000-00007C230000}"/>
    <cellStyle name="표준 5 2 2 2 2 9 2 5" xfId="27420" xr:uid="{00000000-0005-0000-0000-00007D230000}"/>
    <cellStyle name="표준 5 2 2 2 2 9 2 6" xfId="35631" xr:uid="{00000000-0005-0000-0000-00007E230000}"/>
    <cellStyle name="표준 5 2 2 2 2 9 2 7" xfId="43824" xr:uid="{00000000-0005-0000-0000-00007F230000}"/>
    <cellStyle name="표준 5 2 2 2 2 9 3" xfId="8762" xr:uid="{00000000-0005-0000-0000-000080230000}"/>
    <cellStyle name="표준 5 2 2 2 2 9 3 2" xfId="29468" xr:uid="{00000000-0005-0000-0000-000081230000}"/>
    <cellStyle name="표준 5 2 2 2 2 9 3 3" xfId="37679" xr:uid="{00000000-0005-0000-0000-000082230000}"/>
    <cellStyle name="표준 5 2 2 2 2 9 3 4" xfId="45872" xr:uid="{00000000-0005-0000-0000-000083230000}"/>
    <cellStyle name="표준 5 2 2 2 2 9 4" xfId="12874" xr:uid="{00000000-0005-0000-0000-000084230000}"/>
    <cellStyle name="표준 5 2 2 2 2 9 5" xfId="17114" xr:uid="{00000000-0005-0000-0000-000085230000}"/>
    <cellStyle name="표준 5 2 2 2 2 9 6" xfId="21276" xr:uid="{00000000-0005-0000-0000-000086230000}"/>
    <cellStyle name="표준 5 2 2 2 2 9 7" xfId="25372" xr:uid="{00000000-0005-0000-0000-000087230000}"/>
    <cellStyle name="표준 5 2 2 2 2 9 8" xfId="33583" xr:uid="{00000000-0005-0000-0000-000088230000}"/>
    <cellStyle name="표준 5 2 2 2 2 9 9" xfId="41776" xr:uid="{00000000-0005-0000-0000-000089230000}"/>
    <cellStyle name="표준 5 2 2 2 20" xfId="15426" xr:uid="{00000000-0005-0000-0000-00008A230000}"/>
    <cellStyle name="표준 5 2 2 2 21" xfId="15442" xr:uid="{00000000-0005-0000-0000-00008B230000}"/>
    <cellStyle name="표준 5 2 2 2 22" xfId="15458" xr:uid="{00000000-0005-0000-0000-00008C230000}"/>
    <cellStyle name="표준 5 2 2 2 23" xfId="15554" xr:uid="{00000000-0005-0000-0000-00008D230000}"/>
    <cellStyle name="표준 5 2 2 2 24" xfId="15570" xr:uid="{00000000-0005-0000-0000-00008E230000}"/>
    <cellStyle name="표준 5 2 2 2 25" xfId="19666" xr:uid="{00000000-0005-0000-0000-00008F230000}"/>
    <cellStyle name="표준 5 2 2 2 26" xfId="19682" xr:uid="{00000000-0005-0000-0000-000090230000}"/>
    <cellStyle name="표준 5 2 2 2 27" xfId="19698" xr:uid="{00000000-0005-0000-0000-000091230000}"/>
    <cellStyle name="표준 5 2 2 2 28" xfId="19714" xr:uid="{00000000-0005-0000-0000-000092230000}"/>
    <cellStyle name="표준 5 2 2 2 29" xfId="19732" xr:uid="{00000000-0005-0000-0000-000093230000}"/>
    <cellStyle name="표준 5 2 2 2 3" xfId="154" xr:uid="{00000000-0005-0000-0000-000094230000}"/>
    <cellStyle name="표준 5 2 2 2 3 10" xfId="7187" xr:uid="{00000000-0005-0000-0000-000095230000}"/>
    <cellStyle name="표준 5 2 2 2 3 10 2" xfId="27940" xr:uid="{00000000-0005-0000-0000-000096230000}"/>
    <cellStyle name="표준 5 2 2 2 3 10 3" xfId="36151" xr:uid="{00000000-0005-0000-0000-000097230000}"/>
    <cellStyle name="표준 5 2 2 2 3 10 4" xfId="44344" xr:uid="{00000000-0005-0000-0000-000098230000}"/>
    <cellStyle name="표준 5 2 2 2 3 11" xfId="7234" xr:uid="{00000000-0005-0000-0000-000099230000}"/>
    <cellStyle name="표준 5 2 2 2 3 12" xfId="11346" xr:uid="{00000000-0005-0000-0000-00009A230000}"/>
    <cellStyle name="표준 5 2 2 2 3 13" xfId="15474" xr:uid="{00000000-0005-0000-0000-00009B230000}"/>
    <cellStyle name="표준 5 2 2 2 3 14" xfId="15586" xr:uid="{00000000-0005-0000-0000-00009C230000}"/>
    <cellStyle name="표준 5 2 2 2 3 15" xfId="19748" xr:uid="{00000000-0005-0000-0000-00009D230000}"/>
    <cellStyle name="표준 5 2 2 2 3 16" xfId="23844" xr:uid="{00000000-0005-0000-0000-00009E230000}"/>
    <cellStyle name="표준 5 2 2 2 3 17" xfId="32055" xr:uid="{00000000-0005-0000-0000-00009F230000}"/>
    <cellStyle name="표준 5 2 2 2 3 18" xfId="40248" xr:uid="{00000000-0005-0000-0000-0000A0230000}"/>
    <cellStyle name="표준 5 2 2 2 3 19" xfId="49645" xr:uid="{00000000-0005-0000-0000-0000A1230000}"/>
    <cellStyle name="표준 5 2 2 2 3 2" xfId="411" xr:uid="{00000000-0005-0000-0000-0000A2230000}"/>
    <cellStyle name="표준 5 2 2 2 3 2 10" xfId="7266" xr:uid="{00000000-0005-0000-0000-0000A3230000}"/>
    <cellStyle name="표준 5 2 2 2 3 2 11" xfId="11378" xr:uid="{00000000-0005-0000-0000-0000A4230000}"/>
    <cellStyle name="표준 5 2 2 2 3 2 12" xfId="15522" xr:uid="{00000000-0005-0000-0000-0000A5230000}"/>
    <cellStyle name="표준 5 2 2 2 3 2 13" xfId="15618" xr:uid="{00000000-0005-0000-0000-0000A6230000}"/>
    <cellStyle name="표준 5 2 2 2 3 2 14" xfId="19780" xr:uid="{00000000-0005-0000-0000-0000A7230000}"/>
    <cellStyle name="표준 5 2 2 2 3 2 15" xfId="23876" xr:uid="{00000000-0005-0000-0000-0000A8230000}"/>
    <cellStyle name="표준 5 2 2 2 3 2 16" xfId="32087" xr:uid="{00000000-0005-0000-0000-0000A9230000}"/>
    <cellStyle name="표준 5 2 2 2 3 2 17" xfId="40280" xr:uid="{00000000-0005-0000-0000-0000AA230000}"/>
    <cellStyle name="표준 5 2 2 2 3 2 18" xfId="49711" xr:uid="{00000000-0005-0000-0000-0000AB230000}"/>
    <cellStyle name="표준 5 2 2 2 3 2 2" xfId="475" xr:uid="{00000000-0005-0000-0000-0000AC230000}"/>
    <cellStyle name="표준 5 2 2 2 3 2 2 10" xfId="15682" xr:uid="{00000000-0005-0000-0000-0000AD230000}"/>
    <cellStyle name="표준 5 2 2 2 3 2 2 11" xfId="19844" xr:uid="{00000000-0005-0000-0000-0000AE230000}"/>
    <cellStyle name="표준 5 2 2 2 3 2 2 12" xfId="23940" xr:uid="{00000000-0005-0000-0000-0000AF230000}"/>
    <cellStyle name="표준 5 2 2 2 3 2 2 13" xfId="32151" xr:uid="{00000000-0005-0000-0000-0000B0230000}"/>
    <cellStyle name="표준 5 2 2 2 3 2 2 14" xfId="40344" xr:uid="{00000000-0005-0000-0000-0000B1230000}"/>
    <cellStyle name="표준 5 2 2 2 3 2 2 2" xfId="603" xr:uid="{00000000-0005-0000-0000-0000B2230000}"/>
    <cellStyle name="표준 5 2 2 2 3 2 2 2 10" xfId="19972" xr:uid="{00000000-0005-0000-0000-0000B3230000}"/>
    <cellStyle name="표준 5 2 2 2 3 2 2 2 11" xfId="24068" xr:uid="{00000000-0005-0000-0000-0000B4230000}"/>
    <cellStyle name="표준 5 2 2 2 3 2 2 2 12" xfId="32279" xr:uid="{00000000-0005-0000-0000-0000B5230000}"/>
    <cellStyle name="표준 5 2 2 2 3 2 2 2 13" xfId="40472" xr:uid="{00000000-0005-0000-0000-0000B6230000}"/>
    <cellStyle name="표준 5 2 2 2 3 2 2 2 2" xfId="859" xr:uid="{00000000-0005-0000-0000-0000B7230000}"/>
    <cellStyle name="표준 5 2 2 2 3 2 2 2 2 10" xfId="24324" xr:uid="{00000000-0005-0000-0000-0000B8230000}"/>
    <cellStyle name="표준 5 2 2 2 3 2 2 2 2 11" xfId="32535" xr:uid="{00000000-0005-0000-0000-0000B9230000}"/>
    <cellStyle name="표준 5 2 2 2 3 2 2 2 2 12" xfId="40728" xr:uid="{00000000-0005-0000-0000-0000BA230000}"/>
    <cellStyle name="표준 5 2 2 2 3 2 2 2 2 2" xfId="1371" xr:uid="{00000000-0005-0000-0000-0000BB230000}"/>
    <cellStyle name="표준 5 2 2 2 3 2 2 2 2 2 2" xfId="10274" xr:uid="{00000000-0005-0000-0000-0000BC230000}"/>
    <cellStyle name="표준 5 2 2 2 3 2 2 2 2 2 2 2" xfId="14386" xr:uid="{00000000-0005-0000-0000-0000BD230000}"/>
    <cellStyle name="표준 5 2 2 2 3 2 2 2 2 2 2 2 2" xfId="30980" xr:uid="{00000000-0005-0000-0000-0000BE230000}"/>
    <cellStyle name="표준 5 2 2 2 3 2 2 2 2 2 2 2 3" xfId="39191" xr:uid="{00000000-0005-0000-0000-0000BF230000}"/>
    <cellStyle name="표준 5 2 2 2 3 2 2 2 2 2 2 2 4" xfId="47384" xr:uid="{00000000-0005-0000-0000-0000C0230000}"/>
    <cellStyle name="표준 5 2 2 2 3 2 2 2 2 2 2 3" xfId="18626" xr:uid="{00000000-0005-0000-0000-0000C1230000}"/>
    <cellStyle name="표준 5 2 2 2 3 2 2 2 2 2 2 4" xfId="22788" xr:uid="{00000000-0005-0000-0000-0000C2230000}"/>
    <cellStyle name="표준 5 2 2 2 3 2 2 2 2 2 2 5" xfId="26884" xr:uid="{00000000-0005-0000-0000-0000C3230000}"/>
    <cellStyle name="표준 5 2 2 2 3 2 2 2 2 2 2 6" xfId="35095" xr:uid="{00000000-0005-0000-0000-0000C4230000}"/>
    <cellStyle name="표준 5 2 2 2 3 2 2 2 2 2 2 7" xfId="43288" xr:uid="{00000000-0005-0000-0000-0000C5230000}"/>
    <cellStyle name="표준 5 2 2 2 3 2 2 2 2 2 3" xfId="8226" xr:uid="{00000000-0005-0000-0000-0000C6230000}"/>
    <cellStyle name="표준 5 2 2 2 3 2 2 2 2 2 3 2" xfId="28932" xr:uid="{00000000-0005-0000-0000-0000C7230000}"/>
    <cellStyle name="표준 5 2 2 2 3 2 2 2 2 2 3 3" xfId="37143" xr:uid="{00000000-0005-0000-0000-0000C8230000}"/>
    <cellStyle name="표준 5 2 2 2 3 2 2 2 2 2 3 4" xfId="45336" xr:uid="{00000000-0005-0000-0000-0000C9230000}"/>
    <cellStyle name="표준 5 2 2 2 3 2 2 2 2 2 4" xfId="12338" xr:uid="{00000000-0005-0000-0000-0000CA230000}"/>
    <cellStyle name="표준 5 2 2 2 3 2 2 2 2 2 5" xfId="16578" xr:uid="{00000000-0005-0000-0000-0000CB230000}"/>
    <cellStyle name="표준 5 2 2 2 3 2 2 2 2 2 6" xfId="20740" xr:uid="{00000000-0005-0000-0000-0000CC230000}"/>
    <cellStyle name="표준 5 2 2 2 3 2 2 2 2 2 7" xfId="24836" xr:uid="{00000000-0005-0000-0000-0000CD230000}"/>
    <cellStyle name="표준 5 2 2 2 3 2 2 2 2 2 8" xfId="33047" xr:uid="{00000000-0005-0000-0000-0000CE230000}"/>
    <cellStyle name="표준 5 2 2 2 3 2 2 2 2 2 9" xfId="41240" xr:uid="{00000000-0005-0000-0000-0000CF230000}"/>
    <cellStyle name="표준 5 2 2 2 3 2 2 2 2 3" xfId="1883" xr:uid="{00000000-0005-0000-0000-0000D0230000}"/>
    <cellStyle name="표준 5 2 2 2 3 2 2 2 2 3 2" xfId="10786" xr:uid="{00000000-0005-0000-0000-0000D1230000}"/>
    <cellStyle name="표준 5 2 2 2 3 2 2 2 2 3 2 2" xfId="14898" xr:uid="{00000000-0005-0000-0000-0000D2230000}"/>
    <cellStyle name="표준 5 2 2 2 3 2 2 2 2 3 2 2 2" xfId="31492" xr:uid="{00000000-0005-0000-0000-0000D3230000}"/>
    <cellStyle name="표준 5 2 2 2 3 2 2 2 2 3 2 2 3" xfId="39703" xr:uid="{00000000-0005-0000-0000-0000D4230000}"/>
    <cellStyle name="표준 5 2 2 2 3 2 2 2 2 3 2 2 4" xfId="47896" xr:uid="{00000000-0005-0000-0000-0000D5230000}"/>
    <cellStyle name="표준 5 2 2 2 3 2 2 2 2 3 2 3" xfId="19138" xr:uid="{00000000-0005-0000-0000-0000D6230000}"/>
    <cellStyle name="표준 5 2 2 2 3 2 2 2 2 3 2 4" xfId="23300" xr:uid="{00000000-0005-0000-0000-0000D7230000}"/>
    <cellStyle name="표준 5 2 2 2 3 2 2 2 2 3 2 5" xfId="27396" xr:uid="{00000000-0005-0000-0000-0000D8230000}"/>
    <cellStyle name="표준 5 2 2 2 3 2 2 2 2 3 2 6" xfId="35607" xr:uid="{00000000-0005-0000-0000-0000D9230000}"/>
    <cellStyle name="표준 5 2 2 2 3 2 2 2 2 3 2 7" xfId="43800" xr:uid="{00000000-0005-0000-0000-0000DA230000}"/>
    <cellStyle name="표준 5 2 2 2 3 2 2 2 2 3 3" xfId="8738" xr:uid="{00000000-0005-0000-0000-0000DB230000}"/>
    <cellStyle name="표준 5 2 2 2 3 2 2 2 2 3 3 2" xfId="29444" xr:uid="{00000000-0005-0000-0000-0000DC230000}"/>
    <cellStyle name="표준 5 2 2 2 3 2 2 2 2 3 3 3" xfId="37655" xr:uid="{00000000-0005-0000-0000-0000DD230000}"/>
    <cellStyle name="표준 5 2 2 2 3 2 2 2 2 3 3 4" xfId="45848" xr:uid="{00000000-0005-0000-0000-0000DE230000}"/>
    <cellStyle name="표준 5 2 2 2 3 2 2 2 2 3 4" xfId="12850" xr:uid="{00000000-0005-0000-0000-0000DF230000}"/>
    <cellStyle name="표준 5 2 2 2 3 2 2 2 2 3 5" xfId="17090" xr:uid="{00000000-0005-0000-0000-0000E0230000}"/>
    <cellStyle name="표준 5 2 2 2 3 2 2 2 2 3 6" xfId="21252" xr:uid="{00000000-0005-0000-0000-0000E1230000}"/>
    <cellStyle name="표준 5 2 2 2 3 2 2 2 2 3 7" xfId="25348" xr:uid="{00000000-0005-0000-0000-0000E2230000}"/>
    <cellStyle name="표준 5 2 2 2 3 2 2 2 2 3 8" xfId="33559" xr:uid="{00000000-0005-0000-0000-0000E3230000}"/>
    <cellStyle name="표준 5 2 2 2 3 2 2 2 2 3 9" xfId="41752" xr:uid="{00000000-0005-0000-0000-0000E4230000}"/>
    <cellStyle name="표준 5 2 2 2 3 2 2 2 2 4" xfId="2395" xr:uid="{00000000-0005-0000-0000-0000E5230000}"/>
    <cellStyle name="표준 5 2 2 2 3 2 2 2 2 4 2" xfId="11298" xr:uid="{00000000-0005-0000-0000-0000E6230000}"/>
    <cellStyle name="표준 5 2 2 2 3 2 2 2 2 4 2 2" xfId="15410" xr:uid="{00000000-0005-0000-0000-0000E7230000}"/>
    <cellStyle name="표준 5 2 2 2 3 2 2 2 2 4 2 2 2" xfId="32004" xr:uid="{00000000-0005-0000-0000-0000E8230000}"/>
    <cellStyle name="표준 5 2 2 2 3 2 2 2 2 4 2 2 3" xfId="40215" xr:uid="{00000000-0005-0000-0000-0000E9230000}"/>
    <cellStyle name="표준 5 2 2 2 3 2 2 2 2 4 2 2 4" xfId="48408" xr:uid="{00000000-0005-0000-0000-0000EA230000}"/>
    <cellStyle name="표준 5 2 2 2 3 2 2 2 2 4 2 3" xfId="19650" xr:uid="{00000000-0005-0000-0000-0000EB230000}"/>
    <cellStyle name="표준 5 2 2 2 3 2 2 2 2 4 2 4" xfId="23812" xr:uid="{00000000-0005-0000-0000-0000EC230000}"/>
    <cellStyle name="표준 5 2 2 2 3 2 2 2 2 4 2 5" xfId="27908" xr:uid="{00000000-0005-0000-0000-0000ED230000}"/>
    <cellStyle name="표준 5 2 2 2 3 2 2 2 2 4 2 6" xfId="36119" xr:uid="{00000000-0005-0000-0000-0000EE230000}"/>
    <cellStyle name="표준 5 2 2 2 3 2 2 2 2 4 2 7" xfId="44312" xr:uid="{00000000-0005-0000-0000-0000EF230000}"/>
    <cellStyle name="표준 5 2 2 2 3 2 2 2 2 4 3" xfId="9250" xr:uid="{00000000-0005-0000-0000-0000F0230000}"/>
    <cellStyle name="표준 5 2 2 2 3 2 2 2 2 4 3 2" xfId="29956" xr:uid="{00000000-0005-0000-0000-0000F1230000}"/>
    <cellStyle name="표준 5 2 2 2 3 2 2 2 2 4 3 3" xfId="38167" xr:uid="{00000000-0005-0000-0000-0000F2230000}"/>
    <cellStyle name="표준 5 2 2 2 3 2 2 2 2 4 3 4" xfId="46360" xr:uid="{00000000-0005-0000-0000-0000F3230000}"/>
    <cellStyle name="표준 5 2 2 2 3 2 2 2 2 4 4" xfId="13362" xr:uid="{00000000-0005-0000-0000-0000F4230000}"/>
    <cellStyle name="표준 5 2 2 2 3 2 2 2 2 4 5" xfId="17602" xr:uid="{00000000-0005-0000-0000-0000F5230000}"/>
    <cellStyle name="표준 5 2 2 2 3 2 2 2 2 4 6" xfId="21764" xr:uid="{00000000-0005-0000-0000-0000F6230000}"/>
    <cellStyle name="표준 5 2 2 2 3 2 2 2 2 4 7" xfId="25860" xr:uid="{00000000-0005-0000-0000-0000F7230000}"/>
    <cellStyle name="표준 5 2 2 2 3 2 2 2 2 4 8" xfId="34071" xr:uid="{00000000-0005-0000-0000-0000F8230000}"/>
    <cellStyle name="표준 5 2 2 2 3 2 2 2 2 4 9" xfId="42264" xr:uid="{00000000-0005-0000-0000-0000F9230000}"/>
    <cellStyle name="표준 5 2 2 2 3 2 2 2 2 5" xfId="9762" xr:uid="{00000000-0005-0000-0000-0000FA230000}"/>
    <cellStyle name="표준 5 2 2 2 3 2 2 2 2 5 2" xfId="13874" xr:uid="{00000000-0005-0000-0000-0000FB230000}"/>
    <cellStyle name="표준 5 2 2 2 3 2 2 2 2 5 2 2" xfId="30468" xr:uid="{00000000-0005-0000-0000-0000FC230000}"/>
    <cellStyle name="표준 5 2 2 2 3 2 2 2 2 5 2 3" xfId="38679" xr:uid="{00000000-0005-0000-0000-0000FD230000}"/>
    <cellStyle name="표준 5 2 2 2 3 2 2 2 2 5 2 4" xfId="46872" xr:uid="{00000000-0005-0000-0000-0000FE230000}"/>
    <cellStyle name="표준 5 2 2 2 3 2 2 2 2 5 3" xfId="18114" xr:uid="{00000000-0005-0000-0000-0000FF230000}"/>
    <cellStyle name="표준 5 2 2 2 3 2 2 2 2 5 4" xfId="22276" xr:uid="{00000000-0005-0000-0000-000000240000}"/>
    <cellStyle name="표준 5 2 2 2 3 2 2 2 2 5 5" xfId="26372" xr:uid="{00000000-0005-0000-0000-000001240000}"/>
    <cellStyle name="표준 5 2 2 2 3 2 2 2 2 5 6" xfId="34583" xr:uid="{00000000-0005-0000-0000-000002240000}"/>
    <cellStyle name="표준 5 2 2 2 3 2 2 2 2 5 7" xfId="42776" xr:uid="{00000000-0005-0000-0000-000003240000}"/>
    <cellStyle name="표준 5 2 2 2 3 2 2 2 2 6" xfId="7714" xr:uid="{00000000-0005-0000-0000-000004240000}"/>
    <cellStyle name="표준 5 2 2 2 3 2 2 2 2 6 2" xfId="28420" xr:uid="{00000000-0005-0000-0000-000005240000}"/>
    <cellStyle name="표준 5 2 2 2 3 2 2 2 2 6 3" xfId="36631" xr:uid="{00000000-0005-0000-0000-000006240000}"/>
    <cellStyle name="표준 5 2 2 2 3 2 2 2 2 6 4" xfId="44824" xr:uid="{00000000-0005-0000-0000-000007240000}"/>
    <cellStyle name="표준 5 2 2 2 3 2 2 2 2 7" xfId="11826" xr:uid="{00000000-0005-0000-0000-000008240000}"/>
    <cellStyle name="표준 5 2 2 2 3 2 2 2 2 8" xfId="16066" xr:uid="{00000000-0005-0000-0000-000009240000}"/>
    <cellStyle name="표준 5 2 2 2 3 2 2 2 2 9" xfId="20228" xr:uid="{00000000-0005-0000-0000-00000A240000}"/>
    <cellStyle name="표준 5 2 2 2 3 2 2 2 3" xfId="1115" xr:uid="{00000000-0005-0000-0000-00000B240000}"/>
    <cellStyle name="표준 5 2 2 2 3 2 2 2 3 2" xfId="10018" xr:uid="{00000000-0005-0000-0000-00000C240000}"/>
    <cellStyle name="표준 5 2 2 2 3 2 2 2 3 2 2" xfId="14130" xr:uid="{00000000-0005-0000-0000-00000D240000}"/>
    <cellStyle name="표준 5 2 2 2 3 2 2 2 3 2 2 2" xfId="30724" xr:uid="{00000000-0005-0000-0000-00000E240000}"/>
    <cellStyle name="표준 5 2 2 2 3 2 2 2 3 2 2 3" xfId="38935" xr:uid="{00000000-0005-0000-0000-00000F240000}"/>
    <cellStyle name="표준 5 2 2 2 3 2 2 2 3 2 2 4" xfId="47128" xr:uid="{00000000-0005-0000-0000-000010240000}"/>
    <cellStyle name="표준 5 2 2 2 3 2 2 2 3 2 3" xfId="18370" xr:uid="{00000000-0005-0000-0000-000011240000}"/>
    <cellStyle name="표준 5 2 2 2 3 2 2 2 3 2 4" xfId="22532" xr:uid="{00000000-0005-0000-0000-000012240000}"/>
    <cellStyle name="표준 5 2 2 2 3 2 2 2 3 2 5" xfId="26628" xr:uid="{00000000-0005-0000-0000-000013240000}"/>
    <cellStyle name="표준 5 2 2 2 3 2 2 2 3 2 6" xfId="34839" xr:uid="{00000000-0005-0000-0000-000014240000}"/>
    <cellStyle name="표준 5 2 2 2 3 2 2 2 3 2 7" xfId="43032" xr:uid="{00000000-0005-0000-0000-000015240000}"/>
    <cellStyle name="표준 5 2 2 2 3 2 2 2 3 3" xfId="7970" xr:uid="{00000000-0005-0000-0000-000016240000}"/>
    <cellStyle name="표준 5 2 2 2 3 2 2 2 3 3 2" xfId="28676" xr:uid="{00000000-0005-0000-0000-000017240000}"/>
    <cellStyle name="표준 5 2 2 2 3 2 2 2 3 3 3" xfId="36887" xr:uid="{00000000-0005-0000-0000-000018240000}"/>
    <cellStyle name="표준 5 2 2 2 3 2 2 2 3 3 4" xfId="45080" xr:uid="{00000000-0005-0000-0000-000019240000}"/>
    <cellStyle name="표준 5 2 2 2 3 2 2 2 3 4" xfId="12082" xr:uid="{00000000-0005-0000-0000-00001A240000}"/>
    <cellStyle name="표준 5 2 2 2 3 2 2 2 3 5" xfId="16322" xr:uid="{00000000-0005-0000-0000-00001B240000}"/>
    <cellStyle name="표준 5 2 2 2 3 2 2 2 3 6" xfId="20484" xr:uid="{00000000-0005-0000-0000-00001C240000}"/>
    <cellStyle name="표준 5 2 2 2 3 2 2 2 3 7" xfId="24580" xr:uid="{00000000-0005-0000-0000-00001D240000}"/>
    <cellStyle name="표준 5 2 2 2 3 2 2 2 3 8" xfId="32791" xr:uid="{00000000-0005-0000-0000-00001E240000}"/>
    <cellStyle name="표준 5 2 2 2 3 2 2 2 3 9" xfId="40984" xr:uid="{00000000-0005-0000-0000-00001F240000}"/>
    <cellStyle name="표준 5 2 2 2 3 2 2 2 4" xfId="1627" xr:uid="{00000000-0005-0000-0000-000020240000}"/>
    <cellStyle name="표준 5 2 2 2 3 2 2 2 4 2" xfId="10530" xr:uid="{00000000-0005-0000-0000-000021240000}"/>
    <cellStyle name="표준 5 2 2 2 3 2 2 2 4 2 2" xfId="14642" xr:uid="{00000000-0005-0000-0000-000022240000}"/>
    <cellStyle name="표준 5 2 2 2 3 2 2 2 4 2 2 2" xfId="31236" xr:uid="{00000000-0005-0000-0000-000023240000}"/>
    <cellStyle name="표준 5 2 2 2 3 2 2 2 4 2 2 3" xfId="39447" xr:uid="{00000000-0005-0000-0000-000024240000}"/>
    <cellStyle name="표준 5 2 2 2 3 2 2 2 4 2 2 4" xfId="47640" xr:uid="{00000000-0005-0000-0000-000025240000}"/>
    <cellStyle name="표준 5 2 2 2 3 2 2 2 4 2 3" xfId="18882" xr:uid="{00000000-0005-0000-0000-000026240000}"/>
    <cellStyle name="표준 5 2 2 2 3 2 2 2 4 2 4" xfId="23044" xr:uid="{00000000-0005-0000-0000-000027240000}"/>
    <cellStyle name="표준 5 2 2 2 3 2 2 2 4 2 5" xfId="27140" xr:uid="{00000000-0005-0000-0000-000028240000}"/>
    <cellStyle name="표준 5 2 2 2 3 2 2 2 4 2 6" xfId="35351" xr:uid="{00000000-0005-0000-0000-000029240000}"/>
    <cellStyle name="표준 5 2 2 2 3 2 2 2 4 2 7" xfId="43544" xr:uid="{00000000-0005-0000-0000-00002A240000}"/>
    <cellStyle name="표준 5 2 2 2 3 2 2 2 4 3" xfId="8482" xr:uid="{00000000-0005-0000-0000-00002B240000}"/>
    <cellStyle name="표준 5 2 2 2 3 2 2 2 4 3 2" xfId="29188" xr:uid="{00000000-0005-0000-0000-00002C240000}"/>
    <cellStyle name="표준 5 2 2 2 3 2 2 2 4 3 3" xfId="37399" xr:uid="{00000000-0005-0000-0000-00002D240000}"/>
    <cellStyle name="표준 5 2 2 2 3 2 2 2 4 3 4" xfId="45592" xr:uid="{00000000-0005-0000-0000-00002E240000}"/>
    <cellStyle name="표준 5 2 2 2 3 2 2 2 4 4" xfId="12594" xr:uid="{00000000-0005-0000-0000-00002F240000}"/>
    <cellStyle name="표준 5 2 2 2 3 2 2 2 4 5" xfId="16834" xr:uid="{00000000-0005-0000-0000-000030240000}"/>
    <cellStyle name="표준 5 2 2 2 3 2 2 2 4 6" xfId="20996" xr:uid="{00000000-0005-0000-0000-000031240000}"/>
    <cellStyle name="표준 5 2 2 2 3 2 2 2 4 7" xfId="25092" xr:uid="{00000000-0005-0000-0000-000032240000}"/>
    <cellStyle name="표준 5 2 2 2 3 2 2 2 4 8" xfId="33303" xr:uid="{00000000-0005-0000-0000-000033240000}"/>
    <cellStyle name="표준 5 2 2 2 3 2 2 2 4 9" xfId="41496" xr:uid="{00000000-0005-0000-0000-000034240000}"/>
    <cellStyle name="표준 5 2 2 2 3 2 2 2 5" xfId="2139" xr:uid="{00000000-0005-0000-0000-000035240000}"/>
    <cellStyle name="표준 5 2 2 2 3 2 2 2 5 2" xfId="11042" xr:uid="{00000000-0005-0000-0000-000036240000}"/>
    <cellStyle name="표준 5 2 2 2 3 2 2 2 5 2 2" xfId="15154" xr:uid="{00000000-0005-0000-0000-000037240000}"/>
    <cellStyle name="표준 5 2 2 2 3 2 2 2 5 2 2 2" xfId="31748" xr:uid="{00000000-0005-0000-0000-000038240000}"/>
    <cellStyle name="표준 5 2 2 2 3 2 2 2 5 2 2 3" xfId="39959" xr:uid="{00000000-0005-0000-0000-000039240000}"/>
    <cellStyle name="표준 5 2 2 2 3 2 2 2 5 2 2 4" xfId="48152" xr:uid="{00000000-0005-0000-0000-00003A240000}"/>
    <cellStyle name="표준 5 2 2 2 3 2 2 2 5 2 3" xfId="19394" xr:uid="{00000000-0005-0000-0000-00003B240000}"/>
    <cellStyle name="표준 5 2 2 2 3 2 2 2 5 2 4" xfId="23556" xr:uid="{00000000-0005-0000-0000-00003C240000}"/>
    <cellStyle name="표준 5 2 2 2 3 2 2 2 5 2 5" xfId="27652" xr:uid="{00000000-0005-0000-0000-00003D240000}"/>
    <cellStyle name="표준 5 2 2 2 3 2 2 2 5 2 6" xfId="35863" xr:uid="{00000000-0005-0000-0000-00003E240000}"/>
    <cellStyle name="표준 5 2 2 2 3 2 2 2 5 2 7" xfId="44056" xr:uid="{00000000-0005-0000-0000-00003F240000}"/>
    <cellStyle name="표준 5 2 2 2 3 2 2 2 5 3" xfId="8994" xr:uid="{00000000-0005-0000-0000-000040240000}"/>
    <cellStyle name="표준 5 2 2 2 3 2 2 2 5 3 2" xfId="29700" xr:uid="{00000000-0005-0000-0000-000041240000}"/>
    <cellStyle name="표준 5 2 2 2 3 2 2 2 5 3 3" xfId="37911" xr:uid="{00000000-0005-0000-0000-000042240000}"/>
    <cellStyle name="표준 5 2 2 2 3 2 2 2 5 3 4" xfId="46104" xr:uid="{00000000-0005-0000-0000-000043240000}"/>
    <cellStyle name="표준 5 2 2 2 3 2 2 2 5 4" xfId="13106" xr:uid="{00000000-0005-0000-0000-000044240000}"/>
    <cellStyle name="표준 5 2 2 2 3 2 2 2 5 5" xfId="17346" xr:uid="{00000000-0005-0000-0000-000045240000}"/>
    <cellStyle name="표준 5 2 2 2 3 2 2 2 5 6" xfId="21508" xr:uid="{00000000-0005-0000-0000-000046240000}"/>
    <cellStyle name="표준 5 2 2 2 3 2 2 2 5 7" xfId="25604" xr:uid="{00000000-0005-0000-0000-000047240000}"/>
    <cellStyle name="표준 5 2 2 2 3 2 2 2 5 8" xfId="33815" xr:uid="{00000000-0005-0000-0000-000048240000}"/>
    <cellStyle name="표준 5 2 2 2 3 2 2 2 5 9" xfId="42008" xr:uid="{00000000-0005-0000-0000-000049240000}"/>
    <cellStyle name="표준 5 2 2 2 3 2 2 2 6" xfId="9506" xr:uid="{00000000-0005-0000-0000-00004A240000}"/>
    <cellStyle name="표준 5 2 2 2 3 2 2 2 6 2" xfId="13618" xr:uid="{00000000-0005-0000-0000-00004B240000}"/>
    <cellStyle name="표준 5 2 2 2 3 2 2 2 6 2 2" xfId="30212" xr:uid="{00000000-0005-0000-0000-00004C240000}"/>
    <cellStyle name="표준 5 2 2 2 3 2 2 2 6 2 3" xfId="38423" xr:uid="{00000000-0005-0000-0000-00004D240000}"/>
    <cellStyle name="표준 5 2 2 2 3 2 2 2 6 2 4" xfId="46616" xr:uid="{00000000-0005-0000-0000-00004E240000}"/>
    <cellStyle name="표준 5 2 2 2 3 2 2 2 6 3" xfId="17858" xr:uid="{00000000-0005-0000-0000-00004F240000}"/>
    <cellStyle name="표준 5 2 2 2 3 2 2 2 6 4" xfId="22020" xr:uid="{00000000-0005-0000-0000-000050240000}"/>
    <cellStyle name="표준 5 2 2 2 3 2 2 2 6 5" xfId="26116" xr:uid="{00000000-0005-0000-0000-000051240000}"/>
    <cellStyle name="표준 5 2 2 2 3 2 2 2 6 6" xfId="34327" xr:uid="{00000000-0005-0000-0000-000052240000}"/>
    <cellStyle name="표준 5 2 2 2 3 2 2 2 6 7" xfId="42520" xr:uid="{00000000-0005-0000-0000-000053240000}"/>
    <cellStyle name="표준 5 2 2 2 3 2 2 2 7" xfId="7458" xr:uid="{00000000-0005-0000-0000-000054240000}"/>
    <cellStyle name="표준 5 2 2 2 3 2 2 2 7 2" xfId="28164" xr:uid="{00000000-0005-0000-0000-000055240000}"/>
    <cellStyle name="표준 5 2 2 2 3 2 2 2 7 3" xfId="36375" xr:uid="{00000000-0005-0000-0000-000056240000}"/>
    <cellStyle name="표준 5 2 2 2 3 2 2 2 7 4" xfId="44568" xr:uid="{00000000-0005-0000-0000-000057240000}"/>
    <cellStyle name="표준 5 2 2 2 3 2 2 2 8" xfId="11570" xr:uid="{00000000-0005-0000-0000-000058240000}"/>
    <cellStyle name="표준 5 2 2 2 3 2 2 2 9" xfId="15810" xr:uid="{00000000-0005-0000-0000-000059240000}"/>
    <cellStyle name="표준 5 2 2 2 3 2 2 3" xfId="731" xr:uid="{00000000-0005-0000-0000-00005A240000}"/>
    <cellStyle name="표준 5 2 2 2 3 2 2 3 10" xfId="24196" xr:uid="{00000000-0005-0000-0000-00005B240000}"/>
    <cellStyle name="표준 5 2 2 2 3 2 2 3 11" xfId="32407" xr:uid="{00000000-0005-0000-0000-00005C240000}"/>
    <cellStyle name="표준 5 2 2 2 3 2 2 3 12" xfId="40600" xr:uid="{00000000-0005-0000-0000-00005D240000}"/>
    <cellStyle name="표준 5 2 2 2 3 2 2 3 2" xfId="1243" xr:uid="{00000000-0005-0000-0000-00005E240000}"/>
    <cellStyle name="표준 5 2 2 2 3 2 2 3 2 2" xfId="10146" xr:uid="{00000000-0005-0000-0000-00005F240000}"/>
    <cellStyle name="표준 5 2 2 2 3 2 2 3 2 2 2" xfId="14258" xr:uid="{00000000-0005-0000-0000-000060240000}"/>
    <cellStyle name="표준 5 2 2 2 3 2 2 3 2 2 2 2" xfId="30852" xr:uid="{00000000-0005-0000-0000-000061240000}"/>
    <cellStyle name="표준 5 2 2 2 3 2 2 3 2 2 2 3" xfId="39063" xr:uid="{00000000-0005-0000-0000-000062240000}"/>
    <cellStyle name="표준 5 2 2 2 3 2 2 3 2 2 2 4" xfId="47256" xr:uid="{00000000-0005-0000-0000-000063240000}"/>
    <cellStyle name="표준 5 2 2 2 3 2 2 3 2 2 3" xfId="18498" xr:uid="{00000000-0005-0000-0000-000064240000}"/>
    <cellStyle name="표준 5 2 2 2 3 2 2 3 2 2 4" xfId="22660" xr:uid="{00000000-0005-0000-0000-000065240000}"/>
    <cellStyle name="표준 5 2 2 2 3 2 2 3 2 2 5" xfId="26756" xr:uid="{00000000-0005-0000-0000-000066240000}"/>
    <cellStyle name="표준 5 2 2 2 3 2 2 3 2 2 6" xfId="34967" xr:uid="{00000000-0005-0000-0000-000067240000}"/>
    <cellStyle name="표준 5 2 2 2 3 2 2 3 2 2 7" xfId="43160" xr:uid="{00000000-0005-0000-0000-000068240000}"/>
    <cellStyle name="표준 5 2 2 2 3 2 2 3 2 3" xfId="8098" xr:uid="{00000000-0005-0000-0000-000069240000}"/>
    <cellStyle name="표준 5 2 2 2 3 2 2 3 2 3 2" xfId="28804" xr:uid="{00000000-0005-0000-0000-00006A240000}"/>
    <cellStyle name="표준 5 2 2 2 3 2 2 3 2 3 3" xfId="37015" xr:uid="{00000000-0005-0000-0000-00006B240000}"/>
    <cellStyle name="표준 5 2 2 2 3 2 2 3 2 3 4" xfId="45208" xr:uid="{00000000-0005-0000-0000-00006C240000}"/>
    <cellStyle name="표준 5 2 2 2 3 2 2 3 2 4" xfId="12210" xr:uid="{00000000-0005-0000-0000-00006D240000}"/>
    <cellStyle name="표준 5 2 2 2 3 2 2 3 2 5" xfId="16450" xr:uid="{00000000-0005-0000-0000-00006E240000}"/>
    <cellStyle name="표준 5 2 2 2 3 2 2 3 2 6" xfId="20612" xr:uid="{00000000-0005-0000-0000-00006F240000}"/>
    <cellStyle name="표준 5 2 2 2 3 2 2 3 2 7" xfId="24708" xr:uid="{00000000-0005-0000-0000-000070240000}"/>
    <cellStyle name="표준 5 2 2 2 3 2 2 3 2 8" xfId="32919" xr:uid="{00000000-0005-0000-0000-000071240000}"/>
    <cellStyle name="표준 5 2 2 2 3 2 2 3 2 9" xfId="41112" xr:uid="{00000000-0005-0000-0000-000072240000}"/>
    <cellStyle name="표준 5 2 2 2 3 2 2 3 3" xfId="1755" xr:uid="{00000000-0005-0000-0000-000073240000}"/>
    <cellStyle name="표준 5 2 2 2 3 2 2 3 3 2" xfId="10658" xr:uid="{00000000-0005-0000-0000-000074240000}"/>
    <cellStyle name="표준 5 2 2 2 3 2 2 3 3 2 2" xfId="14770" xr:uid="{00000000-0005-0000-0000-000075240000}"/>
    <cellStyle name="표준 5 2 2 2 3 2 2 3 3 2 2 2" xfId="31364" xr:uid="{00000000-0005-0000-0000-000076240000}"/>
    <cellStyle name="표준 5 2 2 2 3 2 2 3 3 2 2 3" xfId="39575" xr:uid="{00000000-0005-0000-0000-000077240000}"/>
    <cellStyle name="표준 5 2 2 2 3 2 2 3 3 2 2 4" xfId="47768" xr:uid="{00000000-0005-0000-0000-000078240000}"/>
    <cellStyle name="표준 5 2 2 2 3 2 2 3 3 2 3" xfId="19010" xr:uid="{00000000-0005-0000-0000-000079240000}"/>
    <cellStyle name="표준 5 2 2 2 3 2 2 3 3 2 4" xfId="23172" xr:uid="{00000000-0005-0000-0000-00007A240000}"/>
    <cellStyle name="표준 5 2 2 2 3 2 2 3 3 2 5" xfId="27268" xr:uid="{00000000-0005-0000-0000-00007B240000}"/>
    <cellStyle name="표준 5 2 2 2 3 2 2 3 3 2 6" xfId="35479" xr:uid="{00000000-0005-0000-0000-00007C240000}"/>
    <cellStyle name="표준 5 2 2 2 3 2 2 3 3 2 7" xfId="43672" xr:uid="{00000000-0005-0000-0000-00007D240000}"/>
    <cellStyle name="표준 5 2 2 2 3 2 2 3 3 3" xfId="8610" xr:uid="{00000000-0005-0000-0000-00007E240000}"/>
    <cellStyle name="표준 5 2 2 2 3 2 2 3 3 3 2" xfId="29316" xr:uid="{00000000-0005-0000-0000-00007F240000}"/>
    <cellStyle name="표준 5 2 2 2 3 2 2 3 3 3 3" xfId="37527" xr:uid="{00000000-0005-0000-0000-000080240000}"/>
    <cellStyle name="표준 5 2 2 2 3 2 2 3 3 3 4" xfId="45720" xr:uid="{00000000-0005-0000-0000-000081240000}"/>
    <cellStyle name="표준 5 2 2 2 3 2 2 3 3 4" xfId="12722" xr:uid="{00000000-0005-0000-0000-000082240000}"/>
    <cellStyle name="표준 5 2 2 2 3 2 2 3 3 5" xfId="16962" xr:uid="{00000000-0005-0000-0000-000083240000}"/>
    <cellStyle name="표준 5 2 2 2 3 2 2 3 3 6" xfId="21124" xr:uid="{00000000-0005-0000-0000-000084240000}"/>
    <cellStyle name="표준 5 2 2 2 3 2 2 3 3 7" xfId="25220" xr:uid="{00000000-0005-0000-0000-000085240000}"/>
    <cellStyle name="표준 5 2 2 2 3 2 2 3 3 8" xfId="33431" xr:uid="{00000000-0005-0000-0000-000086240000}"/>
    <cellStyle name="표준 5 2 2 2 3 2 2 3 3 9" xfId="41624" xr:uid="{00000000-0005-0000-0000-000087240000}"/>
    <cellStyle name="표준 5 2 2 2 3 2 2 3 4" xfId="2267" xr:uid="{00000000-0005-0000-0000-000088240000}"/>
    <cellStyle name="표준 5 2 2 2 3 2 2 3 4 2" xfId="11170" xr:uid="{00000000-0005-0000-0000-000089240000}"/>
    <cellStyle name="표준 5 2 2 2 3 2 2 3 4 2 2" xfId="15282" xr:uid="{00000000-0005-0000-0000-00008A240000}"/>
    <cellStyle name="표준 5 2 2 2 3 2 2 3 4 2 2 2" xfId="31876" xr:uid="{00000000-0005-0000-0000-00008B240000}"/>
    <cellStyle name="표준 5 2 2 2 3 2 2 3 4 2 2 3" xfId="40087" xr:uid="{00000000-0005-0000-0000-00008C240000}"/>
    <cellStyle name="표준 5 2 2 2 3 2 2 3 4 2 2 4" xfId="48280" xr:uid="{00000000-0005-0000-0000-00008D240000}"/>
    <cellStyle name="표준 5 2 2 2 3 2 2 3 4 2 3" xfId="19522" xr:uid="{00000000-0005-0000-0000-00008E240000}"/>
    <cellStyle name="표준 5 2 2 2 3 2 2 3 4 2 4" xfId="23684" xr:uid="{00000000-0005-0000-0000-00008F240000}"/>
    <cellStyle name="표준 5 2 2 2 3 2 2 3 4 2 5" xfId="27780" xr:uid="{00000000-0005-0000-0000-000090240000}"/>
    <cellStyle name="표준 5 2 2 2 3 2 2 3 4 2 6" xfId="35991" xr:uid="{00000000-0005-0000-0000-000091240000}"/>
    <cellStyle name="표준 5 2 2 2 3 2 2 3 4 2 7" xfId="44184" xr:uid="{00000000-0005-0000-0000-000092240000}"/>
    <cellStyle name="표준 5 2 2 2 3 2 2 3 4 3" xfId="9122" xr:uid="{00000000-0005-0000-0000-000093240000}"/>
    <cellStyle name="표준 5 2 2 2 3 2 2 3 4 3 2" xfId="29828" xr:uid="{00000000-0005-0000-0000-000094240000}"/>
    <cellStyle name="표준 5 2 2 2 3 2 2 3 4 3 3" xfId="38039" xr:uid="{00000000-0005-0000-0000-000095240000}"/>
    <cellStyle name="표준 5 2 2 2 3 2 2 3 4 3 4" xfId="46232" xr:uid="{00000000-0005-0000-0000-000096240000}"/>
    <cellStyle name="표준 5 2 2 2 3 2 2 3 4 4" xfId="13234" xr:uid="{00000000-0005-0000-0000-000097240000}"/>
    <cellStyle name="표준 5 2 2 2 3 2 2 3 4 5" xfId="17474" xr:uid="{00000000-0005-0000-0000-000098240000}"/>
    <cellStyle name="표준 5 2 2 2 3 2 2 3 4 6" xfId="21636" xr:uid="{00000000-0005-0000-0000-000099240000}"/>
    <cellStyle name="표준 5 2 2 2 3 2 2 3 4 7" xfId="25732" xr:uid="{00000000-0005-0000-0000-00009A240000}"/>
    <cellStyle name="표준 5 2 2 2 3 2 2 3 4 8" xfId="33943" xr:uid="{00000000-0005-0000-0000-00009B240000}"/>
    <cellStyle name="표준 5 2 2 2 3 2 2 3 4 9" xfId="42136" xr:uid="{00000000-0005-0000-0000-00009C240000}"/>
    <cellStyle name="표준 5 2 2 2 3 2 2 3 5" xfId="9634" xr:uid="{00000000-0005-0000-0000-00009D240000}"/>
    <cellStyle name="표준 5 2 2 2 3 2 2 3 5 2" xfId="13746" xr:uid="{00000000-0005-0000-0000-00009E240000}"/>
    <cellStyle name="표준 5 2 2 2 3 2 2 3 5 2 2" xfId="30340" xr:uid="{00000000-0005-0000-0000-00009F240000}"/>
    <cellStyle name="표준 5 2 2 2 3 2 2 3 5 2 3" xfId="38551" xr:uid="{00000000-0005-0000-0000-0000A0240000}"/>
    <cellStyle name="표준 5 2 2 2 3 2 2 3 5 2 4" xfId="46744" xr:uid="{00000000-0005-0000-0000-0000A1240000}"/>
    <cellStyle name="표준 5 2 2 2 3 2 2 3 5 3" xfId="17986" xr:uid="{00000000-0005-0000-0000-0000A2240000}"/>
    <cellStyle name="표준 5 2 2 2 3 2 2 3 5 4" xfId="22148" xr:uid="{00000000-0005-0000-0000-0000A3240000}"/>
    <cellStyle name="표준 5 2 2 2 3 2 2 3 5 5" xfId="26244" xr:uid="{00000000-0005-0000-0000-0000A4240000}"/>
    <cellStyle name="표준 5 2 2 2 3 2 2 3 5 6" xfId="34455" xr:uid="{00000000-0005-0000-0000-0000A5240000}"/>
    <cellStyle name="표준 5 2 2 2 3 2 2 3 5 7" xfId="42648" xr:uid="{00000000-0005-0000-0000-0000A6240000}"/>
    <cellStyle name="표준 5 2 2 2 3 2 2 3 6" xfId="7586" xr:uid="{00000000-0005-0000-0000-0000A7240000}"/>
    <cellStyle name="표준 5 2 2 2 3 2 2 3 6 2" xfId="28292" xr:uid="{00000000-0005-0000-0000-0000A8240000}"/>
    <cellStyle name="표준 5 2 2 2 3 2 2 3 6 3" xfId="36503" xr:uid="{00000000-0005-0000-0000-0000A9240000}"/>
    <cellStyle name="표준 5 2 2 2 3 2 2 3 6 4" xfId="44696" xr:uid="{00000000-0005-0000-0000-0000AA240000}"/>
    <cellStyle name="표준 5 2 2 2 3 2 2 3 7" xfId="11698" xr:uid="{00000000-0005-0000-0000-0000AB240000}"/>
    <cellStyle name="표준 5 2 2 2 3 2 2 3 8" xfId="15938" xr:uid="{00000000-0005-0000-0000-0000AC240000}"/>
    <cellStyle name="표준 5 2 2 2 3 2 2 3 9" xfId="20100" xr:uid="{00000000-0005-0000-0000-0000AD240000}"/>
    <cellStyle name="표준 5 2 2 2 3 2 2 4" xfId="987" xr:uid="{00000000-0005-0000-0000-0000AE240000}"/>
    <cellStyle name="표준 5 2 2 2 3 2 2 4 2" xfId="9890" xr:uid="{00000000-0005-0000-0000-0000AF240000}"/>
    <cellStyle name="표준 5 2 2 2 3 2 2 4 2 2" xfId="14002" xr:uid="{00000000-0005-0000-0000-0000B0240000}"/>
    <cellStyle name="표준 5 2 2 2 3 2 2 4 2 2 2" xfId="30596" xr:uid="{00000000-0005-0000-0000-0000B1240000}"/>
    <cellStyle name="표준 5 2 2 2 3 2 2 4 2 2 3" xfId="38807" xr:uid="{00000000-0005-0000-0000-0000B2240000}"/>
    <cellStyle name="표준 5 2 2 2 3 2 2 4 2 2 4" xfId="47000" xr:uid="{00000000-0005-0000-0000-0000B3240000}"/>
    <cellStyle name="표준 5 2 2 2 3 2 2 4 2 3" xfId="18242" xr:uid="{00000000-0005-0000-0000-0000B4240000}"/>
    <cellStyle name="표준 5 2 2 2 3 2 2 4 2 4" xfId="22404" xr:uid="{00000000-0005-0000-0000-0000B5240000}"/>
    <cellStyle name="표준 5 2 2 2 3 2 2 4 2 5" xfId="26500" xr:uid="{00000000-0005-0000-0000-0000B6240000}"/>
    <cellStyle name="표준 5 2 2 2 3 2 2 4 2 6" xfId="34711" xr:uid="{00000000-0005-0000-0000-0000B7240000}"/>
    <cellStyle name="표준 5 2 2 2 3 2 2 4 2 7" xfId="42904" xr:uid="{00000000-0005-0000-0000-0000B8240000}"/>
    <cellStyle name="표준 5 2 2 2 3 2 2 4 3" xfId="7842" xr:uid="{00000000-0005-0000-0000-0000B9240000}"/>
    <cellStyle name="표준 5 2 2 2 3 2 2 4 3 2" xfId="28548" xr:uid="{00000000-0005-0000-0000-0000BA240000}"/>
    <cellStyle name="표준 5 2 2 2 3 2 2 4 3 3" xfId="36759" xr:uid="{00000000-0005-0000-0000-0000BB240000}"/>
    <cellStyle name="표준 5 2 2 2 3 2 2 4 3 4" xfId="44952" xr:uid="{00000000-0005-0000-0000-0000BC240000}"/>
    <cellStyle name="표준 5 2 2 2 3 2 2 4 4" xfId="11954" xr:uid="{00000000-0005-0000-0000-0000BD240000}"/>
    <cellStyle name="표준 5 2 2 2 3 2 2 4 5" xfId="16194" xr:uid="{00000000-0005-0000-0000-0000BE240000}"/>
    <cellStyle name="표준 5 2 2 2 3 2 2 4 6" xfId="20356" xr:uid="{00000000-0005-0000-0000-0000BF240000}"/>
    <cellStyle name="표준 5 2 2 2 3 2 2 4 7" xfId="24452" xr:uid="{00000000-0005-0000-0000-0000C0240000}"/>
    <cellStyle name="표준 5 2 2 2 3 2 2 4 8" xfId="32663" xr:uid="{00000000-0005-0000-0000-0000C1240000}"/>
    <cellStyle name="표준 5 2 2 2 3 2 2 4 9" xfId="40856" xr:uid="{00000000-0005-0000-0000-0000C2240000}"/>
    <cellStyle name="표준 5 2 2 2 3 2 2 5" xfId="1499" xr:uid="{00000000-0005-0000-0000-0000C3240000}"/>
    <cellStyle name="표준 5 2 2 2 3 2 2 5 2" xfId="10402" xr:uid="{00000000-0005-0000-0000-0000C4240000}"/>
    <cellStyle name="표준 5 2 2 2 3 2 2 5 2 2" xfId="14514" xr:uid="{00000000-0005-0000-0000-0000C5240000}"/>
    <cellStyle name="표준 5 2 2 2 3 2 2 5 2 2 2" xfId="31108" xr:uid="{00000000-0005-0000-0000-0000C6240000}"/>
    <cellStyle name="표준 5 2 2 2 3 2 2 5 2 2 3" xfId="39319" xr:uid="{00000000-0005-0000-0000-0000C7240000}"/>
    <cellStyle name="표준 5 2 2 2 3 2 2 5 2 2 4" xfId="47512" xr:uid="{00000000-0005-0000-0000-0000C8240000}"/>
    <cellStyle name="표준 5 2 2 2 3 2 2 5 2 3" xfId="18754" xr:uid="{00000000-0005-0000-0000-0000C9240000}"/>
    <cellStyle name="표준 5 2 2 2 3 2 2 5 2 4" xfId="22916" xr:uid="{00000000-0005-0000-0000-0000CA240000}"/>
    <cellStyle name="표준 5 2 2 2 3 2 2 5 2 5" xfId="27012" xr:uid="{00000000-0005-0000-0000-0000CB240000}"/>
    <cellStyle name="표준 5 2 2 2 3 2 2 5 2 6" xfId="35223" xr:uid="{00000000-0005-0000-0000-0000CC240000}"/>
    <cellStyle name="표준 5 2 2 2 3 2 2 5 2 7" xfId="43416" xr:uid="{00000000-0005-0000-0000-0000CD240000}"/>
    <cellStyle name="표준 5 2 2 2 3 2 2 5 3" xfId="8354" xr:uid="{00000000-0005-0000-0000-0000CE240000}"/>
    <cellStyle name="표준 5 2 2 2 3 2 2 5 3 2" xfId="29060" xr:uid="{00000000-0005-0000-0000-0000CF240000}"/>
    <cellStyle name="표준 5 2 2 2 3 2 2 5 3 3" xfId="37271" xr:uid="{00000000-0005-0000-0000-0000D0240000}"/>
    <cellStyle name="표준 5 2 2 2 3 2 2 5 3 4" xfId="45464" xr:uid="{00000000-0005-0000-0000-0000D1240000}"/>
    <cellStyle name="표준 5 2 2 2 3 2 2 5 4" xfId="12466" xr:uid="{00000000-0005-0000-0000-0000D2240000}"/>
    <cellStyle name="표준 5 2 2 2 3 2 2 5 5" xfId="16706" xr:uid="{00000000-0005-0000-0000-0000D3240000}"/>
    <cellStyle name="표준 5 2 2 2 3 2 2 5 6" xfId="20868" xr:uid="{00000000-0005-0000-0000-0000D4240000}"/>
    <cellStyle name="표준 5 2 2 2 3 2 2 5 7" xfId="24964" xr:uid="{00000000-0005-0000-0000-0000D5240000}"/>
    <cellStyle name="표준 5 2 2 2 3 2 2 5 8" xfId="33175" xr:uid="{00000000-0005-0000-0000-0000D6240000}"/>
    <cellStyle name="표준 5 2 2 2 3 2 2 5 9" xfId="41368" xr:uid="{00000000-0005-0000-0000-0000D7240000}"/>
    <cellStyle name="표준 5 2 2 2 3 2 2 6" xfId="2011" xr:uid="{00000000-0005-0000-0000-0000D8240000}"/>
    <cellStyle name="표준 5 2 2 2 3 2 2 6 2" xfId="10914" xr:uid="{00000000-0005-0000-0000-0000D9240000}"/>
    <cellStyle name="표준 5 2 2 2 3 2 2 6 2 2" xfId="15026" xr:uid="{00000000-0005-0000-0000-0000DA240000}"/>
    <cellStyle name="표준 5 2 2 2 3 2 2 6 2 2 2" xfId="31620" xr:uid="{00000000-0005-0000-0000-0000DB240000}"/>
    <cellStyle name="표준 5 2 2 2 3 2 2 6 2 2 3" xfId="39831" xr:uid="{00000000-0005-0000-0000-0000DC240000}"/>
    <cellStyle name="표준 5 2 2 2 3 2 2 6 2 2 4" xfId="48024" xr:uid="{00000000-0005-0000-0000-0000DD240000}"/>
    <cellStyle name="표준 5 2 2 2 3 2 2 6 2 3" xfId="19266" xr:uid="{00000000-0005-0000-0000-0000DE240000}"/>
    <cellStyle name="표준 5 2 2 2 3 2 2 6 2 4" xfId="23428" xr:uid="{00000000-0005-0000-0000-0000DF240000}"/>
    <cellStyle name="표준 5 2 2 2 3 2 2 6 2 5" xfId="27524" xr:uid="{00000000-0005-0000-0000-0000E0240000}"/>
    <cellStyle name="표준 5 2 2 2 3 2 2 6 2 6" xfId="35735" xr:uid="{00000000-0005-0000-0000-0000E1240000}"/>
    <cellStyle name="표준 5 2 2 2 3 2 2 6 2 7" xfId="43928" xr:uid="{00000000-0005-0000-0000-0000E2240000}"/>
    <cellStyle name="표준 5 2 2 2 3 2 2 6 3" xfId="8866" xr:uid="{00000000-0005-0000-0000-0000E3240000}"/>
    <cellStyle name="표준 5 2 2 2 3 2 2 6 3 2" xfId="29572" xr:uid="{00000000-0005-0000-0000-0000E4240000}"/>
    <cellStyle name="표준 5 2 2 2 3 2 2 6 3 3" xfId="37783" xr:uid="{00000000-0005-0000-0000-0000E5240000}"/>
    <cellStyle name="표준 5 2 2 2 3 2 2 6 3 4" xfId="45976" xr:uid="{00000000-0005-0000-0000-0000E6240000}"/>
    <cellStyle name="표준 5 2 2 2 3 2 2 6 4" xfId="12978" xr:uid="{00000000-0005-0000-0000-0000E7240000}"/>
    <cellStyle name="표준 5 2 2 2 3 2 2 6 5" xfId="17218" xr:uid="{00000000-0005-0000-0000-0000E8240000}"/>
    <cellStyle name="표준 5 2 2 2 3 2 2 6 6" xfId="21380" xr:uid="{00000000-0005-0000-0000-0000E9240000}"/>
    <cellStyle name="표준 5 2 2 2 3 2 2 6 7" xfId="25476" xr:uid="{00000000-0005-0000-0000-0000EA240000}"/>
    <cellStyle name="표준 5 2 2 2 3 2 2 6 8" xfId="33687" xr:uid="{00000000-0005-0000-0000-0000EB240000}"/>
    <cellStyle name="표준 5 2 2 2 3 2 2 6 9" xfId="41880" xr:uid="{00000000-0005-0000-0000-0000EC240000}"/>
    <cellStyle name="표준 5 2 2 2 3 2 2 7" xfId="9378" xr:uid="{00000000-0005-0000-0000-0000ED240000}"/>
    <cellStyle name="표준 5 2 2 2 3 2 2 7 2" xfId="13490" xr:uid="{00000000-0005-0000-0000-0000EE240000}"/>
    <cellStyle name="표준 5 2 2 2 3 2 2 7 2 2" xfId="30084" xr:uid="{00000000-0005-0000-0000-0000EF240000}"/>
    <cellStyle name="표준 5 2 2 2 3 2 2 7 2 3" xfId="38295" xr:uid="{00000000-0005-0000-0000-0000F0240000}"/>
    <cellStyle name="표준 5 2 2 2 3 2 2 7 2 4" xfId="46488" xr:uid="{00000000-0005-0000-0000-0000F1240000}"/>
    <cellStyle name="표준 5 2 2 2 3 2 2 7 3" xfId="17730" xr:uid="{00000000-0005-0000-0000-0000F2240000}"/>
    <cellStyle name="표준 5 2 2 2 3 2 2 7 4" xfId="21892" xr:uid="{00000000-0005-0000-0000-0000F3240000}"/>
    <cellStyle name="표준 5 2 2 2 3 2 2 7 5" xfId="25988" xr:uid="{00000000-0005-0000-0000-0000F4240000}"/>
    <cellStyle name="표준 5 2 2 2 3 2 2 7 6" xfId="34199" xr:uid="{00000000-0005-0000-0000-0000F5240000}"/>
    <cellStyle name="표준 5 2 2 2 3 2 2 7 7" xfId="42392" xr:uid="{00000000-0005-0000-0000-0000F6240000}"/>
    <cellStyle name="표준 5 2 2 2 3 2 2 8" xfId="7330" xr:uid="{00000000-0005-0000-0000-0000F7240000}"/>
    <cellStyle name="표준 5 2 2 2 3 2 2 8 2" xfId="28036" xr:uid="{00000000-0005-0000-0000-0000F8240000}"/>
    <cellStyle name="표준 5 2 2 2 3 2 2 8 3" xfId="36247" xr:uid="{00000000-0005-0000-0000-0000F9240000}"/>
    <cellStyle name="표준 5 2 2 2 3 2 2 8 4" xfId="44440" xr:uid="{00000000-0005-0000-0000-0000FA240000}"/>
    <cellStyle name="표준 5 2 2 2 3 2 2 9" xfId="11442" xr:uid="{00000000-0005-0000-0000-0000FB240000}"/>
    <cellStyle name="표준 5 2 2 2 3 2 3" xfId="539" xr:uid="{00000000-0005-0000-0000-0000FC240000}"/>
    <cellStyle name="표준 5 2 2 2 3 2 3 10" xfId="19908" xr:uid="{00000000-0005-0000-0000-0000FD240000}"/>
    <cellStyle name="표준 5 2 2 2 3 2 3 11" xfId="24004" xr:uid="{00000000-0005-0000-0000-0000FE240000}"/>
    <cellStyle name="표준 5 2 2 2 3 2 3 12" xfId="32215" xr:uid="{00000000-0005-0000-0000-0000FF240000}"/>
    <cellStyle name="표준 5 2 2 2 3 2 3 13" xfId="40408" xr:uid="{00000000-0005-0000-0000-000000250000}"/>
    <cellStyle name="표준 5 2 2 2 3 2 3 2" xfId="795" xr:uid="{00000000-0005-0000-0000-000001250000}"/>
    <cellStyle name="표준 5 2 2 2 3 2 3 2 10" xfId="24260" xr:uid="{00000000-0005-0000-0000-000002250000}"/>
    <cellStyle name="표준 5 2 2 2 3 2 3 2 11" xfId="32471" xr:uid="{00000000-0005-0000-0000-000003250000}"/>
    <cellStyle name="표준 5 2 2 2 3 2 3 2 12" xfId="40664" xr:uid="{00000000-0005-0000-0000-000004250000}"/>
    <cellStyle name="표준 5 2 2 2 3 2 3 2 2" xfId="1307" xr:uid="{00000000-0005-0000-0000-000005250000}"/>
    <cellStyle name="표준 5 2 2 2 3 2 3 2 2 2" xfId="10210" xr:uid="{00000000-0005-0000-0000-000006250000}"/>
    <cellStyle name="표준 5 2 2 2 3 2 3 2 2 2 2" xfId="14322" xr:uid="{00000000-0005-0000-0000-000007250000}"/>
    <cellStyle name="표준 5 2 2 2 3 2 3 2 2 2 2 2" xfId="30916" xr:uid="{00000000-0005-0000-0000-000008250000}"/>
    <cellStyle name="표준 5 2 2 2 3 2 3 2 2 2 2 3" xfId="39127" xr:uid="{00000000-0005-0000-0000-000009250000}"/>
    <cellStyle name="표준 5 2 2 2 3 2 3 2 2 2 2 4" xfId="47320" xr:uid="{00000000-0005-0000-0000-00000A250000}"/>
    <cellStyle name="표준 5 2 2 2 3 2 3 2 2 2 3" xfId="18562" xr:uid="{00000000-0005-0000-0000-00000B250000}"/>
    <cellStyle name="표준 5 2 2 2 3 2 3 2 2 2 4" xfId="22724" xr:uid="{00000000-0005-0000-0000-00000C250000}"/>
    <cellStyle name="표준 5 2 2 2 3 2 3 2 2 2 5" xfId="26820" xr:uid="{00000000-0005-0000-0000-00000D250000}"/>
    <cellStyle name="표준 5 2 2 2 3 2 3 2 2 2 6" xfId="35031" xr:uid="{00000000-0005-0000-0000-00000E250000}"/>
    <cellStyle name="표준 5 2 2 2 3 2 3 2 2 2 7" xfId="43224" xr:uid="{00000000-0005-0000-0000-00000F250000}"/>
    <cellStyle name="표준 5 2 2 2 3 2 3 2 2 3" xfId="8162" xr:uid="{00000000-0005-0000-0000-000010250000}"/>
    <cellStyle name="표준 5 2 2 2 3 2 3 2 2 3 2" xfId="28868" xr:uid="{00000000-0005-0000-0000-000011250000}"/>
    <cellStyle name="표준 5 2 2 2 3 2 3 2 2 3 3" xfId="37079" xr:uid="{00000000-0005-0000-0000-000012250000}"/>
    <cellStyle name="표준 5 2 2 2 3 2 3 2 2 3 4" xfId="45272" xr:uid="{00000000-0005-0000-0000-000013250000}"/>
    <cellStyle name="표준 5 2 2 2 3 2 3 2 2 4" xfId="12274" xr:uid="{00000000-0005-0000-0000-000014250000}"/>
    <cellStyle name="표준 5 2 2 2 3 2 3 2 2 5" xfId="16514" xr:uid="{00000000-0005-0000-0000-000015250000}"/>
    <cellStyle name="표준 5 2 2 2 3 2 3 2 2 6" xfId="20676" xr:uid="{00000000-0005-0000-0000-000016250000}"/>
    <cellStyle name="표준 5 2 2 2 3 2 3 2 2 7" xfId="24772" xr:uid="{00000000-0005-0000-0000-000017250000}"/>
    <cellStyle name="표준 5 2 2 2 3 2 3 2 2 8" xfId="32983" xr:uid="{00000000-0005-0000-0000-000018250000}"/>
    <cellStyle name="표준 5 2 2 2 3 2 3 2 2 9" xfId="41176" xr:uid="{00000000-0005-0000-0000-000019250000}"/>
    <cellStyle name="표준 5 2 2 2 3 2 3 2 3" xfId="1819" xr:uid="{00000000-0005-0000-0000-00001A250000}"/>
    <cellStyle name="표준 5 2 2 2 3 2 3 2 3 2" xfId="10722" xr:uid="{00000000-0005-0000-0000-00001B250000}"/>
    <cellStyle name="표준 5 2 2 2 3 2 3 2 3 2 2" xfId="14834" xr:uid="{00000000-0005-0000-0000-00001C250000}"/>
    <cellStyle name="표준 5 2 2 2 3 2 3 2 3 2 2 2" xfId="31428" xr:uid="{00000000-0005-0000-0000-00001D250000}"/>
    <cellStyle name="표준 5 2 2 2 3 2 3 2 3 2 2 3" xfId="39639" xr:uid="{00000000-0005-0000-0000-00001E250000}"/>
    <cellStyle name="표준 5 2 2 2 3 2 3 2 3 2 2 4" xfId="47832" xr:uid="{00000000-0005-0000-0000-00001F250000}"/>
    <cellStyle name="표준 5 2 2 2 3 2 3 2 3 2 3" xfId="19074" xr:uid="{00000000-0005-0000-0000-000020250000}"/>
    <cellStyle name="표준 5 2 2 2 3 2 3 2 3 2 4" xfId="23236" xr:uid="{00000000-0005-0000-0000-000021250000}"/>
    <cellStyle name="표준 5 2 2 2 3 2 3 2 3 2 5" xfId="27332" xr:uid="{00000000-0005-0000-0000-000022250000}"/>
    <cellStyle name="표준 5 2 2 2 3 2 3 2 3 2 6" xfId="35543" xr:uid="{00000000-0005-0000-0000-000023250000}"/>
    <cellStyle name="표준 5 2 2 2 3 2 3 2 3 2 7" xfId="43736" xr:uid="{00000000-0005-0000-0000-000024250000}"/>
    <cellStyle name="표준 5 2 2 2 3 2 3 2 3 3" xfId="8674" xr:uid="{00000000-0005-0000-0000-000025250000}"/>
    <cellStyle name="표준 5 2 2 2 3 2 3 2 3 3 2" xfId="29380" xr:uid="{00000000-0005-0000-0000-000026250000}"/>
    <cellStyle name="표준 5 2 2 2 3 2 3 2 3 3 3" xfId="37591" xr:uid="{00000000-0005-0000-0000-000027250000}"/>
    <cellStyle name="표준 5 2 2 2 3 2 3 2 3 3 4" xfId="45784" xr:uid="{00000000-0005-0000-0000-000028250000}"/>
    <cellStyle name="표준 5 2 2 2 3 2 3 2 3 4" xfId="12786" xr:uid="{00000000-0005-0000-0000-000029250000}"/>
    <cellStyle name="표준 5 2 2 2 3 2 3 2 3 5" xfId="17026" xr:uid="{00000000-0005-0000-0000-00002A250000}"/>
    <cellStyle name="표준 5 2 2 2 3 2 3 2 3 6" xfId="21188" xr:uid="{00000000-0005-0000-0000-00002B250000}"/>
    <cellStyle name="표준 5 2 2 2 3 2 3 2 3 7" xfId="25284" xr:uid="{00000000-0005-0000-0000-00002C250000}"/>
    <cellStyle name="표준 5 2 2 2 3 2 3 2 3 8" xfId="33495" xr:uid="{00000000-0005-0000-0000-00002D250000}"/>
    <cellStyle name="표준 5 2 2 2 3 2 3 2 3 9" xfId="41688" xr:uid="{00000000-0005-0000-0000-00002E250000}"/>
    <cellStyle name="표준 5 2 2 2 3 2 3 2 4" xfId="2331" xr:uid="{00000000-0005-0000-0000-00002F250000}"/>
    <cellStyle name="표준 5 2 2 2 3 2 3 2 4 2" xfId="11234" xr:uid="{00000000-0005-0000-0000-000030250000}"/>
    <cellStyle name="표준 5 2 2 2 3 2 3 2 4 2 2" xfId="15346" xr:uid="{00000000-0005-0000-0000-000031250000}"/>
    <cellStyle name="표준 5 2 2 2 3 2 3 2 4 2 2 2" xfId="31940" xr:uid="{00000000-0005-0000-0000-000032250000}"/>
    <cellStyle name="표준 5 2 2 2 3 2 3 2 4 2 2 3" xfId="40151" xr:uid="{00000000-0005-0000-0000-000033250000}"/>
    <cellStyle name="표준 5 2 2 2 3 2 3 2 4 2 2 4" xfId="48344" xr:uid="{00000000-0005-0000-0000-000034250000}"/>
    <cellStyle name="표준 5 2 2 2 3 2 3 2 4 2 3" xfId="19586" xr:uid="{00000000-0005-0000-0000-000035250000}"/>
    <cellStyle name="표준 5 2 2 2 3 2 3 2 4 2 4" xfId="23748" xr:uid="{00000000-0005-0000-0000-000036250000}"/>
    <cellStyle name="표준 5 2 2 2 3 2 3 2 4 2 5" xfId="27844" xr:uid="{00000000-0005-0000-0000-000037250000}"/>
    <cellStyle name="표준 5 2 2 2 3 2 3 2 4 2 6" xfId="36055" xr:uid="{00000000-0005-0000-0000-000038250000}"/>
    <cellStyle name="표준 5 2 2 2 3 2 3 2 4 2 7" xfId="44248" xr:uid="{00000000-0005-0000-0000-000039250000}"/>
    <cellStyle name="표준 5 2 2 2 3 2 3 2 4 3" xfId="9186" xr:uid="{00000000-0005-0000-0000-00003A250000}"/>
    <cellStyle name="표준 5 2 2 2 3 2 3 2 4 3 2" xfId="29892" xr:uid="{00000000-0005-0000-0000-00003B250000}"/>
    <cellStyle name="표준 5 2 2 2 3 2 3 2 4 3 3" xfId="38103" xr:uid="{00000000-0005-0000-0000-00003C250000}"/>
    <cellStyle name="표준 5 2 2 2 3 2 3 2 4 3 4" xfId="46296" xr:uid="{00000000-0005-0000-0000-00003D250000}"/>
    <cellStyle name="표준 5 2 2 2 3 2 3 2 4 4" xfId="13298" xr:uid="{00000000-0005-0000-0000-00003E250000}"/>
    <cellStyle name="표준 5 2 2 2 3 2 3 2 4 5" xfId="17538" xr:uid="{00000000-0005-0000-0000-00003F250000}"/>
    <cellStyle name="표준 5 2 2 2 3 2 3 2 4 6" xfId="21700" xr:uid="{00000000-0005-0000-0000-000040250000}"/>
    <cellStyle name="표준 5 2 2 2 3 2 3 2 4 7" xfId="25796" xr:uid="{00000000-0005-0000-0000-000041250000}"/>
    <cellStyle name="표준 5 2 2 2 3 2 3 2 4 8" xfId="34007" xr:uid="{00000000-0005-0000-0000-000042250000}"/>
    <cellStyle name="표준 5 2 2 2 3 2 3 2 4 9" xfId="42200" xr:uid="{00000000-0005-0000-0000-000043250000}"/>
    <cellStyle name="표준 5 2 2 2 3 2 3 2 5" xfId="9698" xr:uid="{00000000-0005-0000-0000-000044250000}"/>
    <cellStyle name="표준 5 2 2 2 3 2 3 2 5 2" xfId="13810" xr:uid="{00000000-0005-0000-0000-000045250000}"/>
    <cellStyle name="표준 5 2 2 2 3 2 3 2 5 2 2" xfId="30404" xr:uid="{00000000-0005-0000-0000-000046250000}"/>
    <cellStyle name="표준 5 2 2 2 3 2 3 2 5 2 3" xfId="38615" xr:uid="{00000000-0005-0000-0000-000047250000}"/>
    <cellStyle name="표준 5 2 2 2 3 2 3 2 5 2 4" xfId="46808" xr:uid="{00000000-0005-0000-0000-000048250000}"/>
    <cellStyle name="표준 5 2 2 2 3 2 3 2 5 3" xfId="18050" xr:uid="{00000000-0005-0000-0000-000049250000}"/>
    <cellStyle name="표준 5 2 2 2 3 2 3 2 5 4" xfId="22212" xr:uid="{00000000-0005-0000-0000-00004A250000}"/>
    <cellStyle name="표준 5 2 2 2 3 2 3 2 5 5" xfId="26308" xr:uid="{00000000-0005-0000-0000-00004B250000}"/>
    <cellStyle name="표준 5 2 2 2 3 2 3 2 5 6" xfId="34519" xr:uid="{00000000-0005-0000-0000-00004C250000}"/>
    <cellStyle name="표준 5 2 2 2 3 2 3 2 5 7" xfId="42712" xr:uid="{00000000-0005-0000-0000-00004D250000}"/>
    <cellStyle name="표준 5 2 2 2 3 2 3 2 6" xfId="7650" xr:uid="{00000000-0005-0000-0000-00004E250000}"/>
    <cellStyle name="표준 5 2 2 2 3 2 3 2 6 2" xfId="28356" xr:uid="{00000000-0005-0000-0000-00004F250000}"/>
    <cellStyle name="표준 5 2 2 2 3 2 3 2 6 3" xfId="36567" xr:uid="{00000000-0005-0000-0000-000050250000}"/>
    <cellStyle name="표준 5 2 2 2 3 2 3 2 6 4" xfId="44760" xr:uid="{00000000-0005-0000-0000-000051250000}"/>
    <cellStyle name="표준 5 2 2 2 3 2 3 2 7" xfId="11762" xr:uid="{00000000-0005-0000-0000-000052250000}"/>
    <cellStyle name="표준 5 2 2 2 3 2 3 2 8" xfId="16002" xr:uid="{00000000-0005-0000-0000-000053250000}"/>
    <cellStyle name="표준 5 2 2 2 3 2 3 2 9" xfId="20164" xr:uid="{00000000-0005-0000-0000-000054250000}"/>
    <cellStyle name="표준 5 2 2 2 3 2 3 3" xfId="1051" xr:uid="{00000000-0005-0000-0000-000055250000}"/>
    <cellStyle name="표준 5 2 2 2 3 2 3 3 2" xfId="9954" xr:uid="{00000000-0005-0000-0000-000056250000}"/>
    <cellStyle name="표준 5 2 2 2 3 2 3 3 2 2" xfId="14066" xr:uid="{00000000-0005-0000-0000-000057250000}"/>
    <cellStyle name="표준 5 2 2 2 3 2 3 3 2 2 2" xfId="30660" xr:uid="{00000000-0005-0000-0000-000058250000}"/>
    <cellStyle name="표준 5 2 2 2 3 2 3 3 2 2 3" xfId="38871" xr:uid="{00000000-0005-0000-0000-000059250000}"/>
    <cellStyle name="표준 5 2 2 2 3 2 3 3 2 2 4" xfId="47064" xr:uid="{00000000-0005-0000-0000-00005A250000}"/>
    <cellStyle name="표준 5 2 2 2 3 2 3 3 2 3" xfId="18306" xr:uid="{00000000-0005-0000-0000-00005B250000}"/>
    <cellStyle name="표준 5 2 2 2 3 2 3 3 2 4" xfId="22468" xr:uid="{00000000-0005-0000-0000-00005C250000}"/>
    <cellStyle name="표준 5 2 2 2 3 2 3 3 2 5" xfId="26564" xr:uid="{00000000-0005-0000-0000-00005D250000}"/>
    <cellStyle name="표준 5 2 2 2 3 2 3 3 2 6" xfId="34775" xr:uid="{00000000-0005-0000-0000-00005E250000}"/>
    <cellStyle name="표준 5 2 2 2 3 2 3 3 2 7" xfId="42968" xr:uid="{00000000-0005-0000-0000-00005F250000}"/>
    <cellStyle name="표준 5 2 2 2 3 2 3 3 3" xfId="7906" xr:uid="{00000000-0005-0000-0000-000060250000}"/>
    <cellStyle name="표준 5 2 2 2 3 2 3 3 3 2" xfId="28612" xr:uid="{00000000-0005-0000-0000-000061250000}"/>
    <cellStyle name="표준 5 2 2 2 3 2 3 3 3 3" xfId="36823" xr:uid="{00000000-0005-0000-0000-000062250000}"/>
    <cellStyle name="표준 5 2 2 2 3 2 3 3 3 4" xfId="45016" xr:uid="{00000000-0005-0000-0000-000063250000}"/>
    <cellStyle name="표준 5 2 2 2 3 2 3 3 4" xfId="12018" xr:uid="{00000000-0005-0000-0000-000064250000}"/>
    <cellStyle name="표준 5 2 2 2 3 2 3 3 5" xfId="16258" xr:uid="{00000000-0005-0000-0000-000065250000}"/>
    <cellStyle name="표준 5 2 2 2 3 2 3 3 6" xfId="20420" xr:uid="{00000000-0005-0000-0000-000066250000}"/>
    <cellStyle name="표준 5 2 2 2 3 2 3 3 7" xfId="24516" xr:uid="{00000000-0005-0000-0000-000067250000}"/>
    <cellStyle name="표준 5 2 2 2 3 2 3 3 8" xfId="32727" xr:uid="{00000000-0005-0000-0000-000068250000}"/>
    <cellStyle name="표준 5 2 2 2 3 2 3 3 9" xfId="40920" xr:uid="{00000000-0005-0000-0000-000069250000}"/>
    <cellStyle name="표준 5 2 2 2 3 2 3 4" xfId="1563" xr:uid="{00000000-0005-0000-0000-00006A250000}"/>
    <cellStyle name="표준 5 2 2 2 3 2 3 4 2" xfId="10466" xr:uid="{00000000-0005-0000-0000-00006B250000}"/>
    <cellStyle name="표준 5 2 2 2 3 2 3 4 2 2" xfId="14578" xr:uid="{00000000-0005-0000-0000-00006C250000}"/>
    <cellStyle name="표준 5 2 2 2 3 2 3 4 2 2 2" xfId="31172" xr:uid="{00000000-0005-0000-0000-00006D250000}"/>
    <cellStyle name="표준 5 2 2 2 3 2 3 4 2 2 3" xfId="39383" xr:uid="{00000000-0005-0000-0000-00006E250000}"/>
    <cellStyle name="표준 5 2 2 2 3 2 3 4 2 2 4" xfId="47576" xr:uid="{00000000-0005-0000-0000-00006F250000}"/>
    <cellStyle name="표준 5 2 2 2 3 2 3 4 2 3" xfId="18818" xr:uid="{00000000-0005-0000-0000-000070250000}"/>
    <cellStyle name="표준 5 2 2 2 3 2 3 4 2 4" xfId="22980" xr:uid="{00000000-0005-0000-0000-000071250000}"/>
    <cellStyle name="표준 5 2 2 2 3 2 3 4 2 5" xfId="27076" xr:uid="{00000000-0005-0000-0000-000072250000}"/>
    <cellStyle name="표준 5 2 2 2 3 2 3 4 2 6" xfId="35287" xr:uid="{00000000-0005-0000-0000-000073250000}"/>
    <cellStyle name="표준 5 2 2 2 3 2 3 4 2 7" xfId="43480" xr:uid="{00000000-0005-0000-0000-000074250000}"/>
    <cellStyle name="표준 5 2 2 2 3 2 3 4 3" xfId="8418" xr:uid="{00000000-0005-0000-0000-000075250000}"/>
    <cellStyle name="표준 5 2 2 2 3 2 3 4 3 2" xfId="29124" xr:uid="{00000000-0005-0000-0000-000076250000}"/>
    <cellStyle name="표준 5 2 2 2 3 2 3 4 3 3" xfId="37335" xr:uid="{00000000-0005-0000-0000-000077250000}"/>
    <cellStyle name="표준 5 2 2 2 3 2 3 4 3 4" xfId="45528" xr:uid="{00000000-0005-0000-0000-000078250000}"/>
    <cellStyle name="표준 5 2 2 2 3 2 3 4 4" xfId="12530" xr:uid="{00000000-0005-0000-0000-000079250000}"/>
    <cellStyle name="표준 5 2 2 2 3 2 3 4 5" xfId="16770" xr:uid="{00000000-0005-0000-0000-00007A250000}"/>
    <cellStyle name="표준 5 2 2 2 3 2 3 4 6" xfId="20932" xr:uid="{00000000-0005-0000-0000-00007B250000}"/>
    <cellStyle name="표준 5 2 2 2 3 2 3 4 7" xfId="25028" xr:uid="{00000000-0005-0000-0000-00007C250000}"/>
    <cellStyle name="표준 5 2 2 2 3 2 3 4 8" xfId="33239" xr:uid="{00000000-0005-0000-0000-00007D250000}"/>
    <cellStyle name="표준 5 2 2 2 3 2 3 4 9" xfId="41432" xr:uid="{00000000-0005-0000-0000-00007E250000}"/>
    <cellStyle name="표준 5 2 2 2 3 2 3 5" xfId="2075" xr:uid="{00000000-0005-0000-0000-00007F250000}"/>
    <cellStyle name="표준 5 2 2 2 3 2 3 5 2" xfId="10978" xr:uid="{00000000-0005-0000-0000-000080250000}"/>
    <cellStyle name="표준 5 2 2 2 3 2 3 5 2 2" xfId="15090" xr:uid="{00000000-0005-0000-0000-000081250000}"/>
    <cellStyle name="표준 5 2 2 2 3 2 3 5 2 2 2" xfId="31684" xr:uid="{00000000-0005-0000-0000-000082250000}"/>
    <cellStyle name="표준 5 2 2 2 3 2 3 5 2 2 3" xfId="39895" xr:uid="{00000000-0005-0000-0000-000083250000}"/>
    <cellStyle name="표준 5 2 2 2 3 2 3 5 2 2 4" xfId="48088" xr:uid="{00000000-0005-0000-0000-000084250000}"/>
    <cellStyle name="표준 5 2 2 2 3 2 3 5 2 3" xfId="19330" xr:uid="{00000000-0005-0000-0000-000085250000}"/>
    <cellStyle name="표준 5 2 2 2 3 2 3 5 2 4" xfId="23492" xr:uid="{00000000-0005-0000-0000-000086250000}"/>
    <cellStyle name="표준 5 2 2 2 3 2 3 5 2 5" xfId="27588" xr:uid="{00000000-0005-0000-0000-000087250000}"/>
    <cellStyle name="표준 5 2 2 2 3 2 3 5 2 6" xfId="35799" xr:uid="{00000000-0005-0000-0000-000088250000}"/>
    <cellStyle name="표준 5 2 2 2 3 2 3 5 2 7" xfId="43992" xr:uid="{00000000-0005-0000-0000-000089250000}"/>
    <cellStyle name="표준 5 2 2 2 3 2 3 5 3" xfId="8930" xr:uid="{00000000-0005-0000-0000-00008A250000}"/>
    <cellStyle name="표준 5 2 2 2 3 2 3 5 3 2" xfId="29636" xr:uid="{00000000-0005-0000-0000-00008B250000}"/>
    <cellStyle name="표준 5 2 2 2 3 2 3 5 3 3" xfId="37847" xr:uid="{00000000-0005-0000-0000-00008C250000}"/>
    <cellStyle name="표준 5 2 2 2 3 2 3 5 3 4" xfId="46040" xr:uid="{00000000-0005-0000-0000-00008D250000}"/>
    <cellStyle name="표준 5 2 2 2 3 2 3 5 4" xfId="13042" xr:uid="{00000000-0005-0000-0000-00008E250000}"/>
    <cellStyle name="표준 5 2 2 2 3 2 3 5 5" xfId="17282" xr:uid="{00000000-0005-0000-0000-00008F250000}"/>
    <cellStyle name="표준 5 2 2 2 3 2 3 5 6" xfId="21444" xr:uid="{00000000-0005-0000-0000-000090250000}"/>
    <cellStyle name="표준 5 2 2 2 3 2 3 5 7" xfId="25540" xr:uid="{00000000-0005-0000-0000-000091250000}"/>
    <cellStyle name="표준 5 2 2 2 3 2 3 5 8" xfId="33751" xr:uid="{00000000-0005-0000-0000-000092250000}"/>
    <cellStyle name="표준 5 2 2 2 3 2 3 5 9" xfId="41944" xr:uid="{00000000-0005-0000-0000-000093250000}"/>
    <cellStyle name="표준 5 2 2 2 3 2 3 6" xfId="9442" xr:uid="{00000000-0005-0000-0000-000094250000}"/>
    <cellStyle name="표준 5 2 2 2 3 2 3 6 2" xfId="13554" xr:uid="{00000000-0005-0000-0000-000095250000}"/>
    <cellStyle name="표준 5 2 2 2 3 2 3 6 2 2" xfId="30148" xr:uid="{00000000-0005-0000-0000-000096250000}"/>
    <cellStyle name="표준 5 2 2 2 3 2 3 6 2 3" xfId="38359" xr:uid="{00000000-0005-0000-0000-000097250000}"/>
    <cellStyle name="표준 5 2 2 2 3 2 3 6 2 4" xfId="46552" xr:uid="{00000000-0005-0000-0000-000098250000}"/>
    <cellStyle name="표준 5 2 2 2 3 2 3 6 3" xfId="17794" xr:uid="{00000000-0005-0000-0000-000099250000}"/>
    <cellStyle name="표준 5 2 2 2 3 2 3 6 4" xfId="21956" xr:uid="{00000000-0005-0000-0000-00009A250000}"/>
    <cellStyle name="표준 5 2 2 2 3 2 3 6 5" xfId="26052" xr:uid="{00000000-0005-0000-0000-00009B250000}"/>
    <cellStyle name="표준 5 2 2 2 3 2 3 6 6" xfId="34263" xr:uid="{00000000-0005-0000-0000-00009C250000}"/>
    <cellStyle name="표준 5 2 2 2 3 2 3 6 7" xfId="42456" xr:uid="{00000000-0005-0000-0000-00009D250000}"/>
    <cellStyle name="표준 5 2 2 2 3 2 3 7" xfId="7394" xr:uid="{00000000-0005-0000-0000-00009E250000}"/>
    <cellStyle name="표준 5 2 2 2 3 2 3 7 2" xfId="28100" xr:uid="{00000000-0005-0000-0000-00009F250000}"/>
    <cellStyle name="표준 5 2 2 2 3 2 3 7 3" xfId="36311" xr:uid="{00000000-0005-0000-0000-0000A0250000}"/>
    <cellStyle name="표준 5 2 2 2 3 2 3 7 4" xfId="44504" xr:uid="{00000000-0005-0000-0000-0000A1250000}"/>
    <cellStyle name="표준 5 2 2 2 3 2 3 8" xfId="11506" xr:uid="{00000000-0005-0000-0000-0000A2250000}"/>
    <cellStyle name="표준 5 2 2 2 3 2 3 9" xfId="15746" xr:uid="{00000000-0005-0000-0000-0000A3250000}"/>
    <cellStyle name="표준 5 2 2 2 3 2 4" xfId="667" xr:uid="{00000000-0005-0000-0000-0000A4250000}"/>
    <cellStyle name="표준 5 2 2 2 3 2 4 10" xfId="24132" xr:uid="{00000000-0005-0000-0000-0000A5250000}"/>
    <cellStyle name="표준 5 2 2 2 3 2 4 11" xfId="32343" xr:uid="{00000000-0005-0000-0000-0000A6250000}"/>
    <cellStyle name="표준 5 2 2 2 3 2 4 12" xfId="40536" xr:uid="{00000000-0005-0000-0000-0000A7250000}"/>
    <cellStyle name="표준 5 2 2 2 3 2 4 2" xfId="1179" xr:uid="{00000000-0005-0000-0000-0000A8250000}"/>
    <cellStyle name="표준 5 2 2 2 3 2 4 2 2" xfId="10082" xr:uid="{00000000-0005-0000-0000-0000A9250000}"/>
    <cellStyle name="표준 5 2 2 2 3 2 4 2 2 2" xfId="14194" xr:uid="{00000000-0005-0000-0000-0000AA250000}"/>
    <cellStyle name="표준 5 2 2 2 3 2 4 2 2 2 2" xfId="30788" xr:uid="{00000000-0005-0000-0000-0000AB250000}"/>
    <cellStyle name="표준 5 2 2 2 3 2 4 2 2 2 3" xfId="38999" xr:uid="{00000000-0005-0000-0000-0000AC250000}"/>
    <cellStyle name="표준 5 2 2 2 3 2 4 2 2 2 4" xfId="47192" xr:uid="{00000000-0005-0000-0000-0000AD250000}"/>
    <cellStyle name="표준 5 2 2 2 3 2 4 2 2 3" xfId="18434" xr:uid="{00000000-0005-0000-0000-0000AE250000}"/>
    <cellStyle name="표준 5 2 2 2 3 2 4 2 2 4" xfId="22596" xr:uid="{00000000-0005-0000-0000-0000AF250000}"/>
    <cellStyle name="표준 5 2 2 2 3 2 4 2 2 5" xfId="26692" xr:uid="{00000000-0005-0000-0000-0000B0250000}"/>
    <cellStyle name="표준 5 2 2 2 3 2 4 2 2 6" xfId="34903" xr:uid="{00000000-0005-0000-0000-0000B1250000}"/>
    <cellStyle name="표준 5 2 2 2 3 2 4 2 2 7" xfId="43096" xr:uid="{00000000-0005-0000-0000-0000B2250000}"/>
    <cellStyle name="표준 5 2 2 2 3 2 4 2 3" xfId="8034" xr:uid="{00000000-0005-0000-0000-0000B3250000}"/>
    <cellStyle name="표준 5 2 2 2 3 2 4 2 3 2" xfId="28740" xr:uid="{00000000-0005-0000-0000-0000B4250000}"/>
    <cellStyle name="표준 5 2 2 2 3 2 4 2 3 3" xfId="36951" xr:uid="{00000000-0005-0000-0000-0000B5250000}"/>
    <cellStyle name="표준 5 2 2 2 3 2 4 2 3 4" xfId="45144" xr:uid="{00000000-0005-0000-0000-0000B6250000}"/>
    <cellStyle name="표준 5 2 2 2 3 2 4 2 4" xfId="12146" xr:uid="{00000000-0005-0000-0000-0000B7250000}"/>
    <cellStyle name="표준 5 2 2 2 3 2 4 2 5" xfId="16386" xr:uid="{00000000-0005-0000-0000-0000B8250000}"/>
    <cellStyle name="표준 5 2 2 2 3 2 4 2 6" xfId="20548" xr:uid="{00000000-0005-0000-0000-0000B9250000}"/>
    <cellStyle name="표준 5 2 2 2 3 2 4 2 7" xfId="24644" xr:uid="{00000000-0005-0000-0000-0000BA250000}"/>
    <cellStyle name="표준 5 2 2 2 3 2 4 2 8" xfId="32855" xr:uid="{00000000-0005-0000-0000-0000BB250000}"/>
    <cellStyle name="표준 5 2 2 2 3 2 4 2 9" xfId="41048" xr:uid="{00000000-0005-0000-0000-0000BC250000}"/>
    <cellStyle name="표준 5 2 2 2 3 2 4 3" xfId="1691" xr:uid="{00000000-0005-0000-0000-0000BD250000}"/>
    <cellStyle name="표준 5 2 2 2 3 2 4 3 2" xfId="10594" xr:uid="{00000000-0005-0000-0000-0000BE250000}"/>
    <cellStyle name="표준 5 2 2 2 3 2 4 3 2 2" xfId="14706" xr:uid="{00000000-0005-0000-0000-0000BF250000}"/>
    <cellStyle name="표준 5 2 2 2 3 2 4 3 2 2 2" xfId="31300" xr:uid="{00000000-0005-0000-0000-0000C0250000}"/>
    <cellStyle name="표준 5 2 2 2 3 2 4 3 2 2 3" xfId="39511" xr:uid="{00000000-0005-0000-0000-0000C1250000}"/>
    <cellStyle name="표준 5 2 2 2 3 2 4 3 2 2 4" xfId="47704" xr:uid="{00000000-0005-0000-0000-0000C2250000}"/>
    <cellStyle name="표준 5 2 2 2 3 2 4 3 2 3" xfId="18946" xr:uid="{00000000-0005-0000-0000-0000C3250000}"/>
    <cellStyle name="표준 5 2 2 2 3 2 4 3 2 4" xfId="23108" xr:uid="{00000000-0005-0000-0000-0000C4250000}"/>
    <cellStyle name="표준 5 2 2 2 3 2 4 3 2 5" xfId="27204" xr:uid="{00000000-0005-0000-0000-0000C5250000}"/>
    <cellStyle name="표준 5 2 2 2 3 2 4 3 2 6" xfId="35415" xr:uid="{00000000-0005-0000-0000-0000C6250000}"/>
    <cellStyle name="표준 5 2 2 2 3 2 4 3 2 7" xfId="43608" xr:uid="{00000000-0005-0000-0000-0000C7250000}"/>
    <cellStyle name="표준 5 2 2 2 3 2 4 3 3" xfId="8546" xr:uid="{00000000-0005-0000-0000-0000C8250000}"/>
    <cellStyle name="표준 5 2 2 2 3 2 4 3 3 2" xfId="29252" xr:uid="{00000000-0005-0000-0000-0000C9250000}"/>
    <cellStyle name="표준 5 2 2 2 3 2 4 3 3 3" xfId="37463" xr:uid="{00000000-0005-0000-0000-0000CA250000}"/>
    <cellStyle name="표준 5 2 2 2 3 2 4 3 3 4" xfId="45656" xr:uid="{00000000-0005-0000-0000-0000CB250000}"/>
    <cellStyle name="표준 5 2 2 2 3 2 4 3 4" xfId="12658" xr:uid="{00000000-0005-0000-0000-0000CC250000}"/>
    <cellStyle name="표준 5 2 2 2 3 2 4 3 5" xfId="16898" xr:uid="{00000000-0005-0000-0000-0000CD250000}"/>
    <cellStyle name="표준 5 2 2 2 3 2 4 3 6" xfId="21060" xr:uid="{00000000-0005-0000-0000-0000CE250000}"/>
    <cellStyle name="표준 5 2 2 2 3 2 4 3 7" xfId="25156" xr:uid="{00000000-0005-0000-0000-0000CF250000}"/>
    <cellStyle name="표준 5 2 2 2 3 2 4 3 8" xfId="33367" xr:uid="{00000000-0005-0000-0000-0000D0250000}"/>
    <cellStyle name="표준 5 2 2 2 3 2 4 3 9" xfId="41560" xr:uid="{00000000-0005-0000-0000-0000D1250000}"/>
    <cellStyle name="표준 5 2 2 2 3 2 4 4" xfId="2203" xr:uid="{00000000-0005-0000-0000-0000D2250000}"/>
    <cellStyle name="표준 5 2 2 2 3 2 4 4 2" xfId="11106" xr:uid="{00000000-0005-0000-0000-0000D3250000}"/>
    <cellStyle name="표준 5 2 2 2 3 2 4 4 2 2" xfId="15218" xr:uid="{00000000-0005-0000-0000-0000D4250000}"/>
    <cellStyle name="표준 5 2 2 2 3 2 4 4 2 2 2" xfId="31812" xr:uid="{00000000-0005-0000-0000-0000D5250000}"/>
    <cellStyle name="표준 5 2 2 2 3 2 4 4 2 2 3" xfId="40023" xr:uid="{00000000-0005-0000-0000-0000D6250000}"/>
    <cellStyle name="표준 5 2 2 2 3 2 4 4 2 2 4" xfId="48216" xr:uid="{00000000-0005-0000-0000-0000D7250000}"/>
    <cellStyle name="표준 5 2 2 2 3 2 4 4 2 3" xfId="19458" xr:uid="{00000000-0005-0000-0000-0000D8250000}"/>
    <cellStyle name="표준 5 2 2 2 3 2 4 4 2 4" xfId="23620" xr:uid="{00000000-0005-0000-0000-0000D9250000}"/>
    <cellStyle name="표준 5 2 2 2 3 2 4 4 2 5" xfId="27716" xr:uid="{00000000-0005-0000-0000-0000DA250000}"/>
    <cellStyle name="표준 5 2 2 2 3 2 4 4 2 6" xfId="35927" xr:uid="{00000000-0005-0000-0000-0000DB250000}"/>
    <cellStyle name="표준 5 2 2 2 3 2 4 4 2 7" xfId="44120" xr:uid="{00000000-0005-0000-0000-0000DC250000}"/>
    <cellStyle name="표준 5 2 2 2 3 2 4 4 3" xfId="9058" xr:uid="{00000000-0005-0000-0000-0000DD250000}"/>
    <cellStyle name="표준 5 2 2 2 3 2 4 4 3 2" xfId="29764" xr:uid="{00000000-0005-0000-0000-0000DE250000}"/>
    <cellStyle name="표준 5 2 2 2 3 2 4 4 3 3" xfId="37975" xr:uid="{00000000-0005-0000-0000-0000DF250000}"/>
    <cellStyle name="표준 5 2 2 2 3 2 4 4 3 4" xfId="46168" xr:uid="{00000000-0005-0000-0000-0000E0250000}"/>
    <cellStyle name="표준 5 2 2 2 3 2 4 4 4" xfId="13170" xr:uid="{00000000-0005-0000-0000-0000E1250000}"/>
    <cellStyle name="표준 5 2 2 2 3 2 4 4 5" xfId="17410" xr:uid="{00000000-0005-0000-0000-0000E2250000}"/>
    <cellStyle name="표준 5 2 2 2 3 2 4 4 6" xfId="21572" xr:uid="{00000000-0005-0000-0000-0000E3250000}"/>
    <cellStyle name="표준 5 2 2 2 3 2 4 4 7" xfId="25668" xr:uid="{00000000-0005-0000-0000-0000E4250000}"/>
    <cellStyle name="표준 5 2 2 2 3 2 4 4 8" xfId="33879" xr:uid="{00000000-0005-0000-0000-0000E5250000}"/>
    <cellStyle name="표준 5 2 2 2 3 2 4 4 9" xfId="42072" xr:uid="{00000000-0005-0000-0000-0000E6250000}"/>
    <cellStyle name="표준 5 2 2 2 3 2 4 5" xfId="9570" xr:uid="{00000000-0005-0000-0000-0000E7250000}"/>
    <cellStyle name="표준 5 2 2 2 3 2 4 5 2" xfId="13682" xr:uid="{00000000-0005-0000-0000-0000E8250000}"/>
    <cellStyle name="표준 5 2 2 2 3 2 4 5 2 2" xfId="30276" xr:uid="{00000000-0005-0000-0000-0000E9250000}"/>
    <cellStyle name="표준 5 2 2 2 3 2 4 5 2 3" xfId="38487" xr:uid="{00000000-0005-0000-0000-0000EA250000}"/>
    <cellStyle name="표준 5 2 2 2 3 2 4 5 2 4" xfId="46680" xr:uid="{00000000-0005-0000-0000-0000EB250000}"/>
    <cellStyle name="표준 5 2 2 2 3 2 4 5 3" xfId="17922" xr:uid="{00000000-0005-0000-0000-0000EC250000}"/>
    <cellStyle name="표준 5 2 2 2 3 2 4 5 4" xfId="22084" xr:uid="{00000000-0005-0000-0000-0000ED250000}"/>
    <cellStyle name="표준 5 2 2 2 3 2 4 5 5" xfId="26180" xr:uid="{00000000-0005-0000-0000-0000EE250000}"/>
    <cellStyle name="표준 5 2 2 2 3 2 4 5 6" xfId="34391" xr:uid="{00000000-0005-0000-0000-0000EF250000}"/>
    <cellStyle name="표준 5 2 2 2 3 2 4 5 7" xfId="42584" xr:uid="{00000000-0005-0000-0000-0000F0250000}"/>
    <cellStyle name="표준 5 2 2 2 3 2 4 6" xfId="7522" xr:uid="{00000000-0005-0000-0000-0000F1250000}"/>
    <cellStyle name="표준 5 2 2 2 3 2 4 6 2" xfId="28228" xr:uid="{00000000-0005-0000-0000-0000F2250000}"/>
    <cellStyle name="표준 5 2 2 2 3 2 4 6 3" xfId="36439" xr:uid="{00000000-0005-0000-0000-0000F3250000}"/>
    <cellStyle name="표준 5 2 2 2 3 2 4 6 4" xfId="44632" xr:uid="{00000000-0005-0000-0000-0000F4250000}"/>
    <cellStyle name="표준 5 2 2 2 3 2 4 7" xfId="11634" xr:uid="{00000000-0005-0000-0000-0000F5250000}"/>
    <cellStyle name="표준 5 2 2 2 3 2 4 8" xfId="15874" xr:uid="{00000000-0005-0000-0000-0000F6250000}"/>
    <cellStyle name="표준 5 2 2 2 3 2 4 9" xfId="20036" xr:uid="{00000000-0005-0000-0000-0000F7250000}"/>
    <cellStyle name="표준 5 2 2 2 3 2 5" xfId="923" xr:uid="{00000000-0005-0000-0000-0000F8250000}"/>
    <cellStyle name="표준 5 2 2 2 3 2 5 2" xfId="9826" xr:uid="{00000000-0005-0000-0000-0000F9250000}"/>
    <cellStyle name="표준 5 2 2 2 3 2 5 2 2" xfId="13938" xr:uid="{00000000-0005-0000-0000-0000FA250000}"/>
    <cellStyle name="표준 5 2 2 2 3 2 5 2 2 2" xfId="30532" xr:uid="{00000000-0005-0000-0000-0000FB250000}"/>
    <cellStyle name="표준 5 2 2 2 3 2 5 2 2 3" xfId="38743" xr:uid="{00000000-0005-0000-0000-0000FC250000}"/>
    <cellStyle name="표준 5 2 2 2 3 2 5 2 2 4" xfId="46936" xr:uid="{00000000-0005-0000-0000-0000FD250000}"/>
    <cellStyle name="표준 5 2 2 2 3 2 5 2 3" xfId="18178" xr:uid="{00000000-0005-0000-0000-0000FE250000}"/>
    <cellStyle name="표준 5 2 2 2 3 2 5 2 4" xfId="22340" xr:uid="{00000000-0005-0000-0000-0000FF250000}"/>
    <cellStyle name="표준 5 2 2 2 3 2 5 2 5" xfId="26436" xr:uid="{00000000-0005-0000-0000-000000260000}"/>
    <cellStyle name="표준 5 2 2 2 3 2 5 2 6" xfId="34647" xr:uid="{00000000-0005-0000-0000-000001260000}"/>
    <cellStyle name="표준 5 2 2 2 3 2 5 2 7" xfId="42840" xr:uid="{00000000-0005-0000-0000-000002260000}"/>
    <cellStyle name="표준 5 2 2 2 3 2 5 3" xfId="7778" xr:uid="{00000000-0005-0000-0000-000003260000}"/>
    <cellStyle name="표준 5 2 2 2 3 2 5 3 2" xfId="28484" xr:uid="{00000000-0005-0000-0000-000004260000}"/>
    <cellStyle name="표준 5 2 2 2 3 2 5 3 3" xfId="36695" xr:uid="{00000000-0005-0000-0000-000005260000}"/>
    <cellStyle name="표준 5 2 2 2 3 2 5 3 4" xfId="44888" xr:uid="{00000000-0005-0000-0000-000006260000}"/>
    <cellStyle name="표준 5 2 2 2 3 2 5 4" xfId="11890" xr:uid="{00000000-0005-0000-0000-000007260000}"/>
    <cellStyle name="표준 5 2 2 2 3 2 5 5" xfId="16130" xr:uid="{00000000-0005-0000-0000-000008260000}"/>
    <cellStyle name="표준 5 2 2 2 3 2 5 6" xfId="20292" xr:uid="{00000000-0005-0000-0000-000009260000}"/>
    <cellStyle name="표준 5 2 2 2 3 2 5 7" xfId="24388" xr:uid="{00000000-0005-0000-0000-00000A260000}"/>
    <cellStyle name="표준 5 2 2 2 3 2 5 8" xfId="32599" xr:uid="{00000000-0005-0000-0000-00000B260000}"/>
    <cellStyle name="표준 5 2 2 2 3 2 5 9" xfId="40792" xr:uid="{00000000-0005-0000-0000-00000C260000}"/>
    <cellStyle name="표준 5 2 2 2 3 2 6" xfId="1435" xr:uid="{00000000-0005-0000-0000-00000D260000}"/>
    <cellStyle name="표준 5 2 2 2 3 2 6 2" xfId="10338" xr:uid="{00000000-0005-0000-0000-00000E260000}"/>
    <cellStyle name="표준 5 2 2 2 3 2 6 2 2" xfId="14450" xr:uid="{00000000-0005-0000-0000-00000F260000}"/>
    <cellStyle name="표준 5 2 2 2 3 2 6 2 2 2" xfId="31044" xr:uid="{00000000-0005-0000-0000-000010260000}"/>
    <cellStyle name="표준 5 2 2 2 3 2 6 2 2 3" xfId="39255" xr:uid="{00000000-0005-0000-0000-000011260000}"/>
    <cellStyle name="표준 5 2 2 2 3 2 6 2 2 4" xfId="47448" xr:uid="{00000000-0005-0000-0000-000012260000}"/>
    <cellStyle name="표준 5 2 2 2 3 2 6 2 3" xfId="18690" xr:uid="{00000000-0005-0000-0000-000013260000}"/>
    <cellStyle name="표준 5 2 2 2 3 2 6 2 4" xfId="22852" xr:uid="{00000000-0005-0000-0000-000014260000}"/>
    <cellStyle name="표준 5 2 2 2 3 2 6 2 5" xfId="26948" xr:uid="{00000000-0005-0000-0000-000015260000}"/>
    <cellStyle name="표준 5 2 2 2 3 2 6 2 6" xfId="35159" xr:uid="{00000000-0005-0000-0000-000016260000}"/>
    <cellStyle name="표준 5 2 2 2 3 2 6 2 7" xfId="43352" xr:uid="{00000000-0005-0000-0000-000017260000}"/>
    <cellStyle name="표준 5 2 2 2 3 2 6 3" xfId="8290" xr:uid="{00000000-0005-0000-0000-000018260000}"/>
    <cellStyle name="표준 5 2 2 2 3 2 6 3 2" xfId="28996" xr:uid="{00000000-0005-0000-0000-000019260000}"/>
    <cellStyle name="표준 5 2 2 2 3 2 6 3 3" xfId="37207" xr:uid="{00000000-0005-0000-0000-00001A260000}"/>
    <cellStyle name="표준 5 2 2 2 3 2 6 3 4" xfId="45400" xr:uid="{00000000-0005-0000-0000-00001B260000}"/>
    <cellStyle name="표준 5 2 2 2 3 2 6 4" xfId="12402" xr:uid="{00000000-0005-0000-0000-00001C260000}"/>
    <cellStyle name="표준 5 2 2 2 3 2 6 5" xfId="16642" xr:uid="{00000000-0005-0000-0000-00001D260000}"/>
    <cellStyle name="표준 5 2 2 2 3 2 6 6" xfId="20804" xr:uid="{00000000-0005-0000-0000-00001E260000}"/>
    <cellStyle name="표준 5 2 2 2 3 2 6 7" xfId="24900" xr:uid="{00000000-0005-0000-0000-00001F260000}"/>
    <cellStyle name="표준 5 2 2 2 3 2 6 8" xfId="33111" xr:uid="{00000000-0005-0000-0000-000020260000}"/>
    <cellStyle name="표준 5 2 2 2 3 2 6 9" xfId="41304" xr:uid="{00000000-0005-0000-0000-000021260000}"/>
    <cellStyle name="표준 5 2 2 2 3 2 7" xfId="1947" xr:uid="{00000000-0005-0000-0000-000022260000}"/>
    <cellStyle name="표준 5 2 2 2 3 2 7 2" xfId="10850" xr:uid="{00000000-0005-0000-0000-000023260000}"/>
    <cellStyle name="표준 5 2 2 2 3 2 7 2 2" xfId="14962" xr:uid="{00000000-0005-0000-0000-000024260000}"/>
    <cellStyle name="표준 5 2 2 2 3 2 7 2 2 2" xfId="31556" xr:uid="{00000000-0005-0000-0000-000025260000}"/>
    <cellStyle name="표준 5 2 2 2 3 2 7 2 2 3" xfId="39767" xr:uid="{00000000-0005-0000-0000-000026260000}"/>
    <cellStyle name="표준 5 2 2 2 3 2 7 2 2 4" xfId="47960" xr:uid="{00000000-0005-0000-0000-000027260000}"/>
    <cellStyle name="표준 5 2 2 2 3 2 7 2 3" xfId="19202" xr:uid="{00000000-0005-0000-0000-000028260000}"/>
    <cellStyle name="표준 5 2 2 2 3 2 7 2 4" xfId="23364" xr:uid="{00000000-0005-0000-0000-000029260000}"/>
    <cellStyle name="표준 5 2 2 2 3 2 7 2 5" xfId="27460" xr:uid="{00000000-0005-0000-0000-00002A260000}"/>
    <cellStyle name="표준 5 2 2 2 3 2 7 2 6" xfId="35671" xr:uid="{00000000-0005-0000-0000-00002B260000}"/>
    <cellStyle name="표준 5 2 2 2 3 2 7 2 7" xfId="43864" xr:uid="{00000000-0005-0000-0000-00002C260000}"/>
    <cellStyle name="표준 5 2 2 2 3 2 7 3" xfId="8802" xr:uid="{00000000-0005-0000-0000-00002D260000}"/>
    <cellStyle name="표준 5 2 2 2 3 2 7 3 2" xfId="29508" xr:uid="{00000000-0005-0000-0000-00002E260000}"/>
    <cellStyle name="표준 5 2 2 2 3 2 7 3 3" xfId="37719" xr:uid="{00000000-0005-0000-0000-00002F260000}"/>
    <cellStyle name="표준 5 2 2 2 3 2 7 3 4" xfId="45912" xr:uid="{00000000-0005-0000-0000-000030260000}"/>
    <cellStyle name="표준 5 2 2 2 3 2 7 4" xfId="12914" xr:uid="{00000000-0005-0000-0000-000031260000}"/>
    <cellStyle name="표준 5 2 2 2 3 2 7 5" xfId="17154" xr:uid="{00000000-0005-0000-0000-000032260000}"/>
    <cellStyle name="표준 5 2 2 2 3 2 7 6" xfId="21316" xr:uid="{00000000-0005-0000-0000-000033260000}"/>
    <cellStyle name="표준 5 2 2 2 3 2 7 7" xfId="25412" xr:uid="{00000000-0005-0000-0000-000034260000}"/>
    <cellStyle name="표준 5 2 2 2 3 2 7 8" xfId="33623" xr:uid="{00000000-0005-0000-0000-000035260000}"/>
    <cellStyle name="표준 5 2 2 2 3 2 7 9" xfId="41816" xr:uid="{00000000-0005-0000-0000-000036260000}"/>
    <cellStyle name="표준 5 2 2 2 3 2 8" xfId="7039" xr:uid="{00000000-0005-0000-0000-000037260000}"/>
    <cellStyle name="표준 5 2 2 2 3 2 8 2" xfId="9314" xr:uid="{00000000-0005-0000-0000-000038260000}"/>
    <cellStyle name="표준 5 2 2 2 3 2 8 2 2" xfId="30020" xr:uid="{00000000-0005-0000-0000-000039260000}"/>
    <cellStyle name="표준 5 2 2 2 3 2 8 2 3" xfId="38231" xr:uid="{00000000-0005-0000-0000-00003A260000}"/>
    <cellStyle name="표준 5 2 2 2 3 2 8 2 4" xfId="46424" xr:uid="{00000000-0005-0000-0000-00003B260000}"/>
    <cellStyle name="표준 5 2 2 2 3 2 8 3" xfId="13426" xr:uid="{00000000-0005-0000-0000-00003C260000}"/>
    <cellStyle name="표준 5 2 2 2 3 2 8 4" xfId="17666" xr:uid="{00000000-0005-0000-0000-00003D260000}"/>
    <cellStyle name="표준 5 2 2 2 3 2 8 5" xfId="21828" xr:uid="{00000000-0005-0000-0000-00003E260000}"/>
    <cellStyle name="표준 5 2 2 2 3 2 8 6" xfId="25924" xr:uid="{00000000-0005-0000-0000-00003F260000}"/>
    <cellStyle name="표준 5 2 2 2 3 2 8 7" xfId="34135" xr:uid="{00000000-0005-0000-0000-000040260000}"/>
    <cellStyle name="표준 5 2 2 2 3 2 8 8" xfId="42328" xr:uid="{00000000-0005-0000-0000-000041260000}"/>
    <cellStyle name="표준 5 2 2 2 3 2 9" xfId="7139" xr:uid="{00000000-0005-0000-0000-000042260000}"/>
    <cellStyle name="표준 5 2 2 2 3 2 9 2" xfId="27972" xr:uid="{00000000-0005-0000-0000-000043260000}"/>
    <cellStyle name="표준 5 2 2 2 3 2 9 3" xfId="36183" xr:uid="{00000000-0005-0000-0000-000044260000}"/>
    <cellStyle name="표준 5 2 2 2 3 2 9 4" xfId="44376" xr:uid="{00000000-0005-0000-0000-000045260000}"/>
    <cellStyle name="표준 5 2 2 2 3 3" xfId="443" xr:uid="{00000000-0005-0000-0000-000046260000}"/>
    <cellStyle name="표준 5 2 2 2 3 3 10" xfId="15650" xr:uid="{00000000-0005-0000-0000-000047260000}"/>
    <cellStyle name="표준 5 2 2 2 3 3 11" xfId="19812" xr:uid="{00000000-0005-0000-0000-000048260000}"/>
    <cellStyle name="표준 5 2 2 2 3 3 12" xfId="23908" xr:uid="{00000000-0005-0000-0000-000049260000}"/>
    <cellStyle name="표준 5 2 2 2 3 3 13" xfId="32119" xr:uid="{00000000-0005-0000-0000-00004A260000}"/>
    <cellStyle name="표준 5 2 2 2 3 3 14" xfId="40312" xr:uid="{00000000-0005-0000-0000-00004B260000}"/>
    <cellStyle name="표준 5 2 2 2 3 3 2" xfId="571" xr:uid="{00000000-0005-0000-0000-00004C260000}"/>
    <cellStyle name="표준 5 2 2 2 3 3 2 10" xfId="19940" xr:uid="{00000000-0005-0000-0000-00004D260000}"/>
    <cellStyle name="표준 5 2 2 2 3 3 2 11" xfId="24036" xr:uid="{00000000-0005-0000-0000-00004E260000}"/>
    <cellStyle name="표준 5 2 2 2 3 3 2 12" xfId="32247" xr:uid="{00000000-0005-0000-0000-00004F260000}"/>
    <cellStyle name="표준 5 2 2 2 3 3 2 13" xfId="40440" xr:uid="{00000000-0005-0000-0000-000050260000}"/>
    <cellStyle name="표준 5 2 2 2 3 3 2 2" xfId="827" xr:uid="{00000000-0005-0000-0000-000051260000}"/>
    <cellStyle name="표준 5 2 2 2 3 3 2 2 10" xfId="24292" xr:uid="{00000000-0005-0000-0000-000052260000}"/>
    <cellStyle name="표준 5 2 2 2 3 3 2 2 11" xfId="32503" xr:uid="{00000000-0005-0000-0000-000053260000}"/>
    <cellStyle name="표준 5 2 2 2 3 3 2 2 12" xfId="40696" xr:uid="{00000000-0005-0000-0000-000054260000}"/>
    <cellStyle name="표준 5 2 2 2 3 3 2 2 2" xfId="1339" xr:uid="{00000000-0005-0000-0000-000055260000}"/>
    <cellStyle name="표준 5 2 2 2 3 3 2 2 2 2" xfId="10242" xr:uid="{00000000-0005-0000-0000-000056260000}"/>
    <cellStyle name="표준 5 2 2 2 3 3 2 2 2 2 2" xfId="14354" xr:uid="{00000000-0005-0000-0000-000057260000}"/>
    <cellStyle name="표준 5 2 2 2 3 3 2 2 2 2 2 2" xfId="30948" xr:uid="{00000000-0005-0000-0000-000058260000}"/>
    <cellStyle name="표준 5 2 2 2 3 3 2 2 2 2 2 3" xfId="39159" xr:uid="{00000000-0005-0000-0000-000059260000}"/>
    <cellStyle name="표준 5 2 2 2 3 3 2 2 2 2 2 4" xfId="47352" xr:uid="{00000000-0005-0000-0000-00005A260000}"/>
    <cellStyle name="표준 5 2 2 2 3 3 2 2 2 2 3" xfId="18594" xr:uid="{00000000-0005-0000-0000-00005B260000}"/>
    <cellStyle name="표준 5 2 2 2 3 3 2 2 2 2 4" xfId="22756" xr:uid="{00000000-0005-0000-0000-00005C260000}"/>
    <cellStyle name="표준 5 2 2 2 3 3 2 2 2 2 5" xfId="26852" xr:uid="{00000000-0005-0000-0000-00005D260000}"/>
    <cellStyle name="표준 5 2 2 2 3 3 2 2 2 2 6" xfId="35063" xr:uid="{00000000-0005-0000-0000-00005E260000}"/>
    <cellStyle name="표준 5 2 2 2 3 3 2 2 2 2 7" xfId="43256" xr:uid="{00000000-0005-0000-0000-00005F260000}"/>
    <cellStyle name="표준 5 2 2 2 3 3 2 2 2 3" xfId="8194" xr:uid="{00000000-0005-0000-0000-000060260000}"/>
    <cellStyle name="표준 5 2 2 2 3 3 2 2 2 3 2" xfId="28900" xr:uid="{00000000-0005-0000-0000-000061260000}"/>
    <cellStyle name="표준 5 2 2 2 3 3 2 2 2 3 3" xfId="37111" xr:uid="{00000000-0005-0000-0000-000062260000}"/>
    <cellStyle name="표준 5 2 2 2 3 3 2 2 2 3 4" xfId="45304" xr:uid="{00000000-0005-0000-0000-000063260000}"/>
    <cellStyle name="표준 5 2 2 2 3 3 2 2 2 4" xfId="12306" xr:uid="{00000000-0005-0000-0000-000064260000}"/>
    <cellStyle name="표준 5 2 2 2 3 3 2 2 2 5" xfId="16546" xr:uid="{00000000-0005-0000-0000-000065260000}"/>
    <cellStyle name="표준 5 2 2 2 3 3 2 2 2 6" xfId="20708" xr:uid="{00000000-0005-0000-0000-000066260000}"/>
    <cellStyle name="표준 5 2 2 2 3 3 2 2 2 7" xfId="24804" xr:uid="{00000000-0005-0000-0000-000067260000}"/>
    <cellStyle name="표준 5 2 2 2 3 3 2 2 2 8" xfId="33015" xr:uid="{00000000-0005-0000-0000-000068260000}"/>
    <cellStyle name="표준 5 2 2 2 3 3 2 2 2 9" xfId="41208" xr:uid="{00000000-0005-0000-0000-000069260000}"/>
    <cellStyle name="표준 5 2 2 2 3 3 2 2 3" xfId="1851" xr:uid="{00000000-0005-0000-0000-00006A260000}"/>
    <cellStyle name="표준 5 2 2 2 3 3 2 2 3 2" xfId="10754" xr:uid="{00000000-0005-0000-0000-00006B260000}"/>
    <cellStyle name="표준 5 2 2 2 3 3 2 2 3 2 2" xfId="14866" xr:uid="{00000000-0005-0000-0000-00006C260000}"/>
    <cellStyle name="표준 5 2 2 2 3 3 2 2 3 2 2 2" xfId="31460" xr:uid="{00000000-0005-0000-0000-00006D260000}"/>
    <cellStyle name="표준 5 2 2 2 3 3 2 2 3 2 2 3" xfId="39671" xr:uid="{00000000-0005-0000-0000-00006E260000}"/>
    <cellStyle name="표준 5 2 2 2 3 3 2 2 3 2 2 4" xfId="47864" xr:uid="{00000000-0005-0000-0000-00006F260000}"/>
    <cellStyle name="표준 5 2 2 2 3 3 2 2 3 2 3" xfId="19106" xr:uid="{00000000-0005-0000-0000-000070260000}"/>
    <cellStyle name="표준 5 2 2 2 3 3 2 2 3 2 4" xfId="23268" xr:uid="{00000000-0005-0000-0000-000071260000}"/>
    <cellStyle name="표준 5 2 2 2 3 3 2 2 3 2 5" xfId="27364" xr:uid="{00000000-0005-0000-0000-000072260000}"/>
    <cellStyle name="표준 5 2 2 2 3 3 2 2 3 2 6" xfId="35575" xr:uid="{00000000-0005-0000-0000-000073260000}"/>
    <cellStyle name="표준 5 2 2 2 3 3 2 2 3 2 7" xfId="43768" xr:uid="{00000000-0005-0000-0000-000074260000}"/>
    <cellStyle name="표준 5 2 2 2 3 3 2 2 3 3" xfId="8706" xr:uid="{00000000-0005-0000-0000-000075260000}"/>
    <cellStyle name="표준 5 2 2 2 3 3 2 2 3 3 2" xfId="29412" xr:uid="{00000000-0005-0000-0000-000076260000}"/>
    <cellStyle name="표준 5 2 2 2 3 3 2 2 3 3 3" xfId="37623" xr:uid="{00000000-0005-0000-0000-000077260000}"/>
    <cellStyle name="표준 5 2 2 2 3 3 2 2 3 3 4" xfId="45816" xr:uid="{00000000-0005-0000-0000-000078260000}"/>
    <cellStyle name="표준 5 2 2 2 3 3 2 2 3 4" xfId="12818" xr:uid="{00000000-0005-0000-0000-000079260000}"/>
    <cellStyle name="표준 5 2 2 2 3 3 2 2 3 5" xfId="17058" xr:uid="{00000000-0005-0000-0000-00007A260000}"/>
    <cellStyle name="표준 5 2 2 2 3 3 2 2 3 6" xfId="21220" xr:uid="{00000000-0005-0000-0000-00007B260000}"/>
    <cellStyle name="표준 5 2 2 2 3 3 2 2 3 7" xfId="25316" xr:uid="{00000000-0005-0000-0000-00007C260000}"/>
    <cellStyle name="표준 5 2 2 2 3 3 2 2 3 8" xfId="33527" xr:uid="{00000000-0005-0000-0000-00007D260000}"/>
    <cellStyle name="표준 5 2 2 2 3 3 2 2 3 9" xfId="41720" xr:uid="{00000000-0005-0000-0000-00007E260000}"/>
    <cellStyle name="표준 5 2 2 2 3 3 2 2 4" xfId="2363" xr:uid="{00000000-0005-0000-0000-00007F260000}"/>
    <cellStyle name="표준 5 2 2 2 3 3 2 2 4 2" xfId="11266" xr:uid="{00000000-0005-0000-0000-000080260000}"/>
    <cellStyle name="표준 5 2 2 2 3 3 2 2 4 2 2" xfId="15378" xr:uid="{00000000-0005-0000-0000-000081260000}"/>
    <cellStyle name="표준 5 2 2 2 3 3 2 2 4 2 2 2" xfId="31972" xr:uid="{00000000-0005-0000-0000-000082260000}"/>
    <cellStyle name="표준 5 2 2 2 3 3 2 2 4 2 2 3" xfId="40183" xr:uid="{00000000-0005-0000-0000-000083260000}"/>
    <cellStyle name="표준 5 2 2 2 3 3 2 2 4 2 2 4" xfId="48376" xr:uid="{00000000-0005-0000-0000-000084260000}"/>
    <cellStyle name="표준 5 2 2 2 3 3 2 2 4 2 3" xfId="19618" xr:uid="{00000000-0005-0000-0000-000085260000}"/>
    <cellStyle name="표준 5 2 2 2 3 3 2 2 4 2 4" xfId="23780" xr:uid="{00000000-0005-0000-0000-000086260000}"/>
    <cellStyle name="표준 5 2 2 2 3 3 2 2 4 2 5" xfId="27876" xr:uid="{00000000-0005-0000-0000-000087260000}"/>
    <cellStyle name="표준 5 2 2 2 3 3 2 2 4 2 6" xfId="36087" xr:uid="{00000000-0005-0000-0000-000088260000}"/>
    <cellStyle name="표준 5 2 2 2 3 3 2 2 4 2 7" xfId="44280" xr:uid="{00000000-0005-0000-0000-000089260000}"/>
    <cellStyle name="표준 5 2 2 2 3 3 2 2 4 3" xfId="9218" xr:uid="{00000000-0005-0000-0000-00008A260000}"/>
    <cellStyle name="표준 5 2 2 2 3 3 2 2 4 3 2" xfId="29924" xr:uid="{00000000-0005-0000-0000-00008B260000}"/>
    <cellStyle name="표준 5 2 2 2 3 3 2 2 4 3 3" xfId="38135" xr:uid="{00000000-0005-0000-0000-00008C260000}"/>
    <cellStyle name="표준 5 2 2 2 3 3 2 2 4 3 4" xfId="46328" xr:uid="{00000000-0005-0000-0000-00008D260000}"/>
    <cellStyle name="표준 5 2 2 2 3 3 2 2 4 4" xfId="13330" xr:uid="{00000000-0005-0000-0000-00008E260000}"/>
    <cellStyle name="표준 5 2 2 2 3 3 2 2 4 5" xfId="17570" xr:uid="{00000000-0005-0000-0000-00008F260000}"/>
    <cellStyle name="표준 5 2 2 2 3 3 2 2 4 6" xfId="21732" xr:uid="{00000000-0005-0000-0000-000090260000}"/>
    <cellStyle name="표준 5 2 2 2 3 3 2 2 4 7" xfId="25828" xr:uid="{00000000-0005-0000-0000-000091260000}"/>
    <cellStyle name="표준 5 2 2 2 3 3 2 2 4 8" xfId="34039" xr:uid="{00000000-0005-0000-0000-000092260000}"/>
    <cellStyle name="표준 5 2 2 2 3 3 2 2 4 9" xfId="42232" xr:uid="{00000000-0005-0000-0000-000093260000}"/>
    <cellStyle name="표준 5 2 2 2 3 3 2 2 5" xfId="9730" xr:uid="{00000000-0005-0000-0000-000094260000}"/>
    <cellStyle name="표준 5 2 2 2 3 3 2 2 5 2" xfId="13842" xr:uid="{00000000-0005-0000-0000-000095260000}"/>
    <cellStyle name="표준 5 2 2 2 3 3 2 2 5 2 2" xfId="30436" xr:uid="{00000000-0005-0000-0000-000096260000}"/>
    <cellStyle name="표준 5 2 2 2 3 3 2 2 5 2 3" xfId="38647" xr:uid="{00000000-0005-0000-0000-000097260000}"/>
    <cellStyle name="표준 5 2 2 2 3 3 2 2 5 2 4" xfId="46840" xr:uid="{00000000-0005-0000-0000-000098260000}"/>
    <cellStyle name="표준 5 2 2 2 3 3 2 2 5 3" xfId="18082" xr:uid="{00000000-0005-0000-0000-000099260000}"/>
    <cellStyle name="표준 5 2 2 2 3 3 2 2 5 4" xfId="22244" xr:uid="{00000000-0005-0000-0000-00009A260000}"/>
    <cellStyle name="표준 5 2 2 2 3 3 2 2 5 5" xfId="26340" xr:uid="{00000000-0005-0000-0000-00009B260000}"/>
    <cellStyle name="표준 5 2 2 2 3 3 2 2 5 6" xfId="34551" xr:uid="{00000000-0005-0000-0000-00009C260000}"/>
    <cellStyle name="표준 5 2 2 2 3 3 2 2 5 7" xfId="42744" xr:uid="{00000000-0005-0000-0000-00009D260000}"/>
    <cellStyle name="표준 5 2 2 2 3 3 2 2 6" xfId="7682" xr:uid="{00000000-0005-0000-0000-00009E260000}"/>
    <cellStyle name="표준 5 2 2 2 3 3 2 2 6 2" xfId="28388" xr:uid="{00000000-0005-0000-0000-00009F260000}"/>
    <cellStyle name="표준 5 2 2 2 3 3 2 2 6 3" xfId="36599" xr:uid="{00000000-0005-0000-0000-0000A0260000}"/>
    <cellStyle name="표준 5 2 2 2 3 3 2 2 6 4" xfId="44792" xr:uid="{00000000-0005-0000-0000-0000A1260000}"/>
    <cellStyle name="표준 5 2 2 2 3 3 2 2 7" xfId="11794" xr:uid="{00000000-0005-0000-0000-0000A2260000}"/>
    <cellStyle name="표준 5 2 2 2 3 3 2 2 8" xfId="16034" xr:uid="{00000000-0005-0000-0000-0000A3260000}"/>
    <cellStyle name="표준 5 2 2 2 3 3 2 2 9" xfId="20196" xr:uid="{00000000-0005-0000-0000-0000A4260000}"/>
    <cellStyle name="표준 5 2 2 2 3 3 2 3" xfId="1083" xr:uid="{00000000-0005-0000-0000-0000A5260000}"/>
    <cellStyle name="표준 5 2 2 2 3 3 2 3 2" xfId="9986" xr:uid="{00000000-0005-0000-0000-0000A6260000}"/>
    <cellStyle name="표준 5 2 2 2 3 3 2 3 2 2" xfId="14098" xr:uid="{00000000-0005-0000-0000-0000A7260000}"/>
    <cellStyle name="표준 5 2 2 2 3 3 2 3 2 2 2" xfId="30692" xr:uid="{00000000-0005-0000-0000-0000A8260000}"/>
    <cellStyle name="표준 5 2 2 2 3 3 2 3 2 2 3" xfId="38903" xr:uid="{00000000-0005-0000-0000-0000A9260000}"/>
    <cellStyle name="표준 5 2 2 2 3 3 2 3 2 2 4" xfId="47096" xr:uid="{00000000-0005-0000-0000-0000AA260000}"/>
    <cellStyle name="표준 5 2 2 2 3 3 2 3 2 3" xfId="18338" xr:uid="{00000000-0005-0000-0000-0000AB260000}"/>
    <cellStyle name="표준 5 2 2 2 3 3 2 3 2 4" xfId="22500" xr:uid="{00000000-0005-0000-0000-0000AC260000}"/>
    <cellStyle name="표준 5 2 2 2 3 3 2 3 2 5" xfId="26596" xr:uid="{00000000-0005-0000-0000-0000AD260000}"/>
    <cellStyle name="표준 5 2 2 2 3 3 2 3 2 6" xfId="34807" xr:uid="{00000000-0005-0000-0000-0000AE260000}"/>
    <cellStyle name="표준 5 2 2 2 3 3 2 3 2 7" xfId="43000" xr:uid="{00000000-0005-0000-0000-0000AF260000}"/>
    <cellStyle name="표준 5 2 2 2 3 3 2 3 3" xfId="7938" xr:uid="{00000000-0005-0000-0000-0000B0260000}"/>
    <cellStyle name="표준 5 2 2 2 3 3 2 3 3 2" xfId="28644" xr:uid="{00000000-0005-0000-0000-0000B1260000}"/>
    <cellStyle name="표준 5 2 2 2 3 3 2 3 3 3" xfId="36855" xr:uid="{00000000-0005-0000-0000-0000B2260000}"/>
    <cellStyle name="표준 5 2 2 2 3 3 2 3 3 4" xfId="45048" xr:uid="{00000000-0005-0000-0000-0000B3260000}"/>
    <cellStyle name="표준 5 2 2 2 3 3 2 3 4" xfId="12050" xr:uid="{00000000-0005-0000-0000-0000B4260000}"/>
    <cellStyle name="표준 5 2 2 2 3 3 2 3 5" xfId="16290" xr:uid="{00000000-0005-0000-0000-0000B5260000}"/>
    <cellStyle name="표준 5 2 2 2 3 3 2 3 6" xfId="20452" xr:uid="{00000000-0005-0000-0000-0000B6260000}"/>
    <cellStyle name="표준 5 2 2 2 3 3 2 3 7" xfId="24548" xr:uid="{00000000-0005-0000-0000-0000B7260000}"/>
    <cellStyle name="표준 5 2 2 2 3 3 2 3 8" xfId="32759" xr:uid="{00000000-0005-0000-0000-0000B8260000}"/>
    <cellStyle name="표준 5 2 2 2 3 3 2 3 9" xfId="40952" xr:uid="{00000000-0005-0000-0000-0000B9260000}"/>
    <cellStyle name="표준 5 2 2 2 3 3 2 4" xfId="1595" xr:uid="{00000000-0005-0000-0000-0000BA260000}"/>
    <cellStyle name="표준 5 2 2 2 3 3 2 4 2" xfId="10498" xr:uid="{00000000-0005-0000-0000-0000BB260000}"/>
    <cellStyle name="표준 5 2 2 2 3 3 2 4 2 2" xfId="14610" xr:uid="{00000000-0005-0000-0000-0000BC260000}"/>
    <cellStyle name="표준 5 2 2 2 3 3 2 4 2 2 2" xfId="31204" xr:uid="{00000000-0005-0000-0000-0000BD260000}"/>
    <cellStyle name="표준 5 2 2 2 3 3 2 4 2 2 3" xfId="39415" xr:uid="{00000000-0005-0000-0000-0000BE260000}"/>
    <cellStyle name="표준 5 2 2 2 3 3 2 4 2 2 4" xfId="47608" xr:uid="{00000000-0005-0000-0000-0000BF260000}"/>
    <cellStyle name="표준 5 2 2 2 3 3 2 4 2 3" xfId="18850" xr:uid="{00000000-0005-0000-0000-0000C0260000}"/>
    <cellStyle name="표준 5 2 2 2 3 3 2 4 2 4" xfId="23012" xr:uid="{00000000-0005-0000-0000-0000C1260000}"/>
    <cellStyle name="표준 5 2 2 2 3 3 2 4 2 5" xfId="27108" xr:uid="{00000000-0005-0000-0000-0000C2260000}"/>
    <cellStyle name="표준 5 2 2 2 3 3 2 4 2 6" xfId="35319" xr:uid="{00000000-0005-0000-0000-0000C3260000}"/>
    <cellStyle name="표준 5 2 2 2 3 3 2 4 2 7" xfId="43512" xr:uid="{00000000-0005-0000-0000-0000C4260000}"/>
    <cellStyle name="표준 5 2 2 2 3 3 2 4 3" xfId="8450" xr:uid="{00000000-0005-0000-0000-0000C5260000}"/>
    <cellStyle name="표준 5 2 2 2 3 3 2 4 3 2" xfId="29156" xr:uid="{00000000-0005-0000-0000-0000C6260000}"/>
    <cellStyle name="표준 5 2 2 2 3 3 2 4 3 3" xfId="37367" xr:uid="{00000000-0005-0000-0000-0000C7260000}"/>
    <cellStyle name="표준 5 2 2 2 3 3 2 4 3 4" xfId="45560" xr:uid="{00000000-0005-0000-0000-0000C8260000}"/>
    <cellStyle name="표준 5 2 2 2 3 3 2 4 4" xfId="12562" xr:uid="{00000000-0005-0000-0000-0000C9260000}"/>
    <cellStyle name="표준 5 2 2 2 3 3 2 4 5" xfId="16802" xr:uid="{00000000-0005-0000-0000-0000CA260000}"/>
    <cellStyle name="표준 5 2 2 2 3 3 2 4 6" xfId="20964" xr:uid="{00000000-0005-0000-0000-0000CB260000}"/>
    <cellStyle name="표준 5 2 2 2 3 3 2 4 7" xfId="25060" xr:uid="{00000000-0005-0000-0000-0000CC260000}"/>
    <cellStyle name="표준 5 2 2 2 3 3 2 4 8" xfId="33271" xr:uid="{00000000-0005-0000-0000-0000CD260000}"/>
    <cellStyle name="표준 5 2 2 2 3 3 2 4 9" xfId="41464" xr:uid="{00000000-0005-0000-0000-0000CE260000}"/>
    <cellStyle name="표준 5 2 2 2 3 3 2 5" xfId="2107" xr:uid="{00000000-0005-0000-0000-0000CF260000}"/>
    <cellStyle name="표준 5 2 2 2 3 3 2 5 2" xfId="11010" xr:uid="{00000000-0005-0000-0000-0000D0260000}"/>
    <cellStyle name="표준 5 2 2 2 3 3 2 5 2 2" xfId="15122" xr:uid="{00000000-0005-0000-0000-0000D1260000}"/>
    <cellStyle name="표준 5 2 2 2 3 3 2 5 2 2 2" xfId="31716" xr:uid="{00000000-0005-0000-0000-0000D2260000}"/>
    <cellStyle name="표준 5 2 2 2 3 3 2 5 2 2 3" xfId="39927" xr:uid="{00000000-0005-0000-0000-0000D3260000}"/>
    <cellStyle name="표준 5 2 2 2 3 3 2 5 2 2 4" xfId="48120" xr:uid="{00000000-0005-0000-0000-0000D4260000}"/>
    <cellStyle name="표준 5 2 2 2 3 3 2 5 2 3" xfId="19362" xr:uid="{00000000-0005-0000-0000-0000D5260000}"/>
    <cellStyle name="표준 5 2 2 2 3 3 2 5 2 4" xfId="23524" xr:uid="{00000000-0005-0000-0000-0000D6260000}"/>
    <cellStyle name="표준 5 2 2 2 3 3 2 5 2 5" xfId="27620" xr:uid="{00000000-0005-0000-0000-0000D7260000}"/>
    <cellStyle name="표준 5 2 2 2 3 3 2 5 2 6" xfId="35831" xr:uid="{00000000-0005-0000-0000-0000D8260000}"/>
    <cellStyle name="표준 5 2 2 2 3 3 2 5 2 7" xfId="44024" xr:uid="{00000000-0005-0000-0000-0000D9260000}"/>
    <cellStyle name="표준 5 2 2 2 3 3 2 5 3" xfId="8962" xr:uid="{00000000-0005-0000-0000-0000DA260000}"/>
    <cellStyle name="표준 5 2 2 2 3 3 2 5 3 2" xfId="29668" xr:uid="{00000000-0005-0000-0000-0000DB260000}"/>
    <cellStyle name="표준 5 2 2 2 3 3 2 5 3 3" xfId="37879" xr:uid="{00000000-0005-0000-0000-0000DC260000}"/>
    <cellStyle name="표준 5 2 2 2 3 3 2 5 3 4" xfId="46072" xr:uid="{00000000-0005-0000-0000-0000DD260000}"/>
    <cellStyle name="표준 5 2 2 2 3 3 2 5 4" xfId="13074" xr:uid="{00000000-0005-0000-0000-0000DE260000}"/>
    <cellStyle name="표준 5 2 2 2 3 3 2 5 5" xfId="17314" xr:uid="{00000000-0005-0000-0000-0000DF260000}"/>
    <cellStyle name="표준 5 2 2 2 3 3 2 5 6" xfId="21476" xr:uid="{00000000-0005-0000-0000-0000E0260000}"/>
    <cellStyle name="표준 5 2 2 2 3 3 2 5 7" xfId="25572" xr:uid="{00000000-0005-0000-0000-0000E1260000}"/>
    <cellStyle name="표준 5 2 2 2 3 3 2 5 8" xfId="33783" xr:uid="{00000000-0005-0000-0000-0000E2260000}"/>
    <cellStyle name="표준 5 2 2 2 3 3 2 5 9" xfId="41976" xr:uid="{00000000-0005-0000-0000-0000E3260000}"/>
    <cellStyle name="표준 5 2 2 2 3 3 2 6" xfId="9474" xr:uid="{00000000-0005-0000-0000-0000E4260000}"/>
    <cellStyle name="표준 5 2 2 2 3 3 2 6 2" xfId="13586" xr:uid="{00000000-0005-0000-0000-0000E5260000}"/>
    <cellStyle name="표준 5 2 2 2 3 3 2 6 2 2" xfId="30180" xr:uid="{00000000-0005-0000-0000-0000E6260000}"/>
    <cellStyle name="표준 5 2 2 2 3 3 2 6 2 3" xfId="38391" xr:uid="{00000000-0005-0000-0000-0000E7260000}"/>
    <cellStyle name="표준 5 2 2 2 3 3 2 6 2 4" xfId="46584" xr:uid="{00000000-0005-0000-0000-0000E8260000}"/>
    <cellStyle name="표준 5 2 2 2 3 3 2 6 3" xfId="17826" xr:uid="{00000000-0005-0000-0000-0000E9260000}"/>
    <cellStyle name="표준 5 2 2 2 3 3 2 6 4" xfId="21988" xr:uid="{00000000-0005-0000-0000-0000EA260000}"/>
    <cellStyle name="표준 5 2 2 2 3 3 2 6 5" xfId="26084" xr:uid="{00000000-0005-0000-0000-0000EB260000}"/>
    <cellStyle name="표준 5 2 2 2 3 3 2 6 6" xfId="34295" xr:uid="{00000000-0005-0000-0000-0000EC260000}"/>
    <cellStyle name="표준 5 2 2 2 3 3 2 6 7" xfId="42488" xr:uid="{00000000-0005-0000-0000-0000ED260000}"/>
    <cellStyle name="표준 5 2 2 2 3 3 2 7" xfId="7426" xr:uid="{00000000-0005-0000-0000-0000EE260000}"/>
    <cellStyle name="표준 5 2 2 2 3 3 2 7 2" xfId="28132" xr:uid="{00000000-0005-0000-0000-0000EF260000}"/>
    <cellStyle name="표준 5 2 2 2 3 3 2 7 3" xfId="36343" xr:uid="{00000000-0005-0000-0000-0000F0260000}"/>
    <cellStyle name="표준 5 2 2 2 3 3 2 7 4" xfId="44536" xr:uid="{00000000-0005-0000-0000-0000F1260000}"/>
    <cellStyle name="표준 5 2 2 2 3 3 2 8" xfId="11538" xr:uid="{00000000-0005-0000-0000-0000F2260000}"/>
    <cellStyle name="표준 5 2 2 2 3 3 2 9" xfId="15778" xr:uid="{00000000-0005-0000-0000-0000F3260000}"/>
    <cellStyle name="표준 5 2 2 2 3 3 3" xfId="699" xr:uid="{00000000-0005-0000-0000-0000F4260000}"/>
    <cellStyle name="표준 5 2 2 2 3 3 3 10" xfId="24164" xr:uid="{00000000-0005-0000-0000-0000F5260000}"/>
    <cellStyle name="표준 5 2 2 2 3 3 3 11" xfId="32375" xr:uid="{00000000-0005-0000-0000-0000F6260000}"/>
    <cellStyle name="표준 5 2 2 2 3 3 3 12" xfId="40568" xr:uid="{00000000-0005-0000-0000-0000F7260000}"/>
    <cellStyle name="표준 5 2 2 2 3 3 3 2" xfId="1211" xr:uid="{00000000-0005-0000-0000-0000F8260000}"/>
    <cellStyle name="표준 5 2 2 2 3 3 3 2 2" xfId="10114" xr:uid="{00000000-0005-0000-0000-0000F9260000}"/>
    <cellStyle name="표준 5 2 2 2 3 3 3 2 2 2" xfId="14226" xr:uid="{00000000-0005-0000-0000-0000FA260000}"/>
    <cellStyle name="표준 5 2 2 2 3 3 3 2 2 2 2" xfId="30820" xr:uid="{00000000-0005-0000-0000-0000FB260000}"/>
    <cellStyle name="표준 5 2 2 2 3 3 3 2 2 2 3" xfId="39031" xr:uid="{00000000-0005-0000-0000-0000FC260000}"/>
    <cellStyle name="표준 5 2 2 2 3 3 3 2 2 2 4" xfId="47224" xr:uid="{00000000-0005-0000-0000-0000FD260000}"/>
    <cellStyle name="표준 5 2 2 2 3 3 3 2 2 3" xfId="18466" xr:uid="{00000000-0005-0000-0000-0000FE260000}"/>
    <cellStyle name="표준 5 2 2 2 3 3 3 2 2 4" xfId="22628" xr:uid="{00000000-0005-0000-0000-0000FF260000}"/>
    <cellStyle name="표준 5 2 2 2 3 3 3 2 2 5" xfId="26724" xr:uid="{00000000-0005-0000-0000-000000270000}"/>
    <cellStyle name="표준 5 2 2 2 3 3 3 2 2 6" xfId="34935" xr:uid="{00000000-0005-0000-0000-000001270000}"/>
    <cellStyle name="표준 5 2 2 2 3 3 3 2 2 7" xfId="43128" xr:uid="{00000000-0005-0000-0000-000002270000}"/>
    <cellStyle name="표준 5 2 2 2 3 3 3 2 3" xfId="8066" xr:uid="{00000000-0005-0000-0000-000003270000}"/>
    <cellStyle name="표준 5 2 2 2 3 3 3 2 3 2" xfId="28772" xr:uid="{00000000-0005-0000-0000-000004270000}"/>
    <cellStyle name="표준 5 2 2 2 3 3 3 2 3 3" xfId="36983" xr:uid="{00000000-0005-0000-0000-000005270000}"/>
    <cellStyle name="표준 5 2 2 2 3 3 3 2 3 4" xfId="45176" xr:uid="{00000000-0005-0000-0000-000006270000}"/>
    <cellStyle name="표준 5 2 2 2 3 3 3 2 4" xfId="12178" xr:uid="{00000000-0005-0000-0000-000007270000}"/>
    <cellStyle name="표준 5 2 2 2 3 3 3 2 5" xfId="16418" xr:uid="{00000000-0005-0000-0000-000008270000}"/>
    <cellStyle name="표준 5 2 2 2 3 3 3 2 6" xfId="20580" xr:uid="{00000000-0005-0000-0000-000009270000}"/>
    <cellStyle name="표준 5 2 2 2 3 3 3 2 7" xfId="24676" xr:uid="{00000000-0005-0000-0000-00000A270000}"/>
    <cellStyle name="표준 5 2 2 2 3 3 3 2 8" xfId="32887" xr:uid="{00000000-0005-0000-0000-00000B270000}"/>
    <cellStyle name="표준 5 2 2 2 3 3 3 2 9" xfId="41080" xr:uid="{00000000-0005-0000-0000-00000C270000}"/>
    <cellStyle name="표준 5 2 2 2 3 3 3 3" xfId="1723" xr:uid="{00000000-0005-0000-0000-00000D270000}"/>
    <cellStyle name="표준 5 2 2 2 3 3 3 3 2" xfId="10626" xr:uid="{00000000-0005-0000-0000-00000E270000}"/>
    <cellStyle name="표준 5 2 2 2 3 3 3 3 2 2" xfId="14738" xr:uid="{00000000-0005-0000-0000-00000F270000}"/>
    <cellStyle name="표준 5 2 2 2 3 3 3 3 2 2 2" xfId="31332" xr:uid="{00000000-0005-0000-0000-000010270000}"/>
    <cellStyle name="표준 5 2 2 2 3 3 3 3 2 2 3" xfId="39543" xr:uid="{00000000-0005-0000-0000-000011270000}"/>
    <cellStyle name="표준 5 2 2 2 3 3 3 3 2 2 4" xfId="47736" xr:uid="{00000000-0005-0000-0000-000012270000}"/>
    <cellStyle name="표준 5 2 2 2 3 3 3 3 2 3" xfId="18978" xr:uid="{00000000-0005-0000-0000-000013270000}"/>
    <cellStyle name="표준 5 2 2 2 3 3 3 3 2 4" xfId="23140" xr:uid="{00000000-0005-0000-0000-000014270000}"/>
    <cellStyle name="표준 5 2 2 2 3 3 3 3 2 5" xfId="27236" xr:uid="{00000000-0005-0000-0000-000015270000}"/>
    <cellStyle name="표준 5 2 2 2 3 3 3 3 2 6" xfId="35447" xr:uid="{00000000-0005-0000-0000-000016270000}"/>
    <cellStyle name="표준 5 2 2 2 3 3 3 3 2 7" xfId="43640" xr:uid="{00000000-0005-0000-0000-000017270000}"/>
    <cellStyle name="표준 5 2 2 2 3 3 3 3 3" xfId="8578" xr:uid="{00000000-0005-0000-0000-000018270000}"/>
    <cellStyle name="표준 5 2 2 2 3 3 3 3 3 2" xfId="29284" xr:uid="{00000000-0005-0000-0000-000019270000}"/>
    <cellStyle name="표준 5 2 2 2 3 3 3 3 3 3" xfId="37495" xr:uid="{00000000-0005-0000-0000-00001A270000}"/>
    <cellStyle name="표준 5 2 2 2 3 3 3 3 3 4" xfId="45688" xr:uid="{00000000-0005-0000-0000-00001B270000}"/>
    <cellStyle name="표준 5 2 2 2 3 3 3 3 4" xfId="12690" xr:uid="{00000000-0005-0000-0000-00001C270000}"/>
    <cellStyle name="표준 5 2 2 2 3 3 3 3 5" xfId="16930" xr:uid="{00000000-0005-0000-0000-00001D270000}"/>
    <cellStyle name="표준 5 2 2 2 3 3 3 3 6" xfId="21092" xr:uid="{00000000-0005-0000-0000-00001E270000}"/>
    <cellStyle name="표준 5 2 2 2 3 3 3 3 7" xfId="25188" xr:uid="{00000000-0005-0000-0000-00001F270000}"/>
    <cellStyle name="표준 5 2 2 2 3 3 3 3 8" xfId="33399" xr:uid="{00000000-0005-0000-0000-000020270000}"/>
    <cellStyle name="표준 5 2 2 2 3 3 3 3 9" xfId="41592" xr:uid="{00000000-0005-0000-0000-000021270000}"/>
    <cellStyle name="표준 5 2 2 2 3 3 3 4" xfId="2235" xr:uid="{00000000-0005-0000-0000-000022270000}"/>
    <cellStyle name="표준 5 2 2 2 3 3 3 4 2" xfId="11138" xr:uid="{00000000-0005-0000-0000-000023270000}"/>
    <cellStyle name="표준 5 2 2 2 3 3 3 4 2 2" xfId="15250" xr:uid="{00000000-0005-0000-0000-000024270000}"/>
    <cellStyle name="표준 5 2 2 2 3 3 3 4 2 2 2" xfId="31844" xr:uid="{00000000-0005-0000-0000-000025270000}"/>
    <cellStyle name="표준 5 2 2 2 3 3 3 4 2 2 3" xfId="40055" xr:uid="{00000000-0005-0000-0000-000026270000}"/>
    <cellStyle name="표준 5 2 2 2 3 3 3 4 2 2 4" xfId="48248" xr:uid="{00000000-0005-0000-0000-000027270000}"/>
    <cellStyle name="표준 5 2 2 2 3 3 3 4 2 3" xfId="19490" xr:uid="{00000000-0005-0000-0000-000028270000}"/>
    <cellStyle name="표준 5 2 2 2 3 3 3 4 2 4" xfId="23652" xr:uid="{00000000-0005-0000-0000-000029270000}"/>
    <cellStyle name="표준 5 2 2 2 3 3 3 4 2 5" xfId="27748" xr:uid="{00000000-0005-0000-0000-00002A270000}"/>
    <cellStyle name="표준 5 2 2 2 3 3 3 4 2 6" xfId="35959" xr:uid="{00000000-0005-0000-0000-00002B270000}"/>
    <cellStyle name="표준 5 2 2 2 3 3 3 4 2 7" xfId="44152" xr:uid="{00000000-0005-0000-0000-00002C270000}"/>
    <cellStyle name="표준 5 2 2 2 3 3 3 4 3" xfId="9090" xr:uid="{00000000-0005-0000-0000-00002D270000}"/>
    <cellStyle name="표준 5 2 2 2 3 3 3 4 3 2" xfId="29796" xr:uid="{00000000-0005-0000-0000-00002E270000}"/>
    <cellStyle name="표준 5 2 2 2 3 3 3 4 3 3" xfId="38007" xr:uid="{00000000-0005-0000-0000-00002F270000}"/>
    <cellStyle name="표준 5 2 2 2 3 3 3 4 3 4" xfId="46200" xr:uid="{00000000-0005-0000-0000-000030270000}"/>
    <cellStyle name="표준 5 2 2 2 3 3 3 4 4" xfId="13202" xr:uid="{00000000-0005-0000-0000-000031270000}"/>
    <cellStyle name="표준 5 2 2 2 3 3 3 4 5" xfId="17442" xr:uid="{00000000-0005-0000-0000-000032270000}"/>
    <cellStyle name="표준 5 2 2 2 3 3 3 4 6" xfId="21604" xr:uid="{00000000-0005-0000-0000-000033270000}"/>
    <cellStyle name="표준 5 2 2 2 3 3 3 4 7" xfId="25700" xr:uid="{00000000-0005-0000-0000-000034270000}"/>
    <cellStyle name="표준 5 2 2 2 3 3 3 4 8" xfId="33911" xr:uid="{00000000-0005-0000-0000-000035270000}"/>
    <cellStyle name="표준 5 2 2 2 3 3 3 4 9" xfId="42104" xr:uid="{00000000-0005-0000-0000-000036270000}"/>
    <cellStyle name="표준 5 2 2 2 3 3 3 5" xfId="9602" xr:uid="{00000000-0005-0000-0000-000037270000}"/>
    <cellStyle name="표준 5 2 2 2 3 3 3 5 2" xfId="13714" xr:uid="{00000000-0005-0000-0000-000038270000}"/>
    <cellStyle name="표준 5 2 2 2 3 3 3 5 2 2" xfId="30308" xr:uid="{00000000-0005-0000-0000-000039270000}"/>
    <cellStyle name="표준 5 2 2 2 3 3 3 5 2 3" xfId="38519" xr:uid="{00000000-0005-0000-0000-00003A270000}"/>
    <cellStyle name="표준 5 2 2 2 3 3 3 5 2 4" xfId="46712" xr:uid="{00000000-0005-0000-0000-00003B270000}"/>
    <cellStyle name="표준 5 2 2 2 3 3 3 5 3" xfId="17954" xr:uid="{00000000-0005-0000-0000-00003C270000}"/>
    <cellStyle name="표준 5 2 2 2 3 3 3 5 4" xfId="22116" xr:uid="{00000000-0005-0000-0000-00003D270000}"/>
    <cellStyle name="표준 5 2 2 2 3 3 3 5 5" xfId="26212" xr:uid="{00000000-0005-0000-0000-00003E270000}"/>
    <cellStyle name="표준 5 2 2 2 3 3 3 5 6" xfId="34423" xr:uid="{00000000-0005-0000-0000-00003F270000}"/>
    <cellStyle name="표준 5 2 2 2 3 3 3 5 7" xfId="42616" xr:uid="{00000000-0005-0000-0000-000040270000}"/>
    <cellStyle name="표준 5 2 2 2 3 3 3 6" xfId="7554" xr:uid="{00000000-0005-0000-0000-000041270000}"/>
    <cellStyle name="표준 5 2 2 2 3 3 3 6 2" xfId="28260" xr:uid="{00000000-0005-0000-0000-000042270000}"/>
    <cellStyle name="표준 5 2 2 2 3 3 3 6 3" xfId="36471" xr:uid="{00000000-0005-0000-0000-000043270000}"/>
    <cellStyle name="표준 5 2 2 2 3 3 3 6 4" xfId="44664" xr:uid="{00000000-0005-0000-0000-000044270000}"/>
    <cellStyle name="표준 5 2 2 2 3 3 3 7" xfId="11666" xr:uid="{00000000-0005-0000-0000-000045270000}"/>
    <cellStyle name="표준 5 2 2 2 3 3 3 8" xfId="15906" xr:uid="{00000000-0005-0000-0000-000046270000}"/>
    <cellStyle name="표준 5 2 2 2 3 3 3 9" xfId="20068" xr:uid="{00000000-0005-0000-0000-000047270000}"/>
    <cellStyle name="표준 5 2 2 2 3 3 4" xfId="955" xr:uid="{00000000-0005-0000-0000-000048270000}"/>
    <cellStyle name="표준 5 2 2 2 3 3 4 2" xfId="9858" xr:uid="{00000000-0005-0000-0000-000049270000}"/>
    <cellStyle name="표준 5 2 2 2 3 3 4 2 2" xfId="13970" xr:uid="{00000000-0005-0000-0000-00004A270000}"/>
    <cellStyle name="표준 5 2 2 2 3 3 4 2 2 2" xfId="30564" xr:uid="{00000000-0005-0000-0000-00004B270000}"/>
    <cellStyle name="표준 5 2 2 2 3 3 4 2 2 3" xfId="38775" xr:uid="{00000000-0005-0000-0000-00004C270000}"/>
    <cellStyle name="표준 5 2 2 2 3 3 4 2 2 4" xfId="46968" xr:uid="{00000000-0005-0000-0000-00004D270000}"/>
    <cellStyle name="표준 5 2 2 2 3 3 4 2 3" xfId="18210" xr:uid="{00000000-0005-0000-0000-00004E270000}"/>
    <cellStyle name="표준 5 2 2 2 3 3 4 2 4" xfId="22372" xr:uid="{00000000-0005-0000-0000-00004F270000}"/>
    <cellStyle name="표준 5 2 2 2 3 3 4 2 5" xfId="26468" xr:uid="{00000000-0005-0000-0000-000050270000}"/>
    <cellStyle name="표준 5 2 2 2 3 3 4 2 6" xfId="34679" xr:uid="{00000000-0005-0000-0000-000051270000}"/>
    <cellStyle name="표준 5 2 2 2 3 3 4 2 7" xfId="42872" xr:uid="{00000000-0005-0000-0000-000052270000}"/>
    <cellStyle name="표준 5 2 2 2 3 3 4 3" xfId="7810" xr:uid="{00000000-0005-0000-0000-000053270000}"/>
    <cellStyle name="표준 5 2 2 2 3 3 4 3 2" xfId="28516" xr:uid="{00000000-0005-0000-0000-000054270000}"/>
    <cellStyle name="표준 5 2 2 2 3 3 4 3 3" xfId="36727" xr:uid="{00000000-0005-0000-0000-000055270000}"/>
    <cellStyle name="표준 5 2 2 2 3 3 4 3 4" xfId="44920" xr:uid="{00000000-0005-0000-0000-000056270000}"/>
    <cellStyle name="표준 5 2 2 2 3 3 4 4" xfId="11922" xr:uid="{00000000-0005-0000-0000-000057270000}"/>
    <cellStyle name="표준 5 2 2 2 3 3 4 5" xfId="16162" xr:uid="{00000000-0005-0000-0000-000058270000}"/>
    <cellStyle name="표준 5 2 2 2 3 3 4 6" xfId="20324" xr:uid="{00000000-0005-0000-0000-000059270000}"/>
    <cellStyle name="표준 5 2 2 2 3 3 4 7" xfId="24420" xr:uid="{00000000-0005-0000-0000-00005A270000}"/>
    <cellStyle name="표준 5 2 2 2 3 3 4 8" xfId="32631" xr:uid="{00000000-0005-0000-0000-00005B270000}"/>
    <cellStyle name="표준 5 2 2 2 3 3 4 9" xfId="40824" xr:uid="{00000000-0005-0000-0000-00005C270000}"/>
    <cellStyle name="표준 5 2 2 2 3 3 5" xfId="1467" xr:uid="{00000000-0005-0000-0000-00005D270000}"/>
    <cellStyle name="표준 5 2 2 2 3 3 5 2" xfId="10370" xr:uid="{00000000-0005-0000-0000-00005E270000}"/>
    <cellStyle name="표준 5 2 2 2 3 3 5 2 2" xfId="14482" xr:uid="{00000000-0005-0000-0000-00005F270000}"/>
    <cellStyle name="표준 5 2 2 2 3 3 5 2 2 2" xfId="31076" xr:uid="{00000000-0005-0000-0000-000060270000}"/>
    <cellStyle name="표준 5 2 2 2 3 3 5 2 2 3" xfId="39287" xr:uid="{00000000-0005-0000-0000-000061270000}"/>
    <cellStyle name="표준 5 2 2 2 3 3 5 2 2 4" xfId="47480" xr:uid="{00000000-0005-0000-0000-000062270000}"/>
    <cellStyle name="표준 5 2 2 2 3 3 5 2 3" xfId="18722" xr:uid="{00000000-0005-0000-0000-000063270000}"/>
    <cellStyle name="표준 5 2 2 2 3 3 5 2 4" xfId="22884" xr:uid="{00000000-0005-0000-0000-000064270000}"/>
    <cellStyle name="표준 5 2 2 2 3 3 5 2 5" xfId="26980" xr:uid="{00000000-0005-0000-0000-000065270000}"/>
    <cellStyle name="표준 5 2 2 2 3 3 5 2 6" xfId="35191" xr:uid="{00000000-0005-0000-0000-000066270000}"/>
    <cellStyle name="표준 5 2 2 2 3 3 5 2 7" xfId="43384" xr:uid="{00000000-0005-0000-0000-000067270000}"/>
    <cellStyle name="표준 5 2 2 2 3 3 5 3" xfId="8322" xr:uid="{00000000-0005-0000-0000-000068270000}"/>
    <cellStyle name="표준 5 2 2 2 3 3 5 3 2" xfId="29028" xr:uid="{00000000-0005-0000-0000-000069270000}"/>
    <cellStyle name="표준 5 2 2 2 3 3 5 3 3" xfId="37239" xr:uid="{00000000-0005-0000-0000-00006A270000}"/>
    <cellStyle name="표준 5 2 2 2 3 3 5 3 4" xfId="45432" xr:uid="{00000000-0005-0000-0000-00006B270000}"/>
    <cellStyle name="표준 5 2 2 2 3 3 5 4" xfId="12434" xr:uid="{00000000-0005-0000-0000-00006C270000}"/>
    <cellStyle name="표준 5 2 2 2 3 3 5 5" xfId="16674" xr:uid="{00000000-0005-0000-0000-00006D270000}"/>
    <cellStyle name="표준 5 2 2 2 3 3 5 6" xfId="20836" xr:uid="{00000000-0005-0000-0000-00006E270000}"/>
    <cellStyle name="표준 5 2 2 2 3 3 5 7" xfId="24932" xr:uid="{00000000-0005-0000-0000-00006F270000}"/>
    <cellStyle name="표준 5 2 2 2 3 3 5 8" xfId="33143" xr:uid="{00000000-0005-0000-0000-000070270000}"/>
    <cellStyle name="표준 5 2 2 2 3 3 5 9" xfId="41336" xr:uid="{00000000-0005-0000-0000-000071270000}"/>
    <cellStyle name="표준 5 2 2 2 3 3 6" xfId="1979" xr:uid="{00000000-0005-0000-0000-000072270000}"/>
    <cellStyle name="표준 5 2 2 2 3 3 6 2" xfId="10882" xr:uid="{00000000-0005-0000-0000-000073270000}"/>
    <cellStyle name="표준 5 2 2 2 3 3 6 2 2" xfId="14994" xr:uid="{00000000-0005-0000-0000-000074270000}"/>
    <cellStyle name="표준 5 2 2 2 3 3 6 2 2 2" xfId="31588" xr:uid="{00000000-0005-0000-0000-000075270000}"/>
    <cellStyle name="표준 5 2 2 2 3 3 6 2 2 3" xfId="39799" xr:uid="{00000000-0005-0000-0000-000076270000}"/>
    <cellStyle name="표준 5 2 2 2 3 3 6 2 2 4" xfId="47992" xr:uid="{00000000-0005-0000-0000-000077270000}"/>
    <cellStyle name="표준 5 2 2 2 3 3 6 2 3" xfId="19234" xr:uid="{00000000-0005-0000-0000-000078270000}"/>
    <cellStyle name="표준 5 2 2 2 3 3 6 2 4" xfId="23396" xr:uid="{00000000-0005-0000-0000-000079270000}"/>
    <cellStyle name="표준 5 2 2 2 3 3 6 2 5" xfId="27492" xr:uid="{00000000-0005-0000-0000-00007A270000}"/>
    <cellStyle name="표준 5 2 2 2 3 3 6 2 6" xfId="35703" xr:uid="{00000000-0005-0000-0000-00007B270000}"/>
    <cellStyle name="표준 5 2 2 2 3 3 6 2 7" xfId="43896" xr:uid="{00000000-0005-0000-0000-00007C270000}"/>
    <cellStyle name="표준 5 2 2 2 3 3 6 3" xfId="8834" xr:uid="{00000000-0005-0000-0000-00007D270000}"/>
    <cellStyle name="표준 5 2 2 2 3 3 6 3 2" xfId="29540" xr:uid="{00000000-0005-0000-0000-00007E270000}"/>
    <cellStyle name="표준 5 2 2 2 3 3 6 3 3" xfId="37751" xr:uid="{00000000-0005-0000-0000-00007F270000}"/>
    <cellStyle name="표준 5 2 2 2 3 3 6 3 4" xfId="45944" xr:uid="{00000000-0005-0000-0000-000080270000}"/>
    <cellStyle name="표준 5 2 2 2 3 3 6 4" xfId="12946" xr:uid="{00000000-0005-0000-0000-000081270000}"/>
    <cellStyle name="표준 5 2 2 2 3 3 6 5" xfId="17186" xr:uid="{00000000-0005-0000-0000-000082270000}"/>
    <cellStyle name="표준 5 2 2 2 3 3 6 6" xfId="21348" xr:uid="{00000000-0005-0000-0000-000083270000}"/>
    <cellStyle name="표준 5 2 2 2 3 3 6 7" xfId="25444" xr:uid="{00000000-0005-0000-0000-000084270000}"/>
    <cellStyle name="표준 5 2 2 2 3 3 6 8" xfId="33655" xr:uid="{00000000-0005-0000-0000-000085270000}"/>
    <cellStyle name="표준 5 2 2 2 3 3 6 9" xfId="41848" xr:uid="{00000000-0005-0000-0000-000086270000}"/>
    <cellStyle name="표준 5 2 2 2 3 3 7" xfId="9346" xr:uid="{00000000-0005-0000-0000-000087270000}"/>
    <cellStyle name="표준 5 2 2 2 3 3 7 2" xfId="13458" xr:uid="{00000000-0005-0000-0000-000088270000}"/>
    <cellStyle name="표준 5 2 2 2 3 3 7 2 2" xfId="30052" xr:uid="{00000000-0005-0000-0000-000089270000}"/>
    <cellStyle name="표준 5 2 2 2 3 3 7 2 3" xfId="38263" xr:uid="{00000000-0005-0000-0000-00008A270000}"/>
    <cellStyle name="표준 5 2 2 2 3 3 7 2 4" xfId="46456" xr:uid="{00000000-0005-0000-0000-00008B270000}"/>
    <cellStyle name="표준 5 2 2 2 3 3 7 3" xfId="17698" xr:uid="{00000000-0005-0000-0000-00008C270000}"/>
    <cellStyle name="표준 5 2 2 2 3 3 7 4" xfId="21860" xr:uid="{00000000-0005-0000-0000-00008D270000}"/>
    <cellStyle name="표준 5 2 2 2 3 3 7 5" xfId="25956" xr:uid="{00000000-0005-0000-0000-00008E270000}"/>
    <cellStyle name="표준 5 2 2 2 3 3 7 6" xfId="34167" xr:uid="{00000000-0005-0000-0000-00008F270000}"/>
    <cellStyle name="표준 5 2 2 2 3 3 7 7" xfId="42360" xr:uid="{00000000-0005-0000-0000-000090270000}"/>
    <cellStyle name="표준 5 2 2 2 3 3 8" xfId="7298" xr:uid="{00000000-0005-0000-0000-000091270000}"/>
    <cellStyle name="표준 5 2 2 2 3 3 8 2" xfId="28004" xr:uid="{00000000-0005-0000-0000-000092270000}"/>
    <cellStyle name="표준 5 2 2 2 3 3 8 3" xfId="36215" xr:uid="{00000000-0005-0000-0000-000093270000}"/>
    <cellStyle name="표준 5 2 2 2 3 3 8 4" xfId="44408" xr:uid="{00000000-0005-0000-0000-000094270000}"/>
    <cellStyle name="표준 5 2 2 2 3 3 9" xfId="11410" xr:uid="{00000000-0005-0000-0000-000095270000}"/>
    <cellStyle name="표준 5 2 2 2 3 4" xfId="507" xr:uid="{00000000-0005-0000-0000-000096270000}"/>
    <cellStyle name="표준 5 2 2 2 3 4 10" xfId="19876" xr:uid="{00000000-0005-0000-0000-000097270000}"/>
    <cellStyle name="표준 5 2 2 2 3 4 11" xfId="23972" xr:uid="{00000000-0005-0000-0000-000098270000}"/>
    <cellStyle name="표준 5 2 2 2 3 4 12" xfId="32183" xr:uid="{00000000-0005-0000-0000-000099270000}"/>
    <cellStyle name="표준 5 2 2 2 3 4 13" xfId="40376" xr:uid="{00000000-0005-0000-0000-00009A270000}"/>
    <cellStyle name="표준 5 2 2 2 3 4 2" xfId="763" xr:uid="{00000000-0005-0000-0000-00009B270000}"/>
    <cellStyle name="표준 5 2 2 2 3 4 2 10" xfId="24228" xr:uid="{00000000-0005-0000-0000-00009C270000}"/>
    <cellStyle name="표준 5 2 2 2 3 4 2 11" xfId="32439" xr:uid="{00000000-0005-0000-0000-00009D270000}"/>
    <cellStyle name="표준 5 2 2 2 3 4 2 12" xfId="40632" xr:uid="{00000000-0005-0000-0000-00009E270000}"/>
    <cellStyle name="표준 5 2 2 2 3 4 2 2" xfId="1275" xr:uid="{00000000-0005-0000-0000-00009F270000}"/>
    <cellStyle name="표준 5 2 2 2 3 4 2 2 2" xfId="10178" xr:uid="{00000000-0005-0000-0000-0000A0270000}"/>
    <cellStyle name="표준 5 2 2 2 3 4 2 2 2 2" xfId="14290" xr:uid="{00000000-0005-0000-0000-0000A1270000}"/>
    <cellStyle name="표준 5 2 2 2 3 4 2 2 2 2 2" xfId="30884" xr:uid="{00000000-0005-0000-0000-0000A2270000}"/>
    <cellStyle name="표준 5 2 2 2 3 4 2 2 2 2 3" xfId="39095" xr:uid="{00000000-0005-0000-0000-0000A3270000}"/>
    <cellStyle name="표준 5 2 2 2 3 4 2 2 2 2 4" xfId="47288" xr:uid="{00000000-0005-0000-0000-0000A4270000}"/>
    <cellStyle name="표준 5 2 2 2 3 4 2 2 2 3" xfId="18530" xr:uid="{00000000-0005-0000-0000-0000A5270000}"/>
    <cellStyle name="표준 5 2 2 2 3 4 2 2 2 4" xfId="22692" xr:uid="{00000000-0005-0000-0000-0000A6270000}"/>
    <cellStyle name="표준 5 2 2 2 3 4 2 2 2 5" xfId="26788" xr:uid="{00000000-0005-0000-0000-0000A7270000}"/>
    <cellStyle name="표준 5 2 2 2 3 4 2 2 2 6" xfId="34999" xr:uid="{00000000-0005-0000-0000-0000A8270000}"/>
    <cellStyle name="표준 5 2 2 2 3 4 2 2 2 7" xfId="43192" xr:uid="{00000000-0005-0000-0000-0000A9270000}"/>
    <cellStyle name="표준 5 2 2 2 3 4 2 2 3" xfId="8130" xr:uid="{00000000-0005-0000-0000-0000AA270000}"/>
    <cellStyle name="표준 5 2 2 2 3 4 2 2 3 2" xfId="28836" xr:uid="{00000000-0005-0000-0000-0000AB270000}"/>
    <cellStyle name="표준 5 2 2 2 3 4 2 2 3 3" xfId="37047" xr:uid="{00000000-0005-0000-0000-0000AC270000}"/>
    <cellStyle name="표준 5 2 2 2 3 4 2 2 3 4" xfId="45240" xr:uid="{00000000-0005-0000-0000-0000AD270000}"/>
    <cellStyle name="표준 5 2 2 2 3 4 2 2 4" xfId="12242" xr:uid="{00000000-0005-0000-0000-0000AE270000}"/>
    <cellStyle name="표준 5 2 2 2 3 4 2 2 5" xfId="16482" xr:uid="{00000000-0005-0000-0000-0000AF270000}"/>
    <cellStyle name="표준 5 2 2 2 3 4 2 2 6" xfId="20644" xr:uid="{00000000-0005-0000-0000-0000B0270000}"/>
    <cellStyle name="표준 5 2 2 2 3 4 2 2 7" xfId="24740" xr:uid="{00000000-0005-0000-0000-0000B1270000}"/>
    <cellStyle name="표준 5 2 2 2 3 4 2 2 8" xfId="32951" xr:uid="{00000000-0005-0000-0000-0000B2270000}"/>
    <cellStyle name="표준 5 2 2 2 3 4 2 2 9" xfId="41144" xr:uid="{00000000-0005-0000-0000-0000B3270000}"/>
    <cellStyle name="표준 5 2 2 2 3 4 2 3" xfId="1787" xr:uid="{00000000-0005-0000-0000-0000B4270000}"/>
    <cellStyle name="표준 5 2 2 2 3 4 2 3 2" xfId="10690" xr:uid="{00000000-0005-0000-0000-0000B5270000}"/>
    <cellStyle name="표준 5 2 2 2 3 4 2 3 2 2" xfId="14802" xr:uid="{00000000-0005-0000-0000-0000B6270000}"/>
    <cellStyle name="표준 5 2 2 2 3 4 2 3 2 2 2" xfId="31396" xr:uid="{00000000-0005-0000-0000-0000B7270000}"/>
    <cellStyle name="표준 5 2 2 2 3 4 2 3 2 2 3" xfId="39607" xr:uid="{00000000-0005-0000-0000-0000B8270000}"/>
    <cellStyle name="표준 5 2 2 2 3 4 2 3 2 2 4" xfId="47800" xr:uid="{00000000-0005-0000-0000-0000B9270000}"/>
    <cellStyle name="표준 5 2 2 2 3 4 2 3 2 3" xfId="19042" xr:uid="{00000000-0005-0000-0000-0000BA270000}"/>
    <cellStyle name="표준 5 2 2 2 3 4 2 3 2 4" xfId="23204" xr:uid="{00000000-0005-0000-0000-0000BB270000}"/>
    <cellStyle name="표준 5 2 2 2 3 4 2 3 2 5" xfId="27300" xr:uid="{00000000-0005-0000-0000-0000BC270000}"/>
    <cellStyle name="표준 5 2 2 2 3 4 2 3 2 6" xfId="35511" xr:uid="{00000000-0005-0000-0000-0000BD270000}"/>
    <cellStyle name="표준 5 2 2 2 3 4 2 3 2 7" xfId="43704" xr:uid="{00000000-0005-0000-0000-0000BE270000}"/>
    <cellStyle name="표준 5 2 2 2 3 4 2 3 3" xfId="8642" xr:uid="{00000000-0005-0000-0000-0000BF270000}"/>
    <cellStyle name="표준 5 2 2 2 3 4 2 3 3 2" xfId="29348" xr:uid="{00000000-0005-0000-0000-0000C0270000}"/>
    <cellStyle name="표준 5 2 2 2 3 4 2 3 3 3" xfId="37559" xr:uid="{00000000-0005-0000-0000-0000C1270000}"/>
    <cellStyle name="표준 5 2 2 2 3 4 2 3 3 4" xfId="45752" xr:uid="{00000000-0005-0000-0000-0000C2270000}"/>
    <cellStyle name="표준 5 2 2 2 3 4 2 3 4" xfId="12754" xr:uid="{00000000-0005-0000-0000-0000C3270000}"/>
    <cellStyle name="표준 5 2 2 2 3 4 2 3 5" xfId="16994" xr:uid="{00000000-0005-0000-0000-0000C4270000}"/>
    <cellStyle name="표준 5 2 2 2 3 4 2 3 6" xfId="21156" xr:uid="{00000000-0005-0000-0000-0000C5270000}"/>
    <cellStyle name="표준 5 2 2 2 3 4 2 3 7" xfId="25252" xr:uid="{00000000-0005-0000-0000-0000C6270000}"/>
    <cellStyle name="표준 5 2 2 2 3 4 2 3 8" xfId="33463" xr:uid="{00000000-0005-0000-0000-0000C7270000}"/>
    <cellStyle name="표준 5 2 2 2 3 4 2 3 9" xfId="41656" xr:uid="{00000000-0005-0000-0000-0000C8270000}"/>
    <cellStyle name="표준 5 2 2 2 3 4 2 4" xfId="2299" xr:uid="{00000000-0005-0000-0000-0000C9270000}"/>
    <cellStyle name="표준 5 2 2 2 3 4 2 4 2" xfId="11202" xr:uid="{00000000-0005-0000-0000-0000CA270000}"/>
    <cellStyle name="표준 5 2 2 2 3 4 2 4 2 2" xfId="15314" xr:uid="{00000000-0005-0000-0000-0000CB270000}"/>
    <cellStyle name="표준 5 2 2 2 3 4 2 4 2 2 2" xfId="31908" xr:uid="{00000000-0005-0000-0000-0000CC270000}"/>
    <cellStyle name="표준 5 2 2 2 3 4 2 4 2 2 3" xfId="40119" xr:uid="{00000000-0005-0000-0000-0000CD270000}"/>
    <cellStyle name="표준 5 2 2 2 3 4 2 4 2 2 4" xfId="48312" xr:uid="{00000000-0005-0000-0000-0000CE270000}"/>
    <cellStyle name="표준 5 2 2 2 3 4 2 4 2 3" xfId="19554" xr:uid="{00000000-0005-0000-0000-0000CF270000}"/>
    <cellStyle name="표준 5 2 2 2 3 4 2 4 2 4" xfId="23716" xr:uid="{00000000-0005-0000-0000-0000D0270000}"/>
    <cellStyle name="표준 5 2 2 2 3 4 2 4 2 5" xfId="27812" xr:uid="{00000000-0005-0000-0000-0000D1270000}"/>
    <cellStyle name="표준 5 2 2 2 3 4 2 4 2 6" xfId="36023" xr:uid="{00000000-0005-0000-0000-0000D2270000}"/>
    <cellStyle name="표준 5 2 2 2 3 4 2 4 2 7" xfId="44216" xr:uid="{00000000-0005-0000-0000-0000D3270000}"/>
    <cellStyle name="표준 5 2 2 2 3 4 2 4 3" xfId="9154" xr:uid="{00000000-0005-0000-0000-0000D4270000}"/>
    <cellStyle name="표준 5 2 2 2 3 4 2 4 3 2" xfId="29860" xr:uid="{00000000-0005-0000-0000-0000D5270000}"/>
    <cellStyle name="표준 5 2 2 2 3 4 2 4 3 3" xfId="38071" xr:uid="{00000000-0005-0000-0000-0000D6270000}"/>
    <cellStyle name="표준 5 2 2 2 3 4 2 4 3 4" xfId="46264" xr:uid="{00000000-0005-0000-0000-0000D7270000}"/>
    <cellStyle name="표준 5 2 2 2 3 4 2 4 4" xfId="13266" xr:uid="{00000000-0005-0000-0000-0000D8270000}"/>
    <cellStyle name="표준 5 2 2 2 3 4 2 4 5" xfId="17506" xr:uid="{00000000-0005-0000-0000-0000D9270000}"/>
    <cellStyle name="표준 5 2 2 2 3 4 2 4 6" xfId="21668" xr:uid="{00000000-0005-0000-0000-0000DA270000}"/>
    <cellStyle name="표준 5 2 2 2 3 4 2 4 7" xfId="25764" xr:uid="{00000000-0005-0000-0000-0000DB270000}"/>
    <cellStyle name="표준 5 2 2 2 3 4 2 4 8" xfId="33975" xr:uid="{00000000-0005-0000-0000-0000DC270000}"/>
    <cellStyle name="표준 5 2 2 2 3 4 2 4 9" xfId="42168" xr:uid="{00000000-0005-0000-0000-0000DD270000}"/>
    <cellStyle name="표준 5 2 2 2 3 4 2 5" xfId="9666" xr:uid="{00000000-0005-0000-0000-0000DE270000}"/>
    <cellStyle name="표준 5 2 2 2 3 4 2 5 2" xfId="13778" xr:uid="{00000000-0005-0000-0000-0000DF270000}"/>
    <cellStyle name="표준 5 2 2 2 3 4 2 5 2 2" xfId="30372" xr:uid="{00000000-0005-0000-0000-0000E0270000}"/>
    <cellStyle name="표준 5 2 2 2 3 4 2 5 2 3" xfId="38583" xr:uid="{00000000-0005-0000-0000-0000E1270000}"/>
    <cellStyle name="표준 5 2 2 2 3 4 2 5 2 4" xfId="46776" xr:uid="{00000000-0005-0000-0000-0000E2270000}"/>
    <cellStyle name="표준 5 2 2 2 3 4 2 5 3" xfId="18018" xr:uid="{00000000-0005-0000-0000-0000E3270000}"/>
    <cellStyle name="표준 5 2 2 2 3 4 2 5 4" xfId="22180" xr:uid="{00000000-0005-0000-0000-0000E4270000}"/>
    <cellStyle name="표준 5 2 2 2 3 4 2 5 5" xfId="26276" xr:uid="{00000000-0005-0000-0000-0000E5270000}"/>
    <cellStyle name="표준 5 2 2 2 3 4 2 5 6" xfId="34487" xr:uid="{00000000-0005-0000-0000-0000E6270000}"/>
    <cellStyle name="표준 5 2 2 2 3 4 2 5 7" xfId="42680" xr:uid="{00000000-0005-0000-0000-0000E7270000}"/>
    <cellStyle name="표준 5 2 2 2 3 4 2 6" xfId="7618" xr:uid="{00000000-0005-0000-0000-0000E8270000}"/>
    <cellStyle name="표준 5 2 2 2 3 4 2 6 2" xfId="28324" xr:uid="{00000000-0005-0000-0000-0000E9270000}"/>
    <cellStyle name="표준 5 2 2 2 3 4 2 6 3" xfId="36535" xr:uid="{00000000-0005-0000-0000-0000EA270000}"/>
    <cellStyle name="표준 5 2 2 2 3 4 2 6 4" xfId="44728" xr:uid="{00000000-0005-0000-0000-0000EB270000}"/>
    <cellStyle name="표준 5 2 2 2 3 4 2 7" xfId="11730" xr:uid="{00000000-0005-0000-0000-0000EC270000}"/>
    <cellStyle name="표준 5 2 2 2 3 4 2 8" xfId="15970" xr:uid="{00000000-0005-0000-0000-0000ED270000}"/>
    <cellStyle name="표준 5 2 2 2 3 4 2 9" xfId="20132" xr:uid="{00000000-0005-0000-0000-0000EE270000}"/>
    <cellStyle name="표준 5 2 2 2 3 4 3" xfId="1019" xr:uid="{00000000-0005-0000-0000-0000EF270000}"/>
    <cellStyle name="표준 5 2 2 2 3 4 3 2" xfId="9922" xr:uid="{00000000-0005-0000-0000-0000F0270000}"/>
    <cellStyle name="표준 5 2 2 2 3 4 3 2 2" xfId="14034" xr:uid="{00000000-0005-0000-0000-0000F1270000}"/>
    <cellStyle name="표준 5 2 2 2 3 4 3 2 2 2" xfId="30628" xr:uid="{00000000-0005-0000-0000-0000F2270000}"/>
    <cellStyle name="표준 5 2 2 2 3 4 3 2 2 3" xfId="38839" xr:uid="{00000000-0005-0000-0000-0000F3270000}"/>
    <cellStyle name="표준 5 2 2 2 3 4 3 2 2 4" xfId="47032" xr:uid="{00000000-0005-0000-0000-0000F4270000}"/>
    <cellStyle name="표준 5 2 2 2 3 4 3 2 3" xfId="18274" xr:uid="{00000000-0005-0000-0000-0000F5270000}"/>
    <cellStyle name="표준 5 2 2 2 3 4 3 2 4" xfId="22436" xr:uid="{00000000-0005-0000-0000-0000F6270000}"/>
    <cellStyle name="표준 5 2 2 2 3 4 3 2 5" xfId="26532" xr:uid="{00000000-0005-0000-0000-0000F7270000}"/>
    <cellStyle name="표준 5 2 2 2 3 4 3 2 6" xfId="34743" xr:uid="{00000000-0005-0000-0000-0000F8270000}"/>
    <cellStyle name="표준 5 2 2 2 3 4 3 2 7" xfId="42936" xr:uid="{00000000-0005-0000-0000-0000F9270000}"/>
    <cellStyle name="표준 5 2 2 2 3 4 3 3" xfId="7874" xr:uid="{00000000-0005-0000-0000-0000FA270000}"/>
    <cellStyle name="표준 5 2 2 2 3 4 3 3 2" xfId="28580" xr:uid="{00000000-0005-0000-0000-0000FB270000}"/>
    <cellStyle name="표준 5 2 2 2 3 4 3 3 3" xfId="36791" xr:uid="{00000000-0005-0000-0000-0000FC270000}"/>
    <cellStyle name="표준 5 2 2 2 3 4 3 3 4" xfId="44984" xr:uid="{00000000-0005-0000-0000-0000FD270000}"/>
    <cellStyle name="표준 5 2 2 2 3 4 3 4" xfId="11986" xr:uid="{00000000-0005-0000-0000-0000FE270000}"/>
    <cellStyle name="표준 5 2 2 2 3 4 3 5" xfId="16226" xr:uid="{00000000-0005-0000-0000-0000FF270000}"/>
    <cellStyle name="표준 5 2 2 2 3 4 3 6" xfId="20388" xr:uid="{00000000-0005-0000-0000-000000280000}"/>
    <cellStyle name="표준 5 2 2 2 3 4 3 7" xfId="24484" xr:uid="{00000000-0005-0000-0000-000001280000}"/>
    <cellStyle name="표준 5 2 2 2 3 4 3 8" xfId="32695" xr:uid="{00000000-0005-0000-0000-000002280000}"/>
    <cellStyle name="표준 5 2 2 2 3 4 3 9" xfId="40888" xr:uid="{00000000-0005-0000-0000-000003280000}"/>
    <cellStyle name="표준 5 2 2 2 3 4 4" xfId="1531" xr:uid="{00000000-0005-0000-0000-000004280000}"/>
    <cellStyle name="표준 5 2 2 2 3 4 4 2" xfId="10434" xr:uid="{00000000-0005-0000-0000-000005280000}"/>
    <cellStyle name="표준 5 2 2 2 3 4 4 2 2" xfId="14546" xr:uid="{00000000-0005-0000-0000-000006280000}"/>
    <cellStyle name="표준 5 2 2 2 3 4 4 2 2 2" xfId="31140" xr:uid="{00000000-0005-0000-0000-000007280000}"/>
    <cellStyle name="표준 5 2 2 2 3 4 4 2 2 3" xfId="39351" xr:uid="{00000000-0005-0000-0000-000008280000}"/>
    <cellStyle name="표준 5 2 2 2 3 4 4 2 2 4" xfId="47544" xr:uid="{00000000-0005-0000-0000-000009280000}"/>
    <cellStyle name="표준 5 2 2 2 3 4 4 2 3" xfId="18786" xr:uid="{00000000-0005-0000-0000-00000A280000}"/>
    <cellStyle name="표준 5 2 2 2 3 4 4 2 4" xfId="22948" xr:uid="{00000000-0005-0000-0000-00000B280000}"/>
    <cellStyle name="표준 5 2 2 2 3 4 4 2 5" xfId="27044" xr:uid="{00000000-0005-0000-0000-00000C280000}"/>
    <cellStyle name="표준 5 2 2 2 3 4 4 2 6" xfId="35255" xr:uid="{00000000-0005-0000-0000-00000D280000}"/>
    <cellStyle name="표준 5 2 2 2 3 4 4 2 7" xfId="43448" xr:uid="{00000000-0005-0000-0000-00000E280000}"/>
    <cellStyle name="표준 5 2 2 2 3 4 4 3" xfId="8386" xr:uid="{00000000-0005-0000-0000-00000F280000}"/>
    <cellStyle name="표준 5 2 2 2 3 4 4 3 2" xfId="29092" xr:uid="{00000000-0005-0000-0000-000010280000}"/>
    <cellStyle name="표준 5 2 2 2 3 4 4 3 3" xfId="37303" xr:uid="{00000000-0005-0000-0000-000011280000}"/>
    <cellStyle name="표준 5 2 2 2 3 4 4 3 4" xfId="45496" xr:uid="{00000000-0005-0000-0000-000012280000}"/>
    <cellStyle name="표준 5 2 2 2 3 4 4 4" xfId="12498" xr:uid="{00000000-0005-0000-0000-000013280000}"/>
    <cellStyle name="표준 5 2 2 2 3 4 4 5" xfId="16738" xr:uid="{00000000-0005-0000-0000-000014280000}"/>
    <cellStyle name="표준 5 2 2 2 3 4 4 6" xfId="20900" xr:uid="{00000000-0005-0000-0000-000015280000}"/>
    <cellStyle name="표준 5 2 2 2 3 4 4 7" xfId="24996" xr:uid="{00000000-0005-0000-0000-000016280000}"/>
    <cellStyle name="표준 5 2 2 2 3 4 4 8" xfId="33207" xr:uid="{00000000-0005-0000-0000-000017280000}"/>
    <cellStyle name="표준 5 2 2 2 3 4 4 9" xfId="41400" xr:uid="{00000000-0005-0000-0000-000018280000}"/>
    <cellStyle name="표준 5 2 2 2 3 4 5" xfId="2043" xr:uid="{00000000-0005-0000-0000-000019280000}"/>
    <cellStyle name="표준 5 2 2 2 3 4 5 2" xfId="10946" xr:uid="{00000000-0005-0000-0000-00001A280000}"/>
    <cellStyle name="표준 5 2 2 2 3 4 5 2 2" xfId="15058" xr:uid="{00000000-0005-0000-0000-00001B280000}"/>
    <cellStyle name="표준 5 2 2 2 3 4 5 2 2 2" xfId="31652" xr:uid="{00000000-0005-0000-0000-00001C280000}"/>
    <cellStyle name="표준 5 2 2 2 3 4 5 2 2 3" xfId="39863" xr:uid="{00000000-0005-0000-0000-00001D280000}"/>
    <cellStyle name="표준 5 2 2 2 3 4 5 2 2 4" xfId="48056" xr:uid="{00000000-0005-0000-0000-00001E280000}"/>
    <cellStyle name="표준 5 2 2 2 3 4 5 2 3" xfId="19298" xr:uid="{00000000-0005-0000-0000-00001F280000}"/>
    <cellStyle name="표준 5 2 2 2 3 4 5 2 4" xfId="23460" xr:uid="{00000000-0005-0000-0000-000020280000}"/>
    <cellStyle name="표준 5 2 2 2 3 4 5 2 5" xfId="27556" xr:uid="{00000000-0005-0000-0000-000021280000}"/>
    <cellStyle name="표준 5 2 2 2 3 4 5 2 6" xfId="35767" xr:uid="{00000000-0005-0000-0000-000022280000}"/>
    <cellStyle name="표준 5 2 2 2 3 4 5 2 7" xfId="43960" xr:uid="{00000000-0005-0000-0000-000023280000}"/>
    <cellStyle name="표준 5 2 2 2 3 4 5 3" xfId="8898" xr:uid="{00000000-0005-0000-0000-000024280000}"/>
    <cellStyle name="표준 5 2 2 2 3 4 5 3 2" xfId="29604" xr:uid="{00000000-0005-0000-0000-000025280000}"/>
    <cellStyle name="표준 5 2 2 2 3 4 5 3 3" xfId="37815" xr:uid="{00000000-0005-0000-0000-000026280000}"/>
    <cellStyle name="표준 5 2 2 2 3 4 5 3 4" xfId="46008" xr:uid="{00000000-0005-0000-0000-000027280000}"/>
    <cellStyle name="표준 5 2 2 2 3 4 5 4" xfId="13010" xr:uid="{00000000-0005-0000-0000-000028280000}"/>
    <cellStyle name="표준 5 2 2 2 3 4 5 5" xfId="17250" xr:uid="{00000000-0005-0000-0000-000029280000}"/>
    <cellStyle name="표준 5 2 2 2 3 4 5 6" xfId="21412" xr:uid="{00000000-0005-0000-0000-00002A280000}"/>
    <cellStyle name="표준 5 2 2 2 3 4 5 7" xfId="25508" xr:uid="{00000000-0005-0000-0000-00002B280000}"/>
    <cellStyle name="표준 5 2 2 2 3 4 5 8" xfId="33719" xr:uid="{00000000-0005-0000-0000-00002C280000}"/>
    <cellStyle name="표준 5 2 2 2 3 4 5 9" xfId="41912" xr:uid="{00000000-0005-0000-0000-00002D280000}"/>
    <cellStyle name="표준 5 2 2 2 3 4 6" xfId="9410" xr:uid="{00000000-0005-0000-0000-00002E280000}"/>
    <cellStyle name="표준 5 2 2 2 3 4 6 2" xfId="13522" xr:uid="{00000000-0005-0000-0000-00002F280000}"/>
    <cellStyle name="표준 5 2 2 2 3 4 6 2 2" xfId="30116" xr:uid="{00000000-0005-0000-0000-000030280000}"/>
    <cellStyle name="표준 5 2 2 2 3 4 6 2 3" xfId="38327" xr:uid="{00000000-0005-0000-0000-000031280000}"/>
    <cellStyle name="표준 5 2 2 2 3 4 6 2 4" xfId="46520" xr:uid="{00000000-0005-0000-0000-000032280000}"/>
    <cellStyle name="표준 5 2 2 2 3 4 6 3" xfId="17762" xr:uid="{00000000-0005-0000-0000-000033280000}"/>
    <cellStyle name="표준 5 2 2 2 3 4 6 4" xfId="21924" xr:uid="{00000000-0005-0000-0000-000034280000}"/>
    <cellStyle name="표준 5 2 2 2 3 4 6 5" xfId="26020" xr:uid="{00000000-0005-0000-0000-000035280000}"/>
    <cellStyle name="표준 5 2 2 2 3 4 6 6" xfId="34231" xr:uid="{00000000-0005-0000-0000-000036280000}"/>
    <cellStyle name="표준 5 2 2 2 3 4 6 7" xfId="42424" xr:uid="{00000000-0005-0000-0000-000037280000}"/>
    <cellStyle name="표준 5 2 2 2 3 4 7" xfId="7362" xr:uid="{00000000-0005-0000-0000-000038280000}"/>
    <cellStyle name="표준 5 2 2 2 3 4 7 2" xfId="28068" xr:uid="{00000000-0005-0000-0000-000039280000}"/>
    <cellStyle name="표준 5 2 2 2 3 4 7 3" xfId="36279" xr:uid="{00000000-0005-0000-0000-00003A280000}"/>
    <cellStyle name="표준 5 2 2 2 3 4 7 4" xfId="44472" xr:uid="{00000000-0005-0000-0000-00003B280000}"/>
    <cellStyle name="표준 5 2 2 2 3 4 8" xfId="11474" xr:uid="{00000000-0005-0000-0000-00003C280000}"/>
    <cellStyle name="표준 5 2 2 2 3 4 9" xfId="15714" xr:uid="{00000000-0005-0000-0000-00003D280000}"/>
    <cellStyle name="표준 5 2 2 2 3 5" xfId="635" xr:uid="{00000000-0005-0000-0000-00003E280000}"/>
    <cellStyle name="표준 5 2 2 2 3 5 10" xfId="24100" xr:uid="{00000000-0005-0000-0000-00003F280000}"/>
    <cellStyle name="표준 5 2 2 2 3 5 11" xfId="32311" xr:uid="{00000000-0005-0000-0000-000040280000}"/>
    <cellStyle name="표준 5 2 2 2 3 5 12" xfId="40504" xr:uid="{00000000-0005-0000-0000-000041280000}"/>
    <cellStyle name="표준 5 2 2 2 3 5 2" xfId="1147" xr:uid="{00000000-0005-0000-0000-000042280000}"/>
    <cellStyle name="표준 5 2 2 2 3 5 2 2" xfId="10050" xr:uid="{00000000-0005-0000-0000-000043280000}"/>
    <cellStyle name="표준 5 2 2 2 3 5 2 2 2" xfId="14162" xr:uid="{00000000-0005-0000-0000-000044280000}"/>
    <cellStyle name="표준 5 2 2 2 3 5 2 2 2 2" xfId="30756" xr:uid="{00000000-0005-0000-0000-000045280000}"/>
    <cellStyle name="표준 5 2 2 2 3 5 2 2 2 3" xfId="38967" xr:uid="{00000000-0005-0000-0000-000046280000}"/>
    <cellStyle name="표준 5 2 2 2 3 5 2 2 2 4" xfId="47160" xr:uid="{00000000-0005-0000-0000-000047280000}"/>
    <cellStyle name="표준 5 2 2 2 3 5 2 2 3" xfId="18402" xr:uid="{00000000-0005-0000-0000-000048280000}"/>
    <cellStyle name="표준 5 2 2 2 3 5 2 2 4" xfId="22564" xr:uid="{00000000-0005-0000-0000-000049280000}"/>
    <cellStyle name="표준 5 2 2 2 3 5 2 2 5" xfId="26660" xr:uid="{00000000-0005-0000-0000-00004A280000}"/>
    <cellStyle name="표준 5 2 2 2 3 5 2 2 6" xfId="34871" xr:uid="{00000000-0005-0000-0000-00004B280000}"/>
    <cellStyle name="표준 5 2 2 2 3 5 2 2 7" xfId="43064" xr:uid="{00000000-0005-0000-0000-00004C280000}"/>
    <cellStyle name="표준 5 2 2 2 3 5 2 3" xfId="8002" xr:uid="{00000000-0005-0000-0000-00004D280000}"/>
    <cellStyle name="표준 5 2 2 2 3 5 2 3 2" xfId="28708" xr:uid="{00000000-0005-0000-0000-00004E280000}"/>
    <cellStyle name="표준 5 2 2 2 3 5 2 3 3" xfId="36919" xr:uid="{00000000-0005-0000-0000-00004F280000}"/>
    <cellStyle name="표준 5 2 2 2 3 5 2 3 4" xfId="45112" xr:uid="{00000000-0005-0000-0000-000050280000}"/>
    <cellStyle name="표준 5 2 2 2 3 5 2 4" xfId="12114" xr:uid="{00000000-0005-0000-0000-000051280000}"/>
    <cellStyle name="표준 5 2 2 2 3 5 2 5" xfId="16354" xr:uid="{00000000-0005-0000-0000-000052280000}"/>
    <cellStyle name="표준 5 2 2 2 3 5 2 6" xfId="20516" xr:uid="{00000000-0005-0000-0000-000053280000}"/>
    <cellStyle name="표준 5 2 2 2 3 5 2 7" xfId="24612" xr:uid="{00000000-0005-0000-0000-000054280000}"/>
    <cellStyle name="표준 5 2 2 2 3 5 2 8" xfId="32823" xr:uid="{00000000-0005-0000-0000-000055280000}"/>
    <cellStyle name="표준 5 2 2 2 3 5 2 9" xfId="41016" xr:uid="{00000000-0005-0000-0000-000056280000}"/>
    <cellStyle name="표준 5 2 2 2 3 5 3" xfId="1659" xr:uid="{00000000-0005-0000-0000-000057280000}"/>
    <cellStyle name="표준 5 2 2 2 3 5 3 2" xfId="10562" xr:uid="{00000000-0005-0000-0000-000058280000}"/>
    <cellStyle name="표준 5 2 2 2 3 5 3 2 2" xfId="14674" xr:uid="{00000000-0005-0000-0000-000059280000}"/>
    <cellStyle name="표준 5 2 2 2 3 5 3 2 2 2" xfId="31268" xr:uid="{00000000-0005-0000-0000-00005A280000}"/>
    <cellStyle name="표준 5 2 2 2 3 5 3 2 2 3" xfId="39479" xr:uid="{00000000-0005-0000-0000-00005B280000}"/>
    <cellStyle name="표준 5 2 2 2 3 5 3 2 2 4" xfId="47672" xr:uid="{00000000-0005-0000-0000-00005C280000}"/>
    <cellStyle name="표준 5 2 2 2 3 5 3 2 3" xfId="18914" xr:uid="{00000000-0005-0000-0000-00005D280000}"/>
    <cellStyle name="표준 5 2 2 2 3 5 3 2 4" xfId="23076" xr:uid="{00000000-0005-0000-0000-00005E280000}"/>
    <cellStyle name="표준 5 2 2 2 3 5 3 2 5" xfId="27172" xr:uid="{00000000-0005-0000-0000-00005F280000}"/>
    <cellStyle name="표준 5 2 2 2 3 5 3 2 6" xfId="35383" xr:uid="{00000000-0005-0000-0000-000060280000}"/>
    <cellStyle name="표준 5 2 2 2 3 5 3 2 7" xfId="43576" xr:uid="{00000000-0005-0000-0000-000061280000}"/>
    <cellStyle name="표준 5 2 2 2 3 5 3 3" xfId="8514" xr:uid="{00000000-0005-0000-0000-000062280000}"/>
    <cellStyle name="표준 5 2 2 2 3 5 3 3 2" xfId="29220" xr:uid="{00000000-0005-0000-0000-000063280000}"/>
    <cellStyle name="표준 5 2 2 2 3 5 3 3 3" xfId="37431" xr:uid="{00000000-0005-0000-0000-000064280000}"/>
    <cellStyle name="표준 5 2 2 2 3 5 3 3 4" xfId="45624" xr:uid="{00000000-0005-0000-0000-000065280000}"/>
    <cellStyle name="표준 5 2 2 2 3 5 3 4" xfId="12626" xr:uid="{00000000-0005-0000-0000-000066280000}"/>
    <cellStyle name="표준 5 2 2 2 3 5 3 5" xfId="16866" xr:uid="{00000000-0005-0000-0000-000067280000}"/>
    <cellStyle name="표준 5 2 2 2 3 5 3 6" xfId="21028" xr:uid="{00000000-0005-0000-0000-000068280000}"/>
    <cellStyle name="표준 5 2 2 2 3 5 3 7" xfId="25124" xr:uid="{00000000-0005-0000-0000-000069280000}"/>
    <cellStyle name="표준 5 2 2 2 3 5 3 8" xfId="33335" xr:uid="{00000000-0005-0000-0000-00006A280000}"/>
    <cellStyle name="표준 5 2 2 2 3 5 3 9" xfId="41528" xr:uid="{00000000-0005-0000-0000-00006B280000}"/>
    <cellStyle name="표준 5 2 2 2 3 5 4" xfId="2171" xr:uid="{00000000-0005-0000-0000-00006C280000}"/>
    <cellStyle name="표준 5 2 2 2 3 5 4 2" xfId="11074" xr:uid="{00000000-0005-0000-0000-00006D280000}"/>
    <cellStyle name="표준 5 2 2 2 3 5 4 2 2" xfId="15186" xr:uid="{00000000-0005-0000-0000-00006E280000}"/>
    <cellStyle name="표준 5 2 2 2 3 5 4 2 2 2" xfId="31780" xr:uid="{00000000-0005-0000-0000-00006F280000}"/>
    <cellStyle name="표준 5 2 2 2 3 5 4 2 2 3" xfId="39991" xr:uid="{00000000-0005-0000-0000-000070280000}"/>
    <cellStyle name="표준 5 2 2 2 3 5 4 2 2 4" xfId="48184" xr:uid="{00000000-0005-0000-0000-000071280000}"/>
    <cellStyle name="표준 5 2 2 2 3 5 4 2 3" xfId="19426" xr:uid="{00000000-0005-0000-0000-000072280000}"/>
    <cellStyle name="표준 5 2 2 2 3 5 4 2 4" xfId="23588" xr:uid="{00000000-0005-0000-0000-000073280000}"/>
    <cellStyle name="표준 5 2 2 2 3 5 4 2 5" xfId="27684" xr:uid="{00000000-0005-0000-0000-000074280000}"/>
    <cellStyle name="표준 5 2 2 2 3 5 4 2 6" xfId="35895" xr:uid="{00000000-0005-0000-0000-000075280000}"/>
    <cellStyle name="표준 5 2 2 2 3 5 4 2 7" xfId="44088" xr:uid="{00000000-0005-0000-0000-000076280000}"/>
    <cellStyle name="표준 5 2 2 2 3 5 4 3" xfId="9026" xr:uid="{00000000-0005-0000-0000-000077280000}"/>
    <cellStyle name="표준 5 2 2 2 3 5 4 3 2" xfId="29732" xr:uid="{00000000-0005-0000-0000-000078280000}"/>
    <cellStyle name="표준 5 2 2 2 3 5 4 3 3" xfId="37943" xr:uid="{00000000-0005-0000-0000-000079280000}"/>
    <cellStyle name="표준 5 2 2 2 3 5 4 3 4" xfId="46136" xr:uid="{00000000-0005-0000-0000-00007A280000}"/>
    <cellStyle name="표준 5 2 2 2 3 5 4 4" xfId="13138" xr:uid="{00000000-0005-0000-0000-00007B280000}"/>
    <cellStyle name="표준 5 2 2 2 3 5 4 5" xfId="17378" xr:uid="{00000000-0005-0000-0000-00007C280000}"/>
    <cellStyle name="표준 5 2 2 2 3 5 4 6" xfId="21540" xr:uid="{00000000-0005-0000-0000-00007D280000}"/>
    <cellStyle name="표준 5 2 2 2 3 5 4 7" xfId="25636" xr:uid="{00000000-0005-0000-0000-00007E280000}"/>
    <cellStyle name="표준 5 2 2 2 3 5 4 8" xfId="33847" xr:uid="{00000000-0005-0000-0000-00007F280000}"/>
    <cellStyle name="표준 5 2 2 2 3 5 4 9" xfId="42040" xr:uid="{00000000-0005-0000-0000-000080280000}"/>
    <cellStyle name="표준 5 2 2 2 3 5 5" xfId="9538" xr:uid="{00000000-0005-0000-0000-000081280000}"/>
    <cellStyle name="표준 5 2 2 2 3 5 5 2" xfId="13650" xr:uid="{00000000-0005-0000-0000-000082280000}"/>
    <cellStyle name="표준 5 2 2 2 3 5 5 2 2" xfId="30244" xr:uid="{00000000-0005-0000-0000-000083280000}"/>
    <cellStyle name="표준 5 2 2 2 3 5 5 2 3" xfId="38455" xr:uid="{00000000-0005-0000-0000-000084280000}"/>
    <cellStyle name="표준 5 2 2 2 3 5 5 2 4" xfId="46648" xr:uid="{00000000-0005-0000-0000-000085280000}"/>
    <cellStyle name="표준 5 2 2 2 3 5 5 3" xfId="17890" xr:uid="{00000000-0005-0000-0000-000086280000}"/>
    <cellStyle name="표준 5 2 2 2 3 5 5 4" xfId="22052" xr:uid="{00000000-0005-0000-0000-000087280000}"/>
    <cellStyle name="표준 5 2 2 2 3 5 5 5" xfId="26148" xr:uid="{00000000-0005-0000-0000-000088280000}"/>
    <cellStyle name="표준 5 2 2 2 3 5 5 6" xfId="34359" xr:uid="{00000000-0005-0000-0000-000089280000}"/>
    <cellStyle name="표준 5 2 2 2 3 5 5 7" xfId="42552" xr:uid="{00000000-0005-0000-0000-00008A280000}"/>
    <cellStyle name="표준 5 2 2 2 3 5 6" xfId="7490" xr:uid="{00000000-0005-0000-0000-00008B280000}"/>
    <cellStyle name="표준 5 2 2 2 3 5 6 2" xfId="28196" xr:uid="{00000000-0005-0000-0000-00008C280000}"/>
    <cellStyle name="표준 5 2 2 2 3 5 6 3" xfId="36407" xr:uid="{00000000-0005-0000-0000-00008D280000}"/>
    <cellStyle name="표준 5 2 2 2 3 5 6 4" xfId="44600" xr:uid="{00000000-0005-0000-0000-00008E280000}"/>
    <cellStyle name="표준 5 2 2 2 3 5 7" xfId="11602" xr:uid="{00000000-0005-0000-0000-00008F280000}"/>
    <cellStyle name="표준 5 2 2 2 3 5 8" xfId="15842" xr:uid="{00000000-0005-0000-0000-000090280000}"/>
    <cellStyle name="표준 5 2 2 2 3 5 9" xfId="20004" xr:uid="{00000000-0005-0000-0000-000091280000}"/>
    <cellStyle name="표준 5 2 2 2 3 6" xfId="891" xr:uid="{00000000-0005-0000-0000-000092280000}"/>
    <cellStyle name="표준 5 2 2 2 3 6 2" xfId="9794" xr:uid="{00000000-0005-0000-0000-000093280000}"/>
    <cellStyle name="표준 5 2 2 2 3 6 2 2" xfId="13906" xr:uid="{00000000-0005-0000-0000-000094280000}"/>
    <cellStyle name="표준 5 2 2 2 3 6 2 2 2" xfId="30500" xr:uid="{00000000-0005-0000-0000-000095280000}"/>
    <cellStyle name="표준 5 2 2 2 3 6 2 2 3" xfId="38711" xr:uid="{00000000-0005-0000-0000-000096280000}"/>
    <cellStyle name="표준 5 2 2 2 3 6 2 2 4" xfId="46904" xr:uid="{00000000-0005-0000-0000-000097280000}"/>
    <cellStyle name="표준 5 2 2 2 3 6 2 3" xfId="18146" xr:uid="{00000000-0005-0000-0000-000098280000}"/>
    <cellStyle name="표준 5 2 2 2 3 6 2 4" xfId="22308" xr:uid="{00000000-0005-0000-0000-000099280000}"/>
    <cellStyle name="표준 5 2 2 2 3 6 2 5" xfId="26404" xr:uid="{00000000-0005-0000-0000-00009A280000}"/>
    <cellStyle name="표준 5 2 2 2 3 6 2 6" xfId="34615" xr:uid="{00000000-0005-0000-0000-00009B280000}"/>
    <cellStyle name="표준 5 2 2 2 3 6 2 7" xfId="42808" xr:uid="{00000000-0005-0000-0000-00009C280000}"/>
    <cellStyle name="표준 5 2 2 2 3 6 3" xfId="7746" xr:uid="{00000000-0005-0000-0000-00009D280000}"/>
    <cellStyle name="표준 5 2 2 2 3 6 3 2" xfId="28452" xr:uid="{00000000-0005-0000-0000-00009E280000}"/>
    <cellStyle name="표준 5 2 2 2 3 6 3 3" xfId="36663" xr:uid="{00000000-0005-0000-0000-00009F280000}"/>
    <cellStyle name="표준 5 2 2 2 3 6 3 4" xfId="44856" xr:uid="{00000000-0005-0000-0000-0000A0280000}"/>
    <cellStyle name="표준 5 2 2 2 3 6 4" xfId="11858" xr:uid="{00000000-0005-0000-0000-0000A1280000}"/>
    <cellStyle name="표준 5 2 2 2 3 6 5" xfId="16098" xr:uid="{00000000-0005-0000-0000-0000A2280000}"/>
    <cellStyle name="표준 5 2 2 2 3 6 6" xfId="20260" xr:uid="{00000000-0005-0000-0000-0000A3280000}"/>
    <cellStyle name="표준 5 2 2 2 3 6 7" xfId="24356" xr:uid="{00000000-0005-0000-0000-0000A4280000}"/>
    <cellStyle name="표준 5 2 2 2 3 6 8" xfId="32567" xr:uid="{00000000-0005-0000-0000-0000A5280000}"/>
    <cellStyle name="표준 5 2 2 2 3 6 9" xfId="40760" xr:uid="{00000000-0005-0000-0000-0000A6280000}"/>
    <cellStyle name="표준 5 2 2 2 3 7" xfId="1403" xr:uid="{00000000-0005-0000-0000-0000A7280000}"/>
    <cellStyle name="표준 5 2 2 2 3 7 2" xfId="10306" xr:uid="{00000000-0005-0000-0000-0000A8280000}"/>
    <cellStyle name="표준 5 2 2 2 3 7 2 2" xfId="14418" xr:uid="{00000000-0005-0000-0000-0000A9280000}"/>
    <cellStyle name="표준 5 2 2 2 3 7 2 2 2" xfId="31012" xr:uid="{00000000-0005-0000-0000-0000AA280000}"/>
    <cellStyle name="표준 5 2 2 2 3 7 2 2 3" xfId="39223" xr:uid="{00000000-0005-0000-0000-0000AB280000}"/>
    <cellStyle name="표준 5 2 2 2 3 7 2 2 4" xfId="47416" xr:uid="{00000000-0005-0000-0000-0000AC280000}"/>
    <cellStyle name="표준 5 2 2 2 3 7 2 3" xfId="18658" xr:uid="{00000000-0005-0000-0000-0000AD280000}"/>
    <cellStyle name="표준 5 2 2 2 3 7 2 4" xfId="22820" xr:uid="{00000000-0005-0000-0000-0000AE280000}"/>
    <cellStyle name="표준 5 2 2 2 3 7 2 5" xfId="26916" xr:uid="{00000000-0005-0000-0000-0000AF280000}"/>
    <cellStyle name="표준 5 2 2 2 3 7 2 6" xfId="35127" xr:uid="{00000000-0005-0000-0000-0000B0280000}"/>
    <cellStyle name="표준 5 2 2 2 3 7 2 7" xfId="43320" xr:uid="{00000000-0005-0000-0000-0000B1280000}"/>
    <cellStyle name="표준 5 2 2 2 3 7 3" xfId="8258" xr:uid="{00000000-0005-0000-0000-0000B2280000}"/>
    <cellStyle name="표준 5 2 2 2 3 7 3 2" xfId="28964" xr:uid="{00000000-0005-0000-0000-0000B3280000}"/>
    <cellStyle name="표준 5 2 2 2 3 7 3 3" xfId="37175" xr:uid="{00000000-0005-0000-0000-0000B4280000}"/>
    <cellStyle name="표준 5 2 2 2 3 7 3 4" xfId="45368" xr:uid="{00000000-0005-0000-0000-0000B5280000}"/>
    <cellStyle name="표준 5 2 2 2 3 7 4" xfId="12370" xr:uid="{00000000-0005-0000-0000-0000B6280000}"/>
    <cellStyle name="표준 5 2 2 2 3 7 5" xfId="16610" xr:uid="{00000000-0005-0000-0000-0000B7280000}"/>
    <cellStyle name="표준 5 2 2 2 3 7 6" xfId="20772" xr:uid="{00000000-0005-0000-0000-0000B8280000}"/>
    <cellStyle name="표준 5 2 2 2 3 7 7" xfId="24868" xr:uid="{00000000-0005-0000-0000-0000B9280000}"/>
    <cellStyle name="표준 5 2 2 2 3 7 8" xfId="33079" xr:uid="{00000000-0005-0000-0000-0000BA280000}"/>
    <cellStyle name="표준 5 2 2 2 3 7 9" xfId="41272" xr:uid="{00000000-0005-0000-0000-0000BB280000}"/>
    <cellStyle name="표준 5 2 2 2 3 8" xfId="1915" xr:uid="{00000000-0005-0000-0000-0000BC280000}"/>
    <cellStyle name="표준 5 2 2 2 3 8 2" xfId="10818" xr:uid="{00000000-0005-0000-0000-0000BD280000}"/>
    <cellStyle name="표준 5 2 2 2 3 8 2 2" xfId="14930" xr:uid="{00000000-0005-0000-0000-0000BE280000}"/>
    <cellStyle name="표준 5 2 2 2 3 8 2 2 2" xfId="31524" xr:uid="{00000000-0005-0000-0000-0000BF280000}"/>
    <cellStyle name="표준 5 2 2 2 3 8 2 2 3" xfId="39735" xr:uid="{00000000-0005-0000-0000-0000C0280000}"/>
    <cellStyle name="표준 5 2 2 2 3 8 2 2 4" xfId="47928" xr:uid="{00000000-0005-0000-0000-0000C1280000}"/>
    <cellStyle name="표준 5 2 2 2 3 8 2 3" xfId="19170" xr:uid="{00000000-0005-0000-0000-0000C2280000}"/>
    <cellStyle name="표준 5 2 2 2 3 8 2 4" xfId="23332" xr:uid="{00000000-0005-0000-0000-0000C3280000}"/>
    <cellStyle name="표준 5 2 2 2 3 8 2 5" xfId="27428" xr:uid="{00000000-0005-0000-0000-0000C4280000}"/>
    <cellStyle name="표준 5 2 2 2 3 8 2 6" xfId="35639" xr:uid="{00000000-0005-0000-0000-0000C5280000}"/>
    <cellStyle name="표준 5 2 2 2 3 8 2 7" xfId="43832" xr:uid="{00000000-0005-0000-0000-0000C6280000}"/>
    <cellStyle name="표준 5 2 2 2 3 8 3" xfId="8770" xr:uid="{00000000-0005-0000-0000-0000C7280000}"/>
    <cellStyle name="표준 5 2 2 2 3 8 3 2" xfId="29476" xr:uid="{00000000-0005-0000-0000-0000C8280000}"/>
    <cellStyle name="표준 5 2 2 2 3 8 3 3" xfId="37687" xr:uid="{00000000-0005-0000-0000-0000C9280000}"/>
    <cellStyle name="표준 5 2 2 2 3 8 3 4" xfId="45880" xr:uid="{00000000-0005-0000-0000-0000CA280000}"/>
    <cellStyle name="표준 5 2 2 2 3 8 4" xfId="12882" xr:uid="{00000000-0005-0000-0000-0000CB280000}"/>
    <cellStyle name="표준 5 2 2 2 3 8 5" xfId="17122" xr:uid="{00000000-0005-0000-0000-0000CC280000}"/>
    <cellStyle name="표준 5 2 2 2 3 8 6" xfId="21284" xr:uid="{00000000-0005-0000-0000-0000CD280000}"/>
    <cellStyle name="표준 5 2 2 2 3 8 7" xfId="25380" xr:uid="{00000000-0005-0000-0000-0000CE280000}"/>
    <cellStyle name="표준 5 2 2 2 3 8 8" xfId="33591" xr:uid="{00000000-0005-0000-0000-0000CF280000}"/>
    <cellStyle name="표준 5 2 2 2 3 8 9" xfId="41784" xr:uid="{00000000-0005-0000-0000-0000D0280000}"/>
    <cellStyle name="표준 5 2 2 2 3 9" xfId="6971" xr:uid="{00000000-0005-0000-0000-0000D1280000}"/>
    <cellStyle name="표준 5 2 2 2 3 9 2" xfId="9282" xr:uid="{00000000-0005-0000-0000-0000D2280000}"/>
    <cellStyle name="표준 5 2 2 2 3 9 2 2" xfId="29988" xr:uid="{00000000-0005-0000-0000-0000D3280000}"/>
    <cellStyle name="표준 5 2 2 2 3 9 2 3" xfId="38199" xr:uid="{00000000-0005-0000-0000-0000D4280000}"/>
    <cellStyle name="표준 5 2 2 2 3 9 2 4" xfId="46392" xr:uid="{00000000-0005-0000-0000-0000D5280000}"/>
    <cellStyle name="표준 5 2 2 2 3 9 3" xfId="13394" xr:uid="{00000000-0005-0000-0000-0000D6280000}"/>
    <cellStyle name="표준 5 2 2 2 3 9 4" xfId="17634" xr:uid="{00000000-0005-0000-0000-0000D7280000}"/>
    <cellStyle name="표준 5 2 2 2 3 9 5" xfId="21796" xr:uid="{00000000-0005-0000-0000-0000D8280000}"/>
    <cellStyle name="표준 5 2 2 2 3 9 6" xfId="25892" xr:uid="{00000000-0005-0000-0000-0000D9280000}"/>
    <cellStyle name="표준 5 2 2 2 3 9 7" xfId="34103" xr:uid="{00000000-0005-0000-0000-0000DA280000}"/>
    <cellStyle name="표준 5 2 2 2 3 9 8" xfId="42296" xr:uid="{00000000-0005-0000-0000-0000DB280000}"/>
    <cellStyle name="표준 5 2 2 2 30" xfId="23828" xr:uid="{00000000-0005-0000-0000-0000DC280000}"/>
    <cellStyle name="표준 5 2 2 2 31" xfId="32022" xr:uid="{00000000-0005-0000-0000-0000DD280000}"/>
    <cellStyle name="표준 5 2 2 2 32" xfId="32039" xr:uid="{00000000-0005-0000-0000-0000DE280000}"/>
    <cellStyle name="표준 5 2 2 2 33" xfId="40232" xr:uid="{00000000-0005-0000-0000-0000DF280000}"/>
    <cellStyle name="표준 5 2 2 2 34" xfId="48434" xr:uid="{00000000-0005-0000-0000-0000E0280000}"/>
    <cellStyle name="표준 5 2 2 2 4" xfId="292" xr:uid="{00000000-0005-0000-0000-0000E1280000}"/>
    <cellStyle name="표준 5 2 2 2 4 10" xfId="7171" xr:uid="{00000000-0005-0000-0000-0000E2280000}"/>
    <cellStyle name="표준 5 2 2 2 4 11" xfId="7250" xr:uid="{00000000-0005-0000-0000-0000E3280000}"/>
    <cellStyle name="표준 5 2 2 2 4 12" xfId="11362" xr:uid="{00000000-0005-0000-0000-0000E4280000}"/>
    <cellStyle name="표준 5 2 2 2 4 13" xfId="15490" xr:uid="{00000000-0005-0000-0000-0000E5280000}"/>
    <cellStyle name="표준 5 2 2 2 4 14" xfId="15602" xr:uid="{00000000-0005-0000-0000-0000E6280000}"/>
    <cellStyle name="표준 5 2 2 2 4 15" xfId="19764" xr:uid="{00000000-0005-0000-0000-0000E7280000}"/>
    <cellStyle name="표준 5 2 2 2 4 16" xfId="23860" xr:uid="{00000000-0005-0000-0000-0000E8280000}"/>
    <cellStyle name="표준 5 2 2 2 4 17" xfId="32071" xr:uid="{00000000-0005-0000-0000-0000E9280000}"/>
    <cellStyle name="표준 5 2 2 2 4 18" xfId="40264" xr:uid="{00000000-0005-0000-0000-0000EA280000}"/>
    <cellStyle name="표준 5 2 2 2 4 19" xfId="49694" xr:uid="{00000000-0005-0000-0000-0000EB280000}"/>
    <cellStyle name="표준 5 2 2 2 4 2" xfId="459" xr:uid="{00000000-0005-0000-0000-0000EC280000}"/>
    <cellStyle name="표준 5 2 2 2 4 2 10" xfId="11426" xr:uid="{00000000-0005-0000-0000-0000ED280000}"/>
    <cellStyle name="표준 5 2 2 2 4 2 11" xfId="15538" xr:uid="{00000000-0005-0000-0000-0000EE280000}"/>
    <cellStyle name="표준 5 2 2 2 4 2 12" xfId="15666" xr:uid="{00000000-0005-0000-0000-0000EF280000}"/>
    <cellStyle name="표준 5 2 2 2 4 2 13" xfId="19828" xr:uid="{00000000-0005-0000-0000-0000F0280000}"/>
    <cellStyle name="표준 5 2 2 2 4 2 14" xfId="23924" xr:uid="{00000000-0005-0000-0000-0000F1280000}"/>
    <cellStyle name="표준 5 2 2 2 4 2 15" xfId="32135" xr:uid="{00000000-0005-0000-0000-0000F2280000}"/>
    <cellStyle name="표준 5 2 2 2 4 2 16" xfId="40328" xr:uid="{00000000-0005-0000-0000-0000F3280000}"/>
    <cellStyle name="표준 5 2 2 2 4 2 2" xfId="587" xr:uid="{00000000-0005-0000-0000-0000F4280000}"/>
    <cellStyle name="표준 5 2 2 2 4 2 2 10" xfId="19956" xr:uid="{00000000-0005-0000-0000-0000F5280000}"/>
    <cellStyle name="표준 5 2 2 2 4 2 2 11" xfId="24052" xr:uid="{00000000-0005-0000-0000-0000F6280000}"/>
    <cellStyle name="표준 5 2 2 2 4 2 2 12" xfId="32263" xr:uid="{00000000-0005-0000-0000-0000F7280000}"/>
    <cellStyle name="표준 5 2 2 2 4 2 2 13" xfId="40456" xr:uid="{00000000-0005-0000-0000-0000F8280000}"/>
    <cellStyle name="표준 5 2 2 2 4 2 2 2" xfId="843" xr:uid="{00000000-0005-0000-0000-0000F9280000}"/>
    <cellStyle name="표준 5 2 2 2 4 2 2 2 10" xfId="24308" xr:uid="{00000000-0005-0000-0000-0000FA280000}"/>
    <cellStyle name="표준 5 2 2 2 4 2 2 2 11" xfId="32519" xr:uid="{00000000-0005-0000-0000-0000FB280000}"/>
    <cellStyle name="표준 5 2 2 2 4 2 2 2 12" xfId="40712" xr:uid="{00000000-0005-0000-0000-0000FC280000}"/>
    <cellStyle name="표준 5 2 2 2 4 2 2 2 2" xfId="1355" xr:uid="{00000000-0005-0000-0000-0000FD280000}"/>
    <cellStyle name="표준 5 2 2 2 4 2 2 2 2 2" xfId="10258" xr:uid="{00000000-0005-0000-0000-0000FE280000}"/>
    <cellStyle name="표준 5 2 2 2 4 2 2 2 2 2 2" xfId="14370" xr:uid="{00000000-0005-0000-0000-0000FF280000}"/>
    <cellStyle name="표준 5 2 2 2 4 2 2 2 2 2 2 2" xfId="30964" xr:uid="{00000000-0005-0000-0000-000000290000}"/>
    <cellStyle name="표준 5 2 2 2 4 2 2 2 2 2 2 3" xfId="39175" xr:uid="{00000000-0005-0000-0000-000001290000}"/>
    <cellStyle name="표준 5 2 2 2 4 2 2 2 2 2 2 4" xfId="47368" xr:uid="{00000000-0005-0000-0000-000002290000}"/>
    <cellStyle name="표준 5 2 2 2 4 2 2 2 2 2 3" xfId="18610" xr:uid="{00000000-0005-0000-0000-000003290000}"/>
    <cellStyle name="표준 5 2 2 2 4 2 2 2 2 2 4" xfId="22772" xr:uid="{00000000-0005-0000-0000-000004290000}"/>
    <cellStyle name="표준 5 2 2 2 4 2 2 2 2 2 5" xfId="26868" xr:uid="{00000000-0005-0000-0000-000005290000}"/>
    <cellStyle name="표준 5 2 2 2 4 2 2 2 2 2 6" xfId="35079" xr:uid="{00000000-0005-0000-0000-000006290000}"/>
    <cellStyle name="표준 5 2 2 2 4 2 2 2 2 2 7" xfId="43272" xr:uid="{00000000-0005-0000-0000-000007290000}"/>
    <cellStyle name="표준 5 2 2 2 4 2 2 2 2 3" xfId="8210" xr:uid="{00000000-0005-0000-0000-000008290000}"/>
    <cellStyle name="표준 5 2 2 2 4 2 2 2 2 3 2" xfId="28916" xr:uid="{00000000-0005-0000-0000-000009290000}"/>
    <cellStyle name="표준 5 2 2 2 4 2 2 2 2 3 3" xfId="37127" xr:uid="{00000000-0005-0000-0000-00000A290000}"/>
    <cellStyle name="표준 5 2 2 2 4 2 2 2 2 3 4" xfId="45320" xr:uid="{00000000-0005-0000-0000-00000B290000}"/>
    <cellStyle name="표준 5 2 2 2 4 2 2 2 2 4" xfId="12322" xr:uid="{00000000-0005-0000-0000-00000C290000}"/>
    <cellStyle name="표준 5 2 2 2 4 2 2 2 2 5" xfId="16562" xr:uid="{00000000-0005-0000-0000-00000D290000}"/>
    <cellStyle name="표준 5 2 2 2 4 2 2 2 2 6" xfId="20724" xr:uid="{00000000-0005-0000-0000-00000E290000}"/>
    <cellStyle name="표준 5 2 2 2 4 2 2 2 2 7" xfId="24820" xr:uid="{00000000-0005-0000-0000-00000F290000}"/>
    <cellStyle name="표준 5 2 2 2 4 2 2 2 2 8" xfId="33031" xr:uid="{00000000-0005-0000-0000-000010290000}"/>
    <cellStyle name="표준 5 2 2 2 4 2 2 2 2 9" xfId="41224" xr:uid="{00000000-0005-0000-0000-000011290000}"/>
    <cellStyle name="표준 5 2 2 2 4 2 2 2 3" xfId="1867" xr:uid="{00000000-0005-0000-0000-000012290000}"/>
    <cellStyle name="표준 5 2 2 2 4 2 2 2 3 2" xfId="10770" xr:uid="{00000000-0005-0000-0000-000013290000}"/>
    <cellStyle name="표준 5 2 2 2 4 2 2 2 3 2 2" xfId="14882" xr:uid="{00000000-0005-0000-0000-000014290000}"/>
    <cellStyle name="표준 5 2 2 2 4 2 2 2 3 2 2 2" xfId="31476" xr:uid="{00000000-0005-0000-0000-000015290000}"/>
    <cellStyle name="표준 5 2 2 2 4 2 2 2 3 2 2 3" xfId="39687" xr:uid="{00000000-0005-0000-0000-000016290000}"/>
    <cellStyle name="표준 5 2 2 2 4 2 2 2 3 2 2 4" xfId="47880" xr:uid="{00000000-0005-0000-0000-000017290000}"/>
    <cellStyle name="표준 5 2 2 2 4 2 2 2 3 2 3" xfId="19122" xr:uid="{00000000-0005-0000-0000-000018290000}"/>
    <cellStyle name="표준 5 2 2 2 4 2 2 2 3 2 4" xfId="23284" xr:uid="{00000000-0005-0000-0000-000019290000}"/>
    <cellStyle name="표준 5 2 2 2 4 2 2 2 3 2 5" xfId="27380" xr:uid="{00000000-0005-0000-0000-00001A290000}"/>
    <cellStyle name="표준 5 2 2 2 4 2 2 2 3 2 6" xfId="35591" xr:uid="{00000000-0005-0000-0000-00001B290000}"/>
    <cellStyle name="표준 5 2 2 2 4 2 2 2 3 2 7" xfId="43784" xr:uid="{00000000-0005-0000-0000-00001C290000}"/>
    <cellStyle name="표준 5 2 2 2 4 2 2 2 3 3" xfId="8722" xr:uid="{00000000-0005-0000-0000-00001D290000}"/>
    <cellStyle name="표준 5 2 2 2 4 2 2 2 3 3 2" xfId="29428" xr:uid="{00000000-0005-0000-0000-00001E290000}"/>
    <cellStyle name="표준 5 2 2 2 4 2 2 2 3 3 3" xfId="37639" xr:uid="{00000000-0005-0000-0000-00001F290000}"/>
    <cellStyle name="표준 5 2 2 2 4 2 2 2 3 3 4" xfId="45832" xr:uid="{00000000-0005-0000-0000-000020290000}"/>
    <cellStyle name="표준 5 2 2 2 4 2 2 2 3 4" xfId="12834" xr:uid="{00000000-0005-0000-0000-000021290000}"/>
    <cellStyle name="표준 5 2 2 2 4 2 2 2 3 5" xfId="17074" xr:uid="{00000000-0005-0000-0000-000022290000}"/>
    <cellStyle name="표준 5 2 2 2 4 2 2 2 3 6" xfId="21236" xr:uid="{00000000-0005-0000-0000-000023290000}"/>
    <cellStyle name="표준 5 2 2 2 4 2 2 2 3 7" xfId="25332" xr:uid="{00000000-0005-0000-0000-000024290000}"/>
    <cellStyle name="표준 5 2 2 2 4 2 2 2 3 8" xfId="33543" xr:uid="{00000000-0005-0000-0000-000025290000}"/>
    <cellStyle name="표준 5 2 2 2 4 2 2 2 3 9" xfId="41736" xr:uid="{00000000-0005-0000-0000-000026290000}"/>
    <cellStyle name="표준 5 2 2 2 4 2 2 2 4" xfId="2379" xr:uid="{00000000-0005-0000-0000-000027290000}"/>
    <cellStyle name="표준 5 2 2 2 4 2 2 2 4 2" xfId="11282" xr:uid="{00000000-0005-0000-0000-000028290000}"/>
    <cellStyle name="표준 5 2 2 2 4 2 2 2 4 2 2" xfId="15394" xr:uid="{00000000-0005-0000-0000-000029290000}"/>
    <cellStyle name="표준 5 2 2 2 4 2 2 2 4 2 2 2" xfId="31988" xr:uid="{00000000-0005-0000-0000-00002A290000}"/>
    <cellStyle name="표준 5 2 2 2 4 2 2 2 4 2 2 3" xfId="40199" xr:uid="{00000000-0005-0000-0000-00002B290000}"/>
    <cellStyle name="표준 5 2 2 2 4 2 2 2 4 2 2 4" xfId="48392" xr:uid="{00000000-0005-0000-0000-00002C290000}"/>
    <cellStyle name="표준 5 2 2 2 4 2 2 2 4 2 3" xfId="19634" xr:uid="{00000000-0005-0000-0000-00002D290000}"/>
    <cellStyle name="표준 5 2 2 2 4 2 2 2 4 2 4" xfId="23796" xr:uid="{00000000-0005-0000-0000-00002E290000}"/>
    <cellStyle name="표준 5 2 2 2 4 2 2 2 4 2 5" xfId="27892" xr:uid="{00000000-0005-0000-0000-00002F290000}"/>
    <cellStyle name="표준 5 2 2 2 4 2 2 2 4 2 6" xfId="36103" xr:uid="{00000000-0005-0000-0000-000030290000}"/>
    <cellStyle name="표준 5 2 2 2 4 2 2 2 4 2 7" xfId="44296" xr:uid="{00000000-0005-0000-0000-000031290000}"/>
    <cellStyle name="표준 5 2 2 2 4 2 2 2 4 3" xfId="9234" xr:uid="{00000000-0005-0000-0000-000032290000}"/>
    <cellStyle name="표준 5 2 2 2 4 2 2 2 4 3 2" xfId="29940" xr:uid="{00000000-0005-0000-0000-000033290000}"/>
    <cellStyle name="표준 5 2 2 2 4 2 2 2 4 3 3" xfId="38151" xr:uid="{00000000-0005-0000-0000-000034290000}"/>
    <cellStyle name="표준 5 2 2 2 4 2 2 2 4 3 4" xfId="46344" xr:uid="{00000000-0005-0000-0000-000035290000}"/>
    <cellStyle name="표준 5 2 2 2 4 2 2 2 4 4" xfId="13346" xr:uid="{00000000-0005-0000-0000-000036290000}"/>
    <cellStyle name="표준 5 2 2 2 4 2 2 2 4 5" xfId="17586" xr:uid="{00000000-0005-0000-0000-000037290000}"/>
    <cellStyle name="표준 5 2 2 2 4 2 2 2 4 6" xfId="21748" xr:uid="{00000000-0005-0000-0000-000038290000}"/>
    <cellStyle name="표준 5 2 2 2 4 2 2 2 4 7" xfId="25844" xr:uid="{00000000-0005-0000-0000-000039290000}"/>
    <cellStyle name="표준 5 2 2 2 4 2 2 2 4 8" xfId="34055" xr:uid="{00000000-0005-0000-0000-00003A290000}"/>
    <cellStyle name="표준 5 2 2 2 4 2 2 2 4 9" xfId="42248" xr:uid="{00000000-0005-0000-0000-00003B290000}"/>
    <cellStyle name="표준 5 2 2 2 4 2 2 2 5" xfId="9746" xr:uid="{00000000-0005-0000-0000-00003C290000}"/>
    <cellStyle name="표준 5 2 2 2 4 2 2 2 5 2" xfId="13858" xr:uid="{00000000-0005-0000-0000-00003D290000}"/>
    <cellStyle name="표준 5 2 2 2 4 2 2 2 5 2 2" xfId="30452" xr:uid="{00000000-0005-0000-0000-00003E290000}"/>
    <cellStyle name="표준 5 2 2 2 4 2 2 2 5 2 3" xfId="38663" xr:uid="{00000000-0005-0000-0000-00003F290000}"/>
    <cellStyle name="표준 5 2 2 2 4 2 2 2 5 2 4" xfId="46856" xr:uid="{00000000-0005-0000-0000-000040290000}"/>
    <cellStyle name="표준 5 2 2 2 4 2 2 2 5 3" xfId="18098" xr:uid="{00000000-0005-0000-0000-000041290000}"/>
    <cellStyle name="표준 5 2 2 2 4 2 2 2 5 4" xfId="22260" xr:uid="{00000000-0005-0000-0000-000042290000}"/>
    <cellStyle name="표준 5 2 2 2 4 2 2 2 5 5" xfId="26356" xr:uid="{00000000-0005-0000-0000-000043290000}"/>
    <cellStyle name="표준 5 2 2 2 4 2 2 2 5 6" xfId="34567" xr:uid="{00000000-0005-0000-0000-000044290000}"/>
    <cellStyle name="표준 5 2 2 2 4 2 2 2 5 7" xfId="42760" xr:uid="{00000000-0005-0000-0000-000045290000}"/>
    <cellStyle name="표준 5 2 2 2 4 2 2 2 6" xfId="7698" xr:uid="{00000000-0005-0000-0000-000046290000}"/>
    <cellStyle name="표준 5 2 2 2 4 2 2 2 6 2" xfId="28404" xr:uid="{00000000-0005-0000-0000-000047290000}"/>
    <cellStyle name="표준 5 2 2 2 4 2 2 2 6 3" xfId="36615" xr:uid="{00000000-0005-0000-0000-000048290000}"/>
    <cellStyle name="표준 5 2 2 2 4 2 2 2 6 4" xfId="44808" xr:uid="{00000000-0005-0000-0000-000049290000}"/>
    <cellStyle name="표준 5 2 2 2 4 2 2 2 7" xfId="11810" xr:uid="{00000000-0005-0000-0000-00004A290000}"/>
    <cellStyle name="표준 5 2 2 2 4 2 2 2 8" xfId="16050" xr:uid="{00000000-0005-0000-0000-00004B290000}"/>
    <cellStyle name="표준 5 2 2 2 4 2 2 2 9" xfId="20212" xr:uid="{00000000-0005-0000-0000-00004C290000}"/>
    <cellStyle name="표준 5 2 2 2 4 2 2 3" xfId="1099" xr:uid="{00000000-0005-0000-0000-00004D290000}"/>
    <cellStyle name="표준 5 2 2 2 4 2 2 3 2" xfId="10002" xr:uid="{00000000-0005-0000-0000-00004E290000}"/>
    <cellStyle name="표준 5 2 2 2 4 2 2 3 2 2" xfId="14114" xr:uid="{00000000-0005-0000-0000-00004F290000}"/>
    <cellStyle name="표준 5 2 2 2 4 2 2 3 2 2 2" xfId="30708" xr:uid="{00000000-0005-0000-0000-000050290000}"/>
    <cellStyle name="표준 5 2 2 2 4 2 2 3 2 2 3" xfId="38919" xr:uid="{00000000-0005-0000-0000-000051290000}"/>
    <cellStyle name="표준 5 2 2 2 4 2 2 3 2 2 4" xfId="47112" xr:uid="{00000000-0005-0000-0000-000052290000}"/>
    <cellStyle name="표준 5 2 2 2 4 2 2 3 2 3" xfId="18354" xr:uid="{00000000-0005-0000-0000-000053290000}"/>
    <cellStyle name="표준 5 2 2 2 4 2 2 3 2 4" xfId="22516" xr:uid="{00000000-0005-0000-0000-000054290000}"/>
    <cellStyle name="표준 5 2 2 2 4 2 2 3 2 5" xfId="26612" xr:uid="{00000000-0005-0000-0000-000055290000}"/>
    <cellStyle name="표준 5 2 2 2 4 2 2 3 2 6" xfId="34823" xr:uid="{00000000-0005-0000-0000-000056290000}"/>
    <cellStyle name="표준 5 2 2 2 4 2 2 3 2 7" xfId="43016" xr:uid="{00000000-0005-0000-0000-000057290000}"/>
    <cellStyle name="표준 5 2 2 2 4 2 2 3 3" xfId="7954" xr:uid="{00000000-0005-0000-0000-000058290000}"/>
    <cellStyle name="표준 5 2 2 2 4 2 2 3 3 2" xfId="28660" xr:uid="{00000000-0005-0000-0000-000059290000}"/>
    <cellStyle name="표준 5 2 2 2 4 2 2 3 3 3" xfId="36871" xr:uid="{00000000-0005-0000-0000-00005A290000}"/>
    <cellStyle name="표준 5 2 2 2 4 2 2 3 3 4" xfId="45064" xr:uid="{00000000-0005-0000-0000-00005B290000}"/>
    <cellStyle name="표준 5 2 2 2 4 2 2 3 4" xfId="12066" xr:uid="{00000000-0005-0000-0000-00005C290000}"/>
    <cellStyle name="표준 5 2 2 2 4 2 2 3 5" xfId="16306" xr:uid="{00000000-0005-0000-0000-00005D290000}"/>
    <cellStyle name="표준 5 2 2 2 4 2 2 3 6" xfId="20468" xr:uid="{00000000-0005-0000-0000-00005E290000}"/>
    <cellStyle name="표준 5 2 2 2 4 2 2 3 7" xfId="24564" xr:uid="{00000000-0005-0000-0000-00005F290000}"/>
    <cellStyle name="표준 5 2 2 2 4 2 2 3 8" xfId="32775" xr:uid="{00000000-0005-0000-0000-000060290000}"/>
    <cellStyle name="표준 5 2 2 2 4 2 2 3 9" xfId="40968" xr:uid="{00000000-0005-0000-0000-000061290000}"/>
    <cellStyle name="표준 5 2 2 2 4 2 2 4" xfId="1611" xr:uid="{00000000-0005-0000-0000-000062290000}"/>
    <cellStyle name="표준 5 2 2 2 4 2 2 4 2" xfId="10514" xr:uid="{00000000-0005-0000-0000-000063290000}"/>
    <cellStyle name="표준 5 2 2 2 4 2 2 4 2 2" xfId="14626" xr:uid="{00000000-0005-0000-0000-000064290000}"/>
    <cellStyle name="표준 5 2 2 2 4 2 2 4 2 2 2" xfId="31220" xr:uid="{00000000-0005-0000-0000-000065290000}"/>
    <cellStyle name="표준 5 2 2 2 4 2 2 4 2 2 3" xfId="39431" xr:uid="{00000000-0005-0000-0000-000066290000}"/>
    <cellStyle name="표준 5 2 2 2 4 2 2 4 2 2 4" xfId="47624" xr:uid="{00000000-0005-0000-0000-000067290000}"/>
    <cellStyle name="표준 5 2 2 2 4 2 2 4 2 3" xfId="18866" xr:uid="{00000000-0005-0000-0000-000068290000}"/>
    <cellStyle name="표준 5 2 2 2 4 2 2 4 2 4" xfId="23028" xr:uid="{00000000-0005-0000-0000-000069290000}"/>
    <cellStyle name="표준 5 2 2 2 4 2 2 4 2 5" xfId="27124" xr:uid="{00000000-0005-0000-0000-00006A290000}"/>
    <cellStyle name="표준 5 2 2 2 4 2 2 4 2 6" xfId="35335" xr:uid="{00000000-0005-0000-0000-00006B290000}"/>
    <cellStyle name="표준 5 2 2 2 4 2 2 4 2 7" xfId="43528" xr:uid="{00000000-0005-0000-0000-00006C290000}"/>
    <cellStyle name="표준 5 2 2 2 4 2 2 4 3" xfId="8466" xr:uid="{00000000-0005-0000-0000-00006D290000}"/>
    <cellStyle name="표준 5 2 2 2 4 2 2 4 3 2" xfId="29172" xr:uid="{00000000-0005-0000-0000-00006E290000}"/>
    <cellStyle name="표준 5 2 2 2 4 2 2 4 3 3" xfId="37383" xr:uid="{00000000-0005-0000-0000-00006F290000}"/>
    <cellStyle name="표준 5 2 2 2 4 2 2 4 3 4" xfId="45576" xr:uid="{00000000-0005-0000-0000-000070290000}"/>
    <cellStyle name="표준 5 2 2 2 4 2 2 4 4" xfId="12578" xr:uid="{00000000-0005-0000-0000-000071290000}"/>
    <cellStyle name="표준 5 2 2 2 4 2 2 4 5" xfId="16818" xr:uid="{00000000-0005-0000-0000-000072290000}"/>
    <cellStyle name="표준 5 2 2 2 4 2 2 4 6" xfId="20980" xr:uid="{00000000-0005-0000-0000-000073290000}"/>
    <cellStyle name="표준 5 2 2 2 4 2 2 4 7" xfId="25076" xr:uid="{00000000-0005-0000-0000-000074290000}"/>
    <cellStyle name="표준 5 2 2 2 4 2 2 4 8" xfId="33287" xr:uid="{00000000-0005-0000-0000-000075290000}"/>
    <cellStyle name="표준 5 2 2 2 4 2 2 4 9" xfId="41480" xr:uid="{00000000-0005-0000-0000-000076290000}"/>
    <cellStyle name="표준 5 2 2 2 4 2 2 5" xfId="2123" xr:uid="{00000000-0005-0000-0000-000077290000}"/>
    <cellStyle name="표준 5 2 2 2 4 2 2 5 2" xfId="11026" xr:uid="{00000000-0005-0000-0000-000078290000}"/>
    <cellStyle name="표준 5 2 2 2 4 2 2 5 2 2" xfId="15138" xr:uid="{00000000-0005-0000-0000-000079290000}"/>
    <cellStyle name="표준 5 2 2 2 4 2 2 5 2 2 2" xfId="31732" xr:uid="{00000000-0005-0000-0000-00007A290000}"/>
    <cellStyle name="표준 5 2 2 2 4 2 2 5 2 2 3" xfId="39943" xr:uid="{00000000-0005-0000-0000-00007B290000}"/>
    <cellStyle name="표준 5 2 2 2 4 2 2 5 2 2 4" xfId="48136" xr:uid="{00000000-0005-0000-0000-00007C290000}"/>
    <cellStyle name="표준 5 2 2 2 4 2 2 5 2 3" xfId="19378" xr:uid="{00000000-0005-0000-0000-00007D290000}"/>
    <cellStyle name="표준 5 2 2 2 4 2 2 5 2 4" xfId="23540" xr:uid="{00000000-0005-0000-0000-00007E290000}"/>
    <cellStyle name="표준 5 2 2 2 4 2 2 5 2 5" xfId="27636" xr:uid="{00000000-0005-0000-0000-00007F290000}"/>
    <cellStyle name="표준 5 2 2 2 4 2 2 5 2 6" xfId="35847" xr:uid="{00000000-0005-0000-0000-000080290000}"/>
    <cellStyle name="표준 5 2 2 2 4 2 2 5 2 7" xfId="44040" xr:uid="{00000000-0005-0000-0000-000081290000}"/>
    <cellStyle name="표준 5 2 2 2 4 2 2 5 3" xfId="8978" xr:uid="{00000000-0005-0000-0000-000082290000}"/>
    <cellStyle name="표준 5 2 2 2 4 2 2 5 3 2" xfId="29684" xr:uid="{00000000-0005-0000-0000-000083290000}"/>
    <cellStyle name="표준 5 2 2 2 4 2 2 5 3 3" xfId="37895" xr:uid="{00000000-0005-0000-0000-000084290000}"/>
    <cellStyle name="표준 5 2 2 2 4 2 2 5 3 4" xfId="46088" xr:uid="{00000000-0005-0000-0000-000085290000}"/>
    <cellStyle name="표준 5 2 2 2 4 2 2 5 4" xfId="13090" xr:uid="{00000000-0005-0000-0000-000086290000}"/>
    <cellStyle name="표준 5 2 2 2 4 2 2 5 5" xfId="17330" xr:uid="{00000000-0005-0000-0000-000087290000}"/>
    <cellStyle name="표준 5 2 2 2 4 2 2 5 6" xfId="21492" xr:uid="{00000000-0005-0000-0000-000088290000}"/>
    <cellStyle name="표준 5 2 2 2 4 2 2 5 7" xfId="25588" xr:uid="{00000000-0005-0000-0000-000089290000}"/>
    <cellStyle name="표준 5 2 2 2 4 2 2 5 8" xfId="33799" xr:uid="{00000000-0005-0000-0000-00008A290000}"/>
    <cellStyle name="표준 5 2 2 2 4 2 2 5 9" xfId="41992" xr:uid="{00000000-0005-0000-0000-00008B290000}"/>
    <cellStyle name="표준 5 2 2 2 4 2 2 6" xfId="9490" xr:uid="{00000000-0005-0000-0000-00008C290000}"/>
    <cellStyle name="표준 5 2 2 2 4 2 2 6 2" xfId="13602" xr:uid="{00000000-0005-0000-0000-00008D290000}"/>
    <cellStyle name="표준 5 2 2 2 4 2 2 6 2 2" xfId="30196" xr:uid="{00000000-0005-0000-0000-00008E290000}"/>
    <cellStyle name="표준 5 2 2 2 4 2 2 6 2 3" xfId="38407" xr:uid="{00000000-0005-0000-0000-00008F290000}"/>
    <cellStyle name="표준 5 2 2 2 4 2 2 6 2 4" xfId="46600" xr:uid="{00000000-0005-0000-0000-000090290000}"/>
    <cellStyle name="표준 5 2 2 2 4 2 2 6 3" xfId="17842" xr:uid="{00000000-0005-0000-0000-000091290000}"/>
    <cellStyle name="표준 5 2 2 2 4 2 2 6 4" xfId="22004" xr:uid="{00000000-0005-0000-0000-000092290000}"/>
    <cellStyle name="표준 5 2 2 2 4 2 2 6 5" xfId="26100" xr:uid="{00000000-0005-0000-0000-000093290000}"/>
    <cellStyle name="표준 5 2 2 2 4 2 2 6 6" xfId="34311" xr:uid="{00000000-0005-0000-0000-000094290000}"/>
    <cellStyle name="표준 5 2 2 2 4 2 2 6 7" xfId="42504" xr:uid="{00000000-0005-0000-0000-000095290000}"/>
    <cellStyle name="표준 5 2 2 2 4 2 2 7" xfId="7442" xr:uid="{00000000-0005-0000-0000-000096290000}"/>
    <cellStyle name="표준 5 2 2 2 4 2 2 7 2" xfId="28148" xr:uid="{00000000-0005-0000-0000-000097290000}"/>
    <cellStyle name="표준 5 2 2 2 4 2 2 7 3" xfId="36359" xr:uid="{00000000-0005-0000-0000-000098290000}"/>
    <cellStyle name="표준 5 2 2 2 4 2 2 7 4" xfId="44552" xr:uid="{00000000-0005-0000-0000-000099290000}"/>
    <cellStyle name="표준 5 2 2 2 4 2 2 8" xfId="11554" xr:uid="{00000000-0005-0000-0000-00009A290000}"/>
    <cellStyle name="표준 5 2 2 2 4 2 2 9" xfId="15794" xr:uid="{00000000-0005-0000-0000-00009B290000}"/>
    <cellStyle name="표준 5 2 2 2 4 2 3" xfId="715" xr:uid="{00000000-0005-0000-0000-00009C290000}"/>
    <cellStyle name="표준 5 2 2 2 4 2 3 10" xfId="24180" xr:uid="{00000000-0005-0000-0000-00009D290000}"/>
    <cellStyle name="표준 5 2 2 2 4 2 3 11" xfId="32391" xr:uid="{00000000-0005-0000-0000-00009E290000}"/>
    <cellStyle name="표준 5 2 2 2 4 2 3 12" xfId="40584" xr:uid="{00000000-0005-0000-0000-00009F290000}"/>
    <cellStyle name="표준 5 2 2 2 4 2 3 2" xfId="1227" xr:uid="{00000000-0005-0000-0000-0000A0290000}"/>
    <cellStyle name="표준 5 2 2 2 4 2 3 2 2" xfId="10130" xr:uid="{00000000-0005-0000-0000-0000A1290000}"/>
    <cellStyle name="표준 5 2 2 2 4 2 3 2 2 2" xfId="14242" xr:uid="{00000000-0005-0000-0000-0000A2290000}"/>
    <cellStyle name="표준 5 2 2 2 4 2 3 2 2 2 2" xfId="30836" xr:uid="{00000000-0005-0000-0000-0000A3290000}"/>
    <cellStyle name="표준 5 2 2 2 4 2 3 2 2 2 3" xfId="39047" xr:uid="{00000000-0005-0000-0000-0000A4290000}"/>
    <cellStyle name="표준 5 2 2 2 4 2 3 2 2 2 4" xfId="47240" xr:uid="{00000000-0005-0000-0000-0000A5290000}"/>
    <cellStyle name="표준 5 2 2 2 4 2 3 2 2 3" xfId="18482" xr:uid="{00000000-0005-0000-0000-0000A6290000}"/>
    <cellStyle name="표준 5 2 2 2 4 2 3 2 2 4" xfId="22644" xr:uid="{00000000-0005-0000-0000-0000A7290000}"/>
    <cellStyle name="표준 5 2 2 2 4 2 3 2 2 5" xfId="26740" xr:uid="{00000000-0005-0000-0000-0000A8290000}"/>
    <cellStyle name="표준 5 2 2 2 4 2 3 2 2 6" xfId="34951" xr:uid="{00000000-0005-0000-0000-0000A9290000}"/>
    <cellStyle name="표준 5 2 2 2 4 2 3 2 2 7" xfId="43144" xr:uid="{00000000-0005-0000-0000-0000AA290000}"/>
    <cellStyle name="표준 5 2 2 2 4 2 3 2 3" xfId="8082" xr:uid="{00000000-0005-0000-0000-0000AB290000}"/>
    <cellStyle name="표준 5 2 2 2 4 2 3 2 3 2" xfId="28788" xr:uid="{00000000-0005-0000-0000-0000AC290000}"/>
    <cellStyle name="표준 5 2 2 2 4 2 3 2 3 3" xfId="36999" xr:uid="{00000000-0005-0000-0000-0000AD290000}"/>
    <cellStyle name="표준 5 2 2 2 4 2 3 2 3 4" xfId="45192" xr:uid="{00000000-0005-0000-0000-0000AE290000}"/>
    <cellStyle name="표준 5 2 2 2 4 2 3 2 4" xfId="12194" xr:uid="{00000000-0005-0000-0000-0000AF290000}"/>
    <cellStyle name="표준 5 2 2 2 4 2 3 2 5" xfId="16434" xr:uid="{00000000-0005-0000-0000-0000B0290000}"/>
    <cellStyle name="표준 5 2 2 2 4 2 3 2 6" xfId="20596" xr:uid="{00000000-0005-0000-0000-0000B1290000}"/>
    <cellStyle name="표준 5 2 2 2 4 2 3 2 7" xfId="24692" xr:uid="{00000000-0005-0000-0000-0000B2290000}"/>
    <cellStyle name="표준 5 2 2 2 4 2 3 2 8" xfId="32903" xr:uid="{00000000-0005-0000-0000-0000B3290000}"/>
    <cellStyle name="표준 5 2 2 2 4 2 3 2 9" xfId="41096" xr:uid="{00000000-0005-0000-0000-0000B4290000}"/>
    <cellStyle name="표준 5 2 2 2 4 2 3 3" xfId="1739" xr:uid="{00000000-0005-0000-0000-0000B5290000}"/>
    <cellStyle name="표준 5 2 2 2 4 2 3 3 2" xfId="10642" xr:uid="{00000000-0005-0000-0000-0000B6290000}"/>
    <cellStyle name="표준 5 2 2 2 4 2 3 3 2 2" xfId="14754" xr:uid="{00000000-0005-0000-0000-0000B7290000}"/>
    <cellStyle name="표준 5 2 2 2 4 2 3 3 2 2 2" xfId="31348" xr:uid="{00000000-0005-0000-0000-0000B8290000}"/>
    <cellStyle name="표준 5 2 2 2 4 2 3 3 2 2 3" xfId="39559" xr:uid="{00000000-0005-0000-0000-0000B9290000}"/>
    <cellStyle name="표준 5 2 2 2 4 2 3 3 2 2 4" xfId="47752" xr:uid="{00000000-0005-0000-0000-0000BA290000}"/>
    <cellStyle name="표준 5 2 2 2 4 2 3 3 2 3" xfId="18994" xr:uid="{00000000-0005-0000-0000-0000BB290000}"/>
    <cellStyle name="표준 5 2 2 2 4 2 3 3 2 4" xfId="23156" xr:uid="{00000000-0005-0000-0000-0000BC290000}"/>
    <cellStyle name="표준 5 2 2 2 4 2 3 3 2 5" xfId="27252" xr:uid="{00000000-0005-0000-0000-0000BD290000}"/>
    <cellStyle name="표준 5 2 2 2 4 2 3 3 2 6" xfId="35463" xr:uid="{00000000-0005-0000-0000-0000BE290000}"/>
    <cellStyle name="표준 5 2 2 2 4 2 3 3 2 7" xfId="43656" xr:uid="{00000000-0005-0000-0000-0000BF290000}"/>
    <cellStyle name="표준 5 2 2 2 4 2 3 3 3" xfId="8594" xr:uid="{00000000-0005-0000-0000-0000C0290000}"/>
    <cellStyle name="표준 5 2 2 2 4 2 3 3 3 2" xfId="29300" xr:uid="{00000000-0005-0000-0000-0000C1290000}"/>
    <cellStyle name="표준 5 2 2 2 4 2 3 3 3 3" xfId="37511" xr:uid="{00000000-0005-0000-0000-0000C2290000}"/>
    <cellStyle name="표준 5 2 2 2 4 2 3 3 3 4" xfId="45704" xr:uid="{00000000-0005-0000-0000-0000C3290000}"/>
    <cellStyle name="표준 5 2 2 2 4 2 3 3 4" xfId="12706" xr:uid="{00000000-0005-0000-0000-0000C4290000}"/>
    <cellStyle name="표준 5 2 2 2 4 2 3 3 5" xfId="16946" xr:uid="{00000000-0005-0000-0000-0000C5290000}"/>
    <cellStyle name="표준 5 2 2 2 4 2 3 3 6" xfId="21108" xr:uid="{00000000-0005-0000-0000-0000C6290000}"/>
    <cellStyle name="표준 5 2 2 2 4 2 3 3 7" xfId="25204" xr:uid="{00000000-0005-0000-0000-0000C7290000}"/>
    <cellStyle name="표준 5 2 2 2 4 2 3 3 8" xfId="33415" xr:uid="{00000000-0005-0000-0000-0000C8290000}"/>
    <cellStyle name="표준 5 2 2 2 4 2 3 3 9" xfId="41608" xr:uid="{00000000-0005-0000-0000-0000C9290000}"/>
    <cellStyle name="표준 5 2 2 2 4 2 3 4" xfId="2251" xr:uid="{00000000-0005-0000-0000-0000CA290000}"/>
    <cellStyle name="표준 5 2 2 2 4 2 3 4 2" xfId="11154" xr:uid="{00000000-0005-0000-0000-0000CB290000}"/>
    <cellStyle name="표준 5 2 2 2 4 2 3 4 2 2" xfId="15266" xr:uid="{00000000-0005-0000-0000-0000CC290000}"/>
    <cellStyle name="표준 5 2 2 2 4 2 3 4 2 2 2" xfId="31860" xr:uid="{00000000-0005-0000-0000-0000CD290000}"/>
    <cellStyle name="표준 5 2 2 2 4 2 3 4 2 2 3" xfId="40071" xr:uid="{00000000-0005-0000-0000-0000CE290000}"/>
    <cellStyle name="표준 5 2 2 2 4 2 3 4 2 2 4" xfId="48264" xr:uid="{00000000-0005-0000-0000-0000CF290000}"/>
    <cellStyle name="표준 5 2 2 2 4 2 3 4 2 3" xfId="19506" xr:uid="{00000000-0005-0000-0000-0000D0290000}"/>
    <cellStyle name="표준 5 2 2 2 4 2 3 4 2 4" xfId="23668" xr:uid="{00000000-0005-0000-0000-0000D1290000}"/>
    <cellStyle name="표준 5 2 2 2 4 2 3 4 2 5" xfId="27764" xr:uid="{00000000-0005-0000-0000-0000D2290000}"/>
    <cellStyle name="표준 5 2 2 2 4 2 3 4 2 6" xfId="35975" xr:uid="{00000000-0005-0000-0000-0000D3290000}"/>
    <cellStyle name="표준 5 2 2 2 4 2 3 4 2 7" xfId="44168" xr:uid="{00000000-0005-0000-0000-0000D4290000}"/>
    <cellStyle name="표준 5 2 2 2 4 2 3 4 3" xfId="9106" xr:uid="{00000000-0005-0000-0000-0000D5290000}"/>
    <cellStyle name="표준 5 2 2 2 4 2 3 4 3 2" xfId="29812" xr:uid="{00000000-0005-0000-0000-0000D6290000}"/>
    <cellStyle name="표준 5 2 2 2 4 2 3 4 3 3" xfId="38023" xr:uid="{00000000-0005-0000-0000-0000D7290000}"/>
    <cellStyle name="표준 5 2 2 2 4 2 3 4 3 4" xfId="46216" xr:uid="{00000000-0005-0000-0000-0000D8290000}"/>
    <cellStyle name="표준 5 2 2 2 4 2 3 4 4" xfId="13218" xr:uid="{00000000-0005-0000-0000-0000D9290000}"/>
    <cellStyle name="표준 5 2 2 2 4 2 3 4 5" xfId="17458" xr:uid="{00000000-0005-0000-0000-0000DA290000}"/>
    <cellStyle name="표준 5 2 2 2 4 2 3 4 6" xfId="21620" xr:uid="{00000000-0005-0000-0000-0000DB290000}"/>
    <cellStyle name="표준 5 2 2 2 4 2 3 4 7" xfId="25716" xr:uid="{00000000-0005-0000-0000-0000DC290000}"/>
    <cellStyle name="표준 5 2 2 2 4 2 3 4 8" xfId="33927" xr:uid="{00000000-0005-0000-0000-0000DD290000}"/>
    <cellStyle name="표준 5 2 2 2 4 2 3 4 9" xfId="42120" xr:uid="{00000000-0005-0000-0000-0000DE290000}"/>
    <cellStyle name="표준 5 2 2 2 4 2 3 5" xfId="9618" xr:uid="{00000000-0005-0000-0000-0000DF290000}"/>
    <cellStyle name="표준 5 2 2 2 4 2 3 5 2" xfId="13730" xr:uid="{00000000-0005-0000-0000-0000E0290000}"/>
    <cellStyle name="표준 5 2 2 2 4 2 3 5 2 2" xfId="30324" xr:uid="{00000000-0005-0000-0000-0000E1290000}"/>
    <cellStyle name="표준 5 2 2 2 4 2 3 5 2 3" xfId="38535" xr:uid="{00000000-0005-0000-0000-0000E2290000}"/>
    <cellStyle name="표준 5 2 2 2 4 2 3 5 2 4" xfId="46728" xr:uid="{00000000-0005-0000-0000-0000E3290000}"/>
    <cellStyle name="표준 5 2 2 2 4 2 3 5 3" xfId="17970" xr:uid="{00000000-0005-0000-0000-0000E4290000}"/>
    <cellStyle name="표준 5 2 2 2 4 2 3 5 4" xfId="22132" xr:uid="{00000000-0005-0000-0000-0000E5290000}"/>
    <cellStyle name="표준 5 2 2 2 4 2 3 5 5" xfId="26228" xr:uid="{00000000-0005-0000-0000-0000E6290000}"/>
    <cellStyle name="표준 5 2 2 2 4 2 3 5 6" xfId="34439" xr:uid="{00000000-0005-0000-0000-0000E7290000}"/>
    <cellStyle name="표준 5 2 2 2 4 2 3 5 7" xfId="42632" xr:uid="{00000000-0005-0000-0000-0000E8290000}"/>
    <cellStyle name="표준 5 2 2 2 4 2 3 6" xfId="7570" xr:uid="{00000000-0005-0000-0000-0000E9290000}"/>
    <cellStyle name="표준 5 2 2 2 4 2 3 6 2" xfId="28276" xr:uid="{00000000-0005-0000-0000-0000EA290000}"/>
    <cellStyle name="표준 5 2 2 2 4 2 3 6 3" xfId="36487" xr:uid="{00000000-0005-0000-0000-0000EB290000}"/>
    <cellStyle name="표준 5 2 2 2 4 2 3 6 4" xfId="44680" xr:uid="{00000000-0005-0000-0000-0000EC290000}"/>
    <cellStyle name="표준 5 2 2 2 4 2 3 7" xfId="11682" xr:uid="{00000000-0005-0000-0000-0000ED290000}"/>
    <cellStyle name="표준 5 2 2 2 4 2 3 8" xfId="15922" xr:uid="{00000000-0005-0000-0000-0000EE290000}"/>
    <cellStyle name="표준 5 2 2 2 4 2 3 9" xfId="20084" xr:uid="{00000000-0005-0000-0000-0000EF290000}"/>
    <cellStyle name="표준 5 2 2 2 4 2 4" xfId="971" xr:uid="{00000000-0005-0000-0000-0000F0290000}"/>
    <cellStyle name="표준 5 2 2 2 4 2 4 2" xfId="9874" xr:uid="{00000000-0005-0000-0000-0000F1290000}"/>
    <cellStyle name="표준 5 2 2 2 4 2 4 2 2" xfId="13986" xr:uid="{00000000-0005-0000-0000-0000F2290000}"/>
    <cellStyle name="표준 5 2 2 2 4 2 4 2 2 2" xfId="30580" xr:uid="{00000000-0005-0000-0000-0000F3290000}"/>
    <cellStyle name="표준 5 2 2 2 4 2 4 2 2 3" xfId="38791" xr:uid="{00000000-0005-0000-0000-0000F4290000}"/>
    <cellStyle name="표준 5 2 2 2 4 2 4 2 2 4" xfId="46984" xr:uid="{00000000-0005-0000-0000-0000F5290000}"/>
    <cellStyle name="표준 5 2 2 2 4 2 4 2 3" xfId="18226" xr:uid="{00000000-0005-0000-0000-0000F6290000}"/>
    <cellStyle name="표준 5 2 2 2 4 2 4 2 4" xfId="22388" xr:uid="{00000000-0005-0000-0000-0000F7290000}"/>
    <cellStyle name="표준 5 2 2 2 4 2 4 2 5" xfId="26484" xr:uid="{00000000-0005-0000-0000-0000F8290000}"/>
    <cellStyle name="표준 5 2 2 2 4 2 4 2 6" xfId="34695" xr:uid="{00000000-0005-0000-0000-0000F9290000}"/>
    <cellStyle name="표준 5 2 2 2 4 2 4 2 7" xfId="42888" xr:uid="{00000000-0005-0000-0000-0000FA290000}"/>
    <cellStyle name="표준 5 2 2 2 4 2 4 3" xfId="7826" xr:uid="{00000000-0005-0000-0000-0000FB290000}"/>
    <cellStyle name="표준 5 2 2 2 4 2 4 3 2" xfId="28532" xr:uid="{00000000-0005-0000-0000-0000FC290000}"/>
    <cellStyle name="표준 5 2 2 2 4 2 4 3 3" xfId="36743" xr:uid="{00000000-0005-0000-0000-0000FD290000}"/>
    <cellStyle name="표준 5 2 2 2 4 2 4 3 4" xfId="44936" xr:uid="{00000000-0005-0000-0000-0000FE290000}"/>
    <cellStyle name="표준 5 2 2 2 4 2 4 4" xfId="11938" xr:uid="{00000000-0005-0000-0000-0000FF290000}"/>
    <cellStyle name="표준 5 2 2 2 4 2 4 5" xfId="16178" xr:uid="{00000000-0005-0000-0000-0000002A0000}"/>
    <cellStyle name="표준 5 2 2 2 4 2 4 6" xfId="20340" xr:uid="{00000000-0005-0000-0000-0000012A0000}"/>
    <cellStyle name="표준 5 2 2 2 4 2 4 7" xfId="24436" xr:uid="{00000000-0005-0000-0000-0000022A0000}"/>
    <cellStyle name="표준 5 2 2 2 4 2 4 8" xfId="32647" xr:uid="{00000000-0005-0000-0000-0000032A0000}"/>
    <cellStyle name="표준 5 2 2 2 4 2 4 9" xfId="40840" xr:uid="{00000000-0005-0000-0000-0000042A0000}"/>
    <cellStyle name="표준 5 2 2 2 4 2 5" xfId="1483" xr:uid="{00000000-0005-0000-0000-0000052A0000}"/>
    <cellStyle name="표준 5 2 2 2 4 2 5 2" xfId="10386" xr:uid="{00000000-0005-0000-0000-0000062A0000}"/>
    <cellStyle name="표준 5 2 2 2 4 2 5 2 2" xfId="14498" xr:uid="{00000000-0005-0000-0000-0000072A0000}"/>
    <cellStyle name="표준 5 2 2 2 4 2 5 2 2 2" xfId="31092" xr:uid="{00000000-0005-0000-0000-0000082A0000}"/>
    <cellStyle name="표준 5 2 2 2 4 2 5 2 2 3" xfId="39303" xr:uid="{00000000-0005-0000-0000-0000092A0000}"/>
    <cellStyle name="표준 5 2 2 2 4 2 5 2 2 4" xfId="47496" xr:uid="{00000000-0005-0000-0000-00000A2A0000}"/>
    <cellStyle name="표준 5 2 2 2 4 2 5 2 3" xfId="18738" xr:uid="{00000000-0005-0000-0000-00000B2A0000}"/>
    <cellStyle name="표준 5 2 2 2 4 2 5 2 4" xfId="22900" xr:uid="{00000000-0005-0000-0000-00000C2A0000}"/>
    <cellStyle name="표준 5 2 2 2 4 2 5 2 5" xfId="26996" xr:uid="{00000000-0005-0000-0000-00000D2A0000}"/>
    <cellStyle name="표준 5 2 2 2 4 2 5 2 6" xfId="35207" xr:uid="{00000000-0005-0000-0000-00000E2A0000}"/>
    <cellStyle name="표준 5 2 2 2 4 2 5 2 7" xfId="43400" xr:uid="{00000000-0005-0000-0000-00000F2A0000}"/>
    <cellStyle name="표준 5 2 2 2 4 2 5 3" xfId="8338" xr:uid="{00000000-0005-0000-0000-0000102A0000}"/>
    <cellStyle name="표준 5 2 2 2 4 2 5 3 2" xfId="29044" xr:uid="{00000000-0005-0000-0000-0000112A0000}"/>
    <cellStyle name="표준 5 2 2 2 4 2 5 3 3" xfId="37255" xr:uid="{00000000-0005-0000-0000-0000122A0000}"/>
    <cellStyle name="표준 5 2 2 2 4 2 5 3 4" xfId="45448" xr:uid="{00000000-0005-0000-0000-0000132A0000}"/>
    <cellStyle name="표준 5 2 2 2 4 2 5 4" xfId="12450" xr:uid="{00000000-0005-0000-0000-0000142A0000}"/>
    <cellStyle name="표준 5 2 2 2 4 2 5 5" xfId="16690" xr:uid="{00000000-0005-0000-0000-0000152A0000}"/>
    <cellStyle name="표준 5 2 2 2 4 2 5 6" xfId="20852" xr:uid="{00000000-0005-0000-0000-0000162A0000}"/>
    <cellStyle name="표준 5 2 2 2 4 2 5 7" xfId="24948" xr:uid="{00000000-0005-0000-0000-0000172A0000}"/>
    <cellStyle name="표준 5 2 2 2 4 2 5 8" xfId="33159" xr:uid="{00000000-0005-0000-0000-0000182A0000}"/>
    <cellStyle name="표준 5 2 2 2 4 2 5 9" xfId="41352" xr:uid="{00000000-0005-0000-0000-0000192A0000}"/>
    <cellStyle name="표준 5 2 2 2 4 2 6" xfId="1995" xr:uid="{00000000-0005-0000-0000-00001A2A0000}"/>
    <cellStyle name="표준 5 2 2 2 4 2 6 2" xfId="10898" xr:uid="{00000000-0005-0000-0000-00001B2A0000}"/>
    <cellStyle name="표준 5 2 2 2 4 2 6 2 2" xfId="15010" xr:uid="{00000000-0005-0000-0000-00001C2A0000}"/>
    <cellStyle name="표준 5 2 2 2 4 2 6 2 2 2" xfId="31604" xr:uid="{00000000-0005-0000-0000-00001D2A0000}"/>
    <cellStyle name="표준 5 2 2 2 4 2 6 2 2 3" xfId="39815" xr:uid="{00000000-0005-0000-0000-00001E2A0000}"/>
    <cellStyle name="표준 5 2 2 2 4 2 6 2 2 4" xfId="48008" xr:uid="{00000000-0005-0000-0000-00001F2A0000}"/>
    <cellStyle name="표준 5 2 2 2 4 2 6 2 3" xfId="19250" xr:uid="{00000000-0005-0000-0000-0000202A0000}"/>
    <cellStyle name="표준 5 2 2 2 4 2 6 2 4" xfId="23412" xr:uid="{00000000-0005-0000-0000-0000212A0000}"/>
    <cellStyle name="표준 5 2 2 2 4 2 6 2 5" xfId="27508" xr:uid="{00000000-0005-0000-0000-0000222A0000}"/>
    <cellStyle name="표준 5 2 2 2 4 2 6 2 6" xfId="35719" xr:uid="{00000000-0005-0000-0000-0000232A0000}"/>
    <cellStyle name="표준 5 2 2 2 4 2 6 2 7" xfId="43912" xr:uid="{00000000-0005-0000-0000-0000242A0000}"/>
    <cellStyle name="표준 5 2 2 2 4 2 6 3" xfId="8850" xr:uid="{00000000-0005-0000-0000-0000252A0000}"/>
    <cellStyle name="표준 5 2 2 2 4 2 6 3 2" xfId="29556" xr:uid="{00000000-0005-0000-0000-0000262A0000}"/>
    <cellStyle name="표준 5 2 2 2 4 2 6 3 3" xfId="37767" xr:uid="{00000000-0005-0000-0000-0000272A0000}"/>
    <cellStyle name="표준 5 2 2 2 4 2 6 3 4" xfId="45960" xr:uid="{00000000-0005-0000-0000-0000282A0000}"/>
    <cellStyle name="표준 5 2 2 2 4 2 6 4" xfId="12962" xr:uid="{00000000-0005-0000-0000-0000292A0000}"/>
    <cellStyle name="표준 5 2 2 2 4 2 6 5" xfId="17202" xr:uid="{00000000-0005-0000-0000-00002A2A0000}"/>
    <cellStyle name="표준 5 2 2 2 4 2 6 6" xfId="21364" xr:uid="{00000000-0005-0000-0000-00002B2A0000}"/>
    <cellStyle name="표준 5 2 2 2 4 2 6 7" xfId="25460" xr:uid="{00000000-0005-0000-0000-00002C2A0000}"/>
    <cellStyle name="표준 5 2 2 2 4 2 6 8" xfId="33671" xr:uid="{00000000-0005-0000-0000-00002D2A0000}"/>
    <cellStyle name="표준 5 2 2 2 4 2 6 9" xfId="41864" xr:uid="{00000000-0005-0000-0000-00002E2A0000}"/>
    <cellStyle name="표준 5 2 2 2 4 2 7" xfId="7055" xr:uid="{00000000-0005-0000-0000-00002F2A0000}"/>
    <cellStyle name="표준 5 2 2 2 4 2 7 2" xfId="9362" xr:uid="{00000000-0005-0000-0000-0000302A0000}"/>
    <cellStyle name="표준 5 2 2 2 4 2 7 2 2" xfId="30068" xr:uid="{00000000-0005-0000-0000-0000312A0000}"/>
    <cellStyle name="표준 5 2 2 2 4 2 7 2 3" xfId="38279" xr:uid="{00000000-0005-0000-0000-0000322A0000}"/>
    <cellStyle name="표준 5 2 2 2 4 2 7 2 4" xfId="46472" xr:uid="{00000000-0005-0000-0000-0000332A0000}"/>
    <cellStyle name="표준 5 2 2 2 4 2 7 3" xfId="13474" xr:uid="{00000000-0005-0000-0000-0000342A0000}"/>
    <cellStyle name="표준 5 2 2 2 4 2 7 4" xfId="17714" xr:uid="{00000000-0005-0000-0000-0000352A0000}"/>
    <cellStyle name="표준 5 2 2 2 4 2 7 5" xfId="21876" xr:uid="{00000000-0005-0000-0000-0000362A0000}"/>
    <cellStyle name="표준 5 2 2 2 4 2 7 6" xfId="25972" xr:uid="{00000000-0005-0000-0000-0000372A0000}"/>
    <cellStyle name="표준 5 2 2 2 4 2 7 7" xfId="34183" xr:uid="{00000000-0005-0000-0000-0000382A0000}"/>
    <cellStyle name="표준 5 2 2 2 4 2 7 8" xfId="42376" xr:uid="{00000000-0005-0000-0000-0000392A0000}"/>
    <cellStyle name="표준 5 2 2 2 4 2 8" xfId="7123" xr:uid="{00000000-0005-0000-0000-00003A2A0000}"/>
    <cellStyle name="표준 5 2 2 2 4 2 8 2" xfId="28020" xr:uid="{00000000-0005-0000-0000-00003B2A0000}"/>
    <cellStyle name="표준 5 2 2 2 4 2 8 3" xfId="36231" xr:uid="{00000000-0005-0000-0000-00003C2A0000}"/>
    <cellStyle name="표준 5 2 2 2 4 2 8 4" xfId="44424" xr:uid="{00000000-0005-0000-0000-00003D2A0000}"/>
    <cellStyle name="표준 5 2 2 2 4 2 9" xfId="7314" xr:uid="{00000000-0005-0000-0000-00003E2A0000}"/>
    <cellStyle name="표준 5 2 2 2 4 3" xfId="523" xr:uid="{00000000-0005-0000-0000-00003F2A0000}"/>
    <cellStyle name="표준 5 2 2 2 4 3 10" xfId="19892" xr:uid="{00000000-0005-0000-0000-0000402A0000}"/>
    <cellStyle name="표준 5 2 2 2 4 3 11" xfId="23988" xr:uid="{00000000-0005-0000-0000-0000412A0000}"/>
    <cellStyle name="표준 5 2 2 2 4 3 12" xfId="32199" xr:uid="{00000000-0005-0000-0000-0000422A0000}"/>
    <cellStyle name="표준 5 2 2 2 4 3 13" xfId="40392" xr:uid="{00000000-0005-0000-0000-0000432A0000}"/>
    <cellStyle name="표준 5 2 2 2 4 3 2" xfId="779" xr:uid="{00000000-0005-0000-0000-0000442A0000}"/>
    <cellStyle name="표준 5 2 2 2 4 3 2 10" xfId="24244" xr:uid="{00000000-0005-0000-0000-0000452A0000}"/>
    <cellStyle name="표준 5 2 2 2 4 3 2 11" xfId="32455" xr:uid="{00000000-0005-0000-0000-0000462A0000}"/>
    <cellStyle name="표준 5 2 2 2 4 3 2 12" xfId="40648" xr:uid="{00000000-0005-0000-0000-0000472A0000}"/>
    <cellStyle name="표준 5 2 2 2 4 3 2 2" xfId="1291" xr:uid="{00000000-0005-0000-0000-0000482A0000}"/>
    <cellStyle name="표준 5 2 2 2 4 3 2 2 2" xfId="10194" xr:uid="{00000000-0005-0000-0000-0000492A0000}"/>
    <cellStyle name="표준 5 2 2 2 4 3 2 2 2 2" xfId="14306" xr:uid="{00000000-0005-0000-0000-00004A2A0000}"/>
    <cellStyle name="표준 5 2 2 2 4 3 2 2 2 2 2" xfId="30900" xr:uid="{00000000-0005-0000-0000-00004B2A0000}"/>
    <cellStyle name="표준 5 2 2 2 4 3 2 2 2 2 3" xfId="39111" xr:uid="{00000000-0005-0000-0000-00004C2A0000}"/>
    <cellStyle name="표준 5 2 2 2 4 3 2 2 2 2 4" xfId="47304" xr:uid="{00000000-0005-0000-0000-00004D2A0000}"/>
    <cellStyle name="표준 5 2 2 2 4 3 2 2 2 3" xfId="18546" xr:uid="{00000000-0005-0000-0000-00004E2A0000}"/>
    <cellStyle name="표준 5 2 2 2 4 3 2 2 2 4" xfId="22708" xr:uid="{00000000-0005-0000-0000-00004F2A0000}"/>
    <cellStyle name="표준 5 2 2 2 4 3 2 2 2 5" xfId="26804" xr:uid="{00000000-0005-0000-0000-0000502A0000}"/>
    <cellStyle name="표준 5 2 2 2 4 3 2 2 2 6" xfId="35015" xr:uid="{00000000-0005-0000-0000-0000512A0000}"/>
    <cellStyle name="표준 5 2 2 2 4 3 2 2 2 7" xfId="43208" xr:uid="{00000000-0005-0000-0000-0000522A0000}"/>
    <cellStyle name="표준 5 2 2 2 4 3 2 2 3" xfId="8146" xr:uid="{00000000-0005-0000-0000-0000532A0000}"/>
    <cellStyle name="표준 5 2 2 2 4 3 2 2 3 2" xfId="28852" xr:uid="{00000000-0005-0000-0000-0000542A0000}"/>
    <cellStyle name="표준 5 2 2 2 4 3 2 2 3 3" xfId="37063" xr:uid="{00000000-0005-0000-0000-0000552A0000}"/>
    <cellStyle name="표준 5 2 2 2 4 3 2 2 3 4" xfId="45256" xr:uid="{00000000-0005-0000-0000-0000562A0000}"/>
    <cellStyle name="표준 5 2 2 2 4 3 2 2 4" xfId="12258" xr:uid="{00000000-0005-0000-0000-0000572A0000}"/>
    <cellStyle name="표준 5 2 2 2 4 3 2 2 5" xfId="16498" xr:uid="{00000000-0005-0000-0000-0000582A0000}"/>
    <cellStyle name="표준 5 2 2 2 4 3 2 2 6" xfId="20660" xr:uid="{00000000-0005-0000-0000-0000592A0000}"/>
    <cellStyle name="표준 5 2 2 2 4 3 2 2 7" xfId="24756" xr:uid="{00000000-0005-0000-0000-00005A2A0000}"/>
    <cellStyle name="표준 5 2 2 2 4 3 2 2 8" xfId="32967" xr:uid="{00000000-0005-0000-0000-00005B2A0000}"/>
    <cellStyle name="표준 5 2 2 2 4 3 2 2 9" xfId="41160" xr:uid="{00000000-0005-0000-0000-00005C2A0000}"/>
    <cellStyle name="표준 5 2 2 2 4 3 2 3" xfId="1803" xr:uid="{00000000-0005-0000-0000-00005D2A0000}"/>
    <cellStyle name="표준 5 2 2 2 4 3 2 3 2" xfId="10706" xr:uid="{00000000-0005-0000-0000-00005E2A0000}"/>
    <cellStyle name="표준 5 2 2 2 4 3 2 3 2 2" xfId="14818" xr:uid="{00000000-0005-0000-0000-00005F2A0000}"/>
    <cellStyle name="표준 5 2 2 2 4 3 2 3 2 2 2" xfId="31412" xr:uid="{00000000-0005-0000-0000-0000602A0000}"/>
    <cellStyle name="표준 5 2 2 2 4 3 2 3 2 2 3" xfId="39623" xr:uid="{00000000-0005-0000-0000-0000612A0000}"/>
    <cellStyle name="표준 5 2 2 2 4 3 2 3 2 2 4" xfId="47816" xr:uid="{00000000-0005-0000-0000-0000622A0000}"/>
    <cellStyle name="표준 5 2 2 2 4 3 2 3 2 3" xfId="19058" xr:uid="{00000000-0005-0000-0000-0000632A0000}"/>
    <cellStyle name="표준 5 2 2 2 4 3 2 3 2 4" xfId="23220" xr:uid="{00000000-0005-0000-0000-0000642A0000}"/>
    <cellStyle name="표준 5 2 2 2 4 3 2 3 2 5" xfId="27316" xr:uid="{00000000-0005-0000-0000-0000652A0000}"/>
    <cellStyle name="표준 5 2 2 2 4 3 2 3 2 6" xfId="35527" xr:uid="{00000000-0005-0000-0000-0000662A0000}"/>
    <cellStyle name="표준 5 2 2 2 4 3 2 3 2 7" xfId="43720" xr:uid="{00000000-0005-0000-0000-0000672A0000}"/>
    <cellStyle name="표준 5 2 2 2 4 3 2 3 3" xfId="8658" xr:uid="{00000000-0005-0000-0000-0000682A0000}"/>
    <cellStyle name="표준 5 2 2 2 4 3 2 3 3 2" xfId="29364" xr:uid="{00000000-0005-0000-0000-0000692A0000}"/>
    <cellStyle name="표준 5 2 2 2 4 3 2 3 3 3" xfId="37575" xr:uid="{00000000-0005-0000-0000-00006A2A0000}"/>
    <cellStyle name="표준 5 2 2 2 4 3 2 3 3 4" xfId="45768" xr:uid="{00000000-0005-0000-0000-00006B2A0000}"/>
    <cellStyle name="표준 5 2 2 2 4 3 2 3 4" xfId="12770" xr:uid="{00000000-0005-0000-0000-00006C2A0000}"/>
    <cellStyle name="표준 5 2 2 2 4 3 2 3 5" xfId="17010" xr:uid="{00000000-0005-0000-0000-00006D2A0000}"/>
    <cellStyle name="표준 5 2 2 2 4 3 2 3 6" xfId="21172" xr:uid="{00000000-0005-0000-0000-00006E2A0000}"/>
    <cellStyle name="표준 5 2 2 2 4 3 2 3 7" xfId="25268" xr:uid="{00000000-0005-0000-0000-00006F2A0000}"/>
    <cellStyle name="표준 5 2 2 2 4 3 2 3 8" xfId="33479" xr:uid="{00000000-0005-0000-0000-0000702A0000}"/>
    <cellStyle name="표준 5 2 2 2 4 3 2 3 9" xfId="41672" xr:uid="{00000000-0005-0000-0000-0000712A0000}"/>
    <cellStyle name="표준 5 2 2 2 4 3 2 4" xfId="2315" xr:uid="{00000000-0005-0000-0000-0000722A0000}"/>
    <cellStyle name="표준 5 2 2 2 4 3 2 4 2" xfId="11218" xr:uid="{00000000-0005-0000-0000-0000732A0000}"/>
    <cellStyle name="표준 5 2 2 2 4 3 2 4 2 2" xfId="15330" xr:uid="{00000000-0005-0000-0000-0000742A0000}"/>
    <cellStyle name="표준 5 2 2 2 4 3 2 4 2 2 2" xfId="31924" xr:uid="{00000000-0005-0000-0000-0000752A0000}"/>
    <cellStyle name="표준 5 2 2 2 4 3 2 4 2 2 3" xfId="40135" xr:uid="{00000000-0005-0000-0000-0000762A0000}"/>
    <cellStyle name="표준 5 2 2 2 4 3 2 4 2 2 4" xfId="48328" xr:uid="{00000000-0005-0000-0000-0000772A0000}"/>
    <cellStyle name="표준 5 2 2 2 4 3 2 4 2 3" xfId="19570" xr:uid="{00000000-0005-0000-0000-0000782A0000}"/>
    <cellStyle name="표준 5 2 2 2 4 3 2 4 2 4" xfId="23732" xr:uid="{00000000-0005-0000-0000-0000792A0000}"/>
    <cellStyle name="표준 5 2 2 2 4 3 2 4 2 5" xfId="27828" xr:uid="{00000000-0005-0000-0000-00007A2A0000}"/>
    <cellStyle name="표준 5 2 2 2 4 3 2 4 2 6" xfId="36039" xr:uid="{00000000-0005-0000-0000-00007B2A0000}"/>
    <cellStyle name="표준 5 2 2 2 4 3 2 4 2 7" xfId="44232" xr:uid="{00000000-0005-0000-0000-00007C2A0000}"/>
    <cellStyle name="표준 5 2 2 2 4 3 2 4 3" xfId="9170" xr:uid="{00000000-0005-0000-0000-00007D2A0000}"/>
    <cellStyle name="표준 5 2 2 2 4 3 2 4 3 2" xfId="29876" xr:uid="{00000000-0005-0000-0000-00007E2A0000}"/>
    <cellStyle name="표준 5 2 2 2 4 3 2 4 3 3" xfId="38087" xr:uid="{00000000-0005-0000-0000-00007F2A0000}"/>
    <cellStyle name="표준 5 2 2 2 4 3 2 4 3 4" xfId="46280" xr:uid="{00000000-0005-0000-0000-0000802A0000}"/>
    <cellStyle name="표준 5 2 2 2 4 3 2 4 4" xfId="13282" xr:uid="{00000000-0005-0000-0000-0000812A0000}"/>
    <cellStyle name="표준 5 2 2 2 4 3 2 4 5" xfId="17522" xr:uid="{00000000-0005-0000-0000-0000822A0000}"/>
    <cellStyle name="표준 5 2 2 2 4 3 2 4 6" xfId="21684" xr:uid="{00000000-0005-0000-0000-0000832A0000}"/>
    <cellStyle name="표준 5 2 2 2 4 3 2 4 7" xfId="25780" xr:uid="{00000000-0005-0000-0000-0000842A0000}"/>
    <cellStyle name="표준 5 2 2 2 4 3 2 4 8" xfId="33991" xr:uid="{00000000-0005-0000-0000-0000852A0000}"/>
    <cellStyle name="표준 5 2 2 2 4 3 2 4 9" xfId="42184" xr:uid="{00000000-0005-0000-0000-0000862A0000}"/>
    <cellStyle name="표준 5 2 2 2 4 3 2 5" xfId="9682" xr:uid="{00000000-0005-0000-0000-0000872A0000}"/>
    <cellStyle name="표준 5 2 2 2 4 3 2 5 2" xfId="13794" xr:uid="{00000000-0005-0000-0000-0000882A0000}"/>
    <cellStyle name="표준 5 2 2 2 4 3 2 5 2 2" xfId="30388" xr:uid="{00000000-0005-0000-0000-0000892A0000}"/>
    <cellStyle name="표준 5 2 2 2 4 3 2 5 2 3" xfId="38599" xr:uid="{00000000-0005-0000-0000-00008A2A0000}"/>
    <cellStyle name="표준 5 2 2 2 4 3 2 5 2 4" xfId="46792" xr:uid="{00000000-0005-0000-0000-00008B2A0000}"/>
    <cellStyle name="표준 5 2 2 2 4 3 2 5 3" xfId="18034" xr:uid="{00000000-0005-0000-0000-00008C2A0000}"/>
    <cellStyle name="표준 5 2 2 2 4 3 2 5 4" xfId="22196" xr:uid="{00000000-0005-0000-0000-00008D2A0000}"/>
    <cellStyle name="표준 5 2 2 2 4 3 2 5 5" xfId="26292" xr:uid="{00000000-0005-0000-0000-00008E2A0000}"/>
    <cellStyle name="표준 5 2 2 2 4 3 2 5 6" xfId="34503" xr:uid="{00000000-0005-0000-0000-00008F2A0000}"/>
    <cellStyle name="표준 5 2 2 2 4 3 2 5 7" xfId="42696" xr:uid="{00000000-0005-0000-0000-0000902A0000}"/>
    <cellStyle name="표준 5 2 2 2 4 3 2 6" xfId="7634" xr:uid="{00000000-0005-0000-0000-0000912A0000}"/>
    <cellStyle name="표준 5 2 2 2 4 3 2 6 2" xfId="28340" xr:uid="{00000000-0005-0000-0000-0000922A0000}"/>
    <cellStyle name="표준 5 2 2 2 4 3 2 6 3" xfId="36551" xr:uid="{00000000-0005-0000-0000-0000932A0000}"/>
    <cellStyle name="표준 5 2 2 2 4 3 2 6 4" xfId="44744" xr:uid="{00000000-0005-0000-0000-0000942A0000}"/>
    <cellStyle name="표준 5 2 2 2 4 3 2 7" xfId="11746" xr:uid="{00000000-0005-0000-0000-0000952A0000}"/>
    <cellStyle name="표준 5 2 2 2 4 3 2 8" xfId="15986" xr:uid="{00000000-0005-0000-0000-0000962A0000}"/>
    <cellStyle name="표준 5 2 2 2 4 3 2 9" xfId="20148" xr:uid="{00000000-0005-0000-0000-0000972A0000}"/>
    <cellStyle name="표준 5 2 2 2 4 3 3" xfId="1035" xr:uid="{00000000-0005-0000-0000-0000982A0000}"/>
    <cellStyle name="표준 5 2 2 2 4 3 3 2" xfId="9938" xr:uid="{00000000-0005-0000-0000-0000992A0000}"/>
    <cellStyle name="표준 5 2 2 2 4 3 3 2 2" xfId="14050" xr:uid="{00000000-0005-0000-0000-00009A2A0000}"/>
    <cellStyle name="표준 5 2 2 2 4 3 3 2 2 2" xfId="30644" xr:uid="{00000000-0005-0000-0000-00009B2A0000}"/>
    <cellStyle name="표준 5 2 2 2 4 3 3 2 2 3" xfId="38855" xr:uid="{00000000-0005-0000-0000-00009C2A0000}"/>
    <cellStyle name="표준 5 2 2 2 4 3 3 2 2 4" xfId="47048" xr:uid="{00000000-0005-0000-0000-00009D2A0000}"/>
    <cellStyle name="표준 5 2 2 2 4 3 3 2 3" xfId="18290" xr:uid="{00000000-0005-0000-0000-00009E2A0000}"/>
    <cellStyle name="표준 5 2 2 2 4 3 3 2 4" xfId="22452" xr:uid="{00000000-0005-0000-0000-00009F2A0000}"/>
    <cellStyle name="표준 5 2 2 2 4 3 3 2 5" xfId="26548" xr:uid="{00000000-0005-0000-0000-0000A02A0000}"/>
    <cellStyle name="표준 5 2 2 2 4 3 3 2 6" xfId="34759" xr:uid="{00000000-0005-0000-0000-0000A12A0000}"/>
    <cellStyle name="표준 5 2 2 2 4 3 3 2 7" xfId="42952" xr:uid="{00000000-0005-0000-0000-0000A22A0000}"/>
    <cellStyle name="표준 5 2 2 2 4 3 3 3" xfId="7890" xr:uid="{00000000-0005-0000-0000-0000A32A0000}"/>
    <cellStyle name="표준 5 2 2 2 4 3 3 3 2" xfId="28596" xr:uid="{00000000-0005-0000-0000-0000A42A0000}"/>
    <cellStyle name="표준 5 2 2 2 4 3 3 3 3" xfId="36807" xr:uid="{00000000-0005-0000-0000-0000A52A0000}"/>
    <cellStyle name="표준 5 2 2 2 4 3 3 3 4" xfId="45000" xr:uid="{00000000-0005-0000-0000-0000A62A0000}"/>
    <cellStyle name="표준 5 2 2 2 4 3 3 4" xfId="12002" xr:uid="{00000000-0005-0000-0000-0000A72A0000}"/>
    <cellStyle name="표준 5 2 2 2 4 3 3 5" xfId="16242" xr:uid="{00000000-0005-0000-0000-0000A82A0000}"/>
    <cellStyle name="표준 5 2 2 2 4 3 3 6" xfId="20404" xr:uid="{00000000-0005-0000-0000-0000A92A0000}"/>
    <cellStyle name="표준 5 2 2 2 4 3 3 7" xfId="24500" xr:uid="{00000000-0005-0000-0000-0000AA2A0000}"/>
    <cellStyle name="표준 5 2 2 2 4 3 3 8" xfId="32711" xr:uid="{00000000-0005-0000-0000-0000AB2A0000}"/>
    <cellStyle name="표준 5 2 2 2 4 3 3 9" xfId="40904" xr:uid="{00000000-0005-0000-0000-0000AC2A0000}"/>
    <cellStyle name="표준 5 2 2 2 4 3 4" xfId="1547" xr:uid="{00000000-0005-0000-0000-0000AD2A0000}"/>
    <cellStyle name="표준 5 2 2 2 4 3 4 2" xfId="10450" xr:uid="{00000000-0005-0000-0000-0000AE2A0000}"/>
    <cellStyle name="표준 5 2 2 2 4 3 4 2 2" xfId="14562" xr:uid="{00000000-0005-0000-0000-0000AF2A0000}"/>
    <cellStyle name="표준 5 2 2 2 4 3 4 2 2 2" xfId="31156" xr:uid="{00000000-0005-0000-0000-0000B02A0000}"/>
    <cellStyle name="표준 5 2 2 2 4 3 4 2 2 3" xfId="39367" xr:uid="{00000000-0005-0000-0000-0000B12A0000}"/>
    <cellStyle name="표준 5 2 2 2 4 3 4 2 2 4" xfId="47560" xr:uid="{00000000-0005-0000-0000-0000B22A0000}"/>
    <cellStyle name="표준 5 2 2 2 4 3 4 2 3" xfId="18802" xr:uid="{00000000-0005-0000-0000-0000B32A0000}"/>
    <cellStyle name="표준 5 2 2 2 4 3 4 2 4" xfId="22964" xr:uid="{00000000-0005-0000-0000-0000B42A0000}"/>
    <cellStyle name="표준 5 2 2 2 4 3 4 2 5" xfId="27060" xr:uid="{00000000-0005-0000-0000-0000B52A0000}"/>
    <cellStyle name="표준 5 2 2 2 4 3 4 2 6" xfId="35271" xr:uid="{00000000-0005-0000-0000-0000B62A0000}"/>
    <cellStyle name="표준 5 2 2 2 4 3 4 2 7" xfId="43464" xr:uid="{00000000-0005-0000-0000-0000B72A0000}"/>
    <cellStyle name="표준 5 2 2 2 4 3 4 3" xfId="8402" xr:uid="{00000000-0005-0000-0000-0000B82A0000}"/>
    <cellStyle name="표준 5 2 2 2 4 3 4 3 2" xfId="29108" xr:uid="{00000000-0005-0000-0000-0000B92A0000}"/>
    <cellStyle name="표준 5 2 2 2 4 3 4 3 3" xfId="37319" xr:uid="{00000000-0005-0000-0000-0000BA2A0000}"/>
    <cellStyle name="표준 5 2 2 2 4 3 4 3 4" xfId="45512" xr:uid="{00000000-0005-0000-0000-0000BB2A0000}"/>
    <cellStyle name="표준 5 2 2 2 4 3 4 4" xfId="12514" xr:uid="{00000000-0005-0000-0000-0000BC2A0000}"/>
    <cellStyle name="표준 5 2 2 2 4 3 4 5" xfId="16754" xr:uid="{00000000-0005-0000-0000-0000BD2A0000}"/>
    <cellStyle name="표준 5 2 2 2 4 3 4 6" xfId="20916" xr:uid="{00000000-0005-0000-0000-0000BE2A0000}"/>
    <cellStyle name="표준 5 2 2 2 4 3 4 7" xfId="25012" xr:uid="{00000000-0005-0000-0000-0000BF2A0000}"/>
    <cellStyle name="표준 5 2 2 2 4 3 4 8" xfId="33223" xr:uid="{00000000-0005-0000-0000-0000C02A0000}"/>
    <cellStyle name="표준 5 2 2 2 4 3 4 9" xfId="41416" xr:uid="{00000000-0005-0000-0000-0000C12A0000}"/>
    <cellStyle name="표준 5 2 2 2 4 3 5" xfId="2059" xr:uid="{00000000-0005-0000-0000-0000C22A0000}"/>
    <cellStyle name="표준 5 2 2 2 4 3 5 2" xfId="10962" xr:uid="{00000000-0005-0000-0000-0000C32A0000}"/>
    <cellStyle name="표준 5 2 2 2 4 3 5 2 2" xfId="15074" xr:uid="{00000000-0005-0000-0000-0000C42A0000}"/>
    <cellStyle name="표준 5 2 2 2 4 3 5 2 2 2" xfId="31668" xr:uid="{00000000-0005-0000-0000-0000C52A0000}"/>
    <cellStyle name="표준 5 2 2 2 4 3 5 2 2 3" xfId="39879" xr:uid="{00000000-0005-0000-0000-0000C62A0000}"/>
    <cellStyle name="표준 5 2 2 2 4 3 5 2 2 4" xfId="48072" xr:uid="{00000000-0005-0000-0000-0000C72A0000}"/>
    <cellStyle name="표준 5 2 2 2 4 3 5 2 3" xfId="19314" xr:uid="{00000000-0005-0000-0000-0000C82A0000}"/>
    <cellStyle name="표준 5 2 2 2 4 3 5 2 4" xfId="23476" xr:uid="{00000000-0005-0000-0000-0000C92A0000}"/>
    <cellStyle name="표준 5 2 2 2 4 3 5 2 5" xfId="27572" xr:uid="{00000000-0005-0000-0000-0000CA2A0000}"/>
    <cellStyle name="표준 5 2 2 2 4 3 5 2 6" xfId="35783" xr:uid="{00000000-0005-0000-0000-0000CB2A0000}"/>
    <cellStyle name="표준 5 2 2 2 4 3 5 2 7" xfId="43976" xr:uid="{00000000-0005-0000-0000-0000CC2A0000}"/>
    <cellStyle name="표준 5 2 2 2 4 3 5 3" xfId="8914" xr:uid="{00000000-0005-0000-0000-0000CD2A0000}"/>
    <cellStyle name="표준 5 2 2 2 4 3 5 3 2" xfId="29620" xr:uid="{00000000-0005-0000-0000-0000CE2A0000}"/>
    <cellStyle name="표준 5 2 2 2 4 3 5 3 3" xfId="37831" xr:uid="{00000000-0005-0000-0000-0000CF2A0000}"/>
    <cellStyle name="표준 5 2 2 2 4 3 5 3 4" xfId="46024" xr:uid="{00000000-0005-0000-0000-0000D02A0000}"/>
    <cellStyle name="표준 5 2 2 2 4 3 5 4" xfId="13026" xr:uid="{00000000-0005-0000-0000-0000D12A0000}"/>
    <cellStyle name="표준 5 2 2 2 4 3 5 5" xfId="17266" xr:uid="{00000000-0005-0000-0000-0000D22A0000}"/>
    <cellStyle name="표준 5 2 2 2 4 3 5 6" xfId="21428" xr:uid="{00000000-0005-0000-0000-0000D32A0000}"/>
    <cellStyle name="표준 5 2 2 2 4 3 5 7" xfId="25524" xr:uid="{00000000-0005-0000-0000-0000D42A0000}"/>
    <cellStyle name="표준 5 2 2 2 4 3 5 8" xfId="33735" xr:uid="{00000000-0005-0000-0000-0000D52A0000}"/>
    <cellStyle name="표준 5 2 2 2 4 3 5 9" xfId="41928" xr:uid="{00000000-0005-0000-0000-0000D62A0000}"/>
    <cellStyle name="표준 5 2 2 2 4 3 6" xfId="9426" xr:uid="{00000000-0005-0000-0000-0000D72A0000}"/>
    <cellStyle name="표준 5 2 2 2 4 3 6 2" xfId="13538" xr:uid="{00000000-0005-0000-0000-0000D82A0000}"/>
    <cellStyle name="표준 5 2 2 2 4 3 6 2 2" xfId="30132" xr:uid="{00000000-0005-0000-0000-0000D92A0000}"/>
    <cellStyle name="표준 5 2 2 2 4 3 6 2 3" xfId="38343" xr:uid="{00000000-0005-0000-0000-0000DA2A0000}"/>
    <cellStyle name="표준 5 2 2 2 4 3 6 2 4" xfId="46536" xr:uid="{00000000-0005-0000-0000-0000DB2A0000}"/>
    <cellStyle name="표준 5 2 2 2 4 3 6 3" xfId="17778" xr:uid="{00000000-0005-0000-0000-0000DC2A0000}"/>
    <cellStyle name="표준 5 2 2 2 4 3 6 4" xfId="21940" xr:uid="{00000000-0005-0000-0000-0000DD2A0000}"/>
    <cellStyle name="표준 5 2 2 2 4 3 6 5" xfId="26036" xr:uid="{00000000-0005-0000-0000-0000DE2A0000}"/>
    <cellStyle name="표준 5 2 2 2 4 3 6 6" xfId="34247" xr:uid="{00000000-0005-0000-0000-0000DF2A0000}"/>
    <cellStyle name="표준 5 2 2 2 4 3 6 7" xfId="42440" xr:uid="{00000000-0005-0000-0000-0000E02A0000}"/>
    <cellStyle name="표준 5 2 2 2 4 3 7" xfId="7378" xr:uid="{00000000-0005-0000-0000-0000E12A0000}"/>
    <cellStyle name="표준 5 2 2 2 4 3 7 2" xfId="28084" xr:uid="{00000000-0005-0000-0000-0000E22A0000}"/>
    <cellStyle name="표준 5 2 2 2 4 3 7 3" xfId="36295" xr:uid="{00000000-0005-0000-0000-0000E32A0000}"/>
    <cellStyle name="표준 5 2 2 2 4 3 7 4" xfId="44488" xr:uid="{00000000-0005-0000-0000-0000E42A0000}"/>
    <cellStyle name="표준 5 2 2 2 4 3 8" xfId="11490" xr:uid="{00000000-0005-0000-0000-0000E52A0000}"/>
    <cellStyle name="표준 5 2 2 2 4 3 9" xfId="15730" xr:uid="{00000000-0005-0000-0000-0000E62A0000}"/>
    <cellStyle name="표준 5 2 2 2 4 4" xfId="651" xr:uid="{00000000-0005-0000-0000-0000E72A0000}"/>
    <cellStyle name="표준 5 2 2 2 4 4 10" xfId="24116" xr:uid="{00000000-0005-0000-0000-0000E82A0000}"/>
    <cellStyle name="표준 5 2 2 2 4 4 11" xfId="32327" xr:uid="{00000000-0005-0000-0000-0000E92A0000}"/>
    <cellStyle name="표준 5 2 2 2 4 4 12" xfId="40520" xr:uid="{00000000-0005-0000-0000-0000EA2A0000}"/>
    <cellStyle name="표준 5 2 2 2 4 4 2" xfId="1163" xr:uid="{00000000-0005-0000-0000-0000EB2A0000}"/>
    <cellStyle name="표준 5 2 2 2 4 4 2 2" xfId="10066" xr:uid="{00000000-0005-0000-0000-0000EC2A0000}"/>
    <cellStyle name="표준 5 2 2 2 4 4 2 2 2" xfId="14178" xr:uid="{00000000-0005-0000-0000-0000ED2A0000}"/>
    <cellStyle name="표준 5 2 2 2 4 4 2 2 2 2" xfId="30772" xr:uid="{00000000-0005-0000-0000-0000EE2A0000}"/>
    <cellStyle name="표준 5 2 2 2 4 4 2 2 2 3" xfId="38983" xr:uid="{00000000-0005-0000-0000-0000EF2A0000}"/>
    <cellStyle name="표준 5 2 2 2 4 4 2 2 2 4" xfId="47176" xr:uid="{00000000-0005-0000-0000-0000F02A0000}"/>
    <cellStyle name="표준 5 2 2 2 4 4 2 2 3" xfId="18418" xr:uid="{00000000-0005-0000-0000-0000F12A0000}"/>
    <cellStyle name="표준 5 2 2 2 4 4 2 2 4" xfId="22580" xr:uid="{00000000-0005-0000-0000-0000F22A0000}"/>
    <cellStyle name="표준 5 2 2 2 4 4 2 2 5" xfId="26676" xr:uid="{00000000-0005-0000-0000-0000F32A0000}"/>
    <cellStyle name="표준 5 2 2 2 4 4 2 2 6" xfId="34887" xr:uid="{00000000-0005-0000-0000-0000F42A0000}"/>
    <cellStyle name="표준 5 2 2 2 4 4 2 2 7" xfId="43080" xr:uid="{00000000-0005-0000-0000-0000F52A0000}"/>
    <cellStyle name="표준 5 2 2 2 4 4 2 3" xfId="8018" xr:uid="{00000000-0005-0000-0000-0000F62A0000}"/>
    <cellStyle name="표준 5 2 2 2 4 4 2 3 2" xfId="28724" xr:uid="{00000000-0005-0000-0000-0000F72A0000}"/>
    <cellStyle name="표준 5 2 2 2 4 4 2 3 3" xfId="36935" xr:uid="{00000000-0005-0000-0000-0000F82A0000}"/>
    <cellStyle name="표준 5 2 2 2 4 4 2 3 4" xfId="45128" xr:uid="{00000000-0005-0000-0000-0000F92A0000}"/>
    <cellStyle name="표준 5 2 2 2 4 4 2 4" xfId="12130" xr:uid="{00000000-0005-0000-0000-0000FA2A0000}"/>
    <cellStyle name="표준 5 2 2 2 4 4 2 5" xfId="16370" xr:uid="{00000000-0005-0000-0000-0000FB2A0000}"/>
    <cellStyle name="표준 5 2 2 2 4 4 2 6" xfId="20532" xr:uid="{00000000-0005-0000-0000-0000FC2A0000}"/>
    <cellStyle name="표준 5 2 2 2 4 4 2 7" xfId="24628" xr:uid="{00000000-0005-0000-0000-0000FD2A0000}"/>
    <cellStyle name="표준 5 2 2 2 4 4 2 8" xfId="32839" xr:uid="{00000000-0005-0000-0000-0000FE2A0000}"/>
    <cellStyle name="표준 5 2 2 2 4 4 2 9" xfId="41032" xr:uid="{00000000-0005-0000-0000-0000FF2A0000}"/>
    <cellStyle name="표준 5 2 2 2 4 4 3" xfId="1675" xr:uid="{00000000-0005-0000-0000-0000002B0000}"/>
    <cellStyle name="표준 5 2 2 2 4 4 3 2" xfId="10578" xr:uid="{00000000-0005-0000-0000-0000012B0000}"/>
    <cellStyle name="표준 5 2 2 2 4 4 3 2 2" xfId="14690" xr:uid="{00000000-0005-0000-0000-0000022B0000}"/>
    <cellStyle name="표준 5 2 2 2 4 4 3 2 2 2" xfId="31284" xr:uid="{00000000-0005-0000-0000-0000032B0000}"/>
    <cellStyle name="표준 5 2 2 2 4 4 3 2 2 3" xfId="39495" xr:uid="{00000000-0005-0000-0000-0000042B0000}"/>
    <cellStyle name="표준 5 2 2 2 4 4 3 2 2 4" xfId="47688" xr:uid="{00000000-0005-0000-0000-0000052B0000}"/>
    <cellStyle name="표준 5 2 2 2 4 4 3 2 3" xfId="18930" xr:uid="{00000000-0005-0000-0000-0000062B0000}"/>
    <cellStyle name="표준 5 2 2 2 4 4 3 2 4" xfId="23092" xr:uid="{00000000-0005-0000-0000-0000072B0000}"/>
    <cellStyle name="표준 5 2 2 2 4 4 3 2 5" xfId="27188" xr:uid="{00000000-0005-0000-0000-0000082B0000}"/>
    <cellStyle name="표준 5 2 2 2 4 4 3 2 6" xfId="35399" xr:uid="{00000000-0005-0000-0000-0000092B0000}"/>
    <cellStyle name="표준 5 2 2 2 4 4 3 2 7" xfId="43592" xr:uid="{00000000-0005-0000-0000-00000A2B0000}"/>
    <cellStyle name="표준 5 2 2 2 4 4 3 3" xfId="8530" xr:uid="{00000000-0005-0000-0000-00000B2B0000}"/>
    <cellStyle name="표준 5 2 2 2 4 4 3 3 2" xfId="29236" xr:uid="{00000000-0005-0000-0000-00000C2B0000}"/>
    <cellStyle name="표준 5 2 2 2 4 4 3 3 3" xfId="37447" xr:uid="{00000000-0005-0000-0000-00000D2B0000}"/>
    <cellStyle name="표준 5 2 2 2 4 4 3 3 4" xfId="45640" xr:uid="{00000000-0005-0000-0000-00000E2B0000}"/>
    <cellStyle name="표준 5 2 2 2 4 4 3 4" xfId="12642" xr:uid="{00000000-0005-0000-0000-00000F2B0000}"/>
    <cellStyle name="표준 5 2 2 2 4 4 3 5" xfId="16882" xr:uid="{00000000-0005-0000-0000-0000102B0000}"/>
    <cellStyle name="표준 5 2 2 2 4 4 3 6" xfId="21044" xr:uid="{00000000-0005-0000-0000-0000112B0000}"/>
    <cellStyle name="표준 5 2 2 2 4 4 3 7" xfId="25140" xr:uid="{00000000-0005-0000-0000-0000122B0000}"/>
    <cellStyle name="표준 5 2 2 2 4 4 3 8" xfId="33351" xr:uid="{00000000-0005-0000-0000-0000132B0000}"/>
    <cellStyle name="표준 5 2 2 2 4 4 3 9" xfId="41544" xr:uid="{00000000-0005-0000-0000-0000142B0000}"/>
    <cellStyle name="표준 5 2 2 2 4 4 4" xfId="2187" xr:uid="{00000000-0005-0000-0000-0000152B0000}"/>
    <cellStyle name="표준 5 2 2 2 4 4 4 2" xfId="11090" xr:uid="{00000000-0005-0000-0000-0000162B0000}"/>
    <cellStyle name="표준 5 2 2 2 4 4 4 2 2" xfId="15202" xr:uid="{00000000-0005-0000-0000-0000172B0000}"/>
    <cellStyle name="표준 5 2 2 2 4 4 4 2 2 2" xfId="31796" xr:uid="{00000000-0005-0000-0000-0000182B0000}"/>
    <cellStyle name="표준 5 2 2 2 4 4 4 2 2 3" xfId="40007" xr:uid="{00000000-0005-0000-0000-0000192B0000}"/>
    <cellStyle name="표준 5 2 2 2 4 4 4 2 2 4" xfId="48200" xr:uid="{00000000-0005-0000-0000-00001A2B0000}"/>
    <cellStyle name="표준 5 2 2 2 4 4 4 2 3" xfId="19442" xr:uid="{00000000-0005-0000-0000-00001B2B0000}"/>
    <cellStyle name="표준 5 2 2 2 4 4 4 2 4" xfId="23604" xr:uid="{00000000-0005-0000-0000-00001C2B0000}"/>
    <cellStyle name="표준 5 2 2 2 4 4 4 2 5" xfId="27700" xr:uid="{00000000-0005-0000-0000-00001D2B0000}"/>
    <cellStyle name="표준 5 2 2 2 4 4 4 2 6" xfId="35911" xr:uid="{00000000-0005-0000-0000-00001E2B0000}"/>
    <cellStyle name="표준 5 2 2 2 4 4 4 2 7" xfId="44104" xr:uid="{00000000-0005-0000-0000-00001F2B0000}"/>
    <cellStyle name="표준 5 2 2 2 4 4 4 3" xfId="9042" xr:uid="{00000000-0005-0000-0000-0000202B0000}"/>
    <cellStyle name="표준 5 2 2 2 4 4 4 3 2" xfId="29748" xr:uid="{00000000-0005-0000-0000-0000212B0000}"/>
    <cellStyle name="표준 5 2 2 2 4 4 4 3 3" xfId="37959" xr:uid="{00000000-0005-0000-0000-0000222B0000}"/>
    <cellStyle name="표준 5 2 2 2 4 4 4 3 4" xfId="46152" xr:uid="{00000000-0005-0000-0000-0000232B0000}"/>
    <cellStyle name="표준 5 2 2 2 4 4 4 4" xfId="13154" xr:uid="{00000000-0005-0000-0000-0000242B0000}"/>
    <cellStyle name="표준 5 2 2 2 4 4 4 5" xfId="17394" xr:uid="{00000000-0005-0000-0000-0000252B0000}"/>
    <cellStyle name="표준 5 2 2 2 4 4 4 6" xfId="21556" xr:uid="{00000000-0005-0000-0000-0000262B0000}"/>
    <cellStyle name="표준 5 2 2 2 4 4 4 7" xfId="25652" xr:uid="{00000000-0005-0000-0000-0000272B0000}"/>
    <cellStyle name="표준 5 2 2 2 4 4 4 8" xfId="33863" xr:uid="{00000000-0005-0000-0000-0000282B0000}"/>
    <cellStyle name="표준 5 2 2 2 4 4 4 9" xfId="42056" xr:uid="{00000000-0005-0000-0000-0000292B0000}"/>
    <cellStyle name="표준 5 2 2 2 4 4 5" xfId="9554" xr:uid="{00000000-0005-0000-0000-00002A2B0000}"/>
    <cellStyle name="표준 5 2 2 2 4 4 5 2" xfId="13666" xr:uid="{00000000-0005-0000-0000-00002B2B0000}"/>
    <cellStyle name="표준 5 2 2 2 4 4 5 2 2" xfId="30260" xr:uid="{00000000-0005-0000-0000-00002C2B0000}"/>
    <cellStyle name="표준 5 2 2 2 4 4 5 2 3" xfId="38471" xr:uid="{00000000-0005-0000-0000-00002D2B0000}"/>
    <cellStyle name="표준 5 2 2 2 4 4 5 2 4" xfId="46664" xr:uid="{00000000-0005-0000-0000-00002E2B0000}"/>
    <cellStyle name="표준 5 2 2 2 4 4 5 3" xfId="17906" xr:uid="{00000000-0005-0000-0000-00002F2B0000}"/>
    <cellStyle name="표준 5 2 2 2 4 4 5 4" xfId="22068" xr:uid="{00000000-0005-0000-0000-0000302B0000}"/>
    <cellStyle name="표준 5 2 2 2 4 4 5 5" xfId="26164" xr:uid="{00000000-0005-0000-0000-0000312B0000}"/>
    <cellStyle name="표준 5 2 2 2 4 4 5 6" xfId="34375" xr:uid="{00000000-0005-0000-0000-0000322B0000}"/>
    <cellStyle name="표준 5 2 2 2 4 4 5 7" xfId="42568" xr:uid="{00000000-0005-0000-0000-0000332B0000}"/>
    <cellStyle name="표준 5 2 2 2 4 4 6" xfId="7506" xr:uid="{00000000-0005-0000-0000-0000342B0000}"/>
    <cellStyle name="표준 5 2 2 2 4 4 6 2" xfId="28212" xr:uid="{00000000-0005-0000-0000-0000352B0000}"/>
    <cellStyle name="표준 5 2 2 2 4 4 6 3" xfId="36423" xr:uid="{00000000-0005-0000-0000-0000362B0000}"/>
    <cellStyle name="표준 5 2 2 2 4 4 6 4" xfId="44616" xr:uid="{00000000-0005-0000-0000-0000372B0000}"/>
    <cellStyle name="표준 5 2 2 2 4 4 7" xfId="11618" xr:uid="{00000000-0005-0000-0000-0000382B0000}"/>
    <cellStyle name="표준 5 2 2 2 4 4 8" xfId="15858" xr:uid="{00000000-0005-0000-0000-0000392B0000}"/>
    <cellStyle name="표준 5 2 2 2 4 4 9" xfId="20020" xr:uid="{00000000-0005-0000-0000-00003A2B0000}"/>
    <cellStyle name="표준 5 2 2 2 4 5" xfId="907" xr:uid="{00000000-0005-0000-0000-00003B2B0000}"/>
    <cellStyle name="표준 5 2 2 2 4 5 2" xfId="9810" xr:uid="{00000000-0005-0000-0000-00003C2B0000}"/>
    <cellStyle name="표준 5 2 2 2 4 5 2 2" xfId="13922" xr:uid="{00000000-0005-0000-0000-00003D2B0000}"/>
    <cellStyle name="표준 5 2 2 2 4 5 2 2 2" xfId="30516" xr:uid="{00000000-0005-0000-0000-00003E2B0000}"/>
    <cellStyle name="표준 5 2 2 2 4 5 2 2 3" xfId="38727" xr:uid="{00000000-0005-0000-0000-00003F2B0000}"/>
    <cellStyle name="표준 5 2 2 2 4 5 2 2 4" xfId="46920" xr:uid="{00000000-0005-0000-0000-0000402B0000}"/>
    <cellStyle name="표준 5 2 2 2 4 5 2 3" xfId="18162" xr:uid="{00000000-0005-0000-0000-0000412B0000}"/>
    <cellStyle name="표준 5 2 2 2 4 5 2 4" xfId="22324" xr:uid="{00000000-0005-0000-0000-0000422B0000}"/>
    <cellStyle name="표준 5 2 2 2 4 5 2 5" xfId="26420" xr:uid="{00000000-0005-0000-0000-0000432B0000}"/>
    <cellStyle name="표준 5 2 2 2 4 5 2 6" xfId="34631" xr:uid="{00000000-0005-0000-0000-0000442B0000}"/>
    <cellStyle name="표준 5 2 2 2 4 5 2 7" xfId="42824" xr:uid="{00000000-0005-0000-0000-0000452B0000}"/>
    <cellStyle name="표준 5 2 2 2 4 5 3" xfId="7762" xr:uid="{00000000-0005-0000-0000-0000462B0000}"/>
    <cellStyle name="표준 5 2 2 2 4 5 3 2" xfId="28468" xr:uid="{00000000-0005-0000-0000-0000472B0000}"/>
    <cellStyle name="표준 5 2 2 2 4 5 3 3" xfId="36679" xr:uid="{00000000-0005-0000-0000-0000482B0000}"/>
    <cellStyle name="표준 5 2 2 2 4 5 3 4" xfId="44872" xr:uid="{00000000-0005-0000-0000-0000492B0000}"/>
    <cellStyle name="표준 5 2 2 2 4 5 4" xfId="11874" xr:uid="{00000000-0005-0000-0000-00004A2B0000}"/>
    <cellStyle name="표준 5 2 2 2 4 5 5" xfId="16114" xr:uid="{00000000-0005-0000-0000-00004B2B0000}"/>
    <cellStyle name="표준 5 2 2 2 4 5 6" xfId="20276" xr:uid="{00000000-0005-0000-0000-00004C2B0000}"/>
    <cellStyle name="표준 5 2 2 2 4 5 7" xfId="24372" xr:uid="{00000000-0005-0000-0000-00004D2B0000}"/>
    <cellStyle name="표준 5 2 2 2 4 5 8" xfId="32583" xr:uid="{00000000-0005-0000-0000-00004E2B0000}"/>
    <cellStyle name="표준 5 2 2 2 4 5 9" xfId="40776" xr:uid="{00000000-0005-0000-0000-00004F2B0000}"/>
    <cellStyle name="표준 5 2 2 2 4 6" xfId="1419" xr:uid="{00000000-0005-0000-0000-0000502B0000}"/>
    <cellStyle name="표준 5 2 2 2 4 6 2" xfId="10322" xr:uid="{00000000-0005-0000-0000-0000512B0000}"/>
    <cellStyle name="표준 5 2 2 2 4 6 2 2" xfId="14434" xr:uid="{00000000-0005-0000-0000-0000522B0000}"/>
    <cellStyle name="표준 5 2 2 2 4 6 2 2 2" xfId="31028" xr:uid="{00000000-0005-0000-0000-0000532B0000}"/>
    <cellStyle name="표준 5 2 2 2 4 6 2 2 3" xfId="39239" xr:uid="{00000000-0005-0000-0000-0000542B0000}"/>
    <cellStyle name="표준 5 2 2 2 4 6 2 2 4" xfId="47432" xr:uid="{00000000-0005-0000-0000-0000552B0000}"/>
    <cellStyle name="표준 5 2 2 2 4 6 2 3" xfId="18674" xr:uid="{00000000-0005-0000-0000-0000562B0000}"/>
    <cellStyle name="표준 5 2 2 2 4 6 2 4" xfId="22836" xr:uid="{00000000-0005-0000-0000-0000572B0000}"/>
    <cellStyle name="표준 5 2 2 2 4 6 2 5" xfId="26932" xr:uid="{00000000-0005-0000-0000-0000582B0000}"/>
    <cellStyle name="표준 5 2 2 2 4 6 2 6" xfId="35143" xr:uid="{00000000-0005-0000-0000-0000592B0000}"/>
    <cellStyle name="표준 5 2 2 2 4 6 2 7" xfId="43336" xr:uid="{00000000-0005-0000-0000-00005A2B0000}"/>
    <cellStyle name="표준 5 2 2 2 4 6 3" xfId="8274" xr:uid="{00000000-0005-0000-0000-00005B2B0000}"/>
    <cellStyle name="표준 5 2 2 2 4 6 3 2" xfId="28980" xr:uid="{00000000-0005-0000-0000-00005C2B0000}"/>
    <cellStyle name="표준 5 2 2 2 4 6 3 3" xfId="37191" xr:uid="{00000000-0005-0000-0000-00005D2B0000}"/>
    <cellStyle name="표준 5 2 2 2 4 6 3 4" xfId="45384" xr:uid="{00000000-0005-0000-0000-00005E2B0000}"/>
    <cellStyle name="표준 5 2 2 2 4 6 4" xfId="12386" xr:uid="{00000000-0005-0000-0000-00005F2B0000}"/>
    <cellStyle name="표준 5 2 2 2 4 6 5" xfId="16626" xr:uid="{00000000-0005-0000-0000-0000602B0000}"/>
    <cellStyle name="표준 5 2 2 2 4 6 6" xfId="20788" xr:uid="{00000000-0005-0000-0000-0000612B0000}"/>
    <cellStyle name="표준 5 2 2 2 4 6 7" xfId="24884" xr:uid="{00000000-0005-0000-0000-0000622B0000}"/>
    <cellStyle name="표준 5 2 2 2 4 6 8" xfId="33095" xr:uid="{00000000-0005-0000-0000-0000632B0000}"/>
    <cellStyle name="표준 5 2 2 2 4 6 9" xfId="41288" xr:uid="{00000000-0005-0000-0000-0000642B0000}"/>
    <cellStyle name="표준 5 2 2 2 4 7" xfId="1931" xr:uid="{00000000-0005-0000-0000-0000652B0000}"/>
    <cellStyle name="표준 5 2 2 2 4 7 2" xfId="10834" xr:uid="{00000000-0005-0000-0000-0000662B0000}"/>
    <cellStyle name="표준 5 2 2 2 4 7 2 2" xfId="14946" xr:uid="{00000000-0005-0000-0000-0000672B0000}"/>
    <cellStyle name="표준 5 2 2 2 4 7 2 2 2" xfId="31540" xr:uid="{00000000-0005-0000-0000-0000682B0000}"/>
    <cellStyle name="표준 5 2 2 2 4 7 2 2 3" xfId="39751" xr:uid="{00000000-0005-0000-0000-0000692B0000}"/>
    <cellStyle name="표준 5 2 2 2 4 7 2 2 4" xfId="47944" xr:uid="{00000000-0005-0000-0000-00006A2B0000}"/>
    <cellStyle name="표준 5 2 2 2 4 7 2 3" xfId="19186" xr:uid="{00000000-0005-0000-0000-00006B2B0000}"/>
    <cellStyle name="표준 5 2 2 2 4 7 2 4" xfId="23348" xr:uid="{00000000-0005-0000-0000-00006C2B0000}"/>
    <cellStyle name="표준 5 2 2 2 4 7 2 5" xfId="27444" xr:uid="{00000000-0005-0000-0000-00006D2B0000}"/>
    <cellStyle name="표준 5 2 2 2 4 7 2 6" xfId="35655" xr:uid="{00000000-0005-0000-0000-00006E2B0000}"/>
    <cellStyle name="표준 5 2 2 2 4 7 2 7" xfId="43848" xr:uid="{00000000-0005-0000-0000-00006F2B0000}"/>
    <cellStyle name="표준 5 2 2 2 4 7 3" xfId="8786" xr:uid="{00000000-0005-0000-0000-0000702B0000}"/>
    <cellStyle name="표준 5 2 2 2 4 7 3 2" xfId="29492" xr:uid="{00000000-0005-0000-0000-0000712B0000}"/>
    <cellStyle name="표준 5 2 2 2 4 7 3 3" xfId="37703" xr:uid="{00000000-0005-0000-0000-0000722B0000}"/>
    <cellStyle name="표준 5 2 2 2 4 7 3 4" xfId="45896" xr:uid="{00000000-0005-0000-0000-0000732B0000}"/>
    <cellStyle name="표준 5 2 2 2 4 7 4" xfId="12898" xr:uid="{00000000-0005-0000-0000-0000742B0000}"/>
    <cellStyle name="표준 5 2 2 2 4 7 5" xfId="17138" xr:uid="{00000000-0005-0000-0000-0000752B0000}"/>
    <cellStyle name="표준 5 2 2 2 4 7 6" xfId="21300" xr:uid="{00000000-0005-0000-0000-0000762B0000}"/>
    <cellStyle name="표준 5 2 2 2 4 7 7" xfId="25396" xr:uid="{00000000-0005-0000-0000-0000772B0000}"/>
    <cellStyle name="표준 5 2 2 2 4 7 8" xfId="33607" xr:uid="{00000000-0005-0000-0000-0000782B0000}"/>
    <cellStyle name="표준 5 2 2 2 4 7 9" xfId="41800" xr:uid="{00000000-0005-0000-0000-0000792B0000}"/>
    <cellStyle name="표준 5 2 2 2 4 8" xfId="395" xr:uid="{00000000-0005-0000-0000-00007A2B0000}"/>
    <cellStyle name="표준 5 2 2 2 4 8 2" xfId="9298" xr:uid="{00000000-0005-0000-0000-00007B2B0000}"/>
    <cellStyle name="표준 5 2 2 2 4 8 2 2" xfId="30004" xr:uid="{00000000-0005-0000-0000-00007C2B0000}"/>
    <cellStyle name="표준 5 2 2 2 4 8 2 3" xfId="38215" xr:uid="{00000000-0005-0000-0000-00007D2B0000}"/>
    <cellStyle name="표준 5 2 2 2 4 8 2 4" xfId="46408" xr:uid="{00000000-0005-0000-0000-00007E2B0000}"/>
    <cellStyle name="표준 5 2 2 2 4 8 3" xfId="13410" xr:uid="{00000000-0005-0000-0000-00007F2B0000}"/>
    <cellStyle name="표준 5 2 2 2 4 8 4" xfId="17650" xr:uid="{00000000-0005-0000-0000-0000802B0000}"/>
    <cellStyle name="표준 5 2 2 2 4 8 5" xfId="21812" xr:uid="{00000000-0005-0000-0000-0000812B0000}"/>
    <cellStyle name="표준 5 2 2 2 4 8 6" xfId="25908" xr:uid="{00000000-0005-0000-0000-0000822B0000}"/>
    <cellStyle name="표준 5 2 2 2 4 8 7" xfId="34119" xr:uid="{00000000-0005-0000-0000-0000832B0000}"/>
    <cellStyle name="표준 5 2 2 2 4 8 8" xfId="42312" xr:uid="{00000000-0005-0000-0000-0000842B0000}"/>
    <cellStyle name="표준 5 2 2 2 4 9" xfId="6997" xr:uid="{00000000-0005-0000-0000-0000852B0000}"/>
    <cellStyle name="표준 5 2 2 2 4 9 2" xfId="27956" xr:uid="{00000000-0005-0000-0000-0000862B0000}"/>
    <cellStyle name="표준 5 2 2 2 4 9 3" xfId="36167" xr:uid="{00000000-0005-0000-0000-0000872B0000}"/>
    <cellStyle name="표준 5 2 2 2 4 9 4" xfId="44360" xr:uid="{00000000-0005-0000-0000-0000882B0000}"/>
    <cellStyle name="표준 5 2 2 2 5" xfId="427" xr:uid="{00000000-0005-0000-0000-0000892B0000}"/>
    <cellStyle name="표준 5 2 2 2 5 10" xfId="11394" xr:uid="{00000000-0005-0000-0000-00008A2B0000}"/>
    <cellStyle name="표준 5 2 2 2 5 11" xfId="15506" xr:uid="{00000000-0005-0000-0000-00008B2B0000}"/>
    <cellStyle name="표준 5 2 2 2 5 12" xfId="15634" xr:uid="{00000000-0005-0000-0000-00008C2B0000}"/>
    <cellStyle name="표준 5 2 2 2 5 13" xfId="19796" xr:uid="{00000000-0005-0000-0000-00008D2B0000}"/>
    <cellStyle name="표준 5 2 2 2 5 14" xfId="23892" xr:uid="{00000000-0005-0000-0000-00008E2B0000}"/>
    <cellStyle name="표준 5 2 2 2 5 15" xfId="32103" xr:uid="{00000000-0005-0000-0000-00008F2B0000}"/>
    <cellStyle name="표준 5 2 2 2 5 16" xfId="40296" xr:uid="{00000000-0005-0000-0000-0000902B0000}"/>
    <cellStyle name="표준 5 2 2 2 5 2" xfId="555" xr:uid="{00000000-0005-0000-0000-0000912B0000}"/>
    <cellStyle name="표준 5 2 2 2 5 2 10" xfId="19924" xr:uid="{00000000-0005-0000-0000-0000922B0000}"/>
    <cellStyle name="표준 5 2 2 2 5 2 11" xfId="24020" xr:uid="{00000000-0005-0000-0000-0000932B0000}"/>
    <cellStyle name="표준 5 2 2 2 5 2 12" xfId="32231" xr:uid="{00000000-0005-0000-0000-0000942B0000}"/>
    <cellStyle name="표준 5 2 2 2 5 2 13" xfId="40424" xr:uid="{00000000-0005-0000-0000-0000952B0000}"/>
    <cellStyle name="표준 5 2 2 2 5 2 2" xfId="811" xr:uid="{00000000-0005-0000-0000-0000962B0000}"/>
    <cellStyle name="표준 5 2 2 2 5 2 2 10" xfId="24276" xr:uid="{00000000-0005-0000-0000-0000972B0000}"/>
    <cellStyle name="표준 5 2 2 2 5 2 2 11" xfId="32487" xr:uid="{00000000-0005-0000-0000-0000982B0000}"/>
    <cellStyle name="표준 5 2 2 2 5 2 2 12" xfId="40680" xr:uid="{00000000-0005-0000-0000-0000992B0000}"/>
    <cellStyle name="표준 5 2 2 2 5 2 2 2" xfId="1323" xr:uid="{00000000-0005-0000-0000-00009A2B0000}"/>
    <cellStyle name="표준 5 2 2 2 5 2 2 2 2" xfId="10226" xr:uid="{00000000-0005-0000-0000-00009B2B0000}"/>
    <cellStyle name="표준 5 2 2 2 5 2 2 2 2 2" xfId="14338" xr:uid="{00000000-0005-0000-0000-00009C2B0000}"/>
    <cellStyle name="표준 5 2 2 2 5 2 2 2 2 2 2" xfId="30932" xr:uid="{00000000-0005-0000-0000-00009D2B0000}"/>
    <cellStyle name="표준 5 2 2 2 5 2 2 2 2 2 3" xfId="39143" xr:uid="{00000000-0005-0000-0000-00009E2B0000}"/>
    <cellStyle name="표준 5 2 2 2 5 2 2 2 2 2 4" xfId="47336" xr:uid="{00000000-0005-0000-0000-00009F2B0000}"/>
    <cellStyle name="표준 5 2 2 2 5 2 2 2 2 3" xfId="18578" xr:uid="{00000000-0005-0000-0000-0000A02B0000}"/>
    <cellStyle name="표준 5 2 2 2 5 2 2 2 2 4" xfId="22740" xr:uid="{00000000-0005-0000-0000-0000A12B0000}"/>
    <cellStyle name="표준 5 2 2 2 5 2 2 2 2 5" xfId="26836" xr:uid="{00000000-0005-0000-0000-0000A22B0000}"/>
    <cellStyle name="표준 5 2 2 2 5 2 2 2 2 6" xfId="35047" xr:uid="{00000000-0005-0000-0000-0000A32B0000}"/>
    <cellStyle name="표준 5 2 2 2 5 2 2 2 2 7" xfId="43240" xr:uid="{00000000-0005-0000-0000-0000A42B0000}"/>
    <cellStyle name="표준 5 2 2 2 5 2 2 2 3" xfId="8178" xr:uid="{00000000-0005-0000-0000-0000A52B0000}"/>
    <cellStyle name="표준 5 2 2 2 5 2 2 2 3 2" xfId="28884" xr:uid="{00000000-0005-0000-0000-0000A62B0000}"/>
    <cellStyle name="표준 5 2 2 2 5 2 2 2 3 3" xfId="37095" xr:uid="{00000000-0005-0000-0000-0000A72B0000}"/>
    <cellStyle name="표준 5 2 2 2 5 2 2 2 3 4" xfId="45288" xr:uid="{00000000-0005-0000-0000-0000A82B0000}"/>
    <cellStyle name="표준 5 2 2 2 5 2 2 2 4" xfId="12290" xr:uid="{00000000-0005-0000-0000-0000A92B0000}"/>
    <cellStyle name="표준 5 2 2 2 5 2 2 2 5" xfId="16530" xr:uid="{00000000-0005-0000-0000-0000AA2B0000}"/>
    <cellStyle name="표준 5 2 2 2 5 2 2 2 6" xfId="20692" xr:uid="{00000000-0005-0000-0000-0000AB2B0000}"/>
    <cellStyle name="표준 5 2 2 2 5 2 2 2 7" xfId="24788" xr:uid="{00000000-0005-0000-0000-0000AC2B0000}"/>
    <cellStyle name="표준 5 2 2 2 5 2 2 2 8" xfId="32999" xr:uid="{00000000-0005-0000-0000-0000AD2B0000}"/>
    <cellStyle name="표준 5 2 2 2 5 2 2 2 9" xfId="41192" xr:uid="{00000000-0005-0000-0000-0000AE2B0000}"/>
    <cellStyle name="표준 5 2 2 2 5 2 2 3" xfId="1835" xr:uid="{00000000-0005-0000-0000-0000AF2B0000}"/>
    <cellStyle name="표준 5 2 2 2 5 2 2 3 2" xfId="10738" xr:uid="{00000000-0005-0000-0000-0000B02B0000}"/>
    <cellStyle name="표준 5 2 2 2 5 2 2 3 2 2" xfId="14850" xr:uid="{00000000-0005-0000-0000-0000B12B0000}"/>
    <cellStyle name="표준 5 2 2 2 5 2 2 3 2 2 2" xfId="31444" xr:uid="{00000000-0005-0000-0000-0000B22B0000}"/>
    <cellStyle name="표준 5 2 2 2 5 2 2 3 2 2 3" xfId="39655" xr:uid="{00000000-0005-0000-0000-0000B32B0000}"/>
    <cellStyle name="표준 5 2 2 2 5 2 2 3 2 2 4" xfId="47848" xr:uid="{00000000-0005-0000-0000-0000B42B0000}"/>
    <cellStyle name="표준 5 2 2 2 5 2 2 3 2 3" xfId="19090" xr:uid="{00000000-0005-0000-0000-0000B52B0000}"/>
    <cellStyle name="표준 5 2 2 2 5 2 2 3 2 4" xfId="23252" xr:uid="{00000000-0005-0000-0000-0000B62B0000}"/>
    <cellStyle name="표준 5 2 2 2 5 2 2 3 2 5" xfId="27348" xr:uid="{00000000-0005-0000-0000-0000B72B0000}"/>
    <cellStyle name="표준 5 2 2 2 5 2 2 3 2 6" xfId="35559" xr:uid="{00000000-0005-0000-0000-0000B82B0000}"/>
    <cellStyle name="표준 5 2 2 2 5 2 2 3 2 7" xfId="43752" xr:uid="{00000000-0005-0000-0000-0000B92B0000}"/>
    <cellStyle name="표준 5 2 2 2 5 2 2 3 3" xfId="8690" xr:uid="{00000000-0005-0000-0000-0000BA2B0000}"/>
    <cellStyle name="표준 5 2 2 2 5 2 2 3 3 2" xfId="29396" xr:uid="{00000000-0005-0000-0000-0000BB2B0000}"/>
    <cellStyle name="표준 5 2 2 2 5 2 2 3 3 3" xfId="37607" xr:uid="{00000000-0005-0000-0000-0000BC2B0000}"/>
    <cellStyle name="표준 5 2 2 2 5 2 2 3 3 4" xfId="45800" xr:uid="{00000000-0005-0000-0000-0000BD2B0000}"/>
    <cellStyle name="표준 5 2 2 2 5 2 2 3 4" xfId="12802" xr:uid="{00000000-0005-0000-0000-0000BE2B0000}"/>
    <cellStyle name="표준 5 2 2 2 5 2 2 3 5" xfId="17042" xr:uid="{00000000-0005-0000-0000-0000BF2B0000}"/>
    <cellStyle name="표준 5 2 2 2 5 2 2 3 6" xfId="21204" xr:uid="{00000000-0005-0000-0000-0000C02B0000}"/>
    <cellStyle name="표준 5 2 2 2 5 2 2 3 7" xfId="25300" xr:uid="{00000000-0005-0000-0000-0000C12B0000}"/>
    <cellStyle name="표준 5 2 2 2 5 2 2 3 8" xfId="33511" xr:uid="{00000000-0005-0000-0000-0000C22B0000}"/>
    <cellStyle name="표준 5 2 2 2 5 2 2 3 9" xfId="41704" xr:uid="{00000000-0005-0000-0000-0000C32B0000}"/>
    <cellStyle name="표준 5 2 2 2 5 2 2 4" xfId="2347" xr:uid="{00000000-0005-0000-0000-0000C42B0000}"/>
    <cellStyle name="표준 5 2 2 2 5 2 2 4 2" xfId="11250" xr:uid="{00000000-0005-0000-0000-0000C52B0000}"/>
    <cellStyle name="표준 5 2 2 2 5 2 2 4 2 2" xfId="15362" xr:uid="{00000000-0005-0000-0000-0000C62B0000}"/>
    <cellStyle name="표준 5 2 2 2 5 2 2 4 2 2 2" xfId="31956" xr:uid="{00000000-0005-0000-0000-0000C72B0000}"/>
    <cellStyle name="표준 5 2 2 2 5 2 2 4 2 2 3" xfId="40167" xr:uid="{00000000-0005-0000-0000-0000C82B0000}"/>
    <cellStyle name="표준 5 2 2 2 5 2 2 4 2 2 4" xfId="48360" xr:uid="{00000000-0005-0000-0000-0000C92B0000}"/>
    <cellStyle name="표준 5 2 2 2 5 2 2 4 2 3" xfId="19602" xr:uid="{00000000-0005-0000-0000-0000CA2B0000}"/>
    <cellStyle name="표준 5 2 2 2 5 2 2 4 2 4" xfId="23764" xr:uid="{00000000-0005-0000-0000-0000CB2B0000}"/>
    <cellStyle name="표준 5 2 2 2 5 2 2 4 2 5" xfId="27860" xr:uid="{00000000-0005-0000-0000-0000CC2B0000}"/>
    <cellStyle name="표준 5 2 2 2 5 2 2 4 2 6" xfId="36071" xr:uid="{00000000-0005-0000-0000-0000CD2B0000}"/>
    <cellStyle name="표준 5 2 2 2 5 2 2 4 2 7" xfId="44264" xr:uid="{00000000-0005-0000-0000-0000CE2B0000}"/>
    <cellStyle name="표준 5 2 2 2 5 2 2 4 3" xfId="9202" xr:uid="{00000000-0005-0000-0000-0000CF2B0000}"/>
    <cellStyle name="표준 5 2 2 2 5 2 2 4 3 2" xfId="29908" xr:uid="{00000000-0005-0000-0000-0000D02B0000}"/>
    <cellStyle name="표준 5 2 2 2 5 2 2 4 3 3" xfId="38119" xr:uid="{00000000-0005-0000-0000-0000D12B0000}"/>
    <cellStyle name="표준 5 2 2 2 5 2 2 4 3 4" xfId="46312" xr:uid="{00000000-0005-0000-0000-0000D22B0000}"/>
    <cellStyle name="표준 5 2 2 2 5 2 2 4 4" xfId="13314" xr:uid="{00000000-0005-0000-0000-0000D32B0000}"/>
    <cellStyle name="표준 5 2 2 2 5 2 2 4 5" xfId="17554" xr:uid="{00000000-0005-0000-0000-0000D42B0000}"/>
    <cellStyle name="표준 5 2 2 2 5 2 2 4 6" xfId="21716" xr:uid="{00000000-0005-0000-0000-0000D52B0000}"/>
    <cellStyle name="표준 5 2 2 2 5 2 2 4 7" xfId="25812" xr:uid="{00000000-0005-0000-0000-0000D62B0000}"/>
    <cellStyle name="표준 5 2 2 2 5 2 2 4 8" xfId="34023" xr:uid="{00000000-0005-0000-0000-0000D72B0000}"/>
    <cellStyle name="표준 5 2 2 2 5 2 2 4 9" xfId="42216" xr:uid="{00000000-0005-0000-0000-0000D82B0000}"/>
    <cellStyle name="표준 5 2 2 2 5 2 2 5" xfId="9714" xr:uid="{00000000-0005-0000-0000-0000D92B0000}"/>
    <cellStyle name="표준 5 2 2 2 5 2 2 5 2" xfId="13826" xr:uid="{00000000-0005-0000-0000-0000DA2B0000}"/>
    <cellStyle name="표준 5 2 2 2 5 2 2 5 2 2" xfId="30420" xr:uid="{00000000-0005-0000-0000-0000DB2B0000}"/>
    <cellStyle name="표준 5 2 2 2 5 2 2 5 2 3" xfId="38631" xr:uid="{00000000-0005-0000-0000-0000DC2B0000}"/>
    <cellStyle name="표준 5 2 2 2 5 2 2 5 2 4" xfId="46824" xr:uid="{00000000-0005-0000-0000-0000DD2B0000}"/>
    <cellStyle name="표준 5 2 2 2 5 2 2 5 3" xfId="18066" xr:uid="{00000000-0005-0000-0000-0000DE2B0000}"/>
    <cellStyle name="표준 5 2 2 2 5 2 2 5 4" xfId="22228" xr:uid="{00000000-0005-0000-0000-0000DF2B0000}"/>
    <cellStyle name="표준 5 2 2 2 5 2 2 5 5" xfId="26324" xr:uid="{00000000-0005-0000-0000-0000E02B0000}"/>
    <cellStyle name="표준 5 2 2 2 5 2 2 5 6" xfId="34535" xr:uid="{00000000-0005-0000-0000-0000E12B0000}"/>
    <cellStyle name="표준 5 2 2 2 5 2 2 5 7" xfId="42728" xr:uid="{00000000-0005-0000-0000-0000E22B0000}"/>
    <cellStyle name="표준 5 2 2 2 5 2 2 6" xfId="7666" xr:uid="{00000000-0005-0000-0000-0000E32B0000}"/>
    <cellStyle name="표준 5 2 2 2 5 2 2 6 2" xfId="28372" xr:uid="{00000000-0005-0000-0000-0000E42B0000}"/>
    <cellStyle name="표준 5 2 2 2 5 2 2 6 3" xfId="36583" xr:uid="{00000000-0005-0000-0000-0000E52B0000}"/>
    <cellStyle name="표준 5 2 2 2 5 2 2 6 4" xfId="44776" xr:uid="{00000000-0005-0000-0000-0000E62B0000}"/>
    <cellStyle name="표준 5 2 2 2 5 2 2 7" xfId="11778" xr:uid="{00000000-0005-0000-0000-0000E72B0000}"/>
    <cellStyle name="표준 5 2 2 2 5 2 2 8" xfId="16018" xr:uid="{00000000-0005-0000-0000-0000E82B0000}"/>
    <cellStyle name="표준 5 2 2 2 5 2 2 9" xfId="20180" xr:uid="{00000000-0005-0000-0000-0000E92B0000}"/>
    <cellStyle name="표준 5 2 2 2 5 2 3" xfId="1067" xr:uid="{00000000-0005-0000-0000-0000EA2B0000}"/>
    <cellStyle name="표준 5 2 2 2 5 2 3 2" xfId="9970" xr:uid="{00000000-0005-0000-0000-0000EB2B0000}"/>
    <cellStyle name="표준 5 2 2 2 5 2 3 2 2" xfId="14082" xr:uid="{00000000-0005-0000-0000-0000EC2B0000}"/>
    <cellStyle name="표준 5 2 2 2 5 2 3 2 2 2" xfId="30676" xr:uid="{00000000-0005-0000-0000-0000ED2B0000}"/>
    <cellStyle name="표준 5 2 2 2 5 2 3 2 2 3" xfId="38887" xr:uid="{00000000-0005-0000-0000-0000EE2B0000}"/>
    <cellStyle name="표준 5 2 2 2 5 2 3 2 2 4" xfId="47080" xr:uid="{00000000-0005-0000-0000-0000EF2B0000}"/>
    <cellStyle name="표준 5 2 2 2 5 2 3 2 3" xfId="18322" xr:uid="{00000000-0005-0000-0000-0000F02B0000}"/>
    <cellStyle name="표준 5 2 2 2 5 2 3 2 4" xfId="22484" xr:uid="{00000000-0005-0000-0000-0000F12B0000}"/>
    <cellStyle name="표준 5 2 2 2 5 2 3 2 5" xfId="26580" xr:uid="{00000000-0005-0000-0000-0000F22B0000}"/>
    <cellStyle name="표준 5 2 2 2 5 2 3 2 6" xfId="34791" xr:uid="{00000000-0005-0000-0000-0000F32B0000}"/>
    <cellStyle name="표준 5 2 2 2 5 2 3 2 7" xfId="42984" xr:uid="{00000000-0005-0000-0000-0000F42B0000}"/>
    <cellStyle name="표준 5 2 2 2 5 2 3 3" xfId="7922" xr:uid="{00000000-0005-0000-0000-0000F52B0000}"/>
    <cellStyle name="표준 5 2 2 2 5 2 3 3 2" xfId="28628" xr:uid="{00000000-0005-0000-0000-0000F62B0000}"/>
    <cellStyle name="표준 5 2 2 2 5 2 3 3 3" xfId="36839" xr:uid="{00000000-0005-0000-0000-0000F72B0000}"/>
    <cellStyle name="표준 5 2 2 2 5 2 3 3 4" xfId="45032" xr:uid="{00000000-0005-0000-0000-0000F82B0000}"/>
    <cellStyle name="표준 5 2 2 2 5 2 3 4" xfId="12034" xr:uid="{00000000-0005-0000-0000-0000F92B0000}"/>
    <cellStyle name="표준 5 2 2 2 5 2 3 5" xfId="16274" xr:uid="{00000000-0005-0000-0000-0000FA2B0000}"/>
    <cellStyle name="표준 5 2 2 2 5 2 3 6" xfId="20436" xr:uid="{00000000-0005-0000-0000-0000FB2B0000}"/>
    <cellStyle name="표준 5 2 2 2 5 2 3 7" xfId="24532" xr:uid="{00000000-0005-0000-0000-0000FC2B0000}"/>
    <cellStyle name="표준 5 2 2 2 5 2 3 8" xfId="32743" xr:uid="{00000000-0005-0000-0000-0000FD2B0000}"/>
    <cellStyle name="표준 5 2 2 2 5 2 3 9" xfId="40936" xr:uid="{00000000-0005-0000-0000-0000FE2B0000}"/>
    <cellStyle name="표준 5 2 2 2 5 2 4" xfId="1579" xr:uid="{00000000-0005-0000-0000-0000FF2B0000}"/>
    <cellStyle name="표준 5 2 2 2 5 2 4 2" xfId="10482" xr:uid="{00000000-0005-0000-0000-0000002C0000}"/>
    <cellStyle name="표준 5 2 2 2 5 2 4 2 2" xfId="14594" xr:uid="{00000000-0005-0000-0000-0000012C0000}"/>
    <cellStyle name="표준 5 2 2 2 5 2 4 2 2 2" xfId="31188" xr:uid="{00000000-0005-0000-0000-0000022C0000}"/>
    <cellStyle name="표준 5 2 2 2 5 2 4 2 2 3" xfId="39399" xr:uid="{00000000-0005-0000-0000-0000032C0000}"/>
    <cellStyle name="표준 5 2 2 2 5 2 4 2 2 4" xfId="47592" xr:uid="{00000000-0005-0000-0000-0000042C0000}"/>
    <cellStyle name="표준 5 2 2 2 5 2 4 2 3" xfId="18834" xr:uid="{00000000-0005-0000-0000-0000052C0000}"/>
    <cellStyle name="표준 5 2 2 2 5 2 4 2 4" xfId="22996" xr:uid="{00000000-0005-0000-0000-0000062C0000}"/>
    <cellStyle name="표준 5 2 2 2 5 2 4 2 5" xfId="27092" xr:uid="{00000000-0005-0000-0000-0000072C0000}"/>
    <cellStyle name="표준 5 2 2 2 5 2 4 2 6" xfId="35303" xr:uid="{00000000-0005-0000-0000-0000082C0000}"/>
    <cellStyle name="표준 5 2 2 2 5 2 4 2 7" xfId="43496" xr:uid="{00000000-0005-0000-0000-0000092C0000}"/>
    <cellStyle name="표준 5 2 2 2 5 2 4 3" xfId="8434" xr:uid="{00000000-0005-0000-0000-00000A2C0000}"/>
    <cellStyle name="표준 5 2 2 2 5 2 4 3 2" xfId="29140" xr:uid="{00000000-0005-0000-0000-00000B2C0000}"/>
    <cellStyle name="표준 5 2 2 2 5 2 4 3 3" xfId="37351" xr:uid="{00000000-0005-0000-0000-00000C2C0000}"/>
    <cellStyle name="표준 5 2 2 2 5 2 4 3 4" xfId="45544" xr:uid="{00000000-0005-0000-0000-00000D2C0000}"/>
    <cellStyle name="표준 5 2 2 2 5 2 4 4" xfId="12546" xr:uid="{00000000-0005-0000-0000-00000E2C0000}"/>
    <cellStyle name="표준 5 2 2 2 5 2 4 5" xfId="16786" xr:uid="{00000000-0005-0000-0000-00000F2C0000}"/>
    <cellStyle name="표준 5 2 2 2 5 2 4 6" xfId="20948" xr:uid="{00000000-0005-0000-0000-0000102C0000}"/>
    <cellStyle name="표준 5 2 2 2 5 2 4 7" xfId="25044" xr:uid="{00000000-0005-0000-0000-0000112C0000}"/>
    <cellStyle name="표준 5 2 2 2 5 2 4 8" xfId="33255" xr:uid="{00000000-0005-0000-0000-0000122C0000}"/>
    <cellStyle name="표준 5 2 2 2 5 2 4 9" xfId="41448" xr:uid="{00000000-0005-0000-0000-0000132C0000}"/>
    <cellStyle name="표준 5 2 2 2 5 2 5" xfId="2091" xr:uid="{00000000-0005-0000-0000-0000142C0000}"/>
    <cellStyle name="표준 5 2 2 2 5 2 5 2" xfId="10994" xr:uid="{00000000-0005-0000-0000-0000152C0000}"/>
    <cellStyle name="표준 5 2 2 2 5 2 5 2 2" xfId="15106" xr:uid="{00000000-0005-0000-0000-0000162C0000}"/>
    <cellStyle name="표준 5 2 2 2 5 2 5 2 2 2" xfId="31700" xr:uid="{00000000-0005-0000-0000-0000172C0000}"/>
    <cellStyle name="표준 5 2 2 2 5 2 5 2 2 3" xfId="39911" xr:uid="{00000000-0005-0000-0000-0000182C0000}"/>
    <cellStyle name="표준 5 2 2 2 5 2 5 2 2 4" xfId="48104" xr:uid="{00000000-0005-0000-0000-0000192C0000}"/>
    <cellStyle name="표준 5 2 2 2 5 2 5 2 3" xfId="19346" xr:uid="{00000000-0005-0000-0000-00001A2C0000}"/>
    <cellStyle name="표준 5 2 2 2 5 2 5 2 4" xfId="23508" xr:uid="{00000000-0005-0000-0000-00001B2C0000}"/>
    <cellStyle name="표준 5 2 2 2 5 2 5 2 5" xfId="27604" xr:uid="{00000000-0005-0000-0000-00001C2C0000}"/>
    <cellStyle name="표준 5 2 2 2 5 2 5 2 6" xfId="35815" xr:uid="{00000000-0005-0000-0000-00001D2C0000}"/>
    <cellStyle name="표준 5 2 2 2 5 2 5 2 7" xfId="44008" xr:uid="{00000000-0005-0000-0000-00001E2C0000}"/>
    <cellStyle name="표준 5 2 2 2 5 2 5 3" xfId="8946" xr:uid="{00000000-0005-0000-0000-00001F2C0000}"/>
    <cellStyle name="표준 5 2 2 2 5 2 5 3 2" xfId="29652" xr:uid="{00000000-0005-0000-0000-0000202C0000}"/>
    <cellStyle name="표준 5 2 2 2 5 2 5 3 3" xfId="37863" xr:uid="{00000000-0005-0000-0000-0000212C0000}"/>
    <cellStyle name="표준 5 2 2 2 5 2 5 3 4" xfId="46056" xr:uid="{00000000-0005-0000-0000-0000222C0000}"/>
    <cellStyle name="표준 5 2 2 2 5 2 5 4" xfId="13058" xr:uid="{00000000-0005-0000-0000-0000232C0000}"/>
    <cellStyle name="표준 5 2 2 2 5 2 5 5" xfId="17298" xr:uid="{00000000-0005-0000-0000-0000242C0000}"/>
    <cellStyle name="표준 5 2 2 2 5 2 5 6" xfId="21460" xr:uid="{00000000-0005-0000-0000-0000252C0000}"/>
    <cellStyle name="표준 5 2 2 2 5 2 5 7" xfId="25556" xr:uid="{00000000-0005-0000-0000-0000262C0000}"/>
    <cellStyle name="표준 5 2 2 2 5 2 5 8" xfId="33767" xr:uid="{00000000-0005-0000-0000-0000272C0000}"/>
    <cellStyle name="표준 5 2 2 2 5 2 5 9" xfId="41960" xr:uid="{00000000-0005-0000-0000-0000282C0000}"/>
    <cellStyle name="표준 5 2 2 2 5 2 6" xfId="9458" xr:uid="{00000000-0005-0000-0000-0000292C0000}"/>
    <cellStyle name="표준 5 2 2 2 5 2 6 2" xfId="13570" xr:uid="{00000000-0005-0000-0000-00002A2C0000}"/>
    <cellStyle name="표준 5 2 2 2 5 2 6 2 2" xfId="30164" xr:uid="{00000000-0005-0000-0000-00002B2C0000}"/>
    <cellStyle name="표준 5 2 2 2 5 2 6 2 3" xfId="38375" xr:uid="{00000000-0005-0000-0000-00002C2C0000}"/>
    <cellStyle name="표준 5 2 2 2 5 2 6 2 4" xfId="46568" xr:uid="{00000000-0005-0000-0000-00002D2C0000}"/>
    <cellStyle name="표준 5 2 2 2 5 2 6 3" xfId="17810" xr:uid="{00000000-0005-0000-0000-00002E2C0000}"/>
    <cellStyle name="표준 5 2 2 2 5 2 6 4" xfId="21972" xr:uid="{00000000-0005-0000-0000-00002F2C0000}"/>
    <cellStyle name="표준 5 2 2 2 5 2 6 5" xfId="26068" xr:uid="{00000000-0005-0000-0000-0000302C0000}"/>
    <cellStyle name="표준 5 2 2 2 5 2 6 6" xfId="34279" xr:uid="{00000000-0005-0000-0000-0000312C0000}"/>
    <cellStyle name="표준 5 2 2 2 5 2 6 7" xfId="42472" xr:uid="{00000000-0005-0000-0000-0000322C0000}"/>
    <cellStyle name="표준 5 2 2 2 5 2 7" xfId="7410" xr:uid="{00000000-0005-0000-0000-0000332C0000}"/>
    <cellStyle name="표준 5 2 2 2 5 2 7 2" xfId="28116" xr:uid="{00000000-0005-0000-0000-0000342C0000}"/>
    <cellStyle name="표준 5 2 2 2 5 2 7 3" xfId="36327" xr:uid="{00000000-0005-0000-0000-0000352C0000}"/>
    <cellStyle name="표준 5 2 2 2 5 2 7 4" xfId="44520" xr:uid="{00000000-0005-0000-0000-0000362C0000}"/>
    <cellStyle name="표준 5 2 2 2 5 2 8" xfId="11522" xr:uid="{00000000-0005-0000-0000-0000372C0000}"/>
    <cellStyle name="표준 5 2 2 2 5 2 9" xfId="15762" xr:uid="{00000000-0005-0000-0000-0000382C0000}"/>
    <cellStyle name="표준 5 2 2 2 5 3" xfId="683" xr:uid="{00000000-0005-0000-0000-0000392C0000}"/>
    <cellStyle name="표준 5 2 2 2 5 3 10" xfId="24148" xr:uid="{00000000-0005-0000-0000-00003A2C0000}"/>
    <cellStyle name="표준 5 2 2 2 5 3 11" xfId="32359" xr:uid="{00000000-0005-0000-0000-00003B2C0000}"/>
    <cellStyle name="표준 5 2 2 2 5 3 12" xfId="40552" xr:uid="{00000000-0005-0000-0000-00003C2C0000}"/>
    <cellStyle name="표준 5 2 2 2 5 3 2" xfId="1195" xr:uid="{00000000-0005-0000-0000-00003D2C0000}"/>
    <cellStyle name="표준 5 2 2 2 5 3 2 2" xfId="10098" xr:uid="{00000000-0005-0000-0000-00003E2C0000}"/>
    <cellStyle name="표준 5 2 2 2 5 3 2 2 2" xfId="14210" xr:uid="{00000000-0005-0000-0000-00003F2C0000}"/>
    <cellStyle name="표준 5 2 2 2 5 3 2 2 2 2" xfId="30804" xr:uid="{00000000-0005-0000-0000-0000402C0000}"/>
    <cellStyle name="표준 5 2 2 2 5 3 2 2 2 3" xfId="39015" xr:uid="{00000000-0005-0000-0000-0000412C0000}"/>
    <cellStyle name="표준 5 2 2 2 5 3 2 2 2 4" xfId="47208" xr:uid="{00000000-0005-0000-0000-0000422C0000}"/>
    <cellStyle name="표준 5 2 2 2 5 3 2 2 3" xfId="18450" xr:uid="{00000000-0005-0000-0000-0000432C0000}"/>
    <cellStyle name="표준 5 2 2 2 5 3 2 2 4" xfId="22612" xr:uid="{00000000-0005-0000-0000-0000442C0000}"/>
    <cellStyle name="표준 5 2 2 2 5 3 2 2 5" xfId="26708" xr:uid="{00000000-0005-0000-0000-0000452C0000}"/>
    <cellStyle name="표준 5 2 2 2 5 3 2 2 6" xfId="34919" xr:uid="{00000000-0005-0000-0000-0000462C0000}"/>
    <cellStyle name="표준 5 2 2 2 5 3 2 2 7" xfId="43112" xr:uid="{00000000-0005-0000-0000-0000472C0000}"/>
    <cellStyle name="표준 5 2 2 2 5 3 2 3" xfId="8050" xr:uid="{00000000-0005-0000-0000-0000482C0000}"/>
    <cellStyle name="표준 5 2 2 2 5 3 2 3 2" xfId="28756" xr:uid="{00000000-0005-0000-0000-0000492C0000}"/>
    <cellStyle name="표준 5 2 2 2 5 3 2 3 3" xfId="36967" xr:uid="{00000000-0005-0000-0000-00004A2C0000}"/>
    <cellStyle name="표준 5 2 2 2 5 3 2 3 4" xfId="45160" xr:uid="{00000000-0005-0000-0000-00004B2C0000}"/>
    <cellStyle name="표준 5 2 2 2 5 3 2 4" xfId="12162" xr:uid="{00000000-0005-0000-0000-00004C2C0000}"/>
    <cellStyle name="표준 5 2 2 2 5 3 2 5" xfId="16402" xr:uid="{00000000-0005-0000-0000-00004D2C0000}"/>
    <cellStyle name="표준 5 2 2 2 5 3 2 6" xfId="20564" xr:uid="{00000000-0005-0000-0000-00004E2C0000}"/>
    <cellStyle name="표준 5 2 2 2 5 3 2 7" xfId="24660" xr:uid="{00000000-0005-0000-0000-00004F2C0000}"/>
    <cellStyle name="표준 5 2 2 2 5 3 2 8" xfId="32871" xr:uid="{00000000-0005-0000-0000-0000502C0000}"/>
    <cellStyle name="표준 5 2 2 2 5 3 2 9" xfId="41064" xr:uid="{00000000-0005-0000-0000-0000512C0000}"/>
    <cellStyle name="표준 5 2 2 2 5 3 3" xfId="1707" xr:uid="{00000000-0005-0000-0000-0000522C0000}"/>
    <cellStyle name="표준 5 2 2 2 5 3 3 2" xfId="10610" xr:uid="{00000000-0005-0000-0000-0000532C0000}"/>
    <cellStyle name="표준 5 2 2 2 5 3 3 2 2" xfId="14722" xr:uid="{00000000-0005-0000-0000-0000542C0000}"/>
    <cellStyle name="표준 5 2 2 2 5 3 3 2 2 2" xfId="31316" xr:uid="{00000000-0005-0000-0000-0000552C0000}"/>
    <cellStyle name="표준 5 2 2 2 5 3 3 2 2 3" xfId="39527" xr:uid="{00000000-0005-0000-0000-0000562C0000}"/>
    <cellStyle name="표준 5 2 2 2 5 3 3 2 2 4" xfId="47720" xr:uid="{00000000-0005-0000-0000-0000572C0000}"/>
    <cellStyle name="표준 5 2 2 2 5 3 3 2 3" xfId="18962" xr:uid="{00000000-0005-0000-0000-0000582C0000}"/>
    <cellStyle name="표준 5 2 2 2 5 3 3 2 4" xfId="23124" xr:uid="{00000000-0005-0000-0000-0000592C0000}"/>
    <cellStyle name="표준 5 2 2 2 5 3 3 2 5" xfId="27220" xr:uid="{00000000-0005-0000-0000-00005A2C0000}"/>
    <cellStyle name="표준 5 2 2 2 5 3 3 2 6" xfId="35431" xr:uid="{00000000-0005-0000-0000-00005B2C0000}"/>
    <cellStyle name="표준 5 2 2 2 5 3 3 2 7" xfId="43624" xr:uid="{00000000-0005-0000-0000-00005C2C0000}"/>
    <cellStyle name="표준 5 2 2 2 5 3 3 3" xfId="8562" xr:uid="{00000000-0005-0000-0000-00005D2C0000}"/>
    <cellStyle name="표준 5 2 2 2 5 3 3 3 2" xfId="29268" xr:uid="{00000000-0005-0000-0000-00005E2C0000}"/>
    <cellStyle name="표준 5 2 2 2 5 3 3 3 3" xfId="37479" xr:uid="{00000000-0005-0000-0000-00005F2C0000}"/>
    <cellStyle name="표준 5 2 2 2 5 3 3 3 4" xfId="45672" xr:uid="{00000000-0005-0000-0000-0000602C0000}"/>
    <cellStyle name="표준 5 2 2 2 5 3 3 4" xfId="12674" xr:uid="{00000000-0005-0000-0000-0000612C0000}"/>
    <cellStyle name="표준 5 2 2 2 5 3 3 5" xfId="16914" xr:uid="{00000000-0005-0000-0000-0000622C0000}"/>
    <cellStyle name="표준 5 2 2 2 5 3 3 6" xfId="21076" xr:uid="{00000000-0005-0000-0000-0000632C0000}"/>
    <cellStyle name="표준 5 2 2 2 5 3 3 7" xfId="25172" xr:uid="{00000000-0005-0000-0000-0000642C0000}"/>
    <cellStyle name="표준 5 2 2 2 5 3 3 8" xfId="33383" xr:uid="{00000000-0005-0000-0000-0000652C0000}"/>
    <cellStyle name="표준 5 2 2 2 5 3 3 9" xfId="41576" xr:uid="{00000000-0005-0000-0000-0000662C0000}"/>
    <cellStyle name="표준 5 2 2 2 5 3 4" xfId="2219" xr:uid="{00000000-0005-0000-0000-0000672C0000}"/>
    <cellStyle name="표준 5 2 2 2 5 3 4 2" xfId="11122" xr:uid="{00000000-0005-0000-0000-0000682C0000}"/>
    <cellStyle name="표준 5 2 2 2 5 3 4 2 2" xfId="15234" xr:uid="{00000000-0005-0000-0000-0000692C0000}"/>
    <cellStyle name="표준 5 2 2 2 5 3 4 2 2 2" xfId="31828" xr:uid="{00000000-0005-0000-0000-00006A2C0000}"/>
    <cellStyle name="표준 5 2 2 2 5 3 4 2 2 3" xfId="40039" xr:uid="{00000000-0005-0000-0000-00006B2C0000}"/>
    <cellStyle name="표준 5 2 2 2 5 3 4 2 2 4" xfId="48232" xr:uid="{00000000-0005-0000-0000-00006C2C0000}"/>
    <cellStyle name="표준 5 2 2 2 5 3 4 2 3" xfId="19474" xr:uid="{00000000-0005-0000-0000-00006D2C0000}"/>
    <cellStyle name="표준 5 2 2 2 5 3 4 2 4" xfId="23636" xr:uid="{00000000-0005-0000-0000-00006E2C0000}"/>
    <cellStyle name="표준 5 2 2 2 5 3 4 2 5" xfId="27732" xr:uid="{00000000-0005-0000-0000-00006F2C0000}"/>
    <cellStyle name="표준 5 2 2 2 5 3 4 2 6" xfId="35943" xr:uid="{00000000-0005-0000-0000-0000702C0000}"/>
    <cellStyle name="표준 5 2 2 2 5 3 4 2 7" xfId="44136" xr:uid="{00000000-0005-0000-0000-0000712C0000}"/>
    <cellStyle name="표준 5 2 2 2 5 3 4 3" xfId="9074" xr:uid="{00000000-0005-0000-0000-0000722C0000}"/>
    <cellStyle name="표준 5 2 2 2 5 3 4 3 2" xfId="29780" xr:uid="{00000000-0005-0000-0000-0000732C0000}"/>
    <cellStyle name="표준 5 2 2 2 5 3 4 3 3" xfId="37991" xr:uid="{00000000-0005-0000-0000-0000742C0000}"/>
    <cellStyle name="표준 5 2 2 2 5 3 4 3 4" xfId="46184" xr:uid="{00000000-0005-0000-0000-0000752C0000}"/>
    <cellStyle name="표준 5 2 2 2 5 3 4 4" xfId="13186" xr:uid="{00000000-0005-0000-0000-0000762C0000}"/>
    <cellStyle name="표준 5 2 2 2 5 3 4 5" xfId="17426" xr:uid="{00000000-0005-0000-0000-0000772C0000}"/>
    <cellStyle name="표준 5 2 2 2 5 3 4 6" xfId="21588" xr:uid="{00000000-0005-0000-0000-0000782C0000}"/>
    <cellStyle name="표준 5 2 2 2 5 3 4 7" xfId="25684" xr:uid="{00000000-0005-0000-0000-0000792C0000}"/>
    <cellStyle name="표준 5 2 2 2 5 3 4 8" xfId="33895" xr:uid="{00000000-0005-0000-0000-00007A2C0000}"/>
    <cellStyle name="표준 5 2 2 2 5 3 4 9" xfId="42088" xr:uid="{00000000-0005-0000-0000-00007B2C0000}"/>
    <cellStyle name="표준 5 2 2 2 5 3 5" xfId="9586" xr:uid="{00000000-0005-0000-0000-00007C2C0000}"/>
    <cellStyle name="표준 5 2 2 2 5 3 5 2" xfId="13698" xr:uid="{00000000-0005-0000-0000-00007D2C0000}"/>
    <cellStyle name="표준 5 2 2 2 5 3 5 2 2" xfId="30292" xr:uid="{00000000-0005-0000-0000-00007E2C0000}"/>
    <cellStyle name="표준 5 2 2 2 5 3 5 2 3" xfId="38503" xr:uid="{00000000-0005-0000-0000-00007F2C0000}"/>
    <cellStyle name="표준 5 2 2 2 5 3 5 2 4" xfId="46696" xr:uid="{00000000-0005-0000-0000-0000802C0000}"/>
    <cellStyle name="표준 5 2 2 2 5 3 5 3" xfId="17938" xr:uid="{00000000-0005-0000-0000-0000812C0000}"/>
    <cellStyle name="표준 5 2 2 2 5 3 5 4" xfId="22100" xr:uid="{00000000-0005-0000-0000-0000822C0000}"/>
    <cellStyle name="표준 5 2 2 2 5 3 5 5" xfId="26196" xr:uid="{00000000-0005-0000-0000-0000832C0000}"/>
    <cellStyle name="표준 5 2 2 2 5 3 5 6" xfId="34407" xr:uid="{00000000-0005-0000-0000-0000842C0000}"/>
    <cellStyle name="표준 5 2 2 2 5 3 5 7" xfId="42600" xr:uid="{00000000-0005-0000-0000-0000852C0000}"/>
    <cellStyle name="표준 5 2 2 2 5 3 6" xfId="7538" xr:uid="{00000000-0005-0000-0000-0000862C0000}"/>
    <cellStyle name="표준 5 2 2 2 5 3 6 2" xfId="28244" xr:uid="{00000000-0005-0000-0000-0000872C0000}"/>
    <cellStyle name="표준 5 2 2 2 5 3 6 3" xfId="36455" xr:uid="{00000000-0005-0000-0000-0000882C0000}"/>
    <cellStyle name="표준 5 2 2 2 5 3 6 4" xfId="44648" xr:uid="{00000000-0005-0000-0000-0000892C0000}"/>
    <cellStyle name="표준 5 2 2 2 5 3 7" xfId="11650" xr:uid="{00000000-0005-0000-0000-00008A2C0000}"/>
    <cellStyle name="표준 5 2 2 2 5 3 8" xfId="15890" xr:uid="{00000000-0005-0000-0000-00008B2C0000}"/>
    <cellStyle name="표준 5 2 2 2 5 3 9" xfId="20052" xr:uid="{00000000-0005-0000-0000-00008C2C0000}"/>
    <cellStyle name="표준 5 2 2 2 5 4" xfId="939" xr:uid="{00000000-0005-0000-0000-00008D2C0000}"/>
    <cellStyle name="표준 5 2 2 2 5 4 2" xfId="9842" xr:uid="{00000000-0005-0000-0000-00008E2C0000}"/>
    <cellStyle name="표준 5 2 2 2 5 4 2 2" xfId="13954" xr:uid="{00000000-0005-0000-0000-00008F2C0000}"/>
    <cellStyle name="표준 5 2 2 2 5 4 2 2 2" xfId="30548" xr:uid="{00000000-0005-0000-0000-0000902C0000}"/>
    <cellStyle name="표준 5 2 2 2 5 4 2 2 3" xfId="38759" xr:uid="{00000000-0005-0000-0000-0000912C0000}"/>
    <cellStyle name="표준 5 2 2 2 5 4 2 2 4" xfId="46952" xr:uid="{00000000-0005-0000-0000-0000922C0000}"/>
    <cellStyle name="표준 5 2 2 2 5 4 2 3" xfId="18194" xr:uid="{00000000-0005-0000-0000-0000932C0000}"/>
    <cellStyle name="표준 5 2 2 2 5 4 2 4" xfId="22356" xr:uid="{00000000-0005-0000-0000-0000942C0000}"/>
    <cellStyle name="표준 5 2 2 2 5 4 2 5" xfId="26452" xr:uid="{00000000-0005-0000-0000-0000952C0000}"/>
    <cellStyle name="표준 5 2 2 2 5 4 2 6" xfId="34663" xr:uid="{00000000-0005-0000-0000-0000962C0000}"/>
    <cellStyle name="표준 5 2 2 2 5 4 2 7" xfId="42856" xr:uid="{00000000-0005-0000-0000-0000972C0000}"/>
    <cellStyle name="표준 5 2 2 2 5 4 3" xfId="7794" xr:uid="{00000000-0005-0000-0000-0000982C0000}"/>
    <cellStyle name="표준 5 2 2 2 5 4 3 2" xfId="28500" xr:uid="{00000000-0005-0000-0000-0000992C0000}"/>
    <cellStyle name="표준 5 2 2 2 5 4 3 3" xfId="36711" xr:uid="{00000000-0005-0000-0000-00009A2C0000}"/>
    <cellStyle name="표준 5 2 2 2 5 4 3 4" xfId="44904" xr:uid="{00000000-0005-0000-0000-00009B2C0000}"/>
    <cellStyle name="표준 5 2 2 2 5 4 4" xfId="11906" xr:uid="{00000000-0005-0000-0000-00009C2C0000}"/>
    <cellStyle name="표준 5 2 2 2 5 4 5" xfId="16146" xr:uid="{00000000-0005-0000-0000-00009D2C0000}"/>
    <cellStyle name="표준 5 2 2 2 5 4 6" xfId="20308" xr:uid="{00000000-0005-0000-0000-00009E2C0000}"/>
    <cellStyle name="표준 5 2 2 2 5 4 7" xfId="24404" xr:uid="{00000000-0005-0000-0000-00009F2C0000}"/>
    <cellStyle name="표준 5 2 2 2 5 4 8" xfId="32615" xr:uid="{00000000-0005-0000-0000-0000A02C0000}"/>
    <cellStyle name="표준 5 2 2 2 5 4 9" xfId="40808" xr:uid="{00000000-0005-0000-0000-0000A12C0000}"/>
    <cellStyle name="표준 5 2 2 2 5 5" xfId="1451" xr:uid="{00000000-0005-0000-0000-0000A22C0000}"/>
    <cellStyle name="표준 5 2 2 2 5 5 2" xfId="10354" xr:uid="{00000000-0005-0000-0000-0000A32C0000}"/>
    <cellStyle name="표준 5 2 2 2 5 5 2 2" xfId="14466" xr:uid="{00000000-0005-0000-0000-0000A42C0000}"/>
    <cellStyle name="표준 5 2 2 2 5 5 2 2 2" xfId="31060" xr:uid="{00000000-0005-0000-0000-0000A52C0000}"/>
    <cellStyle name="표준 5 2 2 2 5 5 2 2 3" xfId="39271" xr:uid="{00000000-0005-0000-0000-0000A62C0000}"/>
    <cellStyle name="표준 5 2 2 2 5 5 2 2 4" xfId="47464" xr:uid="{00000000-0005-0000-0000-0000A72C0000}"/>
    <cellStyle name="표준 5 2 2 2 5 5 2 3" xfId="18706" xr:uid="{00000000-0005-0000-0000-0000A82C0000}"/>
    <cellStyle name="표준 5 2 2 2 5 5 2 4" xfId="22868" xr:uid="{00000000-0005-0000-0000-0000A92C0000}"/>
    <cellStyle name="표준 5 2 2 2 5 5 2 5" xfId="26964" xr:uid="{00000000-0005-0000-0000-0000AA2C0000}"/>
    <cellStyle name="표준 5 2 2 2 5 5 2 6" xfId="35175" xr:uid="{00000000-0005-0000-0000-0000AB2C0000}"/>
    <cellStyle name="표준 5 2 2 2 5 5 2 7" xfId="43368" xr:uid="{00000000-0005-0000-0000-0000AC2C0000}"/>
    <cellStyle name="표준 5 2 2 2 5 5 3" xfId="8306" xr:uid="{00000000-0005-0000-0000-0000AD2C0000}"/>
    <cellStyle name="표준 5 2 2 2 5 5 3 2" xfId="29012" xr:uid="{00000000-0005-0000-0000-0000AE2C0000}"/>
    <cellStyle name="표준 5 2 2 2 5 5 3 3" xfId="37223" xr:uid="{00000000-0005-0000-0000-0000AF2C0000}"/>
    <cellStyle name="표준 5 2 2 2 5 5 3 4" xfId="45416" xr:uid="{00000000-0005-0000-0000-0000B02C0000}"/>
    <cellStyle name="표준 5 2 2 2 5 5 4" xfId="12418" xr:uid="{00000000-0005-0000-0000-0000B12C0000}"/>
    <cellStyle name="표준 5 2 2 2 5 5 5" xfId="16658" xr:uid="{00000000-0005-0000-0000-0000B22C0000}"/>
    <cellStyle name="표준 5 2 2 2 5 5 6" xfId="20820" xr:uid="{00000000-0005-0000-0000-0000B32C0000}"/>
    <cellStyle name="표준 5 2 2 2 5 5 7" xfId="24916" xr:uid="{00000000-0005-0000-0000-0000B42C0000}"/>
    <cellStyle name="표준 5 2 2 2 5 5 8" xfId="33127" xr:uid="{00000000-0005-0000-0000-0000B52C0000}"/>
    <cellStyle name="표준 5 2 2 2 5 5 9" xfId="41320" xr:uid="{00000000-0005-0000-0000-0000B62C0000}"/>
    <cellStyle name="표준 5 2 2 2 5 6" xfId="1963" xr:uid="{00000000-0005-0000-0000-0000B72C0000}"/>
    <cellStyle name="표준 5 2 2 2 5 6 2" xfId="10866" xr:uid="{00000000-0005-0000-0000-0000B82C0000}"/>
    <cellStyle name="표준 5 2 2 2 5 6 2 2" xfId="14978" xr:uid="{00000000-0005-0000-0000-0000B92C0000}"/>
    <cellStyle name="표준 5 2 2 2 5 6 2 2 2" xfId="31572" xr:uid="{00000000-0005-0000-0000-0000BA2C0000}"/>
    <cellStyle name="표준 5 2 2 2 5 6 2 2 3" xfId="39783" xr:uid="{00000000-0005-0000-0000-0000BB2C0000}"/>
    <cellStyle name="표준 5 2 2 2 5 6 2 2 4" xfId="47976" xr:uid="{00000000-0005-0000-0000-0000BC2C0000}"/>
    <cellStyle name="표준 5 2 2 2 5 6 2 3" xfId="19218" xr:uid="{00000000-0005-0000-0000-0000BD2C0000}"/>
    <cellStyle name="표준 5 2 2 2 5 6 2 4" xfId="23380" xr:uid="{00000000-0005-0000-0000-0000BE2C0000}"/>
    <cellStyle name="표준 5 2 2 2 5 6 2 5" xfId="27476" xr:uid="{00000000-0005-0000-0000-0000BF2C0000}"/>
    <cellStyle name="표준 5 2 2 2 5 6 2 6" xfId="35687" xr:uid="{00000000-0005-0000-0000-0000C02C0000}"/>
    <cellStyle name="표준 5 2 2 2 5 6 2 7" xfId="43880" xr:uid="{00000000-0005-0000-0000-0000C12C0000}"/>
    <cellStyle name="표준 5 2 2 2 5 6 3" xfId="8818" xr:uid="{00000000-0005-0000-0000-0000C22C0000}"/>
    <cellStyle name="표준 5 2 2 2 5 6 3 2" xfId="29524" xr:uid="{00000000-0005-0000-0000-0000C32C0000}"/>
    <cellStyle name="표준 5 2 2 2 5 6 3 3" xfId="37735" xr:uid="{00000000-0005-0000-0000-0000C42C0000}"/>
    <cellStyle name="표준 5 2 2 2 5 6 3 4" xfId="45928" xr:uid="{00000000-0005-0000-0000-0000C52C0000}"/>
    <cellStyle name="표준 5 2 2 2 5 6 4" xfId="12930" xr:uid="{00000000-0005-0000-0000-0000C62C0000}"/>
    <cellStyle name="표준 5 2 2 2 5 6 5" xfId="17170" xr:uid="{00000000-0005-0000-0000-0000C72C0000}"/>
    <cellStyle name="표준 5 2 2 2 5 6 6" xfId="21332" xr:uid="{00000000-0005-0000-0000-0000C82C0000}"/>
    <cellStyle name="표준 5 2 2 2 5 6 7" xfId="25428" xr:uid="{00000000-0005-0000-0000-0000C92C0000}"/>
    <cellStyle name="표준 5 2 2 2 5 6 8" xfId="33639" xr:uid="{00000000-0005-0000-0000-0000CA2C0000}"/>
    <cellStyle name="표준 5 2 2 2 5 6 9" xfId="41832" xr:uid="{00000000-0005-0000-0000-0000CB2C0000}"/>
    <cellStyle name="표준 5 2 2 2 5 7" xfId="7023" xr:uid="{00000000-0005-0000-0000-0000CC2C0000}"/>
    <cellStyle name="표준 5 2 2 2 5 7 2" xfId="9330" xr:uid="{00000000-0005-0000-0000-0000CD2C0000}"/>
    <cellStyle name="표준 5 2 2 2 5 7 2 2" xfId="30036" xr:uid="{00000000-0005-0000-0000-0000CE2C0000}"/>
    <cellStyle name="표준 5 2 2 2 5 7 2 3" xfId="38247" xr:uid="{00000000-0005-0000-0000-0000CF2C0000}"/>
    <cellStyle name="표준 5 2 2 2 5 7 2 4" xfId="46440" xr:uid="{00000000-0005-0000-0000-0000D02C0000}"/>
    <cellStyle name="표준 5 2 2 2 5 7 3" xfId="13442" xr:uid="{00000000-0005-0000-0000-0000D12C0000}"/>
    <cellStyle name="표준 5 2 2 2 5 7 4" xfId="17682" xr:uid="{00000000-0005-0000-0000-0000D22C0000}"/>
    <cellStyle name="표준 5 2 2 2 5 7 5" xfId="21844" xr:uid="{00000000-0005-0000-0000-0000D32C0000}"/>
    <cellStyle name="표준 5 2 2 2 5 7 6" xfId="25940" xr:uid="{00000000-0005-0000-0000-0000D42C0000}"/>
    <cellStyle name="표준 5 2 2 2 5 7 7" xfId="34151" xr:uid="{00000000-0005-0000-0000-0000D52C0000}"/>
    <cellStyle name="표준 5 2 2 2 5 7 8" xfId="42344" xr:uid="{00000000-0005-0000-0000-0000D62C0000}"/>
    <cellStyle name="표준 5 2 2 2 5 8" xfId="7155" xr:uid="{00000000-0005-0000-0000-0000D72C0000}"/>
    <cellStyle name="표준 5 2 2 2 5 8 2" xfId="27988" xr:uid="{00000000-0005-0000-0000-0000D82C0000}"/>
    <cellStyle name="표준 5 2 2 2 5 8 3" xfId="36199" xr:uid="{00000000-0005-0000-0000-0000D92C0000}"/>
    <cellStyle name="표준 5 2 2 2 5 8 4" xfId="44392" xr:uid="{00000000-0005-0000-0000-0000DA2C0000}"/>
    <cellStyle name="표준 5 2 2 2 5 9" xfId="7282" xr:uid="{00000000-0005-0000-0000-0000DB2C0000}"/>
    <cellStyle name="표준 5 2 2 2 6" xfId="491" xr:uid="{00000000-0005-0000-0000-0000DC2C0000}"/>
    <cellStyle name="표준 5 2 2 2 6 10" xfId="19860" xr:uid="{00000000-0005-0000-0000-0000DD2C0000}"/>
    <cellStyle name="표준 5 2 2 2 6 11" xfId="23956" xr:uid="{00000000-0005-0000-0000-0000DE2C0000}"/>
    <cellStyle name="표준 5 2 2 2 6 12" xfId="32167" xr:uid="{00000000-0005-0000-0000-0000DF2C0000}"/>
    <cellStyle name="표준 5 2 2 2 6 13" xfId="40360" xr:uid="{00000000-0005-0000-0000-0000E02C0000}"/>
    <cellStyle name="표준 5 2 2 2 6 2" xfId="747" xr:uid="{00000000-0005-0000-0000-0000E12C0000}"/>
    <cellStyle name="표준 5 2 2 2 6 2 10" xfId="24212" xr:uid="{00000000-0005-0000-0000-0000E22C0000}"/>
    <cellStyle name="표준 5 2 2 2 6 2 11" xfId="32423" xr:uid="{00000000-0005-0000-0000-0000E32C0000}"/>
    <cellStyle name="표준 5 2 2 2 6 2 12" xfId="40616" xr:uid="{00000000-0005-0000-0000-0000E42C0000}"/>
    <cellStyle name="표준 5 2 2 2 6 2 2" xfId="1259" xr:uid="{00000000-0005-0000-0000-0000E52C0000}"/>
    <cellStyle name="표준 5 2 2 2 6 2 2 2" xfId="10162" xr:uid="{00000000-0005-0000-0000-0000E62C0000}"/>
    <cellStyle name="표준 5 2 2 2 6 2 2 2 2" xfId="14274" xr:uid="{00000000-0005-0000-0000-0000E72C0000}"/>
    <cellStyle name="표준 5 2 2 2 6 2 2 2 2 2" xfId="30868" xr:uid="{00000000-0005-0000-0000-0000E82C0000}"/>
    <cellStyle name="표준 5 2 2 2 6 2 2 2 2 3" xfId="39079" xr:uid="{00000000-0005-0000-0000-0000E92C0000}"/>
    <cellStyle name="표준 5 2 2 2 6 2 2 2 2 4" xfId="47272" xr:uid="{00000000-0005-0000-0000-0000EA2C0000}"/>
    <cellStyle name="표준 5 2 2 2 6 2 2 2 3" xfId="18514" xr:uid="{00000000-0005-0000-0000-0000EB2C0000}"/>
    <cellStyle name="표준 5 2 2 2 6 2 2 2 4" xfId="22676" xr:uid="{00000000-0005-0000-0000-0000EC2C0000}"/>
    <cellStyle name="표준 5 2 2 2 6 2 2 2 5" xfId="26772" xr:uid="{00000000-0005-0000-0000-0000ED2C0000}"/>
    <cellStyle name="표준 5 2 2 2 6 2 2 2 6" xfId="34983" xr:uid="{00000000-0005-0000-0000-0000EE2C0000}"/>
    <cellStyle name="표준 5 2 2 2 6 2 2 2 7" xfId="43176" xr:uid="{00000000-0005-0000-0000-0000EF2C0000}"/>
    <cellStyle name="표준 5 2 2 2 6 2 2 3" xfId="8114" xr:uid="{00000000-0005-0000-0000-0000F02C0000}"/>
    <cellStyle name="표준 5 2 2 2 6 2 2 3 2" xfId="28820" xr:uid="{00000000-0005-0000-0000-0000F12C0000}"/>
    <cellStyle name="표준 5 2 2 2 6 2 2 3 3" xfId="37031" xr:uid="{00000000-0005-0000-0000-0000F22C0000}"/>
    <cellStyle name="표준 5 2 2 2 6 2 2 3 4" xfId="45224" xr:uid="{00000000-0005-0000-0000-0000F32C0000}"/>
    <cellStyle name="표준 5 2 2 2 6 2 2 4" xfId="12226" xr:uid="{00000000-0005-0000-0000-0000F42C0000}"/>
    <cellStyle name="표준 5 2 2 2 6 2 2 5" xfId="16466" xr:uid="{00000000-0005-0000-0000-0000F52C0000}"/>
    <cellStyle name="표준 5 2 2 2 6 2 2 6" xfId="20628" xr:uid="{00000000-0005-0000-0000-0000F62C0000}"/>
    <cellStyle name="표준 5 2 2 2 6 2 2 7" xfId="24724" xr:uid="{00000000-0005-0000-0000-0000F72C0000}"/>
    <cellStyle name="표준 5 2 2 2 6 2 2 8" xfId="32935" xr:uid="{00000000-0005-0000-0000-0000F82C0000}"/>
    <cellStyle name="표준 5 2 2 2 6 2 2 9" xfId="41128" xr:uid="{00000000-0005-0000-0000-0000F92C0000}"/>
    <cellStyle name="표준 5 2 2 2 6 2 3" xfId="1771" xr:uid="{00000000-0005-0000-0000-0000FA2C0000}"/>
    <cellStyle name="표준 5 2 2 2 6 2 3 2" xfId="10674" xr:uid="{00000000-0005-0000-0000-0000FB2C0000}"/>
    <cellStyle name="표준 5 2 2 2 6 2 3 2 2" xfId="14786" xr:uid="{00000000-0005-0000-0000-0000FC2C0000}"/>
    <cellStyle name="표준 5 2 2 2 6 2 3 2 2 2" xfId="31380" xr:uid="{00000000-0005-0000-0000-0000FD2C0000}"/>
    <cellStyle name="표준 5 2 2 2 6 2 3 2 2 3" xfId="39591" xr:uid="{00000000-0005-0000-0000-0000FE2C0000}"/>
    <cellStyle name="표준 5 2 2 2 6 2 3 2 2 4" xfId="47784" xr:uid="{00000000-0005-0000-0000-0000FF2C0000}"/>
    <cellStyle name="표준 5 2 2 2 6 2 3 2 3" xfId="19026" xr:uid="{00000000-0005-0000-0000-0000002D0000}"/>
    <cellStyle name="표준 5 2 2 2 6 2 3 2 4" xfId="23188" xr:uid="{00000000-0005-0000-0000-0000012D0000}"/>
    <cellStyle name="표준 5 2 2 2 6 2 3 2 5" xfId="27284" xr:uid="{00000000-0005-0000-0000-0000022D0000}"/>
    <cellStyle name="표준 5 2 2 2 6 2 3 2 6" xfId="35495" xr:uid="{00000000-0005-0000-0000-0000032D0000}"/>
    <cellStyle name="표준 5 2 2 2 6 2 3 2 7" xfId="43688" xr:uid="{00000000-0005-0000-0000-0000042D0000}"/>
    <cellStyle name="표준 5 2 2 2 6 2 3 3" xfId="8626" xr:uid="{00000000-0005-0000-0000-0000052D0000}"/>
    <cellStyle name="표준 5 2 2 2 6 2 3 3 2" xfId="29332" xr:uid="{00000000-0005-0000-0000-0000062D0000}"/>
    <cellStyle name="표준 5 2 2 2 6 2 3 3 3" xfId="37543" xr:uid="{00000000-0005-0000-0000-0000072D0000}"/>
    <cellStyle name="표준 5 2 2 2 6 2 3 3 4" xfId="45736" xr:uid="{00000000-0005-0000-0000-0000082D0000}"/>
    <cellStyle name="표준 5 2 2 2 6 2 3 4" xfId="12738" xr:uid="{00000000-0005-0000-0000-0000092D0000}"/>
    <cellStyle name="표준 5 2 2 2 6 2 3 5" xfId="16978" xr:uid="{00000000-0005-0000-0000-00000A2D0000}"/>
    <cellStyle name="표준 5 2 2 2 6 2 3 6" xfId="21140" xr:uid="{00000000-0005-0000-0000-00000B2D0000}"/>
    <cellStyle name="표준 5 2 2 2 6 2 3 7" xfId="25236" xr:uid="{00000000-0005-0000-0000-00000C2D0000}"/>
    <cellStyle name="표준 5 2 2 2 6 2 3 8" xfId="33447" xr:uid="{00000000-0005-0000-0000-00000D2D0000}"/>
    <cellStyle name="표준 5 2 2 2 6 2 3 9" xfId="41640" xr:uid="{00000000-0005-0000-0000-00000E2D0000}"/>
    <cellStyle name="표준 5 2 2 2 6 2 4" xfId="2283" xr:uid="{00000000-0005-0000-0000-00000F2D0000}"/>
    <cellStyle name="표준 5 2 2 2 6 2 4 2" xfId="11186" xr:uid="{00000000-0005-0000-0000-0000102D0000}"/>
    <cellStyle name="표준 5 2 2 2 6 2 4 2 2" xfId="15298" xr:uid="{00000000-0005-0000-0000-0000112D0000}"/>
    <cellStyle name="표준 5 2 2 2 6 2 4 2 2 2" xfId="31892" xr:uid="{00000000-0005-0000-0000-0000122D0000}"/>
    <cellStyle name="표준 5 2 2 2 6 2 4 2 2 3" xfId="40103" xr:uid="{00000000-0005-0000-0000-0000132D0000}"/>
    <cellStyle name="표준 5 2 2 2 6 2 4 2 2 4" xfId="48296" xr:uid="{00000000-0005-0000-0000-0000142D0000}"/>
    <cellStyle name="표준 5 2 2 2 6 2 4 2 3" xfId="19538" xr:uid="{00000000-0005-0000-0000-0000152D0000}"/>
    <cellStyle name="표준 5 2 2 2 6 2 4 2 4" xfId="23700" xr:uid="{00000000-0005-0000-0000-0000162D0000}"/>
    <cellStyle name="표준 5 2 2 2 6 2 4 2 5" xfId="27796" xr:uid="{00000000-0005-0000-0000-0000172D0000}"/>
    <cellStyle name="표준 5 2 2 2 6 2 4 2 6" xfId="36007" xr:uid="{00000000-0005-0000-0000-0000182D0000}"/>
    <cellStyle name="표준 5 2 2 2 6 2 4 2 7" xfId="44200" xr:uid="{00000000-0005-0000-0000-0000192D0000}"/>
    <cellStyle name="표준 5 2 2 2 6 2 4 3" xfId="9138" xr:uid="{00000000-0005-0000-0000-00001A2D0000}"/>
    <cellStyle name="표준 5 2 2 2 6 2 4 3 2" xfId="29844" xr:uid="{00000000-0005-0000-0000-00001B2D0000}"/>
    <cellStyle name="표준 5 2 2 2 6 2 4 3 3" xfId="38055" xr:uid="{00000000-0005-0000-0000-00001C2D0000}"/>
    <cellStyle name="표준 5 2 2 2 6 2 4 3 4" xfId="46248" xr:uid="{00000000-0005-0000-0000-00001D2D0000}"/>
    <cellStyle name="표준 5 2 2 2 6 2 4 4" xfId="13250" xr:uid="{00000000-0005-0000-0000-00001E2D0000}"/>
    <cellStyle name="표준 5 2 2 2 6 2 4 5" xfId="17490" xr:uid="{00000000-0005-0000-0000-00001F2D0000}"/>
    <cellStyle name="표준 5 2 2 2 6 2 4 6" xfId="21652" xr:uid="{00000000-0005-0000-0000-0000202D0000}"/>
    <cellStyle name="표준 5 2 2 2 6 2 4 7" xfId="25748" xr:uid="{00000000-0005-0000-0000-0000212D0000}"/>
    <cellStyle name="표준 5 2 2 2 6 2 4 8" xfId="33959" xr:uid="{00000000-0005-0000-0000-0000222D0000}"/>
    <cellStyle name="표준 5 2 2 2 6 2 4 9" xfId="42152" xr:uid="{00000000-0005-0000-0000-0000232D0000}"/>
    <cellStyle name="표준 5 2 2 2 6 2 5" xfId="9650" xr:uid="{00000000-0005-0000-0000-0000242D0000}"/>
    <cellStyle name="표준 5 2 2 2 6 2 5 2" xfId="13762" xr:uid="{00000000-0005-0000-0000-0000252D0000}"/>
    <cellStyle name="표준 5 2 2 2 6 2 5 2 2" xfId="30356" xr:uid="{00000000-0005-0000-0000-0000262D0000}"/>
    <cellStyle name="표준 5 2 2 2 6 2 5 2 3" xfId="38567" xr:uid="{00000000-0005-0000-0000-0000272D0000}"/>
    <cellStyle name="표준 5 2 2 2 6 2 5 2 4" xfId="46760" xr:uid="{00000000-0005-0000-0000-0000282D0000}"/>
    <cellStyle name="표준 5 2 2 2 6 2 5 3" xfId="18002" xr:uid="{00000000-0005-0000-0000-0000292D0000}"/>
    <cellStyle name="표준 5 2 2 2 6 2 5 4" xfId="22164" xr:uid="{00000000-0005-0000-0000-00002A2D0000}"/>
    <cellStyle name="표준 5 2 2 2 6 2 5 5" xfId="26260" xr:uid="{00000000-0005-0000-0000-00002B2D0000}"/>
    <cellStyle name="표준 5 2 2 2 6 2 5 6" xfId="34471" xr:uid="{00000000-0005-0000-0000-00002C2D0000}"/>
    <cellStyle name="표준 5 2 2 2 6 2 5 7" xfId="42664" xr:uid="{00000000-0005-0000-0000-00002D2D0000}"/>
    <cellStyle name="표준 5 2 2 2 6 2 6" xfId="7602" xr:uid="{00000000-0005-0000-0000-00002E2D0000}"/>
    <cellStyle name="표준 5 2 2 2 6 2 6 2" xfId="28308" xr:uid="{00000000-0005-0000-0000-00002F2D0000}"/>
    <cellStyle name="표준 5 2 2 2 6 2 6 3" xfId="36519" xr:uid="{00000000-0005-0000-0000-0000302D0000}"/>
    <cellStyle name="표준 5 2 2 2 6 2 6 4" xfId="44712" xr:uid="{00000000-0005-0000-0000-0000312D0000}"/>
    <cellStyle name="표준 5 2 2 2 6 2 7" xfId="11714" xr:uid="{00000000-0005-0000-0000-0000322D0000}"/>
    <cellStyle name="표준 5 2 2 2 6 2 8" xfId="15954" xr:uid="{00000000-0005-0000-0000-0000332D0000}"/>
    <cellStyle name="표준 5 2 2 2 6 2 9" xfId="20116" xr:uid="{00000000-0005-0000-0000-0000342D0000}"/>
    <cellStyle name="표준 5 2 2 2 6 3" xfId="1003" xr:uid="{00000000-0005-0000-0000-0000352D0000}"/>
    <cellStyle name="표준 5 2 2 2 6 3 2" xfId="9906" xr:uid="{00000000-0005-0000-0000-0000362D0000}"/>
    <cellStyle name="표준 5 2 2 2 6 3 2 2" xfId="14018" xr:uid="{00000000-0005-0000-0000-0000372D0000}"/>
    <cellStyle name="표준 5 2 2 2 6 3 2 2 2" xfId="30612" xr:uid="{00000000-0005-0000-0000-0000382D0000}"/>
    <cellStyle name="표준 5 2 2 2 6 3 2 2 3" xfId="38823" xr:uid="{00000000-0005-0000-0000-0000392D0000}"/>
    <cellStyle name="표준 5 2 2 2 6 3 2 2 4" xfId="47016" xr:uid="{00000000-0005-0000-0000-00003A2D0000}"/>
    <cellStyle name="표준 5 2 2 2 6 3 2 3" xfId="18258" xr:uid="{00000000-0005-0000-0000-00003B2D0000}"/>
    <cellStyle name="표준 5 2 2 2 6 3 2 4" xfId="22420" xr:uid="{00000000-0005-0000-0000-00003C2D0000}"/>
    <cellStyle name="표준 5 2 2 2 6 3 2 5" xfId="26516" xr:uid="{00000000-0005-0000-0000-00003D2D0000}"/>
    <cellStyle name="표준 5 2 2 2 6 3 2 6" xfId="34727" xr:uid="{00000000-0005-0000-0000-00003E2D0000}"/>
    <cellStyle name="표준 5 2 2 2 6 3 2 7" xfId="42920" xr:uid="{00000000-0005-0000-0000-00003F2D0000}"/>
    <cellStyle name="표준 5 2 2 2 6 3 3" xfId="7858" xr:uid="{00000000-0005-0000-0000-0000402D0000}"/>
    <cellStyle name="표준 5 2 2 2 6 3 3 2" xfId="28564" xr:uid="{00000000-0005-0000-0000-0000412D0000}"/>
    <cellStyle name="표준 5 2 2 2 6 3 3 3" xfId="36775" xr:uid="{00000000-0005-0000-0000-0000422D0000}"/>
    <cellStyle name="표준 5 2 2 2 6 3 3 4" xfId="44968" xr:uid="{00000000-0005-0000-0000-0000432D0000}"/>
    <cellStyle name="표준 5 2 2 2 6 3 4" xfId="11970" xr:uid="{00000000-0005-0000-0000-0000442D0000}"/>
    <cellStyle name="표준 5 2 2 2 6 3 5" xfId="16210" xr:uid="{00000000-0005-0000-0000-0000452D0000}"/>
    <cellStyle name="표준 5 2 2 2 6 3 6" xfId="20372" xr:uid="{00000000-0005-0000-0000-0000462D0000}"/>
    <cellStyle name="표준 5 2 2 2 6 3 7" xfId="24468" xr:uid="{00000000-0005-0000-0000-0000472D0000}"/>
    <cellStyle name="표준 5 2 2 2 6 3 8" xfId="32679" xr:uid="{00000000-0005-0000-0000-0000482D0000}"/>
    <cellStyle name="표준 5 2 2 2 6 3 9" xfId="40872" xr:uid="{00000000-0005-0000-0000-0000492D0000}"/>
    <cellStyle name="표준 5 2 2 2 6 4" xfId="1515" xr:uid="{00000000-0005-0000-0000-00004A2D0000}"/>
    <cellStyle name="표준 5 2 2 2 6 4 2" xfId="10418" xr:uid="{00000000-0005-0000-0000-00004B2D0000}"/>
    <cellStyle name="표준 5 2 2 2 6 4 2 2" xfId="14530" xr:uid="{00000000-0005-0000-0000-00004C2D0000}"/>
    <cellStyle name="표준 5 2 2 2 6 4 2 2 2" xfId="31124" xr:uid="{00000000-0005-0000-0000-00004D2D0000}"/>
    <cellStyle name="표준 5 2 2 2 6 4 2 2 3" xfId="39335" xr:uid="{00000000-0005-0000-0000-00004E2D0000}"/>
    <cellStyle name="표준 5 2 2 2 6 4 2 2 4" xfId="47528" xr:uid="{00000000-0005-0000-0000-00004F2D0000}"/>
    <cellStyle name="표준 5 2 2 2 6 4 2 3" xfId="18770" xr:uid="{00000000-0005-0000-0000-0000502D0000}"/>
    <cellStyle name="표준 5 2 2 2 6 4 2 4" xfId="22932" xr:uid="{00000000-0005-0000-0000-0000512D0000}"/>
    <cellStyle name="표준 5 2 2 2 6 4 2 5" xfId="27028" xr:uid="{00000000-0005-0000-0000-0000522D0000}"/>
    <cellStyle name="표준 5 2 2 2 6 4 2 6" xfId="35239" xr:uid="{00000000-0005-0000-0000-0000532D0000}"/>
    <cellStyle name="표준 5 2 2 2 6 4 2 7" xfId="43432" xr:uid="{00000000-0005-0000-0000-0000542D0000}"/>
    <cellStyle name="표준 5 2 2 2 6 4 3" xfId="8370" xr:uid="{00000000-0005-0000-0000-0000552D0000}"/>
    <cellStyle name="표준 5 2 2 2 6 4 3 2" xfId="29076" xr:uid="{00000000-0005-0000-0000-0000562D0000}"/>
    <cellStyle name="표준 5 2 2 2 6 4 3 3" xfId="37287" xr:uid="{00000000-0005-0000-0000-0000572D0000}"/>
    <cellStyle name="표준 5 2 2 2 6 4 3 4" xfId="45480" xr:uid="{00000000-0005-0000-0000-0000582D0000}"/>
    <cellStyle name="표준 5 2 2 2 6 4 4" xfId="12482" xr:uid="{00000000-0005-0000-0000-0000592D0000}"/>
    <cellStyle name="표준 5 2 2 2 6 4 5" xfId="16722" xr:uid="{00000000-0005-0000-0000-00005A2D0000}"/>
    <cellStyle name="표준 5 2 2 2 6 4 6" xfId="20884" xr:uid="{00000000-0005-0000-0000-00005B2D0000}"/>
    <cellStyle name="표준 5 2 2 2 6 4 7" xfId="24980" xr:uid="{00000000-0005-0000-0000-00005C2D0000}"/>
    <cellStyle name="표준 5 2 2 2 6 4 8" xfId="33191" xr:uid="{00000000-0005-0000-0000-00005D2D0000}"/>
    <cellStyle name="표준 5 2 2 2 6 4 9" xfId="41384" xr:uid="{00000000-0005-0000-0000-00005E2D0000}"/>
    <cellStyle name="표준 5 2 2 2 6 5" xfId="2027" xr:uid="{00000000-0005-0000-0000-00005F2D0000}"/>
    <cellStyle name="표준 5 2 2 2 6 5 2" xfId="10930" xr:uid="{00000000-0005-0000-0000-0000602D0000}"/>
    <cellStyle name="표준 5 2 2 2 6 5 2 2" xfId="15042" xr:uid="{00000000-0005-0000-0000-0000612D0000}"/>
    <cellStyle name="표준 5 2 2 2 6 5 2 2 2" xfId="31636" xr:uid="{00000000-0005-0000-0000-0000622D0000}"/>
    <cellStyle name="표준 5 2 2 2 6 5 2 2 3" xfId="39847" xr:uid="{00000000-0005-0000-0000-0000632D0000}"/>
    <cellStyle name="표준 5 2 2 2 6 5 2 2 4" xfId="48040" xr:uid="{00000000-0005-0000-0000-0000642D0000}"/>
    <cellStyle name="표준 5 2 2 2 6 5 2 3" xfId="19282" xr:uid="{00000000-0005-0000-0000-0000652D0000}"/>
    <cellStyle name="표준 5 2 2 2 6 5 2 4" xfId="23444" xr:uid="{00000000-0005-0000-0000-0000662D0000}"/>
    <cellStyle name="표준 5 2 2 2 6 5 2 5" xfId="27540" xr:uid="{00000000-0005-0000-0000-0000672D0000}"/>
    <cellStyle name="표준 5 2 2 2 6 5 2 6" xfId="35751" xr:uid="{00000000-0005-0000-0000-0000682D0000}"/>
    <cellStyle name="표준 5 2 2 2 6 5 2 7" xfId="43944" xr:uid="{00000000-0005-0000-0000-0000692D0000}"/>
    <cellStyle name="표준 5 2 2 2 6 5 3" xfId="8882" xr:uid="{00000000-0005-0000-0000-00006A2D0000}"/>
    <cellStyle name="표준 5 2 2 2 6 5 3 2" xfId="29588" xr:uid="{00000000-0005-0000-0000-00006B2D0000}"/>
    <cellStyle name="표준 5 2 2 2 6 5 3 3" xfId="37799" xr:uid="{00000000-0005-0000-0000-00006C2D0000}"/>
    <cellStyle name="표준 5 2 2 2 6 5 3 4" xfId="45992" xr:uid="{00000000-0005-0000-0000-00006D2D0000}"/>
    <cellStyle name="표준 5 2 2 2 6 5 4" xfId="12994" xr:uid="{00000000-0005-0000-0000-00006E2D0000}"/>
    <cellStyle name="표준 5 2 2 2 6 5 5" xfId="17234" xr:uid="{00000000-0005-0000-0000-00006F2D0000}"/>
    <cellStyle name="표준 5 2 2 2 6 5 6" xfId="21396" xr:uid="{00000000-0005-0000-0000-0000702D0000}"/>
    <cellStyle name="표준 5 2 2 2 6 5 7" xfId="25492" xr:uid="{00000000-0005-0000-0000-0000712D0000}"/>
    <cellStyle name="표준 5 2 2 2 6 5 8" xfId="33703" xr:uid="{00000000-0005-0000-0000-0000722D0000}"/>
    <cellStyle name="표준 5 2 2 2 6 5 9" xfId="41896" xr:uid="{00000000-0005-0000-0000-0000732D0000}"/>
    <cellStyle name="표준 5 2 2 2 6 6" xfId="9394" xr:uid="{00000000-0005-0000-0000-0000742D0000}"/>
    <cellStyle name="표준 5 2 2 2 6 6 2" xfId="13506" xr:uid="{00000000-0005-0000-0000-0000752D0000}"/>
    <cellStyle name="표준 5 2 2 2 6 6 2 2" xfId="30100" xr:uid="{00000000-0005-0000-0000-0000762D0000}"/>
    <cellStyle name="표준 5 2 2 2 6 6 2 3" xfId="38311" xr:uid="{00000000-0005-0000-0000-0000772D0000}"/>
    <cellStyle name="표준 5 2 2 2 6 6 2 4" xfId="46504" xr:uid="{00000000-0005-0000-0000-0000782D0000}"/>
    <cellStyle name="표준 5 2 2 2 6 6 3" xfId="17746" xr:uid="{00000000-0005-0000-0000-0000792D0000}"/>
    <cellStyle name="표준 5 2 2 2 6 6 4" xfId="21908" xr:uid="{00000000-0005-0000-0000-00007A2D0000}"/>
    <cellStyle name="표준 5 2 2 2 6 6 5" xfId="26004" xr:uid="{00000000-0005-0000-0000-00007B2D0000}"/>
    <cellStyle name="표준 5 2 2 2 6 6 6" xfId="34215" xr:uid="{00000000-0005-0000-0000-00007C2D0000}"/>
    <cellStyle name="표준 5 2 2 2 6 6 7" xfId="42408" xr:uid="{00000000-0005-0000-0000-00007D2D0000}"/>
    <cellStyle name="표준 5 2 2 2 6 7" xfId="7346" xr:uid="{00000000-0005-0000-0000-00007E2D0000}"/>
    <cellStyle name="표준 5 2 2 2 6 7 2" xfId="28052" xr:uid="{00000000-0005-0000-0000-00007F2D0000}"/>
    <cellStyle name="표준 5 2 2 2 6 7 3" xfId="36263" xr:uid="{00000000-0005-0000-0000-0000802D0000}"/>
    <cellStyle name="표준 5 2 2 2 6 7 4" xfId="44456" xr:uid="{00000000-0005-0000-0000-0000812D0000}"/>
    <cellStyle name="표준 5 2 2 2 6 8" xfId="11458" xr:uid="{00000000-0005-0000-0000-0000822D0000}"/>
    <cellStyle name="표준 5 2 2 2 6 9" xfId="15698" xr:uid="{00000000-0005-0000-0000-0000832D0000}"/>
    <cellStyle name="표준 5 2 2 2 7" xfId="619" xr:uid="{00000000-0005-0000-0000-0000842D0000}"/>
    <cellStyle name="표준 5 2 2 2 7 10" xfId="24084" xr:uid="{00000000-0005-0000-0000-0000852D0000}"/>
    <cellStyle name="표준 5 2 2 2 7 11" xfId="32295" xr:uid="{00000000-0005-0000-0000-0000862D0000}"/>
    <cellStyle name="표준 5 2 2 2 7 12" xfId="40488" xr:uid="{00000000-0005-0000-0000-0000872D0000}"/>
    <cellStyle name="표준 5 2 2 2 7 2" xfId="1131" xr:uid="{00000000-0005-0000-0000-0000882D0000}"/>
    <cellStyle name="표준 5 2 2 2 7 2 2" xfId="10034" xr:uid="{00000000-0005-0000-0000-0000892D0000}"/>
    <cellStyle name="표준 5 2 2 2 7 2 2 2" xfId="14146" xr:uid="{00000000-0005-0000-0000-00008A2D0000}"/>
    <cellStyle name="표준 5 2 2 2 7 2 2 2 2" xfId="30740" xr:uid="{00000000-0005-0000-0000-00008B2D0000}"/>
    <cellStyle name="표준 5 2 2 2 7 2 2 2 3" xfId="38951" xr:uid="{00000000-0005-0000-0000-00008C2D0000}"/>
    <cellStyle name="표준 5 2 2 2 7 2 2 2 4" xfId="47144" xr:uid="{00000000-0005-0000-0000-00008D2D0000}"/>
    <cellStyle name="표준 5 2 2 2 7 2 2 3" xfId="18386" xr:uid="{00000000-0005-0000-0000-00008E2D0000}"/>
    <cellStyle name="표준 5 2 2 2 7 2 2 4" xfId="22548" xr:uid="{00000000-0005-0000-0000-00008F2D0000}"/>
    <cellStyle name="표준 5 2 2 2 7 2 2 5" xfId="26644" xr:uid="{00000000-0005-0000-0000-0000902D0000}"/>
    <cellStyle name="표준 5 2 2 2 7 2 2 6" xfId="34855" xr:uid="{00000000-0005-0000-0000-0000912D0000}"/>
    <cellStyle name="표준 5 2 2 2 7 2 2 7" xfId="43048" xr:uid="{00000000-0005-0000-0000-0000922D0000}"/>
    <cellStyle name="표준 5 2 2 2 7 2 3" xfId="7986" xr:uid="{00000000-0005-0000-0000-0000932D0000}"/>
    <cellStyle name="표준 5 2 2 2 7 2 3 2" xfId="28692" xr:uid="{00000000-0005-0000-0000-0000942D0000}"/>
    <cellStyle name="표준 5 2 2 2 7 2 3 3" xfId="36903" xr:uid="{00000000-0005-0000-0000-0000952D0000}"/>
    <cellStyle name="표준 5 2 2 2 7 2 3 4" xfId="45096" xr:uid="{00000000-0005-0000-0000-0000962D0000}"/>
    <cellStyle name="표준 5 2 2 2 7 2 4" xfId="12098" xr:uid="{00000000-0005-0000-0000-0000972D0000}"/>
    <cellStyle name="표준 5 2 2 2 7 2 5" xfId="16338" xr:uid="{00000000-0005-0000-0000-0000982D0000}"/>
    <cellStyle name="표준 5 2 2 2 7 2 6" xfId="20500" xr:uid="{00000000-0005-0000-0000-0000992D0000}"/>
    <cellStyle name="표준 5 2 2 2 7 2 7" xfId="24596" xr:uid="{00000000-0005-0000-0000-00009A2D0000}"/>
    <cellStyle name="표준 5 2 2 2 7 2 8" xfId="32807" xr:uid="{00000000-0005-0000-0000-00009B2D0000}"/>
    <cellStyle name="표준 5 2 2 2 7 2 9" xfId="41000" xr:uid="{00000000-0005-0000-0000-00009C2D0000}"/>
    <cellStyle name="표준 5 2 2 2 7 3" xfId="1643" xr:uid="{00000000-0005-0000-0000-00009D2D0000}"/>
    <cellStyle name="표준 5 2 2 2 7 3 2" xfId="10546" xr:uid="{00000000-0005-0000-0000-00009E2D0000}"/>
    <cellStyle name="표준 5 2 2 2 7 3 2 2" xfId="14658" xr:uid="{00000000-0005-0000-0000-00009F2D0000}"/>
    <cellStyle name="표준 5 2 2 2 7 3 2 2 2" xfId="31252" xr:uid="{00000000-0005-0000-0000-0000A02D0000}"/>
    <cellStyle name="표준 5 2 2 2 7 3 2 2 3" xfId="39463" xr:uid="{00000000-0005-0000-0000-0000A12D0000}"/>
    <cellStyle name="표준 5 2 2 2 7 3 2 2 4" xfId="47656" xr:uid="{00000000-0005-0000-0000-0000A22D0000}"/>
    <cellStyle name="표준 5 2 2 2 7 3 2 3" xfId="18898" xr:uid="{00000000-0005-0000-0000-0000A32D0000}"/>
    <cellStyle name="표준 5 2 2 2 7 3 2 4" xfId="23060" xr:uid="{00000000-0005-0000-0000-0000A42D0000}"/>
    <cellStyle name="표준 5 2 2 2 7 3 2 5" xfId="27156" xr:uid="{00000000-0005-0000-0000-0000A52D0000}"/>
    <cellStyle name="표준 5 2 2 2 7 3 2 6" xfId="35367" xr:uid="{00000000-0005-0000-0000-0000A62D0000}"/>
    <cellStyle name="표준 5 2 2 2 7 3 2 7" xfId="43560" xr:uid="{00000000-0005-0000-0000-0000A72D0000}"/>
    <cellStyle name="표준 5 2 2 2 7 3 3" xfId="8498" xr:uid="{00000000-0005-0000-0000-0000A82D0000}"/>
    <cellStyle name="표준 5 2 2 2 7 3 3 2" xfId="29204" xr:uid="{00000000-0005-0000-0000-0000A92D0000}"/>
    <cellStyle name="표준 5 2 2 2 7 3 3 3" xfId="37415" xr:uid="{00000000-0005-0000-0000-0000AA2D0000}"/>
    <cellStyle name="표준 5 2 2 2 7 3 3 4" xfId="45608" xr:uid="{00000000-0005-0000-0000-0000AB2D0000}"/>
    <cellStyle name="표준 5 2 2 2 7 3 4" xfId="12610" xr:uid="{00000000-0005-0000-0000-0000AC2D0000}"/>
    <cellStyle name="표준 5 2 2 2 7 3 5" xfId="16850" xr:uid="{00000000-0005-0000-0000-0000AD2D0000}"/>
    <cellStyle name="표준 5 2 2 2 7 3 6" xfId="21012" xr:uid="{00000000-0005-0000-0000-0000AE2D0000}"/>
    <cellStyle name="표준 5 2 2 2 7 3 7" xfId="25108" xr:uid="{00000000-0005-0000-0000-0000AF2D0000}"/>
    <cellStyle name="표준 5 2 2 2 7 3 8" xfId="33319" xr:uid="{00000000-0005-0000-0000-0000B02D0000}"/>
    <cellStyle name="표준 5 2 2 2 7 3 9" xfId="41512" xr:uid="{00000000-0005-0000-0000-0000B12D0000}"/>
    <cellStyle name="표준 5 2 2 2 7 4" xfId="2155" xr:uid="{00000000-0005-0000-0000-0000B22D0000}"/>
    <cellStyle name="표준 5 2 2 2 7 4 2" xfId="11058" xr:uid="{00000000-0005-0000-0000-0000B32D0000}"/>
    <cellStyle name="표준 5 2 2 2 7 4 2 2" xfId="15170" xr:uid="{00000000-0005-0000-0000-0000B42D0000}"/>
    <cellStyle name="표준 5 2 2 2 7 4 2 2 2" xfId="31764" xr:uid="{00000000-0005-0000-0000-0000B52D0000}"/>
    <cellStyle name="표준 5 2 2 2 7 4 2 2 3" xfId="39975" xr:uid="{00000000-0005-0000-0000-0000B62D0000}"/>
    <cellStyle name="표준 5 2 2 2 7 4 2 2 4" xfId="48168" xr:uid="{00000000-0005-0000-0000-0000B72D0000}"/>
    <cellStyle name="표준 5 2 2 2 7 4 2 3" xfId="19410" xr:uid="{00000000-0005-0000-0000-0000B82D0000}"/>
    <cellStyle name="표준 5 2 2 2 7 4 2 4" xfId="23572" xr:uid="{00000000-0005-0000-0000-0000B92D0000}"/>
    <cellStyle name="표준 5 2 2 2 7 4 2 5" xfId="27668" xr:uid="{00000000-0005-0000-0000-0000BA2D0000}"/>
    <cellStyle name="표준 5 2 2 2 7 4 2 6" xfId="35879" xr:uid="{00000000-0005-0000-0000-0000BB2D0000}"/>
    <cellStyle name="표준 5 2 2 2 7 4 2 7" xfId="44072" xr:uid="{00000000-0005-0000-0000-0000BC2D0000}"/>
    <cellStyle name="표준 5 2 2 2 7 4 3" xfId="9010" xr:uid="{00000000-0005-0000-0000-0000BD2D0000}"/>
    <cellStyle name="표준 5 2 2 2 7 4 3 2" xfId="29716" xr:uid="{00000000-0005-0000-0000-0000BE2D0000}"/>
    <cellStyle name="표준 5 2 2 2 7 4 3 3" xfId="37927" xr:uid="{00000000-0005-0000-0000-0000BF2D0000}"/>
    <cellStyle name="표준 5 2 2 2 7 4 3 4" xfId="46120" xr:uid="{00000000-0005-0000-0000-0000C02D0000}"/>
    <cellStyle name="표준 5 2 2 2 7 4 4" xfId="13122" xr:uid="{00000000-0005-0000-0000-0000C12D0000}"/>
    <cellStyle name="표준 5 2 2 2 7 4 5" xfId="17362" xr:uid="{00000000-0005-0000-0000-0000C22D0000}"/>
    <cellStyle name="표준 5 2 2 2 7 4 6" xfId="21524" xr:uid="{00000000-0005-0000-0000-0000C32D0000}"/>
    <cellStyle name="표준 5 2 2 2 7 4 7" xfId="25620" xr:uid="{00000000-0005-0000-0000-0000C42D0000}"/>
    <cellStyle name="표준 5 2 2 2 7 4 8" xfId="33831" xr:uid="{00000000-0005-0000-0000-0000C52D0000}"/>
    <cellStyle name="표준 5 2 2 2 7 4 9" xfId="42024" xr:uid="{00000000-0005-0000-0000-0000C62D0000}"/>
    <cellStyle name="표준 5 2 2 2 7 5" xfId="9522" xr:uid="{00000000-0005-0000-0000-0000C72D0000}"/>
    <cellStyle name="표준 5 2 2 2 7 5 2" xfId="13634" xr:uid="{00000000-0005-0000-0000-0000C82D0000}"/>
    <cellStyle name="표준 5 2 2 2 7 5 2 2" xfId="30228" xr:uid="{00000000-0005-0000-0000-0000C92D0000}"/>
    <cellStyle name="표준 5 2 2 2 7 5 2 3" xfId="38439" xr:uid="{00000000-0005-0000-0000-0000CA2D0000}"/>
    <cellStyle name="표준 5 2 2 2 7 5 2 4" xfId="46632" xr:uid="{00000000-0005-0000-0000-0000CB2D0000}"/>
    <cellStyle name="표준 5 2 2 2 7 5 3" xfId="17874" xr:uid="{00000000-0005-0000-0000-0000CC2D0000}"/>
    <cellStyle name="표준 5 2 2 2 7 5 4" xfId="22036" xr:uid="{00000000-0005-0000-0000-0000CD2D0000}"/>
    <cellStyle name="표준 5 2 2 2 7 5 5" xfId="26132" xr:uid="{00000000-0005-0000-0000-0000CE2D0000}"/>
    <cellStyle name="표준 5 2 2 2 7 5 6" xfId="34343" xr:uid="{00000000-0005-0000-0000-0000CF2D0000}"/>
    <cellStyle name="표준 5 2 2 2 7 5 7" xfId="42536" xr:uid="{00000000-0005-0000-0000-0000D02D0000}"/>
    <cellStyle name="표준 5 2 2 2 7 6" xfId="7474" xr:uid="{00000000-0005-0000-0000-0000D12D0000}"/>
    <cellStyle name="표준 5 2 2 2 7 6 2" xfId="28180" xr:uid="{00000000-0005-0000-0000-0000D22D0000}"/>
    <cellStyle name="표준 5 2 2 2 7 6 3" xfId="36391" xr:uid="{00000000-0005-0000-0000-0000D32D0000}"/>
    <cellStyle name="표준 5 2 2 2 7 6 4" xfId="44584" xr:uid="{00000000-0005-0000-0000-0000D42D0000}"/>
    <cellStyle name="표준 5 2 2 2 7 7" xfId="11586" xr:uid="{00000000-0005-0000-0000-0000D52D0000}"/>
    <cellStyle name="표준 5 2 2 2 7 8" xfId="15826" xr:uid="{00000000-0005-0000-0000-0000D62D0000}"/>
    <cellStyle name="표준 5 2 2 2 7 9" xfId="19988" xr:uid="{00000000-0005-0000-0000-0000D72D0000}"/>
    <cellStyle name="표준 5 2 2 2 8" xfId="875" xr:uid="{00000000-0005-0000-0000-0000D82D0000}"/>
    <cellStyle name="표준 5 2 2 2 8 2" xfId="9778" xr:uid="{00000000-0005-0000-0000-0000D92D0000}"/>
    <cellStyle name="표준 5 2 2 2 8 2 2" xfId="13890" xr:uid="{00000000-0005-0000-0000-0000DA2D0000}"/>
    <cellStyle name="표준 5 2 2 2 8 2 2 2" xfId="30484" xr:uid="{00000000-0005-0000-0000-0000DB2D0000}"/>
    <cellStyle name="표준 5 2 2 2 8 2 2 3" xfId="38695" xr:uid="{00000000-0005-0000-0000-0000DC2D0000}"/>
    <cellStyle name="표준 5 2 2 2 8 2 2 4" xfId="46888" xr:uid="{00000000-0005-0000-0000-0000DD2D0000}"/>
    <cellStyle name="표준 5 2 2 2 8 2 3" xfId="18130" xr:uid="{00000000-0005-0000-0000-0000DE2D0000}"/>
    <cellStyle name="표준 5 2 2 2 8 2 4" xfId="22292" xr:uid="{00000000-0005-0000-0000-0000DF2D0000}"/>
    <cellStyle name="표준 5 2 2 2 8 2 5" xfId="26388" xr:uid="{00000000-0005-0000-0000-0000E02D0000}"/>
    <cellStyle name="표준 5 2 2 2 8 2 6" xfId="34599" xr:uid="{00000000-0005-0000-0000-0000E12D0000}"/>
    <cellStyle name="표준 5 2 2 2 8 2 7" xfId="42792" xr:uid="{00000000-0005-0000-0000-0000E22D0000}"/>
    <cellStyle name="표준 5 2 2 2 8 3" xfId="7730" xr:uid="{00000000-0005-0000-0000-0000E32D0000}"/>
    <cellStyle name="표준 5 2 2 2 8 3 2" xfId="28436" xr:uid="{00000000-0005-0000-0000-0000E42D0000}"/>
    <cellStyle name="표준 5 2 2 2 8 3 3" xfId="36647" xr:uid="{00000000-0005-0000-0000-0000E52D0000}"/>
    <cellStyle name="표준 5 2 2 2 8 3 4" xfId="44840" xr:uid="{00000000-0005-0000-0000-0000E62D0000}"/>
    <cellStyle name="표준 5 2 2 2 8 4" xfId="11842" xr:uid="{00000000-0005-0000-0000-0000E72D0000}"/>
    <cellStyle name="표준 5 2 2 2 8 5" xfId="16082" xr:uid="{00000000-0005-0000-0000-0000E82D0000}"/>
    <cellStyle name="표준 5 2 2 2 8 6" xfId="20244" xr:uid="{00000000-0005-0000-0000-0000E92D0000}"/>
    <cellStyle name="표준 5 2 2 2 8 7" xfId="24340" xr:uid="{00000000-0005-0000-0000-0000EA2D0000}"/>
    <cellStyle name="표준 5 2 2 2 8 8" xfId="32551" xr:uid="{00000000-0005-0000-0000-0000EB2D0000}"/>
    <cellStyle name="표준 5 2 2 2 8 9" xfId="40744" xr:uid="{00000000-0005-0000-0000-0000EC2D0000}"/>
    <cellStyle name="표준 5 2 2 2 9" xfId="1387" xr:uid="{00000000-0005-0000-0000-0000ED2D0000}"/>
    <cellStyle name="표준 5 2 2 2 9 2" xfId="10290" xr:uid="{00000000-0005-0000-0000-0000EE2D0000}"/>
    <cellStyle name="표준 5 2 2 2 9 2 2" xfId="14402" xr:uid="{00000000-0005-0000-0000-0000EF2D0000}"/>
    <cellStyle name="표준 5 2 2 2 9 2 2 2" xfId="30996" xr:uid="{00000000-0005-0000-0000-0000F02D0000}"/>
    <cellStyle name="표준 5 2 2 2 9 2 2 3" xfId="39207" xr:uid="{00000000-0005-0000-0000-0000F12D0000}"/>
    <cellStyle name="표준 5 2 2 2 9 2 2 4" xfId="47400" xr:uid="{00000000-0005-0000-0000-0000F22D0000}"/>
    <cellStyle name="표준 5 2 2 2 9 2 3" xfId="18642" xr:uid="{00000000-0005-0000-0000-0000F32D0000}"/>
    <cellStyle name="표준 5 2 2 2 9 2 4" xfId="22804" xr:uid="{00000000-0005-0000-0000-0000F42D0000}"/>
    <cellStyle name="표준 5 2 2 2 9 2 5" xfId="26900" xr:uid="{00000000-0005-0000-0000-0000F52D0000}"/>
    <cellStyle name="표준 5 2 2 2 9 2 6" xfId="35111" xr:uid="{00000000-0005-0000-0000-0000F62D0000}"/>
    <cellStyle name="표준 5 2 2 2 9 2 7" xfId="43304" xr:uid="{00000000-0005-0000-0000-0000F72D0000}"/>
    <cellStyle name="표준 5 2 2 2 9 3" xfId="8242" xr:uid="{00000000-0005-0000-0000-0000F82D0000}"/>
    <cellStyle name="표준 5 2 2 2 9 3 2" xfId="28948" xr:uid="{00000000-0005-0000-0000-0000F92D0000}"/>
    <cellStyle name="표준 5 2 2 2 9 3 3" xfId="37159" xr:uid="{00000000-0005-0000-0000-0000FA2D0000}"/>
    <cellStyle name="표준 5 2 2 2 9 3 4" xfId="45352" xr:uid="{00000000-0005-0000-0000-0000FB2D0000}"/>
    <cellStyle name="표준 5 2 2 2 9 4" xfId="12354" xr:uid="{00000000-0005-0000-0000-0000FC2D0000}"/>
    <cellStyle name="표준 5 2 2 2 9 5" xfId="16594" xr:uid="{00000000-0005-0000-0000-0000FD2D0000}"/>
    <cellStyle name="표준 5 2 2 2 9 6" xfId="20756" xr:uid="{00000000-0005-0000-0000-0000FE2D0000}"/>
    <cellStyle name="표준 5 2 2 2 9 7" xfId="24852" xr:uid="{00000000-0005-0000-0000-0000FF2D0000}"/>
    <cellStyle name="표준 5 2 2 2 9 8" xfId="33063" xr:uid="{00000000-0005-0000-0000-0000002E0000}"/>
    <cellStyle name="표준 5 2 2 2 9 9" xfId="41256" xr:uid="{00000000-0005-0000-0000-0000012E0000}"/>
    <cellStyle name="표준 5 2 2 20" xfId="11326" xr:uid="{00000000-0005-0000-0000-0000022E0000}"/>
    <cellStyle name="표준 5 2 2 21" xfId="15422" xr:uid="{00000000-0005-0000-0000-0000032E0000}"/>
    <cellStyle name="표준 5 2 2 22" xfId="15438" xr:uid="{00000000-0005-0000-0000-0000042E0000}"/>
    <cellStyle name="표준 5 2 2 23" xfId="15454" xr:uid="{00000000-0005-0000-0000-0000052E0000}"/>
    <cellStyle name="표준 5 2 2 24" xfId="15550" xr:uid="{00000000-0005-0000-0000-0000062E0000}"/>
    <cellStyle name="표준 5 2 2 25" xfId="15566" xr:uid="{00000000-0005-0000-0000-0000072E0000}"/>
    <cellStyle name="표준 5 2 2 26" xfId="19662" xr:uid="{00000000-0005-0000-0000-0000082E0000}"/>
    <cellStyle name="표준 5 2 2 27" xfId="19678" xr:uid="{00000000-0005-0000-0000-0000092E0000}"/>
    <cellStyle name="표준 5 2 2 28" xfId="19694" xr:uid="{00000000-0005-0000-0000-00000A2E0000}"/>
    <cellStyle name="표준 5 2 2 29" xfId="19710" xr:uid="{00000000-0005-0000-0000-00000B2E0000}"/>
    <cellStyle name="표준 5 2 2 3" xfId="74" xr:uid="{00000000-0005-0000-0000-00000C2E0000}"/>
    <cellStyle name="표준 5 2 2 3 10" xfId="4400" xr:uid="{00000000-0005-0000-0000-00000D2E0000}"/>
    <cellStyle name="표준 5 2 2 3 10 2" xfId="9270" xr:uid="{00000000-0005-0000-0000-00000E2E0000}"/>
    <cellStyle name="표준 5 2 2 3 10 2 2" xfId="29976" xr:uid="{00000000-0005-0000-0000-00000F2E0000}"/>
    <cellStyle name="표준 5 2 2 3 10 2 3" xfId="38187" xr:uid="{00000000-0005-0000-0000-0000102E0000}"/>
    <cellStyle name="표준 5 2 2 3 10 2 4" xfId="46380" xr:uid="{00000000-0005-0000-0000-0000112E0000}"/>
    <cellStyle name="표준 5 2 2 3 10 3" xfId="13382" xr:uid="{00000000-0005-0000-0000-0000122E0000}"/>
    <cellStyle name="표준 5 2 2 3 10 4" xfId="17622" xr:uid="{00000000-0005-0000-0000-0000132E0000}"/>
    <cellStyle name="표준 5 2 2 3 10 5" xfId="21784" xr:uid="{00000000-0005-0000-0000-0000142E0000}"/>
    <cellStyle name="표준 5 2 2 3 10 6" xfId="25880" xr:uid="{00000000-0005-0000-0000-0000152E0000}"/>
    <cellStyle name="표준 5 2 2 3 10 7" xfId="34091" xr:uid="{00000000-0005-0000-0000-0000162E0000}"/>
    <cellStyle name="표준 5 2 2 3 10 8" xfId="42284" xr:uid="{00000000-0005-0000-0000-0000172E0000}"/>
    <cellStyle name="표준 5 2 2 3 11" xfId="6957" xr:uid="{00000000-0005-0000-0000-0000182E0000}"/>
    <cellStyle name="표준 5 2 2 3 11 2" xfId="27928" xr:uid="{00000000-0005-0000-0000-0000192E0000}"/>
    <cellStyle name="표준 5 2 2 3 11 3" xfId="36139" xr:uid="{00000000-0005-0000-0000-00001A2E0000}"/>
    <cellStyle name="표준 5 2 2 3 11 4" xfId="44332" xr:uid="{00000000-0005-0000-0000-00001B2E0000}"/>
    <cellStyle name="표준 5 2 2 3 12" xfId="7075" xr:uid="{00000000-0005-0000-0000-00001C2E0000}"/>
    <cellStyle name="표준 5 2 2 3 13" xfId="7091" xr:uid="{00000000-0005-0000-0000-00001D2E0000}"/>
    <cellStyle name="표준 5 2 2 3 14" xfId="7107" xr:uid="{00000000-0005-0000-0000-00001E2E0000}"/>
    <cellStyle name="표준 5 2 2 3 15" xfId="7199" xr:uid="{00000000-0005-0000-0000-00001F2E0000}"/>
    <cellStyle name="표준 5 2 2 3 16" xfId="7222" xr:uid="{00000000-0005-0000-0000-0000202E0000}"/>
    <cellStyle name="표준 5 2 2 3 17" xfId="11318" xr:uid="{00000000-0005-0000-0000-0000212E0000}"/>
    <cellStyle name="표준 5 2 2 3 18" xfId="11334" xr:uid="{00000000-0005-0000-0000-0000222E0000}"/>
    <cellStyle name="표준 5 2 2 3 19" xfId="15430" xr:uid="{00000000-0005-0000-0000-0000232E0000}"/>
    <cellStyle name="표준 5 2 2 3 2" xfId="168" xr:uid="{00000000-0005-0000-0000-0000242E0000}"/>
    <cellStyle name="표준 5 2 2 3 2 10" xfId="7183" xr:uid="{00000000-0005-0000-0000-0000252E0000}"/>
    <cellStyle name="표준 5 2 2 3 2 10 2" xfId="27944" xr:uid="{00000000-0005-0000-0000-0000262E0000}"/>
    <cellStyle name="표준 5 2 2 3 2 10 3" xfId="36155" xr:uid="{00000000-0005-0000-0000-0000272E0000}"/>
    <cellStyle name="표준 5 2 2 3 2 10 4" xfId="44348" xr:uid="{00000000-0005-0000-0000-0000282E0000}"/>
    <cellStyle name="표준 5 2 2 3 2 11" xfId="7238" xr:uid="{00000000-0005-0000-0000-0000292E0000}"/>
    <cellStyle name="표준 5 2 2 3 2 12" xfId="11350" xr:uid="{00000000-0005-0000-0000-00002A2E0000}"/>
    <cellStyle name="표준 5 2 2 3 2 13" xfId="15478" xr:uid="{00000000-0005-0000-0000-00002B2E0000}"/>
    <cellStyle name="표준 5 2 2 3 2 14" xfId="15590" xr:uid="{00000000-0005-0000-0000-00002C2E0000}"/>
    <cellStyle name="표준 5 2 2 3 2 15" xfId="19752" xr:uid="{00000000-0005-0000-0000-00002D2E0000}"/>
    <cellStyle name="표준 5 2 2 3 2 16" xfId="23848" xr:uid="{00000000-0005-0000-0000-00002E2E0000}"/>
    <cellStyle name="표준 5 2 2 3 2 17" xfId="32059" xr:uid="{00000000-0005-0000-0000-00002F2E0000}"/>
    <cellStyle name="표준 5 2 2 3 2 18" xfId="40252" xr:uid="{00000000-0005-0000-0000-0000302E0000}"/>
    <cellStyle name="표준 5 2 2 3 2 19" xfId="49641" xr:uid="{00000000-0005-0000-0000-0000312E0000}"/>
    <cellStyle name="표준 5 2 2 3 2 2" xfId="415" xr:uid="{00000000-0005-0000-0000-0000322E0000}"/>
    <cellStyle name="표준 5 2 2 3 2 2 10" xfId="7270" xr:uid="{00000000-0005-0000-0000-0000332E0000}"/>
    <cellStyle name="표준 5 2 2 3 2 2 11" xfId="11382" xr:uid="{00000000-0005-0000-0000-0000342E0000}"/>
    <cellStyle name="표준 5 2 2 3 2 2 12" xfId="15526" xr:uid="{00000000-0005-0000-0000-0000352E0000}"/>
    <cellStyle name="표준 5 2 2 3 2 2 13" xfId="15622" xr:uid="{00000000-0005-0000-0000-0000362E0000}"/>
    <cellStyle name="표준 5 2 2 3 2 2 14" xfId="19784" xr:uid="{00000000-0005-0000-0000-0000372E0000}"/>
    <cellStyle name="표준 5 2 2 3 2 2 15" xfId="23880" xr:uid="{00000000-0005-0000-0000-0000382E0000}"/>
    <cellStyle name="표준 5 2 2 3 2 2 16" xfId="32091" xr:uid="{00000000-0005-0000-0000-0000392E0000}"/>
    <cellStyle name="표준 5 2 2 3 2 2 17" xfId="40284" xr:uid="{00000000-0005-0000-0000-00003A2E0000}"/>
    <cellStyle name="표준 5 2 2 3 2 2 18" xfId="49707" xr:uid="{00000000-0005-0000-0000-00003B2E0000}"/>
    <cellStyle name="표준 5 2 2 3 2 2 2" xfId="479" xr:uid="{00000000-0005-0000-0000-00003C2E0000}"/>
    <cellStyle name="표준 5 2 2 3 2 2 2 10" xfId="15686" xr:uid="{00000000-0005-0000-0000-00003D2E0000}"/>
    <cellStyle name="표준 5 2 2 3 2 2 2 11" xfId="19848" xr:uid="{00000000-0005-0000-0000-00003E2E0000}"/>
    <cellStyle name="표준 5 2 2 3 2 2 2 12" xfId="23944" xr:uid="{00000000-0005-0000-0000-00003F2E0000}"/>
    <cellStyle name="표준 5 2 2 3 2 2 2 13" xfId="32155" xr:uid="{00000000-0005-0000-0000-0000402E0000}"/>
    <cellStyle name="표준 5 2 2 3 2 2 2 14" xfId="40348" xr:uid="{00000000-0005-0000-0000-0000412E0000}"/>
    <cellStyle name="표준 5 2 2 3 2 2 2 2" xfId="607" xr:uid="{00000000-0005-0000-0000-0000422E0000}"/>
    <cellStyle name="표준 5 2 2 3 2 2 2 2 10" xfId="19976" xr:uid="{00000000-0005-0000-0000-0000432E0000}"/>
    <cellStyle name="표준 5 2 2 3 2 2 2 2 11" xfId="24072" xr:uid="{00000000-0005-0000-0000-0000442E0000}"/>
    <cellStyle name="표준 5 2 2 3 2 2 2 2 12" xfId="32283" xr:uid="{00000000-0005-0000-0000-0000452E0000}"/>
    <cellStyle name="표준 5 2 2 3 2 2 2 2 13" xfId="40476" xr:uid="{00000000-0005-0000-0000-0000462E0000}"/>
    <cellStyle name="표준 5 2 2 3 2 2 2 2 2" xfId="863" xr:uid="{00000000-0005-0000-0000-0000472E0000}"/>
    <cellStyle name="표준 5 2 2 3 2 2 2 2 2 10" xfId="24328" xr:uid="{00000000-0005-0000-0000-0000482E0000}"/>
    <cellStyle name="표준 5 2 2 3 2 2 2 2 2 11" xfId="32539" xr:uid="{00000000-0005-0000-0000-0000492E0000}"/>
    <cellStyle name="표준 5 2 2 3 2 2 2 2 2 12" xfId="40732" xr:uid="{00000000-0005-0000-0000-00004A2E0000}"/>
    <cellStyle name="표준 5 2 2 3 2 2 2 2 2 2" xfId="1375" xr:uid="{00000000-0005-0000-0000-00004B2E0000}"/>
    <cellStyle name="표준 5 2 2 3 2 2 2 2 2 2 2" xfId="10278" xr:uid="{00000000-0005-0000-0000-00004C2E0000}"/>
    <cellStyle name="표준 5 2 2 3 2 2 2 2 2 2 2 2" xfId="14390" xr:uid="{00000000-0005-0000-0000-00004D2E0000}"/>
    <cellStyle name="표준 5 2 2 3 2 2 2 2 2 2 2 2 2" xfId="30984" xr:uid="{00000000-0005-0000-0000-00004E2E0000}"/>
    <cellStyle name="표준 5 2 2 3 2 2 2 2 2 2 2 2 3" xfId="39195" xr:uid="{00000000-0005-0000-0000-00004F2E0000}"/>
    <cellStyle name="표준 5 2 2 3 2 2 2 2 2 2 2 2 4" xfId="47388" xr:uid="{00000000-0005-0000-0000-0000502E0000}"/>
    <cellStyle name="표준 5 2 2 3 2 2 2 2 2 2 2 3" xfId="18630" xr:uid="{00000000-0005-0000-0000-0000512E0000}"/>
    <cellStyle name="표준 5 2 2 3 2 2 2 2 2 2 2 4" xfId="22792" xr:uid="{00000000-0005-0000-0000-0000522E0000}"/>
    <cellStyle name="표준 5 2 2 3 2 2 2 2 2 2 2 5" xfId="26888" xr:uid="{00000000-0005-0000-0000-0000532E0000}"/>
    <cellStyle name="표준 5 2 2 3 2 2 2 2 2 2 2 6" xfId="35099" xr:uid="{00000000-0005-0000-0000-0000542E0000}"/>
    <cellStyle name="표준 5 2 2 3 2 2 2 2 2 2 2 7" xfId="43292" xr:uid="{00000000-0005-0000-0000-0000552E0000}"/>
    <cellStyle name="표준 5 2 2 3 2 2 2 2 2 2 3" xfId="8230" xr:uid="{00000000-0005-0000-0000-0000562E0000}"/>
    <cellStyle name="표준 5 2 2 3 2 2 2 2 2 2 3 2" xfId="28936" xr:uid="{00000000-0005-0000-0000-0000572E0000}"/>
    <cellStyle name="표준 5 2 2 3 2 2 2 2 2 2 3 3" xfId="37147" xr:uid="{00000000-0005-0000-0000-0000582E0000}"/>
    <cellStyle name="표준 5 2 2 3 2 2 2 2 2 2 3 4" xfId="45340" xr:uid="{00000000-0005-0000-0000-0000592E0000}"/>
    <cellStyle name="표준 5 2 2 3 2 2 2 2 2 2 4" xfId="12342" xr:uid="{00000000-0005-0000-0000-00005A2E0000}"/>
    <cellStyle name="표준 5 2 2 3 2 2 2 2 2 2 5" xfId="16582" xr:uid="{00000000-0005-0000-0000-00005B2E0000}"/>
    <cellStyle name="표준 5 2 2 3 2 2 2 2 2 2 6" xfId="20744" xr:uid="{00000000-0005-0000-0000-00005C2E0000}"/>
    <cellStyle name="표준 5 2 2 3 2 2 2 2 2 2 7" xfId="24840" xr:uid="{00000000-0005-0000-0000-00005D2E0000}"/>
    <cellStyle name="표준 5 2 2 3 2 2 2 2 2 2 8" xfId="33051" xr:uid="{00000000-0005-0000-0000-00005E2E0000}"/>
    <cellStyle name="표준 5 2 2 3 2 2 2 2 2 2 9" xfId="41244" xr:uid="{00000000-0005-0000-0000-00005F2E0000}"/>
    <cellStyle name="표준 5 2 2 3 2 2 2 2 2 3" xfId="1887" xr:uid="{00000000-0005-0000-0000-0000602E0000}"/>
    <cellStyle name="표준 5 2 2 3 2 2 2 2 2 3 2" xfId="10790" xr:uid="{00000000-0005-0000-0000-0000612E0000}"/>
    <cellStyle name="표준 5 2 2 3 2 2 2 2 2 3 2 2" xfId="14902" xr:uid="{00000000-0005-0000-0000-0000622E0000}"/>
    <cellStyle name="표준 5 2 2 3 2 2 2 2 2 3 2 2 2" xfId="31496" xr:uid="{00000000-0005-0000-0000-0000632E0000}"/>
    <cellStyle name="표준 5 2 2 3 2 2 2 2 2 3 2 2 3" xfId="39707" xr:uid="{00000000-0005-0000-0000-0000642E0000}"/>
    <cellStyle name="표준 5 2 2 3 2 2 2 2 2 3 2 2 4" xfId="47900" xr:uid="{00000000-0005-0000-0000-0000652E0000}"/>
    <cellStyle name="표준 5 2 2 3 2 2 2 2 2 3 2 3" xfId="19142" xr:uid="{00000000-0005-0000-0000-0000662E0000}"/>
    <cellStyle name="표준 5 2 2 3 2 2 2 2 2 3 2 4" xfId="23304" xr:uid="{00000000-0005-0000-0000-0000672E0000}"/>
    <cellStyle name="표준 5 2 2 3 2 2 2 2 2 3 2 5" xfId="27400" xr:uid="{00000000-0005-0000-0000-0000682E0000}"/>
    <cellStyle name="표준 5 2 2 3 2 2 2 2 2 3 2 6" xfId="35611" xr:uid="{00000000-0005-0000-0000-0000692E0000}"/>
    <cellStyle name="표준 5 2 2 3 2 2 2 2 2 3 2 7" xfId="43804" xr:uid="{00000000-0005-0000-0000-00006A2E0000}"/>
    <cellStyle name="표준 5 2 2 3 2 2 2 2 2 3 3" xfId="8742" xr:uid="{00000000-0005-0000-0000-00006B2E0000}"/>
    <cellStyle name="표준 5 2 2 3 2 2 2 2 2 3 3 2" xfId="29448" xr:uid="{00000000-0005-0000-0000-00006C2E0000}"/>
    <cellStyle name="표준 5 2 2 3 2 2 2 2 2 3 3 3" xfId="37659" xr:uid="{00000000-0005-0000-0000-00006D2E0000}"/>
    <cellStyle name="표준 5 2 2 3 2 2 2 2 2 3 3 4" xfId="45852" xr:uid="{00000000-0005-0000-0000-00006E2E0000}"/>
    <cellStyle name="표준 5 2 2 3 2 2 2 2 2 3 4" xfId="12854" xr:uid="{00000000-0005-0000-0000-00006F2E0000}"/>
    <cellStyle name="표준 5 2 2 3 2 2 2 2 2 3 5" xfId="17094" xr:uid="{00000000-0005-0000-0000-0000702E0000}"/>
    <cellStyle name="표준 5 2 2 3 2 2 2 2 2 3 6" xfId="21256" xr:uid="{00000000-0005-0000-0000-0000712E0000}"/>
    <cellStyle name="표준 5 2 2 3 2 2 2 2 2 3 7" xfId="25352" xr:uid="{00000000-0005-0000-0000-0000722E0000}"/>
    <cellStyle name="표준 5 2 2 3 2 2 2 2 2 3 8" xfId="33563" xr:uid="{00000000-0005-0000-0000-0000732E0000}"/>
    <cellStyle name="표준 5 2 2 3 2 2 2 2 2 3 9" xfId="41756" xr:uid="{00000000-0005-0000-0000-0000742E0000}"/>
    <cellStyle name="표준 5 2 2 3 2 2 2 2 2 4" xfId="2399" xr:uid="{00000000-0005-0000-0000-0000752E0000}"/>
    <cellStyle name="표준 5 2 2 3 2 2 2 2 2 4 2" xfId="11302" xr:uid="{00000000-0005-0000-0000-0000762E0000}"/>
    <cellStyle name="표준 5 2 2 3 2 2 2 2 2 4 2 2" xfId="15414" xr:uid="{00000000-0005-0000-0000-0000772E0000}"/>
    <cellStyle name="표준 5 2 2 3 2 2 2 2 2 4 2 2 2" xfId="32008" xr:uid="{00000000-0005-0000-0000-0000782E0000}"/>
    <cellStyle name="표준 5 2 2 3 2 2 2 2 2 4 2 2 3" xfId="40219" xr:uid="{00000000-0005-0000-0000-0000792E0000}"/>
    <cellStyle name="표준 5 2 2 3 2 2 2 2 2 4 2 2 4" xfId="48412" xr:uid="{00000000-0005-0000-0000-00007A2E0000}"/>
    <cellStyle name="표준 5 2 2 3 2 2 2 2 2 4 2 3" xfId="19654" xr:uid="{00000000-0005-0000-0000-00007B2E0000}"/>
    <cellStyle name="표준 5 2 2 3 2 2 2 2 2 4 2 4" xfId="23816" xr:uid="{00000000-0005-0000-0000-00007C2E0000}"/>
    <cellStyle name="표준 5 2 2 3 2 2 2 2 2 4 2 5" xfId="27912" xr:uid="{00000000-0005-0000-0000-00007D2E0000}"/>
    <cellStyle name="표준 5 2 2 3 2 2 2 2 2 4 2 6" xfId="36123" xr:uid="{00000000-0005-0000-0000-00007E2E0000}"/>
    <cellStyle name="표준 5 2 2 3 2 2 2 2 2 4 2 7" xfId="44316" xr:uid="{00000000-0005-0000-0000-00007F2E0000}"/>
    <cellStyle name="표준 5 2 2 3 2 2 2 2 2 4 3" xfId="9254" xr:uid="{00000000-0005-0000-0000-0000802E0000}"/>
    <cellStyle name="표준 5 2 2 3 2 2 2 2 2 4 3 2" xfId="29960" xr:uid="{00000000-0005-0000-0000-0000812E0000}"/>
    <cellStyle name="표준 5 2 2 3 2 2 2 2 2 4 3 3" xfId="38171" xr:uid="{00000000-0005-0000-0000-0000822E0000}"/>
    <cellStyle name="표준 5 2 2 3 2 2 2 2 2 4 3 4" xfId="46364" xr:uid="{00000000-0005-0000-0000-0000832E0000}"/>
    <cellStyle name="표준 5 2 2 3 2 2 2 2 2 4 4" xfId="13366" xr:uid="{00000000-0005-0000-0000-0000842E0000}"/>
    <cellStyle name="표준 5 2 2 3 2 2 2 2 2 4 5" xfId="17606" xr:uid="{00000000-0005-0000-0000-0000852E0000}"/>
    <cellStyle name="표준 5 2 2 3 2 2 2 2 2 4 6" xfId="21768" xr:uid="{00000000-0005-0000-0000-0000862E0000}"/>
    <cellStyle name="표준 5 2 2 3 2 2 2 2 2 4 7" xfId="25864" xr:uid="{00000000-0005-0000-0000-0000872E0000}"/>
    <cellStyle name="표준 5 2 2 3 2 2 2 2 2 4 8" xfId="34075" xr:uid="{00000000-0005-0000-0000-0000882E0000}"/>
    <cellStyle name="표준 5 2 2 3 2 2 2 2 2 4 9" xfId="42268" xr:uid="{00000000-0005-0000-0000-0000892E0000}"/>
    <cellStyle name="표준 5 2 2 3 2 2 2 2 2 5" xfId="9766" xr:uid="{00000000-0005-0000-0000-00008A2E0000}"/>
    <cellStyle name="표준 5 2 2 3 2 2 2 2 2 5 2" xfId="13878" xr:uid="{00000000-0005-0000-0000-00008B2E0000}"/>
    <cellStyle name="표준 5 2 2 3 2 2 2 2 2 5 2 2" xfId="30472" xr:uid="{00000000-0005-0000-0000-00008C2E0000}"/>
    <cellStyle name="표준 5 2 2 3 2 2 2 2 2 5 2 3" xfId="38683" xr:uid="{00000000-0005-0000-0000-00008D2E0000}"/>
    <cellStyle name="표준 5 2 2 3 2 2 2 2 2 5 2 4" xfId="46876" xr:uid="{00000000-0005-0000-0000-00008E2E0000}"/>
    <cellStyle name="표준 5 2 2 3 2 2 2 2 2 5 3" xfId="18118" xr:uid="{00000000-0005-0000-0000-00008F2E0000}"/>
    <cellStyle name="표준 5 2 2 3 2 2 2 2 2 5 4" xfId="22280" xr:uid="{00000000-0005-0000-0000-0000902E0000}"/>
    <cellStyle name="표준 5 2 2 3 2 2 2 2 2 5 5" xfId="26376" xr:uid="{00000000-0005-0000-0000-0000912E0000}"/>
    <cellStyle name="표준 5 2 2 3 2 2 2 2 2 5 6" xfId="34587" xr:uid="{00000000-0005-0000-0000-0000922E0000}"/>
    <cellStyle name="표준 5 2 2 3 2 2 2 2 2 5 7" xfId="42780" xr:uid="{00000000-0005-0000-0000-0000932E0000}"/>
    <cellStyle name="표준 5 2 2 3 2 2 2 2 2 6" xfId="7718" xr:uid="{00000000-0005-0000-0000-0000942E0000}"/>
    <cellStyle name="표준 5 2 2 3 2 2 2 2 2 6 2" xfId="28424" xr:uid="{00000000-0005-0000-0000-0000952E0000}"/>
    <cellStyle name="표준 5 2 2 3 2 2 2 2 2 6 3" xfId="36635" xr:uid="{00000000-0005-0000-0000-0000962E0000}"/>
    <cellStyle name="표준 5 2 2 3 2 2 2 2 2 6 4" xfId="44828" xr:uid="{00000000-0005-0000-0000-0000972E0000}"/>
    <cellStyle name="표준 5 2 2 3 2 2 2 2 2 7" xfId="11830" xr:uid="{00000000-0005-0000-0000-0000982E0000}"/>
    <cellStyle name="표준 5 2 2 3 2 2 2 2 2 8" xfId="16070" xr:uid="{00000000-0005-0000-0000-0000992E0000}"/>
    <cellStyle name="표준 5 2 2 3 2 2 2 2 2 9" xfId="20232" xr:uid="{00000000-0005-0000-0000-00009A2E0000}"/>
    <cellStyle name="표준 5 2 2 3 2 2 2 2 3" xfId="1119" xr:uid="{00000000-0005-0000-0000-00009B2E0000}"/>
    <cellStyle name="표준 5 2 2 3 2 2 2 2 3 2" xfId="10022" xr:uid="{00000000-0005-0000-0000-00009C2E0000}"/>
    <cellStyle name="표준 5 2 2 3 2 2 2 2 3 2 2" xfId="14134" xr:uid="{00000000-0005-0000-0000-00009D2E0000}"/>
    <cellStyle name="표준 5 2 2 3 2 2 2 2 3 2 2 2" xfId="30728" xr:uid="{00000000-0005-0000-0000-00009E2E0000}"/>
    <cellStyle name="표준 5 2 2 3 2 2 2 2 3 2 2 3" xfId="38939" xr:uid="{00000000-0005-0000-0000-00009F2E0000}"/>
    <cellStyle name="표준 5 2 2 3 2 2 2 2 3 2 2 4" xfId="47132" xr:uid="{00000000-0005-0000-0000-0000A02E0000}"/>
    <cellStyle name="표준 5 2 2 3 2 2 2 2 3 2 3" xfId="18374" xr:uid="{00000000-0005-0000-0000-0000A12E0000}"/>
    <cellStyle name="표준 5 2 2 3 2 2 2 2 3 2 4" xfId="22536" xr:uid="{00000000-0005-0000-0000-0000A22E0000}"/>
    <cellStyle name="표준 5 2 2 3 2 2 2 2 3 2 5" xfId="26632" xr:uid="{00000000-0005-0000-0000-0000A32E0000}"/>
    <cellStyle name="표준 5 2 2 3 2 2 2 2 3 2 6" xfId="34843" xr:uid="{00000000-0005-0000-0000-0000A42E0000}"/>
    <cellStyle name="표준 5 2 2 3 2 2 2 2 3 2 7" xfId="43036" xr:uid="{00000000-0005-0000-0000-0000A52E0000}"/>
    <cellStyle name="표준 5 2 2 3 2 2 2 2 3 3" xfId="7974" xr:uid="{00000000-0005-0000-0000-0000A62E0000}"/>
    <cellStyle name="표준 5 2 2 3 2 2 2 2 3 3 2" xfId="28680" xr:uid="{00000000-0005-0000-0000-0000A72E0000}"/>
    <cellStyle name="표준 5 2 2 3 2 2 2 2 3 3 3" xfId="36891" xr:uid="{00000000-0005-0000-0000-0000A82E0000}"/>
    <cellStyle name="표준 5 2 2 3 2 2 2 2 3 3 4" xfId="45084" xr:uid="{00000000-0005-0000-0000-0000A92E0000}"/>
    <cellStyle name="표준 5 2 2 3 2 2 2 2 3 4" xfId="12086" xr:uid="{00000000-0005-0000-0000-0000AA2E0000}"/>
    <cellStyle name="표준 5 2 2 3 2 2 2 2 3 5" xfId="16326" xr:uid="{00000000-0005-0000-0000-0000AB2E0000}"/>
    <cellStyle name="표준 5 2 2 3 2 2 2 2 3 6" xfId="20488" xr:uid="{00000000-0005-0000-0000-0000AC2E0000}"/>
    <cellStyle name="표준 5 2 2 3 2 2 2 2 3 7" xfId="24584" xr:uid="{00000000-0005-0000-0000-0000AD2E0000}"/>
    <cellStyle name="표준 5 2 2 3 2 2 2 2 3 8" xfId="32795" xr:uid="{00000000-0005-0000-0000-0000AE2E0000}"/>
    <cellStyle name="표준 5 2 2 3 2 2 2 2 3 9" xfId="40988" xr:uid="{00000000-0005-0000-0000-0000AF2E0000}"/>
    <cellStyle name="표준 5 2 2 3 2 2 2 2 4" xfId="1631" xr:uid="{00000000-0005-0000-0000-0000B02E0000}"/>
    <cellStyle name="표준 5 2 2 3 2 2 2 2 4 2" xfId="10534" xr:uid="{00000000-0005-0000-0000-0000B12E0000}"/>
    <cellStyle name="표준 5 2 2 3 2 2 2 2 4 2 2" xfId="14646" xr:uid="{00000000-0005-0000-0000-0000B22E0000}"/>
    <cellStyle name="표준 5 2 2 3 2 2 2 2 4 2 2 2" xfId="31240" xr:uid="{00000000-0005-0000-0000-0000B32E0000}"/>
    <cellStyle name="표준 5 2 2 3 2 2 2 2 4 2 2 3" xfId="39451" xr:uid="{00000000-0005-0000-0000-0000B42E0000}"/>
    <cellStyle name="표준 5 2 2 3 2 2 2 2 4 2 2 4" xfId="47644" xr:uid="{00000000-0005-0000-0000-0000B52E0000}"/>
    <cellStyle name="표준 5 2 2 3 2 2 2 2 4 2 3" xfId="18886" xr:uid="{00000000-0005-0000-0000-0000B62E0000}"/>
    <cellStyle name="표준 5 2 2 3 2 2 2 2 4 2 4" xfId="23048" xr:uid="{00000000-0005-0000-0000-0000B72E0000}"/>
    <cellStyle name="표준 5 2 2 3 2 2 2 2 4 2 5" xfId="27144" xr:uid="{00000000-0005-0000-0000-0000B82E0000}"/>
    <cellStyle name="표준 5 2 2 3 2 2 2 2 4 2 6" xfId="35355" xr:uid="{00000000-0005-0000-0000-0000B92E0000}"/>
    <cellStyle name="표준 5 2 2 3 2 2 2 2 4 2 7" xfId="43548" xr:uid="{00000000-0005-0000-0000-0000BA2E0000}"/>
    <cellStyle name="표준 5 2 2 3 2 2 2 2 4 3" xfId="8486" xr:uid="{00000000-0005-0000-0000-0000BB2E0000}"/>
    <cellStyle name="표준 5 2 2 3 2 2 2 2 4 3 2" xfId="29192" xr:uid="{00000000-0005-0000-0000-0000BC2E0000}"/>
    <cellStyle name="표준 5 2 2 3 2 2 2 2 4 3 3" xfId="37403" xr:uid="{00000000-0005-0000-0000-0000BD2E0000}"/>
    <cellStyle name="표준 5 2 2 3 2 2 2 2 4 3 4" xfId="45596" xr:uid="{00000000-0005-0000-0000-0000BE2E0000}"/>
    <cellStyle name="표준 5 2 2 3 2 2 2 2 4 4" xfId="12598" xr:uid="{00000000-0005-0000-0000-0000BF2E0000}"/>
    <cellStyle name="표준 5 2 2 3 2 2 2 2 4 5" xfId="16838" xr:uid="{00000000-0005-0000-0000-0000C02E0000}"/>
    <cellStyle name="표준 5 2 2 3 2 2 2 2 4 6" xfId="21000" xr:uid="{00000000-0005-0000-0000-0000C12E0000}"/>
    <cellStyle name="표준 5 2 2 3 2 2 2 2 4 7" xfId="25096" xr:uid="{00000000-0005-0000-0000-0000C22E0000}"/>
    <cellStyle name="표준 5 2 2 3 2 2 2 2 4 8" xfId="33307" xr:uid="{00000000-0005-0000-0000-0000C32E0000}"/>
    <cellStyle name="표준 5 2 2 3 2 2 2 2 4 9" xfId="41500" xr:uid="{00000000-0005-0000-0000-0000C42E0000}"/>
    <cellStyle name="표준 5 2 2 3 2 2 2 2 5" xfId="2143" xr:uid="{00000000-0005-0000-0000-0000C52E0000}"/>
    <cellStyle name="표준 5 2 2 3 2 2 2 2 5 2" xfId="11046" xr:uid="{00000000-0005-0000-0000-0000C62E0000}"/>
    <cellStyle name="표준 5 2 2 3 2 2 2 2 5 2 2" xfId="15158" xr:uid="{00000000-0005-0000-0000-0000C72E0000}"/>
    <cellStyle name="표준 5 2 2 3 2 2 2 2 5 2 2 2" xfId="31752" xr:uid="{00000000-0005-0000-0000-0000C82E0000}"/>
    <cellStyle name="표준 5 2 2 3 2 2 2 2 5 2 2 3" xfId="39963" xr:uid="{00000000-0005-0000-0000-0000C92E0000}"/>
    <cellStyle name="표준 5 2 2 3 2 2 2 2 5 2 2 4" xfId="48156" xr:uid="{00000000-0005-0000-0000-0000CA2E0000}"/>
    <cellStyle name="표준 5 2 2 3 2 2 2 2 5 2 3" xfId="19398" xr:uid="{00000000-0005-0000-0000-0000CB2E0000}"/>
    <cellStyle name="표준 5 2 2 3 2 2 2 2 5 2 4" xfId="23560" xr:uid="{00000000-0005-0000-0000-0000CC2E0000}"/>
    <cellStyle name="표준 5 2 2 3 2 2 2 2 5 2 5" xfId="27656" xr:uid="{00000000-0005-0000-0000-0000CD2E0000}"/>
    <cellStyle name="표준 5 2 2 3 2 2 2 2 5 2 6" xfId="35867" xr:uid="{00000000-0005-0000-0000-0000CE2E0000}"/>
    <cellStyle name="표준 5 2 2 3 2 2 2 2 5 2 7" xfId="44060" xr:uid="{00000000-0005-0000-0000-0000CF2E0000}"/>
    <cellStyle name="표준 5 2 2 3 2 2 2 2 5 3" xfId="8998" xr:uid="{00000000-0005-0000-0000-0000D02E0000}"/>
    <cellStyle name="표준 5 2 2 3 2 2 2 2 5 3 2" xfId="29704" xr:uid="{00000000-0005-0000-0000-0000D12E0000}"/>
    <cellStyle name="표준 5 2 2 3 2 2 2 2 5 3 3" xfId="37915" xr:uid="{00000000-0005-0000-0000-0000D22E0000}"/>
    <cellStyle name="표준 5 2 2 3 2 2 2 2 5 3 4" xfId="46108" xr:uid="{00000000-0005-0000-0000-0000D32E0000}"/>
    <cellStyle name="표준 5 2 2 3 2 2 2 2 5 4" xfId="13110" xr:uid="{00000000-0005-0000-0000-0000D42E0000}"/>
    <cellStyle name="표준 5 2 2 3 2 2 2 2 5 5" xfId="17350" xr:uid="{00000000-0005-0000-0000-0000D52E0000}"/>
    <cellStyle name="표준 5 2 2 3 2 2 2 2 5 6" xfId="21512" xr:uid="{00000000-0005-0000-0000-0000D62E0000}"/>
    <cellStyle name="표준 5 2 2 3 2 2 2 2 5 7" xfId="25608" xr:uid="{00000000-0005-0000-0000-0000D72E0000}"/>
    <cellStyle name="표준 5 2 2 3 2 2 2 2 5 8" xfId="33819" xr:uid="{00000000-0005-0000-0000-0000D82E0000}"/>
    <cellStyle name="표준 5 2 2 3 2 2 2 2 5 9" xfId="42012" xr:uid="{00000000-0005-0000-0000-0000D92E0000}"/>
    <cellStyle name="표준 5 2 2 3 2 2 2 2 6" xfId="9510" xr:uid="{00000000-0005-0000-0000-0000DA2E0000}"/>
    <cellStyle name="표준 5 2 2 3 2 2 2 2 6 2" xfId="13622" xr:uid="{00000000-0005-0000-0000-0000DB2E0000}"/>
    <cellStyle name="표준 5 2 2 3 2 2 2 2 6 2 2" xfId="30216" xr:uid="{00000000-0005-0000-0000-0000DC2E0000}"/>
    <cellStyle name="표준 5 2 2 3 2 2 2 2 6 2 3" xfId="38427" xr:uid="{00000000-0005-0000-0000-0000DD2E0000}"/>
    <cellStyle name="표준 5 2 2 3 2 2 2 2 6 2 4" xfId="46620" xr:uid="{00000000-0005-0000-0000-0000DE2E0000}"/>
    <cellStyle name="표준 5 2 2 3 2 2 2 2 6 3" xfId="17862" xr:uid="{00000000-0005-0000-0000-0000DF2E0000}"/>
    <cellStyle name="표준 5 2 2 3 2 2 2 2 6 4" xfId="22024" xr:uid="{00000000-0005-0000-0000-0000E02E0000}"/>
    <cellStyle name="표준 5 2 2 3 2 2 2 2 6 5" xfId="26120" xr:uid="{00000000-0005-0000-0000-0000E12E0000}"/>
    <cellStyle name="표준 5 2 2 3 2 2 2 2 6 6" xfId="34331" xr:uid="{00000000-0005-0000-0000-0000E22E0000}"/>
    <cellStyle name="표준 5 2 2 3 2 2 2 2 6 7" xfId="42524" xr:uid="{00000000-0005-0000-0000-0000E32E0000}"/>
    <cellStyle name="표준 5 2 2 3 2 2 2 2 7" xfId="7462" xr:uid="{00000000-0005-0000-0000-0000E42E0000}"/>
    <cellStyle name="표준 5 2 2 3 2 2 2 2 7 2" xfId="28168" xr:uid="{00000000-0005-0000-0000-0000E52E0000}"/>
    <cellStyle name="표준 5 2 2 3 2 2 2 2 7 3" xfId="36379" xr:uid="{00000000-0005-0000-0000-0000E62E0000}"/>
    <cellStyle name="표준 5 2 2 3 2 2 2 2 7 4" xfId="44572" xr:uid="{00000000-0005-0000-0000-0000E72E0000}"/>
    <cellStyle name="표준 5 2 2 3 2 2 2 2 8" xfId="11574" xr:uid="{00000000-0005-0000-0000-0000E82E0000}"/>
    <cellStyle name="표준 5 2 2 3 2 2 2 2 9" xfId="15814" xr:uid="{00000000-0005-0000-0000-0000E92E0000}"/>
    <cellStyle name="표준 5 2 2 3 2 2 2 3" xfId="735" xr:uid="{00000000-0005-0000-0000-0000EA2E0000}"/>
    <cellStyle name="표준 5 2 2 3 2 2 2 3 10" xfId="24200" xr:uid="{00000000-0005-0000-0000-0000EB2E0000}"/>
    <cellStyle name="표준 5 2 2 3 2 2 2 3 11" xfId="32411" xr:uid="{00000000-0005-0000-0000-0000EC2E0000}"/>
    <cellStyle name="표준 5 2 2 3 2 2 2 3 12" xfId="40604" xr:uid="{00000000-0005-0000-0000-0000ED2E0000}"/>
    <cellStyle name="표준 5 2 2 3 2 2 2 3 2" xfId="1247" xr:uid="{00000000-0005-0000-0000-0000EE2E0000}"/>
    <cellStyle name="표준 5 2 2 3 2 2 2 3 2 2" xfId="10150" xr:uid="{00000000-0005-0000-0000-0000EF2E0000}"/>
    <cellStyle name="표준 5 2 2 3 2 2 2 3 2 2 2" xfId="14262" xr:uid="{00000000-0005-0000-0000-0000F02E0000}"/>
    <cellStyle name="표준 5 2 2 3 2 2 2 3 2 2 2 2" xfId="30856" xr:uid="{00000000-0005-0000-0000-0000F12E0000}"/>
    <cellStyle name="표준 5 2 2 3 2 2 2 3 2 2 2 3" xfId="39067" xr:uid="{00000000-0005-0000-0000-0000F22E0000}"/>
    <cellStyle name="표준 5 2 2 3 2 2 2 3 2 2 2 4" xfId="47260" xr:uid="{00000000-0005-0000-0000-0000F32E0000}"/>
    <cellStyle name="표준 5 2 2 3 2 2 2 3 2 2 3" xfId="18502" xr:uid="{00000000-0005-0000-0000-0000F42E0000}"/>
    <cellStyle name="표준 5 2 2 3 2 2 2 3 2 2 4" xfId="22664" xr:uid="{00000000-0005-0000-0000-0000F52E0000}"/>
    <cellStyle name="표준 5 2 2 3 2 2 2 3 2 2 5" xfId="26760" xr:uid="{00000000-0005-0000-0000-0000F62E0000}"/>
    <cellStyle name="표준 5 2 2 3 2 2 2 3 2 2 6" xfId="34971" xr:uid="{00000000-0005-0000-0000-0000F72E0000}"/>
    <cellStyle name="표준 5 2 2 3 2 2 2 3 2 2 7" xfId="43164" xr:uid="{00000000-0005-0000-0000-0000F82E0000}"/>
    <cellStyle name="표준 5 2 2 3 2 2 2 3 2 3" xfId="8102" xr:uid="{00000000-0005-0000-0000-0000F92E0000}"/>
    <cellStyle name="표준 5 2 2 3 2 2 2 3 2 3 2" xfId="28808" xr:uid="{00000000-0005-0000-0000-0000FA2E0000}"/>
    <cellStyle name="표준 5 2 2 3 2 2 2 3 2 3 3" xfId="37019" xr:uid="{00000000-0005-0000-0000-0000FB2E0000}"/>
    <cellStyle name="표준 5 2 2 3 2 2 2 3 2 3 4" xfId="45212" xr:uid="{00000000-0005-0000-0000-0000FC2E0000}"/>
    <cellStyle name="표준 5 2 2 3 2 2 2 3 2 4" xfId="12214" xr:uid="{00000000-0005-0000-0000-0000FD2E0000}"/>
    <cellStyle name="표준 5 2 2 3 2 2 2 3 2 5" xfId="16454" xr:uid="{00000000-0005-0000-0000-0000FE2E0000}"/>
    <cellStyle name="표준 5 2 2 3 2 2 2 3 2 6" xfId="20616" xr:uid="{00000000-0005-0000-0000-0000FF2E0000}"/>
    <cellStyle name="표준 5 2 2 3 2 2 2 3 2 7" xfId="24712" xr:uid="{00000000-0005-0000-0000-0000002F0000}"/>
    <cellStyle name="표준 5 2 2 3 2 2 2 3 2 8" xfId="32923" xr:uid="{00000000-0005-0000-0000-0000012F0000}"/>
    <cellStyle name="표준 5 2 2 3 2 2 2 3 2 9" xfId="41116" xr:uid="{00000000-0005-0000-0000-0000022F0000}"/>
    <cellStyle name="표준 5 2 2 3 2 2 2 3 3" xfId="1759" xr:uid="{00000000-0005-0000-0000-0000032F0000}"/>
    <cellStyle name="표준 5 2 2 3 2 2 2 3 3 2" xfId="10662" xr:uid="{00000000-0005-0000-0000-0000042F0000}"/>
    <cellStyle name="표준 5 2 2 3 2 2 2 3 3 2 2" xfId="14774" xr:uid="{00000000-0005-0000-0000-0000052F0000}"/>
    <cellStyle name="표준 5 2 2 3 2 2 2 3 3 2 2 2" xfId="31368" xr:uid="{00000000-0005-0000-0000-0000062F0000}"/>
    <cellStyle name="표준 5 2 2 3 2 2 2 3 3 2 2 3" xfId="39579" xr:uid="{00000000-0005-0000-0000-0000072F0000}"/>
    <cellStyle name="표준 5 2 2 3 2 2 2 3 3 2 2 4" xfId="47772" xr:uid="{00000000-0005-0000-0000-0000082F0000}"/>
    <cellStyle name="표준 5 2 2 3 2 2 2 3 3 2 3" xfId="19014" xr:uid="{00000000-0005-0000-0000-0000092F0000}"/>
    <cellStyle name="표준 5 2 2 3 2 2 2 3 3 2 4" xfId="23176" xr:uid="{00000000-0005-0000-0000-00000A2F0000}"/>
    <cellStyle name="표준 5 2 2 3 2 2 2 3 3 2 5" xfId="27272" xr:uid="{00000000-0005-0000-0000-00000B2F0000}"/>
    <cellStyle name="표준 5 2 2 3 2 2 2 3 3 2 6" xfId="35483" xr:uid="{00000000-0005-0000-0000-00000C2F0000}"/>
    <cellStyle name="표준 5 2 2 3 2 2 2 3 3 2 7" xfId="43676" xr:uid="{00000000-0005-0000-0000-00000D2F0000}"/>
    <cellStyle name="표준 5 2 2 3 2 2 2 3 3 3" xfId="8614" xr:uid="{00000000-0005-0000-0000-00000E2F0000}"/>
    <cellStyle name="표준 5 2 2 3 2 2 2 3 3 3 2" xfId="29320" xr:uid="{00000000-0005-0000-0000-00000F2F0000}"/>
    <cellStyle name="표준 5 2 2 3 2 2 2 3 3 3 3" xfId="37531" xr:uid="{00000000-0005-0000-0000-0000102F0000}"/>
    <cellStyle name="표준 5 2 2 3 2 2 2 3 3 3 4" xfId="45724" xr:uid="{00000000-0005-0000-0000-0000112F0000}"/>
    <cellStyle name="표준 5 2 2 3 2 2 2 3 3 4" xfId="12726" xr:uid="{00000000-0005-0000-0000-0000122F0000}"/>
    <cellStyle name="표준 5 2 2 3 2 2 2 3 3 5" xfId="16966" xr:uid="{00000000-0005-0000-0000-0000132F0000}"/>
    <cellStyle name="표준 5 2 2 3 2 2 2 3 3 6" xfId="21128" xr:uid="{00000000-0005-0000-0000-0000142F0000}"/>
    <cellStyle name="표준 5 2 2 3 2 2 2 3 3 7" xfId="25224" xr:uid="{00000000-0005-0000-0000-0000152F0000}"/>
    <cellStyle name="표준 5 2 2 3 2 2 2 3 3 8" xfId="33435" xr:uid="{00000000-0005-0000-0000-0000162F0000}"/>
    <cellStyle name="표준 5 2 2 3 2 2 2 3 3 9" xfId="41628" xr:uid="{00000000-0005-0000-0000-0000172F0000}"/>
    <cellStyle name="표준 5 2 2 3 2 2 2 3 4" xfId="2271" xr:uid="{00000000-0005-0000-0000-0000182F0000}"/>
    <cellStyle name="표준 5 2 2 3 2 2 2 3 4 2" xfId="11174" xr:uid="{00000000-0005-0000-0000-0000192F0000}"/>
    <cellStyle name="표준 5 2 2 3 2 2 2 3 4 2 2" xfId="15286" xr:uid="{00000000-0005-0000-0000-00001A2F0000}"/>
    <cellStyle name="표준 5 2 2 3 2 2 2 3 4 2 2 2" xfId="31880" xr:uid="{00000000-0005-0000-0000-00001B2F0000}"/>
    <cellStyle name="표준 5 2 2 3 2 2 2 3 4 2 2 3" xfId="40091" xr:uid="{00000000-0005-0000-0000-00001C2F0000}"/>
    <cellStyle name="표준 5 2 2 3 2 2 2 3 4 2 2 4" xfId="48284" xr:uid="{00000000-0005-0000-0000-00001D2F0000}"/>
    <cellStyle name="표준 5 2 2 3 2 2 2 3 4 2 3" xfId="19526" xr:uid="{00000000-0005-0000-0000-00001E2F0000}"/>
    <cellStyle name="표준 5 2 2 3 2 2 2 3 4 2 4" xfId="23688" xr:uid="{00000000-0005-0000-0000-00001F2F0000}"/>
    <cellStyle name="표준 5 2 2 3 2 2 2 3 4 2 5" xfId="27784" xr:uid="{00000000-0005-0000-0000-0000202F0000}"/>
    <cellStyle name="표준 5 2 2 3 2 2 2 3 4 2 6" xfId="35995" xr:uid="{00000000-0005-0000-0000-0000212F0000}"/>
    <cellStyle name="표준 5 2 2 3 2 2 2 3 4 2 7" xfId="44188" xr:uid="{00000000-0005-0000-0000-0000222F0000}"/>
    <cellStyle name="표준 5 2 2 3 2 2 2 3 4 3" xfId="9126" xr:uid="{00000000-0005-0000-0000-0000232F0000}"/>
    <cellStyle name="표준 5 2 2 3 2 2 2 3 4 3 2" xfId="29832" xr:uid="{00000000-0005-0000-0000-0000242F0000}"/>
    <cellStyle name="표준 5 2 2 3 2 2 2 3 4 3 3" xfId="38043" xr:uid="{00000000-0005-0000-0000-0000252F0000}"/>
    <cellStyle name="표준 5 2 2 3 2 2 2 3 4 3 4" xfId="46236" xr:uid="{00000000-0005-0000-0000-0000262F0000}"/>
    <cellStyle name="표준 5 2 2 3 2 2 2 3 4 4" xfId="13238" xr:uid="{00000000-0005-0000-0000-0000272F0000}"/>
    <cellStyle name="표준 5 2 2 3 2 2 2 3 4 5" xfId="17478" xr:uid="{00000000-0005-0000-0000-0000282F0000}"/>
    <cellStyle name="표준 5 2 2 3 2 2 2 3 4 6" xfId="21640" xr:uid="{00000000-0005-0000-0000-0000292F0000}"/>
    <cellStyle name="표준 5 2 2 3 2 2 2 3 4 7" xfId="25736" xr:uid="{00000000-0005-0000-0000-00002A2F0000}"/>
    <cellStyle name="표준 5 2 2 3 2 2 2 3 4 8" xfId="33947" xr:uid="{00000000-0005-0000-0000-00002B2F0000}"/>
    <cellStyle name="표준 5 2 2 3 2 2 2 3 4 9" xfId="42140" xr:uid="{00000000-0005-0000-0000-00002C2F0000}"/>
    <cellStyle name="표준 5 2 2 3 2 2 2 3 5" xfId="9638" xr:uid="{00000000-0005-0000-0000-00002D2F0000}"/>
    <cellStyle name="표준 5 2 2 3 2 2 2 3 5 2" xfId="13750" xr:uid="{00000000-0005-0000-0000-00002E2F0000}"/>
    <cellStyle name="표준 5 2 2 3 2 2 2 3 5 2 2" xfId="30344" xr:uid="{00000000-0005-0000-0000-00002F2F0000}"/>
    <cellStyle name="표준 5 2 2 3 2 2 2 3 5 2 3" xfId="38555" xr:uid="{00000000-0005-0000-0000-0000302F0000}"/>
    <cellStyle name="표준 5 2 2 3 2 2 2 3 5 2 4" xfId="46748" xr:uid="{00000000-0005-0000-0000-0000312F0000}"/>
    <cellStyle name="표준 5 2 2 3 2 2 2 3 5 3" xfId="17990" xr:uid="{00000000-0005-0000-0000-0000322F0000}"/>
    <cellStyle name="표준 5 2 2 3 2 2 2 3 5 4" xfId="22152" xr:uid="{00000000-0005-0000-0000-0000332F0000}"/>
    <cellStyle name="표준 5 2 2 3 2 2 2 3 5 5" xfId="26248" xr:uid="{00000000-0005-0000-0000-0000342F0000}"/>
    <cellStyle name="표준 5 2 2 3 2 2 2 3 5 6" xfId="34459" xr:uid="{00000000-0005-0000-0000-0000352F0000}"/>
    <cellStyle name="표준 5 2 2 3 2 2 2 3 5 7" xfId="42652" xr:uid="{00000000-0005-0000-0000-0000362F0000}"/>
    <cellStyle name="표준 5 2 2 3 2 2 2 3 6" xfId="7590" xr:uid="{00000000-0005-0000-0000-0000372F0000}"/>
    <cellStyle name="표준 5 2 2 3 2 2 2 3 6 2" xfId="28296" xr:uid="{00000000-0005-0000-0000-0000382F0000}"/>
    <cellStyle name="표준 5 2 2 3 2 2 2 3 6 3" xfId="36507" xr:uid="{00000000-0005-0000-0000-0000392F0000}"/>
    <cellStyle name="표준 5 2 2 3 2 2 2 3 6 4" xfId="44700" xr:uid="{00000000-0005-0000-0000-00003A2F0000}"/>
    <cellStyle name="표준 5 2 2 3 2 2 2 3 7" xfId="11702" xr:uid="{00000000-0005-0000-0000-00003B2F0000}"/>
    <cellStyle name="표준 5 2 2 3 2 2 2 3 8" xfId="15942" xr:uid="{00000000-0005-0000-0000-00003C2F0000}"/>
    <cellStyle name="표준 5 2 2 3 2 2 2 3 9" xfId="20104" xr:uid="{00000000-0005-0000-0000-00003D2F0000}"/>
    <cellStyle name="표준 5 2 2 3 2 2 2 4" xfId="991" xr:uid="{00000000-0005-0000-0000-00003E2F0000}"/>
    <cellStyle name="표준 5 2 2 3 2 2 2 4 2" xfId="9894" xr:uid="{00000000-0005-0000-0000-00003F2F0000}"/>
    <cellStyle name="표준 5 2 2 3 2 2 2 4 2 2" xfId="14006" xr:uid="{00000000-0005-0000-0000-0000402F0000}"/>
    <cellStyle name="표준 5 2 2 3 2 2 2 4 2 2 2" xfId="30600" xr:uid="{00000000-0005-0000-0000-0000412F0000}"/>
    <cellStyle name="표준 5 2 2 3 2 2 2 4 2 2 3" xfId="38811" xr:uid="{00000000-0005-0000-0000-0000422F0000}"/>
    <cellStyle name="표준 5 2 2 3 2 2 2 4 2 2 4" xfId="47004" xr:uid="{00000000-0005-0000-0000-0000432F0000}"/>
    <cellStyle name="표준 5 2 2 3 2 2 2 4 2 3" xfId="18246" xr:uid="{00000000-0005-0000-0000-0000442F0000}"/>
    <cellStyle name="표준 5 2 2 3 2 2 2 4 2 4" xfId="22408" xr:uid="{00000000-0005-0000-0000-0000452F0000}"/>
    <cellStyle name="표준 5 2 2 3 2 2 2 4 2 5" xfId="26504" xr:uid="{00000000-0005-0000-0000-0000462F0000}"/>
    <cellStyle name="표준 5 2 2 3 2 2 2 4 2 6" xfId="34715" xr:uid="{00000000-0005-0000-0000-0000472F0000}"/>
    <cellStyle name="표준 5 2 2 3 2 2 2 4 2 7" xfId="42908" xr:uid="{00000000-0005-0000-0000-0000482F0000}"/>
    <cellStyle name="표준 5 2 2 3 2 2 2 4 3" xfId="7846" xr:uid="{00000000-0005-0000-0000-0000492F0000}"/>
    <cellStyle name="표준 5 2 2 3 2 2 2 4 3 2" xfId="28552" xr:uid="{00000000-0005-0000-0000-00004A2F0000}"/>
    <cellStyle name="표준 5 2 2 3 2 2 2 4 3 3" xfId="36763" xr:uid="{00000000-0005-0000-0000-00004B2F0000}"/>
    <cellStyle name="표준 5 2 2 3 2 2 2 4 3 4" xfId="44956" xr:uid="{00000000-0005-0000-0000-00004C2F0000}"/>
    <cellStyle name="표준 5 2 2 3 2 2 2 4 4" xfId="11958" xr:uid="{00000000-0005-0000-0000-00004D2F0000}"/>
    <cellStyle name="표준 5 2 2 3 2 2 2 4 5" xfId="16198" xr:uid="{00000000-0005-0000-0000-00004E2F0000}"/>
    <cellStyle name="표준 5 2 2 3 2 2 2 4 6" xfId="20360" xr:uid="{00000000-0005-0000-0000-00004F2F0000}"/>
    <cellStyle name="표준 5 2 2 3 2 2 2 4 7" xfId="24456" xr:uid="{00000000-0005-0000-0000-0000502F0000}"/>
    <cellStyle name="표준 5 2 2 3 2 2 2 4 8" xfId="32667" xr:uid="{00000000-0005-0000-0000-0000512F0000}"/>
    <cellStyle name="표준 5 2 2 3 2 2 2 4 9" xfId="40860" xr:uid="{00000000-0005-0000-0000-0000522F0000}"/>
    <cellStyle name="표준 5 2 2 3 2 2 2 5" xfId="1503" xr:uid="{00000000-0005-0000-0000-0000532F0000}"/>
    <cellStyle name="표준 5 2 2 3 2 2 2 5 2" xfId="10406" xr:uid="{00000000-0005-0000-0000-0000542F0000}"/>
    <cellStyle name="표준 5 2 2 3 2 2 2 5 2 2" xfId="14518" xr:uid="{00000000-0005-0000-0000-0000552F0000}"/>
    <cellStyle name="표준 5 2 2 3 2 2 2 5 2 2 2" xfId="31112" xr:uid="{00000000-0005-0000-0000-0000562F0000}"/>
    <cellStyle name="표준 5 2 2 3 2 2 2 5 2 2 3" xfId="39323" xr:uid="{00000000-0005-0000-0000-0000572F0000}"/>
    <cellStyle name="표준 5 2 2 3 2 2 2 5 2 2 4" xfId="47516" xr:uid="{00000000-0005-0000-0000-0000582F0000}"/>
    <cellStyle name="표준 5 2 2 3 2 2 2 5 2 3" xfId="18758" xr:uid="{00000000-0005-0000-0000-0000592F0000}"/>
    <cellStyle name="표준 5 2 2 3 2 2 2 5 2 4" xfId="22920" xr:uid="{00000000-0005-0000-0000-00005A2F0000}"/>
    <cellStyle name="표준 5 2 2 3 2 2 2 5 2 5" xfId="27016" xr:uid="{00000000-0005-0000-0000-00005B2F0000}"/>
    <cellStyle name="표준 5 2 2 3 2 2 2 5 2 6" xfId="35227" xr:uid="{00000000-0005-0000-0000-00005C2F0000}"/>
    <cellStyle name="표준 5 2 2 3 2 2 2 5 2 7" xfId="43420" xr:uid="{00000000-0005-0000-0000-00005D2F0000}"/>
    <cellStyle name="표준 5 2 2 3 2 2 2 5 3" xfId="8358" xr:uid="{00000000-0005-0000-0000-00005E2F0000}"/>
    <cellStyle name="표준 5 2 2 3 2 2 2 5 3 2" xfId="29064" xr:uid="{00000000-0005-0000-0000-00005F2F0000}"/>
    <cellStyle name="표준 5 2 2 3 2 2 2 5 3 3" xfId="37275" xr:uid="{00000000-0005-0000-0000-0000602F0000}"/>
    <cellStyle name="표준 5 2 2 3 2 2 2 5 3 4" xfId="45468" xr:uid="{00000000-0005-0000-0000-0000612F0000}"/>
    <cellStyle name="표준 5 2 2 3 2 2 2 5 4" xfId="12470" xr:uid="{00000000-0005-0000-0000-0000622F0000}"/>
    <cellStyle name="표준 5 2 2 3 2 2 2 5 5" xfId="16710" xr:uid="{00000000-0005-0000-0000-0000632F0000}"/>
    <cellStyle name="표준 5 2 2 3 2 2 2 5 6" xfId="20872" xr:uid="{00000000-0005-0000-0000-0000642F0000}"/>
    <cellStyle name="표준 5 2 2 3 2 2 2 5 7" xfId="24968" xr:uid="{00000000-0005-0000-0000-0000652F0000}"/>
    <cellStyle name="표준 5 2 2 3 2 2 2 5 8" xfId="33179" xr:uid="{00000000-0005-0000-0000-0000662F0000}"/>
    <cellStyle name="표준 5 2 2 3 2 2 2 5 9" xfId="41372" xr:uid="{00000000-0005-0000-0000-0000672F0000}"/>
    <cellStyle name="표준 5 2 2 3 2 2 2 6" xfId="2015" xr:uid="{00000000-0005-0000-0000-0000682F0000}"/>
    <cellStyle name="표준 5 2 2 3 2 2 2 6 2" xfId="10918" xr:uid="{00000000-0005-0000-0000-0000692F0000}"/>
    <cellStyle name="표준 5 2 2 3 2 2 2 6 2 2" xfId="15030" xr:uid="{00000000-0005-0000-0000-00006A2F0000}"/>
    <cellStyle name="표준 5 2 2 3 2 2 2 6 2 2 2" xfId="31624" xr:uid="{00000000-0005-0000-0000-00006B2F0000}"/>
    <cellStyle name="표준 5 2 2 3 2 2 2 6 2 2 3" xfId="39835" xr:uid="{00000000-0005-0000-0000-00006C2F0000}"/>
    <cellStyle name="표준 5 2 2 3 2 2 2 6 2 2 4" xfId="48028" xr:uid="{00000000-0005-0000-0000-00006D2F0000}"/>
    <cellStyle name="표준 5 2 2 3 2 2 2 6 2 3" xfId="19270" xr:uid="{00000000-0005-0000-0000-00006E2F0000}"/>
    <cellStyle name="표준 5 2 2 3 2 2 2 6 2 4" xfId="23432" xr:uid="{00000000-0005-0000-0000-00006F2F0000}"/>
    <cellStyle name="표준 5 2 2 3 2 2 2 6 2 5" xfId="27528" xr:uid="{00000000-0005-0000-0000-0000702F0000}"/>
    <cellStyle name="표준 5 2 2 3 2 2 2 6 2 6" xfId="35739" xr:uid="{00000000-0005-0000-0000-0000712F0000}"/>
    <cellStyle name="표준 5 2 2 3 2 2 2 6 2 7" xfId="43932" xr:uid="{00000000-0005-0000-0000-0000722F0000}"/>
    <cellStyle name="표준 5 2 2 3 2 2 2 6 3" xfId="8870" xr:uid="{00000000-0005-0000-0000-0000732F0000}"/>
    <cellStyle name="표준 5 2 2 3 2 2 2 6 3 2" xfId="29576" xr:uid="{00000000-0005-0000-0000-0000742F0000}"/>
    <cellStyle name="표준 5 2 2 3 2 2 2 6 3 3" xfId="37787" xr:uid="{00000000-0005-0000-0000-0000752F0000}"/>
    <cellStyle name="표준 5 2 2 3 2 2 2 6 3 4" xfId="45980" xr:uid="{00000000-0005-0000-0000-0000762F0000}"/>
    <cellStyle name="표준 5 2 2 3 2 2 2 6 4" xfId="12982" xr:uid="{00000000-0005-0000-0000-0000772F0000}"/>
    <cellStyle name="표준 5 2 2 3 2 2 2 6 5" xfId="17222" xr:uid="{00000000-0005-0000-0000-0000782F0000}"/>
    <cellStyle name="표준 5 2 2 3 2 2 2 6 6" xfId="21384" xr:uid="{00000000-0005-0000-0000-0000792F0000}"/>
    <cellStyle name="표준 5 2 2 3 2 2 2 6 7" xfId="25480" xr:uid="{00000000-0005-0000-0000-00007A2F0000}"/>
    <cellStyle name="표준 5 2 2 3 2 2 2 6 8" xfId="33691" xr:uid="{00000000-0005-0000-0000-00007B2F0000}"/>
    <cellStyle name="표준 5 2 2 3 2 2 2 6 9" xfId="41884" xr:uid="{00000000-0005-0000-0000-00007C2F0000}"/>
    <cellStyle name="표준 5 2 2 3 2 2 2 7" xfId="9382" xr:uid="{00000000-0005-0000-0000-00007D2F0000}"/>
    <cellStyle name="표준 5 2 2 3 2 2 2 7 2" xfId="13494" xr:uid="{00000000-0005-0000-0000-00007E2F0000}"/>
    <cellStyle name="표준 5 2 2 3 2 2 2 7 2 2" xfId="30088" xr:uid="{00000000-0005-0000-0000-00007F2F0000}"/>
    <cellStyle name="표준 5 2 2 3 2 2 2 7 2 3" xfId="38299" xr:uid="{00000000-0005-0000-0000-0000802F0000}"/>
    <cellStyle name="표준 5 2 2 3 2 2 2 7 2 4" xfId="46492" xr:uid="{00000000-0005-0000-0000-0000812F0000}"/>
    <cellStyle name="표준 5 2 2 3 2 2 2 7 3" xfId="17734" xr:uid="{00000000-0005-0000-0000-0000822F0000}"/>
    <cellStyle name="표준 5 2 2 3 2 2 2 7 4" xfId="21896" xr:uid="{00000000-0005-0000-0000-0000832F0000}"/>
    <cellStyle name="표준 5 2 2 3 2 2 2 7 5" xfId="25992" xr:uid="{00000000-0005-0000-0000-0000842F0000}"/>
    <cellStyle name="표준 5 2 2 3 2 2 2 7 6" xfId="34203" xr:uid="{00000000-0005-0000-0000-0000852F0000}"/>
    <cellStyle name="표준 5 2 2 3 2 2 2 7 7" xfId="42396" xr:uid="{00000000-0005-0000-0000-0000862F0000}"/>
    <cellStyle name="표준 5 2 2 3 2 2 2 8" xfId="7334" xr:uid="{00000000-0005-0000-0000-0000872F0000}"/>
    <cellStyle name="표준 5 2 2 3 2 2 2 8 2" xfId="28040" xr:uid="{00000000-0005-0000-0000-0000882F0000}"/>
    <cellStyle name="표준 5 2 2 3 2 2 2 8 3" xfId="36251" xr:uid="{00000000-0005-0000-0000-0000892F0000}"/>
    <cellStyle name="표준 5 2 2 3 2 2 2 8 4" xfId="44444" xr:uid="{00000000-0005-0000-0000-00008A2F0000}"/>
    <cellStyle name="표준 5 2 2 3 2 2 2 9" xfId="11446" xr:uid="{00000000-0005-0000-0000-00008B2F0000}"/>
    <cellStyle name="표준 5 2 2 3 2 2 3" xfId="543" xr:uid="{00000000-0005-0000-0000-00008C2F0000}"/>
    <cellStyle name="표준 5 2 2 3 2 2 3 10" xfId="19912" xr:uid="{00000000-0005-0000-0000-00008D2F0000}"/>
    <cellStyle name="표준 5 2 2 3 2 2 3 11" xfId="24008" xr:uid="{00000000-0005-0000-0000-00008E2F0000}"/>
    <cellStyle name="표준 5 2 2 3 2 2 3 12" xfId="32219" xr:uid="{00000000-0005-0000-0000-00008F2F0000}"/>
    <cellStyle name="표준 5 2 2 3 2 2 3 13" xfId="40412" xr:uid="{00000000-0005-0000-0000-0000902F0000}"/>
    <cellStyle name="표준 5 2 2 3 2 2 3 2" xfId="799" xr:uid="{00000000-0005-0000-0000-0000912F0000}"/>
    <cellStyle name="표준 5 2 2 3 2 2 3 2 10" xfId="24264" xr:uid="{00000000-0005-0000-0000-0000922F0000}"/>
    <cellStyle name="표준 5 2 2 3 2 2 3 2 11" xfId="32475" xr:uid="{00000000-0005-0000-0000-0000932F0000}"/>
    <cellStyle name="표준 5 2 2 3 2 2 3 2 12" xfId="40668" xr:uid="{00000000-0005-0000-0000-0000942F0000}"/>
    <cellStyle name="표준 5 2 2 3 2 2 3 2 2" xfId="1311" xr:uid="{00000000-0005-0000-0000-0000952F0000}"/>
    <cellStyle name="표준 5 2 2 3 2 2 3 2 2 2" xfId="10214" xr:uid="{00000000-0005-0000-0000-0000962F0000}"/>
    <cellStyle name="표준 5 2 2 3 2 2 3 2 2 2 2" xfId="14326" xr:uid="{00000000-0005-0000-0000-0000972F0000}"/>
    <cellStyle name="표준 5 2 2 3 2 2 3 2 2 2 2 2" xfId="30920" xr:uid="{00000000-0005-0000-0000-0000982F0000}"/>
    <cellStyle name="표준 5 2 2 3 2 2 3 2 2 2 2 3" xfId="39131" xr:uid="{00000000-0005-0000-0000-0000992F0000}"/>
    <cellStyle name="표준 5 2 2 3 2 2 3 2 2 2 2 4" xfId="47324" xr:uid="{00000000-0005-0000-0000-00009A2F0000}"/>
    <cellStyle name="표준 5 2 2 3 2 2 3 2 2 2 3" xfId="18566" xr:uid="{00000000-0005-0000-0000-00009B2F0000}"/>
    <cellStyle name="표준 5 2 2 3 2 2 3 2 2 2 4" xfId="22728" xr:uid="{00000000-0005-0000-0000-00009C2F0000}"/>
    <cellStyle name="표준 5 2 2 3 2 2 3 2 2 2 5" xfId="26824" xr:uid="{00000000-0005-0000-0000-00009D2F0000}"/>
    <cellStyle name="표준 5 2 2 3 2 2 3 2 2 2 6" xfId="35035" xr:uid="{00000000-0005-0000-0000-00009E2F0000}"/>
    <cellStyle name="표준 5 2 2 3 2 2 3 2 2 2 7" xfId="43228" xr:uid="{00000000-0005-0000-0000-00009F2F0000}"/>
    <cellStyle name="표준 5 2 2 3 2 2 3 2 2 3" xfId="8166" xr:uid="{00000000-0005-0000-0000-0000A02F0000}"/>
    <cellStyle name="표준 5 2 2 3 2 2 3 2 2 3 2" xfId="28872" xr:uid="{00000000-0005-0000-0000-0000A12F0000}"/>
    <cellStyle name="표준 5 2 2 3 2 2 3 2 2 3 3" xfId="37083" xr:uid="{00000000-0005-0000-0000-0000A22F0000}"/>
    <cellStyle name="표준 5 2 2 3 2 2 3 2 2 3 4" xfId="45276" xr:uid="{00000000-0005-0000-0000-0000A32F0000}"/>
    <cellStyle name="표준 5 2 2 3 2 2 3 2 2 4" xfId="12278" xr:uid="{00000000-0005-0000-0000-0000A42F0000}"/>
    <cellStyle name="표준 5 2 2 3 2 2 3 2 2 5" xfId="16518" xr:uid="{00000000-0005-0000-0000-0000A52F0000}"/>
    <cellStyle name="표준 5 2 2 3 2 2 3 2 2 6" xfId="20680" xr:uid="{00000000-0005-0000-0000-0000A62F0000}"/>
    <cellStyle name="표준 5 2 2 3 2 2 3 2 2 7" xfId="24776" xr:uid="{00000000-0005-0000-0000-0000A72F0000}"/>
    <cellStyle name="표준 5 2 2 3 2 2 3 2 2 8" xfId="32987" xr:uid="{00000000-0005-0000-0000-0000A82F0000}"/>
    <cellStyle name="표준 5 2 2 3 2 2 3 2 2 9" xfId="41180" xr:uid="{00000000-0005-0000-0000-0000A92F0000}"/>
    <cellStyle name="표준 5 2 2 3 2 2 3 2 3" xfId="1823" xr:uid="{00000000-0005-0000-0000-0000AA2F0000}"/>
    <cellStyle name="표준 5 2 2 3 2 2 3 2 3 2" xfId="10726" xr:uid="{00000000-0005-0000-0000-0000AB2F0000}"/>
    <cellStyle name="표준 5 2 2 3 2 2 3 2 3 2 2" xfId="14838" xr:uid="{00000000-0005-0000-0000-0000AC2F0000}"/>
    <cellStyle name="표준 5 2 2 3 2 2 3 2 3 2 2 2" xfId="31432" xr:uid="{00000000-0005-0000-0000-0000AD2F0000}"/>
    <cellStyle name="표준 5 2 2 3 2 2 3 2 3 2 2 3" xfId="39643" xr:uid="{00000000-0005-0000-0000-0000AE2F0000}"/>
    <cellStyle name="표준 5 2 2 3 2 2 3 2 3 2 2 4" xfId="47836" xr:uid="{00000000-0005-0000-0000-0000AF2F0000}"/>
    <cellStyle name="표준 5 2 2 3 2 2 3 2 3 2 3" xfId="19078" xr:uid="{00000000-0005-0000-0000-0000B02F0000}"/>
    <cellStyle name="표준 5 2 2 3 2 2 3 2 3 2 4" xfId="23240" xr:uid="{00000000-0005-0000-0000-0000B12F0000}"/>
    <cellStyle name="표준 5 2 2 3 2 2 3 2 3 2 5" xfId="27336" xr:uid="{00000000-0005-0000-0000-0000B22F0000}"/>
    <cellStyle name="표준 5 2 2 3 2 2 3 2 3 2 6" xfId="35547" xr:uid="{00000000-0005-0000-0000-0000B32F0000}"/>
    <cellStyle name="표준 5 2 2 3 2 2 3 2 3 2 7" xfId="43740" xr:uid="{00000000-0005-0000-0000-0000B42F0000}"/>
    <cellStyle name="표준 5 2 2 3 2 2 3 2 3 3" xfId="8678" xr:uid="{00000000-0005-0000-0000-0000B52F0000}"/>
    <cellStyle name="표준 5 2 2 3 2 2 3 2 3 3 2" xfId="29384" xr:uid="{00000000-0005-0000-0000-0000B62F0000}"/>
    <cellStyle name="표준 5 2 2 3 2 2 3 2 3 3 3" xfId="37595" xr:uid="{00000000-0005-0000-0000-0000B72F0000}"/>
    <cellStyle name="표준 5 2 2 3 2 2 3 2 3 3 4" xfId="45788" xr:uid="{00000000-0005-0000-0000-0000B82F0000}"/>
    <cellStyle name="표준 5 2 2 3 2 2 3 2 3 4" xfId="12790" xr:uid="{00000000-0005-0000-0000-0000B92F0000}"/>
    <cellStyle name="표준 5 2 2 3 2 2 3 2 3 5" xfId="17030" xr:uid="{00000000-0005-0000-0000-0000BA2F0000}"/>
    <cellStyle name="표준 5 2 2 3 2 2 3 2 3 6" xfId="21192" xr:uid="{00000000-0005-0000-0000-0000BB2F0000}"/>
    <cellStyle name="표준 5 2 2 3 2 2 3 2 3 7" xfId="25288" xr:uid="{00000000-0005-0000-0000-0000BC2F0000}"/>
    <cellStyle name="표준 5 2 2 3 2 2 3 2 3 8" xfId="33499" xr:uid="{00000000-0005-0000-0000-0000BD2F0000}"/>
    <cellStyle name="표준 5 2 2 3 2 2 3 2 3 9" xfId="41692" xr:uid="{00000000-0005-0000-0000-0000BE2F0000}"/>
    <cellStyle name="표준 5 2 2 3 2 2 3 2 4" xfId="2335" xr:uid="{00000000-0005-0000-0000-0000BF2F0000}"/>
    <cellStyle name="표준 5 2 2 3 2 2 3 2 4 2" xfId="11238" xr:uid="{00000000-0005-0000-0000-0000C02F0000}"/>
    <cellStyle name="표준 5 2 2 3 2 2 3 2 4 2 2" xfId="15350" xr:uid="{00000000-0005-0000-0000-0000C12F0000}"/>
    <cellStyle name="표준 5 2 2 3 2 2 3 2 4 2 2 2" xfId="31944" xr:uid="{00000000-0005-0000-0000-0000C22F0000}"/>
    <cellStyle name="표준 5 2 2 3 2 2 3 2 4 2 2 3" xfId="40155" xr:uid="{00000000-0005-0000-0000-0000C32F0000}"/>
    <cellStyle name="표준 5 2 2 3 2 2 3 2 4 2 2 4" xfId="48348" xr:uid="{00000000-0005-0000-0000-0000C42F0000}"/>
    <cellStyle name="표준 5 2 2 3 2 2 3 2 4 2 3" xfId="19590" xr:uid="{00000000-0005-0000-0000-0000C52F0000}"/>
    <cellStyle name="표준 5 2 2 3 2 2 3 2 4 2 4" xfId="23752" xr:uid="{00000000-0005-0000-0000-0000C62F0000}"/>
    <cellStyle name="표준 5 2 2 3 2 2 3 2 4 2 5" xfId="27848" xr:uid="{00000000-0005-0000-0000-0000C72F0000}"/>
    <cellStyle name="표준 5 2 2 3 2 2 3 2 4 2 6" xfId="36059" xr:uid="{00000000-0005-0000-0000-0000C82F0000}"/>
    <cellStyle name="표준 5 2 2 3 2 2 3 2 4 2 7" xfId="44252" xr:uid="{00000000-0005-0000-0000-0000C92F0000}"/>
    <cellStyle name="표준 5 2 2 3 2 2 3 2 4 3" xfId="9190" xr:uid="{00000000-0005-0000-0000-0000CA2F0000}"/>
    <cellStyle name="표준 5 2 2 3 2 2 3 2 4 3 2" xfId="29896" xr:uid="{00000000-0005-0000-0000-0000CB2F0000}"/>
    <cellStyle name="표준 5 2 2 3 2 2 3 2 4 3 3" xfId="38107" xr:uid="{00000000-0005-0000-0000-0000CC2F0000}"/>
    <cellStyle name="표준 5 2 2 3 2 2 3 2 4 3 4" xfId="46300" xr:uid="{00000000-0005-0000-0000-0000CD2F0000}"/>
    <cellStyle name="표준 5 2 2 3 2 2 3 2 4 4" xfId="13302" xr:uid="{00000000-0005-0000-0000-0000CE2F0000}"/>
    <cellStyle name="표준 5 2 2 3 2 2 3 2 4 5" xfId="17542" xr:uid="{00000000-0005-0000-0000-0000CF2F0000}"/>
    <cellStyle name="표준 5 2 2 3 2 2 3 2 4 6" xfId="21704" xr:uid="{00000000-0005-0000-0000-0000D02F0000}"/>
    <cellStyle name="표준 5 2 2 3 2 2 3 2 4 7" xfId="25800" xr:uid="{00000000-0005-0000-0000-0000D12F0000}"/>
    <cellStyle name="표준 5 2 2 3 2 2 3 2 4 8" xfId="34011" xr:uid="{00000000-0005-0000-0000-0000D22F0000}"/>
    <cellStyle name="표준 5 2 2 3 2 2 3 2 4 9" xfId="42204" xr:uid="{00000000-0005-0000-0000-0000D32F0000}"/>
    <cellStyle name="표준 5 2 2 3 2 2 3 2 5" xfId="9702" xr:uid="{00000000-0005-0000-0000-0000D42F0000}"/>
    <cellStyle name="표준 5 2 2 3 2 2 3 2 5 2" xfId="13814" xr:uid="{00000000-0005-0000-0000-0000D52F0000}"/>
    <cellStyle name="표준 5 2 2 3 2 2 3 2 5 2 2" xfId="30408" xr:uid="{00000000-0005-0000-0000-0000D62F0000}"/>
    <cellStyle name="표준 5 2 2 3 2 2 3 2 5 2 3" xfId="38619" xr:uid="{00000000-0005-0000-0000-0000D72F0000}"/>
    <cellStyle name="표준 5 2 2 3 2 2 3 2 5 2 4" xfId="46812" xr:uid="{00000000-0005-0000-0000-0000D82F0000}"/>
    <cellStyle name="표준 5 2 2 3 2 2 3 2 5 3" xfId="18054" xr:uid="{00000000-0005-0000-0000-0000D92F0000}"/>
    <cellStyle name="표준 5 2 2 3 2 2 3 2 5 4" xfId="22216" xr:uid="{00000000-0005-0000-0000-0000DA2F0000}"/>
    <cellStyle name="표준 5 2 2 3 2 2 3 2 5 5" xfId="26312" xr:uid="{00000000-0005-0000-0000-0000DB2F0000}"/>
    <cellStyle name="표준 5 2 2 3 2 2 3 2 5 6" xfId="34523" xr:uid="{00000000-0005-0000-0000-0000DC2F0000}"/>
    <cellStyle name="표준 5 2 2 3 2 2 3 2 5 7" xfId="42716" xr:uid="{00000000-0005-0000-0000-0000DD2F0000}"/>
    <cellStyle name="표준 5 2 2 3 2 2 3 2 6" xfId="7654" xr:uid="{00000000-0005-0000-0000-0000DE2F0000}"/>
    <cellStyle name="표준 5 2 2 3 2 2 3 2 6 2" xfId="28360" xr:uid="{00000000-0005-0000-0000-0000DF2F0000}"/>
    <cellStyle name="표준 5 2 2 3 2 2 3 2 6 3" xfId="36571" xr:uid="{00000000-0005-0000-0000-0000E02F0000}"/>
    <cellStyle name="표준 5 2 2 3 2 2 3 2 6 4" xfId="44764" xr:uid="{00000000-0005-0000-0000-0000E12F0000}"/>
    <cellStyle name="표준 5 2 2 3 2 2 3 2 7" xfId="11766" xr:uid="{00000000-0005-0000-0000-0000E22F0000}"/>
    <cellStyle name="표준 5 2 2 3 2 2 3 2 8" xfId="16006" xr:uid="{00000000-0005-0000-0000-0000E32F0000}"/>
    <cellStyle name="표준 5 2 2 3 2 2 3 2 9" xfId="20168" xr:uid="{00000000-0005-0000-0000-0000E42F0000}"/>
    <cellStyle name="표준 5 2 2 3 2 2 3 3" xfId="1055" xr:uid="{00000000-0005-0000-0000-0000E52F0000}"/>
    <cellStyle name="표준 5 2 2 3 2 2 3 3 2" xfId="9958" xr:uid="{00000000-0005-0000-0000-0000E62F0000}"/>
    <cellStyle name="표준 5 2 2 3 2 2 3 3 2 2" xfId="14070" xr:uid="{00000000-0005-0000-0000-0000E72F0000}"/>
    <cellStyle name="표준 5 2 2 3 2 2 3 3 2 2 2" xfId="30664" xr:uid="{00000000-0005-0000-0000-0000E82F0000}"/>
    <cellStyle name="표준 5 2 2 3 2 2 3 3 2 2 3" xfId="38875" xr:uid="{00000000-0005-0000-0000-0000E92F0000}"/>
    <cellStyle name="표준 5 2 2 3 2 2 3 3 2 2 4" xfId="47068" xr:uid="{00000000-0005-0000-0000-0000EA2F0000}"/>
    <cellStyle name="표준 5 2 2 3 2 2 3 3 2 3" xfId="18310" xr:uid="{00000000-0005-0000-0000-0000EB2F0000}"/>
    <cellStyle name="표준 5 2 2 3 2 2 3 3 2 4" xfId="22472" xr:uid="{00000000-0005-0000-0000-0000EC2F0000}"/>
    <cellStyle name="표준 5 2 2 3 2 2 3 3 2 5" xfId="26568" xr:uid="{00000000-0005-0000-0000-0000ED2F0000}"/>
    <cellStyle name="표준 5 2 2 3 2 2 3 3 2 6" xfId="34779" xr:uid="{00000000-0005-0000-0000-0000EE2F0000}"/>
    <cellStyle name="표준 5 2 2 3 2 2 3 3 2 7" xfId="42972" xr:uid="{00000000-0005-0000-0000-0000EF2F0000}"/>
    <cellStyle name="표준 5 2 2 3 2 2 3 3 3" xfId="7910" xr:uid="{00000000-0005-0000-0000-0000F02F0000}"/>
    <cellStyle name="표준 5 2 2 3 2 2 3 3 3 2" xfId="28616" xr:uid="{00000000-0005-0000-0000-0000F12F0000}"/>
    <cellStyle name="표준 5 2 2 3 2 2 3 3 3 3" xfId="36827" xr:uid="{00000000-0005-0000-0000-0000F22F0000}"/>
    <cellStyle name="표준 5 2 2 3 2 2 3 3 3 4" xfId="45020" xr:uid="{00000000-0005-0000-0000-0000F32F0000}"/>
    <cellStyle name="표준 5 2 2 3 2 2 3 3 4" xfId="12022" xr:uid="{00000000-0005-0000-0000-0000F42F0000}"/>
    <cellStyle name="표준 5 2 2 3 2 2 3 3 5" xfId="16262" xr:uid="{00000000-0005-0000-0000-0000F52F0000}"/>
    <cellStyle name="표준 5 2 2 3 2 2 3 3 6" xfId="20424" xr:uid="{00000000-0005-0000-0000-0000F62F0000}"/>
    <cellStyle name="표준 5 2 2 3 2 2 3 3 7" xfId="24520" xr:uid="{00000000-0005-0000-0000-0000F72F0000}"/>
    <cellStyle name="표준 5 2 2 3 2 2 3 3 8" xfId="32731" xr:uid="{00000000-0005-0000-0000-0000F82F0000}"/>
    <cellStyle name="표준 5 2 2 3 2 2 3 3 9" xfId="40924" xr:uid="{00000000-0005-0000-0000-0000F92F0000}"/>
    <cellStyle name="표준 5 2 2 3 2 2 3 4" xfId="1567" xr:uid="{00000000-0005-0000-0000-0000FA2F0000}"/>
    <cellStyle name="표준 5 2 2 3 2 2 3 4 2" xfId="10470" xr:uid="{00000000-0005-0000-0000-0000FB2F0000}"/>
    <cellStyle name="표준 5 2 2 3 2 2 3 4 2 2" xfId="14582" xr:uid="{00000000-0005-0000-0000-0000FC2F0000}"/>
    <cellStyle name="표준 5 2 2 3 2 2 3 4 2 2 2" xfId="31176" xr:uid="{00000000-0005-0000-0000-0000FD2F0000}"/>
    <cellStyle name="표준 5 2 2 3 2 2 3 4 2 2 3" xfId="39387" xr:uid="{00000000-0005-0000-0000-0000FE2F0000}"/>
    <cellStyle name="표준 5 2 2 3 2 2 3 4 2 2 4" xfId="47580" xr:uid="{00000000-0005-0000-0000-0000FF2F0000}"/>
    <cellStyle name="표준 5 2 2 3 2 2 3 4 2 3" xfId="18822" xr:uid="{00000000-0005-0000-0000-000000300000}"/>
    <cellStyle name="표준 5 2 2 3 2 2 3 4 2 4" xfId="22984" xr:uid="{00000000-0005-0000-0000-000001300000}"/>
    <cellStyle name="표준 5 2 2 3 2 2 3 4 2 5" xfId="27080" xr:uid="{00000000-0005-0000-0000-000002300000}"/>
    <cellStyle name="표준 5 2 2 3 2 2 3 4 2 6" xfId="35291" xr:uid="{00000000-0005-0000-0000-000003300000}"/>
    <cellStyle name="표준 5 2 2 3 2 2 3 4 2 7" xfId="43484" xr:uid="{00000000-0005-0000-0000-000004300000}"/>
    <cellStyle name="표준 5 2 2 3 2 2 3 4 3" xfId="8422" xr:uid="{00000000-0005-0000-0000-000005300000}"/>
    <cellStyle name="표준 5 2 2 3 2 2 3 4 3 2" xfId="29128" xr:uid="{00000000-0005-0000-0000-000006300000}"/>
    <cellStyle name="표준 5 2 2 3 2 2 3 4 3 3" xfId="37339" xr:uid="{00000000-0005-0000-0000-000007300000}"/>
    <cellStyle name="표준 5 2 2 3 2 2 3 4 3 4" xfId="45532" xr:uid="{00000000-0005-0000-0000-000008300000}"/>
    <cellStyle name="표준 5 2 2 3 2 2 3 4 4" xfId="12534" xr:uid="{00000000-0005-0000-0000-000009300000}"/>
    <cellStyle name="표준 5 2 2 3 2 2 3 4 5" xfId="16774" xr:uid="{00000000-0005-0000-0000-00000A300000}"/>
    <cellStyle name="표준 5 2 2 3 2 2 3 4 6" xfId="20936" xr:uid="{00000000-0005-0000-0000-00000B300000}"/>
    <cellStyle name="표준 5 2 2 3 2 2 3 4 7" xfId="25032" xr:uid="{00000000-0005-0000-0000-00000C300000}"/>
    <cellStyle name="표준 5 2 2 3 2 2 3 4 8" xfId="33243" xr:uid="{00000000-0005-0000-0000-00000D300000}"/>
    <cellStyle name="표준 5 2 2 3 2 2 3 4 9" xfId="41436" xr:uid="{00000000-0005-0000-0000-00000E300000}"/>
    <cellStyle name="표준 5 2 2 3 2 2 3 5" xfId="2079" xr:uid="{00000000-0005-0000-0000-00000F300000}"/>
    <cellStyle name="표준 5 2 2 3 2 2 3 5 2" xfId="10982" xr:uid="{00000000-0005-0000-0000-000010300000}"/>
    <cellStyle name="표준 5 2 2 3 2 2 3 5 2 2" xfId="15094" xr:uid="{00000000-0005-0000-0000-000011300000}"/>
    <cellStyle name="표준 5 2 2 3 2 2 3 5 2 2 2" xfId="31688" xr:uid="{00000000-0005-0000-0000-000012300000}"/>
    <cellStyle name="표준 5 2 2 3 2 2 3 5 2 2 3" xfId="39899" xr:uid="{00000000-0005-0000-0000-000013300000}"/>
    <cellStyle name="표준 5 2 2 3 2 2 3 5 2 2 4" xfId="48092" xr:uid="{00000000-0005-0000-0000-000014300000}"/>
    <cellStyle name="표준 5 2 2 3 2 2 3 5 2 3" xfId="19334" xr:uid="{00000000-0005-0000-0000-000015300000}"/>
    <cellStyle name="표준 5 2 2 3 2 2 3 5 2 4" xfId="23496" xr:uid="{00000000-0005-0000-0000-000016300000}"/>
    <cellStyle name="표준 5 2 2 3 2 2 3 5 2 5" xfId="27592" xr:uid="{00000000-0005-0000-0000-000017300000}"/>
    <cellStyle name="표준 5 2 2 3 2 2 3 5 2 6" xfId="35803" xr:uid="{00000000-0005-0000-0000-000018300000}"/>
    <cellStyle name="표준 5 2 2 3 2 2 3 5 2 7" xfId="43996" xr:uid="{00000000-0005-0000-0000-000019300000}"/>
    <cellStyle name="표준 5 2 2 3 2 2 3 5 3" xfId="8934" xr:uid="{00000000-0005-0000-0000-00001A300000}"/>
    <cellStyle name="표준 5 2 2 3 2 2 3 5 3 2" xfId="29640" xr:uid="{00000000-0005-0000-0000-00001B300000}"/>
    <cellStyle name="표준 5 2 2 3 2 2 3 5 3 3" xfId="37851" xr:uid="{00000000-0005-0000-0000-00001C300000}"/>
    <cellStyle name="표준 5 2 2 3 2 2 3 5 3 4" xfId="46044" xr:uid="{00000000-0005-0000-0000-00001D300000}"/>
    <cellStyle name="표준 5 2 2 3 2 2 3 5 4" xfId="13046" xr:uid="{00000000-0005-0000-0000-00001E300000}"/>
    <cellStyle name="표준 5 2 2 3 2 2 3 5 5" xfId="17286" xr:uid="{00000000-0005-0000-0000-00001F300000}"/>
    <cellStyle name="표준 5 2 2 3 2 2 3 5 6" xfId="21448" xr:uid="{00000000-0005-0000-0000-000020300000}"/>
    <cellStyle name="표준 5 2 2 3 2 2 3 5 7" xfId="25544" xr:uid="{00000000-0005-0000-0000-000021300000}"/>
    <cellStyle name="표준 5 2 2 3 2 2 3 5 8" xfId="33755" xr:uid="{00000000-0005-0000-0000-000022300000}"/>
    <cellStyle name="표준 5 2 2 3 2 2 3 5 9" xfId="41948" xr:uid="{00000000-0005-0000-0000-000023300000}"/>
    <cellStyle name="표준 5 2 2 3 2 2 3 6" xfId="9446" xr:uid="{00000000-0005-0000-0000-000024300000}"/>
    <cellStyle name="표준 5 2 2 3 2 2 3 6 2" xfId="13558" xr:uid="{00000000-0005-0000-0000-000025300000}"/>
    <cellStyle name="표준 5 2 2 3 2 2 3 6 2 2" xfId="30152" xr:uid="{00000000-0005-0000-0000-000026300000}"/>
    <cellStyle name="표준 5 2 2 3 2 2 3 6 2 3" xfId="38363" xr:uid="{00000000-0005-0000-0000-000027300000}"/>
    <cellStyle name="표준 5 2 2 3 2 2 3 6 2 4" xfId="46556" xr:uid="{00000000-0005-0000-0000-000028300000}"/>
    <cellStyle name="표준 5 2 2 3 2 2 3 6 3" xfId="17798" xr:uid="{00000000-0005-0000-0000-000029300000}"/>
    <cellStyle name="표준 5 2 2 3 2 2 3 6 4" xfId="21960" xr:uid="{00000000-0005-0000-0000-00002A300000}"/>
    <cellStyle name="표준 5 2 2 3 2 2 3 6 5" xfId="26056" xr:uid="{00000000-0005-0000-0000-00002B300000}"/>
    <cellStyle name="표준 5 2 2 3 2 2 3 6 6" xfId="34267" xr:uid="{00000000-0005-0000-0000-00002C300000}"/>
    <cellStyle name="표준 5 2 2 3 2 2 3 6 7" xfId="42460" xr:uid="{00000000-0005-0000-0000-00002D300000}"/>
    <cellStyle name="표준 5 2 2 3 2 2 3 7" xfId="7398" xr:uid="{00000000-0005-0000-0000-00002E300000}"/>
    <cellStyle name="표준 5 2 2 3 2 2 3 7 2" xfId="28104" xr:uid="{00000000-0005-0000-0000-00002F300000}"/>
    <cellStyle name="표준 5 2 2 3 2 2 3 7 3" xfId="36315" xr:uid="{00000000-0005-0000-0000-000030300000}"/>
    <cellStyle name="표준 5 2 2 3 2 2 3 7 4" xfId="44508" xr:uid="{00000000-0005-0000-0000-000031300000}"/>
    <cellStyle name="표준 5 2 2 3 2 2 3 8" xfId="11510" xr:uid="{00000000-0005-0000-0000-000032300000}"/>
    <cellStyle name="표준 5 2 2 3 2 2 3 9" xfId="15750" xr:uid="{00000000-0005-0000-0000-000033300000}"/>
    <cellStyle name="표준 5 2 2 3 2 2 4" xfId="671" xr:uid="{00000000-0005-0000-0000-000034300000}"/>
    <cellStyle name="표준 5 2 2 3 2 2 4 10" xfId="24136" xr:uid="{00000000-0005-0000-0000-000035300000}"/>
    <cellStyle name="표준 5 2 2 3 2 2 4 11" xfId="32347" xr:uid="{00000000-0005-0000-0000-000036300000}"/>
    <cellStyle name="표준 5 2 2 3 2 2 4 12" xfId="40540" xr:uid="{00000000-0005-0000-0000-000037300000}"/>
    <cellStyle name="표준 5 2 2 3 2 2 4 2" xfId="1183" xr:uid="{00000000-0005-0000-0000-000038300000}"/>
    <cellStyle name="표준 5 2 2 3 2 2 4 2 2" xfId="10086" xr:uid="{00000000-0005-0000-0000-000039300000}"/>
    <cellStyle name="표준 5 2 2 3 2 2 4 2 2 2" xfId="14198" xr:uid="{00000000-0005-0000-0000-00003A300000}"/>
    <cellStyle name="표준 5 2 2 3 2 2 4 2 2 2 2" xfId="30792" xr:uid="{00000000-0005-0000-0000-00003B300000}"/>
    <cellStyle name="표준 5 2 2 3 2 2 4 2 2 2 3" xfId="39003" xr:uid="{00000000-0005-0000-0000-00003C300000}"/>
    <cellStyle name="표준 5 2 2 3 2 2 4 2 2 2 4" xfId="47196" xr:uid="{00000000-0005-0000-0000-00003D300000}"/>
    <cellStyle name="표준 5 2 2 3 2 2 4 2 2 3" xfId="18438" xr:uid="{00000000-0005-0000-0000-00003E300000}"/>
    <cellStyle name="표준 5 2 2 3 2 2 4 2 2 4" xfId="22600" xr:uid="{00000000-0005-0000-0000-00003F300000}"/>
    <cellStyle name="표준 5 2 2 3 2 2 4 2 2 5" xfId="26696" xr:uid="{00000000-0005-0000-0000-000040300000}"/>
    <cellStyle name="표준 5 2 2 3 2 2 4 2 2 6" xfId="34907" xr:uid="{00000000-0005-0000-0000-000041300000}"/>
    <cellStyle name="표준 5 2 2 3 2 2 4 2 2 7" xfId="43100" xr:uid="{00000000-0005-0000-0000-000042300000}"/>
    <cellStyle name="표준 5 2 2 3 2 2 4 2 3" xfId="8038" xr:uid="{00000000-0005-0000-0000-000043300000}"/>
    <cellStyle name="표준 5 2 2 3 2 2 4 2 3 2" xfId="28744" xr:uid="{00000000-0005-0000-0000-000044300000}"/>
    <cellStyle name="표준 5 2 2 3 2 2 4 2 3 3" xfId="36955" xr:uid="{00000000-0005-0000-0000-000045300000}"/>
    <cellStyle name="표준 5 2 2 3 2 2 4 2 3 4" xfId="45148" xr:uid="{00000000-0005-0000-0000-000046300000}"/>
    <cellStyle name="표준 5 2 2 3 2 2 4 2 4" xfId="12150" xr:uid="{00000000-0005-0000-0000-000047300000}"/>
    <cellStyle name="표준 5 2 2 3 2 2 4 2 5" xfId="16390" xr:uid="{00000000-0005-0000-0000-000048300000}"/>
    <cellStyle name="표준 5 2 2 3 2 2 4 2 6" xfId="20552" xr:uid="{00000000-0005-0000-0000-000049300000}"/>
    <cellStyle name="표준 5 2 2 3 2 2 4 2 7" xfId="24648" xr:uid="{00000000-0005-0000-0000-00004A300000}"/>
    <cellStyle name="표준 5 2 2 3 2 2 4 2 8" xfId="32859" xr:uid="{00000000-0005-0000-0000-00004B300000}"/>
    <cellStyle name="표준 5 2 2 3 2 2 4 2 9" xfId="41052" xr:uid="{00000000-0005-0000-0000-00004C300000}"/>
    <cellStyle name="표준 5 2 2 3 2 2 4 3" xfId="1695" xr:uid="{00000000-0005-0000-0000-00004D300000}"/>
    <cellStyle name="표준 5 2 2 3 2 2 4 3 2" xfId="10598" xr:uid="{00000000-0005-0000-0000-00004E300000}"/>
    <cellStyle name="표준 5 2 2 3 2 2 4 3 2 2" xfId="14710" xr:uid="{00000000-0005-0000-0000-00004F300000}"/>
    <cellStyle name="표준 5 2 2 3 2 2 4 3 2 2 2" xfId="31304" xr:uid="{00000000-0005-0000-0000-000050300000}"/>
    <cellStyle name="표준 5 2 2 3 2 2 4 3 2 2 3" xfId="39515" xr:uid="{00000000-0005-0000-0000-000051300000}"/>
    <cellStyle name="표준 5 2 2 3 2 2 4 3 2 2 4" xfId="47708" xr:uid="{00000000-0005-0000-0000-000052300000}"/>
    <cellStyle name="표준 5 2 2 3 2 2 4 3 2 3" xfId="18950" xr:uid="{00000000-0005-0000-0000-000053300000}"/>
    <cellStyle name="표준 5 2 2 3 2 2 4 3 2 4" xfId="23112" xr:uid="{00000000-0005-0000-0000-000054300000}"/>
    <cellStyle name="표준 5 2 2 3 2 2 4 3 2 5" xfId="27208" xr:uid="{00000000-0005-0000-0000-000055300000}"/>
    <cellStyle name="표준 5 2 2 3 2 2 4 3 2 6" xfId="35419" xr:uid="{00000000-0005-0000-0000-000056300000}"/>
    <cellStyle name="표준 5 2 2 3 2 2 4 3 2 7" xfId="43612" xr:uid="{00000000-0005-0000-0000-000057300000}"/>
    <cellStyle name="표준 5 2 2 3 2 2 4 3 3" xfId="8550" xr:uid="{00000000-0005-0000-0000-000058300000}"/>
    <cellStyle name="표준 5 2 2 3 2 2 4 3 3 2" xfId="29256" xr:uid="{00000000-0005-0000-0000-000059300000}"/>
    <cellStyle name="표준 5 2 2 3 2 2 4 3 3 3" xfId="37467" xr:uid="{00000000-0005-0000-0000-00005A300000}"/>
    <cellStyle name="표준 5 2 2 3 2 2 4 3 3 4" xfId="45660" xr:uid="{00000000-0005-0000-0000-00005B300000}"/>
    <cellStyle name="표준 5 2 2 3 2 2 4 3 4" xfId="12662" xr:uid="{00000000-0005-0000-0000-00005C300000}"/>
    <cellStyle name="표준 5 2 2 3 2 2 4 3 5" xfId="16902" xr:uid="{00000000-0005-0000-0000-00005D300000}"/>
    <cellStyle name="표준 5 2 2 3 2 2 4 3 6" xfId="21064" xr:uid="{00000000-0005-0000-0000-00005E300000}"/>
    <cellStyle name="표준 5 2 2 3 2 2 4 3 7" xfId="25160" xr:uid="{00000000-0005-0000-0000-00005F300000}"/>
    <cellStyle name="표준 5 2 2 3 2 2 4 3 8" xfId="33371" xr:uid="{00000000-0005-0000-0000-000060300000}"/>
    <cellStyle name="표준 5 2 2 3 2 2 4 3 9" xfId="41564" xr:uid="{00000000-0005-0000-0000-000061300000}"/>
    <cellStyle name="표준 5 2 2 3 2 2 4 4" xfId="2207" xr:uid="{00000000-0005-0000-0000-000062300000}"/>
    <cellStyle name="표준 5 2 2 3 2 2 4 4 2" xfId="11110" xr:uid="{00000000-0005-0000-0000-000063300000}"/>
    <cellStyle name="표준 5 2 2 3 2 2 4 4 2 2" xfId="15222" xr:uid="{00000000-0005-0000-0000-000064300000}"/>
    <cellStyle name="표준 5 2 2 3 2 2 4 4 2 2 2" xfId="31816" xr:uid="{00000000-0005-0000-0000-000065300000}"/>
    <cellStyle name="표준 5 2 2 3 2 2 4 4 2 2 3" xfId="40027" xr:uid="{00000000-0005-0000-0000-000066300000}"/>
    <cellStyle name="표준 5 2 2 3 2 2 4 4 2 2 4" xfId="48220" xr:uid="{00000000-0005-0000-0000-000067300000}"/>
    <cellStyle name="표준 5 2 2 3 2 2 4 4 2 3" xfId="19462" xr:uid="{00000000-0005-0000-0000-000068300000}"/>
    <cellStyle name="표준 5 2 2 3 2 2 4 4 2 4" xfId="23624" xr:uid="{00000000-0005-0000-0000-000069300000}"/>
    <cellStyle name="표준 5 2 2 3 2 2 4 4 2 5" xfId="27720" xr:uid="{00000000-0005-0000-0000-00006A300000}"/>
    <cellStyle name="표준 5 2 2 3 2 2 4 4 2 6" xfId="35931" xr:uid="{00000000-0005-0000-0000-00006B300000}"/>
    <cellStyle name="표준 5 2 2 3 2 2 4 4 2 7" xfId="44124" xr:uid="{00000000-0005-0000-0000-00006C300000}"/>
    <cellStyle name="표준 5 2 2 3 2 2 4 4 3" xfId="9062" xr:uid="{00000000-0005-0000-0000-00006D300000}"/>
    <cellStyle name="표준 5 2 2 3 2 2 4 4 3 2" xfId="29768" xr:uid="{00000000-0005-0000-0000-00006E300000}"/>
    <cellStyle name="표준 5 2 2 3 2 2 4 4 3 3" xfId="37979" xr:uid="{00000000-0005-0000-0000-00006F300000}"/>
    <cellStyle name="표준 5 2 2 3 2 2 4 4 3 4" xfId="46172" xr:uid="{00000000-0005-0000-0000-000070300000}"/>
    <cellStyle name="표준 5 2 2 3 2 2 4 4 4" xfId="13174" xr:uid="{00000000-0005-0000-0000-000071300000}"/>
    <cellStyle name="표준 5 2 2 3 2 2 4 4 5" xfId="17414" xr:uid="{00000000-0005-0000-0000-000072300000}"/>
    <cellStyle name="표준 5 2 2 3 2 2 4 4 6" xfId="21576" xr:uid="{00000000-0005-0000-0000-000073300000}"/>
    <cellStyle name="표준 5 2 2 3 2 2 4 4 7" xfId="25672" xr:uid="{00000000-0005-0000-0000-000074300000}"/>
    <cellStyle name="표준 5 2 2 3 2 2 4 4 8" xfId="33883" xr:uid="{00000000-0005-0000-0000-000075300000}"/>
    <cellStyle name="표준 5 2 2 3 2 2 4 4 9" xfId="42076" xr:uid="{00000000-0005-0000-0000-000076300000}"/>
    <cellStyle name="표준 5 2 2 3 2 2 4 5" xfId="9574" xr:uid="{00000000-0005-0000-0000-000077300000}"/>
    <cellStyle name="표준 5 2 2 3 2 2 4 5 2" xfId="13686" xr:uid="{00000000-0005-0000-0000-000078300000}"/>
    <cellStyle name="표준 5 2 2 3 2 2 4 5 2 2" xfId="30280" xr:uid="{00000000-0005-0000-0000-000079300000}"/>
    <cellStyle name="표준 5 2 2 3 2 2 4 5 2 3" xfId="38491" xr:uid="{00000000-0005-0000-0000-00007A300000}"/>
    <cellStyle name="표준 5 2 2 3 2 2 4 5 2 4" xfId="46684" xr:uid="{00000000-0005-0000-0000-00007B300000}"/>
    <cellStyle name="표준 5 2 2 3 2 2 4 5 3" xfId="17926" xr:uid="{00000000-0005-0000-0000-00007C300000}"/>
    <cellStyle name="표준 5 2 2 3 2 2 4 5 4" xfId="22088" xr:uid="{00000000-0005-0000-0000-00007D300000}"/>
    <cellStyle name="표준 5 2 2 3 2 2 4 5 5" xfId="26184" xr:uid="{00000000-0005-0000-0000-00007E300000}"/>
    <cellStyle name="표준 5 2 2 3 2 2 4 5 6" xfId="34395" xr:uid="{00000000-0005-0000-0000-00007F300000}"/>
    <cellStyle name="표준 5 2 2 3 2 2 4 5 7" xfId="42588" xr:uid="{00000000-0005-0000-0000-000080300000}"/>
    <cellStyle name="표준 5 2 2 3 2 2 4 6" xfId="7526" xr:uid="{00000000-0005-0000-0000-000081300000}"/>
    <cellStyle name="표준 5 2 2 3 2 2 4 6 2" xfId="28232" xr:uid="{00000000-0005-0000-0000-000082300000}"/>
    <cellStyle name="표준 5 2 2 3 2 2 4 6 3" xfId="36443" xr:uid="{00000000-0005-0000-0000-000083300000}"/>
    <cellStyle name="표준 5 2 2 3 2 2 4 6 4" xfId="44636" xr:uid="{00000000-0005-0000-0000-000084300000}"/>
    <cellStyle name="표준 5 2 2 3 2 2 4 7" xfId="11638" xr:uid="{00000000-0005-0000-0000-000085300000}"/>
    <cellStyle name="표준 5 2 2 3 2 2 4 8" xfId="15878" xr:uid="{00000000-0005-0000-0000-000086300000}"/>
    <cellStyle name="표준 5 2 2 3 2 2 4 9" xfId="20040" xr:uid="{00000000-0005-0000-0000-000087300000}"/>
    <cellStyle name="표준 5 2 2 3 2 2 5" xfId="927" xr:uid="{00000000-0005-0000-0000-000088300000}"/>
    <cellStyle name="표준 5 2 2 3 2 2 5 2" xfId="9830" xr:uid="{00000000-0005-0000-0000-000089300000}"/>
    <cellStyle name="표준 5 2 2 3 2 2 5 2 2" xfId="13942" xr:uid="{00000000-0005-0000-0000-00008A300000}"/>
    <cellStyle name="표준 5 2 2 3 2 2 5 2 2 2" xfId="30536" xr:uid="{00000000-0005-0000-0000-00008B300000}"/>
    <cellStyle name="표준 5 2 2 3 2 2 5 2 2 3" xfId="38747" xr:uid="{00000000-0005-0000-0000-00008C300000}"/>
    <cellStyle name="표준 5 2 2 3 2 2 5 2 2 4" xfId="46940" xr:uid="{00000000-0005-0000-0000-00008D300000}"/>
    <cellStyle name="표준 5 2 2 3 2 2 5 2 3" xfId="18182" xr:uid="{00000000-0005-0000-0000-00008E300000}"/>
    <cellStyle name="표준 5 2 2 3 2 2 5 2 4" xfId="22344" xr:uid="{00000000-0005-0000-0000-00008F300000}"/>
    <cellStyle name="표준 5 2 2 3 2 2 5 2 5" xfId="26440" xr:uid="{00000000-0005-0000-0000-000090300000}"/>
    <cellStyle name="표준 5 2 2 3 2 2 5 2 6" xfId="34651" xr:uid="{00000000-0005-0000-0000-000091300000}"/>
    <cellStyle name="표준 5 2 2 3 2 2 5 2 7" xfId="42844" xr:uid="{00000000-0005-0000-0000-000092300000}"/>
    <cellStyle name="표준 5 2 2 3 2 2 5 3" xfId="7782" xr:uid="{00000000-0005-0000-0000-000093300000}"/>
    <cellStyle name="표준 5 2 2 3 2 2 5 3 2" xfId="28488" xr:uid="{00000000-0005-0000-0000-000094300000}"/>
    <cellStyle name="표준 5 2 2 3 2 2 5 3 3" xfId="36699" xr:uid="{00000000-0005-0000-0000-000095300000}"/>
    <cellStyle name="표준 5 2 2 3 2 2 5 3 4" xfId="44892" xr:uid="{00000000-0005-0000-0000-000096300000}"/>
    <cellStyle name="표준 5 2 2 3 2 2 5 4" xfId="11894" xr:uid="{00000000-0005-0000-0000-000097300000}"/>
    <cellStyle name="표준 5 2 2 3 2 2 5 5" xfId="16134" xr:uid="{00000000-0005-0000-0000-000098300000}"/>
    <cellStyle name="표준 5 2 2 3 2 2 5 6" xfId="20296" xr:uid="{00000000-0005-0000-0000-000099300000}"/>
    <cellStyle name="표준 5 2 2 3 2 2 5 7" xfId="24392" xr:uid="{00000000-0005-0000-0000-00009A300000}"/>
    <cellStyle name="표준 5 2 2 3 2 2 5 8" xfId="32603" xr:uid="{00000000-0005-0000-0000-00009B300000}"/>
    <cellStyle name="표준 5 2 2 3 2 2 5 9" xfId="40796" xr:uid="{00000000-0005-0000-0000-00009C300000}"/>
    <cellStyle name="표준 5 2 2 3 2 2 6" xfId="1439" xr:uid="{00000000-0005-0000-0000-00009D300000}"/>
    <cellStyle name="표준 5 2 2 3 2 2 6 2" xfId="10342" xr:uid="{00000000-0005-0000-0000-00009E300000}"/>
    <cellStyle name="표준 5 2 2 3 2 2 6 2 2" xfId="14454" xr:uid="{00000000-0005-0000-0000-00009F300000}"/>
    <cellStyle name="표준 5 2 2 3 2 2 6 2 2 2" xfId="31048" xr:uid="{00000000-0005-0000-0000-0000A0300000}"/>
    <cellStyle name="표준 5 2 2 3 2 2 6 2 2 3" xfId="39259" xr:uid="{00000000-0005-0000-0000-0000A1300000}"/>
    <cellStyle name="표준 5 2 2 3 2 2 6 2 2 4" xfId="47452" xr:uid="{00000000-0005-0000-0000-0000A2300000}"/>
    <cellStyle name="표준 5 2 2 3 2 2 6 2 3" xfId="18694" xr:uid="{00000000-0005-0000-0000-0000A3300000}"/>
    <cellStyle name="표준 5 2 2 3 2 2 6 2 4" xfId="22856" xr:uid="{00000000-0005-0000-0000-0000A4300000}"/>
    <cellStyle name="표준 5 2 2 3 2 2 6 2 5" xfId="26952" xr:uid="{00000000-0005-0000-0000-0000A5300000}"/>
    <cellStyle name="표준 5 2 2 3 2 2 6 2 6" xfId="35163" xr:uid="{00000000-0005-0000-0000-0000A6300000}"/>
    <cellStyle name="표준 5 2 2 3 2 2 6 2 7" xfId="43356" xr:uid="{00000000-0005-0000-0000-0000A7300000}"/>
    <cellStyle name="표준 5 2 2 3 2 2 6 3" xfId="8294" xr:uid="{00000000-0005-0000-0000-0000A8300000}"/>
    <cellStyle name="표준 5 2 2 3 2 2 6 3 2" xfId="29000" xr:uid="{00000000-0005-0000-0000-0000A9300000}"/>
    <cellStyle name="표준 5 2 2 3 2 2 6 3 3" xfId="37211" xr:uid="{00000000-0005-0000-0000-0000AA300000}"/>
    <cellStyle name="표준 5 2 2 3 2 2 6 3 4" xfId="45404" xr:uid="{00000000-0005-0000-0000-0000AB300000}"/>
    <cellStyle name="표준 5 2 2 3 2 2 6 4" xfId="12406" xr:uid="{00000000-0005-0000-0000-0000AC300000}"/>
    <cellStyle name="표준 5 2 2 3 2 2 6 5" xfId="16646" xr:uid="{00000000-0005-0000-0000-0000AD300000}"/>
    <cellStyle name="표준 5 2 2 3 2 2 6 6" xfId="20808" xr:uid="{00000000-0005-0000-0000-0000AE300000}"/>
    <cellStyle name="표준 5 2 2 3 2 2 6 7" xfId="24904" xr:uid="{00000000-0005-0000-0000-0000AF300000}"/>
    <cellStyle name="표준 5 2 2 3 2 2 6 8" xfId="33115" xr:uid="{00000000-0005-0000-0000-0000B0300000}"/>
    <cellStyle name="표준 5 2 2 3 2 2 6 9" xfId="41308" xr:uid="{00000000-0005-0000-0000-0000B1300000}"/>
    <cellStyle name="표준 5 2 2 3 2 2 7" xfId="1951" xr:uid="{00000000-0005-0000-0000-0000B2300000}"/>
    <cellStyle name="표준 5 2 2 3 2 2 7 2" xfId="10854" xr:uid="{00000000-0005-0000-0000-0000B3300000}"/>
    <cellStyle name="표준 5 2 2 3 2 2 7 2 2" xfId="14966" xr:uid="{00000000-0005-0000-0000-0000B4300000}"/>
    <cellStyle name="표준 5 2 2 3 2 2 7 2 2 2" xfId="31560" xr:uid="{00000000-0005-0000-0000-0000B5300000}"/>
    <cellStyle name="표준 5 2 2 3 2 2 7 2 2 3" xfId="39771" xr:uid="{00000000-0005-0000-0000-0000B6300000}"/>
    <cellStyle name="표준 5 2 2 3 2 2 7 2 2 4" xfId="47964" xr:uid="{00000000-0005-0000-0000-0000B7300000}"/>
    <cellStyle name="표준 5 2 2 3 2 2 7 2 3" xfId="19206" xr:uid="{00000000-0005-0000-0000-0000B8300000}"/>
    <cellStyle name="표준 5 2 2 3 2 2 7 2 4" xfId="23368" xr:uid="{00000000-0005-0000-0000-0000B9300000}"/>
    <cellStyle name="표준 5 2 2 3 2 2 7 2 5" xfId="27464" xr:uid="{00000000-0005-0000-0000-0000BA300000}"/>
    <cellStyle name="표준 5 2 2 3 2 2 7 2 6" xfId="35675" xr:uid="{00000000-0005-0000-0000-0000BB300000}"/>
    <cellStyle name="표준 5 2 2 3 2 2 7 2 7" xfId="43868" xr:uid="{00000000-0005-0000-0000-0000BC300000}"/>
    <cellStyle name="표준 5 2 2 3 2 2 7 3" xfId="8806" xr:uid="{00000000-0005-0000-0000-0000BD300000}"/>
    <cellStyle name="표준 5 2 2 3 2 2 7 3 2" xfId="29512" xr:uid="{00000000-0005-0000-0000-0000BE300000}"/>
    <cellStyle name="표준 5 2 2 3 2 2 7 3 3" xfId="37723" xr:uid="{00000000-0005-0000-0000-0000BF300000}"/>
    <cellStyle name="표준 5 2 2 3 2 2 7 3 4" xfId="45916" xr:uid="{00000000-0005-0000-0000-0000C0300000}"/>
    <cellStyle name="표준 5 2 2 3 2 2 7 4" xfId="12918" xr:uid="{00000000-0005-0000-0000-0000C1300000}"/>
    <cellStyle name="표준 5 2 2 3 2 2 7 5" xfId="17158" xr:uid="{00000000-0005-0000-0000-0000C2300000}"/>
    <cellStyle name="표준 5 2 2 3 2 2 7 6" xfId="21320" xr:uid="{00000000-0005-0000-0000-0000C3300000}"/>
    <cellStyle name="표준 5 2 2 3 2 2 7 7" xfId="25416" xr:uid="{00000000-0005-0000-0000-0000C4300000}"/>
    <cellStyle name="표준 5 2 2 3 2 2 7 8" xfId="33627" xr:uid="{00000000-0005-0000-0000-0000C5300000}"/>
    <cellStyle name="표준 5 2 2 3 2 2 7 9" xfId="41820" xr:uid="{00000000-0005-0000-0000-0000C6300000}"/>
    <cellStyle name="표준 5 2 2 3 2 2 8" xfId="7043" xr:uid="{00000000-0005-0000-0000-0000C7300000}"/>
    <cellStyle name="표준 5 2 2 3 2 2 8 2" xfId="9318" xr:uid="{00000000-0005-0000-0000-0000C8300000}"/>
    <cellStyle name="표준 5 2 2 3 2 2 8 2 2" xfId="30024" xr:uid="{00000000-0005-0000-0000-0000C9300000}"/>
    <cellStyle name="표준 5 2 2 3 2 2 8 2 3" xfId="38235" xr:uid="{00000000-0005-0000-0000-0000CA300000}"/>
    <cellStyle name="표준 5 2 2 3 2 2 8 2 4" xfId="46428" xr:uid="{00000000-0005-0000-0000-0000CB300000}"/>
    <cellStyle name="표준 5 2 2 3 2 2 8 3" xfId="13430" xr:uid="{00000000-0005-0000-0000-0000CC300000}"/>
    <cellStyle name="표준 5 2 2 3 2 2 8 4" xfId="17670" xr:uid="{00000000-0005-0000-0000-0000CD300000}"/>
    <cellStyle name="표준 5 2 2 3 2 2 8 5" xfId="21832" xr:uid="{00000000-0005-0000-0000-0000CE300000}"/>
    <cellStyle name="표준 5 2 2 3 2 2 8 6" xfId="25928" xr:uid="{00000000-0005-0000-0000-0000CF300000}"/>
    <cellStyle name="표준 5 2 2 3 2 2 8 7" xfId="34139" xr:uid="{00000000-0005-0000-0000-0000D0300000}"/>
    <cellStyle name="표준 5 2 2 3 2 2 8 8" xfId="42332" xr:uid="{00000000-0005-0000-0000-0000D1300000}"/>
    <cellStyle name="표준 5 2 2 3 2 2 9" xfId="7135" xr:uid="{00000000-0005-0000-0000-0000D2300000}"/>
    <cellStyle name="표준 5 2 2 3 2 2 9 2" xfId="27976" xr:uid="{00000000-0005-0000-0000-0000D3300000}"/>
    <cellStyle name="표준 5 2 2 3 2 2 9 3" xfId="36187" xr:uid="{00000000-0005-0000-0000-0000D4300000}"/>
    <cellStyle name="표준 5 2 2 3 2 2 9 4" xfId="44380" xr:uid="{00000000-0005-0000-0000-0000D5300000}"/>
    <cellStyle name="표준 5 2 2 3 2 3" xfId="447" xr:uid="{00000000-0005-0000-0000-0000D6300000}"/>
    <cellStyle name="표준 5 2 2 3 2 3 10" xfId="15654" xr:uid="{00000000-0005-0000-0000-0000D7300000}"/>
    <cellStyle name="표준 5 2 2 3 2 3 11" xfId="19816" xr:uid="{00000000-0005-0000-0000-0000D8300000}"/>
    <cellStyle name="표준 5 2 2 3 2 3 12" xfId="23912" xr:uid="{00000000-0005-0000-0000-0000D9300000}"/>
    <cellStyle name="표준 5 2 2 3 2 3 13" xfId="32123" xr:uid="{00000000-0005-0000-0000-0000DA300000}"/>
    <cellStyle name="표준 5 2 2 3 2 3 14" xfId="40316" xr:uid="{00000000-0005-0000-0000-0000DB300000}"/>
    <cellStyle name="표준 5 2 2 3 2 3 2" xfId="575" xr:uid="{00000000-0005-0000-0000-0000DC300000}"/>
    <cellStyle name="표준 5 2 2 3 2 3 2 10" xfId="19944" xr:uid="{00000000-0005-0000-0000-0000DD300000}"/>
    <cellStyle name="표준 5 2 2 3 2 3 2 11" xfId="24040" xr:uid="{00000000-0005-0000-0000-0000DE300000}"/>
    <cellStyle name="표준 5 2 2 3 2 3 2 12" xfId="32251" xr:uid="{00000000-0005-0000-0000-0000DF300000}"/>
    <cellStyle name="표준 5 2 2 3 2 3 2 13" xfId="40444" xr:uid="{00000000-0005-0000-0000-0000E0300000}"/>
    <cellStyle name="표준 5 2 2 3 2 3 2 2" xfId="831" xr:uid="{00000000-0005-0000-0000-0000E1300000}"/>
    <cellStyle name="표준 5 2 2 3 2 3 2 2 10" xfId="24296" xr:uid="{00000000-0005-0000-0000-0000E2300000}"/>
    <cellStyle name="표준 5 2 2 3 2 3 2 2 11" xfId="32507" xr:uid="{00000000-0005-0000-0000-0000E3300000}"/>
    <cellStyle name="표준 5 2 2 3 2 3 2 2 12" xfId="40700" xr:uid="{00000000-0005-0000-0000-0000E4300000}"/>
    <cellStyle name="표준 5 2 2 3 2 3 2 2 2" xfId="1343" xr:uid="{00000000-0005-0000-0000-0000E5300000}"/>
    <cellStyle name="표준 5 2 2 3 2 3 2 2 2 2" xfId="10246" xr:uid="{00000000-0005-0000-0000-0000E6300000}"/>
    <cellStyle name="표준 5 2 2 3 2 3 2 2 2 2 2" xfId="14358" xr:uid="{00000000-0005-0000-0000-0000E7300000}"/>
    <cellStyle name="표준 5 2 2 3 2 3 2 2 2 2 2 2" xfId="30952" xr:uid="{00000000-0005-0000-0000-0000E8300000}"/>
    <cellStyle name="표준 5 2 2 3 2 3 2 2 2 2 2 3" xfId="39163" xr:uid="{00000000-0005-0000-0000-0000E9300000}"/>
    <cellStyle name="표준 5 2 2 3 2 3 2 2 2 2 2 4" xfId="47356" xr:uid="{00000000-0005-0000-0000-0000EA300000}"/>
    <cellStyle name="표준 5 2 2 3 2 3 2 2 2 2 3" xfId="18598" xr:uid="{00000000-0005-0000-0000-0000EB300000}"/>
    <cellStyle name="표준 5 2 2 3 2 3 2 2 2 2 4" xfId="22760" xr:uid="{00000000-0005-0000-0000-0000EC300000}"/>
    <cellStyle name="표준 5 2 2 3 2 3 2 2 2 2 5" xfId="26856" xr:uid="{00000000-0005-0000-0000-0000ED300000}"/>
    <cellStyle name="표준 5 2 2 3 2 3 2 2 2 2 6" xfId="35067" xr:uid="{00000000-0005-0000-0000-0000EE300000}"/>
    <cellStyle name="표준 5 2 2 3 2 3 2 2 2 2 7" xfId="43260" xr:uid="{00000000-0005-0000-0000-0000EF300000}"/>
    <cellStyle name="표준 5 2 2 3 2 3 2 2 2 3" xfId="8198" xr:uid="{00000000-0005-0000-0000-0000F0300000}"/>
    <cellStyle name="표준 5 2 2 3 2 3 2 2 2 3 2" xfId="28904" xr:uid="{00000000-0005-0000-0000-0000F1300000}"/>
    <cellStyle name="표준 5 2 2 3 2 3 2 2 2 3 3" xfId="37115" xr:uid="{00000000-0005-0000-0000-0000F2300000}"/>
    <cellStyle name="표준 5 2 2 3 2 3 2 2 2 3 4" xfId="45308" xr:uid="{00000000-0005-0000-0000-0000F3300000}"/>
    <cellStyle name="표준 5 2 2 3 2 3 2 2 2 4" xfId="12310" xr:uid="{00000000-0005-0000-0000-0000F4300000}"/>
    <cellStyle name="표준 5 2 2 3 2 3 2 2 2 5" xfId="16550" xr:uid="{00000000-0005-0000-0000-0000F5300000}"/>
    <cellStyle name="표준 5 2 2 3 2 3 2 2 2 6" xfId="20712" xr:uid="{00000000-0005-0000-0000-0000F6300000}"/>
    <cellStyle name="표준 5 2 2 3 2 3 2 2 2 7" xfId="24808" xr:uid="{00000000-0005-0000-0000-0000F7300000}"/>
    <cellStyle name="표준 5 2 2 3 2 3 2 2 2 8" xfId="33019" xr:uid="{00000000-0005-0000-0000-0000F8300000}"/>
    <cellStyle name="표준 5 2 2 3 2 3 2 2 2 9" xfId="41212" xr:uid="{00000000-0005-0000-0000-0000F9300000}"/>
    <cellStyle name="표준 5 2 2 3 2 3 2 2 3" xfId="1855" xr:uid="{00000000-0005-0000-0000-0000FA300000}"/>
    <cellStyle name="표준 5 2 2 3 2 3 2 2 3 2" xfId="10758" xr:uid="{00000000-0005-0000-0000-0000FB300000}"/>
    <cellStyle name="표준 5 2 2 3 2 3 2 2 3 2 2" xfId="14870" xr:uid="{00000000-0005-0000-0000-0000FC300000}"/>
    <cellStyle name="표준 5 2 2 3 2 3 2 2 3 2 2 2" xfId="31464" xr:uid="{00000000-0005-0000-0000-0000FD300000}"/>
    <cellStyle name="표준 5 2 2 3 2 3 2 2 3 2 2 3" xfId="39675" xr:uid="{00000000-0005-0000-0000-0000FE300000}"/>
    <cellStyle name="표준 5 2 2 3 2 3 2 2 3 2 2 4" xfId="47868" xr:uid="{00000000-0005-0000-0000-0000FF300000}"/>
    <cellStyle name="표준 5 2 2 3 2 3 2 2 3 2 3" xfId="19110" xr:uid="{00000000-0005-0000-0000-000000310000}"/>
    <cellStyle name="표준 5 2 2 3 2 3 2 2 3 2 4" xfId="23272" xr:uid="{00000000-0005-0000-0000-000001310000}"/>
    <cellStyle name="표준 5 2 2 3 2 3 2 2 3 2 5" xfId="27368" xr:uid="{00000000-0005-0000-0000-000002310000}"/>
    <cellStyle name="표준 5 2 2 3 2 3 2 2 3 2 6" xfId="35579" xr:uid="{00000000-0005-0000-0000-000003310000}"/>
    <cellStyle name="표준 5 2 2 3 2 3 2 2 3 2 7" xfId="43772" xr:uid="{00000000-0005-0000-0000-000004310000}"/>
    <cellStyle name="표준 5 2 2 3 2 3 2 2 3 3" xfId="8710" xr:uid="{00000000-0005-0000-0000-000005310000}"/>
    <cellStyle name="표준 5 2 2 3 2 3 2 2 3 3 2" xfId="29416" xr:uid="{00000000-0005-0000-0000-000006310000}"/>
    <cellStyle name="표준 5 2 2 3 2 3 2 2 3 3 3" xfId="37627" xr:uid="{00000000-0005-0000-0000-000007310000}"/>
    <cellStyle name="표준 5 2 2 3 2 3 2 2 3 3 4" xfId="45820" xr:uid="{00000000-0005-0000-0000-000008310000}"/>
    <cellStyle name="표준 5 2 2 3 2 3 2 2 3 4" xfId="12822" xr:uid="{00000000-0005-0000-0000-000009310000}"/>
    <cellStyle name="표준 5 2 2 3 2 3 2 2 3 5" xfId="17062" xr:uid="{00000000-0005-0000-0000-00000A310000}"/>
    <cellStyle name="표준 5 2 2 3 2 3 2 2 3 6" xfId="21224" xr:uid="{00000000-0005-0000-0000-00000B310000}"/>
    <cellStyle name="표준 5 2 2 3 2 3 2 2 3 7" xfId="25320" xr:uid="{00000000-0005-0000-0000-00000C310000}"/>
    <cellStyle name="표준 5 2 2 3 2 3 2 2 3 8" xfId="33531" xr:uid="{00000000-0005-0000-0000-00000D310000}"/>
    <cellStyle name="표준 5 2 2 3 2 3 2 2 3 9" xfId="41724" xr:uid="{00000000-0005-0000-0000-00000E310000}"/>
    <cellStyle name="표준 5 2 2 3 2 3 2 2 4" xfId="2367" xr:uid="{00000000-0005-0000-0000-00000F310000}"/>
    <cellStyle name="표준 5 2 2 3 2 3 2 2 4 2" xfId="11270" xr:uid="{00000000-0005-0000-0000-000010310000}"/>
    <cellStyle name="표준 5 2 2 3 2 3 2 2 4 2 2" xfId="15382" xr:uid="{00000000-0005-0000-0000-000011310000}"/>
    <cellStyle name="표준 5 2 2 3 2 3 2 2 4 2 2 2" xfId="31976" xr:uid="{00000000-0005-0000-0000-000012310000}"/>
    <cellStyle name="표준 5 2 2 3 2 3 2 2 4 2 2 3" xfId="40187" xr:uid="{00000000-0005-0000-0000-000013310000}"/>
    <cellStyle name="표준 5 2 2 3 2 3 2 2 4 2 2 4" xfId="48380" xr:uid="{00000000-0005-0000-0000-000014310000}"/>
    <cellStyle name="표준 5 2 2 3 2 3 2 2 4 2 3" xfId="19622" xr:uid="{00000000-0005-0000-0000-000015310000}"/>
    <cellStyle name="표준 5 2 2 3 2 3 2 2 4 2 4" xfId="23784" xr:uid="{00000000-0005-0000-0000-000016310000}"/>
    <cellStyle name="표준 5 2 2 3 2 3 2 2 4 2 5" xfId="27880" xr:uid="{00000000-0005-0000-0000-000017310000}"/>
    <cellStyle name="표준 5 2 2 3 2 3 2 2 4 2 6" xfId="36091" xr:uid="{00000000-0005-0000-0000-000018310000}"/>
    <cellStyle name="표준 5 2 2 3 2 3 2 2 4 2 7" xfId="44284" xr:uid="{00000000-0005-0000-0000-000019310000}"/>
    <cellStyle name="표준 5 2 2 3 2 3 2 2 4 3" xfId="9222" xr:uid="{00000000-0005-0000-0000-00001A310000}"/>
    <cellStyle name="표준 5 2 2 3 2 3 2 2 4 3 2" xfId="29928" xr:uid="{00000000-0005-0000-0000-00001B310000}"/>
    <cellStyle name="표준 5 2 2 3 2 3 2 2 4 3 3" xfId="38139" xr:uid="{00000000-0005-0000-0000-00001C310000}"/>
    <cellStyle name="표준 5 2 2 3 2 3 2 2 4 3 4" xfId="46332" xr:uid="{00000000-0005-0000-0000-00001D310000}"/>
    <cellStyle name="표준 5 2 2 3 2 3 2 2 4 4" xfId="13334" xr:uid="{00000000-0005-0000-0000-00001E310000}"/>
    <cellStyle name="표준 5 2 2 3 2 3 2 2 4 5" xfId="17574" xr:uid="{00000000-0005-0000-0000-00001F310000}"/>
    <cellStyle name="표준 5 2 2 3 2 3 2 2 4 6" xfId="21736" xr:uid="{00000000-0005-0000-0000-000020310000}"/>
    <cellStyle name="표준 5 2 2 3 2 3 2 2 4 7" xfId="25832" xr:uid="{00000000-0005-0000-0000-000021310000}"/>
    <cellStyle name="표준 5 2 2 3 2 3 2 2 4 8" xfId="34043" xr:uid="{00000000-0005-0000-0000-000022310000}"/>
    <cellStyle name="표준 5 2 2 3 2 3 2 2 4 9" xfId="42236" xr:uid="{00000000-0005-0000-0000-000023310000}"/>
    <cellStyle name="표준 5 2 2 3 2 3 2 2 5" xfId="9734" xr:uid="{00000000-0005-0000-0000-000024310000}"/>
    <cellStyle name="표준 5 2 2 3 2 3 2 2 5 2" xfId="13846" xr:uid="{00000000-0005-0000-0000-000025310000}"/>
    <cellStyle name="표준 5 2 2 3 2 3 2 2 5 2 2" xfId="30440" xr:uid="{00000000-0005-0000-0000-000026310000}"/>
    <cellStyle name="표준 5 2 2 3 2 3 2 2 5 2 3" xfId="38651" xr:uid="{00000000-0005-0000-0000-000027310000}"/>
    <cellStyle name="표준 5 2 2 3 2 3 2 2 5 2 4" xfId="46844" xr:uid="{00000000-0005-0000-0000-000028310000}"/>
    <cellStyle name="표준 5 2 2 3 2 3 2 2 5 3" xfId="18086" xr:uid="{00000000-0005-0000-0000-000029310000}"/>
    <cellStyle name="표준 5 2 2 3 2 3 2 2 5 4" xfId="22248" xr:uid="{00000000-0005-0000-0000-00002A310000}"/>
    <cellStyle name="표준 5 2 2 3 2 3 2 2 5 5" xfId="26344" xr:uid="{00000000-0005-0000-0000-00002B310000}"/>
    <cellStyle name="표준 5 2 2 3 2 3 2 2 5 6" xfId="34555" xr:uid="{00000000-0005-0000-0000-00002C310000}"/>
    <cellStyle name="표준 5 2 2 3 2 3 2 2 5 7" xfId="42748" xr:uid="{00000000-0005-0000-0000-00002D310000}"/>
    <cellStyle name="표준 5 2 2 3 2 3 2 2 6" xfId="7686" xr:uid="{00000000-0005-0000-0000-00002E310000}"/>
    <cellStyle name="표준 5 2 2 3 2 3 2 2 6 2" xfId="28392" xr:uid="{00000000-0005-0000-0000-00002F310000}"/>
    <cellStyle name="표준 5 2 2 3 2 3 2 2 6 3" xfId="36603" xr:uid="{00000000-0005-0000-0000-000030310000}"/>
    <cellStyle name="표준 5 2 2 3 2 3 2 2 6 4" xfId="44796" xr:uid="{00000000-0005-0000-0000-000031310000}"/>
    <cellStyle name="표준 5 2 2 3 2 3 2 2 7" xfId="11798" xr:uid="{00000000-0005-0000-0000-000032310000}"/>
    <cellStyle name="표준 5 2 2 3 2 3 2 2 8" xfId="16038" xr:uid="{00000000-0005-0000-0000-000033310000}"/>
    <cellStyle name="표준 5 2 2 3 2 3 2 2 9" xfId="20200" xr:uid="{00000000-0005-0000-0000-000034310000}"/>
    <cellStyle name="표준 5 2 2 3 2 3 2 3" xfId="1087" xr:uid="{00000000-0005-0000-0000-000035310000}"/>
    <cellStyle name="표준 5 2 2 3 2 3 2 3 2" xfId="9990" xr:uid="{00000000-0005-0000-0000-000036310000}"/>
    <cellStyle name="표준 5 2 2 3 2 3 2 3 2 2" xfId="14102" xr:uid="{00000000-0005-0000-0000-000037310000}"/>
    <cellStyle name="표준 5 2 2 3 2 3 2 3 2 2 2" xfId="30696" xr:uid="{00000000-0005-0000-0000-000038310000}"/>
    <cellStyle name="표준 5 2 2 3 2 3 2 3 2 2 3" xfId="38907" xr:uid="{00000000-0005-0000-0000-000039310000}"/>
    <cellStyle name="표준 5 2 2 3 2 3 2 3 2 2 4" xfId="47100" xr:uid="{00000000-0005-0000-0000-00003A310000}"/>
    <cellStyle name="표준 5 2 2 3 2 3 2 3 2 3" xfId="18342" xr:uid="{00000000-0005-0000-0000-00003B310000}"/>
    <cellStyle name="표준 5 2 2 3 2 3 2 3 2 4" xfId="22504" xr:uid="{00000000-0005-0000-0000-00003C310000}"/>
    <cellStyle name="표준 5 2 2 3 2 3 2 3 2 5" xfId="26600" xr:uid="{00000000-0005-0000-0000-00003D310000}"/>
    <cellStyle name="표준 5 2 2 3 2 3 2 3 2 6" xfId="34811" xr:uid="{00000000-0005-0000-0000-00003E310000}"/>
    <cellStyle name="표준 5 2 2 3 2 3 2 3 2 7" xfId="43004" xr:uid="{00000000-0005-0000-0000-00003F310000}"/>
    <cellStyle name="표준 5 2 2 3 2 3 2 3 3" xfId="7942" xr:uid="{00000000-0005-0000-0000-000040310000}"/>
    <cellStyle name="표준 5 2 2 3 2 3 2 3 3 2" xfId="28648" xr:uid="{00000000-0005-0000-0000-000041310000}"/>
    <cellStyle name="표준 5 2 2 3 2 3 2 3 3 3" xfId="36859" xr:uid="{00000000-0005-0000-0000-000042310000}"/>
    <cellStyle name="표준 5 2 2 3 2 3 2 3 3 4" xfId="45052" xr:uid="{00000000-0005-0000-0000-000043310000}"/>
    <cellStyle name="표준 5 2 2 3 2 3 2 3 4" xfId="12054" xr:uid="{00000000-0005-0000-0000-000044310000}"/>
    <cellStyle name="표준 5 2 2 3 2 3 2 3 5" xfId="16294" xr:uid="{00000000-0005-0000-0000-000045310000}"/>
    <cellStyle name="표준 5 2 2 3 2 3 2 3 6" xfId="20456" xr:uid="{00000000-0005-0000-0000-000046310000}"/>
    <cellStyle name="표준 5 2 2 3 2 3 2 3 7" xfId="24552" xr:uid="{00000000-0005-0000-0000-000047310000}"/>
    <cellStyle name="표준 5 2 2 3 2 3 2 3 8" xfId="32763" xr:uid="{00000000-0005-0000-0000-000048310000}"/>
    <cellStyle name="표준 5 2 2 3 2 3 2 3 9" xfId="40956" xr:uid="{00000000-0005-0000-0000-000049310000}"/>
    <cellStyle name="표준 5 2 2 3 2 3 2 4" xfId="1599" xr:uid="{00000000-0005-0000-0000-00004A310000}"/>
    <cellStyle name="표준 5 2 2 3 2 3 2 4 2" xfId="10502" xr:uid="{00000000-0005-0000-0000-00004B310000}"/>
    <cellStyle name="표준 5 2 2 3 2 3 2 4 2 2" xfId="14614" xr:uid="{00000000-0005-0000-0000-00004C310000}"/>
    <cellStyle name="표준 5 2 2 3 2 3 2 4 2 2 2" xfId="31208" xr:uid="{00000000-0005-0000-0000-00004D310000}"/>
    <cellStyle name="표준 5 2 2 3 2 3 2 4 2 2 3" xfId="39419" xr:uid="{00000000-0005-0000-0000-00004E310000}"/>
    <cellStyle name="표준 5 2 2 3 2 3 2 4 2 2 4" xfId="47612" xr:uid="{00000000-0005-0000-0000-00004F310000}"/>
    <cellStyle name="표준 5 2 2 3 2 3 2 4 2 3" xfId="18854" xr:uid="{00000000-0005-0000-0000-000050310000}"/>
    <cellStyle name="표준 5 2 2 3 2 3 2 4 2 4" xfId="23016" xr:uid="{00000000-0005-0000-0000-000051310000}"/>
    <cellStyle name="표준 5 2 2 3 2 3 2 4 2 5" xfId="27112" xr:uid="{00000000-0005-0000-0000-000052310000}"/>
    <cellStyle name="표준 5 2 2 3 2 3 2 4 2 6" xfId="35323" xr:uid="{00000000-0005-0000-0000-000053310000}"/>
    <cellStyle name="표준 5 2 2 3 2 3 2 4 2 7" xfId="43516" xr:uid="{00000000-0005-0000-0000-000054310000}"/>
    <cellStyle name="표준 5 2 2 3 2 3 2 4 3" xfId="8454" xr:uid="{00000000-0005-0000-0000-000055310000}"/>
    <cellStyle name="표준 5 2 2 3 2 3 2 4 3 2" xfId="29160" xr:uid="{00000000-0005-0000-0000-000056310000}"/>
    <cellStyle name="표준 5 2 2 3 2 3 2 4 3 3" xfId="37371" xr:uid="{00000000-0005-0000-0000-000057310000}"/>
    <cellStyle name="표준 5 2 2 3 2 3 2 4 3 4" xfId="45564" xr:uid="{00000000-0005-0000-0000-000058310000}"/>
    <cellStyle name="표준 5 2 2 3 2 3 2 4 4" xfId="12566" xr:uid="{00000000-0005-0000-0000-000059310000}"/>
    <cellStyle name="표준 5 2 2 3 2 3 2 4 5" xfId="16806" xr:uid="{00000000-0005-0000-0000-00005A310000}"/>
    <cellStyle name="표준 5 2 2 3 2 3 2 4 6" xfId="20968" xr:uid="{00000000-0005-0000-0000-00005B310000}"/>
    <cellStyle name="표준 5 2 2 3 2 3 2 4 7" xfId="25064" xr:uid="{00000000-0005-0000-0000-00005C310000}"/>
    <cellStyle name="표준 5 2 2 3 2 3 2 4 8" xfId="33275" xr:uid="{00000000-0005-0000-0000-00005D310000}"/>
    <cellStyle name="표준 5 2 2 3 2 3 2 4 9" xfId="41468" xr:uid="{00000000-0005-0000-0000-00005E310000}"/>
    <cellStyle name="표준 5 2 2 3 2 3 2 5" xfId="2111" xr:uid="{00000000-0005-0000-0000-00005F310000}"/>
    <cellStyle name="표준 5 2 2 3 2 3 2 5 2" xfId="11014" xr:uid="{00000000-0005-0000-0000-000060310000}"/>
    <cellStyle name="표준 5 2 2 3 2 3 2 5 2 2" xfId="15126" xr:uid="{00000000-0005-0000-0000-000061310000}"/>
    <cellStyle name="표준 5 2 2 3 2 3 2 5 2 2 2" xfId="31720" xr:uid="{00000000-0005-0000-0000-000062310000}"/>
    <cellStyle name="표준 5 2 2 3 2 3 2 5 2 2 3" xfId="39931" xr:uid="{00000000-0005-0000-0000-000063310000}"/>
    <cellStyle name="표준 5 2 2 3 2 3 2 5 2 2 4" xfId="48124" xr:uid="{00000000-0005-0000-0000-000064310000}"/>
    <cellStyle name="표준 5 2 2 3 2 3 2 5 2 3" xfId="19366" xr:uid="{00000000-0005-0000-0000-000065310000}"/>
    <cellStyle name="표준 5 2 2 3 2 3 2 5 2 4" xfId="23528" xr:uid="{00000000-0005-0000-0000-000066310000}"/>
    <cellStyle name="표준 5 2 2 3 2 3 2 5 2 5" xfId="27624" xr:uid="{00000000-0005-0000-0000-000067310000}"/>
    <cellStyle name="표준 5 2 2 3 2 3 2 5 2 6" xfId="35835" xr:uid="{00000000-0005-0000-0000-000068310000}"/>
    <cellStyle name="표준 5 2 2 3 2 3 2 5 2 7" xfId="44028" xr:uid="{00000000-0005-0000-0000-000069310000}"/>
    <cellStyle name="표준 5 2 2 3 2 3 2 5 3" xfId="8966" xr:uid="{00000000-0005-0000-0000-00006A310000}"/>
    <cellStyle name="표준 5 2 2 3 2 3 2 5 3 2" xfId="29672" xr:uid="{00000000-0005-0000-0000-00006B310000}"/>
    <cellStyle name="표준 5 2 2 3 2 3 2 5 3 3" xfId="37883" xr:uid="{00000000-0005-0000-0000-00006C310000}"/>
    <cellStyle name="표준 5 2 2 3 2 3 2 5 3 4" xfId="46076" xr:uid="{00000000-0005-0000-0000-00006D310000}"/>
    <cellStyle name="표준 5 2 2 3 2 3 2 5 4" xfId="13078" xr:uid="{00000000-0005-0000-0000-00006E310000}"/>
    <cellStyle name="표준 5 2 2 3 2 3 2 5 5" xfId="17318" xr:uid="{00000000-0005-0000-0000-00006F310000}"/>
    <cellStyle name="표준 5 2 2 3 2 3 2 5 6" xfId="21480" xr:uid="{00000000-0005-0000-0000-000070310000}"/>
    <cellStyle name="표준 5 2 2 3 2 3 2 5 7" xfId="25576" xr:uid="{00000000-0005-0000-0000-000071310000}"/>
    <cellStyle name="표준 5 2 2 3 2 3 2 5 8" xfId="33787" xr:uid="{00000000-0005-0000-0000-000072310000}"/>
    <cellStyle name="표준 5 2 2 3 2 3 2 5 9" xfId="41980" xr:uid="{00000000-0005-0000-0000-000073310000}"/>
    <cellStyle name="표준 5 2 2 3 2 3 2 6" xfId="9478" xr:uid="{00000000-0005-0000-0000-000074310000}"/>
    <cellStyle name="표준 5 2 2 3 2 3 2 6 2" xfId="13590" xr:uid="{00000000-0005-0000-0000-000075310000}"/>
    <cellStyle name="표준 5 2 2 3 2 3 2 6 2 2" xfId="30184" xr:uid="{00000000-0005-0000-0000-000076310000}"/>
    <cellStyle name="표준 5 2 2 3 2 3 2 6 2 3" xfId="38395" xr:uid="{00000000-0005-0000-0000-000077310000}"/>
    <cellStyle name="표준 5 2 2 3 2 3 2 6 2 4" xfId="46588" xr:uid="{00000000-0005-0000-0000-000078310000}"/>
    <cellStyle name="표준 5 2 2 3 2 3 2 6 3" xfId="17830" xr:uid="{00000000-0005-0000-0000-000079310000}"/>
    <cellStyle name="표준 5 2 2 3 2 3 2 6 4" xfId="21992" xr:uid="{00000000-0005-0000-0000-00007A310000}"/>
    <cellStyle name="표준 5 2 2 3 2 3 2 6 5" xfId="26088" xr:uid="{00000000-0005-0000-0000-00007B310000}"/>
    <cellStyle name="표준 5 2 2 3 2 3 2 6 6" xfId="34299" xr:uid="{00000000-0005-0000-0000-00007C310000}"/>
    <cellStyle name="표준 5 2 2 3 2 3 2 6 7" xfId="42492" xr:uid="{00000000-0005-0000-0000-00007D310000}"/>
    <cellStyle name="표준 5 2 2 3 2 3 2 7" xfId="7430" xr:uid="{00000000-0005-0000-0000-00007E310000}"/>
    <cellStyle name="표준 5 2 2 3 2 3 2 7 2" xfId="28136" xr:uid="{00000000-0005-0000-0000-00007F310000}"/>
    <cellStyle name="표준 5 2 2 3 2 3 2 7 3" xfId="36347" xr:uid="{00000000-0005-0000-0000-000080310000}"/>
    <cellStyle name="표준 5 2 2 3 2 3 2 7 4" xfId="44540" xr:uid="{00000000-0005-0000-0000-000081310000}"/>
    <cellStyle name="표준 5 2 2 3 2 3 2 8" xfId="11542" xr:uid="{00000000-0005-0000-0000-000082310000}"/>
    <cellStyle name="표준 5 2 2 3 2 3 2 9" xfId="15782" xr:uid="{00000000-0005-0000-0000-000083310000}"/>
    <cellStyle name="표준 5 2 2 3 2 3 3" xfId="703" xr:uid="{00000000-0005-0000-0000-000084310000}"/>
    <cellStyle name="표준 5 2 2 3 2 3 3 10" xfId="24168" xr:uid="{00000000-0005-0000-0000-000085310000}"/>
    <cellStyle name="표준 5 2 2 3 2 3 3 11" xfId="32379" xr:uid="{00000000-0005-0000-0000-000086310000}"/>
    <cellStyle name="표준 5 2 2 3 2 3 3 12" xfId="40572" xr:uid="{00000000-0005-0000-0000-000087310000}"/>
    <cellStyle name="표준 5 2 2 3 2 3 3 2" xfId="1215" xr:uid="{00000000-0005-0000-0000-000088310000}"/>
    <cellStyle name="표준 5 2 2 3 2 3 3 2 2" xfId="10118" xr:uid="{00000000-0005-0000-0000-000089310000}"/>
    <cellStyle name="표준 5 2 2 3 2 3 3 2 2 2" xfId="14230" xr:uid="{00000000-0005-0000-0000-00008A310000}"/>
    <cellStyle name="표준 5 2 2 3 2 3 3 2 2 2 2" xfId="30824" xr:uid="{00000000-0005-0000-0000-00008B310000}"/>
    <cellStyle name="표준 5 2 2 3 2 3 3 2 2 2 3" xfId="39035" xr:uid="{00000000-0005-0000-0000-00008C310000}"/>
    <cellStyle name="표준 5 2 2 3 2 3 3 2 2 2 4" xfId="47228" xr:uid="{00000000-0005-0000-0000-00008D310000}"/>
    <cellStyle name="표준 5 2 2 3 2 3 3 2 2 3" xfId="18470" xr:uid="{00000000-0005-0000-0000-00008E310000}"/>
    <cellStyle name="표준 5 2 2 3 2 3 3 2 2 4" xfId="22632" xr:uid="{00000000-0005-0000-0000-00008F310000}"/>
    <cellStyle name="표준 5 2 2 3 2 3 3 2 2 5" xfId="26728" xr:uid="{00000000-0005-0000-0000-000090310000}"/>
    <cellStyle name="표준 5 2 2 3 2 3 3 2 2 6" xfId="34939" xr:uid="{00000000-0005-0000-0000-000091310000}"/>
    <cellStyle name="표준 5 2 2 3 2 3 3 2 2 7" xfId="43132" xr:uid="{00000000-0005-0000-0000-000092310000}"/>
    <cellStyle name="표준 5 2 2 3 2 3 3 2 3" xfId="8070" xr:uid="{00000000-0005-0000-0000-000093310000}"/>
    <cellStyle name="표준 5 2 2 3 2 3 3 2 3 2" xfId="28776" xr:uid="{00000000-0005-0000-0000-000094310000}"/>
    <cellStyle name="표준 5 2 2 3 2 3 3 2 3 3" xfId="36987" xr:uid="{00000000-0005-0000-0000-000095310000}"/>
    <cellStyle name="표준 5 2 2 3 2 3 3 2 3 4" xfId="45180" xr:uid="{00000000-0005-0000-0000-000096310000}"/>
    <cellStyle name="표준 5 2 2 3 2 3 3 2 4" xfId="12182" xr:uid="{00000000-0005-0000-0000-000097310000}"/>
    <cellStyle name="표준 5 2 2 3 2 3 3 2 5" xfId="16422" xr:uid="{00000000-0005-0000-0000-000098310000}"/>
    <cellStyle name="표준 5 2 2 3 2 3 3 2 6" xfId="20584" xr:uid="{00000000-0005-0000-0000-000099310000}"/>
    <cellStyle name="표준 5 2 2 3 2 3 3 2 7" xfId="24680" xr:uid="{00000000-0005-0000-0000-00009A310000}"/>
    <cellStyle name="표준 5 2 2 3 2 3 3 2 8" xfId="32891" xr:uid="{00000000-0005-0000-0000-00009B310000}"/>
    <cellStyle name="표준 5 2 2 3 2 3 3 2 9" xfId="41084" xr:uid="{00000000-0005-0000-0000-00009C310000}"/>
    <cellStyle name="표준 5 2 2 3 2 3 3 3" xfId="1727" xr:uid="{00000000-0005-0000-0000-00009D310000}"/>
    <cellStyle name="표준 5 2 2 3 2 3 3 3 2" xfId="10630" xr:uid="{00000000-0005-0000-0000-00009E310000}"/>
    <cellStyle name="표준 5 2 2 3 2 3 3 3 2 2" xfId="14742" xr:uid="{00000000-0005-0000-0000-00009F310000}"/>
    <cellStyle name="표준 5 2 2 3 2 3 3 3 2 2 2" xfId="31336" xr:uid="{00000000-0005-0000-0000-0000A0310000}"/>
    <cellStyle name="표준 5 2 2 3 2 3 3 3 2 2 3" xfId="39547" xr:uid="{00000000-0005-0000-0000-0000A1310000}"/>
    <cellStyle name="표준 5 2 2 3 2 3 3 3 2 2 4" xfId="47740" xr:uid="{00000000-0005-0000-0000-0000A2310000}"/>
    <cellStyle name="표준 5 2 2 3 2 3 3 3 2 3" xfId="18982" xr:uid="{00000000-0005-0000-0000-0000A3310000}"/>
    <cellStyle name="표준 5 2 2 3 2 3 3 3 2 4" xfId="23144" xr:uid="{00000000-0005-0000-0000-0000A4310000}"/>
    <cellStyle name="표준 5 2 2 3 2 3 3 3 2 5" xfId="27240" xr:uid="{00000000-0005-0000-0000-0000A5310000}"/>
    <cellStyle name="표준 5 2 2 3 2 3 3 3 2 6" xfId="35451" xr:uid="{00000000-0005-0000-0000-0000A6310000}"/>
    <cellStyle name="표준 5 2 2 3 2 3 3 3 2 7" xfId="43644" xr:uid="{00000000-0005-0000-0000-0000A7310000}"/>
    <cellStyle name="표준 5 2 2 3 2 3 3 3 3" xfId="8582" xr:uid="{00000000-0005-0000-0000-0000A8310000}"/>
    <cellStyle name="표준 5 2 2 3 2 3 3 3 3 2" xfId="29288" xr:uid="{00000000-0005-0000-0000-0000A9310000}"/>
    <cellStyle name="표준 5 2 2 3 2 3 3 3 3 3" xfId="37499" xr:uid="{00000000-0005-0000-0000-0000AA310000}"/>
    <cellStyle name="표준 5 2 2 3 2 3 3 3 3 4" xfId="45692" xr:uid="{00000000-0005-0000-0000-0000AB310000}"/>
    <cellStyle name="표준 5 2 2 3 2 3 3 3 4" xfId="12694" xr:uid="{00000000-0005-0000-0000-0000AC310000}"/>
    <cellStyle name="표준 5 2 2 3 2 3 3 3 5" xfId="16934" xr:uid="{00000000-0005-0000-0000-0000AD310000}"/>
    <cellStyle name="표준 5 2 2 3 2 3 3 3 6" xfId="21096" xr:uid="{00000000-0005-0000-0000-0000AE310000}"/>
    <cellStyle name="표준 5 2 2 3 2 3 3 3 7" xfId="25192" xr:uid="{00000000-0005-0000-0000-0000AF310000}"/>
    <cellStyle name="표준 5 2 2 3 2 3 3 3 8" xfId="33403" xr:uid="{00000000-0005-0000-0000-0000B0310000}"/>
    <cellStyle name="표준 5 2 2 3 2 3 3 3 9" xfId="41596" xr:uid="{00000000-0005-0000-0000-0000B1310000}"/>
    <cellStyle name="표준 5 2 2 3 2 3 3 4" xfId="2239" xr:uid="{00000000-0005-0000-0000-0000B2310000}"/>
    <cellStyle name="표준 5 2 2 3 2 3 3 4 2" xfId="11142" xr:uid="{00000000-0005-0000-0000-0000B3310000}"/>
    <cellStyle name="표준 5 2 2 3 2 3 3 4 2 2" xfId="15254" xr:uid="{00000000-0005-0000-0000-0000B4310000}"/>
    <cellStyle name="표준 5 2 2 3 2 3 3 4 2 2 2" xfId="31848" xr:uid="{00000000-0005-0000-0000-0000B5310000}"/>
    <cellStyle name="표준 5 2 2 3 2 3 3 4 2 2 3" xfId="40059" xr:uid="{00000000-0005-0000-0000-0000B6310000}"/>
    <cellStyle name="표준 5 2 2 3 2 3 3 4 2 2 4" xfId="48252" xr:uid="{00000000-0005-0000-0000-0000B7310000}"/>
    <cellStyle name="표준 5 2 2 3 2 3 3 4 2 3" xfId="19494" xr:uid="{00000000-0005-0000-0000-0000B8310000}"/>
    <cellStyle name="표준 5 2 2 3 2 3 3 4 2 4" xfId="23656" xr:uid="{00000000-0005-0000-0000-0000B9310000}"/>
    <cellStyle name="표준 5 2 2 3 2 3 3 4 2 5" xfId="27752" xr:uid="{00000000-0005-0000-0000-0000BA310000}"/>
    <cellStyle name="표준 5 2 2 3 2 3 3 4 2 6" xfId="35963" xr:uid="{00000000-0005-0000-0000-0000BB310000}"/>
    <cellStyle name="표준 5 2 2 3 2 3 3 4 2 7" xfId="44156" xr:uid="{00000000-0005-0000-0000-0000BC310000}"/>
    <cellStyle name="표준 5 2 2 3 2 3 3 4 3" xfId="9094" xr:uid="{00000000-0005-0000-0000-0000BD310000}"/>
    <cellStyle name="표준 5 2 2 3 2 3 3 4 3 2" xfId="29800" xr:uid="{00000000-0005-0000-0000-0000BE310000}"/>
    <cellStyle name="표준 5 2 2 3 2 3 3 4 3 3" xfId="38011" xr:uid="{00000000-0005-0000-0000-0000BF310000}"/>
    <cellStyle name="표준 5 2 2 3 2 3 3 4 3 4" xfId="46204" xr:uid="{00000000-0005-0000-0000-0000C0310000}"/>
    <cellStyle name="표준 5 2 2 3 2 3 3 4 4" xfId="13206" xr:uid="{00000000-0005-0000-0000-0000C1310000}"/>
    <cellStyle name="표준 5 2 2 3 2 3 3 4 5" xfId="17446" xr:uid="{00000000-0005-0000-0000-0000C2310000}"/>
    <cellStyle name="표준 5 2 2 3 2 3 3 4 6" xfId="21608" xr:uid="{00000000-0005-0000-0000-0000C3310000}"/>
    <cellStyle name="표준 5 2 2 3 2 3 3 4 7" xfId="25704" xr:uid="{00000000-0005-0000-0000-0000C4310000}"/>
    <cellStyle name="표준 5 2 2 3 2 3 3 4 8" xfId="33915" xr:uid="{00000000-0005-0000-0000-0000C5310000}"/>
    <cellStyle name="표준 5 2 2 3 2 3 3 4 9" xfId="42108" xr:uid="{00000000-0005-0000-0000-0000C6310000}"/>
    <cellStyle name="표준 5 2 2 3 2 3 3 5" xfId="9606" xr:uid="{00000000-0005-0000-0000-0000C7310000}"/>
    <cellStyle name="표준 5 2 2 3 2 3 3 5 2" xfId="13718" xr:uid="{00000000-0005-0000-0000-0000C8310000}"/>
    <cellStyle name="표준 5 2 2 3 2 3 3 5 2 2" xfId="30312" xr:uid="{00000000-0005-0000-0000-0000C9310000}"/>
    <cellStyle name="표준 5 2 2 3 2 3 3 5 2 3" xfId="38523" xr:uid="{00000000-0005-0000-0000-0000CA310000}"/>
    <cellStyle name="표준 5 2 2 3 2 3 3 5 2 4" xfId="46716" xr:uid="{00000000-0005-0000-0000-0000CB310000}"/>
    <cellStyle name="표준 5 2 2 3 2 3 3 5 3" xfId="17958" xr:uid="{00000000-0005-0000-0000-0000CC310000}"/>
    <cellStyle name="표준 5 2 2 3 2 3 3 5 4" xfId="22120" xr:uid="{00000000-0005-0000-0000-0000CD310000}"/>
    <cellStyle name="표준 5 2 2 3 2 3 3 5 5" xfId="26216" xr:uid="{00000000-0005-0000-0000-0000CE310000}"/>
    <cellStyle name="표준 5 2 2 3 2 3 3 5 6" xfId="34427" xr:uid="{00000000-0005-0000-0000-0000CF310000}"/>
    <cellStyle name="표준 5 2 2 3 2 3 3 5 7" xfId="42620" xr:uid="{00000000-0005-0000-0000-0000D0310000}"/>
    <cellStyle name="표준 5 2 2 3 2 3 3 6" xfId="7558" xr:uid="{00000000-0005-0000-0000-0000D1310000}"/>
    <cellStyle name="표준 5 2 2 3 2 3 3 6 2" xfId="28264" xr:uid="{00000000-0005-0000-0000-0000D2310000}"/>
    <cellStyle name="표준 5 2 2 3 2 3 3 6 3" xfId="36475" xr:uid="{00000000-0005-0000-0000-0000D3310000}"/>
    <cellStyle name="표준 5 2 2 3 2 3 3 6 4" xfId="44668" xr:uid="{00000000-0005-0000-0000-0000D4310000}"/>
    <cellStyle name="표준 5 2 2 3 2 3 3 7" xfId="11670" xr:uid="{00000000-0005-0000-0000-0000D5310000}"/>
    <cellStyle name="표준 5 2 2 3 2 3 3 8" xfId="15910" xr:uid="{00000000-0005-0000-0000-0000D6310000}"/>
    <cellStyle name="표준 5 2 2 3 2 3 3 9" xfId="20072" xr:uid="{00000000-0005-0000-0000-0000D7310000}"/>
    <cellStyle name="표준 5 2 2 3 2 3 4" xfId="959" xr:uid="{00000000-0005-0000-0000-0000D8310000}"/>
    <cellStyle name="표준 5 2 2 3 2 3 4 2" xfId="9862" xr:uid="{00000000-0005-0000-0000-0000D9310000}"/>
    <cellStyle name="표준 5 2 2 3 2 3 4 2 2" xfId="13974" xr:uid="{00000000-0005-0000-0000-0000DA310000}"/>
    <cellStyle name="표준 5 2 2 3 2 3 4 2 2 2" xfId="30568" xr:uid="{00000000-0005-0000-0000-0000DB310000}"/>
    <cellStyle name="표준 5 2 2 3 2 3 4 2 2 3" xfId="38779" xr:uid="{00000000-0005-0000-0000-0000DC310000}"/>
    <cellStyle name="표준 5 2 2 3 2 3 4 2 2 4" xfId="46972" xr:uid="{00000000-0005-0000-0000-0000DD310000}"/>
    <cellStyle name="표준 5 2 2 3 2 3 4 2 3" xfId="18214" xr:uid="{00000000-0005-0000-0000-0000DE310000}"/>
    <cellStyle name="표준 5 2 2 3 2 3 4 2 4" xfId="22376" xr:uid="{00000000-0005-0000-0000-0000DF310000}"/>
    <cellStyle name="표준 5 2 2 3 2 3 4 2 5" xfId="26472" xr:uid="{00000000-0005-0000-0000-0000E0310000}"/>
    <cellStyle name="표준 5 2 2 3 2 3 4 2 6" xfId="34683" xr:uid="{00000000-0005-0000-0000-0000E1310000}"/>
    <cellStyle name="표준 5 2 2 3 2 3 4 2 7" xfId="42876" xr:uid="{00000000-0005-0000-0000-0000E2310000}"/>
    <cellStyle name="표준 5 2 2 3 2 3 4 3" xfId="7814" xr:uid="{00000000-0005-0000-0000-0000E3310000}"/>
    <cellStyle name="표준 5 2 2 3 2 3 4 3 2" xfId="28520" xr:uid="{00000000-0005-0000-0000-0000E4310000}"/>
    <cellStyle name="표준 5 2 2 3 2 3 4 3 3" xfId="36731" xr:uid="{00000000-0005-0000-0000-0000E5310000}"/>
    <cellStyle name="표준 5 2 2 3 2 3 4 3 4" xfId="44924" xr:uid="{00000000-0005-0000-0000-0000E6310000}"/>
    <cellStyle name="표준 5 2 2 3 2 3 4 4" xfId="11926" xr:uid="{00000000-0005-0000-0000-0000E7310000}"/>
    <cellStyle name="표준 5 2 2 3 2 3 4 5" xfId="16166" xr:uid="{00000000-0005-0000-0000-0000E8310000}"/>
    <cellStyle name="표준 5 2 2 3 2 3 4 6" xfId="20328" xr:uid="{00000000-0005-0000-0000-0000E9310000}"/>
    <cellStyle name="표준 5 2 2 3 2 3 4 7" xfId="24424" xr:uid="{00000000-0005-0000-0000-0000EA310000}"/>
    <cellStyle name="표준 5 2 2 3 2 3 4 8" xfId="32635" xr:uid="{00000000-0005-0000-0000-0000EB310000}"/>
    <cellStyle name="표준 5 2 2 3 2 3 4 9" xfId="40828" xr:uid="{00000000-0005-0000-0000-0000EC310000}"/>
    <cellStyle name="표준 5 2 2 3 2 3 5" xfId="1471" xr:uid="{00000000-0005-0000-0000-0000ED310000}"/>
    <cellStyle name="표준 5 2 2 3 2 3 5 2" xfId="10374" xr:uid="{00000000-0005-0000-0000-0000EE310000}"/>
    <cellStyle name="표준 5 2 2 3 2 3 5 2 2" xfId="14486" xr:uid="{00000000-0005-0000-0000-0000EF310000}"/>
    <cellStyle name="표준 5 2 2 3 2 3 5 2 2 2" xfId="31080" xr:uid="{00000000-0005-0000-0000-0000F0310000}"/>
    <cellStyle name="표준 5 2 2 3 2 3 5 2 2 3" xfId="39291" xr:uid="{00000000-0005-0000-0000-0000F1310000}"/>
    <cellStyle name="표준 5 2 2 3 2 3 5 2 2 4" xfId="47484" xr:uid="{00000000-0005-0000-0000-0000F2310000}"/>
    <cellStyle name="표준 5 2 2 3 2 3 5 2 3" xfId="18726" xr:uid="{00000000-0005-0000-0000-0000F3310000}"/>
    <cellStyle name="표준 5 2 2 3 2 3 5 2 4" xfId="22888" xr:uid="{00000000-0005-0000-0000-0000F4310000}"/>
    <cellStyle name="표준 5 2 2 3 2 3 5 2 5" xfId="26984" xr:uid="{00000000-0005-0000-0000-0000F5310000}"/>
    <cellStyle name="표준 5 2 2 3 2 3 5 2 6" xfId="35195" xr:uid="{00000000-0005-0000-0000-0000F6310000}"/>
    <cellStyle name="표준 5 2 2 3 2 3 5 2 7" xfId="43388" xr:uid="{00000000-0005-0000-0000-0000F7310000}"/>
    <cellStyle name="표준 5 2 2 3 2 3 5 3" xfId="8326" xr:uid="{00000000-0005-0000-0000-0000F8310000}"/>
    <cellStyle name="표준 5 2 2 3 2 3 5 3 2" xfId="29032" xr:uid="{00000000-0005-0000-0000-0000F9310000}"/>
    <cellStyle name="표준 5 2 2 3 2 3 5 3 3" xfId="37243" xr:uid="{00000000-0005-0000-0000-0000FA310000}"/>
    <cellStyle name="표준 5 2 2 3 2 3 5 3 4" xfId="45436" xr:uid="{00000000-0005-0000-0000-0000FB310000}"/>
    <cellStyle name="표준 5 2 2 3 2 3 5 4" xfId="12438" xr:uid="{00000000-0005-0000-0000-0000FC310000}"/>
    <cellStyle name="표준 5 2 2 3 2 3 5 5" xfId="16678" xr:uid="{00000000-0005-0000-0000-0000FD310000}"/>
    <cellStyle name="표준 5 2 2 3 2 3 5 6" xfId="20840" xr:uid="{00000000-0005-0000-0000-0000FE310000}"/>
    <cellStyle name="표준 5 2 2 3 2 3 5 7" xfId="24936" xr:uid="{00000000-0005-0000-0000-0000FF310000}"/>
    <cellStyle name="표준 5 2 2 3 2 3 5 8" xfId="33147" xr:uid="{00000000-0005-0000-0000-000000320000}"/>
    <cellStyle name="표준 5 2 2 3 2 3 5 9" xfId="41340" xr:uid="{00000000-0005-0000-0000-000001320000}"/>
    <cellStyle name="표준 5 2 2 3 2 3 6" xfId="1983" xr:uid="{00000000-0005-0000-0000-000002320000}"/>
    <cellStyle name="표준 5 2 2 3 2 3 6 2" xfId="10886" xr:uid="{00000000-0005-0000-0000-000003320000}"/>
    <cellStyle name="표준 5 2 2 3 2 3 6 2 2" xfId="14998" xr:uid="{00000000-0005-0000-0000-000004320000}"/>
    <cellStyle name="표준 5 2 2 3 2 3 6 2 2 2" xfId="31592" xr:uid="{00000000-0005-0000-0000-000005320000}"/>
    <cellStyle name="표준 5 2 2 3 2 3 6 2 2 3" xfId="39803" xr:uid="{00000000-0005-0000-0000-000006320000}"/>
    <cellStyle name="표준 5 2 2 3 2 3 6 2 2 4" xfId="47996" xr:uid="{00000000-0005-0000-0000-000007320000}"/>
    <cellStyle name="표준 5 2 2 3 2 3 6 2 3" xfId="19238" xr:uid="{00000000-0005-0000-0000-000008320000}"/>
    <cellStyle name="표준 5 2 2 3 2 3 6 2 4" xfId="23400" xr:uid="{00000000-0005-0000-0000-000009320000}"/>
    <cellStyle name="표준 5 2 2 3 2 3 6 2 5" xfId="27496" xr:uid="{00000000-0005-0000-0000-00000A320000}"/>
    <cellStyle name="표준 5 2 2 3 2 3 6 2 6" xfId="35707" xr:uid="{00000000-0005-0000-0000-00000B320000}"/>
    <cellStyle name="표준 5 2 2 3 2 3 6 2 7" xfId="43900" xr:uid="{00000000-0005-0000-0000-00000C320000}"/>
    <cellStyle name="표준 5 2 2 3 2 3 6 3" xfId="8838" xr:uid="{00000000-0005-0000-0000-00000D320000}"/>
    <cellStyle name="표준 5 2 2 3 2 3 6 3 2" xfId="29544" xr:uid="{00000000-0005-0000-0000-00000E320000}"/>
    <cellStyle name="표준 5 2 2 3 2 3 6 3 3" xfId="37755" xr:uid="{00000000-0005-0000-0000-00000F320000}"/>
    <cellStyle name="표준 5 2 2 3 2 3 6 3 4" xfId="45948" xr:uid="{00000000-0005-0000-0000-000010320000}"/>
    <cellStyle name="표준 5 2 2 3 2 3 6 4" xfId="12950" xr:uid="{00000000-0005-0000-0000-000011320000}"/>
    <cellStyle name="표준 5 2 2 3 2 3 6 5" xfId="17190" xr:uid="{00000000-0005-0000-0000-000012320000}"/>
    <cellStyle name="표준 5 2 2 3 2 3 6 6" xfId="21352" xr:uid="{00000000-0005-0000-0000-000013320000}"/>
    <cellStyle name="표준 5 2 2 3 2 3 6 7" xfId="25448" xr:uid="{00000000-0005-0000-0000-000014320000}"/>
    <cellStyle name="표준 5 2 2 3 2 3 6 8" xfId="33659" xr:uid="{00000000-0005-0000-0000-000015320000}"/>
    <cellStyle name="표준 5 2 2 3 2 3 6 9" xfId="41852" xr:uid="{00000000-0005-0000-0000-000016320000}"/>
    <cellStyle name="표준 5 2 2 3 2 3 7" xfId="9350" xr:uid="{00000000-0005-0000-0000-000017320000}"/>
    <cellStyle name="표준 5 2 2 3 2 3 7 2" xfId="13462" xr:uid="{00000000-0005-0000-0000-000018320000}"/>
    <cellStyle name="표준 5 2 2 3 2 3 7 2 2" xfId="30056" xr:uid="{00000000-0005-0000-0000-000019320000}"/>
    <cellStyle name="표준 5 2 2 3 2 3 7 2 3" xfId="38267" xr:uid="{00000000-0005-0000-0000-00001A320000}"/>
    <cellStyle name="표준 5 2 2 3 2 3 7 2 4" xfId="46460" xr:uid="{00000000-0005-0000-0000-00001B320000}"/>
    <cellStyle name="표준 5 2 2 3 2 3 7 3" xfId="17702" xr:uid="{00000000-0005-0000-0000-00001C320000}"/>
    <cellStyle name="표준 5 2 2 3 2 3 7 4" xfId="21864" xr:uid="{00000000-0005-0000-0000-00001D320000}"/>
    <cellStyle name="표준 5 2 2 3 2 3 7 5" xfId="25960" xr:uid="{00000000-0005-0000-0000-00001E320000}"/>
    <cellStyle name="표준 5 2 2 3 2 3 7 6" xfId="34171" xr:uid="{00000000-0005-0000-0000-00001F320000}"/>
    <cellStyle name="표준 5 2 2 3 2 3 7 7" xfId="42364" xr:uid="{00000000-0005-0000-0000-000020320000}"/>
    <cellStyle name="표준 5 2 2 3 2 3 8" xfId="7302" xr:uid="{00000000-0005-0000-0000-000021320000}"/>
    <cellStyle name="표준 5 2 2 3 2 3 8 2" xfId="28008" xr:uid="{00000000-0005-0000-0000-000022320000}"/>
    <cellStyle name="표준 5 2 2 3 2 3 8 3" xfId="36219" xr:uid="{00000000-0005-0000-0000-000023320000}"/>
    <cellStyle name="표준 5 2 2 3 2 3 8 4" xfId="44412" xr:uid="{00000000-0005-0000-0000-000024320000}"/>
    <cellStyle name="표준 5 2 2 3 2 3 9" xfId="11414" xr:uid="{00000000-0005-0000-0000-000025320000}"/>
    <cellStyle name="표준 5 2 2 3 2 4" xfId="511" xr:uid="{00000000-0005-0000-0000-000026320000}"/>
    <cellStyle name="표준 5 2 2 3 2 4 10" xfId="19880" xr:uid="{00000000-0005-0000-0000-000027320000}"/>
    <cellStyle name="표준 5 2 2 3 2 4 11" xfId="23976" xr:uid="{00000000-0005-0000-0000-000028320000}"/>
    <cellStyle name="표준 5 2 2 3 2 4 12" xfId="32187" xr:uid="{00000000-0005-0000-0000-000029320000}"/>
    <cellStyle name="표준 5 2 2 3 2 4 13" xfId="40380" xr:uid="{00000000-0005-0000-0000-00002A320000}"/>
    <cellStyle name="표준 5 2 2 3 2 4 2" xfId="767" xr:uid="{00000000-0005-0000-0000-00002B320000}"/>
    <cellStyle name="표준 5 2 2 3 2 4 2 10" xfId="24232" xr:uid="{00000000-0005-0000-0000-00002C320000}"/>
    <cellStyle name="표준 5 2 2 3 2 4 2 11" xfId="32443" xr:uid="{00000000-0005-0000-0000-00002D320000}"/>
    <cellStyle name="표준 5 2 2 3 2 4 2 12" xfId="40636" xr:uid="{00000000-0005-0000-0000-00002E320000}"/>
    <cellStyle name="표준 5 2 2 3 2 4 2 2" xfId="1279" xr:uid="{00000000-0005-0000-0000-00002F320000}"/>
    <cellStyle name="표준 5 2 2 3 2 4 2 2 2" xfId="10182" xr:uid="{00000000-0005-0000-0000-000030320000}"/>
    <cellStyle name="표준 5 2 2 3 2 4 2 2 2 2" xfId="14294" xr:uid="{00000000-0005-0000-0000-000031320000}"/>
    <cellStyle name="표준 5 2 2 3 2 4 2 2 2 2 2" xfId="30888" xr:uid="{00000000-0005-0000-0000-000032320000}"/>
    <cellStyle name="표준 5 2 2 3 2 4 2 2 2 2 3" xfId="39099" xr:uid="{00000000-0005-0000-0000-000033320000}"/>
    <cellStyle name="표준 5 2 2 3 2 4 2 2 2 2 4" xfId="47292" xr:uid="{00000000-0005-0000-0000-000034320000}"/>
    <cellStyle name="표준 5 2 2 3 2 4 2 2 2 3" xfId="18534" xr:uid="{00000000-0005-0000-0000-000035320000}"/>
    <cellStyle name="표준 5 2 2 3 2 4 2 2 2 4" xfId="22696" xr:uid="{00000000-0005-0000-0000-000036320000}"/>
    <cellStyle name="표준 5 2 2 3 2 4 2 2 2 5" xfId="26792" xr:uid="{00000000-0005-0000-0000-000037320000}"/>
    <cellStyle name="표준 5 2 2 3 2 4 2 2 2 6" xfId="35003" xr:uid="{00000000-0005-0000-0000-000038320000}"/>
    <cellStyle name="표준 5 2 2 3 2 4 2 2 2 7" xfId="43196" xr:uid="{00000000-0005-0000-0000-000039320000}"/>
    <cellStyle name="표준 5 2 2 3 2 4 2 2 3" xfId="8134" xr:uid="{00000000-0005-0000-0000-00003A320000}"/>
    <cellStyle name="표준 5 2 2 3 2 4 2 2 3 2" xfId="28840" xr:uid="{00000000-0005-0000-0000-00003B320000}"/>
    <cellStyle name="표준 5 2 2 3 2 4 2 2 3 3" xfId="37051" xr:uid="{00000000-0005-0000-0000-00003C320000}"/>
    <cellStyle name="표준 5 2 2 3 2 4 2 2 3 4" xfId="45244" xr:uid="{00000000-0005-0000-0000-00003D320000}"/>
    <cellStyle name="표준 5 2 2 3 2 4 2 2 4" xfId="12246" xr:uid="{00000000-0005-0000-0000-00003E320000}"/>
    <cellStyle name="표준 5 2 2 3 2 4 2 2 5" xfId="16486" xr:uid="{00000000-0005-0000-0000-00003F320000}"/>
    <cellStyle name="표준 5 2 2 3 2 4 2 2 6" xfId="20648" xr:uid="{00000000-0005-0000-0000-000040320000}"/>
    <cellStyle name="표준 5 2 2 3 2 4 2 2 7" xfId="24744" xr:uid="{00000000-0005-0000-0000-000041320000}"/>
    <cellStyle name="표준 5 2 2 3 2 4 2 2 8" xfId="32955" xr:uid="{00000000-0005-0000-0000-000042320000}"/>
    <cellStyle name="표준 5 2 2 3 2 4 2 2 9" xfId="41148" xr:uid="{00000000-0005-0000-0000-000043320000}"/>
    <cellStyle name="표준 5 2 2 3 2 4 2 3" xfId="1791" xr:uid="{00000000-0005-0000-0000-000044320000}"/>
    <cellStyle name="표준 5 2 2 3 2 4 2 3 2" xfId="10694" xr:uid="{00000000-0005-0000-0000-000045320000}"/>
    <cellStyle name="표준 5 2 2 3 2 4 2 3 2 2" xfId="14806" xr:uid="{00000000-0005-0000-0000-000046320000}"/>
    <cellStyle name="표준 5 2 2 3 2 4 2 3 2 2 2" xfId="31400" xr:uid="{00000000-0005-0000-0000-000047320000}"/>
    <cellStyle name="표준 5 2 2 3 2 4 2 3 2 2 3" xfId="39611" xr:uid="{00000000-0005-0000-0000-000048320000}"/>
    <cellStyle name="표준 5 2 2 3 2 4 2 3 2 2 4" xfId="47804" xr:uid="{00000000-0005-0000-0000-000049320000}"/>
    <cellStyle name="표준 5 2 2 3 2 4 2 3 2 3" xfId="19046" xr:uid="{00000000-0005-0000-0000-00004A320000}"/>
    <cellStyle name="표준 5 2 2 3 2 4 2 3 2 4" xfId="23208" xr:uid="{00000000-0005-0000-0000-00004B320000}"/>
    <cellStyle name="표준 5 2 2 3 2 4 2 3 2 5" xfId="27304" xr:uid="{00000000-0005-0000-0000-00004C320000}"/>
    <cellStyle name="표준 5 2 2 3 2 4 2 3 2 6" xfId="35515" xr:uid="{00000000-0005-0000-0000-00004D320000}"/>
    <cellStyle name="표준 5 2 2 3 2 4 2 3 2 7" xfId="43708" xr:uid="{00000000-0005-0000-0000-00004E320000}"/>
    <cellStyle name="표준 5 2 2 3 2 4 2 3 3" xfId="8646" xr:uid="{00000000-0005-0000-0000-00004F320000}"/>
    <cellStyle name="표준 5 2 2 3 2 4 2 3 3 2" xfId="29352" xr:uid="{00000000-0005-0000-0000-000050320000}"/>
    <cellStyle name="표준 5 2 2 3 2 4 2 3 3 3" xfId="37563" xr:uid="{00000000-0005-0000-0000-000051320000}"/>
    <cellStyle name="표준 5 2 2 3 2 4 2 3 3 4" xfId="45756" xr:uid="{00000000-0005-0000-0000-000052320000}"/>
    <cellStyle name="표준 5 2 2 3 2 4 2 3 4" xfId="12758" xr:uid="{00000000-0005-0000-0000-000053320000}"/>
    <cellStyle name="표준 5 2 2 3 2 4 2 3 5" xfId="16998" xr:uid="{00000000-0005-0000-0000-000054320000}"/>
    <cellStyle name="표준 5 2 2 3 2 4 2 3 6" xfId="21160" xr:uid="{00000000-0005-0000-0000-000055320000}"/>
    <cellStyle name="표준 5 2 2 3 2 4 2 3 7" xfId="25256" xr:uid="{00000000-0005-0000-0000-000056320000}"/>
    <cellStyle name="표준 5 2 2 3 2 4 2 3 8" xfId="33467" xr:uid="{00000000-0005-0000-0000-000057320000}"/>
    <cellStyle name="표준 5 2 2 3 2 4 2 3 9" xfId="41660" xr:uid="{00000000-0005-0000-0000-000058320000}"/>
    <cellStyle name="표준 5 2 2 3 2 4 2 4" xfId="2303" xr:uid="{00000000-0005-0000-0000-000059320000}"/>
    <cellStyle name="표준 5 2 2 3 2 4 2 4 2" xfId="11206" xr:uid="{00000000-0005-0000-0000-00005A320000}"/>
    <cellStyle name="표준 5 2 2 3 2 4 2 4 2 2" xfId="15318" xr:uid="{00000000-0005-0000-0000-00005B320000}"/>
    <cellStyle name="표준 5 2 2 3 2 4 2 4 2 2 2" xfId="31912" xr:uid="{00000000-0005-0000-0000-00005C320000}"/>
    <cellStyle name="표준 5 2 2 3 2 4 2 4 2 2 3" xfId="40123" xr:uid="{00000000-0005-0000-0000-00005D320000}"/>
    <cellStyle name="표준 5 2 2 3 2 4 2 4 2 2 4" xfId="48316" xr:uid="{00000000-0005-0000-0000-00005E320000}"/>
    <cellStyle name="표준 5 2 2 3 2 4 2 4 2 3" xfId="19558" xr:uid="{00000000-0005-0000-0000-00005F320000}"/>
    <cellStyle name="표준 5 2 2 3 2 4 2 4 2 4" xfId="23720" xr:uid="{00000000-0005-0000-0000-000060320000}"/>
    <cellStyle name="표준 5 2 2 3 2 4 2 4 2 5" xfId="27816" xr:uid="{00000000-0005-0000-0000-000061320000}"/>
    <cellStyle name="표준 5 2 2 3 2 4 2 4 2 6" xfId="36027" xr:uid="{00000000-0005-0000-0000-000062320000}"/>
    <cellStyle name="표준 5 2 2 3 2 4 2 4 2 7" xfId="44220" xr:uid="{00000000-0005-0000-0000-000063320000}"/>
    <cellStyle name="표준 5 2 2 3 2 4 2 4 3" xfId="9158" xr:uid="{00000000-0005-0000-0000-000064320000}"/>
    <cellStyle name="표준 5 2 2 3 2 4 2 4 3 2" xfId="29864" xr:uid="{00000000-0005-0000-0000-000065320000}"/>
    <cellStyle name="표준 5 2 2 3 2 4 2 4 3 3" xfId="38075" xr:uid="{00000000-0005-0000-0000-000066320000}"/>
    <cellStyle name="표준 5 2 2 3 2 4 2 4 3 4" xfId="46268" xr:uid="{00000000-0005-0000-0000-000067320000}"/>
    <cellStyle name="표준 5 2 2 3 2 4 2 4 4" xfId="13270" xr:uid="{00000000-0005-0000-0000-000068320000}"/>
    <cellStyle name="표준 5 2 2 3 2 4 2 4 5" xfId="17510" xr:uid="{00000000-0005-0000-0000-000069320000}"/>
    <cellStyle name="표준 5 2 2 3 2 4 2 4 6" xfId="21672" xr:uid="{00000000-0005-0000-0000-00006A320000}"/>
    <cellStyle name="표준 5 2 2 3 2 4 2 4 7" xfId="25768" xr:uid="{00000000-0005-0000-0000-00006B320000}"/>
    <cellStyle name="표준 5 2 2 3 2 4 2 4 8" xfId="33979" xr:uid="{00000000-0005-0000-0000-00006C320000}"/>
    <cellStyle name="표준 5 2 2 3 2 4 2 4 9" xfId="42172" xr:uid="{00000000-0005-0000-0000-00006D320000}"/>
    <cellStyle name="표준 5 2 2 3 2 4 2 5" xfId="9670" xr:uid="{00000000-0005-0000-0000-00006E320000}"/>
    <cellStyle name="표준 5 2 2 3 2 4 2 5 2" xfId="13782" xr:uid="{00000000-0005-0000-0000-00006F320000}"/>
    <cellStyle name="표준 5 2 2 3 2 4 2 5 2 2" xfId="30376" xr:uid="{00000000-0005-0000-0000-000070320000}"/>
    <cellStyle name="표준 5 2 2 3 2 4 2 5 2 3" xfId="38587" xr:uid="{00000000-0005-0000-0000-000071320000}"/>
    <cellStyle name="표준 5 2 2 3 2 4 2 5 2 4" xfId="46780" xr:uid="{00000000-0005-0000-0000-000072320000}"/>
    <cellStyle name="표준 5 2 2 3 2 4 2 5 3" xfId="18022" xr:uid="{00000000-0005-0000-0000-000073320000}"/>
    <cellStyle name="표준 5 2 2 3 2 4 2 5 4" xfId="22184" xr:uid="{00000000-0005-0000-0000-000074320000}"/>
    <cellStyle name="표준 5 2 2 3 2 4 2 5 5" xfId="26280" xr:uid="{00000000-0005-0000-0000-000075320000}"/>
    <cellStyle name="표준 5 2 2 3 2 4 2 5 6" xfId="34491" xr:uid="{00000000-0005-0000-0000-000076320000}"/>
    <cellStyle name="표준 5 2 2 3 2 4 2 5 7" xfId="42684" xr:uid="{00000000-0005-0000-0000-000077320000}"/>
    <cellStyle name="표준 5 2 2 3 2 4 2 6" xfId="7622" xr:uid="{00000000-0005-0000-0000-000078320000}"/>
    <cellStyle name="표준 5 2 2 3 2 4 2 6 2" xfId="28328" xr:uid="{00000000-0005-0000-0000-000079320000}"/>
    <cellStyle name="표준 5 2 2 3 2 4 2 6 3" xfId="36539" xr:uid="{00000000-0005-0000-0000-00007A320000}"/>
    <cellStyle name="표준 5 2 2 3 2 4 2 6 4" xfId="44732" xr:uid="{00000000-0005-0000-0000-00007B320000}"/>
    <cellStyle name="표준 5 2 2 3 2 4 2 7" xfId="11734" xr:uid="{00000000-0005-0000-0000-00007C320000}"/>
    <cellStyle name="표준 5 2 2 3 2 4 2 8" xfId="15974" xr:uid="{00000000-0005-0000-0000-00007D320000}"/>
    <cellStyle name="표준 5 2 2 3 2 4 2 9" xfId="20136" xr:uid="{00000000-0005-0000-0000-00007E320000}"/>
    <cellStyle name="표준 5 2 2 3 2 4 3" xfId="1023" xr:uid="{00000000-0005-0000-0000-00007F320000}"/>
    <cellStyle name="표준 5 2 2 3 2 4 3 2" xfId="9926" xr:uid="{00000000-0005-0000-0000-000080320000}"/>
    <cellStyle name="표준 5 2 2 3 2 4 3 2 2" xfId="14038" xr:uid="{00000000-0005-0000-0000-000081320000}"/>
    <cellStyle name="표준 5 2 2 3 2 4 3 2 2 2" xfId="30632" xr:uid="{00000000-0005-0000-0000-000082320000}"/>
    <cellStyle name="표준 5 2 2 3 2 4 3 2 2 3" xfId="38843" xr:uid="{00000000-0005-0000-0000-000083320000}"/>
    <cellStyle name="표준 5 2 2 3 2 4 3 2 2 4" xfId="47036" xr:uid="{00000000-0005-0000-0000-000084320000}"/>
    <cellStyle name="표준 5 2 2 3 2 4 3 2 3" xfId="18278" xr:uid="{00000000-0005-0000-0000-000085320000}"/>
    <cellStyle name="표준 5 2 2 3 2 4 3 2 4" xfId="22440" xr:uid="{00000000-0005-0000-0000-000086320000}"/>
    <cellStyle name="표준 5 2 2 3 2 4 3 2 5" xfId="26536" xr:uid="{00000000-0005-0000-0000-000087320000}"/>
    <cellStyle name="표준 5 2 2 3 2 4 3 2 6" xfId="34747" xr:uid="{00000000-0005-0000-0000-000088320000}"/>
    <cellStyle name="표준 5 2 2 3 2 4 3 2 7" xfId="42940" xr:uid="{00000000-0005-0000-0000-000089320000}"/>
    <cellStyle name="표준 5 2 2 3 2 4 3 3" xfId="7878" xr:uid="{00000000-0005-0000-0000-00008A320000}"/>
    <cellStyle name="표준 5 2 2 3 2 4 3 3 2" xfId="28584" xr:uid="{00000000-0005-0000-0000-00008B320000}"/>
    <cellStyle name="표준 5 2 2 3 2 4 3 3 3" xfId="36795" xr:uid="{00000000-0005-0000-0000-00008C320000}"/>
    <cellStyle name="표준 5 2 2 3 2 4 3 3 4" xfId="44988" xr:uid="{00000000-0005-0000-0000-00008D320000}"/>
    <cellStyle name="표준 5 2 2 3 2 4 3 4" xfId="11990" xr:uid="{00000000-0005-0000-0000-00008E320000}"/>
    <cellStyle name="표준 5 2 2 3 2 4 3 5" xfId="16230" xr:uid="{00000000-0005-0000-0000-00008F320000}"/>
    <cellStyle name="표준 5 2 2 3 2 4 3 6" xfId="20392" xr:uid="{00000000-0005-0000-0000-000090320000}"/>
    <cellStyle name="표준 5 2 2 3 2 4 3 7" xfId="24488" xr:uid="{00000000-0005-0000-0000-000091320000}"/>
    <cellStyle name="표준 5 2 2 3 2 4 3 8" xfId="32699" xr:uid="{00000000-0005-0000-0000-000092320000}"/>
    <cellStyle name="표준 5 2 2 3 2 4 3 9" xfId="40892" xr:uid="{00000000-0005-0000-0000-000093320000}"/>
    <cellStyle name="표준 5 2 2 3 2 4 4" xfId="1535" xr:uid="{00000000-0005-0000-0000-000094320000}"/>
    <cellStyle name="표준 5 2 2 3 2 4 4 2" xfId="10438" xr:uid="{00000000-0005-0000-0000-000095320000}"/>
    <cellStyle name="표준 5 2 2 3 2 4 4 2 2" xfId="14550" xr:uid="{00000000-0005-0000-0000-000096320000}"/>
    <cellStyle name="표준 5 2 2 3 2 4 4 2 2 2" xfId="31144" xr:uid="{00000000-0005-0000-0000-000097320000}"/>
    <cellStyle name="표준 5 2 2 3 2 4 4 2 2 3" xfId="39355" xr:uid="{00000000-0005-0000-0000-000098320000}"/>
    <cellStyle name="표준 5 2 2 3 2 4 4 2 2 4" xfId="47548" xr:uid="{00000000-0005-0000-0000-000099320000}"/>
    <cellStyle name="표준 5 2 2 3 2 4 4 2 3" xfId="18790" xr:uid="{00000000-0005-0000-0000-00009A320000}"/>
    <cellStyle name="표준 5 2 2 3 2 4 4 2 4" xfId="22952" xr:uid="{00000000-0005-0000-0000-00009B320000}"/>
    <cellStyle name="표준 5 2 2 3 2 4 4 2 5" xfId="27048" xr:uid="{00000000-0005-0000-0000-00009C320000}"/>
    <cellStyle name="표준 5 2 2 3 2 4 4 2 6" xfId="35259" xr:uid="{00000000-0005-0000-0000-00009D320000}"/>
    <cellStyle name="표준 5 2 2 3 2 4 4 2 7" xfId="43452" xr:uid="{00000000-0005-0000-0000-00009E320000}"/>
    <cellStyle name="표준 5 2 2 3 2 4 4 3" xfId="8390" xr:uid="{00000000-0005-0000-0000-00009F320000}"/>
    <cellStyle name="표준 5 2 2 3 2 4 4 3 2" xfId="29096" xr:uid="{00000000-0005-0000-0000-0000A0320000}"/>
    <cellStyle name="표준 5 2 2 3 2 4 4 3 3" xfId="37307" xr:uid="{00000000-0005-0000-0000-0000A1320000}"/>
    <cellStyle name="표준 5 2 2 3 2 4 4 3 4" xfId="45500" xr:uid="{00000000-0005-0000-0000-0000A2320000}"/>
    <cellStyle name="표준 5 2 2 3 2 4 4 4" xfId="12502" xr:uid="{00000000-0005-0000-0000-0000A3320000}"/>
    <cellStyle name="표준 5 2 2 3 2 4 4 5" xfId="16742" xr:uid="{00000000-0005-0000-0000-0000A4320000}"/>
    <cellStyle name="표준 5 2 2 3 2 4 4 6" xfId="20904" xr:uid="{00000000-0005-0000-0000-0000A5320000}"/>
    <cellStyle name="표준 5 2 2 3 2 4 4 7" xfId="25000" xr:uid="{00000000-0005-0000-0000-0000A6320000}"/>
    <cellStyle name="표준 5 2 2 3 2 4 4 8" xfId="33211" xr:uid="{00000000-0005-0000-0000-0000A7320000}"/>
    <cellStyle name="표준 5 2 2 3 2 4 4 9" xfId="41404" xr:uid="{00000000-0005-0000-0000-0000A8320000}"/>
    <cellStyle name="표준 5 2 2 3 2 4 5" xfId="2047" xr:uid="{00000000-0005-0000-0000-0000A9320000}"/>
    <cellStyle name="표준 5 2 2 3 2 4 5 2" xfId="10950" xr:uid="{00000000-0005-0000-0000-0000AA320000}"/>
    <cellStyle name="표준 5 2 2 3 2 4 5 2 2" xfId="15062" xr:uid="{00000000-0005-0000-0000-0000AB320000}"/>
    <cellStyle name="표준 5 2 2 3 2 4 5 2 2 2" xfId="31656" xr:uid="{00000000-0005-0000-0000-0000AC320000}"/>
    <cellStyle name="표준 5 2 2 3 2 4 5 2 2 3" xfId="39867" xr:uid="{00000000-0005-0000-0000-0000AD320000}"/>
    <cellStyle name="표준 5 2 2 3 2 4 5 2 2 4" xfId="48060" xr:uid="{00000000-0005-0000-0000-0000AE320000}"/>
    <cellStyle name="표준 5 2 2 3 2 4 5 2 3" xfId="19302" xr:uid="{00000000-0005-0000-0000-0000AF320000}"/>
    <cellStyle name="표준 5 2 2 3 2 4 5 2 4" xfId="23464" xr:uid="{00000000-0005-0000-0000-0000B0320000}"/>
    <cellStyle name="표준 5 2 2 3 2 4 5 2 5" xfId="27560" xr:uid="{00000000-0005-0000-0000-0000B1320000}"/>
    <cellStyle name="표준 5 2 2 3 2 4 5 2 6" xfId="35771" xr:uid="{00000000-0005-0000-0000-0000B2320000}"/>
    <cellStyle name="표준 5 2 2 3 2 4 5 2 7" xfId="43964" xr:uid="{00000000-0005-0000-0000-0000B3320000}"/>
    <cellStyle name="표준 5 2 2 3 2 4 5 3" xfId="8902" xr:uid="{00000000-0005-0000-0000-0000B4320000}"/>
    <cellStyle name="표준 5 2 2 3 2 4 5 3 2" xfId="29608" xr:uid="{00000000-0005-0000-0000-0000B5320000}"/>
    <cellStyle name="표준 5 2 2 3 2 4 5 3 3" xfId="37819" xr:uid="{00000000-0005-0000-0000-0000B6320000}"/>
    <cellStyle name="표준 5 2 2 3 2 4 5 3 4" xfId="46012" xr:uid="{00000000-0005-0000-0000-0000B7320000}"/>
    <cellStyle name="표준 5 2 2 3 2 4 5 4" xfId="13014" xr:uid="{00000000-0005-0000-0000-0000B8320000}"/>
    <cellStyle name="표준 5 2 2 3 2 4 5 5" xfId="17254" xr:uid="{00000000-0005-0000-0000-0000B9320000}"/>
    <cellStyle name="표준 5 2 2 3 2 4 5 6" xfId="21416" xr:uid="{00000000-0005-0000-0000-0000BA320000}"/>
    <cellStyle name="표준 5 2 2 3 2 4 5 7" xfId="25512" xr:uid="{00000000-0005-0000-0000-0000BB320000}"/>
    <cellStyle name="표준 5 2 2 3 2 4 5 8" xfId="33723" xr:uid="{00000000-0005-0000-0000-0000BC320000}"/>
    <cellStyle name="표준 5 2 2 3 2 4 5 9" xfId="41916" xr:uid="{00000000-0005-0000-0000-0000BD320000}"/>
    <cellStyle name="표준 5 2 2 3 2 4 6" xfId="9414" xr:uid="{00000000-0005-0000-0000-0000BE320000}"/>
    <cellStyle name="표준 5 2 2 3 2 4 6 2" xfId="13526" xr:uid="{00000000-0005-0000-0000-0000BF320000}"/>
    <cellStyle name="표준 5 2 2 3 2 4 6 2 2" xfId="30120" xr:uid="{00000000-0005-0000-0000-0000C0320000}"/>
    <cellStyle name="표준 5 2 2 3 2 4 6 2 3" xfId="38331" xr:uid="{00000000-0005-0000-0000-0000C1320000}"/>
    <cellStyle name="표준 5 2 2 3 2 4 6 2 4" xfId="46524" xr:uid="{00000000-0005-0000-0000-0000C2320000}"/>
    <cellStyle name="표준 5 2 2 3 2 4 6 3" xfId="17766" xr:uid="{00000000-0005-0000-0000-0000C3320000}"/>
    <cellStyle name="표준 5 2 2 3 2 4 6 4" xfId="21928" xr:uid="{00000000-0005-0000-0000-0000C4320000}"/>
    <cellStyle name="표준 5 2 2 3 2 4 6 5" xfId="26024" xr:uid="{00000000-0005-0000-0000-0000C5320000}"/>
    <cellStyle name="표준 5 2 2 3 2 4 6 6" xfId="34235" xr:uid="{00000000-0005-0000-0000-0000C6320000}"/>
    <cellStyle name="표준 5 2 2 3 2 4 6 7" xfId="42428" xr:uid="{00000000-0005-0000-0000-0000C7320000}"/>
    <cellStyle name="표준 5 2 2 3 2 4 7" xfId="7366" xr:uid="{00000000-0005-0000-0000-0000C8320000}"/>
    <cellStyle name="표준 5 2 2 3 2 4 7 2" xfId="28072" xr:uid="{00000000-0005-0000-0000-0000C9320000}"/>
    <cellStyle name="표준 5 2 2 3 2 4 7 3" xfId="36283" xr:uid="{00000000-0005-0000-0000-0000CA320000}"/>
    <cellStyle name="표준 5 2 2 3 2 4 7 4" xfId="44476" xr:uid="{00000000-0005-0000-0000-0000CB320000}"/>
    <cellStyle name="표준 5 2 2 3 2 4 8" xfId="11478" xr:uid="{00000000-0005-0000-0000-0000CC320000}"/>
    <cellStyle name="표준 5 2 2 3 2 4 9" xfId="15718" xr:uid="{00000000-0005-0000-0000-0000CD320000}"/>
    <cellStyle name="표준 5 2 2 3 2 5" xfId="639" xr:uid="{00000000-0005-0000-0000-0000CE320000}"/>
    <cellStyle name="표준 5 2 2 3 2 5 10" xfId="24104" xr:uid="{00000000-0005-0000-0000-0000CF320000}"/>
    <cellStyle name="표준 5 2 2 3 2 5 11" xfId="32315" xr:uid="{00000000-0005-0000-0000-0000D0320000}"/>
    <cellStyle name="표준 5 2 2 3 2 5 12" xfId="40508" xr:uid="{00000000-0005-0000-0000-0000D1320000}"/>
    <cellStyle name="표준 5 2 2 3 2 5 2" xfId="1151" xr:uid="{00000000-0005-0000-0000-0000D2320000}"/>
    <cellStyle name="표준 5 2 2 3 2 5 2 2" xfId="10054" xr:uid="{00000000-0005-0000-0000-0000D3320000}"/>
    <cellStyle name="표준 5 2 2 3 2 5 2 2 2" xfId="14166" xr:uid="{00000000-0005-0000-0000-0000D4320000}"/>
    <cellStyle name="표준 5 2 2 3 2 5 2 2 2 2" xfId="30760" xr:uid="{00000000-0005-0000-0000-0000D5320000}"/>
    <cellStyle name="표준 5 2 2 3 2 5 2 2 2 3" xfId="38971" xr:uid="{00000000-0005-0000-0000-0000D6320000}"/>
    <cellStyle name="표준 5 2 2 3 2 5 2 2 2 4" xfId="47164" xr:uid="{00000000-0005-0000-0000-0000D7320000}"/>
    <cellStyle name="표준 5 2 2 3 2 5 2 2 3" xfId="18406" xr:uid="{00000000-0005-0000-0000-0000D8320000}"/>
    <cellStyle name="표준 5 2 2 3 2 5 2 2 4" xfId="22568" xr:uid="{00000000-0005-0000-0000-0000D9320000}"/>
    <cellStyle name="표준 5 2 2 3 2 5 2 2 5" xfId="26664" xr:uid="{00000000-0005-0000-0000-0000DA320000}"/>
    <cellStyle name="표준 5 2 2 3 2 5 2 2 6" xfId="34875" xr:uid="{00000000-0005-0000-0000-0000DB320000}"/>
    <cellStyle name="표준 5 2 2 3 2 5 2 2 7" xfId="43068" xr:uid="{00000000-0005-0000-0000-0000DC320000}"/>
    <cellStyle name="표준 5 2 2 3 2 5 2 3" xfId="8006" xr:uid="{00000000-0005-0000-0000-0000DD320000}"/>
    <cellStyle name="표준 5 2 2 3 2 5 2 3 2" xfId="28712" xr:uid="{00000000-0005-0000-0000-0000DE320000}"/>
    <cellStyle name="표준 5 2 2 3 2 5 2 3 3" xfId="36923" xr:uid="{00000000-0005-0000-0000-0000DF320000}"/>
    <cellStyle name="표준 5 2 2 3 2 5 2 3 4" xfId="45116" xr:uid="{00000000-0005-0000-0000-0000E0320000}"/>
    <cellStyle name="표준 5 2 2 3 2 5 2 4" xfId="12118" xr:uid="{00000000-0005-0000-0000-0000E1320000}"/>
    <cellStyle name="표준 5 2 2 3 2 5 2 5" xfId="16358" xr:uid="{00000000-0005-0000-0000-0000E2320000}"/>
    <cellStyle name="표준 5 2 2 3 2 5 2 6" xfId="20520" xr:uid="{00000000-0005-0000-0000-0000E3320000}"/>
    <cellStyle name="표준 5 2 2 3 2 5 2 7" xfId="24616" xr:uid="{00000000-0005-0000-0000-0000E4320000}"/>
    <cellStyle name="표준 5 2 2 3 2 5 2 8" xfId="32827" xr:uid="{00000000-0005-0000-0000-0000E5320000}"/>
    <cellStyle name="표준 5 2 2 3 2 5 2 9" xfId="41020" xr:uid="{00000000-0005-0000-0000-0000E6320000}"/>
    <cellStyle name="표준 5 2 2 3 2 5 3" xfId="1663" xr:uid="{00000000-0005-0000-0000-0000E7320000}"/>
    <cellStyle name="표준 5 2 2 3 2 5 3 2" xfId="10566" xr:uid="{00000000-0005-0000-0000-0000E8320000}"/>
    <cellStyle name="표준 5 2 2 3 2 5 3 2 2" xfId="14678" xr:uid="{00000000-0005-0000-0000-0000E9320000}"/>
    <cellStyle name="표준 5 2 2 3 2 5 3 2 2 2" xfId="31272" xr:uid="{00000000-0005-0000-0000-0000EA320000}"/>
    <cellStyle name="표준 5 2 2 3 2 5 3 2 2 3" xfId="39483" xr:uid="{00000000-0005-0000-0000-0000EB320000}"/>
    <cellStyle name="표준 5 2 2 3 2 5 3 2 2 4" xfId="47676" xr:uid="{00000000-0005-0000-0000-0000EC320000}"/>
    <cellStyle name="표준 5 2 2 3 2 5 3 2 3" xfId="18918" xr:uid="{00000000-0005-0000-0000-0000ED320000}"/>
    <cellStyle name="표준 5 2 2 3 2 5 3 2 4" xfId="23080" xr:uid="{00000000-0005-0000-0000-0000EE320000}"/>
    <cellStyle name="표준 5 2 2 3 2 5 3 2 5" xfId="27176" xr:uid="{00000000-0005-0000-0000-0000EF320000}"/>
    <cellStyle name="표준 5 2 2 3 2 5 3 2 6" xfId="35387" xr:uid="{00000000-0005-0000-0000-0000F0320000}"/>
    <cellStyle name="표준 5 2 2 3 2 5 3 2 7" xfId="43580" xr:uid="{00000000-0005-0000-0000-0000F1320000}"/>
    <cellStyle name="표준 5 2 2 3 2 5 3 3" xfId="8518" xr:uid="{00000000-0005-0000-0000-0000F2320000}"/>
    <cellStyle name="표준 5 2 2 3 2 5 3 3 2" xfId="29224" xr:uid="{00000000-0005-0000-0000-0000F3320000}"/>
    <cellStyle name="표준 5 2 2 3 2 5 3 3 3" xfId="37435" xr:uid="{00000000-0005-0000-0000-0000F4320000}"/>
    <cellStyle name="표준 5 2 2 3 2 5 3 3 4" xfId="45628" xr:uid="{00000000-0005-0000-0000-0000F5320000}"/>
    <cellStyle name="표준 5 2 2 3 2 5 3 4" xfId="12630" xr:uid="{00000000-0005-0000-0000-0000F6320000}"/>
    <cellStyle name="표준 5 2 2 3 2 5 3 5" xfId="16870" xr:uid="{00000000-0005-0000-0000-0000F7320000}"/>
    <cellStyle name="표준 5 2 2 3 2 5 3 6" xfId="21032" xr:uid="{00000000-0005-0000-0000-0000F8320000}"/>
    <cellStyle name="표준 5 2 2 3 2 5 3 7" xfId="25128" xr:uid="{00000000-0005-0000-0000-0000F9320000}"/>
    <cellStyle name="표준 5 2 2 3 2 5 3 8" xfId="33339" xr:uid="{00000000-0005-0000-0000-0000FA320000}"/>
    <cellStyle name="표준 5 2 2 3 2 5 3 9" xfId="41532" xr:uid="{00000000-0005-0000-0000-0000FB320000}"/>
    <cellStyle name="표준 5 2 2 3 2 5 4" xfId="2175" xr:uid="{00000000-0005-0000-0000-0000FC320000}"/>
    <cellStyle name="표준 5 2 2 3 2 5 4 2" xfId="11078" xr:uid="{00000000-0005-0000-0000-0000FD320000}"/>
    <cellStyle name="표준 5 2 2 3 2 5 4 2 2" xfId="15190" xr:uid="{00000000-0005-0000-0000-0000FE320000}"/>
    <cellStyle name="표준 5 2 2 3 2 5 4 2 2 2" xfId="31784" xr:uid="{00000000-0005-0000-0000-0000FF320000}"/>
    <cellStyle name="표준 5 2 2 3 2 5 4 2 2 3" xfId="39995" xr:uid="{00000000-0005-0000-0000-000000330000}"/>
    <cellStyle name="표준 5 2 2 3 2 5 4 2 2 4" xfId="48188" xr:uid="{00000000-0005-0000-0000-000001330000}"/>
    <cellStyle name="표준 5 2 2 3 2 5 4 2 3" xfId="19430" xr:uid="{00000000-0005-0000-0000-000002330000}"/>
    <cellStyle name="표준 5 2 2 3 2 5 4 2 4" xfId="23592" xr:uid="{00000000-0005-0000-0000-000003330000}"/>
    <cellStyle name="표준 5 2 2 3 2 5 4 2 5" xfId="27688" xr:uid="{00000000-0005-0000-0000-000004330000}"/>
    <cellStyle name="표준 5 2 2 3 2 5 4 2 6" xfId="35899" xr:uid="{00000000-0005-0000-0000-000005330000}"/>
    <cellStyle name="표준 5 2 2 3 2 5 4 2 7" xfId="44092" xr:uid="{00000000-0005-0000-0000-000006330000}"/>
    <cellStyle name="표준 5 2 2 3 2 5 4 3" xfId="9030" xr:uid="{00000000-0005-0000-0000-000007330000}"/>
    <cellStyle name="표준 5 2 2 3 2 5 4 3 2" xfId="29736" xr:uid="{00000000-0005-0000-0000-000008330000}"/>
    <cellStyle name="표준 5 2 2 3 2 5 4 3 3" xfId="37947" xr:uid="{00000000-0005-0000-0000-000009330000}"/>
    <cellStyle name="표준 5 2 2 3 2 5 4 3 4" xfId="46140" xr:uid="{00000000-0005-0000-0000-00000A330000}"/>
    <cellStyle name="표준 5 2 2 3 2 5 4 4" xfId="13142" xr:uid="{00000000-0005-0000-0000-00000B330000}"/>
    <cellStyle name="표준 5 2 2 3 2 5 4 5" xfId="17382" xr:uid="{00000000-0005-0000-0000-00000C330000}"/>
    <cellStyle name="표준 5 2 2 3 2 5 4 6" xfId="21544" xr:uid="{00000000-0005-0000-0000-00000D330000}"/>
    <cellStyle name="표준 5 2 2 3 2 5 4 7" xfId="25640" xr:uid="{00000000-0005-0000-0000-00000E330000}"/>
    <cellStyle name="표준 5 2 2 3 2 5 4 8" xfId="33851" xr:uid="{00000000-0005-0000-0000-00000F330000}"/>
    <cellStyle name="표준 5 2 2 3 2 5 4 9" xfId="42044" xr:uid="{00000000-0005-0000-0000-000010330000}"/>
    <cellStyle name="표준 5 2 2 3 2 5 5" xfId="9542" xr:uid="{00000000-0005-0000-0000-000011330000}"/>
    <cellStyle name="표준 5 2 2 3 2 5 5 2" xfId="13654" xr:uid="{00000000-0005-0000-0000-000012330000}"/>
    <cellStyle name="표준 5 2 2 3 2 5 5 2 2" xfId="30248" xr:uid="{00000000-0005-0000-0000-000013330000}"/>
    <cellStyle name="표준 5 2 2 3 2 5 5 2 3" xfId="38459" xr:uid="{00000000-0005-0000-0000-000014330000}"/>
    <cellStyle name="표준 5 2 2 3 2 5 5 2 4" xfId="46652" xr:uid="{00000000-0005-0000-0000-000015330000}"/>
    <cellStyle name="표준 5 2 2 3 2 5 5 3" xfId="17894" xr:uid="{00000000-0005-0000-0000-000016330000}"/>
    <cellStyle name="표준 5 2 2 3 2 5 5 4" xfId="22056" xr:uid="{00000000-0005-0000-0000-000017330000}"/>
    <cellStyle name="표준 5 2 2 3 2 5 5 5" xfId="26152" xr:uid="{00000000-0005-0000-0000-000018330000}"/>
    <cellStyle name="표준 5 2 2 3 2 5 5 6" xfId="34363" xr:uid="{00000000-0005-0000-0000-000019330000}"/>
    <cellStyle name="표준 5 2 2 3 2 5 5 7" xfId="42556" xr:uid="{00000000-0005-0000-0000-00001A330000}"/>
    <cellStyle name="표준 5 2 2 3 2 5 6" xfId="7494" xr:uid="{00000000-0005-0000-0000-00001B330000}"/>
    <cellStyle name="표준 5 2 2 3 2 5 6 2" xfId="28200" xr:uid="{00000000-0005-0000-0000-00001C330000}"/>
    <cellStyle name="표준 5 2 2 3 2 5 6 3" xfId="36411" xr:uid="{00000000-0005-0000-0000-00001D330000}"/>
    <cellStyle name="표준 5 2 2 3 2 5 6 4" xfId="44604" xr:uid="{00000000-0005-0000-0000-00001E330000}"/>
    <cellStyle name="표준 5 2 2 3 2 5 7" xfId="11606" xr:uid="{00000000-0005-0000-0000-00001F330000}"/>
    <cellStyle name="표준 5 2 2 3 2 5 8" xfId="15846" xr:uid="{00000000-0005-0000-0000-000020330000}"/>
    <cellStyle name="표준 5 2 2 3 2 5 9" xfId="20008" xr:uid="{00000000-0005-0000-0000-000021330000}"/>
    <cellStyle name="표준 5 2 2 3 2 6" xfId="895" xr:uid="{00000000-0005-0000-0000-000022330000}"/>
    <cellStyle name="표준 5 2 2 3 2 6 2" xfId="9798" xr:uid="{00000000-0005-0000-0000-000023330000}"/>
    <cellStyle name="표준 5 2 2 3 2 6 2 2" xfId="13910" xr:uid="{00000000-0005-0000-0000-000024330000}"/>
    <cellStyle name="표준 5 2 2 3 2 6 2 2 2" xfId="30504" xr:uid="{00000000-0005-0000-0000-000025330000}"/>
    <cellStyle name="표준 5 2 2 3 2 6 2 2 3" xfId="38715" xr:uid="{00000000-0005-0000-0000-000026330000}"/>
    <cellStyle name="표준 5 2 2 3 2 6 2 2 4" xfId="46908" xr:uid="{00000000-0005-0000-0000-000027330000}"/>
    <cellStyle name="표준 5 2 2 3 2 6 2 3" xfId="18150" xr:uid="{00000000-0005-0000-0000-000028330000}"/>
    <cellStyle name="표준 5 2 2 3 2 6 2 4" xfId="22312" xr:uid="{00000000-0005-0000-0000-000029330000}"/>
    <cellStyle name="표준 5 2 2 3 2 6 2 5" xfId="26408" xr:uid="{00000000-0005-0000-0000-00002A330000}"/>
    <cellStyle name="표준 5 2 2 3 2 6 2 6" xfId="34619" xr:uid="{00000000-0005-0000-0000-00002B330000}"/>
    <cellStyle name="표준 5 2 2 3 2 6 2 7" xfId="42812" xr:uid="{00000000-0005-0000-0000-00002C330000}"/>
    <cellStyle name="표준 5 2 2 3 2 6 3" xfId="7750" xr:uid="{00000000-0005-0000-0000-00002D330000}"/>
    <cellStyle name="표준 5 2 2 3 2 6 3 2" xfId="28456" xr:uid="{00000000-0005-0000-0000-00002E330000}"/>
    <cellStyle name="표준 5 2 2 3 2 6 3 3" xfId="36667" xr:uid="{00000000-0005-0000-0000-00002F330000}"/>
    <cellStyle name="표준 5 2 2 3 2 6 3 4" xfId="44860" xr:uid="{00000000-0005-0000-0000-000030330000}"/>
    <cellStyle name="표준 5 2 2 3 2 6 4" xfId="11862" xr:uid="{00000000-0005-0000-0000-000031330000}"/>
    <cellStyle name="표준 5 2 2 3 2 6 5" xfId="16102" xr:uid="{00000000-0005-0000-0000-000032330000}"/>
    <cellStyle name="표준 5 2 2 3 2 6 6" xfId="20264" xr:uid="{00000000-0005-0000-0000-000033330000}"/>
    <cellStyle name="표준 5 2 2 3 2 6 7" xfId="24360" xr:uid="{00000000-0005-0000-0000-000034330000}"/>
    <cellStyle name="표준 5 2 2 3 2 6 8" xfId="32571" xr:uid="{00000000-0005-0000-0000-000035330000}"/>
    <cellStyle name="표준 5 2 2 3 2 6 9" xfId="40764" xr:uid="{00000000-0005-0000-0000-000036330000}"/>
    <cellStyle name="표준 5 2 2 3 2 7" xfId="1407" xr:uid="{00000000-0005-0000-0000-000037330000}"/>
    <cellStyle name="표준 5 2 2 3 2 7 2" xfId="10310" xr:uid="{00000000-0005-0000-0000-000038330000}"/>
    <cellStyle name="표준 5 2 2 3 2 7 2 2" xfId="14422" xr:uid="{00000000-0005-0000-0000-000039330000}"/>
    <cellStyle name="표준 5 2 2 3 2 7 2 2 2" xfId="31016" xr:uid="{00000000-0005-0000-0000-00003A330000}"/>
    <cellStyle name="표준 5 2 2 3 2 7 2 2 3" xfId="39227" xr:uid="{00000000-0005-0000-0000-00003B330000}"/>
    <cellStyle name="표준 5 2 2 3 2 7 2 2 4" xfId="47420" xr:uid="{00000000-0005-0000-0000-00003C330000}"/>
    <cellStyle name="표준 5 2 2 3 2 7 2 3" xfId="18662" xr:uid="{00000000-0005-0000-0000-00003D330000}"/>
    <cellStyle name="표준 5 2 2 3 2 7 2 4" xfId="22824" xr:uid="{00000000-0005-0000-0000-00003E330000}"/>
    <cellStyle name="표준 5 2 2 3 2 7 2 5" xfId="26920" xr:uid="{00000000-0005-0000-0000-00003F330000}"/>
    <cellStyle name="표준 5 2 2 3 2 7 2 6" xfId="35131" xr:uid="{00000000-0005-0000-0000-000040330000}"/>
    <cellStyle name="표준 5 2 2 3 2 7 2 7" xfId="43324" xr:uid="{00000000-0005-0000-0000-000041330000}"/>
    <cellStyle name="표준 5 2 2 3 2 7 3" xfId="8262" xr:uid="{00000000-0005-0000-0000-000042330000}"/>
    <cellStyle name="표준 5 2 2 3 2 7 3 2" xfId="28968" xr:uid="{00000000-0005-0000-0000-000043330000}"/>
    <cellStyle name="표준 5 2 2 3 2 7 3 3" xfId="37179" xr:uid="{00000000-0005-0000-0000-000044330000}"/>
    <cellStyle name="표준 5 2 2 3 2 7 3 4" xfId="45372" xr:uid="{00000000-0005-0000-0000-000045330000}"/>
    <cellStyle name="표준 5 2 2 3 2 7 4" xfId="12374" xr:uid="{00000000-0005-0000-0000-000046330000}"/>
    <cellStyle name="표준 5 2 2 3 2 7 5" xfId="16614" xr:uid="{00000000-0005-0000-0000-000047330000}"/>
    <cellStyle name="표준 5 2 2 3 2 7 6" xfId="20776" xr:uid="{00000000-0005-0000-0000-000048330000}"/>
    <cellStyle name="표준 5 2 2 3 2 7 7" xfId="24872" xr:uid="{00000000-0005-0000-0000-000049330000}"/>
    <cellStyle name="표준 5 2 2 3 2 7 8" xfId="33083" xr:uid="{00000000-0005-0000-0000-00004A330000}"/>
    <cellStyle name="표준 5 2 2 3 2 7 9" xfId="41276" xr:uid="{00000000-0005-0000-0000-00004B330000}"/>
    <cellStyle name="표준 5 2 2 3 2 8" xfId="1919" xr:uid="{00000000-0005-0000-0000-00004C330000}"/>
    <cellStyle name="표준 5 2 2 3 2 8 2" xfId="10822" xr:uid="{00000000-0005-0000-0000-00004D330000}"/>
    <cellStyle name="표준 5 2 2 3 2 8 2 2" xfId="14934" xr:uid="{00000000-0005-0000-0000-00004E330000}"/>
    <cellStyle name="표준 5 2 2 3 2 8 2 2 2" xfId="31528" xr:uid="{00000000-0005-0000-0000-00004F330000}"/>
    <cellStyle name="표준 5 2 2 3 2 8 2 2 3" xfId="39739" xr:uid="{00000000-0005-0000-0000-000050330000}"/>
    <cellStyle name="표준 5 2 2 3 2 8 2 2 4" xfId="47932" xr:uid="{00000000-0005-0000-0000-000051330000}"/>
    <cellStyle name="표준 5 2 2 3 2 8 2 3" xfId="19174" xr:uid="{00000000-0005-0000-0000-000052330000}"/>
    <cellStyle name="표준 5 2 2 3 2 8 2 4" xfId="23336" xr:uid="{00000000-0005-0000-0000-000053330000}"/>
    <cellStyle name="표준 5 2 2 3 2 8 2 5" xfId="27432" xr:uid="{00000000-0005-0000-0000-000054330000}"/>
    <cellStyle name="표준 5 2 2 3 2 8 2 6" xfId="35643" xr:uid="{00000000-0005-0000-0000-000055330000}"/>
    <cellStyle name="표준 5 2 2 3 2 8 2 7" xfId="43836" xr:uid="{00000000-0005-0000-0000-000056330000}"/>
    <cellStyle name="표준 5 2 2 3 2 8 3" xfId="8774" xr:uid="{00000000-0005-0000-0000-000057330000}"/>
    <cellStyle name="표준 5 2 2 3 2 8 3 2" xfId="29480" xr:uid="{00000000-0005-0000-0000-000058330000}"/>
    <cellStyle name="표준 5 2 2 3 2 8 3 3" xfId="37691" xr:uid="{00000000-0005-0000-0000-000059330000}"/>
    <cellStyle name="표준 5 2 2 3 2 8 3 4" xfId="45884" xr:uid="{00000000-0005-0000-0000-00005A330000}"/>
    <cellStyle name="표준 5 2 2 3 2 8 4" xfId="12886" xr:uid="{00000000-0005-0000-0000-00005B330000}"/>
    <cellStyle name="표준 5 2 2 3 2 8 5" xfId="17126" xr:uid="{00000000-0005-0000-0000-00005C330000}"/>
    <cellStyle name="표준 5 2 2 3 2 8 6" xfId="21288" xr:uid="{00000000-0005-0000-0000-00005D330000}"/>
    <cellStyle name="표준 5 2 2 3 2 8 7" xfId="25384" xr:uid="{00000000-0005-0000-0000-00005E330000}"/>
    <cellStyle name="표준 5 2 2 3 2 8 8" xfId="33595" xr:uid="{00000000-0005-0000-0000-00005F330000}"/>
    <cellStyle name="표준 5 2 2 3 2 8 9" xfId="41788" xr:uid="{00000000-0005-0000-0000-000060330000}"/>
    <cellStyle name="표준 5 2 2 3 2 9" xfId="6975" xr:uid="{00000000-0005-0000-0000-000061330000}"/>
    <cellStyle name="표준 5 2 2 3 2 9 2" xfId="9286" xr:uid="{00000000-0005-0000-0000-000062330000}"/>
    <cellStyle name="표준 5 2 2 3 2 9 2 2" xfId="29992" xr:uid="{00000000-0005-0000-0000-000063330000}"/>
    <cellStyle name="표준 5 2 2 3 2 9 2 3" xfId="38203" xr:uid="{00000000-0005-0000-0000-000064330000}"/>
    <cellStyle name="표준 5 2 2 3 2 9 2 4" xfId="46396" xr:uid="{00000000-0005-0000-0000-000065330000}"/>
    <cellStyle name="표준 5 2 2 3 2 9 3" xfId="13398" xr:uid="{00000000-0005-0000-0000-000066330000}"/>
    <cellStyle name="표준 5 2 2 3 2 9 4" xfId="17638" xr:uid="{00000000-0005-0000-0000-000067330000}"/>
    <cellStyle name="표준 5 2 2 3 2 9 5" xfId="21800" xr:uid="{00000000-0005-0000-0000-000068330000}"/>
    <cellStyle name="표준 5 2 2 3 2 9 6" xfId="25896" xr:uid="{00000000-0005-0000-0000-000069330000}"/>
    <cellStyle name="표준 5 2 2 3 2 9 7" xfId="34107" xr:uid="{00000000-0005-0000-0000-00006A330000}"/>
    <cellStyle name="표준 5 2 2 3 2 9 8" xfId="42300" xr:uid="{00000000-0005-0000-0000-00006B330000}"/>
    <cellStyle name="표준 5 2 2 3 20" xfId="15446" xr:uid="{00000000-0005-0000-0000-00006C330000}"/>
    <cellStyle name="표준 5 2 2 3 21" xfId="15462" xr:uid="{00000000-0005-0000-0000-00006D330000}"/>
    <cellStyle name="표준 5 2 2 3 22" xfId="15558" xr:uid="{00000000-0005-0000-0000-00006E330000}"/>
    <cellStyle name="표준 5 2 2 3 23" xfId="15574" xr:uid="{00000000-0005-0000-0000-00006F330000}"/>
    <cellStyle name="표준 5 2 2 3 24" xfId="19670" xr:uid="{00000000-0005-0000-0000-000070330000}"/>
    <cellStyle name="표준 5 2 2 3 25" xfId="19686" xr:uid="{00000000-0005-0000-0000-000071330000}"/>
    <cellStyle name="표준 5 2 2 3 26" xfId="19702" xr:uid="{00000000-0005-0000-0000-000072330000}"/>
    <cellStyle name="표준 5 2 2 3 27" xfId="19718" xr:uid="{00000000-0005-0000-0000-000073330000}"/>
    <cellStyle name="표준 5 2 2 3 28" xfId="19729" xr:uid="{00000000-0005-0000-0000-000074330000}"/>
    <cellStyle name="표준 5 2 2 3 29" xfId="23832" xr:uid="{00000000-0005-0000-0000-000075330000}"/>
    <cellStyle name="표준 5 2 2 3 3" xfId="294" xr:uid="{00000000-0005-0000-0000-000076330000}"/>
    <cellStyle name="표준 5 2 2 3 3 10" xfId="7167" xr:uid="{00000000-0005-0000-0000-000077330000}"/>
    <cellStyle name="표준 5 2 2 3 3 11" xfId="7254" xr:uid="{00000000-0005-0000-0000-000078330000}"/>
    <cellStyle name="표준 5 2 2 3 3 12" xfId="11366" xr:uid="{00000000-0005-0000-0000-000079330000}"/>
    <cellStyle name="표준 5 2 2 3 3 13" xfId="15494" xr:uid="{00000000-0005-0000-0000-00007A330000}"/>
    <cellStyle name="표준 5 2 2 3 3 14" xfId="15606" xr:uid="{00000000-0005-0000-0000-00007B330000}"/>
    <cellStyle name="표준 5 2 2 3 3 15" xfId="19768" xr:uid="{00000000-0005-0000-0000-00007C330000}"/>
    <cellStyle name="표준 5 2 2 3 3 16" xfId="23864" xr:uid="{00000000-0005-0000-0000-00007D330000}"/>
    <cellStyle name="표준 5 2 2 3 3 17" xfId="32075" xr:uid="{00000000-0005-0000-0000-00007E330000}"/>
    <cellStyle name="표준 5 2 2 3 3 18" xfId="40268" xr:uid="{00000000-0005-0000-0000-00007F330000}"/>
    <cellStyle name="표준 5 2 2 3 3 19" xfId="49698" xr:uid="{00000000-0005-0000-0000-000080330000}"/>
    <cellStyle name="표준 5 2 2 3 3 2" xfId="463" xr:uid="{00000000-0005-0000-0000-000081330000}"/>
    <cellStyle name="표준 5 2 2 3 3 2 10" xfId="11430" xr:uid="{00000000-0005-0000-0000-000082330000}"/>
    <cellStyle name="표준 5 2 2 3 3 2 11" xfId="15542" xr:uid="{00000000-0005-0000-0000-000083330000}"/>
    <cellStyle name="표준 5 2 2 3 3 2 12" xfId="15670" xr:uid="{00000000-0005-0000-0000-000084330000}"/>
    <cellStyle name="표준 5 2 2 3 3 2 13" xfId="19832" xr:uid="{00000000-0005-0000-0000-000085330000}"/>
    <cellStyle name="표준 5 2 2 3 3 2 14" xfId="23928" xr:uid="{00000000-0005-0000-0000-000086330000}"/>
    <cellStyle name="표준 5 2 2 3 3 2 15" xfId="32139" xr:uid="{00000000-0005-0000-0000-000087330000}"/>
    <cellStyle name="표준 5 2 2 3 3 2 16" xfId="40332" xr:uid="{00000000-0005-0000-0000-000088330000}"/>
    <cellStyle name="표준 5 2 2 3 3 2 2" xfId="591" xr:uid="{00000000-0005-0000-0000-000089330000}"/>
    <cellStyle name="표준 5 2 2 3 3 2 2 10" xfId="19960" xr:uid="{00000000-0005-0000-0000-00008A330000}"/>
    <cellStyle name="표준 5 2 2 3 3 2 2 11" xfId="24056" xr:uid="{00000000-0005-0000-0000-00008B330000}"/>
    <cellStyle name="표준 5 2 2 3 3 2 2 12" xfId="32267" xr:uid="{00000000-0005-0000-0000-00008C330000}"/>
    <cellStyle name="표준 5 2 2 3 3 2 2 13" xfId="40460" xr:uid="{00000000-0005-0000-0000-00008D330000}"/>
    <cellStyle name="표준 5 2 2 3 3 2 2 2" xfId="847" xr:uid="{00000000-0005-0000-0000-00008E330000}"/>
    <cellStyle name="표준 5 2 2 3 3 2 2 2 10" xfId="24312" xr:uid="{00000000-0005-0000-0000-00008F330000}"/>
    <cellStyle name="표준 5 2 2 3 3 2 2 2 11" xfId="32523" xr:uid="{00000000-0005-0000-0000-000090330000}"/>
    <cellStyle name="표준 5 2 2 3 3 2 2 2 12" xfId="40716" xr:uid="{00000000-0005-0000-0000-000091330000}"/>
    <cellStyle name="표준 5 2 2 3 3 2 2 2 2" xfId="1359" xr:uid="{00000000-0005-0000-0000-000092330000}"/>
    <cellStyle name="표준 5 2 2 3 3 2 2 2 2 2" xfId="10262" xr:uid="{00000000-0005-0000-0000-000093330000}"/>
    <cellStyle name="표준 5 2 2 3 3 2 2 2 2 2 2" xfId="14374" xr:uid="{00000000-0005-0000-0000-000094330000}"/>
    <cellStyle name="표준 5 2 2 3 3 2 2 2 2 2 2 2" xfId="30968" xr:uid="{00000000-0005-0000-0000-000095330000}"/>
    <cellStyle name="표준 5 2 2 3 3 2 2 2 2 2 2 3" xfId="39179" xr:uid="{00000000-0005-0000-0000-000096330000}"/>
    <cellStyle name="표준 5 2 2 3 3 2 2 2 2 2 2 4" xfId="47372" xr:uid="{00000000-0005-0000-0000-000097330000}"/>
    <cellStyle name="표준 5 2 2 3 3 2 2 2 2 2 3" xfId="18614" xr:uid="{00000000-0005-0000-0000-000098330000}"/>
    <cellStyle name="표준 5 2 2 3 3 2 2 2 2 2 4" xfId="22776" xr:uid="{00000000-0005-0000-0000-000099330000}"/>
    <cellStyle name="표준 5 2 2 3 3 2 2 2 2 2 5" xfId="26872" xr:uid="{00000000-0005-0000-0000-00009A330000}"/>
    <cellStyle name="표준 5 2 2 3 3 2 2 2 2 2 6" xfId="35083" xr:uid="{00000000-0005-0000-0000-00009B330000}"/>
    <cellStyle name="표준 5 2 2 3 3 2 2 2 2 2 7" xfId="43276" xr:uid="{00000000-0005-0000-0000-00009C330000}"/>
    <cellStyle name="표준 5 2 2 3 3 2 2 2 2 3" xfId="8214" xr:uid="{00000000-0005-0000-0000-00009D330000}"/>
    <cellStyle name="표준 5 2 2 3 3 2 2 2 2 3 2" xfId="28920" xr:uid="{00000000-0005-0000-0000-00009E330000}"/>
    <cellStyle name="표준 5 2 2 3 3 2 2 2 2 3 3" xfId="37131" xr:uid="{00000000-0005-0000-0000-00009F330000}"/>
    <cellStyle name="표준 5 2 2 3 3 2 2 2 2 3 4" xfId="45324" xr:uid="{00000000-0005-0000-0000-0000A0330000}"/>
    <cellStyle name="표준 5 2 2 3 3 2 2 2 2 4" xfId="12326" xr:uid="{00000000-0005-0000-0000-0000A1330000}"/>
    <cellStyle name="표준 5 2 2 3 3 2 2 2 2 5" xfId="16566" xr:uid="{00000000-0005-0000-0000-0000A2330000}"/>
    <cellStyle name="표준 5 2 2 3 3 2 2 2 2 6" xfId="20728" xr:uid="{00000000-0005-0000-0000-0000A3330000}"/>
    <cellStyle name="표준 5 2 2 3 3 2 2 2 2 7" xfId="24824" xr:uid="{00000000-0005-0000-0000-0000A4330000}"/>
    <cellStyle name="표준 5 2 2 3 3 2 2 2 2 8" xfId="33035" xr:uid="{00000000-0005-0000-0000-0000A5330000}"/>
    <cellStyle name="표준 5 2 2 3 3 2 2 2 2 9" xfId="41228" xr:uid="{00000000-0005-0000-0000-0000A6330000}"/>
    <cellStyle name="표준 5 2 2 3 3 2 2 2 3" xfId="1871" xr:uid="{00000000-0005-0000-0000-0000A7330000}"/>
    <cellStyle name="표준 5 2 2 3 3 2 2 2 3 2" xfId="10774" xr:uid="{00000000-0005-0000-0000-0000A8330000}"/>
    <cellStyle name="표준 5 2 2 3 3 2 2 2 3 2 2" xfId="14886" xr:uid="{00000000-0005-0000-0000-0000A9330000}"/>
    <cellStyle name="표준 5 2 2 3 3 2 2 2 3 2 2 2" xfId="31480" xr:uid="{00000000-0005-0000-0000-0000AA330000}"/>
    <cellStyle name="표준 5 2 2 3 3 2 2 2 3 2 2 3" xfId="39691" xr:uid="{00000000-0005-0000-0000-0000AB330000}"/>
    <cellStyle name="표준 5 2 2 3 3 2 2 2 3 2 2 4" xfId="47884" xr:uid="{00000000-0005-0000-0000-0000AC330000}"/>
    <cellStyle name="표준 5 2 2 3 3 2 2 2 3 2 3" xfId="19126" xr:uid="{00000000-0005-0000-0000-0000AD330000}"/>
    <cellStyle name="표준 5 2 2 3 3 2 2 2 3 2 4" xfId="23288" xr:uid="{00000000-0005-0000-0000-0000AE330000}"/>
    <cellStyle name="표준 5 2 2 3 3 2 2 2 3 2 5" xfId="27384" xr:uid="{00000000-0005-0000-0000-0000AF330000}"/>
    <cellStyle name="표준 5 2 2 3 3 2 2 2 3 2 6" xfId="35595" xr:uid="{00000000-0005-0000-0000-0000B0330000}"/>
    <cellStyle name="표준 5 2 2 3 3 2 2 2 3 2 7" xfId="43788" xr:uid="{00000000-0005-0000-0000-0000B1330000}"/>
    <cellStyle name="표준 5 2 2 3 3 2 2 2 3 3" xfId="8726" xr:uid="{00000000-0005-0000-0000-0000B2330000}"/>
    <cellStyle name="표준 5 2 2 3 3 2 2 2 3 3 2" xfId="29432" xr:uid="{00000000-0005-0000-0000-0000B3330000}"/>
    <cellStyle name="표준 5 2 2 3 3 2 2 2 3 3 3" xfId="37643" xr:uid="{00000000-0005-0000-0000-0000B4330000}"/>
    <cellStyle name="표준 5 2 2 3 3 2 2 2 3 3 4" xfId="45836" xr:uid="{00000000-0005-0000-0000-0000B5330000}"/>
    <cellStyle name="표준 5 2 2 3 3 2 2 2 3 4" xfId="12838" xr:uid="{00000000-0005-0000-0000-0000B6330000}"/>
    <cellStyle name="표준 5 2 2 3 3 2 2 2 3 5" xfId="17078" xr:uid="{00000000-0005-0000-0000-0000B7330000}"/>
    <cellStyle name="표준 5 2 2 3 3 2 2 2 3 6" xfId="21240" xr:uid="{00000000-0005-0000-0000-0000B8330000}"/>
    <cellStyle name="표준 5 2 2 3 3 2 2 2 3 7" xfId="25336" xr:uid="{00000000-0005-0000-0000-0000B9330000}"/>
    <cellStyle name="표준 5 2 2 3 3 2 2 2 3 8" xfId="33547" xr:uid="{00000000-0005-0000-0000-0000BA330000}"/>
    <cellStyle name="표준 5 2 2 3 3 2 2 2 3 9" xfId="41740" xr:uid="{00000000-0005-0000-0000-0000BB330000}"/>
    <cellStyle name="표준 5 2 2 3 3 2 2 2 4" xfId="2383" xr:uid="{00000000-0005-0000-0000-0000BC330000}"/>
    <cellStyle name="표준 5 2 2 3 3 2 2 2 4 2" xfId="11286" xr:uid="{00000000-0005-0000-0000-0000BD330000}"/>
    <cellStyle name="표준 5 2 2 3 3 2 2 2 4 2 2" xfId="15398" xr:uid="{00000000-0005-0000-0000-0000BE330000}"/>
    <cellStyle name="표준 5 2 2 3 3 2 2 2 4 2 2 2" xfId="31992" xr:uid="{00000000-0005-0000-0000-0000BF330000}"/>
    <cellStyle name="표준 5 2 2 3 3 2 2 2 4 2 2 3" xfId="40203" xr:uid="{00000000-0005-0000-0000-0000C0330000}"/>
    <cellStyle name="표준 5 2 2 3 3 2 2 2 4 2 2 4" xfId="48396" xr:uid="{00000000-0005-0000-0000-0000C1330000}"/>
    <cellStyle name="표준 5 2 2 3 3 2 2 2 4 2 3" xfId="19638" xr:uid="{00000000-0005-0000-0000-0000C2330000}"/>
    <cellStyle name="표준 5 2 2 3 3 2 2 2 4 2 4" xfId="23800" xr:uid="{00000000-0005-0000-0000-0000C3330000}"/>
    <cellStyle name="표준 5 2 2 3 3 2 2 2 4 2 5" xfId="27896" xr:uid="{00000000-0005-0000-0000-0000C4330000}"/>
    <cellStyle name="표준 5 2 2 3 3 2 2 2 4 2 6" xfId="36107" xr:uid="{00000000-0005-0000-0000-0000C5330000}"/>
    <cellStyle name="표준 5 2 2 3 3 2 2 2 4 2 7" xfId="44300" xr:uid="{00000000-0005-0000-0000-0000C6330000}"/>
    <cellStyle name="표준 5 2 2 3 3 2 2 2 4 3" xfId="9238" xr:uid="{00000000-0005-0000-0000-0000C7330000}"/>
    <cellStyle name="표준 5 2 2 3 3 2 2 2 4 3 2" xfId="29944" xr:uid="{00000000-0005-0000-0000-0000C8330000}"/>
    <cellStyle name="표준 5 2 2 3 3 2 2 2 4 3 3" xfId="38155" xr:uid="{00000000-0005-0000-0000-0000C9330000}"/>
    <cellStyle name="표준 5 2 2 3 3 2 2 2 4 3 4" xfId="46348" xr:uid="{00000000-0005-0000-0000-0000CA330000}"/>
    <cellStyle name="표준 5 2 2 3 3 2 2 2 4 4" xfId="13350" xr:uid="{00000000-0005-0000-0000-0000CB330000}"/>
    <cellStyle name="표준 5 2 2 3 3 2 2 2 4 5" xfId="17590" xr:uid="{00000000-0005-0000-0000-0000CC330000}"/>
    <cellStyle name="표준 5 2 2 3 3 2 2 2 4 6" xfId="21752" xr:uid="{00000000-0005-0000-0000-0000CD330000}"/>
    <cellStyle name="표준 5 2 2 3 3 2 2 2 4 7" xfId="25848" xr:uid="{00000000-0005-0000-0000-0000CE330000}"/>
    <cellStyle name="표준 5 2 2 3 3 2 2 2 4 8" xfId="34059" xr:uid="{00000000-0005-0000-0000-0000CF330000}"/>
    <cellStyle name="표준 5 2 2 3 3 2 2 2 4 9" xfId="42252" xr:uid="{00000000-0005-0000-0000-0000D0330000}"/>
    <cellStyle name="표준 5 2 2 3 3 2 2 2 5" xfId="9750" xr:uid="{00000000-0005-0000-0000-0000D1330000}"/>
    <cellStyle name="표준 5 2 2 3 3 2 2 2 5 2" xfId="13862" xr:uid="{00000000-0005-0000-0000-0000D2330000}"/>
    <cellStyle name="표준 5 2 2 3 3 2 2 2 5 2 2" xfId="30456" xr:uid="{00000000-0005-0000-0000-0000D3330000}"/>
    <cellStyle name="표준 5 2 2 3 3 2 2 2 5 2 3" xfId="38667" xr:uid="{00000000-0005-0000-0000-0000D4330000}"/>
    <cellStyle name="표준 5 2 2 3 3 2 2 2 5 2 4" xfId="46860" xr:uid="{00000000-0005-0000-0000-0000D5330000}"/>
    <cellStyle name="표준 5 2 2 3 3 2 2 2 5 3" xfId="18102" xr:uid="{00000000-0005-0000-0000-0000D6330000}"/>
    <cellStyle name="표준 5 2 2 3 3 2 2 2 5 4" xfId="22264" xr:uid="{00000000-0005-0000-0000-0000D7330000}"/>
    <cellStyle name="표준 5 2 2 3 3 2 2 2 5 5" xfId="26360" xr:uid="{00000000-0005-0000-0000-0000D8330000}"/>
    <cellStyle name="표준 5 2 2 3 3 2 2 2 5 6" xfId="34571" xr:uid="{00000000-0005-0000-0000-0000D9330000}"/>
    <cellStyle name="표준 5 2 2 3 3 2 2 2 5 7" xfId="42764" xr:uid="{00000000-0005-0000-0000-0000DA330000}"/>
    <cellStyle name="표준 5 2 2 3 3 2 2 2 6" xfId="7702" xr:uid="{00000000-0005-0000-0000-0000DB330000}"/>
    <cellStyle name="표준 5 2 2 3 3 2 2 2 6 2" xfId="28408" xr:uid="{00000000-0005-0000-0000-0000DC330000}"/>
    <cellStyle name="표준 5 2 2 3 3 2 2 2 6 3" xfId="36619" xr:uid="{00000000-0005-0000-0000-0000DD330000}"/>
    <cellStyle name="표준 5 2 2 3 3 2 2 2 6 4" xfId="44812" xr:uid="{00000000-0005-0000-0000-0000DE330000}"/>
    <cellStyle name="표준 5 2 2 3 3 2 2 2 7" xfId="11814" xr:uid="{00000000-0005-0000-0000-0000DF330000}"/>
    <cellStyle name="표준 5 2 2 3 3 2 2 2 8" xfId="16054" xr:uid="{00000000-0005-0000-0000-0000E0330000}"/>
    <cellStyle name="표준 5 2 2 3 3 2 2 2 9" xfId="20216" xr:uid="{00000000-0005-0000-0000-0000E1330000}"/>
    <cellStyle name="표준 5 2 2 3 3 2 2 3" xfId="1103" xr:uid="{00000000-0005-0000-0000-0000E2330000}"/>
    <cellStyle name="표준 5 2 2 3 3 2 2 3 2" xfId="10006" xr:uid="{00000000-0005-0000-0000-0000E3330000}"/>
    <cellStyle name="표준 5 2 2 3 3 2 2 3 2 2" xfId="14118" xr:uid="{00000000-0005-0000-0000-0000E4330000}"/>
    <cellStyle name="표준 5 2 2 3 3 2 2 3 2 2 2" xfId="30712" xr:uid="{00000000-0005-0000-0000-0000E5330000}"/>
    <cellStyle name="표준 5 2 2 3 3 2 2 3 2 2 3" xfId="38923" xr:uid="{00000000-0005-0000-0000-0000E6330000}"/>
    <cellStyle name="표준 5 2 2 3 3 2 2 3 2 2 4" xfId="47116" xr:uid="{00000000-0005-0000-0000-0000E7330000}"/>
    <cellStyle name="표준 5 2 2 3 3 2 2 3 2 3" xfId="18358" xr:uid="{00000000-0005-0000-0000-0000E8330000}"/>
    <cellStyle name="표준 5 2 2 3 3 2 2 3 2 4" xfId="22520" xr:uid="{00000000-0005-0000-0000-0000E9330000}"/>
    <cellStyle name="표준 5 2 2 3 3 2 2 3 2 5" xfId="26616" xr:uid="{00000000-0005-0000-0000-0000EA330000}"/>
    <cellStyle name="표준 5 2 2 3 3 2 2 3 2 6" xfId="34827" xr:uid="{00000000-0005-0000-0000-0000EB330000}"/>
    <cellStyle name="표준 5 2 2 3 3 2 2 3 2 7" xfId="43020" xr:uid="{00000000-0005-0000-0000-0000EC330000}"/>
    <cellStyle name="표준 5 2 2 3 3 2 2 3 3" xfId="7958" xr:uid="{00000000-0005-0000-0000-0000ED330000}"/>
    <cellStyle name="표준 5 2 2 3 3 2 2 3 3 2" xfId="28664" xr:uid="{00000000-0005-0000-0000-0000EE330000}"/>
    <cellStyle name="표준 5 2 2 3 3 2 2 3 3 3" xfId="36875" xr:uid="{00000000-0005-0000-0000-0000EF330000}"/>
    <cellStyle name="표준 5 2 2 3 3 2 2 3 3 4" xfId="45068" xr:uid="{00000000-0005-0000-0000-0000F0330000}"/>
    <cellStyle name="표준 5 2 2 3 3 2 2 3 4" xfId="12070" xr:uid="{00000000-0005-0000-0000-0000F1330000}"/>
    <cellStyle name="표준 5 2 2 3 3 2 2 3 5" xfId="16310" xr:uid="{00000000-0005-0000-0000-0000F2330000}"/>
    <cellStyle name="표준 5 2 2 3 3 2 2 3 6" xfId="20472" xr:uid="{00000000-0005-0000-0000-0000F3330000}"/>
    <cellStyle name="표준 5 2 2 3 3 2 2 3 7" xfId="24568" xr:uid="{00000000-0005-0000-0000-0000F4330000}"/>
    <cellStyle name="표준 5 2 2 3 3 2 2 3 8" xfId="32779" xr:uid="{00000000-0005-0000-0000-0000F5330000}"/>
    <cellStyle name="표준 5 2 2 3 3 2 2 3 9" xfId="40972" xr:uid="{00000000-0005-0000-0000-0000F6330000}"/>
    <cellStyle name="표준 5 2 2 3 3 2 2 4" xfId="1615" xr:uid="{00000000-0005-0000-0000-0000F7330000}"/>
    <cellStyle name="표준 5 2 2 3 3 2 2 4 2" xfId="10518" xr:uid="{00000000-0005-0000-0000-0000F8330000}"/>
    <cellStyle name="표준 5 2 2 3 3 2 2 4 2 2" xfId="14630" xr:uid="{00000000-0005-0000-0000-0000F9330000}"/>
    <cellStyle name="표준 5 2 2 3 3 2 2 4 2 2 2" xfId="31224" xr:uid="{00000000-0005-0000-0000-0000FA330000}"/>
    <cellStyle name="표준 5 2 2 3 3 2 2 4 2 2 3" xfId="39435" xr:uid="{00000000-0005-0000-0000-0000FB330000}"/>
    <cellStyle name="표준 5 2 2 3 3 2 2 4 2 2 4" xfId="47628" xr:uid="{00000000-0005-0000-0000-0000FC330000}"/>
    <cellStyle name="표준 5 2 2 3 3 2 2 4 2 3" xfId="18870" xr:uid="{00000000-0005-0000-0000-0000FD330000}"/>
    <cellStyle name="표준 5 2 2 3 3 2 2 4 2 4" xfId="23032" xr:uid="{00000000-0005-0000-0000-0000FE330000}"/>
    <cellStyle name="표준 5 2 2 3 3 2 2 4 2 5" xfId="27128" xr:uid="{00000000-0005-0000-0000-0000FF330000}"/>
    <cellStyle name="표준 5 2 2 3 3 2 2 4 2 6" xfId="35339" xr:uid="{00000000-0005-0000-0000-000000340000}"/>
    <cellStyle name="표준 5 2 2 3 3 2 2 4 2 7" xfId="43532" xr:uid="{00000000-0005-0000-0000-000001340000}"/>
    <cellStyle name="표준 5 2 2 3 3 2 2 4 3" xfId="8470" xr:uid="{00000000-0005-0000-0000-000002340000}"/>
    <cellStyle name="표준 5 2 2 3 3 2 2 4 3 2" xfId="29176" xr:uid="{00000000-0005-0000-0000-000003340000}"/>
    <cellStyle name="표준 5 2 2 3 3 2 2 4 3 3" xfId="37387" xr:uid="{00000000-0005-0000-0000-000004340000}"/>
    <cellStyle name="표준 5 2 2 3 3 2 2 4 3 4" xfId="45580" xr:uid="{00000000-0005-0000-0000-000005340000}"/>
    <cellStyle name="표준 5 2 2 3 3 2 2 4 4" xfId="12582" xr:uid="{00000000-0005-0000-0000-000006340000}"/>
    <cellStyle name="표준 5 2 2 3 3 2 2 4 5" xfId="16822" xr:uid="{00000000-0005-0000-0000-000007340000}"/>
    <cellStyle name="표준 5 2 2 3 3 2 2 4 6" xfId="20984" xr:uid="{00000000-0005-0000-0000-000008340000}"/>
    <cellStyle name="표준 5 2 2 3 3 2 2 4 7" xfId="25080" xr:uid="{00000000-0005-0000-0000-000009340000}"/>
    <cellStyle name="표준 5 2 2 3 3 2 2 4 8" xfId="33291" xr:uid="{00000000-0005-0000-0000-00000A340000}"/>
    <cellStyle name="표준 5 2 2 3 3 2 2 4 9" xfId="41484" xr:uid="{00000000-0005-0000-0000-00000B340000}"/>
    <cellStyle name="표준 5 2 2 3 3 2 2 5" xfId="2127" xr:uid="{00000000-0005-0000-0000-00000C340000}"/>
    <cellStyle name="표준 5 2 2 3 3 2 2 5 2" xfId="11030" xr:uid="{00000000-0005-0000-0000-00000D340000}"/>
    <cellStyle name="표준 5 2 2 3 3 2 2 5 2 2" xfId="15142" xr:uid="{00000000-0005-0000-0000-00000E340000}"/>
    <cellStyle name="표준 5 2 2 3 3 2 2 5 2 2 2" xfId="31736" xr:uid="{00000000-0005-0000-0000-00000F340000}"/>
    <cellStyle name="표준 5 2 2 3 3 2 2 5 2 2 3" xfId="39947" xr:uid="{00000000-0005-0000-0000-000010340000}"/>
    <cellStyle name="표준 5 2 2 3 3 2 2 5 2 2 4" xfId="48140" xr:uid="{00000000-0005-0000-0000-000011340000}"/>
    <cellStyle name="표준 5 2 2 3 3 2 2 5 2 3" xfId="19382" xr:uid="{00000000-0005-0000-0000-000012340000}"/>
    <cellStyle name="표준 5 2 2 3 3 2 2 5 2 4" xfId="23544" xr:uid="{00000000-0005-0000-0000-000013340000}"/>
    <cellStyle name="표준 5 2 2 3 3 2 2 5 2 5" xfId="27640" xr:uid="{00000000-0005-0000-0000-000014340000}"/>
    <cellStyle name="표준 5 2 2 3 3 2 2 5 2 6" xfId="35851" xr:uid="{00000000-0005-0000-0000-000015340000}"/>
    <cellStyle name="표준 5 2 2 3 3 2 2 5 2 7" xfId="44044" xr:uid="{00000000-0005-0000-0000-000016340000}"/>
    <cellStyle name="표준 5 2 2 3 3 2 2 5 3" xfId="8982" xr:uid="{00000000-0005-0000-0000-000017340000}"/>
    <cellStyle name="표준 5 2 2 3 3 2 2 5 3 2" xfId="29688" xr:uid="{00000000-0005-0000-0000-000018340000}"/>
    <cellStyle name="표준 5 2 2 3 3 2 2 5 3 3" xfId="37899" xr:uid="{00000000-0005-0000-0000-000019340000}"/>
    <cellStyle name="표준 5 2 2 3 3 2 2 5 3 4" xfId="46092" xr:uid="{00000000-0005-0000-0000-00001A340000}"/>
    <cellStyle name="표준 5 2 2 3 3 2 2 5 4" xfId="13094" xr:uid="{00000000-0005-0000-0000-00001B340000}"/>
    <cellStyle name="표준 5 2 2 3 3 2 2 5 5" xfId="17334" xr:uid="{00000000-0005-0000-0000-00001C340000}"/>
    <cellStyle name="표준 5 2 2 3 3 2 2 5 6" xfId="21496" xr:uid="{00000000-0005-0000-0000-00001D340000}"/>
    <cellStyle name="표준 5 2 2 3 3 2 2 5 7" xfId="25592" xr:uid="{00000000-0005-0000-0000-00001E340000}"/>
    <cellStyle name="표준 5 2 2 3 3 2 2 5 8" xfId="33803" xr:uid="{00000000-0005-0000-0000-00001F340000}"/>
    <cellStyle name="표준 5 2 2 3 3 2 2 5 9" xfId="41996" xr:uid="{00000000-0005-0000-0000-000020340000}"/>
    <cellStyle name="표준 5 2 2 3 3 2 2 6" xfId="9494" xr:uid="{00000000-0005-0000-0000-000021340000}"/>
    <cellStyle name="표준 5 2 2 3 3 2 2 6 2" xfId="13606" xr:uid="{00000000-0005-0000-0000-000022340000}"/>
    <cellStyle name="표준 5 2 2 3 3 2 2 6 2 2" xfId="30200" xr:uid="{00000000-0005-0000-0000-000023340000}"/>
    <cellStyle name="표준 5 2 2 3 3 2 2 6 2 3" xfId="38411" xr:uid="{00000000-0005-0000-0000-000024340000}"/>
    <cellStyle name="표준 5 2 2 3 3 2 2 6 2 4" xfId="46604" xr:uid="{00000000-0005-0000-0000-000025340000}"/>
    <cellStyle name="표준 5 2 2 3 3 2 2 6 3" xfId="17846" xr:uid="{00000000-0005-0000-0000-000026340000}"/>
    <cellStyle name="표준 5 2 2 3 3 2 2 6 4" xfId="22008" xr:uid="{00000000-0005-0000-0000-000027340000}"/>
    <cellStyle name="표준 5 2 2 3 3 2 2 6 5" xfId="26104" xr:uid="{00000000-0005-0000-0000-000028340000}"/>
    <cellStyle name="표준 5 2 2 3 3 2 2 6 6" xfId="34315" xr:uid="{00000000-0005-0000-0000-000029340000}"/>
    <cellStyle name="표준 5 2 2 3 3 2 2 6 7" xfId="42508" xr:uid="{00000000-0005-0000-0000-00002A340000}"/>
    <cellStyle name="표준 5 2 2 3 3 2 2 7" xfId="7446" xr:uid="{00000000-0005-0000-0000-00002B340000}"/>
    <cellStyle name="표준 5 2 2 3 3 2 2 7 2" xfId="28152" xr:uid="{00000000-0005-0000-0000-00002C340000}"/>
    <cellStyle name="표준 5 2 2 3 3 2 2 7 3" xfId="36363" xr:uid="{00000000-0005-0000-0000-00002D340000}"/>
    <cellStyle name="표준 5 2 2 3 3 2 2 7 4" xfId="44556" xr:uid="{00000000-0005-0000-0000-00002E340000}"/>
    <cellStyle name="표준 5 2 2 3 3 2 2 8" xfId="11558" xr:uid="{00000000-0005-0000-0000-00002F340000}"/>
    <cellStyle name="표준 5 2 2 3 3 2 2 9" xfId="15798" xr:uid="{00000000-0005-0000-0000-000030340000}"/>
    <cellStyle name="표준 5 2 2 3 3 2 3" xfId="719" xr:uid="{00000000-0005-0000-0000-000031340000}"/>
    <cellStyle name="표준 5 2 2 3 3 2 3 10" xfId="24184" xr:uid="{00000000-0005-0000-0000-000032340000}"/>
    <cellStyle name="표준 5 2 2 3 3 2 3 11" xfId="32395" xr:uid="{00000000-0005-0000-0000-000033340000}"/>
    <cellStyle name="표준 5 2 2 3 3 2 3 12" xfId="40588" xr:uid="{00000000-0005-0000-0000-000034340000}"/>
    <cellStyle name="표준 5 2 2 3 3 2 3 2" xfId="1231" xr:uid="{00000000-0005-0000-0000-000035340000}"/>
    <cellStyle name="표준 5 2 2 3 3 2 3 2 2" xfId="10134" xr:uid="{00000000-0005-0000-0000-000036340000}"/>
    <cellStyle name="표준 5 2 2 3 3 2 3 2 2 2" xfId="14246" xr:uid="{00000000-0005-0000-0000-000037340000}"/>
    <cellStyle name="표준 5 2 2 3 3 2 3 2 2 2 2" xfId="30840" xr:uid="{00000000-0005-0000-0000-000038340000}"/>
    <cellStyle name="표준 5 2 2 3 3 2 3 2 2 2 3" xfId="39051" xr:uid="{00000000-0005-0000-0000-000039340000}"/>
    <cellStyle name="표준 5 2 2 3 3 2 3 2 2 2 4" xfId="47244" xr:uid="{00000000-0005-0000-0000-00003A340000}"/>
    <cellStyle name="표준 5 2 2 3 3 2 3 2 2 3" xfId="18486" xr:uid="{00000000-0005-0000-0000-00003B340000}"/>
    <cellStyle name="표준 5 2 2 3 3 2 3 2 2 4" xfId="22648" xr:uid="{00000000-0005-0000-0000-00003C340000}"/>
    <cellStyle name="표준 5 2 2 3 3 2 3 2 2 5" xfId="26744" xr:uid="{00000000-0005-0000-0000-00003D340000}"/>
    <cellStyle name="표준 5 2 2 3 3 2 3 2 2 6" xfId="34955" xr:uid="{00000000-0005-0000-0000-00003E340000}"/>
    <cellStyle name="표준 5 2 2 3 3 2 3 2 2 7" xfId="43148" xr:uid="{00000000-0005-0000-0000-00003F340000}"/>
    <cellStyle name="표준 5 2 2 3 3 2 3 2 3" xfId="8086" xr:uid="{00000000-0005-0000-0000-000040340000}"/>
    <cellStyle name="표준 5 2 2 3 3 2 3 2 3 2" xfId="28792" xr:uid="{00000000-0005-0000-0000-000041340000}"/>
    <cellStyle name="표준 5 2 2 3 3 2 3 2 3 3" xfId="37003" xr:uid="{00000000-0005-0000-0000-000042340000}"/>
    <cellStyle name="표준 5 2 2 3 3 2 3 2 3 4" xfId="45196" xr:uid="{00000000-0005-0000-0000-000043340000}"/>
    <cellStyle name="표준 5 2 2 3 3 2 3 2 4" xfId="12198" xr:uid="{00000000-0005-0000-0000-000044340000}"/>
    <cellStyle name="표준 5 2 2 3 3 2 3 2 5" xfId="16438" xr:uid="{00000000-0005-0000-0000-000045340000}"/>
    <cellStyle name="표준 5 2 2 3 3 2 3 2 6" xfId="20600" xr:uid="{00000000-0005-0000-0000-000046340000}"/>
    <cellStyle name="표준 5 2 2 3 3 2 3 2 7" xfId="24696" xr:uid="{00000000-0005-0000-0000-000047340000}"/>
    <cellStyle name="표준 5 2 2 3 3 2 3 2 8" xfId="32907" xr:uid="{00000000-0005-0000-0000-000048340000}"/>
    <cellStyle name="표준 5 2 2 3 3 2 3 2 9" xfId="41100" xr:uid="{00000000-0005-0000-0000-000049340000}"/>
    <cellStyle name="표준 5 2 2 3 3 2 3 3" xfId="1743" xr:uid="{00000000-0005-0000-0000-00004A340000}"/>
    <cellStyle name="표준 5 2 2 3 3 2 3 3 2" xfId="10646" xr:uid="{00000000-0005-0000-0000-00004B340000}"/>
    <cellStyle name="표준 5 2 2 3 3 2 3 3 2 2" xfId="14758" xr:uid="{00000000-0005-0000-0000-00004C340000}"/>
    <cellStyle name="표준 5 2 2 3 3 2 3 3 2 2 2" xfId="31352" xr:uid="{00000000-0005-0000-0000-00004D340000}"/>
    <cellStyle name="표준 5 2 2 3 3 2 3 3 2 2 3" xfId="39563" xr:uid="{00000000-0005-0000-0000-00004E340000}"/>
    <cellStyle name="표준 5 2 2 3 3 2 3 3 2 2 4" xfId="47756" xr:uid="{00000000-0005-0000-0000-00004F340000}"/>
    <cellStyle name="표준 5 2 2 3 3 2 3 3 2 3" xfId="18998" xr:uid="{00000000-0005-0000-0000-000050340000}"/>
    <cellStyle name="표준 5 2 2 3 3 2 3 3 2 4" xfId="23160" xr:uid="{00000000-0005-0000-0000-000051340000}"/>
    <cellStyle name="표준 5 2 2 3 3 2 3 3 2 5" xfId="27256" xr:uid="{00000000-0005-0000-0000-000052340000}"/>
    <cellStyle name="표준 5 2 2 3 3 2 3 3 2 6" xfId="35467" xr:uid="{00000000-0005-0000-0000-000053340000}"/>
    <cellStyle name="표준 5 2 2 3 3 2 3 3 2 7" xfId="43660" xr:uid="{00000000-0005-0000-0000-000054340000}"/>
    <cellStyle name="표준 5 2 2 3 3 2 3 3 3" xfId="8598" xr:uid="{00000000-0005-0000-0000-000055340000}"/>
    <cellStyle name="표준 5 2 2 3 3 2 3 3 3 2" xfId="29304" xr:uid="{00000000-0005-0000-0000-000056340000}"/>
    <cellStyle name="표준 5 2 2 3 3 2 3 3 3 3" xfId="37515" xr:uid="{00000000-0005-0000-0000-000057340000}"/>
    <cellStyle name="표준 5 2 2 3 3 2 3 3 3 4" xfId="45708" xr:uid="{00000000-0005-0000-0000-000058340000}"/>
    <cellStyle name="표준 5 2 2 3 3 2 3 3 4" xfId="12710" xr:uid="{00000000-0005-0000-0000-000059340000}"/>
    <cellStyle name="표준 5 2 2 3 3 2 3 3 5" xfId="16950" xr:uid="{00000000-0005-0000-0000-00005A340000}"/>
    <cellStyle name="표준 5 2 2 3 3 2 3 3 6" xfId="21112" xr:uid="{00000000-0005-0000-0000-00005B340000}"/>
    <cellStyle name="표준 5 2 2 3 3 2 3 3 7" xfId="25208" xr:uid="{00000000-0005-0000-0000-00005C340000}"/>
    <cellStyle name="표준 5 2 2 3 3 2 3 3 8" xfId="33419" xr:uid="{00000000-0005-0000-0000-00005D340000}"/>
    <cellStyle name="표준 5 2 2 3 3 2 3 3 9" xfId="41612" xr:uid="{00000000-0005-0000-0000-00005E340000}"/>
    <cellStyle name="표준 5 2 2 3 3 2 3 4" xfId="2255" xr:uid="{00000000-0005-0000-0000-00005F340000}"/>
    <cellStyle name="표준 5 2 2 3 3 2 3 4 2" xfId="11158" xr:uid="{00000000-0005-0000-0000-000060340000}"/>
    <cellStyle name="표준 5 2 2 3 3 2 3 4 2 2" xfId="15270" xr:uid="{00000000-0005-0000-0000-000061340000}"/>
    <cellStyle name="표준 5 2 2 3 3 2 3 4 2 2 2" xfId="31864" xr:uid="{00000000-0005-0000-0000-000062340000}"/>
    <cellStyle name="표준 5 2 2 3 3 2 3 4 2 2 3" xfId="40075" xr:uid="{00000000-0005-0000-0000-000063340000}"/>
    <cellStyle name="표준 5 2 2 3 3 2 3 4 2 2 4" xfId="48268" xr:uid="{00000000-0005-0000-0000-000064340000}"/>
    <cellStyle name="표준 5 2 2 3 3 2 3 4 2 3" xfId="19510" xr:uid="{00000000-0005-0000-0000-000065340000}"/>
    <cellStyle name="표준 5 2 2 3 3 2 3 4 2 4" xfId="23672" xr:uid="{00000000-0005-0000-0000-000066340000}"/>
    <cellStyle name="표준 5 2 2 3 3 2 3 4 2 5" xfId="27768" xr:uid="{00000000-0005-0000-0000-000067340000}"/>
    <cellStyle name="표준 5 2 2 3 3 2 3 4 2 6" xfId="35979" xr:uid="{00000000-0005-0000-0000-000068340000}"/>
    <cellStyle name="표준 5 2 2 3 3 2 3 4 2 7" xfId="44172" xr:uid="{00000000-0005-0000-0000-000069340000}"/>
    <cellStyle name="표준 5 2 2 3 3 2 3 4 3" xfId="9110" xr:uid="{00000000-0005-0000-0000-00006A340000}"/>
    <cellStyle name="표준 5 2 2 3 3 2 3 4 3 2" xfId="29816" xr:uid="{00000000-0005-0000-0000-00006B340000}"/>
    <cellStyle name="표준 5 2 2 3 3 2 3 4 3 3" xfId="38027" xr:uid="{00000000-0005-0000-0000-00006C340000}"/>
    <cellStyle name="표준 5 2 2 3 3 2 3 4 3 4" xfId="46220" xr:uid="{00000000-0005-0000-0000-00006D340000}"/>
    <cellStyle name="표준 5 2 2 3 3 2 3 4 4" xfId="13222" xr:uid="{00000000-0005-0000-0000-00006E340000}"/>
    <cellStyle name="표준 5 2 2 3 3 2 3 4 5" xfId="17462" xr:uid="{00000000-0005-0000-0000-00006F340000}"/>
    <cellStyle name="표준 5 2 2 3 3 2 3 4 6" xfId="21624" xr:uid="{00000000-0005-0000-0000-000070340000}"/>
    <cellStyle name="표준 5 2 2 3 3 2 3 4 7" xfId="25720" xr:uid="{00000000-0005-0000-0000-000071340000}"/>
    <cellStyle name="표준 5 2 2 3 3 2 3 4 8" xfId="33931" xr:uid="{00000000-0005-0000-0000-000072340000}"/>
    <cellStyle name="표준 5 2 2 3 3 2 3 4 9" xfId="42124" xr:uid="{00000000-0005-0000-0000-000073340000}"/>
    <cellStyle name="표준 5 2 2 3 3 2 3 5" xfId="9622" xr:uid="{00000000-0005-0000-0000-000074340000}"/>
    <cellStyle name="표준 5 2 2 3 3 2 3 5 2" xfId="13734" xr:uid="{00000000-0005-0000-0000-000075340000}"/>
    <cellStyle name="표준 5 2 2 3 3 2 3 5 2 2" xfId="30328" xr:uid="{00000000-0005-0000-0000-000076340000}"/>
    <cellStyle name="표준 5 2 2 3 3 2 3 5 2 3" xfId="38539" xr:uid="{00000000-0005-0000-0000-000077340000}"/>
    <cellStyle name="표준 5 2 2 3 3 2 3 5 2 4" xfId="46732" xr:uid="{00000000-0005-0000-0000-000078340000}"/>
    <cellStyle name="표준 5 2 2 3 3 2 3 5 3" xfId="17974" xr:uid="{00000000-0005-0000-0000-000079340000}"/>
    <cellStyle name="표준 5 2 2 3 3 2 3 5 4" xfId="22136" xr:uid="{00000000-0005-0000-0000-00007A340000}"/>
    <cellStyle name="표준 5 2 2 3 3 2 3 5 5" xfId="26232" xr:uid="{00000000-0005-0000-0000-00007B340000}"/>
    <cellStyle name="표준 5 2 2 3 3 2 3 5 6" xfId="34443" xr:uid="{00000000-0005-0000-0000-00007C340000}"/>
    <cellStyle name="표준 5 2 2 3 3 2 3 5 7" xfId="42636" xr:uid="{00000000-0005-0000-0000-00007D340000}"/>
    <cellStyle name="표준 5 2 2 3 3 2 3 6" xfId="7574" xr:uid="{00000000-0005-0000-0000-00007E340000}"/>
    <cellStyle name="표준 5 2 2 3 3 2 3 6 2" xfId="28280" xr:uid="{00000000-0005-0000-0000-00007F340000}"/>
    <cellStyle name="표준 5 2 2 3 3 2 3 6 3" xfId="36491" xr:uid="{00000000-0005-0000-0000-000080340000}"/>
    <cellStyle name="표준 5 2 2 3 3 2 3 6 4" xfId="44684" xr:uid="{00000000-0005-0000-0000-000081340000}"/>
    <cellStyle name="표준 5 2 2 3 3 2 3 7" xfId="11686" xr:uid="{00000000-0005-0000-0000-000082340000}"/>
    <cellStyle name="표준 5 2 2 3 3 2 3 8" xfId="15926" xr:uid="{00000000-0005-0000-0000-000083340000}"/>
    <cellStyle name="표준 5 2 2 3 3 2 3 9" xfId="20088" xr:uid="{00000000-0005-0000-0000-000084340000}"/>
    <cellStyle name="표준 5 2 2 3 3 2 4" xfId="975" xr:uid="{00000000-0005-0000-0000-000085340000}"/>
    <cellStyle name="표준 5 2 2 3 3 2 4 2" xfId="9878" xr:uid="{00000000-0005-0000-0000-000086340000}"/>
    <cellStyle name="표준 5 2 2 3 3 2 4 2 2" xfId="13990" xr:uid="{00000000-0005-0000-0000-000087340000}"/>
    <cellStyle name="표준 5 2 2 3 3 2 4 2 2 2" xfId="30584" xr:uid="{00000000-0005-0000-0000-000088340000}"/>
    <cellStyle name="표준 5 2 2 3 3 2 4 2 2 3" xfId="38795" xr:uid="{00000000-0005-0000-0000-000089340000}"/>
    <cellStyle name="표준 5 2 2 3 3 2 4 2 2 4" xfId="46988" xr:uid="{00000000-0005-0000-0000-00008A340000}"/>
    <cellStyle name="표준 5 2 2 3 3 2 4 2 3" xfId="18230" xr:uid="{00000000-0005-0000-0000-00008B340000}"/>
    <cellStyle name="표준 5 2 2 3 3 2 4 2 4" xfId="22392" xr:uid="{00000000-0005-0000-0000-00008C340000}"/>
    <cellStyle name="표준 5 2 2 3 3 2 4 2 5" xfId="26488" xr:uid="{00000000-0005-0000-0000-00008D340000}"/>
    <cellStyle name="표준 5 2 2 3 3 2 4 2 6" xfId="34699" xr:uid="{00000000-0005-0000-0000-00008E340000}"/>
    <cellStyle name="표준 5 2 2 3 3 2 4 2 7" xfId="42892" xr:uid="{00000000-0005-0000-0000-00008F340000}"/>
    <cellStyle name="표준 5 2 2 3 3 2 4 3" xfId="7830" xr:uid="{00000000-0005-0000-0000-000090340000}"/>
    <cellStyle name="표준 5 2 2 3 3 2 4 3 2" xfId="28536" xr:uid="{00000000-0005-0000-0000-000091340000}"/>
    <cellStyle name="표준 5 2 2 3 3 2 4 3 3" xfId="36747" xr:uid="{00000000-0005-0000-0000-000092340000}"/>
    <cellStyle name="표준 5 2 2 3 3 2 4 3 4" xfId="44940" xr:uid="{00000000-0005-0000-0000-000093340000}"/>
    <cellStyle name="표준 5 2 2 3 3 2 4 4" xfId="11942" xr:uid="{00000000-0005-0000-0000-000094340000}"/>
    <cellStyle name="표준 5 2 2 3 3 2 4 5" xfId="16182" xr:uid="{00000000-0005-0000-0000-000095340000}"/>
    <cellStyle name="표준 5 2 2 3 3 2 4 6" xfId="20344" xr:uid="{00000000-0005-0000-0000-000096340000}"/>
    <cellStyle name="표준 5 2 2 3 3 2 4 7" xfId="24440" xr:uid="{00000000-0005-0000-0000-000097340000}"/>
    <cellStyle name="표준 5 2 2 3 3 2 4 8" xfId="32651" xr:uid="{00000000-0005-0000-0000-000098340000}"/>
    <cellStyle name="표준 5 2 2 3 3 2 4 9" xfId="40844" xr:uid="{00000000-0005-0000-0000-000099340000}"/>
    <cellStyle name="표준 5 2 2 3 3 2 5" xfId="1487" xr:uid="{00000000-0005-0000-0000-00009A340000}"/>
    <cellStyle name="표준 5 2 2 3 3 2 5 2" xfId="10390" xr:uid="{00000000-0005-0000-0000-00009B340000}"/>
    <cellStyle name="표준 5 2 2 3 3 2 5 2 2" xfId="14502" xr:uid="{00000000-0005-0000-0000-00009C340000}"/>
    <cellStyle name="표준 5 2 2 3 3 2 5 2 2 2" xfId="31096" xr:uid="{00000000-0005-0000-0000-00009D340000}"/>
    <cellStyle name="표준 5 2 2 3 3 2 5 2 2 3" xfId="39307" xr:uid="{00000000-0005-0000-0000-00009E340000}"/>
    <cellStyle name="표준 5 2 2 3 3 2 5 2 2 4" xfId="47500" xr:uid="{00000000-0005-0000-0000-00009F340000}"/>
    <cellStyle name="표준 5 2 2 3 3 2 5 2 3" xfId="18742" xr:uid="{00000000-0005-0000-0000-0000A0340000}"/>
    <cellStyle name="표준 5 2 2 3 3 2 5 2 4" xfId="22904" xr:uid="{00000000-0005-0000-0000-0000A1340000}"/>
    <cellStyle name="표준 5 2 2 3 3 2 5 2 5" xfId="27000" xr:uid="{00000000-0005-0000-0000-0000A2340000}"/>
    <cellStyle name="표준 5 2 2 3 3 2 5 2 6" xfId="35211" xr:uid="{00000000-0005-0000-0000-0000A3340000}"/>
    <cellStyle name="표준 5 2 2 3 3 2 5 2 7" xfId="43404" xr:uid="{00000000-0005-0000-0000-0000A4340000}"/>
    <cellStyle name="표준 5 2 2 3 3 2 5 3" xfId="8342" xr:uid="{00000000-0005-0000-0000-0000A5340000}"/>
    <cellStyle name="표준 5 2 2 3 3 2 5 3 2" xfId="29048" xr:uid="{00000000-0005-0000-0000-0000A6340000}"/>
    <cellStyle name="표준 5 2 2 3 3 2 5 3 3" xfId="37259" xr:uid="{00000000-0005-0000-0000-0000A7340000}"/>
    <cellStyle name="표준 5 2 2 3 3 2 5 3 4" xfId="45452" xr:uid="{00000000-0005-0000-0000-0000A8340000}"/>
    <cellStyle name="표준 5 2 2 3 3 2 5 4" xfId="12454" xr:uid="{00000000-0005-0000-0000-0000A9340000}"/>
    <cellStyle name="표준 5 2 2 3 3 2 5 5" xfId="16694" xr:uid="{00000000-0005-0000-0000-0000AA340000}"/>
    <cellStyle name="표준 5 2 2 3 3 2 5 6" xfId="20856" xr:uid="{00000000-0005-0000-0000-0000AB340000}"/>
    <cellStyle name="표준 5 2 2 3 3 2 5 7" xfId="24952" xr:uid="{00000000-0005-0000-0000-0000AC340000}"/>
    <cellStyle name="표준 5 2 2 3 3 2 5 8" xfId="33163" xr:uid="{00000000-0005-0000-0000-0000AD340000}"/>
    <cellStyle name="표준 5 2 2 3 3 2 5 9" xfId="41356" xr:uid="{00000000-0005-0000-0000-0000AE340000}"/>
    <cellStyle name="표준 5 2 2 3 3 2 6" xfId="1999" xr:uid="{00000000-0005-0000-0000-0000AF340000}"/>
    <cellStyle name="표준 5 2 2 3 3 2 6 2" xfId="10902" xr:uid="{00000000-0005-0000-0000-0000B0340000}"/>
    <cellStyle name="표준 5 2 2 3 3 2 6 2 2" xfId="15014" xr:uid="{00000000-0005-0000-0000-0000B1340000}"/>
    <cellStyle name="표준 5 2 2 3 3 2 6 2 2 2" xfId="31608" xr:uid="{00000000-0005-0000-0000-0000B2340000}"/>
    <cellStyle name="표준 5 2 2 3 3 2 6 2 2 3" xfId="39819" xr:uid="{00000000-0005-0000-0000-0000B3340000}"/>
    <cellStyle name="표준 5 2 2 3 3 2 6 2 2 4" xfId="48012" xr:uid="{00000000-0005-0000-0000-0000B4340000}"/>
    <cellStyle name="표준 5 2 2 3 3 2 6 2 3" xfId="19254" xr:uid="{00000000-0005-0000-0000-0000B5340000}"/>
    <cellStyle name="표준 5 2 2 3 3 2 6 2 4" xfId="23416" xr:uid="{00000000-0005-0000-0000-0000B6340000}"/>
    <cellStyle name="표준 5 2 2 3 3 2 6 2 5" xfId="27512" xr:uid="{00000000-0005-0000-0000-0000B7340000}"/>
    <cellStyle name="표준 5 2 2 3 3 2 6 2 6" xfId="35723" xr:uid="{00000000-0005-0000-0000-0000B8340000}"/>
    <cellStyle name="표준 5 2 2 3 3 2 6 2 7" xfId="43916" xr:uid="{00000000-0005-0000-0000-0000B9340000}"/>
    <cellStyle name="표준 5 2 2 3 3 2 6 3" xfId="8854" xr:uid="{00000000-0005-0000-0000-0000BA340000}"/>
    <cellStyle name="표준 5 2 2 3 3 2 6 3 2" xfId="29560" xr:uid="{00000000-0005-0000-0000-0000BB340000}"/>
    <cellStyle name="표준 5 2 2 3 3 2 6 3 3" xfId="37771" xr:uid="{00000000-0005-0000-0000-0000BC340000}"/>
    <cellStyle name="표준 5 2 2 3 3 2 6 3 4" xfId="45964" xr:uid="{00000000-0005-0000-0000-0000BD340000}"/>
    <cellStyle name="표준 5 2 2 3 3 2 6 4" xfId="12966" xr:uid="{00000000-0005-0000-0000-0000BE340000}"/>
    <cellStyle name="표준 5 2 2 3 3 2 6 5" xfId="17206" xr:uid="{00000000-0005-0000-0000-0000BF340000}"/>
    <cellStyle name="표준 5 2 2 3 3 2 6 6" xfId="21368" xr:uid="{00000000-0005-0000-0000-0000C0340000}"/>
    <cellStyle name="표준 5 2 2 3 3 2 6 7" xfId="25464" xr:uid="{00000000-0005-0000-0000-0000C1340000}"/>
    <cellStyle name="표준 5 2 2 3 3 2 6 8" xfId="33675" xr:uid="{00000000-0005-0000-0000-0000C2340000}"/>
    <cellStyle name="표준 5 2 2 3 3 2 6 9" xfId="41868" xr:uid="{00000000-0005-0000-0000-0000C3340000}"/>
    <cellStyle name="표준 5 2 2 3 3 2 7" xfId="7059" xr:uid="{00000000-0005-0000-0000-0000C4340000}"/>
    <cellStyle name="표준 5 2 2 3 3 2 7 2" xfId="9366" xr:uid="{00000000-0005-0000-0000-0000C5340000}"/>
    <cellStyle name="표준 5 2 2 3 3 2 7 2 2" xfId="30072" xr:uid="{00000000-0005-0000-0000-0000C6340000}"/>
    <cellStyle name="표준 5 2 2 3 3 2 7 2 3" xfId="38283" xr:uid="{00000000-0005-0000-0000-0000C7340000}"/>
    <cellStyle name="표준 5 2 2 3 3 2 7 2 4" xfId="46476" xr:uid="{00000000-0005-0000-0000-0000C8340000}"/>
    <cellStyle name="표준 5 2 2 3 3 2 7 3" xfId="13478" xr:uid="{00000000-0005-0000-0000-0000C9340000}"/>
    <cellStyle name="표준 5 2 2 3 3 2 7 4" xfId="17718" xr:uid="{00000000-0005-0000-0000-0000CA340000}"/>
    <cellStyle name="표준 5 2 2 3 3 2 7 5" xfId="21880" xr:uid="{00000000-0005-0000-0000-0000CB340000}"/>
    <cellStyle name="표준 5 2 2 3 3 2 7 6" xfId="25976" xr:uid="{00000000-0005-0000-0000-0000CC340000}"/>
    <cellStyle name="표준 5 2 2 3 3 2 7 7" xfId="34187" xr:uid="{00000000-0005-0000-0000-0000CD340000}"/>
    <cellStyle name="표준 5 2 2 3 3 2 7 8" xfId="42380" xr:uid="{00000000-0005-0000-0000-0000CE340000}"/>
    <cellStyle name="표준 5 2 2 3 3 2 8" xfId="7119" xr:uid="{00000000-0005-0000-0000-0000CF340000}"/>
    <cellStyle name="표준 5 2 2 3 3 2 8 2" xfId="28024" xr:uid="{00000000-0005-0000-0000-0000D0340000}"/>
    <cellStyle name="표준 5 2 2 3 3 2 8 3" xfId="36235" xr:uid="{00000000-0005-0000-0000-0000D1340000}"/>
    <cellStyle name="표준 5 2 2 3 3 2 8 4" xfId="44428" xr:uid="{00000000-0005-0000-0000-0000D2340000}"/>
    <cellStyle name="표준 5 2 2 3 3 2 9" xfId="7318" xr:uid="{00000000-0005-0000-0000-0000D3340000}"/>
    <cellStyle name="표준 5 2 2 3 3 3" xfId="527" xr:uid="{00000000-0005-0000-0000-0000D4340000}"/>
    <cellStyle name="표준 5 2 2 3 3 3 10" xfId="19896" xr:uid="{00000000-0005-0000-0000-0000D5340000}"/>
    <cellStyle name="표준 5 2 2 3 3 3 11" xfId="23992" xr:uid="{00000000-0005-0000-0000-0000D6340000}"/>
    <cellStyle name="표준 5 2 2 3 3 3 12" xfId="32203" xr:uid="{00000000-0005-0000-0000-0000D7340000}"/>
    <cellStyle name="표준 5 2 2 3 3 3 13" xfId="40396" xr:uid="{00000000-0005-0000-0000-0000D8340000}"/>
    <cellStyle name="표준 5 2 2 3 3 3 2" xfId="783" xr:uid="{00000000-0005-0000-0000-0000D9340000}"/>
    <cellStyle name="표준 5 2 2 3 3 3 2 10" xfId="24248" xr:uid="{00000000-0005-0000-0000-0000DA340000}"/>
    <cellStyle name="표준 5 2 2 3 3 3 2 11" xfId="32459" xr:uid="{00000000-0005-0000-0000-0000DB340000}"/>
    <cellStyle name="표준 5 2 2 3 3 3 2 12" xfId="40652" xr:uid="{00000000-0005-0000-0000-0000DC340000}"/>
    <cellStyle name="표준 5 2 2 3 3 3 2 2" xfId="1295" xr:uid="{00000000-0005-0000-0000-0000DD340000}"/>
    <cellStyle name="표준 5 2 2 3 3 3 2 2 2" xfId="10198" xr:uid="{00000000-0005-0000-0000-0000DE340000}"/>
    <cellStyle name="표준 5 2 2 3 3 3 2 2 2 2" xfId="14310" xr:uid="{00000000-0005-0000-0000-0000DF340000}"/>
    <cellStyle name="표준 5 2 2 3 3 3 2 2 2 2 2" xfId="30904" xr:uid="{00000000-0005-0000-0000-0000E0340000}"/>
    <cellStyle name="표준 5 2 2 3 3 3 2 2 2 2 3" xfId="39115" xr:uid="{00000000-0005-0000-0000-0000E1340000}"/>
    <cellStyle name="표준 5 2 2 3 3 3 2 2 2 2 4" xfId="47308" xr:uid="{00000000-0005-0000-0000-0000E2340000}"/>
    <cellStyle name="표준 5 2 2 3 3 3 2 2 2 3" xfId="18550" xr:uid="{00000000-0005-0000-0000-0000E3340000}"/>
    <cellStyle name="표준 5 2 2 3 3 3 2 2 2 4" xfId="22712" xr:uid="{00000000-0005-0000-0000-0000E4340000}"/>
    <cellStyle name="표준 5 2 2 3 3 3 2 2 2 5" xfId="26808" xr:uid="{00000000-0005-0000-0000-0000E5340000}"/>
    <cellStyle name="표준 5 2 2 3 3 3 2 2 2 6" xfId="35019" xr:uid="{00000000-0005-0000-0000-0000E6340000}"/>
    <cellStyle name="표준 5 2 2 3 3 3 2 2 2 7" xfId="43212" xr:uid="{00000000-0005-0000-0000-0000E7340000}"/>
    <cellStyle name="표준 5 2 2 3 3 3 2 2 3" xfId="8150" xr:uid="{00000000-0005-0000-0000-0000E8340000}"/>
    <cellStyle name="표준 5 2 2 3 3 3 2 2 3 2" xfId="28856" xr:uid="{00000000-0005-0000-0000-0000E9340000}"/>
    <cellStyle name="표준 5 2 2 3 3 3 2 2 3 3" xfId="37067" xr:uid="{00000000-0005-0000-0000-0000EA340000}"/>
    <cellStyle name="표준 5 2 2 3 3 3 2 2 3 4" xfId="45260" xr:uid="{00000000-0005-0000-0000-0000EB340000}"/>
    <cellStyle name="표준 5 2 2 3 3 3 2 2 4" xfId="12262" xr:uid="{00000000-0005-0000-0000-0000EC340000}"/>
    <cellStyle name="표준 5 2 2 3 3 3 2 2 5" xfId="16502" xr:uid="{00000000-0005-0000-0000-0000ED340000}"/>
    <cellStyle name="표준 5 2 2 3 3 3 2 2 6" xfId="20664" xr:uid="{00000000-0005-0000-0000-0000EE340000}"/>
    <cellStyle name="표준 5 2 2 3 3 3 2 2 7" xfId="24760" xr:uid="{00000000-0005-0000-0000-0000EF340000}"/>
    <cellStyle name="표준 5 2 2 3 3 3 2 2 8" xfId="32971" xr:uid="{00000000-0005-0000-0000-0000F0340000}"/>
    <cellStyle name="표준 5 2 2 3 3 3 2 2 9" xfId="41164" xr:uid="{00000000-0005-0000-0000-0000F1340000}"/>
    <cellStyle name="표준 5 2 2 3 3 3 2 3" xfId="1807" xr:uid="{00000000-0005-0000-0000-0000F2340000}"/>
    <cellStyle name="표준 5 2 2 3 3 3 2 3 2" xfId="10710" xr:uid="{00000000-0005-0000-0000-0000F3340000}"/>
    <cellStyle name="표준 5 2 2 3 3 3 2 3 2 2" xfId="14822" xr:uid="{00000000-0005-0000-0000-0000F4340000}"/>
    <cellStyle name="표준 5 2 2 3 3 3 2 3 2 2 2" xfId="31416" xr:uid="{00000000-0005-0000-0000-0000F5340000}"/>
    <cellStyle name="표준 5 2 2 3 3 3 2 3 2 2 3" xfId="39627" xr:uid="{00000000-0005-0000-0000-0000F6340000}"/>
    <cellStyle name="표준 5 2 2 3 3 3 2 3 2 2 4" xfId="47820" xr:uid="{00000000-0005-0000-0000-0000F7340000}"/>
    <cellStyle name="표준 5 2 2 3 3 3 2 3 2 3" xfId="19062" xr:uid="{00000000-0005-0000-0000-0000F8340000}"/>
    <cellStyle name="표준 5 2 2 3 3 3 2 3 2 4" xfId="23224" xr:uid="{00000000-0005-0000-0000-0000F9340000}"/>
    <cellStyle name="표준 5 2 2 3 3 3 2 3 2 5" xfId="27320" xr:uid="{00000000-0005-0000-0000-0000FA340000}"/>
    <cellStyle name="표준 5 2 2 3 3 3 2 3 2 6" xfId="35531" xr:uid="{00000000-0005-0000-0000-0000FB340000}"/>
    <cellStyle name="표준 5 2 2 3 3 3 2 3 2 7" xfId="43724" xr:uid="{00000000-0005-0000-0000-0000FC340000}"/>
    <cellStyle name="표준 5 2 2 3 3 3 2 3 3" xfId="8662" xr:uid="{00000000-0005-0000-0000-0000FD340000}"/>
    <cellStyle name="표준 5 2 2 3 3 3 2 3 3 2" xfId="29368" xr:uid="{00000000-0005-0000-0000-0000FE340000}"/>
    <cellStyle name="표준 5 2 2 3 3 3 2 3 3 3" xfId="37579" xr:uid="{00000000-0005-0000-0000-0000FF340000}"/>
    <cellStyle name="표준 5 2 2 3 3 3 2 3 3 4" xfId="45772" xr:uid="{00000000-0005-0000-0000-000000350000}"/>
    <cellStyle name="표준 5 2 2 3 3 3 2 3 4" xfId="12774" xr:uid="{00000000-0005-0000-0000-000001350000}"/>
    <cellStyle name="표준 5 2 2 3 3 3 2 3 5" xfId="17014" xr:uid="{00000000-0005-0000-0000-000002350000}"/>
    <cellStyle name="표준 5 2 2 3 3 3 2 3 6" xfId="21176" xr:uid="{00000000-0005-0000-0000-000003350000}"/>
    <cellStyle name="표준 5 2 2 3 3 3 2 3 7" xfId="25272" xr:uid="{00000000-0005-0000-0000-000004350000}"/>
    <cellStyle name="표준 5 2 2 3 3 3 2 3 8" xfId="33483" xr:uid="{00000000-0005-0000-0000-000005350000}"/>
    <cellStyle name="표준 5 2 2 3 3 3 2 3 9" xfId="41676" xr:uid="{00000000-0005-0000-0000-000006350000}"/>
    <cellStyle name="표준 5 2 2 3 3 3 2 4" xfId="2319" xr:uid="{00000000-0005-0000-0000-000007350000}"/>
    <cellStyle name="표준 5 2 2 3 3 3 2 4 2" xfId="11222" xr:uid="{00000000-0005-0000-0000-000008350000}"/>
    <cellStyle name="표준 5 2 2 3 3 3 2 4 2 2" xfId="15334" xr:uid="{00000000-0005-0000-0000-000009350000}"/>
    <cellStyle name="표준 5 2 2 3 3 3 2 4 2 2 2" xfId="31928" xr:uid="{00000000-0005-0000-0000-00000A350000}"/>
    <cellStyle name="표준 5 2 2 3 3 3 2 4 2 2 3" xfId="40139" xr:uid="{00000000-0005-0000-0000-00000B350000}"/>
    <cellStyle name="표준 5 2 2 3 3 3 2 4 2 2 4" xfId="48332" xr:uid="{00000000-0005-0000-0000-00000C350000}"/>
    <cellStyle name="표준 5 2 2 3 3 3 2 4 2 3" xfId="19574" xr:uid="{00000000-0005-0000-0000-00000D350000}"/>
    <cellStyle name="표준 5 2 2 3 3 3 2 4 2 4" xfId="23736" xr:uid="{00000000-0005-0000-0000-00000E350000}"/>
    <cellStyle name="표준 5 2 2 3 3 3 2 4 2 5" xfId="27832" xr:uid="{00000000-0005-0000-0000-00000F350000}"/>
    <cellStyle name="표준 5 2 2 3 3 3 2 4 2 6" xfId="36043" xr:uid="{00000000-0005-0000-0000-000010350000}"/>
    <cellStyle name="표준 5 2 2 3 3 3 2 4 2 7" xfId="44236" xr:uid="{00000000-0005-0000-0000-000011350000}"/>
    <cellStyle name="표준 5 2 2 3 3 3 2 4 3" xfId="9174" xr:uid="{00000000-0005-0000-0000-000012350000}"/>
    <cellStyle name="표준 5 2 2 3 3 3 2 4 3 2" xfId="29880" xr:uid="{00000000-0005-0000-0000-000013350000}"/>
    <cellStyle name="표준 5 2 2 3 3 3 2 4 3 3" xfId="38091" xr:uid="{00000000-0005-0000-0000-000014350000}"/>
    <cellStyle name="표준 5 2 2 3 3 3 2 4 3 4" xfId="46284" xr:uid="{00000000-0005-0000-0000-000015350000}"/>
    <cellStyle name="표준 5 2 2 3 3 3 2 4 4" xfId="13286" xr:uid="{00000000-0005-0000-0000-000016350000}"/>
    <cellStyle name="표준 5 2 2 3 3 3 2 4 5" xfId="17526" xr:uid="{00000000-0005-0000-0000-000017350000}"/>
    <cellStyle name="표준 5 2 2 3 3 3 2 4 6" xfId="21688" xr:uid="{00000000-0005-0000-0000-000018350000}"/>
    <cellStyle name="표준 5 2 2 3 3 3 2 4 7" xfId="25784" xr:uid="{00000000-0005-0000-0000-000019350000}"/>
    <cellStyle name="표준 5 2 2 3 3 3 2 4 8" xfId="33995" xr:uid="{00000000-0005-0000-0000-00001A350000}"/>
    <cellStyle name="표준 5 2 2 3 3 3 2 4 9" xfId="42188" xr:uid="{00000000-0005-0000-0000-00001B350000}"/>
    <cellStyle name="표준 5 2 2 3 3 3 2 5" xfId="9686" xr:uid="{00000000-0005-0000-0000-00001C350000}"/>
    <cellStyle name="표준 5 2 2 3 3 3 2 5 2" xfId="13798" xr:uid="{00000000-0005-0000-0000-00001D350000}"/>
    <cellStyle name="표준 5 2 2 3 3 3 2 5 2 2" xfId="30392" xr:uid="{00000000-0005-0000-0000-00001E350000}"/>
    <cellStyle name="표준 5 2 2 3 3 3 2 5 2 3" xfId="38603" xr:uid="{00000000-0005-0000-0000-00001F350000}"/>
    <cellStyle name="표준 5 2 2 3 3 3 2 5 2 4" xfId="46796" xr:uid="{00000000-0005-0000-0000-000020350000}"/>
    <cellStyle name="표준 5 2 2 3 3 3 2 5 3" xfId="18038" xr:uid="{00000000-0005-0000-0000-000021350000}"/>
    <cellStyle name="표준 5 2 2 3 3 3 2 5 4" xfId="22200" xr:uid="{00000000-0005-0000-0000-000022350000}"/>
    <cellStyle name="표준 5 2 2 3 3 3 2 5 5" xfId="26296" xr:uid="{00000000-0005-0000-0000-000023350000}"/>
    <cellStyle name="표준 5 2 2 3 3 3 2 5 6" xfId="34507" xr:uid="{00000000-0005-0000-0000-000024350000}"/>
    <cellStyle name="표준 5 2 2 3 3 3 2 5 7" xfId="42700" xr:uid="{00000000-0005-0000-0000-000025350000}"/>
    <cellStyle name="표준 5 2 2 3 3 3 2 6" xfId="7638" xr:uid="{00000000-0005-0000-0000-000026350000}"/>
    <cellStyle name="표준 5 2 2 3 3 3 2 6 2" xfId="28344" xr:uid="{00000000-0005-0000-0000-000027350000}"/>
    <cellStyle name="표준 5 2 2 3 3 3 2 6 3" xfId="36555" xr:uid="{00000000-0005-0000-0000-000028350000}"/>
    <cellStyle name="표준 5 2 2 3 3 3 2 6 4" xfId="44748" xr:uid="{00000000-0005-0000-0000-000029350000}"/>
    <cellStyle name="표준 5 2 2 3 3 3 2 7" xfId="11750" xr:uid="{00000000-0005-0000-0000-00002A350000}"/>
    <cellStyle name="표준 5 2 2 3 3 3 2 8" xfId="15990" xr:uid="{00000000-0005-0000-0000-00002B350000}"/>
    <cellStyle name="표준 5 2 2 3 3 3 2 9" xfId="20152" xr:uid="{00000000-0005-0000-0000-00002C350000}"/>
    <cellStyle name="표준 5 2 2 3 3 3 3" xfId="1039" xr:uid="{00000000-0005-0000-0000-00002D350000}"/>
    <cellStyle name="표준 5 2 2 3 3 3 3 2" xfId="9942" xr:uid="{00000000-0005-0000-0000-00002E350000}"/>
    <cellStyle name="표준 5 2 2 3 3 3 3 2 2" xfId="14054" xr:uid="{00000000-0005-0000-0000-00002F350000}"/>
    <cellStyle name="표준 5 2 2 3 3 3 3 2 2 2" xfId="30648" xr:uid="{00000000-0005-0000-0000-000030350000}"/>
    <cellStyle name="표준 5 2 2 3 3 3 3 2 2 3" xfId="38859" xr:uid="{00000000-0005-0000-0000-000031350000}"/>
    <cellStyle name="표준 5 2 2 3 3 3 3 2 2 4" xfId="47052" xr:uid="{00000000-0005-0000-0000-000032350000}"/>
    <cellStyle name="표준 5 2 2 3 3 3 3 2 3" xfId="18294" xr:uid="{00000000-0005-0000-0000-000033350000}"/>
    <cellStyle name="표준 5 2 2 3 3 3 3 2 4" xfId="22456" xr:uid="{00000000-0005-0000-0000-000034350000}"/>
    <cellStyle name="표준 5 2 2 3 3 3 3 2 5" xfId="26552" xr:uid="{00000000-0005-0000-0000-000035350000}"/>
    <cellStyle name="표준 5 2 2 3 3 3 3 2 6" xfId="34763" xr:uid="{00000000-0005-0000-0000-000036350000}"/>
    <cellStyle name="표준 5 2 2 3 3 3 3 2 7" xfId="42956" xr:uid="{00000000-0005-0000-0000-000037350000}"/>
    <cellStyle name="표준 5 2 2 3 3 3 3 3" xfId="7894" xr:uid="{00000000-0005-0000-0000-000038350000}"/>
    <cellStyle name="표준 5 2 2 3 3 3 3 3 2" xfId="28600" xr:uid="{00000000-0005-0000-0000-000039350000}"/>
    <cellStyle name="표준 5 2 2 3 3 3 3 3 3" xfId="36811" xr:uid="{00000000-0005-0000-0000-00003A350000}"/>
    <cellStyle name="표준 5 2 2 3 3 3 3 3 4" xfId="45004" xr:uid="{00000000-0005-0000-0000-00003B350000}"/>
    <cellStyle name="표준 5 2 2 3 3 3 3 4" xfId="12006" xr:uid="{00000000-0005-0000-0000-00003C350000}"/>
    <cellStyle name="표준 5 2 2 3 3 3 3 5" xfId="16246" xr:uid="{00000000-0005-0000-0000-00003D350000}"/>
    <cellStyle name="표준 5 2 2 3 3 3 3 6" xfId="20408" xr:uid="{00000000-0005-0000-0000-00003E350000}"/>
    <cellStyle name="표준 5 2 2 3 3 3 3 7" xfId="24504" xr:uid="{00000000-0005-0000-0000-00003F350000}"/>
    <cellStyle name="표준 5 2 2 3 3 3 3 8" xfId="32715" xr:uid="{00000000-0005-0000-0000-000040350000}"/>
    <cellStyle name="표준 5 2 2 3 3 3 3 9" xfId="40908" xr:uid="{00000000-0005-0000-0000-000041350000}"/>
    <cellStyle name="표준 5 2 2 3 3 3 4" xfId="1551" xr:uid="{00000000-0005-0000-0000-000042350000}"/>
    <cellStyle name="표준 5 2 2 3 3 3 4 2" xfId="10454" xr:uid="{00000000-0005-0000-0000-000043350000}"/>
    <cellStyle name="표준 5 2 2 3 3 3 4 2 2" xfId="14566" xr:uid="{00000000-0005-0000-0000-000044350000}"/>
    <cellStyle name="표준 5 2 2 3 3 3 4 2 2 2" xfId="31160" xr:uid="{00000000-0005-0000-0000-000045350000}"/>
    <cellStyle name="표준 5 2 2 3 3 3 4 2 2 3" xfId="39371" xr:uid="{00000000-0005-0000-0000-000046350000}"/>
    <cellStyle name="표준 5 2 2 3 3 3 4 2 2 4" xfId="47564" xr:uid="{00000000-0005-0000-0000-000047350000}"/>
    <cellStyle name="표준 5 2 2 3 3 3 4 2 3" xfId="18806" xr:uid="{00000000-0005-0000-0000-000048350000}"/>
    <cellStyle name="표준 5 2 2 3 3 3 4 2 4" xfId="22968" xr:uid="{00000000-0005-0000-0000-000049350000}"/>
    <cellStyle name="표준 5 2 2 3 3 3 4 2 5" xfId="27064" xr:uid="{00000000-0005-0000-0000-00004A350000}"/>
    <cellStyle name="표준 5 2 2 3 3 3 4 2 6" xfId="35275" xr:uid="{00000000-0005-0000-0000-00004B350000}"/>
    <cellStyle name="표준 5 2 2 3 3 3 4 2 7" xfId="43468" xr:uid="{00000000-0005-0000-0000-00004C350000}"/>
    <cellStyle name="표준 5 2 2 3 3 3 4 3" xfId="8406" xr:uid="{00000000-0005-0000-0000-00004D350000}"/>
    <cellStyle name="표준 5 2 2 3 3 3 4 3 2" xfId="29112" xr:uid="{00000000-0005-0000-0000-00004E350000}"/>
    <cellStyle name="표준 5 2 2 3 3 3 4 3 3" xfId="37323" xr:uid="{00000000-0005-0000-0000-00004F350000}"/>
    <cellStyle name="표준 5 2 2 3 3 3 4 3 4" xfId="45516" xr:uid="{00000000-0005-0000-0000-000050350000}"/>
    <cellStyle name="표준 5 2 2 3 3 3 4 4" xfId="12518" xr:uid="{00000000-0005-0000-0000-000051350000}"/>
    <cellStyle name="표준 5 2 2 3 3 3 4 5" xfId="16758" xr:uid="{00000000-0005-0000-0000-000052350000}"/>
    <cellStyle name="표준 5 2 2 3 3 3 4 6" xfId="20920" xr:uid="{00000000-0005-0000-0000-000053350000}"/>
    <cellStyle name="표준 5 2 2 3 3 3 4 7" xfId="25016" xr:uid="{00000000-0005-0000-0000-000054350000}"/>
    <cellStyle name="표준 5 2 2 3 3 3 4 8" xfId="33227" xr:uid="{00000000-0005-0000-0000-000055350000}"/>
    <cellStyle name="표준 5 2 2 3 3 3 4 9" xfId="41420" xr:uid="{00000000-0005-0000-0000-000056350000}"/>
    <cellStyle name="표준 5 2 2 3 3 3 5" xfId="2063" xr:uid="{00000000-0005-0000-0000-000057350000}"/>
    <cellStyle name="표준 5 2 2 3 3 3 5 2" xfId="10966" xr:uid="{00000000-0005-0000-0000-000058350000}"/>
    <cellStyle name="표준 5 2 2 3 3 3 5 2 2" xfId="15078" xr:uid="{00000000-0005-0000-0000-000059350000}"/>
    <cellStyle name="표준 5 2 2 3 3 3 5 2 2 2" xfId="31672" xr:uid="{00000000-0005-0000-0000-00005A350000}"/>
    <cellStyle name="표준 5 2 2 3 3 3 5 2 2 3" xfId="39883" xr:uid="{00000000-0005-0000-0000-00005B350000}"/>
    <cellStyle name="표준 5 2 2 3 3 3 5 2 2 4" xfId="48076" xr:uid="{00000000-0005-0000-0000-00005C350000}"/>
    <cellStyle name="표준 5 2 2 3 3 3 5 2 3" xfId="19318" xr:uid="{00000000-0005-0000-0000-00005D350000}"/>
    <cellStyle name="표준 5 2 2 3 3 3 5 2 4" xfId="23480" xr:uid="{00000000-0005-0000-0000-00005E350000}"/>
    <cellStyle name="표준 5 2 2 3 3 3 5 2 5" xfId="27576" xr:uid="{00000000-0005-0000-0000-00005F350000}"/>
    <cellStyle name="표준 5 2 2 3 3 3 5 2 6" xfId="35787" xr:uid="{00000000-0005-0000-0000-000060350000}"/>
    <cellStyle name="표준 5 2 2 3 3 3 5 2 7" xfId="43980" xr:uid="{00000000-0005-0000-0000-000061350000}"/>
    <cellStyle name="표준 5 2 2 3 3 3 5 3" xfId="8918" xr:uid="{00000000-0005-0000-0000-000062350000}"/>
    <cellStyle name="표준 5 2 2 3 3 3 5 3 2" xfId="29624" xr:uid="{00000000-0005-0000-0000-000063350000}"/>
    <cellStyle name="표준 5 2 2 3 3 3 5 3 3" xfId="37835" xr:uid="{00000000-0005-0000-0000-000064350000}"/>
    <cellStyle name="표준 5 2 2 3 3 3 5 3 4" xfId="46028" xr:uid="{00000000-0005-0000-0000-000065350000}"/>
    <cellStyle name="표준 5 2 2 3 3 3 5 4" xfId="13030" xr:uid="{00000000-0005-0000-0000-000066350000}"/>
    <cellStyle name="표준 5 2 2 3 3 3 5 5" xfId="17270" xr:uid="{00000000-0005-0000-0000-000067350000}"/>
    <cellStyle name="표준 5 2 2 3 3 3 5 6" xfId="21432" xr:uid="{00000000-0005-0000-0000-000068350000}"/>
    <cellStyle name="표준 5 2 2 3 3 3 5 7" xfId="25528" xr:uid="{00000000-0005-0000-0000-000069350000}"/>
    <cellStyle name="표준 5 2 2 3 3 3 5 8" xfId="33739" xr:uid="{00000000-0005-0000-0000-00006A350000}"/>
    <cellStyle name="표준 5 2 2 3 3 3 5 9" xfId="41932" xr:uid="{00000000-0005-0000-0000-00006B350000}"/>
    <cellStyle name="표준 5 2 2 3 3 3 6" xfId="9430" xr:uid="{00000000-0005-0000-0000-00006C350000}"/>
    <cellStyle name="표준 5 2 2 3 3 3 6 2" xfId="13542" xr:uid="{00000000-0005-0000-0000-00006D350000}"/>
    <cellStyle name="표준 5 2 2 3 3 3 6 2 2" xfId="30136" xr:uid="{00000000-0005-0000-0000-00006E350000}"/>
    <cellStyle name="표준 5 2 2 3 3 3 6 2 3" xfId="38347" xr:uid="{00000000-0005-0000-0000-00006F350000}"/>
    <cellStyle name="표준 5 2 2 3 3 3 6 2 4" xfId="46540" xr:uid="{00000000-0005-0000-0000-000070350000}"/>
    <cellStyle name="표준 5 2 2 3 3 3 6 3" xfId="17782" xr:uid="{00000000-0005-0000-0000-000071350000}"/>
    <cellStyle name="표준 5 2 2 3 3 3 6 4" xfId="21944" xr:uid="{00000000-0005-0000-0000-000072350000}"/>
    <cellStyle name="표준 5 2 2 3 3 3 6 5" xfId="26040" xr:uid="{00000000-0005-0000-0000-000073350000}"/>
    <cellStyle name="표준 5 2 2 3 3 3 6 6" xfId="34251" xr:uid="{00000000-0005-0000-0000-000074350000}"/>
    <cellStyle name="표준 5 2 2 3 3 3 6 7" xfId="42444" xr:uid="{00000000-0005-0000-0000-000075350000}"/>
    <cellStyle name="표준 5 2 2 3 3 3 7" xfId="7382" xr:uid="{00000000-0005-0000-0000-000076350000}"/>
    <cellStyle name="표준 5 2 2 3 3 3 7 2" xfId="28088" xr:uid="{00000000-0005-0000-0000-000077350000}"/>
    <cellStyle name="표준 5 2 2 3 3 3 7 3" xfId="36299" xr:uid="{00000000-0005-0000-0000-000078350000}"/>
    <cellStyle name="표준 5 2 2 3 3 3 7 4" xfId="44492" xr:uid="{00000000-0005-0000-0000-000079350000}"/>
    <cellStyle name="표준 5 2 2 3 3 3 8" xfId="11494" xr:uid="{00000000-0005-0000-0000-00007A350000}"/>
    <cellStyle name="표준 5 2 2 3 3 3 9" xfId="15734" xr:uid="{00000000-0005-0000-0000-00007B350000}"/>
    <cellStyle name="표준 5 2 2 3 3 4" xfId="655" xr:uid="{00000000-0005-0000-0000-00007C350000}"/>
    <cellStyle name="표준 5 2 2 3 3 4 10" xfId="24120" xr:uid="{00000000-0005-0000-0000-00007D350000}"/>
    <cellStyle name="표준 5 2 2 3 3 4 11" xfId="32331" xr:uid="{00000000-0005-0000-0000-00007E350000}"/>
    <cellStyle name="표준 5 2 2 3 3 4 12" xfId="40524" xr:uid="{00000000-0005-0000-0000-00007F350000}"/>
    <cellStyle name="표준 5 2 2 3 3 4 2" xfId="1167" xr:uid="{00000000-0005-0000-0000-000080350000}"/>
    <cellStyle name="표준 5 2 2 3 3 4 2 2" xfId="10070" xr:uid="{00000000-0005-0000-0000-000081350000}"/>
    <cellStyle name="표준 5 2 2 3 3 4 2 2 2" xfId="14182" xr:uid="{00000000-0005-0000-0000-000082350000}"/>
    <cellStyle name="표준 5 2 2 3 3 4 2 2 2 2" xfId="30776" xr:uid="{00000000-0005-0000-0000-000083350000}"/>
    <cellStyle name="표준 5 2 2 3 3 4 2 2 2 3" xfId="38987" xr:uid="{00000000-0005-0000-0000-000084350000}"/>
    <cellStyle name="표준 5 2 2 3 3 4 2 2 2 4" xfId="47180" xr:uid="{00000000-0005-0000-0000-000085350000}"/>
    <cellStyle name="표준 5 2 2 3 3 4 2 2 3" xfId="18422" xr:uid="{00000000-0005-0000-0000-000086350000}"/>
    <cellStyle name="표준 5 2 2 3 3 4 2 2 4" xfId="22584" xr:uid="{00000000-0005-0000-0000-000087350000}"/>
    <cellStyle name="표준 5 2 2 3 3 4 2 2 5" xfId="26680" xr:uid="{00000000-0005-0000-0000-000088350000}"/>
    <cellStyle name="표준 5 2 2 3 3 4 2 2 6" xfId="34891" xr:uid="{00000000-0005-0000-0000-000089350000}"/>
    <cellStyle name="표준 5 2 2 3 3 4 2 2 7" xfId="43084" xr:uid="{00000000-0005-0000-0000-00008A350000}"/>
    <cellStyle name="표준 5 2 2 3 3 4 2 3" xfId="8022" xr:uid="{00000000-0005-0000-0000-00008B350000}"/>
    <cellStyle name="표준 5 2 2 3 3 4 2 3 2" xfId="28728" xr:uid="{00000000-0005-0000-0000-00008C350000}"/>
    <cellStyle name="표준 5 2 2 3 3 4 2 3 3" xfId="36939" xr:uid="{00000000-0005-0000-0000-00008D350000}"/>
    <cellStyle name="표준 5 2 2 3 3 4 2 3 4" xfId="45132" xr:uid="{00000000-0005-0000-0000-00008E350000}"/>
    <cellStyle name="표준 5 2 2 3 3 4 2 4" xfId="12134" xr:uid="{00000000-0005-0000-0000-00008F350000}"/>
    <cellStyle name="표준 5 2 2 3 3 4 2 5" xfId="16374" xr:uid="{00000000-0005-0000-0000-000090350000}"/>
    <cellStyle name="표준 5 2 2 3 3 4 2 6" xfId="20536" xr:uid="{00000000-0005-0000-0000-000091350000}"/>
    <cellStyle name="표준 5 2 2 3 3 4 2 7" xfId="24632" xr:uid="{00000000-0005-0000-0000-000092350000}"/>
    <cellStyle name="표준 5 2 2 3 3 4 2 8" xfId="32843" xr:uid="{00000000-0005-0000-0000-000093350000}"/>
    <cellStyle name="표준 5 2 2 3 3 4 2 9" xfId="41036" xr:uid="{00000000-0005-0000-0000-000094350000}"/>
    <cellStyle name="표준 5 2 2 3 3 4 3" xfId="1679" xr:uid="{00000000-0005-0000-0000-000095350000}"/>
    <cellStyle name="표준 5 2 2 3 3 4 3 2" xfId="10582" xr:uid="{00000000-0005-0000-0000-000096350000}"/>
    <cellStyle name="표준 5 2 2 3 3 4 3 2 2" xfId="14694" xr:uid="{00000000-0005-0000-0000-000097350000}"/>
    <cellStyle name="표준 5 2 2 3 3 4 3 2 2 2" xfId="31288" xr:uid="{00000000-0005-0000-0000-000098350000}"/>
    <cellStyle name="표준 5 2 2 3 3 4 3 2 2 3" xfId="39499" xr:uid="{00000000-0005-0000-0000-000099350000}"/>
    <cellStyle name="표준 5 2 2 3 3 4 3 2 2 4" xfId="47692" xr:uid="{00000000-0005-0000-0000-00009A350000}"/>
    <cellStyle name="표준 5 2 2 3 3 4 3 2 3" xfId="18934" xr:uid="{00000000-0005-0000-0000-00009B350000}"/>
    <cellStyle name="표준 5 2 2 3 3 4 3 2 4" xfId="23096" xr:uid="{00000000-0005-0000-0000-00009C350000}"/>
    <cellStyle name="표준 5 2 2 3 3 4 3 2 5" xfId="27192" xr:uid="{00000000-0005-0000-0000-00009D350000}"/>
    <cellStyle name="표준 5 2 2 3 3 4 3 2 6" xfId="35403" xr:uid="{00000000-0005-0000-0000-00009E350000}"/>
    <cellStyle name="표준 5 2 2 3 3 4 3 2 7" xfId="43596" xr:uid="{00000000-0005-0000-0000-00009F350000}"/>
    <cellStyle name="표준 5 2 2 3 3 4 3 3" xfId="8534" xr:uid="{00000000-0005-0000-0000-0000A0350000}"/>
    <cellStyle name="표준 5 2 2 3 3 4 3 3 2" xfId="29240" xr:uid="{00000000-0005-0000-0000-0000A1350000}"/>
    <cellStyle name="표준 5 2 2 3 3 4 3 3 3" xfId="37451" xr:uid="{00000000-0005-0000-0000-0000A2350000}"/>
    <cellStyle name="표준 5 2 2 3 3 4 3 3 4" xfId="45644" xr:uid="{00000000-0005-0000-0000-0000A3350000}"/>
    <cellStyle name="표준 5 2 2 3 3 4 3 4" xfId="12646" xr:uid="{00000000-0005-0000-0000-0000A4350000}"/>
    <cellStyle name="표준 5 2 2 3 3 4 3 5" xfId="16886" xr:uid="{00000000-0005-0000-0000-0000A5350000}"/>
    <cellStyle name="표준 5 2 2 3 3 4 3 6" xfId="21048" xr:uid="{00000000-0005-0000-0000-0000A6350000}"/>
    <cellStyle name="표준 5 2 2 3 3 4 3 7" xfId="25144" xr:uid="{00000000-0005-0000-0000-0000A7350000}"/>
    <cellStyle name="표준 5 2 2 3 3 4 3 8" xfId="33355" xr:uid="{00000000-0005-0000-0000-0000A8350000}"/>
    <cellStyle name="표준 5 2 2 3 3 4 3 9" xfId="41548" xr:uid="{00000000-0005-0000-0000-0000A9350000}"/>
    <cellStyle name="표준 5 2 2 3 3 4 4" xfId="2191" xr:uid="{00000000-0005-0000-0000-0000AA350000}"/>
    <cellStyle name="표준 5 2 2 3 3 4 4 2" xfId="11094" xr:uid="{00000000-0005-0000-0000-0000AB350000}"/>
    <cellStyle name="표준 5 2 2 3 3 4 4 2 2" xfId="15206" xr:uid="{00000000-0005-0000-0000-0000AC350000}"/>
    <cellStyle name="표준 5 2 2 3 3 4 4 2 2 2" xfId="31800" xr:uid="{00000000-0005-0000-0000-0000AD350000}"/>
    <cellStyle name="표준 5 2 2 3 3 4 4 2 2 3" xfId="40011" xr:uid="{00000000-0005-0000-0000-0000AE350000}"/>
    <cellStyle name="표준 5 2 2 3 3 4 4 2 2 4" xfId="48204" xr:uid="{00000000-0005-0000-0000-0000AF350000}"/>
    <cellStyle name="표준 5 2 2 3 3 4 4 2 3" xfId="19446" xr:uid="{00000000-0005-0000-0000-0000B0350000}"/>
    <cellStyle name="표준 5 2 2 3 3 4 4 2 4" xfId="23608" xr:uid="{00000000-0005-0000-0000-0000B1350000}"/>
    <cellStyle name="표준 5 2 2 3 3 4 4 2 5" xfId="27704" xr:uid="{00000000-0005-0000-0000-0000B2350000}"/>
    <cellStyle name="표준 5 2 2 3 3 4 4 2 6" xfId="35915" xr:uid="{00000000-0005-0000-0000-0000B3350000}"/>
    <cellStyle name="표준 5 2 2 3 3 4 4 2 7" xfId="44108" xr:uid="{00000000-0005-0000-0000-0000B4350000}"/>
    <cellStyle name="표준 5 2 2 3 3 4 4 3" xfId="9046" xr:uid="{00000000-0005-0000-0000-0000B5350000}"/>
    <cellStyle name="표준 5 2 2 3 3 4 4 3 2" xfId="29752" xr:uid="{00000000-0005-0000-0000-0000B6350000}"/>
    <cellStyle name="표준 5 2 2 3 3 4 4 3 3" xfId="37963" xr:uid="{00000000-0005-0000-0000-0000B7350000}"/>
    <cellStyle name="표준 5 2 2 3 3 4 4 3 4" xfId="46156" xr:uid="{00000000-0005-0000-0000-0000B8350000}"/>
    <cellStyle name="표준 5 2 2 3 3 4 4 4" xfId="13158" xr:uid="{00000000-0005-0000-0000-0000B9350000}"/>
    <cellStyle name="표준 5 2 2 3 3 4 4 5" xfId="17398" xr:uid="{00000000-0005-0000-0000-0000BA350000}"/>
    <cellStyle name="표준 5 2 2 3 3 4 4 6" xfId="21560" xr:uid="{00000000-0005-0000-0000-0000BB350000}"/>
    <cellStyle name="표준 5 2 2 3 3 4 4 7" xfId="25656" xr:uid="{00000000-0005-0000-0000-0000BC350000}"/>
    <cellStyle name="표준 5 2 2 3 3 4 4 8" xfId="33867" xr:uid="{00000000-0005-0000-0000-0000BD350000}"/>
    <cellStyle name="표준 5 2 2 3 3 4 4 9" xfId="42060" xr:uid="{00000000-0005-0000-0000-0000BE350000}"/>
    <cellStyle name="표준 5 2 2 3 3 4 5" xfId="9558" xr:uid="{00000000-0005-0000-0000-0000BF350000}"/>
    <cellStyle name="표준 5 2 2 3 3 4 5 2" xfId="13670" xr:uid="{00000000-0005-0000-0000-0000C0350000}"/>
    <cellStyle name="표준 5 2 2 3 3 4 5 2 2" xfId="30264" xr:uid="{00000000-0005-0000-0000-0000C1350000}"/>
    <cellStyle name="표준 5 2 2 3 3 4 5 2 3" xfId="38475" xr:uid="{00000000-0005-0000-0000-0000C2350000}"/>
    <cellStyle name="표준 5 2 2 3 3 4 5 2 4" xfId="46668" xr:uid="{00000000-0005-0000-0000-0000C3350000}"/>
    <cellStyle name="표준 5 2 2 3 3 4 5 3" xfId="17910" xr:uid="{00000000-0005-0000-0000-0000C4350000}"/>
    <cellStyle name="표준 5 2 2 3 3 4 5 4" xfId="22072" xr:uid="{00000000-0005-0000-0000-0000C5350000}"/>
    <cellStyle name="표준 5 2 2 3 3 4 5 5" xfId="26168" xr:uid="{00000000-0005-0000-0000-0000C6350000}"/>
    <cellStyle name="표준 5 2 2 3 3 4 5 6" xfId="34379" xr:uid="{00000000-0005-0000-0000-0000C7350000}"/>
    <cellStyle name="표준 5 2 2 3 3 4 5 7" xfId="42572" xr:uid="{00000000-0005-0000-0000-0000C8350000}"/>
    <cellStyle name="표준 5 2 2 3 3 4 6" xfId="7510" xr:uid="{00000000-0005-0000-0000-0000C9350000}"/>
    <cellStyle name="표준 5 2 2 3 3 4 6 2" xfId="28216" xr:uid="{00000000-0005-0000-0000-0000CA350000}"/>
    <cellStyle name="표준 5 2 2 3 3 4 6 3" xfId="36427" xr:uid="{00000000-0005-0000-0000-0000CB350000}"/>
    <cellStyle name="표준 5 2 2 3 3 4 6 4" xfId="44620" xr:uid="{00000000-0005-0000-0000-0000CC350000}"/>
    <cellStyle name="표준 5 2 2 3 3 4 7" xfId="11622" xr:uid="{00000000-0005-0000-0000-0000CD350000}"/>
    <cellStyle name="표준 5 2 2 3 3 4 8" xfId="15862" xr:uid="{00000000-0005-0000-0000-0000CE350000}"/>
    <cellStyle name="표준 5 2 2 3 3 4 9" xfId="20024" xr:uid="{00000000-0005-0000-0000-0000CF350000}"/>
    <cellStyle name="표준 5 2 2 3 3 5" xfId="911" xr:uid="{00000000-0005-0000-0000-0000D0350000}"/>
    <cellStyle name="표준 5 2 2 3 3 5 2" xfId="9814" xr:uid="{00000000-0005-0000-0000-0000D1350000}"/>
    <cellStyle name="표준 5 2 2 3 3 5 2 2" xfId="13926" xr:uid="{00000000-0005-0000-0000-0000D2350000}"/>
    <cellStyle name="표준 5 2 2 3 3 5 2 2 2" xfId="30520" xr:uid="{00000000-0005-0000-0000-0000D3350000}"/>
    <cellStyle name="표준 5 2 2 3 3 5 2 2 3" xfId="38731" xr:uid="{00000000-0005-0000-0000-0000D4350000}"/>
    <cellStyle name="표준 5 2 2 3 3 5 2 2 4" xfId="46924" xr:uid="{00000000-0005-0000-0000-0000D5350000}"/>
    <cellStyle name="표준 5 2 2 3 3 5 2 3" xfId="18166" xr:uid="{00000000-0005-0000-0000-0000D6350000}"/>
    <cellStyle name="표준 5 2 2 3 3 5 2 4" xfId="22328" xr:uid="{00000000-0005-0000-0000-0000D7350000}"/>
    <cellStyle name="표준 5 2 2 3 3 5 2 5" xfId="26424" xr:uid="{00000000-0005-0000-0000-0000D8350000}"/>
    <cellStyle name="표준 5 2 2 3 3 5 2 6" xfId="34635" xr:uid="{00000000-0005-0000-0000-0000D9350000}"/>
    <cellStyle name="표준 5 2 2 3 3 5 2 7" xfId="42828" xr:uid="{00000000-0005-0000-0000-0000DA350000}"/>
    <cellStyle name="표준 5 2 2 3 3 5 3" xfId="7766" xr:uid="{00000000-0005-0000-0000-0000DB350000}"/>
    <cellStyle name="표준 5 2 2 3 3 5 3 2" xfId="28472" xr:uid="{00000000-0005-0000-0000-0000DC350000}"/>
    <cellStyle name="표준 5 2 2 3 3 5 3 3" xfId="36683" xr:uid="{00000000-0005-0000-0000-0000DD350000}"/>
    <cellStyle name="표준 5 2 2 3 3 5 3 4" xfId="44876" xr:uid="{00000000-0005-0000-0000-0000DE350000}"/>
    <cellStyle name="표준 5 2 2 3 3 5 4" xfId="11878" xr:uid="{00000000-0005-0000-0000-0000DF350000}"/>
    <cellStyle name="표준 5 2 2 3 3 5 5" xfId="16118" xr:uid="{00000000-0005-0000-0000-0000E0350000}"/>
    <cellStyle name="표준 5 2 2 3 3 5 6" xfId="20280" xr:uid="{00000000-0005-0000-0000-0000E1350000}"/>
    <cellStyle name="표준 5 2 2 3 3 5 7" xfId="24376" xr:uid="{00000000-0005-0000-0000-0000E2350000}"/>
    <cellStyle name="표준 5 2 2 3 3 5 8" xfId="32587" xr:uid="{00000000-0005-0000-0000-0000E3350000}"/>
    <cellStyle name="표준 5 2 2 3 3 5 9" xfId="40780" xr:uid="{00000000-0005-0000-0000-0000E4350000}"/>
    <cellStyle name="표준 5 2 2 3 3 6" xfId="1423" xr:uid="{00000000-0005-0000-0000-0000E5350000}"/>
    <cellStyle name="표준 5 2 2 3 3 6 2" xfId="10326" xr:uid="{00000000-0005-0000-0000-0000E6350000}"/>
    <cellStyle name="표준 5 2 2 3 3 6 2 2" xfId="14438" xr:uid="{00000000-0005-0000-0000-0000E7350000}"/>
    <cellStyle name="표준 5 2 2 3 3 6 2 2 2" xfId="31032" xr:uid="{00000000-0005-0000-0000-0000E8350000}"/>
    <cellStyle name="표준 5 2 2 3 3 6 2 2 3" xfId="39243" xr:uid="{00000000-0005-0000-0000-0000E9350000}"/>
    <cellStyle name="표준 5 2 2 3 3 6 2 2 4" xfId="47436" xr:uid="{00000000-0005-0000-0000-0000EA350000}"/>
    <cellStyle name="표준 5 2 2 3 3 6 2 3" xfId="18678" xr:uid="{00000000-0005-0000-0000-0000EB350000}"/>
    <cellStyle name="표준 5 2 2 3 3 6 2 4" xfId="22840" xr:uid="{00000000-0005-0000-0000-0000EC350000}"/>
    <cellStyle name="표준 5 2 2 3 3 6 2 5" xfId="26936" xr:uid="{00000000-0005-0000-0000-0000ED350000}"/>
    <cellStyle name="표준 5 2 2 3 3 6 2 6" xfId="35147" xr:uid="{00000000-0005-0000-0000-0000EE350000}"/>
    <cellStyle name="표준 5 2 2 3 3 6 2 7" xfId="43340" xr:uid="{00000000-0005-0000-0000-0000EF350000}"/>
    <cellStyle name="표준 5 2 2 3 3 6 3" xfId="8278" xr:uid="{00000000-0005-0000-0000-0000F0350000}"/>
    <cellStyle name="표준 5 2 2 3 3 6 3 2" xfId="28984" xr:uid="{00000000-0005-0000-0000-0000F1350000}"/>
    <cellStyle name="표준 5 2 2 3 3 6 3 3" xfId="37195" xr:uid="{00000000-0005-0000-0000-0000F2350000}"/>
    <cellStyle name="표준 5 2 2 3 3 6 3 4" xfId="45388" xr:uid="{00000000-0005-0000-0000-0000F3350000}"/>
    <cellStyle name="표준 5 2 2 3 3 6 4" xfId="12390" xr:uid="{00000000-0005-0000-0000-0000F4350000}"/>
    <cellStyle name="표준 5 2 2 3 3 6 5" xfId="16630" xr:uid="{00000000-0005-0000-0000-0000F5350000}"/>
    <cellStyle name="표준 5 2 2 3 3 6 6" xfId="20792" xr:uid="{00000000-0005-0000-0000-0000F6350000}"/>
    <cellStyle name="표준 5 2 2 3 3 6 7" xfId="24888" xr:uid="{00000000-0005-0000-0000-0000F7350000}"/>
    <cellStyle name="표준 5 2 2 3 3 6 8" xfId="33099" xr:uid="{00000000-0005-0000-0000-0000F8350000}"/>
    <cellStyle name="표준 5 2 2 3 3 6 9" xfId="41292" xr:uid="{00000000-0005-0000-0000-0000F9350000}"/>
    <cellStyle name="표준 5 2 2 3 3 7" xfId="1935" xr:uid="{00000000-0005-0000-0000-0000FA350000}"/>
    <cellStyle name="표준 5 2 2 3 3 7 2" xfId="10838" xr:uid="{00000000-0005-0000-0000-0000FB350000}"/>
    <cellStyle name="표준 5 2 2 3 3 7 2 2" xfId="14950" xr:uid="{00000000-0005-0000-0000-0000FC350000}"/>
    <cellStyle name="표준 5 2 2 3 3 7 2 2 2" xfId="31544" xr:uid="{00000000-0005-0000-0000-0000FD350000}"/>
    <cellStyle name="표준 5 2 2 3 3 7 2 2 3" xfId="39755" xr:uid="{00000000-0005-0000-0000-0000FE350000}"/>
    <cellStyle name="표준 5 2 2 3 3 7 2 2 4" xfId="47948" xr:uid="{00000000-0005-0000-0000-0000FF350000}"/>
    <cellStyle name="표준 5 2 2 3 3 7 2 3" xfId="19190" xr:uid="{00000000-0005-0000-0000-000000360000}"/>
    <cellStyle name="표준 5 2 2 3 3 7 2 4" xfId="23352" xr:uid="{00000000-0005-0000-0000-000001360000}"/>
    <cellStyle name="표준 5 2 2 3 3 7 2 5" xfId="27448" xr:uid="{00000000-0005-0000-0000-000002360000}"/>
    <cellStyle name="표준 5 2 2 3 3 7 2 6" xfId="35659" xr:uid="{00000000-0005-0000-0000-000003360000}"/>
    <cellStyle name="표준 5 2 2 3 3 7 2 7" xfId="43852" xr:uid="{00000000-0005-0000-0000-000004360000}"/>
    <cellStyle name="표준 5 2 2 3 3 7 3" xfId="8790" xr:uid="{00000000-0005-0000-0000-000005360000}"/>
    <cellStyle name="표준 5 2 2 3 3 7 3 2" xfId="29496" xr:uid="{00000000-0005-0000-0000-000006360000}"/>
    <cellStyle name="표준 5 2 2 3 3 7 3 3" xfId="37707" xr:uid="{00000000-0005-0000-0000-000007360000}"/>
    <cellStyle name="표준 5 2 2 3 3 7 3 4" xfId="45900" xr:uid="{00000000-0005-0000-0000-000008360000}"/>
    <cellStyle name="표준 5 2 2 3 3 7 4" xfId="12902" xr:uid="{00000000-0005-0000-0000-000009360000}"/>
    <cellStyle name="표준 5 2 2 3 3 7 5" xfId="17142" xr:uid="{00000000-0005-0000-0000-00000A360000}"/>
    <cellStyle name="표준 5 2 2 3 3 7 6" xfId="21304" xr:uid="{00000000-0005-0000-0000-00000B360000}"/>
    <cellStyle name="표준 5 2 2 3 3 7 7" xfId="25400" xr:uid="{00000000-0005-0000-0000-00000C360000}"/>
    <cellStyle name="표준 5 2 2 3 3 7 8" xfId="33611" xr:uid="{00000000-0005-0000-0000-00000D360000}"/>
    <cellStyle name="표준 5 2 2 3 3 7 9" xfId="41804" xr:uid="{00000000-0005-0000-0000-00000E360000}"/>
    <cellStyle name="표준 5 2 2 3 3 8" xfId="399" xr:uid="{00000000-0005-0000-0000-00000F360000}"/>
    <cellStyle name="표준 5 2 2 3 3 8 2" xfId="9302" xr:uid="{00000000-0005-0000-0000-000010360000}"/>
    <cellStyle name="표준 5 2 2 3 3 8 2 2" xfId="30008" xr:uid="{00000000-0005-0000-0000-000011360000}"/>
    <cellStyle name="표준 5 2 2 3 3 8 2 3" xfId="38219" xr:uid="{00000000-0005-0000-0000-000012360000}"/>
    <cellStyle name="표준 5 2 2 3 3 8 2 4" xfId="46412" xr:uid="{00000000-0005-0000-0000-000013360000}"/>
    <cellStyle name="표준 5 2 2 3 3 8 3" xfId="13414" xr:uid="{00000000-0005-0000-0000-000014360000}"/>
    <cellStyle name="표준 5 2 2 3 3 8 4" xfId="17654" xr:uid="{00000000-0005-0000-0000-000015360000}"/>
    <cellStyle name="표준 5 2 2 3 3 8 5" xfId="21816" xr:uid="{00000000-0005-0000-0000-000016360000}"/>
    <cellStyle name="표준 5 2 2 3 3 8 6" xfId="25912" xr:uid="{00000000-0005-0000-0000-000017360000}"/>
    <cellStyle name="표준 5 2 2 3 3 8 7" xfId="34123" xr:uid="{00000000-0005-0000-0000-000018360000}"/>
    <cellStyle name="표준 5 2 2 3 3 8 8" xfId="42316" xr:uid="{00000000-0005-0000-0000-000019360000}"/>
    <cellStyle name="표준 5 2 2 3 3 9" xfId="7001" xr:uid="{00000000-0005-0000-0000-00001A360000}"/>
    <cellStyle name="표준 5 2 2 3 3 9 2" xfId="27960" xr:uid="{00000000-0005-0000-0000-00001B360000}"/>
    <cellStyle name="표준 5 2 2 3 3 9 3" xfId="36171" xr:uid="{00000000-0005-0000-0000-00001C360000}"/>
    <cellStyle name="표준 5 2 2 3 3 9 4" xfId="44364" xr:uid="{00000000-0005-0000-0000-00001D360000}"/>
    <cellStyle name="표준 5 2 2 3 30" xfId="32026" xr:uid="{00000000-0005-0000-0000-00001E360000}"/>
    <cellStyle name="표준 5 2 2 3 31" xfId="32043" xr:uid="{00000000-0005-0000-0000-00001F360000}"/>
    <cellStyle name="표준 5 2 2 3 32" xfId="40236" xr:uid="{00000000-0005-0000-0000-000020360000}"/>
    <cellStyle name="표준 5 2 2 3 33" xfId="48438" xr:uid="{00000000-0005-0000-0000-000021360000}"/>
    <cellStyle name="표준 5 2 2 3 4" xfId="431" xr:uid="{00000000-0005-0000-0000-000022360000}"/>
    <cellStyle name="표준 5 2 2 3 4 10" xfId="11398" xr:uid="{00000000-0005-0000-0000-000023360000}"/>
    <cellStyle name="표준 5 2 2 3 4 11" xfId="15510" xr:uid="{00000000-0005-0000-0000-000024360000}"/>
    <cellStyle name="표준 5 2 2 3 4 12" xfId="15638" xr:uid="{00000000-0005-0000-0000-000025360000}"/>
    <cellStyle name="표준 5 2 2 3 4 13" xfId="19800" xr:uid="{00000000-0005-0000-0000-000026360000}"/>
    <cellStyle name="표준 5 2 2 3 4 14" xfId="23896" xr:uid="{00000000-0005-0000-0000-000027360000}"/>
    <cellStyle name="표준 5 2 2 3 4 15" xfId="32107" xr:uid="{00000000-0005-0000-0000-000028360000}"/>
    <cellStyle name="표준 5 2 2 3 4 16" xfId="40300" xr:uid="{00000000-0005-0000-0000-000029360000}"/>
    <cellStyle name="표준 5 2 2 3 4 2" xfId="559" xr:uid="{00000000-0005-0000-0000-00002A360000}"/>
    <cellStyle name="표준 5 2 2 3 4 2 10" xfId="19928" xr:uid="{00000000-0005-0000-0000-00002B360000}"/>
    <cellStyle name="표준 5 2 2 3 4 2 11" xfId="24024" xr:uid="{00000000-0005-0000-0000-00002C360000}"/>
    <cellStyle name="표준 5 2 2 3 4 2 12" xfId="32235" xr:uid="{00000000-0005-0000-0000-00002D360000}"/>
    <cellStyle name="표준 5 2 2 3 4 2 13" xfId="40428" xr:uid="{00000000-0005-0000-0000-00002E360000}"/>
    <cellStyle name="표준 5 2 2 3 4 2 2" xfId="815" xr:uid="{00000000-0005-0000-0000-00002F360000}"/>
    <cellStyle name="표준 5 2 2 3 4 2 2 10" xfId="24280" xr:uid="{00000000-0005-0000-0000-000030360000}"/>
    <cellStyle name="표준 5 2 2 3 4 2 2 11" xfId="32491" xr:uid="{00000000-0005-0000-0000-000031360000}"/>
    <cellStyle name="표준 5 2 2 3 4 2 2 12" xfId="40684" xr:uid="{00000000-0005-0000-0000-000032360000}"/>
    <cellStyle name="표준 5 2 2 3 4 2 2 2" xfId="1327" xr:uid="{00000000-0005-0000-0000-000033360000}"/>
    <cellStyle name="표준 5 2 2 3 4 2 2 2 2" xfId="10230" xr:uid="{00000000-0005-0000-0000-000034360000}"/>
    <cellStyle name="표준 5 2 2 3 4 2 2 2 2 2" xfId="14342" xr:uid="{00000000-0005-0000-0000-000035360000}"/>
    <cellStyle name="표준 5 2 2 3 4 2 2 2 2 2 2" xfId="30936" xr:uid="{00000000-0005-0000-0000-000036360000}"/>
    <cellStyle name="표준 5 2 2 3 4 2 2 2 2 2 3" xfId="39147" xr:uid="{00000000-0005-0000-0000-000037360000}"/>
    <cellStyle name="표준 5 2 2 3 4 2 2 2 2 2 4" xfId="47340" xr:uid="{00000000-0005-0000-0000-000038360000}"/>
    <cellStyle name="표준 5 2 2 3 4 2 2 2 2 3" xfId="18582" xr:uid="{00000000-0005-0000-0000-000039360000}"/>
    <cellStyle name="표준 5 2 2 3 4 2 2 2 2 4" xfId="22744" xr:uid="{00000000-0005-0000-0000-00003A360000}"/>
    <cellStyle name="표준 5 2 2 3 4 2 2 2 2 5" xfId="26840" xr:uid="{00000000-0005-0000-0000-00003B360000}"/>
    <cellStyle name="표준 5 2 2 3 4 2 2 2 2 6" xfId="35051" xr:uid="{00000000-0005-0000-0000-00003C360000}"/>
    <cellStyle name="표준 5 2 2 3 4 2 2 2 2 7" xfId="43244" xr:uid="{00000000-0005-0000-0000-00003D360000}"/>
    <cellStyle name="표준 5 2 2 3 4 2 2 2 3" xfId="8182" xr:uid="{00000000-0005-0000-0000-00003E360000}"/>
    <cellStyle name="표준 5 2 2 3 4 2 2 2 3 2" xfId="28888" xr:uid="{00000000-0005-0000-0000-00003F360000}"/>
    <cellStyle name="표준 5 2 2 3 4 2 2 2 3 3" xfId="37099" xr:uid="{00000000-0005-0000-0000-000040360000}"/>
    <cellStyle name="표준 5 2 2 3 4 2 2 2 3 4" xfId="45292" xr:uid="{00000000-0005-0000-0000-000041360000}"/>
    <cellStyle name="표준 5 2 2 3 4 2 2 2 4" xfId="12294" xr:uid="{00000000-0005-0000-0000-000042360000}"/>
    <cellStyle name="표준 5 2 2 3 4 2 2 2 5" xfId="16534" xr:uid="{00000000-0005-0000-0000-000043360000}"/>
    <cellStyle name="표준 5 2 2 3 4 2 2 2 6" xfId="20696" xr:uid="{00000000-0005-0000-0000-000044360000}"/>
    <cellStyle name="표준 5 2 2 3 4 2 2 2 7" xfId="24792" xr:uid="{00000000-0005-0000-0000-000045360000}"/>
    <cellStyle name="표준 5 2 2 3 4 2 2 2 8" xfId="33003" xr:uid="{00000000-0005-0000-0000-000046360000}"/>
    <cellStyle name="표준 5 2 2 3 4 2 2 2 9" xfId="41196" xr:uid="{00000000-0005-0000-0000-000047360000}"/>
    <cellStyle name="표준 5 2 2 3 4 2 2 3" xfId="1839" xr:uid="{00000000-0005-0000-0000-000048360000}"/>
    <cellStyle name="표준 5 2 2 3 4 2 2 3 2" xfId="10742" xr:uid="{00000000-0005-0000-0000-000049360000}"/>
    <cellStyle name="표준 5 2 2 3 4 2 2 3 2 2" xfId="14854" xr:uid="{00000000-0005-0000-0000-00004A360000}"/>
    <cellStyle name="표준 5 2 2 3 4 2 2 3 2 2 2" xfId="31448" xr:uid="{00000000-0005-0000-0000-00004B360000}"/>
    <cellStyle name="표준 5 2 2 3 4 2 2 3 2 2 3" xfId="39659" xr:uid="{00000000-0005-0000-0000-00004C360000}"/>
    <cellStyle name="표준 5 2 2 3 4 2 2 3 2 2 4" xfId="47852" xr:uid="{00000000-0005-0000-0000-00004D360000}"/>
    <cellStyle name="표준 5 2 2 3 4 2 2 3 2 3" xfId="19094" xr:uid="{00000000-0005-0000-0000-00004E360000}"/>
    <cellStyle name="표준 5 2 2 3 4 2 2 3 2 4" xfId="23256" xr:uid="{00000000-0005-0000-0000-00004F360000}"/>
    <cellStyle name="표준 5 2 2 3 4 2 2 3 2 5" xfId="27352" xr:uid="{00000000-0005-0000-0000-000050360000}"/>
    <cellStyle name="표준 5 2 2 3 4 2 2 3 2 6" xfId="35563" xr:uid="{00000000-0005-0000-0000-000051360000}"/>
    <cellStyle name="표준 5 2 2 3 4 2 2 3 2 7" xfId="43756" xr:uid="{00000000-0005-0000-0000-000052360000}"/>
    <cellStyle name="표준 5 2 2 3 4 2 2 3 3" xfId="8694" xr:uid="{00000000-0005-0000-0000-000053360000}"/>
    <cellStyle name="표준 5 2 2 3 4 2 2 3 3 2" xfId="29400" xr:uid="{00000000-0005-0000-0000-000054360000}"/>
    <cellStyle name="표준 5 2 2 3 4 2 2 3 3 3" xfId="37611" xr:uid="{00000000-0005-0000-0000-000055360000}"/>
    <cellStyle name="표준 5 2 2 3 4 2 2 3 3 4" xfId="45804" xr:uid="{00000000-0005-0000-0000-000056360000}"/>
    <cellStyle name="표준 5 2 2 3 4 2 2 3 4" xfId="12806" xr:uid="{00000000-0005-0000-0000-000057360000}"/>
    <cellStyle name="표준 5 2 2 3 4 2 2 3 5" xfId="17046" xr:uid="{00000000-0005-0000-0000-000058360000}"/>
    <cellStyle name="표준 5 2 2 3 4 2 2 3 6" xfId="21208" xr:uid="{00000000-0005-0000-0000-000059360000}"/>
    <cellStyle name="표준 5 2 2 3 4 2 2 3 7" xfId="25304" xr:uid="{00000000-0005-0000-0000-00005A360000}"/>
    <cellStyle name="표준 5 2 2 3 4 2 2 3 8" xfId="33515" xr:uid="{00000000-0005-0000-0000-00005B360000}"/>
    <cellStyle name="표준 5 2 2 3 4 2 2 3 9" xfId="41708" xr:uid="{00000000-0005-0000-0000-00005C360000}"/>
    <cellStyle name="표준 5 2 2 3 4 2 2 4" xfId="2351" xr:uid="{00000000-0005-0000-0000-00005D360000}"/>
    <cellStyle name="표준 5 2 2 3 4 2 2 4 2" xfId="11254" xr:uid="{00000000-0005-0000-0000-00005E360000}"/>
    <cellStyle name="표준 5 2 2 3 4 2 2 4 2 2" xfId="15366" xr:uid="{00000000-0005-0000-0000-00005F360000}"/>
    <cellStyle name="표준 5 2 2 3 4 2 2 4 2 2 2" xfId="31960" xr:uid="{00000000-0005-0000-0000-000060360000}"/>
    <cellStyle name="표준 5 2 2 3 4 2 2 4 2 2 3" xfId="40171" xr:uid="{00000000-0005-0000-0000-000061360000}"/>
    <cellStyle name="표준 5 2 2 3 4 2 2 4 2 2 4" xfId="48364" xr:uid="{00000000-0005-0000-0000-000062360000}"/>
    <cellStyle name="표준 5 2 2 3 4 2 2 4 2 3" xfId="19606" xr:uid="{00000000-0005-0000-0000-000063360000}"/>
    <cellStyle name="표준 5 2 2 3 4 2 2 4 2 4" xfId="23768" xr:uid="{00000000-0005-0000-0000-000064360000}"/>
    <cellStyle name="표준 5 2 2 3 4 2 2 4 2 5" xfId="27864" xr:uid="{00000000-0005-0000-0000-000065360000}"/>
    <cellStyle name="표준 5 2 2 3 4 2 2 4 2 6" xfId="36075" xr:uid="{00000000-0005-0000-0000-000066360000}"/>
    <cellStyle name="표준 5 2 2 3 4 2 2 4 2 7" xfId="44268" xr:uid="{00000000-0005-0000-0000-000067360000}"/>
    <cellStyle name="표준 5 2 2 3 4 2 2 4 3" xfId="9206" xr:uid="{00000000-0005-0000-0000-000068360000}"/>
    <cellStyle name="표준 5 2 2 3 4 2 2 4 3 2" xfId="29912" xr:uid="{00000000-0005-0000-0000-000069360000}"/>
    <cellStyle name="표준 5 2 2 3 4 2 2 4 3 3" xfId="38123" xr:uid="{00000000-0005-0000-0000-00006A360000}"/>
    <cellStyle name="표준 5 2 2 3 4 2 2 4 3 4" xfId="46316" xr:uid="{00000000-0005-0000-0000-00006B360000}"/>
    <cellStyle name="표준 5 2 2 3 4 2 2 4 4" xfId="13318" xr:uid="{00000000-0005-0000-0000-00006C360000}"/>
    <cellStyle name="표준 5 2 2 3 4 2 2 4 5" xfId="17558" xr:uid="{00000000-0005-0000-0000-00006D360000}"/>
    <cellStyle name="표준 5 2 2 3 4 2 2 4 6" xfId="21720" xr:uid="{00000000-0005-0000-0000-00006E360000}"/>
    <cellStyle name="표준 5 2 2 3 4 2 2 4 7" xfId="25816" xr:uid="{00000000-0005-0000-0000-00006F360000}"/>
    <cellStyle name="표준 5 2 2 3 4 2 2 4 8" xfId="34027" xr:uid="{00000000-0005-0000-0000-000070360000}"/>
    <cellStyle name="표준 5 2 2 3 4 2 2 4 9" xfId="42220" xr:uid="{00000000-0005-0000-0000-000071360000}"/>
    <cellStyle name="표준 5 2 2 3 4 2 2 5" xfId="9718" xr:uid="{00000000-0005-0000-0000-000072360000}"/>
    <cellStyle name="표준 5 2 2 3 4 2 2 5 2" xfId="13830" xr:uid="{00000000-0005-0000-0000-000073360000}"/>
    <cellStyle name="표준 5 2 2 3 4 2 2 5 2 2" xfId="30424" xr:uid="{00000000-0005-0000-0000-000074360000}"/>
    <cellStyle name="표준 5 2 2 3 4 2 2 5 2 3" xfId="38635" xr:uid="{00000000-0005-0000-0000-000075360000}"/>
    <cellStyle name="표준 5 2 2 3 4 2 2 5 2 4" xfId="46828" xr:uid="{00000000-0005-0000-0000-000076360000}"/>
    <cellStyle name="표준 5 2 2 3 4 2 2 5 3" xfId="18070" xr:uid="{00000000-0005-0000-0000-000077360000}"/>
    <cellStyle name="표준 5 2 2 3 4 2 2 5 4" xfId="22232" xr:uid="{00000000-0005-0000-0000-000078360000}"/>
    <cellStyle name="표준 5 2 2 3 4 2 2 5 5" xfId="26328" xr:uid="{00000000-0005-0000-0000-000079360000}"/>
    <cellStyle name="표준 5 2 2 3 4 2 2 5 6" xfId="34539" xr:uid="{00000000-0005-0000-0000-00007A360000}"/>
    <cellStyle name="표준 5 2 2 3 4 2 2 5 7" xfId="42732" xr:uid="{00000000-0005-0000-0000-00007B360000}"/>
    <cellStyle name="표준 5 2 2 3 4 2 2 6" xfId="7670" xr:uid="{00000000-0005-0000-0000-00007C360000}"/>
    <cellStyle name="표준 5 2 2 3 4 2 2 6 2" xfId="28376" xr:uid="{00000000-0005-0000-0000-00007D360000}"/>
    <cellStyle name="표준 5 2 2 3 4 2 2 6 3" xfId="36587" xr:uid="{00000000-0005-0000-0000-00007E360000}"/>
    <cellStyle name="표준 5 2 2 3 4 2 2 6 4" xfId="44780" xr:uid="{00000000-0005-0000-0000-00007F360000}"/>
    <cellStyle name="표준 5 2 2 3 4 2 2 7" xfId="11782" xr:uid="{00000000-0005-0000-0000-000080360000}"/>
    <cellStyle name="표준 5 2 2 3 4 2 2 8" xfId="16022" xr:uid="{00000000-0005-0000-0000-000081360000}"/>
    <cellStyle name="표준 5 2 2 3 4 2 2 9" xfId="20184" xr:uid="{00000000-0005-0000-0000-000082360000}"/>
    <cellStyle name="표준 5 2 2 3 4 2 3" xfId="1071" xr:uid="{00000000-0005-0000-0000-000083360000}"/>
    <cellStyle name="표준 5 2 2 3 4 2 3 2" xfId="9974" xr:uid="{00000000-0005-0000-0000-000084360000}"/>
    <cellStyle name="표준 5 2 2 3 4 2 3 2 2" xfId="14086" xr:uid="{00000000-0005-0000-0000-000085360000}"/>
    <cellStyle name="표준 5 2 2 3 4 2 3 2 2 2" xfId="30680" xr:uid="{00000000-0005-0000-0000-000086360000}"/>
    <cellStyle name="표준 5 2 2 3 4 2 3 2 2 3" xfId="38891" xr:uid="{00000000-0005-0000-0000-000087360000}"/>
    <cellStyle name="표준 5 2 2 3 4 2 3 2 2 4" xfId="47084" xr:uid="{00000000-0005-0000-0000-000088360000}"/>
    <cellStyle name="표준 5 2 2 3 4 2 3 2 3" xfId="18326" xr:uid="{00000000-0005-0000-0000-000089360000}"/>
    <cellStyle name="표준 5 2 2 3 4 2 3 2 4" xfId="22488" xr:uid="{00000000-0005-0000-0000-00008A360000}"/>
    <cellStyle name="표준 5 2 2 3 4 2 3 2 5" xfId="26584" xr:uid="{00000000-0005-0000-0000-00008B360000}"/>
    <cellStyle name="표준 5 2 2 3 4 2 3 2 6" xfId="34795" xr:uid="{00000000-0005-0000-0000-00008C360000}"/>
    <cellStyle name="표준 5 2 2 3 4 2 3 2 7" xfId="42988" xr:uid="{00000000-0005-0000-0000-00008D360000}"/>
    <cellStyle name="표준 5 2 2 3 4 2 3 3" xfId="7926" xr:uid="{00000000-0005-0000-0000-00008E360000}"/>
    <cellStyle name="표준 5 2 2 3 4 2 3 3 2" xfId="28632" xr:uid="{00000000-0005-0000-0000-00008F360000}"/>
    <cellStyle name="표준 5 2 2 3 4 2 3 3 3" xfId="36843" xr:uid="{00000000-0005-0000-0000-000090360000}"/>
    <cellStyle name="표준 5 2 2 3 4 2 3 3 4" xfId="45036" xr:uid="{00000000-0005-0000-0000-000091360000}"/>
    <cellStyle name="표준 5 2 2 3 4 2 3 4" xfId="12038" xr:uid="{00000000-0005-0000-0000-000092360000}"/>
    <cellStyle name="표준 5 2 2 3 4 2 3 5" xfId="16278" xr:uid="{00000000-0005-0000-0000-000093360000}"/>
    <cellStyle name="표준 5 2 2 3 4 2 3 6" xfId="20440" xr:uid="{00000000-0005-0000-0000-000094360000}"/>
    <cellStyle name="표준 5 2 2 3 4 2 3 7" xfId="24536" xr:uid="{00000000-0005-0000-0000-000095360000}"/>
    <cellStyle name="표준 5 2 2 3 4 2 3 8" xfId="32747" xr:uid="{00000000-0005-0000-0000-000096360000}"/>
    <cellStyle name="표준 5 2 2 3 4 2 3 9" xfId="40940" xr:uid="{00000000-0005-0000-0000-000097360000}"/>
    <cellStyle name="표준 5 2 2 3 4 2 4" xfId="1583" xr:uid="{00000000-0005-0000-0000-000098360000}"/>
    <cellStyle name="표준 5 2 2 3 4 2 4 2" xfId="10486" xr:uid="{00000000-0005-0000-0000-000099360000}"/>
    <cellStyle name="표준 5 2 2 3 4 2 4 2 2" xfId="14598" xr:uid="{00000000-0005-0000-0000-00009A360000}"/>
    <cellStyle name="표준 5 2 2 3 4 2 4 2 2 2" xfId="31192" xr:uid="{00000000-0005-0000-0000-00009B360000}"/>
    <cellStyle name="표준 5 2 2 3 4 2 4 2 2 3" xfId="39403" xr:uid="{00000000-0005-0000-0000-00009C360000}"/>
    <cellStyle name="표준 5 2 2 3 4 2 4 2 2 4" xfId="47596" xr:uid="{00000000-0005-0000-0000-00009D360000}"/>
    <cellStyle name="표준 5 2 2 3 4 2 4 2 3" xfId="18838" xr:uid="{00000000-0005-0000-0000-00009E360000}"/>
    <cellStyle name="표준 5 2 2 3 4 2 4 2 4" xfId="23000" xr:uid="{00000000-0005-0000-0000-00009F360000}"/>
    <cellStyle name="표준 5 2 2 3 4 2 4 2 5" xfId="27096" xr:uid="{00000000-0005-0000-0000-0000A0360000}"/>
    <cellStyle name="표준 5 2 2 3 4 2 4 2 6" xfId="35307" xr:uid="{00000000-0005-0000-0000-0000A1360000}"/>
    <cellStyle name="표준 5 2 2 3 4 2 4 2 7" xfId="43500" xr:uid="{00000000-0005-0000-0000-0000A2360000}"/>
    <cellStyle name="표준 5 2 2 3 4 2 4 3" xfId="8438" xr:uid="{00000000-0005-0000-0000-0000A3360000}"/>
    <cellStyle name="표준 5 2 2 3 4 2 4 3 2" xfId="29144" xr:uid="{00000000-0005-0000-0000-0000A4360000}"/>
    <cellStyle name="표준 5 2 2 3 4 2 4 3 3" xfId="37355" xr:uid="{00000000-0005-0000-0000-0000A5360000}"/>
    <cellStyle name="표준 5 2 2 3 4 2 4 3 4" xfId="45548" xr:uid="{00000000-0005-0000-0000-0000A6360000}"/>
    <cellStyle name="표준 5 2 2 3 4 2 4 4" xfId="12550" xr:uid="{00000000-0005-0000-0000-0000A7360000}"/>
    <cellStyle name="표준 5 2 2 3 4 2 4 5" xfId="16790" xr:uid="{00000000-0005-0000-0000-0000A8360000}"/>
    <cellStyle name="표준 5 2 2 3 4 2 4 6" xfId="20952" xr:uid="{00000000-0005-0000-0000-0000A9360000}"/>
    <cellStyle name="표준 5 2 2 3 4 2 4 7" xfId="25048" xr:uid="{00000000-0005-0000-0000-0000AA360000}"/>
    <cellStyle name="표준 5 2 2 3 4 2 4 8" xfId="33259" xr:uid="{00000000-0005-0000-0000-0000AB360000}"/>
    <cellStyle name="표준 5 2 2 3 4 2 4 9" xfId="41452" xr:uid="{00000000-0005-0000-0000-0000AC360000}"/>
    <cellStyle name="표준 5 2 2 3 4 2 5" xfId="2095" xr:uid="{00000000-0005-0000-0000-0000AD360000}"/>
    <cellStyle name="표준 5 2 2 3 4 2 5 2" xfId="10998" xr:uid="{00000000-0005-0000-0000-0000AE360000}"/>
    <cellStyle name="표준 5 2 2 3 4 2 5 2 2" xfId="15110" xr:uid="{00000000-0005-0000-0000-0000AF360000}"/>
    <cellStyle name="표준 5 2 2 3 4 2 5 2 2 2" xfId="31704" xr:uid="{00000000-0005-0000-0000-0000B0360000}"/>
    <cellStyle name="표준 5 2 2 3 4 2 5 2 2 3" xfId="39915" xr:uid="{00000000-0005-0000-0000-0000B1360000}"/>
    <cellStyle name="표준 5 2 2 3 4 2 5 2 2 4" xfId="48108" xr:uid="{00000000-0005-0000-0000-0000B2360000}"/>
    <cellStyle name="표준 5 2 2 3 4 2 5 2 3" xfId="19350" xr:uid="{00000000-0005-0000-0000-0000B3360000}"/>
    <cellStyle name="표준 5 2 2 3 4 2 5 2 4" xfId="23512" xr:uid="{00000000-0005-0000-0000-0000B4360000}"/>
    <cellStyle name="표준 5 2 2 3 4 2 5 2 5" xfId="27608" xr:uid="{00000000-0005-0000-0000-0000B5360000}"/>
    <cellStyle name="표준 5 2 2 3 4 2 5 2 6" xfId="35819" xr:uid="{00000000-0005-0000-0000-0000B6360000}"/>
    <cellStyle name="표준 5 2 2 3 4 2 5 2 7" xfId="44012" xr:uid="{00000000-0005-0000-0000-0000B7360000}"/>
    <cellStyle name="표준 5 2 2 3 4 2 5 3" xfId="8950" xr:uid="{00000000-0005-0000-0000-0000B8360000}"/>
    <cellStyle name="표준 5 2 2 3 4 2 5 3 2" xfId="29656" xr:uid="{00000000-0005-0000-0000-0000B9360000}"/>
    <cellStyle name="표준 5 2 2 3 4 2 5 3 3" xfId="37867" xr:uid="{00000000-0005-0000-0000-0000BA360000}"/>
    <cellStyle name="표준 5 2 2 3 4 2 5 3 4" xfId="46060" xr:uid="{00000000-0005-0000-0000-0000BB360000}"/>
    <cellStyle name="표준 5 2 2 3 4 2 5 4" xfId="13062" xr:uid="{00000000-0005-0000-0000-0000BC360000}"/>
    <cellStyle name="표준 5 2 2 3 4 2 5 5" xfId="17302" xr:uid="{00000000-0005-0000-0000-0000BD360000}"/>
    <cellStyle name="표준 5 2 2 3 4 2 5 6" xfId="21464" xr:uid="{00000000-0005-0000-0000-0000BE360000}"/>
    <cellStyle name="표준 5 2 2 3 4 2 5 7" xfId="25560" xr:uid="{00000000-0005-0000-0000-0000BF360000}"/>
    <cellStyle name="표준 5 2 2 3 4 2 5 8" xfId="33771" xr:uid="{00000000-0005-0000-0000-0000C0360000}"/>
    <cellStyle name="표준 5 2 2 3 4 2 5 9" xfId="41964" xr:uid="{00000000-0005-0000-0000-0000C1360000}"/>
    <cellStyle name="표준 5 2 2 3 4 2 6" xfId="9462" xr:uid="{00000000-0005-0000-0000-0000C2360000}"/>
    <cellStyle name="표준 5 2 2 3 4 2 6 2" xfId="13574" xr:uid="{00000000-0005-0000-0000-0000C3360000}"/>
    <cellStyle name="표준 5 2 2 3 4 2 6 2 2" xfId="30168" xr:uid="{00000000-0005-0000-0000-0000C4360000}"/>
    <cellStyle name="표준 5 2 2 3 4 2 6 2 3" xfId="38379" xr:uid="{00000000-0005-0000-0000-0000C5360000}"/>
    <cellStyle name="표준 5 2 2 3 4 2 6 2 4" xfId="46572" xr:uid="{00000000-0005-0000-0000-0000C6360000}"/>
    <cellStyle name="표준 5 2 2 3 4 2 6 3" xfId="17814" xr:uid="{00000000-0005-0000-0000-0000C7360000}"/>
    <cellStyle name="표준 5 2 2 3 4 2 6 4" xfId="21976" xr:uid="{00000000-0005-0000-0000-0000C8360000}"/>
    <cellStyle name="표준 5 2 2 3 4 2 6 5" xfId="26072" xr:uid="{00000000-0005-0000-0000-0000C9360000}"/>
    <cellStyle name="표준 5 2 2 3 4 2 6 6" xfId="34283" xr:uid="{00000000-0005-0000-0000-0000CA360000}"/>
    <cellStyle name="표준 5 2 2 3 4 2 6 7" xfId="42476" xr:uid="{00000000-0005-0000-0000-0000CB360000}"/>
    <cellStyle name="표준 5 2 2 3 4 2 7" xfId="7414" xr:uid="{00000000-0005-0000-0000-0000CC360000}"/>
    <cellStyle name="표준 5 2 2 3 4 2 7 2" xfId="28120" xr:uid="{00000000-0005-0000-0000-0000CD360000}"/>
    <cellStyle name="표준 5 2 2 3 4 2 7 3" xfId="36331" xr:uid="{00000000-0005-0000-0000-0000CE360000}"/>
    <cellStyle name="표준 5 2 2 3 4 2 7 4" xfId="44524" xr:uid="{00000000-0005-0000-0000-0000CF360000}"/>
    <cellStyle name="표준 5 2 2 3 4 2 8" xfId="11526" xr:uid="{00000000-0005-0000-0000-0000D0360000}"/>
    <cellStyle name="표준 5 2 2 3 4 2 9" xfId="15766" xr:uid="{00000000-0005-0000-0000-0000D1360000}"/>
    <cellStyle name="표준 5 2 2 3 4 3" xfId="687" xr:uid="{00000000-0005-0000-0000-0000D2360000}"/>
    <cellStyle name="표준 5 2 2 3 4 3 10" xfId="24152" xr:uid="{00000000-0005-0000-0000-0000D3360000}"/>
    <cellStyle name="표준 5 2 2 3 4 3 11" xfId="32363" xr:uid="{00000000-0005-0000-0000-0000D4360000}"/>
    <cellStyle name="표준 5 2 2 3 4 3 12" xfId="40556" xr:uid="{00000000-0005-0000-0000-0000D5360000}"/>
    <cellStyle name="표준 5 2 2 3 4 3 2" xfId="1199" xr:uid="{00000000-0005-0000-0000-0000D6360000}"/>
    <cellStyle name="표준 5 2 2 3 4 3 2 2" xfId="10102" xr:uid="{00000000-0005-0000-0000-0000D7360000}"/>
    <cellStyle name="표준 5 2 2 3 4 3 2 2 2" xfId="14214" xr:uid="{00000000-0005-0000-0000-0000D8360000}"/>
    <cellStyle name="표준 5 2 2 3 4 3 2 2 2 2" xfId="30808" xr:uid="{00000000-0005-0000-0000-0000D9360000}"/>
    <cellStyle name="표준 5 2 2 3 4 3 2 2 2 3" xfId="39019" xr:uid="{00000000-0005-0000-0000-0000DA360000}"/>
    <cellStyle name="표준 5 2 2 3 4 3 2 2 2 4" xfId="47212" xr:uid="{00000000-0005-0000-0000-0000DB360000}"/>
    <cellStyle name="표준 5 2 2 3 4 3 2 2 3" xfId="18454" xr:uid="{00000000-0005-0000-0000-0000DC360000}"/>
    <cellStyle name="표준 5 2 2 3 4 3 2 2 4" xfId="22616" xr:uid="{00000000-0005-0000-0000-0000DD360000}"/>
    <cellStyle name="표준 5 2 2 3 4 3 2 2 5" xfId="26712" xr:uid="{00000000-0005-0000-0000-0000DE360000}"/>
    <cellStyle name="표준 5 2 2 3 4 3 2 2 6" xfId="34923" xr:uid="{00000000-0005-0000-0000-0000DF360000}"/>
    <cellStyle name="표준 5 2 2 3 4 3 2 2 7" xfId="43116" xr:uid="{00000000-0005-0000-0000-0000E0360000}"/>
    <cellStyle name="표준 5 2 2 3 4 3 2 3" xfId="8054" xr:uid="{00000000-0005-0000-0000-0000E1360000}"/>
    <cellStyle name="표준 5 2 2 3 4 3 2 3 2" xfId="28760" xr:uid="{00000000-0005-0000-0000-0000E2360000}"/>
    <cellStyle name="표준 5 2 2 3 4 3 2 3 3" xfId="36971" xr:uid="{00000000-0005-0000-0000-0000E3360000}"/>
    <cellStyle name="표준 5 2 2 3 4 3 2 3 4" xfId="45164" xr:uid="{00000000-0005-0000-0000-0000E4360000}"/>
    <cellStyle name="표준 5 2 2 3 4 3 2 4" xfId="12166" xr:uid="{00000000-0005-0000-0000-0000E5360000}"/>
    <cellStyle name="표준 5 2 2 3 4 3 2 5" xfId="16406" xr:uid="{00000000-0005-0000-0000-0000E6360000}"/>
    <cellStyle name="표준 5 2 2 3 4 3 2 6" xfId="20568" xr:uid="{00000000-0005-0000-0000-0000E7360000}"/>
    <cellStyle name="표준 5 2 2 3 4 3 2 7" xfId="24664" xr:uid="{00000000-0005-0000-0000-0000E8360000}"/>
    <cellStyle name="표준 5 2 2 3 4 3 2 8" xfId="32875" xr:uid="{00000000-0005-0000-0000-0000E9360000}"/>
    <cellStyle name="표준 5 2 2 3 4 3 2 9" xfId="41068" xr:uid="{00000000-0005-0000-0000-0000EA360000}"/>
    <cellStyle name="표준 5 2 2 3 4 3 3" xfId="1711" xr:uid="{00000000-0005-0000-0000-0000EB360000}"/>
    <cellStyle name="표준 5 2 2 3 4 3 3 2" xfId="10614" xr:uid="{00000000-0005-0000-0000-0000EC360000}"/>
    <cellStyle name="표준 5 2 2 3 4 3 3 2 2" xfId="14726" xr:uid="{00000000-0005-0000-0000-0000ED360000}"/>
    <cellStyle name="표준 5 2 2 3 4 3 3 2 2 2" xfId="31320" xr:uid="{00000000-0005-0000-0000-0000EE360000}"/>
    <cellStyle name="표준 5 2 2 3 4 3 3 2 2 3" xfId="39531" xr:uid="{00000000-0005-0000-0000-0000EF360000}"/>
    <cellStyle name="표준 5 2 2 3 4 3 3 2 2 4" xfId="47724" xr:uid="{00000000-0005-0000-0000-0000F0360000}"/>
    <cellStyle name="표준 5 2 2 3 4 3 3 2 3" xfId="18966" xr:uid="{00000000-0005-0000-0000-0000F1360000}"/>
    <cellStyle name="표준 5 2 2 3 4 3 3 2 4" xfId="23128" xr:uid="{00000000-0005-0000-0000-0000F2360000}"/>
    <cellStyle name="표준 5 2 2 3 4 3 3 2 5" xfId="27224" xr:uid="{00000000-0005-0000-0000-0000F3360000}"/>
    <cellStyle name="표준 5 2 2 3 4 3 3 2 6" xfId="35435" xr:uid="{00000000-0005-0000-0000-0000F4360000}"/>
    <cellStyle name="표준 5 2 2 3 4 3 3 2 7" xfId="43628" xr:uid="{00000000-0005-0000-0000-0000F5360000}"/>
    <cellStyle name="표준 5 2 2 3 4 3 3 3" xfId="8566" xr:uid="{00000000-0005-0000-0000-0000F6360000}"/>
    <cellStyle name="표준 5 2 2 3 4 3 3 3 2" xfId="29272" xr:uid="{00000000-0005-0000-0000-0000F7360000}"/>
    <cellStyle name="표준 5 2 2 3 4 3 3 3 3" xfId="37483" xr:uid="{00000000-0005-0000-0000-0000F8360000}"/>
    <cellStyle name="표준 5 2 2 3 4 3 3 3 4" xfId="45676" xr:uid="{00000000-0005-0000-0000-0000F9360000}"/>
    <cellStyle name="표준 5 2 2 3 4 3 3 4" xfId="12678" xr:uid="{00000000-0005-0000-0000-0000FA360000}"/>
    <cellStyle name="표준 5 2 2 3 4 3 3 5" xfId="16918" xr:uid="{00000000-0005-0000-0000-0000FB360000}"/>
    <cellStyle name="표준 5 2 2 3 4 3 3 6" xfId="21080" xr:uid="{00000000-0005-0000-0000-0000FC360000}"/>
    <cellStyle name="표준 5 2 2 3 4 3 3 7" xfId="25176" xr:uid="{00000000-0005-0000-0000-0000FD360000}"/>
    <cellStyle name="표준 5 2 2 3 4 3 3 8" xfId="33387" xr:uid="{00000000-0005-0000-0000-0000FE360000}"/>
    <cellStyle name="표준 5 2 2 3 4 3 3 9" xfId="41580" xr:uid="{00000000-0005-0000-0000-0000FF360000}"/>
    <cellStyle name="표준 5 2 2 3 4 3 4" xfId="2223" xr:uid="{00000000-0005-0000-0000-000000370000}"/>
    <cellStyle name="표준 5 2 2 3 4 3 4 2" xfId="11126" xr:uid="{00000000-0005-0000-0000-000001370000}"/>
    <cellStyle name="표준 5 2 2 3 4 3 4 2 2" xfId="15238" xr:uid="{00000000-0005-0000-0000-000002370000}"/>
    <cellStyle name="표준 5 2 2 3 4 3 4 2 2 2" xfId="31832" xr:uid="{00000000-0005-0000-0000-000003370000}"/>
    <cellStyle name="표준 5 2 2 3 4 3 4 2 2 3" xfId="40043" xr:uid="{00000000-0005-0000-0000-000004370000}"/>
    <cellStyle name="표준 5 2 2 3 4 3 4 2 2 4" xfId="48236" xr:uid="{00000000-0005-0000-0000-000005370000}"/>
    <cellStyle name="표준 5 2 2 3 4 3 4 2 3" xfId="19478" xr:uid="{00000000-0005-0000-0000-000006370000}"/>
    <cellStyle name="표준 5 2 2 3 4 3 4 2 4" xfId="23640" xr:uid="{00000000-0005-0000-0000-000007370000}"/>
    <cellStyle name="표준 5 2 2 3 4 3 4 2 5" xfId="27736" xr:uid="{00000000-0005-0000-0000-000008370000}"/>
    <cellStyle name="표준 5 2 2 3 4 3 4 2 6" xfId="35947" xr:uid="{00000000-0005-0000-0000-000009370000}"/>
    <cellStyle name="표준 5 2 2 3 4 3 4 2 7" xfId="44140" xr:uid="{00000000-0005-0000-0000-00000A370000}"/>
    <cellStyle name="표준 5 2 2 3 4 3 4 3" xfId="9078" xr:uid="{00000000-0005-0000-0000-00000B370000}"/>
    <cellStyle name="표준 5 2 2 3 4 3 4 3 2" xfId="29784" xr:uid="{00000000-0005-0000-0000-00000C370000}"/>
    <cellStyle name="표준 5 2 2 3 4 3 4 3 3" xfId="37995" xr:uid="{00000000-0005-0000-0000-00000D370000}"/>
    <cellStyle name="표준 5 2 2 3 4 3 4 3 4" xfId="46188" xr:uid="{00000000-0005-0000-0000-00000E370000}"/>
    <cellStyle name="표준 5 2 2 3 4 3 4 4" xfId="13190" xr:uid="{00000000-0005-0000-0000-00000F370000}"/>
    <cellStyle name="표준 5 2 2 3 4 3 4 5" xfId="17430" xr:uid="{00000000-0005-0000-0000-000010370000}"/>
    <cellStyle name="표준 5 2 2 3 4 3 4 6" xfId="21592" xr:uid="{00000000-0005-0000-0000-000011370000}"/>
    <cellStyle name="표준 5 2 2 3 4 3 4 7" xfId="25688" xr:uid="{00000000-0005-0000-0000-000012370000}"/>
    <cellStyle name="표준 5 2 2 3 4 3 4 8" xfId="33899" xr:uid="{00000000-0005-0000-0000-000013370000}"/>
    <cellStyle name="표준 5 2 2 3 4 3 4 9" xfId="42092" xr:uid="{00000000-0005-0000-0000-000014370000}"/>
    <cellStyle name="표준 5 2 2 3 4 3 5" xfId="9590" xr:uid="{00000000-0005-0000-0000-000015370000}"/>
    <cellStyle name="표준 5 2 2 3 4 3 5 2" xfId="13702" xr:uid="{00000000-0005-0000-0000-000016370000}"/>
    <cellStyle name="표준 5 2 2 3 4 3 5 2 2" xfId="30296" xr:uid="{00000000-0005-0000-0000-000017370000}"/>
    <cellStyle name="표준 5 2 2 3 4 3 5 2 3" xfId="38507" xr:uid="{00000000-0005-0000-0000-000018370000}"/>
    <cellStyle name="표준 5 2 2 3 4 3 5 2 4" xfId="46700" xr:uid="{00000000-0005-0000-0000-000019370000}"/>
    <cellStyle name="표준 5 2 2 3 4 3 5 3" xfId="17942" xr:uid="{00000000-0005-0000-0000-00001A370000}"/>
    <cellStyle name="표준 5 2 2 3 4 3 5 4" xfId="22104" xr:uid="{00000000-0005-0000-0000-00001B370000}"/>
    <cellStyle name="표준 5 2 2 3 4 3 5 5" xfId="26200" xr:uid="{00000000-0005-0000-0000-00001C370000}"/>
    <cellStyle name="표준 5 2 2 3 4 3 5 6" xfId="34411" xr:uid="{00000000-0005-0000-0000-00001D370000}"/>
    <cellStyle name="표준 5 2 2 3 4 3 5 7" xfId="42604" xr:uid="{00000000-0005-0000-0000-00001E370000}"/>
    <cellStyle name="표준 5 2 2 3 4 3 6" xfId="7542" xr:uid="{00000000-0005-0000-0000-00001F370000}"/>
    <cellStyle name="표준 5 2 2 3 4 3 6 2" xfId="28248" xr:uid="{00000000-0005-0000-0000-000020370000}"/>
    <cellStyle name="표준 5 2 2 3 4 3 6 3" xfId="36459" xr:uid="{00000000-0005-0000-0000-000021370000}"/>
    <cellStyle name="표준 5 2 2 3 4 3 6 4" xfId="44652" xr:uid="{00000000-0005-0000-0000-000022370000}"/>
    <cellStyle name="표준 5 2 2 3 4 3 7" xfId="11654" xr:uid="{00000000-0005-0000-0000-000023370000}"/>
    <cellStyle name="표준 5 2 2 3 4 3 8" xfId="15894" xr:uid="{00000000-0005-0000-0000-000024370000}"/>
    <cellStyle name="표준 5 2 2 3 4 3 9" xfId="20056" xr:uid="{00000000-0005-0000-0000-000025370000}"/>
    <cellStyle name="표준 5 2 2 3 4 4" xfId="943" xr:uid="{00000000-0005-0000-0000-000026370000}"/>
    <cellStyle name="표준 5 2 2 3 4 4 2" xfId="9846" xr:uid="{00000000-0005-0000-0000-000027370000}"/>
    <cellStyle name="표준 5 2 2 3 4 4 2 2" xfId="13958" xr:uid="{00000000-0005-0000-0000-000028370000}"/>
    <cellStyle name="표준 5 2 2 3 4 4 2 2 2" xfId="30552" xr:uid="{00000000-0005-0000-0000-000029370000}"/>
    <cellStyle name="표준 5 2 2 3 4 4 2 2 3" xfId="38763" xr:uid="{00000000-0005-0000-0000-00002A370000}"/>
    <cellStyle name="표준 5 2 2 3 4 4 2 2 4" xfId="46956" xr:uid="{00000000-0005-0000-0000-00002B370000}"/>
    <cellStyle name="표준 5 2 2 3 4 4 2 3" xfId="18198" xr:uid="{00000000-0005-0000-0000-00002C370000}"/>
    <cellStyle name="표준 5 2 2 3 4 4 2 4" xfId="22360" xr:uid="{00000000-0005-0000-0000-00002D370000}"/>
    <cellStyle name="표준 5 2 2 3 4 4 2 5" xfId="26456" xr:uid="{00000000-0005-0000-0000-00002E370000}"/>
    <cellStyle name="표준 5 2 2 3 4 4 2 6" xfId="34667" xr:uid="{00000000-0005-0000-0000-00002F370000}"/>
    <cellStyle name="표준 5 2 2 3 4 4 2 7" xfId="42860" xr:uid="{00000000-0005-0000-0000-000030370000}"/>
    <cellStyle name="표준 5 2 2 3 4 4 3" xfId="7798" xr:uid="{00000000-0005-0000-0000-000031370000}"/>
    <cellStyle name="표준 5 2 2 3 4 4 3 2" xfId="28504" xr:uid="{00000000-0005-0000-0000-000032370000}"/>
    <cellStyle name="표준 5 2 2 3 4 4 3 3" xfId="36715" xr:uid="{00000000-0005-0000-0000-000033370000}"/>
    <cellStyle name="표준 5 2 2 3 4 4 3 4" xfId="44908" xr:uid="{00000000-0005-0000-0000-000034370000}"/>
    <cellStyle name="표준 5 2 2 3 4 4 4" xfId="11910" xr:uid="{00000000-0005-0000-0000-000035370000}"/>
    <cellStyle name="표준 5 2 2 3 4 4 5" xfId="16150" xr:uid="{00000000-0005-0000-0000-000036370000}"/>
    <cellStyle name="표준 5 2 2 3 4 4 6" xfId="20312" xr:uid="{00000000-0005-0000-0000-000037370000}"/>
    <cellStyle name="표준 5 2 2 3 4 4 7" xfId="24408" xr:uid="{00000000-0005-0000-0000-000038370000}"/>
    <cellStyle name="표준 5 2 2 3 4 4 8" xfId="32619" xr:uid="{00000000-0005-0000-0000-000039370000}"/>
    <cellStyle name="표준 5 2 2 3 4 4 9" xfId="40812" xr:uid="{00000000-0005-0000-0000-00003A370000}"/>
    <cellStyle name="표준 5 2 2 3 4 5" xfId="1455" xr:uid="{00000000-0005-0000-0000-00003B370000}"/>
    <cellStyle name="표준 5 2 2 3 4 5 2" xfId="10358" xr:uid="{00000000-0005-0000-0000-00003C370000}"/>
    <cellStyle name="표준 5 2 2 3 4 5 2 2" xfId="14470" xr:uid="{00000000-0005-0000-0000-00003D370000}"/>
    <cellStyle name="표준 5 2 2 3 4 5 2 2 2" xfId="31064" xr:uid="{00000000-0005-0000-0000-00003E370000}"/>
    <cellStyle name="표준 5 2 2 3 4 5 2 2 3" xfId="39275" xr:uid="{00000000-0005-0000-0000-00003F370000}"/>
    <cellStyle name="표준 5 2 2 3 4 5 2 2 4" xfId="47468" xr:uid="{00000000-0005-0000-0000-000040370000}"/>
    <cellStyle name="표준 5 2 2 3 4 5 2 3" xfId="18710" xr:uid="{00000000-0005-0000-0000-000041370000}"/>
    <cellStyle name="표준 5 2 2 3 4 5 2 4" xfId="22872" xr:uid="{00000000-0005-0000-0000-000042370000}"/>
    <cellStyle name="표준 5 2 2 3 4 5 2 5" xfId="26968" xr:uid="{00000000-0005-0000-0000-000043370000}"/>
    <cellStyle name="표준 5 2 2 3 4 5 2 6" xfId="35179" xr:uid="{00000000-0005-0000-0000-000044370000}"/>
    <cellStyle name="표준 5 2 2 3 4 5 2 7" xfId="43372" xr:uid="{00000000-0005-0000-0000-000045370000}"/>
    <cellStyle name="표준 5 2 2 3 4 5 3" xfId="8310" xr:uid="{00000000-0005-0000-0000-000046370000}"/>
    <cellStyle name="표준 5 2 2 3 4 5 3 2" xfId="29016" xr:uid="{00000000-0005-0000-0000-000047370000}"/>
    <cellStyle name="표준 5 2 2 3 4 5 3 3" xfId="37227" xr:uid="{00000000-0005-0000-0000-000048370000}"/>
    <cellStyle name="표준 5 2 2 3 4 5 3 4" xfId="45420" xr:uid="{00000000-0005-0000-0000-000049370000}"/>
    <cellStyle name="표준 5 2 2 3 4 5 4" xfId="12422" xr:uid="{00000000-0005-0000-0000-00004A370000}"/>
    <cellStyle name="표준 5 2 2 3 4 5 5" xfId="16662" xr:uid="{00000000-0005-0000-0000-00004B370000}"/>
    <cellStyle name="표준 5 2 2 3 4 5 6" xfId="20824" xr:uid="{00000000-0005-0000-0000-00004C370000}"/>
    <cellStyle name="표준 5 2 2 3 4 5 7" xfId="24920" xr:uid="{00000000-0005-0000-0000-00004D370000}"/>
    <cellStyle name="표준 5 2 2 3 4 5 8" xfId="33131" xr:uid="{00000000-0005-0000-0000-00004E370000}"/>
    <cellStyle name="표준 5 2 2 3 4 5 9" xfId="41324" xr:uid="{00000000-0005-0000-0000-00004F370000}"/>
    <cellStyle name="표준 5 2 2 3 4 6" xfId="1967" xr:uid="{00000000-0005-0000-0000-000050370000}"/>
    <cellStyle name="표준 5 2 2 3 4 6 2" xfId="10870" xr:uid="{00000000-0005-0000-0000-000051370000}"/>
    <cellStyle name="표준 5 2 2 3 4 6 2 2" xfId="14982" xr:uid="{00000000-0005-0000-0000-000052370000}"/>
    <cellStyle name="표준 5 2 2 3 4 6 2 2 2" xfId="31576" xr:uid="{00000000-0005-0000-0000-000053370000}"/>
    <cellStyle name="표준 5 2 2 3 4 6 2 2 3" xfId="39787" xr:uid="{00000000-0005-0000-0000-000054370000}"/>
    <cellStyle name="표준 5 2 2 3 4 6 2 2 4" xfId="47980" xr:uid="{00000000-0005-0000-0000-000055370000}"/>
    <cellStyle name="표준 5 2 2 3 4 6 2 3" xfId="19222" xr:uid="{00000000-0005-0000-0000-000056370000}"/>
    <cellStyle name="표준 5 2 2 3 4 6 2 4" xfId="23384" xr:uid="{00000000-0005-0000-0000-000057370000}"/>
    <cellStyle name="표준 5 2 2 3 4 6 2 5" xfId="27480" xr:uid="{00000000-0005-0000-0000-000058370000}"/>
    <cellStyle name="표준 5 2 2 3 4 6 2 6" xfId="35691" xr:uid="{00000000-0005-0000-0000-000059370000}"/>
    <cellStyle name="표준 5 2 2 3 4 6 2 7" xfId="43884" xr:uid="{00000000-0005-0000-0000-00005A370000}"/>
    <cellStyle name="표준 5 2 2 3 4 6 3" xfId="8822" xr:uid="{00000000-0005-0000-0000-00005B370000}"/>
    <cellStyle name="표준 5 2 2 3 4 6 3 2" xfId="29528" xr:uid="{00000000-0005-0000-0000-00005C370000}"/>
    <cellStyle name="표준 5 2 2 3 4 6 3 3" xfId="37739" xr:uid="{00000000-0005-0000-0000-00005D370000}"/>
    <cellStyle name="표준 5 2 2 3 4 6 3 4" xfId="45932" xr:uid="{00000000-0005-0000-0000-00005E370000}"/>
    <cellStyle name="표준 5 2 2 3 4 6 4" xfId="12934" xr:uid="{00000000-0005-0000-0000-00005F370000}"/>
    <cellStyle name="표준 5 2 2 3 4 6 5" xfId="17174" xr:uid="{00000000-0005-0000-0000-000060370000}"/>
    <cellStyle name="표준 5 2 2 3 4 6 6" xfId="21336" xr:uid="{00000000-0005-0000-0000-000061370000}"/>
    <cellStyle name="표준 5 2 2 3 4 6 7" xfId="25432" xr:uid="{00000000-0005-0000-0000-000062370000}"/>
    <cellStyle name="표준 5 2 2 3 4 6 8" xfId="33643" xr:uid="{00000000-0005-0000-0000-000063370000}"/>
    <cellStyle name="표준 5 2 2 3 4 6 9" xfId="41836" xr:uid="{00000000-0005-0000-0000-000064370000}"/>
    <cellStyle name="표준 5 2 2 3 4 7" xfId="7027" xr:uid="{00000000-0005-0000-0000-000065370000}"/>
    <cellStyle name="표준 5 2 2 3 4 7 2" xfId="9334" xr:uid="{00000000-0005-0000-0000-000066370000}"/>
    <cellStyle name="표준 5 2 2 3 4 7 2 2" xfId="30040" xr:uid="{00000000-0005-0000-0000-000067370000}"/>
    <cellStyle name="표준 5 2 2 3 4 7 2 3" xfId="38251" xr:uid="{00000000-0005-0000-0000-000068370000}"/>
    <cellStyle name="표준 5 2 2 3 4 7 2 4" xfId="46444" xr:uid="{00000000-0005-0000-0000-000069370000}"/>
    <cellStyle name="표준 5 2 2 3 4 7 3" xfId="13446" xr:uid="{00000000-0005-0000-0000-00006A370000}"/>
    <cellStyle name="표준 5 2 2 3 4 7 4" xfId="17686" xr:uid="{00000000-0005-0000-0000-00006B370000}"/>
    <cellStyle name="표준 5 2 2 3 4 7 5" xfId="21848" xr:uid="{00000000-0005-0000-0000-00006C370000}"/>
    <cellStyle name="표준 5 2 2 3 4 7 6" xfId="25944" xr:uid="{00000000-0005-0000-0000-00006D370000}"/>
    <cellStyle name="표준 5 2 2 3 4 7 7" xfId="34155" xr:uid="{00000000-0005-0000-0000-00006E370000}"/>
    <cellStyle name="표준 5 2 2 3 4 7 8" xfId="42348" xr:uid="{00000000-0005-0000-0000-00006F370000}"/>
    <cellStyle name="표준 5 2 2 3 4 8" xfId="7151" xr:uid="{00000000-0005-0000-0000-000070370000}"/>
    <cellStyle name="표준 5 2 2 3 4 8 2" xfId="27992" xr:uid="{00000000-0005-0000-0000-000071370000}"/>
    <cellStyle name="표준 5 2 2 3 4 8 3" xfId="36203" xr:uid="{00000000-0005-0000-0000-000072370000}"/>
    <cellStyle name="표준 5 2 2 3 4 8 4" xfId="44396" xr:uid="{00000000-0005-0000-0000-000073370000}"/>
    <cellStyle name="표준 5 2 2 3 4 9" xfId="7286" xr:uid="{00000000-0005-0000-0000-000074370000}"/>
    <cellStyle name="표준 5 2 2 3 5" xfId="495" xr:uid="{00000000-0005-0000-0000-000075370000}"/>
    <cellStyle name="표준 5 2 2 3 5 10" xfId="19864" xr:uid="{00000000-0005-0000-0000-000076370000}"/>
    <cellStyle name="표준 5 2 2 3 5 11" xfId="23960" xr:uid="{00000000-0005-0000-0000-000077370000}"/>
    <cellStyle name="표준 5 2 2 3 5 12" xfId="32171" xr:uid="{00000000-0005-0000-0000-000078370000}"/>
    <cellStyle name="표준 5 2 2 3 5 13" xfId="40364" xr:uid="{00000000-0005-0000-0000-000079370000}"/>
    <cellStyle name="표준 5 2 2 3 5 2" xfId="751" xr:uid="{00000000-0005-0000-0000-00007A370000}"/>
    <cellStyle name="표준 5 2 2 3 5 2 10" xfId="24216" xr:uid="{00000000-0005-0000-0000-00007B370000}"/>
    <cellStyle name="표준 5 2 2 3 5 2 11" xfId="32427" xr:uid="{00000000-0005-0000-0000-00007C370000}"/>
    <cellStyle name="표준 5 2 2 3 5 2 12" xfId="40620" xr:uid="{00000000-0005-0000-0000-00007D370000}"/>
    <cellStyle name="표준 5 2 2 3 5 2 2" xfId="1263" xr:uid="{00000000-0005-0000-0000-00007E370000}"/>
    <cellStyle name="표준 5 2 2 3 5 2 2 2" xfId="10166" xr:uid="{00000000-0005-0000-0000-00007F370000}"/>
    <cellStyle name="표준 5 2 2 3 5 2 2 2 2" xfId="14278" xr:uid="{00000000-0005-0000-0000-000080370000}"/>
    <cellStyle name="표준 5 2 2 3 5 2 2 2 2 2" xfId="30872" xr:uid="{00000000-0005-0000-0000-000081370000}"/>
    <cellStyle name="표준 5 2 2 3 5 2 2 2 2 3" xfId="39083" xr:uid="{00000000-0005-0000-0000-000082370000}"/>
    <cellStyle name="표준 5 2 2 3 5 2 2 2 2 4" xfId="47276" xr:uid="{00000000-0005-0000-0000-000083370000}"/>
    <cellStyle name="표준 5 2 2 3 5 2 2 2 3" xfId="18518" xr:uid="{00000000-0005-0000-0000-000084370000}"/>
    <cellStyle name="표준 5 2 2 3 5 2 2 2 4" xfId="22680" xr:uid="{00000000-0005-0000-0000-000085370000}"/>
    <cellStyle name="표준 5 2 2 3 5 2 2 2 5" xfId="26776" xr:uid="{00000000-0005-0000-0000-000086370000}"/>
    <cellStyle name="표준 5 2 2 3 5 2 2 2 6" xfId="34987" xr:uid="{00000000-0005-0000-0000-000087370000}"/>
    <cellStyle name="표준 5 2 2 3 5 2 2 2 7" xfId="43180" xr:uid="{00000000-0005-0000-0000-000088370000}"/>
    <cellStyle name="표준 5 2 2 3 5 2 2 3" xfId="8118" xr:uid="{00000000-0005-0000-0000-000089370000}"/>
    <cellStyle name="표준 5 2 2 3 5 2 2 3 2" xfId="28824" xr:uid="{00000000-0005-0000-0000-00008A370000}"/>
    <cellStyle name="표준 5 2 2 3 5 2 2 3 3" xfId="37035" xr:uid="{00000000-0005-0000-0000-00008B370000}"/>
    <cellStyle name="표준 5 2 2 3 5 2 2 3 4" xfId="45228" xr:uid="{00000000-0005-0000-0000-00008C370000}"/>
    <cellStyle name="표준 5 2 2 3 5 2 2 4" xfId="12230" xr:uid="{00000000-0005-0000-0000-00008D370000}"/>
    <cellStyle name="표준 5 2 2 3 5 2 2 5" xfId="16470" xr:uid="{00000000-0005-0000-0000-00008E370000}"/>
    <cellStyle name="표준 5 2 2 3 5 2 2 6" xfId="20632" xr:uid="{00000000-0005-0000-0000-00008F370000}"/>
    <cellStyle name="표준 5 2 2 3 5 2 2 7" xfId="24728" xr:uid="{00000000-0005-0000-0000-000090370000}"/>
    <cellStyle name="표준 5 2 2 3 5 2 2 8" xfId="32939" xr:uid="{00000000-0005-0000-0000-000091370000}"/>
    <cellStyle name="표준 5 2 2 3 5 2 2 9" xfId="41132" xr:uid="{00000000-0005-0000-0000-000092370000}"/>
    <cellStyle name="표준 5 2 2 3 5 2 3" xfId="1775" xr:uid="{00000000-0005-0000-0000-000093370000}"/>
    <cellStyle name="표준 5 2 2 3 5 2 3 2" xfId="10678" xr:uid="{00000000-0005-0000-0000-000094370000}"/>
    <cellStyle name="표준 5 2 2 3 5 2 3 2 2" xfId="14790" xr:uid="{00000000-0005-0000-0000-000095370000}"/>
    <cellStyle name="표준 5 2 2 3 5 2 3 2 2 2" xfId="31384" xr:uid="{00000000-0005-0000-0000-000096370000}"/>
    <cellStyle name="표준 5 2 2 3 5 2 3 2 2 3" xfId="39595" xr:uid="{00000000-0005-0000-0000-000097370000}"/>
    <cellStyle name="표준 5 2 2 3 5 2 3 2 2 4" xfId="47788" xr:uid="{00000000-0005-0000-0000-000098370000}"/>
    <cellStyle name="표준 5 2 2 3 5 2 3 2 3" xfId="19030" xr:uid="{00000000-0005-0000-0000-000099370000}"/>
    <cellStyle name="표준 5 2 2 3 5 2 3 2 4" xfId="23192" xr:uid="{00000000-0005-0000-0000-00009A370000}"/>
    <cellStyle name="표준 5 2 2 3 5 2 3 2 5" xfId="27288" xr:uid="{00000000-0005-0000-0000-00009B370000}"/>
    <cellStyle name="표준 5 2 2 3 5 2 3 2 6" xfId="35499" xr:uid="{00000000-0005-0000-0000-00009C370000}"/>
    <cellStyle name="표준 5 2 2 3 5 2 3 2 7" xfId="43692" xr:uid="{00000000-0005-0000-0000-00009D370000}"/>
    <cellStyle name="표준 5 2 2 3 5 2 3 3" xfId="8630" xr:uid="{00000000-0005-0000-0000-00009E370000}"/>
    <cellStyle name="표준 5 2 2 3 5 2 3 3 2" xfId="29336" xr:uid="{00000000-0005-0000-0000-00009F370000}"/>
    <cellStyle name="표준 5 2 2 3 5 2 3 3 3" xfId="37547" xr:uid="{00000000-0005-0000-0000-0000A0370000}"/>
    <cellStyle name="표준 5 2 2 3 5 2 3 3 4" xfId="45740" xr:uid="{00000000-0005-0000-0000-0000A1370000}"/>
    <cellStyle name="표준 5 2 2 3 5 2 3 4" xfId="12742" xr:uid="{00000000-0005-0000-0000-0000A2370000}"/>
    <cellStyle name="표준 5 2 2 3 5 2 3 5" xfId="16982" xr:uid="{00000000-0005-0000-0000-0000A3370000}"/>
    <cellStyle name="표준 5 2 2 3 5 2 3 6" xfId="21144" xr:uid="{00000000-0005-0000-0000-0000A4370000}"/>
    <cellStyle name="표준 5 2 2 3 5 2 3 7" xfId="25240" xr:uid="{00000000-0005-0000-0000-0000A5370000}"/>
    <cellStyle name="표준 5 2 2 3 5 2 3 8" xfId="33451" xr:uid="{00000000-0005-0000-0000-0000A6370000}"/>
    <cellStyle name="표준 5 2 2 3 5 2 3 9" xfId="41644" xr:uid="{00000000-0005-0000-0000-0000A7370000}"/>
    <cellStyle name="표준 5 2 2 3 5 2 4" xfId="2287" xr:uid="{00000000-0005-0000-0000-0000A8370000}"/>
    <cellStyle name="표준 5 2 2 3 5 2 4 2" xfId="11190" xr:uid="{00000000-0005-0000-0000-0000A9370000}"/>
    <cellStyle name="표준 5 2 2 3 5 2 4 2 2" xfId="15302" xr:uid="{00000000-0005-0000-0000-0000AA370000}"/>
    <cellStyle name="표준 5 2 2 3 5 2 4 2 2 2" xfId="31896" xr:uid="{00000000-0005-0000-0000-0000AB370000}"/>
    <cellStyle name="표준 5 2 2 3 5 2 4 2 2 3" xfId="40107" xr:uid="{00000000-0005-0000-0000-0000AC370000}"/>
    <cellStyle name="표준 5 2 2 3 5 2 4 2 2 4" xfId="48300" xr:uid="{00000000-0005-0000-0000-0000AD370000}"/>
    <cellStyle name="표준 5 2 2 3 5 2 4 2 3" xfId="19542" xr:uid="{00000000-0005-0000-0000-0000AE370000}"/>
    <cellStyle name="표준 5 2 2 3 5 2 4 2 4" xfId="23704" xr:uid="{00000000-0005-0000-0000-0000AF370000}"/>
    <cellStyle name="표준 5 2 2 3 5 2 4 2 5" xfId="27800" xr:uid="{00000000-0005-0000-0000-0000B0370000}"/>
    <cellStyle name="표준 5 2 2 3 5 2 4 2 6" xfId="36011" xr:uid="{00000000-0005-0000-0000-0000B1370000}"/>
    <cellStyle name="표준 5 2 2 3 5 2 4 2 7" xfId="44204" xr:uid="{00000000-0005-0000-0000-0000B2370000}"/>
    <cellStyle name="표준 5 2 2 3 5 2 4 3" xfId="9142" xr:uid="{00000000-0005-0000-0000-0000B3370000}"/>
    <cellStyle name="표준 5 2 2 3 5 2 4 3 2" xfId="29848" xr:uid="{00000000-0005-0000-0000-0000B4370000}"/>
    <cellStyle name="표준 5 2 2 3 5 2 4 3 3" xfId="38059" xr:uid="{00000000-0005-0000-0000-0000B5370000}"/>
    <cellStyle name="표준 5 2 2 3 5 2 4 3 4" xfId="46252" xr:uid="{00000000-0005-0000-0000-0000B6370000}"/>
    <cellStyle name="표준 5 2 2 3 5 2 4 4" xfId="13254" xr:uid="{00000000-0005-0000-0000-0000B7370000}"/>
    <cellStyle name="표준 5 2 2 3 5 2 4 5" xfId="17494" xr:uid="{00000000-0005-0000-0000-0000B8370000}"/>
    <cellStyle name="표준 5 2 2 3 5 2 4 6" xfId="21656" xr:uid="{00000000-0005-0000-0000-0000B9370000}"/>
    <cellStyle name="표준 5 2 2 3 5 2 4 7" xfId="25752" xr:uid="{00000000-0005-0000-0000-0000BA370000}"/>
    <cellStyle name="표준 5 2 2 3 5 2 4 8" xfId="33963" xr:uid="{00000000-0005-0000-0000-0000BB370000}"/>
    <cellStyle name="표준 5 2 2 3 5 2 4 9" xfId="42156" xr:uid="{00000000-0005-0000-0000-0000BC370000}"/>
    <cellStyle name="표준 5 2 2 3 5 2 5" xfId="9654" xr:uid="{00000000-0005-0000-0000-0000BD370000}"/>
    <cellStyle name="표준 5 2 2 3 5 2 5 2" xfId="13766" xr:uid="{00000000-0005-0000-0000-0000BE370000}"/>
    <cellStyle name="표준 5 2 2 3 5 2 5 2 2" xfId="30360" xr:uid="{00000000-0005-0000-0000-0000BF370000}"/>
    <cellStyle name="표준 5 2 2 3 5 2 5 2 3" xfId="38571" xr:uid="{00000000-0005-0000-0000-0000C0370000}"/>
    <cellStyle name="표준 5 2 2 3 5 2 5 2 4" xfId="46764" xr:uid="{00000000-0005-0000-0000-0000C1370000}"/>
    <cellStyle name="표준 5 2 2 3 5 2 5 3" xfId="18006" xr:uid="{00000000-0005-0000-0000-0000C2370000}"/>
    <cellStyle name="표준 5 2 2 3 5 2 5 4" xfId="22168" xr:uid="{00000000-0005-0000-0000-0000C3370000}"/>
    <cellStyle name="표준 5 2 2 3 5 2 5 5" xfId="26264" xr:uid="{00000000-0005-0000-0000-0000C4370000}"/>
    <cellStyle name="표준 5 2 2 3 5 2 5 6" xfId="34475" xr:uid="{00000000-0005-0000-0000-0000C5370000}"/>
    <cellStyle name="표준 5 2 2 3 5 2 5 7" xfId="42668" xr:uid="{00000000-0005-0000-0000-0000C6370000}"/>
    <cellStyle name="표준 5 2 2 3 5 2 6" xfId="7606" xr:uid="{00000000-0005-0000-0000-0000C7370000}"/>
    <cellStyle name="표준 5 2 2 3 5 2 6 2" xfId="28312" xr:uid="{00000000-0005-0000-0000-0000C8370000}"/>
    <cellStyle name="표준 5 2 2 3 5 2 6 3" xfId="36523" xr:uid="{00000000-0005-0000-0000-0000C9370000}"/>
    <cellStyle name="표준 5 2 2 3 5 2 6 4" xfId="44716" xr:uid="{00000000-0005-0000-0000-0000CA370000}"/>
    <cellStyle name="표준 5 2 2 3 5 2 7" xfId="11718" xr:uid="{00000000-0005-0000-0000-0000CB370000}"/>
    <cellStyle name="표준 5 2 2 3 5 2 8" xfId="15958" xr:uid="{00000000-0005-0000-0000-0000CC370000}"/>
    <cellStyle name="표준 5 2 2 3 5 2 9" xfId="20120" xr:uid="{00000000-0005-0000-0000-0000CD370000}"/>
    <cellStyle name="표준 5 2 2 3 5 3" xfId="1007" xr:uid="{00000000-0005-0000-0000-0000CE370000}"/>
    <cellStyle name="표준 5 2 2 3 5 3 2" xfId="9910" xr:uid="{00000000-0005-0000-0000-0000CF370000}"/>
    <cellStyle name="표준 5 2 2 3 5 3 2 2" xfId="14022" xr:uid="{00000000-0005-0000-0000-0000D0370000}"/>
    <cellStyle name="표준 5 2 2 3 5 3 2 2 2" xfId="30616" xr:uid="{00000000-0005-0000-0000-0000D1370000}"/>
    <cellStyle name="표준 5 2 2 3 5 3 2 2 3" xfId="38827" xr:uid="{00000000-0005-0000-0000-0000D2370000}"/>
    <cellStyle name="표준 5 2 2 3 5 3 2 2 4" xfId="47020" xr:uid="{00000000-0005-0000-0000-0000D3370000}"/>
    <cellStyle name="표준 5 2 2 3 5 3 2 3" xfId="18262" xr:uid="{00000000-0005-0000-0000-0000D4370000}"/>
    <cellStyle name="표준 5 2 2 3 5 3 2 4" xfId="22424" xr:uid="{00000000-0005-0000-0000-0000D5370000}"/>
    <cellStyle name="표준 5 2 2 3 5 3 2 5" xfId="26520" xr:uid="{00000000-0005-0000-0000-0000D6370000}"/>
    <cellStyle name="표준 5 2 2 3 5 3 2 6" xfId="34731" xr:uid="{00000000-0005-0000-0000-0000D7370000}"/>
    <cellStyle name="표준 5 2 2 3 5 3 2 7" xfId="42924" xr:uid="{00000000-0005-0000-0000-0000D8370000}"/>
    <cellStyle name="표준 5 2 2 3 5 3 3" xfId="7862" xr:uid="{00000000-0005-0000-0000-0000D9370000}"/>
    <cellStyle name="표준 5 2 2 3 5 3 3 2" xfId="28568" xr:uid="{00000000-0005-0000-0000-0000DA370000}"/>
    <cellStyle name="표준 5 2 2 3 5 3 3 3" xfId="36779" xr:uid="{00000000-0005-0000-0000-0000DB370000}"/>
    <cellStyle name="표준 5 2 2 3 5 3 3 4" xfId="44972" xr:uid="{00000000-0005-0000-0000-0000DC370000}"/>
    <cellStyle name="표준 5 2 2 3 5 3 4" xfId="11974" xr:uid="{00000000-0005-0000-0000-0000DD370000}"/>
    <cellStyle name="표준 5 2 2 3 5 3 5" xfId="16214" xr:uid="{00000000-0005-0000-0000-0000DE370000}"/>
    <cellStyle name="표준 5 2 2 3 5 3 6" xfId="20376" xr:uid="{00000000-0005-0000-0000-0000DF370000}"/>
    <cellStyle name="표준 5 2 2 3 5 3 7" xfId="24472" xr:uid="{00000000-0005-0000-0000-0000E0370000}"/>
    <cellStyle name="표준 5 2 2 3 5 3 8" xfId="32683" xr:uid="{00000000-0005-0000-0000-0000E1370000}"/>
    <cellStyle name="표준 5 2 2 3 5 3 9" xfId="40876" xr:uid="{00000000-0005-0000-0000-0000E2370000}"/>
    <cellStyle name="표준 5 2 2 3 5 4" xfId="1519" xr:uid="{00000000-0005-0000-0000-0000E3370000}"/>
    <cellStyle name="표준 5 2 2 3 5 4 2" xfId="10422" xr:uid="{00000000-0005-0000-0000-0000E4370000}"/>
    <cellStyle name="표준 5 2 2 3 5 4 2 2" xfId="14534" xr:uid="{00000000-0005-0000-0000-0000E5370000}"/>
    <cellStyle name="표준 5 2 2 3 5 4 2 2 2" xfId="31128" xr:uid="{00000000-0005-0000-0000-0000E6370000}"/>
    <cellStyle name="표준 5 2 2 3 5 4 2 2 3" xfId="39339" xr:uid="{00000000-0005-0000-0000-0000E7370000}"/>
    <cellStyle name="표준 5 2 2 3 5 4 2 2 4" xfId="47532" xr:uid="{00000000-0005-0000-0000-0000E8370000}"/>
    <cellStyle name="표준 5 2 2 3 5 4 2 3" xfId="18774" xr:uid="{00000000-0005-0000-0000-0000E9370000}"/>
    <cellStyle name="표준 5 2 2 3 5 4 2 4" xfId="22936" xr:uid="{00000000-0005-0000-0000-0000EA370000}"/>
    <cellStyle name="표준 5 2 2 3 5 4 2 5" xfId="27032" xr:uid="{00000000-0005-0000-0000-0000EB370000}"/>
    <cellStyle name="표준 5 2 2 3 5 4 2 6" xfId="35243" xr:uid="{00000000-0005-0000-0000-0000EC370000}"/>
    <cellStyle name="표준 5 2 2 3 5 4 2 7" xfId="43436" xr:uid="{00000000-0005-0000-0000-0000ED370000}"/>
    <cellStyle name="표준 5 2 2 3 5 4 3" xfId="8374" xr:uid="{00000000-0005-0000-0000-0000EE370000}"/>
    <cellStyle name="표준 5 2 2 3 5 4 3 2" xfId="29080" xr:uid="{00000000-0005-0000-0000-0000EF370000}"/>
    <cellStyle name="표준 5 2 2 3 5 4 3 3" xfId="37291" xr:uid="{00000000-0005-0000-0000-0000F0370000}"/>
    <cellStyle name="표준 5 2 2 3 5 4 3 4" xfId="45484" xr:uid="{00000000-0005-0000-0000-0000F1370000}"/>
    <cellStyle name="표준 5 2 2 3 5 4 4" xfId="12486" xr:uid="{00000000-0005-0000-0000-0000F2370000}"/>
    <cellStyle name="표준 5 2 2 3 5 4 5" xfId="16726" xr:uid="{00000000-0005-0000-0000-0000F3370000}"/>
    <cellStyle name="표준 5 2 2 3 5 4 6" xfId="20888" xr:uid="{00000000-0005-0000-0000-0000F4370000}"/>
    <cellStyle name="표준 5 2 2 3 5 4 7" xfId="24984" xr:uid="{00000000-0005-0000-0000-0000F5370000}"/>
    <cellStyle name="표준 5 2 2 3 5 4 8" xfId="33195" xr:uid="{00000000-0005-0000-0000-0000F6370000}"/>
    <cellStyle name="표준 5 2 2 3 5 4 9" xfId="41388" xr:uid="{00000000-0005-0000-0000-0000F7370000}"/>
    <cellStyle name="표준 5 2 2 3 5 5" xfId="2031" xr:uid="{00000000-0005-0000-0000-0000F8370000}"/>
    <cellStyle name="표준 5 2 2 3 5 5 2" xfId="10934" xr:uid="{00000000-0005-0000-0000-0000F9370000}"/>
    <cellStyle name="표준 5 2 2 3 5 5 2 2" xfId="15046" xr:uid="{00000000-0005-0000-0000-0000FA370000}"/>
    <cellStyle name="표준 5 2 2 3 5 5 2 2 2" xfId="31640" xr:uid="{00000000-0005-0000-0000-0000FB370000}"/>
    <cellStyle name="표준 5 2 2 3 5 5 2 2 3" xfId="39851" xr:uid="{00000000-0005-0000-0000-0000FC370000}"/>
    <cellStyle name="표준 5 2 2 3 5 5 2 2 4" xfId="48044" xr:uid="{00000000-0005-0000-0000-0000FD370000}"/>
    <cellStyle name="표준 5 2 2 3 5 5 2 3" xfId="19286" xr:uid="{00000000-0005-0000-0000-0000FE370000}"/>
    <cellStyle name="표준 5 2 2 3 5 5 2 4" xfId="23448" xr:uid="{00000000-0005-0000-0000-0000FF370000}"/>
    <cellStyle name="표준 5 2 2 3 5 5 2 5" xfId="27544" xr:uid="{00000000-0005-0000-0000-000000380000}"/>
    <cellStyle name="표준 5 2 2 3 5 5 2 6" xfId="35755" xr:uid="{00000000-0005-0000-0000-000001380000}"/>
    <cellStyle name="표준 5 2 2 3 5 5 2 7" xfId="43948" xr:uid="{00000000-0005-0000-0000-000002380000}"/>
    <cellStyle name="표준 5 2 2 3 5 5 3" xfId="8886" xr:uid="{00000000-0005-0000-0000-000003380000}"/>
    <cellStyle name="표준 5 2 2 3 5 5 3 2" xfId="29592" xr:uid="{00000000-0005-0000-0000-000004380000}"/>
    <cellStyle name="표준 5 2 2 3 5 5 3 3" xfId="37803" xr:uid="{00000000-0005-0000-0000-000005380000}"/>
    <cellStyle name="표준 5 2 2 3 5 5 3 4" xfId="45996" xr:uid="{00000000-0005-0000-0000-000006380000}"/>
    <cellStyle name="표준 5 2 2 3 5 5 4" xfId="12998" xr:uid="{00000000-0005-0000-0000-000007380000}"/>
    <cellStyle name="표준 5 2 2 3 5 5 5" xfId="17238" xr:uid="{00000000-0005-0000-0000-000008380000}"/>
    <cellStyle name="표준 5 2 2 3 5 5 6" xfId="21400" xr:uid="{00000000-0005-0000-0000-000009380000}"/>
    <cellStyle name="표준 5 2 2 3 5 5 7" xfId="25496" xr:uid="{00000000-0005-0000-0000-00000A380000}"/>
    <cellStyle name="표준 5 2 2 3 5 5 8" xfId="33707" xr:uid="{00000000-0005-0000-0000-00000B380000}"/>
    <cellStyle name="표준 5 2 2 3 5 5 9" xfId="41900" xr:uid="{00000000-0005-0000-0000-00000C380000}"/>
    <cellStyle name="표준 5 2 2 3 5 6" xfId="9398" xr:uid="{00000000-0005-0000-0000-00000D380000}"/>
    <cellStyle name="표준 5 2 2 3 5 6 2" xfId="13510" xr:uid="{00000000-0005-0000-0000-00000E380000}"/>
    <cellStyle name="표준 5 2 2 3 5 6 2 2" xfId="30104" xr:uid="{00000000-0005-0000-0000-00000F380000}"/>
    <cellStyle name="표준 5 2 2 3 5 6 2 3" xfId="38315" xr:uid="{00000000-0005-0000-0000-000010380000}"/>
    <cellStyle name="표준 5 2 2 3 5 6 2 4" xfId="46508" xr:uid="{00000000-0005-0000-0000-000011380000}"/>
    <cellStyle name="표준 5 2 2 3 5 6 3" xfId="17750" xr:uid="{00000000-0005-0000-0000-000012380000}"/>
    <cellStyle name="표준 5 2 2 3 5 6 4" xfId="21912" xr:uid="{00000000-0005-0000-0000-000013380000}"/>
    <cellStyle name="표준 5 2 2 3 5 6 5" xfId="26008" xr:uid="{00000000-0005-0000-0000-000014380000}"/>
    <cellStyle name="표준 5 2 2 3 5 6 6" xfId="34219" xr:uid="{00000000-0005-0000-0000-000015380000}"/>
    <cellStyle name="표준 5 2 2 3 5 6 7" xfId="42412" xr:uid="{00000000-0005-0000-0000-000016380000}"/>
    <cellStyle name="표준 5 2 2 3 5 7" xfId="7350" xr:uid="{00000000-0005-0000-0000-000017380000}"/>
    <cellStyle name="표준 5 2 2 3 5 7 2" xfId="28056" xr:uid="{00000000-0005-0000-0000-000018380000}"/>
    <cellStyle name="표준 5 2 2 3 5 7 3" xfId="36267" xr:uid="{00000000-0005-0000-0000-000019380000}"/>
    <cellStyle name="표준 5 2 2 3 5 7 4" xfId="44460" xr:uid="{00000000-0005-0000-0000-00001A380000}"/>
    <cellStyle name="표준 5 2 2 3 5 8" xfId="11462" xr:uid="{00000000-0005-0000-0000-00001B380000}"/>
    <cellStyle name="표준 5 2 2 3 5 9" xfId="15702" xr:uid="{00000000-0005-0000-0000-00001C380000}"/>
    <cellStyle name="표준 5 2 2 3 6" xfId="623" xr:uid="{00000000-0005-0000-0000-00001D380000}"/>
    <cellStyle name="표준 5 2 2 3 6 10" xfId="24088" xr:uid="{00000000-0005-0000-0000-00001E380000}"/>
    <cellStyle name="표준 5 2 2 3 6 11" xfId="32299" xr:uid="{00000000-0005-0000-0000-00001F380000}"/>
    <cellStyle name="표준 5 2 2 3 6 12" xfId="40492" xr:uid="{00000000-0005-0000-0000-000020380000}"/>
    <cellStyle name="표준 5 2 2 3 6 2" xfId="1135" xr:uid="{00000000-0005-0000-0000-000021380000}"/>
    <cellStyle name="표준 5 2 2 3 6 2 2" xfId="10038" xr:uid="{00000000-0005-0000-0000-000022380000}"/>
    <cellStyle name="표준 5 2 2 3 6 2 2 2" xfId="14150" xr:uid="{00000000-0005-0000-0000-000023380000}"/>
    <cellStyle name="표준 5 2 2 3 6 2 2 2 2" xfId="30744" xr:uid="{00000000-0005-0000-0000-000024380000}"/>
    <cellStyle name="표준 5 2 2 3 6 2 2 2 3" xfId="38955" xr:uid="{00000000-0005-0000-0000-000025380000}"/>
    <cellStyle name="표준 5 2 2 3 6 2 2 2 4" xfId="47148" xr:uid="{00000000-0005-0000-0000-000026380000}"/>
    <cellStyle name="표준 5 2 2 3 6 2 2 3" xfId="18390" xr:uid="{00000000-0005-0000-0000-000027380000}"/>
    <cellStyle name="표준 5 2 2 3 6 2 2 4" xfId="22552" xr:uid="{00000000-0005-0000-0000-000028380000}"/>
    <cellStyle name="표준 5 2 2 3 6 2 2 5" xfId="26648" xr:uid="{00000000-0005-0000-0000-000029380000}"/>
    <cellStyle name="표준 5 2 2 3 6 2 2 6" xfId="34859" xr:uid="{00000000-0005-0000-0000-00002A380000}"/>
    <cellStyle name="표준 5 2 2 3 6 2 2 7" xfId="43052" xr:uid="{00000000-0005-0000-0000-00002B380000}"/>
    <cellStyle name="표준 5 2 2 3 6 2 3" xfId="7990" xr:uid="{00000000-0005-0000-0000-00002C380000}"/>
    <cellStyle name="표준 5 2 2 3 6 2 3 2" xfId="28696" xr:uid="{00000000-0005-0000-0000-00002D380000}"/>
    <cellStyle name="표준 5 2 2 3 6 2 3 3" xfId="36907" xr:uid="{00000000-0005-0000-0000-00002E380000}"/>
    <cellStyle name="표준 5 2 2 3 6 2 3 4" xfId="45100" xr:uid="{00000000-0005-0000-0000-00002F380000}"/>
    <cellStyle name="표준 5 2 2 3 6 2 4" xfId="12102" xr:uid="{00000000-0005-0000-0000-000030380000}"/>
    <cellStyle name="표준 5 2 2 3 6 2 5" xfId="16342" xr:uid="{00000000-0005-0000-0000-000031380000}"/>
    <cellStyle name="표준 5 2 2 3 6 2 6" xfId="20504" xr:uid="{00000000-0005-0000-0000-000032380000}"/>
    <cellStyle name="표준 5 2 2 3 6 2 7" xfId="24600" xr:uid="{00000000-0005-0000-0000-000033380000}"/>
    <cellStyle name="표준 5 2 2 3 6 2 8" xfId="32811" xr:uid="{00000000-0005-0000-0000-000034380000}"/>
    <cellStyle name="표준 5 2 2 3 6 2 9" xfId="41004" xr:uid="{00000000-0005-0000-0000-000035380000}"/>
    <cellStyle name="표준 5 2 2 3 6 3" xfId="1647" xr:uid="{00000000-0005-0000-0000-000036380000}"/>
    <cellStyle name="표준 5 2 2 3 6 3 2" xfId="10550" xr:uid="{00000000-0005-0000-0000-000037380000}"/>
    <cellStyle name="표준 5 2 2 3 6 3 2 2" xfId="14662" xr:uid="{00000000-0005-0000-0000-000038380000}"/>
    <cellStyle name="표준 5 2 2 3 6 3 2 2 2" xfId="31256" xr:uid="{00000000-0005-0000-0000-000039380000}"/>
    <cellStyle name="표준 5 2 2 3 6 3 2 2 3" xfId="39467" xr:uid="{00000000-0005-0000-0000-00003A380000}"/>
    <cellStyle name="표준 5 2 2 3 6 3 2 2 4" xfId="47660" xr:uid="{00000000-0005-0000-0000-00003B380000}"/>
    <cellStyle name="표준 5 2 2 3 6 3 2 3" xfId="18902" xr:uid="{00000000-0005-0000-0000-00003C380000}"/>
    <cellStyle name="표준 5 2 2 3 6 3 2 4" xfId="23064" xr:uid="{00000000-0005-0000-0000-00003D380000}"/>
    <cellStyle name="표준 5 2 2 3 6 3 2 5" xfId="27160" xr:uid="{00000000-0005-0000-0000-00003E380000}"/>
    <cellStyle name="표준 5 2 2 3 6 3 2 6" xfId="35371" xr:uid="{00000000-0005-0000-0000-00003F380000}"/>
    <cellStyle name="표준 5 2 2 3 6 3 2 7" xfId="43564" xr:uid="{00000000-0005-0000-0000-000040380000}"/>
    <cellStyle name="표준 5 2 2 3 6 3 3" xfId="8502" xr:uid="{00000000-0005-0000-0000-000041380000}"/>
    <cellStyle name="표준 5 2 2 3 6 3 3 2" xfId="29208" xr:uid="{00000000-0005-0000-0000-000042380000}"/>
    <cellStyle name="표준 5 2 2 3 6 3 3 3" xfId="37419" xr:uid="{00000000-0005-0000-0000-000043380000}"/>
    <cellStyle name="표준 5 2 2 3 6 3 3 4" xfId="45612" xr:uid="{00000000-0005-0000-0000-000044380000}"/>
    <cellStyle name="표준 5 2 2 3 6 3 4" xfId="12614" xr:uid="{00000000-0005-0000-0000-000045380000}"/>
    <cellStyle name="표준 5 2 2 3 6 3 5" xfId="16854" xr:uid="{00000000-0005-0000-0000-000046380000}"/>
    <cellStyle name="표준 5 2 2 3 6 3 6" xfId="21016" xr:uid="{00000000-0005-0000-0000-000047380000}"/>
    <cellStyle name="표준 5 2 2 3 6 3 7" xfId="25112" xr:uid="{00000000-0005-0000-0000-000048380000}"/>
    <cellStyle name="표준 5 2 2 3 6 3 8" xfId="33323" xr:uid="{00000000-0005-0000-0000-000049380000}"/>
    <cellStyle name="표준 5 2 2 3 6 3 9" xfId="41516" xr:uid="{00000000-0005-0000-0000-00004A380000}"/>
    <cellStyle name="표준 5 2 2 3 6 4" xfId="2159" xr:uid="{00000000-0005-0000-0000-00004B380000}"/>
    <cellStyle name="표준 5 2 2 3 6 4 2" xfId="11062" xr:uid="{00000000-0005-0000-0000-00004C380000}"/>
    <cellStyle name="표준 5 2 2 3 6 4 2 2" xfId="15174" xr:uid="{00000000-0005-0000-0000-00004D380000}"/>
    <cellStyle name="표준 5 2 2 3 6 4 2 2 2" xfId="31768" xr:uid="{00000000-0005-0000-0000-00004E380000}"/>
    <cellStyle name="표준 5 2 2 3 6 4 2 2 3" xfId="39979" xr:uid="{00000000-0005-0000-0000-00004F380000}"/>
    <cellStyle name="표준 5 2 2 3 6 4 2 2 4" xfId="48172" xr:uid="{00000000-0005-0000-0000-000050380000}"/>
    <cellStyle name="표준 5 2 2 3 6 4 2 3" xfId="19414" xr:uid="{00000000-0005-0000-0000-000051380000}"/>
    <cellStyle name="표준 5 2 2 3 6 4 2 4" xfId="23576" xr:uid="{00000000-0005-0000-0000-000052380000}"/>
    <cellStyle name="표준 5 2 2 3 6 4 2 5" xfId="27672" xr:uid="{00000000-0005-0000-0000-000053380000}"/>
    <cellStyle name="표준 5 2 2 3 6 4 2 6" xfId="35883" xr:uid="{00000000-0005-0000-0000-000054380000}"/>
    <cellStyle name="표준 5 2 2 3 6 4 2 7" xfId="44076" xr:uid="{00000000-0005-0000-0000-000055380000}"/>
    <cellStyle name="표준 5 2 2 3 6 4 3" xfId="9014" xr:uid="{00000000-0005-0000-0000-000056380000}"/>
    <cellStyle name="표준 5 2 2 3 6 4 3 2" xfId="29720" xr:uid="{00000000-0005-0000-0000-000057380000}"/>
    <cellStyle name="표준 5 2 2 3 6 4 3 3" xfId="37931" xr:uid="{00000000-0005-0000-0000-000058380000}"/>
    <cellStyle name="표준 5 2 2 3 6 4 3 4" xfId="46124" xr:uid="{00000000-0005-0000-0000-000059380000}"/>
    <cellStyle name="표준 5 2 2 3 6 4 4" xfId="13126" xr:uid="{00000000-0005-0000-0000-00005A380000}"/>
    <cellStyle name="표준 5 2 2 3 6 4 5" xfId="17366" xr:uid="{00000000-0005-0000-0000-00005B380000}"/>
    <cellStyle name="표준 5 2 2 3 6 4 6" xfId="21528" xr:uid="{00000000-0005-0000-0000-00005C380000}"/>
    <cellStyle name="표준 5 2 2 3 6 4 7" xfId="25624" xr:uid="{00000000-0005-0000-0000-00005D380000}"/>
    <cellStyle name="표준 5 2 2 3 6 4 8" xfId="33835" xr:uid="{00000000-0005-0000-0000-00005E380000}"/>
    <cellStyle name="표준 5 2 2 3 6 4 9" xfId="42028" xr:uid="{00000000-0005-0000-0000-00005F380000}"/>
    <cellStyle name="표준 5 2 2 3 6 5" xfId="9526" xr:uid="{00000000-0005-0000-0000-000060380000}"/>
    <cellStyle name="표준 5 2 2 3 6 5 2" xfId="13638" xr:uid="{00000000-0005-0000-0000-000061380000}"/>
    <cellStyle name="표준 5 2 2 3 6 5 2 2" xfId="30232" xr:uid="{00000000-0005-0000-0000-000062380000}"/>
    <cellStyle name="표준 5 2 2 3 6 5 2 3" xfId="38443" xr:uid="{00000000-0005-0000-0000-000063380000}"/>
    <cellStyle name="표준 5 2 2 3 6 5 2 4" xfId="46636" xr:uid="{00000000-0005-0000-0000-000064380000}"/>
    <cellStyle name="표준 5 2 2 3 6 5 3" xfId="17878" xr:uid="{00000000-0005-0000-0000-000065380000}"/>
    <cellStyle name="표준 5 2 2 3 6 5 4" xfId="22040" xr:uid="{00000000-0005-0000-0000-000066380000}"/>
    <cellStyle name="표준 5 2 2 3 6 5 5" xfId="26136" xr:uid="{00000000-0005-0000-0000-000067380000}"/>
    <cellStyle name="표준 5 2 2 3 6 5 6" xfId="34347" xr:uid="{00000000-0005-0000-0000-000068380000}"/>
    <cellStyle name="표준 5 2 2 3 6 5 7" xfId="42540" xr:uid="{00000000-0005-0000-0000-000069380000}"/>
    <cellStyle name="표준 5 2 2 3 6 6" xfId="7478" xr:uid="{00000000-0005-0000-0000-00006A380000}"/>
    <cellStyle name="표준 5 2 2 3 6 6 2" xfId="28184" xr:uid="{00000000-0005-0000-0000-00006B380000}"/>
    <cellStyle name="표준 5 2 2 3 6 6 3" xfId="36395" xr:uid="{00000000-0005-0000-0000-00006C380000}"/>
    <cellStyle name="표준 5 2 2 3 6 6 4" xfId="44588" xr:uid="{00000000-0005-0000-0000-00006D380000}"/>
    <cellStyle name="표준 5 2 2 3 6 7" xfId="11590" xr:uid="{00000000-0005-0000-0000-00006E380000}"/>
    <cellStyle name="표준 5 2 2 3 6 8" xfId="15830" xr:uid="{00000000-0005-0000-0000-00006F380000}"/>
    <cellStyle name="표준 5 2 2 3 6 9" xfId="19992" xr:uid="{00000000-0005-0000-0000-000070380000}"/>
    <cellStyle name="표준 5 2 2 3 7" xfId="879" xr:uid="{00000000-0005-0000-0000-000071380000}"/>
    <cellStyle name="표준 5 2 2 3 7 2" xfId="9782" xr:uid="{00000000-0005-0000-0000-000072380000}"/>
    <cellStyle name="표준 5 2 2 3 7 2 2" xfId="13894" xr:uid="{00000000-0005-0000-0000-000073380000}"/>
    <cellStyle name="표준 5 2 2 3 7 2 2 2" xfId="30488" xr:uid="{00000000-0005-0000-0000-000074380000}"/>
    <cellStyle name="표준 5 2 2 3 7 2 2 3" xfId="38699" xr:uid="{00000000-0005-0000-0000-000075380000}"/>
    <cellStyle name="표준 5 2 2 3 7 2 2 4" xfId="46892" xr:uid="{00000000-0005-0000-0000-000076380000}"/>
    <cellStyle name="표준 5 2 2 3 7 2 3" xfId="18134" xr:uid="{00000000-0005-0000-0000-000077380000}"/>
    <cellStyle name="표준 5 2 2 3 7 2 4" xfId="22296" xr:uid="{00000000-0005-0000-0000-000078380000}"/>
    <cellStyle name="표준 5 2 2 3 7 2 5" xfId="26392" xr:uid="{00000000-0005-0000-0000-000079380000}"/>
    <cellStyle name="표준 5 2 2 3 7 2 6" xfId="34603" xr:uid="{00000000-0005-0000-0000-00007A380000}"/>
    <cellStyle name="표준 5 2 2 3 7 2 7" xfId="42796" xr:uid="{00000000-0005-0000-0000-00007B380000}"/>
    <cellStyle name="표준 5 2 2 3 7 3" xfId="7734" xr:uid="{00000000-0005-0000-0000-00007C380000}"/>
    <cellStyle name="표준 5 2 2 3 7 3 2" xfId="28440" xr:uid="{00000000-0005-0000-0000-00007D380000}"/>
    <cellStyle name="표준 5 2 2 3 7 3 3" xfId="36651" xr:uid="{00000000-0005-0000-0000-00007E380000}"/>
    <cellStyle name="표준 5 2 2 3 7 3 4" xfId="44844" xr:uid="{00000000-0005-0000-0000-00007F380000}"/>
    <cellStyle name="표준 5 2 2 3 7 4" xfId="11846" xr:uid="{00000000-0005-0000-0000-000080380000}"/>
    <cellStyle name="표준 5 2 2 3 7 5" xfId="16086" xr:uid="{00000000-0005-0000-0000-000081380000}"/>
    <cellStyle name="표준 5 2 2 3 7 6" xfId="20248" xr:uid="{00000000-0005-0000-0000-000082380000}"/>
    <cellStyle name="표준 5 2 2 3 7 7" xfId="24344" xr:uid="{00000000-0005-0000-0000-000083380000}"/>
    <cellStyle name="표준 5 2 2 3 7 8" xfId="32555" xr:uid="{00000000-0005-0000-0000-000084380000}"/>
    <cellStyle name="표준 5 2 2 3 7 9" xfId="40748" xr:uid="{00000000-0005-0000-0000-000085380000}"/>
    <cellStyle name="표준 5 2 2 3 8" xfId="1391" xr:uid="{00000000-0005-0000-0000-000086380000}"/>
    <cellStyle name="표준 5 2 2 3 8 2" xfId="10294" xr:uid="{00000000-0005-0000-0000-000087380000}"/>
    <cellStyle name="표준 5 2 2 3 8 2 2" xfId="14406" xr:uid="{00000000-0005-0000-0000-000088380000}"/>
    <cellStyle name="표준 5 2 2 3 8 2 2 2" xfId="31000" xr:uid="{00000000-0005-0000-0000-000089380000}"/>
    <cellStyle name="표준 5 2 2 3 8 2 2 3" xfId="39211" xr:uid="{00000000-0005-0000-0000-00008A380000}"/>
    <cellStyle name="표준 5 2 2 3 8 2 2 4" xfId="47404" xr:uid="{00000000-0005-0000-0000-00008B380000}"/>
    <cellStyle name="표준 5 2 2 3 8 2 3" xfId="18646" xr:uid="{00000000-0005-0000-0000-00008C380000}"/>
    <cellStyle name="표준 5 2 2 3 8 2 4" xfId="22808" xr:uid="{00000000-0005-0000-0000-00008D380000}"/>
    <cellStyle name="표준 5 2 2 3 8 2 5" xfId="26904" xr:uid="{00000000-0005-0000-0000-00008E380000}"/>
    <cellStyle name="표준 5 2 2 3 8 2 6" xfId="35115" xr:uid="{00000000-0005-0000-0000-00008F380000}"/>
    <cellStyle name="표준 5 2 2 3 8 2 7" xfId="43308" xr:uid="{00000000-0005-0000-0000-000090380000}"/>
    <cellStyle name="표준 5 2 2 3 8 3" xfId="8246" xr:uid="{00000000-0005-0000-0000-000091380000}"/>
    <cellStyle name="표준 5 2 2 3 8 3 2" xfId="28952" xr:uid="{00000000-0005-0000-0000-000092380000}"/>
    <cellStyle name="표준 5 2 2 3 8 3 3" xfId="37163" xr:uid="{00000000-0005-0000-0000-000093380000}"/>
    <cellStyle name="표준 5 2 2 3 8 3 4" xfId="45356" xr:uid="{00000000-0005-0000-0000-000094380000}"/>
    <cellStyle name="표준 5 2 2 3 8 4" xfId="12358" xr:uid="{00000000-0005-0000-0000-000095380000}"/>
    <cellStyle name="표준 5 2 2 3 8 5" xfId="16598" xr:uid="{00000000-0005-0000-0000-000096380000}"/>
    <cellStyle name="표준 5 2 2 3 8 6" xfId="20760" xr:uid="{00000000-0005-0000-0000-000097380000}"/>
    <cellStyle name="표준 5 2 2 3 8 7" xfId="24856" xr:uid="{00000000-0005-0000-0000-000098380000}"/>
    <cellStyle name="표준 5 2 2 3 8 8" xfId="33067" xr:uid="{00000000-0005-0000-0000-000099380000}"/>
    <cellStyle name="표준 5 2 2 3 8 9" xfId="41260" xr:uid="{00000000-0005-0000-0000-00009A380000}"/>
    <cellStyle name="표준 5 2 2 3 9" xfId="1903" xr:uid="{00000000-0005-0000-0000-00009B380000}"/>
    <cellStyle name="표준 5 2 2 3 9 2" xfId="10806" xr:uid="{00000000-0005-0000-0000-00009C380000}"/>
    <cellStyle name="표준 5 2 2 3 9 2 2" xfId="14918" xr:uid="{00000000-0005-0000-0000-00009D380000}"/>
    <cellStyle name="표준 5 2 2 3 9 2 2 2" xfId="31512" xr:uid="{00000000-0005-0000-0000-00009E380000}"/>
    <cellStyle name="표준 5 2 2 3 9 2 2 3" xfId="39723" xr:uid="{00000000-0005-0000-0000-00009F380000}"/>
    <cellStyle name="표준 5 2 2 3 9 2 2 4" xfId="47916" xr:uid="{00000000-0005-0000-0000-0000A0380000}"/>
    <cellStyle name="표준 5 2 2 3 9 2 3" xfId="19158" xr:uid="{00000000-0005-0000-0000-0000A1380000}"/>
    <cellStyle name="표준 5 2 2 3 9 2 4" xfId="23320" xr:uid="{00000000-0005-0000-0000-0000A2380000}"/>
    <cellStyle name="표준 5 2 2 3 9 2 5" xfId="27416" xr:uid="{00000000-0005-0000-0000-0000A3380000}"/>
    <cellStyle name="표준 5 2 2 3 9 2 6" xfId="35627" xr:uid="{00000000-0005-0000-0000-0000A4380000}"/>
    <cellStyle name="표준 5 2 2 3 9 2 7" xfId="43820" xr:uid="{00000000-0005-0000-0000-0000A5380000}"/>
    <cellStyle name="표준 5 2 2 3 9 3" xfId="8758" xr:uid="{00000000-0005-0000-0000-0000A6380000}"/>
    <cellStyle name="표준 5 2 2 3 9 3 2" xfId="29464" xr:uid="{00000000-0005-0000-0000-0000A7380000}"/>
    <cellStyle name="표준 5 2 2 3 9 3 3" xfId="37675" xr:uid="{00000000-0005-0000-0000-0000A8380000}"/>
    <cellStyle name="표준 5 2 2 3 9 3 4" xfId="45868" xr:uid="{00000000-0005-0000-0000-0000A9380000}"/>
    <cellStyle name="표준 5 2 2 3 9 4" xfId="12870" xr:uid="{00000000-0005-0000-0000-0000AA380000}"/>
    <cellStyle name="표준 5 2 2 3 9 5" xfId="17110" xr:uid="{00000000-0005-0000-0000-0000AB380000}"/>
    <cellStyle name="표준 5 2 2 3 9 6" xfId="21272" xr:uid="{00000000-0005-0000-0000-0000AC380000}"/>
    <cellStyle name="표준 5 2 2 3 9 7" xfId="25368" xr:uid="{00000000-0005-0000-0000-0000AD380000}"/>
    <cellStyle name="표준 5 2 2 3 9 8" xfId="33579" xr:uid="{00000000-0005-0000-0000-0000AE380000}"/>
    <cellStyle name="표준 5 2 2 3 9 9" xfId="41772" xr:uid="{00000000-0005-0000-0000-0000AF380000}"/>
    <cellStyle name="표준 5 2 2 30" xfId="19735" xr:uid="{00000000-0005-0000-0000-0000B0380000}"/>
    <cellStyle name="표준 5 2 2 31" xfId="23824" xr:uid="{00000000-0005-0000-0000-0000B1380000}"/>
    <cellStyle name="표준 5 2 2 32" xfId="32018" xr:uid="{00000000-0005-0000-0000-0000B2380000}"/>
    <cellStyle name="표준 5 2 2 33" xfId="32035" xr:uid="{00000000-0005-0000-0000-0000B3380000}"/>
    <cellStyle name="표준 5 2 2 34" xfId="40228" xr:uid="{00000000-0005-0000-0000-0000B4380000}"/>
    <cellStyle name="표준 5 2 2 35" xfId="48430" xr:uid="{00000000-0005-0000-0000-0000B5380000}"/>
    <cellStyle name="표준 5 2 2 4" xfId="138" xr:uid="{00000000-0005-0000-0000-0000B6380000}"/>
    <cellStyle name="표준 5 2 2 4 10" xfId="7191" xr:uid="{00000000-0005-0000-0000-0000B7380000}"/>
    <cellStyle name="표준 5 2 2 4 10 2" xfId="27936" xr:uid="{00000000-0005-0000-0000-0000B8380000}"/>
    <cellStyle name="표준 5 2 2 4 10 3" xfId="36147" xr:uid="{00000000-0005-0000-0000-0000B9380000}"/>
    <cellStyle name="표준 5 2 2 4 10 4" xfId="44340" xr:uid="{00000000-0005-0000-0000-0000BA380000}"/>
    <cellStyle name="표준 5 2 2 4 11" xfId="7230" xr:uid="{00000000-0005-0000-0000-0000BB380000}"/>
    <cellStyle name="표준 5 2 2 4 12" xfId="11342" xr:uid="{00000000-0005-0000-0000-0000BC380000}"/>
    <cellStyle name="표준 5 2 2 4 13" xfId="15470" xr:uid="{00000000-0005-0000-0000-0000BD380000}"/>
    <cellStyle name="표준 5 2 2 4 14" xfId="15582" xr:uid="{00000000-0005-0000-0000-0000BE380000}"/>
    <cellStyle name="표준 5 2 2 4 15" xfId="19744" xr:uid="{00000000-0005-0000-0000-0000BF380000}"/>
    <cellStyle name="표준 5 2 2 4 16" xfId="23840" xr:uid="{00000000-0005-0000-0000-0000C0380000}"/>
    <cellStyle name="표준 5 2 2 4 17" xfId="32051" xr:uid="{00000000-0005-0000-0000-0000C1380000}"/>
    <cellStyle name="표준 5 2 2 4 18" xfId="40244" xr:uid="{00000000-0005-0000-0000-0000C2380000}"/>
    <cellStyle name="표준 5 2 2 4 19" xfId="49649" xr:uid="{00000000-0005-0000-0000-0000C3380000}"/>
    <cellStyle name="표준 5 2 2 4 2" xfId="407" xr:uid="{00000000-0005-0000-0000-0000C4380000}"/>
    <cellStyle name="표준 5 2 2 4 2 10" xfId="7262" xr:uid="{00000000-0005-0000-0000-0000C5380000}"/>
    <cellStyle name="표준 5 2 2 4 2 11" xfId="11374" xr:uid="{00000000-0005-0000-0000-0000C6380000}"/>
    <cellStyle name="표준 5 2 2 4 2 12" xfId="15518" xr:uid="{00000000-0005-0000-0000-0000C7380000}"/>
    <cellStyle name="표준 5 2 2 4 2 13" xfId="15614" xr:uid="{00000000-0005-0000-0000-0000C8380000}"/>
    <cellStyle name="표준 5 2 2 4 2 14" xfId="19776" xr:uid="{00000000-0005-0000-0000-0000C9380000}"/>
    <cellStyle name="표준 5 2 2 4 2 15" xfId="23872" xr:uid="{00000000-0005-0000-0000-0000CA380000}"/>
    <cellStyle name="표준 5 2 2 4 2 16" xfId="32083" xr:uid="{00000000-0005-0000-0000-0000CB380000}"/>
    <cellStyle name="표준 5 2 2 4 2 17" xfId="40276" xr:uid="{00000000-0005-0000-0000-0000CC380000}"/>
    <cellStyle name="표준 5 2 2 4 2 18" xfId="49715" xr:uid="{00000000-0005-0000-0000-0000CD380000}"/>
    <cellStyle name="표준 5 2 2 4 2 2" xfId="471" xr:uid="{00000000-0005-0000-0000-0000CE380000}"/>
    <cellStyle name="표준 5 2 2 4 2 2 10" xfId="15678" xr:uid="{00000000-0005-0000-0000-0000CF380000}"/>
    <cellStyle name="표준 5 2 2 4 2 2 11" xfId="19840" xr:uid="{00000000-0005-0000-0000-0000D0380000}"/>
    <cellStyle name="표준 5 2 2 4 2 2 12" xfId="23936" xr:uid="{00000000-0005-0000-0000-0000D1380000}"/>
    <cellStyle name="표준 5 2 2 4 2 2 13" xfId="32147" xr:uid="{00000000-0005-0000-0000-0000D2380000}"/>
    <cellStyle name="표준 5 2 2 4 2 2 14" xfId="40340" xr:uid="{00000000-0005-0000-0000-0000D3380000}"/>
    <cellStyle name="표준 5 2 2 4 2 2 2" xfId="599" xr:uid="{00000000-0005-0000-0000-0000D4380000}"/>
    <cellStyle name="표준 5 2 2 4 2 2 2 10" xfId="19968" xr:uid="{00000000-0005-0000-0000-0000D5380000}"/>
    <cellStyle name="표준 5 2 2 4 2 2 2 11" xfId="24064" xr:uid="{00000000-0005-0000-0000-0000D6380000}"/>
    <cellStyle name="표준 5 2 2 4 2 2 2 12" xfId="32275" xr:uid="{00000000-0005-0000-0000-0000D7380000}"/>
    <cellStyle name="표준 5 2 2 4 2 2 2 13" xfId="40468" xr:uid="{00000000-0005-0000-0000-0000D8380000}"/>
    <cellStyle name="표준 5 2 2 4 2 2 2 2" xfId="855" xr:uid="{00000000-0005-0000-0000-0000D9380000}"/>
    <cellStyle name="표준 5 2 2 4 2 2 2 2 10" xfId="24320" xr:uid="{00000000-0005-0000-0000-0000DA380000}"/>
    <cellStyle name="표준 5 2 2 4 2 2 2 2 11" xfId="32531" xr:uid="{00000000-0005-0000-0000-0000DB380000}"/>
    <cellStyle name="표준 5 2 2 4 2 2 2 2 12" xfId="40724" xr:uid="{00000000-0005-0000-0000-0000DC380000}"/>
    <cellStyle name="표준 5 2 2 4 2 2 2 2 2" xfId="1367" xr:uid="{00000000-0005-0000-0000-0000DD380000}"/>
    <cellStyle name="표준 5 2 2 4 2 2 2 2 2 2" xfId="10270" xr:uid="{00000000-0005-0000-0000-0000DE380000}"/>
    <cellStyle name="표준 5 2 2 4 2 2 2 2 2 2 2" xfId="14382" xr:uid="{00000000-0005-0000-0000-0000DF380000}"/>
    <cellStyle name="표준 5 2 2 4 2 2 2 2 2 2 2 2" xfId="30976" xr:uid="{00000000-0005-0000-0000-0000E0380000}"/>
    <cellStyle name="표준 5 2 2 4 2 2 2 2 2 2 2 3" xfId="39187" xr:uid="{00000000-0005-0000-0000-0000E1380000}"/>
    <cellStyle name="표준 5 2 2 4 2 2 2 2 2 2 2 4" xfId="47380" xr:uid="{00000000-0005-0000-0000-0000E2380000}"/>
    <cellStyle name="표준 5 2 2 4 2 2 2 2 2 2 3" xfId="18622" xr:uid="{00000000-0005-0000-0000-0000E3380000}"/>
    <cellStyle name="표준 5 2 2 4 2 2 2 2 2 2 4" xfId="22784" xr:uid="{00000000-0005-0000-0000-0000E4380000}"/>
    <cellStyle name="표준 5 2 2 4 2 2 2 2 2 2 5" xfId="26880" xr:uid="{00000000-0005-0000-0000-0000E5380000}"/>
    <cellStyle name="표준 5 2 2 4 2 2 2 2 2 2 6" xfId="35091" xr:uid="{00000000-0005-0000-0000-0000E6380000}"/>
    <cellStyle name="표준 5 2 2 4 2 2 2 2 2 2 7" xfId="43284" xr:uid="{00000000-0005-0000-0000-0000E7380000}"/>
    <cellStyle name="표준 5 2 2 4 2 2 2 2 2 3" xfId="8222" xr:uid="{00000000-0005-0000-0000-0000E8380000}"/>
    <cellStyle name="표준 5 2 2 4 2 2 2 2 2 3 2" xfId="28928" xr:uid="{00000000-0005-0000-0000-0000E9380000}"/>
    <cellStyle name="표준 5 2 2 4 2 2 2 2 2 3 3" xfId="37139" xr:uid="{00000000-0005-0000-0000-0000EA380000}"/>
    <cellStyle name="표준 5 2 2 4 2 2 2 2 2 3 4" xfId="45332" xr:uid="{00000000-0005-0000-0000-0000EB380000}"/>
    <cellStyle name="표준 5 2 2 4 2 2 2 2 2 4" xfId="12334" xr:uid="{00000000-0005-0000-0000-0000EC380000}"/>
    <cellStyle name="표준 5 2 2 4 2 2 2 2 2 5" xfId="16574" xr:uid="{00000000-0005-0000-0000-0000ED380000}"/>
    <cellStyle name="표준 5 2 2 4 2 2 2 2 2 6" xfId="20736" xr:uid="{00000000-0005-0000-0000-0000EE380000}"/>
    <cellStyle name="표준 5 2 2 4 2 2 2 2 2 7" xfId="24832" xr:uid="{00000000-0005-0000-0000-0000EF380000}"/>
    <cellStyle name="표준 5 2 2 4 2 2 2 2 2 8" xfId="33043" xr:uid="{00000000-0005-0000-0000-0000F0380000}"/>
    <cellStyle name="표준 5 2 2 4 2 2 2 2 2 9" xfId="41236" xr:uid="{00000000-0005-0000-0000-0000F1380000}"/>
    <cellStyle name="표준 5 2 2 4 2 2 2 2 3" xfId="1879" xr:uid="{00000000-0005-0000-0000-0000F2380000}"/>
    <cellStyle name="표준 5 2 2 4 2 2 2 2 3 2" xfId="10782" xr:uid="{00000000-0005-0000-0000-0000F3380000}"/>
    <cellStyle name="표준 5 2 2 4 2 2 2 2 3 2 2" xfId="14894" xr:uid="{00000000-0005-0000-0000-0000F4380000}"/>
    <cellStyle name="표준 5 2 2 4 2 2 2 2 3 2 2 2" xfId="31488" xr:uid="{00000000-0005-0000-0000-0000F5380000}"/>
    <cellStyle name="표준 5 2 2 4 2 2 2 2 3 2 2 3" xfId="39699" xr:uid="{00000000-0005-0000-0000-0000F6380000}"/>
    <cellStyle name="표준 5 2 2 4 2 2 2 2 3 2 2 4" xfId="47892" xr:uid="{00000000-0005-0000-0000-0000F7380000}"/>
    <cellStyle name="표준 5 2 2 4 2 2 2 2 3 2 3" xfId="19134" xr:uid="{00000000-0005-0000-0000-0000F8380000}"/>
    <cellStyle name="표준 5 2 2 4 2 2 2 2 3 2 4" xfId="23296" xr:uid="{00000000-0005-0000-0000-0000F9380000}"/>
    <cellStyle name="표준 5 2 2 4 2 2 2 2 3 2 5" xfId="27392" xr:uid="{00000000-0005-0000-0000-0000FA380000}"/>
    <cellStyle name="표준 5 2 2 4 2 2 2 2 3 2 6" xfId="35603" xr:uid="{00000000-0005-0000-0000-0000FB380000}"/>
    <cellStyle name="표준 5 2 2 4 2 2 2 2 3 2 7" xfId="43796" xr:uid="{00000000-0005-0000-0000-0000FC380000}"/>
    <cellStyle name="표준 5 2 2 4 2 2 2 2 3 3" xfId="8734" xr:uid="{00000000-0005-0000-0000-0000FD380000}"/>
    <cellStyle name="표준 5 2 2 4 2 2 2 2 3 3 2" xfId="29440" xr:uid="{00000000-0005-0000-0000-0000FE380000}"/>
    <cellStyle name="표준 5 2 2 4 2 2 2 2 3 3 3" xfId="37651" xr:uid="{00000000-0005-0000-0000-0000FF380000}"/>
    <cellStyle name="표준 5 2 2 4 2 2 2 2 3 3 4" xfId="45844" xr:uid="{00000000-0005-0000-0000-000000390000}"/>
    <cellStyle name="표준 5 2 2 4 2 2 2 2 3 4" xfId="12846" xr:uid="{00000000-0005-0000-0000-000001390000}"/>
    <cellStyle name="표준 5 2 2 4 2 2 2 2 3 5" xfId="17086" xr:uid="{00000000-0005-0000-0000-000002390000}"/>
    <cellStyle name="표준 5 2 2 4 2 2 2 2 3 6" xfId="21248" xr:uid="{00000000-0005-0000-0000-000003390000}"/>
    <cellStyle name="표준 5 2 2 4 2 2 2 2 3 7" xfId="25344" xr:uid="{00000000-0005-0000-0000-000004390000}"/>
    <cellStyle name="표준 5 2 2 4 2 2 2 2 3 8" xfId="33555" xr:uid="{00000000-0005-0000-0000-000005390000}"/>
    <cellStyle name="표준 5 2 2 4 2 2 2 2 3 9" xfId="41748" xr:uid="{00000000-0005-0000-0000-000006390000}"/>
    <cellStyle name="표준 5 2 2 4 2 2 2 2 4" xfId="2391" xr:uid="{00000000-0005-0000-0000-000007390000}"/>
    <cellStyle name="표준 5 2 2 4 2 2 2 2 4 2" xfId="11294" xr:uid="{00000000-0005-0000-0000-000008390000}"/>
    <cellStyle name="표준 5 2 2 4 2 2 2 2 4 2 2" xfId="15406" xr:uid="{00000000-0005-0000-0000-000009390000}"/>
    <cellStyle name="표준 5 2 2 4 2 2 2 2 4 2 2 2" xfId="32000" xr:uid="{00000000-0005-0000-0000-00000A390000}"/>
    <cellStyle name="표준 5 2 2 4 2 2 2 2 4 2 2 3" xfId="40211" xr:uid="{00000000-0005-0000-0000-00000B390000}"/>
    <cellStyle name="표준 5 2 2 4 2 2 2 2 4 2 2 4" xfId="48404" xr:uid="{00000000-0005-0000-0000-00000C390000}"/>
    <cellStyle name="표준 5 2 2 4 2 2 2 2 4 2 3" xfId="19646" xr:uid="{00000000-0005-0000-0000-00000D390000}"/>
    <cellStyle name="표준 5 2 2 4 2 2 2 2 4 2 4" xfId="23808" xr:uid="{00000000-0005-0000-0000-00000E390000}"/>
    <cellStyle name="표준 5 2 2 4 2 2 2 2 4 2 5" xfId="27904" xr:uid="{00000000-0005-0000-0000-00000F390000}"/>
    <cellStyle name="표준 5 2 2 4 2 2 2 2 4 2 6" xfId="36115" xr:uid="{00000000-0005-0000-0000-000010390000}"/>
    <cellStyle name="표준 5 2 2 4 2 2 2 2 4 2 7" xfId="44308" xr:uid="{00000000-0005-0000-0000-000011390000}"/>
    <cellStyle name="표준 5 2 2 4 2 2 2 2 4 3" xfId="9246" xr:uid="{00000000-0005-0000-0000-000012390000}"/>
    <cellStyle name="표준 5 2 2 4 2 2 2 2 4 3 2" xfId="29952" xr:uid="{00000000-0005-0000-0000-000013390000}"/>
    <cellStyle name="표준 5 2 2 4 2 2 2 2 4 3 3" xfId="38163" xr:uid="{00000000-0005-0000-0000-000014390000}"/>
    <cellStyle name="표준 5 2 2 4 2 2 2 2 4 3 4" xfId="46356" xr:uid="{00000000-0005-0000-0000-000015390000}"/>
    <cellStyle name="표준 5 2 2 4 2 2 2 2 4 4" xfId="13358" xr:uid="{00000000-0005-0000-0000-000016390000}"/>
    <cellStyle name="표준 5 2 2 4 2 2 2 2 4 5" xfId="17598" xr:uid="{00000000-0005-0000-0000-000017390000}"/>
    <cellStyle name="표준 5 2 2 4 2 2 2 2 4 6" xfId="21760" xr:uid="{00000000-0005-0000-0000-000018390000}"/>
    <cellStyle name="표준 5 2 2 4 2 2 2 2 4 7" xfId="25856" xr:uid="{00000000-0005-0000-0000-000019390000}"/>
    <cellStyle name="표준 5 2 2 4 2 2 2 2 4 8" xfId="34067" xr:uid="{00000000-0005-0000-0000-00001A390000}"/>
    <cellStyle name="표준 5 2 2 4 2 2 2 2 4 9" xfId="42260" xr:uid="{00000000-0005-0000-0000-00001B390000}"/>
    <cellStyle name="표준 5 2 2 4 2 2 2 2 5" xfId="9758" xr:uid="{00000000-0005-0000-0000-00001C390000}"/>
    <cellStyle name="표준 5 2 2 4 2 2 2 2 5 2" xfId="13870" xr:uid="{00000000-0005-0000-0000-00001D390000}"/>
    <cellStyle name="표준 5 2 2 4 2 2 2 2 5 2 2" xfId="30464" xr:uid="{00000000-0005-0000-0000-00001E390000}"/>
    <cellStyle name="표준 5 2 2 4 2 2 2 2 5 2 3" xfId="38675" xr:uid="{00000000-0005-0000-0000-00001F390000}"/>
    <cellStyle name="표준 5 2 2 4 2 2 2 2 5 2 4" xfId="46868" xr:uid="{00000000-0005-0000-0000-000020390000}"/>
    <cellStyle name="표준 5 2 2 4 2 2 2 2 5 3" xfId="18110" xr:uid="{00000000-0005-0000-0000-000021390000}"/>
    <cellStyle name="표준 5 2 2 4 2 2 2 2 5 4" xfId="22272" xr:uid="{00000000-0005-0000-0000-000022390000}"/>
    <cellStyle name="표준 5 2 2 4 2 2 2 2 5 5" xfId="26368" xr:uid="{00000000-0005-0000-0000-000023390000}"/>
    <cellStyle name="표준 5 2 2 4 2 2 2 2 5 6" xfId="34579" xr:uid="{00000000-0005-0000-0000-000024390000}"/>
    <cellStyle name="표준 5 2 2 4 2 2 2 2 5 7" xfId="42772" xr:uid="{00000000-0005-0000-0000-000025390000}"/>
    <cellStyle name="표준 5 2 2 4 2 2 2 2 6" xfId="7710" xr:uid="{00000000-0005-0000-0000-000026390000}"/>
    <cellStyle name="표준 5 2 2 4 2 2 2 2 6 2" xfId="28416" xr:uid="{00000000-0005-0000-0000-000027390000}"/>
    <cellStyle name="표준 5 2 2 4 2 2 2 2 6 3" xfId="36627" xr:uid="{00000000-0005-0000-0000-000028390000}"/>
    <cellStyle name="표준 5 2 2 4 2 2 2 2 6 4" xfId="44820" xr:uid="{00000000-0005-0000-0000-000029390000}"/>
    <cellStyle name="표준 5 2 2 4 2 2 2 2 7" xfId="11822" xr:uid="{00000000-0005-0000-0000-00002A390000}"/>
    <cellStyle name="표준 5 2 2 4 2 2 2 2 8" xfId="16062" xr:uid="{00000000-0005-0000-0000-00002B390000}"/>
    <cellStyle name="표준 5 2 2 4 2 2 2 2 9" xfId="20224" xr:uid="{00000000-0005-0000-0000-00002C390000}"/>
    <cellStyle name="표준 5 2 2 4 2 2 2 3" xfId="1111" xr:uid="{00000000-0005-0000-0000-00002D390000}"/>
    <cellStyle name="표준 5 2 2 4 2 2 2 3 2" xfId="10014" xr:uid="{00000000-0005-0000-0000-00002E390000}"/>
    <cellStyle name="표준 5 2 2 4 2 2 2 3 2 2" xfId="14126" xr:uid="{00000000-0005-0000-0000-00002F390000}"/>
    <cellStyle name="표준 5 2 2 4 2 2 2 3 2 2 2" xfId="30720" xr:uid="{00000000-0005-0000-0000-000030390000}"/>
    <cellStyle name="표준 5 2 2 4 2 2 2 3 2 2 3" xfId="38931" xr:uid="{00000000-0005-0000-0000-000031390000}"/>
    <cellStyle name="표준 5 2 2 4 2 2 2 3 2 2 4" xfId="47124" xr:uid="{00000000-0005-0000-0000-000032390000}"/>
    <cellStyle name="표준 5 2 2 4 2 2 2 3 2 3" xfId="18366" xr:uid="{00000000-0005-0000-0000-000033390000}"/>
    <cellStyle name="표준 5 2 2 4 2 2 2 3 2 4" xfId="22528" xr:uid="{00000000-0005-0000-0000-000034390000}"/>
    <cellStyle name="표준 5 2 2 4 2 2 2 3 2 5" xfId="26624" xr:uid="{00000000-0005-0000-0000-000035390000}"/>
    <cellStyle name="표준 5 2 2 4 2 2 2 3 2 6" xfId="34835" xr:uid="{00000000-0005-0000-0000-000036390000}"/>
    <cellStyle name="표준 5 2 2 4 2 2 2 3 2 7" xfId="43028" xr:uid="{00000000-0005-0000-0000-000037390000}"/>
    <cellStyle name="표준 5 2 2 4 2 2 2 3 3" xfId="7966" xr:uid="{00000000-0005-0000-0000-000038390000}"/>
    <cellStyle name="표준 5 2 2 4 2 2 2 3 3 2" xfId="28672" xr:uid="{00000000-0005-0000-0000-000039390000}"/>
    <cellStyle name="표준 5 2 2 4 2 2 2 3 3 3" xfId="36883" xr:uid="{00000000-0005-0000-0000-00003A390000}"/>
    <cellStyle name="표준 5 2 2 4 2 2 2 3 3 4" xfId="45076" xr:uid="{00000000-0005-0000-0000-00003B390000}"/>
    <cellStyle name="표준 5 2 2 4 2 2 2 3 4" xfId="12078" xr:uid="{00000000-0005-0000-0000-00003C390000}"/>
    <cellStyle name="표준 5 2 2 4 2 2 2 3 5" xfId="16318" xr:uid="{00000000-0005-0000-0000-00003D390000}"/>
    <cellStyle name="표준 5 2 2 4 2 2 2 3 6" xfId="20480" xr:uid="{00000000-0005-0000-0000-00003E390000}"/>
    <cellStyle name="표준 5 2 2 4 2 2 2 3 7" xfId="24576" xr:uid="{00000000-0005-0000-0000-00003F390000}"/>
    <cellStyle name="표준 5 2 2 4 2 2 2 3 8" xfId="32787" xr:uid="{00000000-0005-0000-0000-000040390000}"/>
    <cellStyle name="표준 5 2 2 4 2 2 2 3 9" xfId="40980" xr:uid="{00000000-0005-0000-0000-000041390000}"/>
    <cellStyle name="표준 5 2 2 4 2 2 2 4" xfId="1623" xr:uid="{00000000-0005-0000-0000-000042390000}"/>
    <cellStyle name="표준 5 2 2 4 2 2 2 4 2" xfId="10526" xr:uid="{00000000-0005-0000-0000-000043390000}"/>
    <cellStyle name="표준 5 2 2 4 2 2 2 4 2 2" xfId="14638" xr:uid="{00000000-0005-0000-0000-000044390000}"/>
    <cellStyle name="표준 5 2 2 4 2 2 2 4 2 2 2" xfId="31232" xr:uid="{00000000-0005-0000-0000-000045390000}"/>
    <cellStyle name="표준 5 2 2 4 2 2 2 4 2 2 3" xfId="39443" xr:uid="{00000000-0005-0000-0000-000046390000}"/>
    <cellStyle name="표준 5 2 2 4 2 2 2 4 2 2 4" xfId="47636" xr:uid="{00000000-0005-0000-0000-000047390000}"/>
    <cellStyle name="표준 5 2 2 4 2 2 2 4 2 3" xfId="18878" xr:uid="{00000000-0005-0000-0000-000048390000}"/>
    <cellStyle name="표준 5 2 2 4 2 2 2 4 2 4" xfId="23040" xr:uid="{00000000-0005-0000-0000-000049390000}"/>
    <cellStyle name="표준 5 2 2 4 2 2 2 4 2 5" xfId="27136" xr:uid="{00000000-0005-0000-0000-00004A390000}"/>
    <cellStyle name="표준 5 2 2 4 2 2 2 4 2 6" xfId="35347" xr:uid="{00000000-0005-0000-0000-00004B390000}"/>
    <cellStyle name="표준 5 2 2 4 2 2 2 4 2 7" xfId="43540" xr:uid="{00000000-0005-0000-0000-00004C390000}"/>
    <cellStyle name="표준 5 2 2 4 2 2 2 4 3" xfId="8478" xr:uid="{00000000-0005-0000-0000-00004D390000}"/>
    <cellStyle name="표준 5 2 2 4 2 2 2 4 3 2" xfId="29184" xr:uid="{00000000-0005-0000-0000-00004E390000}"/>
    <cellStyle name="표준 5 2 2 4 2 2 2 4 3 3" xfId="37395" xr:uid="{00000000-0005-0000-0000-00004F390000}"/>
    <cellStyle name="표준 5 2 2 4 2 2 2 4 3 4" xfId="45588" xr:uid="{00000000-0005-0000-0000-000050390000}"/>
    <cellStyle name="표준 5 2 2 4 2 2 2 4 4" xfId="12590" xr:uid="{00000000-0005-0000-0000-000051390000}"/>
    <cellStyle name="표준 5 2 2 4 2 2 2 4 5" xfId="16830" xr:uid="{00000000-0005-0000-0000-000052390000}"/>
    <cellStyle name="표준 5 2 2 4 2 2 2 4 6" xfId="20992" xr:uid="{00000000-0005-0000-0000-000053390000}"/>
    <cellStyle name="표준 5 2 2 4 2 2 2 4 7" xfId="25088" xr:uid="{00000000-0005-0000-0000-000054390000}"/>
    <cellStyle name="표준 5 2 2 4 2 2 2 4 8" xfId="33299" xr:uid="{00000000-0005-0000-0000-000055390000}"/>
    <cellStyle name="표준 5 2 2 4 2 2 2 4 9" xfId="41492" xr:uid="{00000000-0005-0000-0000-000056390000}"/>
    <cellStyle name="표준 5 2 2 4 2 2 2 5" xfId="2135" xr:uid="{00000000-0005-0000-0000-000057390000}"/>
    <cellStyle name="표준 5 2 2 4 2 2 2 5 2" xfId="11038" xr:uid="{00000000-0005-0000-0000-000058390000}"/>
    <cellStyle name="표준 5 2 2 4 2 2 2 5 2 2" xfId="15150" xr:uid="{00000000-0005-0000-0000-000059390000}"/>
    <cellStyle name="표준 5 2 2 4 2 2 2 5 2 2 2" xfId="31744" xr:uid="{00000000-0005-0000-0000-00005A390000}"/>
    <cellStyle name="표준 5 2 2 4 2 2 2 5 2 2 3" xfId="39955" xr:uid="{00000000-0005-0000-0000-00005B390000}"/>
    <cellStyle name="표준 5 2 2 4 2 2 2 5 2 2 4" xfId="48148" xr:uid="{00000000-0005-0000-0000-00005C390000}"/>
    <cellStyle name="표준 5 2 2 4 2 2 2 5 2 3" xfId="19390" xr:uid="{00000000-0005-0000-0000-00005D390000}"/>
    <cellStyle name="표준 5 2 2 4 2 2 2 5 2 4" xfId="23552" xr:uid="{00000000-0005-0000-0000-00005E390000}"/>
    <cellStyle name="표준 5 2 2 4 2 2 2 5 2 5" xfId="27648" xr:uid="{00000000-0005-0000-0000-00005F390000}"/>
    <cellStyle name="표준 5 2 2 4 2 2 2 5 2 6" xfId="35859" xr:uid="{00000000-0005-0000-0000-000060390000}"/>
    <cellStyle name="표준 5 2 2 4 2 2 2 5 2 7" xfId="44052" xr:uid="{00000000-0005-0000-0000-000061390000}"/>
    <cellStyle name="표준 5 2 2 4 2 2 2 5 3" xfId="8990" xr:uid="{00000000-0005-0000-0000-000062390000}"/>
    <cellStyle name="표준 5 2 2 4 2 2 2 5 3 2" xfId="29696" xr:uid="{00000000-0005-0000-0000-000063390000}"/>
    <cellStyle name="표준 5 2 2 4 2 2 2 5 3 3" xfId="37907" xr:uid="{00000000-0005-0000-0000-000064390000}"/>
    <cellStyle name="표준 5 2 2 4 2 2 2 5 3 4" xfId="46100" xr:uid="{00000000-0005-0000-0000-000065390000}"/>
    <cellStyle name="표준 5 2 2 4 2 2 2 5 4" xfId="13102" xr:uid="{00000000-0005-0000-0000-000066390000}"/>
    <cellStyle name="표준 5 2 2 4 2 2 2 5 5" xfId="17342" xr:uid="{00000000-0005-0000-0000-000067390000}"/>
    <cellStyle name="표준 5 2 2 4 2 2 2 5 6" xfId="21504" xr:uid="{00000000-0005-0000-0000-000068390000}"/>
    <cellStyle name="표준 5 2 2 4 2 2 2 5 7" xfId="25600" xr:uid="{00000000-0005-0000-0000-000069390000}"/>
    <cellStyle name="표준 5 2 2 4 2 2 2 5 8" xfId="33811" xr:uid="{00000000-0005-0000-0000-00006A390000}"/>
    <cellStyle name="표준 5 2 2 4 2 2 2 5 9" xfId="42004" xr:uid="{00000000-0005-0000-0000-00006B390000}"/>
    <cellStyle name="표준 5 2 2 4 2 2 2 6" xfId="9502" xr:uid="{00000000-0005-0000-0000-00006C390000}"/>
    <cellStyle name="표준 5 2 2 4 2 2 2 6 2" xfId="13614" xr:uid="{00000000-0005-0000-0000-00006D390000}"/>
    <cellStyle name="표준 5 2 2 4 2 2 2 6 2 2" xfId="30208" xr:uid="{00000000-0005-0000-0000-00006E390000}"/>
    <cellStyle name="표준 5 2 2 4 2 2 2 6 2 3" xfId="38419" xr:uid="{00000000-0005-0000-0000-00006F390000}"/>
    <cellStyle name="표준 5 2 2 4 2 2 2 6 2 4" xfId="46612" xr:uid="{00000000-0005-0000-0000-000070390000}"/>
    <cellStyle name="표준 5 2 2 4 2 2 2 6 3" xfId="17854" xr:uid="{00000000-0005-0000-0000-000071390000}"/>
    <cellStyle name="표준 5 2 2 4 2 2 2 6 4" xfId="22016" xr:uid="{00000000-0005-0000-0000-000072390000}"/>
    <cellStyle name="표준 5 2 2 4 2 2 2 6 5" xfId="26112" xr:uid="{00000000-0005-0000-0000-000073390000}"/>
    <cellStyle name="표준 5 2 2 4 2 2 2 6 6" xfId="34323" xr:uid="{00000000-0005-0000-0000-000074390000}"/>
    <cellStyle name="표준 5 2 2 4 2 2 2 6 7" xfId="42516" xr:uid="{00000000-0005-0000-0000-000075390000}"/>
    <cellStyle name="표준 5 2 2 4 2 2 2 7" xfId="7454" xr:uid="{00000000-0005-0000-0000-000076390000}"/>
    <cellStyle name="표준 5 2 2 4 2 2 2 7 2" xfId="28160" xr:uid="{00000000-0005-0000-0000-000077390000}"/>
    <cellStyle name="표준 5 2 2 4 2 2 2 7 3" xfId="36371" xr:uid="{00000000-0005-0000-0000-000078390000}"/>
    <cellStyle name="표준 5 2 2 4 2 2 2 7 4" xfId="44564" xr:uid="{00000000-0005-0000-0000-000079390000}"/>
    <cellStyle name="표준 5 2 2 4 2 2 2 8" xfId="11566" xr:uid="{00000000-0005-0000-0000-00007A390000}"/>
    <cellStyle name="표준 5 2 2 4 2 2 2 9" xfId="15806" xr:uid="{00000000-0005-0000-0000-00007B390000}"/>
    <cellStyle name="표준 5 2 2 4 2 2 3" xfId="727" xr:uid="{00000000-0005-0000-0000-00007C390000}"/>
    <cellStyle name="표준 5 2 2 4 2 2 3 10" xfId="24192" xr:uid="{00000000-0005-0000-0000-00007D390000}"/>
    <cellStyle name="표준 5 2 2 4 2 2 3 11" xfId="32403" xr:uid="{00000000-0005-0000-0000-00007E390000}"/>
    <cellStyle name="표준 5 2 2 4 2 2 3 12" xfId="40596" xr:uid="{00000000-0005-0000-0000-00007F390000}"/>
    <cellStyle name="표준 5 2 2 4 2 2 3 2" xfId="1239" xr:uid="{00000000-0005-0000-0000-000080390000}"/>
    <cellStyle name="표준 5 2 2 4 2 2 3 2 2" xfId="10142" xr:uid="{00000000-0005-0000-0000-000081390000}"/>
    <cellStyle name="표준 5 2 2 4 2 2 3 2 2 2" xfId="14254" xr:uid="{00000000-0005-0000-0000-000082390000}"/>
    <cellStyle name="표준 5 2 2 4 2 2 3 2 2 2 2" xfId="30848" xr:uid="{00000000-0005-0000-0000-000083390000}"/>
    <cellStyle name="표준 5 2 2 4 2 2 3 2 2 2 3" xfId="39059" xr:uid="{00000000-0005-0000-0000-000084390000}"/>
    <cellStyle name="표준 5 2 2 4 2 2 3 2 2 2 4" xfId="47252" xr:uid="{00000000-0005-0000-0000-000085390000}"/>
    <cellStyle name="표준 5 2 2 4 2 2 3 2 2 3" xfId="18494" xr:uid="{00000000-0005-0000-0000-000086390000}"/>
    <cellStyle name="표준 5 2 2 4 2 2 3 2 2 4" xfId="22656" xr:uid="{00000000-0005-0000-0000-000087390000}"/>
    <cellStyle name="표준 5 2 2 4 2 2 3 2 2 5" xfId="26752" xr:uid="{00000000-0005-0000-0000-000088390000}"/>
    <cellStyle name="표준 5 2 2 4 2 2 3 2 2 6" xfId="34963" xr:uid="{00000000-0005-0000-0000-000089390000}"/>
    <cellStyle name="표준 5 2 2 4 2 2 3 2 2 7" xfId="43156" xr:uid="{00000000-0005-0000-0000-00008A390000}"/>
    <cellStyle name="표준 5 2 2 4 2 2 3 2 3" xfId="8094" xr:uid="{00000000-0005-0000-0000-00008B390000}"/>
    <cellStyle name="표준 5 2 2 4 2 2 3 2 3 2" xfId="28800" xr:uid="{00000000-0005-0000-0000-00008C390000}"/>
    <cellStyle name="표준 5 2 2 4 2 2 3 2 3 3" xfId="37011" xr:uid="{00000000-0005-0000-0000-00008D390000}"/>
    <cellStyle name="표준 5 2 2 4 2 2 3 2 3 4" xfId="45204" xr:uid="{00000000-0005-0000-0000-00008E390000}"/>
    <cellStyle name="표준 5 2 2 4 2 2 3 2 4" xfId="12206" xr:uid="{00000000-0005-0000-0000-00008F390000}"/>
    <cellStyle name="표준 5 2 2 4 2 2 3 2 5" xfId="16446" xr:uid="{00000000-0005-0000-0000-000090390000}"/>
    <cellStyle name="표준 5 2 2 4 2 2 3 2 6" xfId="20608" xr:uid="{00000000-0005-0000-0000-000091390000}"/>
    <cellStyle name="표준 5 2 2 4 2 2 3 2 7" xfId="24704" xr:uid="{00000000-0005-0000-0000-000092390000}"/>
    <cellStyle name="표준 5 2 2 4 2 2 3 2 8" xfId="32915" xr:uid="{00000000-0005-0000-0000-000093390000}"/>
    <cellStyle name="표준 5 2 2 4 2 2 3 2 9" xfId="41108" xr:uid="{00000000-0005-0000-0000-000094390000}"/>
    <cellStyle name="표준 5 2 2 4 2 2 3 3" xfId="1751" xr:uid="{00000000-0005-0000-0000-000095390000}"/>
    <cellStyle name="표준 5 2 2 4 2 2 3 3 2" xfId="10654" xr:uid="{00000000-0005-0000-0000-000096390000}"/>
    <cellStyle name="표준 5 2 2 4 2 2 3 3 2 2" xfId="14766" xr:uid="{00000000-0005-0000-0000-000097390000}"/>
    <cellStyle name="표준 5 2 2 4 2 2 3 3 2 2 2" xfId="31360" xr:uid="{00000000-0005-0000-0000-000098390000}"/>
    <cellStyle name="표준 5 2 2 4 2 2 3 3 2 2 3" xfId="39571" xr:uid="{00000000-0005-0000-0000-000099390000}"/>
    <cellStyle name="표준 5 2 2 4 2 2 3 3 2 2 4" xfId="47764" xr:uid="{00000000-0005-0000-0000-00009A390000}"/>
    <cellStyle name="표준 5 2 2 4 2 2 3 3 2 3" xfId="19006" xr:uid="{00000000-0005-0000-0000-00009B390000}"/>
    <cellStyle name="표준 5 2 2 4 2 2 3 3 2 4" xfId="23168" xr:uid="{00000000-0005-0000-0000-00009C390000}"/>
    <cellStyle name="표준 5 2 2 4 2 2 3 3 2 5" xfId="27264" xr:uid="{00000000-0005-0000-0000-00009D390000}"/>
    <cellStyle name="표준 5 2 2 4 2 2 3 3 2 6" xfId="35475" xr:uid="{00000000-0005-0000-0000-00009E390000}"/>
    <cellStyle name="표준 5 2 2 4 2 2 3 3 2 7" xfId="43668" xr:uid="{00000000-0005-0000-0000-00009F390000}"/>
    <cellStyle name="표준 5 2 2 4 2 2 3 3 3" xfId="8606" xr:uid="{00000000-0005-0000-0000-0000A0390000}"/>
    <cellStyle name="표준 5 2 2 4 2 2 3 3 3 2" xfId="29312" xr:uid="{00000000-0005-0000-0000-0000A1390000}"/>
    <cellStyle name="표준 5 2 2 4 2 2 3 3 3 3" xfId="37523" xr:uid="{00000000-0005-0000-0000-0000A2390000}"/>
    <cellStyle name="표준 5 2 2 4 2 2 3 3 3 4" xfId="45716" xr:uid="{00000000-0005-0000-0000-0000A3390000}"/>
    <cellStyle name="표준 5 2 2 4 2 2 3 3 4" xfId="12718" xr:uid="{00000000-0005-0000-0000-0000A4390000}"/>
    <cellStyle name="표준 5 2 2 4 2 2 3 3 5" xfId="16958" xr:uid="{00000000-0005-0000-0000-0000A5390000}"/>
    <cellStyle name="표준 5 2 2 4 2 2 3 3 6" xfId="21120" xr:uid="{00000000-0005-0000-0000-0000A6390000}"/>
    <cellStyle name="표준 5 2 2 4 2 2 3 3 7" xfId="25216" xr:uid="{00000000-0005-0000-0000-0000A7390000}"/>
    <cellStyle name="표준 5 2 2 4 2 2 3 3 8" xfId="33427" xr:uid="{00000000-0005-0000-0000-0000A8390000}"/>
    <cellStyle name="표준 5 2 2 4 2 2 3 3 9" xfId="41620" xr:uid="{00000000-0005-0000-0000-0000A9390000}"/>
    <cellStyle name="표준 5 2 2 4 2 2 3 4" xfId="2263" xr:uid="{00000000-0005-0000-0000-0000AA390000}"/>
    <cellStyle name="표준 5 2 2 4 2 2 3 4 2" xfId="11166" xr:uid="{00000000-0005-0000-0000-0000AB390000}"/>
    <cellStyle name="표준 5 2 2 4 2 2 3 4 2 2" xfId="15278" xr:uid="{00000000-0005-0000-0000-0000AC390000}"/>
    <cellStyle name="표준 5 2 2 4 2 2 3 4 2 2 2" xfId="31872" xr:uid="{00000000-0005-0000-0000-0000AD390000}"/>
    <cellStyle name="표준 5 2 2 4 2 2 3 4 2 2 3" xfId="40083" xr:uid="{00000000-0005-0000-0000-0000AE390000}"/>
    <cellStyle name="표준 5 2 2 4 2 2 3 4 2 2 4" xfId="48276" xr:uid="{00000000-0005-0000-0000-0000AF390000}"/>
    <cellStyle name="표준 5 2 2 4 2 2 3 4 2 3" xfId="19518" xr:uid="{00000000-0005-0000-0000-0000B0390000}"/>
    <cellStyle name="표준 5 2 2 4 2 2 3 4 2 4" xfId="23680" xr:uid="{00000000-0005-0000-0000-0000B1390000}"/>
    <cellStyle name="표준 5 2 2 4 2 2 3 4 2 5" xfId="27776" xr:uid="{00000000-0005-0000-0000-0000B2390000}"/>
    <cellStyle name="표준 5 2 2 4 2 2 3 4 2 6" xfId="35987" xr:uid="{00000000-0005-0000-0000-0000B3390000}"/>
    <cellStyle name="표준 5 2 2 4 2 2 3 4 2 7" xfId="44180" xr:uid="{00000000-0005-0000-0000-0000B4390000}"/>
    <cellStyle name="표준 5 2 2 4 2 2 3 4 3" xfId="9118" xr:uid="{00000000-0005-0000-0000-0000B5390000}"/>
    <cellStyle name="표준 5 2 2 4 2 2 3 4 3 2" xfId="29824" xr:uid="{00000000-0005-0000-0000-0000B6390000}"/>
    <cellStyle name="표준 5 2 2 4 2 2 3 4 3 3" xfId="38035" xr:uid="{00000000-0005-0000-0000-0000B7390000}"/>
    <cellStyle name="표준 5 2 2 4 2 2 3 4 3 4" xfId="46228" xr:uid="{00000000-0005-0000-0000-0000B8390000}"/>
    <cellStyle name="표준 5 2 2 4 2 2 3 4 4" xfId="13230" xr:uid="{00000000-0005-0000-0000-0000B9390000}"/>
    <cellStyle name="표준 5 2 2 4 2 2 3 4 5" xfId="17470" xr:uid="{00000000-0005-0000-0000-0000BA390000}"/>
    <cellStyle name="표준 5 2 2 4 2 2 3 4 6" xfId="21632" xr:uid="{00000000-0005-0000-0000-0000BB390000}"/>
    <cellStyle name="표준 5 2 2 4 2 2 3 4 7" xfId="25728" xr:uid="{00000000-0005-0000-0000-0000BC390000}"/>
    <cellStyle name="표준 5 2 2 4 2 2 3 4 8" xfId="33939" xr:uid="{00000000-0005-0000-0000-0000BD390000}"/>
    <cellStyle name="표준 5 2 2 4 2 2 3 4 9" xfId="42132" xr:uid="{00000000-0005-0000-0000-0000BE390000}"/>
    <cellStyle name="표준 5 2 2 4 2 2 3 5" xfId="9630" xr:uid="{00000000-0005-0000-0000-0000BF390000}"/>
    <cellStyle name="표준 5 2 2 4 2 2 3 5 2" xfId="13742" xr:uid="{00000000-0005-0000-0000-0000C0390000}"/>
    <cellStyle name="표준 5 2 2 4 2 2 3 5 2 2" xfId="30336" xr:uid="{00000000-0005-0000-0000-0000C1390000}"/>
    <cellStyle name="표준 5 2 2 4 2 2 3 5 2 3" xfId="38547" xr:uid="{00000000-0005-0000-0000-0000C2390000}"/>
    <cellStyle name="표준 5 2 2 4 2 2 3 5 2 4" xfId="46740" xr:uid="{00000000-0005-0000-0000-0000C3390000}"/>
    <cellStyle name="표준 5 2 2 4 2 2 3 5 3" xfId="17982" xr:uid="{00000000-0005-0000-0000-0000C4390000}"/>
    <cellStyle name="표준 5 2 2 4 2 2 3 5 4" xfId="22144" xr:uid="{00000000-0005-0000-0000-0000C5390000}"/>
    <cellStyle name="표준 5 2 2 4 2 2 3 5 5" xfId="26240" xr:uid="{00000000-0005-0000-0000-0000C6390000}"/>
    <cellStyle name="표준 5 2 2 4 2 2 3 5 6" xfId="34451" xr:uid="{00000000-0005-0000-0000-0000C7390000}"/>
    <cellStyle name="표준 5 2 2 4 2 2 3 5 7" xfId="42644" xr:uid="{00000000-0005-0000-0000-0000C8390000}"/>
    <cellStyle name="표준 5 2 2 4 2 2 3 6" xfId="7582" xr:uid="{00000000-0005-0000-0000-0000C9390000}"/>
    <cellStyle name="표준 5 2 2 4 2 2 3 6 2" xfId="28288" xr:uid="{00000000-0005-0000-0000-0000CA390000}"/>
    <cellStyle name="표준 5 2 2 4 2 2 3 6 3" xfId="36499" xr:uid="{00000000-0005-0000-0000-0000CB390000}"/>
    <cellStyle name="표준 5 2 2 4 2 2 3 6 4" xfId="44692" xr:uid="{00000000-0005-0000-0000-0000CC390000}"/>
    <cellStyle name="표준 5 2 2 4 2 2 3 7" xfId="11694" xr:uid="{00000000-0005-0000-0000-0000CD390000}"/>
    <cellStyle name="표준 5 2 2 4 2 2 3 8" xfId="15934" xr:uid="{00000000-0005-0000-0000-0000CE390000}"/>
    <cellStyle name="표준 5 2 2 4 2 2 3 9" xfId="20096" xr:uid="{00000000-0005-0000-0000-0000CF390000}"/>
    <cellStyle name="표준 5 2 2 4 2 2 4" xfId="983" xr:uid="{00000000-0005-0000-0000-0000D0390000}"/>
    <cellStyle name="표준 5 2 2 4 2 2 4 2" xfId="9886" xr:uid="{00000000-0005-0000-0000-0000D1390000}"/>
    <cellStyle name="표준 5 2 2 4 2 2 4 2 2" xfId="13998" xr:uid="{00000000-0005-0000-0000-0000D2390000}"/>
    <cellStyle name="표준 5 2 2 4 2 2 4 2 2 2" xfId="30592" xr:uid="{00000000-0005-0000-0000-0000D3390000}"/>
    <cellStyle name="표준 5 2 2 4 2 2 4 2 2 3" xfId="38803" xr:uid="{00000000-0005-0000-0000-0000D4390000}"/>
    <cellStyle name="표준 5 2 2 4 2 2 4 2 2 4" xfId="46996" xr:uid="{00000000-0005-0000-0000-0000D5390000}"/>
    <cellStyle name="표준 5 2 2 4 2 2 4 2 3" xfId="18238" xr:uid="{00000000-0005-0000-0000-0000D6390000}"/>
    <cellStyle name="표준 5 2 2 4 2 2 4 2 4" xfId="22400" xr:uid="{00000000-0005-0000-0000-0000D7390000}"/>
    <cellStyle name="표준 5 2 2 4 2 2 4 2 5" xfId="26496" xr:uid="{00000000-0005-0000-0000-0000D8390000}"/>
    <cellStyle name="표준 5 2 2 4 2 2 4 2 6" xfId="34707" xr:uid="{00000000-0005-0000-0000-0000D9390000}"/>
    <cellStyle name="표준 5 2 2 4 2 2 4 2 7" xfId="42900" xr:uid="{00000000-0005-0000-0000-0000DA390000}"/>
    <cellStyle name="표준 5 2 2 4 2 2 4 3" xfId="7838" xr:uid="{00000000-0005-0000-0000-0000DB390000}"/>
    <cellStyle name="표준 5 2 2 4 2 2 4 3 2" xfId="28544" xr:uid="{00000000-0005-0000-0000-0000DC390000}"/>
    <cellStyle name="표준 5 2 2 4 2 2 4 3 3" xfId="36755" xr:uid="{00000000-0005-0000-0000-0000DD390000}"/>
    <cellStyle name="표준 5 2 2 4 2 2 4 3 4" xfId="44948" xr:uid="{00000000-0005-0000-0000-0000DE390000}"/>
    <cellStyle name="표준 5 2 2 4 2 2 4 4" xfId="11950" xr:uid="{00000000-0005-0000-0000-0000DF390000}"/>
    <cellStyle name="표준 5 2 2 4 2 2 4 5" xfId="16190" xr:uid="{00000000-0005-0000-0000-0000E0390000}"/>
    <cellStyle name="표준 5 2 2 4 2 2 4 6" xfId="20352" xr:uid="{00000000-0005-0000-0000-0000E1390000}"/>
    <cellStyle name="표준 5 2 2 4 2 2 4 7" xfId="24448" xr:uid="{00000000-0005-0000-0000-0000E2390000}"/>
    <cellStyle name="표준 5 2 2 4 2 2 4 8" xfId="32659" xr:uid="{00000000-0005-0000-0000-0000E3390000}"/>
    <cellStyle name="표준 5 2 2 4 2 2 4 9" xfId="40852" xr:uid="{00000000-0005-0000-0000-0000E4390000}"/>
    <cellStyle name="표준 5 2 2 4 2 2 5" xfId="1495" xr:uid="{00000000-0005-0000-0000-0000E5390000}"/>
    <cellStyle name="표준 5 2 2 4 2 2 5 2" xfId="10398" xr:uid="{00000000-0005-0000-0000-0000E6390000}"/>
    <cellStyle name="표준 5 2 2 4 2 2 5 2 2" xfId="14510" xr:uid="{00000000-0005-0000-0000-0000E7390000}"/>
    <cellStyle name="표준 5 2 2 4 2 2 5 2 2 2" xfId="31104" xr:uid="{00000000-0005-0000-0000-0000E8390000}"/>
    <cellStyle name="표준 5 2 2 4 2 2 5 2 2 3" xfId="39315" xr:uid="{00000000-0005-0000-0000-0000E9390000}"/>
    <cellStyle name="표준 5 2 2 4 2 2 5 2 2 4" xfId="47508" xr:uid="{00000000-0005-0000-0000-0000EA390000}"/>
    <cellStyle name="표준 5 2 2 4 2 2 5 2 3" xfId="18750" xr:uid="{00000000-0005-0000-0000-0000EB390000}"/>
    <cellStyle name="표준 5 2 2 4 2 2 5 2 4" xfId="22912" xr:uid="{00000000-0005-0000-0000-0000EC390000}"/>
    <cellStyle name="표준 5 2 2 4 2 2 5 2 5" xfId="27008" xr:uid="{00000000-0005-0000-0000-0000ED390000}"/>
    <cellStyle name="표준 5 2 2 4 2 2 5 2 6" xfId="35219" xr:uid="{00000000-0005-0000-0000-0000EE390000}"/>
    <cellStyle name="표준 5 2 2 4 2 2 5 2 7" xfId="43412" xr:uid="{00000000-0005-0000-0000-0000EF390000}"/>
    <cellStyle name="표준 5 2 2 4 2 2 5 3" xfId="8350" xr:uid="{00000000-0005-0000-0000-0000F0390000}"/>
    <cellStyle name="표준 5 2 2 4 2 2 5 3 2" xfId="29056" xr:uid="{00000000-0005-0000-0000-0000F1390000}"/>
    <cellStyle name="표준 5 2 2 4 2 2 5 3 3" xfId="37267" xr:uid="{00000000-0005-0000-0000-0000F2390000}"/>
    <cellStyle name="표준 5 2 2 4 2 2 5 3 4" xfId="45460" xr:uid="{00000000-0005-0000-0000-0000F3390000}"/>
    <cellStyle name="표준 5 2 2 4 2 2 5 4" xfId="12462" xr:uid="{00000000-0005-0000-0000-0000F4390000}"/>
    <cellStyle name="표준 5 2 2 4 2 2 5 5" xfId="16702" xr:uid="{00000000-0005-0000-0000-0000F5390000}"/>
    <cellStyle name="표준 5 2 2 4 2 2 5 6" xfId="20864" xr:uid="{00000000-0005-0000-0000-0000F6390000}"/>
    <cellStyle name="표준 5 2 2 4 2 2 5 7" xfId="24960" xr:uid="{00000000-0005-0000-0000-0000F7390000}"/>
    <cellStyle name="표준 5 2 2 4 2 2 5 8" xfId="33171" xr:uid="{00000000-0005-0000-0000-0000F8390000}"/>
    <cellStyle name="표준 5 2 2 4 2 2 5 9" xfId="41364" xr:uid="{00000000-0005-0000-0000-0000F9390000}"/>
    <cellStyle name="표준 5 2 2 4 2 2 6" xfId="2007" xr:uid="{00000000-0005-0000-0000-0000FA390000}"/>
    <cellStyle name="표준 5 2 2 4 2 2 6 2" xfId="10910" xr:uid="{00000000-0005-0000-0000-0000FB390000}"/>
    <cellStyle name="표준 5 2 2 4 2 2 6 2 2" xfId="15022" xr:uid="{00000000-0005-0000-0000-0000FC390000}"/>
    <cellStyle name="표준 5 2 2 4 2 2 6 2 2 2" xfId="31616" xr:uid="{00000000-0005-0000-0000-0000FD390000}"/>
    <cellStyle name="표준 5 2 2 4 2 2 6 2 2 3" xfId="39827" xr:uid="{00000000-0005-0000-0000-0000FE390000}"/>
    <cellStyle name="표준 5 2 2 4 2 2 6 2 2 4" xfId="48020" xr:uid="{00000000-0005-0000-0000-0000FF390000}"/>
    <cellStyle name="표준 5 2 2 4 2 2 6 2 3" xfId="19262" xr:uid="{00000000-0005-0000-0000-0000003A0000}"/>
    <cellStyle name="표준 5 2 2 4 2 2 6 2 4" xfId="23424" xr:uid="{00000000-0005-0000-0000-0000013A0000}"/>
    <cellStyle name="표준 5 2 2 4 2 2 6 2 5" xfId="27520" xr:uid="{00000000-0005-0000-0000-0000023A0000}"/>
    <cellStyle name="표준 5 2 2 4 2 2 6 2 6" xfId="35731" xr:uid="{00000000-0005-0000-0000-0000033A0000}"/>
    <cellStyle name="표준 5 2 2 4 2 2 6 2 7" xfId="43924" xr:uid="{00000000-0005-0000-0000-0000043A0000}"/>
    <cellStyle name="표준 5 2 2 4 2 2 6 3" xfId="8862" xr:uid="{00000000-0005-0000-0000-0000053A0000}"/>
    <cellStyle name="표준 5 2 2 4 2 2 6 3 2" xfId="29568" xr:uid="{00000000-0005-0000-0000-0000063A0000}"/>
    <cellStyle name="표준 5 2 2 4 2 2 6 3 3" xfId="37779" xr:uid="{00000000-0005-0000-0000-0000073A0000}"/>
    <cellStyle name="표준 5 2 2 4 2 2 6 3 4" xfId="45972" xr:uid="{00000000-0005-0000-0000-0000083A0000}"/>
    <cellStyle name="표준 5 2 2 4 2 2 6 4" xfId="12974" xr:uid="{00000000-0005-0000-0000-0000093A0000}"/>
    <cellStyle name="표준 5 2 2 4 2 2 6 5" xfId="17214" xr:uid="{00000000-0005-0000-0000-00000A3A0000}"/>
    <cellStyle name="표준 5 2 2 4 2 2 6 6" xfId="21376" xr:uid="{00000000-0005-0000-0000-00000B3A0000}"/>
    <cellStyle name="표준 5 2 2 4 2 2 6 7" xfId="25472" xr:uid="{00000000-0005-0000-0000-00000C3A0000}"/>
    <cellStyle name="표준 5 2 2 4 2 2 6 8" xfId="33683" xr:uid="{00000000-0005-0000-0000-00000D3A0000}"/>
    <cellStyle name="표준 5 2 2 4 2 2 6 9" xfId="41876" xr:uid="{00000000-0005-0000-0000-00000E3A0000}"/>
    <cellStyle name="표준 5 2 2 4 2 2 7" xfId="9374" xr:uid="{00000000-0005-0000-0000-00000F3A0000}"/>
    <cellStyle name="표준 5 2 2 4 2 2 7 2" xfId="13486" xr:uid="{00000000-0005-0000-0000-0000103A0000}"/>
    <cellStyle name="표준 5 2 2 4 2 2 7 2 2" xfId="30080" xr:uid="{00000000-0005-0000-0000-0000113A0000}"/>
    <cellStyle name="표준 5 2 2 4 2 2 7 2 3" xfId="38291" xr:uid="{00000000-0005-0000-0000-0000123A0000}"/>
    <cellStyle name="표준 5 2 2 4 2 2 7 2 4" xfId="46484" xr:uid="{00000000-0005-0000-0000-0000133A0000}"/>
    <cellStyle name="표준 5 2 2 4 2 2 7 3" xfId="17726" xr:uid="{00000000-0005-0000-0000-0000143A0000}"/>
    <cellStyle name="표준 5 2 2 4 2 2 7 4" xfId="21888" xr:uid="{00000000-0005-0000-0000-0000153A0000}"/>
    <cellStyle name="표준 5 2 2 4 2 2 7 5" xfId="25984" xr:uid="{00000000-0005-0000-0000-0000163A0000}"/>
    <cellStyle name="표준 5 2 2 4 2 2 7 6" xfId="34195" xr:uid="{00000000-0005-0000-0000-0000173A0000}"/>
    <cellStyle name="표준 5 2 2 4 2 2 7 7" xfId="42388" xr:uid="{00000000-0005-0000-0000-0000183A0000}"/>
    <cellStyle name="표준 5 2 2 4 2 2 8" xfId="7326" xr:uid="{00000000-0005-0000-0000-0000193A0000}"/>
    <cellStyle name="표준 5 2 2 4 2 2 8 2" xfId="28032" xr:uid="{00000000-0005-0000-0000-00001A3A0000}"/>
    <cellStyle name="표준 5 2 2 4 2 2 8 3" xfId="36243" xr:uid="{00000000-0005-0000-0000-00001B3A0000}"/>
    <cellStyle name="표준 5 2 2 4 2 2 8 4" xfId="44436" xr:uid="{00000000-0005-0000-0000-00001C3A0000}"/>
    <cellStyle name="표준 5 2 2 4 2 2 9" xfId="11438" xr:uid="{00000000-0005-0000-0000-00001D3A0000}"/>
    <cellStyle name="표준 5 2 2 4 2 3" xfId="535" xr:uid="{00000000-0005-0000-0000-00001E3A0000}"/>
    <cellStyle name="표준 5 2 2 4 2 3 10" xfId="19904" xr:uid="{00000000-0005-0000-0000-00001F3A0000}"/>
    <cellStyle name="표준 5 2 2 4 2 3 11" xfId="24000" xr:uid="{00000000-0005-0000-0000-0000203A0000}"/>
    <cellStyle name="표준 5 2 2 4 2 3 12" xfId="32211" xr:uid="{00000000-0005-0000-0000-0000213A0000}"/>
    <cellStyle name="표준 5 2 2 4 2 3 13" xfId="40404" xr:uid="{00000000-0005-0000-0000-0000223A0000}"/>
    <cellStyle name="표준 5 2 2 4 2 3 2" xfId="791" xr:uid="{00000000-0005-0000-0000-0000233A0000}"/>
    <cellStyle name="표준 5 2 2 4 2 3 2 10" xfId="24256" xr:uid="{00000000-0005-0000-0000-0000243A0000}"/>
    <cellStyle name="표준 5 2 2 4 2 3 2 11" xfId="32467" xr:uid="{00000000-0005-0000-0000-0000253A0000}"/>
    <cellStyle name="표준 5 2 2 4 2 3 2 12" xfId="40660" xr:uid="{00000000-0005-0000-0000-0000263A0000}"/>
    <cellStyle name="표준 5 2 2 4 2 3 2 2" xfId="1303" xr:uid="{00000000-0005-0000-0000-0000273A0000}"/>
    <cellStyle name="표준 5 2 2 4 2 3 2 2 2" xfId="10206" xr:uid="{00000000-0005-0000-0000-0000283A0000}"/>
    <cellStyle name="표준 5 2 2 4 2 3 2 2 2 2" xfId="14318" xr:uid="{00000000-0005-0000-0000-0000293A0000}"/>
    <cellStyle name="표준 5 2 2 4 2 3 2 2 2 2 2" xfId="30912" xr:uid="{00000000-0005-0000-0000-00002A3A0000}"/>
    <cellStyle name="표준 5 2 2 4 2 3 2 2 2 2 3" xfId="39123" xr:uid="{00000000-0005-0000-0000-00002B3A0000}"/>
    <cellStyle name="표준 5 2 2 4 2 3 2 2 2 2 4" xfId="47316" xr:uid="{00000000-0005-0000-0000-00002C3A0000}"/>
    <cellStyle name="표준 5 2 2 4 2 3 2 2 2 3" xfId="18558" xr:uid="{00000000-0005-0000-0000-00002D3A0000}"/>
    <cellStyle name="표준 5 2 2 4 2 3 2 2 2 4" xfId="22720" xr:uid="{00000000-0005-0000-0000-00002E3A0000}"/>
    <cellStyle name="표준 5 2 2 4 2 3 2 2 2 5" xfId="26816" xr:uid="{00000000-0005-0000-0000-00002F3A0000}"/>
    <cellStyle name="표준 5 2 2 4 2 3 2 2 2 6" xfId="35027" xr:uid="{00000000-0005-0000-0000-0000303A0000}"/>
    <cellStyle name="표준 5 2 2 4 2 3 2 2 2 7" xfId="43220" xr:uid="{00000000-0005-0000-0000-0000313A0000}"/>
    <cellStyle name="표준 5 2 2 4 2 3 2 2 3" xfId="8158" xr:uid="{00000000-0005-0000-0000-0000323A0000}"/>
    <cellStyle name="표준 5 2 2 4 2 3 2 2 3 2" xfId="28864" xr:uid="{00000000-0005-0000-0000-0000333A0000}"/>
    <cellStyle name="표준 5 2 2 4 2 3 2 2 3 3" xfId="37075" xr:uid="{00000000-0005-0000-0000-0000343A0000}"/>
    <cellStyle name="표준 5 2 2 4 2 3 2 2 3 4" xfId="45268" xr:uid="{00000000-0005-0000-0000-0000353A0000}"/>
    <cellStyle name="표준 5 2 2 4 2 3 2 2 4" xfId="12270" xr:uid="{00000000-0005-0000-0000-0000363A0000}"/>
    <cellStyle name="표준 5 2 2 4 2 3 2 2 5" xfId="16510" xr:uid="{00000000-0005-0000-0000-0000373A0000}"/>
    <cellStyle name="표준 5 2 2 4 2 3 2 2 6" xfId="20672" xr:uid="{00000000-0005-0000-0000-0000383A0000}"/>
    <cellStyle name="표준 5 2 2 4 2 3 2 2 7" xfId="24768" xr:uid="{00000000-0005-0000-0000-0000393A0000}"/>
    <cellStyle name="표준 5 2 2 4 2 3 2 2 8" xfId="32979" xr:uid="{00000000-0005-0000-0000-00003A3A0000}"/>
    <cellStyle name="표준 5 2 2 4 2 3 2 2 9" xfId="41172" xr:uid="{00000000-0005-0000-0000-00003B3A0000}"/>
    <cellStyle name="표준 5 2 2 4 2 3 2 3" xfId="1815" xr:uid="{00000000-0005-0000-0000-00003C3A0000}"/>
    <cellStyle name="표준 5 2 2 4 2 3 2 3 2" xfId="10718" xr:uid="{00000000-0005-0000-0000-00003D3A0000}"/>
    <cellStyle name="표준 5 2 2 4 2 3 2 3 2 2" xfId="14830" xr:uid="{00000000-0005-0000-0000-00003E3A0000}"/>
    <cellStyle name="표준 5 2 2 4 2 3 2 3 2 2 2" xfId="31424" xr:uid="{00000000-0005-0000-0000-00003F3A0000}"/>
    <cellStyle name="표준 5 2 2 4 2 3 2 3 2 2 3" xfId="39635" xr:uid="{00000000-0005-0000-0000-0000403A0000}"/>
    <cellStyle name="표준 5 2 2 4 2 3 2 3 2 2 4" xfId="47828" xr:uid="{00000000-0005-0000-0000-0000413A0000}"/>
    <cellStyle name="표준 5 2 2 4 2 3 2 3 2 3" xfId="19070" xr:uid="{00000000-0005-0000-0000-0000423A0000}"/>
    <cellStyle name="표준 5 2 2 4 2 3 2 3 2 4" xfId="23232" xr:uid="{00000000-0005-0000-0000-0000433A0000}"/>
    <cellStyle name="표준 5 2 2 4 2 3 2 3 2 5" xfId="27328" xr:uid="{00000000-0005-0000-0000-0000443A0000}"/>
    <cellStyle name="표준 5 2 2 4 2 3 2 3 2 6" xfId="35539" xr:uid="{00000000-0005-0000-0000-0000453A0000}"/>
    <cellStyle name="표준 5 2 2 4 2 3 2 3 2 7" xfId="43732" xr:uid="{00000000-0005-0000-0000-0000463A0000}"/>
    <cellStyle name="표준 5 2 2 4 2 3 2 3 3" xfId="8670" xr:uid="{00000000-0005-0000-0000-0000473A0000}"/>
    <cellStyle name="표준 5 2 2 4 2 3 2 3 3 2" xfId="29376" xr:uid="{00000000-0005-0000-0000-0000483A0000}"/>
    <cellStyle name="표준 5 2 2 4 2 3 2 3 3 3" xfId="37587" xr:uid="{00000000-0005-0000-0000-0000493A0000}"/>
    <cellStyle name="표준 5 2 2 4 2 3 2 3 3 4" xfId="45780" xr:uid="{00000000-0005-0000-0000-00004A3A0000}"/>
    <cellStyle name="표준 5 2 2 4 2 3 2 3 4" xfId="12782" xr:uid="{00000000-0005-0000-0000-00004B3A0000}"/>
    <cellStyle name="표준 5 2 2 4 2 3 2 3 5" xfId="17022" xr:uid="{00000000-0005-0000-0000-00004C3A0000}"/>
    <cellStyle name="표준 5 2 2 4 2 3 2 3 6" xfId="21184" xr:uid="{00000000-0005-0000-0000-00004D3A0000}"/>
    <cellStyle name="표준 5 2 2 4 2 3 2 3 7" xfId="25280" xr:uid="{00000000-0005-0000-0000-00004E3A0000}"/>
    <cellStyle name="표준 5 2 2 4 2 3 2 3 8" xfId="33491" xr:uid="{00000000-0005-0000-0000-00004F3A0000}"/>
    <cellStyle name="표준 5 2 2 4 2 3 2 3 9" xfId="41684" xr:uid="{00000000-0005-0000-0000-0000503A0000}"/>
    <cellStyle name="표준 5 2 2 4 2 3 2 4" xfId="2327" xr:uid="{00000000-0005-0000-0000-0000513A0000}"/>
    <cellStyle name="표준 5 2 2 4 2 3 2 4 2" xfId="11230" xr:uid="{00000000-0005-0000-0000-0000523A0000}"/>
    <cellStyle name="표준 5 2 2 4 2 3 2 4 2 2" xfId="15342" xr:uid="{00000000-0005-0000-0000-0000533A0000}"/>
    <cellStyle name="표준 5 2 2 4 2 3 2 4 2 2 2" xfId="31936" xr:uid="{00000000-0005-0000-0000-0000543A0000}"/>
    <cellStyle name="표준 5 2 2 4 2 3 2 4 2 2 3" xfId="40147" xr:uid="{00000000-0005-0000-0000-0000553A0000}"/>
    <cellStyle name="표준 5 2 2 4 2 3 2 4 2 2 4" xfId="48340" xr:uid="{00000000-0005-0000-0000-0000563A0000}"/>
    <cellStyle name="표준 5 2 2 4 2 3 2 4 2 3" xfId="19582" xr:uid="{00000000-0005-0000-0000-0000573A0000}"/>
    <cellStyle name="표준 5 2 2 4 2 3 2 4 2 4" xfId="23744" xr:uid="{00000000-0005-0000-0000-0000583A0000}"/>
    <cellStyle name="표준 5 2 2 4 2 3 2 4 2 5" xfId="27840" xr:uid="{00000000-0005-0000-0000-0000593A0000}"/>
    <cellStyle name="표준 5 2 2 4 2 3 2 4 2 6" xfId="36051" xr:uid="{00000000-0005-0000-0000-00005A3A0000}"/>
    <cellStyle name="표준 5 2 2 4 2 3 2 4 2 7" xfId="44244" xr:uid="{00000000-0005-0000-0000-00005B3A0000}"/>
    <cellStyle name="표준 5 2 2 4 2 3 2 4 3" xfId="9182" xr:uid="{00000000-0005-0000-0000-00005C3A0000}"/>
    <cellStyle name="표준 5 2 2 4 2 3 2 4 3 2" xfId="29888" xr:uid="{00000000-0005-0000-0000-00005D3A0000}"/>
    <cellStyle name="표준 5 2 2 4 2 3 2 4 3 3" xfId="38099" xr:uid="{00000000-0005-0000-0000-00005E3A0000}"/>
    <cellStyle name="표준 5 2 2 4 2 3 2 4 3 4" xfId="46292" xr:uid="{00000000-0005-0000-0000-00005F3A0000}"/>
    <cellStyle name="표준 5 2 2 4 2 3 2 4 4" xfId="13294" xr:uid="{00000000-0005-0000-0000-0000603A0000}"/>
    <cellStyle name="표준 5 2 2 4 2 3 2 4 5" xfId="17534" xr:uid="{00000000-0005-0000-0000-0000613A0000}"/>
    <cellStyle name="표준 5 2 2 4 2 3 2 4 6" xfId="21696" xr:uid="{00000000-0005-0000-0000-0000623A0000}"/>
    <cellStyle name="표준 5 2 2 4 2 3 2 4 7" xfId="25792" xr:uid="{00000000-0005-0000-0000-0000633A0000}"/>
    <cellStyle name="표준 5 2 2 4 2 3 2 4 8" xfId="34003" xr:uid="{00000000-0005-0000-0000-0000643A0000}"/>
    <cellStyle name="표준 5 2 2 4 2 3 2 4 9" xfId="42196" xr:uid="{00000000-0005-0000-0000-0000653A0000}"/>
    <cellStyle name="표준 5 2 2 4 2 3 2 5" xfId="9694" xr:uid="{00000000-0005-0000-0000-0000663A0000}"/>
    <cellStyle name="표준 5 2 2 4 2 3 2 5 2" xfId="13806" xr:uid="{00000000-0005-0000-0000-0000673A0000}"/>
    <cellStyle name="표준 5 2 2 4 2 3 2 5 2 2" xfId="30400" xr:uid="{00000000-0005-0000-0000-0000683A0000}"/>
    <cellStyle name="표준 5 2 2 4 2 3 2 5 2 3" xfId="38611" xr:uid="{00000000-0005-0000-0000-0000693A0000}"/>
    <cellStyle name="표준 5 2 2 4 2 3 2 5 2 4" xfId="46804" xr:uid="{00000000-0005-0000-0000-00006A3A0000}"/>
    <cellStyle name="표준 5 2 2 4 2 3 2 5 3" xfId="18046" xr:uid="{00000000-0005-0000-0000-00006B3A0000}"/>
    <cellStyle name="표준 5 2 2 4 2 3 2 5 4" xfId="22208" xr:uid="{00000000-0005-0000-0000-00006C3A0000}"/>
    <cellStyle name="표준 5 2 2 4 2 3 2 5 5" xfId="26304" xr:uid="{00000000-0005-0000-0000-00006D3A0000}"/>
    <cellStyle name="표준 5 2 2 4 2 3 2 5 6" xfId="34515" xr:uid="{00000000-0005-0000-0000-00006E3A0000}"/>
    <cellStyle name="표준 5 2 2 4 2 3 2 5 7" xfId="42708" xr:uid="{00000000-0005-0000-0000-00006F3A0000}"/>
    <cellStyle name="표준 5 2 2 4 2 3 2 6" xfId="7646" xr:uid="{00000000-0005-0000-0000-0000703A0000}"/>
    <cellStyle name="표준 5 2 2 4 2 3 2 6 2" xfId="28352" xr:uid="{00000000-0005-0000-0000-0000713A0000}"/>
    <cellStyle name="표준 5 2 2 4 2 3 2 6 3" xfId="36563" xr:uid="{00000000-0005-0000-0000-0000723A0000}"/>
    <cellStyle name="표준 5 2 2 4 2 3 2 6 4" xfId="44756" xr:uid="{00000000-0005-0000-0000-0000733A0000}"/>
    <cellStyle name="표준 5 2 2 4 2 3 2 7" xfId="11758" xr:uid="{00000000-0005-0000-0000-0000743A0000}"/>
    <cellStyle name="표준 5 2 2 4 2 3 2 8" xfId="15998" xr:uid="{00000000-0005-0000-0000-0000753A0000}"/>
    <cellStyle name="표준 5 2 2 4 2 3 2 9" xfId="20160" xr:uid="{00000000-0005-0000-0000-0000763A0000}"/>
    <cellStyle name="표준 5 2 2 4 2 3 3" xfId="1047" xr:uid="{00000000-0005-0000-0000-0000773A0000}"/>
    <cellStyle name="표준 5 2 2 4 2 3 3 2" xfId="9950" xr:uid="{00000000-0005-0000-0000-0000783A0000}"/>
    <cellStyle name="표준 5 2 2 4 2 3 3 2 2" xfId="14062" xr:uid="{00000000-0005-0000-0000-0000793A0000}"/>
    <cellStyle name="표준 5 2 2 4 2 3 3 2 2 2" xfId="30656" xr:uid="{00000000-0005-0000-0000-00007A3A0000}"/>
    <cellStyle name="표준 5 2 2 4 2 3 3 2 2 3" xfId="38867" xr:uid="{00000000-0005-0000-0000-00007B3A0000}"/>
    <cellStyle name="표준 5 2 2 4 2 3 3 2 2 4" xfId="47060" xr:uid="{00000000-0005-0000-0000-00007C3A0000}"/>
    <cellStyle name="표준 5 2 2 4 2 3 3 2 3" xfId="18302" xr:uid="{00000000-0005-0000-0000-00007D3A0000}"/>
    <cellStyle name="표준 5 2 2 4 2 3 3 2 4" xfId="22464" xr:uid="{00000000-0005-0000-0000-00007E3A0000}"/>
    <cellStyle name="표준 5 2 2 4 2 3 3 2 5" xfId="26560" xr:uid="{00000000-0005-0000-0000-00007F3A0000}"/>
    <cellStyle name="표준 5 2 2 4 2 3 3 2 6" xfId="34771" xr:uid="{00000000-0005-0000-0000-0000803A0000}"/>
    <cellStyle name="표준 5 2 2 4 2 3 3 2 7" xfId="42964" xr:uid="{00000000-0005-0000-0000-0000813A0000}"/>
    <cellStyle name="표준 5 2 2 4 2 3 3 3" xfId="7902" xr:uid="{00000000-0005-0000-0000-0000823A0000}"/>
    <cellStyle name="표준 5 2 2 4 2 3 3 3 2" xfId="28608" xr:uid="{00000000-0005-0000-0000-0000833A0000}"/>
    <cellStyle name="표준 5 2 2 4 2 3 3 3 3" xfId="36819" xr:uid="{00000000-0005-0000-0000-0000843A0000}"/>
    <cellStyle name="표준 5 2 2 4 2 3 3 3 4" xfId="45012" xr:uid="{00000000-0005-0000-0000-0000853A0000}"/>
    <cellStyle name="표준 5 2 2 4 2 3 3 4" xfId="12014" xr:uid="{00000000-0005-0000-0000-0000863A0000}"/>
    <cellStyle name="표준 5 2 2 4 2 3 3 5" xfId="16254" xr:uid="{00000000-0005-0000-0000-0000873A0000}"/>
    <cellStyle name="표준 5 2 2 4 2 3 3 6" xfId="20416" xr:uid="{00000000-0005-0000-0000-0000883A0000}"/>
    <cellStyle name="표준 5 2 2 4 2 3 3 7" xfId="24512" xr:uid="{00000000-0005-0000-0000-0000893A0000}"/>
    <cellStyle name="표준 5 2 2 4 2 3 3 8" xfId="32723" xr:uid="{00000000-0005-0000-0000-00008A3A0000}"/>
    <cellStyle name="표준 5 2 2 4 2 3 3 9" xfId="40916" xr:uid="{00000000-0005-0000-0000-00008B3A0000}"/>
    <cellStyle name="표준 5 2 2 4 2 3 4" xfId="1559" xr:uid="{00000000-0005-0000-0000-00008C3A0000}"/>
    <cellStyle name="표준 5 2 2 4 2 3 4 2" xfId="10462" xr:uid="{00000000-0005-0000-0000-00008D3A0000}"/>
    <cellStyle name="표준 5 2 2 4 2 3 4 2 2" xfId="14574" xr:uid="{00000000-0005-0000-0000-00008E3A0000}"/>
    <cellStyle name="표준 5 2 2 4 2 3 4 2 2 2" xfId="31168" xr:uid="{00000000-0005-0000-0000-00008F3A0000}"/>
    <cellStyle name="표준 5 2 2 4 2 3 4 2 2 3" xfId="39379" xr:uid="{00000000-0005-0000-0000-0000903A0000}"/>
    <cellStyle name="표준 5 2 2 4 2 3 4 2 2 4" xfId="47572" xr:uid="{00000000-0005-0000-0000-0000913A0000}"/>
    <cellStyle name="표준 5 2 2 4 2 3 4 2 3" xfId="18814" xr:uid="{00000000-0005-0000-0000-0000923A0000}"/>
    <cellStyle name="표준 5 2 2 4 2 3 4 2 4" xfId="22976" xr:uid="{00000000-0005-0000-0000-0000933A0000}"/>
    <cellStyle name="표준 5 2 2 4 2 3 4 2 5" xfId="27072" xr:uid="{00000000-0005-0000-0000-0000943A0000}"/>
    <cellStyle name="표준 5 2 2 4 2 3 4 2 6" xfId="35283" xr:uid="{00000000-0005-0000-0000-0000953A0000}"/>
    <cellStyle name="표준 5 2 2 4 2 3 4 2 7" xfId="43476" xr:uid="{00000000-0005-0000-0000-0000963A0000}"/>
    <cellStyle name="표준 5 2 2 4 2 3 4 3" xfId="8414" xr:uid="{00000000-0005-0000-0000-0000973A0000}"/>
    <cellStyle name="표준 5 2 2 4 2 3 4 3 2" xfId="29120" xr:uid="{00000000-0005-0000-0000-0000983A0000}"/>
    <cellStyle name="표준 5 2 2 4 2 3 4 3 3" xfId="37331" xr:uid="{00000000-0005-0000-0000-0000993A0000}"/>
    <cellStyle name="표준 5 2 2 4 2 3 4 3 4" xfId="45524" xr:uid="{00000000-0005-0000-0000-00009A3A0000}"/>
    <cellStyle name="표준 5 2 2 4 2 3 4 4" xfId="12526" xr:uid="{00000000-0005-0000-0000-00009B3A0000}"/>
    <cellStyle name="표준 5 2 2 4 2 3 4 5" xfId="16766" xr:uid="{00000000-0005-0000-0000-00009C3A0000}"/>
    <cellStyle name="표준 5 2 2 4 2 3 4 6" xfId="20928" xr:uid="{00000000-0005-0000-0000-00009D3A0000}"/>
    <cellStyle name="표준 5 2 2 4 2 3 4 7" xfId="25024" xr:uid="{00000000-0005-0000-0000-00009E3A0000}"/>
    <cellStyle name="표준 5 2 2 4 2 3 4 8" xfId="33235" xr:uid="{00000000-0005-0000-0000-00009F3A0000}"/>
    <cellStyle name="표준 5 2 2 4 2 3 4 9" xfId="41428" xr:uid="{00000000-0005-0000-0000-0000A03A0000}"/>
    <cellStyle name="표준 5 2 2 4 2 3 5" xfId="2071" xr:uid="{00000000-0005-0000-0000-0000A13A0000}"/>
    <cellStyle name="표준 5 2 2 4 2 3 5 2" xfId="10974" xr:uid="{00000000-0005-0000-0000-0000A23A0000}"/>
    <cellStyle name="표준 5 2 2 4 2 3 5 2 2" xfId="15086" xr:uid="{00000000-0005-0000-0000-0000A33A0000}"/>
    <cellStyle name="표준 5 2 2 4 2 3 5 2 2 2" xfId="31680" xr:uid="{00000000-0005-0000-0000-0000A43A0000}"/>
    <cellStyle name="표준 5 2 2 4 2 3 5 2 2 3" xfId="39891" xr:uid="{00000000-0005-0000-0000-0000A53A0000}"/>
    <cellStyle name="표준 5 2 2 4 2 3 5 2 2 4" xfId="48084" xr:uid="{00000000-0005-0000-0000-0000A63A0000}"/>
    <cellStyle name="표준 5 2 2 4 2 3 5 2 3" xfId="19326" xr:uid="{00000000-0005-0000-0000-0000A73A0000}"/>
    <cellStyle name="표준 5 2 2 4 2 3 5 2 4" xfId="23488" xr:uid="{00000000-0005-0000-0000-0000A83A0000}"/>
    <cellStyle name="표준 5 2 2 4 2 3 5 2 5" xfId="27584" xr:uid="{00000000-0005-0000-0000-0000A93A0000}"/>
    <cellStyle name="표준 5 2 2 4 2 3 5 2 6" xfId="35795" xr:uid="{00000000-0005-0000-0000-0000AA3A0000}"/>
    <cellStyle name="표준 5 2 2 4 2 3 5 2 7" xfId="43988" xr:uid="{00000000-0005-0000-0000-0000AB3A0000}"/>
    <cellStyle name="표준 5 2 2 4 2 3 5 3" xfId="8926" xr:uid="{00000000-0005-0000-0000-0000AC3A0000}"/>
    <cellStyle name="표준 5 2 2 4 2 3 5 3 2" xfId="29632" xr:uid="{00000000-0005-0000-0000-0000AD3A0000}"/>
    <cellStyle name="표준 5 2 2 4 2 3 5 3 3" xfId="37843" xr:uid="{00000000-0005-0000-0000-0000AE3A0000}"/>
    <cellStyle name="표준 5 2 2 4 2 3 5 3 4" xfId="46036" xr:uid="{00000000-0005-0000-0000-0000AF3A0000}"/>
    <cellStyle name="표준 5 2 2 4 2 3 5 4" xfId="13038" xr:uid="{00000000-0005-0000-0000-0000B03A0000}"/>
    <cellStyle name="표준 5 2 2 4 2 3 5 5" xfId="17278" xr:uid="{00000000-0005-0000-0000-0000B13A0000}"/>
    <cellStyle name="표준 5 2 2 4 2 3 5 6" xfId="21440" xr:uid="{00000000-0005-0000-0000-0000B23A0000}"/>
    <cellStyle name="표준 5 2 2 4 2 3 5 7" xfId="25536" xr:uid="{00000000-0005-0000-0000-0000B33A0000}"/>
    <cellStyle name="표준 5 2 2 4 2 3 5 8" xfId="33747" xr:uid="{00000000-0005-0000-0000-0000B43A0000}"/>
    <cellStyle name="표준 5 2 2 4 2 3 5 9" xfId="41940" xr:uid="{00000000-0005-0000-0000-0000B53A0000}"/>
    <cellStyle name="표준 5 2 2 4 2 3 6" xfId="9438" xr:uid="{00000000-0005-0000-0000-0000B63A0000}"/>
    <cellStyle name="표준 5 2 2 4 2 3 6 2" xfId="13550" xr:uid="{00000000-0005-0000-0000-0000B73A0000}"/>
    <cellStyle name="표준 5 2 2 4 2 3 6 2 2" xfId="30144" xr:uid="{00000000-0005-0000-0000-0000B83A0000}"/>
    <cellStyle name="표준 5 2 2 4 2 3 6 2 3" xfId="38355" xr:uid="{00000000-0005-0000-0000-0000B93A0000}"/>
    <cellStyle name="표준 5 2 2 4 2 3 6 2 4" xfId="46548" xr:uid="{00000000-0005-0000-0000-0000BA3A0000}"/>
    <cellStyle name="표준 5 2 2 4 2 3 6 3" xfId="17790" xr:uid="{00000000-0005-0000-0000-0000BB3A0000}"/>
    <cellStyle name="표준 5 2 2 4 2 3 6 4" xfId="21952" xr:uid="{00000000-0005-0000-0000-0000BC3A0000}"/>
    <cellStyle name="표준 5 2 2 4 2 3 6 5" xfId="26048" xr:uid="{00000000-0005-0000-0000-0000BD3A0000}"/>
    <cellStyle name="표준 5 2 2 4 2 3 6 6" xfId="34259" xr:uid="{00000000-0005-0000-0000-0000BE3A0000}"/>
    <cellStyle name="표준 5 2 2 4 2 3 6 7" xfId="42452" xr:uid="{00000000-0005-0000-0000-0000BF3A0000}"/>
    <cellStyle name="표준 5 2 2 4 2 3 7" xfId="7390" xr:uid="{00000000-0005-0000-0000-0000C03A0000}"/>
    <cellStyle name="표준 5 2 2 4 2 3 7 2" xfId="28096" xr:uid="{00000000-0005-0000-0000-0000C13A0000}"/>
    <cellStyle name="표준 5 2 2 4 2 3 7 3" xfId="36307" xr:uid="{00000000-0005-0000-0000-0000C23A0000}"/>
    <cellStyle name="표준 5 2 2 4 2 3 7 4" xfId="44500" xr:uid="{00000000-0005-0000-0000-0000C33A0000}"/>
    <cellStyle name="표준 5 2 2 4 2 3 8" xfId="11502" xr:uid="{00000000-0005-0000-0000-0000C43A0000}"/>
    <cellStyle name="표준 5 2 2 4 2 3 9" xfId="15742" xr:uid="{00000000-0005-0000-0000-0000C53A0000}"/>
    <cellStyle name="표준 5 2 2 4 2 4" xfId="663" xr:uid="{00000000-0005-0000-0000-0000C63A0000}"/>
    <cellStyle name="표준 5 2 2 4 2 4 10" xfId="24128" xr:uid="{00000000-0005-0000-0000-0000C73A0000}"/>
    <cellStyle name="표준 5 2 2 4 2 4 11" xfId="32339" xr:uid="{00000000-0005-0000-0000-0000C83A0000}"/>
    <cellStyle name="표준 5 2 2 4 2 4 12" xfId="40532" xr:uid="{00000000-0005-0000-0000-0000C93A0000}"/>
    <cellStyle name="표준 5 2 2 4 2 4 2" xfId="1175" xr:uid="{00000000-0005-0000-0000-0000CA3A0000}"/>
    <cellStyle name="표준 5 2 2 4 2 4 2 2" xfId="10078" xr:uid="{00000000-0005-0000-0000-0000CB3A0000}"/>
    <cellStyle name="표준 5 2 2 4 2 4 2 2 2" xfId="14190" xr:uid="{00000000-0005-0000-0000-0000CC3A0000}"/>
    <cellStyle name="표준 5 2 2 4 2 4 2 2 2 2" xfId="30784" xr:uid="{00000000-0005-0000-0000-0000CD3A0000}"/>
    <cellStyle name="표준 5 2 2 4 2 4 2 2 2 3" xfId="38995" xr:uid="{00000000-0005-0000-0000-0000CE3A0000}"/>
    <cellStyle name="표준 5 2 2 4 2 4 2 2 2 4" xfId="47188" xr:uid="{00000000-0005-0000-0000-0000CF3A0000}"/>
    <cellStyle name="표준 5 2 2 4 2 4 2 2 3" xfId="18430" xr:uid="{00000000-0005-0000-0000-0000D03A0000}"/>
    <cellStyle name="표준 5 2 2 4 2 4 2 2 4" xfId="22592" xr:uid="{00000000-0005-0000-0000-0000D13A0000}"/>
    <cellStyle name="표준 5 2 2 4 2 4 2 2 5" xfId="26688" xr:uid="{00000000-0005-0000-0000-0000D23A0000}"/>
    <cellStyle name="표준 5 2 2 4 2 4 2 2 6" xfId="34899" xr:uid="{00000000-0005-0000-0000-0000D33A0000}"/>
    <cellStyle name="표준 5 2 2 4 2 4 2 2 7" xfId="43092" xr:uid="{00000000-0005-0000-0000-0000D43A0000}"/>
    <cellStyle name="표준 5 2 2 4 2 4 2 3" xfId="8030" xr:uid="{00000000-0005-0000-0000-0000D53A0000}"/>
    <cellStyle name="표준 5 2 2 4 2 4 2 3 2" xfId="28736" xr:uid="{00000000-0005-0000-0000-0000D63A0000}"/>
    <cellStyle name="표준 5 2 2 4 2 4 2 3 3" xfId="36947" xr:uid="{00000000-0005-0000-0000-0000D73A0000}"/>
    <cellStyle name="표준 5 2 2 4 2 4 2 3 4" xfId="45140" xr:uid="{00000000-0005-0000-0000-0000D83A0000}"/>
    <cellStyle name="표준 5 2 2 4 2 4 2 4" xfId="12142" xr:uid="{00000000-0005-0000-0000-0000D93A0000}"/>
    <cellStyle name="표준 5 2 2 4 2 4 2 5" xfId="16382" xr:uid="{00000000-0005-0000-0000-0000DA3A0000}"/>
    <cellStyle name="표준 5 2 2 4 2 4 2 6" xfId="20544" xr:uid="{00000000-0005-0000-0000-0000DB3A0000}"/>
    <cellStyle name="표준 5 2 2 4 2 4 2 7" xfId="24640" xr:uid="{00000000-0005-0000-0000-0000DC3A0000}"/>
    <cellStyle name="표준 5 2 2 4 2 4 2 8" xfId="32851" xr:uid="{00000000-0005-0000-0000-0000DD3A0000}"/>
    <cellStyle name="표준 5 2 2 4 2 4 2 9" xfId="41044" xr:uid="{00000000-0005-0000-0000-0000DE3A0000}"/>
    <cellStyle name="표준 5 2 2 4 2 4 3" xfId="1687" xr:uid="{00000000-0005-0000-0000-0000DF3A0000}"/>
    <cellStyle name="표준 5 2 2 4 2 4 3 2" xfId="10590" xr:uid="{00000000-0005-0000-0000-0000E03A0000}"/>
    <cellStyle name="표준 5 2 2 4 2 4 3 2 2" xfId="14702" xr:uid="{00000000-0005-0000-0000-0000E13A0000}"/>
    <cellStyle name="표준 5 2 2 4 2 4 3 2 2 2" xfId="31296" xr:uid="{00000000-0005-0000-0000-0000E23A0000}"/>
    <cellStyle name="표준 5 2 2 4 2 4 3 2 2 3" xfId="39507" xr:uid="{00000000-0005-0000-0000-0000E33A0000}"/>
    <cellStyle name="표준 5 2 2 4 2 4 3 2 2 4" xfId="47700" xr:uid="{00000000-0005-0000-0000-0000E43A0000}"/>
    <cellStyle name="표준 5 2 2 4 2 4 3 2 3" xfId="18942" xr:uid="{00000000-0005-0000-0000-0000E53A0000}"/>
    <cellStyle name="표준 5 2 2 4 2 4 3 2 4" xfId="23104" xr:uid="{00000000-0005-0000-0000-0000E63A0000}"/>
    <cellStyle name="표준 5 2 2 4 2 4 3 2 5" xfId="27200" xr:uid="{00000000-0005-0000-0000-0000E73A0000}"/>
    <cellStyle name="표준 5 2 2 4 2 4 3 2 6" xfId="35411" xr:uid="{00000000-0005-0000-0000-0000E83A0000}"/>
    <cellStyle name="표준 5 2 2 4 2 4 3 2 7" xfId="43604" xr:uid="{00000000-0005-0000-0000-0000E93A0000}"/>
    <cellStyle name="표준 5 2 2 4 2 4 3 3" xfId="8542" xr:uid="{00000000-0005-0000-0000-0000EA3A0000}"/>
    <cellStyle name="표준 5 2 2 4 2 4 3 3 2" xfId="29248" xr:uid="{00000000-0005-0000-0000-0000EB3A0000}"/>
    <cellStyle name="표준 5 2 2 4 2 4 3 3 3" xfId="37459" xr:uid="{00000000-0005-0000-0000-0000EC3A0000}"/>
    <cellStyle name="표준 5 2 2 4 2 4 3 3 4" xfId="45652" xr:uid="{00000000-0005-0000-0000-0000ED3A0000}"/>
    <cellStyle name="표준 5 2 2 4 2 4 3 4" xfId="12654" xr:uid="{00000000-0005-0000-0000-0000EE3A0000}"/>
    <cellStyle name="표준 5 2 2 4 2 4 3 5" xfId="16894" xr:uid="{00000000-0005-0000-0000-0000EF3A0000}"/>
    <cellStyle name="표준 5 2 2 4 2 4 3 6" xfId="21056" xr:uid="{00000000-0005-0000-0000-0000F03A0000}"/>
    <cellStyle name="표준 5 2 2 4 2 4 3 7" xfId="25152" xr:uid="{00000000-0005-0000-0000-0000F13A0000}"/>
    <cellStyle name="표준 5 2 2 4 2 4 3 8" xfId="33363" xr:uid="{00000000-0005-0000-0000-0000F23A0000}"/>
    <cellStyle name="표준 5 2 2 4 2 4 3 9" xfId="41556" xr:uid="{00000000-0005-0000-0000-0000F33A0000}"/>
    <cellStyle name="표준 5 2 2 4 2 4 4" xfId="2199" xr:uid="{00000000-0005-0000-0000-0000F43A0000}"/>
    <cellStyle name="표준 5 2 2 4 2 4 4 2" xfId="11102" xr:uid="{00000000-0005-0000-0000-0000F53A0000}"/>
    <cellStyle name="표준 5 2 2 4 2 4 4 2 2" xfId="15214" xr:uid="{00000000-0005-0000-0000-0000F63A0000}"/>
    <cellStyle name="표준 5 2 2 4 2 4 4 2 2 2" xfId="31808" xr:uid="{00000000-0005-0000-0000-0000F73A0000}"/>
    <cellStyle name="표준 5 2 2 4 2 4 4 2 2 3" xfId="40019" xr:uid="{00000000-0005-0000-0000-0000F83A0000}"/>
    <cellStyle name="표준 5 2 2 4 2 4 4 2 2 4" xfId="48212" xr:uid="{00000000-0005-0000-0000-0000F93A0000}"/>
    <cellStyle name="표준 5 2 2 4 2 4 4 2 3" xfId="19454" xr:uid="{00000000-0005-0000-0000-0000FA3A0000}"/>
    <cellStyle name="표준 5 2 2 4 2 4 4 2 4" xfId="23616" xr:uid="{00000000-0005-0000-0000-0000FB3A0000}"/>
    <cellStyle name="표준 5 2 2 4 2 4 4 2 5" xfId="27712" xr:uid="{00000000-0005-0000-0000-0000FC3A0000}"/>
    <cellStyle name="표준 5 2 2 4 2 4 4 2 6" xfId="35923" xr:uid="{00000000-0005-0000-0000-0000FD3A0000}"/>
    <cellStyle name="표준 5 2 2 4 2 4 4 2 7" xfId="44116" xr:uid="{00000000-0005-0000-0000-0000FE3A0000}"/>
    <cellStyle name="표준 5 2 2 4 2 4 4 3" xfId="9054" xr:uid="{00000000-0005-0000-0000-0000FF3A0000}"/>
    <cellStyle name="표준 5 2 2 4 2 4 4 3 2" xfId="29760" xr:uid="{00000000-0005-0000-0000-0000003B0000}"/>
    <cellStyle name="표준 5 2 2 4 2 4 4 3 3" xfId="37971" xr:uid="{00000000-0005-0000-0000-0000013B0000}"/>
    <cellStyle name="표준 5 2 2 4 2 4 4 3 4" xfId="46164" xr:uid="{00000000-0005-0000-0000-0000023B0000}"/>
    <cellStyle name="표준 5 2 2 4 2 4 4 4" xfId="13166" xr:uid="{00000000-0005-0000-0000-0000033B0000}"/>
    <cellStyle name="표준 5 2 2 4 2 4 4 5" xfId="17406" xr:uid="{00000000-0005-0000-0000-0000043B0000}"/>
    <cellStyle name="표준 5 2 2 4 2 4 4 6" xfId="21568" xr:uid="{00000000-0005-0000-0000-0000053B0000}"/>
    <cellStyle name="표준 5 2 2 4 2 4 4 7" xfId="25664" xr:uid="{00000000-0005-0000-0000-0000063B0000}"/>
    <cellStyle name="표준 5 2 2 4 2 4 4 8" xfId="33875" xr:uid="{00000000-0005-0000-0000-0000073B0000}"/>
    <cellStyle name="표준 5 2 2 4 2 4 4 9" xfId="42068" xr:uid="{00000000-0005-0000-0000-0000083B0000}"/>
    <cellStyle name="표준 5 2 2 4 2 4 5" xfId="9566" xr:uid="{00000000-0005-0000-0000-0000093B0000}"/>
    <cellStyle name="표준 5 2 2 4 2 4 5 2" xfId="13678" xr:uid="{00000000-0005-0000-0000-00000A3B0000}"/>
    <cellStyle name="표준 5 2 2 4 2 4 5 2 2" xfId="30272" xr:uid="{00000000-0005-0000-0000-00000B3B0000}"/>
    <cellStyle name="표준 5 2 2 4 2 4 5 2 3" xfId="38483" xr:uid="{00000000-0005-0000-0000-00000C3B0000}"/>
    <cellStyle name="표준 5 2 2 4 2 4 5 2 4" xfId="46676" xr:uid="{00000000-0005-0000-0000-00000D3B0000}"/>
    <cellStyle name="표준 5 2 2 4 2 4 5 3" xfId="17918" xr:uid="{00000000-0005-0000-0000-00000E3B0000}"/>
    <cellStyle name="표준 5 2 2 4 2 4 5 4" xfId="22080" xr:uid="{00000000-0005-0000-0000-00000F3B0000}"/>
    <cellStyle name="표준 5 2 2 4 2 4 5 5" xfId="26176" xr:uid="{00000000-0005-0000-0000-0000103B0000}"/>
    <cellStyle name="표준 5 2 2 4 2 4 5 6" xfId="34387" xr:uid="{00000000-0005-0000-0000-0000113B0000}"/>
    <cellStyle name="표준 5 2 2 4 2 4 5 7" xfId="42580" xr:uid="{00000000-0005-0000-0000-0000123B0000}"/>
    <cellStyle name="표준 5 2 2 4 2 4 6" xfId="7518" xr:uid="{00000000-0005-0000-0000-0000133B0000}"/>
    <cellStyle name="표준 5 2 2 4 2 4 6 2" xfId="28224" xr:uid="{00000000-0005-0000-0000-0000143B0000}"/>
    <cellStyle name="표준 5 2 2 4 2 4 6 3" xfId="36435" xr:uid="{00000000-0005-0000-0000-0000153B0000}"/>
    <cellStyle name="표준 5 2 2 4 2 4 6 4" xfId="44628" xr:uid="{00000000-0005-0000-0000-0000163B0000}"/>
    <cellStyle name="표준 5 2 2 4 2 4 7" xfId="11630" xr:uid="{00000000-0005-0000-0000-0000173B0000}"/>
    <cellStyle name="표준 5 2 2 4 2 4 8" xfId="15870" xr:uid="{00000000-0005-0000-0000-0000183B0000}"/>
    <cellStyle name="표준 5 2 2 4 2 4 9" xfId="20032" xr:uid="{00000000-0005-0000-0000-0000193B0000}"/>
    <cellStyle name="표준 5 2 2 4 2 5" xfId="919" xr:uid="{00000000-0005-0000-0000-00001A3B0000}"/>
    <cellStyle name="표준 5 2 2 4 2 5 2" xfId="9822" xr:uid="{00000000-0005-0000-0000-00001B3B0000}"/>
    <cellStyle name="표준 5 2 2 4 2 5 2 2" xfId="13934" xr:uid="{00000000-0005-0000-0000-00001C3B0000}"/>
    <cellStyle name="표준 5 2 2 4 2 5 2 2 2" xfId="30528" xr:uid="{00000000-0005-0000-0000-00001D3B0000}"/>
    <cellStyle name="표준 5 2 2 4 2 5 2 2 3" xfId="38739" xr:uid="{00000000-0005-0000-0000-00001E3B0000}"/>
    <cellStyle name="표준 5 2 2 4 2 5 2 2 4" xfId="46932" xr:uid="{00000000-0005-0000-0000-00001F3B0000}"/>
    <cellStyle name="표준 5 2 2 4 2 5 2 3" xfId="18174" xr:uid="{00000000-0005-0000-0000-0000203B0000}"/>
    <cellStyle name="표준 5 2 2 4 2 5 2 4" xfId="22336" xr:uid="{00000000-0005-0000-0000-0000213B0000}"/>
    <cellStyle name="표준 5 2 2 4 2 5 2 5" xfId="26432" xr:uid="{00000000-0005-0000-0000-0000223B0000}"/>
    <cellStyle name="표준 5 2 2 4 2 5 2 6" xfId="34643" xr:uid="{00000000-0005-0000-0000-0000233B0000}"/>
    <cellStyle name="표준 5 2 2 4 2 5 2 7" xfId="42836" xr:uid="{00000000-0005-0000-0000-0000243B0000}"/>
    <cellStyle name="표준 5 2 2 4 2 5 3" xfId="7774" xr:uid="{00000000-0005-0000-0000-0000253B0000}"/>
    <cellStyle name="표준 5 2 2 4 2 5 3 2" xfId="28480" xr:uid="{00000000-0005-0000-0000-0000263B0000}"/>
    <cellStyle name="표준 5 2 2 4 2 5 3 3" xfId="36691" xr:uid="{00000000-0005-0000-0000-0000273B0000}"/>
    <cellStyle name="표준 5 2 2 4 2 5 3 4" xfId="44884" xr:uid="{00000000-0005-0000-0000-0000283B0000}"/>
    <cellStyle name="표준 5 2 2 4 2 5 4" xfId="11886" xr:uid="{00000000-0005-0000-0000-0000293B0000}"/>
    <cellStyle name="표준 5 2 2 4 2 5 5" xfId="16126" xr:uid="{00000000-0005-0000-0000-00002A3B0000}"/>
    <cellStyle name="표준 5 2 2 4 2 5 6" xfId="20288" xr:uid="{00000000-0005-0000-0000-00002B3B0000}"/>
    <cellStyle name="표준 5 2 2 4 2 5 7" xfId="24384" xr:uid="{00000000-0005-0000-0000-00002C3B0000}"/>
    <cellStyle name="표준 5 2 2 4 2 5 8" xfId="32595" xr:uid="{00000000-0005-0000-0000-00002D3B0000}"/>
    <cellStyle name="표준 5 2 2 4 2 5 9" xfId="40788" xr:uid="{00000000-0005-0000-0000-00002E3B0000}"/>
    <cellStyle name="표준 5 2 2 4 2 6" xfId="1431" xr:uid="{00000000-0005-0000-0000-00002F3B0000}"/>
    <cellStyle name="표준 5 2 2 4 2 6 2" xfId="10334" xr:uid="{00000000-0005-0000-0000-0000303B0000}"/>
    <cellStyle name="표준 5 2 2 4 2 6 2 2" xfId="14446" xr:uid="{00000000-0005-0000-0000-0000313B0000}"/>
    <cellStyle name="표준 5 2 2 4 2 6 2 2 2" xfId="31040" xr:uid="{00000000-0005-0000-0000-0000323B0000}"/>
    <cellStyle name="표준 5 2 2 4 2 6 2 2 3" xfId="39251" xr:uid="{00000000-0005-0000-0000-0000333B0000}"/>
    <cellStyle name="표준 5 2 2 4 2 6 2 2 4" xfId="47444" xr:uid="{00000000-0005-0000-0000-0000343B0000}"/>
    <cellStyle name="표준 5 2 2 4 2 6 2 3" xfId="18686" xr:uid="{00000000-0005-0000-0000-0000353B0000}"/>
    <cellStyle name="표준 5 2 2 4 2 6 2 4" xfId="22848" xr:uid="{00000000-0005-0000-0000-0000363B0000}"/>
    <cellStyle name="표준 5 2 2 4 2 6 2 5" xfId="26944" xr:uid="{00000000-0005-0000-0000-0000373B0000}"/>
    <cellStyle name="표준 5 2 2 4 2 6 2 6" xfId="35155" xr:uid="{00000000-0005-0000-0000-0000383B0000}"/>
    <cellStyle name="표준 5 2 2 4 2 6 2 7" xfId="43348" xr:uid="{00000000-0005-0000-0000-0000393B0000}"/>
    <cellStyle name="표준 5 2 2 4 2 6 3" xfId="8286" xr:uid="{00000000-0005-0000-0000-00003A3B0000}"/>
    <cellStyle name="표준 5 2 2 4 2 6 3 2" xfId="28992" xr:uid="{00000000-0005-0000-0000-00003B3B0000}"/>
    <cellStyle name="표준 5 2 2 4 2 6 3 3" xfId="37203" xr:uid="{00000000-0005-0000-0000-00003C3B0000}"/>
    <cellStyle name="표준 5 2 2 4 2 6 3 4" xfId="45396" xr:uid="{00000000-0005-0000-0000-00003D3B0000}"/>
    <cellStyle name="표준 5 2 2 4 2 6 4" xfId="12398" xr:uid="{00000000-0005-0000-0000-00003E3B0000}"/>
    <cellStyle name="표준 5 2 2 4 2 6 5" xfId="16638" xr:uid="{00000000-0005-0000-0000-00003F3B0000}"/>
    <cellStyle name="표준 5 2 2 4 2 6 6" xfId="20800" xr:uid="{00000000-0005-0000-0000-0000403B0000}"/>
    <cellStyle name="표준 5 2 2 4 2 6 7" xfId="24896" xr:uid="{00000000-0005-0000-0000-0000413B0000}"/>
    <cellStyle name="표준 5 2 2 4 2 6 8" xfId="33107" xr:uid="{00000000-0005-0000-0000-0000423B0000}"/>
    <cellStyle name="표준 5 2 2 4 2 6 9" xfId="41300" xr:uid="{00000000-0005-0000-0000-0000433B0000}"/>
    <cellStyle name="표준 5 2 2 4 2 7" xfId="1943" xr:uid="{00000000-0005-0000-0000-0000443B0000}"/>
    <cellStyle name="표준 5 2 2 4 2 7 2" xfId="10846" xr:uid="{00000000-0005-0000-0000-0000453B0000}"/>
    <cellStyle name="표준 5 2 2 4 2 7 2 2" xfId="14958" xr:uid="{00000000-0005-0000-0000-0000463B0000}"/>
    <cellStyle name="표준 5 2 2 4 2 7 2 2 2" xfId="31552" xr:uid="{00000000-0005-0000-0000-0000473B0000}"/>
    <cellStyle name="표준 5 2 2 4 2 7 2 2 3" xfId="39763" xr:uid="{00000000-0005-0000-0000-0000483B0000}"/>
    <cellStyle name="표준 5 2 2 4 2 7 2 2 4" xfId="47956" xr:uid="{00000000-0005-0000-0000-0000493B0000}"/>
    <cellStyle name="표준 5 2 2 4 2 7 2 3" xfId="19198" xr:uid="{00000000-0005-0000-0000-00004A3B0000}"/>
    <cellStyle name="표준 5 2 2 4 2 7 2 4" xfId="23360" xr:uid="{00000000-0005-0000-0000-00004B3B0000}"/>
    <cellStyle name="표준 5 2 2 4 2 7 2 5" xfId="27456" xr:uid="{00000000-0005-0000-0000-00004C3B0000}"/>
    <cellStyle name="표준 5 2 2 4 2 7 2 6" xfId="35667" xr:uid="{00000000-0005-0000-0000-00004D3B0000}"/>
    <cellStyle name="표준 5 2 2 4 2 7 2 7" xfId="43860" xr:uid="{00000000-0005-0000-0000-00004E3B0000}"/>
    <cellStyle name="표준 5 2 2 4 2 7 3" xfId="8798" xr:uid="{00000000-0005-0000-0000-00004F3B0000}"/>
    <cellStyle name="표준 5 2 2 4 2 7 3 2" xfId="29504" xr:uid="{00000000-0005-0000-0000-0000503B0000}"/>
    <cellStyle name="표준 5 2 2 4 2 7 3 3" xfId="37715" xr:uid="{00000000-0005-0000-0000-0000513B0000}"/>
    <cellStyle name="표준 5 2 2 4 2 7 3 4" xfId="45908" xr:uid="{00000000-0005-0000-0000-0000523B0000}"/>
    <cellStyle name="표준 5 2 2 4 2 7 4" xfId="12910" xr:uid="{00000000-0005-0000-0000-0000533B0000}"/>
    <cellStyle name="표준 5 2 2 4 2 7 5" xfId="17150" xr:uid="{00000000-0005-0000-0000-0000543B0000}"/>
    <cellStyle name="표준 5 2 2 4 2 7 6" xfId="21312" xr:uid="{00000000-0005-0000-0000-0000553B0000}"/>
    <cellStyle name="표준 5 2 2 4 2 7 7" xfId="25408" xr:uid="{00000000-0005-0000-0000-0000563B0000}"/>
    <cellStyle name="표준 5 2 2 4 2 7 8" xfId="33619" xr:uid="{00000000-0005-0000-0000-0000573B0000}"/>
    <cellStyle name="표준 5 2 2 4 2 7 9" xfId="41812" xr:uid="{00000000-0005-0000-0000-0000583B0000}"/>
    <cellStyle name="표준 5 2 2 4 2 8" xfId="7035" xr:uid="{00000000-0005-0000-0000-0000593B0000}"/>
    <cellStyle name="표준 5 2 2 4 2 8 2" xfId="9310" xr:uid="{00000000-0005-0000-0000-00005A3B0000}"/>
    <cellStyle name="표준 5 2 2 4 2 8 2 2" xfId="30016" xr:uid="{00000000-0005-0000-0000-00005B3B0000}"/>
    <cellStyle name="표준 5 2 2 4 2 8 2 3" xfId="38227" xr:uid="{00000000-0005-0000-0000-00005C3B0000}"/>
    <cellStyle name="표준 5 2 2 4 2 8 2 4" xfId="46420" xr:uid="{00000000-0005-0000-0000-00005D3B0000}"/>
    <cellStyle name="표준 5 2 2 4 2 8 3" xfId="13422" xr:uid="{00000000-0005-0000-0000-00005E3B0000}"/>
    <cellStyle name="표준 5 2 2 4 2 8 4" xfId="17662" xr:uid="{00000000-0005-0000-0000-00005F3B0000}"/>
    <cellStyle name="표준 5 2 2 4 2 8 5" xfId="21824" xr:uid="{00000000-0005-0000-0000-0000603B0000}"/>
    <cellStyle name="표준 5 2 2 4 2 8 6" xfId="25920" xr:uid="{00000000-0005-0000-0000-0000613B0000}"/>
    <cellStyle name="표준 5 2 2 4 2 8 7" xfId="34131" xr:uid="{00000000-0005-0000-0000-0000623B0000}"/>
    <cellStyle name="표준 5 2 2 4 2 8 8" xfId="42324" xr:uid="{00000000-0005-0000-0000-0000633B0000}"/>
    <cellStyle name="표준 5 2 2 4 2 9" xfId="7143" xr:uid="{00000000-0005-0000-0000-0000643B0000}"/>
    <cellStyle name="표준 5 2 2 4 2 9 2" xfId="27968" xr:uid="{00000000-0005-0000-0000-0000653B0000}"/>
    <cellStyle name="표준 5 2 2 4 2 9 3" xfId="36179" xr:uid="{00000000-0005-0000-0000-0000663B0000}"/>
    <cellStyle name="표준 5 2 2 4 2 9 4" xfId="44372" xr:uid="{00000000-0005-0000-0000-0000673B0000}"/>
    <cellStyle name="표준 5 2 2 4 3" xfId="439" xr:uid="{00000000-0005-0000-0000-0000683B0000}"/>
    <cellStyle name="표준 5 2 2 4 3 10" xfId="15646" xr:uid="{00000000-0005-0000-0000-0000693B0000}"/>
    <cellStyle name="표준 5 2 2 4 3 11" xfId="19808" xr:uid="{00000000-0005-0000-0000-00006A3B0000}"/>
    <cellStyle name="표준 5 2 2 4 3 12" xfId="23904" xr:uid="{00000000-0005-0000-0000-00006B3B0000}"/>
    <cellStyle name="표준 5 2 2 4 3 13" xfId="32115" xr:uid="{00000000-0005-0000-0000-00006C3B0000}"/>
    <cellStyle name="표준 5 2 2 4 3 14" xfId="40308" xr:uid="{00000000-0005-0000-0000-00006D3B0000}"/>
    <cellStyle name="표준 5 2 2 4 3 2" xfId="567" xr:uid="{00000000-0005-0000-0000-00006E3B0000}"/>
    <cellStyle name="표준 5 2 2 4 3 2 10" xfId="19936" xr:uid="{00000000-0005-0000-0000-00006F3B0000}"/>
    <cellStyle name="표준 5 2 2 4 3 2 11" xfId="24032" xr:uid="{00000000-0005-0000-0000-0000703B0000}"/>
    <cellStyle name="표준 5 2 2 4 3 2 12" xfId="32243" xr:uid="{00000000-0005-0000-0000-0000713B0000}"/>
    <cellStyle name="표준 5 2 2 4 3 2 13" xfId="40436" xr:uid="{00000000-0005-0000-0000-0000723B0000}"/>
    <cellStyle name="표준 5 2 2 4 3 2 2" xfId="823" xr:uid="{00000000-0005-0000-0000-0000733B0000}"/>
    <cellStyle name="표준 5 2 2 4 3 2 2 10" xfId="24288" xr:uid="{00000000-0005-0000-0000-0000743B0000}"/>
    <cellStyle name="표준 5 2 2 4 3 2 2 11" xfId="32499" xr:uid="{00000000-0005-0000-0000-0000753B0000}"/>
    <cellStyle name="표준 5 2 2 4 3 2 2 12" xfId="40692" xr:uid="{00000000-0005-0000-0000-0000763B0000}"/>
    <cellStyle name="표준 5 2 2 4 3 2 2 2" xfId="1335" xr:uid="{00000000-0005-0000-0000-0000773B0000}"/>
    <cellStyle name="표준 5 2 2 4 3 2 2 2 2" xfId="10238" xr:uid="{00000000-0005-0000-0000-0000783B0000}"/>
    <cellStyle name="표준 5 2 2 4 3 2 2 2 2 2" xfId="14350" xr:uid="{00000000-0005-0000-0000-0000793B0000}"/>
    <cellStyle name="표준 5 2 2 4 3 2 2 2 2 2 2" xfId="30944" xr:uid="{00000000-0005-0000-0000-00007A3B0000}"/>
    <cellStyle name="표준 5 2 2 4 3 2 2 2 2 2 3" xfId="39155" xr:uid="{00000000-0005-0000-0000-00007B3B0000}"/>
    <cellStyle name="표준 5 2 2 4 3 2 2 2 2 2 4" xfId="47348" xr:uid="{00000000-0005-0000-0000-00007C3B0000}"/>
    <cellStyle name="표준 5 2 2 4 3 2 2 2 2 3" xfId="18590" xr:uid="{00000000-0005-0000-0000-00007D3B0000}"/>
    <cellStyle name="표준 5 2 2 4 3 2 2 2 2 4" xfId="22752" xr:uid="{00000000-0005-0000-0000-00007E3B0000}"/>
    <cellStyle name="표준 5 2 2 4 3 2 2 2 2 5" xfId="26848" xr:uid="{00000000-0005-0000-0000-00007F3B0000}"/>
    <cellStyle name="표준 5 2 2 4 3 2 2 2 2 6" xfId="35059" xr:uid="{00000000-0005-0000-0000-0000803B0000}"/>
    <cellStyle name="표준 5 2 2 4 3 2 2 2 2 7" xfId="43252" xr:uid="{00000000-0005-0000-0000-0000813B0000}"/>
    <cellStyle name="표준 5 2 2 4 3 2 2 2 3" xfId="8190" xr:uid="{00000000-0005-0000-0000-0000823B0000}"/>
    <cellStyle name="표준 5 2 2 4 3 2 2 2 3 2" xfId="28896" xr:uid="{00000000-0005-0000-0000-0000833B0000}"/>
    <cellStyle name="표준 5 2 2 4 3 2 2 2 3 3" xfId="37107" xr:uid="{00000000-0005-0000-0000-0000843B0000}"/>
    <cellStyle name="표준 5 2 2 4 3 2 2 2 3 4" xfId="45300" xr:uid="{00000000-0005-0000-0000-0000853B0000}"/>
    <cellStyle name="표준 5 2 2 4 3 2 2 2 4" xfId="12302" xr:uid="{00000000-0005-0000-0000-0000863B0000}"/>
    <cellStyle name="표준 5 2 2 4 3 2 2 2 5" xfId="16542" xr:uid="{00000000-0005-0000-0000-0000873B0000}"/>
    <cellStyle name="표준 5 2 2 4 3 2 2 2 6" xfId="20704" xr:uid="{00000000-0005-0000-0000-0000883B0000}"/>
    <cellStyle name="표준 5 2 2 4 3 2 2 2 7" xfId="24800" xr:uid="{00000000-0005-0000-0000-0000893B0000}"/>
    <cellStyle name="표준 5 2 2 4 3 2 2 2 8" xfId="33011" xr:uid="{00000000-0005-0000-0000-00008A3B0000}"/>
    <cellStyle name="표준 5 2 2 4 3 2 2 2 9" xfId="41204" xr:uid="{00000000-0005-0000-0000-00008B3B0000}"/>
    <cellStyle name="표준 5 2 2 4 3 2 2 3" xfId="1847" xr:uid="{00000000-0005-0000-0000-00008C3B0000}"/>
    <cellStyle name="표준 5 2 2 4 3 2 2 3 2" xfId="10750" xr:uid="{00000000-0005-0000-0000-00008D3B0000}"/>
    <cellStyle name="표준 5 2 2 4 3 2 2 3 2 2" xfId="14862" xr:uid="{00000000-0005-0000-0000-00008E3B0000}"/>
    <cellStyle name="표준 5 2 2 4 3 2 2 3 2 2 2" xfId="31456" xr:uid="{00000000-0005-0000-0000-00008F3B0000}"/>
    <cellStyle name="표준 5 2 2 4 3 2 2 3 2 2 3" xfId="39667" xr:uid="{00000000-0005-0000-0000-0000903B0000}"/>
    <cellStyle name="표준 5 2 2 4 3 2 2 3 2 2 4" xfId="47860" xr:uid="{00000000-0005-0000-0000-0000913B0000}"/>
    <cellStyle name="표준 5 2 2 4 3 2 2 3 2 3" xfId="19102" xr:uid="{00000000-0005-0000-0000-0000923B0000}"/>
    <cellStyle name="표준 5 2 2 4 3 2 2 3 2 4" xfId="23264" xr:uid="{00000000-0005-0000-0000-0000933B0000}"/>
    <cellStyle name="표준 5 2 2 4 3 2 2 3 2 5" xfId="27360" xr:uid="{00000000-0005-0000-0000-0000943B0000}"/>
    <cellStyle name="표준 5 2 2 4 3 2 2 3 2 6" xfId="35571" xr:uid="{00000000-0005-0000-0000-0000953B0000}"/>
    <cellStyle name="표준 5 2 2 4 3 2 2 3 2 7" xfId="43764" xr:uid="{00000000-0005-0000-0000-0000963B0000}"/>
    <cellStyle name="표준 5 2 2 4 3 2 2 3 3" xfId="8702" xr:uid="{00000000-0005-0000-0000-0000973B0000}"/>
    <cellStyle name="표준 5 2 2 4 3 2 2 3 3 2" xfId="29408" xr:uid="{00000000-0005-0000-0000-0000983B0000}"/>
    <cellStyle name="표준 5 2 2 4 3 2 2 3 3 3" xfId="37619" xr:uid="{00000000-0005-0000-0000-0000993B0000}"/>
    <cellStyle name="표준 5 2 2 4 3 2 2 3 3 4" xfId="45812" xr:uid="{00000000-0005-0000-0000-00009A3B0000}"/>
    <cellStyle name="표준 5 2 2 4 3 2 2 3 4" xfId="12814" xr:uid="{00000000-0005-0000-0000-00009B3B0000}"/>
    <cellStyle name="표준 5 2 2 4 3 2 2 3 5" xfId="17054" xr:uid="{00000000-0005-0000-0000-00009C3B0000}"/>
    <cellStyle name="표준 5 2 2 4 3 2 2 3 6" xfId="21216" xr:uid="{00000000-0005-0000-0000-00009D3B0000}"/>
    <cellStyle name="표준 5 2 2 4 3 2 2 3 7" xfId="25312" xr:uid="{00000000-0005-0000-0000-00009E3B0000}"/>
    <cellStyle name="표준 5 2 2 4 3 2 2 3 8" xfId="33523" xr:uid="{00000000-0005-0000-0000-00009F3B0000}"/>
    <cellStyle name="표준 5 2 2 4 3 2 2 3 9" xfId="41716" xr:uid="{00000000-0005-0000-0000-0000A03B0000}"/>
    <cellStyle name="표준 5 2 2 4 3 2 2 4" xfId="2359" xr:uid="{00000000-0005-0000-0000-0000A13B0000}"/>
    <cellStyle name="표준 5 2 2 4 3 2 2 4 2" xfId="11262" xr:uid="{00000000-0005-0000-0000-0000A23B0000}"/>
    <cellStyle name="표준 5 2 2 4 3 2 2 4 2 2" xfId="15374" xr:uid="{00000000-0005-0000-0000-0000A33B0000}"/>
    <cellStyle name="표준 5 2 2 4 3 2 2 4 2 2 2" xfId="31968" xr:uid="{00000000-0005-0000-0000-0000A43B0000}"/>
    <cellStyle name="표준 5 2 2 4 3 2 2 4 2 2 3" xfId="40179" xr:uid="{00000000-0005-0000-0000-0000A53B0000}"/>
    <cellStyle name="표준 5 2 2 4 3 2 2 4 2 2 4" xfId="48372" xr:uid="{00000000-0005-0000-0000-0000A63B0000}"/>
    <cellStyle name="표준 5 2 2 4 3 2 2 4 2 3" xfId="19614" xr:uid="{00000000-0005-0000-0000-0000A73B0000}"/>
    <cellStyle name="표준 5 2 2 4 3 2 2 4 2 4" xfId="23776" xr:uid="{00000000-0005-0000-0000-0000A83B0000}"/>
    <cellStyle name="표준 5 2 2 4 3 2 2 4 2 5" xfId="27872" xr:uid="{00000000-0005-0000-0000-0000A93B0000}"/>
    <cellStyle name="표준 5 2 2 4 3 2 2 4 2 6" xfId="36083" xr:uid="{00000000-0005-0000-0000-0000AA3B0000}"/>
    <cellStyle name="표준 5 2 2 4 3 2 2 4 2 7" xfId="44276" xr:uid="{00000000-0005-0000-0000-0000AB3B0000}"/>
    <cellStyle name="표준 5 2 2 4 3 2 2 4 3" xfId="9214" xr:uid="{00000000-0005-0000-0000-0000AC3B0000}"/>
    <cellStyle name="표준 5 2 2 4 3 2 2 4 3 2" xfId="29920" xr:uid="{00000000-0005-0000-0000-0000AD3B0000}"/>
    <cellStyle name="표준 5 2 2 4 3 2 2 4 3 3" xfId="38131" xr:uid="{00000000-0005-0000-0000-0000AE3B0000}"/>
    <cellStyle name="표준 5 2 2 4 3 2 2 4 3 4" xfId="46324" xr:uid="{00000000-0005-0000-0000-0000AF3B0000}"/>
    <cellStyle name="표준 5 2 2 4 3 2 2 4 4" xfId="13326" xr:uid="{00000000-0005-0000-0000-0000B03B0000}"/>
    <cellStyle name="표준 5 2 2 4 3 2 2 4 5" xfId="17566" xr:uid="{00000000-0005-0000-0000-0000B13B0000}"/>
    <cellStyle name="표준 5 2 2 4 3 2 2 4 6" xfId="21728" xr:uid="{00000000-0005-0000-0000-0000B23B0000}"/>
    <cellStyle name="표준 5 2 2 4 3 2 2 4 7" xfId="25824" xr:uid="{00000000-0005-0000-0000-0000B33B0000}"/>
    <cellStyle name="표준 5 2 2 4 3 2 2 4 8" xfId="34035" xr:uid="{00000000-0005-0000-0000-0000B43B0000}"/>
    <cellStyle name="표준 5 2 2 4 3 2 2 4 9" xfId="42228" xr:uid="{00000000-0005-0000-0000-0000B53B0000}"/>
    <cellStyle name="표준 5 2 2 4 3 2 2 5" xfId="9726" xr:uid="{00000000-0005-0000-0000-0000B63B0000}"/>
    <cellStyle name="표준 5 2 2 4 3 2 2 5 2" xfId="13838" xr:uid="{00000000-0005-0000-0000-0000B73B0000}"/>
    <cellStyle name="표준 5 2 2 4 3 2 2 5 2 2" xfId="30432" xr:uid="{00000000-0005-0000-0000-0000B83B0000}"/>
    <cellStyle name="표준 5 2 2 4 3 2 2 5 2 3" xfId="38643" xr:uid="{00000000-0005-0000-0000-0000B93B0000}"/>
    <cellStyle name="표준 5 2 2 4 3 2 2 5 2 4" xfId="46836" xr:uid="{00000000-0005-0000-0000-0000BA3B0000}"/>
    <cellStyle name="표준 5 2 2 4 3 2 2 5 3" xfId="18078" xr:uid="{00000000-0005-0000-0000-0000BB3B0000}"/>
    <cellStyle name="표준 5 2 2 4 3 2 2 5 4" xfId="22240" xr:uid="{00000000-0005-0000-0000-0000BC3B0000}"/>
    <cellStyle name="표준 5 2 2 4 3 2 2 5 5" xfId="26336" xr:uid="{00000000-0005-0000-0000-0000BD3B0000}"/>
    <cellStyle name="표준 5 2 2 4 3 2 2 5 6" xfId="34547" xr:uid="{00000000-0005-0000-0000-0000BE3B0000}"/>
    <cellStyle name="표준 5 2 2 4 3 2 2 5 7" xfId="42740" xr:uid="{00000000-0005-0000-0000-0000BF3B0000}"/>
    <cellStyle name="표준 5 2 2 4 3 2 2 6" xfId="7678" xr:uid="{00000000-0005-0000-0000-0000C03B0000}"/>
    <cellStyle name="표준 5 2 2 4 3 2 2 6 2" xfId="28384" xr:uid="{00000000-0005-0000-0000-0000C13B0000}"/>
    <cellStyle name="표준 5 2 2 4 3 2 2 6 3" xfId="36595" xr:uid="{00000000-0005-0000-0000-0000C23B0000}"/>
    <cellStyle name="표준 5 2 2 4 3 2 2 6 4" xfId="44788" xr:uid="{00000000-0005-0000-0000-0000C33B0000}"/>
    <cellStyle name="표준 5 2 2 4 3 2 2 7" xfId="11790" xr:uid="{00000000-0005-0000-0000-0000C43B0000}"/>
    <cellStyle name="표준 5 2 2 4 3 2 2 8" xfId="16030" xr:uid="{00000000-0005-0000-0000-0000C53B0000}"/>
    <cellStyle name="표준 5 2 2 4 3 2 2 9" xfId="20192" xr:uid="{00000000-0005-0000-0000-0000C63B0000}"/>
    <cellStyle name="표준 5 2 2 4 3 2 3" xfId="1079" xr:uid="{00000000-0005-0000-0000-0000C73B0000}"/>
    <cellStyle name="표준 5 2 2 4 3 2 3 2" xfId="9982" xr:uid="{00000000-0005-0000-0000-0000C83B0000}"/>
    <cellStyle name="표준 5 2 2 4 3 2 3 2 2" xfId="14094" xr:uid="{00000000-0005-0000-0000-0000C93B0000}"/>
    <cellStyle name="표준 5 2 2 4 3 2 3 2 2 2" xfId="30688" xr:uid="{00000000-0005-0000-0000-0000CA3B0000}"/>
    <cellStyle name="표준 5 2 2 4 3 2 3 2 2 3" xfId="38899" xr:uid="{00000000-0005-0000-0000-0000CB3B0000}"/>
    <cellStyle name="표준 5 2 2 4 3 2 3 2 2 4" xfId="47092" xr:uid="{00000000-0005-0000-0000-0000CC3B0000}"/>
    <cellStyle name="표준 5 2 2 4 3 2 3 2 3" xfId="18334" xr:uid="{00000000-0005-0000-0000-0000CD3B0000}"/>
    <cellStyle name="표준 5 2 2 4 3 2 3 2 4" xfId="22496" xr:uid="{00000000-0005-0000-0000-0000CE3B0000}"/>
    <cellStyle name="표준 5 2 2 4 3 2 3 2 5" xfId="26592" xr:uid="{00000000-0005-0000-0000-0000CF3B0000}"/>
    <cellStyle name="표준 5 2 2 4 3 2 3 2 6" xfId="34803" xr:uid="{00000000-0005-0000-0000-0000D03B0000}"/>
    <cellStyle name="표준 5 2 2 4 3 2 3 2 7" xfId="42996" xr:uid="{00000000-0005-0000-0000-0000D13B0000}"/>
    <cellStyle name="표준 5 2 2 4 3 2 3 3" xfId="7934" xr:uid="{00000000-0005-0000-0000-0000D23B0000}"/>
    <cellStyle name="표준 5 2 2 4 3 2 3 3 2" xfId="28640" xr:uid="{00000000-0005-0000-0000-0000D33B0000}"/>
    <cellStyle name="표준 5 2 2 4 3 2 3 3 3" xfId="36851" xr:uid="{00000000-0005-0000-0000-0000D43B0000}"/>
    <cellStyle name="표준 5 2 2 4 3 2 3 3 4" xfId="45044" xr:uid="{00000000-0005-0000-0000-0000D53B0000}"/>
    <cellStyle name="표준 5 2 2 4 3 2 3 4" xfId="12046" xr:uid="{00000000-0005-0000-0000-0000D63B0000}"/>
    <cellStyle name="표준 5 2 2 4 3 2 3 5" xfId="16286" xr:uid="{00000000-0005-0000-0000-0000D73B0000}"/>
    <cellStyle name="표준 5 2 2 4 3 2 3 6" xfId="20448" xr:uid="{00000000-0005-0000-0000-0000D83B0000}"/>
    <cellStyle name="표준 5 2 2 4 3 2 3 7" xfId="24544" xr:uid="{00000000-0005-0000-0000-0000D93B0000}"/>
    <cellStyle name="표준 5 2 2 4 3 2 3 8" xfId="32755" xr:uid="{00000000-0005-0000-0000-0000DA3B0000}"/>
    <cellStyle name="표준 5 2 2 4 3 2 3 9" xfId="40948" xr:uid="{00000000-0005-0000-0000-0000DB3B0000}"/>
    <cellStyle name="표준 5 2 2 4 3 2 4" xfId="1591" xr:uid="{00000000-0005-0000-0000-0000DC3B0000}"/>
    <cellStyle name="표준 5 2 2 4 3 2 4 2" xfId="10494" xr:uid="{00000000-0005-0000-0000-0000DD3B0000}"/>
    <cellStyle name="표준 5 2 2 4 3 2 4 2 2" xfId="14606" xr:uid="{00000000-0005-0000-0000-0000DE3B0000}"/>
    <cellStyle name="표준 5 2 2 4 3 2 4 2 2 2" xfId="31200" xr:uid="{00000000-0005-0000-0000-0000DF3B0000}"/>
    <cellStyle name="표준 5 2 2 4 3 2 4 2 2 3" xfId="39411" xr:uid="{00000000-0005-0000-0000-0000E03B0000}"/>
    <cellStyle name="표준 5 2 2 4 3 2 4 2 2 4" xfId="47604" xr:uid="{00000000-0005-0000-0000-0000E13B0000}"/>
    <cellStyle name="표준 5 2 2 4 3 2 4 2 3" xfId="18846" xr:uid="{00000000-0005-0000-0000-0000E23B0000}"/>
    <cellStyle name="표준 5 2 2 4 3 2 4 2 4" xfId="23008" xr:uid="{00000000-0005-0000-0000-0000E33B0000}"/>
    <cellStyle name="표준 5 2 2 4 3 2 4 2 5" xfId="27104" xr:uid="{00000000-0005-0000-0000-0000E43B0000}"/>
    <cellStyle name="표준 5 2 2 4 3 2 4 2 6" xfId="35315" xr:uid="{00000000-0005-0000-0000-0000E53B0000}"/>
    <cellStyle name="표준 5 2 2 4 3 2 4 2 7" xfId="43508" xr:uid="{00000000-0005-0000-0000-0000E63B0000}"/>
    <cellStyle name="표준 5 2 2 4 3 2 4 3" xfId="8446" xr:uid="{00000000-0005-0000-0000-0000E73B0000}"/>
    <cellStyle name="표준 5 2 2 4 3 2 4 3 2" xfId="29152" xr:uid="{00000000-0005-0000-0000-0000E83B0000}"/>
    <cellStyle name="표준 5 2 2 4 3 2 4 3 3" xfId="37363" xr:uid="{00000000-0005-0000-0000-0000E93B0000}"/>
    <cellStyle name="표준 5 2 2 4 3 2 4 3 4" xfId="45556" xr:uid="{00000000-0005-0000-0000-0000EA3B0000}"/>
    <cellStyle name="표준 5 2 2 4 3 2 4 4" xfId="12558" xr:uid="{00000000-0005-0000-0000-0000EB3B0000}"/>
    <cellStyle name="표준 5 2 2 4 3 2 4 5" xfId="16798" xr:uid="{00000000-0005-0000-0000-0000EC3B0000}"/>
    <cellStyle name="표준 5 2 2 4 3 2 4 6" xfId="20960" xr:uid="{00000000-0005-0000-0000-0000ED3B0000}"/>
    <cellStyle name="표준 5 2 2 4 3 2 4 7" xfId="25056" xr:uid="{00000000-0005-0000-0000-0000EE3B0000}"/>
    <cellStyle name="표준 5 2 2 4 3 2 4 8" xfId="33267" xr:uid="{00000000-0005-0000-0000-0000EF3B0000}"/>
    <cellStyle name="표준 5 2 2 4 3 2 4 9" xfId="41460" xr:uid="{00000000-0005-0000-0000-0000F03B0000}"/>
    <cellStyle name="표준 5 2 2 4 3 2 5" xfId="2103" xr:uid="{00000000-0005-0000-0000-0000F13B0000}"/>
    <cellStyle name="표준 5 2 2 4 3 2 5 2" xfId="11006" xr:uid="{00000000-0005-0000-0000-0000F23B0000}"/>
    <cellStyle name="표준 5 2 2 4 3 2 5 2 2" xfId="15118" xr:uid="{00000000-0005-0000-0000-0000F33B0000}"/>
    <cellStyle name="표준 5 2 2 4 3 2 5 2 2 2" xfId="31712" xr:uid="{00000000-0005-0000-0000-0000F43B0000}"/>
    <cellStyle name="표준 5 2 2 4 3 2 5 2 2 3" xfId="39923" xr:uid="{00000000-0005-0000-0000-0000F53B0000}"/>
    <cellStyle name="표준 5 2 2 4 3 2 5 2 2 4" xfId="48116" xr:uid="{00000000-0005-0000-0000-0000F63B0000}"/>
    <cellStyle name="표준 5 2 2 4 3 2 5 2 3" xfId="19358" xr:uid="{00000000-0005-0000-0000-0000F73B0000}"/>
    <cellStyle name="표준 5 2 2 4 3 2 5 2 4" xfId="23520" xr:uid="{00000000-0005-0000-0000-0000F83B0000}"/>
    <cellStyle name="표준 5 2 2 4 3 2 5 2 5" xfId="27616" xr:uid="{00000000-0005-0000-0000-0000F93B0000}"/>
    <cellStyle name="표준 5 2 2 4 3 2 5 2 6" xfId="35827" xr:uid="{00000000-0005-0000-0000-0000FA3B0000}"/>
    <cellStyle name="표준 5 2 2 4 3 2 5 2 7" xfId="44020" xr:uid="{00000000-0005-0000-0000-0000FB3B0000}"/>
    <cellStyle name="표준 5 2 2 4 3 2 5 3" xfId="8958" xr:uid="{00000000-0005-0000-0000-0000FC3B0000}"/>
    <cellStyle name="표준 5 2 2 4 3 2 5 3 2" xfId="29664" xr:uid="{00000000-0005-0000-0000-0000FD3B0000}"/>
    <cellStyle name="표준 5 2 2 4 3 2 5 3 3" xfId="37875" xr:uid="{00000000-0005-0000-0000-0000FE3B0000}"/>
    <cellStyle name="표준 5 2 2 4 3 2 5 3 4" xfId="46068" xr:uid="{00000000-0005-0000-0000-0000FF3B0000}"/>
    <cellStyle name="표준 5 2 2 4 3 2 5 4" xfId="13070" xr:uid="{00000000-0005-0000-0000-0000003C0000}"/>
    <cellStyle name="표준 5 2 2 4 3 2 5 5" xfId="17310" xr:uid="{00000000-0005-0000-0000-0000013C0000}"/>
    <cellStyle name="표준 5 2 2 4 3 2 5 6" xfId="21472" xr:uid="{00000000-0005-0000-0000-0000023C0000}"/>
    <cellStyle name="표준 5 2 2 4 3 2 5 7" xfId="25568" xr:uid="{00000000-0005-0000-0000-0000033C0000}"/>
    <cellStyle name="표준 5 2 2 4 3 2 5 8" xfId="33779" xr:uid="{00000000-0005-0000-0000-0000043C0000}"/>
    <cellStyle name="표준 5 2 2 4 3 2 5 9" xfId="41972" xr:uid="{00000000-0005-0000-0000-0000053C0000}"/>
    <cellStyle name="표준 5 2 2 4 3 2 6" xfId="9470" xr:uid="{00000000-0005-0000-0000-0000063C0000}"/>
    <cellStyle name="표준 5 2 2 4 3 2 6 2" xfId="13582" xr:uid="{00000000-0005-0000-0000-0000073C0000}"/>
    <cellStyle name="표준 5 2 2 4 3 2 6 2 2" xfId="30176" xr:uid="{00000000-0005-0000-0000-0000083C0000}"/>
    <cellStyle name="표준 5 2 2 4 3 2 6 2 3" xfId="38387" xr:uid="{00000000-0005-0000-0000-0000093C0000}"/>
    <cellStyle name="표준 5 2 2 4 3 2 6 2 4" xfId="46580" xr:uid="{00000000-0005-0000-0000-00000A3C0000}"/>
    <cellStyle name="표준 5 2 2 4 3 2 6 3" xfId="17822" xr:uid="{00000000-0005-0000-0000-00000B3C0000}"/>
    <cellStyle name="표준 5 2 2 4 3 2 6 4" xfId="21984" xr:uid="{00000000-0005-0000-0000-00000C3C0000}"/>
    <cellStyle name="표준 5 2 2 4 3 2 6 5" xfId="26080" xr:uid="{00000000-0005-0000-0000-00000D3C0000}"/>
    <cellStyle name="표준 5 2 2 4 3 2 6 6" xfId="34291" xr:uid="{00000000-0005-0000-0000-00000E3C0000}"/>
    <cellStyle name="표준 5 2 2 4 3 2 6 7" xfId="42484" xr:uid="{00000000-0005-0000-0000-00000F3C0000}"/>
    <cellStyle name="표준 5 2 2 4 3 2 7" xfId="7422" xr:uid="{00000000-0005-0000-0000-0000103C0000}"/>
    <cellStyle name="표준 5 2 2 4 3 2 7 2" xfId="28128" xr:uid="{00000000-0005-0000-0000-0000113C0000}"/>
    <cellStyle name="표준 5 2 2 4 3 2 7 3" xfId="36339" xr:uid="{00000000-0005-0000-0000-0000123C0000}"/>
    <cellStyle name="표준 5 2 2 4 3 2 7 4" xfId="44532" xr:uid="{00000000-0005-0000-0000-0000133C0000}"/>
    <cellStyle name="표준 5 2 2 4 3 2 8" xfId="11534" xr:uid="{00000000-0005-0000-0000-0000143C0000}"/>
    <cellStyle name="표준 5 2 2 4 3 2 9" xfId="15774" xr:uid="{00000000-0005-0000-0000-0000153C0000}"/>
    <cellStyle name="표준 5 2 2 4 3 3" xfId="695" xr:uid="{00000000-0005-0000-0000-0000163C0000}"/>
    <cellStyle name="표준 5 2 2 4 3 3 10" xfId="24160" xr:uid="{00000000-0005-0000-0000-0000173C0000}"/>
    <cellStyle name="표준 5 2 2 4 3 3 11" xfId="32371" xr:uid="{00000000-0005-0000-0000-0000183C0000}"/>
    <cellStyle name="표준 5 2 2 4 3 3 12" xfId="40564" xr:uid="{00000000-0005-0000-0000-0000193C0000}"/>
    <cellStyle name="표준 5 2 2 4 3 3 2" xfId="1207" xr:uid="{00000000-0005-0000-0000-00001A3C0000}"/>
    <cellStyle name="표준 5 2 2 4 3 3 2 2" xfId="10110" xr:uid="{00000000-0005-0000-0000-00001B3C0000}"/>
    <cellStyle name="표준 5 2 2 4 3 3 2 2 2" xfId="14222" xr:uid="{00000000-0005-0000-0000-00001C3C0000}"/>
    <cellStyle name="표준 5 2 2 4 3 3 2 2 2 2" xfId="30816" xr:uid="{00000000-0005-0000-0000-00001D3C0000}"/>
    <cellStyle name="표준 5 2 2 4 3 3 2 2 2 3" xfId="39027" xr:uid="{00000000-0005-0000-0000-00001E3C0000}"/>
    <cellStyle name="표준 5 2 2 4 3 3 2 2 2 4" xfId="47220" xr:uid="{00000000-0005-0000-0000-00001F3C0000}"/>
    <cellStyle name="표준 5 2 2 4 3 3 2 2 3" xfId="18462" xr:uid="{00000000-0005-0000-0000-0000203C0000}"/>
    <cellStyle name="표준 5 2 2 4 3 3 2 2 4" xfId="22624" xr:uid="{00000000-0005-0000-0000-0000213C0000}"/>
    <cellStyle name="표준 5 2 2 4 3 3 2 2 5" xfId="26720" xr:uid="{00000000-0005-0000-0000-0000223C0000}"/>
    <cellStyle name="표준 5 2 2 4 3 3 2 2 6" xfId="34931" xr:uid="{00000000-0005-0000-0000-0000233C0000}"/>
    <cellStyle name="표준 5 2 2 4 3 3 2 2 7" xfId="43124" xr:uid="{00000000-0005-0000-0000-0000243C0000}"/>
    <cellStyle name="표준 5 2 2 4 3 3 2 3" xfId="8062" xr:uid="{00000000-0005-0000-0000-0000253C0000}"/>
    <cellStyle name="표준 5 2 2 4 3 3 2 3 2" xfId="28768" xr:uid="{00000000-0005-0000-0000-0000263C0000}"/>
    <cellStyle name="표준 5 2 2 4 3 3 2 3 3" xfId="36979" xr:uid="{00000000-0005-0000-0000-0000273C0000}"/>
    <cellStyle name="표준 5 2 2 4 3 3 2 3 4" xfId="45172" xr:uid="{00000000-0005-0000-0000-0000283C0000}"/>
    <cellStyle name="표준 5 2 2 4 3 3 2 4" xfId="12174" xr:uid="{00000000-0005-0000-0000-0000293C0000}"/>
    <cellStyle name="표준 5 2 2 4 3 3 2 5" xfId="16414" xr:uid="{00000000-0005-0000-0000-00002A3C0000}"/>
    <cellStyle name="표준 5 2 2 4 3 3 2 6" xfId="20576" xr:uid="{00000000-0005-0000-0000-00002B3C0000}"/>
    <cellStyle name="표준 5 2 2 4 3 3 2 7" xfId="24672" xr:uid="{00000000-0005-0000-0000-00002C3C0000}"/>
    <cellStyle name="표준 5 2 2 4 3 3 2 8" xfId="32883" xr:uid="{00000000-0005-0000-0000-00002D3C0000}"/>
    <cellStyle name="표준 5 2 2 4 3 3 2 9" xfId="41076" xr:uid="{00000000-0005-0000-0000-00002E3C0000}"/>
    <cellStyle name="표준 5 2 2 4 3 3 3" xfId="1719" xr:uid="{00000000-0005-0000-0000-00002F3C0000}"/>
    <cellStyle name="표준 5 2 2 4 3 3 3 2" xfId="10622" xr:uid="{00000000-0005-0000-0000-0000303C0000}"/>
    <cellStyle name="표준 5 2 2 4 3 3 3 2 2" xfId="14734" xr:uid="{00000000-0005-0000-0000-0000313C0000}"/>
    <cellStyle name="표준 5 2 2 4 3 3 3 2 2 2" xfId="31328" xr:uid="{00000000-0005-0000-0000-0000323C0000}"/>
    <cellStyle name="표준 5 2 2 4 3 3 3 2 2 3" xfId="39539" xr:uid="{00000000-0005-0000-0000-0000333C0000}"/>
    <cellStyle name="표준 5 2 2 4 3 3 3 2 2 4" xfId="47732" xr:uid="{00000000-0005-0000-0000-0000343C0000}"/>
    <cellStyle name="표준 5 2 2 4 3 3 3 2 3" xfId="18974" xr:uid="{00000000-0005-0000-0000-0000353C0000}"/>
    <cellStyle name="표준 5 2 2 4 3 3 3 2 4" xfId="23136" xr:uid="{00000000-0005-0000-0000-0000363C0000}"/>
    <cellStyle name="표준 5 2 2 4 3 3 3 2 5" xfId="27232" xr:uid="{00000000-0005-0000-0000-0000373C0000}"/>
    <cellStyle name="표준 5 2 2 4 3 3 3 2 6" xfId="35443" xr:uid="{00000000-0005-0000-0000-0000383C0000}"/>
    <cellStyle name="표준 5 2 2 4 3 3 3 2 7" xfId="43636" xr:uid="{00000000-0005-0000-0000-0000393C0000}"/>
    <cellStyle name="표준 5 2 2 4 3 3 3 3" xfId="8574" xr:uid="{00000000-0005-0000-0000-00003A3C0000}"/>
    <cellStyle name="표준 5 2 2 4 3 3 3 3 2" xfId="29280" xr:uid="{00000000-0005-0000-0000-00003B3C0000}"/>
    <cellStyle name="표준 5 2 2 4 3 3 3 3 3" xfId="37491" xr:uid="{00000000-0005-0000-0000-00003C3C0000}"/>
    <cellStyle name="표준 5 2 2 4 3 3 3 3 4" xfId="45684" xr:uid="{00000000-0005-0000-0000-00003D3C0000}"/>
    <cellStyle name="표준 5 2 2 4 3 3 3 4" xfId="12686" xr:uid="{00000000-0005-0000-0000-00003E3C0000}"/>
    <cellStyle name="표준 5 2 2 4 3 3 3 5" xfId="16926" xr:uid="{00000000-0005-0000-0000-00003F3C0000}"/>
    <cellStyle name="표준 5 2 2 4 3 3 3 6" xfId="21088" xr:uid="{00000000-0005-0000-0000-0000403C0000}"/>
    <cellStyle name="표준 5 2 2 4 3 3 3 7" xfId="25184" xr:uid="{00000000-0005-0000-0000-0000413C0000}"/>
    <cellStyle name="표준 5 2 2 4 3 3 3 8" xfId="33395" xr:uid="{00000000-0005-0000-0000-0000423C0000}"/>
    <cellStyle name="표준 5 2 2 4 3 3 3 9" xfId="41588" xr:uid="{00000000-0005-0000-0000-0000433C0000}"/>
    <cellStyle name="표준 5 2 2 4 3 3 4" xfId="2231" xr:uid="{00000000-0005-0000-0000-0000443C0000}"/>
    <cellStyle name="표준 5 2 2 4 3 3 4 2" xfId="11134" xr:uid="{00000000-0005-0000-0000-0000453C0000}"/>
    <cellStyle name="표준 5 2 2 4 3 3 4 2 2" xfId="15246" xr:uid="{00000000-0005-0000-0000-0000463C0000}"/>
    <cellStyle name="표준 5 2 2 4 3 3 4 2 2 2" xfId="31840" xr:uid="{00000000-0005-0000-0000-0000473C0000}"/>
    <cellStyle name="표준 5 2 2 4 3 3 4 2 2 3" xfId="40051" xr:uid="{00000000-0005-0000-0000-0000483C0000}"/>
    <cellStyle name="표준 5 2 2 4 3 3 4 2 2 4" xfId="48244" xr:uid="{00000000-0005-0000-0000-0000493C0000}"/>
    <cellStyle name="표준 5 2 2 4 3 3 4 2 3" xfId="19486" xr:uid="{00000000-0005-0000-0000-00004A3C0000}"/>
    <cellStyle name="표준 5 2 2 4 3 3 4 2 4" xfId="23648" xr:uid="{00000000-0005-0000-0000-00004B3C0000}"/>
    <cellStyle name="표준 5 2 2 4 3 3 4 2 5" xfId="27744" xr:uid="{00000000-0005-0000-0000-00004C3C0000}"/>
    <cellStyle name="표준 5 2 2 4 3 3 4 2 6" xfId="35955" xr:uid="{00000000-0005-0000-0000-00004D3C0000}"/>
    <cellStyle name="표준 5 2 2 4 3 3 4 2 7" xfId="44148" xr:uid="{00000000-0005-0000-0000-00004E3C0000}"/>
    <cellStyle name="표준 5 2 2 4 3 3 4 3" xfId="9086" xr:uid="{00000000-0005-0000-0000-00004F3C0000}"/>
    <cellStyle name="표준 5 2 2 4 3 3 4 3 2" xfId="29792" xr:uid="{00000000-0005-0000-0000-0000503C0000}"/>
    <cellStyle name="표준 5 2 2 4 3 3 4 3 3" xfId="38003" xr:uid="{00000000-0005-0000-0000-0000513C0000}"/>
    <cellStyle name="표준 5 2 2 4 3 3 4 3 4" xfId="46196" xr:uid="{00000000-0005-0000-0000-0000523C0000}"/>
    <cellStyle name="표준 5 2 2 4 3 3 4 4" xfId="13198" xr:uid="{00000000-0005-0000-0000-0000533C0000}"/>
    <cellStyle name="표준 5 2 2 4 3 3 4 5" xfId="17438" xr:uid="{00000000-0005-0000-0000-0000543C0000}"/>
    <cellStyle name="표준 5 2 2 4 3 3 4 6" xfId="21600" xr:uid="{00000000-0005-0000-0000-0000553C0000}"/>
    <cellStyle name="표준 5 2 2 4 3 3 4 7" xfId="25696" xr:uid="{00000000-0005-0000-0000-0000563C0000}"/>
    <cellStyle name="표준 5 2 2 4 3 3 4 8" xfId="33907" xr:uid="{00000000-0005-0000-0000-0000573C0000}"/>
    <cellStyle name="표준 5 2 2 4 3 3 4 9" xfId="42100" xr:uid="{00000000-0005-0000-0000-0000583C0000}"/>
    <cellStyle name="표준 5 2 2 4 3 3 5" xfId="9598" xr:uid="{00000000-0005-0000-0000-0000593C0000}"/>
    <cellStyle name="표준 5 2 2 4 3 3 5 2" xfId="13710" xr:uid="{00000000-0005-0000-0000-00005A3C0000}"/>
    <cellStyle name="표준 5 2 2 4 3 3 5 2 2" xfId="30304" xr:uid="{00000000-0005-0000-0000-00005B3C0000}"/>
    <cellStyle name="표준 5 2 2 4 3 3 5 2 3" xfId="38515" xr:uid="{00000000-0005-0000-0000-00005C3C0000}"/>
    <cellStyle name="표준 5 2 2 4 3 3 5 2 4" xfId="46708" xr:uid="{00000000-0005-0000-0000-00005D3C0000}"/>
    <cellStyle name="표준 5 2 2 4 3 3 5 3" xfId="17950" xr:uid="{00000000-0005-0000-0000-00005E3C0000}"/>
    <cellStyle name="표준 5 2 2 4 3 3 5 4" xfId="22112" xr:uid="{00000000-0005-0000-0000-00005F3C0000}"/>
    <cellStyle name="표준 5 2 2 4 3 3 5 5" xfId="26208" xr:uid="{00000000-0005-0000-0000-0000603C0000}"/>
    <cellStyle name="표준 5 2 2 4 3 3 5 6" xfId="34419" xr:uid="{00000000-0005-0000-0000-0000613C0000}"/>
    <cellStyle name="표준 5 2 2 4 3 3 5 7" xfId="42612" xr:uid="{00000000-0005-0000-0000-0000623C0000}"/>
    <cellStyle name="표준 5 2 2 4 3 3 6" xfId="7550" xr:uid="{00000000-0005-0000-0000-0000633C0000}"/>
    <cellStyle name="표준 5 2 2 4 3 3 6 2" xfId="28256" xr:uid="{00000000-0005-0000-0000-0000643C0000}"/>
    <cellStyle name="표준 5 2 2 4 3 3 6 3" xfId="36467" xr:uid="{00000000-0005-0000-0000-0000653C0000}"/>
    <cellStyle name="표준 5 2 2 4 3 3 6 4" xfId="44660" xr:uid="{00000000-0005-0000-0000-0000663C0000}"/>
    <cellStyle name="표준 5 2 2 4 3 3 7" xfId="11662" xr:uid="{00000000-0005-0000-0000-0000673C0000}"/>
    <cellStyle name="표준 5 2 2 4 3 3 8" xfId="15902" xr:uid="{00000000-0005-0000-0000-0000683C0000}"/>
    <cellStyle name="표준 5 2 2 4 3 3 9" xfId="20064" xr:uid="{00000000-0005-0000-0000-0000693C0000}"/>
    <cellStyle name="표준 5 2 2 4 3 4" xfId="951" xr:uid="{00000000-0005-0000-0000-00006A3C0000}"/>
    <cellStyle name="표준 5 2 2 4 3 4 2" xfId="9854" xr:uid="{00000000-0005-0000-0000-00006B3C0000}"/>
    <cellStyle name="표준 5 2 2 4 3 4 2 2" xfId="13966" xr:uid="{00000000-0005-0000-0000-00006C3C0000}"/>
    <cellStyle name="표준 5 2 2 4 3 4 2 2 2" xfId="30560" xr:uid="{00000000-0005-0000-0000-00006D3C0000}"/>
    <cellStyle name="표준 5 2 2 4 3 4 2 2 3" xfId="38771" xr:uid="{00000000-0005-0000-0000-00006E3C0000}"/>
    <cellStyle name="표준 5 2 2 4 3 4 2 2 4" xfId="46964" xr:uid="{00000000-0005-0000-0000-00006F3C0000}"/>
    <cellStyle name="표준 5 2 2 4 3 4 2 3" xfId="18206" xr:uid="{00000000-0005-0000-0000-0000703C0000}"/>
    <cellStyle name="표준 5 2 2 4 3 4 2 4" xfId="22368" xr:uid="{00000000-0005-0000-0000-0000713C0000}"/>
    <cellStyle name="표준 5 2 2 4 3 4 2 5" xfId="26464" xr:uid="{00000000-0005-0000-0000-0000723C0000}"/>
    <cellStyle name="표준 5 2 2 4 3 4 2 6" xfId="34675" xr:uid="{00000000-0005-0000-0000-0000733C0000}"/>
    <cellStyle name="표준 5 2 2 4 3 4 2 7" xfId="42868" xr:uid="{00000000-0005-0000-0000-0000743C0000}"/>
    <cellStyle name="표준 5 2 2 4 3 4 3" xfId="7806" xr:uid="{00000000-0005-0000-0000-0000753C0000}"/>
    <cellStyle name="표준 5 2 2 4 3 4 3 2" xfId="28512" xr:uid="{00000000-0005-0000-0000-0000763C0000}"/>
    <cellStyle name="표준 5 2 2 4 3 4 3 3" xfId="36723" xr:uid="{00000000-0005-0000-0000-0000773C0000}"/>
    <cellStyle name="표준 5 2 2 4 3 4 3 4" xfId="44916" xr:uid="{00000000-0005-0000-0000-0000783C0000}"/>
    <cellStyle name="표준 5 2 2 4 3 4 4" xfId="11918" xr:uid="{00000000-0005-0000-0000-0000793C0000}"/>
    <cellStyle name="표준 5 2 2 4 3 4 5" xfId="16158" xr:uid="{00000000-0005-0000-0000-00007A3C0000}"/>
    <cellStyle name="표준 5 2 2 4 3 4 6" xfId="20320" xr:uid="{00000000-0005-0000-0000-00007B3C0000}"/>
    <cellStyle name="표준 5 2 2 4 3 4 7" xfId="24416" xr:uid="{00000000-0005-0000-0000-00007C3C0000}"/>
    <cellStyle name="표준 5 2 2 4 3 4 8" xfId="32627" xr:uid="{00000000-0005-0000-0000-00007D3C0000}"/>
    <cellStyle name="표준 5 2 2 4 3 4 9" xfId="40820" xr:uid="{00000000-0005-0000-0000-00007E3C0000}"/>
    <cellStyle name="표준 5 2 2 4 3 5" xfId="1463" xr:uid="{00000000-0005-0000-0000-00007F3C0000}"/>
    <cellStyle name="표준 5 2 2 4 3 5 2" xfId="10366" xr:uid="{00000000-0005-0000-0000-0000803C0000}"/>
    <cellStyle name="표준 5 2 2 4 3 5 2 2" xfId="14478" xr:uid="{00000000-0005-0000-0000-0000813C0000}"/>
    <cellStyle name="표준 5 2 2 4 3 5 2 2 2" xfId="31072" xr:uid="{00000000-0005-0000-0000-0000823C0000}"/>
    <cellStyle name="표준 5 2 2 4 3 5 2 2 3" xfId="39283" xr:uid="{00000000-0005-0000-0000-0000833C0000}"/>
    <cellStyle name="표준 5 2 2 4 3 5 2 2 4" xfId="47476" xr:uid="{00000000-0005-0000-0000-0000843C0000}"/>
    <cellStyle name="표준 5 2 2 4 3 5 2 3" xfId="18718" xr:uid="{00000000-0005-0000-0000-0000853C0000}"/>
    <cellStyle name="표준 5 2 2 4 3 5 2 4" xfId="22880" xr:uid="{00000000-0005-0000-0000-0000863C0000}"/>
    <cellStyle name="표준 5 2 2 4 3 5 2 5" xfId="26976" xr:uid="{00000000-0005-0000-0000-0000873C0000}"/>
    <cellStyle name="표준 5 2 2 4 3 5 2 6" xfId="35187" xr:uid="{00000000-0005-0000-0000-0000883C0000}"/>
    <cellStyle name="표준 5 2 2 4 3 5 2 7" xfId="43380" xr:uid="{00000000-0005-0000-0000-0000893C0000}"/>
    <cellStyle name="표준 5 2 2 4 3 5 3" xfId="8318" xr:uid="{00000000-0005-0000-0000-00008A3C0000}"/>
    <cellStyle name="표준 5 2 2 4 3 5 3 2" xfId="29024" xr:uid="{00000000-0005-0000-0000-00008B3C0000}"/>
    <cellStyle name="표준 5 2 2 4 3 5 3 3" xfId="37235" xr:uid="{00000000-0005-0000-0000-00008C3C0000}"/>
    <cellStyle name="표준 5 2 2 4 3 5 3 4" xfId="45428" xr:uid="{00000000-0005-0000-0000-00008D3C0000}"/>
    <cellStyle name="표준 5 2 2 4 3 5 4" xfId="12430" xr:uid="{00000000-0005-0000-0000-00008E3C0000}"/>
    <cellStyle name="표준 5 2 2 4 3 5 5" xfId="16670" xr:uid="{00000000-0005-0000-0000-00008F3C0000}"/>
    <cellStyle name="표준 5 2 2 4 3 5 6" xfId="20832" xr:uid="{00000000-0005-0000-0000-0000903C0000}"/>
    <cellStyle name="표준 5 2 2 4 3 5 7" xfId="24928" xr:uid="{00000000-0005-0000-0000-0000913C0000}"/>
    <cellStyle name="표준 5 2 2 4 3 5 8" xfId="33139" xr:uid="{00000000-0005-0000-0000-0000923C0000}"/>
    <cellStyle name="표준 5 2 2 4 3 5 9" xfId="41332" xr:uid="{00000000-0005-0000-0000-0000933C0000}"/>
    <cellStyle name="표준 5 2 2 4 3 6" xfId="1975" xr:uid="{00000000-0005-0000-0000-0000943C0000}"/>
    <cellStyle name="표준 5 2 2 4 3 6 2" xfId="10878" xr:uid="{00000000-0005-0000-0000-0000953C0000}"/>
    <cellStyle name="표준 5 2 2 4 3 6 2 2" xfId="14990" xr:uid="{00000000-0005-0000-0000-0000963C0000}"/>
    <cellStyle name="표준 5 2 2 4 3 6 2 2 2" xfId="31584" xr:uid="{00000000-0005-0000-0000-0000973C0000}"/>
    <cellStyle name="표준 5 2 2 4 3 6 2 2 3" xfId="39795" xr:uid="{00000000-0005-0000-0000-0000983C0000}"/>
    <cellStyle name="표준 5 2 2 4 3 6 2 2 4" xfId="47988" xr:uid="{00000000-0005-0000-0000-0000993C0000}"/>
    <cellStyle name="표준 5 2 2 4 3 6 2 3" xfId="19230" xr:uid="{00000000-0005-0000-0000-00009A3C0000}"/>
    <cellStyle name="표준 5 2 2 4 3 6 2 4" xfId="23392" xr:uid="{00000000-0005-0000-0000-00009B3C0000}"/>
    <cellStyle name="표준 5 2 2 4 3 6 2 5" xfId="27488" xr:uid="{00000000-0005-0000-0000-00009C3C0000}"/>
    <cellStyle name="표준 5 2 2 4 3 6 2 6" xfId="35699" xr:uid="{00000000-0005-0000-0000-00009D3C0000}"/>
    <cellStyle name="표준 5 2 2 4 3 6 2 7" xfId="43892" xr:uid="{00000000-0005-0000-0000-00009E3C0000}"/>
    <cellStyle name="표준 5 2 2 4 3 6 3" xfId="8830" xr:uid="{00000000-0005-0000-0000-00009F3C0000}"/>
    <cellStyle name="표준 5 2 2 4 3 6 3 2" xfId="29536" xr:uid="{00000000-0005-0000-0000-0000A03C0000}"/>
    <cellStyle name="표준 5 2 2 4 3 6 3 3" xfId="37747" xr:uid="{00000000-0005-0000-0000-0000A13C0000}"/>
    <cellStyle name="표준 5 2 2 4 3 6 3 4" xfId="45940" xr:uid="{00000000-0005-0000-0000-0000A23C0000}"/>
    <cellStyle name="표준 5 2 2 4 3 6 4" xfId="12942" xr:uid="{00000000-0005-0000-0000-0000A33C0000}"/>
    <cellStyle name="표준 5 2 2 4 3 6 5" xfId="17182" xr:uid="{00000000-0005-0000-0000-0000A43C0000}"/>
    <cellStyle name="표준 5 2 2 4 3 6 6" xfId="21344" xr:uid="{00000000-0005-0000-0000-0000A53C0000}"/>
    <cellStyle name="표준 5 2 2 4 3 6 7" xfId="25440" xr:uid="{00000000-0005-0000-0000-0000A63C0000}"/>
    <cellStyle name="표준 5 2 2 4 3 6 8" xfId="33651" xr:uid="{00000000-0005-0000-0000-0000A73C0000}"/>
    <cellStyle name="표준 5 2 2 4 3 6 9" xfId="41844" xr:uid="{00000000-0005-0000-0000-0000A83C0000}"/>
    <cellStyle name="표준 5 2 2 4 3 7" xfId="9342" xr:uid="{00000000-0005-0000-0000-0000A93C0000}"/>
    <cellStyle name="표준 5 2 2 4 3 7 2" xfId="13454" xr:uid="{00000000-0005-0000-0000-0000AA3C0000}"/>
    <cellStyle name="표준 5 2 2 4 3 7 2 2" xfId="30048" xr:uid="{00000000-0005-0000-0000-0000AB3C0000}"/>
    <cellStyle name="표준 5 2 2 4 3 7 2 3" xfId="38259" xr:uid="{00000000-0005-0000-0000-0000AC3C0000}"/>
    <cellStyle name="표준 5 2 2 4 3 7 2 4" xfId="46452" xr:uid="{00000000-0005-0000-0000-0000AD3C0000}"/>
    <cellStyle name="표준 5 2 2 4 3 7 3" xfId="17694" xr:uid="{00000000-0005-0000-0000-0000AE3C0000}"/>
    <cellStyle name="표준 5 2 2 4 3 7 4" xfId="21856" xr:uid="{00000000-0005-0000-0000-0000AF3C0000}"/>
    <cellStyle name="표준 5 2 2 4 3 7 5" xfId="25952" xr:uid="{00000000-0005-0000-0000-0000B03C0000}"/>
    <cellStyle name="표준 5 2 2 4 3 7 6" xfId="34163" xr:uid="{00000000-0005-0000-0000-0000B13C0000}"/>
    <cellStyle name="표준 5 2 2 4 3 7 7" xfId="42356" xr:uid="{00000000-0005-0000-0000-0000B23C0000}"/>
    <cellStyle name="표준 5 2 2 4 3 8" xfId="7294" xr:uid="{00000000-0005-0000-0000-0000B33C0000}"/>
    <cellStyle name="표준 5 2 2 4 3 8 2" xfId="28000" xr:uid="{00000000-0005-0000-0000-0000B43C0000}"/>
    <cellStyle name="표준 5 2 2 4 3 8 3" xfId="36211" xr:uid="{00000000-0005-0000-0000-0000B53C0000}"/>
    <cellStyle name="표준 5 2 2 4 3 8 4" xfId="44404" xr:uid="{00000000-0005-0000-0000-0000B63C0000}"/>
    <cellStyle name="표준 5 2 2 4 3 9" xfId="11406" xr:uid="{00000000-0005-0000-0000-0000B73C0000}"/>
    <cellStyle name="표준 5 2 2 4 4" xfId="503" xr:uid="{00000000-0005-0000-0000-0000B83C0000}"/>
    <cellStyle name="표준 5 2 2 4 4 10" xfId="19872" xr:uid="{00000000-0005-0000-0000-0000B93C0000}"/>
    <cellStyle name="표준 5 2 2 4 4 11" xfId="23968" xr:uid="{00000000-0005-0000-0000-0000BA3C0000}"/>
    <cellStyle name="표준 5 2 2 4 4 12" xfId="32179" xr:uid="{00000000-0005-0000-0000-0000BB3C0000}"/>
    <cellStyle name="표준 5 2 2 4 4 13" xfId="40372" xr:uid="{00000000-0005-0000-0000-0000BC3C0000}"/>
    <cellStyle name="표준 5 2 2 4 4 2" xfId="759" xr:uid="{00000000-0005-0000-0000-0000BD3C0000}"/>
    <cellStyle name="표준 5 2 2 4 4 2 10" xfId="24224" xr:uid="{00000000-0005-0000-0000-0000BE3C0000}"/>
    <cellStyle name="표준 5 2 2 4 4 2 11" xfId="32435" xr:uid="{00000000-0005-0000-0000-0000BF3C0000}"/>
    <cellStyle name="표준 5 2 2 4 4 2 12" xfId="40628" xr:uid="{00000000-0005-0000-0000-0000C03C0000}"/>
    <cellStyle name="표준 5 2 2 4 4 2 2" xfId="1271" xr:uid="{00000000-0005-0000-0000-0000C13C0000}"/>
    <cellStyle name="표준 5 2 2 4 4 2 2 2" xfId="10174" xr:uid="{00000000-0005-0000-0000-0000C23C0000}"/>
    <cellStyle name="표준 5 2 2 4 4 2 2 2 2" xfId="14286" xr:uid="{00000000-0005-0000-0000-0000C33C0000}"/>
    <cellStyle name="표준 5 2 2 4 4 2 2 2 2 2" xfId="30880" xr:uid="{00000000-0005-0000-0000-0000C43C0000}"/>
    <cellStyle name="표준 5 2 2 4 4 2 2 2 2 3" xfId="39091" xr:uid="{00000000-0005-0000-0000-0000C53C0000}"/>
    <cellStyle name="표준 5 2 2 4 4 2 2 2 2 4" xfId="47284" xr:uid="{00000000-0005-0000-0000-0000C63C0000}"/>
    <cellStyle name="표준 5 2 2 4 4 2 2 2 3" xfId="18526" xr:uid="{00000000-0005-0000-0000-0000C73C0000}"/>
    <cellStyle name="표준 5 2 2 4 4 2 2 2 4" xfId="22688" xr:uid="{00000000-0005-0000-0000-0000C83C0000}"/>
    <cellStyle name="표준 5 2 2 4 4 2 2 2 5" xfId="26784" xr:uid="{00000000-0005-0000-0000-0000C93C0000}"/>
    <cellStyle name="표준 5 2 2 4 4 2 2 2 6" xfId="34995" xr:uid="{00000000-0005-0000-0000-0000CA3C0000}"/>
    <cellStyle name="표준 5 2 2 4 4 2 2 2 7" xfId="43188" xr:uid="{00000000-0005-0000-0000-0000CB3C0000}"/>
    <cellStyle name="표준 5 2 2 4 4 2 2 3" xfId="8126" xr:uid="{00000000-0005-0000-0000-0000CC3C0000}"/>
    <cellStyle name="표준 5 2 2 4 4 2 2 3 2" xfId="28832" xr:uid="{00000000-0005-0000-0000-0000CD3C0000}"/>
    <cellStyle name="표준 5 2 2 4 4 2 2 3 3" xfId="37043" xr:uid="{00000000-0005-0000-0000-0000CE3C0000}"/>
    <cellStyle name="표준 5 2 2 4 4 2 2 3 4" xfId="45236" xr:uid="{00000000-0005-0000-0000-0000CF3C0000}"/>
    <cellStyle name="표준 5 2 2 4 4 2 2 4" xfId="12238" xr:uid="{00000000-0005-0000-0000-0000D03C0000}"/>
    <cellStyle name="표준 5 2 2 4 4 2 2 5" xfId="16478" xr:uid="{00000000-0005-0000-0000-0000D13C0000}"/>
    <cellStyle name="표준 5 2 2 4 4 2 2 6" xfId="20640" xr:uid="{00000000-0005-0000-0000-0000D23C0000}"/>
    <cellStyle name="표준 5 2 2 4 4 2 2 7" xfId="24736" xr:uid="{00000000-0005-0000-0000-0000D33C0000}"/>
    <cellStyle name="표준 5 2 2 4 4 2 2 8" xfId="32947" xr:uid="{00000000-0005-0000-0000-0000D43C0000}"/>
    <cellStyle name="표준 5 2 2 4 4 2 2 9" xfId="41140" xr:uid="{00000000-0005-0000-0000-0000D53C0000}"/>
    <cellStyle name="표준 5 2 2 4 4 2 3" xfId="1783" xr:uid="{00000000-0005-0000-0000-0000D63C0000}"/>
    <cellStyle name="표준 5 2 2 4 4 2 3 2" xfId="10686" xr:uid="{00000000-0005-0000-0000-0000D73C0000}"/>
    <cellStyle name="표준 5 2 2 4 4 2 3 2 2" xfId="14798" xr:uid="{00000000-0005-0000-0000-0000D83C0000}"/>
    <cellStyle name="표준 5 2 2 4 4 2 3 2 2 2" xfId="31392" xr:uid="{00000000-0005-0000-0000-0000D93C0000}"/>
    <cellStyle name="표준 5 2 2 4 4 2 3 2 2 3" xfId="39603" xr:uid="{00000000-0005-0000-0000-0000DA3C0000}"/>
    <cellStyle name="표준 5 2 2 4 4 2 3 2 2 4" xfId="47796" xr:uid="{00000000-0005-0000-0000-0000DB3C0000}"/>
    <cellStyle name="표준 5 2 2 4 4 2 3 2 3" xfId="19038" xr:uid="{00000000-0005-0000-0000-0000DC3C0000}"/>
    <cellStyle name="표준 5 2 2 4 4 2 3 2 4" xfId="23200" xr:uid="{00000000-0005-0000-0000-0000DD3C0000}"/>
    <cellStyle name="표준 5 2 2 4 4 2 3 2 5" xfId="27296" xr:uid="{00000000-0005-0000-0000-0000DE3C0000}"/>
    <cellStyle name="표준 5 2 2 4 4 2 3 2 6" xfId="35507" xr:uid="{00000000-0005-0000-0000-0000DF3C0000}"/>
    <cellStyle name="표준 5 2 2 4 4 2 3 2 7" xfId="43700" xr:uid="{00000000-0005-0000-0000-0000E03C0000}"/>
    <cellStyle name="표준 5 2 2 4 4 2 3 3" xfId="8638" xr:uid="{00000000-0005-0000-0000-0000E13C0000}"/>
    <cellStyle name="표준 5 2 2 4 4 2 3 3 2" xfId="29344" xr:uid="{00000000-0005-0000-0000-0000E23C0000}"/>
    <cellStyle name="표준 5 2 2 4 4 2 3 3 3" xfId="37555" xr:uid="{00000000-0005-0000-0000-0000E33C0000}"/>
    <cellStyle name="표준 5 2 2 4 4 2 3 3 4" xfId="45748" xr:uid="{00000000-0005-0000-0000-0000E43C0000}"/>
    <cellStyle name="표준 5 2 2 4 4 2 3 4" xfId="12750" xr:uid="{00000000-0005-0000-0000-0000E53C0000}"/>
    <cellStyle name="표준 5 2 2 4 4 2 3 5" xfId="16990" xr:uid="{00000000-0005-0000-0000-0000E63C0000}"/>
    <cellStyle name="표준 5 2 2 4 4 2 3 6" xfId="21152" xr:uid="{00000000-0005-0000-0000-0000E73C0000}"/>
    <cellStyle name="표준 5 2 2 4 4 2 3 7" xfId="25248" xr:uid="{00000000-0005-0000-0000-0000E83C0000}"/>
    <cellStyle name="표준 5 2 2 4 4 2 3 8" xfId="33459" xr:uid="{00000000-0005-0000-0000-0000E93C0000}"/>
    <cellStyle name="표준 5 2 2 4 4 2 3 9" xfId="41652" xr:uid="{00000000-0005-0000-0000-0000EA3C0000}"/>
    <cellStyle name="표준 5 2 2 4 4 2 4" xfId="2295" xr:uid="{00000000-0005-0000-0000-0000EB3C0000}"/>
    <cellStyle name="표준 5 2 2 4 4 2 4 2" xfId="11198" xr:uid="{00000000-0005-0000-0000-0000EC3C0000}"/>
    <cellStyle name="표준 5 2 2 4 4 2 4 2 2" xfId="15310" xr:uid="{00000000-0005-0000-0000-0000ED3C0000}"/>
    <cellStyle name="표준 5 2 2 4 4 2 4 2 2 2" xfId="31904" xr:uid="{00000000-0005-0000-0000-0000EE3C0000}"/>
    <cellStyle name="표준 5 2 2 4 4 2 4 2 2 3" xfId="40115" xr:uid="{00000000-0005-0000-0000-0000EF3C0000}"/>
    <cellStyle name="표준 5 2 2 4 4 2 4 2 2 4" xfId="48308" xr:uid="{00000000-0005-0000-0000-0000F03C0000}"/>
    <cellStyle name="표준 5 2 2 4 4 2 4 2 3" xfId="19550" xr:uid="{00000000-0005-0000-0000-0000F13C0000}"/>
    <cellStyle name="표준 5 2 2 4 4 2 4 2 4" xfId="23712" xr:uid="{00000000-0005-0000-0000-0000F23C0000}"/>
    <cellStyle name="표준 5 2 2 4 4 2 4 2 5" xfId="27808" xr:uid="{00000000-0005-0000-0000-0000F33C0000}"/>
    <cellStyle name="표준 5 2 2 4 4 2 4 2 6" xfId="36019" xr:uid="{00000000-0005-0000-0000-0000F43C0000}"/>
    <cellStyle name="표준 5 2 2 4 4 2 4 2 7" xfId="44212" xr:uid="{00000000-0005-0000-0000-0000F53C0000}"/>
    <cellStyle name="표준 5 2 2 4 4 2 4 3" xfId="9150" xr:uid="{00000000-0005-0000-0000-0000F63C0000}"/>
    <cellStyle name="표준 5 2 2 4 4 2 4 3 2" xfId="29856" xr:uid="{00000000-0005-0000-0000-0000F73C0000}"/>
    <cellStyle name="표준 5 2 2 4 4 2 4 3 3" xfId="38067" xr:uid="{00000000-0005-0000-0000-0000F83C0000}"/>
    <cellStyle name="표준 5 2 2 4 4 2 4 3 4" xfId="46260" xr:uid="{00000000-0005-0000-0000-0000F93C0000}"/>
    <cellStyle name="표준 5 2 2 4 4 2 4 4" xfId="13262" xr:uid="{00000000-0005-0000-0000-0000FA3C0000}"/>
    <cellStyle name="표준 5 2 2 4 4 2 4 5" xfId="17502" xr:uid="{00000000-0005-0000-0000-0000FB3C0000}"/>
    <cellStyle name="표준 5 2 2 4 4 2 4 6" xfId="21664" xr:uid="{00000000-0005-0000-0000-0000FC3C0000}"/>
    <cellStyle name="표준 5 2 2 4 4 2 4 7" xfId="25760" xr:uid="{00000000-0005-0000-0000-0000FD3C0000}"/>
    <cellStyle name="표준 5 2 2 4 4 2 4 8" xfId="33971" xr:uid="{00000000-0005-0000-0000-0000FE3C0000}"/>
    <cellStyle name="표준 5 2 2 4 4 2 4 9" xfId="42164" xr:uid="{00000000-0005-0000-0000-0000FF3C0000}"/>
    <cellStyle name="표준 5 2 2 4 4 2 5" xfId="9662" xr:uid="{00000000-0005-0000-0000-0000003D0000}"/>
    <cellStyle name="표준 5 2 2 4 4 2 5 2" xfId="13774" xr:uid="{00000000-0005-0000-0000-0000013D0000}"/>
    <cellStyle name="표준 5 2 2 4 4 2 5 2 2" xfId="30368" xr:uid="{00000000-0005-0000-0000-0000023D0000}"/>
    <cellStyle name="표준 5 2 2 4 4 2 5 2 3" xfId="38579" xr:uid="{00000000-0005-0000-0000-0000033D0000}"/>
    <cellStyle name="표준 5 2 2 4 4 2 5 2 4" xfId="46772" xr:uid="{00000000-0005-0000-0000-0000043D0000}"/>
    <cellStyle name="표준 5 2 2 4 4 2 5 3" xfId="18014" xr:uid="{00000000-0005-0000-0000-0000053D0000}"/>
    <cellStyle name="표준 5 2 2 4 4 2 5 4" xfId="22176" xr:uid="{00000000-0005-0000-0000-0000063D0000}"/>
    <cellStyle name="표준 5 2 2 4 4 2 5 5" xfId="26272" xr:uid="{00000000-0005-0000-0000-0000073D0000}"/>
    <cellStyle name="표준 5 2 2 4 4 2 5 6" xfId="34483" xr:uid="{00000000-0005-0000-0000-0000083D0000}"/>
    <cellStyle name="표준 5 2 2 4 4 2 5 7" xfId="42676" xr:uid="{00000000-0005-0000-0000-0000093D0000}"/>
    <cellStyle name="표준 5 2 2 4 4 2 6" xfId="7614" xr:uid="{00000000-0005-0000-0000-00000A3D0000}"/>
    <cellStyle name="표준 5 2 2 4 4 2 6 2" xfId="28320" xr:uid="{00000000-0005-0000-0000-00000B3D0000}"/>
    <cellStyle name="표준 5 2 2 4 4 2 6 3" xfId="36531" xr:uid="{00000000-0005-0000-0000-00000C3D0000}"/>
    <cellStyle name="표준 5 2 2 4 4 2 6 4" xfId="44724" xr:uid="{00000000-0005-0000-0000-00000D3D0000}"/>
    <cellStyle name="표준 5 2 2 4 4 2 7" xfId="11726" xr:uid="{00000000-0005-0000-0000-00000E3D0000}"/>
    <cellStyle name="표준 5 2 2 4 4 2 8" xfId="15966" xr:uid="{00000000-0005-0000-0000-00000F3D0000}"/>
    <cellStyle name="표준 5 2 2 4 4 2 9" xfId="20128" xr:uid="{00000000-0005-0000-0000-0000103D0000}"/>
    <cellStyle name="표준 5 2 2 4 4 3" xfId="1015" xr:uid="{00000000-0005-0000-0000-0000113D0000}"/>
    <cellStyle name="표준 5 2 2 4 4 3 2" xfId="9918" xr:uid="{00000000-0005-0000-0000-0000123D0000}"/>
    <cellStyle name="표준 5 2 2 4 4 3 2 2" xfId="14030" xr:uid="{00000000-0005-0000-0000-0000133D0000}"/>
    <cellStyle name="표준 5 2 2 4 4 3 2 2 2" xfId="30624" xr:uid="{00000000-0005-0000-0000-0000143D0000}"/>
    <cellStyle name="표준 5 2 2 4 4 3 2 2 3" xfId="38835" xr:uid="{00000000-0005-0000-0000-0000153D0000}"/>
    <cellStyle name="표준 5 2 2 4 4 3 2 2 4" xfId="47028" xr:uid="{00000000-0005-0000-0000-0000163D0000}"/>
    <cellStyle name="표준 5 2 2 4 4 3 2 3" xfId="18270" xr:uid="{00000000-0005-0000-0000-0000173D0000}"/>
    <cellStyle name="표준 5 2 2 4 4 3 2 4" xfId="22432" xr:uid="{00000000-0005-0000-0000-0000183D0000}"/>
    <cellStyle name="표준 5 2 2 4 4 3 2 5" xfId="26528" xr:uid="{00000000-0005-0000-0000-0000193D0000}"/>
    <cellStyle name="표준 5 2 2 4 4 3 2 6" xfId="34739" xr:uid="{00000000-0005-0000-0000-00001A3D0000}"/>
    <cellStyle name="표준 5 2 2 4 4 3 2 7" xfId="42932" xr:uid="{00000000-0005-0000-0000-00001B3D0000}"/>
    <cellStyle name="표준 5 2 2 4 4 3 3" xfId="7870" xr:uid="{00000000-0005-0000-0000-00001C3D0000}"/>
    <cellStyle name="표준 5 2 2 4 4 3 3 2" xfId="28576" xr:uid="{00000000-0005-0000-0000-00001D3D0000}"/>
    <cellStyle name="표준 5 2 2 4 4 3 3 3" xfId="36787" xr:uid="{00000000-0005-0000-0000-00001E3D0000}"/>
    <cellStyle name="표준 5 2 2 4 4 3 3 4" xfId="44980" xr:uid="{00000000-0005-0000-0000-00001F3D0000}"/>
    <cellStyle name="표준 5 2 2 4 4 3 4" xfId="11982" xr:uid="{00000000-0005-0000-0000-0000203D0000}"/>
    <cellStyle name="표준 5 2 2 4 4 3 5" xfId="16222" xr:uid="{00000000-0005-0000-0000-0000213D0000}"/>
    <cellStyle name="표준 5 2 2 4 4 3 6" xfId="20384" xr:uid="{00000000-0005-0000-0000-0000223D0000}"/>
    <cellStyle name="표준 5 2 2 4 4 3 7" xfId="24480" xr:uid="{00000000-0005-0000-0000-0000233D0000}"/>
    <cellStyle name="표준 5 2 2 4 4 3 8" xfId="32691" xr:uid="{00000000-0005-0000-0000-0000243D0000}"/>
    <cellStyle name="표준 5 2 2 4 4 3 9" xfId="40884" xr:uid="{00000000-0005-0000-0000-0000253D0000}"/>
    <cellStyle name="표준 5 2 2 4 4 4" xfId="1527" xr:uid="{00000000-0005-0000-0000-0000263D0000}"/>
    <cellStyle name="표준 5 2 2 4 4 4 2" xfId="10430" xr:uid="{00000000-0005-0000-0000-0000273D0000}"/>
    <cellStyle name="표준 5 2 2 4 4 4 2 2" xfId="14542" xr:uid="{00000000-0005-0000-0000-0000283D0000}"/>
    <cellStyle name="표준 5 2 2 4 4 4 2 2 2" xfId="31136" xr:uid="{00000000-0005-0000-0000-0000293D0000}"/>
    <cellStyle name="표준 5 2 2 4 4 4 2 2 3" xfId="39347" xr:uid="{00000000-0005-0000-0000-00002A3D0000}"/>
    <cellStyle name="표준 5 2 2 4 4 4 2 2 4" xfId="47540" xr:uid="{00000000-0005-0000-0000-00002B3D0000}"/>
    <cellStyle name="표준 5 2 2 4 4 4 2 3" xfId="18782" xr:uid="{00000000-0005-0000-0000-00002C3D0000}"/>
    <cellStyle name="표준 5 2 2 4 4 4 2 4" xfId="22944" xr:uid="{00000000-0005-0000-0000-00002D3D0000}"/>
    <cellStyle name="표준 5 2 2 4 4 4 2 5" xfId="27040" xr:uid="{00000000-0005-0000-0000-00002E3D0000}"/>
    <cellStyle name="표준 5 2 2 4 4 4 2 6" xfId="35251" xr:uid="{00000000-0005-0000-0000-00002F3D0000}"/>
    <cellStyle name="표준 5 2 2 4 4 4 2 7" xfId="43444" xr:uid="{00000000-0005-0000-0000-0000303D0000}"/>
    <cellStyle name="표준 5 2 2 4 4 4 3" xfId="8382" xr:uid="{00000000-0005-0000-0000-0000313D0000}"/>
    <cellStyle name="표준 5 2 2 4 4 4 3 2" xfId="29088" xr:uid="{00000000-0005-0000-0000-0000323D0000}"/>
    <cellStyle name="표준 5 2 2 4 4 4 3 3" xfId="37299" xr:uid="{00000000-0005-0000-0000-0000333D0000}"/>
    <cellStyle name="표준 5 2 2 4 4 4 3 4" xfId="45492" xr:uid="{00000000-0005-0000-0000-0000343D0000}"/>
    <cellStyle name="표준 5 2 2 4 4 4 4" xfId="12494" xr:uid="{00000000-0005-0000-0000-0000353D0000}"/>
    <cellStyle name="표준 5 2 2 4 4 4 5" xfId="16734" xr:uid="{00000000-0005-0000-0000-0000363D0000}"/>
    <cellStyle name="표준 5 2 2 4 4 4 6" xfId="20896" xr:uid="{00000000-0005-0000-0000-0000373D0000}"/>
    <cellStyle name="표준 5 2 2 4 4 4 7" xfId="24992" xr:uid="{00000000-0005-0000-0000-0000383D0000}"/>
    <cellStyle name="표준 5 2 2 4 4 4 8" xfId="33203" xr:uid="{00000000-0005-0000-0000-0000393D0000}"/>
    <cellStyle name="표준 5 2 2 4 4 4 9" xfId="41396" xr:uid="{00000000-0005-0000-0000-00003A3D0000}"/>
    <cellStyle name="표준 5 2 2 4 4 5" xfId="2039" xr:uid="{00000000-0005-0000-0000-00003B3D0000}"/>
    <cellStyle name="표준 5 2 2 4 4 5 2" xfId="10942" xr:uid="{00000000-0005-0000-0000-00003C3D0000}"/>
    <cellStyle name="표준 5 2 2 4 4 5 2 2" xfId="15054" xr:uid="{00000000-0005-0000-0000-00003D3D0000}"/>
    <cellStyle name="표준 5 2 2 4 4 5 2 2 2" xfId="31648" xr:uid="{00000000-0005-0000-0000-00003E3D0000}"/>
    <cellStyle name="표준 5 2 2 4 4 5 2 2 3" xfId="39859" xr:uid="{00000000-0005-0000-0000-00003F3D0000}"/>
    <cellStyle name="표준 5 2 2 4 4 5 2 2 4" xfId="48052" xr:uid="{00000000-0005-0000-0000-0000403D0000}"/>
    <cellStyle name="표준 5 2 2 4 4 5 2 3" xfId="19294" xr:uid="{00000000-0005-0000-0000-0000413D0000}"/>
    <cellStyle name="표준 5 2 2 4 4 5 2 4" xfId="23456" xr:uid="{00000000-0005-0000-0000-0000423D0000}"/>
    <cellStyle name="표준 5 2 2 4 4 5 2 5" xfId="27552" xr:uid="{00000000-0005-0000-0000-0000433D0000}"/>
    <cellStyle name="표준 5 2 2 4 4 5 2 6" xfId="35763" xr:uid="{00000000-0005-0000-0000-0000443D0000}"/>
    <cellStyle name="표준 5 2 2 4 4 5 2 7" xfId="43956" xr:uid="{00000000-0005-0000-0000-0000453D0000}"/>
    <cellStyle name="표준 5 2 2 4 4 5 3" xfId="8894" xr:uid="{00000000-0005-0000-0000-0000463D0000}"/>
    <cellStyle name="표준 5 2 2 4 4 5 3 2" xfId="29600" xr:uid="{00000000-0005-0000-0000-0000473D0000}"/>
    <cellStyle name="표준 5 2 2 4 4 5 3 3" xfId="37811" xr:uid="{00000000-0005-0000-0000-0000483D0000}"/>
    <cellStyle name="표준 5 2 2 4 4 5 3 4" xfId="46004" xr:uid="{00000000-0005-0000-0000-0000493D0000}"/>
    <cellStyle name="표준 5 2 2 4 4 5 4" xfId="13006" xr:uid="{00000000-0005-0000-0000-00004A3D0000}"/>
    <cellStyle name="표준 5 2 2 4 4 5 5" xfId="17246" xr:uid="{00000000-0005-0000-0000-00004B3D0000}"/>
    <cellStyle name="표준 5 2 2 4 4 5 6" xfId="21408" xr:uid="{00000000-0005-0000-0000-00004C3D0000}"/>
    <cellStyle name="표준 5 2 2 4 4 5 7" xfId="25504" xr:uid="{00000000-0005-0000-0000-00004D3D0000}"/>
    <cellStyle name="표준 5 2 2 4 4 5 8" xfId="33715" xr:uid="{00000000-0005-0000-0000-00004E3D0000}"/>
    <cellStyle name="표준 5 2 2 4 4 5 9" xfId="41908" xr:uid="{00000000-0005-0000-0000-00004F3D0000}"/>
    <cellStyle name="표준 5 2 2 4 4 6" xfId="9406" xr:uid="{00000000-0005-0000-0000-0000503D0000}"/>
    <cellStyle name="표준 5 2 2 4 4 6 2" xfId="13518" xr:uid="{00000000-0005-0000-0000-0000513D0000}"/>
    <cellStyle name="표준 5 2 2 4 4 6 2 2" xfId="30112" xr:uid="{00000000-0005-0000-0000-0000523D0000}"/>
    <cellStyle name="표준 5 2 2 4 4 6 2 3" xfId="38323" xr:uid="{00000000-0005-0000-0000-0000533D0000}"/>
    <cellStyle name="표준 5 2 2 4 4 6 2 4" xfId="46516" xr:uid="{00000000-0005-0000-0000-0000543D0000}"/>
    <cellStyle name="표준 5 2 2 4 4 6 3" xfId="17758" xr:uid="{00000000-0005-0000-0000-0000553D0000}"/>
    <cellStyle name="표준 5 2 2 4 4 6 4" xfId="21920" xr:uid="{00000000-0005-0000-0000-0000563D0000}"/>
    <cellStyle name="표준 5 2 2 4 4 6 5" xfId="26016" xr:uid="{00000000-0005-0000-0000-0000573D0000}"/>
    <cellStyle name="표준 5 2 2 4 4 6 6" xfId="34227" xr:uid="{00000000-0005-0000-0000-0000583D0000}"/>
    <cellStyle name="표준 5 2 2 4 4 6 7" xfId="42420" xr:uid="{00000000-0005-0000-0000-0000593D0000}"/>
    <cellStyle name="표준 5 2 2 4 4 7" xfId="7358" xr:uid="{00000000-0005-0000-0000-00005A3D0000}"/>
    <cellStyle name="표준 5 2 2 4 4 7 2" xfId="28064" xr:uid="{00000000-0005-0000-0000-00005B3D0000}"/>
    <cellStyle name="표준 5 2 2 4 4 7 3" xfId="36275" xr:uid="{00000000-0005-0000-0000-00005C3D0000}"/>
    <cellStyle name="표준 5 2 2 4 4 7 4" xfId="44468" xr:uid="{00000000-0005-0000-0000-00005D3D0000}"/>
    <cellStyle name="표준 5 2 2 4 4 8" xfId="11470" xr:uid="{00000000-0005-0000-0000-00005E3D0000}"/>
    <cellStyle name="표준 5 2 2 4 4 9" xfId="15710" xr:uid="{00000000-0005-0000-0000-00005F3D0000}"/>
    <cellStyle name="표준 5 2 2 4 5" xfId="631" xr:uid="{00000000-0005-0000-0000-0000603D0000}"/>
    <cellStyle name="표준 5 2 2 4 5 10" xfId="24096" xr:uid="{00000000-0005-0000-0000-0000613D0000}"/>
    <cellStyle name="표준 5 2 2 4 5 11" xfId="32307" xr:uid="{00000000-0005-0000-0000-0000623D0000}"/>
    <cellStyle name="표준 5 2 2 4 5 12" xfId="40500" xr:uid="{00000000-0005-0000-0000-0000633D0000}"/>
    <cellStyle name="표준 5 2 2 4 5 2" xfId="1143" xr:uid="{00000000-0005-0000-0000-0000643D0000}"/>
    <cellStyle name="표준 5 2 2 4 5 2 2" xfId="10046" xr:uid="{00000000-0005-0000-0000-0000653D0000}"/>
    <cellStyle name="표준 5 2 2 4 5 2 2 2" xfId="14158" xr:uid="{00000000-0005-0000-0000-0000663D0000}"/>
    <cellStyle name="표준 5 2 2 4 5 2 2 2 2" xfId="30752" xr:uid="{00000000-0005-0000-0000-0000673D0000}"/>
    <cellStyle name="표준 5 2 2 4 5 2 2 2 3" xfId="38963" xr:uid="{00000000-0005-0000-0000-0000683D0000}"/>
    <cellStyle name="표준 5 2 2 4 5 2 2 2 4" xfId="47156" xr:uid="{00000000-0005-0000-0000-0000693D0000}"/>
    <cellStyle name="표준 5 2 2 4 5 2 2 3" xfId="18398" xr:uid="{00000000-0005-0000-0000-00006A3D0000}"/>
    <cellStyle name="표준 5 2 2 4 5 2 2 4" xfId="22560" xr:uid="{00000000-0005-0000-0000-00006B3D0000}"/>
    <cellStyle name="표준 5 2 2 4 5 2 2 5" xfId="26656" xr:uid="{00000000-0005-0000-0000-00006C3D0000}"/>
    <cellStyle name="표준 5 2 2 4 5 2 2 6" xfId="34867" xr:uid="{00000000-0005-0000-0000-00006D3D0000}"/>
    <cellStyle name="표준 5 2 2 4 5 2 2 7" xfId="43060" xr:uid="{00000000-0005-0000-0000-00006E3D0000}"/>
    <cellStyle name="표준 5 2 2 4 5 2 3" xfId="7998" xr:uid="{00000000-0005-0000-0000-00006F3D0000}"/>
    <cellStyle name="표준 5 2 2 4 5 2 3 2" xfId="28704" xr:uid="{00000000-0005-0000-0000-0000703D0000}"/>
    <cellStyle name="표준 5 2 2 4 5 2 3 3" xfId="36915" xr:uid="{00000000-0005-0000-0000-0000713D0000}"/>
    <cellStyle name="표준 5 2 2 4 5 2 3 4" xfId="45108" xr:uid="{00000000-0005-0000-0000-0000723D0000}"/>
    <cellStyle name="표준 5 2 2 4 5 2 4" xfId="12110" xr:uid="{00000000-0005-0000-0000-0000733D0000}"/>
    <cellStyle name="표준 5 2 2 4 5 2 5" xfId="16350" xr:uid="{00000000-0005-0000-0000-0000743D0000}"/>
    <cellStyle name="표준 5 2 2 4 5 2 6" xfId="20512" xr:uid="{00000000-0005-0000-0000-0000753D0000}"/>
    <cellStyle name="표준 5 2 2 4 5 2 7" xfId="24608" xr:uid="{00000000-0005-0000-0000-0000763D0000}"/>
    <cellStyle name="표준 5 2 2 4 5 2 8" xfId="32819" xr:uid="{00000000-0005-0000-0000-0000773D0000}"/>
    <cellStyle name="표준 5 2 2 4 5 2 9" xfId="41012" xr:uid="{00000000-0005-0000-0000-0000783D0000}"/>
    <cellStyle name="표준 5 2 2 4 5 3" xfId="1655" xr:uid="{00000000-0005-0000-0000-0000793D0000}"/>
    <cellStyle name="표준 5 2 2 4 5 3 2" xfId="10558" xr:uid="{00000000-0005-0000-0000-00007A3D0000}"/>
    <cellStyle name="표준 5 2 2 4 5 3 2 2" xfId="14670" xr:uid="{00000000-0005-0000-0000-00007B3D0000}"/>
    <cellStyle name="표준 5 2 2 4 5 3 2 2 2" xfId="31264" xr:uid="{00000000-0005-0000-0000-00007C3D0000}"/>
    <cellStyle name="표준 5 2 2 4 5 3 2 2 3" xfId="39475" xr:uid="{00000000-0005-0000-0000-00007D3D0000}"/>
    <cellStyle name="표준 5 2 2 4 5 3 2 2 4" xfId="47668" xr:uid="{00000000-0005-0000-0000-00007E3D0000}"/>
    <cellStyle name="표준 5 2 2 4 5 3 2 3" xfId="18910" xr:uid="{00000000-0005-0000-0000-00007F3D0000}"/>
    <cellStyle name="표준 5 2 2 4 5 3 2 4" xfId="23072" xr:uid="{00000000-0005-0000-0000-0000803D0000}"/>
    <cellStyle name="표준 5 2 2 4 5 3 2 5" xfId="27168" xr:uid="{00000000-0005-0000-0000-0000813D0000}"/>
    <cellStyle name="표준 5 2 2 4 5 3 2 6" xfId="35379" xr:uid="{00000000-0005-0000-0000-0000823D0000}"/>
    <cellStyle name="표준 5 2 2 4 5 3 2 7" xfId="43572" xr:uid="{00000000-0005-0000-0000-0000833D0000}"/>
    <cellStyle name="표준 5 2 2 4 5 3 3" xfId="8510" xr:uid="{00000000-0005-0000-0000-0000843D0000}"/>
    <cellStyle name="표준 5 2 2 4 5 3 3 2" xfId="29216" xr:uid="{00000000-0005-0000-0000-0000853D0000}"/>
    <cellStyle name="표준 5 2 2 4 5 3 3 3" xfId="37427" xr:uid="{00000000-0005-0000-0000-0000863D0000}"/>
    <cellStyle name="표준 5 2 2 4 5 3 3 4" xfId="45620" xr:uid="{00000000-0005-0000-0000-0000873D0000}"/>
    <cellStyle name="표준 5 2 2 4 5 3 4" xfId="12622" xr:uid="{00000000-0005-0000-0000-0000883D0000}"/>
    <cellStyle name="표준 5 2 2 4 5 3 5" xfId="16862" xr:uid="{00000000-0005-0000-0000-0000893D0000}"/>
    <cellStyle name="표준 5 2 2 4 5 3 6" xfId="21024" xr:uid="{00000000-0005-0000-0000-00008A3D0000}"/>
    <cellStyle name="표준 5 2 2 4 5 3 7" xfId="25120" xr:uid="{00000000-0005-0000-0000-00008B3D0000}"/>
    <cellStyle name="표준 5 2 2 4 5 3 8" xfId="33331" xr:uid="{00000000-0005-0000-0000-00008C3D0000}"/>
    <cellStyle name="표준 5 2 2 4 5 3 9" xfId="41524" xr:uid="{00000000-0005-0000-0000-00008D3D0000}"/>
    <cellStyle name="표준 5 2 2 4 5 4" xfId="2167" xr:uid="{00000000-0005-0000-0000-00008E3D0000}"/>
    <cellStyle name="표준 5 2 2 4 5 4 2" xfId="11070" xr:uid="{00000000-0005-0000-0000-00008F3D0000}"/>
    <cellStyle name="표준 5 2 2 4 5 4 2 2" xfId="15182" xr:uid="{00000000-0005-0000-0000-0000903D0000}"/>
    <cellStyle name="표준 5 2 2 4 5 4 2 2 2" xfId="31776" xr:uid="{00000000-0005-0000-0000-0000913D0000}"/>
    <cellStyle name="표준 5 2 2 4 5 4 2 2 3" xfId="39987" xr:uid="{00000000-0005-0000-0000-0000923D0000}"/>
    <cellStyle name="표준 5 2 2 4 5 4 2 2 4" xfId="48180" xr:uid="{00000000-0005-0000-0000-0000933D0000}"/>
    <cellStyle name="표준 5 2 2 4 5 4 2 3" xfId="19422" xr:uid="{00000000-0005-0000-0000-0000943D0000}"/>
    <cellStyle name="표준 5 2 2 4 5 4 2 4" xfId="23584" xr:uid="{00000000-0005-0000-0000-0000953D0000}"/>
    <cellStyle name="표준 5 2 2 4 5 4 2 5" xfId="27680" xr:uid="{00000000-0005-0000-0000-0000963D0000}"/>
    <cellStyle name="표준 5 2 2 4 5 4 2 6" xfId="35891" xr:uid="{00000000-0005-0000-0000-0000973D0000}"/>
    <cellStyle name="표준 5 2 2 4 5 4 2 7" xfId="44084" xr:uid="{00000000-0005-0000-0000-0000983D0000}"/>
    <cellStyle name="표준 5 2 2 4 5 4 3" xfId="9022" xr:uid="{00000000-0005-0000-0000-0000993D0000}"/>
    <cellStyle name="표준 5 2 2 4 5 4 3 2" xfId="29728" xr:uid="{00000000-0005-0000-0000-00009A3D0000}"/>
    <cellStyle name="표준 5 2 2 4 5 4 3 3" xfId="37939" xr:uid="{00000000-0005-0000-0000-00009B3D0000}"/>
    <cellStyle name="표준 5 2 2 4 5 4 3 4" xfId="46132" xr:uid="{00000000-0005-0000-0000-00009C3D0000}"/>
    <cellStyle name="표준 5 2 2 4 5 4 4" xfId="13134" xr:uid="{00000000-0005-0000-0000-00009D3D0000}"/>
    <cellStyle name="표준 5 2 2 4 5 4 5" xfId="17374" xr:uid="{00000000-0005-0000-0000-00009E3D0000}"/>
    <cellStyle name="표준 5 2 2 4 5 4 6" xfId="21536" xr:uid="{00000000-0005-0000-0000-00009F3D0000}"/>
    <cellStyle name="표준 5 2 2 4 5 4 7" xfId="25632" xr:uid="{00000000-0005-0000-0000-0000A03D0000}"/>
    <cellStyle name="표준 5 2 2 4 5 4 8" xfId="33843" xr:uid="{00000000-0005-0000-0000-0000A13D0000}"/>
    <cellStyle name="표준 5 2 2 4 5 4 9" xfId="42036" xr:uid="{00000000-0005-0000-0000-0000A23D0000}"/>
    <cellStyle name="표준 5 2 2 4 5 5" xfId="9534" xr:uid="{00000000-0005-0000-0000-0000A33D0000}"/>
    <cellStyle name="표준 5 2 2 4 5 5 2" xfId="13646" xr:uid="{00000000-0005-0000-0000-0000A43D0000}"/>
    <cellStyle name="표준 5 2 2 4 5 5 2 2" xfId="30240" xr:uid="{00000000-0005-0000-0000-0000A53D0000}"/>
    <cellStyle name="표준 5 2 2 4 5 5 2 3" xfId="38451" xr:uid="{00000000-0005-0000-0000-0000A63D0000}"/>
    <cellStyle name="표준 5 2 2 4 5 5 2 4" xfId="46644" xr:uid="{00000000-0005-0000-0000-0000A73D0000}"/>
    <cellStyle name="표준 5 2 2 4 5 5 3" xfId="17886" xr:uid="{00000000-0005-0000-0000-0000A83D0000}"/>
    <cellStyle name="표준 5 2 2 4 5 5 4" xfId="22048" xr:uid="{00000000-0005-0000-0000-0000A93D0000}"/>
    <cellStyle name="표준 5 2 2 4 5 5 5" xfId="26144" xr:uid="{00000000-0005-0000-0000-0000AA3D0000}"/>
    <cellStyle name="표준 5 2 2 4 5 5 6" xfId="34355" xr:uid="{00000000-0005-0000-0000-0000AB3D0000}"/>
    <cellStyle name="표준 5 2 2 4 5 5 7" xfId="42548" xr:uid="{00000000-0005-0000-0000-0000AC3D0000}"/>
    <cellStyle name="표준 5 2 2 4 5 6" xfId="7486" xr:uid="{00000000-0005-0000-0000-0000AD3D0000}"/>
    <cellStyle name="표준 5 2 2 4 5 6 2" xfId="28192" xr:uid="{00000000-0005-0000-0000-0000AE3D0000}"/>
    <cellStyle name="표준 5 2 2 4 5 6 3" xfId="36403" xr:uid="{00000000-0005-0000-0000-0000AF3D0000}"/>
    <cellStyle name="표준 5 2 2 4 5 6 4" xfId="44596" xr:uid="{00000000-0005-0000-0000-0000B03D0000}"/>
    <cellStyle name="표준 5 2 2 4 5 7" xfId="11598" xr:uid="{00000000-0005-0000-0000-0000B13D0000}"/>
    <cellStyle name="표준 5 2 2 4 5 8" xfId="15838" xr:uid="{00000000-0005-0000-0000-0000B23D0000}"/>
    <cellStyle name="표준 5 2 2 4 5 9" xfId="20000" xr:uid="{00000000-0005-0000-0000-0000B33D0000}"/>
    <cellStyle name="표준 5 2 2 4 6" xfId="887" xr:uid="{00000000-0005-0000-0000-0000B43D0000}"/>
    <cellStyle name="표준 5 2 2 4 6 2" xfId="9790" xr:uid="{00000000-0005-0000-0000-0000B53D0000}"/>
    <cellStyle name="표준 5 2 2 4 6 2 2" xfId="13902" xr:uid="{00000000-0005-0000-0000-0000B63D0000}"/>
    <cellStyle name="표준 5 2 2 4 6 2 2 2" xfId="30496" xr:uid="{00000000-0005-0000-0000-0000B73D0000}"/>
    <cellStyle name="표준 5 2 2 4 6 2 2 3" xfId="38707" xr:uid="{00000000-0005-0000-0000-0000B83D0000}"/>
    <cellStyle name="표준 5 2 2 4 6 2 2 4" xfId="46900" xr:uid="{00000000-0005-0000-0000-0000B93D0000}"/>
    <cellStyle name="표준 5 2 2 4 6 2 3" xfId="18142" xr:uid="{00000000-0005-0000-0000-0000BA3D0000}"/>
    <cellStyle name="표준 5 2 2 4 6 2 4" xfId="22304" xr:uid="{00000000-0005-0000-0000-0000BB3D0000}"/>
    <cellStyle name="표준 5 2 2 4 6 2 5" xfId="26400" xr:uid="{00000000-0005-0000-0000-0000BC3D0000}"/>
    <cellStyle name="표준 5 2 2 4 6 2 6" xfId="34611" xr:uid="{00000000-0005-0000-0000-0000BD3D0000}"/>
    <cellStyle name="표준 5 2 2 4 6 2 7" xfId="42804" xr:uid="{00000000-0005-0000-0000-0000BE3D0000}"/>
    <cellStyle name="표준 5 2 2 4 6 3" xfId="7742" xr:uid="{00000000-0005-0000-0000-0000BF3D0000}"/>
    <cellStyle name="표준 5 2 2 4 6 3 2" xfId="28448" xr:uid="{00000000-0005-0000-0000-0000C03D0000}"/>
    <cellStyle name="표준 5 2 2 4 6 3 3" xfId="36659" xr:uid="{00000000-0005-0000-0000-0000C13D0000}"/>
    <cellStyle name="표준 5 2 2 4 6 3 4" xfId="44852" xr:uid="{00000000-0005-0000-0000-0000C23D0000}"/>
    <cellStyle name="표준 5 2 2 4 6 4" xfId="11854" xr:uid="{00000000-0005-0000-0000-0000C33D0000}"/>
    <cellStyle name="표준 5 2 2 4 6 5" xfId="16094" xr:uid="{00000000-0005-0000-0000-0000C43D0000}"/>
    <cellStyle name="표준 5 2 2 4 6 6" xfId="20256" xr:uid="{00000000-0005-0000-0000-0000C53D0000}"/>
    <cellStyle name="표준 5 2 2 4 6 7" xfId="24352" xr:uid="{00000000-0005-0000-0000-0000C63D0000}"/>
    <cellStyle name="표준 5 2 2 4 6 8" xfId="32563" xr:uid="{00000000-0005-0000-0000-0000C73D0000}"/>
    <cellStyle name="표준 5 2 2 4 6 9" xfId="40756" xr:uid="{00000000-0005-0000-0000-0000C83D0000}"/>
    <cellStyle name="표준 5 2 2 4 7" xfId="1399" xr:uid="{00000000-0005-0000-0000-0000C93D0000}"/>
    <cellStyle name="표준 5 2 2 4 7 2" xfId="10302" xr:uid="{00000000-0005-0000-0000-0000CA3D0000}"/>
    <cellStyle name="표준 5 2 2 4 7 2 2" xfId="14414" xr:uid="{00000000-0005-0000-0000-0000CB3D0000}"/>
    <cellStyle name="표준 5 2 2 4 7 2 2 2" xfId="31008" xr:uid="{00000000-0005-0000-0000-0000CC3D0000}"/>
    <cellStyle name="표준 5 2 2 4 7 2 2 3" xfId="39219" xr:uid="{00000000-0005-0000-0000-0000CD3D0000}"/>
    <cellStyle name="표준 5 2 2 4 7 2 2 4" xfId="47412" xr:uid="{00000000-0005-0000-0000-0000CE3D0000}"/>
    <cellStyle name="표준 5 2 2 4 7 2 3" xfId="18654" xr:uid="{00000000-0005-0000-0000-0000CF3D0000}"/>
    <cellStyle name="표준 5 2 2 4 7 2 4" xfId="22816" xr:uid="{00000000-0005-0000-0000-0000D03D0000}"/>
    <cellStyle name="표준 5 2 2 4 7 2 5" xfId="26912" xr:uid="{00000000-0005-0000-0000-0000D13D0000}"/>
    <cellStyle name="표준 5 2 2 4 7 2 6" xfId="35123" xr:uid="{00000000-0005-0000-0000-0000D23D0000}"/>
    <cellStyle name="표준 5 2 2 4 7 2 7" xfId="43316" xr:uid="{00000000-0005-0000-0000-0000D33D0000}"/>
    <cellStyle name="표준 5 2 2 4 7 3" xfId="8254" xr:uid="{00000000-0005-0000-0000-0000D43D0000}"/>
    <cellStyle name="표준 5 2 2 4 7 3 2" xfId="28960" xr:uid="{00000000-0005-0000-0000-0000D53D0000}"/>
    <cellStyle name="표준 5 2 2 4 7 3 3" xfId="37171" xr:uid="{00000000-0005-0000-0000-0000D63D0000}"/>
    <cellStyle name="표준 5 2 2 4 7 3 4" xfId="45364" xr:uid="{00000000-0005-0000-0000-0000D73D0000}"/>
    <cellStyle name="표준 5 2 2 4 7 4" xfId="12366" xr:uid="{00000000-0005-0000-0000-0000D83D0000}"/>
    <cellStyle name="표준 5 2 2 4 7 5" xfId="16606" xr:uid="{00000000-0005-0000-0000-0000D93D0000}"/>
    <cellStyle name="표준 5 2 2 4 7 6" xfId="20768" xr:uid="{00000000-0005-0000-0000-0000DA3D0000}"/>
    <cellStyle name="표준 5 2 2 4 7 7" xfId="24864" xr:uid="{00000000-0005-0000-0000-0000DB3D0000}"/>
    <cellStyle name="표준 5 2 2 4 7 8" xfId="33075" xr:uid="{00000000-0005-0000-0000-0000DC3D0000}"/>
    <cellStyle name="표준 5 2 2 4 7 9" xfId="41268" xr:uid="{00000000-0005-0000-0000-0000DD3D0000}"/>
    <cellStyle name="표준 5 2 2 4 8" xfId="1911" xr:uid="{00000000-0005-0000-0000-0000DE3D0000}"/>
    <cellStyle name="표준 5 2 2 4 8 2" xfId="10814" xr:uid="{00000000-0005-0000-0000-0000DF3D0000}"/>
    <cellStyle name="표준 5 2 2 4 8 2 2" xfId="14926" xr:uid="{00000000-0005-0000-0000-0000E03D0000}"/>
    <cellStyle name="표준 5 2 2 4 8 2 2 2" xfId="31520" xr:uid="{00000000-0005-0000-0000-0000E13D0000}"/>
    <cellStyle name="표준 5 2 2 4 8 2 2 3" xfId="39731" xr:uid="{00000000-0005-0000-0000-0000E23D0000}"/>
    <cellStyle name="표준 5 2 2 4 8 2 2 4" xfId="47924" xr:uid="{00000000-0005-0000-0000-0000E33D0000}"/>
    <cellStyle name="표준 5 2 2 4 8 2 3" xfId="19166" xr:uid="{00000000-0005-0000-0000-0000E43D0000}"/>
    <cellStyle name="표준 5 2 2 4 8 2 4" xfId="23328" xr:uid="{00000000-0005-0000-0000-0000E53D0000}"/>
    <cellStyle name="표준 5 2 2 4 8 2 5" xfId="27424" xr:uid="{00000000-0005-0000-0000-0000E63D0000}"/>
    <cellStyle name="표준 5 2 2 4 8 2 6" xfId="35635" xr:uid="{00000000-0005-0000-0000-0000E73D0000}"/>
    <cellStyle name="표준 5 2 2 4 8 2 7" xfId="43828" xr:uid="{00000000-0005-0000-0000-0000E83D0000}"/>
    <cellStyle name="표준 5 2 2 4 8 3" xfId="8766" xr:uid="{00000000-0005-0000-0000-0000E93D0000}"/>
    <cellStyle name="표준 5 2 2 4 8 3 2" xfId="29472" xr:uid="{00000000-0005-0000-0000-0000EA3D0000}"/>
    <cellStyle name="표준 5 2 2 4 8 3 3" xfId="37683" xr:uid="{00000000-0005-0000-0000-0000EB3D0000}"/>
    <cellStyle name="표준 5 2 2 4 8 3 4" xfId="45876" xr:uid="{00000000-0005-0000-0000-0000EC3D0000}"/>
    <cellStyle name="표준 5 2 2 4 8 4" xfId="12878" xr:uid="{00000000-0005-0000-0000-0000ED3D0000}"/>
    <cellStyle name="표준 5 2 2 4 8 5" xfId="17118" xr:uid="{00000000-0005-0000-0000-0000EE3D0000}"/>
    <cellStyle name="표준 5 2 2 4 8 6" xfId="21280" xr:uid="{00000000-0005-0000-0000-0000EF3D0000}"/>
    <cellStyle name="표준 5 2 2 4 8 7" xfId="25376" xr:uid="{00000000-0005-0000-0000-0000F03D0000}"/>
    <cellStyle name="표준 5 2 2 4 8 8" xfId="33587" xr:uid="{00000000-0005-0000-0000-0000F13D0000}"/>
    <cellStyle name="표준 5 2 2 4 8 9" xfId="41780" xr:uid="{00000000-0005-0000-0000-0000F23D0000}"/>
    <cellStyle name="표준 5 2 2 4 9" xfId="6967" xr:uid="{00000000-0005-0000-0000-0000F33D0000}"/>
    <cellStyle name="표준 5 2 2 4 9 2" xfId="9278" xr:uid="{00000000-0005-0000-0000-0000F43D0000}"/>
    <cellStyle name="표준 5 2 2 4 9 2 2" xfId="29984" xr:uid="{00000000-0005-0000-0000-0000F53D0000}"/>
    <cellStyle name="표준 5 2 2 4 9 2 3" xfId="38195" xr:uid="{00000000-0005-0000-0000-0000F63D0000}"/>
    <cellStyle name="표준 5 2 2 4 9 2 4" xfId="46388" xr:uid="{00000000-0005-0000-0000-0000F73D0000}"/>
    <cellStyle name="표준 5 2 2 4 9 3" xfId="13390" xr:uid="{00000000-0005-0000-0000-0000F83D0000}"/>
    <cellStyle name="표준 5 2 2 4 9 4" xfId="17630" xr:uid="{00000000-0005-0000-0000-0000F93D0000}"/>
    <cellStyle name="표준 5 2 2 4 9 5" xfId="21792" xr:uid="{00000000-0005-0000-0000-0000FA3D0000}"/>
    <cellStyle name="표준 5 2 2 4 9 6" xfId="25888" xr:uid="{00000000-0005-0000-0000-0000FB3D0000}"/>
    <cellStyle name="표준 5 2 2 4 9 7" xfId="34099" xr:uid="{00000000-0005-0000-0000-0000FC3D0000}"/>
    <cellStyle name="표준 5 2 2 4 9 8" xfId="42292" xr:uid="{00000000-0005-0000-0000-0000FD3D0000}"/>
    <cellStyle name="표준 5 2 2 5" xfId="291" xr:uid="{00000000-0005-0000-0000-0000FE3D0000}"/>
    <cellStyle name="표준 5 2 2 5 10" xfId="7175" xr:uid="{00000000-0005-0000-0000-0000FF3D0000}"/>
    <cellStyle name="표준 5 2 2 5 11" xfId="7246" xr:uid="{00000000-0005-0000-0000-0000003E0000}"/>
    <cellStyle name="표준 5 2 2 5 12" xfId="11358" xr:uid="{00000000-0005-0000-0000-0000013E0000}"/>
    <cellStyle name="표준 5 2 2 5 13" xfId="15486" xr:uid="{00000000-0005-0000-0000-0000023E0000}"/>
    <cellStyle name="표준 5 2 2 5 14" xfId="15598" xr:uid="{00000000-0005-0000-0000-0000033E0000}"/>
    <cellStyle name="표준 5 2 2 5 15" xfId="19760" xr:uid="{00000000-0005-0000-0000-0000043E0000}"/>
    <cellStyle name="표준 5 2 2 5 16" xfId="23856" xr:uid="{00000000-0005-0000-0000-0000053E0000}"/>
    <cellStyle name="표준 5 2 2 5 17" xfId="32067" xr:uid="{00000000-0005-0000-0000-0000063E0000}"/>
    <cellStyle name="표준 5 2 2 5 18" xfId="40260" xr:uid="{00000000-0005-0000-0000-0000073E0000}"/>
    <cellStyle name="표준 5 2 2 5 19" xfId="49690" xr:uid="{00000000-0005-0000-0000-0000083E0000}"/>
    <cellStyle name="표준 5 2 2 5 2" xfId="455" xr:uid="{00000000-0005-0000-0000-0000093E0000}"/>
    <cellStyle name="표준 5 2 2 5 2 10" xfId="11422" xr:uid="{00000000-0005-0000-0000-00000A3E0000}"/>
    <cellStyle name="표준 5 2 2 5 2 11" xfId="15534" xr:uid="{00000000-0005-0000-0000-00000B3E0000}"/>
    <cellStyle name="표준 5 2 2 5 2 12" xfId="15662" xr:uid="{00000000-0005-0000-0000-00000C3E0000}"/>
    <cellStyle name="표준 5 2 2 5 2 13" xfId="19824" xr:uid="{00000000-0005-0000-0000-00000D3E0000}"/>
    <cellStyle name="표준 5 2 2 5 2 14" xfId="23920" xr:uid="{00000000-0005-0000-0000-00000E3E0000}"/>
    <cellStyle name="표준 5 2 2 5 2 15" xfId="32131" xr:uid="{00000000-0005-0000-0000-00000F3E0000}"/>
    <cellStyle name="표준 5 2 2 5 2 16" xfId="40324" xr:uid="{00000000-0005-0000-0000-0000103E0000}"/>
    <cellStyle name="표준 5 2 2 5 2 2" xfId="583" xr:uid="{00000000-0005-0000-0000-0000113E0000}"/>
    <cellStyle name="표준 5 2 2 5 2 2 10" xfId="19952" xr:uid="{00000000-0005-0000-0000-0000123E0000}"/>
    <cellStyle name="표준 5 2 2 5 2 2 11" xfId="24048" xr:uid="{00000000-0005-0000-0000-0000133E0000}"/>
    <cellStyle name="표준 5 2 2 5 2 2 12" xfId="32259" xr:uid="{00000000-0005-0000-0000-0000143E0000}"/>
    <cellStyle name="표준 5 2 2 5 2 2 13" xfId="40452" xr:uid="{00000000-0005-0000-0000-0000153E0000}"/>
    <cellStyle name="표준 5 2 2 5 2 2 2" xfId="839" xr:uid="{00000000-0005-0000-0000-0000163E0000}"/>
    <cellStyle name="표준 5 2 2 5 2 2 2 10" xfId="24304" xr:uid="{00000000-0005-0000-0000-0000173E0000}"/>
    <cellStyle name="표준 5 2 2 5 2 2 2 11" xfId="32515" xr:uid="{00000000-0005-0000-0000-0000183E0000}"/>
    <cellStyle name="표준 5 2 2 5 2 2 2 12" xfId="40708" xr:uid="{00000000-0005-0000-0000-0000193E0000}"/>
    <cellStyle name="표준 5 2 2 5 2 2 2 2" xfId="1351" xr:uid="{00000000-0005-0000-0000-00001A3E0000}"/>
    <cellStyle name="표준 5 2 2 5 2 2 2 2 2" xfId="10254" xr:uid="{00000000-0005-0000-0000-00001B3E0000}"/>
    <cellStyle name="표준 5 2 2 5 2 2 2 2 2 2" xfId="14366" xr:uid="{00000000-0005-0000-0000-00001C3E0000}"/>
    <cellStyle name="표준 5 2 2 5 2 2 2 2 2 2 2" xfId="30960" xr:uid="{00000000-0005-0000-0000-00001D3E0000}"/>
    <cellStyle name="표준 5 2 2 5 2 2 2 2 2 2 3" xfId="39171" xr:uid="{00000000-0005-0000-0000-00001E3E0000}"/>
    <cellStyle name="표준 5 2 2 5 2 2 2 2 2 2 4" xfId="47364" xr:uid="{00000000-0005-0000-0000-00001F3E0000}"/>
    <cellStyle name="표준 5 2 2 5 2 2 2 2 2 3" xfId="18606" xr:uid="{00000000-0005-0000-0000-0000203E0000}"/>
    <cellStyle name="표준 5 2 2 5 2 2 2 2 2 4" xfId="22768" xr:uid="{00000000-0005-0000-0000-0000213E0000}"/>
    <cellStyle name="표준 5 2 2 5 2 2 2 2 2 5" xfId="26864" xr:uid="{00000000-0005-0000-0000-0000223E0000}"/>
    <cellStyle name="표준 5 2 2 5 2 2 2 2 2 6" xfId="35075" xr:uid="{00000000-0005-0000-0000-0000233E0000}"/>
    <cellStyle name="표준 5 2 2 5 2 2 2 2 2 7" xfId="43268" xr:uid="{00000000-0005-0000-0000-0000243E0000}"/>
    <cellStyle name="표준 5 2 2 5 2 2 2 2 3" xfId="8206" xr:uid="{00000000-0005-0000-0000-0000253E0000}"/>
    <cellStyle name="표준 5 2 2 5 2 2 2 2 3 2" xfId="28912" xr:uid="{00000000-0005-0000-0000-0000263E0000}"/>
    <cellStyle name="표준 5 2 2 5 2 2 2 2 3 3" xfId="37123" xr:uid="{00000000-0005-0000-0000-0000273E0000}"/>
    <cellStyle name="표준 5 2 2 5 2 2 2 2 3 4" xfId="45316" xr:uid="{00000000-0005-0000-0000-0000283E0000}"/>
    <cellStyle name="표준 5 2 2 5 2 2 2 2 4" xfId="12318" xr:uid="{00000000-0005-0000-0000-0000293E0000}"/>
    <cellStyle name="표준 5 2 2 5 2 2 2 2 5" xfId="16558" xr:uid="{00000000-0005-0000-0000-00002A3E0000}"/>
    <cellStyle name="표준 5 2 2 5 2 2 2 2 6" xfId="20720" xr:uid="{00000000-0005-0000-0000-00002B3E0000}"/>
    <cellStyle name="표준 5 2 2 5 2 2 2 2 7" xfId="24816" xr:uid="{00000000-0005-0000-0000-00002C3E0000}"/>
    <cellStyle name="표준 5 2 2 5 2 2 2 2 8" xfId="33027" xr:uid="{00000000-0005-0000-0000-00002D3E0000}"/>
    <cellStyle name="표준 5 2 2 5 2 2 2 2 9" xfId="41220" xr:uid="{00000000-0005-0000-0000-00002E3E0000}"/>
    <cellStyle name="표준 5 2 2 5 2 2 2 3" xfId="1863" xr:uid="{00000000-0005-0000-0000-00002F3E0000}"/>
    <cellStyle name="표준 5 2 2 5 2 2 2 3 2" xfId="10766" xr:uid="{00000000-0005-0000-0000-0000303E0000}"/>
    <cellStyle name="표준 5 2 2 5 2 2 2 3 2 2" xfId="14878" xr:uid="{00000000-0005-0000-0000-0000313E0000}"/>
    <cellStyle name="표준 5 2 2 5 2 2 2 3 2 2 2" xfId="31472" xr:uid="{00000000-0005-0000-0000-0000323E0000}"/>
    <cellStyle name="표준 5 2 2 5 2 2 2 3 2 2 3" xfId="39683" xr:uid="{00000000-0005-0000-0000-0000333E0000}"/>
    <cellStyle name="표준 5 2 2 5 2 2 2 3 2 2 4" xfId="47876" xr:uid="{00000000-0005-0000-0000-0000343E0000}"/>
    <cellStyle name="표준 5 2 2 5 2 2 2 3 2 3" xfId="19118" xr:uid="{00000000-0005-0000-0000-0000353E0000}"/>
    <cellStyle name="표준 5 2 2 5 2 2 2 3 2 4" xfId="23280" xr:uid="{00000000-0005-0000-0000-0000363E0000}"/>
    <cellStyle name="표준 5 2 2 5 2 2 2 3 2 5" xfId="27376" xr:uid="{00000000-0005-0000-0000-0000373E0000}"/>
    <cellStyle name="표준 5 2 2 5 2 2 2 3 2 6" xfId="35587" xr:uid="{00000000-0005-0000-0000-0000383E0000}"/>
    <cellStyle name="표준 5 2 2 5 2 2 2 3 2 7" xfId="43780" xr:uid="{00000000-0005-0000-0000-0000393E0000}"/>
    <cellStyle name="표준 5 2 2 5 2 2 2 3 3" xfId="8718" xr:uid="{00000000-0005-0000-0000-00003A3E0000}"/>
    <cellStyle name="표준 5 2 2 5 2 2 2 3 3 2" xfId="29424" xr:uid="{00000000-0005-0000-0000-00003B3E0000}"/>
    <cellStyle name="표준 5 2 2 5 2 2 2 3 3 3" xfId="37635" xr:uid="{00000000-0005-0000-0000-00003C3E0000}"/>
    <cellStyle name="표준 5 2 2 5 2 2 2 3 3 4" xfId="45828" xr:uid="{00000000-0005-0000-0000-00003D3E0000}"/>
    <cellStyle name="표준 5 2 2 5 2 2 2 3 4" xfId="12830" xr:uid="{00000000-0005-0000-0000-00003E3E0000}"/>
    <cellStyle name="표준 5 2 2 5 2 2 2 3 5" xfId="17070" xr:uid="{00000000-0005-0000-0000-00003F3E0000}"/>
    <cellStyle name="표준 5 2 2 5 2 2 2 3 6" xfId="21232" xr:uid="{00000000-0005-0000-0000-0000403E0000}"/>
    <cellStyle name="표준 5 2 2 5 2 2 2 3 7" xfId="25328" xr:uid="{00000000-0005-0000-0000-0000413E0000}"/>
    <cellStyle name="표준 5 2 2 5 2 2 2 3 8" xfId="33539" xr:uid="{00000000-0005-0000-0000-0000423E0000}"/>
    <cellStyle name="표준 5 2 2 5 2 2 2 3 9" xfId="41732" xr:uid="{00000000-0005-0000-0000-0000433E0000}"/>
    <cellStyle name="표준 5 2 2 5 2 2 2 4" xfId="2375" xr:uid="{00000000-0005-0000-0000-0000443E0000}"/>
    <cellStyle name="표준 5 2 2 5 2 2 2 4 2" xfId="11278" xr:uid="{00000000-0005-0000-0000-0000453E0000}"/>
    <cellStyle name="표준 5 2 2 5 2 2 2 4 2 2" xfId="15390" xr:uid="{00000000-0005-0000-0000-0000463E0000}"/>
    <cellStyle name="표준 5 2 2 5 2 2 2 4 2 2 2" xfId="31984" xr:uid="{00000000-0005-0000-0000-0000473E0000}"/>
    <cellStyle name="표준 5 2 2 5 2 2 2 4 2 2 3" xfId="40195" xr:uid="{00000000-0005-0000-0000-0000483E0000}"/>
    <cellStyle name="표준 5 2 2 5 2 2 2 4 2 2 4" xfId="48388" xr:uid="{00000000-0005-0000-0000-0000493E0000}"/>
    <cellStyle name="표준 5 2 2 5 2 2 2 4 2 3" xfId="19630" xr:uid="{00000000-0005-0000-0000-00004A3E0000}"/>
    <cellStyle name="표준 5 2 2 5 2 2 2 4 2 4" xfId="23792" xr:uid="{00000000-0005-0000-0000-00004B3E0000}"/>
    <cellStyle name="표준 5 2 2 5 2 2 2 4 2 5" xfId="27888" xr:uid="{00000000-0005-0000-0000-00004C3E0000}"/>
    <cellStyle name="표준 5 2 2 5 2 2 2 4 2 6" xfId="36099" xr:uid="{00000000-0005-0000-0000-00004D3E0000}"/>
    <cellStyle name="표준 5 2 2 5 2 2 2 4 2 7" xfId="44292" xr:uid="{00000000-0005-0000-0000-00004E3E0000}"/>
    <cellStyle name="표준 5 2 2 5 2 2 2 4 3" xfId="9230" xr:uid="{00000000-0005-0000-0000-00004F3E0000}"/>
    <cellStyle name="표준 5 2 2 5 2 2 2 4 3 2" xfId="29936" xr:uid="{00000000-0005-0000-0000-0000503E0000}"/>
    <cellStyle name="표준 5 2 2 5 2 2 2 4 3 3" xfId="38147" xr:uid="{00000000-0005-0000-0000-0000513E0000}"/>
    <cellStyle name="표준 5 2 2 5 2 2 2 4 3 4" xfId="46340" xr:uid="{00000000-0005-0000-0000-0000523E0000}"/>
    <cellStyle name="표준 5 2 2 5 2 2 2 4 4" xfId="13342" xr:uid="{00000000-0005-0000-0000-0000533E0000}"/>
    <cellStyle name="표준 5 2 2 5 2 2 2 4 5" xfId="17582" xr:uid="{00000000-0005-0000-0000-0000543E0000}"/>
    <cellStyle name="표준 5 2 2 5 2 2 2 4 6" xfId="21744" xr:uid="{00000000-0005-0000-0000-0000553E0000}"/>
    <cellStyle name="표준 5 2 2 5 2 2 2 4 7" xfId="25840" xr:uid="{00000000-0005-0000-0000-0000563E0000}"/>
    <cellStyle name="표준 5 2 2 5 2 2 2 4 8" xfId="34051" xr:uid="{00000000-0005-0000-0000-0000573E0000}"/>
    <cellStyle name="표준 5 2 2 5 2 2 2 4 9" xfId="42244" xr:uid="{00000000-0005-0000-0000-0000583E0000}"/>
    <cellStyle name="표준 5 2 2 5 2 2 2 5" xfId="9742" xr:uid="{00000000-0005-0000-0000-0000593E0000}"/>
    <cellStyle name="표준 5 2 2 5 2 2 2 5 2" xfId="13854" xr:uid="{00000000-0005-0000-0000-00005A3E0000}"/>
    <cellStyle name="표준 5 2 2 5 2 2 2 5 2 2" xfId="30448" xr:uid="{00000000-0005-0000-0000-00005B3E0000}"/>
    <cellStyle name="표준 5 2 2 5 2 2 2 5 2 3" xfId="38659" xr:uid="{00000000-0005-0000-0000-00005C3E0000}"/>
    <cellStyle name="표준 5 2 2 5 2 2 2 5 2 4" xfId="46852" xr:uid="{00000000-0005-0000-0000-00005D3E0000}"/>
    <cellStyle name="표준 5 2 2 5 2 2 2 5 3" xfId="18094" xr:uid="{00000000-0005-0000-0000-00005E3E0000}"/>
    <cellStyle name="표준 5 2 2 5 2 2 2 5 4" xfId="22256" xr:uid="{00000000-0005-0000-0000-00005F3E0000}"/>
    <cellStyle name="표준 5 2 2 5 2 2 2 5 5" xfId="26352" xr:uid="{00000000-0005-0000-0000-0000603E0000}"/>
    <cellStyle name="표준 5 2 2 5 2 2 2 5 6" xfId="34563" xr:uid="{00000000-0005-0000-0000-0000613E0000}"/>
    <cellStyle name="표준 5 2 2 5 2 2 2 5 7" xfId="42756" xr:uid="{00000000-0005-0000-0000-0000623E0000}"/>
    <cellStyle name="표준 5 2 2 5 2 2 2 6" xfId="7694" xr:uid="{00000000-0005-0000-0000-0000633E0000}"/>
    <cellStyle name="표준 5 2 2 5 2 2 2 6 2" xfId="28400" xr:uid="{00000000-0005-0000-0000-0000643E0000}"/>
    <cellStyle name="표준 5 2 2 5 2 2 2 6 3" xfId="36611" xr:uid="{00000000-0005-0000-0000-0000653E0000}"/>
    <cellStyle name="표준 5 2 2 5 2 2 2 6 4" xfId="44804" xr:uid="{00000000-0005-0000-0000-0000663E0000}"/>
    <cellStyle name="표준 5 2 2 5 2 2 2 7" xfId="11806" xr:uid="{00000000-0005-0000-0000-0000673E0000}"/>
    <cellStyle name="표준 5 2 2 5 2 2 2 8" xfId="16046" xr:uid="{00000000-0005-0000-0000-0000683E0000}"/>
    <cellStyle name="표준 5 2 2 5 2 2 2 9" xfId="20208" xr:uid="{00000000-0005-0000-0000-0000693E0000}"/>
    <cellStyle name="표준 5 2 2 5 2 2 3" xfId="1095" xr:uid="{00000000-0005-0000-0000-00006A3E0000}"/>
    <cellStyle name="표준 5 2 2 5 2 2 3 2" xfId="9998" xr:uid="{00000000-0005-0000-0000-00006B3E0000}"/>
    <cellStyle name="표준 5 2 2 5 2 2 3 2 2" xfId="14110" xr:uid="{00000000-0005-0000-0000-00006C3E0000}"/>
    <cellStyle name="표준 5 2 2 5 2 2 3 2 2 2" xfId="30704" xr:uid="{00000000-0005-0000-0000-00006D3E0000}"/>
    <cellStyle name="표준 5 2 2 5 2 2 3 2 2 3" xfId="38915" xr:uid="{00000000-0005-0000-0000-00006E3E0000}"/>
    <cellStyle name="표준 5 2 2 5 2 2 3 2 2 4" xfId="47108" xr:uid="{00000000-0005-0000-0000-00006F3E0000}"/>
    <cellStyle name="표준 5 2 2 5 2 2 3 2 3" xfId="18350" xr:uid="{00000000-0005-0000-0000-0000703E0000}"/>
    <cellStyle name="표준 5 2 2 5 2 2 3 2 4" xfId="22512" xr:uid="{00000000-0005-0000-0000-0000713E0000}"/>
    <cellStyle name="표준 5 2 2 5 2 2 3 2 5" xfId="26608" xr:uid="{00000000-0005-0000-0000-0000723E0000}"/>
    <cellStyle name="표준 5 2 2 5 2 2 3 2 6" xfId="34819" xr:uid="{00000000-0005-0000-0000-0000733E0000}"/>
    <cellStyle name="표준 5 2 2 5 2 2 3 2 7" xfId="43012" xr:uid="{00000000-0005-0000-0000-0000743E0000}"/>
    <cellStyle name="표준 5 2 2 5 2 2 3 3" xfId="7950" xr:uid="{00000000-0005-0000-0000-0000753E0000}"/>
    <cellStyle name="표준 5 2 2 5 2 2 3 3 2" xfId="28656" xr:uid="{00000000-0005-0000-0000-0000763E0000}"/>
    <cellStyle name="표준 5 2 2 5 2 2 3 3 3" xfId="36867" xr:uid="{00000000-0005-0000-0000-0000773E0000}"/>
    <cellStyle name="표준 5 2 2 5 2 2 3 3 4" xfId="45060" xr:uid="{00000000-0005-0000-0000-0000783E0000}"/>
    <cellStyle name="표준 5 2 2 5 2 2 3 4" xfId="12062" xr:uid="{00000000-0005-0000-0000-0000793E0000}"/>
    <cellStyle name="표준 5 2 2 5 2 2 3 5" xfId="16302" xr:uid="{00000000-0005-0000-0000-00007A3E0000}"/>
    <cellStyle name="표준 5 2 2 5 2 2 3 6" xfId="20464" xr:uid="{00000000-0005-0000-0000-00007B3E0000}"/>
    <cellStyle name="표준 5 2 2 5 2 2 3 7" xfId="24560" xr:uid="{00000000-0005-0000-0000-00007C3E0000}"/>
    <cellStyle name="표준 5 2 2 5 2 2 3 8" xfId="32771" xr:uid="{00000000-0005-0000-0000-00007D3E0000}"/>
    <cellStyle name="표준 5 2 2 5 2 2 3 9" xfId="40964" xr:uid="{00000000-0005-0000-0000-00007E3E0000}"/>
    <cellStyle name="표준 5 2 2 5 2 2 4" xfId="1607" xr:uid="{00000000-0005-0000-0000-00007F3E0000}"/>
    <cellStyle name="표준 5 2 2 5 2 2 4 2" xfId="10510" xr:uid="{00000000-0005-0000-0000-0000803E0000}"/>
    <cellStyle name="표준 5 2 2 5 2 2 4 2 2" xfId="14622" xr:uid="{00000000-0005-0000-0000-0000813E0000}"/>
    <cellStyle name="표준 5 2 2 5 2 2 4 2 2 2" xfId="31216" xr:uid="{00000000-0005-0000-0000-0000823E0000}"/>
    <cellStyle name="표준 5 2 2 5 2 2 4 2 2 3" xfId="39427" xr:uid="{00000000-0005-0000-0000-0000833E0000}"/>
    <cellStyle name="표준 5 2 2 5 2 2 4 2 2 4" xfId="47620" xr:uid="{00000000-0005-0000-0000-0000843E0000}"/>
    <cellStyle name="표준 5 2 2 5 2 2 4 2 3" xfId="18862" xr:uid="{00000000-0005-0000-0000-0000853E0000}"/>
    <cellStyle name="표준 5 2 2 5 2 2 4 2 4" xfId="23024" xr:uid="{00000000-0005-0000-0000-0000863E0000}"/>
    <cellStyle name="표준 5 2 2 5 2 2 4 2 5" xfId="27120" xr:uid="{00000000-0005-0000-0000-0000873E0000}"/>
    <cellStyle name="표준 5 2 2 5 2 2 4 2 6" xfId="35331" xr:uid="{00000000-0005-0000-0000-0000883E0000}"/>
    <cellStyle name="표준 5 2 2 5 2 2 4 2 7" xfId="43524" xr:uid="{00000000-0005-0000-0000-0000893E0000}"/>
    <cellStyle name="표준 5 2 2 5 2 2 4 3" xfId="8462" xr:uid="{00000000-0005-0000-0000-00008A3E0000}"/>
    <cellStyle name="표준 5 2 2 5 2 2 4 3 2" xfId="29168" xr:uid="{00000000-0005-0000-0000-00008B3E0000}"/>
    <cellStyle name="표준 5 2 2 5 2 2 4 3 3" xfId="37379" xr:uid="{00000000-0005-0000-0000-00008C3E0000}"/>
    <cellStyle name="표준 5 2 2 5 2 2 4 3 4" xfId="45572" xr:uid="{00000000-0005-0000-0000-00008D3E0000}"/>
    <cellStyle name="표준 5 2 2 5 2 2 4 4" xfId="12574" xr:uid="{00000000-0005-0000-0000-00008E3E0000}"/>
    <cellStyle name="표준 5 2 2 5 2 2 4 5" xfId="16814" xr:uid="{00000000-0005-0000-0000-00008F3E0000}"/>
    <cellStyle name="표준 5 2 2 5 2 2 4 6" xfId="20976" xr:uid="{00000000-0005-0000-0000-0000903E0000}"/>
    <cellStyle name="표준 5 2 2 5 2 2 4 7" xfId="25072" xr:uid="{00000000-0005-0000-0000-0000913E0000}"/>
    <cellStyle name="표준 5 2 2 5 2 2 4 8" xfId="33283" xr:uid="{00000000-0005-0000-0000-0000923E0000}"/>
    <cellStyle name="표준 5 2 2 5 2 2 4 9" xfId="41476" xr:uid="{00000000-0005-0000-0000-0000933E0000}"/>
    <cellStyle name="표준 5 2 2 5 2 2 5" xfId="2119" xr:uid="{00000000-0005-0000-0000-0000943E0000}"/>
    <cellStyle name="표준 5 2 2 5 2 2 5 2" xfId="11022" xr:uid="{00000000-0005-0000-0000-0000953E0000}"/>
    <cellStyle name="표준 5 2 2 5 2 2 5 2 2" xfId="15134" xr:uid="{00000000-0005-0000-0000-0000963E0000}"/>
    <cellStyle name="표준 5 2 2 5 2 2 5 2 2 2" xfId="31728" xr:uid="{00000000-0005-0000-0000-0000973E0000}"/>
    <cellStyle name="표준 5 2 2 5 2 2 5 2 2 3" xfId="39939" xr:uid="{00000000-0005-0000-0000-0000983E0000}"/>
    <cellStyle name="표준 5 2 2 5 2 2 5 2 2 4" xfId="48132" xr:uid="{00000000-0005-0000-0000-0000993E0000}"/>
    <cellStyle name="표준 5 2 2 5 2 2 5 2 3" xfId="19374" xr:uid="{00000000-0005-0000-0000-00009A3E0000}"/>
    <cellStyle name="표준 5 2 2 5 2 2 5 2 4" xfId="23536" xr:uid="{00000000-0005-0000-0000-00009B3E0000}"/>
    <cellStyle name="표준 5 2 2 5 2 2 5 2 5" xfId="27632" xr:uid="{00000000-0005-0000-0000-00009C3E0000}"/>
    <cellStyle name="표준 5 2 2 5 2 2 5 2 6" xfId="35843" xr:uid="{00000000-0005-0000-0000-00009D3E0000}"/>
    <cellStyle name="표준 5 2 2 5 2 2 5 2 7" xfId="44036" xr:uid="{00000000-0005-0000-0000-00009E3E0000}"/>
    <cellStyle name="표준 5 2 2 5 2 2 5 3" xfId="8974" xr:uid="{00000000-0005-0000-0000-00009F3E0000}"/>
    <cellStyle name="표준 5 2 2 5 2 2 5 3 2" xfId="29680" xr:uid="{00000000-0005-0000-0000-0000A03E0000}"/>
    <cellStyle name="표준 5 2 2 5 2 2 5 3 3" xfId="37891" xr:uid="{00000000-0005-0000-0000-0000A13E0000}"/>
    <cellStyle name="표준 5 2 2 5 2 2 5 3 4" xfId="46084" xr:uid="{00000000-0005-0000-0000-0000A23E0000}"/>
    <cellStyle name="표준 5 2 2 5 2 2 5 4" xfId="13086" xr:uid="{00000000-0005-0000-0000-0000A33E0000}"/>
    <cellStyle name="표준 5 2 2 5 2 2 5 5" xfId="17326" xr:uid="{00000000-0005-0000-0000-0000A43E0000}"/>
    <cellStyle name="표준 5 2 2 5 2 2 5 6" xfId="21488" xr:uid="{00000000-0005-0000-0000-0000A53E0000}"/>
    <cellStyle name="표준 5 2 2 5 2 2 5 7" xfId="25584" xr:uid="{00000000-0005-0000-0000-0000A63E0000}"/>
    <cellStyle name="표준 5 2 2 5 2 2 5 8" xfId="33795" xr:uid="{00000000-0005-0000-0000-0000A73E0000}"/>
    <cellStyle name="표준 5 2 2 5 2 2 5 9" xfId="41988" xr:uid="{00000000-0005-0000-0000-0000A83E0000}"/>
    <cellStyle name="표준 5 2 2 5 2 2 6" xfId="9486" xr:uid="{00000000-0005-0000-0000-0000A93E0000}"/>
    <cellStyle name="표준 5 2 2 5 2 2 6 2" xfId="13598" xr:uid="{00000000-0005-0000-0000-0000AA3E0000}"/>
    <cellStyle name="표준 5 2 2 5 2 2 6 2 2" xfId="30192" xr:uid="{00000000-0005-0000-0000-0000AB3E0000}"/>
    <cellStyle name="표준 5 2 2 5 2 2 6 2 3" xfId="38403" xr:uid="{00000000-0005-0000-0000-0000AC3E0000}"/>
    <cellStyle name="표준 5 2 2 5 2 2 6 2 4" xfId="46596" xr:uid="{00000000-0005-0000-0000-0000AD3E0000}"/>
    <cellStyle name="표준 5 2 2 5 2 2 6 3" xfId="17838" xr:uid="{00000000-0005-0000-0000-0000AE3E0000}"/>
    <cellStyle name="표준 5 2 2 5 2 2 6 4" xfId="22000" xr:uid="{00000000-0005-0000-0000-0000AF3E0000}"/>
    <cellStyle name="표준 5 2 2 5 2 2 6 5" xfId="26096" xr:uid="{00000000-0005-0000-0000-0000B03E0000}"/>
    <cellStyle name="표준 5 2 2 5 2 2 6 6" xfId="34307" xr:uid="{00000000-0005-0000-0000-0000B13E0000}"/>
    <cellStyle name="표준 5 2 2 5 2 2 6 7" xfId="42500" xr:uid="{00000000-0005-0000-0000-0000B23E0000}"/>
    <cellStyle name="표준 5 2 2 5 2 2 7" xfId="7438" xr:uid="{00000000-0005-0000-0000-0000B33E0000}"/>
    <cellStyle name="표준 5 2 2 5 2 2 7 2" xfId="28144" xr:uid="{00000000-0005-0000-0000-0000B43E0000}"/>
    <cellStyle name="표준 5 2 2 5 2 2 7 3" xfId="36355" xr:uid="{00000000-0005-0000-0000-0000B53E0000}"/>
    <cellStyle name="표준 5 2 2 5 2 2 7 4" xfId="44548" xr:uid="{00000000-0005-0000-0000-0000B63E0000}"/>
    <cellStyle name="표준 5 2 2 5 2 2 8" xfId="11550" xr:uid="{00000000-0005-0000-0000-0000B73E0000}"/>
    <cellStyle name="표준 5 2 2 5 2 2 9" xfId="15790" xr:uid="{00000000-0005-0000-0000-0000B83E0000}"/>
    <cellStyle name="표준 5 2 2 5 2 3" xfId="711" xr:uid="{00000000-0005-0000-0000-0000B93E0000}"/>
    <cellStyle name="표준 5 2 2 5 2 3 10" xfId="24176" xr:uid="{00000000-0005-0000-0000-0000BA3E0000}"/>
    <cellStyle name="표준 5 2 2 5 2 3 11" xfId="32387" xr:uid="{00000000-0005-0000-0000-0000BB3E0000}"/>
    <cellStyle name="표준 5 2 2 5 2 3 12" xfId="40580" xr:uid="{00000000-0005-0000-0000-0000BC3E0000}"/>
    <cellStyle name="표준 5 2 2 5 2 3 2" xfId="1223" xr:uid="{00000000-0005-0000-0000-0000BD3E0000}"/>
    <cellStyle name="표준 5 2 2 5 2 3 2 2" xfId="10126" xr:uid="{00000000-0005-0000-0000-0000BE3E0000}"/>
    <cellStyle name="표준 5 2 2 5 2 3 2 2 2" xfId="14238" xr:uid="{00000000-0005-0000-0000-0000BF3E0000}"/>
    <cellStyle name="표준 5 2 2 5 2 3 2 2 2 2" xfId="30832" xr:uid="{00000000-0005-0000-0000-0000C03E0000}"/>
    <cellStyle name="표준 5 2 2 5 2 3 2 2 2 3" xfId="39043" xr:uid="{00000000-0005-0000-0000-0000C13E0000}"/>
    <cellStyle name="표준 5 2 2 5 2 3 2 2 2 4" xfId="47236" xr:uid="{00000000-0005-0000-0000-0000C23E0000}"/>
    <cellStyle name="표준 5 2 2 5 2 3 2 2 3" xfId="18478" xr:uid="{00000000-0005-0000-0000-0000C33E0000}"/>
    <cellStyle name="표준 5 2 2 5 2 3 2 2 4" xfId="22640" xr:uid="{00000000-0005-0000-0000-0000C43E0000}"/>
    <cellStyle name="표준 5 2 2 5 2 3 2 2 5" xfId="26736" xr:uid="{00000000-0005-0000-0000-0000C53E0000}"/>
    <cellStyle name="표준 5 2 2 5 2 3 2 2 6" xfId="34947" xr:uid="{00000000-0005-0000-0000-0000C63E0000}"/>
    <cellStyle name="표준 5 2 2 5 2 3 2 2 7" xfId="43140" xr:uid="{00000000-0005-0000-0000-0000C73E0000}"/>
    <cellStyle name="표준 5 2 2 5 2 3 2 3" xfId="8078" xr:uid="{00000000-0005-0000-0000-0000C83E0000}"/>
    <cellStyle name="표준 5 2 2 5 2 3 2 3 2" xfId="28784" xr:uid="{00000000-0005-0000-0000-0000C93E0000}"/>
    <cellStyle name="표준 5 2 2 5 2 3 2 3 3" xfId="36995" xr:uid="{00000000-0005-0000-0000-0000CA3E0000}"/>
    <cellStyle name="표준 5 2 2 5 2 3 2 3 4" xfId="45188" xr:uid="{00000000-0005-0000-0000-0000CB3E0000}"/>
    <cellStyle name="표준 5 2 2 5 2 3 2 4" xfId="12190" xr:uid="{00000000-0005-0000-0000-0000CC3E0000}"/>
    <cellStyle name="표준 5 2 2 5 2 3 2 5" xfId="16430" xr:uid="{00000000-0005-0000-0000-0000CD3E0000}"/>
    <cellStyle name="표준 5 2 2 5 2 3 2 6" xfId="20592" xr:uid="{00000000-0005-0000-0000-0000CE3E0000}"/>
    <cellStyle name="표준 5 2 2 5 2 3 2 7" xfId="24688" xr:uid="{00000000-0005-0000-0000-0000CF3E0000}"/>
    <cellStyle name="표준 5 2 2 5 2 3 2 8" xfId="32899" xr:uid="{00000000-0005-0000-0000-0000D03E0000}"/>
    <cellStyle name="표준 5 2 2 5 2 3 2 9" xfId="41092" xr:uid="{00000000-0005-0000-0000-0000D13E0000}"/>
    <cellStyle name="표준 5 2 2 5 2 3 3" xfId="1735" xr:uid="{00000000-0005-0000-0000-0000D23E0000}"/>
    <cellStyle name="표준 5 2 2 5 2 3 3 2" xfId="10638" xr:uid="{00000000-0005-0000-0000-0000D33E0000}"/>
    <cellStyle name="표준 5 2 2 5 2 3 3 2 2" xfId="14750" xr:uid="{00000000-0005-0000-0000-0000D43E0000}"/>
    <cellStyle name="표준 5 2 2 5 2 3 3 2 2 2" xfId="31344" xr:uid="{00000000-0005-0000-0000-0000D53E0000}"/>
    <cellStyle name="표준 5 2 2 5 2 3 3 2 2 3" xfId="39555" xr:uid="{00000000-0005-0000-0000-0000D63E0000}"/>
    <cellStyle name="표준 5 2 2 5 2 3 3 2 2 4" xfId="47748" xr:uid="{00000000-0005-0000-0000-0000D73E0000}"/>
    <cellStyle name="표준 5 2 2 5 2 3 3 2 3" xfId="18990" xr:uid="{00000000-0005-0000-0000-0000D83E0000}"/>
    <cellStyle name="표준 5 2 2 5 2 3 3 2 4" xfId="23152" xr:uid="{00000000-0005-0000-0000-0000D93E0000}"/>
    <cellStyle name="표준 5 2 2 5 2 3 3 2 5" xfId="27248" xr:uid="{00000000-0005-0000-0000-0000DA3E0000}"/>
    <cellStyle name="표준 5 2 2 5 2 3 3 2 6" xfId="35459" xr:uid="{00000000-0005-0000-0000-0000DB3E0000}"/>
    <cellStyle name="표준 5 2 2 5 2 3 3 2 7" xfId="43652" xr:uid="{00000000-0005-0000-0000-0000DC3E0000}"/>
    <cellStyle name="표준 5 2 2 5 2 3 3 3" xfId="8590" xr:uid="{00000000-0005-0000-0000-0000DD3E0000}"/>
    <cellStyle name="표준 5 2 2 5 2 3 3 3 2" xfId="29296" xr:uid="{00000000-0005-0000-0000-0000DE3E0000}"/>
    <cellStyle name="표준 5 2 2 5 2 3 3 3 3" xfId="37507" xr:uid="{00000000-0005-0000-0000-0000DF3E0000}"/>
    <cellStyle name="표준 5 2 2 5 2 3 3 3 4" xfId="45700" xr:uid="{00000000-0005-0000-0000-0000E03E0000}"/>
    <cellStyle name="표준 5 2 2 5 2 3 3 4" xfId="12702" xr:uid="{00000000-0005-0000-0000-0000E13E0000}"/>
    <cellStyle name="표준 5 2 2 5 2 3 3 5" xfId="16942" xr:uid="{00000000-0005-0000-0000-0000E23E0000}"/>
    <cellStyle name="표준 5 2 2 5 2 3 3 6" xfId="21104" xr:uid="{00000000-0005-0000-0000-0000E33E0000}"/>
    <cellStyle name="표준 5 2 2 5 2 3 3 7" xfId="25200" xr:uid="{00000000-0005-0000-0000-0000E43E0000}"/>
    <cellStyle name="표준 5 2 2 5 2 3 3 8" xfId="33411" xr:uid="{00000000-0005-0000-0000-0000E53E0000}"/>
    <cellStyle name="표준 5 2 2 5 2 3 3 9" xfId="41604" xr:uid="{00000000-0005-0000-0000-0000E63E0000}"/>
    <cellStyle name="표준 5 2 2 5 2 3 4" xfId="2247" xr:uid="{00000000-0005-0000-0000-0000E73E0000}"/>
    <cellStyle name="표준 5 2 2 5 2 3 4 2" xfId="11150" xr:uid="{00000000-0005-0000-0000-0000E83E0000}"/>
    <cellStyle name="표준 5 2 2 5 2 3 4 2 2" xfId="15262" xr:uid="{00000000-0005-0000-0000-0000E93E0000}"/>
    <cellStyle name="표준 5 2 2 5 2 3 4 2 2 2" xfId="31856" xr:uid="{00000000-0005-0000-0000-0000EA3E0000}"/>
    <cellStyle name="표준 5 2 2 5 2 3 4 2 2 3" xfId="40067" xr:uid="{00000000-0005-0000-0000-0000EB3E0000}"/>
    <cellStyle name="표준 5 2 2 5 2 3 4 2 2 4" xfId="48260" xr:uid="{00000000-0005-0000-0000-0000EC3E0000}"/>
    <cellStyle name="표준 5 2 2 5 2 3 4 2 3" xfId="19502" xr:uid="{00000000-0005-0000-0000-0000ED3E0000}"/>
    <cellStyle name="표준 5 2 2 5 2 3 4 2 4" xfId="23664" xr:uid="{00000000-0005-0000-0000-0000EE3E0000}"/>
    <cellStyle name="표준 5 2 2 5 2 3 4 2 5" xfId="27760" xr:uid="{00000000-0005-0000-0000-0000EF3E0000}"/>
    <cellStyle name="표준 5 2 2 5 2 3 4 2 6" xfId="35971" xr:uid="{00000000-0005-0000-0000-0000F03E0000}"/>
    <cellStyle name="표준 5 2 2 5 2 3 4 2 7" xfId="44164" xr:uid="{00000000-0005-0000-0000-0000F13E0000}"/>
    <cellStyle name="표준 5 2 2 5 2 3 4 3" xfId="9102" xr:uid="{00000000-0005-0000-0000-0000F23E0000}"/>
    <cellStyle name="표준 5 2 2 5 2 3 4 3 2" xfId="29808" xr:uid="{00000000-0005-0000-0000-0000F33E0000}"/>
    <cellStyle name="표준 5 2 2 5 2 3 4 3 3" xfId="38019" xr:uid="{00000000-0005-0000-0000-0000F43E0000}"/>
    <cellStyle name="표준 5 2 2 5 2 3 4 3 4" xfId="46212" xr:uid="{00000000-0005-0000-0000-0000F53E0000}"/>
    <cellStyle name="표준 5 2 2 5 2 3 4 4" xfId="13214" xr:uid="{00000000-0005-0000-0000-0000F63E0000}"/>
    <cellStyle name="표준 5 2 2 5 2 3 4 5" xfId="17454" xr:uid="{00000000-0005-0000-0000-0000F73E0000}"/>
    <cellStyle name="표준 5 2 2 5 2 3 4 6" xfId="21616" xr:uid="{00000000-0005-0000-0000-0000F83E0000}"/>
    <cellStyle name="표준 5 2 2 5 2 3 4 7" xfId="25712" xr:uid="{00000000-0005-0000-0000-0000F93E0000}"/>
    <cellStyle name="표준 5 2 2 5 2 3 4 8" xfId="33923" xr:uid="{00000000-0005-0000-0000-0000FA3E0000}"/>
    <cellStyle name="표준 5 2 2 5 2 3 4 9" xfId="42116" xr:uid="{00000000-0005-0000-0000-0000FB3E0000}"/>
    <cellStyle name="표준 5 2 2 5 2 3 5" xfId="9614" xr:uid="{00000000-0005-0000-0000-0000FC3E0000}"/>
    <cellStyle name="표준 5 2 2 5 2 3 5 2" xfId="13726" xr:uid="{00000000-0005-0000-0000-0000FD3E0000}"/>
    <cellStyle name="표준 5 2 2 5 2 3 5 2 2" xfId="30320" xr:uid="{00000000-0005-0000-0000-0000FE3E0000}"/>
    <cellStyle name="표준 5 2 2 5 2 3 5 2 3" xfId="38531" xr:uid="{00000000-0005-0000-0000-0000FF3E0000}"/>
    <cellStyle name="표준 5 2 2 5 2 3 5 2 4" xfId="46724" xr:uid="{00000000-0005-0000-0000-0000003F0000}"/>
    <cellStyle name="표준 5 2 2 5 2 3 5 3" xfId="17966" xr:uid="{00000000-0005-0000-0000-0000013F0000}"/>
    <cellStyle name="표준 5 2 2 5 2 3 5 4" xfId="22128" xr:uid="{00000000-0005-0000-0000-0000023F0000}"/>
    <cellStyle name="표준 5 2 2 5 2 3 5 5" xfId="26224" xr:uid="{00000000-0005-0000-0000-0000033F0000}"/>
    <cellStyle name="표준 5 2 2 5 2 3 5 6" xfId="34435" xr:uid="{00000000-0005-0000-0000-0000043F0000}"/>
    <cellStyle name="표준 5 2 2 5 2 3 5 7" xfId="42628" xr:uid="{00000000-0005-0000-0000-0000053F0000}"/>
    <cellStyle name="표준 5 2 2 5 2 3 6" xfId="7566" xr:uid="{00000000-0005-0000-0000-0000063F0000}"/>
    <cellStyle name="표준 5 2 2 5 2 3 6 2" xfId="28272" xr:uid="{00000000-0005-0000-0000-0000073F0000}"/>
    <cellStyle name="표준 5 2 2 5 2 3 6 3" xfId="36483" xr:uid="{00000000-0005-0000-0000-0000083F0000}"/>
    <cellStyle name="표준 5 2 2 5 2 3 6 4" xfId="44676" xr:uid="{00000000-0005-0000-0000-0000093F0000}"/>
    <cellStyle name="표준 5 2 2 5 2 3 7" xfId="11678" xr:uid="{00000000-0005-0000-0000-00000A3F0000}"/>
    <cellStyle name="표준 5 2 2 5 2 3 8" xfId="15918" xr:uid="{00000000-0005-0000-0000-00000B3F0000}"/>
    <cellStyle name="표준 5 2 2 5 2 3 9" xfId="20080" xr:uid="{00000000-0005-0000-0000-00000C3F0000}"/>
    <cellStyle name="표준 5 2 2 5 2 4" xfId="967" xr:uid="{00000000-0005-0000-0000-00000D3F0000}"/>
    <cellStyle name="표준 5 2 2 5 2 4 2" xfId="9870" xr:uid="{00000000-0005-0000-0000-00000E3F0000}"/>
    <cellStyle name="표준 5 2 2 5 2 4 2 2" xfId="13982" xr:uid="{00000000-0005-0000-0000-00000F3F0000}"/>
    <cellStyle name="표준 5 2 2 5 2 4 2 2 2" xfId="30576" xr:uid="{00000000-0005-0000-0000-0000103F0000}"/>
    <cellStyle name="표준 5 2 2 5 2 4 2 2 3" xfId="38787" xr:uid="{00000000-0005-0000-0000-0000113F0000}"/>
    <cellStyle name="표준 5 2 2 5 2 4 2 2 4" xfId="46980" xr:uid="{00000000-0005-0000-0000-0000123F0000}"/>
    <cellStyle name="표준 5 2 2 5 2 4 2 3" xfId="18222" xr:uid="{00000000-0005-0000-0000-0000133F0000}"/>
    <cellStyle name="표준 5 2 2 5 2 4 2 4" xfId="22384" xr:uid="{00000000-0005-0000-0000-0000143F0000}"/>
    <cellStyle name="표준 5 2 2 5 2 4 2 5" xfId="26480" xr:uid="{00000000-0005-0000-0000-0000153F0000}"/>
    <cellStyle name="표준 5 2 2 5 2 4 2 6" xfId="34691" xr:uid="{00000000-0005-0000-0000-0000163F0000}"/>
    <cellStyle name="표준 5 2 2 5 2 4 2 7" xfId="42884" xr:uid="{00000000-0005-0000-0000-0000173F0000}"/>
    <cellStyle name="표준 5 2 2 5 2 4 3" xfId="7822" xr:uid="{00000000-0005-0000-0000-0000183F0000}"/>
    <cellStyle name="표준 5 2 2 5 2 4 3 2" xfId="28528" xr:uid="{00000000-0005-0000-0000-0000193F0000}"/>
    <cellStyle name="표준 5 2 2 5 2 4 3 3" xfId="36739" xr:uid="{00000000-0005-0000-0000-00001A3F0000}"/>
    <cellStyle name="표준 5 2 2 5 2 4 3 4" xfId="44932" xr:uid="{00000000-0005-0000-0000-00001B3F0000}"/>
    <cellStyle name="표준 5 2 2 5 2 4 4" xfId="11934" xr:uid="{00000000-0005-0000-0000-00001C3F0000}"/>
    <cellStyle name="표준 5 2 2 5 2 4 5" xfId="16174" xr:uid="{00000000-0005-0000-0000-00001D3F0000}"/>
    <cellStyle name="표준 5 2 2 5 2 4 6" xfId="20336" xr:uid="{00000000-0005-0000-0000-00001E3F0000}"/>
    <cellStyle name="표준 5 2 2 5 2 4 7" xfId="24432" xr:uid="{00000000-0005-0000-0000-00001F3F0000}"/>
    <cellStyle name="표준 5 2 2 5 2 4 8" xfId="32643" xr:uid="{00000000-0005-0000-0000-0000203F0000}"/>
    <cellStyle name="표준 5 2 2 5 2 4 9" xfId="40836" xr:uid="{00000000-0005-0000-0000-0000213F0000}"/>
    <cellStyle name="표준 5 2 2 5 2 5" xfId="1479" xr:uid="{00000000-0005-0000-0000-0000223F0000}"/>
    <cellStyle name="표준 5 2 2 5 2 5 2" xfId="10382" xr:uid="{00000000-0005-0000-0000-0000233F0000}"/>
    <cellStyle name="표준 5 2 2 5 2 5 2 2" xfId="14494" xr:uid="{00000000-0005-0000-0000-0000243F0000}"/>
    <cellStyle name="표준 5 2 2 5 2 5 2 2 2" xfId="31088" xr:uid="{00000000-0005-0000-0000-0000253F0000}"/>
    <cellStyle name="표준 5 2 2 5 2 5 2 2 3" xfId="39299" xr:uid="{00000000-0005-0000-0000-0000263F0000}"/>
    <cellStyle name="표준 5 2 2 5 2 5 2 2 4" xfId="47492" xr:uid="{00000000-0005-0000-0000-0000273F0000}"/>
    <cellStyle name="표준 5 2 2 5 2 5 2 3" xfId="18734" xr:uid="{00000000-0005-0000-0000-0000283F0000}"/>
    <cellStyle name="표준 5 2 2 5 2 5 2 4" xfId="22896" xr:uid="{00000000-0005-0000-0000-0000293F0000}"/>
    <cellStyle name="표준 5 2 2 5 2 5 2 5" xfId="26992" xr:uid="{00000000-0005-0000-0000-00002A3F0000}"/>
    <cellStyle name="표준 5 2 2 5 2 5 2 6" xfId="35203" xr:uid="{00000000-0005-0000-0000-00002B3F0000}"/>
    <cellStyle name="표준 5 2 2 5 2 5 2 7" xfId="43396" xr:uid="{00000000-0005-0000-0000-00002C3F0000}"/>
    <cellStyle name="표준 5 2 2 5 2 5 3" xfId="8334" xr:uid="{00000000-0005-0000-0000-00002D3F0000}"/>
    <cellStyle name="표준 5 2 2 5 2 5 3 2" xfId="29040" xr:uid="{00000000-0005-0000-0000-00002E3F0000}"/>
    <cellStyle name="표준 5 2 2 5 2 5 3 3" xfId="37251" xr:uid="{00000000-0005-0000-0000-00002F3F0000}"/>
    <cellStyle name="표준 5 2 2 5 2 5 3 4" xfId="45444" xr:uid="{00000000-0005-0000-0000-0000303F0000}"/>
    <cellStyle name="표준 5 2 2 5 2 5 4" xfId="12446" xr:uid="{00000000-0005-0000-0000-0000313F0000}"/>
    <cellStyle name="표준 5 2 2 5 2 5 5" xfId="16686" xr:uid="{00000000-0005-0000-0000-0000323F0000}"/>
    <cellStyle name="표준 5 2 2 5 2 5 6" xfId="20848" xr:uid="{00000000-0005-0000-0000-0000333F0000}"/>
    <cellStyle name="표준 5 2 2 5 2 5 7" xfId="24944" xr:uid="{00000000-0005-0000-0000-0000343F0000}"/>
    <cellStyle name="표준 5 2 2 5 2 5 8" xfId="33155" xr:uid="{00000000-0005-0000-0000-0000353F0000}"/>
    <cellStyle name="표준 5 2 2 5 2 5 9" xfId="41348" xr:uid="{00000000-0005-0000-0000-0000363F0000}"/>
    <cellStyle name="표준 5 2 2 5 2 6" xfId="1991" xr:uid="{00000000-0005-0000-0000-0000373F0000}"/>
    <cellStyle name="표준 5 2 2 5 2 6 2" xfId="10894" xr:uid="{00000000-0005-0000-0000-0000383F0000}"/>
    <cellStyle name="표준 5 2 2 5 2 6 2 2" xfId="15006" xr:uid="{00000000-0005-0000-0000-0000393F0000}"/>
    <cellStyle name="표준 5 2 2 5 2 6 2 2 2" xfId="31600" xr:uid="{00000000-0005-0000-0000-00003A3F0000}"/>
    <cellStyle name="표준 5 2 2 5 2 6 2 2 3" xfId="39811" xr:uid="{00000000-0005-0000-0000-00003B3F0000}"/>
    <cellStyle name="표준 5 2 2 5 2 6 2 2 4" xfId="48004" xr:uid="{00000000-0005-0000-0000-00003C3F0000}"/>
    <cellStyle name="표준 5 2 2 5 2 6 2 3" xfId="19246" xr:uid="{00000000-0005-0000-0000-00003D3F0000}"/>
    <cellStyle name="표준 5 2 2 5 2 6 2 4" xfId="23408" xr:uid="{00000000-0005-0000-0000-00003E3F0000}"/>
    <cellStyle name="표준 5 2 2 5 2 6 2 5" xfId="27504" xr:uid="{00000000-0005-0000-0000-00003F3F0000}"/>
    <cellStyle name="표준 5 2 2 5 2 6 2 6" xfId="35715" xr:uid="{00000000-0005-0000-0000-0000403F0000}"/>
    <cellStyle name="표준 5 2 2 5 2 6 2 7" xfId="43908" xr:uid="{00000000-0005-0000-0000-0000413F0000}"/>
    <cellStyle name="표준 5 2 2 5 2 6 3" xfId="8846" xr:uid="{00000000-0005-0000-0000-0000423F0000}"/>
    <cellStyle name="표준 5 2 2 5 2 6 3 2" xfId="29552" xr:uid="{00000000-0005-0000-0000-0000433F0000}"/>
    <cellStyle name="표준 5 2 2 5 2 6 3 3" xfId="37763" xr:uid="{00000000-0005-0000-0000-0000443F0000}"/>
    <cellStyle name="표준 5 2 2 5 2 6 3 4" xfId="45956" xr:uid="{00000000-0005-0000-0000-0000453F0000}"/>
    <cellStyle name="표준 5 2 2 5 2 6 4" xfId="12958" xr:uid="{00000000-0005-0000-0000-0000463F0000}"/>
    <cellStyle name="표준 5 2 2 5 2 6 5" xfId="17198" xr:uid="{00000000-0005-0000-0000-0000473F0000}"/>
    <cellStyle name="표준 5 2 2 5 2 6 6" xfId="21360" xr:uid="{00000000-0005-0000-0000-0000483F0000}"/>
    <cellStyle name="표준 5 2 2 5 2 6 7" xfId="25456" xr:uid="{00000000-0005-0000-0000-0000493F0000}"/>
    <cellStyle name="표준 5 2 2 5 2 6 8" xfId="33667" xr:uid="{00000000-0005-0000-0000-00004A3F0000}"/>
    <cellStyle name="표준 5 2 2 5 2 6 9" xfId="41860" xr:uid="{00000000-0005-0000-0000-00004B3F0000}"/>
    <cellStyle name="표준 5 2 2 5 2 7" xfId="7051" xr:uid="{00000000-0005-0000-0000-00004C3F0000}"/>
    <cellStyle name="표준 5 2 2 5 2 7 2" xfId="9358" xr:uid="{00000000-0005-0000-0000-00004D3F0000}"/>
    <cellStyle name="표준 5 2 2 5 2 7 2 2" xfId="30064" xr:uid="{00000000-0005-0000-0000-00004E3F0000}"/>
    <cellStyle name="표준 5 2 2 5 2 7 2 3" xfId="38275" xr:uid="{00000000-0005-0000-0000-00004F3F0000}"/>
    <cellStyle name="표준 5 2 2 5 2 7 2 4" xfId="46468" xr:uid="{00000000-0005-0000-0000-0000503F0000}"/>
    <cellStyle name="표준 5 2 2 5 2 7 3" xfId="13470" xr:uid="{00000000-0005-0000-0000-0000513F0000}"/>
    <cellStyle name="표준 5 2 2 5 2 7 4" xfId="17710" xr:uid="{00000000-0005-0000-0000-0000523F0000}"/>
    <cellStyle name="표준 5 2 2 5 2 7 5" xfId="21872" xr:uid="{00000000-0005-0000-0000-0000533F0000}"/>
    <cellStyle name="표준 5 2 2 5 2 7 6" xfId="25968" xr:uid="{00000000-0005-0000-0000-0000543F0000}"/>
    <cellStyle name="표준 5 2 2 5 2 7 7" xfId="34179" xr:uid="{00000000-0005-0000-0000-0000553F0000}"/>
    <cellStyle name="표준 5 2 2 5 2 7 8" xfId="42372" xr:uid="{00000000-0005-0000-0000-0000563F0000}"/>
    <cellStyle name="표준 5 2 2 5 2 8" xfId="7127" xr:uid="{00000000-0005-0000-0000-0000573F0000}"/>
    <cellStyle name="표준 5 2 2 5 2 8 2" xfId="28016" xr:uid="{00000000-0005-0000-0000-0000583F0000}"/>
    <cellStyle name="표준 5 2 2 5 2 8 3" xfId="36227" xr:uid="{00000000-0005-0000-0000-0000593F0000}"/>
    <cellStyle name="표준 5 2 2 5 2 8 4" xfId="44420" xr:uid="{00000000-0005-0000-0000-00005A3F0000}"/>
    <cellStyle name="표준 5 2 2 5 2 9" xfId="7310" xr:uid="{00000000-0005-0000-0000-00005B3F0000}"/>
    <cellStyle name="표준 5 2 2 5 3" xfId="519" xr:uid="{00000000-0005-0000-0000-00005C3F0000}"/>
    <cellStyle name="표준 5 2 2 5 3 10" xfId="19888" xr:uid="{00000000-0005-0000-0000-00005D3F0000}"/>
    <cellStyle name="표준 5 2 2 5 3 11" xfId="23984" xr:uid="{00000000-0005-0000-0000-00005E3F0000}"/>
    <cellStyle name="표준 5 2 2 5 3 12" xfId="32195" xr:uid="{00000000-0005-0000-0000-00005F3F0000}"/>
    <cellStyle name="표준 5 2 2 5 3 13" xfId="40388" xr:uid="{00000000-0005-0000-0000-0000603F0000}"/>
    <cellStyle name="표준 5 2 2 5 3 2" xfId="775" xr:uid="{00000000-0005-0000-0000-0000613F0000}"/>
    <cellStyle name="표준 5 2 2 5 3 2 10" xfId="24240" xr:uid="{00000000-0005-0000-0000-0000623F0000}"/>
    <cellStyle name="표준 5 2 2 5 3 2 11" xfId="32451" xr:uid="{00000000-0005-0000-0000-0000633F0000}"/>
    <cellStyle name="표준 5 2 2 5 3 2 12" xfId="40644" xr:uid="{00000000-0005-0000-0000-0000643F0000}"/>
    <cellStyle name="표준 5 2 2 5 3 2 2" xfId="1287" xr:uid="{00000000-0005-0000-0000-0000653F0000}"/>
    <cellStyle name="표준 5 2 2 5 3 2 2 2" xfId="10190" xr:uid="{00000000-0005-0000-0000-0000663F0000}"/>
    <cellStyle name="표준 5 2 2 5 3 2 2 2 2" xfId="14302" xr:uid="{00000000-0005-0000-0000-0000673F0000}"/>
    <cellStyle name="표준 5 2 2 5 3 2 2 2 2 2" xfId="30896" xr:uid="{00000000-0005-0000-0000-0000683F0000}"/>
    <cellStyle name="표준 5 2 2 5 3 2 2 2 2 3" xfId="39107" xr:uid="{00000000-0005-0000-0000-0000693F0000}"/>
    <cellStyle name="표준 5 2 2 5 3 2 2 2 2 4" xfId="47300" xr:uid="{00000000-0005-0000-0000-00006A3F0000}"/>
    <cellStyle name="표준 5 2 2 5 3 2 2 2 3" xfId="18542" xr:uid="{00000000-0005-0000-0000-00006B3F0000}"/>
    <cellStyle name="표준 5 2 2 5 3 2 2 2 4" xfId="22704" xr:uid="{00000000-0005-0000-0000-00006C3F0000}"/>
    <cellStyle name="표준 5 2 2 5 3 2 2 2 5" xfId="26800" xr:uid="{00000000-0005-0000-0000-00006D3F0000}"/>
    <cellStyle name="표준 5 2 2 5 3 2 2 2 6" xfId="35011" xr:uid="{00000000-0005-0000-0000-00006E3F0000}"/>
    <cellStyle name="표준 5 2 2 5 3 2 2 2 7" xfId="43204" xr:uid="{00000000-0005-0000-0000-00006F3F0000}"/>
    <cellStyle name="표준 5 2 2 5 3 2 2 3" xfId="8142" xr:uid="{00000000-0005-0000-0000-0000703F0000}"/>
    <cellStyle name="표준 5 2 2 5 3 2 2 3 2" xfId="28848" xr:uid="{00000000-0005-0000-0000-0000713F0000}"/>
    <cellStyle name="표준 5 2 2 5 3 2 2 3 3" xfId="37059" xr:uid="{00000000-0005-0000-0000-0000723F0000}"/>
    <cellStyle name="표준 5 2 2 5 3 2 2 3 4" xfId="45252" xr:uid="{00000000-0005-0000-0000-0000733F0000}"/>
    <cellStyle name="표준 5 2 2 5 3 2 2 4" xfId="12254" xr:uid="{00000000-0005-0000-0000-0000743F0000}"/>
    <cellStyle name="표준 5 2 2 5 3 2 2 5" xfId="16494" xr:uid="{00000000-0005-0000-0000-0000753F0000}"/>
    <cellStyle name="표준 5 2 2 5 3 2 2 6" xfId="20656" xr:uid="{00000000-0005-0000-0000-0000763F0000}"/>
    <cellStyle name="표준 5 2 2 5 3 2 2 7" xfId="24752" xr:uid="{00000000-0005-0000-0000-0000773F0000}"/>
    <cellStyle name="표준 5 2 2 5 3 2 2 8" xfId="32963" xr:uid="{00000000-0005-0000-0000-0000783F0000}"/>
    <cellStyle name="표준 5 2 2 5 3 2 2 9" xfId="41156" xr:uid="{00000000-0005-0000-0000-0000793F0000}"/>
    <cellStyle name="표준 5 2 2 5 3 2 3" xfId="1799" xr:uid="{00000000-0005-0000-0000-00007A3F0000}"/>
    <cellStyle name="표준 5 2 2 5 3 2 3 2" xfId="10702" xr:uid="{00000000-0005-0000-0000-00007B3F0000}"/>
    <cellStyle name="표준 5 2 2 5 3 2 3 2 2" xfId="14814" xr:uid="{00000000-0005-0000-0000-00007C3F0000}"/>
    <cellStyle name="표준 5 2 2 5 3 2 3 2 2 2" xfId="31408" xr:uid="{00000000-0005-0000-0000-00007D3F0000}"/>
    <cellStyle name="표준 5 2 2 5 3 2 3 2 2 3" xfId="39619" xr:uid="{00000000-0005-0000-0000-00007E3F0000}"/>
    <cellStyle name="표준 5 2 2 5 3 2 3 2 2 4" xfId="47812" xr:uid="{00000000-0005-0000-0000-00007F3F0000}"/>
    <cellStyle name="표준 5 2 2 5 3 2 3 2 3" xfId="19054" xr:uid="{00000000-0005-0000-0000-0000803F0000}"/>
    <cellStyle name="표준 5 2 2 5 3 2 3 2 4" xfId="23216" xr:uid="{00000000-0005-0000-0000-0000813F0000}"/>
    <cellStyle name="표준 5 2 2 5 3 2 3 2 5" xfId="27312" xr:uid="{00000000-0005-0000-0000-0000823F0000}"/>
    <cellStyle name="표준 5 2 2 5 3 2 3 2 6" xfId="35523" xr:uid="{00000000-0005-0000-0000-0000833F0000}"/>
    <cellStyle name="표준 5 2 2 5 3 2 3 2 7" xfId="43716" xr:uid="{00000000-0005-0000-0000-0000843F0000}"/>
    <cellStyle name="표준 5 2 2 5 3 2 3 3" xfId="8654" xr:uid="{00000000-0005-0000-0000-0000853F0000}"/>
    <cellStyle name="표준 5 2 2 5 3 2 3 3 2" xfId="29360" xr:uid="{00000000-0005-0000-0000-0000863F0000}"/>
    <cellStyle name="표준 5 2 2 5 3 2 3 3 3" xfId="37571" xr:uid="{00000000-0005-0000-0000-0000873F0000}"/>
    <cellStyle name="표준 5 2 2 5 3 2 3 3 4" xfId="45764" xr:uid="{00000000-0005-0000-0000-0000883F0000}"/>
    <cellStyle name="표준 5 2 2 5 3 2 3 4" xfId="12766" xr:uid="{00000000-0005-0000-0000-0000893F0000}"/>
    <cellStyle name="표준 5 2 2 5 3 2 3 5" xfId="17006" xr:uid="{00000000-0005-0000-0000-00008A3F0000}"/>
    <cellStyle name="표준 5 2 2 5 3 2 3 6" xfId="21168" xr:uid="{00000000-0005-0000-0000-00008B3F0000}"/>
    <cellStyle name="표준 5 2 2 5 3 2 3 7" xfId="25264" xr:uid="{00000000-0005-0000-0000-00008C3F0000}"/>
    <cellStyle name="표준 5 2 2 5 3 2 3 8" xfId="33475" xr:uid="{00000000-0005-0000-0000-00008D3F0000}"/>
    <cellStyle name="표준 5 2 2 5 3 2 3 9" xfId="41668" xr:uid="{00000000-0005-0000-0000-00008E3F0000}"/>
    <cellStyle name="표준 5 2 2 5 3 2 4" xfId="2311" xr:uid="{00000000-0005-0000-0000-00008F3F0000}"/>
    <cellStyle name="표준 5 2 2 5 3 2 4 2" xfId="11214" xr:uid="{00000000-0005-0000-0000-0000903F0000}"/>
    <cellStyle name="표준 5 2 2 5 3 2 4 2 2" xfId="15326" xr:uid="{00000000-0005-0000-0000-0000913F0000}"/>
    <cellStyle name="표준 5 2 2 5 3 2 4 2 2 2" xfId="31920" xr:uid="{00000000-0005-0000-0000-0000923F0000}"/>
    <cellStyle name="표준 5 2 2 5 3 2 4 2 2 3" xfId="40131" xr:uid="{00000000-0005-0000-0000-0000933F0000}"/>
    <cellStyle name="표준 5 2 2 5 3 2 4 2 2 4" xfId="48324" xr:uid="{00000000-0005-0000-0000-0000943F0000}"/>
    <cellStyle name="표준 5 2 2 5 3 2 4 2 3" xfId="19566" xr:uid="{00000000-0005-0000-0000-0000953F0000}"/>
    <cellStyle name="표준 5 2 2 5 3 2 4 2 4" xfId="23728" xr:uid="{00000000-0005-0000-0000-0000963F0000}"/>
    <cellStyle name="표준 5 2 2 5 3 2 4 2 5" xfId="27824" xr:uid="{00000000-0005-0000-0000-0000973F0000}"/>
    <cellStyle name="표준 5 2 2 5 3 2 4 2 6" xfId="36035" xr:uid="{00000000-0005-0000-0000-0000983F0000}"/>
    <cellStyle name="표준 5 2 2 5 3 2 4 2 7" xfId="44228" xr:uid="{00000000-0005-0000-0000-0000993F0000}"/>
    <cellStyle name="표준 5 2 2 5 3 2 4 3" xfId="9166" xr:uid="{00000000-0005-0000-0000-00009A3F0000}"/>
    <cellStyle name="표준 5 2 2 5 3 2 4 3 2" xfId="29872" xr:uid="{00000000-0005-0000-0000-00009B3F0000}"/>
    <cellStyle name="표준 5 2 2 5 3 2 4 3 3" xfId="38083" xr:uid="{00000000-0005-0000-0000-00009C3F0000}"/>
    <cellStyle name="표준 5 2 2 5 3 2 4 3 4" xfId="46276" xr:uid="{00000000-0005-0000-0000-00009D3F0000}"/>
    <cellStyle name="표준 5 2 2 5 3 2 4 4" xfId="13278" xr:uid="{00000000-0005-0000-0000-00009E3F0000}"/>
    <cellStyle name="표준 5 2 2 5 3 2 4 5" xfId="17518" xr:uid="{00000000-0005-0000-0000-00009F3F0000}"/>
    <cellStyle name="표준 5 2 2 5 3 2 4 6" xfId="21680" xr:uid="{00000000-0005-0000-0000-0000A03F0000}"/>
    <cellStyle name="표준 5 2 2 5 3 2 4 7" xfId="25776" xr:uid="{00000000-0005-0000-0000-0000A13F0000}"/>
    <cellStyle name="표준 5 2 2 5 3 2 4 8" xfId="33987" xr:uid="{00000000-0005-0000-0000-0000A23F0000}"/>
    <cellStyle name="표준 5 2 2 5 3 2 4 9" xfId="42180" xr:uid="{00000000-0005-0000-0000-0000A33F0000}"/>
    <cellStyle name="표준 5 2 2 5 3 2 5" xfId="9678" xr:uid="{00000000-0005-0000-0000-0000A43F0000}"/>
    <cellStyle name="표준 5 2 2 5 3 2 5 2" xfId="13790" xr:uid="{00000000-0005-0000-0000-0000A53F0000}"/>
    <cellStyle name="표준 5 2 2 5 3 2 5 2 2" xfId="30384" xr:uid="{00000000-0005-0000-0000-0000A63F0000}"/>
    <cellStyle name="표준 5 2 2 5 3 2 5 2 3" xfId="38595" xr:uid="{00000000-0005-0000-0000-0000A73F0000}"/>
    <cellStyle name="표준 5 2 2 5 3 2 5 2 4" xfId="46788" xr:uid="{00000000-0005-0000-0000-0000A83F0000}"/>
    <cellStyle name="표준 5 2 2 5 3 2 5 3" xfId="18030" xr:uid="{00000000-0005-0000-0000-0000A93F0000}"/>
    <cellStyle name="표준 5 2 2 5 3 2 5 4" xfId="22192" xr:uid="{00000000-0005-0000-0000-0000AA3F0000}"/>
    <cellStyle name="표준 5 2 2 5 3 2 5 5" xfId="26288" xr:uid="{00000000-0005-0000-0000-0000AB3F0000}"/>
    <cellStyle name="표준 5 2 2 5 3 2 5 6" xfId="34499" xr:uid="{00000000-0005-0000-0000-0000AC3F0000}"/>
    <cellStyle name="표준 5 2 2 5 3 2 5 7" xfId="42692" xr:uid="{00000000-0005-0000-0000-0000AD3F0000}"/>
    <cellStyle name="표준 5 2 2 5 3 2 6" xfId="7630" xr:uid="{00000000-0005-0000-0000-0000AE3F0000}"/>
    <cellStyle name="표준 5 2 2 5 3 2 6 2" xfId="28336" xr:uid="{00000000-0005-0000-0000-0000AF3F0000}"/>
    <cellStyle name="표준 5 2 2 5 3 2 6 3" xfId="36547" xr:uid="{00000000-0005-0000-0000-0000B03F0000}"/>
    <cellStyle name="표준 5 2 2 5 3 2 6 4" xfId="44740" xr:uid="{00000000-0005-0000-0000-0000B13F0000}"/>
    <cellStyle name="표준 5 2 2 5 3 2 7" xfId="11742" xr:uid="{00000000-0005-0000-0000-0000B23F0000}"/>
    <cellStyle name="표준 5 2 2 5 3 2 8" xfId="15982" xr:uid="{00000000-0005-0000-0000-0000B33F0000}"/>
    <cellStyle name="표준 5 2 2 5 3 2 9" xfId="20144" xr:uid="{00000000-0005-0000-0000-0000B43F0000}"/>
    <cellStyle name="표준 5 2 2 5 3 3" xfId="1031" xr:uid="{00000000-0005-0000-0000-0000B53F0000}"/>
    <cellStyle name="표준 5 2 2 5 3 3 2" xfId="9934" xr:uid="{00000000-0005-0000-0000-0000B63F0000}"/>
    <cellStyle name="표준 5 2 2 5 3 3 2 2" xfId="14046" xr:uid="{00000000-0005-0000-0000-0000B73F0000}"/>
    <cellStyle name="표준 5 2 2 5 3 3 2 2 2" xfId="30640" xr:uid="{00000000-0005-0000-0000-0000B83F0000}"/>
    <cellStyle name="표준 5 2 2 5 3 3 2 2 3" xfId="38851" xr:uid="{00000000-0005-0000-0000-0000B93F0000}"/>
    <cellStyle name="표준 5 2 2 5 3 3 2 2 4" xfId="47044" xr:uid="{00000000-0005-0000-0000-0000BA3F0000}"/>
    <cellStyle name="표준 5 2 2 5 3 3 2 3" xfId="18286" xr:uid="{00000000-0005-0000-0000-0000BB3F0000}"/>
    <cellStyle name="표준 5 2 2 5 3 3 2 4" xfId="22448" xr:uid="{00000000-0005-0000-0000-0000BC3F0000}"/>
    <cellStyle name="표준 5 2 2 5 3 3 2 5" xfId="26544" xr:uid="{00000000-0005-0000-0000-0000BD3F0000}"/>
    <cellStyle name="표준 5 2 2 5 3 3 2 6" xfId="34755" xr:uid="{00000000-0005-0000-0000-0000BE3F0000}"/>
    <cellStyle name="표준 5 2 2 5 3 3 2 7" xfId="42948" xr:uid="{00000000-0005-0000-0000-0000BF3F0000}"/>
    <cellStyle name="표준 5 2 2 5 3 3 3" xfId="7886" xr:uid="{00000000-0005-0000-0000-0000C03F0000}"/>
    <cellStyle name="표준 5 2 2 5 3 3 3 2" xfId="28592" xr:uid="{00000000-0005-0000-0000-0000C13F0000}"/>
    <cellStyle name="표준 5 2 2 5 3 3 3 3" xfId="36803" xr:uid="{00000000-0005-0000-0000-0000C23F0000}"/>
    <cellStyle name="표준 5 2 2 5 3 3 3 4" xfId="44996" xr:uid="{00000000-0005-0000-0000-0000C33F0000}"/>
    <cellStyle name="표준 5 2 2 5 3 3 4" xfId="11998" xr:uid="{00000000-0005-0000-0000-0000C43F0000}"/>
    <cellStyle name="표준 5 2 2 5 3 3 5" xfId="16238" xr:uid="{00000000-0005-0000-0000-0000C53F0000}"/>
    <cellStyle name="표준 5 2 2 5 3 3 6" xfId="20400" xr:uid="{00000000-0005-0000-0000-0000C63F0000}"/>
    <cellStyle name="표준 5 2 2 5 3 3 7" xfId="24496" xr:uid="{00000000-0005-0000-0000-0000C73F0000}"/>
    <cellStyle name="표준 5 2 2 5 3 3 8" xfId="32707" xr:uid="{00000000-0005-0000-0000-0000C83F0000}"/>
    <cellStyle name="표준 5 2 2 5 3 3 9" xfId="40900" xr:uid="{00000000-0005-0000-0000-0000C93F0000}"/>
    <cellStyle name="표준 5 2 2 5 3 4" xfId="1543" xr:uid="{00000000-0005-0000-0000-0000CA3F0000}"/>
    <cellStyle name="표준 5 2 2 5 3 4 2" xfId="10446" xr:uid="{00000000-0005-0000-0000-0000CB3F0000}"/>
    <cellStyle name="표준 5 2 2 5 3 4 2 2" xfId="14558" xr:uid="{00000000-0005-0000-0000-0000CC3F0000}"/>
    <cellStyle name="표준 5 2 2 5 3 4 2 2 2" xfId="31152" xr:uid="{00000000-0005-0000-0000-0000CD3F0000}"/>
    <cellStyle name="표준 5 2 2 5 3 4 2 2 3" xfId="39363" xr:uid="{00000000-0005-0000-0000-0000CE3F0000}"/>
    <cellStyle name="표준 5 2 2 5 3 4 2 2 4" xfId="47556" xr:uid="{00000000-0005-0000-0000-0000CF3F0000}"/>
    <cellStyle name="표준 5 2 2 5 3 4 2 3" xfId="18798" xr:uid="{00000000-0005-0000-0000-0000D03F0000}"/>
    <cellStyle name="표준 5 2 2 5 3 4 2 4" xfId="22960" xr:uid="{00000000-0005-0000-0000-0000D13F0000}"/>
    <cellStyle name="표준 5 2 2 5 3 4 2 5" xfId="27056" xr:uid="{00000000-0005-0000-0000-0000D23F0000}"/>
    <cellStyle name="표준 5 2 2 5 3 4 2 6" xfId="35267" xr:uid="{00000000-0005-0000-0000-0000D33F0000}"/>
    <cellStyle name="표준 5 2 2 5 3 4 2 7" xfId="43460" xr:uid="{00000000-0005-0000-0000-0000D43F0000}"/>
    <cellStyle name="표준 5 2 2 5 3 4 3" xfId="8398" xr:uid="{00000000-0005-0000-0000-0000D53F0000}"/>
    <cellStyle name="표준 5 2 2 5 3 4 3 2" xfId="29104" xr:uid="{00000000-0005-0000-0000-0000D63F0000}"/>
    <cellStyle name="표준 5 2 2 5 3 4 3 3" xfId="37315" xr:uid="{00000000-0005-0000-0000-0000D73F0000}"/>
    <cellStyle name="표준 5 2 2 5 3 4 3 4" xfId="45508" xr:uid="{00000000-0005-0000-0000-0000D83F0000}"/>
    <cellStyle name="표준 5 2 2 5 3 4 4" xfId="12510" xr:uid="{00000000-0005-0000-0000-0000D93F0000}"/>
    <cellStyle name="표준 5 2 2 5 3 4 5" xfId="16750" xr:uid="{00000000-0005-0000-0000-0000DA3F0000}"/>
    <cellStyle name="표준 5 2 2 5 3 4 6" xfId="20912" xr:uid="{00000000-0005-0000-0000-0000DB3F0000}"/>
    <cellStyle name="표준 5 2 2 5 3 4 7" xfId="25008" xr:uid="{00000000-0005-0000-0000-0000DC3F0000}"/>
    <cellStyle name="표준 5 2 2 5 3 4 8" xfId="33219" xr:uid="{00000000-0005-0000-0000-0000DD3F0000}"/>
    <cellStyle name="표준 5 2 2 5 3 4 9" xfId="41412" xr:uid="{00000000-0005-0000-0000-0000DE3F0000}"/>
    <cellStyle name="표준 5 2 2 5 3 5" xfId="2055" xr:uid="{00000000-0005-0000-0000-0000DF3F0000}"/>
    <cellStyle name="표준 5 2 2 5 3 5 2" xfId="10958" xr:uid="{00000000-0005-0000-0000-0000E03F0000}"/>
    <cellStyle name="표준 5 2 2 5 3 5 2 2" xfId="15070" xr:uid="{00000000-0005-0000-0000-0000E13F0000}"/>
    <cellStyle name="표준 5 2 2 5 3 5 2 2 2" xfId="31664" xr:uid="{00000000-0005-0000-0000-0000E23F0000}"/>
    <cellStyle name="표준 5 2 2 5 3 5 2 2 3" xfId="39875" xr:uid="{00000000-0005-0000-0000-0000E33F0000}"/>
    <cellStyle name="표준 5 2 2 5 3 5 2 2 4" xfId="48068" xr:uid="{00000000-0005-0000-0000-0000E43F0000}"/>
    <cellStyle name="표준 5 2 2 5 3 5 2 3" xfId="19310" xr:uid="{00000000-0005-0000-0000-0000E53F0000}"/>
    <cellStyle name="표준 5 2 2 5 3 5 2 4" xfId="23472" xr:uid="{00000000-0005-0000-0000-0000E63F0000}"/>
    <cellStyle name="표준 5 2 2 5 3 5 2 5" xfId="27568" xr:uid="{00000000-0005-0000-0000-0000E73F0000}"/>
    <cellStyle name="표준 5 2 2 5 3 5 2 6" xfId="35779" xr:uid="{00000000-0005-0000-0000-0000E83F0000}"/>
    <cellStyle name="표준 5 2 2 5 3 5 2 7" xfId="43972" xr:uid="{00000000-0005-0000-0000-0000E93F0000}"/>
    <cellStyle name="표준 5 2 2 5 3 5 3" xfId="8910" xr:uid="{00000000-0005-0000-0000-0000EA3F0000}"/>
    <cellStyle name="표준 5 2 2 5 3 5 3 2" xfId="29616" xr:uid="{00000000-0005-0000-0000-0000EB3F0000}"/>
    <cellStyle name="표준 5 2 2 5 3 5 3 3" xfId="37827" xr:uid="{00000000-0005-0000-0000-0000EC3F0000}"/>
    <cellStyle name="표준 5 2 2 5 3 5 3 4" xfId="46020" xr:uid="{00000000-0005-0000-0000-0000ED3F0000}"/>
    <cellStyle name="표준 5 2 2 5 3 5 4" xfId="13022" xr:uid="{00000000-0005-0000-0000-0000EE3F0000}"/>
    <cellStyle name="표준 5 2 2 5 3 5 5" xfId="17262" xr:uid="{00000000-0005-0000-0000-0000EF3F0000}"/>
    <cellStyle name="표준 5 2 2 5 3 5 6" xfId="21424" xr:uid="{00000000-0005-0000-0000-0000F03F0000}"/>
    <cellStyle name="표준 5 2 2 5 3 5 7" xfId="25520" xr:uid="{00000000-0005-0000-0000-0000F13F0000}"/>
    <cellStyle name="표준 5 2 2 5 3 5 8" xfId="33731" xr:uid="{00000000-0005-0000-0000-0000F23F0000}"/>
    <cellStyle name="표준 5 2 2 5 3 5 9" xfId="41924" xr:uid="{00000000-0005-0000-0000-0000F33F0000}"/>
    <cellStyle name="표준 5 2 2 5 3 6" xfId="9422" xr:uid="{00000000-0005-0000-0000-0000F43F0000}"/>
    <cellStyle name="표준 5 2 2 5 3 6 2" xfId="13534" xr:uid="{00000000-0005-0000-0000-0000F53F0000}"/>
    <cellStyle name="표준 5 2 2 5 3 6 2 2" xfId="30128" xr:uid="{00000000-0005-0000-0000-0000F63F0000}"/>
    <cellStyle name="표준 5 2 2 5 3 6 2 3" xfId="38339" xr:uid="{00000000-0005-0000-0000-0000F73F0000}"/>
    <cellStyle name="표준 5 2 2 5 3 6 2 4" xfId="46532" xr:uid="{00000000-0005-0000-0000-0000F83F0000}"/>
    <cellStyle name="표준 5 2 2 5 3 6 3" xfId="17774" xr:uid="{00000000-0005-0000-0000-0000F93F0000}"/>
    <cellStyle name="표준 5 2 2 5 3 6 4" xfId="21936" xr:uid="{00000000-0005-0000-0000-0000FA3F0000}"/>
    <cellStyle name="표준 5 2 2 5 3 6 5" xfId="26032" xr:uid="{00000000-0005-0000-0000-0000FB3F0000}"/>
    <cellStyle name="표준 5 2 2 5 3 6 6" xfId="34243" xr:uid="{00000000-0005-0000-0000-0000FC3F0000}"/>
    <cellStyle name="표준 5 2 2 5 3 6 7" xfId="42436" xr:uid="{00000000-0005-0000-0000-0000FD3F0000}"/>
    <cellStyle name="표준 5 2 2 5 3 7" xfId="7374" xr:uid="{00000000-0005-0000-0000-0000FE3F0000}"/>
    <cellStyle name="표준 5 2 2 5 3 7 2" xfId="28080" xr:uid="{00000000-0005-0000-0000-0000FF3F0000}"/>
    <cellStyle name="표준 5 2 2 5 3 7 3" xfId="36291" xr:uid="{00000000-0005-0000-0000-000000400000}"/>
    <cellStyle name="표준 5 2 2 5 3 7 4" xfId="44484" xr:uid="{00000000-0005-0000-0000-000001400000}"/>
    <cellStyle name="표준 5 2 2 5 3 8" xfId="11486" xr:uid="{00000000-0005-0000-0000-000002400000}"/>
    <cellStyle name="표준 5 2 2 5 3 9" xfId="15726" xr:uid="{00000000-0005-0000-0000-000003400000}"/>
    <cellStyle name="표준 5 2 2 5 4" xfId="647" xr:uid="{00000000-0005-0000-0000-000004400000}"/>
    <cellStyle name="표준 5 2 2 5 4 10" xfId="24112" xr:uid="{00000000-0005-0000-0000-000005400000}"/>
    <cellStyle name="표준 5 2 2 5 4 11" xfId="32323" xr:uid="{00000000-0005-0000-0000-000006400000}"/>
    <cellStyle name="표준 5 2 2 5 4 12" xfId="40516" xr:uid="{00000000-0005-0000-0000-000007400000}"/>
    <cellStyle name="표준 5 2 2 5 4 2" xfId="1159" xr:uid="{00000000-0005-0000-0000-000008400000}"/>
    <cellStyle name="표준 5 2 2 5 4 2 2" xfId="10062" xr:uid="{00000000-0005-0000-0000-000009400000}"/>
    <cellStyle name="표준 5 2 2 5 4 2 2 2" xfId="14174" xr:uid="{00000000-0005-0000-0000-00000A400000}"/>
    <cellStyle name="표준 5 2 2 5 4 2 2 2 2" xfId="30768" xr:uid="{00000000-0005-0000-0000-00000B400000}"/>
    <cellStyle name="표준 5 2 2 5 4 2 2 2 3" xfId="38979" xr:uid="{00000000-0005-0000-0000-00000C400000}"/>
    <cellStyle name="표준 5 2 2 5 4 2 2 2 4" xfId="47172" xr:uid="{00000000-0005-0000-0000-00000D400000}"/>
    <cellStyle name="표준 5 2 2 5 4 2 2 3" xfId="18414" xr:uid="{00000000-0005-0000-0000-00000E400000}"/>
    <cellStyle name="표준 5 2 2 5 4 2 2 4" xfId="22576" xr:uid="{00000000-0005-0000-0000-00000F400000}"/>
    <cellStyle name="표준 5 2 2 5 4 2 2 5" xfId="26672" xr:uid="{00000000-0005-0000-0000-000010400000}"/>
    <cellStyle name="표준 5 2 2 5 4 2 2 6" xfId="34883" xr:uid="{00000000-0005-0000-0000-000011400000}"/>
    <cellStyle name="표준 5 2 2 5 4 2 2 7" xfId="43076" xr:uid="{00000000-0005-0000-0000-000012400000}"/>
    <cellStyle name="표준 5 2 2 5 4 2 3" xfId="8014" xr:uid="{00000000-0005-0000-0000-000013400000}"/>
    <cellStyle name="표준 5 2 2 5 4 2 3 2" xfId="28720" xr:uid="{00000000-0005-0000-0000-000014400000}"/>
    <cellStyle name="표준 5 2 2 5 4 2 3 3" xfId="36931" xr:uid="{00000000-0005-0000-0000-000015400000}"/>
    <cellStyle name="표준 5 2 2 5 4 2 3 4" xfId="45124" xr:uid="{00000000-0005-0000-0000-000016400000}"/>
    <cellStyle name="표준 5 2 2 5 4 2 4" xfId="12126" xr:uid="{00000000-0005-0000-0000-000017400000}"/>
    <cellStyle name="표준 5 2 2 5 4 2 5" xfId="16366" xr:uid="{00000000-0005-0000-0000-000018400000}"/>
    <cellStyle name="표준 5 2 2 5 4 2 6" xfId="20528" xr:uid="{00000000-0005-0000-0000-000019400000}"/>
    <cellStyle name="표준 5 2 2 5 4 2 7" xfId="24624" xr:uid="{00000000-0005-0000-0000-00001A400000}"/>
    <cellStyle name="표준 5 2 2 5 4 2 8" xfId="32835" xr:uid="{00000000-0005-0000-0000-00001B400000}"/>
    <cellStyle name="표준 5 2 2 5 4 2 9" xfId="41028" xr:uid="{00000000-0005-0000-0000-00001C400000}"/>
    <cellStyle name="표준 5 2 2 5 4 3" xfId="1671" xr:uid="{00000000-0005-0000-0000-00001D400000}"/>
    <cellStyle name="표준 5 2 2 5 4 3 2" xfId="10574" xr:uid="{00000000-0005-0000-0000-00001E400000}"/>
    <cellStyle name="표준 5 2 2 5 4 3 2 2" xfId="14686" xr:uid="{00000000-0005-0000-0000-00001F400000}"/>
    <cellStyle name="표준 5 2 2 5 4 3 2 2 2" xfId="31280" xr:uid="{00000000-0005-0000-0000-000020400000}"/>
    <cellStyle name="표준 5 2 2 5 4 3 2 2 3" xfId="39491" xr:uid="{00000000-0005-0000-0000-000021400000}"/>
    <cellStyle name="표준 5 2 2 5 4 3 2 2 4" xfId="47684" xr:uid="{00000000-0005-0000-0000-000022400000}"/>
    <cellStyle name="표준 5 2 2 5 4 3 2 3" xfId="18926" xr:uid="{00000000-0005-0000-0000-000023400000}"/>
    <cellStyle name="표준 5 2 2 5 4 3 2 4" xfId="23088" xr:uid="{00000000-0005-0000-0000-000024400000}"/>
    <cellStyle name="표준 5 2 2 5 4 3 2 5" xfId="27184" xr:uid="{00000000-0005-0000-0000-000025400000}"/>
    <cellStyle name="표준 5 2 2 5 4 3 2 6" xfId="35395" xr:uid="{00000000-0005-0000-0000-000026400000}"/>
    <cellStyle name="표준 5 2 2 5 4 3 2 7" xfId="43588" xr:uid="{00000000-0005-0000-0000-000027400000}"/>
    <cellStyle name="표준 5 2 2 5 4 3 3" xfId="8526" xr:uid="{00000000-0005-0000-0000-000028400000}"/>
    <cellStyle name="표준 5 2 2 5 4 3 3 2" xfId="29232" xr:uid="{00000000-0005-0000-0000-000029400000}"/>
    <cellStyle name="표준 5 2 2 5 4 3 3 3" xfId="37443" xr:uid="{00000000-0005-0000-0000-00002A400000}"/>
    <cellStyle name="표준 5 2 2 5 4 3 3 4" xfId="45636" xr:uid="{00000000-0005-0000-0000-00002B400000}"/>
    <cellStyle name="표준 5 2 2 5 4 3 4" xfId="12638" xr:uid="{00000000-0005-0000-0000-00002C400000}"/>
    <cellStyle name="표준 5 2 2 5 4 3 5" xfId="16878" xr:uid="{00000000-0005-0000-0000-00002D400000}"/>
    <cellStyle name="표준 5 2 2 5 4 3 6" xfId="21040" xr:uid="{00000000-0005-0000-0000-00002E400000}"/>
    <cellStyle name="표준 5 2 2 5 4 3 7" xfId="25136" xr:uid="{00000000-0005-0000-0000-00002F400000}"/>
    <cellStyle name="표준 5 2 2 5 4 3 8" xfId="33347" xr:uid="{00000000-0005-0000-0000-000030400000}"/>
    <cellStyle name="표준 5 2 2 5 4 3 9" xfId="41540" xr:uid="{00000000-0005-0000-0000-000031400000}"/>
    <cellStyle name="표준 5 2 2 5 4 4" xfId="2183" xr:uid="{00000000-0005-0000-0000-000032400000}"/>
    <cellStyle name="표준 5 2 2 5 4 4 2" xfId="11086" xr:uid="{00000000-0005-0000-0000-000033400000}"/>
    <cellStyle name="표준 5 2 2 5 4 4 2 2" xfId="15198" xr:uid="{00000000-0005-0000-0000-000034400000}"/>
    <cellStyle name="표준 5 2 2 5 4 4 2 2 2" xfId="31792" xr:uid="{00000000-0005-0000-0000-000035400000}"/>
    <cellStyle name="표준 5 2 2 5 4 4 2 2 3" xfId="40003" xr:uid="{00000000-0005-0000-0000-000036400000}"/>
    <cellStyle name="표준 5 2 2 5 4 4 2 2 4" xfId="48196" xr:uid="{00000000-0005-0000-0000-000037400000}"/>
    <cellStyle name="표준 5 2 2 5 4 4 2 3" xfId="19438" xr:uid="{00000000-0005-0000-0000-000038400000}"/>
    <cellStyle name="표준 5 2 2 5 4 4 2 4" xfId="23600" xr:uid="{00000000-0005-0000-0000-000039400000}"/>
    <cellStyle name="표준 5 2 2 5 4 4 2 5" xfId="27696" xr:uid="{00000000-0005-0000-0000-00003A400000}"/>
    <cellStyle name="표준 5 2 2 5 4 4 2 6" xfId="35907" xr:uid="{00000000-0005-0000-0000-00003B400000}"/>
    <cellStyle name="표준 5 2 2 5 4 4 2 7" xfId="44100" xr:uid="{00000000-0005-0000-0000-00003C400000}"/>
    <cellStyle name="표준 5 2 2 5 4 4 3" xfId="9038" xr:uid="{00000000-0005-0000-0000-00003D400000}"/>
    <cellStyle name="표준 5 2 2 5 4 4 3 2" xfId="29744" xr:uid="{00000000-0005-0000-0000-00003E400000}"/>
    <cellStyle name="표준 5 2 2 5 4 4 3 3" xfId="37955" xr:uid="{00000000-0005-0000-0000-00003F400000}"/>
    <cellStyle name="표준 5 2 2 5 4 4 3 4" xfId="46148" xr:uid="{00000000-0005-0000-0000-000040400000}"/>
    <cellStyle name="표준 5 2 2 5 4 4 4" xfId="13150" xr:uid="{00000000-0005-0000-0000-000041400000}"/>
    <cellStyle name="표준 5 2 2 5 4 4 5" xfId="17390" xr:uid="{00000000-0005-0000-0000-000042400000}"/>
    <cellStyle name="표준 5 2 2 5 4 4 6" xfId="21552" xr:uid="{00000000-0005-0000-0000-000043400000}"/>
    <cellStyle name="표준 5 2 2 5 4 4 7" xfId="25648" xr:uid="{00000000-0005-0000-0000-000044400000}"/>
    <cellStyle name="표준 5 2 2 5 4 4 8" xfId="33859" xr:uid="{00000000-0005-0000-0000-000045400000}"/>
    <cellStyle name="표준 5 2 2 5 4 4 9" xfId="42052" xr:uid="{00000000-0005-0000-0000-000046400000}"/>
    <cellStyle name="표준 5 2 2 5 4 5" xfId="9550" xr:uid="{00000000-0005-0000-0000-000047400000}"/>
    <cellStyle name="표준 5 2 2 5 4 5 2" xfId="13662" xr:uid="{00000000-0005-0000-0000-000048400000}"/>
    <cellStyle name="표준 5 2 2 5 4 5 2 2" xfId="30256" xr:uid="{00000000-0005-0000-0000-000049400000}"/>
    <cellStyle name="표준 5 2 2 5 4 5 2 3" xfId="38467" xr:uid="{00000000-0005-0000-0000-00004A400000}"/>
    <cellStyle name="표준 5 2 2 5 4 5 2 4" xfId="46660" xr:uid="{00000000-0005-0000-0000-00004B400000}"/>
    <cellStyle name="표준 5 2 2 5 4 5 3" xfId="17902" xr:uid="{00000000-0005-0000-0000-00004C400000}"/>
    <cellStyle name="표준 5 2 2 5 4 5 4" xfId="22064" xr:uid="{00000000-0005-0000-0000-00004D400000}"/>
    <cellStyle name="표준 5 2 2 5 4 5 5" xfId="26160" xr:uid="{00000000-0005-0000-0000-00004E400000}"/>
    <cellStyle name="표준 5 2 2 5 4 5 6" xfId="34371" xr:uid="{00000000-0005-0000-0000-00004F400000}"/>
    <cellStyle name="표준 5 2 2 5 4 5 7" xfId="42564" xr:uid="{00000000-0005-0000-0000-000050400000}"/>
    <cellStyle name="표준 5 2 2 5 4 6" xfId="7502" xr:uid="{00000000-0005-0000-0000-000051400000}"/>
    <cellStyle name="표준 5 2 2 5 4 6 2" xfId="28208" xr:uid="{00000000-0005-0000-0000-000052400000}"/>
    <cellStyle name="표준 5 2 2 5 4 6 3" xfId="36419" xr:uid="{00000000-0005-0000-0000-000053400000}"/>
    <cellStyle name="표준 5 2 2 5 4 6 4" xfId="44612" xr:uid="{00000000-0005-0000-0000-000054400000}"/>
    <cellStyle name="표준 5 2 2 5 4 7" xfId="11614" xr:uid="{00000000-0005-0000-0000-000055400000}"/>
    <cellStyle name="표준 5 2 2 5 4 8" xfId="15854" xr:uid="{00000000-0005-0000-0000-000056400000}"/>
    <cellStyle name="표준 5 2 2 5 4 9" xfId="20016" xr:uid="{00000000-0005-0000-0000-000057400000}"/>
    <cellStyle name="표준 5 2 2 5 5" xfId="903" xr:uid="{00000000-0005-0000-0000-000058400000}"/>
    <cellStyle name="표준 5 2 2 5 5 2" xfId="9806" xr:uid="{00000000-0005-0000-0000-000059400000}"/>
    <cellStyle name="표준 5 2 2 5 5 2 2" xfId="13918" xr:uid="{00000000-0005-0000-0000-00005A400000}"/>
    <cellStyle name="표준 5 2 2 5 5 2 2 2" xfId="30512" xr:uid="{00000000-0005-0000-0000-00005B400000}"/>
    <cellStyle name="표준 5 2 2 5 5 2 2 3" xfId="38723" xr:uid="{00000000-0005-0000-0000-00005C400000}"/>
    <cellStyle name="표준 5 2 2 5 5 2 2 4" xfId="46916" xr:uid="{00000000-0005-0000-0000-00005D400000}"/>
    <cellStyle name="표준 5 2 2 5 5 2 3" xfId="18158" xr:uid="{00000000-0005-0000-0000-00005E400000}"/>
    <cellStyle name="표준 5 2 2 5 5 2 4" xfId="22320" xr:uid="{00000000-0005-0000-0000-00005F400000}"/>
    <cellStyle name="표준 5 2 2 5 5 2 5" xfId="26416" xr:uid="{00000000-0005-0000-0000-000060400000}"/>
    <cellStyle name="표준 5 2 2 5 5 2 6" xfId="34627" xr:uid="{00000000-0005-0000-0000-000061400000}"/>
    <cellStyle name="표준 5 2 2 5 5 2 7" xfId="42820" xr:uid="{00000000-0005-0000-0000-000062400000}"/>
    <cellStyle name="표준 5 2 2 5 5 3" xfId="7758" xr:uid="{00000000-0005-0000-0000-000063400000}"/>
    <cellStyle name="표준 5 2 2 5 5 3 2" xfId="28464" xr:uid="{00000000-0005-0000-0000-000064400000}"/>
    <cellStyle name="표준 5 2 2 5 5 3 3" xfId="36675" xr:uid="{00000000-0005-0000-0000-000065400000}"/>
    <cellStyle name="표준 5 2 2 5 5 3 4" xfId="44868" xr:uid="{00000000-0005-0000-0000-000066400000}"/>
    <cellStyle name="표준 5 2 2 5 5 4" xfId="11870" xr:uid="{00000000-0005-0000-0000-000067400000}"/>
    <cellStyle name="표준 5 2 2 5 5 5" xfId="16110" xr:uid="{00000000-0005-0000-0000-000068400000}"/>
    <cellStyle name="표준 5 2 2 5 5 6" xfId="20272" xr:uid="{00000000-0005-0000-0000-000069400000}"/>
    <cellStyle name="표준 5 2 2 5 5 7" xfId="24368" xr:uid="{00000000-0005-0000-0000-00006A400000}"/>
    <cellStyle name="표준 5 2 2 5 5 8" xfId="32579" xr:uid="{00000000-0005-0000-0000-00006B400000}"/>
    <cellStyle name="표준 5 2 2 5 5 9" xfId="40772" xr:uid="{00000000-0005-0000-0000-00006C400000}"/>
    <cellStyle name="표준 5 2 2 5 6" xfId="1415" xr:uid="{00000000-0005-0000-0000-00006D400000}"/>
    <cellStyle name="표준 5 2 2 5 6 2" xfId="10318" xr:uid="{00000000-0005-0000-0000-00006E400000}"/>
    <cellStyle name="표준 5 2 2 5 6 2 2" xfId="14430" xr:uid="{00000000-0005-0000-0000-00006F400000}"/>
    <cellStyle name="표준 5 2 2 5 6 2 2 2" xfId="31024" xr:uid="{00000000-0005-0000-0000-000070400000}"/>
    <cellStyle name="표준 5 2 2 5 6 2 2 3" xfId="39235" xr:uid="{00000000-0005-0000-0000-000071400000}"/>
    <cellStyle name="표준 5 2 2 5 6 2 2 4" xfId="47428" xr:uid="{00000000-0005-0000-0000-000072400000}"/>
    <cellStyle name="표준 5 2 2 5 6 2 3" xfId="18670" xr:uid="{00000000-0005-0000-0000-000073400000}"/>
    <cellStyle name="표준 5 2 2 5 6 2 4" xfId="22832" xr:uid="{00000000-0005-0000-0000-000074400000}"/>
    <cellStyle name="표준 5 2 2 5 6 2 5" xfId="26928" xr:uid="{00000000-0005-0000-0000-000075400000}"/>
    <cellStyle name="표준 5 2 2 5 6 2 6" xfId="35139" xr:uid="{00000000-0005-0000-0000-000076400000}"/>
    <cellStyle name="표준 5 2 2 5 6 2 7" xfId="43332" xr:uid="{00000000-0005-0000-0000-000077400000}"/>
    <cellStyle name="표준 5 2 2 5 6 3" xfId="8270" xr:uid="{00000000-0005-0000-0000-000078400000}"/>
    <cellStyle name="표준 5 2 2 5 6 3 2" xfId="28976" xr:uid="{00000000-0005-0000-0000-000079400000}"/>
    <cellStyle name="표준 5 2 2 5 6 3 3" xfId="37187" xr:uid="{00000000-0005-0000-0000-00007A400000}"/>
    <cellStyle name="표준 5 2 2 5 6 3 4" xfId="45380" xr:uid="{00000000-0005-0000-0000-00007B400000}"/>
    <cellStyle name="표준 5 2 2 5 6 4" xfId="12382" xr:uid="{00000000-0005-0000-0000-00007C400000}"/>
    <cellStyle name="표준 5 2 2 5 6 5" xfId="16622" xr:uid="{00000000-0005-0000-0000-00007D400000}"/>
    <cellStyle name="표준 5 2 2 5 6 6" xfId="20784" xr:uid="{00000000-0005-0000-0000-00007E400000}"/>
    <cellStyle name="표준 5 2 2 5 6 7" xfId="24880" xr:uid="{00000000-0005-0000-0000-00007F400000}"/>
    <cellStyle name="표준 5 2 2 5 6 8" xfId="33091" xr:uid="{00000000-0005-0000-0000-000080400000}"/>
    <cellStyle name="표준 5 2 2 5 6 9" xfId="41284" xr:uid="{00000000-0005-0000-0000-000081400000}"/>
    <cellStyle name="표준 5 2 2 5 7" xfId="1927" xr:uid="{00000000-0005-0000-0000-000082400000}"/>
    <cellStyle name="표준 5 2 2 5 7 2" xfId="10830" xr:uid="{00000000-0005-0000-0000-000083400000}"/>
    <cellStyle name="표준 5 2 2 5 7 2 2" xfId="14942" xr:uid="{00000000-0005-0000-0000-000084400000}"/>
    <cellStyle name="표준 5 2 2 5 7 2 2 2" xfId="31536" xr:uid="{00000000-0005-0000-0000-000085400000}"/>
    <cellStyle name="표준 5 2 2 5 7 2 2 3" xfId="39747" xr:uid="{00000000-0005-0000-0000-000086400000}"/>
    <cellStyle name="표준 5 2 2 5 7 2 2 4" xfId="47940" xr:uid="{00000000-0005-0000-0000-000087400000}"/>
    <cellStyle name="표준 5 2 2 5 7 2 3" xfId="19182" xr:uid="{00000000-0005-0000-0000-000088400000}"/>
    <cellStyle name="표준 5 2 2 5 7 2 4" xfId="23344" xr:uid="{00000000-0005-0000-0000-000089400000}"/>
    <cellStyle name="표준 5 2 2 5 7 2 5" xfId="27440" xr:uid="{00000000-0005-0000-0000-00008A400000}"/>
    <cellStyle name="표준 5 2 2 5 7 2 6" xfId="35651" xr:uid="{00000000-0005-0000-0000-00008B400000}"/>
    <cellStyle name="표준 5 2 2 5 7 2 7" xfId="43844" xr:uid="{00000000-0005-0000-0000-00008C400000}"/>
    <cellStyle name="표준 5 2 2 5 7 3" xfId="8782" xr:uid="{00000000-0005-0000-0000-00008D400000}"/>
    <cellStyle name="표준 5 2 2 5 7 3 2" xfId="29488" xr:uid="{00000000-0005-0000-0000-00008E400000}"/>
    <cellStyle name="표준 5 2 2 5 7 3 3" xfId="37699" xr:uid="{00000000-0005-0000-0000-00008F400000}"/>
    <cellStyle name="표준 5 2 2 5 7 3 4" xfId="45892" xr:uid="{00000000-0005-0000-0000-000090400000}"/>
    <cellStyle name="표준 5 2 2 5 7 4" xfId="12894" xr:uid="{00000000-0005-0000-0000-000091400000}"/>
    <cellStyle name="표준 5 2 2 5 7 5" xfId="17134" xr:uid="{00000000-0005-0000-0000-000092400000}"/>
    <cellStyle name="표준 5 2 2 5 7 6" xfId="21296" xr:uid="{00000000-0005-0000-0000-000093400000}"/>
    <cellStyle name="표준 5 2 2 5 7 7" xfId="25392" xr:uid="{00000000-0005-0000-0000-000094400000}"/>
    <cellStyle name="표준 5 2 2 5 7 8" xfId="33603" xr:uid="{00000000-0005-0000-0000-000095400000}"/>
    <cellStyle name="표준 5 2 2 5 7 9" xfId="41796" xr:uid="{00000000-0005-0000-0000-000096400000}"/>
    <cellStyle name="표준 5 2 2 5 8" xfId="391" xr:uid="{00000000-0005-0000-0000-000097400000}"/>
    <cellStyle name="표준 5 2 2 5 8 2" xfId="9294" xr:uid="{00000000-0005-0000-0000-000098400000}"/>
    <cellStyle name="표준 5 2 2 5 8 2 2" xfId="30000" xr:uid="{00000000-0005-0000-0000-000099400000}"/>
    <cellStyle name="표준 5 2 2 5 8 2 3" xfId="38211" xr:uid="{00000000-0005-0000-0000-00009A400000}"/>
    <cellStyle name="표준 5 2 2 5 8 2 4" xfId="46404" xr:uid="{00000000-0005-0000-0000-00009B400000}"/>
    <cellStyle name="표준 5 2 2 5 8 3" xfId="13406" xr:uid="{00000000-0005-0000-0000-00009C400000}"/>
    <cellStyle name="표준 5 2 2 5 8 4" xfId="17646" xr:uid="{00000000-0005-0000-0000-00009D400000}"/>
    <cellStyle name="표준 5 2 2 5 8 5" xfId="21808" xr:uid="{00000000-0005-0000-0000-00009E400000}"/>
    <cellStyle name="표준 5 2 2 5 8 6" xfId="25904" xr:uid="{00000000-0005-0000-0000-00009F400000}"/>
    <cellStyle name="표준 5 2 2 5 8 7" xfId="34115" xr:uid="{00000000-0005-0000-0000-0000A0400000}"/>
    <cellStyle name="표준 5 2 2 5 8 8" xfId="42308" xr:uid="{00000000-0005-0000-0000-0000A1400000}"/>
    <cellStyle name="표준 5 2 2 5 9" xfId="6993" xr:uid="{00000000-0005-0000-0000-0000A2400000}"/>
    <cellStyle name="표준 5 2 2 5 9 2" xfId="27952" xr:uid="{00000000-0005-0000-0000-0000A3400000}"/>
    <cellStyle name="표준 5 2 2 5 9 3" xfId="36163" xr:uid="{00000000-0005-0000-0000-0000A4400000}"/>
    <cellStyle name="표준 5 2 2 5 9 4" xfId="44356" xr:uid="{00000000-0005-0000-0000-0000A5400000}"/>
    <cellStyle name="표준 5 2 2 6" xfId="423" xr:uid="{00000000-0005-0000-0000-0000A6400000}"/>
    <cellStyle name="표준 5 2 2 6 10" xfId="11390" xr:uid="{00000000-0005-0000-0000-0000A7400000}"/>
    <cellStyle name="표준 5 2 2 6 11" xfId="15502" xr:uid="{00000000-0005-0000-0000-0000A8400000}"/>
    <cellStyle name="표준 5 2 2 6 12" xfId="15630" xr:uid="{00000000-0005-0000-0000-0000A9400000}"/>
    <cellStyle name="표준 5 2 2 6 13" xfId="19792" xr:uid="{00000000-0005-0000-0000-0000AA400000}"/>
    <cellStyle name="표준 5 2 2 6 14" xfId="23888" xr:uid="{00000000-0005-0000-0000-0000AB400000}"/>
    <cellStyle name="표준 5 2 2 6 15" xfId="32099" xr:uid="{00000000-0005-0000-0000-0000AC400000}"/>
    <cellStyle name="표준 5 2 2 6 16" xfId="40292" xr:uid="{00000000-0005-0000-0000-0000AD400000}"/>
    <cellStyle name="표준 5 2 2 6 2" xfId="551" xr:uid="{00000000-0005-0000-0000-0000AE400000}"/>
    <cellStyle name="표준 5 2 2 6 2 10" xfId="19920" xr:uid="{00000000-0005-0000-0000-0000AF400000}"/>
    <cellStyle name="표준 5 2 2 6 2 11" xfId="24016" xr:uid="{00000000-0005-0000-0000-0000B0400000}"/>
    <cellStyle name="표준 5 2 2 6 2 12" xfId="32227" xr:uid="{00000000-0005-0000-0000-0000B1400000}"/>
    <cellStyle name="표준 5 2 2 6 2 13" xfId="40420" xr:uid="{00000000-0005-0000-0000-0000B2400000}"/>
    <cellStyle name="표준 5 2 2 6 2 2" xfId="807" xr:uid="{00000000-0005-0000-0000-0000B3400000}"/>
    <cellStyle name="표준 5 2 2 6 2 2 10" xfId="24272" xr:uid="{00000000-0005-0000-0000-0000B4400000}"/>
    <cellStyle name="표준 5 2 2 6 2 2 11" xfId="32483" xr:uid="{00000000-0005-0000-0000-0000B5400000}"/>
    <cellStyle name="표준 5 2 2 6 2 2 12" xfId="40676" xr:uid="{00000000-0005-0000-0000-0000B6400000}"/>
    <cellStyle name="표준 5 2 2 6 2 2 2" xfId="1319" xr:uid="{00000000-0005-0000-0000-0000B7400000}"/>
    <cellStyle name="표준 5 2 2 6 2 2 2 2" xfId="10222" xr:uid="{00000000-0005-0000-0000-0000B8400000}"/>
    <cellStyle name="표준 5 2 2 6 2 2 2 2 2" xfId="14334" xr:uid="{00000000-0005-0000-0000-0000B9400000}"/>
    <cellStyle name="표준 5 2 2 6 2 2 2 2 2 2" xfId="30928" xr:uid="{00000000-0005-0000-0000-0000BA400000}"/>
    <cellStyle name="표준 5 2 2 6 2 2 2 2 2 3" xfId="39139" xr:uid="{00000000-0005-0000-0000-0000BB400000}"/>
    <cellStyle name="표준 5 2 2 6 2 2 2 2 2 4" xfId="47332" xr:uid="{00000000-0005-0000-0000-0000BC400000}"/>
    <cellStyle name="표준 5 2 2 6 2 2 2 2 3" xfId="18574" xr:uid="{00000000-0005-0000-0000-0000BD400000}"/>
    <cellStyle name="표준 5 2 2 6 2 2 2 2 4" xfId="22736" xr:uid="{00000000-0005-0000-0000-0000BE400000}"/>
    <cellStyle name="표준 5 2 2 6 2 2 2 2 5" xfId="26832" xr:uid="{00000000-0005-0000-0000-0000BF400000}"/>
    <cellStyle name="표준 5 2 2 6 2 2 2 2 6" xfId="35043" xr:uid="{00000000-0005-0000-0000-0000C0400000}"/>
    <cellStyle name="표준 5 2 2 6 2 2 2 2 7" xfId="43236" xr:uid="{00000000-0005-0000-0000-0000C1400000}"/>
    <cellStyle name="표준 5 2 2 6 2 2 2 3" xfId="8174" xr:uid="{00000000-0005-0000-0000-0000C2400000}"/>
    <cellStyle name="표준 5 2 2 6 2 2 2 3 2" xfId="28880" xr:uid="{00000000-0005-0000-0000-0000C3400000}"/>
    <cellStyle name="표준 5 2 2 6 2 2 2 3 3" xfId="37091" xr:uid="{00000000-0005-0000-0000-0000C4400000}"/>
    <cellStyle name="표준 5 2 2 6 2 2 2 3 4" xfId="45284" xr:uid="{00000000-0005-0000-0000-0000C5400000}"/>
    <cellStyle name="표준 5 2 2 6 2 2 2 4" xfId="12286" xr:uid="{00000000-0005-0000-0000-0000C6400000}"/>
    <cellStyle name="표준 5 2 2 6 2 2 2 5" xfId="16526" xr:uid="{00000000-0005-0000-0000-0000C7400000}"/>
    <cellStyle name="표준 5 2 2 6 2 2 2 6" xfId="20688" xr:uid="{00000000-0005-0000-0000-0000C8400000}"/>
    <cellStyle name="표준 5 2 2 6 2 2 2 7" xfId="24784" xr:uid="{00000000-0005-0000-0000-0000C9400000}"/>
    <cellStyle name="표준 5 2 2 6 2 2 2 8" xfId="32995" xr:uid="{00000000-0005-0000-0000-0000CA400000}"/>
    <cellStyle name="표준 5 2 2 6 2 2 2 9" xfId="41188" xr:uid="{00000000-0005-0000-0000-0000CB400000}"/>
    <cellStyle name="표준 5 2 2 6 2 2 3" xfId="1831" xr:uid="{00000000-0005-0000-0000-0000CC400000}"/>
    <cellStyle name="표준 5 2 2 6 2 2 3 2" xfId="10734" xr:uid="{00000000-0005-0000-0000-0000CD400000}"/>
    <cellStyle name="표준 5 2 2 6 2 2 3 2 2" xfId="14846" xr:uid="{00000000-0005-0000-0000-0000CE400000}"/>
    <cellStyle name="표준 5 2 2 6 2 2 3 2 2 2" xfId="31440" xr:uid="{00000000-0005-0000-0000-0000CF400000}"/>
    <cellStyle name="표준 5 2 2 6 2 2 3 2 2 3" xfId="39651" xr:uid="{00000000-0005-0000-0000-0000D0400000}"/>
    <cellStyle name="표준 5 2 2 6 2 2 3 2 2 4" xfId="47844" xr:uid="{00000000-0005-0000-0000-0000D1400000}"/>
    <cellStyle name="표준 5 2 2 6 2 2 3 2 3" xfId="19086" xr:uid="{00000000-0005-0000-0000-0000D2400000}"/>
    <cellStyle name="표준 5 2 2 6 2 2 3 2 4" xfId="23248" xr:uid="{00000000-0005-0000-0000-0000D3400000}"/>
    <cellStyle name="표준 5 2 2 6 2 2 3 2 5" xfId="27344" xr:uid="{00000000-0005-0000-0000-0000D4400000}"/>
    <cellStyle name="표준 5 2 2 6 2 2 3 2 6" xfId="35555" xr:uid="{00000000-0005-0000-0000-0000D5400000}"/>
    <cellStyle name="표준 5 2 2 6 2 2 3 2 7" xfId="43748" xr:uid="{00000000-0005-0000-0000-0000D6400000}"/>
    <cellStyle name="표준 5 2 2 6 2 2 3 3" xfId="8686" xr:uid="{00000000-0005-0000-0000-0000D7400000}"/>
    <cellStyle name="표준 5 2 2 6 2 2 3 3 2" xfId="29392" xr:uid="{00000000-0005-0000-0000-0000D8400000}"/>
    <cellStyle name="표준 5 2 2 6 2 2 3 3 3" xfId="37603" xr:uid="{00000000-0005-0000-0000-0000D9400000}"/>
    <cellStyle name="표준 5 2 2 6 2 2 3 3 4" xfId="45796" xr:uid="{00000000-0005-0000-0000-0000DA400000}"/>
    <cellStyle name="표준 5 2 2 6 2 2 3 4" xfId="12798" xr:uid="{00000000-0005-0000-0000-0000DB400000}"/>
    <cellStyle name="표준 5 2 2 6 2 2 3 5" xfId="17038" xr:uid="{00000000-0005-0000-0000-0000DC400000}"/>
    <cellStyle name="표준 5 2 2 6 2 2 3 6" xfId="21200" xr:uid="{00000000-0005-0000-0000-0000DD400000}"/>
    <cellStyle name="표준 5 2 2 6 2 2 3 7" xfId="25296" xr:uid="{00000000-0005-0000-0000-0000DE400000}"/>
    <cellStyle name="표준 5 2 2 6 2 2 3 8" xfId="33507" xr:uid="{00000000-0005-0000-0000-0000DF400000}"/>
    <cellStyle name="표준 5 2 2 6 2 2 3 9" xfId="41700" xr:uid="{00000000-0005-0000-0000-0000E0400000}"/>
    <cellStyle name="표준 5 2 2 6 2 2 4" xfId="2343" xr:uid="{00000000-0005-0000-0000-0000E1400000}"/>
    <cellStyle name="표준 5 2 2 6 2 2 4 2" xfId="11246" xr:uid="{00000000-0005-0000-0000-0000E2400000}"/>
    <cellStyle name="표준 5 2 2 6 2 2 4 2 2" xfId="15358" xr:uid="{00000000-0005-0000-0000-0000E3400000}"/>
    <cellStyle name="표준 5 2 2 6 2 2 4 2 2 2" xfId="31952" xr:uid="{00000000-0005-0000-0000-0000E4400000}"/>
    <cellStyle name="표준 5 2 2 6 2 2 4 2 2 3" xfId="40163" xr:uid="{00000000-0005-0000-0000-0000E5400000}"/>
    <cellStyle name="표준 5 2 2 6 2 2 4 2 2 4" xfId="48356" xr:uid="{00000000-0005-0000-0000-0000E6400000}"/>
    <cellStyle name="표준 5 2 2 6 2 2 4 2 3" xfId="19598" xr:uid="{00000000-0005-0000-0000-0000E7400000}"/>
    <cellStyle name="표준 5 2 2 6 2 2 4 2 4" xfId="23760" xr:uid="{00000000-0005-0000-0000-0000E8400000}"/>
    <cellStyle name="표준 5 2 2 6 2 2 4 2 5" xfId="27856" xr:uid="{00000000-0005-0000-0000-0000E9400000}"/>
    <cellStyle name="표준 5 2 2 6 2 2 4 2 6" xfId="36067" xr:uid="{00000000-0005-0000-0000-0000EA400000}"/>
    <cellStyle name="표준 5 2 2 6 2 2 4 2 7" xfId="44260" xr:uid="{00000000-0005-0000-0000-0000EB400000}"/>
    <cellStyle name="표준 5 2 2 6 2 2 4 3" xfId="9198" xr:uid="{00000000-0005-0000-0000-0000EC400000}"/>
    <cellStyle name="표준 5 2 2 6 2 2 4 3 2" xfId="29904" xr:uid="{00000000-0005-0000-0000-0000ED400000}"/>
    <cellStyle name="표준 5 2 2 6 2 2 4 3 3" xfId="38115" xr:uid="{00000000-0005-0000-0000-0000EE400000}"/>
    <cellStyle name="표준 5 2 2 6 2 2 4 3 4" xfId="46308" xr:uid="{00000000-0005-0000-0000-0000EF400000}"/>
    <cellStyle name="표준 5 2 2 6 2 2 4 4" xfId="13310" xr:uid="{00000000-0005-0000-0000-0000F0400000}"/>
    <cellStyle name="표준 5 2 2 6 2 2 4 5" xfId="17550" xr:uid="{00000000-0005-0000-0000-0000F1400000}"/>
    <cellStyle name="표준 5 2 2 6 2 2 4 6" xfId="21712" xr:uid="{00000000-0005-0000-0000-0000F2400000}"/>
    <cellStyle name="표준 5 2 2 6 2 2 4 7" xfId="25808" xr:uid="{00000000-0005-0000-0000-0000F3400000}"/>
    <cellStyle name="표준 5 2 2 6 2 2 4 8" xfId="34019" xr:uid="{00000000-0005-0000-0000-0000F4400000}"/>
    <cellStyle name="표준 5 2 2 6 2 2 4 9" xfId="42212" xr:uid="{00000000-0005-0000-0000-0000F5400000}"/>
    <cellStyle name="표준 5 2 2 6 2 2 5" xfId="9710" xr:uid="{00000000-0005-0000-0000-0000F6400000}"/>
    <cellStyle name="표준 5 2 2 6 2 2 5 2" xfId="13822" xr:uid="{00000000-0005-0000-0000-0000F7400000}"/>
    <cellStyle name="표준 5 2 2 6 2 2 5 2 2" xfId="30416" xr:uid="{00000000-0005-0000-0000-0000F8400000}"/>
    <cellStyle name="표준 5 2 2 6 2 2 5 2 3" xfId="38627" xr:uid="{00000000-0005-0000-0000-0000F9400000}"/>
    <cellStyle name="표준 5 2 2 6 2 2 5 2 4" xfId="46820" xr:uid="{00000000-0005-0000-0000-0000FA400000}"/>
    <cellStyle name="표준 5 2 2 6 2 2 5 3" xfId="18062" xr:uid="{00000000-0005-0000-0000-0000FB400000}"/>
    <cellStyle name="표준 5 2 2 6 2 2 5 4" xfId="22224" xr:uid="{00000000-0005-0000-0000-0000FC400000}"/>
    <cellStyle name="표준 5 2 2 6 2 2 5 5" xfId="26320" xr:uid="{00000000-0005-0000-0000-0000FD400000}"/>
    <cellStyle name="표준 5 2 2 6 2 2 5 6" xfId="34531" xr:uid="{00000000-0005-0000-0000-0000FE400000}"/>
    <cellStyle name="표준 5 2 2 6 2 2 5 7" xfId="42724" xr:uid="{00000000-0005-0000-0000-0000FF400000}"/>
    <cellStyle name="표준 5 2 2 6 2 2 6" xfId="7662" xr:uid="{00000000-0005-0000-0000-000000410000}"/>
    <cellStyle name="표준 5 2 2 6 2 2 6 2" xfId="28368" xr:uid="{00000000-0005-0000-0000-000001410000}"/>
    <cellStyle name="표준 5 2 2 6 2 2 6 3" xfId="36579" xr:uid="{00000000-0005-0000-0000-000002410000}"/>
    <cellStyle name="표준 5 2 2 6 2 2 6 4" xfId="44772" xr:uid="{00000000-0005-0000-0000-000003410000}"/>
    <cellStyle name="표준 5 2 2 6 2 2 7" xfId="11774" xr:uid="{00000000-0005-0000-0000-000004410000}"/>
    <cellStyle name="표준 5 2 2 6 2 2 8" xfId="16014" xr:uid="{00000000-0005-0000-0000-000005410000}"/>
    <cellStyle name="표준 5 2 2 6 2 2 9" xfId="20176" xr:uid="{00000000-0005-0000-0000-000006410000}"/>
    <cellStyle name="표준 5 2 2 6 2 3" xfId="1063" xr:uid="{00000000-0005-0000-0000-000007410000}"/>
    <cellStyle name="표준 5 2 2 6 2 3 2" xfId="9966" xr:uid="{00000000-0005-0000-0000-000008410000}"/>
    <cellStyle name="표준 5 2 2 6 2 3 2 2" xfId="14078" xr:uid="{00000000-0005-0000-0000-000009410000}"/>
    <cellStyle name="표준 5 2 2 6 2 3 2 2 2" xfId="30672" xr:uid="{00000000-0005-0000-0000-00000A410000}"/>
    <cellStyle name="표준 5 2 2 6 2 3 2 2 3" xfId="38883" xr:uid="{00000000-0005-0000-0000-00000B410000}"/>
    <cellStyle name="표준 5 2 2 6 2 3 2 2 4" xfId="47076" xr:uid="{00000000-0005-0000-0000-00000C410000}"/>
    <cellStyle name="표준 5 2 2 6 2 3 2 3" xfId="18318" xr:uid="{00000000-0005-0000-0000-00000D410000}"/>
    <cellStyle name="표준 5 2 2 6 2 3 2 4" xfId="22480" xr:uid="{00000000-0005-0000-0000-00000E410000}"/>
    <cellStyle name="표준 5 2 2 6 2 3 2 5" xfId="26576" xr:uid="{00000000-0005-0000-0000-00000F410000}"/>
    <cellStyle name="표준 5 2 2 6 2 3 2 6" xfId="34787" xr:uid="{00000000-0005-0000-0000-000010410000}"/>
    <cellStyle name="표준 5 2 2 6 2 3 2 7" xfId="42980" xr:uid="{00000000-0005-0000-0000-000011410000}"/>
    <cellStyle name="표준 5 2 2 6 2 3 3" xfId="7918" xr:uid="{00000000-0005-0000-0000-000012410000}"/>
    <cellStyle name="표준 5 2 2 6 2 3 3 2" xfId="28624" xr:uid="{00000000-0005-0000-0000-000013410000}"/>
    <cellStyle name="표준 5 2 2 6 2 3 3 3" xfId="36835" xr:uid="{00000000-0005-0000-0000-000014410000}"/>
    <cellStyle name="표준 5 2 2 6 2 3 3 4" xfId="45028" xr:uid="{00000000-0005-0000-0000-000015410000}"/>
    <cellStyle name="표준 5 2 2 6 2 3 4" xfId="12030" xr:uid="{00000000-0005-0000-0000-000016410000}"/>
    <cellStyle name="표준 5 2 2 6 2 3 5" xfId="16270" xr:uid="{00000000-0005-0000-0000-000017410000}"/>
    <cellStyle name="표준 5 2 2 6 2 3 6" xfId="20432" xr:uid="{00000000-0005-0000-0000-000018410000}"/>
    <cellStyle name="표준 5 2 2 6 2 3 7" xfId="24528" xr:uid="{00000000-0005-0000-0000-000019410000}"/>
    <cellStyle name="표준 5 2 2 6 2 3 8" xfId="32739" xr:uid="{00000000-0005-0000-0000-00001A410000}"/>
    <cellStyle name="표준 5 2 2 6 2 3 9" xfId="40932" xr:uid="{00000000-0005-0000-0000-00001B410000}"/>
    <cellStyle name="표준 5 2 2 6 2 4" xfId="1575" xr:uid="{00000000-0005-0000-0000-00001C410000}"/>
    <cellStyle name="표준 5 2 2 6 2 4 2" xfId="10478" xr:uid="{00000000-0005-0000-0000-00001D410000}"/>
    <cellStyle name="표준 5 2 2 6 2 4 2 2" xfId="14590" xr:uid="{00000000-0005-0000-0000-00001E410000}"/>
    <cellStyle name="표준 5 2 2 6 2 4 2 2 2" xfId="31184" xr:uid="{00000000-0005-0000-0000-00001F410000}"/>
    <cellStyle name="표준 5 2 2 6 2 4 2 2 3" xfId="39395" xr:uid="{00000000-0005-0000-0000-000020410000}"/>
    <cellStyle name="표준 5 2 2 6 2 4 2 2 4" xfId="47588" xr:uid="{00000000-0005-0000-0000-000021410000}"/>
    <cellStyle name="표준 5 2 2 6 2 4 2 3" xfId="18830" xr:uid="{00000000-0005-0000-0000-000022410000}"/>
    <cellStyle name="표준 5 2 2 6 2 4 2 4" xfId="22992" xr:uid="{00000000-0005-0000-0000-000023410000}"/>
    <cellStyle name="표준 5 2 2 6 2 4 2 5" xfId="27088" xr:uid="{00000000-0005-0000-0000-000024410000}"/>
    <cellStyle name="표준 5 2 2 6 2 4 2 6" xfId="35299" xr:uid="{00000000-0005-0000-0000-000025410000}"/>
    <cellStyle name="표준 5 2 2 6 2 4 2 7" xfId="43492" xr:uid="{00000000-0005-0000-0000-000026410000}"/>
    <cellStyle name="표준 5 2 2 6 2 4 3" xfId="8430" xr:uid="{00000000-0005-0000-0000-000027410000}"/>
    <cellStyle name="표준 5 2 2 6 2 4 3 2" xfId="29136" xr:uid="{00000000-0005-0000-0000-000028410000}"/>
    <cellStyle name="표준 5 2 2 6 2 4 3 3" xfId="37347" xr:uid="{00000000-0005-0000-0000-000029410000}"/>
    <cellStyle name="표준 5 2 2 6 2 4 3 4" xfId="45540" xr:uid="{00000000-0005-0000-0000-00002A410000}"/>
    <cellStyle name="표준 5 2 2 6 2 4 4" xfId="12542" xr:uid="{00000000-0005-0000-0000-00002B410000}"/>
    <cellStyle name="표준 5 2 2 6 2 4 5" xfId="16782" xr:uid="{00000000-0005-0000-0000-00002C410000}"/>
    <cellStyle name="표준 5 2 2 6 2 4 6" xfId="20944" xr:uid="{00000000-0005-0000-0000-00002D410000}"/>
    <cellStyle name="표준 5 2 2 6 2 4 7" xfId="25040" xr:uid="{00000000-0005-0000-0000-00002E410000}"/>
    <cellStyle name="표준 5 2 2 6 2 4 8" xfId="33251" xr:uid="{00000000-0005-0000-0000-00002F410000}"/>
    <cellStyle name="표준 5 2 2 6 2 4 9" xfId="41444" xr:uid="{00000000-0005-0000-0000-000030410000}"/>
    <cellStyle name="표준 5 2 2 6 2 5" xfId="2087" xr:uid="{00000000-0005-0000-0000-000031410000}"/>
    <cellStyle name="표준 5 2 2 6 2 5 2" xfId="10990" xr:uid="{00000000-0005-0000-0000-000032410000}"/>
    <cellStyle name="표준 5 2 2 6 2 5 2 2" xfId="15102" xr:uid="{00000000-0005-0000-0000-000033410000}"/>
    <cellStyle name="표준 5 2 2 6 2 5 2 2 2" xfId="31696" xr:uid="{00000000-0005-0000-0000-000034410000}"/>
    <cellStyle name="표준 5 2 2 6 2 5 2 2 3" xfId="39907" xr:uid="{00000000-0005-0000-0000-000035410000}"/>
    <cellStyle name="표준 5 2 2 6 2 5 2 2 4" xfId="48100" xr:uid="{00000000-0005-0000-0000-000036410000}"/>
    <cellStyle name="표준 5 2 2 6 2 5 2 3" xfId="19342" xr:uid="{00000000-0005-0000-0000-000037410000}"/>
    <cellStyle name="표준 5 2 2 6 2 5 2 4" xfId="23504" xr:uid="{00000000-0005-0000-0000-000038410000}"/>
    <cellStyle name="표준 5 2 2 6 2 5 2 5" xfId="27600" xr:uid="{00000000-0005-0000-0000-000039410000}"/>
    <cellStyle name="표준 5 2 2 6 2 5 2 6" xfId="35811" xr:uid="{00000000-0005-0000-0000-00003A410000}"/>
    <cellStyle name="표준 5 2 2 6 2 5 2 7" xfId="44004" xr:uid="{00000000-0005-0000-0000-00003B410000}"/>
    <cellStyle name="표준 5 2 2 6 2 5 3" xfId="8942" xr:uid="{00000000-0005-0000-0000-00003C410000}"/>
    <cellStyle name="표준 5 2 2 6 2 5 3 2" xfId="29648" xr:uid="{00000000-0005-0000-0000-00003D410000}"/>
    <cellStyle name="표준 5 2 2 6 2 5 3 3" xfId="37859" xr:uid="{00000000-0005-0000-0000-00003E410000}"/>
    <cellStyle name="표준 5 2 2 6 2 5 3 4" xfId="46052" xr:uid="{00000000-0005-0000-0000-00003F410000}"/>
    <cellStyle name="표준 5 2 2 6 2 5 4" xfId="13054" xr:uid="{00000000-0005-0000-0000-000040410000}"/>
    <cellStyle name="표준 5 2 2 6 2 5 5" xfId="17294" xr:uid="{00000000-0005-0000-0000-000041410000}"/>
    <cellStyle name="표준 5 2 2 6 2 5 6" xfId="21456" xr:uid="{00000000-0005-0000-0000-000042410000}"/>
    <cellStyle name="표준 5 2 2 6 2 5 7" xfId="25552" xr:uid="{00000000-0005-0000-0000-000043410000}"/>
    <cellStyle name="표준 5 2 2 6 2 5 8" xfId="33763" xr:uid="{00000000-0005-0000-0000-000044410000}"/>
    <cellStyle name="표준 5 2 2 6 2 5 9" xfId="41956" xr:uid="{00000000-0005-0000-0000-000045410000}"/>
    <cellStyle name="표준 5 2 2 6 2 6" xfId="9454" xr:uid="{00000000-0005-0000-0000-000046410000}"/>
    <cellStyle name="표준 5 2 2 6 2 6 2" xfId="13566" xr:uid="{00000000-0005-0000-0000-000047410000}"/>
    <cellStyle name="표준 5 2 2 6 2 6 2 2" xfId="30160" xr:uid="{00000000-0005-0000-0000-000048410000}"/>
    <cellStyle name="표준 5 2 2 6 2 6 2 3" xfId="38371" xr:uid="{00000000-0005-0000-0000-000049410000}"/>
    <cellStyle name="표준 5 2 2 6 2 6 2 4" xfId="46564" xr:uid="{00000000-0005-0000-0000-00004A410000}"/>
    <cellStyle name="표준 5 2 2 6 2 6 3" xfId="17806" xr:uid="{00000000-0005-0000-0000-00004B410000}"/>
    <cellStyle name="표준 5 2 2 6 2 6 4" xfId="21968" xr:uid="{00000000-0005-0000-0000-00004C410000}"/>
    <cellStyle name="표준 5 2 2 6 2 6 5" xfId="26064" xr:uid="{00000000-0005-0000-0000-00004D410000}"/>
    <cellStyle name="표준 5 2 2 6 2 6 6" xfId="34275" xr:uid="{00000000-0005-0000-0000-00004E410000}"/>
    <cellStyle name="표준 5 2 2 6 2 6 7" xfId="42468" xr:uid="{00000000-0005-0000-0000-00004F410000}"/>
    <cellStyle name="표준 5 2 2 6 2 7" xfId="7406" xr:uid="{00000000-0005-0000-0000-000050410000}"/>
    <cellStyle name="표준 5 2 2 6 2 7 2" xfId="28112" xr:uid="{00000000-0005-0000-0000-000051410000}"/>
    <cellStyle name="표준 5 2 2 6 2 7 3" xfId="36323" xr:uid="{00000000-0005-0000-0000-000052410000}"/>
    <cellStyle name="표준 5 2 2 6 2 7 4" xfId="44516" xr:uid="{00000000-0005-0000-0000-000053410000}"/>
    <cellStyle name="표준 5 2 2 6 2 8" xfId="11518" xr:uid="{00000000-0005-0000-0000-000054410000}"/>
    <cellStyle name="표준 5 2 2 6 2 9" xfId="15758" xr:uid="{00000000-0005-0000-0000-000055410000}"/>
    <cellStyle name="표준 5 2 2 6 3" xfId="679" xr:uid="{00000000-0005-0000-0000-000056410000}"/>
    <cellStyle name="표준 5 2 2 6 3 10" xfId="24144" xr:uid="{00000000-0005-0000-0000-000057410000}"/>
    <cellStyle name="표준 5 2 2 6 3 11" xfId="32355" xr:uid="{00000000-0005-0000-0000-000058410000}"/>
    <cellStyle name="표준 5 2 2 6 3 12" xfId="40548" xr:uid="{00000000-0005-0000-0000-000059410000}"/>
    <cellStyle name="표준 5 2 2 6 3 2" xfId="1191" xr:uid="{00000000-0005-0000-0000-00005A410000}"/>
    <cellStyle name="표준 5 2 2 6 3 2 2" xfId="10094" xr:uid="{00000000-0005-0000-0000-00005B410000}"/>
    <cellStyle name="표준 5 2 2 6 3 2 2 2" xfId="14206" xr:uid="{00000000-0005-0000-0000-00005C410000}"/>
    <cellStyle name="표준 5 2 2 6 3 2 2 2 2" xfId="30800" xr:uid="{00000000-0005-0000-0000-00005D410000}"/>
    <cellStyle name="표준 5 2 2 6 3 2 2 2 3" xfId="39011" xr:uid="{00000000-0005-0000-0000-00005E410000}"/>
    <cellStyle name="표준 5 2 2 6 3 2 2 2 4" xfId="47204" xr:uid="{00000000-0005-0000-0000-00005F410000}"/>
    <cellStyle name="표준 5 2 2 6 3 2 2 3" xfId="18446" xr:uid="{00000000-0005-0000-0000-000060410000}"/>
    <cellStyle name="표준 5 2 2 6 3 2 2 4" xfId="22608" xr:uid="{00000000-0005-0000-0000-000061410000}"/>
    <cellStyle name="표준 5 2 2 6 3 2 2 5" xfId="26704" xr:uid="{00000000-0005-0000-0000-000062410000}"/>
    <cellStyle name="표준 5 2 2 6 3 2 2 6" xfId="34915" xr:uid="{00000000-0005-0000-0000-000063410000}"/>
    <cellStyle name="표준 5 2 2 6 3 2 2 7" xfId="43108" xr:uid="{00000000-0005-0000-0000-000064410000}"/>
    <cellStyle name="표준 5 2 2 6 3 2 3" xfId="8046" xr:uid="{00000000-0005-0000-0000-000065410000}"/>
    <cellStyle name="표준 5 2 2 6 3 2 3 2" xfId="28752" xr:uid="{00000000-0005-0000-0000-000066410000}"/>
    <cellStyle name="표준 5 2 2 6 3 2 3 3" xfId="36963" xr:uid="{00000000-0005-0000-0000-000067410000}"/>
    <cellStyle name="표준 5 2 2 6 3 2 3 4" xfId="45156" xr:uid="{00000000-0005-0000-0000-000068410000}"/>
    <cellStyle name="표준 5 2 2 6 3 2 4" xfId="12158" xr:uid="{00000000-0005-0000-0000-000069410000}"/>
    <cellStyle name="표준 5 2 2 6 3 2 5" xfId="16398" xr:uid="{00000000-0005-0000-0000-00006A410000}"/>
    <cellStyle name="표준 5 2 2 6 3 2 6" xfId="20560" xr:uid="{00000000-0005-0000-0000-00006B410000}"/>
    <cellStyle name="표준 5 2 2 6 3 2 7" xfId="24656" xr:uid="{00000000-0005-0000-0000-00006C410000}"/>
    <cellStyle name="표준 5 2 2 6 3 2 8" xfId="32867" xr:uid="{00000000-0005-0000-0000-00006D410000}"/>
    <cellStyle name="표준 5 2 2 6 3 2 9" xfId="41060" xr:uid="{00000000-0005-0000-0000-00006E410000}"/>
    <cellStyle name="표준 5 2 2 6 3 3" xfId="1703" xr:uid="{00000000-0005-0000-0000-00006F410000}"/>
    <cellStyle name="표준 5 2 2 6 3 3 2" xfId="10606" xr:uid="{00000000-0005-0000-0000-000070410000}"/>
    <cellStyle name="표준 5 2 2 6 3 3 2 2" xfId="14718" xr:uid="{00000000-0005-0000-0000-000071410000}"/>
    <cellStyle name="표준 5 2 2 6 3 3 2 2 2" xfId="31312" xr:uid="{00000000-0005-0000-0000-000072410000}"/>
    <cellStyle name="표준 5 2 2 6 3 3 2 2 3" xfId="39523" xr:uid="{00000000-0005-0000-0000-000073410000}"/>
    <cellStyle name="표준 5 2 2 6 3 3 2 2 4" xfId="47716" xr:uid="{00000000-0005-0000-0000-000074410000}"/>
    <cellStyle name="표준 5 2 2 6 3 3 2 3" xfId="18958" xr:uid="{00000000-0005-0000-0000-000075410000}"/>
    <cellStyle name="표준 5 2 2 6 3 3 2 4" xfId="23120" xr:uid="{00000000-0005-0000-0000-000076410000}"/>
    <cellStyle name="표준 5 2 2 6 3 3 2 5" xfId="27216" xr:uid="{00000000-0005-0000-0000-000077410000}"/>
    <cellStyle name="표준 5 2 2 6 3 3 2 6" xfId="35427" xr:uid="{00000000-0005-0000-0000-000078410000}"/>
    <cellStyle name="표준 5 2 2 6 3 3 2 7" xfId="43620" xr:uid="{00000000-0005-0000-0000-000079410000}"/>
    <cellStyle name="표준 5 2 2 6 3 3 3" xfId="8558" xr:uid="{00000000-0005-0000-0000-00007A410000}"/>
    <cellStyle name="표준 5 2 2 6 3 3 3 2" xfId="29264" xr:uid="{00000000-0005-0000-0000-00007B410000}"/>
    <cellStyle name="표준 5 2 2 6 3 3 3 3" xfId="37475" xr:uid="{00000000-0005-0000-0000-00007C410000}"/>
    <cellStyle name="표준 5 2 2 6 3 3 3 4" xfId="45668" xr:uid="{00000000-0005-0000-0000-00007D410000}"/>
    <cellStyle name="표준 5 2 2 6 3 3 4" xfId="12670" xr:uid="{00000000-0005-0000-0000-00007E410000}"/>
    <cellStyle name="표준 5 2 2 6 3 3 5" xfId="16910" xr:uid="{00000000-0005-0000-0000-00007F410000}"/>
    <cellStyle name="표준 5 2 2 6 3 3 6" xfId="21072" xr:uid="{00000000-0005-0000-0000-000080410000}"/>
    <cellStyle name="표준 5 2 2 6 3 3 7" xfId="25168" xr:uid="{00000000-0005-0000-0000-000081410000}"/>
    <cellStyle name="표준 5 2 2 6 3 3 8" xfId="33379" xr:uid="{00000000-0005-0000-0000-000082410000}"/>
    <cellStyle name="표준 5 2 2 6 3 3 9" xfId="41572" xr:uid="{00000000-0005-0000-0000-000083410000}"/>
    <cellStyle name="표준 5 2 2 6 3 4" xfId="2215" xr:uid="{00000000-0005-0000-0000-000084410000}"/>
    <cellStyle name="표준 5 2 2 6 3 4 2" xfId="11118" xr:uid="{00000000-0005-0000-0000-000085410000}"/>
    <cellStyle name="표준 5 2 2 6 3 4 2 2" xfId="15230" xr:uid="{00000000-0005-0000-0000-000086410000}"/>
    <cellStyle name="표준 5 2 2 6 3 4 2 2 2" xfId="31824" xr:uid="{00000000-0005-0000-0000-000087410000}"/>
    <cellStyle name="표준 5 2 2 6 3 4 2 2 3" xfId="40035" xr:uid="{00000000-0005-0000-0000-000088410000}"/>
    <cellStyle name="표준 5 2 2 6 3 4 2 2 4" xfId="48228" xr:uid="{00000000-0005-0000-0000-000089410000}"/>
    <cellStyle name="표준 5 2 2 6 3 4 2 3" xfId="19470" xr:uid="{00000000-0005-0000-0000-00008A410000}"/>
    <cellStyle name="표준 5 2 2 6 3 4 2 4" xfId="23632" xr:uid="{00000000-0005-0000-0000-00008B410000}"/>
    <cellStyle name="표준 5 2 2 6 3 4 2 5" xfId="27728" xr:uid="{00000000-0005-0000-0000-00008C410000}"/>
    <cellStyle name="표준 5 2 2 6 3 4 2 6" xfId="35939" xr:uid="{00000000-0005-0000-0000-00008D410000}"/>
    <cellStyle name="표준 5 2 2 6 3 4 2 7" xfId="44132" xr:uid="{00000000-0005-0000-0000-00008E410000}"/>
    <cellStyle name="표준 5 2 2 6 3 4 3" xfId="9070" xr:uid="{00000000-0005-0000-0000-00008F410000}"/>
    <cellStyle name="표준 5 2 2 6 3 4 3 2" xfId="29776" xr:uid="{00000000-0005-0000-0000-000090410000}"/>
    <cellStyle name="표준 5 2 2 6 3 4 3 3" xfId="37987" xr:uid="{00000000-0005-0000-0000-000091410000}"/>
    <cellStyle name="표준 5 2 2 6 3 4 3 4" xfId="46180" xr:uid="{00000000-0005-0000-0000-000092410000}"/>
    <cellStyle name="표준 5 2 2 6 3 4 4" xfId="13182" xr:uid="{00000000-0005-0000-0000-000093410000}"/>
    <cellStyle name="표준 5 2 2 6 3 4 5" xfId="17422" xr:uid="{00000000-0005-0000-0000-000094410000}"/>
    <cellStyle name="표준 5 2 2 6 3 4 6" xfId="21584" xr:uid="{00000000-0005-0000-0000-000095410000}"/>
    <cellStyle name="표준 5 2 2 6 3 4 7" xfId="25680" xr:uid="{00000000-0005-0000-0000-000096410000}"/>
    <cellStyle name="표준 5 2 2 6 3 4 8" xfId="33891" xr:uid="{00000000-0005-0000-0000-000097410000}"/>
    <cellStyle name="표준 5 2 2 6 3 4 9" xfId="42084" xr:uid="{00000000-0005-0000-0000-000098410000}"/>
    <cellStyle name="표준 5 2 2 6 3 5" xfId="9582" xr:uid="{00000000-0005-0000-0000-000099410000}"/>
    <cellStyle name="표준 5 2 2 6 3 5 2" xfId="13694" xr:uid="{00000000-0005-0000-0000-00009A410000}"/>
    <cellStyle name="표준 5 2 2 6 3 5 2 2" xfId="30288" xr:uid="{00000000-0005-0000-0000-00009B410000}"/>
    <cellStyle name="표준 5 2 2 6 3 5 2 3" xfId="38499" xr:uid="{00000000-0005-0000-0000-00009C410000}"/>
    <cellStyle name="표준 5 2 2 6 3 5 2 4" xfId="46692" xr:uid="{00000000-0005-0000-0000-00009D410000}"/>
    <cellStyle name="표준 5 2 2 6 3 5 3" xfId="17934" xr:uid="{00000000-0005-0000-0000-00009E410000}"/>
    <cellStyle name="표준 5 2 2 6 3 5 4" xfId="22096" xr:uid="{00000000-0005-0000-0000-00009F410000}"/>
    <cellStyle name="표준 5 2 2 6 3 5 5" xfId="26192" xr:uid="{00000000-0005-0000-0000-0000A0410000}"/>
    <cellStyle name="표준 5 2 2 6 3 5 6" xfId="34403" xr:uid="{00000000-0005-0000-0000-0000A1410000}"/>
    <cellStyle name="표준 5 2 2 6 3 5 7" xfId="42596" xr:uid="{00000000-0005-0000-0000-0000A2410000}"/>
    <cellStyle name="표준 5 2 2 6 3 6" xfId="7534" xr:uid="{00000000-0005-0000-0000-0000A3410000}"/>
    <cellStyle name="표준 5 2 2 6 3 6 2" xfId="28240" xr:uid="{00000000-0005-0000-0000-0000A4410000}"/>
    <cellStyle name="표준 5 2 2 6 3 6 3" xfId="36451" xr:uid="{00000000-0005-0000-0000-0000A5410000}"/>
    <cellStyle name="표준 5 2 2 6 3 6 4" xfId="44644" xr:uid="{00000000-0005-0000-0000-0000A6410000}"/>
    <cellStyle name="표준 5 2 2 6 3 7" xfId="11646" xr:uid="{00000000-0005-0000-0000-0000A7410000}"/>
    <cellStyle name="표준 5 2 2 6 3 8" xfId="15886" xr:uid="{00000000-0005-0000-0000-0000A8410000}"/>
    <cellStyle name="표준 5 2 2 6 3 9" xfId="20048" xr:uid="{00000000-0005-0000-0000-0000A9410000}"/>
    <cellStyle name="표준 5 2 2 6 4" xfId="935" xr:uid="{00000000-0005-0000-0000-0000AA410000}"/>
    <cellStyle name="표준 5 2 2 6 4 2" xfId="9838" xr:uid="{00000000-0005-0000-0000-0000AB410000}"/>
    <cellStyle name="표준 5 2 2 6 4 2 2" xfId="13950" xr:uid="{00000000-0005-0000-0000-0000AC410000}"/>
    <cellStyle name="표준 5 2 2 6 4 2 2 2" xfId="30544" xr:uid="{00000000-0005-0000-0000-0000AD410000}"/>
    <cellStyle name="표준 5 2 2 6 4 2 2 3" xfId="38755" xr:uid="{00000000-0005-0000-0000-0000AE410000}"/>
    <cellStyle name="표준 5 2 2 6 4 2 2 4" xfId="46948" xr:uid="{00000000-0005-0000-0000-0000AF410000}"/>
    <cellStyle name="표준 5 2 2 6 4 2 3" xfId="18190" xr:uid="{00000000-0005-0000-0000-0000B0410000}"/>
    <cellStyle name="표준 5 2 2 6 4 2 4" xfId="22352" xr:uid="{00000000-0005-0000-0000-0000B1410000}"/>
    <cellStyle name="표준 5 2 2 6 4 2 5" xfId="26448" xr:uid="{00000000-0005-0000-0000-0000B2410000}"/>
    <cellStyle name="표준 5 2 2 6 4 2 6" xfId="34659" xr:uid="{00000000-0005-0000-0000-0000B3410000}"/>
    <cellStyle name="표준 5 2 2 6 4 2 7" xfId="42852" xr:uid="{00000000-0005-0000-0000-0000B4410000}"/>
    <cellStyle name="표준 5 2 2 6 4 3" xfId="7790" xr:uid="{00000000-0005-0000-0000-0000B5410000}"/>
    <cellStyle name="표준 5 2 2 6 4 3 2" xfId="28496" xr:uid="{00000000-0005-0000-0000-0000B6410000}"/>
    <cellStyle name="표준 5 2 2 6 4 3 3" xfId="36707" xr:uid="{00000000-0005-0000-0000-0000B7410000}"/>
    <cellStyle name="표준 5 2 2 6 4 3 4" xfId="44900" xr:uid="{00000000-0005-0000-0000-0000B8410000}"/>
    <cellStyle name="표준 5 2 2 6 4 4" xfId="11902" xr:uid="{00000000-0005-0000-0000-0000B9410000}"/>
    <cellStyle name="표준 5 2 2 6 4 5" xfId="16142" xr:uid="{00000000-0005-0000-0000-0000BA410000}"/>
    <cellStyle name="표준 5 2 2 6 4 6" xfId="20304" xr:uid="{00000000-0005-0000-0000-0000BB410000}"/>
    <cellStyle name="표준 5 2 2 6 4 7" xfId="24400" xr:uid="{00000000-0005-0000-0000-0000BC410000}"/>
    <cellStyle name="표준 5 2 2 6 4 8" xfId="32611" xr:uid="{00000000-0005-0000-0000-0000BD410000}"/>
    <cellStyle name="표준 5 2 2 6 4 9" xfId="40804" xr:uid="{00000000-0005-0000-0000-0000BE410000}"/>
    <cellStyle name="표준 5 2 2 6 5" xfId="1447" xr:uid="{00000000-0005-0000-0000-0000BF410000}"/>
    <cellStyle name="표준 5 2 2 6 5 2" xfId="10350" xr:uid="{00000000-0005-0000-0000-0000C0410000}"/>
    <cellStyle name="표준 5 2 2 6 5 2 2" xfId="14462" xr:uid="{00000000-0005-0000-0000-0000C1410000}"/>
    <cellStyle name="표준 5 2 2 6 5 2 2 2" xfId="31056" xr:uid="{00000000-0005-0000-0000-0000C2410000}"/>
    <cellStyle name="표준 5 2 2 6 5 2 2 3" xfId="39267" xr:uid="{00000000-0005-0000-0000-0000C3410000}"/>
    <cellStyle name="표준 5 2 2 6 5 2 2 4" xfId="47460" xr:uid="{00000000-0005-0000-0000-0000C4410000}"/>
    <cellStyle name="표준 5 2 2 6 5 2 3" xfId="18702" xr:uid="{00000000-0005-0000-0000-0000C5410000}"/>
    <cellStyle name="표준 5 2 2 6 5 2 4" xfId="22864" xr:uid="{00000000-0005-0000-0000-0000C6410000}"/>
    <cellStyle name="표준 5 2 2 6 5 2 5" xfId="26960" xr:uid="{00000000-0005-0000-0000-0000C7410000}"/>
    <cellStyle name="표준 5 2 2 6 5 2 6" xfId="35171" xr:uid="{00000000-0005-0000-0000-0000C8410000}"/>
    <cellStyle name="표준 5 2 2 6 5 2 7" xfId="43364" xr:uid="{00000000-0005-0000-0000-0000C9410000}"/>
    <cellStyle name="표준 5 2 2 6 5 3" xfId="8302" xr:uid="{00000000-0005-0000-0000-0000CA410000}"/>
    <cellStyle name="표준 5 2 2 6 5 3 2" xfId="29008" xr:uid="{00000000-0005-0000-0000-0000CB410000}"/>
    <cellStyle name="표준 5 2 2 6 5 3 3" xfId="37219" xr:uid="{00000000-0005-0000-0000-0000CC410000}"/>
    <cellStyle name="표준 5 2 2 6 5 3 4" xfId="45412" xr:uid="{00000000-0005-0000-0000-0000CD410000}"/>
    <cellStyle name="표준 5 2 2 6 5 4" xfId="12414" xr:uid="{00000000-0005-0000-0000-0000CE410000}"/>
    <cellStyle name="표준 5 2 2 6 5 5" xfId="16654" xr:uid="{00000000-0005-0000-0000-0000CF410000}"/>
    <cellStyle name="표준 5 2 2 6 5 6" xfId="20816" xr:uid="{00000000-0005-0000-0000-0000D0410000}"/>
    <cellStyle name="표준 5 2 2 6 5 7" xfId="24912" xr:uid="{00000000-0005-0000-0000-0000D1410000}"/>
    <cellStyle name="표준 5 2 2 6 5 8" xfId="33123" xr:uid="{00000000-0005-0000-0000-0000D2410000}"/>
    <cellStyle name="표준 5 2 2 6 5 9" xfId="41316" xr:uid="{00000000-0005-0000-0000-0000D3410000}"/>
    <cellStyle name="표준 5 2 2 6 6" xfId="1959" xr:uid="{00000000-0005-0000-0000-0000D4410000}"/>
    <cellStyle name="표준 5 2 2 6 6 2" xfId="10862" xr:uid="{00000000-0005-0000-0000-0000D5410000}"/>
    <cellStyle name="표준 5 2 2 6 6 2 2" xfId="14974" xr:uid="{00000000-0005-0000-0000-0000D6410000}"/>
    <cellStyle name="표준 5 2 2 6 6 2 2 2" xfId="31568" xr:uid="{00000000-0005-0000-0000-0000D7410000}"/>
    <cellStyle name="표준 5 2 2 6 6 2 2 3" xfId="39779" xr:uid="{00000000-0005-0000-0000-0000D8410000}"/>
    <cellStyle name="표준 5 2 2 6 6 2 2 4" xfId="47972" xr:uid="{00000000-0005-0000-0000-0000D9410000}"/>
    <cellStyle name="표준 5 2 2 6 6 2 3" xfId="19214" xr:uid="{00000000-0005-0000-0000-0000DA410000}"/>
    <cellStyle name="표준 5 2 2 6 6 2 4" xfId="23376" xr:uid="{00000000-0005-0000-0000-0000DB410000}"/>
    <cellStyle name="표준 5 2 2 6 6 2 5" xfId="27472" xr:uid="{00000000-0005-0000-0000-0000DC410000}"/>
    <cellStyle name="표준 5 2 2 6 6 2 6" xfId="35683" xr:uid="{00000000-0005-0000-0000-0000DD410000}"/>
    <cellStyle name="표준 5 2 2 6 6 2 7" xfId="43876" xr:uid="{00000000-0005-0000-0000-0000DE410000}"/>
    <cellStyle name="표준 5 2 2 6 6 3" xfId="8814" xr:uid="{00000000-0005-0000-0000-0000DF410000}"/>
    <cellStyle name="표준 5 2 2 6 6 3 2" xfId="29520" xr:uid="{00000000-0005-0000-0000-0000E0410000}"/>
    <cellStyle name="표준 5 2 2 6 6 3 3" xfId="37731" xr:uid="{00000000-0005-0000-0000-0000E1410000}"/>
    <cellStyle name="표준 5 2 2 6 6 3 4" xfId="45924" xr:uid="{00000000-0005-0000-0000-0000E2410000}"/>
    <cellStyle name="표준 5 2 2 6 6 4" xfId="12926" xr:uid="{00000000-0005-0000-0000-0000E3410000}"/>
    <cellStyle name="표준 5 2 2 6 6 5" xfId="17166" xr:uid="{00000000-0005-0000-0000-0000E4410000}"/>
    <cellStyle name="표준 5 2 2 6 6 6" xfId="21328" xr:uid="{00000000-0005-0000-0000-0000E5410000}"/>
    <cellStyle name="표준 5 2 2 6 6 7" xfId="25424" xr:uid="{00000000-0005-0000-0000-0000E6410000}"/>
    <cellStyle name="표준 5 2 2 6 6 8" xfId="33635" xr:uid="{00000000-0005-0000-0000-0000E7410000}"/>
    <cellStyle name="표준 5 2 2 6 6 9" xfId="41828" xr:uid="{00000000-0005-0000-0000-0000E8410000}"/>
    <cellStyle name="표준 5 2 2 6 7" xfId="7019" xr:uid="{00000000-0005-0000-0000-0000E9410000}"/>
    <cellStyle name="표준 5 2 2 6 7 2" xfId="9326" xr:uid="{00000000-0005-0000-0000-0000EA410000}"/>
    <cellStyle name="표준 5 2 2 6 7 2 2" xfId="30032" xr:uid="{00000000-0005-0000-0000-0000EB410000}"/>
    <cellStyle name="표준 5 2 2 6 7 2 3" xfId="38243" xr:uid="{00000000-0005-0000-0000-0000EC410000}"/>
    <cellStyle name="표준 5 2 2 6 7 2 4" xfId="46436" xr:uid="{00000000-0005-0000-0000-0000ED410000}"/>
    <cellStyle name="표준 5 2 2 6 7 3" xfId="13438" xr:uid="{00000000-0005-0000-0000-0000EE410000}"/>
    <cellStyle name="표준 5 2 2 6 7 4" xfId="17678" xr:uid="{00000000-0005-0000-0000-0000EF410000}"/>
    <cellStyle name="표준 5 2 2 6 7 5" xfId="21840" xr:uid="{00000000-0005-0000-0000-0000F0410000}"/>
    <cellStyle name="표준 5 2 2 6 7 6" xfId="25936" xr:uid="{00000000-0005-0000-0000-0000F1410000}"/>
    <cellStyle name="표준 5 2 2 6 7 7" xfId="34147" xr:uid="{00000000-0005-0000-0000-0000F2410000}"/>
    <cellStyle name="표준 5 2 2 6 7 8" xfId="42340" xr:uid="{00000000-0005-0000-0000-0000F3410000}"/>
    <cellStyle name="표준 5 2 2 6 8" xfId="7159" xr:uid="{00000000-0005-0000-0000-0000F4410000}"/>
    <cellStyle name="표준 5 2 2 6 8 2" xfId="27984" xr:uid="{00000000-0005-0000-0000-0000F5410000}"/>
    <cellStyle name="표준 5 2 2 6 8 3" xfId="36195" xr:uid="{00000000-0005-0000-0000-0000F6410000}"/>
    <cellStyle name="표준 5 2 2 6 8 4" xfId="44388" xr:uid="{00000000-0005-0000-0000-0000F7410000}"/>
    <cellStyle name="표준 5 2 2 6 9" xfId="7278" xr:uid="{00000000-0005-0000-0000-0000F8410000}"/>
    <cellStyle name="표준 5 2 2 7" xfId="487" xr:uid="{00000000-0005-0000-0000-0000F9410000}"/>
    <cellStyle name="표준 5 2 2 7 10" xfId="19856" xr:uid="{00000000-0005-0000-0000-0000FA410000}"/>
    <cellStyle name="표준 5 2 2 7 11" xfId="23952" xr:uid="{00000000-0005-0000-0000-0000FB410000}"/>
    <cellStyle name="표준 5 2 2 7 12" xfId="32163" xr:uid="{00000000-0005-0000-0000-0000FC410000}"/>
    <cellStyle name="표준 5 2 2 7 13" xfId="40356" xr:uid="{00000000-0005-0000-0000-0000FD410000}"/>
    <cellStyle name="표준 5 2 2 7 2" xfId="743" xr:uid="{00000000-0005-0000-0000-0000FE410000}"/>
    <cellStyle name="표준 5 2 2 7 2 10" xfId="24208" xr:uid="{00000000-0005-0000-0000-0000FF410000}"/>
    <cellStyle name="표준 5 2 2 7 2 11" xfId="32419" xr:uid="{00000000-0005-0000-0000-000000420000}"/>
    <cellStyle name="표준 5 2 2 7 2 12" xfId="40612" xr:uid="{00000000-0005-0000-0000-000001420000}"/>
    <cellStyle name="표준 5 2 2 7 2 2" xfId="1255" xr:uid="{00000000-0005-0000-0000-000002420000}"/>
    <cellStyle name="표준 5 2 2 7 2 2 2" xfId="10158" xr:uid="{00000000-0005-0000-0000-000003420000}"/>
    <cellStyle name="표준 5 2 2 7 2 2 2 2" xfId="14270" xr:uid="{00000000-0005-0000-0000-000004420000}"/>
    <cellStyle name="표준 5 2 2 7 2 2 2 2 2" xfId="30864" xr:uid="{00000000-0005-0000-0000-000005420000}"/>
    <cellStyle name="표준 5 2 2 7 2 2 2 2 3" xfId="39075" xr:uid="{00000000-0005-0000-0000-000006420000}"/>
    <cellStyle name="표준 5 2 2 7 2 2 2 2 4" xfId="47268" xr:uid="{00000000-0005-0000-0000-000007420000}"/>
    <cellStyle name="표준 5 2 2 7 2 2 2 3" xfId="18510" xr:uid="{00000000-0005-0000-0000-000008420000}"/>
    <cellStyle name="표준 5 2 2 7 2 2 2 4" xfId="22672" xr:uid="{00000000-0005-0000-0000-000009420000}"/>
    <cellStyle name="표준 5 2 2 7 2 2 2 5" xfId="26768" xr:uid="{00000000-0005-0000-0000-00000A420000}"/>
    <cellStyle name="표준 5 2 2 7 2 2 2 6" xfId="34979" xr:uid="{00000000-0005-0000-0000-00000B420000}"/>
    <cellStyle name="표준 5 2 2 7 2 2 2 7" xfId="43172" xr:uid="{00000000-0005-0000-0000-00000C420000}"/>
    <cellStyle name="표준 5 2 2 7 2 2 3" xfId="8110" xr:uid="{00000000-0005-0000-0000-00000D420000}"/>
    <cellStyle name="표준 5 2 2 7 2 2 3 2" xfId="28816" xr:uid="{00000000-0005-0000-0000-00000E420000}"/>
    <cellStyle name="표준 5 2 2 7 2 2 3 3" xfId="37027" xr:uid="{00000000-0005-0000-0000-00000F420000}"/>
    <cellStyle name="표준 5 2 2 7 2 2 3 4" xfId="45220" xr:uid="{00000000-0005-0000-0000-000010420000}"/>
    <cellStyle name="표준 5 2 2 7 2 2 4" xfId="12222" xr:uid="{00000000-0005-0000-0000-000011420000}"/>
    <cellStyle name="표준 5 2 2 7 2 2 5" xfId="16462" xr:uid="{00000000-0005-0000-0000-000012420000}"/>
    <cellStyle name="표준 5 2 2 7 2 2 6" xfId="20624" xr:uid="{00000000-0005-0000-0000-000013420000}"/>
    <cellStyle name="표준 5 2 2 7 2 2 7" xfId="24720" xr:uid="{00000000-0005-0000-0000-000014420000}"/>
    <cellStyle name="표준 5 2 2 7 2 2 8" xfId="32931" xr:uid="{00000000-0005-0000-0000-000015420000}"/>
    <cellStyle name="표준 5 2 2 7 2 2 9" xfId="41124" xr:uid="{00000000-0005-0000-0000-000016420000}"/>
    <cellStyle name="표준 5 2 2 7 2 3" xfId="1767" xr:uid="{00000000-0005-0000-0000-000017420000}"/>
    <cellStyle name="표준 5 2 2 7 2 3 2" xfId="10670" xr:uid="{00000000-0005-0000-0000-000018420000}"/>
    <cellStyle name="표준 5 2 2 7 2 3 2 2" xfId="14782" xr:uid="{00000000-0005-0000-0000-000019420000}"/>
    <cellStyle name="표준 5 2 2 7 2 3 2 2 2" xfId="31376" xr:uid="{00000000-0005-0000-0000-00001A420000}"/>
    <cellStyle name="표준 5 2 2 7 2 3 2 2 3" xfId="39587" xr:uid="{00000000-0005-0000-0000-00001B420000}"/>
    <cellStyle name="표준 5 2 2 7 2 3 2 2 4" xfId="47780" xr:uid="{00000000-0005-0000-0000-00001C420000}"/>
    <cellStyle name="표준 5 2 2 7 2 3 2 3" xfId="19022" xr:uid="{00000000-0005-0000-0000-00001D420000}"/>
    <cellStyle name="표준 5 2 2 7 2 3 2 4" xfId="23184" xr:uid="{00000000-0005-0000-0000-00001E420000}"/>
    <cellStyle name="표준 5 2 2 7 2 3 2 5" xfId="27280" xr:uid="{00000000-0005-0000-0000-00001F420000}"/>
    <cellStyle name="표준 5 2 2 7 2 3 2 6" xfId="35491" xr:uid="{00000000-0005-0000-0000-000020420000}"/>
    <cellStyle name="표준 5 2 2 7 2 3 2 7" xfId="43684" xr:uid="{00000000-0005-0000-0000-000021420000}"/>
    <cellStyle name="표준 5 2 2 7 2 3 3" xfId="8622" xr:uid="{00000000-0005-0000-0000-000022420000}"/>
    <cellStyle name="표준 5 2 2 7 2 3 3 2" xfId="29328" xr:uid="{00000000-0005-0000-0000-000023420000}"/>
    <cellStyle name="표준 5 2 2 7 2 3 3 3" xfId="37539" xr:uid="{00000000-0005-0000-0000-000024420000}"/>
    <cellStyle name="표준 5 2 2 7 2 3 3 4" xfId="45732" xr:uid="{00000000-0005-0000-0000-000025420000}"/>
    <cellStyle name="표준 5 2 2 7 2 3 4" xfId="12734" xr:uid="{00000000-0005-0000-0000-000026420000}"/>
    <cellStyle name="표준 5 2 2 7 2 3 5" xfId="16974" xr:uid="{00000000-0005-0000-0000-000027420000}"/>
    <cellStyle name="표준 5 2 2 7 2 3 6" xfId="21136" xr:uid="{00000000-0005-0000-0000-000028420000}"/>
    <cellStyle name="표준 5 2 2 7 2 3 7" xfId="25232" xr:uid="{00000000-0005-0000-0000-000029420000}"/>
    <cellStyle name="표준 5 2 2 7 2 3 8" xfId="33443" xr:uid="{00000000-0005-0000-0000-00002A420000}"/>
    <cellStyle name="표준 5 2 2 7 2 3 9" xfId="41636" xr:uid="{00000000-0005-0000-0000-00002B420000}"/>
    <cellStyle name="표준 5 2 2 7 2 4" xfId="2279" xr:uid="{00000000-0005-0000-0000-00002C420000}"/>
    <cellStyle name="표준 5 2 2 7 2 4 2" xfId="11182" xr:uid="{00000000-0005-0000-0000-00002D420000}"/>
    <cellStyle name="표준 5 2 2 7 2 4 2 2" xfId="15294" xr:uid="{00000000-0005-0000-0000-00002E420000}"/>
    <cellStyle name="표준 5 2 2 7 2 4 2 2 2" xfId="31888" xr:uid="{00000000-0005-0000-0000-00002F420000}"/>
    <cellStyle name="표준 5 2 2 7 2 4 2 2 3" xfId="40099" xr:uid="{00000000-0005-0000-0000-000030420000}"/>
    <cellStyle name="표준 5 2 2 7 2 4 2 2 4" xfId="48292" xr:uid="{00000000-0005-0000-0000-000031420000}"/>
    <cellStyle name="표준 5 2 2 7 2 4 2 3" xfId="19534" xr:uid="{00000000-0005-0000-0000-000032420000}"/>
    <cellStyle name="표준 5 2 2 7 2 4 2 4" xfId="23696" xr:uid="{00000000-0005-0000-0000-000033420000}"/>
    <cellStyle name="표준 5 2 2 7 2 4 2 5" xfId="27792" xr:uid="{00000000-0005-0000-0000-000034420000}"/>
    <cellStyle name="표준 5 2 2 7 2 4 2 6" xfId="36003" xr:uid="{00000000-0005-0000-0000-000035420000}"/>
    <cellStyle name="표준 5 2 2 7 2 4 2 7" xfId="44196" xr:uid="{00000000-0005-0000-0000-000036420000}"/>
    <cellStyle name="표준 5 2 2 7 2 4 3" xfId="9134" xr:uid="{00000000-0005-0000-0000-000037420000}"/>
    <cellStyle name="표준 5 2 2 7 2 4 3 2" xfId="29840" xr:uid="{00000000-0005-0000-0000-000038420000}"/>
    <cellStyle name="표준 5 2 2 7 2 4 3 3" xfId="38051" xr:uid="{00000000-0005-0000-0000-000039420000}"/>
    <cellStyle name="표준 5 2 2 7 2 4 3 4" xfId="46244" xr:uid="{00000000-0005-0000-0000-00003A420000}"/>
    <cellStyle name="표준 5 2 2 7 2 4 4" xfId="13246" xr:uid="{00000000-0005-0000-0000-00003B420000}"/>
    <cellStyle name="표준 5 2 2 7 2 4 5" xfId="17486" xr:uid="{00000000-0005-0000-0000-00003C420000}"/>
    <cellStyle name="표준 5 2 2 7 2 4 6" xfId="21648" xr:uid="{00000000-0005-0000-0000-00003D420000}"/>
    <cellStyle name="표준 5 2 2 7 2 4 7" xfId="25744" xr:uid="{00000000-0005-0000-0000-00003E420000}"/>
    <cellStyle name="표준 5 2 2 7 2 4 8" xfId="33955" xr:uid="{00000000-0005-0000-0000-00003F420000}"/>
    <cellStyle name="표준 5 2 2 7 2 4 9" xfId="42148" xr:uid="{00000000-0005-0000-0000-000040420000}"/>
    <cellStyle name="표준 5 2 2 7 2 5" xfId="9646" xr:uid="{00000000-0005-0000-0000-000041420000}"/>
    <cellStyle name="표준 5 2 2 7 2 5 2" xfId="13758" xr:uid="{00000000-0005-0000-0000-000042420000}"/>
    <cellStyle name="표준 5 2 2 7 2 5 2 2" xfId="30352" xr:uid="{00000000-0005-0000-0000-000043420000}"/>
    <cellStyle name="표준 5 2 2 7 2 5 2 3" xfId="38563" xr:uid="{00000000-0005-0000-0000-000044420000}"/>
    <cellStyle name="표준 5 2 2 7 2 5 2 4" xfId="46756" xr:uid="{00000000-0005-0000-0000-000045420000}"/>
    <cellStyle name="표준 5 2 2 7 2 5 3" xfId="17998" xr:uid="{00000000-0005-0000-0000-000046420000}"/>
    <cellStyle name="표준 5 2 2 7 2 5 4" xfId="22160" xr:uid="{00000000-0005-0000-0000-000047420000}"/>
    <cellStyle name="표준 5 2 2 7 2 5 5" xfId="26256" xr:uid="{00000000-0005-0000-0000-000048420000}"/>
    <cellStyle name="표준 5 2 2 7 2 5 6" xfId="34467" xr:uid="{00000000-0005-0000-0000-000049420000}"/>
    <cellStyle name="표준 5 2 2 7 2 5 7" xfId="42660" xr:uid="{00000000-0005-0000-0000-00004A420000}"/>
    <cellStyle name="표준 5 2 2 7 2 6" xfId="7598" xr:uid="{00000000-0005-0000-0000-00004B420000}"/>
    <cellStyle name="표준 5 2 2 7 2 6 2" xfId="28304" xr:uid="{00000000-0005-0000-0000-00004C420000}"/>
    <cellStyle name="표준 5 2 2 7 2 6 3" xfId="36515" xr:uid="{00000000-0005-0000-0000-00004D420000}"/>
    <cellStyle name="표준 5 2 2 7 2 6 4" xfId="44708" xr:uid="{00000000-0005-0000-0000-00004E420000}"/>
    <cellStyle name="표준 5 2 2 7 2 7" xfId="11710" xr:uid="{00000000-0005-0000-0000-00004F420000}"/>
    <cellStyle name="표준 5 2 2 7 2 8" xfId="15950" xr:uid="{00000000-0005-0000-0000-000050420000}"/>
    <cellStyle name="표준 5 2 2 7 2 9" xfId="20112" xr:uid="{00000000-0005-0000-0000-000051420000}"/>
    <cellStyle name="표준 5 2 2 7 3" xfId="999" xr:uid="{00000000-0005-0000-0000-000052420000}"/>
    <cellStyle name="표준 5 2 2 7 3 2" xfId="9902" xr:uid="{00000000-0005-0000-0000-000053420000}"/>
    <cellStyle name="표준 5 2 2 7 3 2 2" xfId="14014" xr:uid="{00000000-0005-0000-0000-000054420000}"/>
    <cellStyle name="표준 5 2 2 7 3 2 2 2" xfId="30608" xr:uid="{00000000-0005-0000-0000-000055420000}"/>
    <cellStyle name="표준 5 2 2 7 3 2 2 3" xfId="38819" xr:uid="{00000000-0005-0000-0000-000056420000}"/>
    <cellStyle name="표준 5 2 2 7 3 2 2 4" xfId="47012" xr:uid="{00000000-0005-0000-0000-000057420000}"/>
    <cellStyle name="표준 5 2 2 7 3 2 3" xfId="18254" xr:uid="{00000000-0005-0000-0000-000058420000}"/>
    <cellStyle name="표준 5 2 2 7 3 2 4" xfId="22416" xr:uid="{00000000-0005-0000-0000-000059420000}"/>
    <cellStyle name="표준 5 2 2 7 3 2 5" xfId="26512" xr:uid="{00000000-0005-0000-0000-00005A420000}"/>
    <cellStyle name="표준 5 2 2 7 3 2 6" xfId="34723" xr:uid="{00000000-0005-0000-0000-00005B420000}"/>
    <cellStyle name="표준 5 2 2 7 3 2 7" xfId="42916" xr:uid="{00000000-0005-0000-0000-00005C420000}"/>
    <cellStyle name="표준 5 2 2 7 3 3" xfId="7854" xr:uid="{00000000-0005-0000-0000-00005D420000}"/>
    <cellStyle name="표준 5 2 2 7 3 3 2" xfId="28560" xr:uid="{00000000-0005-0000-0000-00005E420000}"/>
    <cellStyle name="표준 5 2 2 7 3 3 3" xfId="36771" xr:uid="{00000000-0005-0000-0000-00005F420000}"/>
    <cellStyle name="표준 5 2 2 7 3 3 4" xfId="44964" xr:uid="{00000000-0005-0000-0000-000060420000}"/>
    <cellStyle name="표준 5 2 2 7 3 4" xfId="11966" xr:uid="{00000000-0005-0000-0000-000061420000}"/>
    <cellStyle name="표준 5 2 2 7 3 5" xfId="16206" xr:uid="{00000000-0005-0000-0000-000062420000}"/>
    <cellStyle name="표준 5 2 2 7 3 6" xfId="20368" xr:uid="{00000000-0005-0000-0000-000063420000}"/>
    <cellStyle name="표준 5 2 2 7 3 7" xfId="24464" xr:uid="{00000000-0005-0000-0000-000064420000}"/>
    <cellStyle name="표준 5 2 2 7 3 8" xfId="32675" xr:uid="{00000000-0005-0000-0000-000065420000}"/>
    <cellStyle name="표준 5 2 2 7 3 9" xfId="40868" xr:uid="{00000000-0005-0000-0000-000066420000}"/>
    <cellStyle name="표준 5 2 2 7 4" xfId="1511" xr:uid="{00000000-0005-0000-0000-000067420000}"/>
    <cellStyle name="표준 5 2 2 7 4 2" xfId="10414" xr:uid="{00000000-0005-0000-0000-000068420000}"/>
    <cellStyle name="표준 5 2 2 7 4 2 2" xfId="14526" xr:uid="{00000000-0005-0000-0000-000069420000}"/>
    <cellStyle name="표준 5 2 2 7 4 2 2 2" xfId="31120" xr:uid="{00000000-0005-0000-0000-00006A420000}"/>
    <cellStyle name="표준 5 2 2 7 4 2 2 3" xfId="39331" xr:uid="{00000000-0005-0000-0000-00006B420000}"/>
    <cellStyle name="표준 5 2 2 7 4 2 2 4" xfId="47524" xr:uid="{00000000-0005-0000-0000-00006C420000}"/>
    <cellStyle name="표준 5 2 2 7 4 2 3" xfId="18766" xr:uid="{00000000-0005-0000-0000-00006D420000}"/>
    <cellStyle name="표준 5 2 2 7 4 2 4" xfId="22928" xr:uid="{00000000-0005-0000-0000-00006E420000}"/>
    <cellStyle name="표준 5 2 2 7 4 2 5" xfId="27024" xr:uid="{00000000-0005-0000-0000-00006F420000}"/>
    <cellStyle name="표준 5 2 2 7 4 2 6" xfId="35235" xr:uid="{00000000-0005-0000-0000-000070420000}"/>
    <cellStyle name="표준 5 2 2 7 4 2 7" xfId="43428" xr:uid="{00000000-0005-0000-0000-000071420000}"/>
    <cellStyle name="표준 5 2 2 7 4 3" xfId="8366" xr:uid="{00000000-0005-0000-0000-000072420000}"/>
    <cellStyle name="표준 5 2 2 7 4 3 2" xfId="29072" xr:uid="{00000000-0005-0000-0000-000073420000}"/>
    <cellStyle name="표준 5 2 2 7 4 3 3" xfId="37283" xr:uid="{00000000-0005-0000-0000-000074420000}"/>
    <cellStyle name="표준 5 2 2 7 4 3 4" xfId="45476" xr:uid="{00000000-0005-0000-0000-000075420000}"/>
    <cellStyle name="표준 5 2 2 7 4 4" xfId="12478" xr:uid="{00000000-0005-0000-0000-000076420000}"/>
    <cellStyle name="표준 5 2 2 7 4 5" xfId="16718" xr:uid="{00000000-0005-0000-0000-000077420000}"/>
    <cellStyle name="표준 5 2 2 7 4 6" xfId="20880" xr:uid="{00000000-0005-0000-0000-000078420000}"/>
    <cellStyle name="표준 5 2 2 7 4 7" xfId="24976" xr:uid="{00000000-0005-0000-0000-000079420000}"/>
    <cellStyle name="표준 5 2 2 7 4 8" xfId="33187" xr:uid="{00000000-0005-0000-0000-00007A420000}"/>
    <cellStyle name="표준 5 2 2 7 4 9" xfId="41380" xr:uid="{00000000-0005-0000-0000-00007B420000}"/>
    <cellStyle name="표준 5 2 2 7 5" xfId="2023" xr:uid="{00000000-0005-0000-0000-00007C420000}"/>
    <cellStyle name="표준 5 2 2 7 5 2" xfId="10926" xr:uid="{00000000-0005-0000-0000-00007D420000}"/>
    <cellStyle name="표준 5 2 2 7 5 2 2" xfId="15038" xr:uid="{00000000-0005-0000-0000-00007E420000}"/>
    <cellStyle name="표준 5 2 2 7 5 2 2 2" xfId="31632" xr:uid="{00000000-0005-0000-0000-00007F420000}"/>
    <cellStyle name="표준 5 2 2 7 5 2 2 3" xfId="39843" xr:uid="{00000000-0005-0000-0000-000080420000}"/>
    <cellStyle name="표준 5 2 2 7 5 2 2 4" xfId="48036" xr:uid="{00000000-0005-0000-0000-000081420000}"/>
    <cellStyle name="표준 5 2 2 7 5 2 3" xfId="19278" xr:uid="{00000000-0005-0000-0000-000082420000}"/>
    <cellStyle name="표준 5 2 2 7 5 2 4" xfId="23440" xr:uid="{00000000-0005-0000-0000-000083420000}"/>
    <cellStyle name="표준 5 2 2 7 5 2 5" xfId="27536" xr:uid="{00000000-0005-0000-0000-000084420000}"/>
    <cellStyle name="표준 5 2 2 7 5 2 6" xfId="35747" xr:uid="{00000000-0005-0000-0000-000085420000}"/>
    <cellStyle name="표준 5 2 2 7 5 2 7" xfId="43940" xr:uid="{00000000-0005-0000-0000-000086420000}"/>
    <cellStyle name="표준 5 2 2 7 5 3" xfId="8878" xr:uid="{00000000-0005-0000-0000-000087420000}"/>
    <cellStyle name="표준 5 2 2 7 5 3 2" xfId="29584" xr:uid="{00000000-0005-0000-0000-000088420000}"/>
    <cellStyle name="표준 5 2 2 7 5 3 3" xfId="37795" xr:uid="{00000000-0005-0000-0000-000089420000}"/>
    <cellStyle name="표준 5 2 2 7 5 3 4" xfId="45988" xr:uid="{00000000-0005-0000-0000-00008A420000}"/>
    <cellStyle name="표준 5 2 2 7 5 4" xfId="12990" xr:uid="{00000000-0005-0000-0000-00008B420000}"/>
    <cellStyle name="표준 5 2 2 7 5 5" xfId="17230" xr:uid="{00000000-0005-0000-0000-00008C420000}"/>
    <cellStyle name="표준 5 2 2 7 5 6" xfId="21392" xr:uid="{00000000-0005-0000-0000-00008D420000}"/>
    <cellStyle name="표준 5 2 2 7 5 7" xfId="25488" xr:uid="{00000000-0005-0000-0000-00008E420000}"/>
    <cellStyle name="표준 5 2 2 7 5 8" xfId="33699" xr:uid="{00000000-0005-0000-0000-00008F420000}"/>
    <cellStyle name="표준 5 2 2 7 5 9" xfId="41892" xr:uid="{00000000-0005-0000-0000-000090420000}"/>
    <cellStyle name="표준 5 2 2 7 6" xfId="9390" xr:uid="{00000000-0005-0000-0000-000091420000}"/>
    <cellStyle name="표준 5 2 2 7 6 2" xfId="13502" xr:uid="{00000000-0005-0000-0000-000092420000}"/>
    <cellStyle name="표준 5 2 2 7 6 2 2" xfId="30096" xr:uid="{00000000-0005-0000-0000-000093420000}"/>
    <cellStyle name="표준 5 2 2 7 6 2 3" xfId="38307" xr:uid="{00000000-0005-0000-0000-000094420000}"/>
    <cellStyle name="표준 5 2 2 7 6 2 4" xfId="46500" xr:uid="{00000000-0005-0000-0000-000095420000}"/>
    <cellStyle name="표준 5 2 2 7 6 3" xfId="17742" xr:uid="{00000000-0005-0000-0000-000096420000}"/>
    <cellStyle name="표준 5 2 2 7 6 4" xfId="21904" xr:uid="{00000000-0005-0000-0000-000097420000}"/>
    <cellStyle name="표준 5 2 2 7 6 5" xfId="26000" xr:uid="{00000000-0005-0000-0000-000098420000}"/>
    <cellStyle name="표준 5 2 2 7 6 6" xfId="34211" xr:uid="{00000000-0005-0000-0000-000099420000}"/>
    <cellStyle name="표준 5 2 2 7 6 7" xfId="42404" xr:uid="{00000000-0005-0000-0000-00009A420000}"/>
    <cellStyle name="표준 5 2 2 7 7" xfId="7342" xr:uid="{00000000-0005-0000-0000-00009B420000}"/>
    <cellStyle name="표준 5 2 2 7 7 2" xfId="28048" xr:uid="{00000000-0005-0000-0000-00009C420000}"/>
    <cellStyle name="표준 5 2 2 7 7 3" xfId="36259" xr:uid="{00000000-0005-0000-0000-00009D420000}"/>
    <cellStyle name="표준 5 2 2 7 7 4" xfId="44452" xr:uid="{00000000-0005-0000-0000-00009E420000}"/>
    <cellStyle name="표준 5 2 2 7 8" xfId="11454" xr:uid="{00000000-0005-0000-0000-00009F420000}"/>
    <cellStyle name="표준 5 2 2 7 9" xfId="15694" xr:uid="{00000000-0005-0000-0000-0000A0420000}"/>
    <cellStyle name="표준 5 2 2 8" xfId="615" xr:uid="{00000000-0005-0000-0000-0000A1420000}"/>
    <cellStyle name="표준 5 2 2 8 10" xfId="24080" xr:uid="{00000000-0005-0000-0000-0000A2420000}"/>
    <cellStyle name="표준 5 2 2 8 11" xfId="32291" xr:uid="{00000000-0005-0000-0000-0000A3420000}"/>
    <cellStyle name="표준 5 2 2 8 12" xfId="40484" xr:uid="{00000000-0005-0000-0000-0000A4420000}"/>
    <cellStyle name="표준 5 2 2 8 2" xfId="1127" xr:uid="{00000000-0005-0000-0000-0000A5420000}"/>
    <cellStyle name="표준 5 2 2 8 2 2" xfId="10030" xr:uid="{00000000-0005-0000-0000-0000A6420000}"/>
    <cellStyle name="표준 5 2 2 8 2 2 2" xfId="14142" xr:uid="{00000000-0005-0000-0000-0000A7420000}"/>
    <cellStyle name="표준 5 2 2 8 2 2 2 2" xfId="30736" xr:uid="{00000000-0005-0000-0000-0000A8420000}"/>
    <cellStyle name="표준 5 2 2 8 2 2 2 3" xfId="38947" xr:uid="{00000000-0005-0000-0000-0000A9420000}"/>
    <cellStyle name="표준 5 2 2 8 2 2 2 4" xfId="47140" xr:uid="{00000000-0005-0000-0000-0000AA420000}"/>
    <cellStyle name="표준 5 2 2 8 2 2 3" xfId="18382" xr:uid="{00000000-0005-0000-0000-0000AB420000}"/>
    <cellStyle name="표준 5 2 2 8 2 2 4" xfId="22544" xr:uid="{00000000-0005-0000-0000-0000AC420000}"/>
    <cellStyle name="표준 5 2 2 8 2 2 5" xfId="26640" xr:uid="{00000000-0005-0000-0000-0000AD420000}"/>
    <cellStyle name="표준 5 2 2 8 2 2 6" xfId="34851" xr:uid="{00000000-0005-0000-0000-0000AE420000}"/>
    <cellStyle name="표준 5 2 2 8 2 2 7" xfId="43044" xr:uid="{00000000-0005-0000-0000-0000AF420000}"/>
    <cellStyle name="표준 5 2 2 8 2 3" xfId="7982" xr:uid="{00000000-0005-0000-0000-0000B0420000}"/>
    <cellStyle name="표준 5 2 2 8 2 3 2" xfId="28688" xr:uid="{00000000-0005-0000-0000-0000B1420000}"/>
    <cellStyle name="표준 5 2 2 8 2 3 3" xfId="36899" xr:uid="{00000000-0005-0000-0000-0000B2420000}"/>
    <cellStyle name="표준 5 2 2 8 2 3 4" xfId="45092" xr:uid="{00000000-0005-0000-0000-0000B3420000}"/>
    <cellStyle name="표준 5 2 2 8 2 4" xfId="12094" xr:uid="{00000000-0005-0000-0000-0000B4420000}"/>
    <cellStyle name="표준 5 2 2 8 2 5" xfId="16334" xr:uid="{00000000-0005-0000-0000-0000B5420000}"/>
    <cellStyle name="표준 5 2 2 8 2 6" xfId="20496" xr:uid="{00000000-0005-0000-0000-0000B6420000}"/>
    <cellStyle name="표준 5 2 2 8 2 7" xfId="24592" xr:uid="{00000000-0005-0000-0000-0000B7420000}"/>
    <cellStyle name="표준 5 2 2 8 2 8" xfId="32803" xr:uid="{00000000-0005-0000-0000-0000B8420000}"/>
    <cellStyle name="표준 5 2 2 8 2 9" xfId="40996" xr:uid="{00000000-0005-0000-0000-0000B9420000}"/>
    <cellStyle name="표준 5 2 2 8 3" xfId="1639" xr:uid="{00000000-0005-0000-0000-0000BA420000}"/>
    <cellStyle name="표준 5 2 2 8 3 2" xfId="10542" xr:uid="{00000000-0005-0000-0000-0000BB420000}"/>
    <cellStyle name="표준 5 2 2 8 3 2 2" xfId="14654" xr:uid="{00000000-0005-0000-0000-0000BC420000}"/>
    <cellStyle name="표준 5 2 2 8 3 2 2 2" xfId="31248" xr:uid="{00000000-0005-0000-0000-0000BD420000}"/>
    <cellStyle name="표준 5 2 2 8 3 2 2 3" xfId="39459" xr:uid="{00000000-0005-0000-0000-0000BE420000}"/>
    <cellStyle name="표준 5 2 2 8 3 2 2 4" xfId="47652" xr:uid="{00000000-0005-0000-0000-0000BF420000}"/>
    <cellStyle name="표준 5 2 2 8 3 2 3" xfId="18894" xr:uid="{00000000-0005-0000-0000-0000C0420000}"/>
    <cellStyle name="표준 5 2 2 8 3 2 4" xfId="23056" xr:uid="{00000000-0005-0000-0000-0000C1420000}"/>
    <cellStyle name="표준 5 2 2 8 3 2 5" xfId="27152" xr:uid="{00000000-0005-0000-0000-0000C2420000}"/>
    <cellStyle name="표준 5 2 2 8 3 2 6" xfId="35363" xr:uid="{00000000-0005-0000-0000-0000C3420000}"/>
    <cellStyle name="표준 5 2 2 8 3 2 7" xfId="43556" xr:uid="{00000000-0005-0000-0000-0000C4420000}"/>
    <cellStyle name="표준 5 2 2 8 3 3" xfId="8494" xr:uid="{00000000-0005-0000-0000-0000C5420000}"/>
    <cellStyle name="표준 5 2 2 8 3 3 2" xfId="29200" xr:uid="{00000000-0005-0000-0000-0000C6420000}"/>
    <cellStyle name="표준 5 2 2 8 3 3 3" xfId="37411" xr:uid="{00000000-0005-0000-0000-0000C7420000}"/>
    <cellStyle name="표준 5 2 2 8 3 3 4" xfId="45604" xr:uid="{00000000-0005-0000-0000-0000C8420000}"/>
    <cellStyle name="표준 5 2 2 8 3 4" xfId="12606" xr:uid="{00000000-0005-0000-0000-0000C9420000}"/>
    <cellStyle name="표준 5 2 2 8 3 5" xfId="16846" xr:uid="{00000000-0005-0000-0000-0000CA420000}"/>
    <cellStyle name="표준 5 2 2 8 3 6" xfId="21008" xr:uid="{00000000-0005-0000-0000-0000CB420000}"/>
    <cellStyle name="표준 5 2 2 8 3 7" xfId="25104" xr:uid="{00000000-0005-0000-0000-0000CC420000}"/>
    <cellStyle name="표준 5 2 2 8 3 8" xfId="33315" xr:uid="{00000000-0005-0000-0000-0000CD420000}"/>
    <cellStyle name="표준 5 2 2 8 3 9" xfId="41508" xr:uid="{00000000-0005-0000-0000-0000CE420000}"/>
    <cellStyle name="표준 5 2 2 8 4" xfId="2151" xr:uid="{00000000-0005-0000-0000-0000CF420000}"/>
    <cellStyle name="표준 5 2 2 8 4 2" xfId="11054" xr:uid="{00000000-0005-0000-0000-0000D0420000}"/>
    <cellStyle name="표준 5 2 2 8 4 2 2" xfId="15166" xr:uid="{00000000-0005-0000-0000-0000D1420000}"/>
    <cellStyle name="표준 5 2 2 8 4 2 2 2" xfId="31760" xr:uid="{00000000-0005-0000-0000-0000D2420000}"/>
    <cellStyle name="표준 5 2 2 8 4 2 2 3" xfId="39971" xr:uid="{00000000-0005-0000-0000-0000D3420000}"/>
    <cellStyle name="표준 5 2 2 8 4 2 2 4" xfId="48164" xr:uid="{00000000-0005-0000-0000-0000D4420000}"/>
    <cellStyle name="표준 5 2 2 8 4 2 3" xfId="19406" xr:uid="{00000000-0005-0000-0000-0000D5420000}"/>
    <cellStyle name="표준 5 2 2 8 4 2 4" xfId="23568" xr:uid="{00000000-0005-0000-0000-0000D6420000}"/>
    <cellStyle name="표준 5 2 2 8 4 2 5" xfId="27664" xr:uid="{00000000-0005-0000-0000-0000D7420000}"/>
    <cellStyle name="표준 5 2 2 8 4 2 6" xfId="35875" xr:uid="{00000000-0005-0000-0000-0000D8420000}"/>
    <cellStyle name="표준 5 2 2 8 4 2 7" xfId="44068" xr:uid="{00000000-0005-0000-0000-0000D9420000}"/>
    <cellStyle name="표준 5 2 2 8 4 3" xfId="9006" xr:uid="{00000000-0005-0000-0000-0000DA420000}"/>
    <cellStyle name="표준 5 2 2 8 4 3 2" xfId="29712" xr:uid="{00000000-0005-0000-0000-0000DB420000}"/>
    <cellStyle name="표준 5 2 2 8 4 3 3" xfId="37923" xr:uid="{00000000-0005-0000-0000-0000DC420000}"/>
    <cellStyle name="표준 5 2 2 8 4 3 4" xfId="46116" xr:uid="{00000000-0005-0000-0000-0000DD420000}"/>
    <cellStyle name="표준 5 2 2 8 4 4" xfId="13118" xr:uid="{00000000-0005-0000-0000-0000DE420000}"/>
    <cellStyle name="표준 5 2 2 8 4 5" xfId="17358" xr:uid="{00000000-0005-0000-0000-0000DF420000}"/>
    <cellStyle name="표준 5 2 2 8 4 6" xfId="21520" xr:uid="{00000000-0005-0000-0000-0000E0420000}"/>
    <cellStyle name="표준 5 2 2 8 4 7" xfId="25616" xr:uid="{00000000-0005-0000-0000-0000E1420000}"/>
    <cellStyle name="표준 5 2 2 8 4 8" xfId="33827" xr:uid="{00000000-0005-0000-0000-0000E2420000}"/>
    <cellStyle name="표준 5 2 2 8 4 9" xfId="42020" xr:uid="{00000000-0005-0000-0000-0000E3420000}"/>
    <cellStyle name="표준 5 2 2 8 5" xfId="9518" xr:uid="{00000000-0005-0000-0000-0000E4420000}"/>
    <cellStyle name="표준 5 2 2 8 5 2" xfId="13630" xr:uid="{00000000-0005-0000-0000-0000E5420000}"/>
    <cellStyle name="표준 5 2 2 8 5 2 2" xfId="30224" xr:uid="{00000000-0005-0000-0000-0000E6420000}"/>
    <cellStyle name="표준 5 2 2 8 5 2 3" xfId="38435" xr:uid="{00000000-0005-0000-0000-0000E7420000}"/>
    <cellStyle name="표준 5 2 2 8 5 2 4" xfId="46628" xr:uid="{00000000-0005-0000-0000-0000E8420000}"/>
    <cellStyle name="표준 5 2 2 8 5 3" xfId="17870" xr:uid="{00000000-0005-0000-0000-0000E9420000}"/>
    <cellStyle name="표준 5 2 2 8 5 4" xfId="22032" xr:uid="{00000000-0005-0000-0000-0000EA420000}"/>
    <cellStyle name="표준 5 2 2 8 5 5" xfId="26128" xr:uid="{00000000-0005-0000-0000-0000EB420000}"/>
    <cellStyle name="표준 5 2 2 8 5 6" xfId="34339" xr:uid="{00000000-0005-0000-0000-0000EC420000}"/>
    <cellStyle name="표준 5 2 2 8 5 7" xfId="42532" xr:uid="{00000000-0005-0000-0000-0000ED420000}"/>
    <cellStyle name="표준 5 2 2 8 6" xfId="7470" xr:uid="{00000000-0005-0000-0000-0000EE420000}"/>
    <cellStyle name="표준 5 2 2 8 6 2" xfId="28176" xr:uid="{00000000-0005-0000-0000-0000EF420000}"/>
    <cellStyle name="표준 5 2 2 8 6 3" xfId="36387" xr:uid="{00000000-0005-0000-0000-0000F0420000}"/>
    <cellStyle name="표준 5 2 2 8 6 4" xfId="44580" xr:uid="{00000000-0005-0000-0000-0000F1420000}"/>
    <cellStyle name="표준 5 2 2 8 7" xfId="11582" xr:uid="{00000000-0005-0000-0000-0000F2420000}"/>
    <cellStyle name="표준 5 2 2 8 8" xfId="15822" xr:uid="{00000000-0005-0000-0000-0000F3420000}"/>
    <cellStyle name="표준 5 2 2 8 9" xfId="19984" xr:uid="{00000000-0005-0000-0000-0000F4420000}"/>
    <cellStyle name="표준 5 2 2 9" xfId="871" xr:uid="{00000000-0005-0000-0000-0000F5420000}"/>
    <cellStyle name="표준 5 2 2 9 2" xfId="9774" xr:uid="{00000000-0005-0000-0000-0000F6420000}"/>
    <cellStyle name="표준 5 2 2 9 2 2" xfId="13886" xr:uid="{00000000-0005-0000-0000-0000F7420000}"/>
    <cellStyle name="표준 5 2 2 9 2 2 2" xfId="30480" xr:uid="{00000000-0005-0000-0000-0000F8420000}"/>
    <cellStyle name="표준 5 2 2 9 2 2 3" xfId="38691" xr:uid="{00000000-0005-0000-0000-0000F9420000}"/>
    <cellStyle name="표준 5 2 2 9 2 2 4" xfId="46884" xr:uid="{00000000-0005-0000-0000-0000FA420000}"/>
    <cellStyle name="표준 5 2 2 9 2 3" xfId="18126" xr:uid="{00000000-0005-0000-0000-0000FB420000}"/>
    <cellStyle name="표준 5 2 2 9 2 4" xfId="22288" xr:uid="{00000000-0005-0000-0000-0000FC420000}"/>
    <cellStyle name="표준 5 2 2 9 2 5" xfId="26384" xr:uid="{00000000-0005-0000-0000-0000FD420000}"/>
    <cellStyle name="표준 5 2 2 9 2 6" xfId="34595" xr:uid="{00000000-0005-0000-0000-0000FE420000}"/>
    <cellStyle name="표준 5 2 2 9 2 7" xfId="42788" xr:uid="{00000000-0005-0000-0000-0000FF420000}"/>
    <cellStyle name="표준 5 2 2 9 3" xfId="7726" xr:uid="{00000000-0005-0000-0000-000000430000}"/>
    <cellStyle name="표준 5 2 2 9 3 2" xfId="28432" xr:uid="{00000000-0005-0000-0000-000001430000}"/>
    <cellStyle name="표준 5 2 2 9 3 3" xfId="36643" xr:uid="{00000000-0005-0000-0000-000002430000}"/>
    <cellStyle name="표준 5 2 2 9 3 4" xfId="44836" xr:uid="{00000000-0005-0000-0000-000003430000}"/>
    <cellStyle name="표준 5 2 2 9 4" xfId="11838" xr:uid="{00000000-0005-0000-0000-000004430000}"/>
    <cellStyle name="표준 5 2 2 9 5" xfId="16078" xr:uid="{00000000-0005-0000-0000-000005430000}"/>
    <cellStyle name="표준 5 2 2 9 6" xfId="20240" xr:uid="{00000000-0005-0000-0000-000006430000}"/>
    <cellStyle name="표준 5 2 2 9 7" xfId="24336" xr:uid="{00000000-0005-0000-0000-000007430000}"/>
    <cellStyle name="표준 5 2 2 9 8" xfId="32547" xr:uid="{00000000-0005-0000-0000-000008430000}"/>
    <cellStyle name="표준 5 2 2 9 9" xfId="40740" xr:uid="{00000000-0005-0000-0000-000009430000}"/>
    <cellStyle name="표준 5 2 20" xfId="7209" xr:uid="{00000000-0005-0000-0000-00000A430000}"/>
    <cellStyle name="표준 5 2 21" xfId="7212" xr:uid="{00000000-0005-0000-0000-00000B430000}"/>
    <cellStyle name="표준 5 2 22" xfId="11308" xr:uid="{00000000-0005-0000-0000-00000C430000}"/>
    <cellStyle name="표준 5 2 23" xfId="11324" xr:uid="{00000000-0005-0000-0000-00000D430000}"/>
    <cellStyle name="표준 5 2 24" xfId="15420" xr:uid="{00000000-0005-0000-0000-00000E430000}"/>
    <cellStyle name="표준 5 2 25" xfId="15436" xr:uid="{00000000-0005-0000-0000-00000F430000}"/>
    <cellStyle name="표준 5 2 26" xfId="15452" xr:uid="{00000000-0005-0000-0000-000010430000}"/>
    <cellStyle name="표준 5 2 27" xfId="15548" xr:uid="{00000000-0005-0000-0000-000011430000}"/>
    <cellStyle name="표준 5 2 28" xfId="15564" xr:uid="{00000000-0005-0000-0000-000012430000}"/>
    <cellStyle name="표준 5 2 29" xfId="19660" xr:uid="{00000000-0005-0000-0000-000013430000}"/>
    <cellStyle name="표준 5 2 3" xfId="58" xr:uid="{00000000-0005-0000-0000-000014430000}"/>
    <cellStyle name="표준 5 2 3 10" xfId="1897" xr:uid="{00000000-0005-0000-0000-000015430000}"/>
    <cellStyle name="표준 5 2 3 10 2" xfId="10800" xr:uid="{00000000-0005-0000-0000-000016430000}"/>
    <cellStyle name="표준 5 2 3 10 2 2" xfId="14912" xr:uid="{00000000-0005-0000-0000-000017430000}"/>
    <cellStyle name="표준 5 2 3 10 2 2 2" xfId="31506" xr:uid="{00000000-0005-0000-0000-000018430000}"/>
    <cellStyle name="표준 5 2 3 10 2 2 3" xfId="39717" xr:uid="{00000000-0005-0000-0000-000019430000}"/>
    <cellStyle name="표준 5 2 3 10 2 2 4" xfId="47910" xr:uid="{00000000-0005-0000-0000-00001A430000}"/>
    <cellStyle name="표준 5 2 3 10 2 3" xfId="19152" xr:uid="{00000000-0005-0000-0000-00001B430000}"/>
    <cellStyle name="표준 5 2 3 10 2 4" xfId="23314" xr:uid="{00000000-0005-0000-0000-00001C430000}"/>
    <cellStyle name="표준 5 2 3 10 2 5" xfId="27410" xr:uid="{00000000-0005-0000-0000-00001D430000}"/>
    <cellStyle name="표준 5 2 3 10 2 6" xfId="35621" xr:uid="{00000000-0005-0000-0000-00001E430000}"/>
    <cellStyle name="표준 5 2 3 10 2 7" xfId="43814" xr:uid="{00000000-0005-0000-0000-00001F430000}"/>
    <cellStyle name="표준 5 2 3 10 3" xfId="8752" xr:uid="{00000000-0005-0000-0000-000020430000}"/>
    <cellStyle name="표준 5 2 3 10 3 2" xfId="29458" xr:uid="{00000000-0005-0000-0000-000021430000}"/>
    <cellStyle name="표준 5 2 3 10 3 3" xfId="37669" xr:uid="{00000000-0005-0000-0000-000022430000}"/>
    <cellStyle name="표준 5 2 3 10 3 4" xfId="45862" xr:uid="{00000000-0005-0000-0000-000023430000}"/>
    <cellStyle name="표준 5 2 3 10 4" xfId="12864" xr:uid="{00000000-0005-0000-0000-000024430000}"/>
    <cellStyle name="표준 5 2 3 10 5" xfId="17104" xr:uid="{00000000-0005-0000-0000-000025430000}"/>
    <cellStyle name="표준 5 2 3 10 6" xfId="21266" xr:uid="{00000000-0005-0000-0000-000026430000}"/>
    <cellStyle name="표준 5 2 3 10 7" xfId="25362" xr:uid="{00000000-0005-0000-0000-000027430000}"/>
    <cellStyle name="표준 5 2 3 10 8" xfId="33573" xr:uid="{00000000-0005-0000-0000-000028430000}"/>
    <cellStyle name="표준 5 2 3 10 9" xfId="41766" xr:uid="{00000000-0005-0000-0000-000029430000}"/>
    <cellStyle name="표준 5 2 3 11" xfId="4394" xr:uid="{00000000-0005-0000-0000-00002A430000}"/>
    <cellStyle name="표준 5 2 3 11 2" xfId="9264" xr:uid="{00000000-0005-0000-0000-00002B430000}"/>
    <cellStyle name="표준 5 2 3 11 2 2" xfId="29970" xr:uid="{00000000-0005-0000-0000-00002C430000}"/>
    <cellStyle name="표준 5 2 3 11 2 3" xfId="38181" xr:uid="{00000000-0005-0000-0000-00002D430000}"/>
    <cellStyle name="표준 5 2 3 11 2 4" xfId="46374" xr:uid="{00000000-0005-0000-0000-00002E430000}"/>
    <cellStyle name="표준 5 2 3 11 3" xfId="13376" xr:uid="{00000000-0005-0000-0000-00002F430000}"/>
    <cellStyle name="표준 5 2 3 11 4" xfId="17616" xr:uid="{00000000-0005-0000-0000-000030430000}"/>
    <cellStyle name="표준 5 2 3 11 5" xfId="21778" xr:uid="{00000000-0005-0000-0000-000031430000}"/>
    <cellStyle name="표준 5 2 3 11 6" xfId="25874" xr:uid="{00000000-0005-0000-0000-000032430000}"/>
    <cellStyle name="표준 5 2 3 11 7" xfId="34085" xr:uid="{00000000-0005-0000-0000-000033430000}"/>
    <cellStyle name="표준 5 2 3 11 8" xfId="42278" xr:uid="{00000000-0005-0000-0000-000034430000}"/>
    <cellStyle name="표준 5 2 3 12" xfId="6951" xr:uid="{00000000-0005-0000-0000-000035430000}"/>
    <cellStyle name="표준 5 2 3 12 2" xfId="27922" xr:uid="{00000000-0005-0000-0000-000036430000}"/>
    <cellStyle name="표준 5 2 3 12 3" xfId="36133" xr:uid="{00000000-0005-0000-0000-000037430000}"/>
    <cellStyle name="표준 5 2 3 12 4" xfId="44326" xr:uid="{00000000-0005-0000-0000-000038430000}"/>
    <cellStyle name="표준 5 2 3 13" xfId="7069" xr:uid="{00000000-0005-0000-0000-000039430000}"/>
    <cellStyle name="표준 5 2 3 14" xfId="7085" xr:uid="{00000000-0005-0000-0000-00003A430000}"/>
    <cellStyle name="표준 5 2 3 15" xfId="7101" xr:uid="{00000000-0005-0000-0000-00003B430000}"/>
    <cellStyle name="표준 5 2 3 16" xfId="7205" xr:uid="{00000000-0005-0000-0000-00003C430000}"/>
    <cellStyle name="표준 5 2 3 17" xfId="7216" xr:uid="{00000000-0005-0000-0000-00003D430000}"/>
    <cellStyle name="표준 5 2 3 18" xfId="11312" xr:uid="{00000000-0005-0000-0000-00003E430000}"/>
    <cellStyle name="표준 5 2 3 19" xfId="11328" xr:uid="{00000000-0005-0000-0000-00003F430000}"/>
    <cellStyle name="표준 5 2 3 2" xfId="76" xr:uid="{00000000-0005-0000-0000-000040430000}"/>
    <cellStyle name="표준 5 2 3 2 10" xfId="4402" xr:uid="{00000000-0005-0000-0000-000041430000}"/>
    <cellStyle name="표준 5 2 3 2 10 2" xfId="9272" xr:uid="{00000000-0005-0000-0000-000042430000}"/>
    <cellStyle name="표준 5 2 3 2 10 2 2" xfId="29978" xr:uid="{00000000-0005-0000-0000-000043430000}"/>
    <cellStyle name="표준 5 2 3 2 10 2 3" xfId="38189" xr:uid="{00000000-0005-0000-0000-000044430000}"/>
    <cellStyle name="표준 5 2 3 2 10 2 4" xfId="46382" xr:uid="{00000000-0005-0000-0000-000045430000}"/>
    <cellStyle name="표준 5 2 3 2 10 3" xfId="13384" xr:uid="{00000000-0005-0000-0000-000046430000}"/>
    <cellStyle name="표준 5 2 3 2 10 4" xfId="17624" xr:uid="{00000000-0005-0000-0000-000047430000}"/>
    <cellStyle name="표준 5 2 3 2 10 5" xfId="21786" xr:uid="{00000000-0005-0000-0000-000048430000}"/>
    <cellStyle name="표준 5 2 3 2 10 6" xfId="25882" xr:uid="{00000000-0005-0000-0000-000049430000}"/>
    <cellStyle name="표준 5 2 3 2 10 7" xfId="34093" xr:uid="{00000000-0005-0000-0000-00004A430000}"/>
    <cellStyle name="표준 5 2 3 2 10 8" xfId="42286" xr:uid="{00000000-0005-0000-0000-00004B430000}"/>
    <cellStyle name="표준 5 2 3 2 11" xfId="6959" xr:uid="{00000000-0005-0000-0000-00004C430000}"/>
    <cellStyle name="표준 5 2 3 2 11 2" xfId="27930" xr:uid="{00000000-0005-0000-0000-00004D430000}"/>
    <cellStyle name="표준 5 2 3 2 11 3" xfId="36141" xr:uid="{00000000-0005-0000-0000-00004E430000}"/>
    <cellStyle name="표준 5 2 3 2 11 4" xfId="44334" xr:uid="{00000000-0005-0000-0000-00004F430000}"/>
    <cellStyle name="표준 5 2 3 2 12" xfId="7077" xr:uid="{00000000-0005-0000-0000-000050430000}"/>
    <cellStyle name="표준 5 2 3 2 13" xfId="7093" xr:uid="{00000000-0005-0000-0000-000051430000}"/>
    <cellStyle name="표준 5 2 3 2 14" xfId="7109" xr:uid="{00000000-0005-0000-0000-000052430000}"/>
    <cellStyle name="표준 5 2 3 2 15" xfId="7197" xr:uid="{00000000-0005-0000-0000-000053430000}"/>
    <cellStyle name="표준 5 2 3 2 16" xfId="7224" xr:uid="{00000000-0005-0000-0000-000054430000}"/>
    <cellStyle name="표준 5 2 3 2 17" xfId="11320" xr:uid="{00000000-0005-0000-0000-000055430000}"/>
    <cellStyle name="표준 5 2 3 2 18" xfId="11336" xr:uid="{00000000-0005-0000-0000-000056430000}"/>
    <cellStyle name="표준 5 2 3 2 19" xfId="15432" xr:uid="{00000000-0005-0000-0000-000057430000}"/>
    <cellStyle name="표준 5 2 3 2 2" xfId="170" xr:uid="{00000000-0005-0000-0000-000058430000}"/>
    <cellStyle name="표준 5 2 3 2 2 10" xfId="7181" xr:uid="{00000000-0005-0000-0000-000059430000}"/>
    <cellStyle name="표준 5 2 3 2 2 10 2" xfId="27946" xr:uid="{00000000-0005-0000-0000-00005A430000}"/>
    <cellStyle name="표준 5 2 3 2 2 10 3" xfId="36157" xr:uid="{00000000-0005-0000-0000-00005B430000}"/>
    <cellStyle name="표준 5 2 3 2 2 10 4" xfId="44350" xr:uid="{00000000-0005-0000-0000-00005C430000}"/>
    <cellStyle name="표준 5 2 3 2 2 11" xfId="7240" xr:uid="{00000000-0005-0000-0000-00005D430000}"/>
    <cellStyle name="표준 5 2 3 2 2 12" xfId="11352" xr:uid="{00000000-0005-0000-0000-00005E430000}"/>
    <cellStyle name="표준 5 2 3 2 2 13" xfId="15480" xr:uid="{00000000-0005-0000-0000-00005F430000}"/>
    <cellStyle name="표준 5 2 3 2 2 14" xfId="15592" xr:uid="{00000000-0005-0000-0000-000060430000}"/>
    <cellStyle name="표준 5 2 3 2 2 15" xfId="19754" xr:uid="{00000000-0005-0000-0000-000061430000}"/>
    <cellStyle name="표준 5 2 3 2 2 16" xfId="23850" xr:uid="{00000000-0005-0000-0000-000062430000}"/>
    <cellStyle name="표준 5 2 3 2 2 17" xfId="32061" xr:uid="{00000000-0005-0000-0000-000063430000}"/>
    <cellStyle name="표준 5 2 3 2 2 18" xfId="40254" xr:uid="{00000000-0005-0000-0000-000064430000}"/>
    <cellStyle name="표준 5 2 3 2 2 19" xfId="49639" xr:uid="{00000000-0005-0000-0000-000065430000}"/>
    <cellStyle name="표준 5 2 3 2 2 2" xfId="417" xr:uid="{00000000-0005-0000-0000-000066430000}"/>
    <cellStyle name="표준 5 2 3 2 2 2 10" xfId="7272" xr:uid="{00000000-0005-0000-0000-000067430000}"/>
    <cellStyle name="표준 5 2 3 2 2 2 11" xfId="11384" xr:uid="{00000000-0005-0000-0000-000068430000}"/>
    <cellStyle name="표준 5 2 3 2 2 2 12" xfId="15528" xr:uid="{00000000-0005-0000-0000-000069430000}"/>
    <cellStyle name="표준 5 2 3 2 2 2 13" xfId="15624" xr:uid="{00000000-0005-0000-0000-00006A430000}"/>
    <cellStyle name="표준 5 2 3 2 2 2 14" xfId="19786" xr:uid="{00000000-0005-0000-0000-00006B430000}"/>
    <cellStyle name="표준 5 2 3 2 2 2 15" xfId="23882" xr:uid="{00000000-0005-0000-0000-00006C430000}"/>
    <cellStyle name="표준 5 2 3 2 2 2 16" xfId="32093" xr:uid="{00000000-0005-0000-0000-00006D430000}"/>
    <cellStyle name="표준 5 2 3 2 2 2 17" xfId="40286" xr:uid="{00000000-0005-0000-0000-00006E430000}"/>
    <cellStyle name="표준 5 2 3 2 2 2 18" xfId="49705" xr:uid="{00000000-0005-0000-0000-00006F430000}"/>
    <cellStyle name="표준 5 2 3 2 2 2 2" xfId="481" xr:uid="{00000000-0005-0000-0000-000070430000}"/>
    <cellStyle name="표준 5 2 3 2 2 2 2 10" xfId="15688" xr:uid="{00000000-0005-0000-0000-000071430000}"/>
    <cellStyle name="표준 5 2 3 2 2 2 2 11" xfId="19850" xr:uid="{00000000-0005-0000-0000-000072430000}"/>
    <cellStyle name="표준 5 2 3 2 2 2 2 12" xfId="23946" xr:uid="{00000000-0005-0000-0000-000073430000}"/>
    <cellStyle name="표준 5 2 3 2 2 2 2 13" xfId="32157" xr:uid="{00000000-0005-0000-0000-000074430000}"/>
    <cellStyle name="표준 5 2 3 2 2 2 2 14" xfId="40350" xr:uid="{00000000-0005-0000-0000-000075430000}"/>
    <cellStyle name="표준 5 2 3 2 2 2 2 2" xfId="609" xr:uid="{00000000-0005-0000-0000-000076430000}"/>
    <cellStyle name="표준 5 2 3 2 2 2 2 2 10" xfId="19978" xr:uid="{00000000-0005-0000-0000-000077430000}"/>
    <cellStyle name="표준 5 2 3 2 2 2 2 2 11" xfId="24074" xr:uid="{00000000-0005-0000-0000-000078430000}"/>
    <cellStyle name="표준 5 2 3 2 2 2 2 2 12" xfId="32285" xr:uid="{00000000-0005-0000-0000-000079430000}"/>
    <cellStyle name="표준 5 2 3 2 2 2 2 2 13" xfId="40478" xr:uid="{00000000-0005-0000-0000-00007A430000}"/>
    <cellStyle name="표준 5 2 3 2 2 2 2 2 2" xfId="865" xr:uid="{00000000-0005-0000-0000-00007B430000}"/>
    <cellStyle name="표준 5 2 3 2 2 2 2 2 2 10" xfId="24330" xr:uid="{00000000-0005-0000-0000-00007C430000}"/>
    <cellStyle name="표준 5 2 3 2 2 2 2 2 2 11" xfId="32541" xr:uid="{00000000-0005-0000-0000-00007D430000}"/>
    <cellStyle name="표준 5 2 3 2 2 2 2 2 2 12" xfId="40734" xr:uid="{00000000-0005-0000-0000-00007E430000}"/>
    <cellStyle name="표준 5 2 3 2 2 2 2 2 2 2" xfId="1377" xr:uid="{00000000-0005-0000-0000-00007F430000}"/>
    <cellStyle name="표준 5 2 3 2 2 2 2 2 2 2 2" xfId="10280" xr:uid="{00000000-0005-0000-0000-000080430000}"/>
    <cellStyle name="표준 5 2 3 2 2 2 2 2 2 2 2 2" xfId="14392" xr:uid="{00000000-0005-0000-0000-000081430000}"/>
    <cellStyle name="표준 5 2 3 2 2 2 2 2 2 2 2 2 2" xfId="30986" xr:uid="{00000000-0005-0000-0000-000082430000}"/>
    <cellStyle name="표준 5 2 3 2 2 2 2 2 2 2 2 2 3" xfId="39197" xr:uid="{00000000-0005-0000-0000-000083430000}"/>
    <cellStyle name="표준 5 2 3 2 2 2 2 2 2 2 2 2 4" xfId="47390" xr:uid="{00000000-0005-0000-0000-000084430000}"/>
    <cellStyle name="표준 5 2 3 2 2 2 2 2 2 2 2 3" xfId="18632" xr:uid="{00000000-0005-0000-0000-000085430000}"/>
    <cellStyle name="표준 5 2 3 2 2 2 2 2 2 2 2 4" xfId="22794" xr:uid="{00000000-0005-0000-0000-000086430000}"/>
    <cellStyle name="표준 5 2 3 2 2 2 2 2 2 2 2 5" xfId="26890" xr:uid="{00000000-0005-0000-0000-000087430000}"/>
    <cellStyle name="표준 5 2 3 2 2 2 2 2 2 2 2 6" xfId="35101" xr:uid="{00000000-0005-0000-0000-000088430000}"/>
    <cellStyle name="표준 5 2 3 2 2 2 2 2 2 2 2 7" xfId="43294" xr:uid="{00000000-0005-0000-0000-000089430000}"/>
    <cellStyle name="표준 5 2 3 2 2 2 2 2 2 2 3" xfId="8232" xr:uid="{00000000-0005-0000-0000-00008A430000}"/>
    <cellStyle name="표준 5 2 3 2 2 2 2 2 2 2 3 2" xfId="28938" xr:uid="{00000000-0005-0000-0000-00008B430000}"/>
    <cellStyle name="표준 5 2 3 2 2 2 2 2 2 2 3 3" xfId="37149" xr:uid="{00000000-0005-0000-0000-00008C430000}"/>
    <cellStyle name="표준 5 2 3 2 2 2 2 2 2 2 3 4" xfId="45342" xr:uid="{00000000-0005-0000-0000-00008D430000}"/>
    <cellStyle name="표준 5 2 3 2 2 2 2 2 2 2 4" xfId="12344" xr:uid="{00000000-0005-0000-0000-00008E430000}"/>
    <cellStyle name="표준 5 2 3 2 2 2 2 2 2 2 5" xfId="16584" xr:uid="{00000000-0005-0000-0000-00008F430000}"/>
    <cellStyle name="표준 5 2 3 2 2 2 2 2 2 2 6" xfId="20746" xr:uid="{00000000-0005-0000-0000-000090430000}"/>
    <cellStyle name="표준 5 2 3 2 2 2 2 2 2 2 7" xfId="24842" xr:uid="{00000000-0005-0000-0000-000091430000}"/>
    <cellStyle name="표준 5 2 3 2 2 2 2 2 2 2 8" xfId="33053" xr:uid="{00000000-0005-0000-0000-000092430000}"/>
    <cellStyle name="표준 5 2 3 2 2 2 2 2 2 2 9" xfId="41246" xr:uid="{00000000-0005-0000-0000-000093430000}"/>
    <cellStyle name="표준 5 2 3 2 2 2 2 2 2 3" xfId="1889" xr:uid="{00000000-0005-0000-0000-000094430000}"/>
    <cellStyle name="표준 5 2 3 2 2 2 2 2 2 3 2" xfId="10792" xr:uid="{00000000-0005-0000-0000-000095430000}"/>
    <cellStyle name="표준 5 2 3 2 2 2 2 2 2 3 2 2" xfId="14904" xr:uid="{00000000-0005-0000-0000-000096430000}"/>
    <cellStyle name="표준 5 2 3 2 2 2 2 2 2 3 2 2 2" xfId="31498" xr:uid="{00000000-0005-0000-0000-000097430000}"/>
    <cellStyle name="표준 5 2 3 2 2 2 2 2 2 3 2 2 3" xfId="39709" xr:uid="{00000000-0005-0000-0000-000098430000}"/>
    <cellStyle name="표준 5 2 3 2 2 2 2 2 2 3 2 2 4" xfId="47902" xr:uid="{00000000-0005-0000-0000-000099430000}"/>
    <cellStyle name="표준 5 2 3 2 2 2 2 2 2 3 2 3" xfId="19144" xr:uid="{00000000-0005-0000-0000-00009A430000}"/>
    <cellStyle name="표준 5 2 3 2 2 2 2 2 2 3 2 4" xfId="23306" xr:uid="{00000000-0005-0000-0000-00009B430000}"/>
    <cellStyle name="표준 5 2 3 2 2 2 2 2 2 3 2 5" xfId="27402" xr:uid="{00000000-0005-0000-0000-00009C430000}"/>
    <cellStyle name="표준 5 2 3 2 2 2 2 2 2 3 2 6" xfId="35613" xr:uid="{00000000-0005-0000-0000-00009D430000}"/>
    <cellStyle name="표준 5 2 3 2 2 2 2 2 2 3 2 7" xfId="43806" xr:uid="{00000000-0005-0000-0000-00009E430000}"/>
    <cellStyle name="표준 5 2 3 2 2 2 2 2 2 3 3" xfId="8744" xr:uid="{00000000-0005-0000-0000-00009F430000}"/>
    <cellStyle name="표준 5 2 3 2 2 2 2 2 2 3 3 2" xfId="29450" xr:uid="{00000000-0005-0000-0000-0000A0430000}"/>
    <cellStyle name="표준 5 2 3 2 2 2 2 2 2 3 3 3" xfId="37661" xr:uid="{00000000-0005-0000-0000-0000A1430000}"/>
    <cellStyle name="표준 5 2 3 2 2 2 2 2 2 3 3 4" xfId="45854" xr:uid="{00000000-0005-0000-0000-0000A2430000}"/>
    <cellStyle name="표준 5 2 3 2 2 2 2 2 2 3 4" xfId="12856" xr:uid="{00000000-0005-0000-0000-0000A3430000}"/>
    <cellStyle name="표준 5 2 3 2 2 2 2 2 2 3 5" xfId="17096" xr:uid="{00000000-0005-0000-0000-0000A4430000}"/>
    <cellStyle name="표준 5 2 3 2 2 2 2 2 2 3 6" xfId="21258" xr:uid="{00000000-0005-0000-0000-0000A5430000}"/>
    <cellStyle name="표준 5 2 3 2 2 2 2 2 2 3 7" xfId="25354" xr:uid="{00000000-0005-0000-0000-0000A6430000}"/>
    <cellStyle name="표준 5 2 3 2 2 2 2 2 2 3 8" xfId="33565" xr:uid="{00000000-0005-0000-0000-0000A7430000}"/>
    <cellStyle name="표준 5 2 3 2 2 2 2 2 2 3 9" xfId="41758" xr:uid="{00000000-0005-0000-0000-0000A8430000}"/>
    <cellStyle name="표준 5 2 3 2 2 2 2 2 2 4" xfId="2401" xr:uid="{00000000-0005-0000-0000-0000A9430000}"/>
    <cellStyle name="표준 5 2 3 2 2 2 2 2 2 4 2" xfId="11304" xr:uid="{00000000-0005-0000-0000-0000AA430000}"/>
    <cellStyle name="표준 5 2 3 2 2 2 2 2 2 4 2 2" xfId="15416" xr:uid="{00000000-0005-0000-0000-0000AB430000}"/>
    <cellStyle name="표준 5 2 3 2 2 2 2 2 2 4 2 2 2" xfId="32010" xr:uid="{00000000-0005-0000-0000-0000AC430000}"/>
    <cellStyle name="표준 5 2 3 2 2 2 2 2 2 4 2 2 3" xfId="40221" xr:uid="{00000000-0005-0000-0000-0000AD430000}"/>
    <cellStyle name="표준 5 2 3 2 2 2 2 2 2 4 2 2 4" xfId="48414" xr:uid="{00000000-0005-0000-0000-0000AE430000}"/>
    <cellStyle name="표준 5 2 3 2 2 2 2 2 2 4 2 3" xfId="19656" xr:uid="{00000000-0005-0000-0000-0000AF430000}"/>
    <cellStyle name="표준 5 2 3 2 2 2 2 2 2 4 2 4" xfId="23818" xr:uid="{00000000-0005-0000-0000-0000B0430000}"/>
    <cellStyle name="표준 5 2 3 2 2 2 2 2 2 4 2 5" xfId="27914" xr:uid="{00000000-0005-0000-0000-0000B1430000}"/>
    <cellStyle name="표준 5 2 3 2 2 2 2 2 2 4 2 6" xfId="36125" xr:uid="{00000000-0005-0000-0000-0000B2430000}"/>
    <cellStyle name="표준 5 2 3 2 2 2 2 2 2 4 2 7" xfId="44318" xr:uid="{00000000-0005-0000-0000-0000B3430000}"/>
    <cellStyle name="표준 5 2 3 2 2 2 2 2 2 4 3" xfId="9256" xr:uid="{00000000-0005-0000-0000-0000B4430000}"/>
    <cellStyle name="표준 5 2 3 2 2 2 2 2 2 4 3 2" xfId="29962" xr:uid="{00000000-0005-0000-0000-0000B5430000}"/>
    <cellStyle name="표준 5 2 3 2 2 2 2 2 2 4 3 3" xfId="38173" xr:uid="{00000000-0005-0000-0000-0000B6430000}"/>
    <cellStyle name="표준 5 2 3 2 2 2 2 2 2 4 3 4" xfId="46366" xr:uid="{00000000-0005-0000-0000-0000B7430000}"/>
    <cellStyle name="표준 5 2 3 2 2 2 2 2 2 4 4" xfId="13368" xr:uid="{00000000-0005-0000-0000-0000B8430000}"/>
    <cellStyle name="표준 5 2 3 2 2 2 2 2 2 4 5" xfId="17608" xr:uid="{00000000-0005-0000-0000-0000B9430000}"/>
    <cellStyle name="표준 5 2 3 2 2 2 2 2 2 4 6" xfId="21770" xr:uid="{00000000-0005-0000-0000-0000BA430000}"/>
    <cellStyle name="표준 5 2 3 2 2 2 2 2 2 4 7" xfId="25866" xr:uid="{00000000-0005-0000-0000-0000BB430000}"/>
    <cellStyle name="표준 5 2 3 2 2 2 2 2 2 4 8" xfId="34077" xr:uid="{00000000-0005-0000-0000-0000BC430000}"/>
    <cellStyle name="표준 5 2 3 2 2 2 2 2 2 4 9" xfId="42270" xr:uid="{00000000-0005-0000-0000-0000BD430000}"/>
    <cellStyle name="표준 5 2 3 2 2 2 2 2 2 5" xfId="9768" xr:uid="{00000000-0005-0000-0000-0000BE430000}"/>
    <cellStyle name="표준 5 2 3 2 2 2 2 2 2 5 2" xfId="13880" xr:uid="{00000000-0005-0000-0000-0000BF430000}"/>
    <cellStyle name="표준 5 2 3 2 2 2 2 2 2 5 2 2" xfId="30474" xr:uid="{00000000-0005-0000-0000-0000C0430000}"/>
    <cellStyle name="표준 5 2 3 2 2 2 2 2 2 5 2 3" xfId="38685" xr:uid="{00000000-0005-0000-0000-0000C1430000}"/>
    <cellStyle name="표준 5 2 3 2 2 2 2 2 2 5 2 4" xfId="46878" xr:uid="{00000000-0005-0000-0000-0000C2430000}"/>
    <cellStyle name="표준 5 2 3 2 2 2 2 2 2 5 3" xfId="18120" xr:uid="{00000000-0005-0000-0000-0000C3430000}"/>
    <cellStyle name="표준 5 2 3 2 2 2 2 2 2 5 4" xfId="22282" xr:uid="{00000000-0005-0000-0000-0000C4430000}"/>
    <cellStyle name="표준 5 2 3 2 2 2 2 2 2 5 5" xfId="26378" xr:uid="{00000000-0005-0000-0000-0000C5430000}"/>
    <cellStyle name="표준 5 2 3 2 2 2 2 2 2 5 6" xfId="34589" xr:uid="{00000000-0005-0000-0000-0000C6430000}"/>
    <cellStyle name="표준 5 2 3 2 2 2 2 2 2 5 7" xfId="42782" xr:uid="{00000000-0005-0000-0000-0000C7430000}"/>
    <cellStyle name="표준 5 2 3 2 2 2 2 2 2 6" xfId="7720" xr:uid="{00000000-0005-0000-0000-0000C8430000}"/>
    <cellStyle name="표준 5 2 3 2 2 2 2 2 2 6 2" xfId="28426" xr:uid="{00000000-0005-0000-0000-0000C9430000}"/>
    <cellStyle name="표준 5 2 3 2 2 2 2 2 2 6 3" xfId="36637" xr:uid="{00000000-0005-0000-0000-0000CA430000}"/>
    <cellStyle name="표준 5 2 3 2 2 2 2 2 2 6 4" xfId="44830" xr:uid="{00000000-0005-0000-0000-0000CB430000}"/>
    <cellStyle name="표준 5 2 3 2 2 2 2 2 2 7" xfId="11832" xr:uid="{00000000-0005-0000-0000-0000CC430000}"/>
    <cellStyle name="표준 5 2 3 2 2 2 2 2 2 8" xfId="16072" xr:uid="{00000000-0005-0000-0000-0000CD430000}"/>
    <cellStyle name="표준 5 2 3 2 2 2 2 2 2 9" xfId="20234" xr:uid="{00000000-0005-0000-0000-0000CE430000}"/>
    <cellStyle name="표준 5 2 3 2 2 2 2 2 3" xfId="1121" xr:uid="{00000000-0005-0000-0000-0000CF430000}"/>
    <cellStyle name="표준 5 2 3 2 2 2 2 2 3 2" xfId="10024" xr:uid="{00000000-0005-0000-0000-0000D0430000}"/>
    <cellStyle name="표준 5 2 3 2 2 2 2 2 3 2 2" xfId="14136" xr:uid="{00000000-0005-0000-0000-0000D1430000}"/>
    <cellStyle name="표준 5 2 3 2 2 2 2 2 3 2 2 2" xfId="30730" xr:uid="{00000000-0005-0000-0000-0000D2430000}"/>
    <cellStyle name="표준 5 2 3 2 2 2 2 2 3 2 2 3" xfId="38941" xr:uid="{00000000-0005-0000-0000-0000D3430000}"/>
    <cellStyle name="표준 5 2 3 2 2 2 2 2 3 2 2 4" xfId="47134" xr:uid="{00000000-0005-0000-0000-0000D4430000}"/>
    <cellStyle name="표준 5 2 3 2 2 2 2 2 3 2 3" xfId="18376" xr:uid="{00000000-0005-0000-0000-0000D5430000}"/>
    <cellStyle name="표준 5 2 3 2 2 2 2 2 3 2 4" xfId="22538" xr:uid="{00000000-0005-0000-0000-0000D6430000}"/>
    <cellStyle name="표준 5 2 3 2 2 2 2 2 3 2 5" xfId="26634" xr:uid="{00000000-0005-0000-0000-0000D7430000}"/>
    <cellStyle name="표준 5 2 3 2 2 2 2 2 3 2 6" xfId="34845" xr:uid="{00000000-0005-0000-0000-0000D8430000}"/>
    <cellStyle name="표준 5 2 3 2 2 2 2 2 3 2 7" xfId="43038" xr:uid="{00000000-0005-0000-0000-0000D9430000}"/>
    <cellStyle name="표준 5 2 3 2 2 2 2 2 3 3" xfId="7976" xr:uid="{00000000-0005-0000-0000-0000DA430000}"/>
    <cellStyle name="표준 5 2 3 2 2 2 2 2 3 3 2" xfId="28682" xr:uid="{00000000-0005-0000-0000-0000DB430000}"/>
    <cellStyle name="표준 5 2 3 2 2 2 2 2 3 3 3" xfId="36893" xr:uid="{00000000-0005-0000-0000-0000DC430000}"/>
    <cellStyle name="표준 5 2 3 2 2 2 2 2 3 3 4" xfId="45086" xr:uid="{00000000-0005-0000-0000-0000DD430000}"/>
    <cellStyle name="표준 5 2 3 2 2 2 2 2 3 4" xfId="12088" xr:uid="{00000000-0005-0000-0000-0000DE430000}"/>
    <cellStyle name="표준 5 2 3 2 2 2 2 2 3 5" xfId="16328" xr:uid="{00000000-0005-0000-0000-0000DF430000}"/>
    <cellStyle name="표준 5 2 3 2 2 2 2 2 3 6" xfId="20490" xr:uid="{00000000-0005-0000-0000-0000E0430000}"/>
    <cellStyle name="표준 5 2 3 2 2 2 2 2 3 7" xfId="24586" xr:uid="{00000000-0005-0000-0000-0000E1430000}"/>
    <cellStyle name="표준 5 2 3 2 2 2 2 2 3 8" xfId="32797" xr:uid="{00000000-0005-0000-0000-0000E2430000}"/>
    <cellStyle name="표준 5 2 3 2 2 2 2 2 3 9" xfId="40990" xr:uid="{00000000-0005-0000-0000-0000E3430000}"/>
    <cellStyle name="표준 5 2 3 2 2 2 2 2 4" xfId="1633" xr:uid="{00000000-0005-0000-0000-0000E4430000}"/>
    <cellStyle name="표준 5 2 3 2 2 2 2 2 4 2" xfId="10536" xr:uid="{00000000-0005-0000-0000-0000E5430000}"/>
    <cellStyle name="표준 5 2 3 2 2 2 2 2 4 2 2" xfId="14648" xr:uid="{00000000-0005-0000-0000-0000E6430000}"/>
    <cellStyle name="표준 5 2 3 2 2 2 2 2 4 2 2 2" xfId="31242" xr:uid="{00000000-0005-0000-0000-0000E7430000}"/>
    <cellStyle name="표준 5 2 3 2 2 2 2 2 4 2 2 3" xfId="39453" xr:uid="{00000000-0005-0000-0000-0000E8430000}"/>
    <cellStyle name="표준 5 2 3 2 2 2 2 2 4 2 2 4" xfId="47646" xr:uid="{00000000-0005-0000-0000-0000E9430000}"/>
    <cellStyle name="표준 5 2 3 2 2 2 2 2 4 2 3" xfId="18888" xr:uid="{00000000-0005-0000-0000-0000EA430000}"/>
    <cellStyle name="표준 5 2 3 2 2 2 2 2 4 2 4" xfId="23050" xr:uid="{00000000-0005-0000-0000-0000EB430000}"/>
    <cellStyle name="표준 5 2 3 2 2 2 2 2 4 2 5" xfId="27146" xr:uid="{00000000-0005-0000-0000-0000EC430000}"/>
    <cellStyle name="표준 5 2 3 2 2 2 2 2 4 2 6" xfId="35357" xr:uid="{00000000-0005-0000-0000-0000ED430000}"/>
    <cellStyle name="표준 5 2 3 2 2 2 2 2 4 2 7" xfId="43550" xr:uid="{00000000-0005-0000-0000-0000EE430000}"/>
    <cellStyle name="표준 5 2 3 2 2 2 2 2 4 3" xfId="8488" xr:uid="{00000000-0005-0000-0000-0000EF430000}"/>
    <cellStyle name="표준 5 2 3 2 2 2 2 2 4 3 2" xfId="29194" xr:uid="{00000000-0005-0000-0000-0000F0430000}"/>
    <cellStyle name="표준 5 2 3 2 2 2 2 2 4 3 3" xfId="37405" xr:uid="{00000000-0005-0000-0000-0000F1430000}"/>
    <cellStyle name="표준 5 2 3 2 2 2 2 2 4 3 4" xfId="45598" xr:uid="{00000000-0005-0000-0000-0000F2430000}"/>
    <cellStyle name="표준 5 2 3 2 2 2 2 2 4 4" xfId="12600" xr:uid="{00000000-0005-0000-0000-0000F3430000}"/>
    <cellStyle name="표준 5 2 3 2 2 2 2 2 4 5" xfId="16840" xr:uid="{00000000-0005-0000-0000-0000F4430000}"/>
    <cellStyle name="표준 5 2 3 2 2 2 2 2 4 6" xfId="21002" xr:uid="{00000000-0005-0000-0000-0000F5430000}"/>
    <cellStyle name="표준 5 2 3 2 2 2 2 2 4 7" xfId="25098" xr:uid="{00000000-0005-0000-0000-0000F6430000}"/>
    <cellStyle name="표준 5 2 3 2 2 2 2 2 4 8" xfId="33309" xr:uid="{00000000-0005-0000-0000-0000F7430000}"/>
    <cellStyle name="표준 5 2 3 2 2 2 2 2 4 9" xfId="41502" xr:uid="{00000000-0005-0000-0000-0000F8430000}"/>
    <cellStyle name="표준 5 2 3 2 2 2 2 2 5" xfId="2145" xr:uid="{00000000-0005-0000-0000-0000F9430000}"/>
    <cellStyle name="표준 5 2 3 2 2 2 2 2 5 2" xfId="11048" xr:uid="{00000000-0005-0000-0000-0000FA430000}"/>
    <cellStyle name="표준 5 2 3 2 2 2 2 2 5 2 2" xfId="15160" xr:uid="{00000000-0005-0000-0000-0000FB430000}"/>
    <cellStyle name="표준 5 2 3 2 2 2 2 2 5 2 2 2" xfId="31754" xr:uid="{00000000-0005-0000-0000-0000FC430000}"/>
    <cellStyle name="표준 5 2 3 2 2 2 2 2 5 2 2 3" xfId="39965" xr:uid="{00000000-0005-0000-0000-0000FD430000}"/>
    <cellStyle name="표준 5 2 3 2 2 2 2 2 5 2 2 4" xfId="48158" xr:uid="{00000000-0005-0000-0000-0000FE430000}"/>
    <cellStyle name="표준 5 2 3 2 2 2 2 2 5 2 3" xfId="19400" xr:uid="{00000000-0005-0000-0000-0000FF430000}"/>
    <cellStyle name="표준 5 2 3 2 2 2 2 2 5 2 4" xfId="23562" xr:uid="{00000000-0005-0000-0000-000000440000}"/>
    <cellStyle name="표준 5 2 3 2 2 2 2 2 5 2 5" xfId="27658" xr:uid="{00000000-0005-0000-0000-000001440000}"/>
    <cellStyle name="표준 5 2 3 2 2 2 2 2 5 2 6" xfId="35869" xr:uid="{00000000-0005-0000-0000-000002440000}"/>
    <cellStyle name="표준 5 2 3 2 2 2 2 2 5 2 7" xfId="44062" xr:uid="{00000000-0005-0000-0000-000003440000}"/>
    <cellStyle name="표준 5 2 3 2 2 2 2 2 5 3" xfId="9000" xr:uid="{00000000-0005-0000-0000-000004440000}"/>
    <cellStyle name="표준 5 2 3 2 2 2 2 2 5 3 2" xfId="29706" xr:uid="{00000000-0005-0000-0000-000005440000}"/>
    <cellStyle name="표준 5 2 3 2 2 2 2 2 5 3 3" xfId="37917" xr:uid="{00000000-0005-0000-0000-000006440000}"/>
    <cellStyle name="표준 5 2 3 2 2 2 2 2 5 3 4" xfId="46110" xr:uid="{00000000-0005-0000-0000-000007440000}"/>
    <cellStyle name="표준 5 2 3 2 2 2 2 2 5 4" xfId="13112" xr:uid="{00000000-0005-0000-0000-000008440000}"/>
    <cellStyle name="표준 5 2 3 2 2 2 2 2 5 5" xfId="17352" xr:uid="{00000000-0005-0000-0000-000009440000}"/>
    <cellStyle name="표준 5 2 3 2 2 2 2 2 5 6" xfId="21514" xr:uid="{00000000-0005-0000-0000-00000A440000}"/>
    <cellStyle name="표준 5 2 3 2 2 2 2 2 5 7" xfId="25610" xr:uid="{00000000-0005-0000-0000-00000B440000}"/>
    <cellStyle name="표준 5 2 3 2 2 2 2 2 5 8" xfId="33821" xr:uid="{00000000-0005-0000-0000-00000C440000}"/>
    <cellStyle name="표준 5 2 3 2 2 2 2 2 5 9" xfId="42014" xr:uid="{00000000-0005-0000-0000-00000D440000}"/>
    <cellStyle name="표준 5 2 3 2 2 2 2 2 6" xfId="9512" xr:uid="{00000000-0005-0000-0000-00000E440000}"/>
    <cellStyle name="표준 5 2 3 2 2 2 2 2 6 2" xfId="13624" xr:uid="{00000000-0005-0000-0000-00000F440000}"/>
    <cellStyle name="표준 5 2 3 2 2 2 2 2 6 2 2" xfId="30218" xr:uid="{00000000-0005-0000-0000-000010440000}"/>
    <cellStyle name="표준 5 2 3 2 2 2 2 2 6 2 3" xfId="38429" xr:uid="{00000000-0005-0000-0000-000011440000}"/>
    <cellStyle name="표준 5 2 3 2 2 2 2 2 6 2 4" xfId="46622" xr:uid="{00000000-0005-0000-0000-000012440000}"/>
    <cellStyle name="표준 5 2 3 2 2 2 2 2 6 3" xfId="17864" xr:uid="{00000000-0005-0000-0000-000013440000}"/>
    <cellStyle name="표준 5 2 3 2 2 2 2 2 6 4" xfId="22026" xr:uid="{00000000-0005-0000-0000-000014440000}"/>
    <cellStyle name="표준 5 2 3 2 2 2 2 2 6 5" xfId="26122" xr:uid="{00000000-0005-0000-0000-000015440000}"/>
    <cellStyle name="표준 5 2 3 2 2 2 2 2 6 6" xfId="34333" xr:uid="{00000000-0005-0000-0000-000016440000}"/>
    <cellStyle name="표준 5 2 3 2 2 2 2 2 6 7" xfId="42526" xr:uid="{00000000-0005-0000-0000-000017440000}"/>
    <cellStyle name="표준 5 2 3 2 2 2 2 2 7" xfId="7464" xr:uid="{00000000-0005-0000-0000-000018440000}"/>
    <cellStyle name="표준 5 2 3 2 2 2 2 2 7 2" xfId="28170" xr:uid="{00000000-0005-0000-0000-000019440000}"/>
    <cellStyle name="표준 5 2 3 2 2 2 2 2 7 3" xfId="36381" xr:uid="{00000000-0005-0000-0000-00001A440000}"/>
    <cellStyle name="표준 5 2 3 2 2 2 2 2 7 4" xfId="44574" xr:uid="{00000000-0005-0000-0000-00001B440000}"/>
    <cellStyle name="표준 5 2 3 2 2 2 2 2 8" xfId="11576" xr:uid="{00000000-0005-0000-0000-00001C440000}"/>
    <cellStyle name="표준 5 2 3 2 2 2 2 2 9" xfId="15816" xr:uid="{00000000-0005-0000-0000-00001D440000}"/>
    <cellStyle name="표준 5 2 3 2 2 2 2 3" xfId="737" xr:uid="{00000000-0005-0000-0000-00001E440000}"/>
    <cellStyle name="표준 5 2 3 2 2 2 2 3 10" xfId="24202" xr:uid="{00000000-0005-0000-0000-00001F440000}"/>
    <cellStyle name="표준 5 2 3 2 2 2 2 3 11" xfId="32413" xr:uid="{00000000-0005-0000-0000-000020440000}"/>
    <cellStyle name="표준 5 2 3 2 2 2 2 3 12" xfId="40606" xr:uid="{00000000-0005-0000-0000-000021440000}"/>
    <cellStyle name="표준 5 2 3 2 2 2 2 3 2" xfId="1249" xr:uid="{00000000-0005-0000-0000-000022440000}"/>
    <cellStyle name="표준 5 2 3 2 2 2 2 3 2 2" xfId="10152" xr:uid="{00000000-0005-0000-0000-000023440000}"/>
    <cellStyle name="표준 5 2 3 2 2 2 2 3 2 2 2" xfId="14264" xr:uid="{00000000-0005-0000-0000-000024440000}"/>
    <cellStyle name="표준 5 2 3 2 2 2 2 3 2 2 2 2" xfId="30858" xr:uid="{00000000-0005-0000-0000-000025440000}"/>
    <cellStyle name="표준 5 2 3 2 2 2 2 3 2 2 2 3" xfId="39069" xr:uid="{00000000-0005-0000-0000-000026440000}"/>
    <cellStyle name="표준 5 2 3 2 2 2 2 3 2 2 2 4" xfId="47262" xr:uid="{00000000-0005-0000-0000-000027440000}"/>
    <cellStyle name="표준 5 2 3 2 2 2 2 3 2 2 3" xfId="18504" xr:uid="{00000000-0005-0000-0000-000028440000}"/>
    <cellStyle name="표준 5 2 3 2 2 2 2 3 2 2 4" xfId="22666" xr:uid="{00000000-0005-0000-0000-000029440000}"/>
    <cellStyle name="표준 5 2 3 2 2 2 2 3 2 2 5" xfId="26762" xr:uid="{00000000-0005-0000-0000-00002A440000}"/>
    <cellStyle name="표준 5 2 3 2 2 2 2 3 2 2 6" xfId="34973" xr:uid="{00000000-0005-0000-0000-00002B440000}"/>
    <cellStyle name="표준 5 2 3 2 2 2 2 3 2 2 7" xfId="43166" xr:uid="{00000000-0005-0000-0000-00002C440000}"/>
    <cellStyle name="표준 5 2 3 2 2 2 2 3 2 3" xfId="8104" xr:uid="{00000000-0005-0000-0000-00002D440000}"/>
    <cellStyle name="표준 5 2 3 2 2 2 2 3 2 3 2" xfId="28810" xr:uid="{00000000-0005-0000-0000-00002E440000}"/>
    <cellStyle name="표준 5 2 3 2 2 2 2 3 2 3 3" xfId="37021" xr:uid="{00000000-0005-0000-0000-00002F440000}"/>
    <cellStyle name="표준 5 2 3 2 2 2 2 3 2 3 4" xfId="45214" xr:uid="{00000000-0005-0000-0000-000030440000}"/>
    <cellStyle name="표준 5 2 3 2 2 2 2 3 2 4" xfId="12216" xr:uid="{00000000-0005-0000-0000-000031440000}"/>
    <cellStyle name="표준 5 2 3 2 2 2 2 3 2 5" xfId="16456" xr:uid="{00000000-0005-0000-0000-000032440000}"/>
    <cellStyle name="표준 5 2 3 2 2 2 2 3 2 6" xfId="20618" xr:uid="{00000000-0005-0000-0000-000033440000}"/>
    <cellStyle name="표준 5 2 3 2 2 2 2 3 2 7" xfId="24714" xr:uid="{00000000-0005-0000-0000-000034440000}"/>
    <cellStyle name="표준 5 2 3 2 2 2 2 3 2 8" xfId="32925" xr:uid="{00000000-0005-0000-0000-000035440000}"/>
    <cellStyle name="표준 5 2 3 2 2 2 2 3 2 9" xfId="41118" xr:uid="{00000000-0005-0000-0000-000036440000}"/>
    <cellStyle name="표준 5 2 3 2 2 2 2 3 3" xfId="1761" xr:uid="{00000000-0005-0000-0000-000037440000}"/>
    <cellStyle name="표준 5 2 3 2 2 2 2 3 3 2" xfId="10664" xr:uid="{00000000-0005-0000-0000-000038440000}"/>
    <cellStyle name="표준 5 2 3 2 2 2 2 3 3 2 2" xfId="14776" xr:uid="{00000000-0005-0000-0000-000039440000}"/>
    <cellStyle name="표준 5 2 3 2 2 2 2 3 3 2 2 2" xfId="31370" xr:uid="{00000000-0005-0000-0000-00003A440000}"/>
    <cellStyle name="표준 5 2 3 2 2 2 2 3 3 2 2 3" xfId="39581" xr:uid="{00000000-0005-0000-0000-00003B440000}"/>
    <cellStyle name="표준 5 2 3 2 2 2 2 3 3 2 2 4" xfId="47774" xr:uid="{00000000-0005-0000-0000-00003C440000}"/>
    <cellStyle name="표준 5 2 3 2 2 2 2 3 3 2 3" xfId="19016" xr:uid="{00000000-0005-0000-0000-00003D440000}"/>
    <cellStyle name="표준 5 2 3 2 2 2 2 3 3 2 4" xfId="23178" xr:uid="{00000000-0005-0000-0000-00003E440000}"/>
    <cellStyle name="표준 5 2 3 2 2 2 2 3 3 2 5" xfId="27274" xr:uid="{00000000-0005-0000-0000-00003F440000}"/>
    <cellStyle name="표준 5 2 3 2 2 2 2 3 3 2 6" xfId="35485" xr:uid="{00000000-0005-0000-0000-000040440000}"/>
    <cellStyle name="표준 5 2 3 2 2 2 2 3 3 2 7" xfId="43678" xr:uid="{00000000-0005-0000-0000-000041440000}"/>
    <cellStyle name="표준 5 2 3 2 2 2 2 3 3 3" xfId="8616" xr:uid="{00000000-0005-0000-0000-000042440000}"/>
    <cellStyle name="표준 5 2 3 2 2 2 2 3 3 3 2" xfId="29322" xr:uid="{00000000-0005-0000-0000-000043440000}"/>
    <cellStyle name="표준 5 2 3 2 2 2 2 3 3 3 3" xfId="37533" xr:uid="{00000000-0005-0000-0000-000044440000}"/>
    <cellStyle name="표준 5 2 3 2 2 2 2 3 3 3 4" xfId="45726" xr:uid="{00000000-0005-0000-0000-000045440000}"/>
    <cellStyle name="표준 5 2 3 2 2 2 2 3 3 4" xfId="12728" xr:uid="{00000000-0005-0000-0000-000046440000}"/>
    <cellStyle name="표준 5 2 3 2 2 2 2 3 3 5" xfId="16968" xr:uid="{00000000-0005-0000-0000-000047440000}"/>
    <cellStyle name="표준 5 2 3 2 2 2 2 3 3 6" xfId="21130" xr:uid="{00000000-0005-0000-0000-000048440000}"/>
    <cellStyle name="표준 5 2 3 2 2 2 2 3 3 7" xfId="25226" xr:uid="{00000000-0005-0000-0000-000049440000}"/>
    <cellStyle name="표준 5 2 3 2 2 2 2 3 3 8" xfId="33437" xr:uid="{00000000-0005-0000-0000-00004A440000}"/>
    <cellStyle name="표준 5 2 3 2 2 2 2 3 3 9" xfId="41630" xr:uid="{00000000-0005-0000-0000-00004B440000}"/>
    <cellStyle name="표준 5 2 3 2 2 2 2 3 4" xfId="2273" xr:uid="{00000000-0005-0000-0000-00004C440000}"/>
    <cellStyle name="표준 5 2 3 2 2 2 2 3 4 2" xfId="11176" xr:uid="{00000000-0005-0000-0000-00004D440000}"/>
    <cellStyle name="표준 5 2 3 2 2 2 2 3 4 2 2" xfId="15288" xr:uid="{00000000-0005-0000-0000-00004E440000}"/>
    <cellStyle name="표준 5 2 3 2 2 2 2 3 4 2 2 2" xfId="31882" xr:uid="{00000000-0005-0000-0000-00004F440000}"/>
    <cellStyle name="표준 5 2 3 2 2 2 2 3 4 2 2 3" xfId="40093" xr:uid="{00000000-0005-0000-0000-000050440000}"/>
    <cellStyle name="표준 5 2 3 2 2 2 2 3 4 2 2 4" xfId="48286" xr:uid="{00000000-0005-0000-0000-000051440000}"/>
    <cellStyle name="표준 5 2 3 2 2 2 2 3 4 2 3" xfId="19528" xr:uid="{00000000-0005-0000-0000-000052440000}"/>
    <cellStyle name="표준 5 2 3 2 2 2 2 3 4 2 4" xfId="23690" xr:uid="{00000000-0005-0000-0000-000053440000}"/>
    <cellStyle name="표준 5 2 3 2 2 2 2 3 4 2 5" xfId="27786" xr:uid="{00000000-0005-0000-0000-000054440000}"/>
    <cellStyle name="표준 5 2 3 2 2 2 2 3 4 2 6" xfId="35997" xr:uid="{00000000-0005-0000-0000-000055440000}"/>
    <cellStyle name="표준 5 2 3 2 2 2 2 3 4 2 7" xfId="44190" xr:uid="{00000000-0005-0000-0000-000056440000}"/>
    <cellStyle name="표준 5 2 3 2 2 2 2 3 4 3" xfId="9128" xr:uid="{00000000-0005-0000-0000-000057440000}"/>
    <cellStyle name="표준 5 2 3 2 2 2 2 3 4 3 2" xfId="29834" xr:uid="{00000000-0005-0000-0000-000058440000}"/>
    <cellStyle name="표준 5 2 3 2 2 2 2 3 4 3 3" xfId="38045" xr:uid="{00000000-0005-0000-0000-000059440000}"/>
    <cellStyle name="표준 5 2 3 2 2 2 2 3 4 3 4" xfId="46238" xr:uid="{00000000-0005-0000-0000-00005A440000}"/>
    <cellStyle name="표준 5 2 3 2 2 2 2 3 4 4" xfId="13240" xr:uid="{00000000-0005-0000-0000-00005B440000}"/>
    <cellStyle name="표준 5 2 3 2 2 2 2 3 4 5" xfId="17480" xr:uid="{00000000-0005-0000-0000-00005C440000}"/>
    <cellStyle name="표준 5 2 3 2 2 2 2 3 4 6" xfId="21642" xr:uid="{00000000-0005-0000-0000-00005D440000}"/>
    <cellStyle name="표준 5 2 3 2 2 2 2 3 4 7" xfId="25738" xr:uid="{00000000-0005-0000-0000-00005E440000}"/>
    <cellStyle name="표준 5 2 3 2 2 2 2 3 4 8" xfId="33949" xr:uid="{00000000-0005-0000-0000-00005F440000}"/>
    <cellStyle name="표준 5 2 3 2 2 2 2 3 4 9" xfId="42142" xr:uid="{00000000-0005-0000-0000-000060440000}"/>
    <cellStyle name="표준 5 2 3 2 2 2 2 3 5" xfId="9640" xr:uid="{00000000-0005-0000-0000-000061440000}"/>
    <cellStyle name="표준 5 2 3 2 2 2 2 3 5 2" xfId="13752" xr:uid="{00000000-0005-0000-0000-000062440000}"/>
    <cellStyle name="표준 5 2 3 2 2 2 2 3 5 2 2" xfId="30346" xr:uid="{00000000-0005-0000-0000-000063440000}"/>
    <cellStyle name="표준 5 2 3 2 2 2 2 3 5 2 3" xfId="38557" xr:uid="{00000000-0005-0000-0000-000064440000}"/>
    <cellStyle name="표준 5 2 3 2 2 2 2 3 5 2 4" xfId="46750" xr:uid="{00000000-0005-0000-0000-000065440000}"/>
    <cellStyle name="표준 5 2 3 2 2 2 2 3 5 3" xfId="17992" xr:uid="{00000000-0005-0000-0000-000066440000}"/>
    <cellStyle name="표준 5 2 3 2 2 2 2 3 5 4" xfId="22154" xr:uid="{00000000-0005-0000-0000-000067440000}"/>
    <cellStyle name="표준 5 2 3 2 2 2 2 3 5 5" xfId="26250" xr:uid="{00000000-0005-0000-0000-000068440000}"/>
    <cellStyle name="표준 5 2 3 2 2 2 2 3 5 6" xfId="34461" xr:uid="{00000000-0005-0000-0000-000069440000}"/>
    <cellStyle name="표준 5 2 3 2 2 2 2 3 5 7" xfId="42654" xr:uid="{00000000-0005-0000-0000-00006A440000}"/>
    <cellStyle name="표준 5 2 3 2 2 2 2 3 6" xfId="7592" xr:uid="{00000000-0005-0000-0000-00006B440000}"/>
    <cellStyle name="표준 5 2 3 2 2 2 2 3 6 2" xfId="28298" xr:uid="{00000000-0005-0000-0000-00006C440000}"/>
    <cellStyle name="표준 5 2 3 2 2 2 2 3 6 3" xfId="36509" xr:uid="{00000000-0005-0000-0000-00006D440000}"/>
    <cellStyle name="표준 5 2 3 2 2 2 2 3 6 4" xfId="44702" xr:uid="{00000000-0005-0000-0000-00006E440000}"/>
    <cellStyle name="표준 5 2 3 2 2 2 2 3 7" xfId="11704" xr:uid="{00000000-0005-0000-0000-00006F440000}"/>
    <cellStyle name="표준 5 2 3 2 2 2 2 3 8" xfId="15944" xr:uid="{00000000-0005-0000-0000-000070440000}"/>
    <cellStyle name="표준 5 2 3 2 2 2 2 3 9" xfId="20106" xr:uid="{00000000-0005-0000-0000-000071440000}"/>
    <cellStyle name="표준 5 2 3 2 2 2 2 4" xfId="993" xr:uid="{00000000-0005-0000-0000-000072440000}"/>
    <cellStyle name="표준 5 2 3 2 2 2 2 4 2" xfId="9896" xr:uid="{00000000-0005-0000-0000-000073440000}"/>
    <cellStyle name="표준 5 2 3 2 2 2 2 4 2 2" xfId="14008" xr:uid="{00000000-0005-0000-0000-000074440000}"/>
    <cellStyle name="표준 5 2 3 2 2 2 2 4 2 2 2" xfId="30602" xr:uid="{00000000-0005-0000-0000-000075440000}"/>
    <cellStyle name="표준 5 2 3 2 2 2 2 4 2 2 3" xfId="38813" xr:uid="{00000000-0005-0000-0000-000076440000}"/>
    <cellStyle name="표준 5 2 3 2 2 2 2 4 2 2 4" xfId="47006" xr:uid="{00000000-0005-0000-0000-000077440000}"/>
    <cellStyle name="표준 5 2 3 2 2 2 2 4 2 3" xfId="18248" xr:uid="{00000000-0005-0000-0000-000078440000}"/>
    <cellStyle name="표준 5 2 3 2 2 2 2 4 2 4" xfId="22410" xr:uid="{00000000-0005-0000-0000-000079440000}"/>
    <cellStyle name="표준 5 2 3 2 2 2 2 4 2 5" xfId="26506" xr:uid="{00000000-0005-0000-0000-00007A440000}"/>
    <cellStyle name="표준 5 2 3 2 2 2 2 4 2 6" xfId="34717" xr:uid="{00000000-0005-0000-0000-00007B440000}"/>
    <cellStyle name="표준 5 2 3 2 2 2 2 4 2 7" xfId="42910" xr:uid="{00000000-0005-0000-0000-00007C440000}"/>
    <cellStyle name="표준 5 2 3 2 2 2 2 4 3" xfId="7848" xr:uid="{00000000-0005-0000-0000-00007D440000}"/>
    <cellStyle name="표준 5 2 3 2 2 2 2 4 3 2" xfId="28554" xr:uid="{00000000-0005-0000-0000-00007E440000}"/>
    <cellStyle name="표준 5 2 3 2 2 2 2 4 3 3" xfId="36765" xr:uid="{00000000-0005-0000-0000-00007F440000}"/>
    <cellStyle name="표준 5 2 3 2 2 2 2 4 3 4" xfId="44958" xr:uid="{00000000-0005-0000-0000-000080440000}"/>
    <cellStyle name="표준 5 2 3 2 2 2 2 4 4" xfId="11960" xr:uid="{00000000-0005-0000-0000-000081440000}"/>
    <cellStyle name="표준 5 2 3 2 2 2 2 4 5" xfId="16200" xr:uid="{00000000-0005-0000-0000-000082440000}"/>
    <cellStyle name="표준 5 2 3 2 2 2 2 4 6" xfId="20362" xr:uid="{00000000-0005-0000-0000-000083440000}"/>
    <cellStyle name="표준 5 2 3 2 2 2 2 4 7" xfId="24458" xr:uid="{00000000-0005-0000-0000-000084440000}"/>
    <cellStyle name="표준 5 2 3 2 2 2 2 4 8" xfId="32669" xr:uid="{00000000-0005-0000-0000-000085440000}"/>
    <cellStyle name="표준 5 2 3 2 2 2 2 4 9" xfId="40862" xr:uid="{00000000-0005-0000-0000-000086440000}"/>
    <cellStyle name="표준 5 2 3 2 2 2 2 5" xfId="1505" xr:uid="{00000000-0005-0000-0000-000087440000}"/>
    <cellStyle name="표준 5 2 3 2 2 2 2 5 2" xfId="10408" xr:uid="{00000000-0005-0000-0000-000088440000}"/>
    <cellStyle name="표준 5 2 3 2 2 2 2 5 2 2" xfId="14520" xr:uid="{00000000-0005-0000-0000-000089440000}"/>
    <cellStyle name="표준 5 2 3 2 2 2 2 5 2 2 2" xfId="31114" xr:uid="{00000000-0005-0000-0000-00008A440000}"/>
    <cellStyle name="표준 5 2 3 2 2 2 2 5 2 2 3" xfId="39325" xr:uid="{00000000-0005-0000-0000-00008B440000}"/>
    <cellStyle name="표준 5 2 3 2 2 2 2 5 2 2 4" xfId="47518" xr:uid="{00000000-0005-0000-0000-00008C440000}"/>
    <cellStyle name="표준 5 2 3 2 2 2 2 5 2 3" xfId="18760" xr:uid="{00000000-0005-0000-0000-00008D440000}"/>
    <cellStyle name="표준 5 2 3 2 2 2 2 5 2 4" xfId="22922" xr:uid="{00000000-0005-0000-0000-00008E440000}"/>
    <cellStyle name="표준 5 2 3 2 2 2 2 5 2 5" xfId="27018" xr:uid="{00000000-0005-0000-0000-00008F440000}"/>
    <cellStyle name="표준 5 2 3 2 2 2 2 5 2 6" xfId="35229" xr:uid="{00000000-0005-0000-0000-000090440000}"/>
    <cellStyle name="표준 5 2 3 2 2 2 2 5 2 7" xfId="43422" xr:uid="{00000000-0005-0000-0000-000091440000}"/>
    <cellStyle name="표준 5 2 3 2 2 2 2 5 3" xfId="8360" xr:uid="{00000000-0005-0000-0000-000092440000}"/>
    <cellStyle name="표준 5 2 3 2 2 2 2 5 3 2" xfId="29066" xr:uid="{00000000-0005-0000-0000-000093440000}"/>
    <cellStyle name="표준 5 2 3 2 2 2 2 5 3 3" xfId="37277" xr:uid="{00000000-0005-0000-0000-000094440000}"/>
    <cellStyle name="표준 5 2 3 2 2 2 2 5 3 4" xfId="45470" xr:uid="{00000000-0005-0000-0000-000095440000}"/>
    <cellStyle name="표준 5 2 3 2 2 2 2 5 4" xfId="12472" xr:uid="{00000000-0005-0000-0000-000096440000}"/>
    <cellStyle name="표준 5 2 3 2 2 2 2 5 5" xfId="16712" xr:uid="{00000000-0005-0000-0000-000097440000}"/>
    <cellStyle name="표준 5 2 3 2 2 2 2 5 6" xfId="20874" xr:uid="{00000000-0005-0000-0000-000098440000}"/>
    <cellStyle name="표준 5 2 3 2 2 2 2 5 7" xfId="24970" xr:uid="{00000000-0005-0000-0000-000099440000}"/>
    <cellStyle name="표준 5 2 3 2 2 2 2 5 8" xfId="33181" xr:uid="{00000000-0005-0000-0000-00009A440000}"/>
    <cellStyle name="표준 5 2 3 2 2 2 2 5 9" xfId="41374" xr:uid="{00000000-0005-0000-0000-00009B440000}"/>
    <cellStyle name="표준 5 2 3 2 2 2 2 6" xfId="2017" xr:uid="{00000000-0005-0000-0000-00009C440000}"/>
    <cellStyle name="표준 5 2 3 2 2 2 2 6 2" xfId="10920" xr:uid="{00000000-0005-0000-0000-00009D440000}"/>
    <cellStyle name="표준 5 2 3 2 2 2 2 6 2 2" xfId="15032" xr:uid="{00000000-0005-0000-0000-00009E440000}"/>
    <cellStyle name="표준 5 2 3 2 2 2 2 6 2 2 2" xfId="31626" xr:uid="{00000000-0005-0000-0000-00009F440000}"/>
    <cellStyle name="표준 5 2 3 2 2 2 2 6 2 2 3" xfId="39837" xr:uid="{00000000-0005-0000-0000-0000A0440000}"/>
    <cellStyle name="표준 5 2 3 2 2 2 2 6 2 2 4" xfId="48030" xr:uid="{00000000-0005-0000-0000-0000A1440000}"/>
    <cellStyle name="표준 5 2 3 2 2 2 2 6 2 3" xfId="19272" xr:uid="{00000000-0005-0000-0000-0000A2440000}"/>
    <cellStyle name="표준 5 2 3 2 2 2 2 6 2 4" xfId="23434" xr:uid="{00000000-0005-0000-0000-0000A3440000}"/>
    <cellStyle name="표준 5 2 3 2 2 2 2 6 2 5" xfId="27530" xr:uid="{00000000-0005-0000-0000-0000A4440000}"/>
    <cellStyle name="표준 5 2 3 2 2 2 2 6 2 6" xfId="35741" xr:uid="{00000000-0005-0000-0000-0000A5440000}"/>
    <cellStyle name="표준 5 2 3 2 2 2 2 6 2 7" xfId="43934" xr:uid="{00000000-0005-0000-0000-0000A6440000}"/>
    <cellStyle name="표준 5 2 3 2 2 2 2 6 3" xfId="8872" xr:uid="{00000000-0005-0000-0000-0000A7440000}"/>
    <cellStyle name="표준 5 2 3 2 2 2 2 6 3 2" xfId="29578" xr:uid="{00000000-0005-0000-0000-0000A8440000}"/>
    <cellStyle name="표준 5 2 3 2 2 2 2 6 3 3" xfId="37789" xr:uid="{00000000-0005-0000-0000-0000A9440000}"/>
    <cellStyle name="표준 5 2 3 2 2 2 2 6 3 4" xfId="45982" xr:uid="{00000000-0005-0000-0000-0000AA440000}"/>
    <cellStyle name="표준 5 2 3 2 2 2 2 6 4" xfId="12984" xr:uid="{00000000-0005-0000-0000-0000AB440000}"/>
    <cellStyle name="표준 5 2 3 2 2 2 2 6 5" xfId="17224" xr:uid="{00000000-0005-0000-0000-0000AC440000}"/>
    <cellStyle name="표준 5 2 3 2 2 2 2 6 6" xfId="21386" xr:uid="{00000000-0005-0000-0000-0000AD440000}"/>
    <cellStyle name="표준 5 2 3 2 2 2 2 6 7" xfId="25482" xr:uid="{00000000-0005-0000-0000-0000AE440000}"/>
    <cellStyle name="표준 5 2 3 2 2 2 2 6 8" xfId="33693" xr:uid="{00000000-0005-0000-0000-0000AF440000}"/>
    <cellStyle name="표준 5 2 3 2 2 2 2 6 9" xfId="41886" xr:uid="{00000000-0005-0000-0000-0000B0440000}"/>
    <cellStyle name="표준 5 2 3 2 2 2 2 7" xfId="9384" xr:uid="{00000000-0005-0000-0000-0000B1440000}"/>
    <cellStyle name="표준 5 2 3 2 2 2 2 7 2" xfId="13496" xr:uid="{00000000-0005-0000-0000-0000B2440000}"/>
    <cellStyle name="표준 5 2 3 2 2 2 2 7 2 2" xfId="30090" xr:uid="{00000000-0005-0000-0000-0000B3440000}"/>
    <cellStyle name="표준 5 2 3 2 2 2 2 7 2 3" xfId="38301" xr:uid="{00000000-0005-0000-0000-0000B4440000}"/>
    <cellStyle name="표준 5 2 3 2 2 2 2 7 2 4" xfId="46494" xr:uid="{00000000-0005-0000-0000-0000B5440000}"/>
    <cellStyle name="표준 5 2 3 2 2 2 2 7 3" xfId="17736" xr:uid="{00000000-0005-0000-0000-0000B6440000}"/>
    <cellStyle name="표준 5 2 3 2 2 2 2 7 4" xfId="21898" xr:uid="{00000000-0005-0000-0000-0000B7440000}"/>
    <cellStyle name="표준 5 2 3 2 2 2 2 7 5" xfId="25994" xr:uid="{00000000-0005-0000-0000-0000B8440000}"/>
    <cellStyle name="표준 5 2 3 2 2 2 2 7 6" xfId="34205" xr:uid="{00000000-0005-0000-0000-0000B9440000}"/>
    <cellStyle name="표준 5 2 3 2 2 2 2 7 7" xfId="42398" xr:uid="{00000000-0005-0000-0000-0000BA440000}"/>
    <cellStyle name="표준 5 2 3 2 2 2 2 8" xfId="7336" xr:uid="{00000000-0005-0000-0000-0000BB440000}"/>
    <cellStyle name="표준 5 2 3 2 2 2 2 8 2" xfId="28042" xr:uid="{00000000-0005-0000-0000-0000BC440000}"/>
    <cellStyle name="표준 5 2 3 2 2 2 2 8 3" xfId="36253" xr:uid="{00000000-0005-0000-0000-0000BD440000}"/>
    <cellStyle name="표준 5 2 3 2 2 2 2 8 4" xfId="44446" xr:uid="{00000000-0005-0000-0000-0000BE440000}"/>
    <cellStyle name="표준 5 2 3 2 2 2 2 9" xfId="11448" xr:uid="{00000000-0005-0000-0000-0000BF440000}"/>
    <cellStyle name="표준 5 2 3 2 2 2 3" xfId="545" xr:uid="{00000000-0005-0000-0000-0000C0440000}"/>
    <cellStyle name="표준 5 2 3 2 2 2 3 10" xfId="19914" xr:uid="{00000000-0005-0000-0000-0000C1440000}"/>
    <cellStyle name="표준 5 2 3 2 2 2 3 11" xfId="24010" xr:uid="{00000000-0005-0000-0000-0000C2440000}"/>
    <cellStyle name="표준 5 2 3 2 2 2 3 12" xfId="32221" xr:uid="{00000000-0005-0000-0000-0000C3440000}"/>
    <cellStyle name="표준 5 2 3 2 2 2 3 13" xfId="40414" xr:uid="{00000000-0005-0000-0000-0000C4440000}"/>
    <cellStyle name="표준 5 2 3 2 2 2 3 2" xfId="801" xr:uid="{00000000-0005-0000-0000-0000C5440000}"/>
    <cellStyle name="표준 5 2 3 2 2 2 3 2 10" xfId="24266" xr:uid="{00000000-0005-0000-0000-0000C6440000}"/>
    <cellStyle name="표준 5 2 3 2 2 2 3 2 11" xfId="32477" xr:uid="{00000000-0005-0000-0000-0000C7440000}"/>
    <cellStyle name="표준 5 2 3 2 2 2 3 2 12" xfId="40670" xr:uid="{00000000-0005-0000-0000-0000C8440000}"/>
    <cellStyle name="표준 5 2 3 2 2 2 3 2 2" xfId="1313" xr:uid="{00000000-0005-0000-0000-0000C9440000}"/>
    <cellStyle name="표준 5 2 3 2 2 2 3 2 2 2" xfId="10216" xr:uid="{00000000-0005-0000-0000-0000CA440000}"/>
    <cellStyle name="표준 5 2 3 2 2 2 3 2 2 2 2" xfId="14328" xr:uid="{00000000-0005-0000-0000-0000CB440000}"/>
    <cellStyle name="표준 5 2 3 2 2 2 3 2 2 2 2 2" xfId="30922" xr:uid="{00000000-0005-0000-0000-0000CC440000}"/>
    <cellStyle name="표준 5 2 3 2 2 2 3 2 2 2 2 3" xfId="39133" xr:uid="{00000000-0005-0000-0000-0000CD440000}"/>
    <cellStyle name="표준 5 2 3 2 2 2 3 2 2 2 2 4" xfId="47326" xr:uid="{00000000-0005-0000-0000-0000CE440000}"/>
    <cellStyle name="표준 5 2 3 2 2 2 3 2 2 2 3" xfId="18568" xr:uid="{00000000-0005-0000-0000-0000CF440000}"/>
    <cellStyle name="표준 5 2 3 2 2 2 3 2 2 2 4" xfId="22730" xr:uid="{00000000-0005-0000-0000-0000D0440000}"/>
    <cellStyle name="표준 5 2 3 2 2 2 3 2 2 2 5" xfId="26826" xr:uid="{00000000-0005-0000-0000-0000D1440000}"/>
    <cellStyle name="표준 5 2 3 2 2 2 3 2 2 2 6" xfId="35037" xr:uid="{00000000-0005-0000-0000-0000D2440000}"/>
    <cellStyle name="표준 5 2 3 2 2 2 3 2 2 2 7" xfId="43230" xr:uid="{00000000-0005-0000-0000-0000D3440000}"/>
    <cellStyle name="표준 5 2 3 2 2 2 3 2 2 3" xfId="8168" xr:uid="{00000000-0005-0000-0000-0000D4440000}"/>
    <cellStyle name="표준 5 2 3 2 2 2 3 2 2 3 2" xfId="28874" xr:uid="{00000000-0005-0000-0000-0000D5440000}"/>
    <cellStyle name="표준 5 2 3 2 2 2 3 2 2 3 3" xfId="37085" xr:uid="{00000000-0005-0000-0000-0000D6440000}"/>
    <cellStyle name="표준 5 2 3 2 2 2 3 2 2 3 4" xfId="45278" xr:uid="{00000000-0005-0000-0000-0000D7440000}"/>
    <cellStyle name="표준 5 2 3 2 2 2 3 2 2 4" xfId="12280" xr:uid="{00000000-0005-0000-0000-0000D8440000}"/>
    <cellStyle name="표준 5 2 3 2 2 2 3 2 2 5" xfId="16520" xr:uid="{00000000-0005-0000-0000-0000D9440000}"/>
    <cellStyle name="표준 5 2 3 2 2 2 3 2 2 6" xfId="20682" xr:uid="{00000000-0005-0000-0000-0000DA440000}"/>
    <cellStyle name="표준 5 2 3 2 2 2 3 2 2 7" xfId="24778" xr:uid="{00000000-0005-0000-0000-0000DB440000}"/>
    <cellStyle name="표준 5 2 3 2 2 2 3 2 2 8" xfId="32989" xr:uid="{00000000-0005-0000-0000-0000DC440000}"/>
    <cellStyle name="표준 5 2 3 2 2 2 3 2 2 9" xfId="41182" xr:uid="{00000000-0005-0000-0000-0000DD440000}"/>
    <cellStyle name="표준 5 2 3 2 2 2 3 2 3" xfId="1825" xr:uid="{00000000-0005-0000-0000-0000DE440000}"/>
    <cellStyle name="표준 5 2 3 2 2 2 3 2 3 2" xfId="10728" xr:uid="{00000000-0005-0000-0000-0000DF440000}"/>
    <cellStyle name="표준 5 2 3 2 2 2 3 2 3 2 2" xfId="14840" xr:uid="{00000000-0005-0000-0000-0000E0440000}"/>
    <cellStyle name="표준 5 2 3 2 2 2 3 2 3 2 2 2" xfId="31434" xr:uid="{00000000-0005-0000-0000-0000E1440000}"/>
    <cellStyle name="표준 5 2 3 2 2 2 3 2 3 2 2 3" xfId="39645" xr:uid="{00000000-0005-0000-0000-0000E2440000}"/>
    <cellStyle name="표준 5 2 3 2 2 2 3 2 3 2 2 4" xfId="47838" xr:uid="{00000000-0005-0000-0000-0000E3440000}"/>
    <cellStyle name="표준 5 2 3 2 2 2 3 2 3 2 3" xfId="19080" xr:uid="{00000000-0005-0000-0000-0000E4440000}"/>
    <cellStyle name="표준 5 2 3 2 2 2 3 2 3 2 4" xfId="23242" xr:uid="{00000000-0005-0000-0000-0000E5440000}"/>
    <cellStyle name="표준 5 2 3 2 2 2 3 2 3 2 5" xfId="27338" xr:uid="{00000000-0005-0000-0000-0000E6440000}"/>
    <cellStyle name="표준 5 2 3 2 2 2 3 2 3 2 6" xfId="35549" xr:uid="{00000000-0005-0000-0000-0000E7440000}"/>
    <cellStyle name="표준 5 2 3 2 2 2 3 2 3 2 7" xfId="43742" xr:uid="{00000000-0005-0000-0000-0000E8440000}"/>
    <cellStyle name="표준 5 2 3 2 2 2 3 2 3 3" xfId="8680" xr:uid="{00000000-0005-0000-0000-0000E9440000}"/>
    <cellStyle name="표준 5 2 3 2 2 2 3 2 3 3 2" xfId="29386" xr:uid="{00000000-0005-0000-0000-0000EA440000}"/>
    <cellStyle name="표준 5 2 3 2 2 2 3 2 3 3 3" xfId="37597" xr:uid="{00000000-0005-0000-0000-0000EB440000}"/>
    <cellStyle name="표준 5 2 3 2 2 2 3 2 3 3 4" xfId="45790" xr:uid="{00000000-0005-0000-0000-0000EC440000}"/>
    <cellStyle name="표준 5 2 3 2 2 2 3 2 3 4" xfId="12792" xr:uid="{00000000-0005-0000-0000-0000ED440000}"/>
    <cellStyle name="표준 5 2 3 2 2 2 3 2 3 5" xfId="17032" xr:uid="{00000000-0005-0000-0000-0000EE440000}"/>
    <cellStyle name="표준 5 2 3 2 2 2 3 2 3 6" xfId="21194" xr:uid="{00000000-0005-0000-0000-0000EF440000}"/>
    <cellStyle name="표준 5 2 3 2 2 2 3 2 3 7" xfId="25290" xr:uid="{00000000-0005-0000-0000-0000F0440000}"/>
    <cellStyle name="표준 5 2 3 2 2 2 3 2 3 8" xfId="33501" xr:uid="{00000000-0005-0000-0000-0000F1440000}"/>
    <cellStyle name="표준 5 2 3 2 2 2 3 2 3 9" xfId="41694" xr:uid="{00000000-0005-0000-0000-0000F2440000}"/>
    <cellStyle name="표준 5 2 3 2 2 2 3 2 4" xfId="2337" xr:uid="{00000000-0005-0000-0000-0000F3440000}"/>
    <cellStyle name="표준 5 2 3 2 2 2 3 2 4 2" xfId="11240" xr:uid="{00000000-0005-0000-0000-0000F4440000}"/>
    <cellStyle name="표준 5 2 3 2 2 2 3 2 4 2 2" xfId="15352" xr:uid="{00000000-0005-0000-0000-0000F5440000}"/>
    <cellStyle name="표준 5 2 3 2 2 2 3 2 4 2 2 2" xfId="31946" xr:uid="{00000000-0005-0000-0000-0000F6440000}"/>
    <cellStyle name="표준 5 2 3 2 2 2 3 2 4 2 2 3" xfId="40157" xr:uid="{00000000-0005-0000-0000-0000F7440000}"/>
    <cellStyle name="표준 5 2 3 2 2 2 3 2 4 2 2 4" xfId="48350" xr:uid="{00000000-0005-0000-0000-0000F8440000}"/>
    <cellStyle name="표준 5 2 3 2 2 2 3 2 4 2 3" xfId="19592" xr:uid="{00000000-0005-0000-0000-0000F9440000}"/>
    <cellStyle name="표준 5 2 3 2 2 2 3 2 4 2 4" xfId="23754" xr:uid="{00000000-0005-0000-0000-0000FA440000}"/>
    <cellStyle name="표준 5 2 3 2 2 2 3 2 4 2 5" xfId="27850" xr:uid="{00000000-0005-0000-0000-0000FB440000}"/>
    <cellStyle name="표준 5 2 3 2 2 2 3 2 4 2 6" xfId="36061" xr:uid="{00000000-0005-0000-0000-0000FC440000}"/>
    <cellStyle name="표준 5 2 3 2 2 2 3 2 4 2 7" xfId="44254" xr:uid="{00000000-0005-0000-0000-0000FD440000}"/>
    <cellStyle name="표준 5 2 3 2 2 2 3 2 4 3" xfId="9192" xr:uid="{00000000-0005-0000-0000-0000FE440000}"/>
    <cellStyle name="표준 5 2 3 2 2 2 3 2 4 3 2" xfId="29898" xr:uid="{00000000-0005-0000-0000-0000FF440000}"/>
    <cellStyle name="표준 5 2 3 2 2 2 3 2 4 3 3" xfId="38109" xr:uid="{00000000-0005-0000-0000-000000450000}"/>
    <cellStyle name="표준 5 2 3 2 2 2 3 2 4 3 4" xfId="46302" xr:uid="{00000000-0005-0000-0000-000001450000}"/>
    <cellStyle name="표준 5 2 3 2 2 2 3 2 4 4" xfId="13304" xr:uid="{00000000-0005-0000-0000-000002450000}"/>
    <cellStyle name="표준 5 2 3 2 2 2 3 2 4 5" xfId="17544" xr:uid="{00000000-0005-0000-0000-000003450000}"/>
    <cellStyle name="표준 5 2 3 2 2 2 3 2 4 6" xfId="21706" xr:uid="{00000000-0005-0000-0000-000004450000}"/>
    <cellStyle name="표준 5 2 3 2 2 2 3 2 4 7" xfId="25802" xr:uid="{00000000-0005-0000-0000-000005450000}"/>
    <cellStyle name="표준 5 2 3 2 2 2 3 2 4 8" xfId="34013" xr:uid="{00000000-0005-0000-0000-000006450000}"/>
    <cellStyle name="표준 5 2 3 2 2 2 3 2 4 9" xfId="42206" xr:uid="{00000000-0005-0000-0000-000007450000}"/>
    <cellStyle name="표준 5 2 3 2 2 2 3 2 5" xfId="9704" xr:uid="{00000000-0005-0000-0000-000008450000}"/>
    <cellStyle name="표준 5 2 3 2 2 2 3 2 5 2" xfId="13816" xr:uid="{00000000-0005-0000-0000-000009450000}"/>
    <cellStyle name="표준 5 2 3 2 2 2 3 2 5 2 2" xfId="30410" xr:uid="{00000000-0005-0000-0000-00000A450000}"/>
    <cellStyle name="표준 5 2 3 2 2 2 3 2 5 2 3" xfId="38621" xr:uid="{00000000-0005-0000-0000-00000B450000}"/>
    <cellStyle name="표준 5 2 3 2 2 2 3 2 5 2 4" xfId="46814" xr:uid="{00000000-0005-0000-0000-00000C450000}"/>
    <cellStyle name="표준 5 2 3 2 2 2 3 2 5 3" xfId="18056" xr:uid="{00000000-0005-0000-0000-00000D450000}"/>
    <cellStyle name="표준 5 2 3 2 2 2 3 2 5 4" xfId="22218" xr:uid="{00000000-0005-0000-0000-00000E450000}"/>
    <cellStyle name="표준 5 2 3 2 2 2 3 2 5 5" xfId="26314" xr:uid="{00000000-0005-0000-0000-00000F450000}"/>
    <cellStyle name="표준 5 2 3 2 2 2 3 2 5 6" xfId="34525" xr:uid="{00000000-0005-0000-0000-000010450000}"/>
    <cellStyle name="표준 5 2 3 2 2 2 3 2 5 7" xfId="42718" xr:uid="{00000000-0005-0000-0000-000011450000}"/>
    <cellStyle name="표준 5 2 3 2 2 2 3 2 6" xfId="7656" xr:uid="{00000000-0005-0000-0000-000012450000}"/>
    <cellStyle name="표준 5 2 3 2 2 2 3 2 6 2" xfId="28362" xr:uid="{00000000-0005-0000-0000-000013450000}"/>
    <cellStyle name="표준 5 2 3 2 2 2 3 2 6 3" xfId="36573" xr:uid="{00000000-0005-0000-0000-000014450000}"/>
    <cellStyle name="표준 5 2 3 2 2 2 3 2 6 4" xfId="44766" xr:uid="{00000000-0005-0000-0000-000015450000}"/>
    <cellStyle name="표준 5 2 3 2 2 2 3 2 7" xfId="11768" xr:uid="{00000000-0005-0000-0000-000016450000}"/>
    <cellStyle name="표준 5 2 3 2 2 2 3 2 8" xfId="16008" xr:uid="{00000000-0005-0000-0000-000017450000}"/>
    <cellStyle name="표준 5 2 3 2 2 2 3 2 9" xfId="20170" xr:uid="{00000000-0005-0000-0000-000018450000}"/>
    <cellStyle name="표준 5 2 3 2 2 2 3 3" xfId="1057" xr:uid="{00000000-0005-0000-0000-000019450000}"/>
    <cellStyle name="표준 5 2 3 2 2 2 3 3 2" xfId="9960" xr:uid="{00000000-0005-0000-0000-00001A450000}"/>
    <cellStyle name="표준 5 2 3 2 2 2 3 3 2 2" xfId="14072" xr:uid="{00000000-0005-0000-0000-00001B450000}"/>
    <cellStyle name="표준 5 2 3 2 2 2 3 3 2 2 2" xfId="30666" xr:uid="{00000000-0005-0000-0000-00001C450000}"/>
    <cellStyle name="표준 5 2 3 2 2 2 3 3 2 2 3" xfId="38877" xr:uid="{00000000-0005-0000-0000-00001D450000}"/>
    <cellStyle name="표준 5 2 3 2 2 2 3 3 2 2 4" xfId="47070" xr:uid="{00000000-0005-0000-0000-00001E450000}"/>
    <cellStyle name="표준 5 2 3 2 2 2 3 3 2 3" xfId="18312" xr:uid="{00000000-0005-0000-0000-00001F450000}"/>
    <cellStyle name="표준 5 2 3 2 2 2 3 3 2 4" xfId="22474" xr:uid="{00000000-0005-0000-0000-000020450000}"/>
    <cellStyle name="표준 5 2 3 2 2 2 3 3 2 5" xfId="26570" xr:uid="{00000000-0005-0000-0000-000021450000}"/>
    <cellStyle name="표준 5 2 3 2 2 2 3 3 2 6" xfId="34781" xr:uid="{00000000-0005-0000-0000-000022450000}"/>
    <cellStyle name="표준 5 2 3 2 2 2 3 3 2 7" xfId="42974" xr:uid="{00000000-0005-0000-0000-000023450000}"/>
    <cellStyle name="표준 5 2 3 2 2 2 3 3 3" xfId="7912" xr:uid="{00000000-0005-0000-0000-000024450000}"/>
    <cellStyle name="표준 5 2 3 2 2 2 3 3 3 2" xfId="28618" xr:uid="{00000000-0005-0000-0000-000025450000}"/>
    <cellStyle name="표준 5 2 3 2 2 2 3 3 3 3" xfId="36829" xr:uid="{00000000-0005-0000-0000-000026450000}"/>
    <cellStyle name="표준 5 2 3 2 2 2 3 3 3 4" xfId="45022" xr:uid="{00000000-0005-0000-0000-000027450000}"/>
    <cellStyle name="표준 5 2 3 2 2 2 3 3 4" xfId="12024" xr:uid="{00000000-0005-0000-0000-000028450000}"/>
    <cellStyle name="표준 5 2 3 2 2 2 3 3 5" xfId="16264" xr:uid="{00000000-0005-0000-0000-000029450000}"/>
    <cellStyle name="표준 5 2 3 2 2 2 3 3 6" xfId="20426" xr:uid="{00000000-0005-0000-0000-00002A450000}"/>
    <cellStyle name="표준 5 2 3 2 2 2 3 3 7" xfId="24522" xr:uid="{00000000-0005-0000-0000-00002B450000}"/>
    <cellStyle name="표준 5 2 3 2 2 2 3 3 8" xfId="32733" xr:uid="{00000000-0005-0000-0000-00002C450000}"/>
    <cellStyle name="표준 5 2 3 2 2 2 3 3 9" xfId="40926" xr:uid="{00000000-0005-0000-0000-00002D450000}"/>
    <cellStyle name="표준 5 2 3 2 2 2 3 4" xfId="1569" xr:uid="{00000000-0005-0000-0000-00002E450000}"/>
    <cellStyle name="표준 5 2 3 2 2 2 3 4 2" xfId="10472" xr:uid="{00000000-0005-0000-0000-00002F450000}"/>
    <cellStyle name="표준 5 2 3 2 2 2 3 4 2 2" xfId="14584" xr:uid="{00000000-0005-0000-0000-000030450000}"/>
    <cellStyle name="표준 5 2 3 2 2 2 3 4 2 2 2" xfId="31178" xr:uid="{00000000-0005-0000-0000-000031450000}"/>
    <cellStyle name="표준 5 2 3 2 2 2 3 4 2 2 3" xfId="39389" xr:uid="{00000000-0005-0000-0000-000032450000}"/>
    <cellStyle name="표준 5 2 3 2 2 2 3 4 2 2 4" xfId="47582" xr:uid="{00000000-0005-0000-0000-000033450000}"/>
    <cellStyle name="표준 5 2 3 2 2 2 3 4 2 3" xfId="18824" xr:uid="{00000000-0005-0000-0000-000034450000}"/>
    <cellStyle name="표준 5 2 3 2 2 2 3 4 2 4" xfId="22986" xr:uid="{00000000-0005-0000-0000-000035450000}"/>
    <cellStyle name="표준 5 2 3 2 2 2 3 4 2 5" xfId="27082" xr:uid="{00000000-0005-0000-0000-000036450000}"/>
    <cellStyle name="표준 5 2 3 2 2 2 3 4 2 6" xfId="35293" xr:uid="{00000000-0005-0000-0000-000037450000}"/>
    <cellStyle name="표준 5 2 3 2 2 2 3 4 2 7" xfId="43486" xr:uid="{00000000-0005-0000-0000-000038450000}"/>
    <cellStyle name="표준 5 2 3 2 2 2 3 4 3" xfId="8424" xr:uid="{00000000-0005-0000-0000-000039450000}"/>
    <cellStyle name="표준 5 2 3 2 2 2 3 4 3 2" xfId="29130" xr:uid="{00000000-0005-0000-0000-00003A450000}"/>
    <cellStyle name="표준 5 2 3 2 2 2 3 4 3 3" xfId="37341" xr:uid="{00000000-0005-0000-0000-00003B450000}"/>
    <cellStyle name="표준 5 2 3 2 2 2 3 4 3 4" xfId="45534" xr:uid="{00000000-0005-0000-0000-00003C450000}"/>
    <cellStyle name="표준 5 2 3 2 2 2 3 4 4" xfId="12536" xr:uid="{00000000-0005-0000-0000-00003D450000}"/>
    <cellStyle name="표준 5 2 3 2 2 2 3 4 5" xfId="16776" xr:uid="{00000000-0005-0000-0000-00003E450000}"/>
    <cellStyle name="표준 5 2 3 2 2 2 3 4 6" xfId="20938" xr:uid="{00000000-0005-0000-0000-00003F450000}"/>
    <cellStyle name="표준 5 2 3 2 2 2 3 4 7" xfId="25034" xr:uid="{00000000-0005-0000-0000-000040450000}"/>
    <cellStyle name="표준 5 2 3 2 2 2 3 4 8" xfId="33245" xr:uid="{00000000-0005-0000-0000-000041450000}"/>
    <cellStyle name="표준 5 2 3 2 2 2 3 4 9" xfId="41438" xr:uid="{00000000-0005-0000-0000-000042450000}"/>
    <cellStyle name="표준 5 2 3 2 2 2 3 5" xfId="2081" xr:uid="{00000000-0005-0000-0000-000043450000}"/>
    <cellStyle name="표준 5 2 3 2 2 2 3 5 2" xfId="10984" xr:uid="{00000000-0005-0000-0000-000044450000}"/>
    <cellStyle name="표준 5 2 3 2 2 2 3 5 2 2" xfId="15096" xr:uid="{00000000-0005-0000-0000-000045450000}"/>
    <cellStyle name="표준 5 2 3 2 2 2 3 5 2 2 2" xfId="31690" xr:uid="{00000000-0005-0000-0000-000046450000}"/>
    <cellStyle name="표준 5 2 3 2 2 2 3 5 2 2 3" xfId="39901" xr:uid="{00000000-0005-0000-0000-000047450000}"/>
    <cellStyle name="표준 5 2 3 2 2 2 3 5 2 2 4" xfId="48094" xr:uid="{00000000-0005-0000-0000-000048450000}"/>
    <cellStyle name="표준 5 2 3 2 2 2 3 5 2 3" xfId="19336" xr:uid="{00000000-0005-0000-0000-000049450000}"/>
    <cellStyle name="표준 5 2 3 2 2 2 3 5 2 4" xfId="23498" xr:uid="{00000000-0005-0000-0000-00004A450000}"/>
    <cellStyle name="표준 5 2 3 2 2 2 3 5 2 5" xfId="27594" xr:uid="{00000000-0005-0000-0000-00004B450000}"/>
    <cellStyle name="표준 5 2 3 2 2 2 3 5 2 6" xfId="35805" xr:uid="{00000000-0005-0000-0000-00004C450000}"/>
    <cellStyle name="표준 5 2 3 2 2 2 3 5 2 7" xfId="43998" xr:uid="{00000000-0005-0000-0000-00004D450000}"/>
    <cellStyle name="표준 5 2 3 2 2 2 3 5 3" xfId="8936" xr:uid="{00000000-0005-0000-0000-00004E450000}"/>
    <cellStyle name="표준 5 2 3 2 2 2 3 5 3 2" xfId="29642" xr:uid="{00000000-0005-0000-0000-00004F450000}"/>
    <cellStyle name="표준 5 2 3 2 2 2 3 5 3 3" xfId="37853" xr:uid="{00000000-0005-0000-0000-000050450000}"/>
    <cellStyle name="표준 5 2 3 2 2 2 3 5 3 4" xfId="46046" xr:uid="{00000000-0005-0000-0000-000051450000}"/>
    <cellStyle name="표준 5 2 3 2 2 2 3 5 4" xfId="13048" xr:uid="{00000000-0005-0000-0000-000052450000}"/>
    <cellStyle name="표준 5 2 3 2 2 2 3 5 5" xfId="17288" xr:uid="{00000000-0005-0000-0000-000053450000}"/>
    <cellStyle name="표준 5 2 3 2 2 2 3 5 6" xfId="21450" xr:uid="{00000000-0005-0000-0000-000054450000}"/>
    <cellStyle name="표준 5 2 3 2 2 2 3 5 7" xfId="25546" xr:uid="{00000000-0005-0000-0000-000055450000}"/>
    <cellStyle name="표준 5 2 3 2 2 2 3 5 8" xfId="33757" xr:uid="{00000000-0005-0000-0000-000056450000}"/>
    <cellStyle name="표준 5 2 3 2 2 2 3 5 9" xfId="41950" xr:uid="{00000000-0005-0000-0000-000057450000}"/>
    <cellStyle name="표준 5 2 3 2 2 2 3 6" xfId="9448" xr:uid="{00000000-0005-0000-0000-000058450000}"/>
    <cellStyle name="표준 5 2 3 2 2 2 3 6 2" xfId="13560" xr:uid="{00000000-0005-0000-0000-000059450000}"/>
    <cellStyle name="표준 5 2 3 2 2 2 3 6 2 2" xfId="30154" xr:uid="{00000000-0005-0000-0000-00005A450000}"/>
    <cellStyle name="표준 5 2 3 2 2 2 3 6 2 3" xfId="38365" xr:uid="{00000000-0005-0000-0000-00005B450000}"/>
    <cellStyle name="표준 5 2 3 2 2 2 3 6 2 4" xfId="46558" xr:uid="{00000000-0005-0000-0000-00005C450000}"/>
    <cellStyle name="표준 5 2 3 2 2 2 3 6 3" xfId="17800" xr:uid="{00000000-0005-0000-0000-00005D450000}"/>
    <cellStyle name="표준 5 2 3 2 2 2 3 6 4" xfId="21962" xr:uid="{00000000-0005-0000-0000-00005E450000}"/>
    <cellStyle name="표준 5 2 3 2 2 2 3 6 5" xfId="26058" xr:uid="{00000000-0005-0000-0000-00005F450000}"/>
    <cellStyle name="표준 5 2 3 2 2 2 3 6 6" xfId="34269" xr:uid="{00000000-0005-0000-0000-000060450000}"/>
    <cellStyle name="표준 5 2 3 2 2 2 3 6 7" xfId="42462" xr:uid="{00000000-0005-0000-0000-000061450000}"/>
    <cellStyle name="표준 5 2 3 2 2 2 3 7" xfId="7400" xr:uid="{00000000-0005-0000-0000-000062450000}"/>
    <cellStyle name="표준 5 2 3 2 2 2 3 7 2" xfId="28106" xr:uid="{00000000-0005-0000-0000-000063450000}"/>
    <cellStyle name="표준 5 2 3 2 2 2 3 7 3" xfId="36317" xr:uid="{00000000-0005-0000-0000-000064450000}"/>
    <cellStyle name="표준 5 2 3 2 2 2 3 7 4" xfId="44510" xr:uid="{00000000-0005-0000-0000-000065450000}"/>
    <cellStyle name="표준 5 2 3 2 2 2 3 8" xfId="11512" xr:uid="{00000000-0005-0000-0000-000066450000}"/>
    <cellStyle name="표준 5 2 3 2 2 2 3 9" xfId="15752" xr:uid="{00000000-0005-0000-0000-000067450000}"/>
    <cellStyle name="표준 5 2 3 2 2 2 4" xfId="673" xr:uid="{00000000-0005-0000-0000-000068450000}"/>
    <cellStyle name="표준 5 2 3 2 2 2 4 10" xfId="24138" xr:uid="{00000000-0005-0000-0000-000069450000}"/>
    <cellStyle name="표준 5 2 3 2 2 2 4 11" xfId="32349" xr:uid="{00000000-0005-0000-0000-00006A450000}"/>
    <cellStyle name="표준 5 2 3 2 2 2 4 12" xfId="40542" xr:uid="{00000000-0005-0000-0000-00006B450000}"/>
    <cellStyle name="표준 5 2 3 2 2 2 4 2" xfId="1185" xr:uid="{00000000-0005-0000-0000-00006C450000}"/>
    <cellStyle name="표준 5 2 3 2 2 2 4 2 2" xfId="10088" xr:uid="{00000000-0005-0000-0000-00006D450000}"/>
    <cellStyle name="표준 5 2 3 2 2 2 4 2 2 2" xfId="14200" xr:uid="{00000000-0005-0000-0000-00006E450000}"/>
    <cellStyle name="표준 5 2 3 2 2 2 4 2 2 2 2" xfId="30794" xr:uid="{00000000-0005-0000-0000-00006F450000}"/>
    <cellStyle name="표준 5 2 3 2 2 2 4 2 2 2 3" xfId="39005" xr:uid="{00000000-0005-0000-0000-000070450000}"/>
    <cellStyle name="표준 5 2 3 2 2 2 4 2 2 2 4" xfId="47198" xr:uid="{00000000-0005-0000-0000-000071450000}"/>
    <cellStyle name="표준 5 2 3 2 2 2 4 2 2 3" xfId="18440" xr:uid="{00000000-0005-0000-0000-000072450000}"/>
    <cellStyle name="표준 5 2 3 2 2 2 4 2 2 4" xfId="22602" xr:uid="{00000000-0005-0000-0000-000073450000}"/>
    <cellStyle name="표준 5 2 3 2 2 2 4 2 2 5" xfId="26698" xr:uid="{00000000-0005-0000-0000-000074450000}"/>
    <cellStyle name="표준 5 2 3 2 2 2 4 2 2 6" xfId="34909" xr:uid="{00000000-0005-0000-0000-000075450000}"/>
    <cellStyle name="표준 5 2 3 2 2 2 4 2 2 7" xfId="43102" xr:uid="{00000000-0005-0000-0000-000076450000}"/>
    <cellStyle name="표준 5 2 3 2 2 2 4 2 3" xfId="8040" xr:uid="{00000000-0005-0000-0000-000077450000}"/>
    <cellStyle name="표준 5 2 3 2 2 2 4 2 3 2" xfId="28746" xr:uid="{00000000-0005-0000-0000-000078450000}"/>
    <cellStyle name="표준 5 2 3 2 2 2 4 2 3 3" xfId="36957" xr:uid="{00000000-0005-0000-0000-000079450000}"/>
    <cellStyle name="표준 5 2 3 2 2 2 4 2 3 4" xfId="45150" xr:uid="{00000000-0005-0000-0000-00007A450000}"/>
    <cellStyle name="표준 5 2 3 2 2 2 4 2 4" xfId="12152" xr:uid="{00000000-0005-0000-0000-00007B450000}"/>
    <cellStyle name="표준 5 2 3 2 2 2 4 2 5" xfId="16392" xr:uid="{00000000-0005-0000-0000-00007C450000}"/>
    <cellStyle name="표준 5 2 3 2 2 2 4 2 6" xfId="20554" xr:uid="{00000000-0005-0000-0000-00007D450000}"/>
    <cellStyle name="표준 5 2 3 2 2 2 4 2 7" xfId="24650" xr:uid="{00000000-0005-0000-0000-00007E450000}"/>
    <cellStyle name="표준 5 2 3 2 2 2 4 2 8" xfId="32861" xr:uid="{00000000-0005-0000-0000-00007F450000}"/>
    <cellStyle name="표준 5 2 3 2 2 2 4 2 9" xfId="41054" xr:uid="{00000000-0005-0000-0000-000080450000}"/>
    <cellStyle name="표준 5 2 3 2 2 2 4 3" xfId="1697" xr:uid="{00000000-0005-0000-0000-000081450000}"/>
    <cellStyle name="표준 5 2 3 2 2 2 4 3 2" xfId="10600" xr:uid="{00000000-0005-0000-0000-000082450000}"/>
    <cellStyle name="표준 5 2 3 2 2 2 4 3 2 2" xfId="14712" xr:uid="{00000000-0005-0000-0000-000083450000}"/>
    <cellStyle name="표준 5 2 3 2 2 2 4 3 2 2 2" xfId="31306" xr:uid="{00000000-0005-0000-0000-000084450000}"/>
    <cellStyle name="표준 5 2 3 2 2 2 4 3 2 2 3" xfId="39517" xr:uid="{00000000-0005-0000-0000-000085450000}"/>
    <cellStyle name="표준 5 2 3 2 2 2 4 3 2 2 4" xfId="47710" xr:uid="{00000000-0005-0000-0000-000086450000}"/>
    <cellStyle name="표준 5 2 3 2 2 2 4 3 2 3" xfId="18952" xr:uid="{00000000-0005-0000-0000-000087450000}"/>
    <cellStyle name="표준 5 2 3 2 2 2 4 3 2 4" xfId="23114" xr:uid="{00000000-0005-0000-0000-000088450000}"/>
    <cellStyle name="표준 5 2 3 2 2 2 4 3 2 5" xfId="27210" xr:uid="{00000000-0005-0000-0000-000089450000}"/>
    <cellStyle name="표준 5 2 3 2 2 2 4 3 2 6" xfId="35421" xr:uid="{00000000-0005-0000-0000-00008A450000}"/>
    <cellStyle name="표준 5 2 3 2 2 2 4 3 2 7" xfId="43614" xr:uid="{00000000-0005-0000-0000-00008B450000}"/>
    <cellStyle name="표준 5 2 3 2 2 2 4 3 3" xfId="8552" xr:uid="{00000000-0005-0000-0000-00008C450000}"/>
    <cellStyle name="표준 5 2 3 2 2 2 4 3 3 2" xfId="29258" xr:uid="{00000000-0005-0000-0000-00008D450000}"/>
    <cellStyle name="표준 5 2 3 2 2 2 4 3 3 3" xfId="37469" xr:uid="{00000000-0005-0000-0000-00008E450000}"/>
    <cellStyle name="표준 5 2 3 2 2 2 4 3 3 4" xfId="45662" xr:uid="{00000000-0005-0000-0000-00008F450000}"/>
    <cellStyle name="표준 5 2 3 2 2 2 4 3 4" xfId="12664" xr:uid="{00000000-0005-0000-0000-000090450000}"/>
    <cellStyle name="표준 5 2 3 2 2 2 4 3 5" xfId="16904" xr:uid="{00000000-0005-0000-0000-000091450000}"/>
    <cellStyle name="표준 5 2 3 2 2 2 4 3 6" xfId="21066" xr:uid="{00000000-0005-0000-0000-000092450000}"/>
    <cellStyle name="표준 5 2 3 2 2 2 4 3 7" xfId="25162" xr:uid="{00000000-0005-0000-0000-000093450000}"/>
    <cellStyle name="표준 5 2 3 2 2 2 4 3 8" xfId="33373" xr:uid="{00000000-0005-0000-0000-000094450000}"/>
    <cellStyle name="표준 5 2 3 2 2 2 4 3 9" xfId="41566" xr:uid="{00000000-0005-0000-0000-000095450000}"/>
    <cellStyle name="표준 5 2 3 2 2 2 4 4" xfId="2209" xr:uid="{00000000-0005-0000-0000-000096450000}"/>
    <cellStyle name="표준 5 2 3 2 2 2 4 4 2" xfId="11112" xr:uid="{00000000-0005-0000-0000-000097450000}"/>
    <cellStyle name="표준 5 2 3 2 2 2 4 4 2 2" xfId="15224" xr:uid="{00000000-0005-0000-0000-000098450000}"/>
    <cellStyle name="표준 5 2 3 2 2 2 4 4 2 2 2" xfId="31818" xr:uid="{00000000-0005-0000-0000-000099450000}"/>
    <cellStyle name="표준 5 2 3 2 2 2 4 4 2 2 3" xfId="40029" xr:uid="{00000000-0005-0000-0000-00009A450000}"/>
    <cellStyle name="표준 5 2 3 2 2 2 4 4 2 2 4" xfId="48222" xr:uid="{00000000-0005-0000-0000-00009B450000}"/>
    <cellStyle name="표준 5 2 3 2 2 2 4 4 2 3" xfId="19464" xr:uid="{00000000-0005-0000-0000-00009C450000}"/>
    <cellStyle name="표준 5 2 3 2 2 2 4 4 2 4" xfId="23626" xr:uid="{00000000-0005-0000-0000-00009D450000}"/>
    <cellStyle name="표준 5 2 3 2 2 2 4 4 2 5" xfId="27722" xr:uid="{00000000-0005-0000-0000-00009E450000}"/>
    <cellStyle name="표준 5 2 3 2 2 2 4 4 2 6" xfId="35933" xr:uid="{00000000-0005-0000-0000-00009F450000}"/>
    <cellStyle name="표준 5 2 3 2 2 2 4 4 2 7" xfId="44126" xr:uid="{00000000-0005-0000-0000-0000A0450000}"/>
    <cellStyle name="표준 5 2 3 2 2 2 4 4 3" xfId="9064" xr:uid="{00000000-0005-0000-0000-0000A1450000}"/>
    <cellStyle name="표준 5 2 3 2 2 2 4 4 3 2" xfId="29770" xr:uid="{00000000-0005-0000-0000-0000A2450000}"/>
    <cellStyle name="표준 5 2 3 2 2 2 4 4 3 3" xfId="37981" xr:uid="{00000000-0005-0000-0000-0000A3450000}"/>
    <cellStyle name="표준 5 2 3 2 2 2 4 4 3 4" xfId="46174" xr:uid="{00000000-0005-0000-0000-0000A4450000}"/>
    <cellStyle name="표준 5 2 3 2 2 2 4 4 4" xfId="13176" xr:uid="{00000000-0005-0000-0000-0000A5450000}"/>
    <cellStyle name="표준 5 2 3 2 2 2 4 4 5" xfId="17416" xr:uid="{00000000-0005-0000-0000-0000A6450000}"/>
    <cellStyle name="표준 5 2 3 2 2 2 4 4 6" xfId="21578" xr:uid="{00000000-0005-0000-0000-0000A7450000}"/>
    <cellStyle name="표준 5 2 3 2 2 2 4 4 7" xfId="25674" xr:uid="{00000000-0005-0000-0000-0000A8450000}"/>
    <cellStyle name="표준 5 2 3 2 2 2 4 4 8" xfId="33885" xr:uid="{00000000-0005-0000-0000-0000A9450000}"/>
    <cellStyle name="표준 5 2 3 2 2 2 4 4 9" xfId="42078" xr:uid="{00000000-0005-0000-0000-0000AA450000}"/>
    <cellStyle name="표준 5 2 3 2 2 2 4 5" xfId="9576" xr:uid="{00000000-0005-0000-0000-0000AB450000}"/>
    <cellStyle name="표준 5 2 3 2 2 2 4 5 2" xfId="13688" xr:uid="{00000000-0005-0000-0000-0000AC450000}"/>
    <cellStyle name="표준 5 2 3 2 2 2 4 5 2 2" xfId="30282" xr:uid="{00000000-0005-0000-0000-0000AD450000}"/>
    <cellStyle name="표준 5 2 3 2 2 2 4 5 2 3" xfId="38493" xr:uid="{00000000-0005-0000-0000-0000AE450000}"/>
    <cellStyle name="표준 5 2 3 2 2 2 4 5 2 4" xfId="46686" xr:uid="{00000000-0005-0000-0000-0000AF450000}"/>
    <cellStyle name="표준 5 2 3 2 2 2 4 5 3" xfId="17928" xr:uid="{00000000-0005-0000-0000-0000B0450000}"/>
    <cellStyle name="표준 5 2 3 2 2 2 4 5 4" xfId="22090" xr:uid="{00000000-0005-0000-0000-0000B1450000}"/>
    <cellStyle name="표준 5 2 3 2 2 2 4 5 5" xfId="26186" xr:uid="{00000000-0005-0000-0000-0000B2450000}"/>
    <cellStyle name="표준 5 2 3 2 2 2 4 5 6" xfId="34397" xr:uid="{00000000-0005-0000-0000-0000B3450000}"/>
    <cellStyle name="표준 5 2 3 2 2 2 4 5 7" xfId="42590" xr:uid="{00000000-0005-0000-0000-0000B4450000}"/>
    <cellStyle name="표준 5 2 3 2 2 2 4 6" xfId="7528" xr:uid="{00000000-0005-0000-0000-0000B5450000}"/>
    <cellStyle name="표준 5 2 3 2 2 2 4 6 2" xfId="28234" xr:uid="{00000000-0005-0000-0000-0000B6450000}"/>
    <cellStyle name="표준 5 2 3 2 2 2 4 6 3" xfId="36445" xr:uid="{00000000-0005-0000-0000-0000B7450000}"/>
    <cellStyle name="표준 5 2 3 2 2 2 4 6 4" xfId="44638" xr:uid="{00000000-0005-0000-0000-0000B8450000}"/>
    <cellStyle name="표준 5 2 3 2 2 2 4 7" xfId="11640" xr:uid="{00000000-0005-0000-0000-0000B9450000}"/>
    <cellStyle name="표준 5 2 3 2 2 2 4 8" xfId="15880" xr:uid="{00000000-0005-0000-0000-0000BA450000}"/>
    <cellStyle name="표준 5 2 3 2 2 2 4 9" xfId="20042" xr:uid="{00000000-0005-0000-0000-0000BB450000}"/>
    <cellStyle name="표준 5 2 3 2 2 2 5" xfId="929" xr:uid="{00000000-0005-0000-0000-0000BC450000}"/>
    <cellStyle name="표준 5 2 3 2 2 2 5 2" xfId="9832" xr:uid="{00000000-0005-0000-0000-0000BD450000}"/>
    <cellStyle name="표준 5 2 3 2 2 2 5 2 2" xfId="13944" xr:uid="{00000000-0005-0000-0000-0000BE450000}"/>
    <cellStyle name="표준 5 2 3 2 2 2 5 2 2 2" xfId="30538" xr:uid="{00000000-0005-0000-0000-0000BF450000}"/>
    <cellStyle name="표준 5 2 3 2 2 2 5 2 2 3" xfId="38749" xr:uid="{00000000-0005-0000-0000-0000C0450000}"/>
    <cellStyle name="표준 5 2 3 2 2 2 5 2 2 4" xfId="46942" xr:uid="{00000000-0005-0000-0000-0000C1450000}"/>
    <cellStyle name="표준 5 2 3 2 2 2 5 2 3" xfId="18184" xr:uid="{00000000-0005-0000-0000-0000C2450000}"/>
    <cellStyle name="표준 5 2 3 2 2 2 5 2 4" xfId="22346" xr:uid="{00000000-0005-0000-0000-0000C3450000}"/>
    <cellStyle name="표준 5 2 3 2 2 2 5 2 5" xfId="26442" xr:uid="{00000000-0005-0000-0000-0000C4450000}"/>
    <cellStyle name="표준 5 2 3 2 2 2 5 2 6" xfId="34653" xr:uid="{00000000-0005-0000-0000-0000C5450000}"/>
    <cellStyle name="표준 5 2 3 2 2 2 5 2 7" xfId="42846" xr:uid="{00000000-0005-0000-0000-0000C6450000}"/>
    <cellStyle name="표준 5 2 3 2 2 2 5 3" xfId="7784" xr:uid="{00000000-0005-0000-0000-0000C7450000}"/>
    <cellStyle name="표준 5 2 3 2 2 2 5 3 2" xfId="28490" xr:uid="{00000000-0005-0000-0000-0000C8450000}"/>
    <cellStyle name="표준 5 2 3 2 2 2 5 3 3" xfId="36701" xr:uid="{00000000-0005-0000-0000-0000C9450000}"/>
    <cellStyle name="표준 5 2 3 2 2 2 5 3 4" xfId="44894" xr:uid="{00000000-0005-0000-0000-0000CA450000}"/>
    <cellStyle name="표준 5 2 3 2 2 2 5 4" xfId="11896" xr:uid="{00000000-0005-0000-0000-0000CB450000}"/>
    <cellStyle name="표준 5 2 3 2 2 2 5 5" xfId="16136" xr:uid="{00000000-0005-0000-0000-0000CC450000}"/>
    <cellStyle name="표준 5 2 3 2 2 2 5 6" xfId="20298" xr:uid="{00000000-0005-0000-0000-0000CD450000}"/>
    <cellStyle name="표준 5 2 3 2 2 2 5 7" xfId="24394" xr:uid="{00000000-0005-0000-0000-0000CE450000}"/>
    <cellStyle name="표준 5 2 3 2 2 2 5 8" xfId="32605" xr:uid="{00000000-0005-0000-0000-0000CF450000}"/>
    <cellStyle name="표준 5 2 3 2 2 2 5 9" xfId="40798" xr:uid="{00000000-0005-0000-0000-0000D0450000}"/>
    <cellStyle name="표준 5 2 3 2 2 2 6" xfId="1441" xr:uid="{00000000-0005-0000-0000-0000D1450000}"/>
    <cellStyle name="표준 5 2 3 2 2 2 6 2" xfId="10344" xr:uid="{00000000-0005-0000-0000-0000D2450000}"/>
    <cellStyle name="표준 5 2 3 2 2 2 6 2 2" xfId="14456" xr:uid="{00000000-0005-0000-0000-0000D3450000}"/>
    <cellStyle name="표준 5 2 3 2 2 2 6 2 2 2" xfId="31050" xr:uid="{00000000-0005-0000-0000-0000D4450000}"/>
    <cellStyle name="표준 5 2 3 2 2 2 6 2 2 3" xfId="39261" xr:uid="{00000000-0005-0000-0000-0000D5450000}"/>
    <cellStyle name="표준 5 2 3 2 2 2 6 2 2 4" xfId="47454" xr:uid="{00000000-0005-0000-0000-0000D6450000}"/>
    <cellStyle name="표준 5 2 3 2 2 2 6 2 3" xfId="18696" xr:uid="{00000000-0005-0000-0000-0000D7450000}"/>
    <cellStyle name="표준 5 2 3 2 2 2 6 2 4" xfId="22858" xr:uid="{00000000-0005-0000-0000-0000D8450000}"/>
    <cellStyle name="표준 5 2 3 2 2 2 6 2 5" xfId="26954" xr:uid="{00000000-0005-0000-0000-0000D9450000}"/>
    <cellStyle name="표준 5 2 3 2 2 2 6 2 6" xfId="35165" xr:uid="{00000000-0005-0000-0000-0000DA450000}"/>
    <cellStyle name="표준 5 2 3 2 2 2 6 2 7" xfId="43358" xr:uid="{00000000-0005-0000-0000-0000DB450000}"/>
    <cellStyle name="표준 5 2 3 2 2 2 6 3" xfId="8296" xr:uid="{00000000-0005-0000-0000-0000DC450000}"/>
    <cellStyle name="표준 5 2 3 2 2 2 6 3 2" xfId="29002" xr:uid="{00000000-0005-0000-0000-0000DD450000}"/>
    <cellStyle name="표준 5 2 3 2 2 2 6 3 3" xfId="37213" xr:uid="{00000000-0005-0000-0000-0000DE450000}"/>
    <cellStyle name="표준 5 2 3 2 2 2 6 3 4" xfId="45406" xr:uid="{00000000-0005-0000-0000-0000DF450000}"/>
    <cellStyle name="표준 5 2 3 2 2 2 6 4" xfId="12408" xr:uid="{00000000-0005-0000-0000-0000E0450000}"/>
    <cellStyle name="표준 5 2 3 2 2 2 6 5" xfId="16648" xr:uid="{00000000-0005-0000-0000-0000E1450000}"/>
    <cellStyle name="표준 5 2 3 2 2 2 6 6" xfId="20810" xr:uid="{00000000-0005-0000-0000-0000E2450000}"/>
    <cellStyle name="표준 5 2 3 2 2 2 6 7" xfId="24906" xr:uid="{00000000-0005-0000-0000-0000E3450000}"/>
    <cellStyle name="표준 5 2 3 2 2 2 6 8" xfId="33117" xr:uid="{00000000-0005-0000-0000-0000E4450000}"/>
    <cellStyle name="표준 5 2 3 2 2 2 6 9" xfId="41310" xr:uid="{00000000-0005-0000-0000-0000E5450000}"/>
    <cellStyle name="표준 5 2 3 2 2 2 7" xfId="1953" xr:uid="{00000000-0005-0000-0000-0000E6450000}"/>
    <cellStyle name="표준 5 2 3 2 2 2 7 2" xfId="10856" xr:uid="{00000000-0005-0000-0000-0000E7450000}"/>
    <cellStyle name="표준 5 2 3 2 2 2 7 2 2" xfId="14968" xr:uid="{00000000-0005-0000-0000-0000E8450000}"/>
    <cellStyle name="표준 5 2 3 2 2 2 7 2 2 2" xfId="31562" xr:uid="{00000000-0005-0000-0000-0000E9450000}"/>
    <cellStyle name="표준 5 2 3 2 2 2 7 2 2 3" xfId="39773" xr:uid="{00000000-0005-0000-0000-0000EA450000}"/>
    <cellStyle name="표준 5 2 3 2 2 2 7 2 2 4" xfId="47966" xr:uid="{00000000-0005-0000-0000-0000EB450000}"/>
    <cellStyle name="표준 5 2 3 2 2 2 7 2 3" xfId="19208" xr:uid="{00000000-0005-0000-0000-0000EC450000}"/>
    <cellStyle name="표준 5 2 3 2 2 2 7 2 4" xfId="23370" xr:uid="{00000000-0005-0000-0000-0000ED450000}"/>
    <cellStyle name="표준 5 2 3 2 2 2 7 2 5" xfId="27466" xr:uid="{00000000-0005-0000-0000-0000EE450000}"/>
    <cellStyle name="표준 5 2 3 2 2 2 7 2 6" xfId="35677" xr:uid="{00000000-0005-0000-0000-0000EF450000}"/>
    <cellStyle name="표준 5 2 3 2 2 2 7 2 7" xfId="43870" xr:uid="{00000000-0005-0000-0000-0000F0450000}"/>
    <cellStyle name="표준 5 2 3 2 2 2 7 3" xfId="8808" xr:uid="{00000000-0005-0000-0000-0000F1450000}"/>
    <cellStyle name="표준 5 2 3 2 2 2 7 3 2" xfId="29514" xr:uid="{00000000-0005-0000-0000-0000F2450000}"/>
    <cellStyle name="표준 5 2 3 2 2 2 7 3 3" xfId="37725" xr:uid="{00000000-0005-0000-0000-0000F3450000}"/>
    <cellStyle name="표준 5 2 3 2 2 2 7 3 4" xfId="45918" xr:uid="{00000000-0005-0000-0000-0000F4450000}"/>
    <cellStyle name="표준 5 2 3 2 2 2 7 4" xfId="12920" xr:uid="{00000000-0005-0000-0000-0000F5450000}"/>
    <cellStyle name="표준 5 2 3 2 2 2 7 5" xfId="17160" xr:uid="{00000000-0005-0000-0000-0000F6450000}"/>
    <cellStyle name="표준 5 2 3 2 2 2 7 6" xfId="21322" xr:uid="{00000000-0005-0000-0000-0000F7450000}"/>
    <cellStyle name="표준 5 2 3 2 2 2 7 7" xfId="25418" xr:uid="{00000000-0005-0000-0000-0000F8450000}"/>
    <cellStyle name="표준 5 2 3 2 2 2 7 8" xfId="33629" xr:uid="{00000000-0005-0000-0000-0000F9450000}"/>
    <cellStyle name="표준 5 2 3 2 2 2 7 9" xfId="41822" xr:uid="{00000000-0005-0000-0000-0000FA450000}"/>
    <cellStyle name="표준 5 2 3 2 2 2 8" xfId="7045" xr:uid="{00000000-0005-0000-0000-0000FB450000}"/>
    <cellStyle name="표준 5 2 3 2 2 2 8 2" xfId="9320" xr:uid="{00000000-0005-0000-0000-0000FC450000}"/>
    <cellStyle name="표준 5 2 3 2 2 2 8 2 2" xfId="30026" xr:uid="{00000000-0005-0000-0000-0000FD450000}"/>
    <cellStyle name="표준 5 2 3 2 2 2 8 2 3" xfId="38237" xr:uid="{00000000-0005-0000-0000-0000FE450000}"/>
    <cellStyle name="표준 5 2 3 2 2 2 8 2 4" xfId="46430" xr:uid="{00000000-0005-0000-0000-0000FF450000}"/>
    <cellStyle name="표준 5 2 3 2 2 2 8 3" xfId="13432" xr:uid="{00000000-0005-0000-0000-000000460000}"/>
    <cellStyle name="표준 5 2 3 2 2 2 8 4" xfId="17672" xr:uid="{00000000-0005-0000-0000-000001460000}"/>
    <cellStyle name="표준 5 2 3 2 2 2 8 5" xfId="21834" xr:uid="{00000000-0005-0000-0000-000002460000}"/>
    <cellStyle name="표준 5 2 3 2 2 2 8 6" xfId="25930" xr:uid="{00000000-0005-0000-0000-000003460000}"/>
    <cellStyle name="표준 5 2 3 2 2 2 8 7" xfId="34141" xr:uid="{00000000-0005-0000-0000-000004460000}"/>
    <cellStyle name="표준 5 2 3 2 2 2 8 8" xfId="42334" xr:uid="{00000000-0005-0000-0000-000005460000}"/>
    <cellStyle name="표준 5 2 3 2 2 2 9" xfId="7133" xr:uid="{00000000-0005-0000-0000-000006460000}"/>
    <cellStyle name="표준 5 2 3 2 2 2 9 2" xfId="27978" xr:uid="{00000000-0005-0000-0000-000007460000}"/>
    <cellStyle name="표준 5 2 3 2 2 2 9 3" xfId="36189" xr:uid="{00000000-0005-0000-0000-000008460000}"/>
    <cellStyle name="표준 5 2 3 2 2 2 9 4" xfId="44382" xr:uid="{00000000-0005-0000-0000-000009460000}"/>
    <cellStyle name="표준 5 2 3 2 2 3" xfId="449" xr:uid="{00000000-0005-0000-0000-00000A460000}"/>
    <cellStyle name="표준 5 2 3 2 2 3 10" xfId="15656" xr:uid="{00000000-0005-0000-0000-00000B460000}"/>
    <cellStyle name="표준 5 2 3 2 2 3 11" xfId="19818" xr:uid="{00000000-0005-0000-0000-00000C460000}"/>
    <cellStyle name="표준 5 2 3 2 2 3 12" xfId="23914" xr:uid="{00000000-0005-0000-0000-00000D460000}"/>
    <cellStyle name="표준 5 2 3 2 2 3 13" xfId="32125" xr:uid="{00000000-0005-0000-0000-00000E460000}"/>
    <cellStyle name="표준 5 2 3 2 2 3 14" xfId="40318" xr:uid="{00000000-0005-0000-0000-00000F460000}"/>
    <cellStyle name="표준 5 2 3 2 2 3 2" xfId="577" xr:uid="{00000000-0005-0000-0000-000010460000}"/>
    <cellStyle name="표준 5 2 3 2 2 3 2 10" xfId="19946" xr:uid="{00000000-0005-0000-0000-000011460000}"/>
    <cellStyle name="표준 5 2 3 2 2 3 2 11" xfId="24042" xr:uid="{00000000-0005-0000-0000-000012460000}"/>
    <cellStyle name="표준 5 2 3 2 2 3 2 12" xfId="32253" xr:uid="{00000000-0005-0000-0000-000013460000}"/>
    <cellStyle name="표준 5 2 3 2 2 3 2 13" xfId="40446" xr:uid="{00000000-0005-0000-0000-000014460000}"/>
    <cellStyle name="표준 5 2 3 2 2 3 2 2" xfId="833" xr:uid="{00000000-0005-0000-0000-000015460000}"/>
    <cellStyle name="표준 5 2 3 2 2 3 2 2 10" xfId="24298" xr:uid="{00000000-0005-0000-0000-000016460000}"/>
    <cellStyle name="표준 5 2 3 2 2 3 2 2 11" xfId="32509" xr:uid="{00000000-0005-0000-0000-000017460000}"/>
    <cellStyle name="표준 5 2 3 2 2 3 2 2 12" xfId="40702" xr:uid="{00000000-0005-0000-0000-000018460000}"/>
    <cellStyle name="표준 5 2 3 2 2 3 2 2 2" xfId="1345" xr:uid="{00000000-0005-0000-0000-000019460000}"/>
    <cellStyle name="표준 5 2 3 2 2 3 2 2 2 2" xfId="10248" xr:uid="{00000000-0005-0000-0000-00001A460000}"/>
    <cellStyle name="표준 5 2 3 2 2 3 2 2 2 2 2" xfId="14360" xr:uid="{00000000-0005-0000-0000-00001B460000}"/>
    <cellStyle name="표준 5 2 3 2 2 3 2 2 2 2 2 2" xfId="30954" xr:uid="{00000000-0005-0000-0000-00001C460000}"/>
    <cellStyle name="표준 5 2 3 2 2 3 2 2 2 2 2 3" xfId="39165" xr:uid="{00000000-0005-0000-0000-00001D460000}"/>
    <cellStyle name="표준 5 2 3 2 2 3 2 2 2 2 2 4" xfId="47358" xr:uid="{00000000-0005-0000-0000-00001E460000}"/>
    <cellStyle name="표준 5 2 3 2 2 3 2 2 2 2 3" xfId="18600" xr:uid="{00000000-0005-0000-0000-00001F460000}"/>
    <cellStyle name="표준 5 2 3 2 2 3 2 2 2 2 4" xfId="22762" xr:uid="{00000000-0005-0000-0000-000020460000}"/>
    <cellStyle name="표준 5 2 3 2 2 3 2 2 2 2 5" xfId="26858" xr:uid="{00000000-0005-0000-0000-000021460000}"/>
    <cellStyle name="표준 5 2 3 2 2 3 2 2 2 2 6" xfId="35069" xr:uid="{00000000-0005-0000-0000-000022460000}"/>
    <cellStyle name="표준 5 2 3 2 2 3 2 2 2 2 7" xfId="43262" xr:uid="{00000000-0005-0000-0000-000023460000}"/>
    <cellStyle name="표준 5 2 3 2 2 3 2 2 2 3" xfId="8200" xr:uid="{00000000-0005-0000-0000-000024460000}"/>
    <cellStyle name="표준 5 2 3 2 2 3 2 2 2 3 2" xfId="28906" xr:uid="{00000000-0005-0000-0000-000025460000}"/>
    <cellStyle name="표준 5 2 3 2 2 3 2 2 2 3 3" xfId="37117" xr:uid="{00000000-0005-0000-0000-000026460000}"/>
    <cellStyle name="표준 5 2 3 2 2 3 2 2 2 3 4" xfId="45310" xr:uid="{00000000-0005-0000-0000-000027460000}"/>
    <cellStyle name="표준 5 2 3 2 2 3 2 2 2 4" xfId="12312" xr:uid="{00000000-0005-0000-0000-000028460000}"/>
    <cellStyle name="표준 5 2 3 2 2 3 2 2 2 5" xfId="16552" xr:uid="{00000000-0005-0000-0000-000029460000}"/>
    <cellStyle name="표준 5 2 3 2 2 3 2 2 2 6" xfId="20714" xr:uid="{00000000-0005-0000-0000-00002A460000}"/>
    <cellStyle name="표준 5 2 3 2 2 3 2 2 2 7" xfId="24810" xr:uid="{00000000-0005-0000-0000-00002B460000}"/>
    <cellStyle name="표준 5 2 3 2 2 3 2 2 2 8" xfId="33021" xr:uid="{00000000-0005-0000-0000-00002C460000}"/>
    <cellStyle name="표준 5 2 3 2 2 3 2 2 2 9" xfId="41214" xr:uid="{00000000-0005-0000-0000-00002D460000}"/>
    <cellStyle name="표준 5 2 3 2 2 3 2 2 3" xfId="1857" xr:uid="{00000000-0005-0000-0000-00002E460000}"/>
    <cellStyle name="표준 5 2 3 2 2 3 2 2 3 2" xfId="10760" xr:uid="{00000000-0005-0000-0000-00002F460000}"/>
    <cellStyle name="표준 5 2 3 2 2 3 2 2 3 2 2" xfId="14872" xr:uid="{00000000-0005-0000-0000-000030460000}"/>
    <cellStyle name="표준 5 2 3 2 2 3 2 2 3 2 2 2" xfId="31466" xr:uid="{00000000-0005-0000-0000-000031460000}"/>
    <cellStyle name="표준 5 2 3 2 2 3 2 2 3 2 2 3" xfId="39677" xr:uid="{00000000-0005-0000-0000-000032460000}"/>
    <cellStyle name="표준 5 2 3 2 2 3 2 2 3 2 2 4" xfId="47870" xr:uid="{00000000-0005-0000-0000-000033460000}"/>
    <cellStyle name="표준 5 2 3 2 2 3 2 2 3 2 3" xfId="19112" xr:uid="{00000000-0005-0000-0000-000034460000}"/>
    <cellStyle name="표준 5 2 3 2 2 3 2 2 3 2 4" xfId="23274" xr:uid="{00000000-0005-0000-0000-000035460000}"/>
    <cellStyle name="표준 5 2 3 2 2 3 2 2 3 2 5" xfId="27370" xr:uid="{00000000-0005-0000-0000-000036460000}"/>
    <cellStyle name="표준 5 2 3 2 2 3 2 2 3 2 6" xfId="35581" xr:uid="{00000000-0005-0000-0000-000037460000}"/>
    <cellStyle name="표준 5 2 3 2 2 3 2 2 3 2 7" xfId="43774" xr:uid="{00000000-0005-0000-0000-000038460000}"/>
    <cellStyle name="표준 5 2 3 2 2 3 2 2 3 3" xfId="8712" xr:uid="{00000000-0005-0000-0000-000039460000}"/>
    <cellStyle name="표준 5 2 3 2 2 3 2 2 3 3 2" xfId="29418" xr:uid="{00000000-0005-0000-0000-00003A460000}"/>
    <cellStyle name="표준 5 2 3 2 2 3 2 2 3 3 3" xfId="37629" xr:uid="{00000000-0005-0000-0000-00003B460000}"/>
    <cellStyle name="표준 5 2 3 2 2 3 2 2 3 3 4" xfId="45822" xr:uid="{00000000-0005-0000-0000-00003C460000}"/>
    <cellStyle name="표준 5 2 3 2 2 3 2 2 3 4" xfId="12824" xr:uid="{00000000-0005-0000-0000-00003D460000}"/>
    <cellStyle name="표준 5 2 3 2 2 3 2 2 3 5" xfId="17064" xr:uid="{00000000-0005-0000-0000-00003E460000}"/>
    <cellStyle name="표준 5 2 3 2 2 3 2 2 3 6" xfId="21226" xr:uid="{00000000-0005-0000-0000-00003F460000}"/>
    <cellStyle name="표준 5 2 3 2 2 3 2 2 3 7" xfId="25322" xr:uid="{00000000-0005-0000-0000-000040460000}"/>
    <cellStyle name="표준 5 2 3 2 2 3 2 2 3 8" xfId="33533" xr:uid="{00000000-0005-0000-0000-000041460000}"/>
    <cellStyle name="표준 5 2 3 2 2 3 2 2 3 9" xfId="41726" xr:uid="{00000000-0005-0000-0000-000042460000}"/>
    <cellStyle name="표준 5 2 3 2 2 3 2 2 4" xfId="2369" xr:uid="{00000000-0005-0000-0000-000043460000}"/>
    <cellStyle name="표준 5 2 3 2 2 3 2 2 4 2" xfId="11272" xr:uid="{00000000-0005-0000-0000-000044460000}"/>
    <cellStyle name="표준 5 2 3 2 2 3 2 2 4 2 2" xfId="15384" xr:uid="{00000000-0005-0000-0000-000045460000}"/>
    <cellStyle name="표준 5 2 3 2 2 3 2 2 4 2 2 2" xfId="31978" xr:uid="{00000000-0005-0000-0000-000046460000}"/>
    <cellStyle name="표준 5 2 3 2 2 3 2 2 4 2 2 3" xfId="40189" xr:uid="{00000000-0005-0000-0000-000047460000}"/>
    <cellStyle name="표준 5 2 3 2 2 3 2 2 4 2 2 4" xfId="48382" xr:uid="{00000000-0005-0000-0000-000048460000}"/>
    <cellStyle name="표준 5 2 3 2 2 3 2 2 4 2 3" xfId="19624" xr:uid="{00000000-0005-0000-0000-000049460000}"/>
    <cellStyle name="표준 5 2 3 2 2 3 2 2 4 2 4" xfId="23786" xr:uid="{00000000-0005-0000-0000-00004A460000}"/>
    <cellStyle name="표준 5 2 3 2 2 3 2 2 4 2 5" xfId="27882" xr:uid="{00000000-0005-0000-0000-00004B460000}"/>
    <cellStyle name="표준 5 2 3 2 2 3 2 2 4 2 6" xfId="36093" xr:uid="{00000000-0005-0000-0000-00004C460000}"/>
    <cellStyle name="표준 5 2 3 2 2 3 2 2 4 2 7" xfId="44286" xr:uid="{00000000-0005-0000-0000-00004D460000}"/>
    <cellStyle name="표준 5 2 3 2 2 3 2 2 4 3" xfId="9224" xr:uid="{00000000-0005-0000-0000-00004E460000}"/>
    <cellStyle name="표준 5 2 3 2 2 3 2 2 4 3 2" xfId="29930" xr:uid="{00000000-0005-0000-0000-00004F460000}"/>
    <cellStyle name="표준 5 2 3 2 2 3 2 2 4 3 3" xfId="38141" xr:uid="{00000000-0005-0000-0000-000050460000}"/>
    <cellStyle name="표준 5 2 3 2 2 3 2 2 4 3 4" xfId="46334" xr:uid="{00000000-0005-0000-0000-000051460000}"/>
    <cellStyle name="표준 5 2 3 2 2 3 2 2 4 4" xfId="13336" xr:uid="{00000000-0005-0000-0000-000052460000}"/>
    <cellStyle name="표준 5 2 3 2 2 3 2 2 4 5" xfId="17576" xr:uid="{00000000-0005-0000-0000-000053460000}"/>
    <cellStyle name="표준 5 2 3 2 2 3 2 2 4 6" xfId="21738" xr:uid="{00000000-0005-0000-0000-000054460000}"/>
    <cellStyle name="표준 5 2 3 2 2 3 2 2 4 7" xfId="25834" xr:uid="{00000000-0005-0000-0000-000055460000}"/>
    <cellStyle name="표준 5 2 3 2 2 3 2 2 4 8" xfId="34045" xr:uid="{00000000-0005-0000-0000-000056460000}"/>
    <cellStyle name="표준 5 2 3 2 2 3 2 2 4 9" xfId="42238" xr:uid="{00000000-0005-0000-0000-000057460000}"/>
    <cellStyle name="표준 5 2 3 2 2 3 2 2 5" xfId="9736" xr:uid="{00000000-0005-0000-0000-000058460000}"/>
    <cellStyle name="표준 5 2 3 2 2 3 2 2 5 2" xfId="13848" xr:uid="{00000000-0005-0000-0000-000059460000}"/>
    <cellStyle name="표준 5 2 3 2 2 3 2 2 5 2 2" xfId="30442" xr:uid="{00000000-0005-0000-0000-00005A460000}"/>
    <cellStyle name="표준 5 2 3 2 2 3 2 2 5 2 3" xfId="38653" xr:uid="{00000000-0005-0000-0000-00005B460000}"/>
    <cellStyle name="표준 5 2 3 2 2 3 2 2 5 2 4" xfId="46846" xr:uid="{00000000-0005-0000-0000-00005C460000}"/>
    <cellStyle name="표준 5 2 3 2 2 3 2 2 5 3" xfId="18088" xr:uid="{00000000-0005-0000-0000-00005D460000}"/>
    <cellStyle name="표준 5 2 3 2 2 3 2 2 5 4" xfId="22250" xr:uid="{00000000-0005-0000-0000-00005E460000}"/>
    <cellStyle name="표준 5 2 3 2 2 3 2 2 5 5" xfId="26346" xr:uid="{00000000-0005-0000-0000-00005F460000}"/>
    <cellStyle name="표준 5 2 3 2 2 3 2 2 5 6" xfId="34557" xr:uid="{00000000-0005-0000-0000-000060460000}"/>
    <cellStyle name="표준 5 2 3 2 2 3 2 2 5 7" xfId="42750" xr:uid="{00000000-0005-0000-0000-000061460000}"/>
    <cellStyle name="표준 5 2 3 2 2 3 2 2 6" xfId="7688" xr:uid="{00000000-0005-0000-0000-000062460000}"/>
    <cellStyle name="표준 5 2 3 2 2 3 2 2 6 2" xfId="28394" xr:uid="{00000000-0005-0000-0000-000063460000}"/>
    <cellStyle name="표준 5 2 3 2 2 3 2 2 6 3" xfId="36605" xr:uid="{00000000-0005-0000-0000-000064460000}"/>
    <cellStyle name="표준 5 2 3 2 2 3 2 2 6 4" xfId="44798" xr:uid="{00000000-0005-0000-0000-000065460000}"/>
    <cellStyle name="표준 5 2 3 2 2 3 2 2 7" xfId="11800" xr:uid="{00000000-0005-0000-0000-000066460000}"/>
    <cellStyle name="표준 5 2 3 2 2 3 2 2 8" xfId="16040" xr:uid="{00000000-0005-0000-0000-000067460000}"/>
    <cellStyle name="표준 5 2 3 2 2 3 2 2 9" xfId="20202" xr:uid="{00000000-0005-0000-0000-000068460000}"/>
    <cellStyle name="표준 5 2 3 2 2 3 2 3" xfId="1089" xr:uid="{00000000-0005-0000-0000-000069460000}"/>
    <cellStyle name="표준 5 2 3 2 2 3 2 3 2" xfId="9992" xr:uid="{00000000-0005-0000-0000-00006A460000}"/>
    <cellStyle name="표준 5 2 3 2 2 3 2 3 2 2" xfId="14104" xr:uid="{00000000-0005-0000-0000-00006B460000}"/>
    <cellStyle name="표준 5 2 3 2 2 3 2 3 2 2 2" xfId="30698" xr:uid="{00000000-0005-0000-0000-00006C460000}"/>
    <cellStyle name="표준 5 2 3 2 2 3 2 3 2 2 3" xfId="38909" xr:uid="{00000000-0005-0000-0000-00006D460000}"/>
    <cellStyle name="표준 5 2 3 2 2 3 2 3 2 2 4" xfId="47102" xr:uid="{00000000-0005-0000-0000-00006E460000}"/>
    <cellStyle name="표준 5 2 3 2 2 3 2 3 2 3" xfId="18344" xr:uid="{00000000-0005-0000-0000-00006F460000}"/>
    <cellStyle name="표준 5 2 3 2 2 3 2 3 2 4" xfId="22506" xr:uid="{00000000-0005-0000-0000-000070460000}"/>
    <cellStyle name="표준 5 2 3 2 2 3 2 3 2 5" xfId="26602" xr:uid="{00000000-0005-0000-0000-000071460000}"/>
    <cellStyle name="표준 5 2 3 2 2 3 2 3 2 6" xfId="34813" xr:uid="{00000000-0005-0000-0000-000072460000}"/>
    <cellStyle name="표준 5 2 3 2 2 3 2 3 2 7" xfId="43006" xr:uid="{00000000-0005-0000-0000-000073460000}"/>
    <cellStyle name="표준 5 2 3 2 2 3 2 3 3" xfId="7944" xr:uid="{00000000-0005-0000-0000-000074460000}"/>
    <cellStyle name="표준 5 2 3 2 2 3 2 3 3 2" xfId="28650" xr:uid="{00000000-0005-0000-0000-000075460000}"/>
    <cellStyle name="표준 5 2 3 2 2 3 2 3 3 3" xfId="36861" xr:uid="{00000000-0005-0000-0000-000076460000}"/>
    <cellStyle name="표준 5 2 3 2 2 3 2 3 3 4" xfId="45054" xr:uid="{00000000-0005-0000-0000-000077460000}"/>
    <cellStyle name="표준 5 2 3 2 2 3 2 3 4" xfId="12056" xr:uid="{00000000-0005-0000-0000-000078460000}"/>
    <cellStyle name="표준 5 2 3 2 2 3 2 3 5" xfId="16296" xr:uid="{00000000-0005-0000-0000-000079460000}"/>
    <cellStyle name="표준 5 2 3 2 2 3 2 3 6" xfId="20458" xr:uid="{00000000-0005-0000-0000-00007A460000}"/>
    <cellStyle name="표준 5 2 3 2 2 3 2 3 7" xfId="24554" xr:uid="{00000000-0005-0000-0000-00007B460000}"/>
    <cellStyle name="표준 5 2 3 2 2 3 2 3 8" xfId="32765" xr:uid="{00000000-0005-0000-0000-00007C460000}"/>
    <cellStyle name="표준 5 2 3 2 2 3 2 3 9" xfId="40958" xr:uid="{00000000-0005-0000-0000-00007D460000}"/>
    <cellStyle name="표준 5 2 3 2 2 3 2 4" xfId="1601" xr:uid="{00000000-0005-0000-0000-00007E460000}"/>
    <cellStyle name="표준 5 2 3 2 2 3 2 4 2" xfId="10504" xr:uid="{00000000-0005-0000-0000-00007F460000}"/>
    <cellStyle name="표준 5 2 3 2 2 3 2 4 2 2" xfId="14616" xr:uid="{00000000-0005-0000-0000-000080460000}"/>
    <cellStyle name="표준 5 2 3 2 2 3 2 4 2 2 2" xfId="31210" xr:uid="{00000000-0005-0000-0000-000081460000}"/>
    <cellStyle name="표준 5 2 3 2 2 3 2 4 2 2 3" xfId="39421" xr:uid="{00000000-0005-0000-0000-000082460000}"/>
    <cellStyle name="표준 5 2 3 2 2 3 2 4 2 2 4" xfId="47614" xr:uid="{00000000-0005-0000-0000-000083460000}"/>
    <cellStyle name="표준 5 2 3 2 2 3 2 4 2 3" xfId="18856" xr:uid="{00000000-0005-0000-0000-000084460000}"/>
    <cellStyle name="표준 5 2 3 2 2 3 2 4 2 4" xfId="23018" xr:uid="{00000000-0005-0000-0000-000085460000}"/>
    <cellStyle name="표준 5 2 3 2 2 3 2 4 2 5" xfId="27114" xr:uid="{00000000-0005-0000-0000-000086460000}"/>
    <cellStyle name="표준 5 2 3 2 2 3 2 4 2 6" xfId="35325" xr:uid="{00000000-0005-0000-0000-000087460000}"/>
    <cellStyle name="표준 5 2 3 2 2 3 2 4 2 7" xfId="43518" xr:uid="{00000000-0005-0000-0000-000088460000}"/>
    <cellStyle name="표준 5 2 3 2 2 3 2 4 3" xfId="8456" xr:uid="{00000000-0005-0000-0000-000089460000}"/>
    <cellStyle name="표준 5 2 3 2 2 3 2 4 3 2" xfId="29162" xr:uid="{00000000-0005-0000-0000-00008A460000}"/>
    <cellStyle name="표준 5 2 3 2 2 3 2 4 3 3" xfId="37373" xr:uid="{00000000-0005-0000-0000-00008B460000}"/>
    <cellStyle name="표준 5 2 3 2 2 3 2 4 3 4" xfId="45566" xr:uid="{00000000-0005-0000-0000-00008C460000}"/>
    <cellStyle name="표준 5 2 3 2 2 3 2 4 4" xfId="12568" xr:uid="{00000000-0005-0000-0000-00008D460000}"/>
    <cellStyle name="표준 5 2 3 2 2 3 2 4 5" xfId="16808" xr:uid="{00000000-0005-0000-0000-00008E460000}"/>
    <cellStyle name="표준 5 2 3 2 2 3 2 4 6" xfId="20970" xr:uid="{00000000-0005-0000-0000-00008F460000}"/>
    <cellStyle name="표준 5 2 3 2 2 3 2 4 7" xfId="25066" xr:uid="{00000000-0005-0000-0000-000090460000}"/>
    <cellStyle name="표준 5 2 3 2 2 3 2 4 8" xfId="33277" xr:uid="{00000000-0005-0000-0000-000091460000}"/>
    <cellStyle name="표준 5 2 3 2 2 3 2 4 9" xfId="41470" xr:uid="{00000000-0005-0000-0000-000092460000}"/>
    <cellStyle name="표준 5 2 3 2 2 3 2 5" xfId="2113" xr:uid="{00000000-0005-0000-0000-000093460000}"/>
    <cellStyle name="표준 5 2 3 2 2 3 2 5 2" xfId="11016" xr:uid="{00000000-0005-0000-0000-000094460000}"/>
    <cellStyle name="표준 5 2 3 2 2 3 2 5 2 2" xfId="15128" xr:uid="{00000000-0005-0000-0000-000095460000}"/>
    <cellStyle name="표준 5 2 3 2 2 3 2 5 2 2 2" xfId="31722" xr:uid="{00000000-0005-0000-0000-000096460000}"/>
    <cellStyle name="표준 5 2 3 2 2 3 2 5 2 2 3" xfId="39933" xr:uid="{00000000-0005-0000-0000-000097460000}"/>
    <cellStyle name="표준 5 2 3 2 2 3 2 5 2 2 4" xfId="48126" xr:uid="{00000000-0005-0000-0000-000098460000}"/>
    <cellStyle name="표준 5 2 3 2 2 3 2 5 2 3" xfId="19368" xr:uid="{00000000-0005-0000-0000-000099460000}"/>
    <cellStyle name="표준 5 2 3 2 2 3 2 5 2 4" xfId="23530" xr:uid="{00000000-0005-0000-0000-00009A460000}"/>
    <cellStyle name="표준 5 2 3 2 2 3 2 5 2 5" xfId="27626" xr:uid="{00000000-0005-0000-0000-00009B460000}"/>
    <cellStyle name="표준 5 2 3 2 2 3 2 5 2 6" xfId="35837" xr:uid="{00000000-0005-0000-0000-00009C460000}"/>
    <cellStyle name="표준 5 2 3 2 2 3 2 5 2 7" xfId="44030" xr:uid="{00000000-0005-0000-0000-00009D460000}"/>
    <cellStyle name="표준 5 2 3 2 2 3 2 5 3" xfId="8968" xr:uid="{00000000-0005-0000-0000-00009E460000}"/>
    <cellStyle name="표준 5 2 3 2 2 3 2 5 3 2" xfId="29674" xr:uid="{00000000-0005-0000-0000-00009F460000}"/>
    <cellStyle name="표준 5 2 3 2 2 3 2 5 3 3" xfId="37885" xr:uid="{00000000-0005-0000-0000-0000A0460000}"/>
    <cellStyle name="표준 5 2 3 2 2 3 2 5 3 4" xfId="46078" xr:uid="{00000000-0005-0000-0000-0000A1460000}"/>
    <cellStyle name="표준 5 2 3 2 2 3 2 5 4" xfId="13080" xr:uid="{00000000-0005-0000-0000-0000A2460000}"/>
    <cellStyle name="표준 5 2 3 2 2 3 2 5 5" xfId="17320" xr:uid="{00000000-0005-0000-0000-0000A3460000}"/>
    <cellStyle name="표준 5 2 3 2 2 3 2 5 6" xfId="21482" xr:uid="{00000000-0005-0000-0000-0000A4460000}"/>
    <cellStyle name="표준 5 2 3 2 2 3 2 5 7" xfId="25578" xr:uid="{00000000-0005-0000-0000-0000A5460000}"/>
    <cellStyle name="표준 5 2 3 2 2 3 2 5 8" xfId="33789" xr:uid="{00000000-0005-0000-0000-0000A6460000}"/>
    <cellStyle name="표준 5 2 3 2 2 3 2 5 9" xfId="41982" xr:uid="{00000000-0005-0000-0000-0000A7460000}"/>
    <cellStyle name="표준 5 2 3 2 2 3 2 6" xfId="9480" xr:uid="{00000000-0005-0000-0000-0000A8460000}"/>
    <cellStyle name="표준 5 2 3 2 2 3 2 6 2" xfId="13592" xr:uid="{00000000-0005-0000-0000-0000A9460000}"/>
    <cellStyle name="표준 5 2 3 2 2 3 2 6 2 2" xfId="30186" xr:uid="{00000000-0005-0000-0000-0000AA460000}"/>
    <cellStyle name="표준 5 2 3 2 2 3 2 6 2 3" xfId="38397" xr:uid="{00000000-0005-0000-0000-0000AB460000}"/>
    <cellStyle name="표준 5 2 3 2 2 3 2 6 2 4" xfId="46590" xr:uid="{00000000-0005-0000-0000-0000AC460000}"/>
    <cellStyle name="표준 5 2 3 2 2 3 2 6 3" xfId="17832" xr:uid="{00000000-0005-0000-0000-0000AD460000}"/>
    <cellStyle name="표준 5 2 3 2 2 3 2 6 4" xfId="21994" xr:uid="{00000000-0005-0000-0000-0000AE460000}"/>
    <cellStyle name="표준 5 2 3 2 2 3 2 6 5" xfId="26090" xr:uid="{00000000-0005-0000-0000-0000AF460000}"/>
    <cellStyle name="표준 5 2 3 2 2 3 2 6 6" xfId="34301" xr:uid="{00000000-0005-0000-0000-0000B0460000}"/>
    <cellStyle name="표준 5 2 3 2 2 3 2 6 7" xfId="42494" xr:uid="{00000000-0005-0000-0000-0000B1460000}"/>
    <cellStyle name="표준 5 2 3 2 2 3 2 7" xfId="7432" xr:uid="{00000000-0005-0000-0000-0000B2460000}"/>
    <cellStyle name="표준 5 2 3 2 2 3 2 7 2" xfId="28138" xr:uid="{00000000-0005-0000-0000-0000B3460000}"/>
    <cellStyle name="표준 5 2 3 2 2 3 2 7 3" xfId="36349" xr:uid="{00000000-0005-0000-0000-0000B4460000}"/>
    <cellStyle name="표준 5 2 3 2 2 3 2 7 4" xfId="44542" xr:uid="{00000000-0005-0000-0000-0000B5460000}"/>
    <cellStyle name="표준 5 2 3 2 2 3 2 8" xfId="11544" xr:uid="{00000000-0005-0000-0000-0000B6460000}"/>
    <cellStyle name="표준 5 2 3 2 2 3 2 9" xfId="15784" xr:uid="{00000000-0005-0000-0000-0000B7460000}"/>
    <cellStyle name="표준 5 2 3 2 2 3 3" xfId="705" xr:uid="{00000000-0005-0000-0000-0000B8460000}"/>
    <cellStyle name="표준 5 2 3 2 2 3 3 10" xfId="24170" xr:uid="{00000000-0005-0000-0000-0000B9460000}"/>
    <cellStyle name="표준 5 2 3 2 2 3 3 11" xfId="32381" xr:uid="{00000000-0005-0000-0000-0000BA460000}"/>
    <cellStyle name="표준 5 2 3 2 2 3 3 12" xfId="40574" xr:uid="{00000000-0005-0000-0000-0000BB460000}"/>
    <cellStyle name="표준 5 2 3 2 2 3 3 2" xfId="1217" xr:uid="{00000000-0005-0000-0000-0000BC460000}"/>
    <cellStyle name="표준 5 2 3 2 2 3 3 2 2" xfId="10120" xr:uid="{00000000-0005-0000-0000-0000BD460000}"/>
    <cellStyle name="표준 5 2 3 2 2 3 3 2 2 2" xfId="14232" xr:uid="{00000000-0005-0000-0000-0000BE460000}"/>
    <cellStyle name="표준 5 2 3 2 2 3 3 2 2 2 2" xfId="30826" xr:uid="{00000000-0005-0000-0000-0000BF460000}"/>
    <cellStyle name="표준 5 2 3 2 2 3 3 2 2 2 3" xfId="39037" xr:uid="{00000000-0005-0000-0000-0000C0460000}"/>
    <cellStyle name="표준 5 2 3 2 2 3 3 2 2 2 4" xfId="47230" xr:uid="{00000000-0005-0000-0000-0000C1460000}"/>
    <cellStyle name="표준 5 2 3 2 2 3 3 2 2 3" xfId="18472" xr:uid="{00000000-0005-0000-0000-0000C2460000}"/>
    <cellStyle name="표준 5 2 3 2 2 3 3 2 2 4" xfId="22634" xr:uid="{00000000-0005-0000-0000-0000C3460000}"/>
    <cellStyle name="표준 5 2 3 2 2 3 3 2 2 5" xfId="26730" xr:uid="{00000000-0005-0000-0000-0000C4460000}"/>
    <cellStyle name="표준 5 2 3 2 2 3 3 2 2 6" xfId="34941" xr:uid="{00000000-0005-0000-0000-0000C5460000}"/>
    <cellStyle name="표준 5 2 3 2 2 3 3 2 2 7" xfId="43134" xr:uid="{00000000-0005-0000-0000-0000C6460000}"/>
    <cellStyle name="표준 5 2 3 2 2 3 3 2 3" xfId="8072" xr:uid="{00000000-0005-0000-0000-0000C7460000}"/>
    <cellStyle name="표준 5 2 3 2 2 3 3 2 3 2" xfId="28778" xr:uid="{00000000-0005-0000-0000-0000C8460000}"/>
    <cellStyle name="표준 5 2 3 2 2 3 3 2 3 3" xfId="36989" xr:uid="{00000000-0005-0000-0000-0000C9460000}"/>
    <cellStyle name="표준 5 2 3 2 2 3 3 2 3 4" xfId="45182" xr:uid="{00000000-0005-0000-0000-0000CA460000}"/>
    <cellStyle name="표준 5 2 3 2 2 3 3 2 4" xfId="12184" xr:uid="{00000000-0005-0000-0000-0000CB460000}"/>
    <cellStyle name="표준 5 2 3 2 2 3 3 2 5" xfId="16424" xr:uid="{00000000-0005-0000-0000-0000CC460000}"/>
    <cellStyle name="표준 5 2 3 2 2 3 3 2 6" xfId="20586" xr:uid="{00000000-0005-0000-0000-0000CD460000}"/>
    <cellStyle name="표준 5 2 3 2 2 3 3 2 7" xfId="24682" xr:uid="{00000000-0005-0000-0000-0000CE460000}"/>
    <cellStyle name="표준 5 2 3 2 2 3 3 2 8" xfId="32893" xr:uid="{00000000-0005-0000-0000-0000CF460000}"/>
    <cellStyle name="표준 5 2 3 2 2 3 3 2 9" xfId="41086" xr:uid="{00000000-0005-0000-0000-0000D0460000}"/>
    <cellStyle name="표준 5 2 3 2 2 3 3 3" xfId="1729" xr:uid="{00000000-0005-0000-0000-0000D1460000}"/>
    <cellStyle name="표준 5 2 3 2 2 3 3 3 2" xfId="10632" xr:uid="{00000000-0005-0000-0000-0000D2460000}"/>
    <cellStyle name="표준 5 2 3 2 2 3 3 3 2 2" xfId="14744" xr:uid="{00000000-0005-0000-0000-0000D3460000}"/>
    <cellStyle name="표준 5 2 3 2 2 3 3 3 2 2 2" xfId="31338" xr:uid="{00000000-0005-0000-0000-0000D4460000}"/>
    <cellStyle name="표준 5 2 3 2 2 3 3 3 2 2 3" xfId="39549" xr:uid="{00000000-0005-0000-0000-0000D5460000}"/>
    <cellStyle name="표준 5 2 3 2 2 3 3 3 2 2 4" xfId="47742" xr:uid="{00000000-0005-0000-0000-0000D6460000}"/>
    <cellStyle name="표준 5 2 3 2 2 3 3 3 2 3" xfId="18984" xr:uid="{00000000-0005-0000-0000-0000D7460000}"/>
    <cellStyle name="표준 5 2 3 2 2 3 3 3 2 4" xfId="23146" xr:uid="{00000000-0005-0000-0000-0000D8460000}"/>
    <cellStyle name="표준 5 2 3 2 2 3 3 3 2 5" xfId="27242" xr:uid="{00000000-0005-0000-0000-0000D9460000}"/>
    <cellStyle name="표준 5 2 3 2 2 3 3 3 2 6" xfId="35453" xr:uid="{00000000-0005-0000-0000-0000DA460000}"/>
    <cellStyle name="표준 5 2 3 2 2 3 3 3 2 7" xfId="43646" xr:uid="{00000000-0005-0000-0000-0000DB460000}"/>
    <cellStyle name="표준 5 2 3 2 2 3 3 3 3" xfId="8584" xr:uid="{00000000-0005-0000-0000-0000DC460000}"/>
    <cellStyle name="표준 5 2 3 2 2 3 3 3 3 2" xfId="29290" xr:uid="{00000000-0005-0000-0000-0000DD460000}"/>
    <cellStyle name="표준 5 2 3 2 2 3 3 3 3 3" xfId="37501" xr:uid="{00000000-0005-0000-0000-0000DE460000}"/>
    <cellStyle name="표준 5 2 3 2 2 3 3 3 3 4" xfId="45694" xr:uid="{00000000-0005-0000-0000-0000DF460000}"/>
    <cellStyle name="표준 5 2 3 2 2 3 3 3 4" xfId="12696" xr:uid="{00000000-0005-0000-0000-0000E0460000}"/>
    <cellStyle name="표준 5 2 3 2 2 3 3 3 5" xfId="16936" xr:uid="{00000000-0005-0000-0000-0000E1460000}"/>
    <cellStyle name="표준 5 2 3 2 2 3 3 3 6" xfId="21098" xr:uid="{00000000-0005-0000-0000-0000E2460000}"/>
    <cellStyle name="표준 5 2 3 2 2 3 3 3 7" xfId="25194" xr:uid="{00000000-0005-0000-0000-0000E3460000}"/>
    <cellStyle name="표준 5 2 3 2 2 3 3 3 8" xfId="33405" xr:uid="{00000000-0005-0000-0000-0000E4460000}"/>
    <cellStyle name="표준 5 2 3 2 2 3 3 3 9" xfId="41598" xr:uid="{00000000-0005-0000-0000-0000E5460000}"/>
    <cellStyle name="표준 5 2 3 2 2 3 3 4" xfId="2241" xr:uid="{00000000-0005-0000-0000-0000E6460000}"/>
    <cellStyle name="표준 5 2 3 2 2 3 3 4 2" xfId="11144" xr:uid="{00000000-0005-0000-0000-0000E7460000}"/>
    <cellStyle name="표준 5 2 3 2 2 3 3 4 2 2" xfId="15256" xr:uid="{00000000-0005-0000-0000-0000E8460000}"/>
    <cellStyle name="표준 5 2 3 2 2 3 3 4 2 2 2" xfId="31850" xr:uid="{00000000-0005-0000-0000-0000E9460000}"/>
    <cellStyle name="표준 5 2 3 2 2 3 3 4 2 2 3" xfId="40061" xr:uid="{00000000-0005-0000-0000-0000EA460000}"/>
    <cellStyle name="표준 5 2 3 2 2 3 3 4 2 2 4" xfId="48254" xr:uid="{00000000-0005-0000-0000-0000EB460000}"/>
    <cellStyle name="표준 5 2 3 2 2 3 3 4 2 3" xfId="19496" xr:uid="{00000000-0005-0000-0000-0000EC460000}"/>
    <cellStyle name="표준 5 2 3 2 2 3 3 4 2 4" xfId="23658" xr:uid="{00000000-0005-0000-0000-0000ED460000}"/>
    <cellStyle name="표준 5 2 3 2 2 3 3 4 2 5" xfId="27754" xr:uid="{00000000-0005-0000-0000-0000EE460000}"/>
    <cellStyle name="표준 5 2 3 2 2 3 3 4 2 6" xfId="35965" xr:uid="{00000000-0005-0000-0000-0000EF460000}"/>
    <cellStyle name="표준 5 2 3 2 2 3 3 4 2 7" xfId="44158" xr:uid="{00000000-0005-0000-0000-0000F0460000}"/>
    <cellStyle name="표준 5 2 3 2 2 3 3 4 3" xfId="9096" xr:uid="{00000000-0005-0000-0000-0000F1460000}"/>
    <cellStyle name="표준 5 2 3 2 2 3 3 4 3 2" xfId="29802" xr:uid="{00000000-0005-0000-0000-0000F2460000}"/>
    <cellStyle name="표준 5 2 3 2 2 3 3 4 3 3" xfId="38013" xr:uid="{00000000-0005-0000-0000-0000F3460000}"/>
    <cellStyle name="표준 5 2 3 2 2 3 3 4 3 4" xfId="46206" xr:uid="{00000000-0005-0000-0000-0000F4460000}"/>
    <cellStyle name="표준 5 2 3 2 2 3 3 4 4" xfId="13208" xr:uid="{00000000-0005-0000-0000-0000F5460000}"/>
    <cellStyle name="표준 5 2 3 2 2 3 3 4 5" xfId="17448" xr:uid="{00000000-0005-0000-0000-0000F6460000}"/>
    <cellStyle name="표준 5 2 3 2 2 3 3 4 6" xfId="21610" xr:uid="{00000000-0005-0000-0000-0000F7460000}"/>
    <cellStyle name="표준 5 2 3 2 2 3 3 4 7" xfId="25706" xr:uid="{00000000-0005-0000-0000-0000F8460000}"/>
    <cellStyle name="표준 5 2 3 2 2 3 3 4 8" xfId="33917" xr:uid="{00000000-0005-0000-0000-0000F9460000}"/>
    <cellStyle name="표준 5 2 3 2 2 3 3 4 9" xfId="42110" xr:uid="{00000000-0005-0000-0000-0000FA460000}"/>
    <cellStyle name="표준 5 2 3 2 2 3 3 5" xfId="9608" xr:uid="{00000000-0005-0000-0000-0000FB460000}"/>
    <cellStyle name="표준 5 2 3 2 2 3 3 5 2" xfId="13720" xr:uid="{00000000-0005-0000-0000-0000FC460000}"/>
    <cellStyle name="표준 5 2 3 2 2 3 3 5 2 2" xfId="30314" xr:uid="{00000000-0005-0000-0000-0000FD460000}"/>
    <cellStyle name="표준 5 2 3 2 2 3 3 5 2 3" xfId="38525" xr:uid="{00000000-0005-0000-0000-0000FE460000}"/>
    <cellStyle name="표준 5 2 3 2 2 3 3 5 2 4" xfId="46718" xr:uid="{00000000-0005-0000-0000-0000FF460000}"/>
    <cellStyle name="표준 5 2 3 2 2 3 3 5 3" xfId="17960" xr:uid="{00000000-0005-0000-0000-000000470000}"/>
    <cellStyle name="표준 5 2 3 2 2 3 3 5 4" xfId="22122" xr:uid="{00000000-0005-0000-0000-000001470000}"/>
    <cellStyle name="표준 5 2 3 2 2 3 3 5 5" xfId="26218" xr:uid="{00000000-0005-0000-0000-000002470000}"/>
    <cellStyle name="표준 5 2 3 2 2 3 3 5 6" xfId="34429" xr:uid="{00000000-0005-0000-0000-000003470000}"/>
    <cellStyle name="표준 5 2 3 2 2 3 3 5 7" xfId="42622" xr:uid="{00000000-0005-0000-0000-000004470000}"/>
    <cellStyle name="표준 5 2 3 2 2 3 3 6" xfId="7560" xr:uid="{00000000-0005-0000-0000-000005470000}"/>
    <cellStyle name="표준 5 2 3 2 2 3 3 6 2" xfId="28266" xr:uid="{00000000-0005-0000-0000-000006470000}"/>
    <cellStyle name="표준 5 2 3 2 2 3 3 6 3" xfId="36477" xr:uid="{00000000-0005-0000-0000-000007470000}"/>
    <cellStyle name="표준 5 2 3 2 2 3 3 6 4" xfId="44670" xr:uid="{00000000-0005-0000-0000-000008470000}"/>
    <cellStyle name="표준 5 2 3 2 2 3 3 7" xfId="11672" xr:uid="{00000000-0005-0000-0000-000009470000}"/>
    <cellStyle name="표준 5 2 3 2 2 3 3 8" xfId="15912" xr:uid="{00000000-0005-0000-0000-00000A470000}"/>
    <cellStyle name="표준 5 2 3 2 2 3 3 9" xfId="20074" xr:uid="{00000000-0005-0000-0000-00000B470000}"/>
    <cellStyle name="표준 5 2 3 2 2 3 4" xfId="961" xr:uid="{00000000-0005-0000-0000-00000C470000}"/>
    <cellStyle name="표준 5 2 3 2 2 3 4 2" xfId="9864" xr:uid="{00000000-0005-0000-0000-00000D470000}"/>
    <cellStyle name="표준 5 2 3 2 2 3 4 2 2" xfId="13976" xr:uid="{00000000-0005-0000-0000-00000E470000}"/>
    <cellStyle name="표준 5 2 3 2 2 3 4 2 2 2" xfId="30570" xr:uid="{00000000-0005-0000-0000-00000F470000}"/>
    <cellStyle name="표준 5 2 3 2 2 3 4 2 2 3" xfId="38781" xr:uid="{00000000-0005-0000-0000-000010470000}"/>
    <cellStyle name="표준 5 2 3 2 2 3 4 2 2 4" xfId="46974" xr:uid="{00000000-0005-0000-0000-000011470000}"/>
    <cellStyle name="표준 5 2 3 2 2 3 4 2 3" xfId="18216" xr:uid="{00000000-0005-0000-0000-000012470000}"/>
    <cellStyle name="표준 5 2 3 2 2 3 4 2 4" xfId="22378" xr:uid="{00000000-0005-0000-0000-000013470000}"/>
    <cellStyle name="표준 5 2 3 2 2 3 4 2 5" xfId="26474" xr:uid="{00000000-0005-0000-0000-000014470000}"/>
    <cellStyle name="표준 5 2 3 2 2 3 4 2 6" xfId="34685" xr:uid="{00000000-0005-0000-0000-000015470000}"/>
    <cellStyle name="표준 5 2 3 2 2 3 4 2 7" xfId="42878" xr:uid="{00000000-0005-0000-0000-000016470000}"/>
    <cellStyle name="표준 5 2 3 2 2 3 4 3" xfId="7816" xr:uid="{00000000-0005-0000-0000-000017470000}"/>
    <cellStyle name="표준 5 2 3 2 2 3 4 3 2" xfId="28522" xr:uid="{00000000-0005-0000-0000-000018470000}"/>
    <cellStyle name="표준 5 2 3 2 2 3 4 3 3" xfId="36733" xr:uid="{00000000-0005-0000-0000-000019470000}"/>
    <cellStyle name="표준 5 2 3 2 2 3 4 3 4" xfId="44926" xr:uid="{00000000-0005-0000-0000-00001A470000}"/>
    <cellStyle name="표준 5 2 3 2 2 3 4 4" xfId="11928" xr:uid="{00000000-0005-0000-0000-00001B470000}"/>
    <cellStyle name="표준 5 2 3 2 2 3 4 5" xfId="16168" xr:uid="{00000000-0005-0000-0000-00001C470000}"/>
    <cellStyle name="표준 5 2 3 2 2 3 4 6" xfId="20330" xr:uid="{00000000-0005-0000-0000-00001D470000}"/>
    <cellStyle name="표준 5 2 3 2 2 3 4 7" xfId="24426" xr:uid="{00000000-0005-0000-0000-00001E470000}"/>
    <cellStyle name="표준 5 2 3 2 2 3 4 8" xfId="32637" xr:uid="{00000000-0005-0000-0000-00001F470000}"/>
    <cellStyle name="표준 5 2 3 2 2 3 4 9" xfId="40830" xr:uid="{00000000-0005-0000-0000-000020470000}"/>
    <cellStyle name="표준 5 2 3 2 2 3 5" xfId="1473" xr:uid="{00000000-0005-0000-0000-000021470000}"/>
    <cellStyle name="표준 5 2 3 2 2 3 5 2" xfId="10376" xr:uid="{00000000-0005-0000-0000-000022470000}"/>
    <cellStyle name="표준 5 2 3 2 2 3 5 2 2" xfId="14488" xr:uid="{00000000-0005-0000-0000-000023470000}"/>
    <cellStyle name="표준 5 2 3 2 2 3 5 2 2 2" xfId="31082" xr:uid="{00000000-0005-0000-0000-000024470000}"/>
    <cellStyle name="표준 5 2 3 2 2 3 5 2 2 3" xfId="39293" xr:uid="{00000000-0005-0000-0000-000025470000}"/>
    <cellStyle name="표준 5 2 3 2 2 3 5 2 2 4" xfId="47486" xr:uid="{00000000-0005-0000-0000-000026470000}"/>
    <cellStyle name="표준 5 2 3 2 2 3 5 2 3" xfId="18728" xr:uid="{00000000-0005-0000-0000-000027470000}"/>
    <cellStyle name="표준 5 2 3 2 2 3 5 2 4" xfId="22890" xr:uid="{00000000-0005-0000-0000-000028470000}"/>
    <cellStyle name="표준 5 2 3 2 2 3 5 2 5" xfId="26986" xr:uid="{00000000-0005-0000-0000-000029470000}"/>
    <cellStyle name="표준 5 2 3 2 2 3 5 2 6" xfId="35197" xr:uid="{00000000-0005-0000-0000-00002A470000}"/>
    <cellStyle name="표준 5 2 3 2 2 3 5 2 7" xfId="43390" xr:uid="{00000000-0005-0000-0000-00002B470000}"/>
    <cellStyle name="표준 5 2 3 2 2 3 5 3" xfId="8328" xr:uid="{00000000-0005-0000-0000-00002C470000}"/>
    <cellStyle name="표준 5 2 3 2 2 3 5 3 2" xfId="29034" xr:uid="{00000000-0005-0000-0000-00002D470000}"/>
    <cellStyle name="표준 5 2 3 2 2 3 5 3 3" xfId="37245" xr:uid="{00000000-0005-0000-0000-00002E470000}"/>
    <cellStyle name="표준 5 2 3 2 2 3 5 3 4" xfId="45438" xr:uid="{00000000-0005-0000-0000-00002F470000}"/>
    <cellStyle name="표준 5 2 3 2 2 3 5 4" xfId="12440" xr:uid="{00000000-0005-0000-0000-000030470000}"/>
    <cellStyle name="표준 5 2 3 2 2 3 5 5" xfId="16680" xr:uid="{00000000-0005-0000-0000-000031470000}"/>
    <cellStyle name="표준 5 2 3 2 2 3 5 6" xfId="20842" xr:uid="{00000000-0005-0000-0000-000032470000}"/>
    <cellStyle name="표준 5 2 3 2 2 3 5 7" xfId="24938" xr:uid="{00000000-0005-0000-0000-000033470000}"/>
    <cellStyle name="표준 5 2 3 2 2 3 5 8" xfId="33149" xr:uid="{00000000-0005-0000-0000-000034470000}"/>
    <cellStyle name="표준 5 2 3 2 2 3 5 9" xfId="41342" xr:uid="{00000000-0005-0000-0000-000035470000}"/>
    <cellStyle name="표준 5 2 3 2 2 3 6" xfId="1985" xr:uid="{00000000-0005-0000-0000-000036470000}"/>
    <cellStyle name="표준 5 2 3 2 2 3 6 2" xfId="10888" xr:uid="{00000000-0005-0000-0000-000037470000}"/>
    <cellStyle name="표준 5 2 3 2 2 3 6 2 2" xfId="15000" xr:uid="{00000000-0005-0000-0000-000038470000}"/>
    <cellStyle name="표준 5 2 3 2 2 3 6 2 2 2" xfId="31594" xr:uid="{00000000-0005-0000-0000-000039470000}"/>
    <cellStyle name="표준 5 2 3 2 2 3 6 2 2 3" xfId="39805" xr:uid="{00000000-0005-0000-0000-00003A470000}"/>
    <cellStyle name="표준 5 2 3 2 2 3 6 2 2 4" xfId="47998" xr:uid="{00000000-0005-0000-0000-00003B470000}"/>
    <cellStyle name="표준 5 2 3 2 2 3 6 2 3" xfId="19240" xr:uid="{00000000-0005-0000-0000-00003C470000}"/>
    <cellStyle name="표준 5 2 3 2 2 3 6 2 4" xfId="23402" xr:uid="{00000000-0005-0000-0000-00003D470000}"/>
    <cellStyle name="표준 5 2 3 2 2 3 6 2 5" xfId="27498" xr:uid="{00000000-0005-0000-0000-00003E470000}"/>
    <cellStyle name="표준 5 2 3 2 2 3 6 2 6" xfId="35709" xr:uid="{00000000-0005-0000-0000-00003F470000}"/>
    <cellStyle name="표준 5 2 3 2 2 3 6 2 7" xfId="43902" xr:uid="{00000000-0005-0000-0000-000040470000}"/>
    <cellStyle name="표준 5 2 3 2 2 3 6 3" xfId="8840" xr:uid="{00000000-0005-0000-0000-000041470000}"/>
    <cellStyle name="표준 5 2 3 2 2 3 6 3 2" xfId="29546" xr:uid="{00000000-0005-0000-0000-000042470000}"/>
    <cellStyle name="표준 5 2 3 2 2 3 6 3 3" xfId="37757" xr:uid="{00000000-0005-0000-0000-000043470000}"/>
    <cellStyle name="표준 5 2 3 2 2 3 6 3 4" xfId="45950" xr:uid="{00000000-0005-0000-0000-000044470000}"/>
    <cellStyle name="표준 5 2 3 2 2 3 6 4" xfId="12952" xr:uid="{00000000-0005-0000-0000-000045470000}"/>
    <cellStyle name="표준 5 2 3 2 2 3 6 5" xfId="17192" xr:uid="{00000000-0005-0000-0000-000046470000}"/>
    <cellStyle name="표준 5 2 3 2 2 3 6 6" xfId="21354" xr:uid="{00000000-0005-0000-0000-000047470000}"/>
    <cellStyle name="표준 5 2 3 2 2 3 6 7" xfId="25450" xr:uid="{00000000-0005-0000-0000-000048470000}"/>
    <cellStyle name="표준 5 2 3 2 2 3 6 8" xfId="33661" xr:uid="{00000000-0005-0000-0000-000049470000}"/>
    <cellStyle name="표준 5 2 3 2 2 3 6 9" xfId="41854" xr:uid="{00000000-0005-0000-0000-00004A470000}"/>
    <cellStyle name="표준 5 2 3 2 2 3 7" xfId="9352" xr:uid="{00000000-0005-0000-0000-00004B470000}"/>
    <cellStyle name="표준 5 2 3 2 2 3 7 2" xfId="13464" xr:uid="{00000000-0005-0000-0000-00004C470000}"/>
    <cellStyle name="표준 5 2 3 2 2 3 7 2 2" xfId="30058" xr:uid="{00000000-0005-0000-0000-00004D470000}"/>
    <cellStyle name="표준 5 2 3 2 2 3 7 2 3" xfId="38269" xr:uid="{00000000-0005-0000-0000-00004E470000}"/>
    <cellStyle name="표준 5 2 3 2 2 3 7 2 4" xfId="46462" xr:uid="{00000000-0005-0000-0000-00004F470000}"/>
    <cellStyle name="표준 5 2 3 2 2 3 7 3" xfId="17704" xr:uid="{00000000-0005-0000-0000-000050470000}"/>
    <cellStyle name="표준 5 2 3 2 2 3 7 4" xfId="21866" xr:uid="{00000000-0005-0000-0000-000051470000}"/>
    <cellStyle name="표준 5 2 3 2 2 3 7 5" xfId="25962" xr:uid="{00000000-0005-0000-0000-000052470000}"/>
    <cellStyle name="표준 5 2 3 2 2 3 7 6" xfId="34173" xr:uid="{00000000-0005-0000-0000-000053470000}"/>
    <cellStyle name="표준 5 2 3 2 2 3 7 7" xfId="42366" xr:uid="{00000000-0005-0000-0000-000054470000}"/>
    <cellStyle name="표준 5 2 3 2 2 3 8" xfId="7304" xr:uid="{00000000-0005-0000-0000-000055470000}"/>
    <cellStyle name="표준 5 2 3 2 2 3 8 2" xfId="28010" xr:uid="{00000000-0005-0000-0000-000056470000}"/>
    <cellStyle name="표준 5 2 3 2 2 3 8 3" xfId="36221" xr:uid="{00000000-0005-0000-0000-000057470000}"/>
    <cellStyle name="표준 5 2 3 2 2 3 8 4" xfId="44414" xr:uid="{00000000-0005-0000-0000-000058470000}"/>
    <cellStyle name="표준 5 2 3 2 2 3 9" xfId="11416" xr:uid="{00000000-0005-0000-0000-000059470000}"/>
    <cellStyle name="표준 5 2 3 2 2 4" xfId="513" xr:uid="{00000000-0005-0000-0000-00005A470000}"/>
    <cellStyle name="표준 5 2 3 2 2 4 10" xfId="19882" xr:uid="{00000000-0005-0000-0000-00005B470000}"/>
    <cellStyle name="표준 5 2 3 2 2 4 11" xfId="23978" xr:uid="{00000000-0005-0000-0000-00005C470000}"/>
    <cellStyle name="표준 5 2 3 2 2 4 12" xfId="32189" xr:uid="{00000000-0005-0000-0000-00005D470000}"/>
    <cellStyle name="표준 5 2 3 2 2 4 13" xfId="40382" xr:uid="{00000000-0005-0000-0000-00005E470000}"/>
    <cellStyle name="표준 5 2 3 2 2 4 2" xfId="769" xr:uid="{00000000-0005-0000-0000-00005F470000}"/>
    <cellStyle name="표준 5 2 3 2 2 4 2 10" xfId="24234" xr:uid="{00000000-0005-0000-0000-000060470000}"/>
    <cellStyle name="표준 5 2 3 2 2 4 2 11" xfId="32445" xr:uid="{00000000-0005-0000-0000-000061470000}"/>
    <cellStyle name="표준 5 2 3 2 2 4 2 12" xfId="40638" xr:uid="{00000000-0005-0000-0000-000062470000}"/>
    <cellStyle name="표준 5 2 3 2 2 4 2 2" xfId="1281" xr:uid="{00000000-0005-0000-0000-000063470000}"/>
    <cellStyle name="표준 5 2 3 2 2 4 2 2 2" xfId="10184" xr:uid="{00000000-0005-0000-0000-000064470000}"/>
    <cellStyle name="표준 5 2 3 2 2 4 2 2 2 2" xfId="14296" xr:uid="{00000000-0005-0000-0000-000065470000}"/>
    <cellStyle name="표준 5 2 3 2 2 4 2 2 2 2 2" xfId="30890" xr:uid="{00000000-0005-0000-0000-000066470000}"/>
    <cellStyle name="표준 5 2 3 2 2 4 2 2 2 2 3" xfId="39101" xr:uid="{00000000-0005-0000-0000-000067470000}"/>
    <cellStyle name="표준 5 2 3 2 2 4 2 2 2 2 4" xfId="47294" xr:uid="{00000000-0005-0000-0000-000068470000}"/>
    <cellStyle name="표준 5 2 3 2 2 4 2 2 2 3" xfId="18536" xr:uid="{00000000-0005-0000-0000-000069470000}"/>
    <cellStyle name="표준 5 2 3 2 2 4 2 2 2 4" xfId="22698" xr:uid="{00000000-0005-0000-0000-00006A470000}"/>
    <cellStyle name="표준 5 2 3 2 2 4 2 2 2 5" xfId="26794" xr:uid="{00000000-0005-0000-0000-00006B470000}"/>
    <cellStyle name="표준 5 2 3 2 2 4 2 2 2 6" xfId="35005" xr:uid="{00000000-0005-0000-0000-00006C470000}"/>
    <cellStyle name="표준 5 2 3 2 2 4 2 2 2 7" xfId="43198" xr:uid="{00000000-0005-0000-0000-00006D470000}"/>
    <cellStyle name="표준 5 2 3 2 2 4 2 2 3" xfId="8136" xr:uid="{00000000-0005-0000-0000-00006E470000}"/>
    <cellStyle name="표준 5 2 3 2 2 4 2 2 3 2" xfId="28842" xr:uid="{00000000-0005-0000-0000-00006F470000}"/>
    <cellStyle name="표준 5 2 3 2 2 4 2 2 3 3" xfId="37053" xr:uid="{00000000-0005-0000-0000-000070470000}"/>
    <cellStyle name="표준 5 2 3 2 2 4 2 2 3 4" xfId="45246" xr:uid="{00000000-0005-0000-0000-000071470000}"/>
    <cellStyle name="표준 5 2 3 2 2 4 2 2 4" xfId="12248" xr:uid="{00000000-0005-0000-0000-000072470000}"/>
    <cellStyle name="표준 5 2 3 2 2 4 2 2 5" xfId="16488" xr:uid="{00000000-0005-0000-0000-000073470000}"/>
    <cellStyle name="표준 5 2 3 2 2 4 2 2 6" xfId="20650" xr:uid="{00000000-0005-0000-0000-000074470000}"/>
    <cellStyle name="표준 5 2 3 2 2 4 2 2 7" xfId="24746" xr:uid="{00000000-0005-0000-0000-000075470000}"/>
    <cellStyle name="표준 5 2 3 2 2 4 2 2 8" xfId="32957" xr:uid="{00000000-0005-0000-0000-000076470000}"/>
    <cellStyle name="표준 5 2 3 2 2 4 2 2 9" xfId="41150" xr:uid="{00000000-0005-0000-0000-000077470000}"/>
    <cellStyle name="표준 5 2 3 2 2 4 2 3" xfId="1793" xr:uid="{00000000-0005-0000-0000-000078470000}"/>
    <cellStyle name="표준 5 2 3 2 2 4 2 3 2" xfId="10696" xr:uid="{00000000-0005-0000-0000-000079470000}"/>
    <cellStyle name="표준 5 2 3 2 2 4 2 3 2 2" xfId="14808" xr:uid="{00000000-0005-0000-0000-00007A470000}"/>
    <cellStyle name="표준 5 2 3 2 2 4 2 3 2 2 2" xfId="31402" xr:uid="{00000000-0005-0000-0000-00007B470000}"/>
    <cellStyle name="표준 5 2 3 2 2 4 2 3 2 2 3" xfId="39613" xr:uid="{00000000-0005-0000-0000-00007C470000}"/>
    <cellStyle name="표준 5 2 3 2 2 4 2 3 2 2 4" xfId="47806" xr:uid="{00000000-0005-0000-0000-00007D470000}"/>
    <cellStyle name="표준 5 2 3 2 2 4 2 3 2 3" xfId="19048" xr:uid="{00000000-0005-0000-0000-00007E470000}"/>
    <cellStyle name="표준 5 2 3 2 2 4 2 3 2 4" xfId="23210" xr:uid="{00000000-0005-0000-0000-00007F470000}"/>
    <cellStyle name="표준 5 2 3 2 2 4 2 3 2 5" xfId="27306" xr:uid="{00000000-0005-0000-0000-000080470000}"/>
    <cellStyle name="표준 5 2 3 2 2 4 2 3 2 6" xfId="35517" xr:uid="{00000000-0005-0000-0000-000081470000}"/>
    <cellStyle name="표준 5 2 3 2 2 4 2 3 2 7" xfId="43710" xr:uid="{00000000-0005-0000-0000-000082470000}"/>
    <cellStyle name="표준 5 2 3 2 2 4 2 3 3" xfId="8648" xr:uid="{00000000-0005-0000-0000-000083470000}"/>
    <cellStyle name="표준 5 2 3 2 2 4 2 3 3 2" xfId="29354" xr:uid="{00000000-0005-0000-0000-000084470000}"/>
    <cellStyle name="표준 5 2 3 2 2 4 2 3 3 3" xfId="37565" xr:uid="{00000000-0005-0000-0000-000085470000}"/>
    <cellStyle name="표준 5 2 3 2 2 4 2 3 3 4" xfId="45758" xr:uid="{00000000-0005-0000-0000-000086470000}"/>
    <cellStyle name="표준 5 2 3 2 2 4 2 3 4" xfId="12760" xr:uid="{00000000-0005-0000-0000-000087470000}"/>
    <cellStyle name="표준 5 2 3 2 2 4 2 3 5" xfId="17000" xr:uid="{00000000-0005-0000-0000-000088470000}"/>
    <cellStyle name="표준 5 2 3 2 2 4 2 3 6" xfId="21162" xr:uid="{00000000-0005-0000-0000-000089470000}"/>
    <cellStyle name="표준 5 2 3 2 2 4 2 3 7" xfId="25258" xr:uid="{00000000-0005-0000-0000-00008A470000}"/>
    <cellStyle name="표준 5 2 3 2 2 4 2 3 8" xfId="33469" xr:uid="{00000000-0005-0000-0000-00008B470000}"/>
    <cellStyle name="표준 5 2 3 2 2 4 2 3 9" xfId="41662" xr:uid="{00000000-0005-0000-0000-00008C470000}"/>
    <cellStyle name="표준 5 2 3 2 2 4 2 4" xfId="2305" xr:uid="{00000000-0005-0000-0000-00008D470000}"/>
    <cellStyle name="표준 5 2 3 2 2 4 2 4 2" xfId="11208" xr:uid="{00000000-0005-0000-0000-00008E470000}"/>
    <cellStyle name="표준 5 2 3 2 2 4 2 4 2 2" xfId="15320" xr:uid="{00000000-0005-0000-0000-00008F470000}"/>
    <cellStyle name="표준 5 2 3 2 2 4 2 4 2 2 2" xfId="31914" xr:uid="{00000000-0005-0000-0000-000090470000}"/>
    <cellStyle name="표준 5 2 3 2 2 4 2 4 2 2 3" xfId="40125" xr:uid="{00000000-0005-0000-0000-000091470000}"/>
    <cellStyle name="표준 5 2 3 2 2 4 2 4 2 2 4" xfId="48318" xr:uid="{00000000-0005-0000-0000-000092470000}"/>
    <cellStyle name="표준 5 2 3 2 2 4 2 4 2 3" xfId="19560" xr:uid="{00000000-0005-0000-0000-000093470000}"/>
    <cellStyle name="표준 5 2 3 2 2 4 2 4 2 4" xfId="23722" xr:uid="{00000000-0005-0000-0000-000094470000}"/>
    <cellStyle name="표준 5 2 3 2 2 4 2 4 2 5" xfId="27818" xr:uid="{00000000-0005-0000-0000-000095470000}"/>
    <cellStyle name="표준 5 2 3 2 2 4 2 4 2 6" xfId="36029" xr:uid="{00000000-0005-0000-0000-000096470000}"/>
    <cellStyle name="표준 5 2 3 2 2 4 2 4 2 7" xfId="44222" xr:uid="{00000000-0005-0000-0000-000097470000}"/>
    <cellStyle name="표준 5 2 3 2 2 4 2 4 3" xfId="9160" xr:uid="{00000000-0005-0000-0000-000098470000}"/>
    <cellStyle name="표준 5 2 3 2 2 4 2 4 3 2" xfId="29866" xr:uid="{00000000-0005-0000-0000-000099470000}"/>
    <cellStyle name="표준 5 2 3 2 2 4 2 4 3 3" xfId="38077" xr:uid="{00000000-0005-0000-0000-00009A470000}"/>
    <cellStyle name="표준 5 2 3 2 2 4 2 4 3 4" xfId="46270" xr:uid="{00000000-0005-0000-0000-00009B470000}"/>
    <cellStyle name="표준 5 2 3 2 2 4 2 4 4" xfId="13272" xr:uid="{00000000-0005-0000-0000-00009C470000}"/>
    <cellStyle name="표준 5 2 3 2 2 4 2 4 5" xfId="17512" xr:uid="{00000000-0005-0000-0000-00009D470000}"/>
    <cellStyle name="표준 5 2 3 2 2 4 2 4 6" xfId="21674" xr:uid="{00000000-0005-0000-0000-00009E470000}"/>
    <cellStyle name="표준 5 2 3 2 2 4 2 4 7" xfId="25770" xr:uid="{00000000-0005-0000-0000-00009F470000}"/>
    <cellStyle name="표준 5 2 3 2 2 4 2 4 8" xfId="33981" xr:uid="{00000000-0005-0000-0000-0000A0470000}"/>
    <cellStyle name="표준 5 2 3 2 2 4 2 4 9" xfId="42174" xr:uid="{00000000-0005-0000-0000-0000A1470000}"/>
    <cellStyle name="표준 5 2 3 2 2 4 2 5" xfId="9672" xr:uid="{00000000-0005-0000-0000-0000A2470000}"/>
    <cellStyle name="표준 5 2 3 2 2 4 2 5 2" xfId="13784" xr:uid="{00000000-0005-0000-0000-0000A3470000}"/>
    <cellStyle name="표준 5 2 3 2 2 4 2 5 2 2" xfId="30378" xr:uid="{00000000-0005-0000-0000-0000A4470000}"/>
    <cellStyle name="표준 5 2 3 2 2 4 2 5 2 3" xfId="38589" xr:uid="{00000000-0005-0000-0000-0000A5470000}"/>
    <cellStyle name="표준 5 2 3 2 2 4 2 5 2 4" xfId="46782" xr:uid="{00000000-0005-0000-0000-0000A6470000}"/>
    <cellStyle name="표준 5 2 3 2 2 4 2 5 3" xfId="18024" xr:uid="{00000000-0005-0000-0000-0000A7470000}"/>
    <cellStyle name="표준 5 2 3 2 2 4 2 5 4" xfId="22186" xr:uid="{00000000-0005-0000-0000-0000A8470000}"/>
    <cellStyle name="표준 5 2 3 2 2 4 2 5 5" xfId="26282" xr:uid="{00000000-0005-0000-0000-0000A9470000}"/>
    <cellStyle name="표준 5 2 3 2 2 4 2 5 6" xfId="34493" xr:uid="{00000000-0005-0000-0000-0000AA470000}"/>
    <cellStyle name="표준 5 2 3 2 2 4 2 5 7" xfId="42686" xr:uid="{00000000-0005-0000-0000-0000AB470000}"/>
    <cellStyle name="표준 5 2 3 2 2 4 2 6" xfId="7624" xr:uid="{00000000-0005-0000-0000-0000AC470000}"/>
    <cellStyle name="표준 5 2 3 2 2 4 2 6 2" xfId="28330" xr:uid="{00000000-0005-0000-0000-0000AD470000}"/>
    <cellStyle name="표준 5 2 3 2 2 4 2 6 3" xfId="36541" xr:uid="{00000000-0005-0000-0000-0000AE470000}"/>
    <cellStyle name="표준 5 2 3 2 2 4 2 6 4" xfId="44734" xr:uid="{00000000-0005-0000-0000-0000AF470000}"/>
    <cellStyle name="표준 5 2 3 2 2 4 2 7" xfId="11736" xr:uid="{00000000-0005-0000-0000-0000B0470000}"/>
    <cellStyle name="표준 5 2 3 2 2 4 2 8" xfId="15976" xr:uid="{00000000-0005-0000-0000-0000B1470000}"/>
    <cellStyle name="표준 5 2 3 2 2 4 2 9" xfId="20138" xr:uid="{00000000-0005-0000-0000-0000B2470000}"/>
    <cellStyle name="표준 5 2 3 2 2 4 3" xfId="1025" xr:uid="{00000000-0005-0000-0000-0000B3470000}"/>
    <cellStyle name="표준 5 2 3 2 2 4 3 2" xfId="9928" xr:uid="{00000000-0005-0000-0000-0000B4470000}"/>
    <cellStyle name="표준 5 2 3 2 2 4 3 2 2" xfId="14040" xr:uid="{00000000-0005-0000-0000-0000B5470000}"/>
    <cellStyle name="표준 5 2 3 2 2 4 3 2 2 2" xfId="30634" xr:uid="{00000000-0005-0000-0000-0000B6470000}"/>
    <cellStyle name="표준 5 2 3 2 2 4 3 2 2 3" xfId="38845" xr:uid="{00000000-0005-0000-0000-0000B7470000}"/>
    <cellStyle name="표준 5 2 3 2 2 4 3 2 2 4" xfId="47038" xr:uid="{00000000-0005-0000-0000-0000B8470000}"/>
    <cellStyle name="표준 5 2 3 2 2 4 3 2 3" xfId="18280" xr:uid="{00000000-0005-0000-0000-0000B9470000}"/>
    <cellStyle name="표준 5 2 3 2 2 4 3 2 4" xfId="22442" xr:uid="{00000000-0005-0000-0000-0000BA470000}"/>
    <cellStyle name="표준 5 2 3 2 2 4 3 2 5" xfId="26538" xr:uid="{00000000-0005-0000-0000-0000BB470000}"/>
    <cellStyle name="표준 5 2 3 2 2 4 3 2 6" xfId="34749" xr:uid="{00000000-0005-0000-0000-0000BC470000}"/>
    <cellStyle name="표준 5 2 3 2 2 4 3 2 7" xfId="42942" xr:uid="{00000000-0005-0000-0000-0000BD470000}"/>
    <cellStyle name="표준 5 2 3 2 2 4 3 3" xfId="7880" xr:uid="{00000000-0005-0000-0000-0000BE470000}"/>
    <cellStyle name="표준 5 2 3 2 2 4 3 3 2" xfId="28586" xr:uid="{00000000-0005-0000-0000-0000BF470000}"/>
    <cellStyle name="표준 5 2 3 2 2 4 3 3 3" xfId="36797" xr:uid="{00000000-0005-0000-0000-0000C0470000}"/>
    <cellStyle name="표준 5 2 3 2 2 4 3 3 4" xfId="44990" xr:uid="{00000000-0005-0000-0000-0000C1470000}"/>
    <cellStyle name="표준 5 2 3 2 2 4 3 4" xfId="11992" xr:uid="{00000000-0005-0000-0000-0000C2470000}"/>
    <cellStyle name="표준 5 2 3 2 2 4 3 5" xfId="16232" xr:uid="{00000000-0005-0000-0000-0000C3470000}"/>
    <cellStyle name="표준 5 2 3 2 2 4 3 6" xfId="20394" xr:uid="{00000000-0005-0000-0000-0000C4470000}"/>
    <cellStyle name="표준 5 2 3 2 2 4 3 7" xfId="24490" xr:uid="{00000000-0005-0000-0000-0000C5470000}"/>
    <cellStyle name="표준 5 2 3 2 2 4 3 8" xfId="32701" xr:uid="{00000000-0005-0000-0000-0000C6470000}"/>
    <cellStyle name="표준 5 2 3 2 2 4 3 9" xfId="40894" xr:uid="{00000000-0005-0000-0000-0000C7470000}"/>
    <cellStyle name="표준 5 2 3 2 2 4 4" xfId="1537" xr:uid="{00000000-0005-0000-0000-0000C8470000}"/>
    <cellStyle name="표준 5 2 3 2 2 4 4 2" xfId="10440" xr:uid="{00000000-0005-0000-0000-0000C9470000}"/>
    <cellStyle name="표준 5 2 3 2 2 4 4 2 2" xfId="14552" xr:uid="{00000000-0005-0000-0000-0000CA470000}"/>
    <cellStyle name="표준 5 2 3 2 2 4 4 2 2 2" xfId="31146" xr:uid="{00000000-0005-0000-0000-0000CB470000}"/>
    <cellStyle name="표준 5 2 3 2 2 4 4 2 2 3" xfId="39357" xr:uid="{00000000-0005-0000-0000-0000CC470000}"/>
    <cellStyle name="표준 5 2 3 2 2 4 4 2 2 4" xfId="47550" xr:uid="{00000000-0005-0000-0000-0000CD470000}"/>
    <cellStyle name="표준 5 2 3 2 2 4 4 2 3" xfId="18792" xr:uid="{00000000-0005-0000-0000-0000CE470000}"/>
    <cellStyle name="표준 5 2 3 2 2 4 4 2 4" xfId="22954" xr:uid="{00000000-0005-0000-0000-0000CF470000}"/>
    <cellStyle name="표준 5 2 3 2 2 4 4 2 5" xfId="27050" xr:uid="{00000000-0005-0000-0000-0000D0470000}"/>
    <cellStyle name="표준 5 2 3 2 2 4 4 2 6" xfId="35261" xr:uid="{00000000-0005-0000-0000-0000D1470000}"/>
    <cellStyle name="표준 5 2 3 2 2 4 4 2 7" xfId="43454" xr:uid="{00000000-0005-0000-0000-0000D2470000}"/>
    <cellStyle name="표준 5 2 3 2 2 4 4 3" xfId="8392" xr:uid="{00000000-0005-0000-0000-0000D3470000}"/>
    <cellStyle name="표준 5 2 3 2 2 4 4 3 2" xfId="29098" xr:uid="{00000000-0005-0000-0000-0000D4470000}"/>
    <cellStyle name="표준 5 2 3 2 2 4 4 3 3" xfId="37309" xr:uid="{00000000-0005-0000-0000-0000D5470000}"/>
    <cellStyle name="표준 5 2 3 2 2 4 4 3 4" xfId="45502" xr:uid="{00000000-0005-0000-0000-0000D6470000}"/>
    <cellStyle name="표준 5 2 3 2 2 4 4 4" xfId="12504" xr:uid="{00000000-0005-0000-0000-0000D7470000}"/>
    <cellStyle name="표준 5 2 3 2 2 4 4 5" xfId="16744" xr:uid="{00000000-0005-0000-0000-0000D8470000}"/>
    <cellStyle name="표준 5 2 3 2 2 4 4 6" xfId="20906" xr:uid="{00000000-0005-0000-0000-0000D9470000}"/>
    <cellStyle name="표준 5 2 3 2 2 4 4 7" xfId="25002" xr:uid="{00000000-0005-0000-0000-0000DA470000}"/>
    <cellStyle name="표준 5 2 3 2 2 4 4 8" xfId="33213" xr:uid="{00000000-0005-0000-0000-0000DB470000}"/>
    <cellStyle name="표준 5 2 3 2 2 4 4 9" xfId="41406" xr:uid="{00000000-0005-0000-0000-0000DC470000}"/>
    <cellStyle name="표준 5 2 3 2 2 4 5" xfId="2049" xr:uid="{00000000-0005-0000-0000-0000DD470000}"/>
    <cellStyle name="표준 5 2 3 2 2 4 5 2" xfId="10952" xr:uid="{00000000-0005-0000-0000-0000DE470000}"/>
    <cellStyle name="표준 5 2 3 2 2 4 5 2 2" xfId="15064" xr:uid="{00000000-0005-0000-0000-0000DF470000}"/>
    <cellStyle name="표준 5 2 3 2 2 4 5 2 2 2" xfId="31658" xr:uid="{00000000-0005-0000-0000-0000E0470000}"/>
    <cellStyle name="표준 5 2 3 2 2 4 5 2 2 3" xfId="39869" xr:uid="{00000000-0005-0000-0000-0000E1470000}"/>
    <cellStyle name="표준 5 2 3 2 2 4 5 2 2 4" xfId="48062" xr:uid="{00000000-0005-0000-0000-0000E2470000}"/>
    <cellStyle name="표준 5 2 3 2 2 4 5 2 3" xfId="19304" xr:uid="{00000000-0005-0000-0000-0000E3470000}"/>
    <cellStyle name="표준 5 2 3 2 2 4 5 2 4" xfId="23466" xr:uid="{00000000-0005-0000-0000-0000E4470000}"/>
    <cellStyle name="표준 5 2 3 2 2 4 5 2 5" xfId="27562" xr:uid="{00000000-0005-0000-0000-0000E5470000}"/>
    <cellStyle name="표준 5 2 3 2 2 4 5 2 6" xfId="35773" xr:uid="{00000000-0005-0000-0000-0000E6470000}"/>
    <cellStyle name="표준 5 2 3 2 2 4 5 2 7" xfId="43966" xr:uid="{00000000-0005-0000-0000-0000E7470000}"/>
    <cellStyle name="표준 5 2 3 2 2 4 5 3" xfId="8904" xr:uid="{00000000-0005-0000-0000-0000E8470000}"/>
    <cellStyle name="표준 5 2 3 2 2 4 5 3 2" xfId="29610" xr:uid="{00000000-0005-0000-0000-0000E9470000}"/>
    <cellStyle name="표준 5 2 3 2 2 4 5 3 3" xfId="37821" xr:uid="{00000000-0005-0000-0000-0000EA470000}"/>
    <cellStyle name="표준 5 2 3 2 2 4 5 3 4" xfId="46014" xr:uid="{00000000-0005-0000-0000-0000EB470000}"/>
    <cellStyle name="표준 5 2 3 2 2 4 5 4" xfId="13016" xr:uid="{00000000-0005-0000-0000-0000EC470000}"/>
    <cellStyle name="표준 5 2 3 2 2 4 5 5" xfId="17256" xr:uid="{00000000-0005-0000-0000-0000ED470000}"/>
    <cellStyle name="표준 5 2 3 2 2 4 5 6" xfId="21418" xr:uid="{00000000-0005-0000-0000-0000EE470000}"/>
    <cellStyle name="표준 5 2 3 2 2 4 5 7" xfId="25514" xr:uid="{00000000-0005-0000-0000-0000EF470000}"/>
    <cellStyle name="표준 5 2 3 2 2 4 5 8" xfId="33725" xr:uid="{00000000-0005-0000-0000-0000F0470000}"/>
    <cellStyle name="표준 5 2 3 2 2 4 5 9" xfId="41918" xr:uid="{00000000-0005-0000-0000-0000F1470000}"/>
    <cellStyle name="표준 5 2 3 2 2 4 6" xfId="9416" xr:uid="{00000000-0005-0000-0000-0000F2470000}"/>
    <cellStyle name="표준 5 2 3 2 2 4 6 2" xfId="13528" xr:uid="{00000000-0005-0000-0000-0000F3470000}"/>
    <cellStyle name="표준 5 2 3 2 2 4 6 2 2" xfId="30122" xr:uid="{00000000-0005-0000-0000-0000F4470000}"/>
    <cellStyle name="표준 5 2 3 2 2 4 6 2 3" xfId="38333" xr:uid="{00000000-0005-0000-0000-0000F5470000}"/>
    <cellStyle name="표준 5 2 3 2 2 4 6 2 4" xfId="46526" xr:uid="{00000000-0005-0000-0000-0000F6470000}"/>
    <cellStyle name="표준 5 2 3 2 2 4 6 3" xfId="17768" xr:uid="{00000000-0005-0000-0000-0000F7470000}"/>
    <cellStyle name="표준 5 2 3 2 2 4 6 4" xfId="21930" xr:uid="{00000000-0005-0000-0000-0000F8470000}"/>
    <cellStyle name="표준 5 2 3 2 2 4 6 5" xfId="26026" xr:uid="{00000000-0005-0000-0000-0000F9470000}"/>
    <cellStyle name="표준 5 2 3 2 2 4 6 6" xfId="34237" xr:uid="{00000000-0005-0000-0000-0000FA470000}"/>
    <cellStyle name="표준 5 2 3 2 2 4 6 7" xfId="42430" xr:uid="{00000000-0005-0000-0000-0000FB470000}"/>
    <cellStyle name="표준 5 2 3 2 2 4 7" xfId="7368" xr:uid="{00000000-0005-0000-0000-0000FC470000}"/>
    <cellStyle name="표준 5 2 3 2 2 4 7 2" xfId="28074" xr:uid="{00000000-0005-0000-0000-0000FD470000}"/>
    <cellStyle name="표준 5 2 3 2 2 4 7 3" xfId="36285" xr:uid="{00000000-0005-0000-0000-0000FE470000}"/>
    <cellStyle name="표준 5 2 3 2 2 4 7 4" xfId="44478" xr:uid="{00000000-0005-0000-0000-0000FF470000}"/>
    <cellStyle name="표준 5 2 3 2 2 4 8" xfId="11480" xr:uid="{00000000-0005-0000-0000-000000480000}"/>
    <cellStyle name="표준 5 2 3 2 2 4 9" xfId="15720" xr:uid="{00000000-0005-0000-0000-000001480000}"/>
    <cellStyle name="표준 5 2 3 2 2 5" xfId="641" xr:uid="{00000000-0005-0000-0000-000002480000}"/>
    <cellStyle name="표준 5 2 3 2 2 5 10" xfId="24106" xr:uid="{00000000-0005-0000-0000-000003480000}"/>
    <cellStyle name="표준 5 2 3 2 2 5 11" xfId="32317" xr:uid="{00000000-0005-0000-0000-000004480000}"/>
    <cellStyle name="표준 5 2 3 2 2 5 12" xfId="40510" xr:uid="{00000000-0005-0000-0000-000005480000}"/>
    <cellStyle name="표준 5 2 3 2 2 5 2" xfId="1153" xr:uid="{00000000-0005-0000-0000-000006480000}"/>
    <cellStyle name="표준 5 2 3 2 2 5 2 2" xfId="10056" xr:uid="{00000000-0005-0000-0000-000007480000}"/>
    <cellStyle name="표준 5 2 3 2 2 5 2 2 2" xfId="14168" xr:uid="{00000000-0005-0000-0000-000008480000}"/>
    <cellStyle name="표준 5 2 3 2 2 5 2 2 2 2" xfId="30762" xr:uid="{00000000-0005-0000-0000-000009480000}"/>
    <cellStyle name="표준 5 2 3 2 2 5 2 2 2 3" xfId="38973" xr:uid="{00000000-0005-0000-0000-00000A480000}"/>
    <cellStyle name="표준 5 2 3 2 2 5 2 2 2 4" xfId="47166" xr:uid="{00000000-0005-0000-0000-00000B480000}"/>
    <cellStyle name="표준 5 2 3 2 2 5 2 2 3" xfId="18408" xr:uid="{00000000-0005-0000-0000-00000C480000}"/>
    <cellStyle name="표준 5 2 3 2 2 5 2 2 4" xfId="22570" xr:uid="{00000000-0005-0000-0000-00000D480000}"/>
    <cellStyle name="표준 5 2 3 2 2 5 2 2 5" xfId="26666" xr:uid="{00000000-0005-0000-0000-00000E480000}"/>
    <cellStyle name="표준 5 2 3 2 2 5 2 2 6" xfId="34877" xr:uid="{00000000-0005-0000-0000-00000F480000}"/>
    <cellStyle name="표준 5 2 3 2 2 5 2 2 7" xfId="43070" xr:uid="{00000000-0005-0000-0000-000010480000}"/>
    <cellStyle name="표준 5 2 3 2 2 5 2 3" xfId="8008" xr:uid="{00000000-0005-0000-0000-000011480000}"/>
    <cellStyle name="표준 5 2 3 2 2 5 2 3 2" xfId="28714" xr:uid="{00000000-0005-0000-0000-000012480000}"/>
    <cellStyle name="표준 5 2 3 2 2 5 2 3 3" xfId="36925" xr:uid="{00000000-0005-0000-0000-000013480000}"/>
    <cellStyle name="표준 5 2 3 2 2 5 2 3 4" xfId="45118" xr:uid="{00000000-0005-0000-0000-000014480000}"/>
    <cellStyle name="표준 5 2 3 2 2 5 2 4" xfId="12120" xr:uid="{00000000-0005-0000-0000-000015480000}"/>
    <cellStyle name="표준 5 2 3 2 2 5 2 5" xfId="16360" xr:uid="{00000000-0005-0000-0000-000016480000}"/>
    <cellStyle name="표준 5 2 3 2 2 5 2 6" xfId="20522" xr:uid="{00000000-0005-0000-0000-000017480000}"/>
    <cellStyle name="표준 5 2 3 2 2 5 2 7" xfId="24618" xr:uid="{00000000-0005-0000-0000-000018480000}"/>
    <cellStyle name="표준 5 2 3 2 2 5 2 8" xfId="32829" xr:uid="{00000000-0005-0000-0000-000019480000}"/>
    <cellStyle name="표준 5 2 3 2 2 5 2 9" xfId="41022" xr:uid="{00000000-0005-0000-0000-00001A480000}"/>
    <cellStyle name="표준 5 2 3 2 2 5 3" xfId="1665" xr:uid="{00000000-0005-0000-0000-00001B480000}"/>
    <cellStyle name="표준 5 2 3 2 2 5 3 2" xfId="10568" xr:uid="{00000000-0005-0000-0000-00001C480000}"/>
    <cellStyle name="표준 5 2 3 2 2 5 3 2 2" xfId="14680" xr:uid="{00000000-0005-0000-0000-00001D480000}"/>
    <cellStyle name="표준 5 2 3 2 2 5 3 2 2 2" xfId="31274" xr:uid="{00000000-0005-0000-0000-00001E480000}"/>
    <cellStyle name="표준 5 2 3 2 2 5 3 2 2 3" xfId="39485" xr:uid="{00000000-0005-0000-0000-00001F480000}"/>
    <cellStyle name="표준 5 2 3 2 2 5 3 2 2 4" xfId="47678" xr:uid="{00000000-0005-0000-0000-000020480000}"/>
    <cellStyle name="표준 5 2 3 2 2 5 3 2 3" xfId="18920" xr:uid="{00000000-0005-0000-0000-000021480000}"/>
    <cellStyle name="표준 5 2 3 2 2 5 3 2 4" xfId="23082" xr:uid="{00000000-0005-0000-0000-000022480000}"/>
    <cellStyle name="표준 5 2 3 2 2 5 3 2 5" xfId="27178" xr:uid="{00000000-0005-0000-0000-000023480000}"/>
    <cellStyle name="표준 5 2 3 2 2 5 3 2 6" xfId="35389" xr:uid="{00000000-0005-0000-0000-000024480000}"/>
    <cellStyle name="표준 5 2 3 2 2 5 3 2 7" xfId="43582" xr:uid="{00000000-0005-0000-0000-000025480000}"/>
    <cellStyle name="표준 5 2 3 2 2 5 3 3" xfId="8520" xr:uid="{00000000-0005-0000-0000-000026480000}"/>
    <cellStyle name="표준 5 2 3 2 2 5 3 3 2" xfId="29226" xr:uid="{00000000-0005-0000-0000-000027480000}"/>
    <cellStyle name="표준 5 2 3 2 2 5 3 3 3" xfId="37437" xr:uid="{00000000-0005-0000-0000-000028480000}"/>
    <cellStyle name="표준 5 2 3 2 2 5 3 3 4" xfId="45630" xr:uid="{00000000-0005-0000-0000-000029480000}"/>
    <cellStyle name="표준 5 2 3 2 2 5 3 4" xfId="12632" xr:uid="{00000000-0005-0000-0000-00002A480000}"/>
    <cellStyle name="표준 5 2 3 2 2 5 3 5" xfId="16872" xr:uid="{00000000-0005-0000-0000-00002B480000}"/>
    <cellStyle name="표준 5 2 3 2 2 5 3 6" xfId="21034" xr:uid="{00000000-0005-0000-0000-00002C480000}"/>
    <cellStyle name="표준 5 2 3 2 2 5 3 7" xfId="25130" xr:uid="{00000000-0005-0000-0000-00002D480000}"/>
    <cellStyle name="표준 5 2 3 2 2 5 3 8" xfId="33341" xr:uid="{00000000-0005-0000-0000-00002E480000}"/>
    <cellStyle name="표준 5 2 3 2 2 5 3 9" xfId="41534" xr:uid="{00000000-0005-0000-0000-00002F480000}"/>
    <cellStyle name="표준 5 2 3 2 2 5 4" xfId="2177" xr:uid="{00000000-0005-0000-0000-000030480000}"/>
    <cellStyle name="표준 5 2 3 2 2 5 4 2" xfId="11080" xr:uid="{00000000-0005-0000-0000-000031480000}"/>
    <cellStyle name="표준 5 2 3 2 2 5 4 2 2" xfId="15192" xr:uid="{00000000-0005-0000-0000-000032480000}"/>
    <cellStyle name="표준 5 2 3 2 2 5 4 2 2 2" xfId="31786" xr:uid="{00000000-0005-0000-0000-000033480000}"/>
    <cellStyle name="표준 5 2 3 2 2 5 4 2 2 3" xfId="39997" xr:uid="{00000000-0005-0000-0000-000034480000}"/>
    <cellStyle name="표준 5 2 3 2 2 5 4 2 2 4" xfId="48190" xr:uid="{00000000-0005-0000-0000-000035480000}"/>
    <cellStyle name="표준 5 2 3 2 2 5 4 2 3" xfId="19432" xr:uid="{00000000-0005-0000-0000-000036480000}"/>
    <cellStyle name="표준 5 2 3 2 2 5 4 2 4" xfId="23594" xr:uid="{00000000-0005-0000-0000-000037480000}"/>
    <cellStyle name="표준 5 2 3 2 2 5 4 2 5" xfId="27690" xr:uid="{00000000-0005-0000-0000-000038480000}"/>
    <cellStyle name="표준 5 2 3 2 2 5 4 2 6" xfId="35901" xr:uid="{00000000-0005-0000-0000-000039480000}"/>
    <cellStyle name="표준 5 2 3 2 2 5 4 2 7" xfId="44094" xr:uid="{00000000-0005-0000-0000-00003A480000}"/>
    <cellStyle name="표준 5 2 3 2 2 5 4 3" xfId="9032" xr:uid="{00000000-0005-0000-0000-00003B480000}"/>
    <cellStyle name="표준 5 2 3 2 2 5 4 3 2" xfId="29738" xr:uid="{00000000-0005-0000-0000-00003C480000}"/>
    <cellStyle name="표준 5 2 3 2 2 5 4 3 3" xfId="37949" xr:uid="{00000000-0005-0000-0000-00003D480000}"/>
    <cellStyle name="표준 5 2 3 2 2 5 4 3 4" xfId="46142" xr:uid="{00000000-0005-0000-0000-00003E480000}"/>
    <cellStyle name="표준 5 2 3 2 2 5 4 4" xfId="13144" xr:uid="{00000000-0005-0000-0000-00003F480000}"/>
    <cellStyle name="표준 5 2 3 2 2 5 4 5" xfId="17384" xr:uid="{00000000-0005-0000-0000-000040480000}"/>
    <cellStyle name="표준 5 2 3 2 2 5 4 6" xfId="21546" xr:uid="{00000000-0005-0000-0000-000041480000}"/>
    <cellStyle name="표준 5 2 3 2 2 5 4 7" xfId="25642" xr:uid="{00000000-0005-0000-0000-000042480000}"/>
    <cellStyle name="표준 5 2 3 2 2 5 4 8" xfId="33853" xr:uid="{00000000-0005-0000-0000-000043480000}"/>
    <cellStyle name="표준 5 2 3 2 2 5 4 9" xfId="42046" xr:uid="{00000000-0005-0000-0000-000044480000}"/>
    <cellStyle name="표준 5 2 3 2 2 5 5" xfId="9544" xr:uid="{00000000-0005-0000-0000-000045480000}"/>
    <cellStyle name="표준 5 2 3 2 2 5 5 2" xfId="13656" xr:uid="{00000000-0005-0000-0000-000046480000}"/>
    <cellStyle name="표준 5 2 3 2 2 5 5 2 2" xfId="30250" xr:uid="{00000000-0005-0000-0000-000047480000}"/>
    <cellStyle name="표준 5 2 3 2 2 5 5 2 3" xfId="38461" xr:uid="{00000000-0005-0000-0000-000048480000}"/>
    <cellStyle name="표준 5 2 3 2 2 5 5 2 4" xfId="46654" xr:uid="{00000000-0005-0000-0000-000049480000}"/>
    <cellStyle name="표준 5 2 3 2 2 5 5 3" xfId="17896" xr:uid="{00000000-0005-0000-0000-00004A480000}"/>
    <cellStyle name="표준 5 2 3 2 2 5 5 4" xfId="22058" xr:uid="{00000000-0005-0000-0000-00004B480000}"/>
    <cellStyle name="표준 5 2 3 2 2 5 5 5" xfId="26154" xr:uid="{00000000-0005-0000-0000-00004C480000}"/>
    <cellStyle name="표준 5 2 3 2 2 5 5 6" xfId="34365" xr:uid="{00000000-0005-0000-0000-00004D480000}"/>
    <cellStyle name="표준 5 2 3 2 2 5 5 7" xfId="42558" xr:uid="{00000000-0005-0000-0000-00004E480000}"/>
    <cellStyle name="표준 5 2 3 2 2 5 6" xfId="7496" xr:uid="{00000000-0005-0000-0000-00004F480000}"/>
    <cellStyle name="표준 5 2 3 2 2 5 6 2" xfId="28202" xr:uid="{00000000-0005-0000-0000-000050480000}"/>
    <cellStyle name="표준 5 2 3 2 2 5 6 3" xfId="36413" xr:uid="{00000000-0005-0000-0000-000051480000}"/>
    <cellStyle name="표준 5 2 3 2 2 5 6 4" xfId="44606" xr:uid="{00000000-0005-0000-0000-000052480000}"/>
    <cellStyle name="표준 5 2 3 2 2 5 7" xfId="11608" xr:uid="{00000000-0005-0000-0000-000053480000}"/>
    <cellStyle name="표준 5 2 3 2 2 5 8" xfId="15848" xr:uid="{00000000-0005-0000-0000-000054480000}"/>
    <cellStyle name="표준 5 2 3 2 2 5 9" xfId="20010" xr:uid="{00000000-0005-0000-0000-000055480000}"/>
    <cellStyle name="표준 5 2 3 2 2 6" xfId="897" xr:uid="{00000000-0005-0000-0000-000056480000}"/>
    <cellStyle name="표준 5 2 3 2 2 6 2" xfId="9800" xr:uid="{00000000-0005-0000-0000-000057480000}"/>
    <cellStyle name="표준 5 2 3 2 2 6 2 2" xfId="13912" xr:uid="{00000000-0005-0000-0000-000058480000}"/>
    <cellStyle name="표준 5 2 3 2 2 6 2 2 2" xfId="30506" xr:uid="{00000000-0005-0000-0000-000059480000}"/>
    <cellStyle name="표준 5 2 3 2 2 6 2 2 3" xfId="38717" xr:uid="{00000000-0005-0000-0000-00005A480000}"/>
    <cellStyle name="표준 5 2 3 2 2 6 2 2 4" xfId="46910" xr:uid="{00000000-0005-0000-0000-00005B480000}"/>
    <cellStyle name="표준 5 2 3 2 2 6 2 3" xfId="18152" xr:uid="{00000000-0005-0000-0000-00005C480000}"/>
    <cellStyle name="표준 5 2 3 2 2 6 2 4" xfId="22314" xr:uid="{00000000-0005-0000-0000-00005D480000}"/>
    <cellStyle name="표준 5 2 3 2 2 6 2 5" xfId="26410" xr:uid="{00000000-0005-0000-0000-00005E480000}"/>
    <cellStyle name="표준 5 2 3 2 2 6 2 6" xfId="34621" xr:uid="{00000000-0005-0000-0000-00005F480000}"/>
    <cellStyle name="표준 5 2 3 2 2 6 2 7" xfId="42814" xr:uid="{00000000-0005-0000-0000-000060480000}"/>
    <cellStyle name="표준 5 2 3 2 2 6 3" xfId="7752" xr:uid="{00000000-0005-0000-0000-000061480000}"/>
    <cellStyle name="표준 5 2 3 2 2 6 3 2" xfId="28458" xr:uid="{00000000-0005-0000-0000-000062480000}"/>
    <cellStyle name="표준 5 2 3 2 2 6 3 3" xfId="36669" xr:uid="{00000000-0005-0000-0000-000063480000}"/>
    <cellStyle name="표준 5 2 3 2 2 6 3 4" xfId="44862" xr:uid="{00000000-0005-0000-0000-000064480000}"/>
    <cellStyle name="표준 5 2 3 2 2 6 4" xfId="11864" xr:uid="{00000000-0005-0000-0000-000065480000}"/>
    <cellStyle name="표준 5 2 3 2 2 6 5" xfId="16104" xr:uid="{00000000-0005-0000-0000-000066480000}"/>
    <cellStyle name="표준 5 2 3 2 2 6 6" xfId="20266" xr:uid="{00000000-0005-0000-0000-000067480000}"/>
    <cellStyle name="표준 5 2 3 2 2 6 7" xfId="24362" xr:uid="{00000000-0005-0000-0000-000068480000}"/>
    <cellStyle name="표준 5 2 3 2 2 6 8" xfId="32573" xr:uid="{00000000-0005-0000-0000-000069480000}"/>
    <cellStyle name="표준 5 2 3 2 2 6 9" xfId="40766" xr:uid="{00000000-0005-0000-0000-00006A480000}"/>
    <cellStyle name="표준 5 2 3 2 2 7" xfId="1409" xr:uid="{00000000-0005-0000-0000-00006B480000}"/>
    <cellStyle name="표준 5 2 3 2 2 7 2" xfId="10312" xr:uid="{00000000-0005-0000-0000-00006C480000}"/>
    <cellStyle name="표준 5 2 3 2 2 7 2 2" xfId="14424" xr:uid="{00000000-0005-0000-0000-00006D480000}"/>
    <cellStyle name="표준 5 2 3 2 2 7 2 2 2" xfId="31018" xr:uid="{00000000-0005-0000-0000-00006E480000}"/>
    <cellStyle name="표준 5 2 3 2 2 7 2 2 3" xfId="39229" xr:uid="{00000000-0005-0000-0000-00006F480000}"/>
    <cellStyle name="표준 5 2 3 2 2 7 2 2 4" xfId="47422" xr:uid="{00000000-0005-0000-0000-000070480000}"/>
    <cellStyle name="표준 5 2 3 2 2 7 2 3" xfId="18664" xr:uid="{00000000-0005-0000-0000-000071480000}"/>
    <cellStyle name="표준 5 2 3 2 2 7 2 4" xfId="22826" xr:uid="{00000000-0005-0000-0000-000072480000}"/>
    <cellStyle name="표준 5 2 3 2 2 7 2 5" xfId="26922" xr:uid="{00000000-0005-0000-0000-000073480000}"/>
    <cellStyle name="표준 5 2 3 2 2 7 2 6" xfId="35133" xr:uid="{00000000-0005-0000-0000-000074480000}"/>
    <cellStyle name="표준 5 2 3 2 2 7 2 7" xfId="43326" xr:uid="{00000000-0005-0000-0000-000075480000}"/>
    <cellStyle name="표준 5 2 3 2 2 7 3" xfId="8264" xr:uid="{00000000-0005-0000-0000-000076480000}"/>
    <cellStyle name="표준 5 2 3 2 2 7 3 2" xfId="28970" xr:uid="{00000000-0005-0000-0000-000077480000}"/>
    <cellStyle name="표준 5 2 3 2 2 7 3 3" xfId="37181" xr:uid="{00000000-0005-0000-0000-000078480000}"/>
    <cellStyle name="표준 5 2 3 2 2 7 3 4" xfId="45374" xr:uid="{00000000-0005-0000-0000-000079480000}"/>
    <cellStyle name="표준 5 2 3 2 2 7 4" xfId="12376" xr:uid="{00000000-0005-0000-0000-00007A480000}"/>
    <cellStyle name="표준 5 2 3 2 2 7 5" xfId="16616" xr:uid="{00000000-0005-0000-0000-00007B480000}"/>
    <cellStyle name="표준 5 2 3 2 2 7 6" xfId="20778" xr:uid="{00000000-0005-0000-0000-00007C480000}"/>
    <cellStyle name="표준 5 2 3 2 2 7 7" xfId="24874" xr:uid="{00000000-0005-0000-0000-00007D480000}"/>
    <cellStyle name="표준 5 2 3 2 2 7 8" xfId="33085" xr:uid="{00000000-0005-0000-0000-00007E480000}"/>
    <cellStyle name="표준 5 2 3 2 2 7 9" xfId="41278" xr:uid="{00000000-0005-0000-0000-00007F480000}"/>
    <cellStyle name="표준 5 2 3 2 2 8" xfId="1921" xr:uid="{00000000-0005-0000-0000-000080480000}"/>
    <cellStyle name="표준 5 2 3 2 2 8 2" xfId="10824" xr:uid="{00000000-0005-0000-0000-000081480000}"/>
    <cellStyle name="표준 5 2 3 2 2 8 2 2" xfId="14936" xr:uid="{00000000-0005-0000-0000-000082480000}"/>
    <cellStyle name="표준 5 2 3 2 2 8 2 2 2" xfId="31530" xr:uid="{00000000-0005-0000-0000-000083480000}"/>
    <cellStyle name="표준 5 2 3 2 2 8 2 2 3" xfId="39741" xr:uid="{00000000-0005-0000-0000-000084480000}"/>
    <cellStyle name="표준 5 2 3 2 2 8 2 2 4" xfId="47934" xr:uid="{00000000-0005-0000-0000-000085480000}"/>
    <cellStyle name="표준 5 2 3 2 2 8 2 3" xfId="19176" xr:uid="{00000000-0005-0000-0000-000086480000}"/>
    <cellStyle name="표준 5 2 3 2 2 8 2 4" xfId="23338" xr:uid="{00000000-0005-0000-0000-000087480000}"/>
    <cellStyle name="표준 5 2 3 2 2 8 2 5" xfId="27434" xr:uid="{00000000-0005-0000-0000-000088480000}"/>
    <cellStyle name="표준 5 2 3 2 2 8 2 6" xfId="35645" xr:uid="{00000000-0005-0000-0000-000089480000}"/>
    <cellStyle name="표준 5 2 3 2 2 8 2 7" xfId="43838" xr:uid="{00000000-0005-0000-0000-00008A480000}"/>
    <cellStyle name="표준 5 2 3 2 2 8 3" xfId="8776" xr:uid="{00000000-0005-0000-0000-00008B480000}"/>
    <cellStyle name="표준 5 2 3 2 2 8 3 2" xfId="29482" xr:uid="{00000000-0005-0000-0000-00008C480000}"/>
    <cellStyle name="표준 5 2 3 2 2 8 3 3" xfId="37693" xr:uid="{00000000-0005-0000-0000-00008D480000}"/>
    <cellStyle name="표준 5 2 3 2 2 8 3 4" xfId="45886" xr:uid="{00000000-0005-0000-0000-00008E480000}"/>
    <cellStyle name="표준 5 2 3 2 2 8 4" xfId="12888" xr:uid="{00000000-0005-0000-0000-00008F480000}"/>
    <cellStyle name="표준 5 2 3 2 2 8 5" xfId="17128" xr:uid="{00000000-0005-0000-0000-000090480000}"/>
    <cellStyle name="표준 5 2 3 2 2 8 6" xfId="21290" xr:uid="{00000000-0005-0000-0000-000091480000}"/>
    <cellStyle name="표준 5 2 3 2 2 8 7" xfId="25386" xr:uid="{00000000-0005-0000-0000-000092480000}"/>
    <cellStyle name="표준 5 2 3 2 2 8 8" xfId="33597" xr:uid="{00000000-0005-0000-0000-000093480000}"/>
    <cellStyle name="표준 5 2 3 2 2 8 9" xfId="41790" xr:uid="{00000000-0005-0000-0000-000094480000}"/>
    <cellStyle name="표준 5 2 3 2 2 9" xfId="6977" xr:uid="{00000000-0005-0000-0000-000095480000}"/>
    <cellStyle name="표준 5 2 3 2 2 9 2" xfId="9288" xr:uid="{00000000-0005-0000-0000-000096480000}"/>
    <cellStyle name="표준 5 2 3 2 2 9 2 2" xfId="29994" xr:uid="{00000000-0005-0000-0000-000097480000}"/>
    <cellStyle name="표준 5 2 3 2 2 9 2 3" xfId="38205" xr:uid="{00000000-0005-0000-0000-000098480000}"/>
    <cellStyle name="표준 5 2 3 2 2 9 2 4" xfId="46398" xr:uid="{00000000-0005-0000-0000-000099480000}"/>
    <cellStyle name="표준 5 2 3 2 2 9 3" xfId="13400" xr:uid="{00000000-0005-0000-0000-00009A480000}"/>
    <cellStyle name="표준 5 2 3 2 2 9 4" xfId="17640" xr:uid="{00000000-0005-0000-0000-00009B480000}"/>
    <cellStyle name="표준 5 2 3 2 2 9 5" xfId="21802" xr:uid="{00000000-0005-0000-0000-00009C480000}"/>
    <cellStyle name="표준 5 2 3 2 2 9 6" xfId="25898" xr:uid="{00000000-0005-0000-0000-00009D480000}"/>
    <cellStyle name="표준 5 2 3 2 2 9 7" xfId="34109" xr:uid="{00000000-0005-0000-0000-00009E480000}"/>
    <cellStyle name="표준 5 2 3 2 2 9 8" xfId="42302" xr:uid="{00000000-0005-0000-0000-00009F480000}"/>
    <cellStyle name="표준 5 2 3 2 20" xfId="15448" xr:uid="{00000000-0005-0000-0000-0000A0480000}"/>
    <cellStyle name="표준 5 2 3 2 21" xfId="15464" xr:uid="{00000000-0005-0000-0000-0000A1480000}"/>
    <cellStyle name="표준 5 2 3 2 22" xfId="15560" xr:uid="{00000000-0005-0000-0000-0000A2480000}"/>
    <cellStyle name="표준 5 2 3 2 23" xfId="15576" xr:uid="{00000000-0005-0000-0000-0000A3480000}"/>
    <cellStyle name="표준 5 2 3 2 24" xfId="19672" xr:uid="{00000000-0005-0000-0000-0000A4480000}"/>
    <cellStyle name="표준 5 2 3 2 25" xfId="19688" xr:uid="{00000000-0005-0000-0000-0000A5480000}"/>
    <cellStyle name="표준 5 2 3 2 26" xfId="19704" xr:uid="{00000000-0005-0000-0000-0000A6480000}"/>
    <cellStyle name="표준 5 2 3 2 27" xfId="19720" xr:uid="{00000000-0005-0000-0000-0000A7480000}"/>
    <cellStyle name="표준 5 2 3 2 28" xfId="19727" xr:uid="{00000000-0005-0000-0000-0000A8480000}"/>
    <cellStyle name="표준 5 2 3 2 29" xfId="23834" xr:uid="{00000000-0005-0000-0000-0000A9480000}"/>
    <cellStyle name="표준 5 2 3 2 3" xfId="296" xr:uid="{00000000-0005-0000-0000-0000AA480000}"/>
    <cellStyle name="표준 5 2 3 2 3 10" xfId="7165" xr:uid="{00000000-0005-0000-0000-0000AB480000}"/>
    <cellStyle name="표준 5 2 3 2 3 11" xfId="7256" xr:uid="{00000000-0005-0000-0000-0000AC480000}"/>
    <cellStyle name="표준 5 2 3 2 3 12" xfId="11368" xr:uid="{00000000-0005-0000-0000-0000AD480000}"/>
    <cellStyle name="표준 5 2 3 2 3 13" xfId="15496" xr:uid="{00000000-0005-0000-0000-0000AE480000}"/>
    <cellStyle name="표준 5 2 3 2 3 14" xfId="15608" xr:uid="{00000000-0005-0000-0000-0000AF480000}"/>
    <cellStyle name="표준 5 2 3 2 3 15" xfId="19770" xr:uid="{00000000-0005-0000-0000-0000B0480000}"/>
    <cellStyle name="표준 5 2 3 2 3 16" xfId="23866" xr:uid="{00000000-0005-0000-0000-0000B1480000}"/>
    <cellStyle name="표준 5 2 3 2 3 17" xfId="32077" xr:uid="{00000000-0005-0000-0000-0000B2480000}"/>
    <cellStyle name="표준 5 2 3 2 3 18" xfId="40270" xr:uid="{00000000-0005-0000-0000-0000B3480000}"/>
    <cellStyle name="표준 5 2 3 2 3 19" xfId="49700" xr:uid="{00000000-0005-0000-0000-0000B4480000}"/>
    <cellStyle name="표준 5 2 3 2 3 2" xfId="465" xr:uid="{00000000-0005-0000-0000-0000B5480000}"/>
    <cellStyle name="표준 5 2 3 2 3 2 10" xfId="11432" xr:uid="{00000000-0005-0000-0000-0000B6480000}"/>
    <cellStyle name="표준 5 2 3 2 3 2 11" xfId="15544" xr:uid="{00000000-0005-0000-0000-0000B7480000}"/>
    <cellStyle name="표준 5 2 3 2 3 2 12" xfId="15672" xr:uid="{00000000-0005-0000-0000-0000B8480000}"/>
    <cellStyle name="표준 5 2 3 2 3 2 13" xfId="19834" xr:uid="{00000000-0005-0000-0000-0000B9480000}"/>
    <cellStyle name="표준 5 2 3 2 3 2 14" xfId="23930" xr:uid="{00000000-0005-0000-0000-0000BA480000}"/>
    <cellStyle name="표준 5 2 3 2 3 2 15" xfId="32141" xr:uid="{00000000-0005-0000-0000-0000BB480000}"/>
    <cellStyle name="표준 5 2 3 2 3 2 16" xfId="40334" xr:uid="{00000000-0005-0000-0000-0000BC480000}"/>
    <cellStyle name="표준 5 2 3 2 3 2 2" xfId="593" xr:uid="{00000000-0005-0000-0000-0000BD480000}"/>
    <cellStyle name="표준 5 2 3 2 3 2 2 10" xfId="19962" xr:uid="{00000000-0005-0000-0000-0000BE480000}"/>
    <cellStyle name="표준 5 2 3 2 3 2 2 11" xfId="24058" xr:uid="{00000000-0005-0000-0000-0000BF480000}"/>
    <cellStyle name="표준 5 2 3 2 3 2 2 12" xfId="32269" xr:uid="{00000000-0005-0000-0000-0000C0480000}"/>
    <cellStyle name="표준 5 2 3 2 3 2 2 13" xfId="40462" xr:uid="{00000000-0005-0000-0000-0000C1480000}"/>
    <cellStyle name="표준 5 2 3 2 3 2 2 2" xfId="849" xr:uid="{00000000-0005-0000-0000-0000C2480000}"/>
    <cellStyle name="표준 5 2 3 2 3 2 2 2 10" xfId="24314" xr:uid="{00000000-0005-0000-0000-0000C3480000}"/>
    <cellStyle name="표준 5 2 3 2 3 2 2 2 11" xfId="32525" xr:uid="{00000000-0005-0000-0000-0000C4480000}"/>
    <cellStyle name="표준 5 2 3 2 3 2 2 2 12" xfId="40718" xr:uid="{00000000-0005-0000-0000-0000C5480000}"/>
    <cellStyle name="표준 5 2 3 2 3 2 2 2 2" xfId="1361" xr:uid="{00000000-0005-0000-0000-0000C6480000}"/>
    <cellStyle name="표준 5 2 3 2 3 2 2 2 2 2" xfId="10264" xr:uid="{00000000-0005-0000-0000-0000C7480000}"/>
    <cellStyle name="표준 5 2 3 2 3 2 2 2 2 2 2" xfId="14376" xr:uid="{00000000-0005-0000-0000-0000C8480000}"/>
    <cellStyle name="표준 5 2 3 2 3 2 2 2 2 2 2 2" xfId="30970" xr:uid="{00000000-0005-0000-0000-0000C9480000}"/>
    <cellStyle name="표준 5 2 3 2 3 2 2 2 2 2 2 3" xfId="39181" xr:uid="{00000000-0005-0000-0000-0000CA480000}"/>
    <cellStyle name="표준 5 2 3 2 3 2 2 2 2 2 2 4" xfId="47374" xr:uid="{00000000-0005-0000-0000-0000CB480000}"/>
    <cellStyle name="표준 5 2 3 2 3 2 2 2 2 2 3" xfId="18616" xr:uid="{00000000-0005-0000-0000-0000CC480000}"/>
    <cellStyle name="표준 5 2 3 2 3 2 2 2 2 2 4" xfId="22778" xr:uid="{00000000-0005-0000-0000-0000CD480000}"/>
    <cellStyle name="표준 5 2 3 2 3 2 2 2 2 2 5" xfId="26874" xr:uid="{00000000-0005-0000-0000-0000CE480000}"/>
    <cellStyle name="표준 5 2 3 2 3 2 2 2 2 2 6" xfId="35085" xr:uid="{00000000-0005-0000-0000-0000CF480000}"/>
    <cellStyle name="표준 5 2 3 2 3 2 2 2 2 2 7" xfId="43278" xr:uid="{00000000-0005-0000-0000-0000D0480000}"/>
    <cellStyle name="표준 5 2 3 2 3 2 2 2 2 3" xfId="8216" xr:uid="{00000000-0005-0000-0000-0000D1480000}"/>
    <cellStyle name="표준 5 2 3 2 3 2 2 2 2 3 2" xfId="28922" xr:uid="{00000000-0005-0000-0000-0000D2480000}"/>
    <cellStyle name="표준 5 2 3 2 3 2 2 2 2 3 3" xfId="37133" xr:uid="{00000000-0005-0000-0000-0000D3480000}"/>
    <cellStyle name="표준 5 2 3 2 3 2 2 2 2 3 4" xfId="45326" xr:uid="{00000000-0005-0000-0000-0000D4480000}"/>
    <cellStyle name="표준 5 2 3 2 3 2 2 2 2 4" xfId="12328" xr:uid="{00000000-0005-0000-0000-0000D5480000}"/>
    <cellStyle name="표준 5 2 3 2 3 2 2 2 2 5" xfId="16568" xr:uid="{00000000-0005-0000-0000-0000D6480000}"/>
    <cellStyle name="표준 5 2 3 2 3 2 2 2 2 6" xfId="20730" xr:uid="{00000000-0005-0000-0000-0000D7480000}"/>
    <cellStyle name="표준 5 2 3 2 3 2 2 2 2 7" xfId="24826" xr:uid="{00000000-0005-0000-0000-0000D8480000}"/>
    <cellStyle name="표준 5 2 3 2 3 2 2 2 2 8" xfId="33037" xr:uid="{00000000-0005-0000-0000-0000D9480000}"/>
    <cellStyle name="표준 5 2 3 2 3 2 2 2 2 9" xfId="41230" xr:uid="{00000000-0005-0000-0000-0000DA480000}"/>
    <cellStyle name="표준 5 2 3 2 3 2 2 2 3" xfId="1873" xr:uid="{00000000-0005-0000-0000-0000DB480000}"/>
    <cellStyle name="표준 5 2 3 2 3 2 2 2 3 2" xfId="10776" xr:uid="{00000000-0005-0000-0000-0000DC480000}"/>
    <cellStyle name="표준 5 2 3 2 3 2 2 2 3 2 2" xfId="14888" xr:uid="{00000000-0005-0000-0000-0000DD480000}"/>
    <cellStyle name="표준 5 2 3 2 3 2 2 2 3 2 2 2" xfId="31482" xr:uid="{00000000-0005-0000-0000-0000DE480000}"/>
    <cellStyle name="표준 5 2 3 2 3 2 2 2 3 2 2 3" xfId="39693" xr:uid="{00000000-0005-0000-0000-0000DF480000}"/>
    <cellStyle name="표준 5 2 3 2 3 2 2 2 3 2 2 4" xfId="47886" xr:uid="{00000000-0005-0000-0000-0000E0480000}"/>
    <cellStyle name="표준 5 2 3 2 3 2 2 2 3 2 3" xfId="19128" xr:uid="{00000000-0005-0000-0000-0000E1480000}"/>
    <cellStyle name="표준 5 2 3 2 3 2 2 2 3 2 4" xfId="23290" xr:uid="{00000000-0005-0000-0000-0000E2480000}"/>
    <cellStyle name="표준 5 2 3 2 3 2 2 2 3 2 5" xfId="27386" xr:uid="{00000000-0005-0000-0000-0000E3480000}"/>
    <cellStyle name="표준 5 2 3 2 3 2 2 2 3 2 6" xfId="35597" xr:uid="{00000000-0005-0000-0000-0000E4480000}"/>
    <cellStyle name="표준 5 2 3 2 3 2 2 2 3 2 7" xfId="43790" xr:uid="{00000000-0005-0000-0000-0000E5480000}"/>
    <cellStyle name="표준 5 2 3 2 3 2 2 2 3 3" xfId="8728" xr:uid="{00000000-0005-0000-0000-0000E6480000}"/>
    <cellStyle name="표준 5 2 3 2 3 2 2 2 3 3 2" xfId="29434" xr:uid="{00000000-0005-0000-0000-0000E7480000}"/>
    <cellStyle name="표준 5 2 3 2 3 2 2 2 3 3 3" xfId="37645" xr:uid="{00000000-0005-0000-0000-0000E8480000}"/>
    <cellStyle name="표준 5 2 3 2 3 2 2 2 3 3 4" xfId="45838" xr:uid="{00000000-0005-0000-0000-0000E9480000}"/>
    <cellStyle name="표준 5 2 3 2 3 2 2 2 3 4" xfId="12840" xr:uid="{00000000-0005-0000-0000-0000EA480000}"/>
    <cellStyle name="표준 5 2 3 2 3 2 2 2 3 5" xfId="17080" xr:uid="{00000000-0005-0000-0000-0000EB480000}"/>
    <cellStyle name="표준 5 2 3 2 3 2 2 2 3 6" xfId="21242" xr:uid="{00000000-0005-0000-0000-0000EC480000}"/>
    <cellStyle name="표준 5 2 3 2 3 2 2 2 3 7" xfId="25338" xr:uid="{00000000-0005-0000-0000-0000ED480000}"/>
    <cellStyle name="표준 5 2 3 2 3 2 2 2 3 8" xfId="33549" xr:uid="{00000000-0005-0000-0000-0000EE480000}"/>
    <cellStyle name="표준 5 2 3 2 3 2 2 2 3 9" xfId="41742" xr:uid="{00000000-0005-0000-0000-0000EF480000}"/>
    <cellStyle name="표준 5 2 3 2 3 2 2 2 4" xfId="2385" xr:uid="{00000000-0005-0000-0000-0000F0480000}"/>
    <cellStyle name="표준 5 2 3 2 3 2 2 2 4 2" xfId="11288" xr:uid="{00000000-0005-0000-0000-0000F1480000}"/>
    <cellStyle name="표준 5 2 3 2 3 2 2 2 4 2 2" xfId="15400" xr:uid="{00000000-0005-0000-0000-0000F2480000}"/>
    <cellStyle name="표준 5 2 3 2 3 2 2 2 4 2 2 2" xfId="31994" xr:uid="{00000000-0005-0000-0000-0000F3480000}"/>
    <cellStyle name="표준 5 2 3 2 3 2 2 2 4 2 2 3" xfId="40205" xr:uid="{00000000-0005-0000-0000-0000F4480000}"/>
    <cellStyle name="표준 5 2 3 2 3 2 2 2 4 2 2 4" xfId="48398" xr:uid="{00000000-0005-0000-0000-0000F5480000}"/>
    <cellStyle name="표준 5 2 3 2 3 2 2 2 4 2 3" xfId="19640" xr:uid="{00000000-0005-0000-0000-0000F6480000}"/>
    <cellStyle name="표준 5 2 3 2 3 2 2 2 4 2 4" xfId="23802" xr:uid="{00000000-0005-0000-0000-0000F7480000}"/>
    <cellStyle name="표준 5 2 3 2 3 2 2 2 4 2 5" xfId="27898" xr:uid="{00000000-0005-0000-0000-0000F8480000}"/>
    <cellStyle name="표준 5 2 3 2 3 2 2 2 4 2 6" xfId="36109" xr:uid="{00000000-0005-0000-0000-0000F9480000}"/>
    <cellStyle name="표준 5 2 3 2 3 2 2 2 4 2 7" xfId="44302" xr:uid="{00000000-0005-0000-0000-0000FA480000}"/>
    <cellStyle name="표준 5 2 3 2 3 2 2 2 4 3" xfId="9240" xr:uid="{00000000-0005-0000-0000-0000FB480000}"/>
    <cellStyle name="표준 5 2 3 2 3 2 2 2 4 3 2" xfId="29946" xr:uid="{00000000-0005-0000-0000-0000FC480000}"/>
    <cellStyle name="표준 5 2 3 2 3 2 2 2 4 3 3" xfId="38157" xr:uid="{00000000-0005-0000-0000-0000FD480000}"/>
    <cellStyle name="표준 5 2 3 2 3 2 2 2 4 3 4" xfId="46350" xr:uid="{00000000-0005-0000-0000-0000FE480000}"/>
    <cellStyle name="표준 5 2 3 2 3 2 2 2 4 4" xfId="13352" xr:uid="{00000000-0005-0000-0000-0000FF480000}"/>
    <cellStyle name="표준 5 2 3 2 3 2 2 2 4 5" xfId="17592" xr:uid="{00000000-0005-0000-0000-000000490000}"/>
    <cellStyle name="표준 5 2 3 2 3 2 2 2 4 6" xfId="21754" xr:uid="{00000000-0005-0000-0000-000001490000}"/>
    <cellStyle name="표준 5 2 3 2 3 2 2 2 4 7" xfId="25850" xr:uid="{00000000-0005-0000-0000-000002490000}"/>
    <cellStyle name="표준 5 2 3 2 3 2 2 2 4 8" xfId="34061" xr:uid="{00000000-0005-0000-0000-000003490000}"/>
    <cellStyle name="표준 5 2 3 2 3 2 2 2 4 9" xfId="42254" xr:uid="{00000000-0005-0000-0000-000004490000}"/>
    <cellStyle name="표준 5 2 3 2 3 2 2 2 5" xfId="9752" xr:uid="{00000000-0005-0000-0000-000005490000}"/>
    <cellStyle name="표준 5 2 3 2 3 2 2 2 5 2" xfId="13864" xr:uid="{00000000-0005-0000-0000-000006490000}"/>
    <cellStyle name="표준 5 2 3 2 3 2 2 2 5 2 2" xfId="30458" xr:uid="{00000000-0005-0000-0000-000007490000}"/>
    <cellStyle name="표준 5 2 3 2 3 2 2 2 5 2 3" xfId="38669" xr:uid="{00000000-0005-0000-0000-000008490000}"/>
    <cellStyle name="표준 5 2 3 2 3 2 2 2 5 2 4" xfId="46862" xr:uid="{00000000-0005-0000-0000-000009490000}"/>
    <cellStyle name="표준 5 2 3 2 3 2 2 2 5 3" xfId="18104" xr:uid="{00000000-0005-0000-0000-00000A490000}"/>
    <cellStyle name="표준 5 2 3 2 3 2 2 2 5 4" xfId="22266" xr:uid="{00000000-0005-0000-0000-00000B490000}"/>
    <cellStyle name="표준 5 2 3 2 3 2 2 2 5 5" xfId="26362" xr:uid="{00000000-0005-0000-0000-00000C490000}"/>
    <cellStyle name="표준 5 2 3 2 3 2 2 2 5 6" xfId="34573" xr:uid="{00000000-0005-0000-0000-00000D490000}"/>
    <cellStyle name="표준 5 2 3 2 3 2 2 2 5 7" xfId="42766" xr:uid="{00000000-0005-0000-0000-00000E490000}"/>
    <cellStyle name="표준 5 2 3 2 3 2 2 2 6" xfId="7704" xr:uid="{00000000-0005-0000-0000-00000F490000}"/>
    <cellStyle name="표준 5 2 3 2 3 2 2 2 6 2" xfId="28410" xr:uid="{00000000-0005-0000-0000-000010490000}"/>
    <cellStyle name="표준 5 2 3 2 3 2 2 2 6 3" xfId="36621" xr:uid="{00000000-0005-0000-0000-000011490000}"/>
    <cellStyle name="표준 5 2 3 2 3 2 2 2 6 4" xfId="44814" xr:uid="{00000000-0005-0000-0000-000012490000}"/>
    <cellStyle name="표준 5 2 3 2 3 2 2 2 7" xfId="11816" xr:uid="{00000000-0005-0000-0000-000013490000}"/>
    <cellStyle name="표준 5 2 3 2 3 2 2 2 8" xfId="16056" xr:uid="{00000000-0005-0000-0000-000014490000}"/>
    <cellStyle name="표준 5 2 3 2 3 2 2 2 9" xfId="20218" xr:uid="{00000000-0005-0000-0000-000015490000}"/>
    <cellStyle name="표준 5 2 3 2 3 2 2 3" xfId="1105" xr:uid="{00000000-0005-0000-0000-000016490000}"/>
    <cellStyle name="표준 5 2 3 2 3 2 2 3 2" xfId="10008" xr:uid="{00000000-0005-0000-0000-000017490000}"/>
    <cellStyle name="표준 5 2 3 2 3 2 2 3 2 2" xfId="14120" xr:uid="{00000000-0005-0000-0000-000018490000}"/>
    <cellStyle name="표준 5 2 3 2 3 2 2 3 2 2 2" xfId="30714" xr:uid="{00000000-0005-0000-0000-000019490000}"/>
    <cellStyle name="표준 5 2 3 2 3 2 2 3 2 2 3" xfId="38925" xr:uid="{00000000-0005-0000-0000-00001A490000}"/>
    <cellStyle name="표준 5 2 3 2 3 2 2 3 2 2 4" xfId="47118" xr:uid="{00000000-0005-0000-0000-00001B490000}"/>
    <cellStyle name="표준 5 2 3 2 3 2 2 3 2 3" xfId="18360" xr:uid="{00000000-0005-0000-0000-00001C490000}"/>
    <cellStyle name="표준 5 2 3 2 3 2 2 3 2 4" xfId="22522" xr:uid="{00000000-0005-0000-0000-00001D490000}"/>
    <cellStyle name="표준 5 2 3 2 3 2 2 3 2 5" xfId="26618" xr:uid="{00000000-0005-0000-0000-00001E490000}"/>
    <cellStyle name="표준 5 2 3 2 3 2 2 3 2 6" xfId="34829" xr:uid="{00000000-0005-0000-0000-00001F490000}"/>
    <cellStyle name="표준 5 2 3 2 3 2 2 3 2 7" xfId="43022" xr:uid="{00000000-0005-0000-0000-000020490000}"/>
    <cellStyle name="표준 5 2 3 2 3 2 2 3 3" xfId="7960" xr:uid="{00000000-0005-0000-0000-000021490000}"/>
    <cellStyle name="표준 5 2 3 2 3 2 2 3 3 2" xfId="28666" xr:uid="{00000000-0005-0000-0000-000022490000}"/>
    <cellStyle name="표준 5 2 3 2 3 2 2 3 3 3" xfId="36877" xr:uid="{00000000-0005-0000-0000-000023490000}"/>
    <cellStyle name="표준 5 2 3 2 3 2 2 3 3 4" xfId="45070" xr:uid="{00000000-0005-0000-0000-000024490000}"/>
    <cellStyle name="표준 5 2 3 2 3 2 2 3 4" xfId="12072" xr:uid="{00000000-0005-0000-0000-000025490000}"/>
    <cellStyle name="표준 5 2 3 2 3 2 2 3 5" xfId="16312" xr:uid="{00000000-0005-0000-0000-000026490000}"/>
    <cellStyle name="표준 5 2 3 2 3 2 2 3 6" xfId="20474" xr:uid="{00000000-0005-0000-0000-000027490000}"/>
    <cellStyle name="표준 5 2 3 2 3 2 2 3 7" xfId="24570" xr:uid="{00000000-0005-0000-0000-000028490000}"/>
    <cellStyle name="표준 5 2 3 2 3 2 2 3 8" xfId="32781" xr:uid="{00000000-0005-0000-0000-000029490000}"/>
    <cellStyle name="표준 5 2 3 2 3 2 2 3 9" xfId="40974" xr:uid="{00000000-0005-0000-0000-00002A490000}"/>
    <cellStyle name="표준 5 2 3 2 3 2 2 4" xfId="1617" xr:uid="{00000000-0005-0000-0000-00002B490000}"/>
    <cellStyle name="표준 5 2 3 2 3 2 2 4 2" xfId="10520" xr:uid="{00000000-0005-0000-0000-00002C490000}"/>
    <cellStyle name="표준 5 2 3 2 3 2 2 4 2 2" xfId="14632" xr:uid="{00000000-0005-0000-0000-00002D490000}"/>
    <cellStyle name="표준 5 2 3 2 3 2 2 4 2 2 2" xfId="31226" xr:uid="{00000000-0005-0000-0000-00002E490000}"/>
    <cellStyle name="표준 5 2 3 2 3 2 2 4 2 2 3" xfId="39437" xr:uid="{00000000-0005-0000-0000-00002F490000}"/>
    <cellStyle name="표준 5 2 3 2 3 2 2 4 2 2 4" xfId="47630" xr:uid="{00000000-0005-0000-0000-000030490000}"/>
    <cellStyle name="표준 5 2 3 2 3 2 2 4 2 3" xfId="18872" xr:uid="{00000000-0005-0000-0000-000031490000}"/>
    <cellStyle name="표준 5 2 3 2 3 2 2 4 2 4" xfId="23034" xr:uid="{00000000-0005-0000-0000-000032490000}"/>
    <cellStyle name="표준 5 2 3 2 3 2 2 4 2 5" xfId="27130" xr:uid="{00000000-0005-0000-0000-000033490000}"/>
    <cellStyle name="표준 5 2 3 2 3 2 2 4 2 6" xfId="35341" xr:uid="{00000000-0005-0000-0000-000034490000}"/>
    <cellStyle name="표준 5 2 3 2 3 2 2 4 2 7" xfId="43534" xr:uid="{00000000-0005-0000-0000-000035490000}"/>
    <cellStyle name="표준 5 2 3 2 3 2 2 4 3" xfId="8472" xr:uid="{00000000-0005-0000-0000-000036490000}"/>
    <cellStyle name="표준 5 2 3 2 3 2 2 4 3 2" xfId="29178" xr:uid="{00000000-0005-0000-0000-000037490000}"/>
    <cellStyle name="표준 5 2 3 2 3 2 2 4 3 3" xfId="37389" xr:uid="{00000000-0005-0000-0000-000038490000}"/>
    <cellStyle name="표준 5 2 3 2 3 2 2 4 3 4" xfId="45582" xr:uid="{00000000-0005-0000-0000-000039490000}"/>
    <cellStyle name="표준 5 2 3 2 3 2 2 4 4" xfId="12584" xr:uid="{00000000-0005-0000-0000-00003A490000}"/>
    <cellStyle name="표준 5 2 3 2 3 2 2 4 5" xfId="16824" xr:uid="{00000000-0005-0000-0000-00003B490000}"/>
    <cellStyle name="표준 5 2 3 2 3 2 2 4 6" xfId="20986" xr:uid="{00000000-0005-0000-0000-00003C490000}"/>
    <cellStyle name="표준 5 2 3 2 3 2 2 4 7" xfId="25082" xr:uid="{00000000-0005-0000-0000-00003D490000}"/>
    <cellStyle name="표준 5 2 3 2 3 2 2 4 8" xfId="33293" xr:uid="{00000000-0005-0000-0000-00003E490000}"/>
    <cellStyle name="표준 5 2 3 2 3 2 2 4 9" xfId="41486" xr:uid="{00000000-0005-0000-0000-00003F490000}"/>
    <cellStyle name="표준 5 2 3 2 3 2 2 5" xfId="2129" xr:uid="{00000000-0005-0000-0000-000040490000}"/>
    <cellStyle name="표준 5 2 3 2 3 2 2 5 2" xfId="11032" xr:uid="{00000000-0005-0000-0000-000041490000}"/>
    <cellStyle name="표준 5 2 3 2 3 2 2 5 2 2" xfId="15144" xr:uid="{00000000-0005-0000-0000-000042490000}"/>
    <cellStyle name="표준 5 2 3 2 3 2 2 5 2 2 2" xfId="31738" xr:uid="{00000000-0005-0000-0000-000043490000}"/>
    <cellStyle name="표준 5 2 3 2 3 2 2 5 2 2 3" xfId="39949" xr:uid="{00000000-0005-0000-0000-000044490000}"/>
    <cellStyle name="표준 5 2 3 2 3 2 2 5 2 2 4" xfId="48142" xr:uid="{00000000-0005-0000-0000-000045490000}"/>
    <cellStyle name="표준 5 2 3 2 3 2 2 5 2 3" xfId="19384" xr:uid="{00000000-0005-0000-0000-000046490000}"/>
    <cellStyle name="표준 5 2 3 2 3 2 2 5 2 4" xfId="23546" xr:uid="{00000000-0005-0000-0000-000047490000}"/>
    <cellStyle name="표준 5 2 3 2 3 2 2 5 2 5" xfId="27642" xr:uid="{00000000-0005-0000-0000-000048490000}"/>
    <cellStyle name="표준 5 2 3 2 3 2 2 5 2 6" xfId="35853" xr:uid="{00000000-0005-0000-0000-000049490000}"/>
    <cellStyle name="표준 5 2 3 2 3 2 2 5 2 7" xfId="44046" xr:uid="{00000000-0005-0000-0000-00004A490000}"/>
    <cellStyle name="표준 5 2 3 2 3 2 2 5 3" xfId="8984" xr:uid="{00000000-0005-0000-0000-00004B490000}"/>
    <cellStyle name="표준 5 2 3 2 3 2 2 5 3 2" xfId="29690" xr:uid="{00000000-0005-0000-0000-00004C490000}"/>
    <cellStyle name="표준 5 2 3 2 3 2 2 5 3 3" xfId="37901" xr:uid="{00000000-0005-0000-0000-00004D490000}"/>
    <cellStyle name="표준 5 2 3 2 3 2 2 5 3 4" xfId="46094" xr:uid="{00000000-0005-0000-0000-00004E490000}"/>
    <cellStyle name="표준 5 2 3 2 3 2 2 5 4" xfId="13096" xr:uid="{00000000-0005-0000-0000-00004F490000}"/>
    <cellStyle name="표준 5 2 3 2 3 2 2 5 5" xfId="17336" xr:uid="{00000000-0005-0000-0000-000050490000}"/>
    <cellStyle name="표준 5 2 3 2 3 2 2 5 6" xfId="21498" xr:uid="{00000000-0005-0000-0000-000051490000}"/>
    <cellStyle name="표준 5 2 3 2 3 2 2 5 7" xfId="25594" xr:uid="{00000000-0005-0000-0000-000052490000}"/>
    <cellStyle name="표준 5 2 3 2 3 2 2 5 8" xfId="33805" xr:uid="{00000000-0005-0000-0000-000053490000}"/>
    <cellStyle name="표준 5 2 3 2 3 2 2 5 9" xfId="41998" xr:uid="{00000000-0005-0000-0000-000054490000}"/>
    <cellStyle name="표준 5 2 3 2 3 2 2 6" xfId="9496" xr:uid="{00000000-0005-0000-0000-000055490000}"/>
    <cellStyle name="표준 5 2 3 2 3 2 2 6 2" xfId="13608" xr:uid="{00000000-0005-0000-0000-000056490000}"/>
    <cellStyle name="표준 5 2 3 2 3 2 2 6 2 2" xfId="30202" xr:uid="{00000000-0005-0000-0000-000057490000}"/>
    <cellStyle name="표준 5 2 3 2 3 2 2 6 2 3" xfId="38413" xr:uid="{00000000-0005-0000-0000-000058490000}"/>
    <cellStyle name="표준 5 2 3 2 3 2 2 6 2 4" xfId="46606" xr:uid="{00000000-0005-0000-0000-000059490000}"/>
    <cellStyle name="표준 5 2 3 2 3 2 2 6 3" xfId="17848" xr:uid="{00000000-0005-0000-0000-00005A490000}"/>
    <cellStyle name="표준 5 2 3 2 3 2 2 6 4" xfId="22010" xr:uid="{00000000-0005-0000-0000-00005B490000}"/>
    <cellStyle name="표준 5 2 3 2 3 2 2 6 5" xfId="26106" xr:uid="{00000000-0005-0000-0000-00005C490000}"/>
    <cellStyle name="표준 5 2 3 2 3 2 2 6 6" xfId="34317" xr:uid="{00000000-0005-0000-0000-00005D490000}"/>
    <cellStyle name="표준 5 2 3 2 3 2 2 6 7" xfId="42510" xr:uid="{00000000-0005-0000-0000-00005E490000}"/>
    <cellStyle name="표준 5 2 3 2 3 2 2 7" xfId="7448" xr:uid="{00000000-0005-0000-0000-00005F490000}"/>
    <cellStyle name="표준 5 2 3 2 3 2 2 7 2" xfId="28154" xr:uid="{00000000-0005-0000-0000-000060490000}"/>
    <cellStyle name="표준 5 2 3 2 3 2 2 7 3" xfId="36365" xr:uid="{00000000-0005-0000-0000-000061490000}"/>
    <cellStyle name="표준 5 2 3 2 3 2 2 7 4" xfId="44558" xr:uid="{00000000-0005-0000-0000-000062490000}"/>
    <cellStyle name="표준 5 2 3 2 3 2 2 8" xfId="11560" xr:uid="{00000000-0005-0000-0000-000063490000}"/>
    <cellStyle name="표준 5 2 3 2 3 2 2 9" xfId="15800" xr:uid="{00000000-0005-0000-0000-000064490000}"/>
    <cellStyle name="표준 5 2 3 2 3 2 3" xfId="721" xr:uid="{00000000-0005-0000-0000-000065490000}"/>
    <cellStyle name="표준 5 2 3 2 3 2 3 10" xfId="24186" xr:uid="{00000000-0005-0000-0000-000066490000}"/>
    <cellStyle name="표준 5 2 3 2 3 2 3 11" xfId="32397" xr:uid="{00000000-0005-0000-0000-000067490000}"/>
    <cellStyle name="표준 5 2 3 2 3 2 3 12" xfId="40590" xr:uid="{00000000-0005-0000-0000-000068490000}"/>
    <cellStyle name="표준 5 2 3 2 3 2 3 2" xfId="1233" xr:uid="{00000000-0005-0000-0000-000069490000}"/>
    <cellStyle name="표준 5 2 3 2 3 2 3 2 2" xfId="10136" xr:uid="{00000000-0005-0000-0000-00006A490000}"/>
    <cellStyle name="표준 5 2 3 2 3 2 3 2 2 2" xfId="14248" xr:uid="{00000000-0005-0000-0000-00006B490000}"/>
    <cellStyle name="표준 5 2 3 2 3 2 3 2 2 2 2" xfId="30842" xr:uid="{00000000-0005-0000-0000-00006C490000}"/>
    <cellStyle name="표준 5 2 3 2 3 2 3 2 2 2 3" xfId="39053" xr:uid="{00000000-0005-0000-0000-00006D490000}"/>
    <cellStyle name="표준 5 2 3 2 3 2 3 2 2 2 4" xfId="47246" xr:uid="{00000000-0005-0000-0000-00006E490000}"/>
    <cellStyle name="표준 5 2 3 2 3 2 3 2 2 3" xfId="18488" xr:uid="{00000000-0005-0000-0000-00006F490000}"/>
    <cellStyle name="표준 5 2 3 2 3 2 3 2 2 4" xfId="22650" xr:uid="{00000000-0005-0000-0000-000070490000}"/>
    <cellStyle name="표준 5 2 3 2 3 2 3 2 2 5" xfId="26746" xr:uid="{00000000-0005-0000-0000-000071490000}"/>
    <cellStyle name="표준 5 2 3 2 3 2 3 2 2 6" xfId="34957" xr:uid="{00000000-0005-0000-0000-000072490000}"/>
    <cellStyle name="표준 5 2 3 2 3 2 3 2 2 7" xfId="43150" xr:uid="{00000000-0005-0000-0000-000073490000}"/>
    <cellStyle name="표준 5 2 3 2 3 2 3 2 3" xfId="8088" xr:uid="{00000000-0005-0000-0000-000074490000}"/>
    <cellStyle name="표준 5 2 3 2 3 2 3 2 3 2" xfId="28794" xr:uid="{00000000-0005-0000-0000-000075490000}"/>
    <cellStyle name="표준 5 2 3 2 3 2 3 2 3 3" xfId="37005" xr:uid="{00000000-0005-0000-0000-000076490000}"/>
    <cellStyle name="표준 5 2 3 2 3 2 3 2 3 4" xfId="45198" xr:uid="{00000000-0005-0000-0000-000077490000}"/>
    <cellStyle name="표준 5 2 3 2 3 2 3 2 4" xfId="12200" xr:uid="{00000000-0005-0000-0000-000078490000}"/>
    <cellStyle name="표준 5 2 3 2 3 2 3 2 5" xfId="16440" xr:uid="{00000000-0005-0000-0000-000079490000}"/>
    <cellStyle name="표준 5 2 3 2 3 2 3 2 6" xfId="20602" xr:uid="{00000000-0005-0000-0000-00007A490000}"/>
    <cellStyle name="표준 5 2 3 2 3 2 3 2 7" xfId="24698" xr:uid="{00000000-0005-0000-0000-00007B490000}"/>
    <cellStyle name="표준 5 2 3 2 3 2 3 2 8" xfId="32909" xr:uid="{00000000-0005-0000-0000-00007C490000}"/>
    <cellStyle name="표준 5 2 3 2 3 2 3 2 9" xfId="41102" xr:uid="{00000000-0005-0000-0000-00007D490000}"/>
    <cellStyle name="표준 5 2 3 2 3 2 3 3" xfId="1745" xr:uid="{00000000-0005-0000-0000-00007E490000}"/>
    <cellStyle name="표준 5 2 3 2 3 2 3 3 2" xfId="10648" xr:uid="{00000000-0005-0000-0000-00007F490000}"/>
    <cellStyle name="표준 5 2 3 2 3 2 3 3 2 2" xfId="14760" xr:uid="{00000000-0005-0000-0000-000080490000}"/>
    <cellStyle name="표준 5 2 3 2 3 2 3 3 2 2 2" xfId="31354" xr:uid="{00000000-0005-0000-0000-000081490000}"/>
    <cellStyle name="표준 5 2 3 2 3 2 3 3 2 2 3" xfId="39565" xr:uid="{00000000-0005-0000-0000-000082490000}"/>
    <cellStyle name="표준 5 2 3 2 3 2 3 3 2 2 4" xfId="47758" xr:uid="{00000000-0005-0000-0000-000083490000}"/>
    <cellStyle name="표준 5 2 3 2 3 2 3 3 2 3" xfId="19000" xr:uid="{00000000-0005-0000-0000-000084490000}"/>
    <cellStyle name="표준 5 2 3 2 3 2 3 3 2 4" xfId="23162" xr:uid="{00000000-0005-0000-0000-000085490000}"/>
    <cellStyle name="표준 5 2 3 2 3 2 3 3 2 5" xfId="27258" xr:uid="{00000000-0005-0000-0000-000086490000}"/>
    <cellStyle name="표준 5 2 3 2 3 2 3 3 2 6" xfId="35469" xr:uid="{00000000-0005-0000-0000-000087490000}"/>
    <cellStyle name="표준 5 2 3 2 3 2 3 3 2 7" xfId="43662" xr:uid="{00000000-0005-0000-0000-000088490000}"/>
    <cellStyle name="표준 5 2 3 2 3 2 3 3 3" xfId="8600" xr:uid="{00000000-0005-0000-0000-000089490000}"/>
    <cellStyle name="표준 5 2 3 2 3 2 3 3 3 2" xfId="29306" xr:uid="{00000000-0005-0000-0000-00008A490000}"/>
    <cellStyle name="표준 5 2 3 2 3 2 3 3 3 3" xfId="37517" xr:uid="{00000000-0005-0000-0000-00008B490000}"/>
    <cellStyle name="표준 5 2 3 2 3 2 3 3 3 4" xfId="45710" xr:uid="{00000000-0005-0000-0000-00008C490000}"/>
    <cellStyle name="표준 5 2 3 2 3 2 3 3 4" xfId="12712" xr:uid="{00000000-0005-0000-0000-00008D490000}"/>
    <cellStyle name="표준 5 2 3 2 3 2 3 3 5" xfId="16952" xr:uid="{00000000-0005-0000-0000-00008E490000}"/>
    <cellStyle name="표준 5 2 3 2 3 2 3 3 6" xfId="21114" xr:uid="{00000000-0005-0000-0000-00008F490000}"/>
    <cellStyle name="표준 5 2 3 2 3 2 3 3 7" xfId="25210" xr:uid="{00000000-0005-0000-0000-000090490000}"/>
    <cellStyle name="표준 5 2 3 2 3 2 3 3 8" xfId="33421" xr:uid="{00000000-0005-0000-0000-000091490000}"/>
    <cellStyle name="표준 5 2 3 2 3 2 3 3 9" xfId="41614" xr:uid="{00000000-0005-0000-0000-000092490000}"/>
    <cellStyle name="표준 5 2 3 2 3 2 3 4" xfId="2257" xr:uid="{00000000-0005-0000-0000-000093490000}"/>
    <cellStyle name="표준 5 2 3 2 3 2 3 4 2" xfId="11160" xr:uid="{00000000-0005-0000-0000-000094490000}"/>
    <cellStyle name="표준 5 2 3 2 3 2 3 4 2 2" xfId="15272" xr:uid="{00000000-0005-0000-0000-000095490000}"/>
    <cellStyle name="표준 5 2 3 2 3 2 3 4 2 2 2" xfId="31866" xr:uid="{00000000-0005-0000-0000-000096490000}"/>
    <cellStyle name="표준 5 2 3 2 3 2 3 4 2 2 3" xfId="40077" xr:uid="{00000000-0005-0000-0000-000097490000}"/>
    <cellStyle name="표준 5 2 3 2 3 2 3 4 2 2 4" xfId="48270" xr:uid="{00000000-0005-0000-0000-000098490000}"/>
    <cellStyle name="표준 5 2 3 2 3 2 3 4 2 3" xfId="19512" xr:uid="{00000000-0005-0000-0000-000099490000}"/>
    <cellStyle name="표준 5 2 3 2 3 2 3 4 2 4" xfId="23674" xr:uid="{00000000-0005-0000-0000-00009A490000}"/>
    <cellStyle name="표준 5 2 3 2 3 2 3 4 2 5" xfId="27770" xr:uid="{00000000-0005-0000-0000-00009B490000}"/>
    <cellStyle name="표준 5 2 3 2 3 2 3 4 2 6" xfId="35981" xr:uid="{00000000-0005-0000-0000-00009C490000}"/>
    <cellStyle name="표준 5 2 3 2 3 2 3 4 2 7" xfId="44174" xr:uid="{00000000-0005-0000-0000-00009D490000}"/>
    <cellStyle name="표준 5 2 3 2 3 2 3 4 3" xfId="9112" xr:uid="{00000000-0005-0000-0000-00009E490000}"/>
    <cellStyle name="표준 5 2 3 2 3 2 3 4 3 2" xfId="29818" xr:uid="{00000000-0005-0000-0000-00009F490000}"/>
    <cellStyle name="표준 5 2 3 2 3 2 3 4 3 3" xfId="38029" xr:uid="{00000000-0005-0000-0000-0000A0490000}"/>
    <cellStyle name="표준 5 2 3 2 3 2 3 4 3 4" xfId="46222" xr:uid="{00000000-0005-0000-0000-0000A1490000}"/>
    <cellStyle name="표준 5 2 3 2 3 2 3 4 4" xfId="13224" xr:uid="{00000000-0005-0000-0000-0000A2490000}"/>
    <cellStyle name="표준 5 2 3 2 3 2 3 4 5" xfId="17464" xr:uid="{00000000-0005-0000-0000-0000A3490000}"/>
    <cellStyle name="표준 5 2 3 2 3 2 3 4 6" xfId="21626" xr:uid="{00000000-0005-0000-0000-0000A4490000}"/>
    <cellStyle name="표준 5 2 3 2 3 2 3 4 7" xfId="25722" xr:uid="{00000000-0005-0000-0000-0000A5490000}"/>
    <cellStyle name="표준 5 2 3 2 3 2 3 4 8" xfId="33933" xr:uid="{00000000-0005-0000-0000-0000A6490000}"/>
    <cellStyle name="표준 5 2 3 2 3 2 3 4 9" xfId="42126" xr:uid="{00000000-0005-0000-0000-0000A7490000}"/>
    <cellStyle name="표준 5 2 3 2 3 2 3 5" xfId="9624" xr:uid="{00000000-0005-0000-0000-0000A8490000}"/>
    <cellStyle name="표준 5 2 3 2 3 2 3 5 2" xfId="13736" xr:uid="{00000000-0005-0000-0000-0000A9490000}"/>
    <cellStyle name="표준 5 2 3 2 3 2 3 5 2 2" xfId="30330" xr:uid="{00000000-0005-0000-0000-0000AA490000}"/>
    <cellStyle name="표준 5 2 3 2 3 2 3 5 2 3" xfId="38541" xr:uid="{00000000-0005-0000-0000-0000AB490000}"/>
    <cellStyle name="표준 5 2 3 2 3 2 3 5 2 4" xfId="46734" xr:uid="{00000000-0005-0000-0000-0000AC490000}"/>
    <cellStyle name="표준 5 2 3 2 3 2 3 5 3" xfId="17976" xr:uid="{00000000-0005-0000-0000-0000AD490000}"/>
    <cellStyle name="표준 5 2 3 2 3 2 3 5 4" xfId="22138" xr:uid="{00000000-0005-0000-0000-0000AE490000}"/>
    <cellStyle name="표준 5 2 3 2 3 2 3 5 5" xfId="26234" xr:uid="{00000000-0005-0000-0000-0000AF490000}"/>
    <cellStyle name="표준 5 2 3 2 3 2 3 5 6" xfId="34445" xr:uid="{00000000-0005-0000-0000-0000B0490000}"/>
    <cellStyle name="표준 5 2 3 2 3 2 3 5 7" xfId="42638" xr:uid="{00000000-0005-0000-0000-0000B1490000}"/>
    <cellStyle name="표준 5 2 3 2 3 2 3 6" xfId="7576" xr:uid="{00000000-0005-0000-0000-0000B2490000}"/>
    <cellStyle name="표준 5 2 3 2 3 2 3 6 2" xfId="28282" xr:uid="{00000000-0005-0000-0000-0000B3490000}"/>
    <cellStyle name="표준 5 2 3 2 3 2 3 6 3" xfId="36493" xr:uid="{00000000-0005-0000-0000-0000B4490000}"/>
    <cellStyle name="표준 5 2 3 2 3 2 3 6 4" xfId="44686" xr:uid="{00000000-0005-0000-0000-0000B5490000}"/>
    <cellStyle name="표준 5 2 3 2 3 2 3 7" xfId="11688" xr:uid="{00000000-0005-0000-0000-0000B6490000}"/>
    <cellStyle name="표준 5 2 3 2 3 2 3 8" xfId="15928" xr:uid="{00000000-0005-0000-0000-0000B7490000}"/>
    <cellStyle name="표준 5 2 3 2 3 2 3 9" xfId="20090" xr:uid="{00000000-0005-0000-0000-0000B8490000}"/>
    <cellStyle name="표준 5 2 3 2 3 2 4" xfId="977" xr:uid="{00000000-0005-0000-0000-0000B9490000}"/>
    <cellStyle name="표준 5 2 3 2 3 2 4 2" xfId="9880" xr:uid="{00000000-0005-0000-0000-0000BA490000}"/>
    <cellStyle name="표준 5 2 3 2 3 2 4 2 2" xfId="13992" xr:uid="{00000000-0005-0000-0000-0000BB490000}"/>
    <cellStyle name="표준 5 2 3 2 3 2 4 2 2 2" xfId="30586" xr:uid="{00000000-0005-0000-0000-0000BC490000}"/>
    <cellStyle name="표준 5 2 3 2 3 2 4 2 2 3" xfId="38797" xr:uid="{00000000-0005-0000-0000-0000BD490000}"/>
    <cellStyle name="표준 5 2 3 2 3 2 4 2 2 4" xfId="46990" xr:uid="{00000000-0005-0000-0000-0000BE490000}"/>
    <cellStyle name="표준 5 2 3 2 3 2 4 2 3" xfId="18232" xr:uid="{00000000-0005-0000-0000-0000BF490000}"/>
    <cellStyle name="표준 5 2 3 2 3 2 4 2 4" xfId="22394" xr:uid="{00000000-0005-0000-0000-0000C0490000}"/>
    <cellStyle name="표준 5 2 3 2 3 2 4 2 5" xfId="26490" xr:uid="{00000000-0005-0000-0000-0000C1490000}"/>
    <cellStyle name="표준 5 2 3 2 3 2 4 2 6" xfId="34701" xr:uid="{00000000-0005-0000-0000-0000C2490000}"/>
    <cellStyle name="표준 5 2 3 2 3 2 4 2 7" xfId="42894" xr:uid="{00000000-0005-0000-0000-0000C3490000}"/>
    <cellStyle name="표준 5 2 3 2 3 2 4 3" xfId="7832" xr:uid="{00000000-0005-0000-0000-0000C4490000}"/>
    <cellStyle name="표준 5 2 3 2 3 2 4 3 2" xfId="28538" xr:uid="{00000000-0005-0000-0000-0000C5490000}"/>
    <cellStyle name="표준 5 2 3 2 3 2 4 3 3" xfId="36749" xr:uid="{00000000-0005-0000-0000-0000C6490000}"/>
    <cellStyle name="표준 5 2 3 2 3 2 4 3 4" xfId="44942" xr:uid="{00000000-0005-0000-0000-0000C7490000}"/>
    <cellStyle name="표준 5 2 3 2 3 2 4 4" xfId="11944" xr:uid="{00000000-0005-0000-0000-0000C8490000}"/>
    <cellStyle name="표준 5 2 3 2 3 2 4 5" xfId="16184" xr:uid="{00000000-0005-0000-0000-0000C9490000}"/>
    <cellStyle name="표준 5 2 3 2 3 2 4 6" xfId="20346" xr:uid="{00000000-0005-0000-0000-0000CA490000}"/>
    <cellStyle name="표준 5 2 3 2 3 2 4 7" xfId="24442" xr:uid="{00000000-0005-0000-0000-0000CB490000}"/>
    <cellStyle name="표준 5 2 3 2 3 2 4 8" xfId="32653" xr:uid="{00000000-0005-0000-0000-0000CC490000}"/>
    <cellStyle name="표준 5 2 3 2 3 2 4 9" xfId="40846" xr:uid="{00000000-0005-0000-0000-0000CD490000}"/>
    <cellStyle name="표준 5 2 3 2 3 2 5" xfId="1489" xr:uid="{00000000-0005-0000-0000-0000CE490000}"/>
    <cellStyle name="표준 5 2 3 2 3 2 5 2" xfId="10392" xr:uid="{00000000-0005-0000-0000-0000CF490000}"/>
    <cellStyle name="표준 5 2 3 2 3 2 5 2 2" xfId="14504" xr:uid="{00000000-0005-0000-0000-0000D0490000}"/>
    <cellStyle name="표준 5 2 3 2 3 2 5 2 2 2" xfId="31098" xr:uid="{00000000-0005-0000-0000-0000D1490000}"/>
    <cellStyle name="표준 5 2 3 2 3 2 5 2 2 3" xfId="39309" xr:uid="{00000000-0005-0000-0000-0000D2490000}"/>
    <cellStyle name="표준 5 2 3 2 3 2 5 2 2 4" xfId="47502" xr:uid="{00000000-0005-0000-0000-0000D3490000}"/>
    <cellStyle name="표준 5 2 3 2 3 2 5 2 3" xfId="18744" xr:uid="{00000000-0005-0000-0000-0000D4490000}"/>
    <cellStyle name="표준 5 2 3 2 3 2 5 2 4" xfId="22906" xr:uid="{00000000-0005-0000-0000-0000D5490000}"/>
    <cellStyle name="표준 5 2 3 2 3 2 5 2 5" xfId="27002" xr:uid="{00000000-0005-0000-0000-0000D6490000}"/>
    <cellStyle name="표준 5 2 3 2 3 2 5 2 6" xfId="35213" xr:uid="{00000000-0005-0000-0000-0000D7490000}"/>
    <cellStyle name="표준 5 2 3 2 3 2 5 2 7" xfId="43406" xr:uid="{00000000-0005-0000-0000-0000D8490000}"/>
    <cellStyle name="표준 5 2 3 2 3 2 5 3" xfId="8344" xr:uid="{00000000-0005-0000-0000-0000D9490000}"/>
    <cellStyle name="표준 5 2 3 2 3 2 5 3 2" xfId="29050" xr:uid="{00000000-0005-0000-0000-0000DA490000}"/>
    <cellStyle name="표준 5 2 3 2 3 2 5 3 3" xfId="37261" xr:uid="{00000000-0005-0000-0000-0000DB490000}"/>
    <cellStyle name="표준 5 2 3 2 3 2 5 3 4" xfId="45454" xr:uid="{00000000-0005-0000-0000-0000DC490000}"/>
    <cellStyle name="표준 5 2 3 2 3 2 5 4" xfId="12456" xr:uid="{00000000-0005-0000-0000-0000DD490000}"/>
    <cellStyle name="표준 5 2 3 2 3 2 5 5" xfId="16696" xr:uid="{00000000-0005-0000-0000-0000DE490000}"/>
    <cellStyle name="표준 5 2 3 2 3 2 5 6" xfId="20858" xr:uid="{00000000-0005-0000-0000-0000DF490000}"/>
    <cellStyle name="표준 5 2 3 2 3 2 5 7" xfId="24954" xr:uid="{00000000-0005-0000-0000-0000E0490000}"/>
    <cellStyle name="표준 5 2 3 2 3 2 5 8" xfId="33165" xr:uid="{00000000-0005-0000-0000-0000E1490000}"/>
    <cellStyle name="표준 5 2 3 2 3 2 5 9" xfId="41358" xr:uid="{00000000-0005-0000-0000-0000E2490000}"/>
    <cellStyle name="표준 5 2 3 2 3 2 6" xfId="2001" xr:uid="{00000000-0005-0000-0000-0000E3490000}"/>
    <cellStyle name="표준 5 2 3 2 3 2 6 2" xfId="10904" xr:uid="{00000000-0005-0000-0000-0000E4490000}"/>
    <cellStyle name="표준 5 2 3 2 3 2 6 2 2" xfId="15016" xr:uid="{00000000-0005-0000-0000-0000E5490000}"/>
    <cellStyle name="표준 5 2 3 2 3 2 6 2 2 2" xfId="31610" xr:uid="{00000000-0005-0000-0000-0000E6490000}"/>
    <cellStyle name="표준 5 2 3 2 3 2 6 2 2 3" xfId="39821" xr:uid="{00000000-0005-0000-0000-0000E7490000}"/>
    <cellStyle name="표준 5 2 3 2 3 2 6 2 2 4" xfId="48014" xr:uid="{00000000-0005-0000-0000-0000E8490000}"/>
    <cellStyle name="표준 5 2 3 2 3 2 6 2 3" xfId="19256" xr:uid="{00000000-0005-0000-0000-0000E9490000}"/>
    <cellStyle name="표준 5 2 3 2 3 2 6 2 4" xfId="23418" xr:uid="{00000000-0005-0000-0000-0000EA490000}"/>
    <cellStyle name="표준 5 2 3 2 3 2 6 2 5" xfId="27514" xr:uid="{00000000-0005-0000-0000-0000EB490000}"/>
    <cellStyle name="표준 5 2 3 2 3 2 6 2 6" xfId="35725" xr:uid="{00000000-0005-0000-0000-0000EC490000}"/>
    <cellStyle name="표준 5 2 3 2 3 2 6 2 7" xfId="43918" xr:uid="{00000000-0005-0000-0000-0000ED490000}"/>
    <cellStyle name="표준 5 2 3 2 3 2 6 3" xfId="8856" xr:uid="{00000000-0005-0000-0000-0000EE490000}"/>
    <cellStyle name="표준 5 2 3 2 3 2 6 3 2" xfId="29562" xr:uid="{00000000-0005-0000-0000-0000EF490000}"/>
    <cellStyle name="표준 5 2 3 2 3 2 6 3 3" xfId="37773" xr:uid="{00000000-0005-0000-0000-0000F0490000}"/>
    <cellStyle name="표준 5 2 3 2 3 2 6 3 4" xfId="45966" xr:uid="{00000000-0005-0000-0000-0000F1490000}"/>
    <cellStyle name="표준 5 2 3 2 3 2 6 4" xfId="12968" xr:uid="{00000000-0005-0000-0000-0000F2490000}"/>
    <cellStyle name="표준 5 2 3 2 3 2 6 5" xfId="17208" xr:uid="{00000000-0005-0000-0000-0000F3490000}"/>
    <cellStyle name="표준 5 2 3 2 3 2 6 6" xfId="21370" xr:uid="{00000000-0005-0000-0000-0000F4490000}"/>
    <cellStyle name="표준 5 2 3 2 3 2 6 7" xfId="25466" xr:uid="{00000000-0005-0000-0000-0000F5490000}"/>
    <cellStyle name="표준 5 2 3 2 3 2 6 8" xfId="33677" xr:uid="{00000000-0005-0000-0000-0000F6490000}"/>
    <cellStyle name="표준 5 2 3 2 3 2 6 9" xfId="41870" xr:uid="{00000000-0005-0000-0000-0000F7490000}"/>
    <cellStyle name="표준 5 2 3 2 3 2 7" xfId="7061" xr:uid="{00000000-0005-0000-0000-0000F8490000}"/>
    <cellStyle name="표준 5 2 3 2 3 2 7 2" xfId="9368" xr:uid="{00000000-0005-0000-0000-0000F9490000}"/>
    <cellStyle name="표준 5 2 3 2 3 2 7 2 2" xfId="30074" xr:uid="{00000000-0005-0000-0000-0000FA490000}"/>
    <cellStyle name="표준 5 2 3 2 3 2 7 2 3" xfId="38285" xr:uid="{00000000-0005-0000-0000-0000FB490000}"/>
    <cellStyle name="표준 5 2 3 2 3 2 7 2 4" xfId="46478" xr:uid="{00000000-0005-0000-0000-0000FC490000}"/>
    <cellStyle name="표준 5 2 3 2 3 2 7 3" xfId="13480" xr:uid="{00000000-0005-0000-0000-0000FD490000}"/>
    <cellStyle name="표준 5 2 3 2 3 2 7 4" xfId="17720" xr:uid="{00000000-0005-0000-0000-0000FE490000}"/>
    <cellStyle name="표준 5 2 3 2 3 2 7 5" xfId="21882" xr:uid="{00000000-0005-0000-0000-0000FF490000}"/>
    <cellStyle name="표준 5 2 3 2 3 2 7 6" xfId="25978" xr:uid="{00000000-0005-0000-0000-0000004A0000}"/>
    <cellStyle name="표준 5 2 3 2 3 2 7 7" xfId="34189" xr:uid="{00000000-0005-0000-0000-0000014A0000}"/>
    <cellStyle name="표준 5 2 3 2 3 2 7 8" xfId="42382" xr:uid="{00000000-0005-0000-0000-0000024A0000}"/>
    <cellStyle name="표준 5 2 3 2 3 2 8" xfId="7117" xr:uid="{00000000-0005-0000-0000-0000034A0000}"/>
    <cellStyle name="표준 5 2 3 2 3 2 8 2" xfId="28026" xr:uid="{00000000-0005-0000-0000-0000044A0000}"/>
    <cellStyle name="표준 5 2 3 2 3 2 8 3" xfId="36237" xr:uid="{00000000-0005-0000-0000-0000054A0000}"/>
    <cellStyle name="표준 5 2 3 2 3 2 8 4" xfId="44430" xr:uid="{00000000-0005-0000-0000-0000064A0000}"/>
    <cellStyle name="표준 5 2 3 2 3 2 9" xfId="7320" xr:uid="{00000000-0005-0000-0000-0000074A0000}"/>
    <cellStyle name="표준 5 2 3 2 3 3" xfId="529" xr:uid="{00000000-0005-0000-0000-0000084A0000}"/>
    <cellStyle name="표준 5 2 3 2 3 3 10" xfId="19898" xr:uid="{00000000-0005-0000-0000-0000094A0000}"/>
    <cellStyle name="표준 5 2 3 2 3 3 11" xfId="23994" xr:uid="{00000000-0005-0000-0000-00000A4A0000}"/>
    <cellStyle name="표준 5 2 3 2 3 3 12" xfId="32205" xr:uid="{00000000-0005-0000-0000-00000B4A0000}"/>
    <cellStyle name="표준 5 2 3 2 3 3 13" xfId="40398" xr:uid="{00000000-0005-0000-0000-00000C4A0000}"/>
    <cellStyle name="표준 5 2 3 2 3 3 2" xfId="785" xr:uid="{00000000-0005-0000-0000-00000D4A0000}"/>
    <cellStyle name="표준 5 2 3 2 3 3 2 10" xfId="24250" xr:uid="{00000000-0005-0000-0000-00000E4A0000}"/>
    <cellStyle name="표준 5 2 3 2 3 3 2 11" xfId="32461" xr:uid="{00000000-0005-0000-0000-00000F4A0000}"/>
    <cellStyle name="표준 5 2 3 2 3 3 2 12" xfId="40654" xr:uid="{00000000-0005-0000-0000-0000104A0000}"/>
    <cellStyle name="표준 5 2 3 2 3 3 2 2" xfId="1297" xr:uid="{00000000-0005-0000-0000-0000114A0000}"/>
    <cellStyle name="표준 5 2 3 2 3 3 2 2 2" xfId="10200" xr:uid="{00000000-0005-0000-0000-0000124A0000}"/>
    <cellStyle name="표준 5 2 3 2 3 3 2 2 2 2" xfId="14312" xr:uid="{00000000-0005-0000-0000-0000134A0000}"/>
    <cellStyle name="표준 5 2 3 2 3 3 2 2 2 2 2" xfId="30906" xr:uid="{00000000-0005-0000-0000-0000144A0000}"/>
    <cellStyle name="표준 5 2 3 2 3 3 2 2 2 2 3" xfId="39117" xr:uid="{00000000-0005-0000-0000-0000154A0000}"/>
    <cellStyle name="표준 5 2 3 2 3 3 2 2 2 2 4" xfId="47310" xr:uid="{00000000-0005-0000-0000-0000164A0000}"/>
    <cellStyle name="표준 5 2 3 2 3 3 2 2 2 3" xfId="18552" xr:uid="{00000000-0005-0000-0000-0000174A0000}"/>
    <cellStyle name="표준 5 2 3 2 3 3 2 2 2 4" xfId="22714" xr:uid="{00000000-0005-0000-0000-0000184A0000}"/>
    <cellStyle name="표준 5 2 3 2 3 3 2 2 2 5" xfId="26810" xr:uid="{00000000-0005-0000-0000-0000194A0000}"/>
    <cellStyle name="표준 5 2 3 2 3 3 2 2 2 6" xfId="35021" xr:uid="{00000000-0005-0000-0000-00001A4A0000}"/>
    <cellStyle name="표준 5 2 3 2 3 3 2 2 2 7" xfId="43214" xr:uid="{00000000-0005-0000-0000-00001B4A0000}"/>
    <cellStyle name="표준 5 2 3 2 3 3 2 2 3" xfId="8152" xr:uid="{00000000-0005-0000-0000-00001C4A0000}"/>
    <cellStyle name="표준 5 2 3 2 3 3 2 2 3 2" xfId="28858" xr:uid="{00000000-0005-0000-0000-00001D4A0000}"/>
    <cellStyle name="표준 5 2 3 2 3 3 2 2 3 3" xfId="37069" xr:uid="{00000000-0005-0000-0000-00001E4A0000}"/>
    <cellStyle name="표준 5 2 3 2 3 3 2 2 3 4" xfId="45262" xr:uid="{00000000-0005-0000-0000-00001F4A0000}"/>
    <cellStyle name="표준 5 2 3 2 3 3 2 2 4" xfId="12264" xr:uid="{00000000-0005-0000-0000-0000204A0000}"/>
    <cellStyle name="표준 5 2 3 2 3 3 2 2 5" xfId="16504" xr:uid="{00000000-0005-0000-0000-0000214A0000}"/>
    <cellStyle name="표준 5 2 3 2 3 3 2 2 6" xfId="20666" xr:uid="{00000000-0005-0000-0000-0000224A0000}"/>
    <cellStyle name="표준 5 2 3 2 3 3 2 2 7" xfId="24762" xr:uid="{00000000-0005-0000-0000-0000234A0000}"/>
    <cellStyle name="표준 5 2 3 2 3 3 2 2 8" xfId="32973" xr:uid="{00000000-0005-0000-0000-0000244A0000}"/>
    <cellStyle name="표준 5 2 3 2 3 3 2 2 9" xfId="41166" xr:uid="{00000000-0005-0000-0000-0000254A0000}"/>
    <cellStyle name="표준 5 2 3 2 3 3 2 3" xfId="1809" xr:uid="{00000000-0005-0000-0000-0000264A0000}"/>
    <cellStyle name="표준 5 2 3 2 3 3 2 3 2" xfId="10712" xr:uid="{00000000-0005-0000-0000-0000274A0000}"/>
    <cellStyle name="표준 5 2 3 2 3 3 2 3 2 2" xfId="14824" xr:uid="{00000000-0005-0000-0000-0000284A0000}"/>
    <cellStyle name="표준 5 2 3 2 3 3 2 3 2 2 2" xfId="31418" xr:uid="{00000000-0005-0000-0000-0000294A0000}"/>
    <cellStyle name="표준 5 2 3 2 3 3 2 3 2 2 3" xfId="39629" xr:uid="{00000000-0005-0000-0000-00002A4A0000}"/>
    <cellStyle name="표준 5 2 3 2 3 3 2 3 2 2 4" xfId="47822" xr:uid="{00000000-0005-0000-0000-00002B4A0000}"/>
    <cellStyle name="표준 5 2 3 2 3 3 2 3 2 3" xfId="19064" xr:uid="{00000000-0005-0000-0000-00002C4A0000}"/>
    <cellStyle name="표준 5 2 3 2 3 3 2 3 2 4" xfId="23226" xr:uid="{00000000-0005-0000-0000-00002D4A0000}"/>
    <cellStyle name="표준 5 2 3 2 3 3 2 3 2 5" xfId="27322" xr:uid="{00000000-0005-0000-0000-00002E4A0000}"/>
    <cellStyle name="표준 5 2 3 2 3 3 2 3 2 6" xfId="35533" xr:uid="{00000000-0005-0000-0000-00002F4A0000}"/>
    <cellStyle name="표준 5 2 3 2 3 3 2 3 2 7" xfId="43726" xr:uid="{00000000-0005-0000-0000-0000304A0000}"/>
    <cellStyle name="표준 5 2 3 2 3 3 2 3 3" xfId="8664" xr:uid="{00000000-0005-0000-0000-0000314A0000}"/>
    <cellStyle name="표준 5 2 3 2 3 3 2 3 3 2" xfId="29370" xr:uid="{00000000-0005-0000-0000-0000324A0000}"/>
    <cellStyle name="표준 5 2 3 2 3 3 2 3 3 3" xfId="37581" xr:uid="{00000000-0005-0000-0000-0000334A0000}"/>
    <cellStyle name="표준 5 2 3 2 3 3 2 3 3 4" xfId="45774" xr:uid="{00000000-0005-0000-0000-0000344A0000}"/>
    <cellStyle name="표준 5 2 3 2 3 3 2 3 4" xfId="12776" xr:uid="{00000000-0005-0000-0000-0000354A0000}"/>
    <cellStyle name="표준 5 2 3 2 3 3 2 3 5" xfId="17016" xr:uid="{00000000-0005-0000-0000-0000364A0000}"/>
    <cellStyle name="표준 5 2 3 2 3 3 2 3 6" xfId="21178" xr:uid="{00000000-0005-0000-0000-0000374A0000}"/>
    <cellStyle name="표준 5 2 3 2 3 3 2 3 7" xfId="25274" xr:uid="{00000000-0005-0000-0000-0000384A0000}"/>
    <cellStyle name="표준 5 2 3 2 3 3 2 3 8" xfId="33485" xr:uid="{00000000-0005-0000-0000-0000394A0000}"/>
    <cellStyle name="표준 5 2 3 2 3 3 2 3 9" xfId="41678" xr:uid="{00000000-0005-0000-0000-00003A4A0000}"/>
    <cellStyle name="표준 5 2 3 2 3 3 2 4" xfId="2321" xr:uid="{00000000-0005-0000-0000-00003B4A0000}"/>
    <cellStyle name="표준 5 2 3 2 3 3 2 4 2" xfId="11224" xr:uid="{00000000-0005-0000-0000-00003C4A0000}"/>
    <cellStyle name="표준 5 2 3 2 3 3 2 4 2 2" xfId="15336" xr:uid="{00000000-0005-0000-0000-00003D4A0000}"/>
    <cellStyle name="표준 5 2 3 2 3 3 2 4 2 2 2" xfId="31930" xr:uid="{00000000-0005-0000-0000-00003E4A0000}"/>
    <cellStyle name="표준 5 2 3 2 3 3 2 4 2 2 3" xfId="40141" xr:uid="{00000000-0005-0000-0000-00003F4A0000}"/>
    <cellStyle name="표준 5 2 3 2 3 3 2 4 2 2 4" xfId="48334" xr:uid="{00000000-0005-0000-0000-0000404A0000}"/>
    <cellStyle name="표준 5 2 3 2 3 3 2 4 2 3" xfId="19576" xr:uid="{00000000-0005-0000-0000-0000414A0000}"/>
    <cellStyle name="표준 5 2 3 2 3 3 2 4 2 4" xfId="23738" xr:uid="{00000000-0005-0000-0000-0000424A0000}"/>
    <cellStyle name="표준 5 2 3 2 3 3 2 4 2 5" xfId="27834" xr:uid="{00000000-0005-0000-0000-0000434A0000}"/>
    <cellStyle name="표준 5 2 3 2 3 3 2 4 2 6" xfId="36045" xr:uid="{00000000-0005-0000-0000-0000444A0000}"/>
    <cellStyle name="표준 5 2 3 2 3 3 2 4 2 7" xfId="44238" xr:uid="{00000000-0005-0000-0000-0000454A0000}"/>
    <cellStyle name="표준 5 2 3 2 3 3 2 4 3" xfId="9176" xr:uid="{00000000-0005-0000-0000-0000464A0000}"/>
    <cellStyle name="표준 5 2 3 2 3 3 2 4 3 2" xfId="29882" xr:uid="{00000000-0005-0000-0000-0000474A0000}"/>
    <cellStyle name="표준 5 2 3 2 3 3 2 4 3 3" xfId="38093" xr:uid="{00000000-0005-0000-0000-0000484A0000}"/>
    <cellStyle name="표준 5 2 3 2 3 3 2 4 3 4" xfId="46286" xr:uid="{00000000-0005-0000-0000-0000494A0000}"/>
    <cellStyle name="표준 5 2 3 2 3 3 2 4 4" xfId="13288" xr:uid="{00000000-0005-0000-0000-00004A4A0000}"/>
    <cellStyle name="표준 5 2 3 2 3 3 2 4 5" xfId="17528" xr:uid="{00000000-0005-0000-0000-00004B4A0000}"/>
    <cellStyle name="표준 5 2 3 2 3 3 2 4 6" xfId="21690" xr:uid="{00000000-0005-0000-0000-00004C4A0000}"/>
    <cellStyle name="표준 5 2 3 2 3 3 2 4 7" xfId="25786" xr:uid="{00000000-0005-0000-0000-00004D4A0000}"/>
    <cellStyle name="표준 5 2 3 2 3 3 2 4 8" xfId="33997" xr:uid="{00000000-0005-0000-0000-00004E4A0000}"/>
    <cellStyle name="표준 5 2 3 2 3 3 2 4 9" xfId="42190" xr:uid="{00000000-0005-0000-0000-00004F4A0000}"/>
    <cellStyle name="표준 5 2 3 2 3 3 2 5" xfId="9688" xr:uid="{00000000-0005-0000-0000-0000504A0000}"/>
    <cellStyle name="표준 5 2 3 2 3 3 2 5 2" xfId="13800" xr:uid="{00000000-0005-0000-0000-0000514A0000}"/>
    <cellStyle name="표준 5 2 3 2 3 3 2 5 2 2" xfId="30394" xr:uid="{00000000-0005-0000-0000-0000524A0000}"/>
    <cellStyle name="표준 5 2 3 2 3 3 2 5 2 3" xfId="38605" xr:uid="{00000000-0005-0000-0000-0000534A0000}"/>
    <cellStyle name="표준 5 2 3 2 3 3 2 5 2 4" xfId="46798" xr:uid="{00000000-0005-0000-0000-0000544A0000}"/>
    <cellStyle name="표준 5 2 3 2 3 3 2 5 3" xfId="18040" xr:uid="{00000000-0005-0000-0000-0000554A0000}"/>
    <cellStyle name="표준 5 2 3 2 3 3 2 5 4" xfId="22202" xr:uid="{00000000-0005-0000-0000-0000564A0000}"/>
    <cellStyle name="표준 5 2 3 2 3 3 2 5 5" xfId="26298" xr:uid="{00000000-0005-0000-0000-0000574A0000}"/>
    <cellStyle name="표준 5 2 3 2 3 3 2 5 6" xfId="34509" xr:uid="{00000000-0005-0000-0000-0000584A0000}"/>
    <cellStyle name="표준 5 2 3 2 3 3 2 5 7" xfId="42702" xr:uid="{00000000-0005-0000-0000-0000594A0000}"/>
    <cellStyle name="표준 5 2 3 2 3 3 2 6" xfId="7640" xr:uid="{00000000-0005-0000-0000-00005A4A0000}"/>
    <cellStyle name="표준 5 2 3 2 3 3 2 6 2" xfId="28346" xr:uid="{00000000-0005-0000-0000-00005B4A0000}"/>
    <cellStyle name="표준 5 2 3 2 3 3 2 6 3" xfId="36557" xr:uid="{00000000-0005-0000-0000-00005C4A0000}"/>
    <cellStyle name="표준 5 2 3 2 3 3 2 6 4" xfId="44750" xr:uid="{00000000-0005-0000-0000-00005D4A0000}"/>
    <cellStyle name="표준 5 2 3 2 3 3 2 7" xfId="11752" xr:uid="{00000000-0005-0000-0000-00005E4A0000}"/>
    <cellStyle name="표준 5 2 3 2 3 3 2 8" xfId="15992" xr:uid="{00000000-0005-0000-0000-00005F4A0000}"/>
    <cellStyle name="표준 5 2 3 2 3 3 2 9" xfId="20154" xr:uid="{00000000-0005-0000-0000-0000604A0000}"/>
    <cellStyle name="표준 5 2 3 2 3 3 3" xfId="1041" xr:uid="{00000000-0005-0000-0000-0000614A0000}"/>
    <cellStyle name="표준 5 2 3 2 3 3 3 2" xfId="9944" xr:uid="{00000000-0005-0000-0000-0000624A0000}"/>
    <cellStyle name="표준 5 2 3 2 3 3 3 2 2" xfId="14056" xr:uid="{00000000-0005-0000-0000-0000634A0000}"/>
    <cellStyle name="표준 5 2 3 2 3 3 3 2 2 2" xfId="30650" xr:uid="{00000000-0005-0000-0000-0000644A0000}"/>
    <cellStyle name="표준 5 2 3 2 3 3 3 2 2 3" xfId="38861" xr:uid="{00000000-0005-0000-0000-0000654A0000}"/>
    <cellStyle name="표준 5 2 3 2 3 3 3 2 2 4" xfId="47054" xr:uid="{00000000-0005-0000-0000-0000664A0000}"/>
    <cellStyle name="표준 5 2 3 2 3 3 3 2 3" xfId="18296" xr:uid="{00000000-0005-0000-0000-0000674A0000}"/>
    <cellStyle name="표준 5 2 3 2 3 3 3 2 4" xfId="22458" xr:uid="{00000000-0005-0000-0000-0000684A0000}"/>
    <cellStyle name="표준 5 2 3 2 3 3 3 2 5" xfId="26554" xr:uid="{00000000-0005-0000-0000-0000694A0000}"/>
    <cellStyle name="표준 5 2 3 2 3 3 3 2 6" xfId="34765" xr:uid="{00000000-0005-0000-0000-00006A4A0000}"/>
    <cellStyle name="표준 5 2 3 2 3 3 3 2 7" xfId="42958" xr:uid="{00000000-0005-0000-0000-00006B4A0000}"/>
    <cellStyle name="표준 5 2 3 2 3 3 3 3" xfId="7896" xr:uid="{00000000-0005-0000-0000-00006C4A0000}"/>
    <cellStyle name="표준 5 2 3 2 3 3 3 3 2" xfId="28602" xr:uid="{00000000-0005-0000-0000-00006D4A0000}"/>
    <cellStyle name="표준 5 2 3 2 3 3 3 3 3" xfId="36813" xr:uid="{00000000-0005-0000-0000-00006E4A0000}"/>
    <cellStyle name="표준 5 2 3 2 3 3 3 3 4" xfId="45006" xr:uid="{00000000-0005-0000-0000-00006F4A0000}"/>
    <cellStyle name="표준 5 2 3 2 3 3 3 4" xfId="12008" xr:uid="{00000000-0005-0000-0000-0000704A0000}"/>
    <cellStyle name="표준 5 2 3 2 3 3 3 5" xfId="16248" xr:uid="{00000000-0005-0000-0000-0000714A0000}"/>
    <cellStyle name="표준 5 2 3 2 3 3 3 6" xfId="20410" xr:uid="{00000000-0005-0000-0000-0000724A0000}"/>
    <cellStyle name="표준 5 2 3 2 3 3 3 7" xfId="24506" xr:uid="{00000000-0005-0000-0000-0000734A0000}"/>
    <cellStyle name="표준 5 2 3 2 3 3 3 8" xfId="32717" xr:uid="{00000000-0005-0000-0000-0000744A0000}"/>
    <cellStyle name="표준 5 2 3 2 3 3 3 9" xfId="40910" xr:uid="{00000000-0005-0000-0000-0000754A0000}"/>
    <cellStyle name="표준 5 2 3 2 3 3 4" xfId="1553" xr:uid="{00000000-0005-0000-0000-0000764A0000}"/>
    <cellStyle name="표준 5 2 3 2 3 3 4 2" xfId="10456" xr:uid="{00000000-0005-0000-0000-0000774A0000}"/>
    <cellStyle name="표준 5 2 3 2 3 3 4 2 2" xfId="14568" xr:uid="{00000000-0005-0000-0000-0000784A0000}"/>
    <cellStyle name="표준 5 2 3 2 3 3 4 2 2 2" xfId="31162" xr:uid="{00000000-0005-0000-0000-0000794A0000}"/>
    <cellStyle name="표준 5 2 3 2 3 3 4 2 2 3" xfId="39373" xr:uid="{00000000-0005-0000-0000-00007A4A0000}"/>
    <cellStyle name="표준 5 2 3 2 3 3 4 2 2 4" xfId="47566" xr:uid="{00000000-0005-0000-0000-00007B4A0000}"/>
    <cellStyle name="표준 5 2 3 2 3 3 4 2 3" xfId="18808" xr:uid="{00000000-0005-0000-0000-00007C4A0000}"/>
    <cellStyle name="표준 5 2 3 2 3 3 4 2 4" xfId="22970" xr:uid="{00000000-0005-0000-0000-00007D4A0000}"/>
    <cellStyle name="표준 5 2 3 2 3 3 4 2 5" xfId="27066" xr:uid="{00000000-0005-0000-0000-00007E4A0000}"/>
    <cellStyle name="표준 5 2 3 2 3 3 4 2 6" xfId="35277" xr:uid="{00000000-0005-0000-0000-00007F4A0000}"/>
    <cellStyle name="표준 5 2 3 2 3 3 4 2 7" xfId="43470" xr:uid="{00000000-0005-0000-0000-0000804A0000}"/>
    <cellStyle name="표준 5 2 3 2 3 3 4 3" xfId="8408" xr:uid="{00000000-0005-0000-0000-0000814A0000}"/>
    <cellStyle name="표준 5 2 3 2 3 3 4 3 2" xfId="29114" xr:uid="{00000000-0005-0000-0000-0000824A0000}"/>
    <cellStyle name="표준 5 2 3 2 3 3 4 3 3" xfId="37325" xr:uid="{00000000-0005-0000-0000-0000834A0000}"/>
    <cellStyle name="표준 5 2 3 2 3 3 4 3 4" xfId="45518" xr:uid="{00000000-0005-0000-0000-0000844A0000}"/>
    <cellStyle name="표준 5 2 3 2 3 3 4 4" xfId="12520" xr:uid="{00000000-0005-0000-0000-0000854A0000}"/>
    <cellStyle name="표준 5 2 3 2 3 3 4 5" xfId="16760" xr:uid="{00000000-0005-0000-0000-0000864A0000}"/>
    <cellStyle name="표준 5 2 3 2 3 3 4 6" xfId="20922" xr:uid="{00000000-0005-0000-0000-0000874A0000}"/>
    <cellStyle name="표준 5 2 3 2 3 3 4 7" xfId="25018" xr:uid="{00000000-0005-0000-0000-0000884A0000}"/>
    <cellStyle name="표준 5 2 3 2 3 3 4 8" xfId="33229" xr:uid="{00000000-0005-0000-0000-0000894A0000}"/>
    <cellStyle name="표준 5 2 3 2 3 3 4 9" xfId="41422" xr:uid="{00000000-0005-0000-0000-00008A4A0000}"/>
    <cellStyle name="표준 5 2 3 2 3 3 5" xfId="2065" xr:uid="{00000000-0005-0000-0000-00008B4A0000}"/>
    <cellStyle name="표준 5 2 3 2 3 3 5 2" xfId="10968" xr:uid="{00000000-0005-0000-0000-00008C4A0000}"/>
    <cellStyle name="표준 5 2 3 2 3 3 5 2 2" xfId="15080" xr:uid="{00000000-0005-0000-0000-00008D4A0000}"/>
    <cellStyle name="표준 5 2 3 2 3 3 5 2 2 2" xfId="31674" xr:uid="{00000000-0005-0000-0000-00008E4A0000}"/>
    <cellStyle name="표준 5 2 3 2 3 3 5 2 2 3" xfId="39885" xr:uid="{00000000-0005-0000-0000-00008F4A0000}"/>
    <cellStyle name="표준 5 2 3 2 3 3 5 2 2 4" xfId="48078" xr:uid="{00000000-0005-0000-0000-0000904A0000}"/>
    <cellStyle name="표준 5 2 3 2 3 3 5 2 3" xfId="19320" xr:uid="{00000000-0005-0000-0000-0000914A0000}"/>
    <cellStyle name="표준 5 2 3 2 3 3 5 2 4" xfId="23482" xr:uid="{00000000-0005-0000-0000-0000924A0000}"/>
    <cellStyle name="표준 5 2 3 2 3 3 5 2 5" xfId="27578" xr:uid="{00000000-0005-0000-0000-0000934A0000}"/>
    <cellStyle name="표준 5 2 3 2 3 3 5 2 6" xfId="35789" xr:uid="{00000000-0005-0000-0000-0000944A0000}"/>
    <cellStyle name="표준 5 2 3 2 3 3 5 2 7" xfId="43982" xr:uid="{00000000-0005-0000-0000-0000954A0000}"/>
    <cellStyle name="표준 5 2 3 2 3 3 5 3" xfId="8920" xr:uid="{00000000-0005-0000-0000-0000964A0000}"/>
    <cellStyle name="표준 5 2 3 2 3 3 5 3 2" xfId="29626" xr:uid="{00000000-0005-0000-0000-0000974A0000}"/>
    <cellStyle name="표준 5 2 3 2 3 3 5 3 3" xfId="37837" xr:uid="{00000000-0005-0000-0000-0000984A0000}"/>
    <cellStyle name="표준 5 2 3 2 3 3 5 3 4" xfId="46030" xr:uid="{00000000-0005-0000-0000-0000994A0000}"/>
    <cellStyle name="표준 5 2 3 2 3 3 5 4" xfId="13032" xr:uid="{00000000-0005-0000-0000-00009A4A0000}"/>
    <cellStyle name="표준 5 2 3 2 3 3 5 5" xfId="17272" xr:uid="{00000000-0005-0000-0000-00009B4A0000}"/>
    <cellStyle name="표준 5 2 3 2 3 3 5 6" xfId="21434" xr:uid="{00000000-0005-0000-0000-00009C4A0000}"/>
    <cellStyle name="표준 5 2 3 2 3 3 5 7" xfId="25530" xr:uid="{00000000-0005-0000-0000-00009D4A0000}"/>
    <cellStyle name="표준 5 2 3 2 3 3 5 8" xfId="33741" xr:uid="{00000000-0005-0000-0000-00009E4A0000}"/>
    <cellStyle name="표준 5 2 3 2 3 3 5 9" xfId="41934" xr:uid="{00000000-0005-0000-0000-00009F4A0000}"/>
    <cellStyle name="표준 5 2 3 2 3 3 6" xfId="9432" xr:uid="{00000000-0005-0000-0000-0000A04A0000}"/>
    <cellStyle name="표준 5 2 3 2 3 3 6 2" xfId="13544" xr:uid="{00000000-0005-0000-0000-0000A14A0000}"/>
    <cellStyle name="표준 5 2 3 2 3 3 6 2 2" xfId="30138" xr:uid="{00000000-0005-0000-0000-0000A24A0000}"/>
    <cellStyle name="표준 5 2 3 2 3 3 6 2 3" xfId="38349" xr:uid="{00000000-0005-0000-0000-0000A34A0000}"/>
    <cellStyle name="표준 5 2 3 2 3 3 6 2 4" xfId="46542" xr:uid="{00000000-0005-0000-0000-0000A44A0000}"/>
    <cellStyle name="표준 5 2 3 2 3 3 6 3" xfId="17784" xr:uid="{00000000-0005-0000-0000-0000A54A0000}"/>
    <cellStyle name="표준 5 2 3 2 3 3 6 4" xfId="21946" xr:uid="{00000000-0005-0000-0000-0000A64A0000}"/>
    <cellStyle name="표준 5 2 3 2 3 3 6 5" xfId="26042" xr:uid="{00000000-0005-0000-0000-0000A74A0000}"/>
    <cellStyle name="표준 5 2 3 2 3 3 6 6" xfId="34253" xr:uid="{00000000-0005-0000-0000-0000A84A0000}"/>
    <cellStyle name="표준 5 2 3 2 3 3 6 7" xfId="42446" xr:uid="{00000000-0005-0000-0000-0000A94A0000}"/>
    <cellStyle name="표준 5 2 3 2 3 3 7" xfId="7384" xr:uid="{00000000-0005-0000-0000-0000AA4A0000}"/>
    <cellStyle name="표준 5 2 3 2 3 3 7 2" xfId="28090" xr:uid="{00000000-0005-0000-0000-0000AB4A0000}"/>
    <cellStyle name="표준 5 2 3 2 3 3 7 3" xfId="36301" xr:uid="{00000000-0005-0000-0000-0000AC4A0000}"/>
    <cellStyle name="표준 5 2 3 2 3 3 7 4" xfId="44494" xr:uid="{00000000-0005-0000-0000-0000AD4A0000}"/>
    <cellStyle name="표준 5 2 3 2 3 3 8" xfId="11496" xr:uid="{00000000-0005-0000-0000-0000AE4A0000}"/>
    <cellStyle name="표준 5 2 3 2 3 3 9" xfId="15736" xr:uid="{00000000-0005-0000-0000-0000AF4A0000}"/>
    <cellStyle name="표준 5 2 3 2 3 4" xfId="657" xr:uid="{00000000-0005-0000-0000-0000B04A0000}"/>
    <cellStyle name="표준 5 2 3 2 3 4 10" xfId="24122" xr:uid="{00000000-0005-0000-0000-0000B14A0000}"/>
    <cellStyle name="표준 5 2 3 2 3 4 11" xfId="32333" xr:uid="{00000000-0005-0000-0000-0000B24A0000}"/>
    <cellStyle name="표준 5 2 3 2 3 4 12" xfId="40526" xr:uid="{00000000-0005-0000-0000-0000B34A0000}"/>
    <cellStyle name="표준 5 2 3 2 3 4 2" xfId="1169" xr:uid="{00000000-0005-0000-0000-0000B44A0000}"/>
    <cellStyle name="표준 5 2 3 2 3 4 2 2" xfId="10072" xr:uid="{00000000-0005-0000-0000-0000B54A0000}"/>
    <cellStyle name="표준 5 2 3 2 3 4 2 2 2" xfId="14184" xr:uid="{00000000-0005-0000-0000-0000B64A0000}"/>
    <cellStyle name="표준 5 2 3 2 3 4 2 2 2 2" xfId="30778" xr:uid="{00000000-0005-0000-0000-0000B74A0000}"/>
    <cellStyle name="표준 5 2 3 2 3 4 2 2 2 3" xfId="38989" xr:uid="{00000000-0005-0000-0000-0000B84A0000}"/>
    <cellStyle name="표준 5 2 3 2 3 4 2 2 2 4" xfId="47182" xr:uid="{00000000-0005-0000-0000-0000B94A0000}"/>
    <cellStyle name="표준 5 2 3 2 3 4 2 2 3" xfId="18424" xr:uid="{00000000-0005-0000-0000-0000BA4A0000}"/>
    <cellStyle name="표준 5 2 3 2 3 4 2 2 4" xfId="22586" xr:uid="{00000000-0005-0000-0000-0000BB4A0000}"/>
    <cellStyle name="표준 5 2 3 2 3 4 2 2 5" xfId="26682" xr:uid="{00000000-0005-0000-0000-0000BC4A0000}"/>
    <cellStyle name="표준 5 2 3 2 3 4 2 2 6" xfId="34893" xr:uid="{00000000-0005-0000-0000-0000BD4A0000}"/>
    <cellStyle name="표준 5 2 3 2 3 4 2 2 7" xfId="43086" xr:uid="{00000000-0005-0000-0000-0000BE4A0000}"/>
    <cellStyle name="표준 5 2 3 2 3 4 2 3" xfId="8024" xr:uid="{00000000-0005-0000-0000-0000BF4A0000}"/>
    <cellStyle name="표준 5 2 3 2 3 4 2 3 2" xfId="28730" xr:uid="{00000000-0005-0000-0000-0000C04A0000}"/>
    <cellStyle name="표준 5 2 3 2 3 4 2 3 3" xfId="36941" xr:uid="{00000000-0005-0000-0000-0000C14A0000}"/>
    <cellStyle name="표준 5 2 3 2 3 4 2 3 4" xfId="45134" xr:uid="{00000000-0005-0000-0000-0000C24A0000}"/>
    <cellStyle name="표준 5 2 3 2 3 4 2 4" xfId="12136" xr:uid="{00000000-0005-0000-0000-0000C34A0000}"/>
    <cellStyle name="표준 5 2 3 2 3 4 2 5" xfId="16376" xr:uid="{00000000-0005-0000-0000-0000C44A0000}"/>
    <cellStyle name="표준 5 2 3 2 3 4 2 6" xfId="20538" xr:uid="{00000000-0005-0000-0000-0000C54A0000}"/>
    <cellStyle name="표준 5 2 3 2 3 4 2 7" xfId="24634" xr:uid="{00000000-0005-0000-0000-0000C64A0000}"/>
    <cellStyle name="표준 5 2 3 2 3 4 2 8" xfId="32845" xr:uid="{00000000-0005-0000-0000-0000C74A0000}"/>
    <cellStyle name="표준 5 2 3 2 3 4 2 9" xfId="41038" xr:uid="{00000000-0005-0000-0000-0000C84A0000}"/>
    <cellStyle name="표준 5 2 3 2 3 4 3" xfId="1681" xr:uid="{00000000-0005-0000-0000-0000C94A0000}"/>
    <cellStyle name="표준 5 2 3 2 3 4 3 2" xfId="10584" xr:uid="{00000000-0005-0000-0000-0000CA4A0000}"/>
    <cellStyle name="표준 5 2 3 2 3 4 3 2 2" xfId="14696" xr:uid="{00000000-0005-0000-0000-0000CB4A0000}"/>
    <cellStyle name="표준 5 2 3 2 3 4 3 2 2 2" xfId="31290" xr:uid="{00000000-0005-0000-0000-0000CC4A0000}"/>
    <cellStyle name="표준 5 2 3 2 3 4 3 2 2 3" xfId="39501" xr:uid="{00000000-0005-0000-0000-0000CD4A0000}"/>
    <cellStyle name="표준 5 2 3 2 3 4 3 2 2 4" xfId="47694" xr:uid="{00000000-0005-0000-0000-0000CE4A0000}"/>
    <cellStyle name="표준 5 2 3 2 3 4 3 2 3" xfId="18936" xr:uid="{00000000-0005-0000-0000-0000CF4A0000}"/>
    <cellStyle name="표준 5 2 3 2 3 4 3 2 4" xfId="23098" xr:uid="{00000000-0005-0000-0000-0000D04A0000}"/>
    <cellStyle name="표준 5 2 3 2 3 4 3 2 5" xfId="27194" xr:uid="{00000000-0005-0000-0000-0000D14A0000}"/>
    <cellStyle name="표준 5 2 3 2 3 4 3 2 6" xfId="35405" xr:uid="{00000000-0005-0000-0000-0000D24A0000}"/>
    <cellStyle name="표준 5 2 3 2 3 4 3 2 7" xfId="43598" xr:uid="{00000000-0005-0000-0000-0000D34A0000}"/>
    <cellStyle name="표준 5 2 3 2 3 4 3 3" xfId="8536" xr:uid="{00000000-0005-0000-0000-0000D44A0000}"/>
    <cellStyle name="표준 5 2 3 2 3 4 3 3 2" xfId="29242" xr:uid="{00000000-0005-0000-0000-0000D54A0000}"/>
    <cellStyle name="표준 5 2 3 2 3 4 3 3 3" xfId="37453" xr:uid="{00000000-0005-0000-0000-0000D64A0000}"/>
    <cellStyle name="표준 5 2 3 2 3 4 3 3 4" xfId="45646" xr:uid="{00000000-0005-0000-0000-0000D74A0000}"/>
    <cellStyle name="표준 5 2 3 2 3 4 3 4" xfId="12648" xr:uid="{00000000-0005-0000-0000-0000D84A0000}"/>
    <cellStyle name="표준 5 2 3 2 3 4 3 5" xfId="16888" xr:uid="{00000000-0005-0000-0000-0000D94A0000}"/>
    <cellStyle name="표준 5 2 3 2 3 4 3 6" xfId="21050" xr:uid="{00000000-0005-0000-0000-0000DA4A0000}"/>
    <cellStyle name="표준 5 2 3 2 3 4 3 7" xfId="25146" xr:uid="{00000000-0005-0000-0000-0000DB4A0000}"/>
    <cellStyle name="표준 5 2 3 2 3 4 3 8" xfId="33357" xr:uid="{00000000-0005-0000-0000-0000DC4A0000}"/>
    <cellStyle name="표준 5 2 3 2 3 4 3 9" xfId="41550" xr:uid="{00000000-0005-0000-0000-0000DD4A0000}"/>
    <cellStyle name="표준 5 2 3 2 3 4 4" xfId="2193" xr:uid="{00000000-0005-0000-0000-0000DE4A0000}"/>
    <cellStyle name="표준 5 2 3 2 3 4 4 2" xfId="11096" xr:uid="{00000000-0005-0000-0000-0000DF4A0000}"/>
    <cellStyle name="표준 5 2 3 2 3 4 4 2 2" xfId="15208" xr:uid="{00000000-0005-0000-0000-0000E04A0000}"/>
    <cellStyle name="표준 5 2 3 2 3 4 4 2 2 2" xfId="31802" xr:uid="{00000000-0005-0000-0000-0000E14A0000}"/>
    <cellStyle name="표준 5 2 3 2 3 4 4 2 2 3" xfId="40013" xr:uid="{00000000-0005-0000-0000-0000E24A0000}"/>
    <cellStyle name="표준 5 2 3 2 3 4 4 2 2 4" xfId="48206" xr:uid="{00000000-0005-0000-0000-0000E34A0000}"/>
    <cellStyle name="표준 5 2 3 2 3 4 4 2 3" xfId="19448" xr:uid="{00000000-0005-0000-0000-0000E44A0000}"/>
    <cellStyle name="표준 5 2 3 2 3 4 4 2 4" xfId="23610" xr:uid="{00000000-0005-0000-0000-0000E54A0000}"/>
    <cellStyle name="표준 5 2 3 2 3 4 4 2 5" xfId="27706" xr:uid="{00000000-0005-0000-0000-0000E64A0000}"/>
    <cellStyle name="표준 5 2 3 2 3 4 4 2 6" xfId="35917" xr:uid="{00000000-0005-0000-0000-0000E74A0000}"/>
    <cellStyle name="표준 5 2 3 2 3 4 4 2 7" xfId="44110" xr:uid="{00000000-0005-0000-0000-0000E84A0000}"/>
    <cellStyle name="표준 5 2 3 2 3 4 4 3" xfId="9048" xr:uid="{00000000-0005-0000-0000-0000E94A0000}"/>
    <cellStyle name="표준 5 2 3 2 3 4 4 3 2" xfId="29754" xr:uid="{00000000-0005-0000-0000-0000EA4A0000}"/>
    <cellStyle name="표준 5 2 3 2 3 4 4 3 3" xfId="37965" xr:uid="{00000000-0005-0000-0000-0000EB4A0000}"/>
    <cellStyle name="표준 5 2 3 2 3 4 4 3 4" xfId="46158" xr:uid="{00000000-0005-0000-0000-0000EC4A0000}"/>
    <cellStyle name="표준 5 2 3 2 3 4 4 4" xfId="13160" xr:uid="{00000000-0005-0000-0000-0000ED4A0000}"/>
    <cellStyle name="표준 5 2 3 2 3 4 4 5" xfId="17400" xr:uid="{00000000-0005-0000-0000-0000EE4A0000}"/>
    <cellStyle name="표준 5 2 3 2 3 4 4 6" xfId="21562" xr:uid="{00000000-0005-0000-0000-0000EF4A0000}"/>
    <cellStyle name="표준 5 2 3 2 3 4 4 7" xfId="25658" xr:uid="{00000000-0005-0000-0000-0000F04A0000}"/>
    <cellStyle name="표준 5 2 3 2 3 4 4 8" xfId="33869" xr:uid="{00000000-0005-0000-0000-0000F14A0000}"/>
    <cellStyle name="표준 5 2 3 2 3 4 4 9" xfId="42062" xr:uid="{00000000-0005-0000-0000-0000F24A0000}"/>
    <cellStyle name="표준 5 2 3 2 3 4 5" xfId="9560" xr:uid="{00000000-0005-0000-0000-0000F34A0000}"/>
    <cellStyle name="표준 5 2 3 2 3 4 5 2" xfId="13672" xr:uid="{00000000-0005-0000-0000-0000F44A0000}"/>
    <cellStyle name="표준 5 2 3 2 3 4 5 2 2" xfId="30266" xr:uid="{00000000-0005-0000-0000-0000F54A0000}"/>
    <cellStyle name="표준 5 2 3 2 3 4 5 2 3" xfId="38477" xr:uid="{00000000-0005-0000-0000-0000F64A0000}"/>
    <cellStyle name="표준 5 2 3 2 3 4 5 2 4" xfId="46670" xr:uid="{00000000-0005-0000-0000-0000F74A0000}"/>
    <cellStyle name="표준 5 2 3 2 3 4 5 3" xfId="17912" xr:uid="{00000000-0005-0000-0000-0000F84A0000}"/>
    <cellStyle name="표준 5 2 3 2 3 4 5 4" xfId="22074" xr:uid="{00000000-0005-0000-0000-0000F94A0000}"/>
    <cellStyle name="표준 5 2 3 2 3 4 5 5" xfId="26170" xr:uid="{00000000-0005-0000-0000-0000FA4A0000}"/>
    <cellStyle name="표준 5 2 3 2 3 4 5 6" xfId="34381" xr:uid="{00000000-0005-0000-0000-0000FB4A0000}"/>
    <cellStyle name="표준 5 2 3 2 3 4 5 7" xfId="42574" xr:uid="{00000000-0005-0000-0000-0000FC4A0000}"/>
    <cellStyle name="표준 5 2 3 2 3 4 6" xfId="7512" xr:uid="{00000000-0005-0000-0000-0000FD4A0000}"/>
    <cellStyle name="표준 5 2 3 2 3 4 6 2" xfId="28218" xr:uid="{00000000-0005-0000-0000-0000FE4A0000}"/>
    <cellStyle name="표준 5 2 3 2 3 4 6 3" xfId="36429" xr:uid="{00000000-0005-0000-0000-0000FF4A0000}"/>
    <cellStyle name="표준 5 2 3 2 3 4 6 4" xfId="44622" xr:uid="{00000000-0005-0000-0000-0000004B0000}"/>
    <cellStyle name="표준 5 2 3 2 3 4 7" xfId="11624" xr:uid="{00000000-0005-0000-0000-0000014B0000}"/>
    <cellStyle name="표준 5 2 3 2 3 4 8" xfId="15864" xr:uid="{00000000-0005-0000-0000-0000024B0000}"/>
    <cellStyle name="표준 5 2 3 2 3 4 9" xfId="20026" xr:uid="{00000000-0005-0000-0000-0000034B0000}"/>
    <cellStyle name="표준 5 2 3 2 3 5" xfId="913" xr:uid="{00000000-0005-0000-0000-0000044B0000}"/>
    <cellStyle name="표준 5 2 3 2 3 5 2" xfId="9816" xr:uid="{00000000-0005-0000-0000-0000054B0000}"/>
    <cellStyle name="표준 5 2 3 2 3 5 2 2" xfId="13928" xr:uid="{00000000-0005-0000-0000-0000064B0000}"/>
    <cellStyle name="표준 5 2 3 2 3 5 2 2 2" xfId="30522" xr:uid="{00000000-0005-0000-0000-0000074B0000}"/>
    <cellStyle name="표준 5 2 3 2 3 5 2 2 3" xfId="38733" xr:uid="{00000000-0005-0000-0000-0000084B0000}"/>
    <cellStyle name="표준 5 2 3 2 3 5 2 2 4" xfId="46926" xr:uid="{00000000-0005-0000-0000-0000094B0000}"/>
    <cellStyle name="표준 5 2 3 2 3 5 2 3" xfId="18168" xr:uid="{00000000-0005-0000-0000-00000A4B0000}"/>
    <cellStyle name="표준 5 2 3 2 3 5 2 4" xfId="22330" xr:uid="{00000000-0005-0000-0000-00000B4B0000}"/>
    <cellStyle name="표준 5 2 3 2 3 5 2 5" xfId="26426" xr:uid="{00000000-0005-0000-0000-00000C4B0000}"/>
    <cellStyle name="표준 5 2 3 2 3 5 2 6" xfId="34637" xr:uid="{00000000-0005-0000-0000-00000D4B0000}"/>
    <cellStyle name="표준 5 2 3 2 3 5 2 7" xfId="42830" xr:uid="{00000000-0005-0000-0000-00000E4B0000}"/>
    <cellStyle name="표준 5 2 3 2 3 5 3" xfId="7768" xr:uid="{00000000-0005-0000-0000-00000F4B0000}"/>
    <cellStyle name="표준 5 2 3 2 3 5 3 2" xfId="28474" xr:uid="{00000000-0005-0000-0000-0000104B0000}"/>
    <cellStyle name="표준 5 2 3 2 3 5 3 3" xfId="36685" xr:uid="{00000000-0005-0000-0000-0000114B0000}"/>
    <cellStyle name="표준 5 2 3 2 3 5 3 4" xfId="44878" xr:uid="{00000000-0005-0000-0000-0000124B0000}"/>
    <cellStyle name="표준 5 2 3 2 3 5 4" xfId="11880" xr:uid="{00000000-0005-0000-0000-0000134B0000}"/>
    <cellStyle name="표준 5 2 3 2 3 5 5" xfId="16120" xr:uid="{00000000-0005-0000-0000-0000144B0000}"/>
    <cellStyle name="표준 5 2 3 2 3 5 6" xfId="20282" xr:uid="{00000000-0005-0000-0000-0000154B0000}"/>
    <cellStyle name="표준 5 2 3 2 3 5 7" xfId="24378" xr:uid="{00000000-0005-0000-0000-0000164B0000}"/>
    <cellStyle name="표준 5 2 3 2 3 5 8" xfId="32589" xr:uid="{00000000-0005-0000-0000-0000174B0000}"/>
    <cellStyle name="표준 5 2 3 2 3 5 9" xfId="40782" xr:uid="{00000000-0005-0000-0000-0000184B0000}"/>
    <cellStyle name="표준 5 2 3 2 3 6" xfId="1425" xr:uid="{00000000-0005-0000-0000-0000194B0000}"/>
    <cellStyle name="표준 5 2 3 2 3 6 2" xfId="10328" xr:uid="{00000000-0005-0000-0000-00001A4B0000}"/>
    <cellStyle name="표준 5 2 3 2 3 6 2 2" xfId="14440" xr:uid="{00000000-0005-0000-0000-00001B4B0000}"/>
    <cellStyle name="표준 5 2 3 2 3 6 2 2 2" xfId="31034" xr:uid="{00000000-0005-0000-0000-00001C4B0000}"/>
    <cellStyle name="표준 5 2 3 2 3 6 2 2 3" xfId="39245" xr:uid="{00000000-0005-0000-0000-00001D4B0000}"/>
    <cellStyle name="표준 5 2 3 2 3 6 2 2 4" xfId="47438" xr:uid="{00000000-0005-0000-0000-00001E4B0000}"/>
    <cellStyle name="표준 5 2 3 2 3 6 2 3" xfId="18680" xr:uid="{00000000-0005-0000-0000-00001F4B0000}"/>
    <cellStyle name="표준 5 2 3 2 3 6 2 4" xfId="22842" xr:uid="{00000000-0005-0000-0000-0000204B0000}"/>
    <cellStyle name="표준 5 2 3 2 3 6 2 5" xfId="26938" xr:uid="{00000000-0005-0000-0000-0000214B0000}"/>
    <cellStyle name="표준 5 2 3 2 3 6 2 6" xfId="35149" xr:uid="{00000000-0005-0000-0000-0000224B0000}"/>
    <cellStyle name="표준 5 2 3 2 3 6 2 7" xfId="43342" xr:uid="{00000000-0005-0000-0000-0000234B0000}"/>
    <cellStyle name="표준 5 2 3 2 3 6 3" xfId="8280" xr:uid="{00000000-0005-0000-0000-0000244B0000}"/>
    <cellStyle name="표준 5 2 3 2 3 6 3 2" xfId="28986" xr:uid="{00000000-0005-0000-0000-0000254B0000}"/>
    <cellStyle name="표준 5 2 3 2 3 6 3 3" xfId="37197" xr:uid="{00000000-0005-0000-0000-0000264B0000}"/>
    <cellStyle name="표준 5 2 3 2 3 6 3 4" xfId="45390" xr:uid="{00000000-0005-0000-0000-0000274B0000}"/>
    <cellStyle name="표준 5 2 3 2 3 6 4" xfId="12392" xr:uid="{00000000-0005-0000-0000-0000284B0000}"/>
    <cellStyle name="표준 5 2 3 2 3 6 5" xfId="16632" xr:uid="{00000000-0005-0000-0000-0000294B0000}"/>
    <cellStyle name="표준 5 2 3 2 3 6 6" xfId="20794" xr:uid="{00000000-0005-0000-0000-00002A4B0000}"/>
    <cellStyle name="표준 5 2 3 2 3 6 7" xfId="24890" xr:uid="{00000000-0005-0000-0000-00002B4B0000}"/>
    <cellStyle name="표준 5 2 3 2 3 6 8" xfId="33101" xr:uid="{00000000-0005-0000-0000-00002C4B0000}"/>
    <cellStyle name="표준 5 2 3 2 3 6 9" xfId="41294" xr:uid="{00000000-0005-0000-0000-00002D4B0000}"/>
    <cellStyle name="표준 5 2 3 2 3 7" xfId="1937" xr:uid="{00000000-0005-0000-0000-00002E4B0000}"/>
    <cellStyle name="표준 5 2 3 2 3 7 2" xfId="10840" xr:uid="{00000000-0005-0000-0000-00002F4B0000}"/>
    <cellStyle name="표준 5 2 3 2 3 7 2 2" xfId="14952" xr:uid="{00000000-0005-0000-0000-0000304B0000}"/>
    <cellStyle name="표준 5 2 3 2 3 7 2 2 2" xfId="31546" xr:uid="{00000000-0005-0000-0000-0000314B0000}"/>
    <cellStyle name="표준 5 2 3 2 3 7 2 2 3" xfId="39757" xr:uid="{00000000-0005-0000-0000-0000324B0000}"/>
    <cellStyle name="표준 5 2 3 2 3 7 2 2 4" xfId="47950" xr:uid="{00000000-0005-0000-0000-0000334B0000}"/>
    <cellStyle name="표준 5 2 3 2 3 7 2 3" xfId="19192" xr:uid="{00000000-0005-0000-0000-0000344B0000}"/>
    <cellStyle name="표준 5 2 3 2 3 7 2 4" xfId="23354" xr:uid="{00000000-0005-0000-0000-0000354B0000}"/>
    <cellStyle name="표준 5 2 3 2 3 7 2 5" xfId="27450" xr:uid="{00000000-0005-0000-0000-0000364B0000}"/>
    <cellStyle name="표준 5 2 3 2 3 7 2 6" xfId="35661" xr:uid="{00000000-0005-0000-0000-0000374B0000}"/>
    <cellStyle name="표준 5 2 3 2 3 7 2 7" xfId="43854" xr:uid="{00000000-0005-0000-0000-0000384B0000}"/>
    <cellStyle name="표준 5 2 3 2 3 7 3" xfId="8792" xr:uid="{00000000-0005-0000-0000-0000394B0000}"/>
    <cellStyle name="표준 5 2 3 2 3 7 3 2" xfId="29498" xr:uid="{00000000-0005-0000-0000-00003A4B0000}"/>
    <cellStyle name="표준 5 2 3 2 3 7 3 3" xfId="37709" xr:uid="{00000000-0005-0000-0000-00003B4B0000}"/>
    <cellStyle name="표준 5 2 3 2 3 7 3 4" xfId="45902" xr:uid="{00000000-0005-0000-0000-00003C4B0000}"/>
    <cellStyle name="표준 5 2 3 2 3 7 4" xfId="12904" xr:uid="{00000000-0005-0000-0000-00003D4B0000}"/>
    <cellStyle name="표준 5 2 3 2 3 7 5" xfId="17144" xr:uid="{00000000-0005-0000-0000-00003E4B0000}"/>
    <cellStyle name="표준 5 2 3 2 3 7 6" xfId="21306" xr:uid="{00000000-0005-0000-0000-00003F4B0000}"/>
    <cellStyle name="표준 5 2 3 2 3 7 7" xfId="25402" xr:uid="{00000000-0005-0000-0000-0000404B0000}"/>
    <cellStyle name="표준 5 2 3 2 3 7 8" xfId="33613" xr:uid="{00000000-0005-0000-0000-0000414B0000}"/>
    <cellStyle name="표준 5 2 3 2 3 7 9" xfId="41806" xr:uid="{00000000-0005-0000-0000-0000424B0000}"/>
    <cellStyle name="표준 5 2 3 2 3 8" xfId="401" xr:uid="{00000000-0005-0000-0000-0000434B0000}"/>
    <cellStyle name="표준 5 2 3 2 3 8 2" xfId="9304" xr:uid="{00000000-0005-0000-0000-0000444B0000}"/>
    <cellStyle name="표준 5 2 3 2 3 8 2 2" xfId="30010" xr:uid="{00000000-0005-0000-0000-0000454B0000}"/>
    <cellStyle name="표준 5 2 3 2 3 8 2 3" xfId="38221" xr:uid="{00000000-0005-0000-0000-0000464B0000}"/>
    <cellStyle name="표준 5 2 3 2 3 8 2 4" xfId="46414" xr:uid="{00000000-0005-0000-0000-0000474B0000}"/>
    <cellStyle name="표준 5 2 3 2 3 8 3" xfId="13416" xr:uid="{00000000-0005-0000-0000-0000484B0000}"/>
    <cellStyle name="표준 5 2 3 2 3 8 4" xfId="17656" xr:uid="{00000000-0005-0000-0000-0000494B0000}"/>
    <cellStyle name="표준 5 2 3 2 3 8 5" xfId="21818" xr:uid="{00000000-0005-0000-0000-00004A4B0000}"/>
    <cellStyle name="표준 5 2 3 2 3 8 6" xfId="25914" xr:uid="{00000000-0005-0000-0000-00004B4B0000}"/>
    <cellStyle name="표준 5 2 3 2 3 8 7" xfId="34125" xr:uid="{00000000-0005-0000-0000-00004C4B0000}"/>
    <cellStyle name="표준 5 2 3 2 3 8 8" xfId="42318" xr:uid="{00000000-0005-0000-0000-00004D4B0000}"/>
    <cellStyle name="표준 5 2 3 2 3 9" xfId="7003" xr:uid="{00000000-0005-0000-0000-00004E4B0000}"/>
    <cellStyle name="표준 5 2 3 2 3 9 2" xfId="27962" xr:uid="{00000000-0005-0000-0000-00004F4B0000}"/>
    <cellStyle name="표준 5 2 3 2 3 9 3" xfId="36173" xr:uid="{00000000-0005-0000-0000-0000504B0000}"/>
    <cellStyle name="표준 5 2 3 2 3 9 4" xfId="44366" xr:uid="{00000000-0005-0000-0000-0000514B0000}"/>
    <cellStyle name="표준 5 2 3 2 30" xfId="32028" xr:uid="{00000000-0005-0000-0000-0000524B0000}"/>
    <cellStyle name="표준 5 2 3 2 31" xfId="32045" xr:uid="{00000000-0005-0000-0000-0000534B0000}"/>
    <cellStyle name="표준 5 2 3 2 32" xfId="40238" xr:uid="{00000000-0005-0000-0000-0000544B0000}"/>
    <cellStyle name="표준 5 2 3 2 33" xfId="48440" xr:uid="{00000000-0005-0000-0000-0000554B0000}"/>
    <cellStyle name="표준 5 2 3 2 4" xfId="433" xr:uid="{00000000-0005-0000-0000-0000564B0000}"/>
    <cellStyle name="표준 5 2 3 2 4 10" xfId="11400" xr:uid="{00000000-0005-0000-0000-0000574B0000}"/>
    <cellStyle name="표준 5 2 3 2 4 11" xfId="15512" xr:uid="{00000000-0005-0000-0000-0000584B0000}"/>
    <cellStyle name="표준 5 2 3 2 4 12" xfId="15640" xr:uid="{00000000-0005-0000-0000-0000594B0000}"/>
    <cellStyle name="표준 5 2 3 2 4 13" xfId="19802" xr:uid="{00000000-0005-0000-0000-00005A4B0000}"/>
    <cellStyle name="표준 5 2 3 2 4 14" xfId="23898" xr:uid="{00000000-0005-0000-0000-00005B4B0000}"/>
    <cellStyle name="표준 5 2 3 2 4 15" xfId="32109" xr:uid="{00000000-0005-0000-0000-00005C4B0000}"/>
    <cellStyle name="표준 5 2 3 2 4 16" xfId="40302" xr:uid="{00000000-0005-0000-0000-00005D4B0000}"/>
    <cellStyle name="표준 5 2 3 2 4 2" xfId="561" xr:uid="{00000000-0005-0000-0000-00005E4B0000}"/>
    <cellStyle name="표준 5 2 3 2 4 2 10" xfId="19930" xr:uid="{00000000-0005-0000-0000-00005F4B0000}"/>
    <cellStyle name="표준 5 2 3 2 4 2 11" xfId="24026" xr:uid="{00000000-0005-0000-0000-0000604B0000}"/>
    <cellStyle name="표준 5 2 3 2 4 2 12" xfId="32237" xr:uid="{00000000-0005-0000-0000-0000614B0000}"/>
    <cellStyle name="표준 5 2 3 2 4 2 13" xfId="40430" xr:uid="{00000000-0005-0000-0000-0000624B0000}"/>
    <cellStyle name="표준 5 2 3 2 4 2 2" xfId="817" xr:uid="{00000000-0005-0000-0000-0000634B0000}"/>
    <cellStyle name="표준 5 2 3 2 4 2 2 10" xfId="24282" xr:uid="{00000000-0005-0000-0000-0000644B0000}"/>
    <cellStyle name="표준 5 2 3 2 4 2 2 11" xfId="32493" xr:uid="{00000000-0005-0000-0000-0000654B0000}"/>
    <cellStyle name="표준 5 2 3 2 4 2 2 12" xfId="40686" xr:uid="{00000000-0005-0000-0000-0000664B0000}"/>
    <cellStyle name="표준 5 2 3 2 4 2 2 2" xfId="1329" xr:uid="{00000000-0005-0000-0000-0000674B0000}"/>
    <cellStyle name="표준 5 2 3 2 4 2 2 2 2" xfId="10232" xr:uid="{00000000-0005-0000-0000-0000684B0000}"/>
    <cellStyle name="표준 5 2 3 2 4 2 2 2 2 2" xfId="14344" xr:uid="{00000000-0005-0000-0000-0000694B0000}"/>
    <cellStyle name="표준 5 2 3 2 4 2 2 2 2 2 2" xfId="30938" xr:uid="{00000000-0005-0000-0000-00006A4B0000}"/>
    <cellStyle name="표준 5 2 3 2 4 2 2 2 2 2 3" xfId="39149" xr:uid="{00000000-0005-0000-0000-00006B4B0000}"/>
    <cellStyle name="표준 5 2 3 2 4 2 2 2 2 2 4" xfId="47342" xr:uid="{00000000-0005-0000-0000-00006C4B0000}"/>
    <cellStyle name="표준 5 2 3 2 4 2 2 2 2 3" xfId="18584" xr:uid="{00000000-0005-0000-0000-00006D4B0000}"/>
    <cellStyle name="표준 5 2 3 2 4 2 2 2 2 4" xfId="22746" xr:uid="{00000000-0005-0000-0000-00006E4B0000}"/>
    <cellStyle name="표준 5 2 3 2 4 2 2 2 2 5" xfId="26842" xr:uid="{00000000-0005-0000-0000-00006F4B0000}"/>
    <cellStyle name="표준 5 2 3 2 4 2 2 2 2 6" xfId="35053" xr:uid="{00000000-0005-0000-0000-0000704B0000}"/>
    <cellStyle name="표준 5 2 3 2 4 2 2 2 2 7" xfId="43246" xr:uid="{00000000-0005-0000-0000-0000714B0000}"/>
    <cellStyle name="표준 5 2 3 2 4 2 2 2 3" xfId="8184" xr:uid="{00000000-0005-0000-0000-0000724B0000}"/>
    <cellStyle name="표준 5 2 3 2 4 2 2 2 3 2" xfId="28890" xr:uid="{00000000-0005-0000-0000-0000734B0000}"/>
    <cellStyle name="표준 5 2 3 2 4 2 2 2 3 3" xfId="37101" xr:uid="{00000000-0005-0000-0000-0000744B0000}"/>
    <cellStyle name="표준 5 2 3 2 4 2 2 2 3 4" xfId="45294" xr:uid="{00000000-0005-0000-0000-0000754B0000}"/>
    <cellStyle name="표준 5 2 3 2 4 2 2 2 4" xfId="12296" xr:uid="{00000000-0005-0000-0000-0000764B0000}"/>
    <cellStyle name="표준 5 2 3 2 4 2 2 2 5" xfId="16536" xr:uid="{00000000-0005-0000-0000-0000774B0000}"/>
    <cellStyle name="표준 5 2 3 2 4 2 2 2 6" xfId="20698" xr:uid="{00000000-0005-0000-0000-0000784B0000}"/>
    <cellStyle name="표준 5 2 3 2 4 2 2 2 7" xfId="24794" xr:uid="{00000000-0005-0000-0000-0000794B0000}"/>
    <cellStyle name="표준 5 2 3 2 4 2 2 2 8" xfId="33005" xr:uid="{00000000-0005-0000-0000-00007A4B0000}"/>
    <cellStyle name="표준 5 2 3 2 4 2 2 2 9" xfId="41198" xr:uid="{00000000-0005-0000-0000-00007B4B0000}"/>
    <cellStyle name="표준 5 2 3 2 4 2 2 3" xfId="1841" xr:uid="{00000000-0005-0000-0000-00007C4B0000}"/>
    <cellStyle name="표준 5 2 3 2 4 2 2 3 2" xfId="10744" xr:uid="{00000000-0005-0000-0000-00007D4B0000}"/>
    <cellStyle name="표준 5 2 3 2 4 2 2 3 2 2" xfId="14856" xr:uid="{00000000-0005-0000-0000-00007E4B0000}"/>
    <cellStyle name="표준 5 2 3 2 4 2 2 3 2 2 2" xfId="31450" xr:uid="{00000000-0005-0000-0000-00007F4B0000}"/>
    <cellStyle name="표준 5 2 3 2 4 2 2 3 2 2 3" xfId="39661" xr:uid="{00000000-0005-0000-0000-0000804B0000}"/>
    <cellStyle name="표준 5 2 3 2 4 2 2 3 2 2 4" xfId="47854" xr:uid="{00000000-0005-0000-0000-0000814B0000}"/>
    <cellStyle name="표준 5 2 3 2 4 2 2 3 2 3" xfId="19096" xr:uid="{00000000-0005-0000-0000-0000824B0000}"/>
    <cellStyle name="표준 5 2 3 2 4 2 2 3 2 4" xfId="23258" xr:uid="{00000000-0005-0000-0000-0000834B0000}"/>
    <cellStyle name="표준 5 2 3 2 4 2 2 3 2 5" xfId="27354" xr:uid="{00000000-0005-0000-0000-0000844B0000}"/>
    <cellStyle name="표준 5 2 3 2 4 2 2 3 2 6" xfId="35565" xr:uid="{00000000-0005-0000-0000-0000854B0000}"/>
    <cellStyle name="표준 5 2 3 2 4 2 2 3 2 7" xfId="43758" xr:uid="{00000000-0005-0000-0000-0000864B0000}"/>
    <cellStyle name="표준 5 2 3 2 4 2 2 3 3" xfId="8696" xr:uid="{00000000-0005-0000-0000-0000874B0000}"/>
    <cellStyle name="표준 5 2 3 2 4 2 2 3 3 2" xfId="29402" xr:uid="{00000000-0005-0000-0000-0000884B0000}"/>
    <cellStyle name="표준 5 2 3 2 4 2 2 3 3 3" xfId="37613" xr:uid="{00000000-0005-0000-0000-0000894B0000}"/>
    <cellStyle name="표준 5 2 3 2 4 2 2 3 3 4" xfId="45806" xr:uid="{00000000-0005-0000-0000-00008A4B0000}"/>
    <cellStyle name="표준 5 2 3 2 4 2 2 3 4" xfId="12808" xr:uid="{00000000-0005-0000-0000-00008B4B0000}"/>
    <cellStyle name="표준 5 2 3 2 4 2 2 3 5" xfId="17048" xr:uid="{00000000-0005-0000-0000-00008C4B0000}"/>
    <cellStyle name="표준 5 2 3 2 4 2 2 3 6" xfId="21210" xr:uid="{00000000-0005-0000-0000-00008D4B0000}"/>
    <cellStyle name="표준 5 2 3 2 4 2 2 3 7" xfId="25306" xr:uid="{00000000-0005-0000-0000-00008E4B0000}"/>
    <cellStyle name="표준 5 2 3 2 4 2 2 3 8" xfId="33517" xr:uid="{00000000-0005-0000-0000-00008F4B0000}"/>
    <cellStyle name="표준 5 2 3 2 4 2 2 3 9" xfId="41710" xr:uid="{00000000-0005-0000-0000-0000904B0000}"/>
    <cellStyle name="표준 5 2 3 2 4 2 2 4" xfId="2353" xr:uid="{00000000-0005-0000-0000-0000914B0000}"/>
    <cellStyle name="표준 5 2 3 2 4 2 2 4 2" xfId="11256" xr:uid="{00000000-0005-0000-0000-0000924B0000}"/>
    <cellStyle name="표준 5 2 3 2 4 2 2 4 2 2" xfId="15368" xr:uid="{00000000-0005-0000-0000-0000934B0000}"/>
    <cellStyle name="표준 5 2 3 2 4 2 2 4 2 2 2" xfId="31962" xr:uid="{00000000-0005-0000-0000-0000944B0000}"/>
    <cellStyle name="표준 5 2 3 2 4 2 2 4 2 2 3" xfId="40173" xr:uid="{00000000-0005-0000-0000-0000954B0000}"/>
    <cellStyle name="표준 5 2 3 2 4 2 2 4 2 2 4" xfId="48366" xr:uid="{00000000-0005-0000-0000-0000964B0000}"/>
    <cellStyle name="표준 5 2 3 2 4 2 2 4 2 3" xfId="19608" xr:uid="{00000000-0005-0000-0000-0000974B0000}"/>
    <cellStyle name="표준 5 2 3 2 4 2 2 4 2 4" xfId="23770" xr:uid="{00000000-0005-0000-0000-0000984B0000}"/>
    <cellStyle name="표준 5 2 3 2 4 2 2 4 2 5" xfId="27866" xr:uid="{00000000-0005-0000-0000-0000994B0000}"/>
    <cellStyle name="표준 5 2 3 2 4 2 2 4 2 6" xfId="36077" xr:uid="{00000000-0005-0000-0000-00009A4B0000}"/>
    <cellStyle name="표준 5 2 3 2 4 2 2 4 2 7" xfId="44270" xr:uid="{00000000-0005-0000-0000-00009B4B0000}"/>
    <cellStyle name="표준 5 2 3 2 4 2 2 4 3" xfId="9208" xr:uid="{00000000-0005-0000-0000-00009C4B0000}"/>
    <cellStyle name="표준 5 2 3 2 4 2 2 4 3 2" xfId="29914" xr:uid="{00000000-0005-0000-0000-00009D4B0000}"/>
    <cellStyle name="표준 5 2 3 2 4 2 2 4 3 3" xfId="38125" xr:uid="{00000000-0005-0000-0000-00009E4B0000}"/>
    <cellStyle name="표준 5 2 3 2 4 2 2 4 3 4" xfId="46318" xr:uid="{00000000-0005-0000-0000-00009F4B0000}"/>
    <cellStyle name="표준 5 2 3 2 4 2 2 4 4" xfId="13320" xr:uid="{00000000-0005-0000-0000-0000A04B0000}"/>
    <cellStyle name="표준 5 2 3 2 4 2 2 4 5" xfId="17560" xr:uid="{00000000-0005-0000-0000-0000A14B0000}"/>
    <cellStyle name="표준 5 2 3 2 4 2 2 4 6" xfId="21722" xr:uid="{00000000-0005-0000-0000-0000A24B0000}"/>
    <cellStyle name="표준 5 2 3 2 4 2 2 4 7" xfId="25818" xr:uid="{00000000-0005-0000-0000-0000A34B0000}"/>
    <cellStyle name="표준 5 2 3 2 4 2 2 4 8" xfId="34029" xr:uid="{00000000-0005-0000-0000-0000A44B0000}"/>
    <cellStyle name="표준 5 2 3 2 4 2 2 4 9" xfId="42222" xr:uid="{00000000-0005-0000-0000-0000A54B0000}"/>
    <cellStyle name="표준 5 2 3 2 4 2 2 5" xfId="9720" xr:uid="{00000000-0005-0000-0000-0000A64B0000}"/>
    <cellStyle name="표준 5 2 3 2 4 2 2 5 2" xfId="13832" xr:uid="{00000000-0005-0000-0000-0000A74B0000}"/>
    <cellStyle name="표준 5 2 3 2 4 2 2 5 2 2" xfId="30426" xr:uid="{00000000-0005-0000-0000-0000A84B0000}"/>
    <cellStyle name="표준 5 2 3 2 4 2 2 5 2 3" xfId="38637" xr:uid="{00000000-0005-0000-0000-0000A94B0000}"/>
    <cellStyle name="표준 5 2 3 2 4 2 2 5 2 4" xfId="46830" xr:uid="{00000000-0005-0000-0000-0000AA4B0000}"/>
    <cellStyle name="표준 5 2 3 2 4 2 2 5 3" xfId="18072" xr:uid="{00000000-0005-0000-0000-0000AB4B0000}"/>
    <cellStyle name="표준 5 2 3 2 4 2 2 5 4" xfId="22234" xr:uid="{00000000-0005-0000-0000-0000AC4B0000}"/>
    <cellStyle name="표준 5 2 3 2 4 2 2 5 5" xfId="26330" xr:uid="{00000000-0005-0000-0000-0000AD4B0000}"/>
    <cellStyle name="표준 5 2 3 2 4 2 2 5 6" xfId="34541" xr:uid="{00000000-0005-0000-0000-0000AE4B0000}"/>
    <cellStyle name="표준 5 2 3 2 4 2 2 5 7" xfId="42734" xr:uid="{00000000-0005-0000-0000-0000AF4B0000}"/>
    <cellStyle name="표준 5 2 3 2 4 2 2 6" xfId="7672" xr:uid="{00000000-0005-0000-0000-0000B04B0000}"/>
    <cellStyle name="표준 5 2 3 2 4 2 2 6 2" xfId="28378" xr:uid="{00000000-0005-0000-0000-0000B14B0000}"/>
    <cellStyle name="표준 5 2 3 2 4 2 2 6 3" xfId="36589" xr:uid="{00000000-0005-0000-0000-0000B24B0000}"/>
    <cellStyle name="표준 5 2 3 2 4 2 2 6 4" xfId="44782" xr:uid="{00000000-0005-0000-0000-0000B34B0000}"/>
    <cellStyle name="표준 5 2 3 2 4 2 2 7" xfId="11784" xr:uid="{00000000-0005-0000-0000-0000B44B0000}"/>
    <cellStyle name="표준 5 2 3 2 4 2 2 8" xfId="16024" xr:uid="{00000000-0005-0000-0000-0000B54B0000}"/>
    <cellStyle name="표준 5 2 3 2 4 2 2 9" xfId="20186" xr:uid="{00000000-0005-0000-0000-0000B64B0000}"/>
    <cellStyle name="표준 5 2 3 2 4 2 3" xfId="1073" xr:uid="{00000000-0005-0000-0000-0000B74B0000}"/>
    <cellStyle name="표준 5 2 3 2 4 2 3 2" xfId="9976" xr:uid="{00000000-0005-0000-0000-0000B84B0000}"/>
    <cellStyle name="표준 5 2 3 2 4 2 3 2 2" xfId="14088" xr:uid="{00000000-0005-0000-0000-0000B94B0000}"/>
    <cellStyle name="표준 5 2 3 2 4 2 3 2 2 2" xfId="30682" xr:uid="{00000000-0005-0000-0000-0000BA4B0000}"/>
    <cellStyle name="표준 5 2 3 2 4 2 3 2 2 3" xfId="38893" xr:uid="{00000000-0005-0000-0000-0000BB4B0000}"/>
    <cellStyle name="표준 5 2 3 2 4 2 3 2 2 4" xfId="47086" xr:uid="{00000000-0005-0000-0000-0000BC4B0000}"/>
    <cellStyle name="표준 5 2 3 2 4 2 3 2 3" xfId="18328" xr:uid="{00000000-0005-0000-0000-0000BD4B0000}"/>
    <cellStyle name="표준 5 2 3 2 4 2 3 2 4" xfId="22490" xr:uid="{00000000-0005-0000-0000-0000BE4B0000}"/>
    <cellStyle name="표준 5 2 3 2 4 2 3 2 5" xfId="26586" xr:uid="{00000000-0005-0000-0000-0000BF4B0000}"/>
    <cellStyle name="표준 5 2 3 2 4 2 3 2 6" xfId="34797" xr:uid="{00000000-0005-0000-0000-0000C04B0000}"/>
    <cellStyle name="표준 5 2 3 2 4 2 3 2 7" xfId="42990" xr:uid="{00000000-0005-0000-0000-0000C14B0000}"/>
    <cellStyle name="표준 5 2 3 2 4 2 3 3" xfId="7928" xr:uid="{00000000-0005-0000-0000-0000C24B0000}"/>
    <cellStyle name="표준 5 2 3 2 4 2 3 3 2" xfId="28634" xr:uid="{00000000-0005-0000-0000-0000C34B0000}"/>
    <cellStyle name="표준 5 2 3 2 4 2 3 3 3" xfId="36845" xr:uid="{00000000-0005-0000-0000-0000C44B0000}"/>
    <cellStyle name="표준 5 2 3 2 4 2 3 3 4" xfId="45038" xr:uid="{00000000-0005-0000-0000-0000C54B0000}"/>
    <cellStyle name="표준 5 2 3 2 4 2 3 4" xfId="12040" xr:uid="{00000000-0005-0000-0000-0000C64B0000}"/>
    <cellStyle name="표준 5 2 3 2 4 2 3 5" xfId="16280" xr:uid="{00000000-0005-0000-0000-0000C74B0000}"/>
    <cellStyle name="표준 5 2 3 2 4 2 3 6" xfId="20442" xr:uid="{00000000-0005-0000-0000-0000C84B0000}"/>
    <cellStyle name="표준 5 2 3 2 4 2 3 7" xfId="24538" xr:uid="{00000000-0005-0000-0000-0000C94B0000}"/>
    <cellStyle name="표준 5 2 3 2 4 2 3 8" xfId="32749" xr:uid="{00000000-0005-0000-0000-0000CA4B0000}"/>
    <cellStyle name="표준 5 2 3 2 4 2 3 9" xfId="40942" xr:uid="{00000000-0005-0000-0000-0000CB4B0000}"/>
    <cellStyle name="표준 5 2 3 2 4 2 4" xfId="1585" xr:uid="{00000000-0005-0000-0000-0000CC4B0000}"/>
    <cellStyle name="표준 5 2 3 2 4 2 4 2" xfId="10488" xr:uid="{00000000-0005-0000-0000-0000CD4B0000}"/>
    <cellStyle name="표준 5 2 3 2 4 2 4 2 2" xfId="14600" xr:uid="{00000000-0005-0000-0000-0000CE4B0000}"/>
    <cellStyle name="표준 5 2 3 2 4 2 4 2 2 2" xfId="31194" xr:uid="{00000000-0005-0000-0000-0000CF4B0000}"/>
    <cellStyle name="표준 5 2 3 2 4 2 4 2 2 3" xfId="39405" xr:uid="{00000000-0005-0000-0000-0000D04B0000}"/>
    <cellStyle name="표준 5 2 3 2 4 2 4 2 2 4" xfId="47598" xr:uid="{00000000-0005-0000-0000-0000D14B0000}"/>
    <cellStyle name="표준 5 2 3 2 4 2 4 2 3" xfId="18840" xr:uid="{00000000-0005-0000-0000-0000D24B0000}"/>
    <cellStyle name="표준 5 2 3 2 4 2 4 2 4" xfId="23002" xr:uid="{00000000-0005-0000-0000-0000D34B0000}"/>
    <cellStyle name="표준 5 2 3 2 4 2 4 2 5" xfId="27098" xr:uid="{00000000-0005-0000-0000-0000D44B0000}"/>
    <cellStyle name="표준 5 2 3 2 4 2 4 2 6" xfId="35309" xr:uid="{00000000-0005-0000-0000-0000D54B0000}"/>
    <cellStyle name="표준 5 2 3 2 4 2 4 2 7" xfId="43502" xr:uid="{00000000-0005-0000-0000-0000D64B0000}"/>
    <cellStyle name="표준 5 2 3 2 4 2 4 3" xfId="8440" xr:uid="{00000000-0005-0000-0000-0000D74B0000}"/>
    <cellStyle name="표준 5 2 3 2 4 2 4 3 2" xfId="29146" xr:uid="{00000000-0005-0000-0000-0000D84B0000}"/>
    <cellStyle name="표준 5 2 3 2 4 2 4 3 3" xfId="37357" xr:uid="{00000000-0005-0000-0000-0000D94B0000}"/>
    <cellStyle name="표준 5 2 3 2 4 2 4 3 4" xfId="45550" xr:uid="{00000000-0005-0000-0000-0000DA4B0000}"/>
    <cellStyle name="표준 5 2 3 2 4 2 4 4" xfId="12552" xr:uid="{00000000-0005-0000-0000-0000DB4B0000}"/>
    <cellStyle name="표준 5 2 3 2 4 2 4 5" xfId="16792" xr:uid="{00000000-0005-0000-0000-0000DC4B0000}"/>
    <cellStyle name="표준 5 2 3 2 4 2 4 6" xfId="20954" xr:uid="{00000000-0005-0000-0000-0000DD4B0000}"/>
    <cellStyle name="표준 5 2 3 2 4 2 4 7" xfId="25050" xr:uid="{00000000-0005-0000-0000-0000DE4B0000}"/>
    <cellStyle name="표준 5 2 3 2 4 2 4 8" xfId="33261" xr:uid="{00000000-0005-0000-0000-0000DF4B0000}"/>
    <cellStyle name="표준 5 2 3 2 4 2 4 9" xfId="41454" xr:uid="{00000000-0005-0000-0000-0000E04B0000}"/>
    <cellStyle name="표준 5 2 3 2 4 2 5" xfId="2097" xr:uid="{00000000-0005-0000-0000-0000E14B0000}"/>
    <cellStyle name="표준 5 2 3 2 4 2 5 2" xfId="11000" xr:uid="{00000000-0005-0000-0000-0000E24B0000}"/>
    <cellStyle name="표준 5 2 3 2 4 2 5 2 2" xfId="15112" xr:uid="{00000000-0005-0000-0000-0000E34B0000}"/>
    <cellStyle name="표준 5 2 3 2 4 2 5 2 2 2" xfId="31706" xr:uid="{00000000-0005-0000-0000-0000E44B0000}"/>
    <cellStyle name="표준 5 2 3 2 4 2 5 2 2 3" xfId="39917" xr:uid="{00000000-0005-0000-0000-0000E54B0000}"/>
    <cellStyle name="표준 5 2 3 2 4 2 5 2 2 4" xfId="48110" xr:uid="{00000000-0005-0000-0000-0000E64B0000}"/>
    <cellStyle name="표준 5 2 3 2 4 2 5 2 3" xfId="19352" xr:uid="{00000000-0005-0000-0000-0000E74B0000}"/>
    <cellStyle name="표준 5 2 3 2 4 2 5 2 4" xfId="23514" xr:uid="{00000000-0005-0000-0000-0000E84B0000}"/>
    <cellStyle name="표준 5 2 3 2 4 2 5 2 5" xfId="27610" xr:uid="{00000000-0005-0000-0000-0000E94B0000}"/>
    <cellStyle name="표준 5 2 3 2 4 2 5 2 6" xfId="35821" xr:uid="{00000000-0005-0000-0000-0000EA4B0000}"/>
    <cellStyle name="표준 5 2 3 2 4 2 5 2 7" xfId="44014" xr:uid="{00000000-0005-0000-0000-0000EB4B0000}"/>
    <cellStyle name="표준 5 2 3 2 4 2 5 3" xfId="8952" xr:uid="{00000000-0005-0000-0000-0000EC4B0000}"/>
    <cellStyle name="표준 5 2 3 2 4 2 5 3 2" xfId="29658" xr:uid="{00000000-0005-0000-0000-0000ED4B0000}"/>
    <cellStyle name="표준 5 2 3 2 4 2 5 3 3" xfId="37869" xr:uid="{00000000-0005-0000-0000-0000EE4B0000}"/>
    <cellStyle name="표준 5 2 3 2 4 2 5 3 4" xfId="46062" xr:uid="{00000000-0005-0000-0000-0000EF4B0000}"/>
    <cellStyle name="표준 5 2 3 2 4 2 5 4" xfId="13064" xr:uid="{00000000-0005-0000-0000-0000F04B0000}"/>
    <cellStyle name="표준 5 2 3 2 4 2 5 5" xfId="17304" xr:uid="{00000000-0005-0000-0000-0000F14B0000}"/>
    <cellStyle name="표준 5 2 3 2 4 2 5 6" xfId="21466" xr:uid="{00000000-0005-0000-0000-0000F24B0000}"/>
    <cellStyle name="표준 5 2 3 2 4 2 5 7" xfId="25562" xr:uid="{00000000-0005-0000-0000-0000F34B0000}"/>
    <cellStyle name="표준 5 2 3 2 4 2 5 8" xfId="33773" xr:uid="{00000000-0005-0000-0000-0000F44B0000}"/>
    <cellStyle name="표준 5 2 3 2 4 2 5 9" xfId="41966" xr:uid="{00000000-0005-0000-0000-0000F54B0000}"/>
    <cellStyle name="표준 5 2 3 2 4 2 6" xfId="9464" xr:uid="{00000000-0005-0000-0000-0000F64B0000}"/>
    <cellStyle name="표준 5 2 3 2 4 2 6 2" xfId="13576" xr:uid="{00000000-0005-0000-0000-0000F74B0000}"/>
    <cellStyle name="표준 5 2 3 2 4 2 6 2 2" xfId="30170" xr:uid="{00000000-0005-0000-0000-0000F84B0000}"/>
    <cellStyle name="표준 5 2 3 2 4 2 6 2 3" xfId="38381" xr:uid="{00000000-0005-0000-0000-0000F94B0000}"/>
    <cellStyle name="표준 5 2 3 2 4 2 6 2 4" xfId="46574" xr:uid="{00000000-0005-0000-0000-0000FA4B0000}"/>
    <cellStyle name="표준 5 2 3 2 4 2 6 3" xfId="17816" xr:uid="{00000000-0005-0000-0000-0000FB4B0000}"/>
    <cellStyle name="표준 5 2 3 2 4 2 6 4" xfId="21978" xr:uid="{00000000-0005-0000-0000-0000FC4B0000}"/>
    <cellStyle name="표준 5 2 3 2 4 2 6 5" xfId="26074" xr:uid="{00000000-0005-0000-0000-0000FD4B0000}"/>
    <cellStyle name="표준 5 2 3 2 4 2 6 6" xfId="34285" xr:uid="{00000000-0005-0000-0000-0000FE4B0000}"/>
    <cellStyle name="표준 5 2 3 2 4 2 6 7" xfId="42478" xr:uid="{00000000-0005-0000-0000-0000FF4B0000}"/>
    <cellStyle name="표준 5 2 3 2 4 2 7" xfId="7416" xr:uid="{00000000-0005-0000-0000-0000004C0000}"/>
    <cellStyle name="표준 5 2 3 2 4 2 7 2" xfId="28122" xr:uid="{00000000-0005-0000-0000-0000014C0000}"/>
    <cellStyle name="표준 5 2 3 2 4 2 7 3" xfId="36333" xr:uid="{00000000-0005-0000-0000-0000024C0000}"/>
    <cellStyle name="표준 5 2 3 2 4 2 7 4" xfId="44526" xr:uid="{00000000-0005-0000-0000-0000034C0000}"/>
    <cellStyle name="표준 5 2 3 2 4 2 8" xfId="11528" xr:uid="{00000000-0005-0000-0000-0000044C0000}"/>
    <cellStyle name="표준 5 2 3 2 4 2 9" xfId="15768" xr:uid="{00000000-0005-0000-0000-0000054C0000}"/>
    <cellStyle name="표준 5 2 3 2 4 3" xfId="689" xr:uid="{00000000-0005-0000-0000-0000064C0000}"/>
    <cellStyle name="표준 5 2 3 2 4 3 10" xfId="24154" xr:uid="{00000000-0005-0000-0000-0000074C0000}"/>
    <cellStyle name="표준 5 2 3 2 4 3 11" xfId="32365" xr:uid="{00000000-0005-0000-0000-0000084C0000}"/>
    <cellStyle name="표준 5 2 3 2 4 3 12" xfId="40558" xr:uid="{00000000-0005-0000-0000-0000094C0000}"/>
    <cellStyle name="표준 5 2 3 2 4 3 2" xfId="1201" xr:uid="{00000000-0005-0000-0000-00000A4C0000}"/>
    <cellStyle name="표준 5 2 3 2 4 3 2 2" xfId="10104" xr:uid="{00000000-0005-0000-0000-00000B4C0000}"/>
    <cellStyle name="표준 5 2 3 2 4 3 2 2 2" xfId="14216" xr:uid="{00000000-0005-0000-0000-00000C4C0000}"/>
    <cellStyle name="표준 5 2 3 2 4 3 2 2 2 2" xfId="30810" xr:uid="{00000000-0005-0000-0000-00000D4C0000}"/>
    <cellStyle name="표준 5 2 3 2 4 3 2 2 2 3" xfId="39021" xr:uid="{00000000-0005-0000-0000-00000E4C0000}"/>
    <cellStyle name="표준 5 2 3 2 4 3 2 2 2 4" xfId="47214" xr:uid="{00000000-0005-0000-0000-00000F4C0000}"/>
    <cellStyle name="표준 5 2 3 2 4 3 2 2 3" xfId="18456" xr:uid="{00000000-0005-0000-0000-0000104C0000}"/>
    <cellStyle name="표준 5 2 3 2 4 3 2 2 4" xfId="22618" xr:uid="{00000000-0005-0000-0000-0000114C0000}"/>
    <cellStyle name="표준 5 2 3 2 4 3 2 2 5" xfId="26714" xr:uid="{00000000-0005-0000-0000-0000124C0000}"/>
    <cellStyle name="표준 5 2 3 2 4 3 2 2 6" xfId="34925" xr:uid="{00000000-0005-0000-0000-0000134C0000}"/>
    <cellStyle name="표준 5 2 3 2 4 3 2 2 7" xfId="43118" xr:uid="{00000000-0005-0000-0000-0000144C0000}"/>
    <cellStyle name="표준 5 2 3 2 4 3 2 3" xfId="8056" xr:uid="{00000000-0005-0000-0000-0000154C0000}"/>
    <cellStyle name="표준 5 2 3 2 4 3 2 3 2" xfId="28762" xr:uid="{00000000-0005-0000-0000-0000164C0000}"/>
    <cellStyle name="표준 5 2 3 2 4 3 2 3 3" xfId="36973" xr:uid="{00000000-0005-0000-0000-0000174C0000}"/>
    <cellStyle name="표준 5 2 3 2 4 3 2 3 4" xfId="45166" xr:uid="{00000000-0005-0000-0000-0000184C0000}"/>
    <cellStyle name="표준 5 2 3 2 4 3 2 4" xfId="12168" xr:uid="{00000000-0005-0000-0000-0000194C0000}"/>
    <cellStyle name="표준 5 2 3 2 4 3 2 5" xfId="16408" xr:uid="{00000000-0005-0000-0000-00001A4C0000}"/>
    <cellStyle name="표준 5 2 3 2 4 3 2 6" xfId="20570" xr:uid="{00000000-0005-0000-0000-00001B4C0000}"/>
    <cellStyle name="표준 5 2 3 2 4 3 2 7" xfId="24666" xr:uid="{00000000-0005-0000-0000-00001C4C0000}"/>
    <cellStyle name="표준 5 2 3 2 4 3 2 8" xfId="32877" xr:uid="{00000000-0005-0000-0000-00001D4C0000}"/>
    <cellStyle name="표준 5 2 3 2 4 3 2 9" xfId="41070" xr:uid="{00000000-0005-0000-0000-00001E4C0000}"/>
    <cellStyle name="표준 5 2 3 2 4 3 3" xfId="1713" xr:uid="{00000000-0005-0000-0000-00001F4C0000}"/>
    <cellStyle name="표준 5 2 3 2 4 3 3 2" xfId="10616" xr:uid="{00000000-0005-0000-0000-0000204C0000}"/>
    <cellStyle name="표준 5 2 3 2 4 3 3 2 2" xfId="14728" xr:uid="{00000000-0005-0000-0000-0000214C0000}"/>
    <cellStyle name="표준 5 2 3 2 4 3 3 2 2 2" xfId="31322" xr:uid="{00000000-0005-0000-0000-0000224C0000}"/>
    <cellStyle name="표준 5 2 3 2 4 3 3 2 2 3" xfId="39533" xr:uid="{00000000-0005-0000-0000-0000234C0000}"/>
    <cellStyle name="표준 5 2 3 2 4 3 3 2 2 4" xfId="47726" xr:uid="{00000000-0005-0000-0000-0000244C0000}"/>
    <cellStyle name="표준 5 2 3 2 4 3 3 2 3" xfId="18968" xr:uid="{00000000-0005-0000-0000-0000254C0000}"/>
    <cellStyle name="표준 5 2 3 2 4 3 3 2 4" xfId="23130" xr:uid="{00000000-0005-0000-0000-0000264C0000}"/>
    <cellStyle name="표준 5 2 3 2 4 3 3 2 5" xfId="27226" xr:uid="{00000000-0005-0000-0000-0000274C0000}"/>
    <cellStyle name="표준 5 2 3 2 4 3 3 2 6" xfId="35437" xr:uid="{00000000-0005-0000-0000-0000284C0000}"/>
    <cellStyle name="표준 5 2 3 2 4 3 3 2 7" xfId="43630" xr:uid="{00000000-0005-0000-0000-0000294C0000}"/>
    <cellStyle name="표준 5 2 3 2 4 3 3 3" xfId="8568" xr:uid="{00000000-0005-0000-0000-00002A4C0000}"/>
    <cellStyle name="표준 5 2 3 2 4 3 3 3 2" xfId="29274" xr:uid="{00000000-0005-0000-0000-00002B4C0000}"/>
    <cellStyle name="표준 5 2 3 2 4 3 3 3 3" xfId="37485" xr:uid="{00000000-0005-0000-0000-00002C4C0000}"/>
    <cellStyle name="표준 5 2 3 2 4 3 3 3 4" xfId="45678" xr:uid="{00000000-0005-0000-0000-00002D4C0000}"/>
    <cellStyle name="표준 5 2 3 2 4 3 3 4" xfId="12680" xr:uid="{00000000-0005-0000-0000-00002E4C0000}"/>
    <cellStyle name="표준 5 2 3 2 4 3 3 5" xfId="16920" xr:uid="{00000000-0005-0000-0000-00002F4C0000}"/>
    <cellStyle name="표준 5 2 3 2 4 3 3 6" xfId="21082" xr:uid="{00000000-0005-0000-0000-0000304C0000}"/>
    <cellStyle name="표준 5 2 3 2 4 3 3 7" xfId="25178" xr:uid="{00000000-0005-0000-0000-0000314C0000}"/>
    <cellStyle name="표준 5 2 3 2 4 3 3 8" xfId="33389" xr:uid="{00000000-0005-0000-0000-0000324C0000}"/>
    <cellStyle name="표준 5 2 3 2 4 3 3 9" xfId="41582" xr:uid="{00000000-0005-0000-0000-0000334C0000}"/>
    <cellStyle name="표준 5 2 3 2 4 3 4" xfId="2225" xr:uid="{00000000-0005-0000-0000-0000344C0000}"/>
    <cellStyle name="표준 5 2 3 2 4 3 4 2" xfId="11128" xr:uid="{00000000-0005-0000-0000-0000354C0000}"/>
    <cellStyle name="표준 5 2 3 2 4 3 4 2 2" xfId="15240" xr:uid="{00000000-0005-0000-0000-0000364C0000}"/>
    <cellStyle name="표준 5 2 3 2 4 3 4 2 2 2" xfId="31834" xr:uid="{00000000-0005-0000-0000-0000374C0000}"/>
    <cellStyle name="표준 5 2 3 2 4 3 4 2 2 3" xfId="40045" xr:uid="{00000000-0005-0000-0000-0000384C0000}"/>
    <cellStyle name="표준 5 2 3 2 4 3 4 2 2 4" xfId="48238" xr:uid="{00000000-0005-0000-0000-0000394C0000}"/>
    <cellStyle name="표준 5 2 3 2 4 3 4 2 3" xfId="19480" xr:uid="{00000000-0005-0000-0000-00003A4C0000}"/>
    <cellStyle name="표준 5 2 3 2 4 3 4 2 4" xfId="23642" xr:uid="{00000000-0005-0000-0000-00003B4C0000}"/>
    <cellStyle name="표준 5 2 3 2 4 3 4 2 5" xfId="27738" xr:uid="{00000000-0005-0000-0000-00003C4C0000}"/>
    <cellStyle name="표준 5 2 3 2 4 3 4 2 6" xfId="35949" xr:uid="{00000000-0005-0000-0000-00003D4C0000}"/>
    <cellStyle name="표준 5 2 3 2 4 3 4 2 7" xfId="44142" xr:uid="{00000000-0005-0000-0000-00003E4C0000}"/>
    <cellStyle name="표준 5 2 3 2 4 3 4 3" xfId="9080" xr:uid="{00000000-0005-0000-0000-00003F4C0000}"/>
    <cellStyle name="표준 5 2 3 2 4 3 4 3 2" xfId="29786" xr:uid="{00000000-0005-0000-0000-0000404C0000}"/>
    <cellStyle name="표준 5 2 3 2 4 3 4 3 3" xfId="37997" xr:uid="{00000000-0005-0000-0000-0000414C0000}"/>
    <cellStyle name="표준 5 2 3 2 4 3 4 3 4" xfId="46190" xr:uid="{00000000-0005-0000-0000-0000424C0000}"/>
    <cellStyle name="표준 5 2 3 2 4 3 4 4" xfId="13192" xr:uid="{00000000-0005-0000-0000-0000434C0000}"/>
    <cellStyle name="표준 5 2 3 2 4 3 4 5" xfId="17432" xr:uid="{00000000-0005-0000-0000-0000444C0000}"/>
    <cellStyle name="표준 5 2 3 2 4 3 4 6" xfId="21594" xr:uid="{00000000-0005-0000-0000-0000454C0000}"/>
    <cellStyle name="표준 5 2 3 2 4 3 4 7" xfId="25690" xr:uid="{00000000-0005-0000-0000-0000464C0000}"/>
    <cellStyle name="표준 5 2 3 2 4 3 4 8" xfId="33901" xr:uid="{00000000-0005-0000-0000-0000474C0000}"/>
    <cellStyle name="표준 5 2 3 2 4 3 4 9" xfId="42094" xr:uid="{00000000-0005-0000-0000-0000484C0000}"/>
    <cellStyle name="표준 5 2 3 2 4 3 5" xfId="9592" xr:uid="{00000000-0005-0000-0000-0000494C0000}"/>
    <cellStyle name="표준 5 2 3 2 4 3 5 2" xfId="13704" xr:uid="{00000000-0005-0000-0000-00004A4C0000}"/>
    <cellStyle name="표준 5 2 3 2 4 3 5 2 2" xfId="30298" xr:uid="{00000000-0005-0000-0000-00004B4C0000}"/>
    <cellStyle name="표준 5 2 3 2 4 3 5 2 3" xfId="38509" xr:uid="{00000000-0005-0000-0000-00004C4C0000}"/>
    <cellStyle name="표준 5 2 3 2 4 3 5 2 4" xfId="46702" xr:uid="{00000000-0005-0000-0000-00004D4C0000}"/>
    <cellStyle name="표준 5 2 3 2 4 3 5 3" xfId="17944" xr:uid="{00000000-0005-0000-0000-00004E4C0000}"/>
    <cellStyle name="표준 5 2 3 2 4 3 5 4" xfId="22106" xr:uid="{00000000-0005-0000-0000-00004F4C0000}"/>
    <cellStyle name="표준 5 2 3 2 4 3 5 5" xfId="26202" xr:uid="{00000000-0005-0000-0000-0000504C0000}"/>
    <cellStyle name="표준 5 2 3 2 4 3 5 6" xfId="34413" xr:uid="{00000000-0005-0000-0000-0000514C0000}"/>
    <cellStyle name="표준 5 2 3 2 4 3 5 7" xfId="42606" xr:uid="{00000000-0005-0000-0000-0000524C0000}"/>
    <cellStyle name="표준 5 2 3 2 4 3 6" xfId="7544" xr:uid="{00000000-0005-0000-0000-0000534C0000}"/>
    <cellStyle name="표준 5 2 3 2 4 3 6 2" xfId="28250" xr:uid="{00000000-0005-0000-0000-0000544C0000}"/>
    <cellStyle name="표준 5 2 3 2 4 3 6 3" xfId="36461" xr:uid="{00000000-0005-0000-0000-0000554C0000}"/>
    <cellStyle name="표준 5 2 3 2 4 3 6 4" xfId="44654" xr:uid="{00000000-0005-0000-0000-0000564C0000}"/>
    <cellStyle name="표준 5 2 3 2 4 3 7" xfId="11656" xr:uid="{00000000-0005-0000-0000-0000574C0000}"/>
    <cellStyle name="표준 5 2 3 2 4 3 8" xfId="15896" xr:uid="{00000000-0005-0000-0000-0000584C0000}"/>
    <cellStyle name="표준 5 2 3 2 4 3 9" xfId="20058" xr:uid="{00000000-0005-0000-0000-0000594C0000}"/>
    <cellStyle name="표준 5 2 3 2 4 4" xfId="945" xr:uid="{00000000-0005-0000-0000-00005A4C0000}"/>
    <cellStyle name="표준 5 2 3 2 4 4 2" xfId="9848" xr:uid="{00000000-0005-0000-0000-00005B4C0000}"/>
    <cellStyle name="표준 5 2 3 2 4 4 2 2" xfId="13960" xr:uid="{00000000-0005-0000-0000-00005C4C0000}"/>
    <cellStyle name="표준 5 2 3 2 4 4 2 2 2" xfId="30554" xr:uid="{00000000-0005-0000-0000-00005D4C0000}"/>
    <cellStyle name="표준 5 2 3 2 4 4 2 2 3" xfId="38765" xr:uid="{00000000-0005-0000-0000-00005E4C0000}"/>
    <cellStyle name="표준 5 2 3 2 4 4 2 2 4" xfId="46958" xr:uid="{00000000-0005-0000-0000-00005F4C0000}"/>
    <cellStyle name="표준 5 2 3 2 4 4 2 3" xfId="18200" xr:uid="{00000000-0005-0000-0000-0000604C0000}"/>
    <cellStyle name="표준 5 2 3 2 4 4 2 4" xfId="22362" xr:uid="{00000000-0005-0000-0000-0000614C0000}"/>
    <cellStyle name="표준 5 2 3 2 4 4 2 5" xfId="26458" xr:uid="{00000000-0005-0000-0000-0000624C0000}"/>
    <cellStyle name="표준 5 2 3 2 4 4 2 6" xfId="34669" xr:uid="{00000000-0005-0000-0000-0000634C0000}"/>
    <cellStyle name="표준 5 2 3 2 4 4 2 7" xfId="42862" xr:uid="{00000000-0005-0000-0000-0000644C0000}"/>
    <cellStyle name="표준 5 2 3 2 4 4 3" xfId="7800" xr:uid="{00000000-0005-0000-0000-0000654C0000}"/>
    <cellStyle name="표준 5 2 3 2 4 4 3 2" xfId="28506" xr:uid="{00000000-0005-0000-0000-0000664C0000}"/>
    <cellStyle name="표준 5 2 3 2 4 4 3 3" xfId="36717" xr:uid="{00000000-0005-0000-0000-0000674C0000}"/>
    <cellStyle name="표준 5 2 3 2 4 4 3 4" xfId="44910" xr:uid="{00000000-0005-0000-0000-0000684C0000}"/>
    <cellStyle name="표준 5 2 3 2 4 4 4" xfId="11912" xr:uid="{00000000-0005-0000-0000-0000694C0000}"/>
    <cellStyle name="표준 5 2 3 2 4 4 5" xfId="16152" xr:uid="{00000000-0005-0000-0000-00006A4C0000}"/>
    <cellStyle name="표준 5 2 3 2 4 4 6" xfId="20314" xr:uid="{00000000-0005-0000-0000-00006B4C0000}"/>
    <cellStyle name="표준 5 2 3 2 4 4 7" xfId="24410" xr:uid="{00000000-0005-0000-0000-00006C4C0000}"/>
    <cellStyle name="표준 5 2 3 2 4 4 8" xfId="32621" xr:uid="{00000000-0005-0000-0000-00006D4C0000}"/>
    <cellStyle name="표준 5 2 3 2 4 4 9" xfId="40814" xr:uid="{00000000-0005-0000-0000-00006E4C0000}"/>
    <cellStyle name="표준 5 2 3 2 4 5" xfId="1457" xr:uid="{00000000-0005-0000-0000-00006F4C0000}"/>
    <cellStyle name="표준 5 2 3 2 4 5 2" xfId="10360" xr:uid="{00000000-0005-0000-0000-0000704C0000}"/>
    <cellStyle name="표준 5 2 3 2 4 5 2 2" xfId="14472" xr:uid="{00000000-0005-0000-0000-0000714C0000}"/>
    <cellStyle name="표준 5 2 3 2 4 5 2 2 2" xfId="31066" xr:uid="{00000000-0005-0000-0000-0000724C0000}"/>
    <cellStyle name="표준 5 2 3 2 4 5 2 2 3" xfId="39277" xr:uid="{00000000-0005-0000-0000-0000734C0000}"/>
    <cellStyle name="표준 5 2 3 2 4 5 2 2 4" xfId="47470" xr:uid="{00000000-0005-0000-0000-0000744C0000}"/>
    <cellStyle name="표준 5 2 3 2 4 5 2 3" xfId="18712" xr:uid="{00000000-0005-0000-0000-0000754C0000}"/>
    <cellStyle name="표준 5 2 3 2 4 5 2 4" xfId="22874" xr:uid="{00000000-0005-0000-0000-0000764C0000}"/>
    <cellStyle name="표준 5 2 3 2 4 5 2 5" xfId="26970" xr:uid="{00000000-0005-0000-0000-0000774C0000}"/>
    <cellStyle name="표준 5 2 3 2 4 5 2 6" xfId="35181" xr:uid="{00000000-0005-0000-0000-0000784C0000}"/>
    <cellStyle name="표준 5 2 3 2 4 5 2 7" xfId="43374" xr:uid="{00000000-0005-0000-0000-0000794C0000}"/>
    <cellStyle name="표준 5 2 3 2 4 5 3" xfId="8312" xr:uid="{00000000-0005-0000-0000-00007A4C0000}"/>
    <cellStyle name="표준 5 2 3 2 4 5 3 2" xfId="29018" xr:uid="{00000000-0005-0000-0000-00007B4C0000}"/>
    <cellStyle name="표준 5 2 3 2 4 5 3 3" xfId="37229" xr:uid="{00000000-0005-0000-0000-00007C4C0000}"/>
    <cellStyle name="표준 5 2 3 2 4 5 3 4" xfId="45422" xr:uid="{00000000-0005-0000-0000-00007D4C0000}"/>
    <cellStyle name="표준 5 2 3 2 4 5 4" xfId="12424" xr:uid="{00000000-0005-0000-0000-00007E4C0000}"/>
    <cellStyle name="표준 5 2 3 2 4 5 5" xfId="16664" xr:uid="{00000000-0005-0000-0000-00007F4C0000}"/>
    <cellStyle name="표준 5 2 3 2 4 5 6" xfId="20826" xr:uid="{00000000-0005-0000-0000-0000804C0000}"/>
    <cellStyle name="표준 5 2 3 2 4 5 7" xfId="24922" xr:uid="{00000000-0005-0000-0000-0000814C0000}"/>
    <cellStyle name="표준 5 2 3 2 4 5 8" xfId="33133" xr:uid="{00000000-0005-0000-0000-0000824C0000}"/>
    <cellStyle name="표준 5 2 3 2 4 5 9" xfId="41326" xr:uid="{00000000-0005-0000-0000-0000834C0000}"/>
    <cellStyle name="표준 5 2 3 2 4 6" xfId="1969" xr:uid="{00000000-0005-0000-0000-0000844C0000}"/>
    <cellStyle name="표준 5 2 3 2 4 6 2" xfId="10872" xr:uid="{00000000-0005-0000-0000-0000854C0000}"/>
    <cellStyle name="표준 5 2 3 2 4 6 2 2" xfId="14984" xr:uid="{00000000-0005-0000-0000-0000864C0000}"/>
    <cellStyle name="표준 5 2 3 2 4 6 2 2 2" xfId="31578" xr:uid="{00000000-0005-0000-0000-0000874C0000}"/>
    <cellStyle name="표준 5 2 3 2 4 6 2 2 3" xfId="39789" xr:uid="{00000000-0005-0000-0000-0000884C0000}"/>
    <cellStyle name="표준 5 2 3 2 4 6 2 2 4" xfId="47982" xr:uid="{00000000-0005-0000-0000-0000894C0000}"/>
    <cellStyle name="표준 5 2 3 2 4 6 2 3" xfId="19224" xr:uid="{00000000-0005-0000-0000-00008A4C0000}"/>
    <cellStyle name="표준 5 2 3 2 4 6 2 4" xfId="23386" xr:uid="{00000000-0005-0000-0000-00008B4C0000}"/>
    <cellStyle name="표준 5 2 3 2 4 6 2 5" xfId="27482" xr:uid="{00000000-0005-0000-0000-00008C4C0000}"/>
    <cellStyle name="표준 5 2 3 2 4 6 2 6" xfId="35693" xr:uid="{00000000-0005-0000-0000-00008D4C0000}"/>
    <cellStyle name="표준 5 2 3 2 4 6 2 7" xfId="43886" xr:uid="{00000000-0005-0000-0000-00008E4C0000}"/>
    <cellStyle name="표준 5 2 3 2 4 6 3" xfId="8824" xr:uid="{00000000-0005-0000-0000-00008F4C0000}"/>
    <cellStyle name="표준 5 2 3 2 4 6 3 2" xfId="29530" xr:uid="{00000000-0005-0000-0000-0000904C0000}"/>
    <cellStyle name="표준 5 2 3 2 4 6 3 3" xfId="37741" xr:uid="{00000000-0005-0000-0000-0000914C0000}"/>
    <cellStyle name="표준 5 2 3 2 4 6 3 4" xfId="45934" xr:uid="{00000000-0005-0000-0000-0000924C0000}"/>
    <cellStyle name="표준 5 2 3 2 4 6 4" xfId="12936" xr:uid="{00000000-0005-0000-0000-0000934C0000}"/>
    <cellStyle name="표준 5 2 3 2 4 6 5" xfId="17176" xr:uid="{00000000-0005-0000-0000-0000944C0000}"/>
    <cellStyle name="표준 5 2 3 2 4 6 6" xfId="21338" xr:uid="{00000000-0005-0000-0000-0000954C0000}"/>
    <cellStyle name="표준 5 2 3 2 4 6 7" xfId="25434" xr:uid="{00000000-0005-0000-0000-0000964C0000}"/>
    <cellStyle name="표준 5 2 3 2 4 6 8" xfId="33645" xr:uid="{00000000-0005-0000-0000-0000974C0000}"/>
    <cellStyle name="표준 5 2 3 2 4 6 9" xfId="41838" xr:uid="{00000000-0005-0000-0000-0000984C0000}"/>
    <cellStyle name="표준 5 2 3 2 4 7" xfId="7029" xr:uid="{00000000-0005-0000-0000-0000994C0000}"/>
    <cellStyle name="표준 5 2 3 2 4 7 2" xfId="9336" xr:uid="{00000000-0005-0000-0000-00009A4C0000}"/>
    <cellStyle name="표준 5 2 3 2 4 7 2 2" xfId="30042" xr:uid="{00000000-0005-0000-0000-00009B4C0000}"/>
    <cellStyle name="표준 5 2 3 2 4 7 2 3" xfId="38253" xr:uid="{00000000-0005-0000-0000-00009C4C0000}"/>
    <cellStyle name="표준 5 2 3 2 4 7 2 4" xfId="46446" xr:uid="{00000000-0005-0000-0000-00009D4C0000}"/>
    <cellStyle name="표준 5 2 3 2 4 7 3" xfId="13448" xr:uid="{00000000-0005-0000-0000-00009E4C0000}"/>
    <cellStyle name="표준 5 2 3 2 4 7 4" xfId="17688" xr:uid="{00000000-0005-0000-0000-00009F4C0000}"/>
    <cellStyle name="표준 5 2 3 2 4 7 5" xfId="21850" xr:uid="{00000000-0005-0000-0000-0000A04C0000}"/>
    <cellStyle name="표준 5 2 3 2 4 7 6" xfId="25946" xr:uid="{00000000-0005-0000-0000-0000A14C0000}"/>
    <cellStyle name="표준 5 2 3 2 4 7 7" xfId="34157" xr:uid="{00000000-0005-0000-0000-0000A24C0000}"/>
    <cellStyle name="표준 5 2 3 2 4 7 8" xfId="42350" xr:uid="{00000000-0005-0000-0000-0000A34C0000}"/>
    <cellStyle name="표준 5 2 3 2 4 8" xfId="7149" xr:uid="{00000000-0005-0000-0000-0000A44C0000}"/>
    <cellStyle name="표준 5 2 3 2 4 8 2" xfId="27994" xr:uid="{00000000-0005-0000-0000-0000A54C0000}"/>
    <cellStyle name="표준 5 2 3 2 4 8 3" xfId="36205" xr:uid="{00000000-0005-0000-0000-0000A64C0000}"/>
    <cellStyle name="표준 5 2 3 2 4 8 4" xfId="44398" xr:uid="{00000000-0005-0000-0000-0000A74C0000}"/>
    <cellStyle name="표준 5 2 3 2 4 9" xfId="7288" xr:uid="{00000000-0005-0000-0000-0000A84C0000}"/>
    <cellStyle name="표준 5 2 3 2 5" xfId="497" xr:uid="{00000000-0005-0000-0000-0000A94C0000}"/>
    <cellStyle name="표준 5 2 3 2 5 10" xfId="19866" xr:uid="{00000000-0005-0000-0000-0000AA4C0000}"/>
    <cellStyle name="표준 5 2 3 2 5 11" xfId="23962" xr:uid="{00000000-0005-0000-0000-0000AB4C0000}"/>
    <cellStyle name="표준 5 2 3 2 5 12" xfId="32173" xr:uid="{00000000-0005-0000-0000-0000AC4C0000}"/>
    <cellStyle name="표준 5 2 3 2 5 13" xfId="40366" xr:uid="{00000000-0005-0000-0000-0000AD4C0000}"/>
    <cellStyle name="표준 5 2 3 2 5 2" xfId="753" xr:uid="{00000000-0005-0000-0000-0000AE4C0000}"/>
    <cellStyle name="표준 5 2 3 2 5 2 10" xfId="24218" xr:uid="{00000000-0005-0000-0000-0000AF4C0000}"/>
    <cellStyle name="표준 5 2 3 2 5 2 11" xfId="32429" xr:uid="{00000000-0005-0000-0000-0000B04C0000}"/>
    <cellStyle name="표준 5 2 3 2 5 2 12" xfId="40622" xr:uid="{00000000-0005-0000-0000-0000B14C0000}"/>
    <cellStyle name="표준 5 2 3 2 5 2 2" xfId="1265" xr:uid="{00000000-0005-0000-0000-0000B24C0000}"/>
    <cellStyle name="표준 5 2 3 2 5 2 2 2" xfId="10168" xr:uid="{00000000-0005-0000-0000-0000B34C0000}"/>
    <cellStyle name="표준 5 2 3 2 5 2 2 2 2" xfId="14280" xr:uid="{00000000-0005-0000-0000-0000B44C0000}"/>
    <cellStyle name="표준 5 2 3 2 5 2 2 2 2 2" xfId="30874" xr:uid="{00000000-0005-0000-0000-0000B54C0000}"/>
    <cellStyle name="표준 5 2 3 2 5 2 2 2 2 3" xfId="39085" xr:uid="{00000000-0005-0000-0000-0000B64C0000}"/>
    <cellStyle name="표준 5 2 3 2 5 2 2 2 2 4" xfId="47278" xr:uid="{00000000-0005-0000-0000-0000B74C0000}"/>
    <cellStyle name="표준 5 2 3 2 5 2 2 2 3" xfId="18520" xr:uid="{00000000-0005-0000-0000-0000B84C0000}"/>
    <cellStyle name="표준 5 2 3 2 5 2 2 2 4" xfId="22682" xr:uid="{00000000-0005-0000-0000-0000B94C0000}"/>
    <cellStyle name="표준 5 2 3 2 5 2 2 2 5" xfId="26778" xr:uid="{00000000-0005-0000-0000-0000BA4C0000}"/>
    <cellStyle name="표준 5 2 3 2 5 2 2 2 6" xfId="34989" xr:uid="{00000000-0005-0000-0000-0000BB4C0000}"/>
    <cellStyle name="표준 5 2 3 2 5 2 2 2 7" xfId="43182" xr:uid="{00000000-0005-0000-0000-0000BC4C0000}"/>
    <cellStyle name="표준 5 2 3 2 5 2 2 3" xfId="8120" xr:uid="{00000000-0005-0000-0000-0000BD4C0000}"/>
    <cellStyle name="표준 5 2 3 2 5 2 2 3 2" xfId="28826" xr:uid="{00000000-0005-0000-0000-0000BE4C0000}"/>
    <cellStyle name="표준 5 2 3 2 5 2 2 3 3" xfId="37037" xr:uid="{00000000-0005-0000-0000-0000BF4C0000}"/>
    <cellStyle name="표준 5 2 3 2 5 2 2 3 4" xfId="45230" xr:uid="{00000000-0005-0000-0000-0000C04C0000}"/>
    <cellStyle name="표준 5 2 3 2 5 2 2 4" xfId="12232" xr:uid="{00000000-0005-0000-0000-0000C14C0000}"/>
    <cellStyle name="표준 5 2 3 2 5 2 2 5" xfId="16472" xr:uid="{00000000-0005-0000-0000-0000C24C0000}"/>
    <cellStyle name="표준 5 2 3 2 5 2 2 6" xfId="20634" xr:uid="{00000000-0005-0000-0000-0000C34C0000}"/>
    <cellStyle name="표준 5 2 3 2 5 2 2 7" xfId="24730" xr:uid="{00000000-0005-0000-0000-0000C44C0000}"/>
    <cellStyle name="표준 5 2 3 2 5 2 2 8" xfId="32941" xr:uid="{00000000-0005-0000-0000-0000C54C0000}"/>
    <cellStyle name="표준 5 2 3 2 5 2 2 9" xfId="41134" xr:uid="{00000000-0005-0000-0000-0000C64C0000}"/>
    <cellStyle name="표준 5 2 3 2 5 2 3" xfId="1777" xr:uid="{00000000-0005-0000-0000-0000C74C0000}"/>
    <cellStyle name="표준 5 2 3 2 5 2 3 2" xfId="10680" xr:uid="{00000000-0005-0000-0000-0000C84C0000}"/>
    <cellStyle name="표준 5 2 3 2 5 2 3 2 2" xfId="14792" xr:uid="{00000000-0005-0000-0000-0000C94C0000}"/>
    <cellStyle name="표준 5 2 3 2 5 2 3 2 2 2" xfId="31386" xr:uid="{00000000-0005-0000-0000-0000CA4C0000}"/>
    <cellStyle name="표준 5 2 3 2 5 2 3 2 2 3" xfId="39597" xr:uid="{00000000-0005-0000-0000-0000CB4C0000}"/>
    <cellStyle name="표준 5 2 3 2 5 2 3 2 2 4" xfId="47790" xr:uid="{00000000-0005-0000-0000-0000CC4C0000}"/>
    <cellStyle name="표준 5 2 3 2 5 2 3 2 3" xfId="19032" xr:uid="{00000000-0005-0000-0000-0000CD4C0000}"/>
    <cellStyle name="표준 5 2 3 2 5 2 3 2 4" xfId="23194" xr:uid="{00000000-0005-0000-0000-0000CE4C0000}"/>
    <cellStyle name="표준 5 2 3 2 5 2 3 2 5" xfId="27290" xr:uid="{00000000-0005-0000-0000-0000CF4C0000}"/>
    <cellStyle name="표준 5 2 3 2 5 2 3 2 6" xfId="35501" xr:uid="{00000000-0005-0000-0000-0000D04C0000}"/>
    <cellStyle name="표준 5 2 3 2 5 2 3 2 7" xfId="43694" xr:uid="{00000000-0005-0000-0000-0000D14C0000}"/>
    <cellStyle name="표준 5 2 3 2 5 2 3 3" xfId="8632" xr:uid="{00000000-0005-0000-0000-0000D24C0000}"/>
    <cellStyle name="표준 5 2 3 2 5 2 3 3 2" xfId="29338" xr:uid="{00000000-0005-0000-0000-0000D34C0000}"/>
    <cellStyle name="표준 5 2 3 2 5 2 3 3 3" xfId="37549" xr:uid="{00000000-0005-0000-0000-0000D44C0000}"/>
    <cellStyle name="표준 5 2 3 2 5 2 3 3 4" xfId="45742" xr:uid="{00000000-0005-0000-0000-0000D54C0000}"/>
    <cellStyle name="표준 5 2 3 2 5 2 3 4" xfId="12744" xr:uid="{00000000-0005-0000-0000-0000D64C0000}"/>
    <cellStyle name="표준 5 2 3 2 5 2 3 5" xfId="16984" xr:uid="{00000000-0005-0000-0000-0000D74C0000}"/>
    <cellStyle name="표준 5 2 3 2 5 2 3 6" xfId="21146" xr:uid="{00000000-0005-0000-0000-0000D84C0000}"/>
    <cellStyle name="표준 5 2 3 2 5 2 3 7" xfId="25242" xr:uid="{00000000-0005-0000-0000-0000D94C0000}"/>
    <cellStyle name="표준 5 2 3 2 5 2 3 8" xfId="33453" xr:uid="{00000000-0005-0000-0000-0000DA4C0000}"/>
    <cellStyle name="표준 5 2 3 2 5 2 3 9" xfId="41646" xr:uid="{00000000-0005-0000-0000-0000DB4C0000}"/>
    <cellStyle name="표준 5 2 3 2 5 2 4" xfId="2289" xr:uid="{00000000-0005-0000-0000-0000DC4C0000}"/>
    <cellStyle name="표준 5 2 3 2 5 2 4 2" xfId="11192" xr:uid="{00000000-0005-0000-0000-0000DD4C0000}"/>
    <cellStyle name="표준 5 2 3 2 5 2 4 2 2" xfId="15304" xr:uid="{00000000-0005-0000-0000-0000DE4C0000}"/>
    <cellStyle name="표준 5 2 3 2 5 2 4 2 2 2" xfId="31898" xr:uid="{00000000-0005-0000-0000-0000DF4C0000}"/>
    <cellStyle name="표준 5 2 3 2 5 2 4 2 2 3" xfId="40109" xr:uid="{00000000-0005-0000-0000-0000E04C0000}"/>
    <cellStyle name="표준 5 2 3 2 5 2 4 2 2 4" xfId="48302" xr:uid="{00000000-0005-0000-0000-0000E14C0000}"/>
    <cellStyle name="표준 5 2 3 2 5 2 4 2 3" xfId="19544" xr:uid="{00000000-0005-0000-0000-0000E24C0000}"/>
    <cellStyle name="표준 5 2 3 2 5 2 4 2 4" xfId="23706" xr:uid="{00000000-0005-0000-0000-0000E34C0000}"/>
    <cellStyle name="표준 5 2 3 2 5 2 4 2 5" xfId="27802" xr:uid="{00000000-0005-0000-0000-0000E44C0000}"/>
    <cellStyle name="표준 5 2 3 2 5 2 4 2 6" xfId="36013" xr:uid="{00000000-0005-0000-0000-0000E54C0000}"/>
    <cellStyle name="표준 5 2 3 2 5 2 4 2 7" xfId="44206" xr:uid="{00000000-0005-0000-0000-0000E64C0000}"/>
    <cellStyle name="표준 5 2 3 2 5 2 4 3" xfId="9144" xr:uid="{00000000-0005-0000-0000-0000E74C0000}"/>
    <cellStyle name="표준 5 2 3 2 5 2 4 3 2" xfId="29850" xr:uid="{00000000-0005-0000-0000-0000E84C0000}"/>
    <cellStyle name="표준 5 2 3 2 5 2 4 3 3" xfId="38061" xr:uid="{00000000-0005-0000-0000-0000E94C0000}"/>
    <cellStyle name="표준 5 2 3 2 5 2 4 3 4" xfId="46254" xr:uid="{00000000-0005-0000-0000-0000EA4C0000}"/>
    <cellStyle name="표준 5 2 3 2 5 2 4 4" xfId="13256" xr:uid="{00000000-0005-0000-0000-0000EB4C0000}"/>
    <cellStyle name="표준 5 2 3 2 5 2 4 5" xfId="17496" xr:uid="{00000000-0005-0000-0000-0000EC4C0000}"/>
    <cellStyle name="표준 5 2 3 2 5 2 4 6" xfId="21658" xr:uid="{00000000-0005-0000-0000-0000ED4C0000}"/>
    <cellStyle name="표준 5 2 3 2 5 2 4 7" xfId="25754" xr:uid="{00000000-0005-0000-0000-0000EE4C0000}"/>
    <cellStyle name="표준 5 2 3 2 5 2 4 8" xfId="33965" xr:uid="{00000000-0005-0000-0000-0000EF4C0000}"/>
    <cellStyle name="표준 5 2 3 2 5 2 4 9" xfId="42158" xr:uid="{00000000-0005-0000-0000-0000F04C0000}"/>
    <cellStyle name="표준 5 2 3 2 5 2 5" xfId="9656" xr:uid="{00000000-0005-0000-0000-0000F14C0000}"/>
    <cellStyle name="표준 5 2 3 2 5 2 5 2" xfId="13768" xr:uid="{00000000-0005-0000-0000-0000F24C0000}"/>
    <cellStyle name="표준 5 2 3 2 5 2 5 2 2" xfId="30362" xr:uid="{00000000-0005-0000-0000-0000F34C0000}"/>
    <cellStyle name="표준 5 2 3 2 5 2 5 2 3" xfId="38573" xr:uid="{00000000-0005-0000-0000-0000F44C0000}"/>
    <cellStyle name="표준 5 2 3 2 5 2 5 2 4" xfId="46766" xr:uid="{00000000-0005-0000-0000-0000F54C0000}"/>
    <cellStyle name="표준 5 2 3 2 5 2 5 3" xfId="18008" xr:uid="{00000000-0005-0000-0000-0000F64C0000}"/>
    <cellStyle name="표준 5 2 3 2 5 2 5 4" xfId="22170" xr:uid="{00000000-0005-0000-0000-0000F74C0000}"/>
    <cellStyle name="표준 5 2 3 2 5 2 5 5" xfId="26266" xr:uid="{00000000-0005-0000-0000-0000F84C0000}"/>
    <cellStyle name="표준 5 2 3 2 5 2 5 6" xfId="34477" xr:uid="{00000000-0005-0000-0000-0000F94C0000}"/>
    <cellStyle name="표준 5 2 3 2 5 2 5 7" xfId="42670" xr:uid="{00000000-0005-0000-0000-0000FA4C0000}"/>
    <cellStyle name="표준 5 2 3 2 5 2 6" xfId="7608" xr:uid="{00000000-0005-0000-0000-0000FB4C0000}"/>
    <cellStyle name="표준 5 2 3 2 5 2 6 2" xfId="28314" xr:uid="{00000000-0005-0000-0000-0000FC4C0000}"/>
    <cellStyle name="표준 5 2 3 2 5 2 6 3" xfId="36525" xr:uid="{00000000-0005-0000-0000-0000FD4C0000}"/>
    <cellStyle name="표준 5 2 3 2 5 2 6 4" xfId="44718" xr:uid="{00000000-0005-0000-0000-0000FE4C0000}"/>
    <cellStyle name="표준 5 2 3 2 5 2 7" xfId="11720" xr:uid="{00000000-0005-0000-0000-0000FF4C0000}"/>
    <cellStyle name="표준 5 2 3 2 5 2 8" xfId="15960" xr:uid="{00000000-0005-0000-0000-0000004D0000}"/>
    <cellStyle name="표준 5 2 3 2 5 2 9" xfId="20122" xr:uid="{00000000-0005-0000-0000-0000014D0000}"/>
    <cellStyle name="표준 5 2 3 2 5 3" xfId="1009" xr:uid="{00000000-0005-0000-0000-0000024D0000}"/>
    <cellStyle name="표준 5 2 3 2 5 3 2" xfId="9912" xr:uid="{00000000-0005-0000-0000-0000034D0000}"/>
    <cellStyle name="표준 5 2 3 2 5 3 2 2" xfId="14024" xr:uid="{00000000-0005-0000-0000-0000044D0000}"/>
    <cellStyle name="표준 5 2 3 2 5 3 2 2 2" xfId="30618" xr:uid="{00000000-0005-0000-0000-0000054D0000}"/>
    <cellStyle name="표준 5 2 3 2 5 3 2 2 3" xfId="38829" xr:uid="{00000000-0005-0000-0000-0000064D0000}"/>
    <cellStyle name="표준 5 2 3 2 5 3 2 2 4" xfId="47022" xr:uid="{00000000-0005-0000-0000-0000074D0000}"/>
    <cellStyle name="표준 5 2 3 2 5 3 2 3" xfId="18264" xr:uid="{00000000-0005-0000-0000-0000084D0000}"/>
    <cellStyle name="표준 5 2 3 2 5 3 2 4" xfId="22426" xr:uid="{00000000-0005-0000-0000-0000094D0000}"/>
    <cellStyle name="표준 5 2 3 2 5 3 2 5" xfId="26522" xr:uid="{00000000-0005-0000-0000-00000A4D0000}"/>
    <cellStyle name="표준 5 2 3 2 5 3 2 6" xfId="34733" xr:uid="{00000000-0005-0000-0000-00000B4D0000}"/>
    <cellStyle name="표준 5 2 3 2 5 3 2 7" xfId="42926" xr:uid="{00000000-0005-0000-0000-00000C4D0000}"/>
    <cellStyle name="표준 5 2 3 2 5 3 3" xfId="7864" xr:uid="{00000000-0005-0000-0000-00000D4D0000}"/>
    <cellStyle name="표준 5 2 3 2 5 3 3 2" xfId="28570" xr:uid="{00000000-0005-0000-0000-00000E4D0000}"/>
    <cellStyle name="표준 5 2 3 2 5 3 3 3" xfId="36781" xr:uid="{00000000-0005-0000-0000-00000F4D0000}"/>
    <cellStyle name="표준 5 2 3 2 5 3 3 4" xfId="44974" xr:uid="{00000000-0005-0000-0000-0000104D0000}"/>
    <cellStyle name="표준 5 2 3 2 5 3 4" xfId="11976" xr:uid="{00000000-0005-0000-0000-0000114D0000}"/>
    <cellStyle name="표준 5 2 3 2 5 3 5" xfId="16216" xr:uid="{00000000-0005-0000-0000-0000124D0000}"/>
    <cellStyle name="표준 5 2 3 2 5 3 6" xfId="20378" xr:uid="{00000000-0005-0000-0000-0000134D0000}"/>
    <cellStyle name="표준 5 2 3 2 5 3 7" xfId="24474" xr:uid="{00000000-0005-0000-0000-0000144D0000}"/>
    <cellStyle name="표준 5 2 3 2 5 3 8" xfId="32685" xr:uid="{00000000-0005-0000-0000-0000154D0000}"/>
    <cellStyle name="표준 5 2 3 2 5 3 9" xfId="40878" xr:uid="{00000000-0005-0000-0000-0000164D0000}"/>
    <cellStyle name="표준 5 2 3 2 5 4" xfId="1521" xr:uid="{00000000-0005-0000-0000-0000174D0000}"/>
    <cellStyle name="표준 5 2 3 2 5 4 2" xfId="10424" xr:uid="{00000000-0005-0000-0000-0000184D0000}"/>
    <cellStyle name="표준 5 2 3 2 5 4 2 2" xfId="14536" xr:uid="{00000000-0005-0000-0000-0000194D0000}"/>
    <cellStyle name="표준 5 2 3 2 5 4 2 2 2" xfId="31130" xr:uid="{00000000-0005-0000-0000-00001A4D0000}"/>
    <cellStyle name="표준 5 2 3 2 5 4 2 2 3" xfId="39341" xr:uid="{00000000-0005-0000-0000-00001B4D0000}"/>
    <cellStyle name="표준 5 2 3 2 5 4 2 2 4" xfId="47534" xr:uid="{00000000-0005-0000-0000-00001C4D0000}"/>
    <cellStyle name="표준 5 2 3 2 5 4 2 3" xfId="18776" xr:uid="{00000000-0005-0000-0000-00001D4D0000}"/>
    <cellStyle name="표준 5 2 3 2 5 4 2 4" xfId="22938" xr:uid="{00000000-0005-0000-0000-00001E4D0000}"/>
    <cellStyle name="표준 5 2 3 2 5 4 2 5" xfId="27034" xr:uid="{00000000-0005-0000-0000-00001F4D0000}"/>
    <cellStyle name="표준 5 2 3 2 5 4 2 6" xfId="35245" xr:uid="{00000000-0005-0000-0000-0000204D0000}"/>
    <cellStyle name="표준 5 2 3 2 5 4 2 7" xfId="43438" xr:uid="{00000000-0005-0000-0000-0000214D0000}"/>
    <cellStyle name="표준 5 2 3 2 5 4 3" xfId="8376" xr:uid="{00000000-0005-0000-0000-0000224D0000}"/>
    <cellStyle name="표준 5 2 3 2 5 4 3 2" xfId="29082" xr:uid="{00000000-0005-0000-0000-0000234D0000}"/>
    <cellStyle name="표준 5 2 3 2 5 4 3 3" xfId="37293" xr:uid="{00000000-0005-0000-0000-0000244D0000}"/>
    <cellStyle name="표준 5 2 3 2 5 4 3 4" xfId="45486" xr:uid="{00000000-0005-0000-0000-0000254D0000}"/>
    <cellStyle name="표준 5 2 3 2 5 4 4" xfId="12488" xr:uid="{00000000-0005-0000-0000-0000264D0000}"/>
    <cellStyle name="표준 5 2 3 2 5 4 5" xfId="16728" xr:uid="{00000000-0005-0000-0000-0000274D0000}"/>
    <cellStyle name="표준 5 2 3 2 5 4 6" xfId="20890" xr:uid="{00000000-0005-0000-0000-0000284D0000}"/>
    <cellStyle name="표준 5 2 3 2 5 4 7" xfId="24986" xr:uid="{00000000-0005-0000-0000-0000294D0000}"/>
    <cellStyle name="표준 5 2 3 2 5 4 8" xfId="33197" xr:uid="{00000000-0005-0000-0000-00002A4D0000}"/>
    <cellStyle name="표준 5 2 3 2 5 4 9" xfId="41390" xr:uid="{00000000-0005-0000-0000-00002B4D0000}"/>
    <cellStyle name="표준 5 2 3 2 5 5" xfId="2033" xr:uid="{00000000-0005-0000-0000-00002C4D0000}"/>
    <cellStyle name="표준 5 2 3 2 5 5 2" xfId="10936" xr:uid="{00000000-0005-0000-0000-00002D4D0000}"/>
    <cellStyle name="표준 5 2 3 2 5 5 2 2" xfId="15048" xr:uid="{00000000-0005-0000-0000-00002E4D0000}"/>
    <cellStyle name="표준 5 2 3 2 5 5 2 2 2" xfId="31642" xr:uid="{00000000-0005-0000-0000-00002F4D0000}"/>
    <cellStyle name="표준 5 2 3 2 5 5 2 2 3" xfId="39853" xr:uid="{00000000-0005-0000-0000-0000304D0000}"/>
    <cellStyle name="표준 5 2 3 2 5 5 2 2 4" xfId="48046" xr:uid="{00000000-0005-0000-0000-0000314D0000}"/>
    <cellStyle name="표준 5 2 3 2 5 5 2 3" xfId="19288" xr:uid="{00000000-0005-0000-0000-0000324D0000}"/>
    <cellStyle name="표준 5 2 3 2 5 5 2 4" xfId="23450" xr:uid="{00000000-0005-0000-0000-0000334D0000}"/>
    <cellStyle name="표준 5 2 3 2 5 5 2 5" xfId="27546" xr:uid="{00000000-0005-0000-0000-0000344D0000}"/>
    <cellStyle name="표준 5 2 3 2 5 5 2 6" xfId="35757" xr:uid="{00000000-0005-0000-0000-0000354D0000}"/>
    <cellStyle name="표준 5 2 3 2 5 5 2 7" xfId="43950" xr:uid="{00000000-0005-0000-0000-0000364D0000}"/>
    <cellStyle name="표준 5 2 3 2 5 5 3" xfId="8888" xr:uid="{00000000-0005-0000-0000-0000374D0000}"/>
    <cellStyle name="표준 5 2 3 2 5 5 3 2" xfId="29594" xr:uid="{00000000-0005-0000-0000-0000384D0000}"/>
    <cellStyle name="표준 5 2 3 2 5 5 3 3" xfId="37805" xr:uid="{00000000-0005-0000-0000-0000394D0000}"/>
    <cellStyle name="표준 5 2 3 2 5 5 3 4" xfId="45998" xr:uid="{00000000-0005-0000-0000-00003A4D0000}"/>
    <cellStyle name="표준 5 2 3 2 5 5 4" xfId="13000" xr:uid="{00000000-0005-0000-0000-00003B4D0000}"/>
    <cellStyle name="표준 5 2 3 2 5 5 5" xfId="17240" xr:uid="{00000000-0005-0000-0000-00003C4D0000}"/>
    <cellStyle name="표준 5 2 3 2 5 5 6" xfId="21402" xr:uid="{00000000-0005-0000-0000-00003D4D0000}"/>
    <cellStyle name="표준 5 2 3 2 5 5 7" xfId="25498" xr:uid="{00000000-0005-0000-0000-00003E4D0000}"/>
    <cellStyle name="표준 5 2 3 2 5 5 8" xfId="33709" xr:uid="{00000000-0005-0000-0000-00003F4D0000}"/>
    <cellStyle name="표준 5 2 3 2 5 5 9" xfId="41902" xr:uid="{00000000-0005-0000-0000-0000404D0000}"/>
    <cellStyle name="표준 5 2 3 2 5 6" xfId="9400" xr:uid="{00000000-0005-0000-0000-0000414D0000}"/>
    <cellStyle name="표준 5 2 3 2 5 6 2" xfId="13512" xr:uid="{00000000-0005-0000-0000-0000424D0000}"/>
    <cellStyle name="표준 5 2 3 2 5 6 2 2" xfId="30106" xr:uid="{00000000-0005-0000-0000-0000434D0000}"/>
    <cellStyle name="표준 5 2 3 2 5 6 2 3" xfId="38317" xr:uid="{00000000-0005-0000-0000-0000444D0000}"/>
    <cellStyle name="표준 5 2 3 2 5 6 2 4" xfId="46510" xr:uid="{00000000-0005-0000-0000-0000454D0000}"/>
    <cellStyle name="표준 5 2 3 2 5 6 3" xfId="17752" xr:uid="{00000000-0005-0000-0000-0000464D0000}"/>
    <cellStyle name="표준 5 2 3 2 5 6 4" xfId="21914" xr:uid="{00000000-0005-0000-0000-0000474D0000}"/>
    <cellStyle name="표준 5 2 3 2 5 6 5" xfId="26010" xr:uid="{00000000-0005-0000-0000-0000484D0000}"/>
    <cellStyle name="표준 5 2 3 2 5 6 6" xfId="34221" xr:uid="{00000000-0005-0000-0000-0000494D0000}"/>
    <cellStyle name="표준 5 2 3 2 5 6 7" xfId="42414" xr:uid="{00000000-0005-0000-0000-00004A4D0000}"/>
    <cellStyle name="표준 5 2 3 2 5 7" xfId="7352" xr:uid="{00000000-0005-0000-0000-00004B4D0000}"/>
    <cellStyle name="표준 5 2 3 2 5 7 2" xfId="28058" xr:uid="{00000000-0005-0000-0000-00004C4D0000}"/>
    <cellStyle name="표준 5 2 3 2 5 7 3" xfId="36269" xr:uid="{00000000-0005-0000-0000-00004D4D0000}"/>
    <cellStyle name="표준 5 2 3 2 5 7 4" xfId="44462" xr:uid="{00000000-0005-0000-0000-00004E4D0000}"/>
    <cellStyle name="표준 5 2 3 2 5 8" xfId="11464" xr:uid="{00000000-0005-0000-0000-00004F4D0000}"/>
    <cellStyle name="표준 5 2 3 2 5 9" xfId="15704" xr:uid="{00000000-0005-0000-0000-0000504D0000}"/>
    <cellStyle name="표준 5 2 3 2 6" xfId="625" xr:uid="{00000000-0005-0000-0000-0000514D0000}"/>
    <cellStyle name="표준 5 2 3 2 6 10" xfId="24090" xr:uid="{00000000-0005-0000-0000-0000524D0000}"/>
    <cellStyle name="표준 5 2 3 2 6 11" xfId="32301" xr:uid="{00000000-0005-0000-0000-0000534D0000}"/>
    <cellStyle name="표준 5 2 3 2 6 12" xfId="40494" xr:uid="{00000000-0005-0000-0000-0000544D0000}"/>
    <cellStyle name="표준 5 2 3 2 6 2" xfId="1137" xr:uid="{00000000-0005-0000-0000-0000554D0000}"/>
    <cellStyle name="표준 5 2 3 2 6 2 2" xfId="10040" xr:uid="{00000000-0005-0000-0000-0000564D0000}"/>
    <cellStyle name="표준 5 2 3 2 6 2 2 2" xfId="14152" xr:uid="{00000000-0005-0000-0000-0000574D0000}"/>
    <cellStyle name="표준 5 2 3 2 6 2 2 2 2" xfId="30746" xr:uid="{00000000-0005-0000-0000-0000584D0000}"/>
    <cellStyle name="표준 5 2 3 2 6 2 2 2 3" xfId="38957" xr:uid="{00000000-0005-0000-0000-0000594D0000}"/>
    <cellStyle name="표준 5 2 3 2 6 2 2 2 4" xfId="47150" xr:uid="{00000000-0005-0000-0000-00005A4D0000}"/>
    <cellStyle name="표준 5 2 3 2 6 2 2 3" xfId="18392" xr:uid="{00000000-0005-0000-0000-00005B4D0000}"/>
    <cellStyle name="표준 5 2 3 2 6 2 2 4" xfId="22554" xr:uid="{00000000-0005-0000-0000-00005C4D0000}"/>
    <cellStyle name="표준 5 2 3 2 6 2 2 5" xfId="26650" xr:uid="{00000000-0005-0000-0000-00005D4D0000}"/>
    <cellStyle name="표준 5 2 3 2 6 2 2 6" xfId="34861" xr:uid="{00000000-0005-0000-0000-00005E4D0000}"/>
    <cellStyle name="표준 5 2 3 2 6 2 2 7" xfId="43054" xr:uid="{00000000-0005-0000-0000-00005F4D0000}"/>
    <cellStyle name="표준 5 2 3 2 6 2 3" xfId="7992" xr:uid="{00000000-0005-0000-0000-0000604D0000}"/>
    <cellStyle name="표준 5 2 3 2 6 2 3 2" xfId="28698" xr:uid="{00000000-0005-0000-0000-0000614D0000}"/>
    <cellStyle name="표준 5 2 3 2 6 2 3 3" xfId="36909" xr:uid="{00000000-0005-0000-0000-0000624D0000}"/>
    <cellStyle name="표준 5 2 3 2 6 2 3 4" xfId="45102" xr:uid="{00000000-0005-0000-0000-0000634D0000}"/>
    <cellStyle name="표준 5 2 3 2 6 2 4" xfId="12104" xr:uid="{00000000-0005-0000-0000-0000644D0000}"/>
    <cellStyle name="표준 5 2 3 2 6 2 5" xfId="16344" xr:uid="{00000000-0005-0000-0000-0000654D0000}"/>
    <cellStyle name="표준 5 2 3 2 6 2 6" xfId="20506" xr:uid="{00000000-0005-0000-0000-0000664D0000}"/>
    <cellStyle name="표준 5 2 3 2 6 2 7" xfId="24602" xr:uid="{00000000-0005-0000-0000-0000674D0000}"/>
    <cellStyle name="표준 5 2 3 2 6 2 8" xfId="32813" xr:uid="{00000000-0005-0000-0000-0000684D0000}"/>
    <cellStyle name="표준 5 2 3 2 6 2 9" xfId="41006" xr:uid="{00000000-0005-0000-0000-0000694D0000}"/>
    <cellStyle name="표준 5 2 3 2 6 3" xfId="1649" xr:uid="{00000000-0005-0000-0000-00006A4D0000}"/>
    <cellStyle name="표준 5 2 3 2 6 3 2" xfId="10552" xr:uid="{00000000-0005-0000-0000-00006B4D0000}"/>
    <cellStyle name="표준 5 2 3 2 6 3 2 2" xfId="14664" xr:uid="{00000000-0005-0000-0000-00006C4D0000}"/>
    <cellStyle name="표준 5 2 3 2 6 3 2 2 2" xfId="31258" xr:uid="{00000000-0005-0000-0000-00006D4D0000}"/>
    <cellStyle name="표준 5 2 3 2 6 3 2 2 3" xfId="39469" xr:uid="{00000000-0005-0000-0000-00006E4D0000}"/>
    <cellStyle name="표준 5 2 3 2 6 3 2 2 4" xfId="47662" xr:uid="{00000000-0005-0000-0000-00006F4D0000}"/>
    <cellStyle name="표준 5 2 3 2 6 3 2 3" xfId="18904" xr:uid="{00000000-0005-0000-0000-0000704D0000}"/>
    <cellStyle name="표준 5 2 3 2 6 3 2 4" xfId="23066" xr:uid="{00000000-0005-0000-0000-0000714D0000}"/>
    <cellStyle name="표준 5 2 3 2 6 3 2 5" xfId="27162" xr:uid="{00000000-0005-0000-0000-0000724D0000}"/>
    <cellStyle name="표준 5 2 3 2 6 3 2 6" xfId="35373" xr:uid="{00000000-0005-0000-0000-0000734D0000}"/>
    <cellStyle name="표준 5 2 3 2 6 3 2 7" xfId="43566" xr:uid="{00000000-0005-0000-0000-0000744D0000}"/>
    <cellStyle name="표준 5 2 3 2 6 3 3" xfId="8504" xr:uid="{00000000-0005-0000-0000-0000754D0000}"/>
    <cellStyle name="표준 5 2 3 2 6 3 3 2" xfId="29210" xr:uid="{00000000-0005-0000-0000-0000764D0000}"/>
    <cellStyle name="표준 5 2 3 2 6 3 3 3" xfId="37421" xr:uid="{00000000-0005-0000-0000-0000774D0000}"/>
    <cellStyle name="표준 5 2 3 2 6 3 3 4" xfId="45614" xr:uid="{00000000-0005-0000-0000-0000784D0000}"/>
    <cellStyle name="표준 5 2 3 2 6 3 4" xfId="12616" xr:uid="{00000000-0005-0000-0000-0000794D0000}"/>
    <cellStyle name="표준 5 2 3 2 6 3 5" xfId="16856" xr:uid="{00000000-0005-0000-0000-00007A4D0000}"/>
    <cellStyle name="표준 5 2 3 2 6 3 6" xfId="21018" xr:uid="{00000000-0005-0000-0000-00007B4D0000}"/>
    <cellStyle name="표준 5 2 3 2 6 3 7" xfId="25114" xr:uid="{00000000-0005-0000-0000-00007C4D0000}"/>
    <cellStyle name="표준 5 2 3 2 6 3 8" xfId="33325" xr:uid="{00000000-0005-0000-0000-00007D4D0000}"/>
    <cellStyle name="표준 5 2 3 2 6 3 9" xfId="41518" xr:uid="{00000000-0005-0000-0000-00007E4D0000}"/>
    <cellStyle name="표준 5 2 3 2 6 4" xfId="2161" xr:uid="{00000000-0005-0000-0000-00007F4D0000}"/>
    <cellStyle name="표준 5 2 3 2 6 4 2" xfId="11064" xr:uid="{00000000-0005-0000-0000-0000804D0000}"/>
    <cellStyle name="표준 5 2 3 2 6 4 2 2" xfId="15176" xr:uid="{00000000-0005-0000-0000-0000814D0000}"/>
    <cellStyle name="표준 5 2 3 2 6 4 2 2 2" xfId="31770" xr:uid="{00000000-0005-0000-0000-0000824D0000}"/>
    <cellStyle name="표준 5 2 3 2 6 4 2 2 3" xfId="39981" xr:uid="{00000000-0005-0000-0000-0000834D0000}"/>
    <cellStyle name="표준 5 2 3 2 6 4 2 2 4" xfId="48174" xr:uid="{00000000-0005-0000-0000-0000844D0000}"/>
    <cellStyle name="표준 5 2 3 2 6 4 2 3" xfId="19416" xr:uid="{00000000-0005-0000-0000-0000854D0000}"/>
    <cellStyle name="표준 5 2 3 2 6 4 2 4" xfId="23578" xr:uid="{00000000-0005-0000-0000-0000864D0000}"/>
    <cellStyle name="표준 5 2 3 2 6 4 2 5" xfId="27674" xr:uid="{00000000-0005-0000-0000-0000874D0000}"/>
    <cellStyle name="표준 5 2 3 2 6 4 2 6" xfId="35885" xr:uid="{00000000-0005-0000-0000-0000884D0000}"/>
    <cellStyle name="표준 5 2 3 2 6 4 2 7" xfId="44078" xr:uid="{00000000-0005-0000-0000-0000894D0000}"/>
    <cellStyle name="표준 5 2 3 2 6 4 3" xfId="9016" xr:uid="{00000000-0005-0000-0000-00008A4D0000}"/>
    <cellStyle name="표준 5 2 3 2 6 4 3 2" xfId="29722" xr:uid="{00000000-0005-0000-0000-00008B4D0000}"/>
    <cellStyle name="표준 5 2 3 2 6 4 3 3" xfId="37933" xr:uid="{00000000-0005-0000-0000-00008C4D0000}"/>
    <cellStyle name="표준 5 2 3 2 6 4 3 4" xfId="46126" xr:uid="{00000000-0005-0000-0000-00008D4D0000}"/>
    <cellStyle name="표준 5 2 3 2 6 4 4" xfId="13128" xr:uid="{00000000-0005-0000-0000-00008E4D0000}"/>
    <cellStyle name="표준 5 2 3 2 6 4 5" xfId="17368" xr:uid="{00000000-0005-0000-0000-00008F4D0000}"/>
    <cellStyle name="표준 5 2 3 2 6 4 6" xfId="21530" xr:uid="{00000000-0005-0000-0000-0000904D0000}"/>
    <cellStyle name="표준 5 2 3 2 6 4 7" xfId="25626" xr:uid="{00000000-0005-0000-0000-0000914D0000}"/>
    <cellStyle name="표준 5 2 3 2 6 4 8" xfId="33837" xr:uid="{00000000-0005-0000-0000-0000924D0000}"/>
    <cellStyle name="표준 5 2 3 2 6 4 9" xfId="42030" xr:uid="{00000000-0005-0000-0000-0000934D0000}"/>
    <cellStyle name="표준 5 2 3 2 6 5" xfId="9528" xr:uid="{00000000-0005-0000-0000-0000944D0000}"/>
    <cellStyle name="표준 5 2 3 2 6 5 2" xfId="13640" xr:uid="{00000000-0005-0000-0000-0000954D0000}"/>
    <cellStyle name="표준 5 2 3 2 6 5 2 2" xfId="30234" xr:uid="{00000000-0005-0000-0000-0000964D0000}"/>
    <cellStyle name="표준 5 2 3 2 6 5 2 3" xfId="38445" xr:uid="{00000000-0005-0000-0000-0000974D0000}"/>
    <cellStyle name="표준 5 2 3 2 6 5 2 4" xfId="46638" xr:uid="{00000000-0005-0000-0000-0000984D0000}"/>
    <cellStyle name="표준 5 2 3 2 6 5 3" xfId="17880" xr:uid="{00000000-0005-0000-0000-0000994D0000}"/>
    <cellStyle name="표준 5 2 3 2 6 5 4" xfId="22042" xr:uid="{00000000-0005-0000-0000-00009A4D0000}"/>
    <cellStyle name="표준 5 2 3 2 6 5 5" xfId="26138" xr:uid="{00000000-0005-0000-0000-00009B4D0000}"/>
    <cellStyle name="표준 5 2 3 2 6 5 6" xfId="34349" xr:uid="{00000000-0005-0000-0000-00009C4D0000}"/>
    <cellStyle name="표준 5 2 3 2 6 5 7" xfId="42542" xr:uid="{00000000-0005-0000-0000-00009D4D0000}"/>
    <cellStyle name="표준 5 2 3 2 6 6" xfId="7480" xr:uid="{00000000-0005-0000-0000-00009E4D0000}"/>
    <cellStyle name="표준 5 2 3 2 6 6 2" xfId="28186" xr:uid="{00000000-0005-0000-0000-00009F4D0000}"/>
    <cellStyle name="표준 5 2 3 2 6 6 3" xfId="36397" xr:uid="{00000000-0005-0000-0000-0000A04D0000}"/>
    <cellStyle name="표준 5 2 3 2 6 6 4" xfId="44590" xr:uid="{00000000-0005-0000-0000-0000A14D0000}"/>
    <cellStyle name="표준 5 2 3 2 6 7" xfId="11592" xr:uid="{00000000-0005-0000-0000-0000A24D0000}"/>
    <cellStyle name="표준 5 2 3 2 6 8" xfId="15832" xr:uid="{00000000-0005-0000-0000-0000A34D0000}"/>
    <cellStyle name="표준 5 2 3 2 6 9" xfId="19994" xr:uid="{00000000-0005-0000-0000-0000A44D0000}"/>
    <cellStyle name="표준 5 2 3 2 7" xfId="881" xr:uid="{00000000-0005-0000-0000-0000A54D0000}"/>
    <cellStyle name="표준 5 2 3 2 7 2" xfId="9784" xr:uid="{00000000-0005-0000-0000-0000A64D0000}"/>
    <cellStyle name="표준 5 2 3 2 7 2 2" xfId="13896" xr:uid="{00000000-0005-0000-0000-0000A74D0000}"/>
    <cellStyle name="표준 5 2 3 2 7 2 2 2" xfId="30490" xr:uid="{00000000-0005-0000-0000-0000A84D0000}"/>
    <cellStyle name="표준 5 2 3 2 7 2 2 3" xfId="38701" xr:uid="{00000000-0005-0000-0000-0000A94D0000}"/>
    <cellStyle name="표준 5 2 3 2 7 2 2 4" xfId="46894" xr:uid="{00000000-0005-0000-0000-0000AA4D0000}"/>
    <cellStyle name="표준 5 2 3 2 7 2 3" xfId="18136" xr:uid="{00000000-0005-0000-0000-0000AB4D0000}"/>
    <cellStyle name="표준 5 2 3 2 7 2 4" xfId="22298" xr:uid="{00000000-0005-0000-0000-0000AC4D0000}"/>
    <cellStyle name="표준 5 2 3 2 7 2 5" xfId="26394" xr:uid="{00000000-0005-0000-0000-0000AD4D0000}"/>
    <cellStyle name="표준 5 2 3 2 7 2 6" xfId="34605" xr:uid="{00000000-0005-0000-0000-0000AE4D0000}"/>
    <cellStyle name="표준 5 2 3 2 7 2 7" xfId="42798" xr:uid="{00000000-0005-0000-0000-0000AF4D0000}"/>
    <cellStyle name="표준 5 2 3 2 7 3" xfId="7736" xr:uid="{00000000-0005-0000-0000-0000B04D0000}"/>
    <cellStyle name="표준 5 2 3 2 7 3 2" xfId="28442" xr:uid="{00000000-0005-0000-0000-0000B14D0000}"/>
    <cellStyle name="표준 5 2 3 2 7 3 3" xfId="36653" xr:uid="{00000000-0005-0000-0000-0000B24D0000}"/>
    <cellStyle name="표준 5 2 3 2 7 3 4" xfId="44846" xr:uid="{00000000-0005-0000-0000-0000B34D0000}"/>
    <cellStyle name="표준 5 2 3 2 7 4" xfId="11848" xr:uid="{00000000-0005-0000-0000-0000B44D0000}"/>
    <cellStyle name="표준 5 2 3 2 7 5" xfId="16088" xr:uid="{00000000-0005-0000-0000-0000B54D0000}"/>
    <cellStyle name="표준 5 2 3 2 7 6" xfId="20250" xr:uid="{00000000-0005-0000-0000-0000B64D0000}"/>
    <cellStyle name="표준 5 2 3 2 7 7" xfId="24346" xr:uid="{00000000-0005-0000-0000-0000B74D0000}"/>
    <cellStyle name="표준 5 2 3 2 7 8" xfId="32557" xr:uid="{00000000-0005-0000-0000-0000B84D0000}"/>
    <cellStyle name="표준 5 2 3 2 7 9" xfId="40750" xr:uid="{00000000-0005-0000-0000-0000B94D0000}"/>
    <cellStyle name="표준 5 2 3 2 8" xfId="1393" xr:uid="{00000000-0005-0000-0000-0000BA4D0000}"/>
    <cellStyle name="표준 5 2 3 2 8 2" xfId="10296" xr:uid="{00000000-0005-0000-0000-0000BB4D0000}"/>
    <cellStyle name="표준 5 2 3 2 8 2 2" xfId="14408" xr:uid="{00000000-0005-0000-0000-0000BC4D0000}"/>
    <cellStyle name="표준 5 2 3 2 8 2 2 2" xfId="31002" xr:uid="{00000000-0005-0000-0000-0000BD4D0000}"/>
    <cellStyle name="표준 5 2 3 2 8 2 2 3" xfId="39213" xr:uid="{00000000-0005-0000-0000-0000BE4D0000}"/>
    <cellStyle name="표준 5 2 3 2 8 2 2 4" xfId="47406" xr:uid="{00000000-0005-0000-0000-0000BF4D0000}"/>
    <cellStyle name="표준 5 2 3 2 8 2 3" xfId="18648" xr:uid="{00000000-0005-0000-0000-0000C04D0000}"/>
    <cellStyle name="표준 5 2 3 2 8 2 4" xfId="22810" xr:uid="{00000000-0005-0000-0000-0000C14D0000}"/>
    <cellStyle name="표준 5 2 3 2 8 2 5" xfId="26906" xr:uid="{00000000-0005-0000-0000-0000C24D0000}"/>
    <cellStyle name="표준 5 2 3 2 8 2 6" xfId="35117" xr:uid="{00000000-0005-0000-0000-0000C34D0000}"/>
    <cellStyle name="표준 5 2 3 2 8 2 7" xfId="43310" xr:uid="{00000000-0005-0000-0000-0000C44D0000}"/>
    <cellStyle name="표준 5 2 3 2 8 3" xfId="8248" xr:uid="{00000000-0005-0000-0000-0000C54D0000}"/>
    <cellStyle name="표준 5 2 3 2 8 3 2" xfId="28954" xr:uid="{00000000-0005-0000-0000-0000C64D0000}"/>
    <cellStyle name="표준 5 2 3 2 8 3 3" xfId="37165" xr:uid="{00000000-0005-0000-0000-0000C74D0000}"/>
    <cellStyle name="표준 5 2 3 2 8 3 4" xfId="45358" xr:uid="{00000000-0005-0000-0000-0000C84D0000}"/>
    <cellStyle name="표준 5 2 3 2 8 4" xfId="12360" xr:uid="{00000000-0005-0000-0000-0000C94D0000}"/>
    <cellStyle name="표준 5 2 3 2 8 5" xfId="16600" xr:uid="{00000000-0005-0000-0000-0000CA4D0000}"/>
    <cellStyle name="표준 5 2 3 2 8 6" xfId="20762" xr:uid="{00000000-0005-0000-0000-0000CB4D0000}"/>
    <cellStyle name="표준 5 2 3 2 8 7" xfId="24858" xr:uid="{00000000-0005-0000-0000-0000CC4D0000}"/>
    <cellStyle name="표준 5 2 3 2 8 8" xfId="33069" xr:uid="{00000000-0005-0000-0000-0000CD4D0000}"/>
    <cellStyle name="표준 5 2 3 2 8 9" xfId="41262" xr:uid="{00000000-0005-0000-0000-0000CE4D0000}"/>
    <cellStyle name="표준 5 2 3 2 9" xfId="1905" xr:uid="{00000000-0005-0000-0000-0000CF4D0000}"/>
    <cellStyle name="표준 5 2 3 2 9 2" xfId="10808" xr:uid="{00000000-0005-0000-0000-0000D04D0000}"/>
    <cellStyle name="표준 5 2 3 2 9 2 2" xfId="14920" xr:uid="{00000000-0005-0000-0000-0000D14D0000}"/>
    <cellStyle name="표준 5 2 3 2 9 2 2 2" xfId="31514" xr:uid="{00000000-0005-0000-0000-0000D24D0000}"/>
    <cellStyle name="표준 5 2 3 2 9 2 2 3" xfId="39725" xr:uid="{00000000-0005-0000-0000-0000D34D0000}"/>
    <cellStyle name="표준 5 2 3 2 9 2 2 4" xfId="47918" xr:uid="{00000000-0005-0000-0000-0000D44D0000}"/>
    <cellStyle name="표준 5 2 3 2 9 2 3" xfId="19160" xr:uid="{00000000-0005-0000-0000-0000D54D0000}"/>
    <cellStyle name="표준 5 2 3 2 9 2 4" xfId="23322" xr:uid="{00000000-0005-0000-0000-0000D64D0000}"/>
    <cellStyle name="표준 5 2 3 2 9 2 5" xfId="27418" xr:uid="{00000000-0005-0000-0000-0000D74D0000}"/>
    <cellStyle name="표준 5 2 3 2 9 2 6" xfId="35629" xr:uid="{00000000-0005-0000-0000-0000D84D0000}"/>
    <cellStyle name="표준 5 2 3 2 9 2 7" xfId="43822" xr:uid="{00000000-0005-0000-0000-0000D94D0000}"/>
    <cellStyle name="표준 5 2 3 2 9 3" xfId="8760" xr:uid="{00000000-0005-0000-0000-0000DA4D0000}"/>
    <cellStyle name="표준 5 2 3 2 9 3 2" xfId="29466" xr:uid="{00000000-0005-0000-0000-0000DB4D0000}"/>
    <cellStyle name="표준 5 2 3 2 9 3 3" xfId="37677" xr:uid="{00000000-0005-0000-0000-0000DC4D0000}"/>
    <cellStyle name="표준 5 2 3 2 9 3 4" xfId="45870" xr:uid="{00000000-0005-0000-0000-0000DD4D0000}"/>
    <cellStyle name="표준 5 2 3 2 9 4" xfId="12872" xr:uid="{00000000-0005-0000-0000-0000DE4D0000}"/>
    <cellStyle name="표준 5 2 3 2 9 5" xfId="17112" xr:uid="{00000000-0005-0000-0000-0000DF4D0000}"/>
    <cellStyle name="표준 5 2 3 2 9 6" xfId="21274" xr:uid="{00000000-0005-0000-0000-0000E04D0000}"/>
    <cellStyle name="표준 5 2 3 2 9 7" xfId="25370" xr:uid="{00000000-0005-0000-0000-0000E14D0000}"/>
    <cellStyle name="표준 5 2 3 2 9 8" xfId="33581" xr:uid="{00000000-0005-0000-0000-0000E24D0000}"/>
    <cellStyle name="표준 5 2 3 2 9 9" xfId="41774" xr:uid="{00000000-0005-0000-0000-0000E34D0000}"/>
    <cellStyle name="표준 5 2 3 20" xfId="15424" xr:uid="{00000000-0005-0000-0000-0000E44D0000}"/>
    <cellStyle name="표준 5 2 3 21" xfId="15440" xr:uid="{00000000-0005-0000-0000-0000E54D0000}"/>
    <cellStyle name="표준 5 2 3 22" xfId="15456" xr:uid="{00000000-0005-0000-0000-0000E64D0000}"/>
    <cellStyle name="표준 5 2 3 23" xfId="15552" xr:uid="{00000000-0005-0000-0000-0000E74D0000}"/>
    <cellStyle name="표준 5 2 3 24" xfId="15568" xr:uid="{00000000-0005-0000-0000-0000E84D0000}"/>
    <cellStyle name="표준 5 2 3 25" xfId="19664" xr:uid="{00000000-0005-0000-0000-0000E94D0000}"/>
    <cellStyle name="표준 5 2 3 26" xfId="19680" xr:uid="{00000000-0005-0000-0000-0000EA4D0000}"/>
    <cellStyle name="표준 5 2 3 27" xfId="19696" xr:uid="{00000000-0005-0000-0000-0000EB4D0000}"/>
    <cellStyle name="표준 5 2 3 28" xfId="19712" xr:uid="{00000000-0005-0000-0000-0000EC4D0000}"/>
    <cellStyle name="표준 5 2 3 29" xfId="19740" xr:uid="{00000000-0005-0000-0000-0000ED4D0000}"/>
    <cellStyle name="표준 5 2 3 3" xfId="152" xr:uid="{00000000-0005-0000-0000-0000EE4D0000}"/>
    <cellStyle name="표준 5 2 3 3 10" xfId="7189" xr:uid="{00000000-0005-0000-0000-0000EF4D0000}"/>
    <cellStyle name="표준 5 2 3 3 10 2" xfId="27938" xr:uid="{00000000-0005-0000-0000-0000F04D0000}"/>
    <cellStyle name="표준 5 2 3 3 10 3" xfId="36149" xr:uid="{00000000-0005-0000-0000-0000F14D0000}"/>
    <cellStyle name="표준 5 2 3 3 10 4" xfId="44342" xr:uid="{00000000-0005-0000-0000-0000F24D0000}"/>
    <cellStyle name="표준 5 2 3 3 11" xfId="7232" xr:uid="{00000000-0005-0000-0000-0000F34D0000}"/>
    <cellStyle name="표준 5 2 3 3 12" xfId="11344" xr:uid="{00000000-0005-0000-0000-0000F44D0000}"/>
    <cellStyle name="표준 5 2 3 3 13" xfId="15472" xr:uid="{00000000-0005-0000-0000-0000F54D0000}"/>
    <cellStyle name="표준 5 2 3 3 14" xfId="15584" xr:uid="{00000000-0005-0000-0000-0000F64D0000}"/>
    <cellStyle name="표준 5 2 3 3 15" xfId="19746" xr:uid="{00000000-0005-0000-0000-0000F74D0000}"/>
    <cellStyle name="표준 5 2 3 3 16" xfId="23842" xr:uid="{00000000-0005-0000-0000-0000F84D0000}"/>
    <cellStyle name="표준 5 2 3 3 17" xfId="32053" xr:uid="{00000000-0005-0000-0000-0000F94D0000}"/>
    <cellStyle name="표준 5 2 3 3 18" xfId="40246" xr:uid="{00000000-0005-0000-0000-0000FA4D0000}"/>
    <cellStyle name="표준 5 2 3 3 19" xfId="49647" xr:uid="{00000000-0005-0000-0000-0000FB4D0000}"/>
    <cellStyle name="표준 5 2 3 3 2" xfId="409" xr:uid="{00000000-0005-0000-0000-0000FC4D0000}"/>
    <cellStyle name="표준 5 2 3 3 2 10" xfId="7264" xr:uid="{00000000-0005-0000-0000-0000FD4D0000}"/>
    <cellStyle name="표준 5 2 3 3 2 11" xfId="11376" xr:uid="{00000000-0005-0000-0000-0000FE4D0000}"/>
    <cellStyle name="표준 5 2 3 3 2 12" xfId="15520" xr:uid="{00000000-0005-0000-0000-0000FF4D0000}"/>
    <cellStyle name="표준 5 2 3 3 2 13" xfId="15616" xr:uid="{00000000-0005-0000-0000-0000004E0000}"/>
    <cellStyle name="표준 5 2 3 3 2 14" xfId="19778" xr:uid="{00000000-0005-0000-0000-0000014E0000}"/>
    <cellStyle name="표준 5 2 3 3 2 15" xfId="23874" xr:uid="{00000000-0005-0000-0000-0000024E0000}"/>
    <cellStyle name="표준 5 2 3 3 2 16" xfId="32085" xr:uid="{00000000-0005-0000-0000-0000034E0000}"/>
    <cellStyle name="표준 5 2 3 3 2 17" xfId="40278" xr:uid="{00000000-0005-0000-0000-0000044E0000}"/>
    <cellStyle name="표준 5 2 3 3 2 18" xfId="49713" xr:uid="{00000000-0005-0000-0000-0000054E0000}"/>
    <cellStyle name="표준 5 2 3 3 2 2" xfId="473" xr:uid="{00000000-0005-0000-0000-0000064E0000}"/>
    <cellStyle name="표준 5 2 3 3 2 2 10" xfId="15680" xr:uid="{00000000-0005-0000-0000-0000074E0000}"/>
    <cellStyle name="표준 5 2 3 3 2 2 11" xfId="19842" xr:uid="{00000000-0005-0000-0000-0000084E0000}"/>
    <cellStyle name="표준 5 2 3 3 2 2 12" xfId="23938" xr:uid="{00000000-0005-0000-0000-0000094E0000}"/>
    <cellStyle name="표준 5 2 3 3 2 2 13" xfId="32149" xr:uid="{00000000-0005-0000-0000-00000A4E0000}"/>
    <cellStyle name="표준 5 2 3 3 2 2 14" xfId="40342" xr:uid="{00000000-0005-0000-0000-00000B4E0000}"/>
    <cellStyle name="표준 5 2 3 3 2 2 2" xfId="601" xr:uid="{00000000-0005-0000-0000-00000C4E0000}"/>
    <cellStyle name="표준 5 2 3 3 2 2 2 10" xfId="19970" xr:uid="{00000000-0005-0000-0000-00000D4E0000}"/>
    <cellStyle name="표준 5 2 3 3 2 2 2 11" xfId="24066" xr:uid="{00000000-0005-0000-0000-00000E4E0000}"/>
    <cellStyle name="표준 5 2 3 3 2 2 2 12" xfId="32277" xr:uid="{00000000-0005-0000-0000-00000F4E0000}"/>
    <cellStyle name="표준 5 2 3 3 2 2 2 13" xfId="40470" xr:uid="{00000000-0005-0000-0000-0000104E0000}"/>
    <cellStyle name="표준 5 2 3 3 2 2 2 2" xfId="857" xr:uid="{00000000-0005-0000-0000-0000114E0000}"/>
    <cellStyle name="표준 5 2 3 3 2 2 2 2 10" xfId="24322" xr:uid="{00000000-0005-0000-0000-0000124E0000}"/>
    <cellStyle name="표준 5 2 3 3 2 2 2 2 11" xfId="32533" xr:uid="{00000000-0005-0000-0000-0000134E0000}"/>
    <cellStyle name="표준 5 2 3 3 2 2 2 2 12" xfId="40726" xr:uid="{00000000-0005-0000-0000-0000144E0000}"/>
    <cellStyle name="표준 5 2 3 3 2 2 2 2 2" xfId="1369" xr:uid="{00000000-0005-0000-0000-0000154E0000}"/>
    <cellStyle name="표준 5 2 3 3 2 2 2 2 2 2" xfId="10272" xr:uid="{00000000-0005-0000-0000-0000164E0000}"/>
    <cellStyle name="표준 5 2 3 3 2 2 2 2 2 2 2" xfId="14384" xr:uid="{00000000-0005-0000-0000-0000174E0000}"/>
    <cellStyle name="표준 5 2 3 3 2 2 2 2 2 2 2 2" xfId="30978" xr:uid="{00000000-0005-0000-0000-0000184E0000}"/>
    <cellStyle name="표준 5 2 3 3 2 2 2 2 2 2 2 3" xfId="39189" xr:uid="{00000000-0005-0000-0000-0000194E0000}"/>
    <cellStyle name="표준 5 2 3 3 2 2 2 2 2 2 2 4" xfId="47382" xr:uid="{00000000-0005-0000-0000-00001A4E0000}"/>
    <cellStyle name="표준 5 2 3 3 2 2 2 2 2 2 3" xfId="18624" xr:uid="{00000000-0005-0000-0000-00001B4E0000}"/>
    <cellStyle name="표준 5 2 3 3 2 2 2 2 2 2 4" xfId="22786" xr:uid="{00000000-0005-0000-0000-00001C4E0000}"/>
    <cellStyle name="표준 5 2 3 3 2 2 2 2 2 2 5" xfId="26882" xr:uid="{00000000-0005-0000-0000-00001D4E0000}"/>
    <cellStyle name="표준 5 2 3 3 2 2 2 2 2 2 6" xfId="35093" xr:uid="{00000000-0005-0000-0000-00001E4E0000}"/>
    <cellStyle name="표준 5 2 3 3 2 2 2 2 2 2 7" xfId="43286" xr:uid="{00000000-0005-0000-0000-00001F4E0000}"/>
    <cellStyle name="표준 5 2 3 3 2 2 2 2 2 3" xfId="8224" xr:uid="{00000000-0005-0000-0000-0000204E0000}"/>
    <cellStyle name="표준 5 2 3 3 2 2 2 2 2 3 2" xfId="28930" xr:uid="{00000000-0005-0000-0000-0000214E0000}"/>
    <cellStyle name="표준 5 2 3 3 2 2 2 2 2 3 3" xfId="37141" xr:uid="{00000000-0005-0000-0000-0000224E0000}"/>
    <cellStyle name="표준 5 2 3 3 2 2 2 2 2 3 4" xfId="45334" xr:uid="{00000000-0005-0000-0000-0000234E0000}"/>
    <cellStyle name="표준 5 2 3 3 2 2 2 2 2 4" xfId="12336" xr:uid="{00000000-0005-0000-0000-0000244E0000}"/>
    <cellStyle name="표준 5 2 3 3 2 2 2 2 2 5" xfId="16576" xr:uid="{00000000-0005-0000-0000-0000254E0000}"/>
    <cellStyle name="표준 5 2 3 3 2 2 2 2 2 6" xfId="20738" xr:uid="{00000000-0005-0000-0000-0000264E0000}"/>
    <cellStyle name="표준 5 2 3 3 2 2 2 2 2 7" xfId="24834" xr:uid="{00000000-0005-0000-0000-0000274E0000}"/>
    <cellStyle name="표준 5 2 3 3 2 2 2 2 2 8" xfId="33045" xr:uid="{00000000-0005-0000-0000-0000284E0000}"/>
    <cellStyle name="표준 5 2 3 3 2 2 2 2 2 9" xfId="41238" xr:uid="{00000000-0005-0000-0000-0000294E0000}"/>
    <cellStyle name="표준 5 2 3 3 2 2 2 2 3" xfId="1881" xr:uid="{00000000-0005-0000-0000-00002A4E0000}"/>
    <cellStyle name="표준 5 2 3 3 2 2 2 2 3 2" xfId="10784" xr:uid="{00000000-0005-0000-0000-00002B4E0000}"/>
    <cellStyle name="표준 5 2 3 3 2 2 2 2 3 2 2" xfId="14896" xr:uid="{00000000-0005-0000-0000-00002C4E0000}"/>
    <cellStyle name="표준 5 2 3 3 2 2 2 2 3 2 2 2" xfId="31490" xr:uid="{00000000-0005-0000-0000-00002D4E0000}"/>
    <cellStyle name="표준 5 2 3 3 2 2 2 2 3 2 2 3" xfId="39701" xr:uid="{00000000-0005-0000-0000-00002E4E0000}"/>
    <cellStyle name="표준 5 2 3 3 2 2 2 2 3 2 2 4" xfId="47894" xr:uid="{00000000-0005-0000-0000-00002F4E0000}"/>
    <cellStyle name="표준 5 2 3 3 2 2 2 2 3 2 3" xfId="19136" xr:uid="{00000000-0005-0000-0000-0000304E0000}"/>
    <cellStyle name="표준 5 2 3 3 2 2 2 2 3 2 4" xfId="23298" xr:uid="{00000000-0005-0000-0000-0000314E0000}"/>
    <cellStyle name="표준 5 2 3 3 2 2 2 2 3 2 5" xfId="27394" xr:uid="{00000000-0005-0000-0000-0000324E0000}"/>
    <cellStyle name="표준 5 2 3 3 2 2 2 2 3 2 6" xfId="35605" xr:uid="{00000000-0005-0000-0000-0000334E0000}"/>
    <cellStyle name="표준 5 2 3 3 2 2 2 2 3 2 7" xfId="43798" xr:uid="{00000000-0005-0000-0000-0000344E0000}"/>
    <cellStyle name="표준 5 2 3 3 2 2 2 2 3 3" xfId="8736" xr:uid="{00000000-0005-0000-0000-0000354E0000}"/>
    <cellStyle name="표준 5 2 3 3 2 2 2 2 3 3 2" xfId="29442" xr:uid="{00000000-0005-0000-0000-0000364E0000}"/>
    <cellStyle name="표준 5 2 3 3 2 2 2 2 3 3 3" xfId="37653" xr:uid="{00000000-0005-0000-0000-0000374E0000}"/>
    <cellStyle name="표준 5 2 3 3 2 2 2 2 3 3 4" xfId="45846" xr:uid="{00000000-0005-0000-0000-0000384E0000}"/>
    <cellStyle name="표준 5 2 3 3 2 2 2 2 3 4" xfId="12848" xr:uid="{00000000-0005-0000-0000-0000394E0000}"/>
    <cellStyle name="표준 5 2 3 3 2 2 2 2 3 5" xfId="17088" xr:uid="{00000000-0005-0000-0000-00003A4E0000}"/>
    <cellStyle name="표준 5 2 3 3 2 2 2 2 3 6" xfId="21250" xr:uid="{00000000-0005-0000-0000-00003B4E0000}"/>
    <cellStyle name="표준 5 2 3 3 2 2 2 2 3 7" xfId="25346" xr:uid="{00000000-0005-0000-0000-00003C4E0000}"/>
    <cellStyle name="표준 5 2 3 3 2 2 2 2 3 8" xfId="33557" xr:uid="{00000000-0005-0000-0000-00003D4E0000}"/>
    <cellStyle name="표준 5 2 3 3 2 2 2 2 3 9" xfId="41750" xr:uid="{00000000-0005-0000-0000-00003E4E0000}"/>
    <cellStyle name="표준 5 2 3 3 2 2 2 2 4" xfId="2393" xr:uid="{00000000-0005-0000-0000-00003F4E0000}"/>
    <cellStyle name="표준 5 2 3 3 2 2 2 2 4 2" xfId="11296" xr:uid="{00000000-0005-0000-0000-0000404E0000}"/>
    <cellStyle name="표준 5 2 3 3 2 2 2 2 4 2 2" xfId="15408" xr:uid="{00000000-0005-0000-0000-0000414E0000}"/>
    <cellStyle name="표준 5 2 3 3 2 2 2 2 4 2 2 2" xfId="32002" xr:uid="{00000000-0005-0000-0000-0000424E0000}"/>
    <cellStyle name="표준 5 2 3 3 2 2 2 2 4 2 2 3" xfId="40213" xr:uid="{00000000-0005-0000-0000-0000434E0000}"/>
    <cellStyle name="표준 5 2 3 3 2 2 2 2 4 2 2 4" xfId="48406" xr:uid="{00000000-0005-0000-0000-0000444E0000}"/>
    <cellStyle name="표준 5 2 3 3 2 2 2 2 4 2 3" xfId="19648" xr:uid="{00000000-0005-0000-0000-0000454E0000}"/>
    <cellStyle name="표준 5 2 3 3 2 2 2 2 4 2 4" xfId="23810" xr:uid="{00000000-0005-0000-0000-0000464E0000}"/>
    <cellStyle name="표준 5 2 3 3 2 2 2 2 4 2 5" xfId="27906" xr:uid="{00000000-0005-0000-0000-0000474E0000}"/>
    <cellStyle name="표준 5 2 3 3 2 2 2 2 4 2 6" xfId="36117" xr:uid="{00000000-0005-0000-0000-0000484E0000}"/>
    <cellStyle name="표준 5 2 3 3 2 2 2 2 4 2 7" xfId="44310" xr:uid="{00000000-0005-0000-0000-0000494E0000}"/>
    <cellStyle name="표준 5 2 3 3 2 2 2 2 4 3" xfId="9248" xr:uid="{00000000-0005-0000-0000-00004A4E0000}"/>
    <cellStyle name="표준 5 2 3 3 2 2 2 2 4 3 2" xfId="29954" xr:uid="{00000000-0005-0000-0000-00004B4E0000}"/>
    <cellStyle name="표준 5 2 3 3 2 2 2 2 4 3 3" xfId="38165" xr:uid="{00000000-0005-0000-0000-00004C4E0000}"/>
    <cellStyle name="표준 5 2 3 3 2 2 2 2 4 3 4" xfId="46358" xr:uid="{00000000-0005-0000-0000-00004D4E0000}"/>
    <cellStyle name="표준 5 2 3 3 2 2 2 2 4 4" xfId="13360" xr:uid="{00000000-0005-0000-0000-00004E4E0000}"/>
    <cellStyle name="표준 5 2 3 3 2 2 2 2 4 5" xfId="17600" xr:uid="{00000000-0005-0000-0000-00004F4E0000}"/>
    <cellStyle name="표준 5 2 3 3 2 2 2 2 4 6" xfId="21762" xr:uid="{00000000-0005-0000-0000-0000504E0000}"/>
    <cellStyle name="표준 5 2 3 3 2 2 2 2 4 7" xfId="25858" xr:uid="{00000000-0005-0000-0000-0000514E0000}"/>
    <cellStyle name="표준 5 2 3 3 2 2 2 2 4 8" xfId="34069" xr:uid="{00000000-0005-0000-0000-0000524E0000}"/>
    <cellStyle name="표준 5 2 3 3 2 2 2 2 4 9" xfId="42262" xr:uid="{00000000-0005-0000-0000-0000534E0000}"/>
    <cellStyle name="표준 5 2 3 3 2 2 2 2 5" xfId="9760" xr:uid="{00000000-0005-0000-0000-0000544E0000}"/>
    <cellStyle name="표준 5 2 3 3 2 2 2 2 5 2" xfId="13872" xr:uid="{00000000-0005-0000-0000-0000554E0000}"/>
    <cellStyle name="표준 5 2 3 3 2 2 2 2 5 2 2" xfId="30466" xr:uid="{00000000-0005-0000-0000-0000564E0000}"/>
    <cellStyle name="표준 5 2 3 3 2 2 2 2 5 2 3" xfId="38677" xr:uid="{00000000-0005-0000-0000-0000574E0000}"/>
    <cellStyle name="표준 5 2 3 3 2 2 2 2 5 2 4" xfId="46870" xr:uid="{00000000-0005-0000-0000-0000584E0000}"/>
    <cellStyle name="표준 5 2 3 3 2 2 2 2 5 3" xfId="18112" xr:uid="{00000000-0005-0000-0000-0000594E0000}"/>
    <cellStyle name="표준 5 2 3 3 2 2 2 2 5 4" xfId="22274" xr:uid="{00000000-0005-0000-0000-00005A4E0000}"/>
    <cellStyle name="표준 5 2 3 3 2 2 2 2 5 5" xfId="26370" xr:uid="{00000000-0005-0000-0000-00005B4E0000}"/>
    <cellStyle name="표준 5 2 3 3 2 2 2 2 5 6" xfId="34581" xr:uid="{00000000-0005-0000-0000-00005C4E0000}"/>
    <cellStyle name="표준 5 2 3 3 2 2 2 2 5 7" xfId="42774" xr:uid="{00000000-0005-0000-0000-00005D4E0000}"/>
    <cellStyle name="표준 5 2 3 3 2 2 2 2 6" xfId="7712" xr:uid="{00000000-0005-0000-0000-00005E4E0000}"/>
    <cellStyle name="표준 5 2 3 3 2 2 2 2 6 2" xfId="28418" xr:uid="{00000000-0005-0000-0000-00005F4E0000}"/>
    <cellStyle name="표준 5 2 3 3 2 2 2 2 6 3" xfId="36629" xr:uid="{00000000-0005-0000-0000-0000604E0000}"/>
    <cellStyle name="표준 5 2 3 3 2 2 2 2 6 4" xfId="44822" xr:uid="{00000000-0005-0000-0000-0000614E0000}"/>
    <cellStyle name="표준 5 2 3 3 2 2 2 2 7" xfId="11824" xr:uid="{00000000-0005-0000-0000-0000624E0000}"/>
    <cellStyle name="표준 5 2 3 3 2 2 2 2 8" xfId="16064" xr:uid="{00000000-0005-0000-0000-0000634E0000}"/>
    <cellStyle name="표준 5 2 3 3 2 2 2 2 9" xfId="20226" xr:uid="{00000000-0005-0000-0000-0000644E0000}"/>
    <cellStyle name="표준 5 2 3 3 2 2 2 3" xfId="1113" xr:uid="{00000000-0005-0000-0000-0000654E0000}"/>
    <cellStyle name="표준 5 2 3 3 2 2 2 3 2" xfId="10016" xr:uid="{00000000-0005-0000-0000-0000664E0000}"/>
    <cellStyle name="표준 5 2 3 3 2 2 2 3 2 2" xfId="14128" xr:uid="{00000000-0005-0000-0000-0000674E0000}"/>
    <cellStyle name="표준 5 2 3 3 2 2 2 3 2 2 2" xfId="30722" xr:uid="{00000000-0005-0000-0000-0000684E0000}"/>
    <cellStyle name="표준 5 2 3 3 2 2 2 3 2 2 3" xfId="38933" xr:uid="{00000000-0005-0000-0000-0000694E0000}"/>
    <cellStyle name="표준 5 2 3 3 2 2 2 3 2 2 4" xfId="47126" xr:uid="{00000000-0005-0000-0000-00006A4E0000}"/>
    <cellStyle name="표준 5 2 3 3 2 2 2 3 2 3" xfId="18368" xr:uid="{00000000-0005-0000-0000-00006B4E0000}"/>
    <cellStyle name="표준 5 2 3 3 2 2 2 3 2 4" xfId="22530" xr:uid="{00000000-0005-0000-0000-00006C4E0000}"/>
    <cellStyle name="표준 5 2 3 3 2 2 2 3 2 5" xfId="26626" xr:uid="{00000000-0005-0000-0000-00006D4E0000}"/>
    <cellStyle name="표준 5 2 3 3 2 2 2 3 2 6" xfId="34837" xr:uid="{00000000-0005-0000-0000-00006E4E0000}"/>
    <cellStyle name="표준 5 2 3 3 2 2 2 3 2 7" xfId="43030" xr:uid="{00000000-0005-0000-0000-00006F4E0000}"/>
    <cellStyle name="표준 5 2 3 3 2 2 2 3 3" xfId="7968" xr:uid="{00000000-0005-0000-0000-0000704E0000}"/>
    <cellStyle name="표준 5 2 3 3 2 2 2 3 3 2" xfId="28674" xr:uid="{00000000-0005-0000-0000-0000714E0000}"/>
    <cellStyle name="표준 5 2 3 3 2 2 2 3 3 3" xfId="36885" xr:uid="{00000000-0005-0000-0000-0000724E0000}"/>
    <cellStyle name="표준 5 2 3 3 2 2 2 3 3 4" xfId="45078" xr:uid="{00000000-0005-0000-0000-0000734E0000}"/>
    <cellStyle name="표준 5 2 3 3 2 2 2 3 4" xfId="12080" xr:uid="{00000000-0005-0000-0000-0000744E0000}"/>
    <cellStyle name="표준 5 2 3 3 2 2 2 3 5" xfId="16320" xr:uid="{00000000-0005-0000-0000-0000754E0000}"/>
    <cellStyle name="표준 5 2 3 3 2 2 2 3 6" xfId="20482" xr:uid="{00000000-0005-0000-0000-0000764E0000}"/>
    <cellStyle name="표준 5 2 3 3 2 2 2 3 7" xfId="24578" xr:uid="{00000000-0005-0000-0000-0000774E0000}"/>
    <cellStyle name="표준 5 2 3 3 2 2 2 3 8" xfId="32789" xr:uid="{00000000-0005-0000-0000-0000784E0000}"/>
    <cellStyle name="표준 5 2 3 3 2 2 2 3 9" xfId="40982" xr:uid="{00000000-0005-0000-0000-0000794E0000}"/>
    <cellStyle name="표준 5 2 3 3 2 2 2 4" xfId="1625" xr:uid="{00000000-0005-0000-0000-00007A4E0000}"/>
    <cellStyle name="표준 5 2 3 3 2 2 2 4 2" xfId="10528" xr:uid="{00000000-0005-0000-0000-00007B4E0000}"/>
    <cellStyle name="표준 5 2 3 3 2 2 2 4 2 2" xfId="14640" xr:uid="{00000000-0005-0000-0000-00007C4E0000}"/>
    <cellStyle name="표준 5 2 3 3 2 2 2 4 2 2 2" xfId="31234" xr:uid="{00000000-0005-0000-0000-00007D4E0000}"/>
    <cellStyle name="표준 5 2 3 3 2 2 2 4 2 2 3" xfId="39445" xr:uid="{00000000-0005-0000-0000-00007E4E0000}"/>
    <cellStyle name="표준 5 2 3 3 2 2 2 4 2 2 4" xfId="47638" xr:uid="{00000000-0005-0000-0000-00007F4E0000}"/>
    <cellStyle name="표준 5 2 3 3 2 2 2 4 2 3" xfId="18880" xr:uid="{00000000-0005-0000-0000-0000804E0000}"/>
    <cellStyle name="표준 5 2 3 3 2 2 2 4 2 4" xfId="23042" xr:uid="{00000000-0005-0000-0000-0000814E0000}"/>
    <cellStyle name="표준 5 2 3 3 2 2 2 4 2 5" xfId="27138" xr:uid="{00000000-0005-0000-0000-0000824E0000}"/>
    <cellStyle name="표준 5 2 3 3 2 2 2 4 2 6" xfId="35349" xr:uid="{00000000-0005-0000-0000-0000834E0000}"/>
    <cellStyle name="표준 5 2 3 3 2 2 2 4 2 7" xfId="43542" xr:uid="{00000000-0005-0000-0000-0000844E0000}"/>
    <cellStyle name="표준 5 2 3 3 2 2 2 4 3" xfId="8480" xr:uid="{00000000-0005-0000-0000-0000854E0000}"/>
    <cellStyle name="표준 5 2 3 3 2 2 2 4 3 2" xfId="29186" xr:uid="{00000000-0005-0000-0000-0000864E0000}"/>
    <cellStyle name="표준 5 2 3 3 2 2 2 4 3 3" xfId="37397" xr:uid="{00000000-0005-0000-0000-0000874E0000}"/>
    <cellStyle name="표준 5 2 3 3 2 2 2 4 3 4" xfId="45590" xr:uid="{00000000-0005-0000-0000-0000884E0000}"/>
    <cellStyle name="표준 5 2 3 3 2 2 2 4 4" xfId="12592" xr:uid="{00000000-0005-0000-0000-0000894E0000}"/>
    <cellStyle name="표준 5 2 3 3 2 2 2 4 5" xfId="16832" xr:uid="{00000000-0005-0000-0000-00008A4E0000}"/>
    <cellStyle name="표준 5 2 3 3 2 2 2 4 6" xfId="20994" xr:uid="{00000000-0005-0000-0000-00008B4E0000}"/>
    <cellStyle name="표준 5 2 3 3 2 2 2 4 7" xfId="25090" xr:uid="{00000000-0005-0000-0000-00008C4E0000}"/>
    <cellStyle name="표준 5 2 3 3 2 2 2 4 8" xfId="33301" xr:uid="{00000000-0005-0000-0000-00008D4E0000}"/>
    <cellStyle name="표준 5 2 3 3 2 2 2 4 9" xfId="41494" xr:uid="{00000000-0005-0000-0000-00008E4E0000}"/>
    <cellStyle name="표준 5 2 3 3 2 2 2 5" xfId="2137" xr:uid="{00000000-0005-0000-0000-00008F4E0000}"/>
    <cellStyle name="표준 5 2 3 3 2 2 2 5 2" xfId="11040" xr:uid="{00000000-0005-0000-0000-0000904E0000}"/>
    <cellStyle name="표준 5 2 3 3 2 2 2 5 2 2" xfId="15152" xr:uid="{00000000-0005-0000-0000-0000914E0000}"/>
    <cellStyle name="표준 5 2 3 3 2 2 2 5 2 2 2" xfId="31746" xr:uid="{00000000-0005-0000-0000-0000924E0000}"/>
    <cellStyle name="표준 5 2 3 3 2 2 2 5 2 2 3" xfId="39957" xr:uid="{00000000-0005-0000-0000-0000934E0000}"/>
    <cellStyle name="표준 5 2 3 3 2 2 2 5 2 2 4" xfId="48150" xr:uid="{00000000-0005-0000-0000-0000944E0000}"/>
    <cellStyle name="표준 5 2 3 3 2 2 2 5 2 3" xfId="19392" xr:uid="{00000000-0005-0000-0000-0000954E0000}"/>
    <cellStyle name="표준 5 2 3 3 2 2 2 5 2 4" xfId="23554" xr:uid="{00000000-0005-0000-0000-0000964E0000}"/>
    <cellStyle name="표준 5 2 3 3 2 2 2 5 2 5" xfId="27650" xr:uid="{00000000-0005-0000-0000-0000974E0000}"/>
    <cellStyle name="표준 5 2 3 3 2 2 2 5 2 6" xfId="35861" xr:uid="{00000000-0005-0000-0000-0000984E0000}"/>
    <cellStyle name="표준 5 2 3 3 2 2 2 5 2 7" xfId="44054" xr:uid="{00000000-0005-0000-0000-0000994E0000}"/>
    <cellStyle name="표준 5 2 3 3 2 2 2 5 3" xfId="8992" xr:uid="{00000000-0005-0000-0000-00009A4E0000}"/>
    <cellStyle name="표준 5 2 3 3 2 2 2 5 3 2" xfId="29698" xr:uid="{00000000-0005-0000-0000-00009B4E0000}"/>
    <cellStyle name="표준 5 2 3 3 2 2 2 5 3 3" xfId="37909" xr:uid="{00000000-0005-0000-0000-00009C4E0000}"/>
    <cellStyle name="표준 5 2 3 3 2 2 2 5 3 4" xfId="46102" xr:uid="{00000000-0005-0000-0000-00009D4E0000}"/>
    <cellStyle name="표준 5 2 3 3 2 2 2 5 4" xfId="13104" xr:uid="{00000000-0005-0000-0000-00009E4E0000}"/>
    <cellStyle name="표준 5 2 3 3 2 2 2 5 5" xfId="17344" xr:uid="{00000000-0005-0000-0000-00009F4E0000}"/>
    <cellStyle name="표준 5 2 3 3 2 2 2 5 6" xfId="21506" xr:uid="{00000000-0005-0000-0000-0000A04E0000}"/>
    <cellStyle name="표준 5 2 3 3 2 2 2 5 7" xfId="25602" xr:uid="{00000000-0005-0000-0000-0000A14E0000}"/>
    <cellStyle name="표준 5 2 3 3 2 2 2 5 8" xfId="33813" xr:uid="{00000000-0005-0000-0000-0000A24E0000}"/>
    <cellStyle name="표준 5 2 3 3 2 2 2 5 9" xfId="42006" xr:uid="{00000000-0005-0000-0000-0000A34E0000}"/>
    <cellStyle name="표준 5 2 3 3 2 2 2 6" xfId="9504" xr:uid="{00000000-0005-0000-0000-0000A44E0000}"/>
    <cellStyle name="표준 5 2 3 3 2 2 2 6 2" xfId="13616" xr:uid="{00000000-0005-0000-0000-0000A54E0000}"/>
    <cellStyle name="표준 5 2 3 3 2 2 2 6 2 2" xfId="30210" xr:uid="{00000000-0005-0000-0000-0000A64E0000}"/>
    <cellStyle name="표준 5 2 3 3 2 2 2 6 2 3" xfId="38421" xr:uid="{00000000-0005-0000-0000-0000A74E0000}"/>
    <cellStyle name="표준 5 2 3 3 2 2 2 6 2 4" xfId="46614" xr:uid="{00000000-0005-0000-0000-0000A84E0000}"/>
    <cellStyle name="표준 5 2 3 3 2 2 2 6 3" xfId="17856" xr:uid="{00000000-0005-0000-0000-0000A94E0000}"/>
    <cellStyle name="표준 5 2 3 3 2 2 2 6 4" xfId="22018" xr:uid="{00000000-0005-0000-0000-0000AA4E0000}"/>
    <cellStyle name="표준 5 2 3 3 2 2 2 6 5" xfId="26114" xr:uid="{00000000-0005-0000-0000-0000AB4E0000}"/>
    <cellStyle name="표준 5 2 3 3 2 2 2 6 6" xfId="34325" xr:uid="{00000000-0005-0000-0000-0000AC4E0000}"/>
    <cellStyle name="표준 5 2 3 3 2 2 2 6 7" xfId="42518" xr:uid="{00000000-0005-0000-0000-0000AD4E0000}"/>
    <cellStyle name="표준 5 2 3 3 2 2 2 7" xfId="7456" xr:uid="{00000000-0005-0000-0000-0000AE4E0000}"/>
    <cellStyle name="표준 5 2 3 3 2 2 2 7 2" xfId="28162" xr:uid="{00000000-0005-0000-0000-0000AF4E0000}"/>
    <cellStyle name="표준 5 2 3 3 2 2 2 7 3" xfId="36373" xr:uid="{00000000-0005-0000-0000-0000B04E0000}"/>
    <cellStyle name="표준 5 2 3 3 2 2 2 7 4" xfId="44566" xr:uid="{00000000-0005-0000-0000-0000B14E0000}"/>
    <cellStyle name="표준 5 2 3 3 2 2 2 8" xfId="11568" xr:uid="{00000000-0005-0000-0000-0000B24E0000}"/>
    <cellStyle name="표준 5 2 3 3 2 2 2 9" xfId="15808" xr:uid="{00000000-0005-0000-0000-0000B34E0000}"/>
    <cellStyle name="표준 5 2 3 3 2 2 3" xfId="729" xr:uid="{00000000-0005-0000-0000-0000B44E0000}"/>
    <cellStyle name="표준 5 2 3 3 2 2 3 10" xfId="24194" xr:uid="{00000000-0005-0000-0000-0000B54E0000}"/>
    <cellStyle name="표준 5 2 3 3 2 2 3 11" xfId="32405" xr:uid="{00000000-0005-0000-0000-0000B64E0000}"/>
    <cellStyle name="표준 5 2 3 3 2 2 3 12" xfId="40598" xr:uid="{00000000-0005-0000-0000-0000B74E0000}"/>
    <cellStyle name="표준 5 2 3 3 2 2 3 2" xfId="1241" xr:uid="{00000000-0005-0000-0000-0000B84E0000}"/>
    <cellStyle name="표준 5 2 3 3 2 2 3 2 2" xfId="10144" xr:uid="{00000000-0005-0000-0000-0000B94E0000}"/>
    <cellStyle name="표준 5 2 3 3 2 2 3 2 2 2" xfId="14256" xr:uid="{00000000-0005-0000-0000-0000BA4E0000}"/>
    <cellStyle name="표준 5 2 3 3 2 2 3 2 2 2 2" xfId="30850" xr:uid="{00000000-0005-0000-0000-0000BB4E0000}"/>
    <cellStyle name="표준 5 2 3 3 2 2 3 2 2 2 3" xfId="39061" xr:uid="{00000000-0005-0000-0000-0000BC4E0000}"/>
    <cellStyle name="표준 5 2 3 3 2 2 3 2 2 2 4" xfId="47254" xr:uid="{00000000-0005-0000-0000-0000BD4E0000}"/>
    <cellStyle name="표준 5 2 3 3 2 2 3 2 2 3" xfId="18496" xr:uid="{00000000-0005-0000-0000-0000BE4E0000}"/>
    <cellStyle name="표준 5 2 3 3 2 2 3 2 2 4" xfId="22658" xr:uid="{00000000-0005-0000-0000-0000BF4E0000}"/>
    <cellStyle name="표준 5 2 3 3 2 2 3 2 2 5" xfId="26754" xr:uid="{00000000-0005-0000-0000-0000C04E0000}"/>
    <cellStyle name="표준 5 2 3 3 2 2 3 2 2 6" xfId="34965" xr:uid="{00000000-0005-0000-0000-0000C14E0000}"/>
    <cellStyle name="표준 5 2 3 3 2 2 3 2 2 7" xfId="43158" xr:uid="{00000000-0005-0000-0000-0000C24E0000}"/>
    <cellStyle name="표준 5 2 3 3 2 2 3 2 3" xfId="8096" xr:uid="{00000000-0005-0000-0000-0000C34E0000}"/>
    <cellStyle name="표준 5 2 3 3 2 2 3 2 3 2" xfId="28802" xr:uid="{00000000-0005-0000-0000-0000C44E0000}"/>
    <cellStyle name="표준 5 2 3 3 2 2 3 2 3 3" xfId="37013" xr:uid="{00000000-0005-0000-0000-0000C54E0000}"/>
    <cellStyle name="표준 5 2 3 3 2 2 3 2 3 4" xfId="45206" xr:uid="{00000000-0005-0000-0000-0000C64E0000}"/>
    <cellStyle name="표준 5 2 3 3 2 2 3 2 4" xfId="12208" xr:uid="{00000000-0005-0000-0000-0000C74E0000}"/>
    <cellStyle name="표준 5 2 3 3 2 2 3 2 5" xfId="16448" xr:uid="{00000000-0005-0000-0000-0000C84E0000}"/>
    <cellStyle name="표준 5 2 3 3 2 2 3 2 6" xfId="20610" xr:uid="{00000000-0005-0000-0000-0000C94E0000}"/>
    <cellStyle name="표준 5 2 3 3 2 2 3 2 7" xfId="24706" xr:uid="{00000000-0005-0000-0000-0000CA4E0000}"/>
    <cellStyle name="표준 5 2 3 3 2 2 3 2 8" xfId="32917" xr:uid="{00000000-0005-0000-0000-0000CB4E0000}"/>
    <cellStyle name="표준 5 2 3 3 2 2 3 2 9" xfId="41110" xr:uid="{00000000-0005-0000-0000-0000CC4E0000}"/>
    <cellStyle name="표준 5 2 3 3 2 2 3 3" xfId="1753" xr:uid="{00000000-0005-0000-0000-0000CD4E0000}"/>
    <cellStyle name="표준 5 2 3 3 2 2 3 3 2" xfId="10656" xr:uid="{00000000-0005-0000-0000-0000CE4E0000}"/>
    <cellStyle name="표준 5 2 3 3 2 2 3 3 2 2" xfId="14768" xr:uid="{00000000-0005-0000-0000-0000CF4E0000}"/>
    <cellStyle name="표준 5 2 3 3 2 2 3 3 2 2 2" xfId="31362" xr:uid="{00000000-0005-0000-0000-0000D04E0000}"/>
    <cellStyle name="표준 5 2 3 3 2 2 3 3 2 2 3" xfId="39573" xr:uid="{00000000-0005-0000-0000-0000D14E0000}"/>
    <cellStyle name="표준 5 2 3 3 2 2 3 3 2 2 4" xfId="47766" xr:uid="{00000000-0005-0000-0000-0000D24E0000}"/>
    <cellStyle name="표준 5 2 3 3 2 2 3 3 2 3" xfId="19008" xr:uid="{00000000-0005-0000-0000-0000D34E0000}"/>
    <cellStyle name="표준 5 2 3 3 2 2 3 3 2 4" xfId="23170" xr:uid="{00000000-0005-0000-0000-0000D44E0000}"/>
    <cellStyle name="표준 5 2 3 3 2 2 3 3 2 5" xfId="27266" xr:uid="{00000000-0005-0000-0000-0000D54E0000}"/>
    <cellStyle name="표준 5 2 3 3 2 2 3 3 2 6" xfId="35477" xr:uid="{00000000-0005-0000-0000-0000D64E0000}"/>
    <cellStyle name="표준 5 2 3 3 2 2 3 3 2 7" xfId="43670" xr:uid="{00000000-0005-0000-0000-0000D74E0000}"/>
    <cellStyle name="표준 5 2 3 3 2 2 3 3 3" xfId="8608" xr:uid="{00000000-0005-0000-0000-0000D84E0000}"/>
    <cellStyle name="표준 5 2 3 3 2 2 3 3 3 2" xfId="29314" xr:uid="{00000000-0005-0000-0000-0000D94E0000}"/>
    <cellStyle name="표준 5 2 3 3 2 2 3 3 3 3" xfId="37525" xr:uid="{00000000-0005-0000-0000-0000DA4E0000}"/>
    <cellStyle name="표준 5 2 3 3 2 2 3 3 3 4" xfId="45718" xr:uid="{00000000-0005-0000-0000-0000DB4E0000}"/>
    <cellStyle name="표준 5 2 3 3 2 2 3 3 4" xfId="12720" xr:uid="{00000000-0005-0000-0000-0000DC4E0000}"/>
    <cellStyle name="표준 5 2 3 3 2 2 3 3 5" xfId="16960" xr:uid="{00000000-0005-0000-0000-0000DD4E0000}"/>
    <cellStyle name="표준 5 2 3 3 2 2 3 3 6" xfId="21122" xr:uid="{00000000-0005-0000-0000-0000DE4E0000}"/>
    <cellStyle name="표준 5 2 3 3 2 2 3 3 7" xfId="25218" xr:uid="{00000000-0005-0000-0000-0000DF4E0000}"/>
    <cellStyle name="표준 5 2 3 3 2 2 3 3 8" xfId="33429" xr:uid="{00000000-0005-0000-0000-0000E04E0000}"/>
    <cellStyle name="표준 5 2 3 3 2 2 3 3 9" xfId="41622" xr:uid="{00000000-0005-0000-0000-0000E14E0000}"/>
    <cellStyle name="표준 5 2 3 3 2 2 3 4" xfId="2265" xr:uid="{00000000-0005-0000-0000-0000E24E0000}"/>
    <cellStyle name="표준 5 2 3 3 2 2 3 4 2" xfId="11168" xr:uid="{00000000-0005-0000-0000-0000E34E0000}"/>
    <cellStyle name="표준 5 2 3 3 2 2 3 4 2 2" xfId="15280" xr:uid="{00000000-0005-0000-0000-0000E44E0000}"/>
    <cellStyle name="표준 5 2 3 3 2 2 3 4 2 2 2" xfId="31874" xr:uid="{00000000-0005-0000-0000-0000E54E0000}"/>
    <cellStyle name="표준 5 2 3 3 2 2 3 4 2 2 3" xfId="40085" xr:uid="{00000000-0005-0000-0000-0000E64E0000}"/>
    <cellStyle name="표준 5 2 3 3 2 2 3 4 2 2 4" xfId="48278" xr:uid="{00000000-0005-0000-0000-0000E74E0000}"/>
    <cellStyle name="표준 5 2 3 3 2 2 3 4 2 3" xfId="19520" xr:uid="{00000000-0005-0000-0000-0000E84E0000}"/>
    <cellStyle name="표준 5 2 3 3 2 2 3 4 2 4" xfId="23682" xr:uid="{00000000-0005-0000-0000-0000E94E0000}"/>
    <cellStyle name="표준 5 2 3 3 2 2 3 4 2 5" xfId="27778" xr:uid="{00000000-0005-0000-0000-0000EA4E0000}"/>
    <cellStyle name="표준 5 2 3 3 2 2 3 4 2 6" xfId="35989" xr:uid="{00000000-0005-0000-0000-0000EB4E0000}"/>
    <cellStyle name="표준 5 2 3 3 2 2 3 4 2 7" xfId="44182" xr:uid="{00000000-0005-0000-0000-0000EC4E0000}"/>
    <cellStyle name="표준 5 2 3 3 2 2 3 4 3" xfId="9120" xr:uid="{00000000-0005-0000-0000-0000ED4E0000}"/>
    <cellStyle name="표준 5 2 3 3 2 2 3 4 3 2" xfId="29826" xr:uid="{00000000-0005-0000-0000-0000EE4E0000}"/>
    <cellStyle name="표준 5 2 3 3 2 2 3 4 3 3" xfId="38037" xr:uid="{00000000-0005-0000-0000-0000EF4E0000}"/>
    <cellStyle name="표준 5 2 3 3 2 2 3 4 3 4" xfId="46230" xr:uid="{00000000-0005-0000-0000-0000F04E0000}"/>
    <cellStyle name="표준 5 2 3 3 2 2 3 4 4" xfId="13232" xr:uid="{00000000-0005-0000-0000-0000F14E0000}"/>
    <cellStyle name="표준 5 2 3 3 2 2 3 4 5" xfId="17472" xr:uid="{00000000-0005-0000-0000-0000F24E0000}"/>
    <cellStyle name="표준 5 2 3 3 2 2 3 4 6" xfId="21634" xr:uid="{00000000-0005-0000-0000-0000F34E0000}"/>
    <cellStyle name="표준 5 2 3 3 2 2 3 4 7" xfId="25730" xr:uid="{00000000-0005-0000-0000-0000F44E0000}"/>
    <cellStyle name="표준 5 2 3 3 2 2 3 4 8" xfId="33941" xr:uid="{00000000-0005-0000-0000-0000F54E0000}"/>
    <cellStyle name="표준 5 2 3 3 2 2 3 4 9" xfId="42134" xr:uid="{00000000-0005-0000-0000-0000F64E0000}"/>
    <cellStyle name="표준 5 2 3 3 2 2 3 5" xfId="9632" xr:uid="{00000000-0005-0000-0000-0000F74E0000}"/>
    <cellStyle name="표준 5 2 3 3 2 2 3 5 2" xfId="13744" xr:uid="{00000000-0005-0000-0000-0000F84E0000}"/>
    <cellStyle name="표준 5 2 3 3 2 2 3 5 2 2" xfId="30338" xr:uid="{00000000-0005-0000-0000-0000F94E0000}"/>
    <cellStyle name="표준 5 2 3 3 2 2 3 5 2 3" xfId="38549" xr:uid="{00000000-0005-0000-0000-0000FA4E0000}"/>
    <cellStyle name="표준 5 2 3 3 2 2 3 5 2 4" xfId="46742" xr:uid="{00000000-0005-0000-0000-0000FB4E0000}"/>
    <cellStyle name="표준 5 2 3 3 2 2 3 5 3" xfId="17984" xr:uid="{00000000-0005-0000-0000-0000FC4E0000}"/>
    <cellStyle name="표준 5 2 3 3 2 2 3 5 4" xfId="22146" xr:uid="{00000000-0005-0000-0000-0000FD4E0000}"/>
    <cellStyle name="표준 5 2 3 3 2 2 3 5 5" xfId="26242" xr:uid="{00000000-0005-0000-0000-0000FE4E0000}"/>
    <cellStyle name="표준 5 2 3 3 2 2 3 5 6" xfId="34453" xr:uid="{00000000-0005-0000-0000-0000FF4E0000}"/>
    <cellStyle name="표준 5 2 3 3 2 2 3 5 7" xfId="42646" xr:uid="{00000000-0005-0000-0000-0000004F0000}"/>
    <cellStyle name="표준 5 2 3 3 2 2 3 6" xfId="7584" xr:uid="{00000000-0005-0000-0000-0000014F0000}"/>
    <cellStyle name="표준 5 2 3 3 2 2 3 6 2" xfId="28290" xr:uid="{00000000-0005-0000-0000-0000024F0000}"/>
    <cellStyle name="표준 5 2 3 3 2 2 3 6 3" xfId="36501" xr:uid="{00000000-0005-0000-0000-0000034F0000}"/>
    <cellStyle name="표준 5 2 3 3 2 2 3 6 4" xfId="44694" xr:uid="{00000000-0005-0000-0000-0000044F0000}"/>
    <cellStyle name="표준 5 2 3 3 2 2 3 7" xfId="11696" xr:uid="{00000000-0005-0000-0000-0000054F0000}"/>
    <cellStyle name="표준 5 2 3 3 2 2 3 8" xfId="15936" xr:uid="{00000000-0005-0000-0000-0000064F0000}"/>
    <cellStyle name="표준 5 2 3 3 2 2 3 9" xfId="20098" xr:uid="{00000000-0005-0000-0000-0000074F0000}"/>
    <cellStyle name="표준 5 2 3 3 2 2 4" xfId="985" xr:uid="{00000000-0005-0000-0000-0000084F0000}"/>
    <cellStyle name="표준 5 2 3 3 2 2 4 2" xfId="9888" xr:uid="{00000000-0005-0000-0000-0000094F0000}"/>
    <cellStyle name="표준 5 2 3 3 2 2 4 2 2" xfId="14000" xr:uid="{00000000-0005-0000-0000-00000A4F0000}"/>
    <cellStyle name="표준 5 2 3 3 2 2 4 2 2 2" xfId="30594" xr:uid="{00000000-0005-0000-0000-00000B4F0000}"/>
    <cellStyle name="표준 5 2 3 3 2 2 4 2 2 3" xfId="38805" xr:uid="{00000000-0005-0000-0000-00000C4F0000}"/>
    <cellStyle name="표준 5 2 3 3 2 2 4 2 2 4" xfId="46998" xr:uid="{00000000-0005-0000-0000-00000D4F0000}"/>
    <cellStyle name="표준 5 2 3 3 2 2 4 2 3" xfId="18240" xr:uid="{00000000-0005-0000-0000-00000E4F0000}"/>
    <cellStyle name="표준 5 2 3 3 2 2 4 2 4" xfId="22402" xr:uid="{00000000-0005-0000-0000-00000F4F0000}"/>
    <cellStyle name="표준 5 2 3 3 2 2 4 2 5" xfId="26498" xr:uid="{00000000-0005-0000-0000-0000104F0000}"/>
    <cellStyle name="표준 5 2 3 3 2 2 4 2 6" xfId="34709" xr:uid="{00000000-0005-0000-0000-0000114F0000}"/>
    <cellStyle name="표준 5 2 3 3 2 2 4 2 7" xfId="42902" xr:uid="{00000000-0005-0000-0000-0000124F0000}"/>
    <cellStyle name="표준 5 2 3 3 2 2 4 3" xfId="7840" xr:uid="{00000000-0005-0000-0000-0000134F0000}"/>
    <cellStyle name="표준 5 2 3 3 2 2 4 3 2" xfId="28546" xr:uid="{00000000-0005-0000-0000-0000144F0000}"/>
    <cellStyle name="표준 5 2 3 3 2 2 4 3 3" xfId="36757" xr:uid="{00000000-0005-0000-0000-0000154F0000}"/>
    <cellStyle name="표준 5 2 3 3 2 2 4 3 4" xfId="44950" xr:uid="{00000000-0005-0000-0000-0000164F0000}"/>
    <cellStyle name="표준 5 2 3 3 2 2 4 4" xfId="11952" xr:uid="{00000000-0005-0000-0000-0000174F0000}"/>
    <cellStyle name="표준 5 2 3 3 2 2 4 5" xfId="16192" xr:uid="{00000000-0005-0000-0000-0000184F0000}"/>
    <cellStyle name="표준 5 2 3 3 2 2 4 6" xfId="20354" xr:uid="{00000000-0005-0000-0000-0000194F0000}"/>
    <cellStyle name="표준 5 2 3 3 2 2 4 7" xfId="24450" xr:uid="{00000000-0005-0000-0000-00001A4F0000}"/>
    <cellStyle name="표준 5 2 3 3 2 2 4 8" xfId="32661" xr:uid="{00000000-0005-0000-0000-00001B4F0000}"/>
    <cellStyle name="표준 5 2 3 3 2 2 4 9" xfId="40854" xr:uid="{00000000-0005-0000-0000-00001C4F0000}"/>
    <cellStyle name="표준 5 2 3 3 2 2 5" xfId="1497" xr:uid="{00000000-0005-0000-0000-00001D4F0000}"/>
    <cellStyle name="표준 5 2 3 3 2 2 5 2" xfId="10400" xr:uid="{00000000-0005-0000-0000-00001E4F0000}"/>
    <cellStyle name="표준 5 2 3 3 2 2 5 2 2" xfId="14512" xr:uid="{00000000-0005-0000-0000-00001F4F0000}"/>
    <cellStyle name="표준 5 2 3 3 2 2 5 2 2 2" xfId="31106" xr:uid="{00000000-0005-0000-0000-0000204F0000}"/>
    <cellStyle name="표준 5 2 3 3 2 2 5 2 2 3" xfId="39317" xr:uid="{00000000-0005-0000-0000-0000214F0000}"/>
    <cellStyle name="표준 5 2 3 3 2 2 5 2 2 4" xfId="47510" xr:uid="{00000000-0005-0000-0000-0000224F0000}"/>
    <cellStyle name="표준 5 2 3 3 2 2 5 2 3" xfId="18752" xr:uid="{00000000-0005-0000-0000-0000234F0000}"/>
    <cellStyle name="표준 5 2 3 3 2 2 5 2 4" xfId="22914" xr:uid="{00000000-0005-0000-0000-0000244F0000}"/>
    <cellStyle name="표준 5 2 3 3 2 2 5 2 5" xfId="27010" xr:uid="{00000000-0005-0000-0000-0000254F0000}"/>
    <cellStyle name="표준 5 2 3 3 2 2 5 2 6" xfId="35221" xr:uid="{00000000-0005-0000-0000-0000264F0000}"/>
    <cellStyle name="표준 5 2 3 3 2 2 5 2 7" xfId="43414" xr:uid="{00000000-0005-0000-0000-0000274F0000}"/>
    <cellStyle name="표준 5 2 3 3 2 2 5 3" xfId="8352" xr:uid="{00000000-0005-0000-0000-0000284F0000}"/>
    <cellStyle name="표준 5 2 3 3 2 2 5 3 2" xfId="29058" xr:uid="{00000000-0005-0000-0000-0000294F0000}"/>
    <cellStyle name="표준 5 2 3 3 2 2 5 3 3" xfId="37269" xr:uid="{00000000-0005-0000-0000-00002A4F0000}"/>
    <cellStyle name="표준 5 2 3 3 2 2 5 3 4" xfId="45462" xr:uid="{00000000-0005-0000-0000-00002B4F0000}"/>
    <cellStyle name="표준 5 2 3 3 2 2 5 4" xfId="12464" xr:uid="{00000000-0005-0000-0000-00002C4F0000}"/>
    <cellStyle name="표준 5 2 3 3 2 2 5 5" xfId="16704" xr:uid="{00000000-0005-0000-0000-00002D4F0000}"/>
    <cellStyle name="표준 5 2 3 3 2 2 5 6" xfId="20866" xr:uid="{00000000-0005-0000-0000-00002E4F0000}"/>
    <cellStyle name="표준 5 2 3 3 2 2 5 7" xfId="24962" xr:uid="{00000000-0005-0000-0000-00002F4F0000}"/>
    <cellStyle name="표준 5 2 3 3 2 2 5 8" xfId="33173" xr:uid="{00000000-0005-0000-0000-0000304F0000}"/>
    <cellStyle name="표준 5 2 3 3 2 2 5 9" xfId="41366" xr:uid="{00000000-0005-0000-0000-0000314F0000}"/>
    <cellStyle name="표준 5 2 3 3 2 2 6" xfId="2009" xr:uid="{00000000-0005-0000-0000-0000324F0000}"/>
    <cellStyle name="표준 5 2 3 3 2 2 6 2" xfId="10912" xr:uid="{00000000-0005-0000-0000-0000334F0000}"/>
    <cellStyle name="표준 5 2 3 3 2 2 6 2 2" xfId="15024" xr:uid="{00000000-0005-0000-0000-0000344F0000}"/>
    <cellStyle name="표준 5 2 3 3 2 2 6 2 2 2" xfId="31618" xr:uid="{00000000-0005-0000-0000-0000354F0000}"/>
    <cellStyle name="표준 5 2 3 3 2 2 6 2 2 3" xfId="39829" xr:uid="{00000000-0005-0000-0000-0000364F0000}"/>
    <cellStyle name="표준 5 2 3 3 2 2 6 2 2 4" xfId="48022" xr:uid="{00000000-0005-0000-0000-0000374F0000}"/>
    <cellStyle name="표준 5 2 3 3 2 2 6 2 3" xfId="19264" xr:uid="{00000000-0005-0000-0000-0000384F0000}"/>
    <cellStyle name="표준 5 2 3 3 2 2 6 2 4" xfId="23426" xr:uid="{00000000-0005-0000-0000-0000394F0000}"/>
    <cellStyle name="표준 5 2 3 3 2 2 6 2 5" xfId="27522" xr:uid="{00000000-0005-0000-0000-00003A4F0000}"/>
    <cellStyle name="표준 5 2 3 3 2 2 6 2 6" xfId="35733" xr:uid="{00000000-0005-0000-0000-00003B4F0000}"/>
    <cellStyle name="표준 5 2 3 3 2 2 6 2 7" xfId="43926" xr:uid="{00000000-0005-0000-0000-00003C4F0000}"/>
    <cellStyle name="표준 5 2 3 3 2 2 6 3" xfId="8864" xr:uid="{00000000-0005-0000-0000-00003D4F0000}"/>
    <cellStyle name="표준 5 2 3 3 2 2 6 3 2" xfId="29570" xr:uid="{00000000-0005-0000-0000-00003E4F0000}"/>
    <cellStyle name="표준 5 2 3 3 2 2 6 3 3" xfId="37781" xr:uid="{00000000-0005-0000-0000-00003F4F0000}"/>
    <cellStyle name="표준 5 2 3 3 2 2 6 3 4" xfId="45974" xr:uid="{00000000-0005-0000-0000-0000404F0000}"/>
    <cellStyle name="표준 5 2 3 3 2 2 6 4" xfId="12976" xr:uid="{00000000-0005-0000-0000-0000414F0000}"/>
    <cellStyle name="표준 5 2 3 3 2 2 6 5" xfId="17216" xr:uid="{00000000-0005-0000-0000-0000424F0000}"/>
    <cellStyle name="표준 5 2 3 3 2 2 6 6" xfId="21378" xr:uid="{00000000-0005-0000-0000-0000434F0000}"/>
    <cellStyle name="표준 5 2 3 3 2 2 6 7" xfId="25474" xr:uid="{00000000-0005-0000-0000-0000444F0000}"/>
    <cellStyle name="표준 5 2 3 3 2 2 6 8" xfId="33685" xr:uid="{00000000-0005-0000-0000-0000454F0000}"/>
    <cellStyle name="표준 5 2 3 3 2 2 6 9" xfId="41878" xr:uid="{00000000-0005-0000-0000-0000464F0000}"/>
    <cellStyle name="표준 5 2 3 3 2 2 7" xfId="9376" xr:uid="{00000000-0005-0000-0000-0000474F0000}"/>
    <cellStyle name="표준 5 2 3 3 2 2 7 2" xfId="13488" xr:uid="{00000000-0005-0000-0000-0000484F0000}"/>
    <cellStyle name="표준 5 2 3 3 2 2 7 2 2" xfId="30082" xr:uid="{00000000-0005-0000-0000-0000494F0000}"/>
    <cellStyle name="표준 5 2 3 3 2 2 7 2 3" xfId="38293" xr:uid="{00000000-0005-0000-0000-00004A4F0000}"/>
    <cellStyle name="표준 5 2 3 3 2 2 7 2 4" xfId="46486" xr:uid="{00000000-0005-0000-0000-00004B4F0000}"/>
    <cellStyle name="표준 5 2 3 3 2 2 7 3" xfId="17728" xr:uid="{00000000-0005-0000-0000-00004C4F0000}"/>
    <cellStyle name="표준 5 2 3 3 2 2 7 4" xfId="21890" xr:uid="{00000000-0005-0000-0000-00004D4F0000}"/>
    <cellStyle name="표준 5 2 3 3 2 2 7 5" xfId="25986" xr:uid="{00000000-0005-0000-0000-00004E4F0000}"/>
    <cellStyle name="표준 5 2 3 3 2 2 7 6" xfId="34197" xr:uid="{00000000-0005-0000-0000-00004F4F0000}"/>
    <cellStyle name="표준 5 2 3 3 2 2 7 7" xfId="42390" xr:uid="{00000000-0005-0000-0000-0000504F0000}"/>
    <cellStyle name="표준 5 2 3 3 2 2 8" xfId="7328" xr:uid="{00000000-0005-0000-0000-0000514F0000}"/>
    <cellStyle name="표준 5 2 3 3 2 2 8 2" xfId="28034" xr:uid="{00000000-0005-0000-0000-0000524F0000}"/>
    <cellStyle name="표준 5 2 3 3 2 2 8 3" xfId="36245" xr:uid="{00000000-0005-0000-0000-0000534F0000}"/>
    <cellStyle name="표준 5 2 3 3 2 2 8 4" xfId="44438" xr:uid="{00000000-0005-0000-0000-0000544F0000}"/>
    <cellStyle name="표준 5 2 3 3 2 2 9" xfId="11440" xr:uid="{00000000-0005-0000-0000-0000554F0000}"/>
    <cellStyle name="표준 5 2 3 3 2 3" xfId="537" xr:uid="{00000000-0005-0000-0000-0000564F0000}"/>
    <cellStyle name="표준 5 2 3 3 2 3 10" xfId="19906" xr:uid="{00000000-0005-0000-0000-0000574F0000}"/>
    <cellStyle name="표준 5 2 3 3 2 3 11" xfId="24002" xr:uid="{00000000-0005-0000-0000-0000584F0000}"/>
    <cellStyle name="표준 5 2 3 3 2 3 12" xfId="32213" xr:uid="{00000000-0005-0000-0000-0000594F0000}"/>
    <cellStyle name="표준 5 2 3 3 2 3 13" xfId="40406" xr:uid="{00000000-0005-0000-0000-00005A4F0000}"/>
    <cellStyle name="표준 5 2 3 3 2 3 2" xfId="793" xr:uid="{00000000-0005-0000-0000-00005B4F0000}"/>
    <cellStyle name="표준 5 2 3 3 2 3 2 10" xfId="24258" xr:uid="{00000000-0005-0000-0000-00005C4F0000}"/>
    <cellStyle name="표준 5 2 3 3 2 3 2 11" xfId="32469" xr:uid="{00000000-0005-0000-0000-00005D4F0000}"/>
    <cellStyle name="표준 5 2 3 3 2 3 2 12" xfId="40662" xr:uid="{00000000-0005-0000-0000-00005E4F0000}"/>
    <cellStyle name="표준 5 2 3 3 2 3 2 2" xfId="1305" xr:uid="{00000000-0005-0000-0000-00005F4F0000}"/>
    <cellStyle name="표준 5 2 3 3 2 3 2 2 2" xfId="10208" xr:uid="{00000000-0005-0000-0000-0000604F0000}"/>
    <cellStyle name="표준 5 2 3 3 2 3 2 2 2 2" xfId="14320" xr:uid="{00000000-0005-0000-0000-0000614F0000}"/>
    <cellStyle name="표준 5 2 3 3 2 3 2 2 2 2 2" xfId="30914" xr:uid="{00000000-0005-0000-0000-0000624F0000}"/>
    <cellStyle name="표준 5 2 3 3 2 3 2 2 2 2 3" xfId="39125" xr:uid="{00000000-0005-0000-0000-0000634F0000}"/>
    <cellStyle name="표준 5 2 3 3 2 3 2 2 2 2 4" xfId="47318" xr:uid="{00000000-0005-0000-0000-0000644F0000}"/>
    <cellStyle name="표준 5 2 3 3 2 3 2 2 2 3" xfId="18560" xr:uid="{00000000-0005-0000-0000-0000654F0000}"/>
    <cellStyle name="표준 5 2 3 3 2 3 2 2 2 4" xfId="22722" xr:uid="{00000000-0005-0000-0000-0000664F0000}"/>
    <cellStyle name="표준 5 2 3 3 2 3 2 2 2 5" xfId="26818" xr:uid="{00000000-0005-0000-0000-0000674F0000}"/>
    <cellStyle name="표준 5 2 3 3 2 3 2 2 2 6" xfId="35029" xr:uid="{00000000-0005-0000-0000-0000684F0000}"/>
    <cellStyle name="표준 5 2 3 3 2 3 2 2 2 7" xfId="43222" xr:uid="{00000000-0005-0000-0000-0000694F0000}"/>
    <cellStyle name="표준 5 2 3 3 2 3 2 2 3" xfId="8160" xr:uid="{00000000-0005-0000-0000-00006A4F0000}"/>
    <cellStyle name="표준 5 2 3 3 2 3 2 2 3 2" xfId="28866" xr:uid="{00000000-0005-0000-0000-00006B4F0000}"/>
    <cellStyle name="표준 5 2 3 3 2 3 2 2 3 3" xfId="37077" xr:uid="{00000000-0005-0000-0000-00006C4F0000}"/>
    <cellStyle name="표준 5 2 3 3 2 3 2 2 3 4" xfId="45270" xr:uid="{00000000-0005-0000-0000-00006D4F0000}"/>
    <cellStyle name="표준 5 2 3 3 2 3 2 2 4" xfId="12272" xr:uid="{00000000-0005-0000-0000-00006E4F0000}"/>
    <cellStyle name="표준 5 2 3 3 2 3 2 2 5" xfId="16512" xr:uid="{00000000-0005-0000-0000-00006F4F0000}"/>
    <cellStyle name="표준 5 2 3 3 2 3 2 2 6" xfId="20674" xr:uid="{00000000-0005-0000-0000-0000704F0000}"/>
    <cellStyle name="표준 5 2 3 3 2 3 2 2 7" xfId="24770" xr:uid="{00000000-0005-0000-0000-0000714F0000}"/>
    <cellStyle name="표준 5 2 3 3 2 3 2 2 8" xfId="32981" xr:uid="{00000000-0005-0000-0000-0000724F0000}"/>
    <cellStyle name="표준 5 2 3 3 2 3 2 2 9" xfId="41174" xr:uid="{00000000-0005-0000-0000-0000734F0000}"/>
    <cellStyle name="표준 5 2 3 3 2 3 2 3" xfId="1817" xr:uid="{00000000-0005-0000-0000-0000744F0000}"/>
    <cellStyle name="표준 5 2 3 3 2 3 2 3 2" xfId="10720" xr:uid="{00000000-0005-0000-0000-0000754F0000}"/>
    <cellStyle name="표준 5 2 3 3 2 3 2 3 2 2" xfId="14832" xr:uid="{00000000-0005-0000-0000-0000764F0000}"/>
    <cellStyle name="표준 5 2 3 3 2 3 2 3 2 2 2" xfId="31426" xr:uid="{00000000-0005-0000-0000-0000774F0000}"/>
    <cellStyle name="표준 5 2 3 3 2 3 2 3 2 2 3" xfId="39637" xr:uid="{00000000-0005-0000-0000-0000784F0000}"/>
    <cellStyle name="표준 5 2 3 3 2 3 2 3 2 2 4" xfId="47830" xr:uid="{00000000-0005-0000-0000-0000794F0000}"/>
    <cellStyle name="표준 5 2 3 3 2 3 2 3 2 3" xfId="19072" xr:uid="{00000000-0005-0000-0000-00007A4F0000}"/>
    <cellStyle name="표준 5 2 3 3 2 3 2 3 2 4" xfId="23234" xr:uid="{00000000-0005-0000-0000-00007B4F0000}"/>
    <cellStyle name="표준 5 2 3 3 2 3 2 3 2 5" xfId="27330" xr:uid="{00000000-0005-0000-0000-00007C4F0000}"/>
    <cellStyle name="표준 5 2 3 3 2 3 2 3 2 6" xfId="35541" xr:uid="{00000000-0005-0000-0000-00007D4F0000}"/>
    <cellStyle name="표준 5 2 3 3 2 3 2 3 2 7" xfId="43734" xr:uid="{00000000-0005-0000-0000-00007E4F0000}"/>
    <cellStyle name="표준 5 2 3 3 2 3 2 3 3" xfId="8672" xr:uid="{00000000-0005-0000-0000-00007F4F0000}"/>
    <cellStyle name="표준 5 2 3 3 2 3 2 3 3 2" xfId="29378" xr:uid="{00000000-0005-0000-0000-0000804F0000}"/>
    <cellStyle name="표준 5 2 3 3 2 3 2 3 3 3" xfId="37589" xr:uid="{00000000-0005-0000-0000-0000814F0000}"/>
    <cellStyle name="표준 5 2 3 3 2 3 2 3 3 4" xfId="45782" xr:uid="{00000000-0005-0000-0000-0000824F0000}"/>
    <cellStyle name="표준 5 2 3 3 2 3 2 3 4" xfId="12784" xr:uid="{00000000-0005-0000-0000-0000834F0000}"/>
    <cellStyle name="표준 5 2 3 3 2 3 2 3 5" xfId="17024" xr:uid="{00000000-0005-0000-0000-0000844F0000}"/>
    <cellStyle name="표준 5 2 3 3 2 3 2 3 6" xfId="21186" xr:uid="{00000000-0005-0000-0000-0000854F0000}"/>
    <cellStyle name="표준 5 2 3 3 2 3 2 3 7" xfId="25282" xr:uid="{00000000-0005-0000-0000-0000864F0000}"/>
    <cellStyle name="표준 5 2 3 3 2 3 2 3 8" xfId="33493" xr:uid="{00000000-0005-0000-0000-0000874F0000}"/>
    <cellStyle name="표준 5 2 3 3 2 3 2 3 9" xfId="41686" xr:uid="{00000000-0005-0000-0000-0000884F0000}"/>
    <cellStyle name="표준 5 2 3 3 2 3 2 4" xfId="2329" xr:uid="{00000000-0005-0000-0000-0000894F0000}"/>
    <cellStyle name="표준 5 2 3 3 2 3 2 4 2" xfId="11232" xr:uid="{00000000-0005-0000-0000-00008A4F0000}"/>
    <cellStyle name="표준 5 2 3 3 2 3 2 4 2 2" xfId="15344" xr:uid="{00000000-0005-0000-0000-00008B4F0000}"/>
    <cellStyle name="표준 5 2 3 3 2 3 2 4 2 2 2" xfId="31938" xr:uid="{00000000-0005-0000-0000-00008C4F0000}"/>
    <cellStyle name="표준 5 2 3 3 2 3 2 4 2 2 3" xfId="40149" xr:uid="{00000000-0005-0000-0000-00008D4F0000}"/>
    <cellStyle name="표준 5 2 3 3 2 3 2 4 2 2 4" xfId="48342" xr:uid="{00000000-0005-0000-0000-00008E4F0000}"/>
    <cellStyle name="표준 5 2 3 3 2 3 2 4 2 3" xfId="19584" xr:uid="{00000000-0005-0000-0000-00008F4F0000}"/>
    <cellStyle name="표준 5 2 3 3 2 3 2 4 2 4" xfId="23746" xr:uid="{00000000-0005-0000-0000-0000904F0000}"/>
    <cellStyle name="표준 5 2 3 3 2 3 2 4 2 5" xfId="27842" xr:uid="{00000000-0005-0000-0000-0000914F0000}"/>
    <cellStyle name="표준 5 2 3 3 2 3 2 4 2 6" xfId="36053" xr:uid="{00000000-0005-0000-0000-0000924F0000}"/>
    <cellStyle name="표준 5 2 3 3 2 3 2 4 2 7" xfId="44246" xr:uid="{00000000-0005-0000-0000-0000934F0000}"/>
    <cellStyle name="표준 5 2 3 3 2 3 2 4 3" xfId="9184" xr:uid="{00000000-0005-0000-0000-0000944F0000}"/>
    <cellStyle name="표준 5 2 3 3 2 3 2 4 3 2" xfId="29890" xr:uid="{00000000-0005-0000-0000-0000954F0000}"/>
    <cellStyle name="표준 5 2 3 3 2 3 2 4 3 3" xfId="38101" xr:uid="{00000000-0005-0000-0000-0000964F0000}"/>
    <cellStyle name="표준 5 2 3 3 2 3 2 4 3 4" xfId="46294" xr:uid="{00000000-0005-0000-0000-0000974F0000}"/>
    <cellStyle name="표준 5 2 3 3 2 3 2 4 4" xfId="13296" xr:uid="{00000000-0005-0000-0000-0000984F0000}"/>
    <cellStyle name="표준 5 2 3 3 2 3 2 4 5" xfId="17536" xr:uid="{00000000-0005-0000-0000-0000994F0000}"/>
    <cellStyle name="표준 5 2 3 3 2 3 2 4 6" xfId="21698" xr:uid="{00000000-0005-0000-0000-00009A4F0000}"/>
    <cellStyle name="표준 5 2 3 3 2 3 2 4 7" xfId="25794" xr:uid="{00000000-0005-0000-0000-00009B4F0000}"/>
    <cellStyle name="표준 5 2 3 3 2 3 2 4 8" xfId="34005" xr:uid="{00000000-0005-0000-0000-00009C4F0000}"/>
    <cellStyle name="표준 5 2 3 3 2 3 2 4 9" xfId="42198" xr:uid="{00000000-0005-0000-0000-00009D4F0000}"/>
    <cellStyle name="표준 5 2 3 3 2 3 2 5" xfId="9696" xr:uid="{00000000-0005-0000-0000-00009E4F0000}"/>
    <cellStyle name="표준 5 2 3 3 2 3 2 5 2" xfId="13808" xr:uid="{00000000-0005-0000-0000-00009F4F0000}"/>
    <cellStyle name="표준 5 2 3 3 2 3 2 5 2 2" xfId="30402" xr:uid="{00000000-0005-0000-0000-0000A04F0000}"/>
    <cellStyle name="표준 5 2 3 3 2 3 2 5 2 3" xfId="38613" xr:uid="{00000000-0005-0000-0000-0000A14F0000}"/>
    <cellStyle name="표준 5 2 3 3 2 3 2 5 2 4" xfId="46806" xr:uid="{00000000-0005-0000-0000-0000A24F0000}"/>
    <cellStyle name="표준 5 2 3 3 2 3 2 5 3" xfId="18048" xr:uid="{00000000-0005-0000-0000-0000A34F0000}"/>
    <cellStyle name="표준 5 2 3 3 2 3 2 5 4" xfId="22210" xr:uid="{00000000-0005-0000-0000-0000A44F0000}"/>
    <cellStyle name="표준 5 2 3 3 2 3 2 5 5" xfId="26306" xr:uid="{00000000-0005-0000-0000-0000A54F0000}"/>
    <cellStyle name="표준 5 2 3 3 2 3 2 5 6" xfId="34517" xr:uid="{00000000-0005-0000-0000-0000A64F0000}"/>
    <cellStyle name="표준 5 2 3 3 2 3 2 5 7" xfId="42710" xr:uid="{00000000-0005-0000-0000-0000A74F0000}"/>
    <cellStyle name="표준 5 2 3 3 2 3 2 6" xfId="7648" xr:uid="{00000000-0005-0000-0000-0000A84F0000}"/>
    <cellStyle name="표준 5 2 3 3 2 3 2 6 2" xfId="28354" xr:uid="{00000000-0005-0000-0000-0000A94F0000}"/>
    <cellStyle name="표준 5 2 3 3 2 3 2 6 3" xfId="36565" xr:uid="{00000000-0005-0000-0000-0000AA4F0000}"/>
    <cellStyle name="표준 5 2 3 3 2 3 2 6 4" xfId="44758" xr:uid="{00000000-0005-0000-0000-0000AB4F0000}"/>
    <cellStyle name="표준 5 2 3 3 2 3 2 7" xfId="11760" xr:uid="{00000000-0005-0000-0000-0000AC4F0000}"/>
    <cellStyle name="표준 5 2 3 3 2 3 2 8" xfId="16000" xr:uid="{00000000-0005-0000-0000-0000AD4F0000}"/>
    <cellStyle name="표준 5 2 3 3 2 3 2 9" xfId="20162" xr:uid="{00000000-0005-0000-0000-0000AE4F0000}"/>
    <cellStyle name="표준 5 2 3 3 2 3 3" xfId="1049" xr:uid="{00000000-0005-0000-0000-0000AF4F0000}"/>
    <cellStyle name="표준 5 2 3 3 2 3 3 2" xfId="9952" xr:uid="{00000000-0005-0000-0000-0000B04F0000}"/>
    <cellStyle name="표준 5 2 3 3 2 3 3 2 2" xfId="14064" xr:uid="{00000000-0005-0000-0000-0000B14F0000}"/>
    <cellStyle name="표준 5 2 3 3 2 3 3 2 2 2" xfId="30658" xr:uid="{00000000-0005-0000-0000-0000B24F0000}"/>
    <cellStyle name="표준 5 2 3 3 2 3 3 2 2 3" xfId="38869" xr:uid="{00000000-0005-0000-0000-0000B34F0000}"/>
    <cellStyle name="표준 5 2 3 3 2 3 3 2 2 4" xfId="47062" xr:uid="{00000000-0005-0000-0000-0000B44F0000}"/>
    <cellStyle name="표준 5 2 3 3 2 3 3 2 3" xfId="18304" xr:uid="{00000000-0005-0000-0000-0000B54F0000}"/>
    <cellStyle name="표준 5 2 3 3 2 3 3 2 4" xfId="22466" xr:uid="{00000000-0005-0000-0000-0000B64F0000}"/>
    <cellStyle name="표준 5 2 3 3 2 3 3 2 5" xfId="26562" xr:uid="{00000000-0005-0000-0000-0000B74F0000}"/>
    <cellStyle name="표준 5 2 3 3 2 3 3 2 6" xfId="34773" xr:uid="{00000000-0005-0000-0000-0000B84F0000}"/>
    <cellStyle name="표준 5 2 3 3 2 3 3 2 7" xfId="42966" xr:uid="{00000000-0005-0000-0000-0000B94F0000}"/>
    <cellStyle name="표준 5 2 3 3 2 3 3 3" xfId="7904" xr:uid="{00000000-0005-0000-0000-0000BA4F0000}"/>
    <cellStyle name="표준 5 2 3 3 2 3 3 3 2" xfId="28610" xr:uid="{00000000-0005-0000-0000-0000BB4F0000}"/>
    <cellStyle name="표준 5 2 3 3 2 3 3 3 3" xfId="36821" xr:uid="{00000000-0005-0000-0000-0000BC4F0000}"/>
    <cellStyle name="표준 5 2 3 3 2 3 3 3 4" xfId="45014" xr:uid="{00000000-0005-0000-0000-0000BD4F0000}"/>
    <cellStyle name="표준 5 2 3 3 2 3 3 4" xfId="12016" xr:uid="{00000000-0005-0000-0000-0000BE4F0000}"/>
    <cellStyle name="표준 5 2 3 3 2 3 3 5" xfId="16256" xr:uid="{00000000-0005-0000-0000-0000BF4F0000}"/>
    <cellStyle name="표준 5 2 3 3 2 3 3 6" xfId="20418" xr:uid="{00000000-0005-0000-0000-0000C04F0000}"/>
    <cellStyle name="표준 5 2 3 3 2 3 3 7" xfId="24514" xr:uid="{00000000-0005-0000-0000-0000C14F0000}"/>
    <cellStyle name="표준 5 2 3 3 2 3 3 8" xfId="32725" xr:uid="{00000000-0005-0000-0000-0000C24F0000}"/>
    <cellStyle name="표준 5 2 3 3 2 3 3 9" xfId="40918" xr:uid="{00000000-0005-0000-0000-0000C34F0000}"/>
    <cellStyle name="표준 5 2 3 3 2 3 4" xfId="1561" xr:uid="{00000000-0005-0000-0000-0000C44F0000}"/>
    <cellStyle name="표준 5 2 3 3 2 3 4 2" xfId="10464" xr:uid="{00000000-0005-0000-0000-0000C54F0000}"/>
    <cellStyle name="표준 5 2 3 3 2 3 4 2 2" xfId="14576" xr:uid="{00000000-0005-0000-0000-0000C64F0000}"/>
    <cellStyle name="표준 5 2 3 3 2 3 4 2 2 2" xfId="31170" xr:uid="{00000000-0005-0000-0000-0000C74F0000}"/>
    <cellStyle name="표준 5 2 3 3 2 3 4 2 2 3" xfId="39381" xr:uid="{00000000-0005-0000-0000-0000C84F0000}"/>
    <cellStyle name="표준 5 2 3 3 2 3 4 2 2 4" xfId="47574" xr:uid="{00000000-0005-0000-0000-0000C94F0000}"/>
    <cellStyle name="표준 5 2 3 3 2 3 4 2 3" xfId="18816" xr:uid="{00000000-0005-0000-0000-0000CA4F0000}"/>
    <cellStyle name="표준 5 2 3 3 2 3 4 2 4" xfId="22978" xr:uid="{00000000-0005-0000-0000-0000CB4F0000}"/>
    <cellStyle name="표준 5 2 3 3 2 3 4 2 5" xfId="27074" xr:uid="{00000000-0005-0000-0000-0000CC4F0000}"/>
    <cellStyle name="표준 5 2 3 3 2 3 4 2 6" xfId="35285" xr:uid="{00000000-0005-0000-0000-0000CD4F0000}"/>
    <cellStyle name="표준 5 2 3 3 2 3 4 2 7" xfId="43478" xr:uid="{00000000-0005-0000-0000-0000CE4F0000}"/>
    <cellStyle name="표준 5 2 3 3 2 3 4 3" xfId="8416" xr:uid="{00000000-0005-0000-0000-0000CF4F0000}"/>
    <cellStyle name="표준 5 2 3 3 2 3 4 3 2" xfId="29122" xr:uid="{00000000-0005-0000-0000-0000D04F0000}"/>
    <cellStyle name="표준 5 2 3 3 2 3 4 3 3" xfId="37333" xr:uid="{00000000-0005-0000-0000-0000D14F0000}"/>
    <cellStyle name="표준 5 2 3 3 2 3 4 3 4" xfId="45526" xr:uid="{00000000-0005-0000-0000-0000D24F0000}"/>
    <cellStyle name="표준 5 2 3 3 2 3 4 4" xfId="12528" xr:uid="{00000000-0005-0000-0000-0000D34F0000}"/>
    <cellStyle name="표준 5 2 3 3 2 3 4 5" xfId="16768" xr:uid="{00000000-0005-0000-0000-0000D44F0000}"/>
    <cellStyle name="표준 5 2 3 3 2 3 4 6" xfId="20930" xr:uid="{00000000-0005-0000-0000-0000D54F0000}"/>
    <cellStyle name="표준 5 2 3 3 2 3 4 7" xfId="25026" xr:uid="{00000000-0005-0000-0000-0000D64F0000}"/>
    <cellStyle name="표준 5 2 3 3 2 3 4 8" xfId="33237" xr:uid="{00000000-0005-0000-0000-0000D74F0000}"/>
    <cellStyle name="표준 5 2 3 3 2 3 4 9" xfId="41430" xr:uid="{00000000-0005-0000-0000-0000D84F0000}"/>
    <cellStyle name="표준 5 2 3 3 2 3 5" xfId="2073" xr:uid="{00000000-0005-0000-0000-0000D94F0000}"/>
    <cellStyle name="표준 5 2 3 3 2 3 5 2" xfId="10976" xr:uid="{00000000-0005-0000-0000-0000DA4F0000}"/>
    <cellStyle name="표준 5 2 3 3 2 3 5 2 2" xfId="15088" xr:uid="{00000000-0005-0000-0000-0000DB4F0000}"/>
    <cellStyle name="표준 5 2 3 3 2 3 5 2 2 2" xfId="31682" xr:uid="{00000000-0005-0000-0000-0000DC4F0000}"/>
    <cellStyle name="표준 5 2 3 3 2 3 5 2 2 3" xfId="39893" xr:uid="{00000000-0005-0000-0000-0000DD4F0000}"/>
    <cellStyle name="표준 5 2 3 3 2 3 5 2 2 4" xfId="48086" xr:uid="{00000000-0005-0000-0000-0000DE4F0000}"/>
    <cellStyle name="표준 5 2 3 3 2 3 5 2 3" xfId="19328" xr:uid="{00000000-0005-0000-0000-0000DF4F0000}"/>
    <cellStyle name="표준 5 2 3 3 2 3 5 2 4" xfId="23490" xr:uid="{00000000-0005-0000-0000-0000E04F0000}"/>
    <cellStyle name="표준 5 2 3 3 2 3 5 2 5" xfId="27586" xr:uid="{00000000-0005-0000-0000-0000E14F0000}"/>
    <cellStyle name="표준 5 2 3 3 2 3 5 2 6" xfId="35797" xr:uid="{00000000-0005-0000-0000-0000E24F0000}"/>
    <cellStyle name="표준 5 2 3 3 2 3 5 2 7" xfId="43990" xr:uid="{00000000-0005-0000-0000-0000E34F0000}"/>
    <cellStyle name="표준 5 2 3 3 2 3 5 3" xfId="8928" xr:uid="{00000000-0005-0000-0000-0000E44F0000}"/>
    <cellStyle name="표준 5 2 3 3 2 3 5 3 2" xfId="29634" xr:uid="{00000000-0005-0000-0000-0000E54F0000}"/>
    <cellStyle name="표준 5 2 3 3 2 3 5 3 3" xfId="37845" xr:uid="{00000000-0005-0000-0000-0000E64F0000}"/>
    <cellStyle name="표준 5 2 3 3 2 3 5 3 4" xfId="46038" xr:uid="{00000000-0005-0000-0000-0000E74F0000}"/>
    <cellStyle name="표준 5 2 3 3 2 3 5 4" xfId="13040" xr:uid="{00000000-0005-0000-0000-0000E84F0000}"/>
    <cellStyle name="표준 5 2 3 3 2 3 5 5" xfId="17280" xr:uid="{00000000-0005-0000-0000-0000E94F0000}"/>
    <cellStyle name="표준 5 2 3 3 2 3 5 6" xfId="21442" xr:uid="{00000000-0005-0000-0000-0000EA4F0000}"/>
    <cellStyle name="표준 5 2 3 3 2 3 5 7" xfId="25538" xr:uid="{00000000-0005-0000-0000-0000EB4F0000}"/>
    <cellStyle name="표준 5 2 3 3 2 3 5 8" xfId="33749" xr:uid="{00000000-0005-0000-0000-0000EC4F0000}"/>
    <cellStyle name="표준 5 2 3 3 2 3 5 9" xfId="41942" xr:uid="{00000000-0005-0000-0000-0000ED4F0000}"/>
    <cellStyle name="표준 5 2 3 3 2 3 6" xfId="9440" xr:uid="{00000000-0005-0000-0000-0000EE4F0000}"/>
    <cellStyle name="표준 5 2 3 3 2 3 6 2" xfId="13552" xr:uid="{00000000-0005-0000-0000-0000EF4F0000}"/>
    <cellStyle name="표준 5 2 3 3 2 3 6 2 2" xfId="30146" xr:uid="{00000000-0005-0000-0000-0000F04F0000}"/>
    <cellStyle name="표준 5 2 3 3 2 3 6 2 3" xfId="38357" xr:uid="{00000000-0005-0000-0000-0000F14F0000}"/>
    <cellStyle name="표준 5 2 3 3 2 3 6 2 4" xfId="46550" xr:uid="{00000000-0005-0000-0000-0000F24F0000}"/>
    <cellStyle name="표준 5 2 3 3 2 3 6 3" xfId="17792" xr:uid="{00000000-0005-0000-0000-0000F34F0000}"/>
    <cellStyle name="표준 5 2 3 3 2 3 6 4" xfId="21954" xr:uid="{00000000-0005-0000-0000-0000F44F0000}"/>
    <cellStyle name="표준 5 2 3 3 2 3 6 5" xfId="26050" xr:uid="{00000000-0005-0000-0000-0000F54F0000}"/>
    <cellStyle name="표준 5 2 3 3 2 3 6 6" xfId="34261" xr:uid="{00000000-0005-0000-0000-0000F64F0000}"/>
    <cellStyle name="표준 5 2 3 3 2 3 6 7" xfId="42454" xr:uid="{00000000-0005-0000-0000-0000F74F0000}"/>
    <cellStyle name="표준 5 2 3 3 2 3 7" xfId="7392" xr:uid="{00000000-0005-0000-0000-0000F84F0000}"/>
    <cellStyle name="표준 5 2 3 3 2 3 7 2" xfId="28098" xr:uid="{00000000-0005-0000-0000-0000F94F0000}"/>
    <cellStyle name="표준 5 2 3 3 2 3 7 3" xfId="36309" xr:uid="{00000000-0005-0000-0000-0000FA4F0000}"/>
    <cellStyle name="표준 5 2 3 3 2 3 7 4" xfId="44502" xr:uid="{00000000-0005-0000-0000-0000FB4F0000}"/>
    <cellStyle name="표준 5 2 3 3 2 3 8" xfId="11504" xr:uid="{00000000-0005-0000-0000-0000FC4F0000}"/>
    <cellStyle name="표준 5 2 3 3 2 3 9" xfId="15744" xr:uid="{00000000-0005-0000-0000-0000FD4F0000}"/>
    <cellStyle name="표준 5 2 3 3 2 4" xfId="665" xr:uid="{00000000-0005-0000-0000-0000FE4F0000}"/>
    <cellStyle name="표준 5 2 3 3 2 4 10" xfId="24130" xr:uid="{00000000-0005-0000-0000-0000FF4F0000}"/>
    <cellStyle name="표준 5 2 3 3 2 4 11" xfId="32341" xr:uid="{00000000-0005-0000-0000-000000500000}"/>
    <cellStyle name="표준 5 2 3 3 2 4 12" xfId="40534" xr:uid="{00000000-0005-0000-0000-000001500000}"/>
    <cellStyle name="표준 5 2 3 3 2 4 2" xfId="1177" xr:uid="{00000000-0005-0000-0000-000002500000}"/>
    <cellStyle name="표준 5 2 3 3 2 4 2 2" xfId="10080" xr:uid="{00000000-0005-0000-0000-000003500000}"/>
    <cellStyle name="표준 5 2 3 3 2 4 2 2 2" xfId="14192" xr:uid="{00000000-0005-0000-0000-000004500000}"/>
    <cellStyle name="표준 5 2 3 3 2 4 2 2 2 2" xfId="30786" xr:uid="{00000000-0005-0000-0000-000005500000}"/>
    <cellStyle name="표준 5 2 3 3 2 4 2 2 2 3" xfId="38997" xr:uid="{00000000-0005-0000-0000-000006500000}"/>
    <cellStyle name="표준 5 2 3 3 2 4 2 2 2 4" xfId="47190" xr:uid="{00000000-0005-0000-0000-000007500000}"/>
    <cellStyle name="표준 5 2 3 3 2 4 2 2 3" xfId="18432" xr:uid="{00000000-0005-0000-0000-000008500000}"/>
    <cellStyle name="표준 5 2 3 3 2 4 2 2 4" xfId="22594" xr:uid="{00000000-0005-0000-0000-000009500000}"/>
    <cellStyle name="표준 5 2 3 3 2 4 2 2 5" xfId="26690" xr:uid="{00000000-0005-0000-0000-00000A500000}"/>
    <cellStyle name="표준 5 2 3 3 2 4 2 2 6" xfId="34901" xr:uid="{00000000-0005-0000-0000-00000B500000}"/>
    <cellStyle name="표준 5 2 3 3 2 4 2 2 7" xfId="43094" xr:uid="{00000000-0005-0000-0000-00000C500000}"/>
    <cellStyle name="표준 5 2 3 3 2 4 2 3" xfId="8032" xr:uid="{00000000-0005-0000-0000-00000D500000}"/>
    <cellStyle name="표준 5 2 3 3 2 4 2 3 2" xfId="28738" xr:uid="{00000000-0005-0000-0000-00000E500000}"/>
    <cellStyle name="표준 5 2 3 3 2 4 2 3 3" xfId="36949" xr:uid="{00000000-0005-0000-0000-00000F500000}"/>
    <cellStyle name="표준 5 2 3 3 2 4 2 3 4" xfId="45142" xr:uid="{00000000-0005-0000-0000-000010500000}"/>
    <cellStyle name="표준 5 2 3 3 2 4 2 4" xfId="12144" xr:uid="{00000000-0005-0000-0000-000011500000}"/>
    <cellStyle name="표준 5 2 3 3 2 4 2 5" xfId="16384" xr:uid="{00000000-0005-0000-0000-000012500000}"/>
    <cellStyle name="표준 5 2 3 3 2 4 2 6" xfId="20546" xr:uid="{00000000-0005-0000-0000-000013500000}"/>
    <cellStyle name="표준 5 2 3 3 2 4 2 7" xfId="24642" xr:uid="{00000000-0005-0000-0000-000014500000}"/>
    <cellStyle name="표준 5 2 3 3 2 4 2 8" xfId="32853" xr:uid="{00000000-0005-0000-0000-000015500000}"/>
    <cellStyle name="표준 5 2 3 3 2 4 2 9" xfId="41046" xr:uid="{00000000-0005-0000-0000-000016500000}"/>
    <cellStyle name="표준 5 2 3 3 2 4 3" xfId="1689" xr:uid="{00000000-0005-0000-0000-000017500000}"/>
    <cellStyle name="표준 5 2 3 3 2 4 3 2" xfId="10592" xr:uid="{00000000-0005-0000-0000-000018500000}"/>
    <cellStyle name="표준 5 2 3 3 2 4 3 2 2" xfId="14704" xr:uid="{00000000-0005-0000-0000-000019500000}"/>
    <cellStyle name="표준 5 2 3 3 2 4 3 2 2 2" xfId="31298" xr:uid="{00000000-0005-0000-0000-00001A500000}"/>
    <cellStyle name="표준 5 2 3 3 2 4 3 2 2 3" xfId="39509" xr:uid="{00000000-0005-0000-0000-00001B500000}"/>
    <cellStyle name="표준 5 2 3 3 2 4 3 2 2 4" xfId="47702" xr:uid="{00000000-0005-0000-0000-00001C500000}"/>
    <cellStyle name="표준 5 2 3 3 2 4 3 2 3" xfId="18944" xr:uid="{00000000-0005-0000-0000-00001D500000}"/>
    <cellStyle name="표준 5 2 3 3 2 4 3 2 4" xfId="23106" xr:uid="{00000000-0005-0000-0000-00001E500000}"/>
    <cellStyle name="표준 5 2 3 3 2 4 3 2 5" xfId="27202" xr:uid="{00000000-0005-0000-0000-00001F500000}"/>
    <cellStyle name="표준 5 2 3 3 2 4 3 2 6" xfId="35413" xr:uid="{00000000-0005-0000-0000-000020500000}"/>
    <cellStyle name="표준 5 2 3 3 2 4 3 2 7" xfId="43606" xr:uid="{00000000-0005-0000-0000-000021500000}"/>
    <cellStyle name="표준 5 2 3 3 2 4 3 3" xfId="8544" xr:uid="{00000000-0005-0000-0000-000022500000}"/>
    <cellStyle name="표준 5 2 3 3 2 4 3 3 2" xfId="29250" xr:uid="{00000000-0005-0000-0000-000023500000}"/>
    <cellStyle name="표준 5 2 3 3 2 4 3 3 3" xfId="37461" xr:uid="{00000000-0005-0000-0000-000024500000}"/>
    <cellStyle name="표준 5 2 3 3 2 4 3 3 4" xfId="45654" xr:uid="{00000000-0005-0000-0000-000025500000}"/>
    <cellStyle name="표준 5 2 3 3 2 4 3 4" xfId="12656" xr:uid="{00000000-0005-0000-0000-000026500000}"/>
    <cellStyle name="표준 5 2 3 3 2 4 3 5" xfId="16896" xr:uid="{00000000-0005-0000-0000-000027500000}"/>
    <cellStyle name="표준 5 2 3 3 2 4 3 6" xfId="21058" xr:uid="{00000000-0005-0000-0000-000028500000}"/>
    <cellStyle name="표준 5 2 3 3 2 4 3 7" xfId="25154" xr:uid="{00000000-0005-0000-0000-000029500000}"/>
    <cellStyle name="표준 5 2 3 3 2 4 3 8" xfId="33365" xr:uid="{00000000-0005-0000-0000-00002A500000}"/>
    <cellStyle name="표준 5 2 3 3 2 4 3 9" xfId="41558" xr:uid="{00000000-0005-0000-0000-00002B500000}"/>
    <cellStyle name="표준 5 2 3 3 2 4 4" xfId="2201" xr:uid="{00000000-0005-0000-0000-00002C500000}"/>
    <cellStyle name="표준 5 2 3 3 2 4 4 2" xfId="11104" xr:uid="{00000000-0005-0000-0000-00002D500000}"/>
    <cellStyle name="표준 5 2 3 3 2 4 4 2 2" xfId="15216" xr:uid="{00000000-0005-0000-0000-00002E500000}"/>
    <cellStyle name="표준 5 2 3 3 2 4 4 2 2 2" xfId="31810" xr:uid="{00000000-0005-0000-0000-00002F500000}"/>
    <cellStyle name="표준 5 2 3 3 2 4 4 2 2 3" xfId="40021" xr:uid="{00000000-0005-0000-0000-000030500000}"/>
    <cellStyle name="표준 5 2 3 3 2 4 4 2 2 4" xfId="48214" xr:uid="{00000000-0005-0000-0000-000031500000}"/>
    <cellStyle name="표준 5 2 3 3 2 4 4 2 3" xfId="19456" xr:uid="{00000000-0005-0000-0000-000032500000}"/>
    <cellStyle name="표준 5 2 3 3 2 4 4 2 4" xfId="23618" xr:uid="{00000000-0005-0000-0000-000033500000}"/>
    <cellStyle name="표준 5 2 3 3 2 4 4 2 5" xfId="27714" xr:uid="{00000000-0005-0000-0000-000034500000}"/>
    <cellStyle name="표준 5 2 3 3 2 4 4 2 6" xfId="35925" xr:uid="{00000000-0005-0000-0000-000035500000}"/>
    <cellStyle name="표준 5 2 3 3 2 4 4 2 7" xfId="44118" xr:uid="{00000000-0005-0000-0000-000036500000}"/>
    <cellStyle name="표준 5 2 3 3 2 4 4 3" xfId="9056" xr:uid="{00000000-0005-0000-0000-000037500000}"/>
    <cellStyle name="표준 5 2 3 3 2 4 4 3 2" xfId="29762" xr:uid="{00000000-0005-0000-0000-000038500000}"/>
    <cellStyle name="표준 5 2 3 3 2 4 4 3 3" xfId="37973" xr:uid="{00000000-0005-0000-0000-000039500000}"/>
    <cellStyle name="표준 5 2 3 3 2 4 4 3 4" xfId="46166" xr:uid="{00000000-0005-0000-0000-00003A500000}"/>
    <cellStyle name="표준 5 2 3 3 2 4 4 4" xfId="13168" xr:uid="{00000000-0005-0000-0000-00003B500000}"/>
    <cellStyle name="표준 5 2 3 3 2 4 4 5" xfId="17408" xr:uid="{00000000-0005-0000-0000-00003C500000}"/>
    <cellStyle name="표준 5 2 3 3 2 4 4 6" xfId="21570" xr:uid="{00000000-0005-0000-0000-00003D500000}"/>
    <cellStyle name="표준 5 2 3 3 2 4 4 7" xfId="25666" xr:uid="{00000000-0005-0000-0000-00003E500000}"/>
    <cellStyle name="표준 5 2 3 3 2 4 4 8" xfId="33877" xr:uid="{00000000-0005-0000-0000-00003F500000}"/>
    <cellStyle name="표준 5 2 3 3 2 4 4 9" xfId="42070" xr:uid="{00000000-0005-0000-0000-000040500000}"/>
    <cellStyle name="표준 5 2 3 3 2 4 5" xfId="9568" xr:uid="{00000000-0005-0000-0000-000041500000}"/>
    <cellStyle name="표준 5 2 3 3 2 4 5 2" xfId="13680" xr:uid="{00000000-0005-0000-0000-000042500000}"/>
    <cellStyle name="표준 5 2 3 3 2 4 5 2 2" xfId="30274" xr:uid="{00000000-0005-0000-0000-000043500000}"/>
    <cellStyle name="표준 5 2 3 3 2 4 5 2 3" xfId="38485" xr:uid="{00000000-0005-0000-0000-000044500000}"/>
    <cellStyle name="표준 5 2 3 3 2 4 5 2 4" xfId="46678" xr:uid="{00000000-0005-0000-0000-000045500000}"/>
    <cellStyle name="표준 5 2 3 3 2 4 5 3" xfId="17920" xr:uid="{00000000-0005-0000-0000-000046500000}"/>
    <cellStyle name="표준 5 2 3 3 2 4 5 4" xfId="22082" xr:uid="{00000000-0005-0000-0000-000047500000}"/>
    <cellStyle name="표준 5 2 3 3 2 4 5 5" xfId="26178" xr:uid="{00000000-0005-0000-0000-000048500000}"/>
    <cellStyle name="표준 5 2 3 3 2 4 5 6" xfId="34389" xr:uid="{00000000-0005-0000-0000-000049500000}"/>
    <cellStyle name="표준 5 2 3 3 2 4 5 7" xfId="42582" xr:uid="{00000000-0005-0000-0000-00004A500000}"/>
    <cellStyle name="표준 5 2 3 3 2 4 6" xfId="7520" xr:uid="{00000000-0005-0000-0000-00004B500000}"/>
    <cellStyle name="표준 5 2 3 3 2 4 6 2" xfId="28226" xr:uid="{00000000-0005-0000-0000-00004C500000}"/>
    <cellStyle name="표준 5 2 3 3 2 4 6 3" xfId="36437" xr:uid="{00000000-0005-0000-0000-00004D500000}"/>
    <cellStyle name="표준 5 2 3 3 2 4 6 4" xfId="44630" xr:uid="{00000000-0005-0000-0000-00004E500000}"/>
    <cellStyle name="표준 5 2 3 3 2 4 7" xfId="11632" xr:uid="{00000000-0005-0000-0000-00004F500000}"/>
    <cellStyle name="표준 5 2 3 3 2 4 8" xfId="15872" xr:uid="{00000000-0005-0000-0000-000050500000}"/>
    <cellStyle name="표준 5 2 3 3 2 4 9" xfId="20034" xr:uid="{00000000-0005-0000-0000-000051500000}"/>
    <cellStyle name="표준 5 2 3 3 2 5" xfId="921" xr:uid="{00000000-0005-0000-0000-000052500000}"/>
    <cellStyle name="표준 5 2 3 3 2 5 2" xfId="9824" xr:uid="{00000000-0005-0000-0000-000053500000}"/>
    <cellStyle name="표준 5 2 3 3 2 5 2 2" xfId="13936" xr:uid="{00000000-0005-0000-0000-000054500000}"/>
    <cellStyle name="표준 5 2 3 3 2 5 2 2 2" xfId="30530" xr:uid="{00000000-0005-0000-0000-000055500000}"/>
    <cellStyle name="표준 5 2 3 3 2 5 2 2 3" xfId="38741" xr:uid="{00000000-0005-0000-0000-000056500000}"/>
    <cellStyle name="표준 5 2 3 3 2 5 2 2 4" xfId="46934" xr:uid="{00000000-0005-0000-0000-000057500000}"/>
    <cellStyle name="표준 5 2 3 3 2 5 2 3" xfId="18176" xr:uid="{00000000-0005-0000-0000-000058500000}"/>
    <cellStyle name="표준 5 2 3 3 2 5 2 4" xfId="22338" xr:uid="{00000000-0005-0000-0000-000059500000}"/>
    <cellStyle name="표준 5 2 3 3 2 5 2 5" xfId="26434" xr:uid="{00000000-0005-0000-0000-00005A500000}"/>
    <cellStyle name="표준 5 2 3 3 2 5 2 6" xfId="34645" xr:uid="{00000000-0005-0000-0000-00005B500000}"/>
    <cellStyle name="표준 5 2 3 3 2 5 2 7" xfId="42838" xr:uid="{00000000-0005-0000-0000-00005C500000}"/>
    <cellStyle name="표준 5 2 3 3 2 5 3" xfId="7776" xr:uid="{00000000-0005-0000-0000-00005D500000}"/>
    <cellStyle name="표준 5 2 3 3 2 5 3 2" xfId="28482" xr:uid="{00000000-0005-0000-0000-00005E500000}"/>
    <cellStyle name="표준 5 2 3 3 2 5 3 3" xfId="36693" xr:uid="{00000000-0005-0000-0000-00005F500000}"/>
    <cellStyle name="표준 5 2 3 3 2 5 3 4" xfId="44886" xr:uid="{00000000-0005-0000-0000-000060500000}"/>
    <cellStyle name="표준 5 2 3 3 2 5 4" xfId="11888" xr:uid="{00000000-0005-0000-0000-000061500000}"/>
    <cellStyle name="표준 5 2 3 3 2 5 5" xfId="16128" xr:uid="{00000000-0005-0000-0000-000062500000}"/>
    <cellStyle name="표준 5 2 3 3 2 5 6" xfId="20290" xr:uid="{00000000-0005-0000-0000-000063500000}"/>
    <cellStyle name="표준 5 2 3 3 2 5 7" xfId="24386" xr:uid="{00000000-0005-0000-0000-000064500000}"/>
    <cellStyle name="표준 5 2 3 3 2 5 8" xfId="32597" xr:uid="{00000000-0005-0000-0000-000065500000}"/>
    <cellStyle name="표준 5 2 3 3 2 5 9" xfId="40790" xr:uid="{00000000-0005-0000-0000-000066500000}"/>
    <cellStyle name="표준 5 2 3 3 2 6" xfId="1433" xr:uid="{00000000-0005-0000-0000-000067500000}"/>
    <cellStyle name="표준 5 2 3 3 2 6 2" xfId="10336" xr:uid="{00000000-0005-0000-0000-000068500000}"/>
    <cellStyle name="표준 5 2 3 3 2 6 2 2" xfId="14448" xr:uid="{00000000-0005-0000-0000-000069500000}"/>
    <cellStyle name="표준 5 2 3 3 2 6 2 2 2" xfId="31042" xr:uid="{00000000-0005-0000-0000-00006A500000}"/>
    <cellStyle name="표준 5 2 3 3 2 6 2 2 3" xfId="39253" xr:uid="{00000000-0005-0000-0000-00006B500000}"/>
    <cellStyle name="표준 5 2 3 3 2 6 2 2 4" xfId="47446" xr:uid="{00000000-0005-0000-0000-00006C500000}"/>
    <cellStyle name="표준 5 2 3 3 2 6 2 3" xfId="18688" xr:uid="{00000000-0005-0000-0000-00006D500000}"/>
    <cellStyle name="표준 5 2 3 3 2 6 2 4" xfId="22850" xr:uid="{00000000-0005-0000-0000-00006E500000}"/>
    <cellStyle name="표준 5 2 3 3 2 6 2 5" xfId="26946" xr:uid="{00000000-0005-0000-0000-00006F500000}"/>
    <cellStyle name="표준 5 2 3 3 2 6 2 6" xfId="35157" xr:uid="{00000000-0005-0000-0000-000070500000}"/>
    <cellStyle name="표준 5 2 3 3 2 6 2 7" xfId="43350" xr:uid="{00000000-0005-0000-0000-000071500000}"/>
    <cellStyle name="표준 5 2 3 3 2 6 3" xfId="8288" xr:uid="{00000000-0005-0000-0000-000072500000}"/>
    <cellStyle name="표준 5 2 3 3 2 6 3 2" xfId="28994" xr:uid="{00000000-0005-0000-0000-000073500000}"/>
    <cellStyle name="표준 5 2 3 3 2 6 3 3" xfId="37205" xr:uid="{00000000-0005-0000-0000-000074500000}"/>
    <cellStyle name="표준 5 2 3 3 2 6 3 4" xfId="45398" xr:uid="{00000000-0005-0000-0000-000075500000}"/>
    <cellStyle name="표준 5 2 3 3 2 6 4" xfId="12400" xr:uid="{00000000-0005-0000-0000-000076500000}"/>
    <cellStyle name="표준 5 2 3 3 2 6 5" xfId="16640" xr:uid="{00000000-0005-0000-0000-000077500000}"/>
    <cellStyle name="표준 5 2 3 3 2 6 6" xfId="20802" xr:uid="{00000000-0005-0000-0000-000078500000}"/>
    <cellStyle name="표준 5 2 3 3 2 6 7" xfId="24898" xr:uid="{00000000-0005-0000-0000-000079500000}"/>
    <cellStyle name="표준 5 2 3 3 2 6 8" xfId="33109" xr:uid="{00000000-0005-0000-0000-00007A500000}"/>
    <cellStyle name="표준 5 2 3 3 2 6 9" xfId="41302" xr:uid="{00000000-0005-0000-0000-00007B500000}"/>
    <cellStyle name="표준 5 2 3 3 2 7" xfId="1945" xr:uid="{00000000-0005-0000-0000-00007C500000}"/>
    <cellStyle name="표준 5 2 3 3 2 7 2" xfId="10848" xr:uid="{00000000-0005-0000-0000-00007D500000}"/>
    <cellStyle name="표준 5 2 3 3 2 7 2 2" xfId="14960" xr:uid="{00000000-0005-0000-0000-00007E500000}"/>
    <cellStyle name="표준 5 2 3 3 2 7 2 2 2" xfId="31554" xr:uid="{00000000-0005-0000-0000-00007F500000}"/>
    <cellStyle name="표준 5 2 3 3 2 7 2 2 3" xfId="39765" xr:uid="{00000000-0005-0000-0000-000080500000}"/>
    <cellStyle name="표준 5 2 3 3 2 7 2 2 4" xfId="47958" xr:uid="{00000000-0005-0000-0000-000081500000}"/>
    <cellStyle name="표준 5 2 3 3 2 7 2 3" xfId="19200" xr:uid="{00000000-0005-0000-0000-000082500000}"/>
    <cellStyle name="표준 5 2 3 3 2 7 2 4" xfId="23362" xr:uid="{00000000-0005-0000-0000-000083500000}"/>
    <cellStyle name="표준 5 2 3 3 2 7 2 5" xfId="27458" xr:uid="{00000000-0005-0000-0000-000084500000}"/>
    <cellStyle name="표준 5 2 3 3 2 7 2 6" xfId="35669" xr:uid="{00000000-0005-0000-0000-000085500000}"/>
    <cellStyle name="표준 5 2 3 3 2 7 2 7" xfId="43862" xr:uid="{00000000-0005-0000-0000-000086500000}"/>
    <cellStyle name="표준 5 2 3 3 2 7 3" xfId="8800" xr:uid="{00000000-0005-0000-0000-000087500000}"/>
    <cellStyle name="표준 5 2 3 3 2 7 3 2" xfId="29506" xr:uid="{00000000-0005-0000-0000-000088500000}"/>
    <cellStyle name="표준 5 2 3 3 2 7 3 3" xfId="37717" xr:uid="{00000000-0005-0000-0000-000089500000}"/>
    <cellStyle name="표준 5 2 3 3 2 7 3 4" xfId="45910" xr:uid="{00000000-0005-0000-0000-00008A500000}"/>
    <cellStyle name="표준 5 2 3 3 2 7 4" xfId="12912" xr:uid="{00000000-0005-0000-0000-00008B500000}"/>
    <cellStyle name="표준 5 2 3 3 2 7 5" xfId="17152" xr:uid="{00000000-0005-0000-0000-00008C500000}"/>
    <cellStyle name="표준 5 2 3 3 2 7 6" xfId="21314" xr:uid="{00000000-0005-0000-0000-00008D500000}"/>
    <cellStyle name="표준 5 2 3 3 2 7 7" xfId="25410" xr:uid="{00000000-0005-0000-0000-00008E500000}"/>
    <cellStyle name="표준 5 2 3 3 2 7 8" xfId="33621" xr:uid="{00000000-0005-0000-0000-00008F500000}"/>
    <cellStyle name="표준 5 2 3 3 2 7 9" xfId="41814" xr:uid="{00000000-0005-0000-0000-000090500000}"/>
    <cellStyle name="표준 5 2 3 3 2 8" xfId="7037" xr:uid="{00000000-0005-0000-0000-000091500000}"/>
    <cellStyle name="표준 5 2 3 3 2 8 2" xfId="9312" xr:uid="{00000000-0005-0000-0000-000092500000}"/>
    <cellStyle name="표준 5 2 3 3 2 8 2 2" xfId="30018" xr:uid="{00000000-0005-0000-0000-000093500000}"/>
    <cellStyle name="표준 5 2 3 3 2 8 2 3" xfId="38229" xr:uid="{00000000-0005-0000-0000-000094500000}"/>
    <cellStyle name="표준 5 2 3 3 2 8 2 4" xfId="46422" xr:uid="{00000000-0005-0000-0000-000095500000}"/>
    <cellStyle name="표준 5 2 3 3 2 8 3" xfId="13424" xr:uid="{00000000-0005-0000-0000-000096500000}"/>
    <cellStyle name="표준 5 2 3 3 2 8 4" xfId="17664" xr:uid="{00000000-0005-0000-0000-000097500000}"/>
    <cellStyle name="표준 5 2 3 3 2 8 5" xfId="21826" xr:uid="{00000000-0005-0000-0000-000098500000}"/>
    <cellStyle name="표준 5 2 3 3 2 8 6" xfId="25922" xr:uid="{00000000-0005-0000-0000-000099500000}"/>
    <cellStyle name="표준 5 2 3 3 2 8 7" xfId="34133" xr:uid="{00000000-0005-0000-0000-00009A500000}"/>
    <cellStyle name="표준 5 2 3 3 2 8 8" xfId="42326" xr:uid="{00000000-0005-0000-0000-00009B500000}"/>
    <cellStyle name="표준 5 2 3 3 2 9" xfId="7141" xr:uid="{00000000-0005-0000-0000-00009C500000}"/>
    <cellStyle name="표준 5 2 3 3 2 9 2" xfId="27970" xr:uid="{00000000-0005-0000-0000-00009D500000}"/>
    <cellStyle name="표준 5 2 3 3 2 9 3" xfId="36181" xr:uid="{00000000-0005-0000-0000-00009E500000}"/>
    <cellStyle name="표준 5 2 3 3 2 9 4" xfId="44374" xr:uid="{00000000-0005-0000-0000-00009F500000}"/>
    <cellStyle name="표준 5 2 3 3 3" xfId="441" xr:uid="{00000000-0005-0000-0000-0000A0500000}"/>
    <cellStyle name="표준 5 2 3 3 3 10" xfId="15648" xr:uid="{00000000-0005-0000-0000-0000A1500000}"/>
    <cellStyle name="표준 5 2 3 3 3 11" xfId="19810" xr:uid="{00000000-0005-0000-0000-0000A2500000}"/>
    <cellStyle name="표준 5 2 3 3 3 12" xfId="23906" xr:uid="{00000000-0005-0000-0000-0000A3500000}"/>
    <cellStyle name="표준 5 2 3 3 3 13" xfId="32117" xr:uid="{00000000-0005-0000-0000-0000A4500000}"/>
    <cellStyle name="표준 5 2 3 3 3 14" xfId="40310" xr:uid="{00000000-0005-0000-0000-0000A5500000}"/>
    <cellStyle name="표준 5 2 3 3 3 2" xfId="569" xr:uid="{00000000-0005-0000-0000-0000A6500000}"/>
    <cellStyle name="표준 5 2 3 3 3 2 10" xfId="19938" xr:uid="{00000000-0005-0000-0000-0000A7500000}"/>
    <cellStyle name="표준 5 2 3 3 3 2 11" xfId="24034" xr:uid="{00000000-0005-0000-0000-0000A8500000}"/>
    <cellStyle name="표준 5 2 3 3 3 2 12" xfId="32245" xr:uid="{00000000-0005-0000-0000-0000A9500000}"/>
    <cellStyle name="표준 5 2 3 3 3 2 13" xfId="40438" xr:uid="{00000000-0005-0000-0000-0000AA500000}"/>
    <cellStyle name="표준 5 2 3 3 3 2 2" xfId="825" xr:uid="{00000000-0005-0000-0000-0000AB500000}"/>
    <cellStyle name="표준 5 2 3 3 3 2 2 10" xfId="24290" xr:uid="{00000000-0005-0000-0000-0000AC500000}"/>
    <cellStyle name="표준 5 2 3 3 3 2 2 11" xfId="32501" xr:uid="{00000000-0005-0000-0000-0000AD500000}"/>
    <cellStyle name="표준 5 2 3 3 3 2 2 12" xfId="40694" xr:uid="{00000000-0005-0000-0000-0000AE500000}"/>
    <cellStyle name="표준 5 2 3 3 3 2 2 2" xfId="1337" xr:uid="{00000000-0005-0000-0000-0000AF500000}"/>
    <cellStyle name="표준 5 2 3 3 3 2 2 2 2" xfId="10240" xr:uid="{00000000-0005-0000-0000-0000B0500000}"/>
    <cellStyle name="표준 5 2 3 3 3 2 2 2 2 2" xfId="14352" xr:uid="{00000000-0005-0000-0000-0000B1500000}"/>
    <cellStyle name="표준 5 2 3 3 3 2 2 2 2 2 2" xfId="30946" xr:uid="{00000000-0005-0000-0000-0000B2500000}"/>
    <cellStyle name="표준 5 2 3 3 3 2 2 2 2 2 3" xfId="39157" xr:uid="{00000000-0005-0000-0000-0000B3500000}"/>
    <cellStyle name="표준 5 2 3 3 3 2 2 2 2 2 4" xfId="47350" xr:uid="{00000000-0005-0000-0000-0000B4500000}"/>
    <cellStyle name="표준 5 2 3 3 3 2 2 2 2 3" xfId="18592" xr:uid="{00000000-0005-0000-0000-0000B5500000}"/>
    <cellStyle name="표준 5 2 3 3 3 2 2 2 2 4" xfId="22754" xr:uid="{00000000-0005-0000-0000-0000B6500000}"/>
    <cellStyle name="표준 5 2 3 3 3 2 2 2 2 5" xfId="26850" xr:uid="{00000000-0005-0000-0000-0000B7500000}"/>
    <cellStyle name="표준 5 2 3 3 3 2 2 2 2 6" xfId="35061" xr:uid="{00000000-0005-0000-0000-0000B8500000}"/>
    <cellStyle name="표준 5 2 3 3 3 2 2 2 2 7" xfId="43254" xr:uid="{00000000-0005-0000-0000-0000B9500000}"/>
    <cellStyle name="표준 5 2 3 3 3 2 2 2 3" xfId="8192" xr:uid="{00000000-0005-0000-0000-0000BA500000}"/>
    <cellStyle name="표준 5 2 3 3 3 2 2 2 3 2" xfId="28898" xr:uid="{00000000-0005-0000-0000-0000BB500000}"/>
    <cellStyle name="표준 5 2 3 3 3 2 2 2 3 3" xfId="37109" xr:uid="{00000000-0005-0000-0000-0000BC500000}"/>
    <cellStyle name="표준 5 2 3 3 3 2 2 2 3 4" xfId="45302" xr:uid="{00000000-0005-0000-0000-0000BD500000}"/>
    <cellStyle name="표준 5 2 3 3 3 2 2 2 4" xfId="12304" xr:uid="{00000000-0005-0000-0000-0000BE500000}"/>
    <cellStyle name="표준 5 2 3 3 3 2 2 2 5" xfId="16544" xr:uid="{00000000-0005-0000-0000-0000BF500000}"/>
    <cellStyle name="표준 5 2 3 3 3 2 2 2 6" xfId="20706" xr:uid="{00000000-0005-0000-0000-0000C0500000}"/>
    <cellStyle name="표준 5 2 3 3 3 2 2 2 7" xfId="24802" xr:uid="{00000000-0005-0000-0000-0000C1500000}"/>
    <cellStyle name="표준 5 2 3 3 3 2 2 2 8" xfId="33013" xr:uid="{00000000-0005-0000-0000-0000C2500000}"/>
    <cellStyle name="표준 5 2 3 3 3 2 2 2 9" xfId="41206" xr:uid="{00000000-0005-0000-0000-0000C3500000}"/>
    <cellStyle name="표준 5 2 3 3 3 2 2 3" xfId="1849" xr:uid="{00000000-0005-0000-0000-0000C4500000}"/>
    <cellStyle name="표준 5 2 3 3 3 2 2 3 2" xfId="10752" xr:uid="{00000000-0005-0000-0000-0000C5500000}"/>
    <cellStyle name="표준 5 2 3 3 3 2 2 3 2 2" xfId="14864" xr:uid="{00000000-0005-0000-0000-0000C6500000}"/>
    <cellStyle name="표준 5 2 3 3 3 2 2 3 2 2 2" xfId="31458" xr:uid="{00000000-0005-0000-0000-0000C7500000}"/>
    <cellStyle name="표준 5 2 3 3 3 2 2 3 2 2 3" xfId="39669" xr:uid="{00000000-0005-0000-0000-0000C8500000}"/>
    <cellStyle name="표준 5 2 3 3 3 2 2 3 2 2 4" xfId="47862" xr:uid="{00000000-0005-0000-0000-0000C9500000}"/>
    <cellStyle name="표준 5 2 3 3 3 2 2 3 2 3" xfId="19104" xr:uid="{00000000-0005-0000-0000-0000CA500000}"/>
    <cellStyle name="표준 5 2 3 3 3 2 2 3 2 4" xfId="23266" xr:uid="{00000000-0005-0000-0000-0000CB500000}"/>
    <cellStyle name="표준 5 2 3 3 3 2 2 3 2 5" xfId="27362" xr:uid="{00000000-0005-0000-0000-0000CC500000}"/>
    <cellStyle name="표준 5 2 3 3 3 2 2 3 2 6" xfId="35573" xr:uid="{00000000-0005-0000-0000-0000CD500000}"/>
    <cellStyle name="표준 5 2 3 3 3 2 2 3 2 7" xfId="43766" xr:uid="{00000000-0005-0000-0000-0000CE500000}"/>
    <cellStyle name="표준 5 2 3 3 3 2 2 3 3" xfId="8704" xr:uid="{00000000-0005-0000-0000-0000CF500000}"/>
    <cellStyle name="표준 5 2 3 3 3 2 2 3 3 2" xfId="29410" xr:uid="{00000000-0005-0000-0000-0000D0500000}"/>
    <cellStyle name="표준 5 2 3 3 3 2 2 3 3 3" xfId="37621" xr:uid="{00000000-0005-0000-0000-0000D1500000}"/>
    <cellStyle name="표준 5 2 3 3 3 2 2 3 3 4" xfId="45814" xr:uid="{00000000-0005-0000-0000-0000D2500000}"/>
    <cellStyle name="표준 5 2 3 3 3 2 2 3 4" xfId="12816" xr:uid="{00000000-0005-0000-0000-0000D3500000}"/>
    <cellStyle name="표준 5 2 3 3 3 2 2 3 5" xfId="17056" xr:uid="{00000000-0005-0000-0000-0000D4500000}"/>
    <cellStyle name="표준 5 2 3 3 3 2 2 3 6" xfId="21218" xr:uid="{00000000-0005-0000-0000-0000D5500000}"/>
    <cellStyle name="표준 5 2 3 3 3 2 2 3 7" xfId="25314" xr:uid="{00000000-0005-0000-0000-0000D6500000}"/>
    <cellStyle name="표준 5 2 3 3 3 2 2 3 8" xfId="33525" xr:uid="{00000000-0005-0000-0000-0000D7500000}"/>
    <cellStyle name="표준 5 2 3 3 3 2 2 3 9" xfId="41718" xr:uid="{00000000-0005-0000-0000-0000D8500000}"/>
    <cellStyle name="표준 5 2 3 3 3 2 2 4" xfId="2361" xr:uid="{00000000-0005-0000-0000-0000D9500000}"/>
    <cellStyle name="표준 5 2 3 3 3 2 2 4 2" xfId="11264" xr:uid="{00000000-0005-0000-0000-0000DA500000}"/>
    <cellStyle name="표준 5 2 3 3 3 2 2 4 2 2" xfId="15376" xr:uid="{00000000-0005-0000-0000-0000DB500000}"/>
    <cellStyle name="표준 5 2 3 3 3 2 2 4 2 2 2" xfId="31970" xr:uid="{00000000-0005-0000-0000-0000DC500000}"/>
    <cellStyle name="표준 5 2 3 3 3 2 2 4 2 2 3" xfId="40181" xr:uid="{00000000-0005-0000-0000-0000DD500000}"/>
    <cellStyle name="표준 5 2 3 3 3 2 2 4 2 2 4" xfId="48374" xr:uid="{00000000-0005-0000-0000-0000DE500000}"/>
    <cellStyle name="표준 5 2 3 3 3 2 2 4 2 3" xfId="19616" xr:uid="{00000000-0005-0000-0000-0000DF500000}"/>
    <cellStyle name="표준 5 2 3 3 3 2 2 4 2 4" xfId="23778" xr:uid="{00000000-0005-0000-0000-0000E0500000}"/>
    <cellStyle name="표준 5 2 3 3 3 2 2 4 2 5" xfId="27874" xr:uid="{00000000-0005-0000-0000-0000E1500000}"/>
    <cellStyle name="표준 5 2 3 3 3 2 2 4 2 6" xfId="36085" xr:uid="{00000000-0005-0000-0000-0000E2500000}"/>
    <cellStyle name="표준 5 2 3 3 3 2 2 4 2 7" xfId="44278" xr:uid="{00000000-0005-0000-0000-0000E3500000}"/>
    <cellStyle name="표준 5 2 3 3 3 2 2 4 3" xfId="9216" xr:uid="{00000000-0005-0000-0000-0000E4500000}"/>
    <cellStyle name="표준 5 2 3 3 3 2 2 4 3 2" xfId="29922" xr:uid="{00000000-0005-0000-0000-0000E5500000}"/>
    <cellStyle name="표준 5 2 3 3 3 2 2 4 3 3" xfId="38133" xr:uid="{00000000-0005-0000-0000-0000E6500000}"/>
    <cellStyle name="표준 5 2 3 3 3 2 2 4 3 4" xfId="46326" xr:uid="{00000000-0005-0000-0000-0000E7500000}"/>
    <cellStyle name="표준 5 2 3 3 3 2 2 4 4" xfId="13328" xr:uid="{00000000-0005-0000-0000-0000E8500000}"/>
    <cellStyle name="표준 5 2 3 3 3 2 2 4 5" xfId="17568" xr:uid="{00000000-0005-0000-0000-0000E9500000}"/>
    <cellStyle name="표준 5 2 3 3 3 2 2 4 6" xfId="21730" xr:uid="{00000000-0005-0000-0000-0000EA500000}"/>
    <cellStyle name="표준 5 2 3 3 3 2 2 4 7" xfId="25826" xr:uid="{00000000-0005-0000-0000-0000EB500000}"/>
    <cellStyle name="표준 5 2 3 3 3 2 2 4 8" xfId="34037" xr:uid="{00000000-0005-0000-0000-0000EC500000}"/>
    <cellStyle name="표준 5 2 3 3 3 2 2 4 9" xfId="42230" xr:uid="{00000000-0005-0000-0000-0000ED500000}"/>
    <cellStyle name="표준 5 2 3 3 3 2 2 5" xfId="9728" xr:uid="{00000000-0005-0000-0000-0000EE500000}"/>
    <cellStyle name="표준 5 2 3 3 3 2 2 5 2" xfId="13840" xr:uid="{00000000-0005-0000-0000-0000EF500000}"/>
    <cellStyle name="표준 5 2 3 3 3 2 2 5 2 2" xfId="30434" xr:uid="{00000000-0005-0000-0000-0000F0500000}"/>
    <cellStyle name="표준 5 2 3 3 3 2 2 5 2 3" xfId="38645" xr:uid="{00000000-0005-0000-0000-0000F1500000}"/>
    <cellStyle name="표준 5 2 3 3 3 2 2 5 2 4" xfId="46838" xr:uid="{00000000-0005-0000-0000-0000F2500000}"/>
    <cellStyle name="표준 5 2 3 3 3 2 2 5 3" xfId="18080" xr:uid="{00000000-0005-0000-0000-0000F3500000}"/>
    <cellStyle name="표준 5 2 3 3 3 2 2 5 4" xfId="22242" xr:uid="{00000000-0005-0000-0000-0000F4500000}"/>
    <cellStyle name="표준 5 2 3 3 3 2 2 5 5" xfId="26338" xr:uid="{00000000-0005-0000-0000-0000F5500000}"/>
    <cellStyle name="표준 5 2 3 3 3 2 2 5 6" xfId="34549" xr:uid="{00000000-0005-0000-0000-0000F6500000}"/>
    <cellStyle name="표준 5 2 3 3 3 2 2 5 7" xfId="42742" xr:uid="{00000000-0005-0000-0000-0000F7500000}"/>
    <cellStyle name="표준 5 2 3 3 3 2 2 6" xfId="7680" xr:uid="{00000000-0005-0000-0000-0000F8500000}"/>
    <cellStyle name="표준 5 2 3 3 3 2 2 6 2" xfId="28386" xr:uid="{00000000-0005-0000-0000-0000F9500000}"/>
    <cellStyle name="표준 5 2 3 3 3 2 2 6 3" xfId="36597" xr:uid="{00000000-0005-0000-0000-0000FA500000}"/>
    <cellStyle name="표준 5 2 3 3 3 2 2 6 4" xfId="44790" xr:uid="{00000000-0005-0000-0000-0000FB500000}"/>
    <cellStyle name="표준 5 2 3 3 3 2 2 7" xfId="11792" xr:uid="{00000000-0005-0000-0000-0000FC500000}"/>
    <cellStyle name="표준 5 2 3 3 3 2 2 8" xfId="16032" xr:uid="{00000000-0005-0000-0000-0000FD500000}"/>
    <cellStyle name="표준 5 2 3 3 3 2 2 9" xfId="20194" xr:uid="{00000000-0005-0000-0000-0000FE500000}"/>
    <cellStyle name="표준 5 2 3 3 3 2 3" xfId="1081" xr:uid="{00000000-0005-0000-0000-0000FF500000}"/>
    <cellStyle name="표준 5 2 3 3 3 2 3 2" xfId="9984" xr:uid="{00000000-0005-0000-0000-000000510000}"/>
    <cellStyle name="표준 5 2 3 3 3 2 3 2 2" xfId="14096" xr:uid="{00000000-0005-0000-0000-000001510000}"/>
    <cellStyle name="표준 5 2 3 3 3 2 3 2 2 2" xfId="30690" xr:uid="{00000000-0005-0000-0000-000002510000}"/>
    <cellStyle name="표준 5 2 3 3 3 2 3 2 2 3" xfId="38901" xr:uid="{00000000-0005-0000-0000-000003510000}"/>
    <cellStyle name="표준 5 2 3 3 3 2 3 2 2 4" xfId="47094" xr:uid="{00000000-0005-0000-0000-000004510000}"/>
    <cellStyle name="표준 5 2 3 3 3 2 3 2 3" xfId="18336" xr:uid="{00000000-0005-0000-0000-000005510000}"/>
    <cellStyle name="표준 5 2 3 3 3 2 3 2 4" xfId="22498" xr:uid="{00000000-0005-0000-0000-000006510000}"/>
    <cellStyle name="표준 5 2 3 3 3 2 3 2 5" xfId="26594" xr:uid="{00000000-0005-0000-0000-000007510000}"/>
    <cellStyle name="표준 5 2 3 3 3 2 3 2 6" xfId="34805" xr:uid="{00000000-0005-0000-0000-000008510000}"/>
    <cellStyle name="표준 5 2 3 3 3 2 3 2 7" xfId="42998" xr:uid="{00000000-0005-0000-0000-000009510000}"/>
    <cellStyle name="표준 5 2 3 3 3 2 3 3" xfId="7936" xr:uid="{00000000-0005-0000-0000-00000A510000}"/>
    <cellStyle name="표준 5 2 3 3 3 2 3 3 2" xfId="28642" xr:uid="{00000000-0005-0000-0000-00000B510000}"/>
    <cellStyle name="표준 5 2 3 3 3 2 3 3 3" xfId="36853" xr:uid="{00000000-0005-0000-0000-00000C510000}"/>
    <cellStyle name="표준 5 2 3 3 3 2 3 3 4" xfId="45046" xr:uid="{00000000-0005-0000-0000-00000D510000}"/>
    <cellStyle name="표준 5 2 3 3 3 2 3 4" xfId="12048" xr:uid="{00000000-0005-0000-0000-00000E510000}"/>
    <cellStyle name="표준 5 2 3 3 3 2 3 5" xfId="16288" xr:uid="{00000000-0005-0000-0000-00000F510000}"/>
    <cellStyle name="표준 5 2 3 3 3 2 3 6" xfId="20450" xr:uid="{00000000-0005-0000-0000-000010510000}"/>
    <cellStyle name="표준 5 2 3 3 3 2 3 7" xfId="24546" xr:uid="{00000000-0005-0000-0000-000011510000}"/>
    <cellStyle name="표준 5 2 3 3 3 2 3 8" xfId="32757" xr:uid="{00000000-0005-0000-0000-000012510000}"/>
    <cellStyle name="표준 5 2 3 3 3 2 3 9" xfId="40950" xr:uid="{00000000-0005-0000-0000-000013510000}"/>
    <cellStyle name="표준 5 2 3 3 3 2 4" xfId="1593" xr:uid="{00000000-0005-0000-0000-000014510000}"/>
    <cellStyle name="표준 5 2 3 3 3 2 4 2" xfId="10496" xr:uid="{00000000-0005-0000-0000-000015510000}"/>
    <cellStyle name="표준 5 2 3 3 3 2 4 2 2" xfId="14608" xr:uid="{00000000-0005-0000-0000-000016510000}"/>
    <cellStyle name="표준 5 2 3 3 3 2 4 2 2 2" xfId="31202" xr:uid="{00000000-0005-0000-0000-000017510000}"/>
    <cellStyle name="표준 5 2 3 3 3 2 4 2 2 3" xfId="39413" xr:uid="{00000000-0005-0000-0000-000018510000}"/>
    <cellStyle name="표준 5 2 3 3 3 2 4 2 2 4" xfId="47606" xr:uid="{00000000-0005-0000-0000-000019510000}"/>
    <cellStyle name="표준 5 2 3 3 3 2 4 2 3" xfId="18848" xr:uid="{00000000-0005-0000-0000-00001A510000}"/>
    <cellStyle name="표준 5 2 3 3 3 2 4 2 4" xfId="23010" xr:uid="{00000000-0005-0000-0000-00001B510000}"/>
    <cellStyle name="표준 5 2 3 3 3 2 4 2 5" xfId="27106" xr:uid="{00000000-0005-0000-0000-00001C510000}"/>
    <cellStyle name="표준 5 2 3 3 3 2 4 2 6" xfId="35317" xr:uid="{00000000-0005-0000-0000-00001D510000}"/>
    <cellStyle name="표준 5 2 3 3 3 2 4 2 7" xfId="43510" xr:uid="{00000000-0005-0000-0000-00001E510000}"/>
    <cellStyle name="표준 5 2 3 3 3 2 4 3" xfId="8448" xr:uid="{00000000-0005-0000-0000-00001F510000}"/>
    <cellStyle name="표준 5 2 3 3 3 2 4 3 2" xfId="29154" xr:uid="{00000000-0005-0000-0000-000020510000}"/>
    <cellStyle name="표준 5 2 3 3 3 2 4 3 3" xfId="37365" xr:uid="{00000000-0005-0000-0000-000021510000}"/>
    <cellStyle name="표준 5 2 3 3 3 2 4 3 4" xfId="45558" xr:uid="{00000000-0005-0000-0000-000022510000}"/>
    <cellStyle name="표준 5 2 3 3 3 2 4 4" xfId="12560" xr:uid="{00000000-0005-0000-0000-000023510000}"/>
    <cellStyle name="표준 5 2 3 3 3 2 4 5" xfId="16800" xr:uid="{00000000-0005-0000-0000-000024510000}"/>
    <cellStyle name="표준 5 2 3 3 3 2 4 6" xfId="20962" xr:uid="{00000000-0005-0000-0000-000025510000}"/>
    <cellStyle name="표준 5 2 3 3 3 2 4 7" xfId="25058" xr:uid="{00000000-0005-0000-0000-000026510000}"/>
    <cellStyle name="표준 5 2 3 3 3 2 4 8" xfId="33269" xr:uid="{00000000-0005-0000-0000-000027510000}"/>
    <cellStyle name="표준 5 2 3 3 3 2 4 9" xfId="41462" xr:uid="{00000000-0005-0000-0000-000028510000}"/>
    <cellStyle name="표준 5 2 3 3 3 2 5" xfId="2105" xr:uid="{00000000-0005-0000-0000-000029510000}"/>
    <cellStyle name="표준 5 2 3 3 3 2 5 2" xfId="11008" xr:uid="{00000000-0005-0000-0000-00002A510000}"/>
    <cellStyle name="표준 5 2 3 3 3 2 5 2 2" xfId="15120" xr:uid="{00000000-0005-0000-0000-00002B510000}"/>
    <cellStyle name="표준 5 2 3 3 3 2 5 2 2 2" xfId="31714" xr:uid="{00000000-0005-0000-0000-00002C510000}"/>
    <cellStyle name="표준 5 2 3 3 3 2 5 2 2 3" xfId="39925" xr:uid="{00000000-0005-0000-0000-00002D510000}"/>
    <cellStyle name="표준 5 2 3 3 3 2 5 2 2 4" xfId="48118" xr:uid="{00000000-0005-0000-0000-00002E510000}"/>
    <cellStyle name="표준 5 2 3 3 3 2 5 2 3" xfId="19360" xr:uid="{00000000-0005-0000-0000-00002F510000}"/>
    <cellStyle name="표준 5 2 3 3 3 2 5 2 4" xfId="23522" xr:uid="{00000000-0005-0000-0000-000030510000}"/>
    <cellStyle name="표준 5 2 3 3 3 2 5 2 5" xfId="27618" xr:uid="{00000000-0005-0000-0000-000031510000}"/>
    <cellStyle name="표준 5 2 3 3 3 2 5 2 6" xfId="35829" xr:uid="{00000000-0005-0000-0000-000032510000}"/>
    <cellStyle name="표준 5 2 3 3 3 2 5 2 7" xfId="44022" xr:uid="{00000000-0005-0000-0000-000033510000}"/>
    <cellStyle name="표준 5 2 3 3 3 2 5 3" xfId="8960" xr:uid="{00000000-0005-0000-0000-000034510000}"/>
    <cellStyle name="표준 5 2 3 3 3 2 5 3 2" xfId="29666" xr:uid="{00000000-0005-0000-0000-000035510000}"/>
    <cellStyle name="표준 5 2 3 3 3 2 5 3 3" xfId="37877" xr:uid="{00000000-0005-0000-0000-000036510000}"/>
    <cellStyle name="표준 5 2 3 3 3 2 5 3 4" xfId="46070" xr:uid="{00000000-0005-0000-0000-000037510000}"/>
    <cellStyle name="표준 5 2 3 3 3 2 5 4" xfId="13072" xr:uid="{00000000-0005-0000-0000-000038510000}"/>
    <cellStyle name="표준 5 2 3 3 3 2 5 5" xfId="17312" xr:uid="{00000000-0005-0000-0000-000039510000}"/>
    <cellStyle name="표준 5 2 3 3 3 2 5 6" xfId="21474" xr:uid="{00000000-0005-0000-0000-00003A510000}"/>
    <cellStyle name="표준 5 2 3 3 3 2 5 7" xfId="25570" xr:uid="{00000000-0005-0000-0000-00003B510000}"/>
    <cellStyle name="표준 5 2 3 3 3 2 5 8" xfId="33781" xr:uid="{00000000-0005-0000-0000-00003C510000}"/>
    <cellStyle name="표준 5 2 3 3 3 2 5 9" xfId="41974" xr:uid="{00000000-0005-0000-0000-00003D510000}"/>
    <cellStyle name="표준 5 2 3 3 3 2 6" xfId="9472" xr:uid="{00000000-0005-0000-0000-00003E510000}"/>
    <cellStyle name="표준 5 2 3 3 3 2 6 2" xfId="13584" xr:uid="{00000000-0005-0000-0000-00003F510000}"/>
    <cellStyle name="표준 5 2 3 3 3 2 6 2 2" xfId="30178" xr:uid="{00000000-0005-0000-0000-000040510000}"/>
    <cellStyle name="표준 5 2 3 3 3 2 6 2 3" xfId="38389" xr:uid="{00000000-0005-0000-0000-000041510000}"/>
    <cellStyle name="표준 5 2 3 3 3 2 6 2 4" xfId="46582" xr:uid="{00000000-0005-0000-0000-000042510000}"/>
    <cellStyle name="표준 5 2 3 3 3 2 6 3" xfId="17824" xr:uid="{00000000-0005-0000-0000-000043510000}"/>
    <cellStyle name="표준 5 2 3 3 3 2 6 4" xfId="21986" xr:uid="{00000000-0005-0000-0000-000044510000}"/>
    <cellStyle name="표준 5 2 3 3 3 2 6 5" xfId="26082" xr:uid="{00000000-0005-0000-0000-000045510000}"/>
    <cellStyle name="표준 5 2 3 3 3 2 6 6" xfId="34293" xr:uid="{00000000-0005-0000-0000-000046510000}"/>
    <cellStyle name="표준 5 2 3 3 3 2 6 7" xfId="42486" xr:uid="{00000000-0005-0000-0000-000047510000}"/>
    <cellStyle name="표준 5 2 3 3 3 2 7" xfId="7424" xr:uid="{00000000-0005-0000-0000-000048510000}"/>
    <cellStyle name="표준 5 2 3 3 3 2 7 2" xfId="28130" xr:uid="{00000000-0005-0000-0000-000049510000}"/>
    <cellStyle name="표준 5 2 3 3 3 2 7 3" xfId="36341" xr:uid="{00000000-0005-0000-0000-00004A510000}"/>
    <cellStyle name="표준 5 2 3 3 3 2 7 4" xfId="44534" xr:uid="{00000000-0005-0000-0000-00004B510000}"/>
    <cellStyle name="표준 5 2 3 3 3 2 8" xfId="11536" xr:uid="{00000000-0005-0000-0000-00004C510000}"/>
    <cellStyle name="표준 5 2 3 3 3 2 9" xfId="15776" xr:uid="{00000000-0005-0000-0000-00004D510000}"/>
    <cellStyle name="표준 5 2 3 3 3 3" xfId="697" xr:uid="{00000000-0005-0000-0000-00004E510000}"/>
    <cellStyle name="표준 5 2 3 3 3 3 10" xfId="24162" xr:uid="{00000000-0005-0000-0000-00004F510000}"/>
    <cellStyle name="표준 5 2 3 3 3 3 11" xfId="32373" xr:uid="{00000000-0005-0000-0000-000050510000}"/>
    <cellStyle name="표준 5 2 3 3 3 3 12" xfId="40566" xr:uid="{00000000-0005-0000-0000-000051510000}"/>
    <cellStyle name="표준 5 2 3 3 3 3 2" xfId="1209" xr:uid="{00000000-0005-0000-0000-000052510000}"/>
    <cellStyle name="표준 5 2 3 3 3 3 2 2" xfId="10112" xr:uid="{00000000-0005-0000-0000-000053510000}"/>
    <cellStyle name="표준 5 2 3 3 3 3 2 2 2" xfId="14224" xr:uid="{00000000-0005-0000-0000-000054510000}"/>
    <cellStyle name="표준 5 2 3 3 3 3 2 2 2 2" xfId="30818" xr:uid="{00000000-0005-0000-0000-000055510000}"/>
    <cellStyle name="표준 5 2 3 3 3 3 2 2 2 3" xfId="39029" xr:uid="{00000000-0005-0000-0000-000056510000}"/>
    <cellStyle name="표준 5 2 3 3 3 3 2 2 2 4" xfId="47222" xr:uid="{00000000-0005-0000-0000-000057510000}"/>
    <cellStyle name="표준 5 2 3 3 3 3 2 2 3" xfId="18464" xr:uid="{00000000-0005-0000-0000-000058510000}"/>
    <cellStyle name="표준 5 2 3 3 3 3 2 2 4" xfId="22626" xr:uid="{00000000-0005-0000-0000-000059510000}"/>
    <cellStyle name="표준 5 2 3 3 3 3 2 2 5" xfId="26722" xr:uid="{00000000-0005-0000-0000-00005A510000}"/>
    <cellStyle name="표준 5 2 3 3 3 3 2 2 6" xfId="34933" xr:uid="{00000000-0005-0000-0000-00005B510000}"/>
    <cellStyle name="표준 5 2 3 3 3 3 2 2 7" xfId="43126" xr:uid="{00000000-0005-0000-0000-00005C510000}"/>
    <cellStyle name="표준 5 2 3 3 3 3 2 3" xfId="8064" xr:uid="{00000000-0005-0000-0000-00005D510000}"/>
    <cellStyle name="표준 5 2 3 3 3 3 2 3 2" xfId="28770" xr:uid="{00000000-0005-0000-0000-00005E510000}"/>
    <cellStyle name="표준 5 2 3 3 3 3 2 3 3" xfId="36981" xr:uid="{00000000-0005-0000-0000-00005F510000}"/>
    <cellStyle name="표준 5 2 3 3 3 3 2 3 4" xfId="45174" xr:uid="{00000000-0005-0000-0000-000060510000}"/>
    <cellStyle name="표준 5 2 3 3 3 3 2 4" xfId="12176" xr:uid="{00000000-0005-0000-0000-000061510000}"/>
    <cellStyle name="표준 5 2 3 3 3 3 2 5" xfId="16416" xr:uid="{00000000-0005-0000-0000-000062510000}"/>
    <cellStyle name="표준 5 2 3 3 3 3 2 6" xfId="20578" xr:uid="{00000000-0005-0000-0000-000063510000}"/>
    <cellStyle name="표준 5 2 3 3 3 3 2 7" xfId="24674" xr:uid="{00000000-0005-0000-0000-000064510000}"/>
    <cellStyle name="표준 5 2 3 3 3 3 2 8" xfId="32885" xr:uid="{00000000-0005-0000-0000-000065510000}"/>
    <cellStyle name="표준 5 2 3 3 3 3 2 9" xfId="41078" xr:uid="{00000000-0005-0000-0000-000066510000}"/>
    <cellStyle name="표준 5 2 3 3 3 3 3" xfId="1721" xr:uid="{00000000-0005-0000-0000-000067510000}"/>
    <cellStyle name="표준 5 2 3 3 3 3 3 2" xfId="10624" xr:uid="{00000000-0005-0000-0000-000068510000}"/>
    <cellStyle name="표준 5 2 3 3 3 3 3 2 2" xfId="14736" xr:uid="{00000000-0005-0000-0000-000069510000}"/>
    <cellStyle name="표준 5 2 3 3 3 3 3 2 2 2" xfId="31330" xr:uid="{00000000-0005-0000-0000-00006A510000}"/>
    <cellStyle name="표준 5 2 3 3 3 3 3 2 2 3" xfId="39541" xr:uid="{00000000-0005-0000-0000-00006B510000}"/>
    <cellStyle name="표준 5 2 3 3 3 3 3 2 2 4" xfId="47734" xr:uid="{00000000-0005-0000-0000-00006C510000}"/>
    <cellStyle name="표준 5 2 3 3 3 3 3 2 3" xfId="18976" xr:uid="{00000000-0005-0000-0000-00006D510000}"/>
    <cellStyle name="표준 5 2 3 3 3 3 3 2 4" xfId="23138" xr:uid="{00000000-0005-0000-0000-00006E510000}"/>
    <cellStyle name="표준 5 2 3 3 3 3 3 2 5" xfId="27234" xr:uid="{00000000-0005-0000-0000-00006F510000}"/>
    <cellStyle name="표준 5 2 3 3 3 3 3 2 6" xfId="35445" xr:uid="{00000000-0005-0000-0000-000070510000}"/>
    <cellStyle name="표준 5 2 3 3 3 3 3 2 7" xfId="43638" xr:uid="{00000000-0005-0000-0000-000071510000}"/>
    <cellStyle name="표준 5 2 3 3 3 3 3 3" xfId="8576" xr:uid="{00000000-0005-0000-0000-000072510000}"/>
    <cellStyle name="표준 5 2 3 3 3 3 3 3 2" xfId="29282" xr:uid="{00000000-0005-0000-0000-000073510000}"/>
    <cellStyle name="표준 5 2 3 3 3 3 3 3 3" xfId="37493" xr:uid="{00000000-0005-0000-0000-000074510000}"/>
    <cellStyle name="표준 5 2 3 3 3 3 3 3 4" xfId="45686" xr:uid="{00000000-0005-0000-0000-000075510000}"/>
    <cellStyle name="표준 5 2 3 3 3 3 3 4" xfId="12688" xr:uid="{00000000-0005-0000-0000-000076510000}"/>
    <cellStyle name="표준 5 2 3 3 3 3 3 5" xfId="16928" xr:uid="{00000000-0005-0000-0000-000077510000}"/>
    <cellStyle name="표준 5 2 3 3 3 3 3 6" xfId="21090" xr:uid="{00000000-0005-0000-0000-000078510000}"/>
    <cellStyle name="표준 5 2 3 3 3 3 3 7" xfId="25186" xr:uid="{00000000-0005-0000-0000-000079510000}"/>
    <cellStyle name="표준 5 2 3 3 3 3 3 8" xfId="33397" xr:uid="{00000000-0005-0000-0000-00007A510000}"/>
    <cellStyle name="표준 5 2 3 3 3 3 3 9" xfId="41590" xr:uid="{00000000-0005-0000-0000-00007B510000}"/>
    <cellStyle name="표준 5 2 3 3 3 3 4" xfId="2233" xr:uid="{00000000-0005-0000-0000-00007C510000}"/>
    <cellStyle name="표준 5 2 3 3 3 3 4 2" xfId="11136" xr:uid="{00000000-0005-0000-0000-00007D510000}"/>
    <cellStyle name="표준 5 2 3 3 3 3 4 2 2" xfId="15248" xr:uid="{00000000-0005-0000-0000-00007E510000}"/>
    <cellStyle name="표준 5 2 3 3 3 3 4 2 2 2" xfId="31842" xr:uid="{00000000-0005-0000-0000-00007F510000}"/>
    <cellStyle name="표준 5 2 3 3 3 3 4 2 2 3" xfId="40053" xr:uid="{00000000-0005-0000-0000-000080510000}"/>
    <cellStyle name="표준 5 2 3 3 3 3 4 2 2 4" xfId="48246" xr:uid="{00000000-0005-0000-0000-000081510000}"/>
    <cellStyle name="표준 5 2 3 3 3 3 4 2 3" xfId="19488" xr:uid="{00000000-0005-0000-0000-000082510000}"/>
    <cellStyle name="표준 5 2 3 3 3 3 4 2 4" xfId="23650" xr:uid="{00000000-0005-0000-0000-000083510000}"/>
    <cellStyle name="표준 5 2 3 3 3 3 4 2 5" xfId="27746" xr:uid="{00000000-0005-0000-0000-000084510000}"/>
    <cellStyle name="표준 5 2 3 3 3 3 4 2 6" xfId="35957" xr:uid="{00000000-0005-0000-0000-000085510000}"/>
    <cellStyle name="표준 5 2 3 3 3 3 4 2 7" xfId="44150" xr:uid="{00000000-0005-0000-0000-000086510000}"/>
    <cellStyle name="표준 5 2 3 3 3 3 4 3" xfId="9088" xr:uid="{00000000-0005-0000-0000-000087510000}"/>
    <cellStyle name="표준 5 2 3 3 3 3 4 3 2" xfId="29794" xr:uid="{00000000-0005-0000-0000-000088510000}"/>
    <cellStyle name="표준 5 2 3 3 3 3 4 3 3" xfId="38005" xr:uid="{00000000-0005-0000-0000-000089510000}"/>
    <cellStyle name="표준 5 2 3 3 3 3 4 3 4" xfId="46198" xr:uid="{00000000-0005-0000-0000-00008A510000}"/>
    <cellStyle name="표준 5 2 3 3 3 3 4 4" xfId="13200" xr:uid="{00000000-0005-0000-0000-00008B510000}"/>
    <cellStyle name="표준 5 2 3 3 3 3 4 5" xfId="17440" xr:uid="{00000000-0005-0000-0000-00008C510000}"/>
    <cellStyle name="표준 5 2 3 3 3 3 4 6" xfId="21602" xr:uid="{00000000-0005-0000-0000-00008D510000}"/>
    <cellStyle name="표준 5 2 3 3 3 3 4 7" xfId="25698" xr:uid="{00000000-0005-0000-0000-00008E510000}"/>
    <cellStyle name="표준 5 2 3 3 3 3 4 8" xfId="33909" xr:uid="{00000000-0005-0000-0000-00008F510000}"/>
    <cellStyle name="표준 5 2 3 3 3 3 4 9" xfId="42102" xr:uid="{00000000-0005-0000-0000-000090510000}"/>
    <cellStyle name="표준 5 2 3 3 3 3 5" xfId="9600" xr:uid="{00000000-0005-0000-0000-000091510000}"/>
    <cellStyle name="표준 5 2 3 3 3 3 5 2" xfId="13712" xr:uid="{00000000-0005-0000-0000-000092510000}"/>
    <cellStyle name="표준 5 2 3 3 3 3 5 2 2" xfId="30306" xr:uid="{00000000-0005-0000-0000-000093510000}"/>
    <cellStyle name="표준 5 2 3 3 3 3 5 2 3" xfId="38517" xr:uid="{00000000-0005-0000-0000-000094510000}"/>
    <cellStyle name="표준 5 2 3 3 3 3 5 2 4" xfId="46710" xr:uid="{00000000-0005-0000-0000-000095510000}"/>
    <cellStyle name="표준 5 2 3 3 3 3 5 3" xfId="17952" xr:uid="{00000000-0005-0000-0000-000096510000}"/>
    <cellStyle name="표준 5 2 3 3 3 3 5 4" xfId="22114" xr:uid="{00000000-0005-0000-0000-000097510000}"/>
    <cellStyle name="표준 5 2 3 3 3 3 5 5" xfId="26210" xr:uid="{00000000-0005-0000-0000-000098510000}"/>
    <cellStyle name="표준 5 2 3 3 3 3 5 6" xfId="34421" xr:uid="{00000000-0005-0000-0000-000099510000}"/>
    <cellStyle name="표준 5 2 3 3 3 3 5 7" xfId="42614" xr:uid="{00000000-0005-0000-0000-00009A510000}"/>
    <cellStyle name="표준 5 2 3 3 3 3 6" xfId="7552" xr:uid="{00000000-0005-0000-0000-00009B510000}"/>
    <cellStyle name="표준 5 2 3 3 3 3 6 2" xfId="28258" xr:uid="{00000000-0005-0000-0000-00009C510000}"/>
    <cellStyle name="표준 5 2 3 3 3 3 6 3" xfId="36469" xr:uid="{00000000-0005-0000-0000-00009D510000}"/>
    <cellStyle name="표준 5 2 3 3 3 3 6 4" xfId="44662" xr:uid="{00000000-0005-0000-0000-00009E510000}"/>
    <cellStyle name="표준 5 2 3 3 3 3 7" xfId="11664" xr:uid="{00000000-0005-0000-0000-00009F510000}"/>
    <cellStyle name="표준 5 2 3 3 3 3 8" xfId="15904" xr:uid="{00000000-0005-0000-0000-0000A0510000}"/>
    <cellStyle name="표준 5 2 3 3 3 3 9" xfId="20066" xr:uid="{00000000-0005-0000-0000-0000A1510000}"/>
    <cellStyle name="표준 5 2 3 3 3 4" xfId="953" xr:uid="{00000000-0005-0000-0000-0000A2510000}"/>
    <cellStyle name="표준 5 2 3 3 3 4 2" xfId="9856" xr:uid="{00000000-0005-0000-0000-0000A3510000}"/>
    <cellStyle name="표준 5 2 3 3 3 4 2 2" xfId="13968" xr:uid="{00000000-0005-0000-0000-0000A4510000}"/>
    <cellStyle name="표준 5 2 3 3 3 4 2 2 2" xfId="30562" xr:uid="{00000000-0005-0000-0000-0000A5510000}"/>
    <cellStyle name="표준 5 2 3 3 3 4 2 2 3" xfId="38773" xr:uid="{00000000-0005-0000-0000-0000A6510000}"/>
    <cellStyle name="표준 5 2 3 3 3 4 2 2 4" xfId="46966" xr:uid="{00000000-0005-0000-0000-0000A7510000}"/>
    <cellStyle name="표준 5 2 3 3 3 4 2 3" xfId="18208" xr:uid="{00000000-0005-0000-0000-0000A8510000}"/>
    <cellStyle name="표준 5 2 3 3 3 4 2 4" xfId="22370" xr:uid="{00000000-0005-0000-0000-0000A9510000}"/>
    <cellStyle name="표준 5 2 3 3 3 4 2 5" xfId="26466" xr:uid="{00000000-0005-0000-0000-0000AA510000}"/>
    <cellStyle name="표준 5 2 3 3 3 4 2 6" xfId="34677" xr:uid="{00000000-0005-0000-0000-0000AB510000}"/>
    <cellStyle name="표준 5 2 3 3 3 4 2 7" xfId="42870" xr:uid="{00000000-0005-0000-0000-0000AC510000}"/>
    <cellStyle name="표준 5 2 3 3 3 4 3" xfId="7808" xr:uid="{00000000-0005-0000-0000-0000AD510000}"/>
    <cellStyle name="표준 5 2 3 3 3 4 3 2" xfId="28514" xr:uid="{00000000-0005-0000-0000-0000AE510000}"/>
    <cellStyle name="표준 5 2 3 3 3 4 3 3" xfId="36725" xr:uid="{00000000-0005-0000-0000-0000AF510000}"/>
    <cellStyle name="표준 5 2 3 3 3 4 3 4" xfId="44918" xr:uid="{00000000-0005-0000-0000-0000B0510000}"/>
    <cellStyle name="표준 5 2 3 3 3 4 4" xfId="11920" xr:uid="{00000000-0005-0000-0000-0000B1510000}"/>
    <cellStyle name="표준 5 2 3 3 3 4 5" xfId="16160" xr:uid="{00000000-0005-0000-0000-0000B2510000}"/>
    <cellStyle name="표준 5 2 3 3 3 4 6" xfId="20322" xr:uid="{00000000-0005-0000-0000-0000B3510000}"/>
    <cellStyle name="표준 5 2 3 3 3 4 7" xfId="24418" xr:uid="{00000000-0005-0000-0000-0000B4510000}"/>
    <cellStyle name="표준 5 2 3 3 3 4 8" xfId="32629" xr:uid="{00000000-0005-0000-0000-0000B5510000}"/>
    <cellStyle name="표준 5 2 3 3 3 4 9" xfId="40822" xr:uid="{00000000-0005-0000-0000-0000B6510000}"/>
    <cellStyle name="표준 5 2 3 3 3 5" xfId="1465" xr:uid="{00000000-0005-0000-0000-0000B7510000}"/>
    <cellStyle name="표준 5 2 3 3 3 5 2" xfId="10368" xr:uid="{00000000-0005-0000-0000-0000B8510000}"/>
    <cellStyle name="표준 5 2 3 3 3 5 2 2" xfId="14480" xr:uid="{00000000-0005-0000-0000-0000B9510000}"/>
    <cellStyle name="표준 5 2 3 3 3 5 2 2 2" xfId="31074" xr:uid="{00000000-0005-0000-0000-0000BA510000}"/>
    <cellStyle name="표준 5 2 3 3 3 5 2 2 3" xfId="39285" xr:uid="{00000000-0005-0000-0000-0000BB510000}"/>
    <cellStyle name="표준 5 2 3 3 3 5 2 2 4" xfId="47478" xr:uid="{00000000-0005-0000-0000-0000BC510000}"/>
    <cellStyle name="표준 5 2 3 3 3 5 2 3" xfId="18720" xr:uid="{00000000-0005-0000-0000-0000BD510000}"/>
    <cellStyle name="표준 5 2 3 3 3 5 2 4" xfId="22882" xr:uid="{00000000-0005-0000-0000-0000BE510000}"/>
    <cellStyle name="표준 5 2 3 3 3 5 2 5" xfId="26978" xr:uid="{00000000-0005-0000-0000-0000BF510000}"/>
    <cellStyle name="표준 5 2 3 3 3 5 2 6" xfId="35189" xr:uid="{00000000-0005-0000-0000-0000C0510000}"/>
    <cellStyle name="표준 5 2 3 3 3 5 2 7" xfId="43382" xr:uid="{00000000-0005-0000-0000-0000C1510000}"/>
    <cellStyle name="표준 5 2 3 3 3 5 3" xfId="8320" xr:uid="{00000000-0005-0000-0000-0000C2510000}"/>
    <cellStyle name="표준 5 2 3 3 3 5 3 2" xfId="29026" xr:uid="{00000000-0005-0000-0000-0000C3510000}"/>
    <cellStyle name="표준 5 2 3 3 3 5 3 3" xfId="37237" xr:uid="{00000000-0005-0000-0000-0000C4510000}"/>
    <cellStyle name="표준 5 2 3 3 3 5 3 4" xfId="45430" xr:uid="{00000000-0005-0000-0000-0000C5510000}"/>
    <cellStyle name="표준 5 2 3 3 3 5 4" xfId="12432" xr:uid="{00000000-0005-0000-0000-0000C6510000}"/>
    <cellStyle name="표준 5 2 3 3 3 5 5" xfId="16672" xr:uid="{00000000-0005-0000-0000-0000C7510000}"/>
    <cellStyle name="표준 5 2 3 3 3 5 6" xfId="20834" xr:uid="{00000000-0005-0000-0000-0000C8510000}"/>
    <cellStyle name="표준 5 2 3 3 3 5 7" xfId="24930" xr:uid="{00000000-0005-0000-0000-0000C9510000}"/>
    <cellStyle name="표준 5 2 3 3 3 5 8" xfId="33141" xr:uid="{00000000-0005-0000-0000-0000CA510000}"/>
    <cellStyle name="표준 5 2 3 3 3 5 9" xfId="41334" xr:uid="{00000000-0005-0000-0000-0000CB510000}"/>
    <cellStyle name="표준 5 2 3 3 3 6" xfId="1977" xr:uid="{00000000-0005-0000-0000-0000CC510000}"/>
    <cellStyle name="표준 5 2 3 3 3 6 2" xfId="10880" xr:uid="{00000000-0005-0000-0000-0000CD510000}"/>
    <cellStyle name="표준 5 2 3 3 3 6 2 2" xfId="14992" xr:uid="{00000000-0005-0000-0000-0000CE510000}"/>
    <cellStyle name="표준 5 2 3 3 3 6 2 2 2" xfId="31586" xr:uid="{00000000-0005-0000-0000-0000CF510000}"/>
    <cellStyle name="표준 5 2 3 3 3 6 2 2 3" xfId="39797" xr:uid="{00000000-0005-0000-0000-0000D0510000}"/>
    <cellStyle name="표준 5 2 3 3 3 6 2 2 4" xfId="47990" xr:uid="{00000000-0005-0000-0000-0000D1510000}"/>
    <cellStyle name="표준 5 2 3 3 3 6 2 3" xfId="19232" xr:uid="{00000000-0005-0000-0000-0000D2510000}"/>
    <cellStyle name="표준 5 2 3 3 3 6 2 4" xfId="23394" xr:uid="{00000000-0005-0000-0000-0000D3510000}"/>
    <cellStyle name="표준 5 2 3 3 3 6 2 5" xfId="27490" xr:uid="{00000000-0005-0000-0000-0000D4510000}"/>
    <cellStyle name="표준 5 2 3 3 3 6 2 6" xfId="35701" xr:uid="{00000000-0005-0000-0000-0000D5510000}"/>
    <cellStyle name="표준 5 2 3 3 3 6 2 7" xfId="43894" xr:uid="{00000000-0005-0000-0000-0000D6510000}"/>
    <cellStyle name="표준 5 2 3 3 3 6 3" xfId="8832" xr:uid="{00000000-0005-0000-0000-0000D7510000}"/>
    <cellStyle name="표준 5 2 3 3 3 6 3 2" xfId="29538" xr:uid="{00000000-0005-0000-0000-0000D8510000}"/>
    <cellStyle name="표준 5 2 3 3 3 6 3 3" xfId="37749" xr:uid="{00000000-0005-0000-0000-0000D9510000}"/>
    <cellStyle name="표준 5 2 3 3 3 6 3 4" xfId="45942" xr:uid="{00000000-0005-0000-0000-0000DA510000}"/>
    <cellStyle name="표준 5 2 3 3 3 6 4" xfId="12944" xr:uid="{00000000-0005-0000-0000-0000DB510000}"/>
    <cellStyle name="표준 5 2 3 3 3 6 5" xfId="17184" xr:uid="{00000000-0005-0000-0000-0000DC510000}"/>
    <cellStyle name="표준 5 2 3 3 3 6 6" xfId="21346" xr:uid="{00000000-0005-0000-0000-0000DD510000}"/>
    <cellStyle name="표준 5 2 3 3 3 6 7" xfId="25442" xr:uid="{00000000-0005-0000-0000-0000DE510000}"/>
    <cellStyle name="표준 5 2 3 3 3 6 8" xfId="33653" xr:uid="{00000000-0005-0000-0000-0000DF510000}"/>
    <cellStyle name="표준 5 2 3 3 3 6 9" xfId="41846" xr:uid="{00000000-0005-0000-0000-0000E0510000}"/>
    <cellStyle name="표준 5 2 3 3 3 7" xfId="9344" xr:uid="{00000000-0005-0000-0000-0000E1510000}"/>
    <cellStyle name="표준 5 2 3 3 3 7 2" xfId="13456" xr:uid="{00000000-0005-0000-0000-0000E2510000}"/>
    <cellStyle name="표준 5 2 3 3 3 7 2 2" xfId="30050" xr:uid="{00000000-0005-0000-0000-0000E3510000}"/>
    <cellStyle name="표준 5 2 3 3 3 7 2 3" xfId="38261" xr:uid="{00000000-0005-0000-0000-0000E4510000}"/>
    <cellStyle name="표준 5 2 3 3 3 7 2 4" xfId="46454" xr:uid="{00000000-0005-0000-0000-0000E5510000}"/>
    <cellStyle name="표준 5 2 3 3 3 7 3" xfId="17696" xr:uid="{00000000-0005-0000-0000-0000E6510000}"/>
    <cellStyle name="표준 5 2 3 3 3 7 4" xfId="21858" xr:uid="{00000000-0005-0000-0000-0000E7510000}"/>
    <cellStyle name="표준 5 2 3 3 3 7 5" xfId="25954" xr:uid="{00000000-0005-0000-0000-0000E8510000}"/>
    <cellStyle name="표준 5 2 3 3 3 7 6" xfId="34165" xr:uid="{00000000-0005-0000-0000-0000E9510000}"/>
    <cellStyle name="표준 5 2 3 3 3 7 7" xfId="42358" xr:uid="{00000000-0005-0000-0000-0000EA510000}"/>
    <cellStyle name="표준 5 2 3 3 3 8" xfId="7296" xr:uid="{00000000-0005-0000-0000-0000EB510000}"/>
    <cellStyle name="표준 5 2 3 3 3 8 2" xfId="28002" xr:uid="{00000000-0005-0000-0000-0000EC510000}"/>
    <cellStyle name="표준 5 2 3 3 3 8 3" xfId="36213" xr:uid="{00000000-0005-0000-0000-0000ED510000}"/>
    <cellStyle name="표준 5 2 3 3 3 8 4" xfId="44406" xr:uid="{00000000-0005-0000-0000-0000EE510000}"/>
    <cellStyle name="표준 5 2 3 3 3 9" xfId="11408" xr:uid="{00000000-0005-0000-0000-0000EF510000}"/>
    <cellStyle name="표준 5 2 3 3 4" xfId="505" xr:uid="{00000000-0005-0000-0000-0000F0510000}"/>
    <cellStyle name="표준 5 2 3 3 4 10" xfId="19874" xr:uid="{00000000-0005-0000-0000-0000F1510000}"/>
    <cellStyle name="표준 5 2 3 3 4 11" xfId="23970" xr:uid="{00000000-0005-0000-0000-0000F2510000}"/>
    <cellStyle name="표준 5 2 3 3 4 12" xfId="32181" xr:uid="{00000000-0005-0000-0000-0000F3510000}"/>
    <cellStyle name="표준 5 2 3 3 4 13" xfId="40374" xr:uid="{00000000-0005-0000-0000-0000F4510000}"/>
    <cellStyle name="표준 5 2 3 3 4 2" xfId="761" xr:uid="{00000000-0005-0000-0000-0000F5510000}"/>
    <cellStyle name="표준 5 2 3 3 4 2 10" xfId="24226" xr:uid="{00000000-0005-0000-0000-0000F6510000}"/>
    <cellStyle name="표준 5 2 3 3 4 2 11" xfId="32437" xr:uid="{00000000-0005-0000-0000-0000F7510000}"/>
    <cellStyle name="표준 5 2 3 3 4 2 12" xfId="40630" xr:uid="{00000000-0005-0000-0000-0000F8510000}"/>
    <cellStyle name="표준 5 2 3 3 4 2 2" xfId="1273" xr:uid="{00000000-0005-0000-0000-0000F9510000}"/>
    <cellStyle name="표준 5 2 3 3 4 2 2 2" xfId="10176" xr:uid="{00000000-0005-0000-0000-0000FA510000}"/>
    <cellStyle name="표준 5 2 3 3 4 2 2 2 2" xfId="14288" xr:uid="{00000000-0005-0000-0000-0000FB510000}"/>
    <cellStyle name="표준 5 2 3 3 4 2 2 2 2 2" xfId="30882" xr:uid="{00000000-0005-0000-0000-0000FC510000}"/>
    <cellStyle name="표준 5 2 3 3 4 2 2 2 2 3" xfId="39093" xr:uid="{00000000-0005-0000-0000-0000FD510000}"/>
    <cellStyle name="표준 5 2 3 3 4 2 2 2 2 4" xfId="47286" xr:uid="{00000000-0005-0000-0000-0000FE510000}"/>
    <cellStyle name="표준 5 2 3 3 4 2 2 2 3" xfId="18528" xr:uid="{00000000-0005-0000-0000-0000FF510000}"/>
    <cellStyle name="표준 5 2 3 3 4 2 2 2 4" xfId="22690" xr:uid="{00000000-0005-0000-0000-000000520000}"/>
    <cellStyle name="표준 5 2 3 3 4 2 2 2 5" xfId="26786" xr:uid="{00000000-0005-0000-0000-000001520000}"/>
    <cellStyle name="표준 5 2 3 3 4 2 2 2 6" xfId="34997" xr:uid="{00000000-0005-0000-0000-000002520000}"/>
    <cellStyle name="표준 5 2 3 3 4 2 2 2 7" xfId="43190" xr:uid="{00000000-0005-0000-0000-000003520000}"/>
    <cellStyle name="표준 5 2 3 3 4 2 2 3" xfId="8128" xr:uid="{00000000-0005-0000-0000-000004520000}"/>
    <cellStyle name="표준 5 2 3 3 4 2 2 3 2" xfId="28834" xr:uid="{00000000-0005-0000-0000-000005520000}"/>
    <cellStyle name="표준 5 2 3 3 4 2 2 3 3" xfId="37045" xr:uid="{00000000-0005-0000-0000-000006520000}"/>
    <cellStyle name="표준 5 2 3 3 4 2 2 3 4" xfId="45238" xr:uid="{00000000-0005-0000-0000-000007520000}"/>
    <cellStyle name="표준 5 2 3 3 4 2 2 4" xfId="12240" xr:uid="{00000000-0005-0000-0000-000008520000}"/>
    <cellStyle name="표준 5 2 3 3 4 2 2 5" xfId="16480" xr:uid="{00000000-0005-0000-0000-000009520000}"/>
    <cellStyle name="표준 5 2 3 3 4 2 2 6" xfId="20642" xr:uid="{00000000-0005-0000-0000-00000A520000}"/>
    <cellStyle name="표준 5 2 3 3 4 2 2 7" xfId="24738" xr:uid="{00000000-0005-0000-0000-00000B520000}"/>
    <cellStyle name="표준 5 2 3 3 4 2 2 8" xfId="32949" xr:uid="{00000000-0005-0000-0000-00000C520000}"/>
    <cellStyle name="표준 5 2 3 3 4 2 2 9" xfId="41142" xr:uid="{00000000-0005-0000-0000-00000D520000}"/>
    <cellStyle name="표준 5 2 3 3 4 2 3" xfId="1785" xr:uid="{00000000-0005-0000-0000-00000E520000}"/>
    <cellStyle name="표준 5 2 3 3 4 2 3 2" xfId="10688" xr:uid="{00000000-0005-0000-0000-00000F520000}"/>
    <cellStyle name="표준 5 2 3 3 4 2 3 2 2" xfId="14800" xr:uid="{00000000-0005-0000-0000-000010520000}"/>
    <cellStyle name="표준 5 2 3 3 4 2 3 2 2 2" xfId="31394" xr:uid="{00000000-0005-0000-0000-000011520000}"/>
    <cellStyle name="표준 5 2 3 3 4 2 3 2 2 3" xfId="39605" xr:uid="{00000000-0005-0000-0000-000012520000}"/>
    <cellStyle name="표준 5 2 3 3 4 2 3 2 2 4" xfId="47798" xr:uid="{00000000-0005-0000-0000-000013520000}"/>
    <cellStyle name="표준 5 2 3 3 4 2 3 2 3" xfId="19040" xr:uid="{00000000-0005-0000-0000-000014520000}"/>
    <cellStyle name="표준 5 2 3 3 4 2 3 2 4" xfId="23202" xr:uid="{00000000-0005-0000-0000-000015520000}"/>
    <cellStyle name="표준 5 2 3 3 4 2 3 2 5" xfId="27298" xr:uid="{00000000-0005-0000-0000-000016520000}"/>
    <cellStyle name="표준 5 2 3 3 4 2 3 2 6" xfId="35509" xr:uid="{00000000-0005-0000-0000-000017520000}"/>
    <cellStyle name="표준 5 2 3 3 4 2 3 2 7" xfId="43702" xr:uid="{00000000-0005-0000-0000-000018520000}"/>
    <cellStyle name="표준 5 2 3 3 4 2 3 3" xfId="8640" xr:uid="{00000000-0005-0000-0000-000019520000}"/>
    <cellStyle name="표준 5 2 3 3 4 2 3 3 2" xfId="29346" xr:uid="{00000000-0005-0000-0000-00001A520000}"/>
    <cellStyle name="표준 5 2 3 3 4 2 3 3 3" xfId="37557" xr:uid="{00000000-0005-0000-0000-00001B520000}"/>
    <cellStyle name="표준 5 2 3 3 4 2 3 3 4" xfId="45750" xr:uid="{00000000-0005-0000-0000-00001C520000}"/>
    <cellStyle name="표준 5 2 3 3 4 2 3 4" xfId="12752" xr:uid="{00000000-0005-0000-0000-00001D520000}"/>
    <cellStyle name="표준 5 2 3 3 4 2 3 5" xfId="16992" xr:uid="{00000000-0005-0000-0000-00001E520000}"/>
    <cellStyle name="표준 5 2 3 3 4 2 3 6" xfId="21154" xr:uid="{00000000-0005-0000-0000-00001F520000}"/>
    <cellStyle name="표준 5 2 3 3 4 2 3 7" xfId="25250" xr:uid="{00000000-0005-0000-0000-000020520000}"/>
    <cellStyle name="표준 5 2 3 3 4 2 3 8" xfId="33461" xr:uid="{00000000-0005-0000-0000-000021520000}"/>
    <cellStyle name="표준 5 2 3 3 4 2 3 9" xfId="41654" xr:uid="{00000000-0005-0000-0000-000022520000}"/>
    <cellStyle name="표준 5 2 3 3 4 2 4" xfId="2297" xr:uid="{00000000-0005-0000-0000-000023520000}"/>
    <cellStyle name="표준 5 2 3 3 4 2 4 2" xfId="11200" xr:uid="{00000000-0005-0000-0000-000024520000}"/>
    <cellStyle name="표준 5 2 3 3 4 2 4 2 2" xfId="15312" xr:uid="{00000000-0005-0000-0000-000025520000}"/>
    <cellStyle name="표준 5 2 3 3 4 2 4 2 2 2" xfId="31906" xr:uid="{00000000-0005-0000-0000-000026520000}"/>
    <cellStyle name="표준 5 2 3 3 4 2 4 2 2 3" xfId="40117" xr:uid="{00000000-0005-0000-0000-000027520000}"/>
    <cellStyle name="표준 5 2 3 3 4 2 4 2 2 4" xfId="48310" xr:uid="{00000000-0005-0000-0000-000028520000}"/>
    <cellStyle name="표준 5 2 3 3 4 2 4 2 3" xfId="19552" xr:uid="{00000000-0005-0000-0000-000029520000}"/>
    <cellStyle name="표준 5 2 3 3 4 2 4 2 4" xfId="23714" xr:uid="{00000000-0005-0000-0000-00002A520000}"/>
    <cellStyle name="표준 5 2 3 3 4 2 4 2 5" xfId="27810" xr:uid="{00000000-0005-0000-0000-00002B520000}"/>
    <cellStyle name="표준 5 2 3 3 4 2 4 2 6" xfId="36021" xr:uid="{00000000-0005-0000-0000-00002C520000}"/>
    <cellStyle name="표준 5 2 3 3 4 2 4 2 7" xfId="44214" xr:uid="{00000000-0005-0000-0000-00002D520000}"/>
    <cellStyle name="표준 5 2 3 3 4 2 4 3" xfId="9152" xr:uid="{00000000-0005-0000-0000-00002E520000}"/>
    <cellStyle name="표준 5 2 3 3 4 2 4 3 2" xfId="29858" xr:uid="{00000000-0005-0000-0000-00002F520000}"/>
    <cellStyle name="표준 5 2 3 3 4 2 4 3 3" xfId="38069" xr:uid="{00000000-0005-0000-0000-000030520000}"/>
    <cellStyle name="표준 5 2 3 3 4 2 4 3 4" xfId="46262" xr:uid="{00000000-0005-0000-0000-000031520000}"/>
    <cellStyle name="표준 5 2 3 3 4 2 4 4" xfId="13264" xr:uid="{00000000-0005-0000-0000-000032520000}"/>
    <cellStyle name="표준 5 2 3 3 4 2 4 5" xfId="17504" xr:uid="{00000000-0005-0000-0000-000033520000}"/>
    <cellStyle name="표준 5 2 3 3 4 2 4 6" xfId="21666" xr:uid="{00000000-0005-0000-0000-000034520000}"/>
    <cellStyle name="표준 5 2 3 3 4 2 4 7" xfId="25762" xr:uid="{00000000-0005-0000-0000-000035520000}"/>
    <cellStyle name="표준 5 2 3 3 4 2 4 8" xfId="33973" xr:uid="{00000000-0005-0000-0000-000036520000}"/>
    <cellStyle name="표준 5 2 3 3 4 2 4 9" xfId="42166" xr:uid="{00000000-0005-0000-0000-000037520000}"/>
    <cellStyle name="표준 5 2 3 3 4 2 5" xfId="9664" xr:uid="{00000000-0005-0000-0000-000038520000}"/>
    <cellStyle name="표준 5 2 3 3 4 2 5 2" xfId="13776" xr:uid="{00000000-0005-0000-0000-000039520000}"/>
    <cellStyle name="표준 5 2 3 3 4 2 5 2 2" xfId="30370" xr:uid="{00000000-0005-0000-0000-00003A520000}"/>
    <cellStyle name="표준 5 2 3 3 4 2 5 2 3" xfId="38581" xr:uid="{00000000-0005-0000-0000-00003B520000}"/>
    <cellStyle name="표준 5 2 3 3 4 2 5 2 4" xfId="46774" xr:uid="{00000000-0005-0000-0000-00003C520000}"/>
    <cellStyle name="표준 5 2 3 3 4 2 5 3" xfId="18016" xr:uid="{00000000-0005-0000-0000-00003D520000}"/>
    <cellStyle name="표준 5 2 3 3 4 2 5 4" xfId="22178" xr:uid="{00000000-0005-0000-0000-00003E520000}"/>
    <cellStyle name="표준 5 2 3 3 4 2 5 5" xfId="26274" xr:uid="{00000000-0005-0000-0000-00003F520000}"/>
    <cellStyle name="표준 5 2 3 3 4 2 5 6" xfId="34485" xr:uid="{00000000-0005-0000-0000-000040520000}"/>
    <cellStyle name="표준 5 2 3 3 4 2 5 7" xfId="42678" xr:uid="{00000000-0005-0000-0000-000041520000}"/>
    <cellStyle name="표준 5 2 3 3 4 2 6" xfId="7616" xr:uid="{00000000-0005-0000-0000-000042520000}"/>
    <cellStyle name="표준 5 2 3 3 4 2 6 2" xfId="28322" xr:uid="{00000000-0005-0000-0000-000043520000}"/>
    <cellStyle name="표준 5 2 3 3 4 2 6 3" xfId="36533" xr:uid="{00000000-0005-0000-0000-000044520000}"/>
    <cellStyle name="표준 5 2 3 3 4 2 6 4" xfId="44726" xr:uid="{00000000-0005-0000-0000-000045520000}"/>
    <cellStyle name="표준 5 2 3 3 4 2 7" xfId="11728" xr:uid="{00000000-0005-0000-0000-000046520000}"/>
    <cellStyle name="표준 5 2 3 3 4 2 8" xfId="15968" xr:uid="{00000000-0005-0000-0000-000047520000}"/>
    <cellStyle name="표준 5 2 3 3 4 2 9" xfId="20130" xr:uid="{00000000-0005-0000-0000-000048520000}"/>
    <cellStyle name="표준 5 2 3 3 4 3" xfId="1017" xr:uid="{00000000-0005-0000-0000-000049520000}"/>
    <cellStyle name="표준 5 2 3 3 4 3 2" xfId="9920" xr:uid="{00000000-0005-0000-0000-00004A520000}"/>
    <cellStyle name="표준 5 2 3 3 4 3 2 2" xfId="14032" xr:uid="{00000000-0005-0000-0000-00004B520000}"/>
    <cellStyle name="표준 5 2 3 3 4 3 2 2 2" xfId="30626" xr:uid="{00000000-0005-0000-0000-00004C520000}"/>
    <cellStyle name="표준 5 2 3 3 4 3 2 2 3" xfId="38837" xr:uid="{00000000-0005-0000-0000-00004D520000}"/>
    <cellStyle name="표준 5 2 3 3 4 3 2 2 4" xfId="47030" xr:uid="{00000000-0005-0000-0000-00004E520000}"/>
    <cellStyle name="표준 5 2 3 3 4 3 2 3" xfId="18272" xr:uid="{00000000-0005-0000-0000-00004F520000}"/>
    <cellStyle name="표준 5 2 3 3 4 3 2 4" xfId="22434" xr:uid="{00000000-0005-0000-0000-000050520000}"/>
    <cellStyle name="표준 5 2 3 3 4 3 2 5" xfId="26530" xr:uid="{00000000-0005-0000-0000-000051520000}"/>
    <cellStyle name="표준 5 2 3 3 4 3 2 6" xfId="34741" xr:uid="{00000000-0005-0000-0000-000052520000}"/>
    <cellStyle name="표준 5 2 3 3 4 3 2 7" xfId="42934" xr:uid="{00000000-0005-0000-0000-000053520000}"/>
    <cellStyle name="표준 5 2 3 3 4 3 3" xfId="7872" xr:uid="{00000000-0005-0000-0000-000054520000}"/>
    <cellStyle name="표준 5 2 3 3 4 3 3 2" xfId="28578" xr:uid="{00000000-0005-0000-0000-000055520000}"/>
    <cellStyle name="표준 5 2 3 3 4 3 3 3" xfId="36789" xr:uid="{00000000-0005-0000-0000-000056520000}"/>
    <cellStyle name="표준 5 2 3 3 4 3 3 4" xfId="44982" xr:uid="{00000000-0005-0000-0000-000057520000}"/>
    <cellStyle name="표준 5 2 3 3 4 3 4" xfId="11984" xr:uid="{00000000-0005-0000-0000-000058520000}"/>
    <cellStyle name="표준 5 2 3 3 4 3 5" xfId="16224" xr:uid="{00000000-0005-0000-0000-000059520000}"/>
    <cellStyle name="표준 5 2 3 3 4 3 6" xfId="20386" xr:uid="{00000000-0005-0000-0000-00005A520000}"/>
    <cellStyle name="표준 5 2 3 3 4 3 7" xfId="24482" xr:uid="{00000000-0005-0000-0000-00005B520000}"/>
    <cellStyle name="표준 5 2 3 3 4 3 8" xfId="32693" xr:uid="{00000000-0005-0000-0000-00005C520000}"/>
    <cellStyle name="표준 5 2 3 3 4 3 9" xfId="40886" xr:uid="{00000000-0005-0000-0000-00005D520000}"/>
    <cellStyle name="표준 5 2 3 3 4 4" xfId="1529" xr:uid="{00000000-0005-0000-0000-00005E520000}"/>
    <cellStyle name="표준 5 2 3 3 4 4 2" xfId="10432" xr:uid="{00000000-0005-0000-0000-00005F520000}"/>
    <cellStyle name="표준 5 2 3 3 4 4 2 2" xfId="14544" xr:uid="{00000000-0005-0000-0000-000060520000}"/>
    <cellStyle name="표준 5 2 3 3 4 4 2 2 2" xfId="31138" xr:uid="{00000000-0005-0000-0000-000061520000}"/>
    <cellStyle name="표준 5 2 3 3 4 4 2 2 3" xfId="39349" xr:uid="{00000000-0005-0000-0000-000062520000}"/>
    <cellStyle name="표준 5 2 3 3 4 4 2 2 4" xfId="47542" xr:uid="{00000000-0005-0000-0000-000063520000}"/>
    <cellStyle name="표준 5 2 3 3 4 4 2 3" xfId="18784" xr:uid="{00000000-0005-0000-0000-000064520000}"/>
    <cellStyle name="표준 5 2 3 3 4 4 2 4" xfId="22946" xr:uid="{00000000-0005-0000-0000-000065520000}"/>
    <cellStyle name="표준 5 2 3 3 4 4 2 5" xfId="27042" xr:uid="{00000000-0005-0000-0000-000066520000}"/>
    <cellStyle name="표준 5 2 3 3 4 4 2 6" xfId="35253" xr:uid="{00000000-0005-0000-0000-000067520000}"/>
    <cellStyle name="표준 5 2 3 3 4 4 2 7" xfId="43446" xr:uid="{00000000-0005-0000-0000-000068520000}"/>
    <cellStyle name="표준 5 2 3 3 4 4 3" xfId="8384" xr:uid="{00000000-0005-0000-0000-000069520000}"/>
    <cellStyle name="표준 5 2 3 3 4 4 3 2" xfId="29090" xr:uid="{00000000-0005-0000-0000-00006A520000}"/>
    <cellStyle name="표준 5 2 3 3 4 4 3 3" xfId="37301" xr:uid="{00000000-0005-0000-0000-00006B520000}"/>
    <cellStyle name="표준 5 2 3 3 4 4 3 4" xfId="45494" xr:uid="{00000000-0005-0000-0000-00006C520000}"/>
    <cellStyle name="표준 5 2 3 3 4 4 4" xfId="12496" xr:uid="{00000000-0005-0000-0000-00006D520000}"/>
    <cellStyle name="표준 5 2 3 3 4 4 5" xfId="16736" xr:uid="{00000000-0005-0000-0000-00006E520000}"/>
    <cellStyle name="표준 5 2 3 3 4 4 6" xfId="20898" xr:uid="{00000000-0005-0000-0000-00006F520000}"/>
    <cellStyle name="표준 5 2 3 3 4 4 7" xfId="24994" xr:uid="{00000000-0005-0000-0000-000070520000}"/>
    <cellStyle name="표준 5 2 3 3 4 4 8" xfId="33205" xr:uid="{00000000-0005-0000-0000-000071520000}"/>
    <cellStyle name="표준 5 2 3 3 4 4 9" xfId="41398" xr:uid="{00000000-0005-0000-0000-000072520000}"/>
    <cellStyle name="표준 5 2 3 3 4 5" xfId="2041" xr:uid="{00000000-0005-0000-0000-000073520000}"/>
    <cellStyle name="표준 5 2 3 3 4 5 2" xfId="10944" xr:uid="{00000000-0005-0000-0000-000074520000}"/>
    <cellStyle name="표준 5 2 3 3 4 5 2 2" xfId="15056" xr:uid="{00000000-0005-0000-0000-000075520000}"/>
    <cellStyle name="표준 5 2 3 3 4 5 2 2 2" xfId="31650" xr:uid="{00000000-0005-0000-0000-000076520000}"/>
    <cellStyle name="표준 5 2 3 3 4 5 2 2 3" xfId="39861" xr:uid="{00000000-0005-0000-0000-000077520000}"/>
    <cellStyle name="표준 5 2 3 3 4 5 2 2 4" xfId="48054" xr:uid="{00000000-0005-0000-0000-000078520000}"/>
    <cellStyle name="표준 5 2 3 3 4 5 2 3" xfId="19296" xr:uid="{00000000-0005-0000-0000-000079520000}"/>
    <cellStyle name="표준 5 2 3 3 4 5 2 4" xfId="23458" xr:uid="{00000000-0005-0000-0000-00007A520000}"/>
    <cellStyle name="표준 5 2 3 3 4 5 2 5" xfId="27554" xr:uid="{00000000-0005-0000-0000-00007B520000}"/>
    <cellStyle name="표준 5 2 3 3 4 5 2 6" xfId="35765" xr:uid="{00000000-0005-0000-0000-00007C520000}"/>
    <cellStyle name="표준 5 2 3 3 4 5 2 7" xfId="43958" xr:uid="{00000000-0005-0000-0000-00007D520000}"/>
    <cellStyle name="표준 5 2 3 3 4 5 3" xfId="8896" xr:uid="{00000000-0005-0000-0000-00007E520000}"/>
    <cellStyle name="표준 5 2 3 3 4 5 3 2" xfId="29602" xr:uid="{00000000-0005-0000-0000-00007F520000}"/>
    <cellStyle name="표준 5 2 3 3 4 5 3 3" xfId="37813" xr:uid="{00000000-0005-0000-0000-000080520000}"/>
    <cellStyle name="표준 5 2 3 3 4 5 3 4" xfId="46006" xr:uid="{00000000-0005-0000-0000-000081520000}"/>
    <cellStyle name="표준 5 2 3 3 4 5 4" xfId="13008" xr:uid="{00000000-0005-0000-0000-000082520000}"/>
    <cellStyle name="표준 5 2 3 3 4 5 5" xfId="17248" xr:uid="{00000000-0005-0000-0000-000083520000}"/>
    <cellStyle name="표준 5 2 3 3 4 5 6" xfId="21410" xr:uid="{00000000-0005-0000-0000-000084520000}"/>
    <cellStyle name="표준 5 2 3 3 4 5 7" xfId="25506" xr:uid="{00000000-0005-0000-0000-000085520000}"/>
    <cellStyle name="표준 5 2 3 3 4 5 8" xfId="33717" xr:uid="{00000000-0005-0000-0000-000086520000}"/>
    <cellStyle name="표준 5 2 3 3 4 5 9" xfId="41910" xr:uid="{00000000-0005-0000-0000-000087520000}"/>
    <cellStyle name="표준 5 2 3 3 4 6" xfId="9408" xr:uid="{00000000-0005-0000-0000-000088520000}"/>
    <cellStyle name="표준 5 2 3 3 4 6 2" xfId="13520" xr:uid="{00000000-0005-0000-0000-000089520000}"/>
    <cellStyle name="표준 5 2 3 3 4 6 2 2" xfId="30114" xr:uid="{00000000-0005-0000-0000-00008A520000}"/>
    <cellStyle name="표준 5 2 3 3 4 6 2 3" xfId="38325" xr:uid="{00000000-0005-0000-0000-00008B520000}"/>
    <cellStyle name="표준 5 2 3 3 4 6 2 4" xfId="46518" xr:uid="{00000000-0005-0000-0000-00008C520000}"/>
    <cellStyle name="표준 5 2 3 3 4 6 3" xfId="17760" xr:uid="{00000000-0005-0000-0000-00008D520000}"/>
    <cellStyle name="표준 5 2 3 3 4 6 4" xfId="21922" xr:uid="{00000000-0005-0000-0000-00008E520000}"/>
    <cellStyle name="표준 5 2 3 3 4 6 5" xfId="26018" xr:uid="{00000000-0005-0000-0000-00008F520000}"/>
    <cellStyle name="표준 5 2 3 3 4 6 6" xfId="34229" xr:uid="{00000000-0005-0000-0000-000090520000}"/>
    <cellStyle name="표준 5 2 3 3 4 6 7" xfId="42422" xr:uid="{00000000-0005-0000-0000-000091520000}"/>
    <cellStyle name="표준 5 2 3 3 4 7" xfId="7360" xr:uid="{00000000-0005-0000-0000-000092520000}"/>
    <cellStyle name="표준 5 2 3 3 4 7 2" xfId="28066" xr:uid="{00000000-0005-0000-0000-000093520000}"/>
    <cellStyle name="표준 5 2 3 3 4 7 3" xfId="36277" xr:uid="{00000000-0005-0000-0000-000094520000}"/>
    <cellStyle name="표준 5 2 3 3 4 7 4" xfId="44470" xr:uid="{00000000-0005-0000-0000-000095520000}"/>
    <cellStyle name="표준 5 2 3 3 4 8" xfId="11472" xr:uid="{00000000-0005-0000-0000-000096520000}"/>
    <cellStyle name="표준 5 2 3 3 4 9" xfId="15712" xr:uid="{00000000-0005-0000-0000-000097520000}"/>
    <cellStyle name="표준 5 2 3 3 5" xfId="633" xr:uid="{00000000-0005-0000-0000-000098520000}"/>
    <cellStyle name="표준 5 2 3 3 5 10" xfId="24098" xr:uid="{00000000-0005-0000-0000-000099520000}"/>
    <cellStyle name="표준 5 2 3 3 5 11" xfId="32309" xr:uid="{00000000-0005-0000-0000-00009A520000}"/>
    <cellStyle name="표준 5 2 3 3 5 12" xfId="40502" xr:uid="{00000000-0005-0000-0000-00009B520000}"/>
    <cellStyle name="표준 5 2 3 3 5 2" xfId="1145" xr:uid="{00000000-0005-0000-0000-00009C520000}"/>
    <cellStyle name="표준 5 2 3 3 5 2 2" xfId="10048" xr:uid="{00000000-0005-0000-0000-00009D520000}"/>
    <cellStyle name="표준 5 2 3 3 5 2 2 2" xfId="14160" xr:uid="{00000000-0005-0000-0000-00009E520000}"/>
    <cellStyle name="표준 5 2 3 3 5 2 2 2 2" xfId="30754" xr:uid="{00000000-0005-0000-0000-00009F520000}"/>
    <cellStyle name="표준 5 2 3 3 5 2 2 2 3" xfId="38965" xr:uid="{00000000-0005-0000-0000-0000A0520000}"/>
    <cellStyle name="표준 5 2 3 3 5 2 2 2 4" xfId="47158" xr:uid="{00000000-0005-0000-0000-0000A1520000}"/>
    <cellStyle name="표준 5 2 3 3 5 2 2 3" xfId="18400" xr:uid="{00000000-0005-0000-0000-0000A2520000}"/>
    <cellStyle name="표준 5 2 3 3 5 2 2 4" xfId="22562" xr:uid="{00000000-0005-0000-0000-0000A3520000}"/>
    <cellStyle name="표준 5 2 3 3 5 2 2 5" xfId="26658" xr:uid="{00000000-0005-0000-0000-0000A4520000}"/>
    <cellStyle name="표준 5 2 3 3 5 2 2 6" xfId="34869" xr:uid="{00000000-0005-0000-0000-0000A5520000}"/>
    <cellStyle name="표준 5 2 3 3 5 2 2 7" xfId="43062" xr:uid="{00000000-0005-0000-0000-0000A6520000}"/>
    <cellStyle name="표준 5 2 3 3 5 2 3" xfId="8000" xr:uid="{00000000-0005-0000-0000-0000A7520000}"/>
    <cellStyle name="표준 5 2 3 3 5 2 3 2" xfId="28706" xr:uid="{00000000-0005-0000-0000-0000A8520000}"/>
    <cellStyle name="표준 5 2 3 3 5 2 3 3" xfId="36917" xr:uid="{00000000-0005-0000-0000-0000A9520000}"/>
    <cellStyle name="표준 5 2 3 3 5 2 3 4" xfId="45110" xr:uid="{00000000-0005-0000-0000-0000AA520000}"/>
    <cellStyle name="표준 5 2 3 3 5 2 4" xfId="12112" xr:uid="{00000000-0005-0000-0000-0000AB520000}"/>
    <cellStyle name="표준 5 2 3 3 5 2 5" xfId="16352" xr:uid="{00000000-0005-0000-0000-0000AC520000}"/>
    <cellStyle name="표준 5 2 3 3 5 2 6" xfId="20514" xr:uid="{00000000-0005-0000-0000-0000AD520000}"/>
    <cellStyle name="표준 5 2 3 3 5 2 7" xfId="24610" xr:uid="{00000000-0005-0000-0000-0000AE520000}"/>
    <cellStyle name="표준 5 2 3 3 5 2 8" xfId="32821" xr:uid="{00000000-0005-0000-0000-0000AF520000}"/>
    <cellStyle name="표준 5 2 3 3 5 2 9" xfId="41014" xr:uid="{00000000-0005-0000-0000-0000B0520000}"/>
    <cellStyle name="표준 5 2 3 3 5 3" xfId="1657" xr:uid="{00000000-0005-0000-0000-0000B1520000}"/>
    <cellStyle name="표준 5 2 3 3 5 3 2" xfId="10560" xr:uid="{00000000-0005-0000-0000-0000B2520000}"/>
    <cellStyle name="표준 5 2 3 3 5 3 2 2" xfId="14672" xr:uid="{00000000-0005-0000-0000-0000B3520000}"/>
    <cellStyle name="표준 5 2 3 3 5 3 2 2 2" xfId="31266" xr:uid="{00000000-0005-0000-0000-0000B4520000}"/>
    <cellStyle name="표준 5 2 3 3 5 3 2 2 3" xfId="39477" xr:uid="{00000000-0005-0000-0000-0000B5520000}"/>
    <cellStyle name="표준 5 2 3 3 5 3 2 2 4" xfId="47670" xr:uid="{00000000-0005-0000-0000-0000B6520000}"/>
    <cellStyle name="표준 5 2 3 3 5 3 2 3" xfId="18912" xr:uid="{00000000-0005-0000-0000-0000B7520000}"/>
    <cellStyle name="표준 5 2 3 3 5 3 2 4" xfId="23074" xr:uid="{00000000-0005-0000-0000-0000B8520000}"/>
    <cellStyle name="표준 5 2 3 3 5 3 2 5" xfId="27170" xr:uid="{00000000-0005-0000-0000-0000B9520000}"/>
    <cellStyle name="표준 5 2 3 3 5 3 2 6" xfId="35381" xr:uid="{00000000-0005-0000-0000-0000BA520000}"/>
    <cellStyle name="표준 5 2 3 3 5 3 2 7" xfId="43574" xr:uid="{00000000-0005-0000-0000-0000BB520000}"/>
    <cellStyle name="표준 5 2 3 3 5 3 3" xfId="8512" xr:uid="{00000000-0005-0000-0000-0000BC520000}"/>
    <cellStyle name="표준 5 2 3 3 5 3 3 2" xfId="29218" xr:uid="{00000000-0005-0000-0000-0000BD520000}"/>
    <cellStyle name="표준 5 2 3 3 5 3 3 3" xfId="37429" xr:uid="{00000000-0005-0000-0000-0000BE520000}"/>
    <cellStyle name="표준 5 2 3 3 5 3 3 4" xfId="45622" xr:uid="{00000000-0005-0000-0000-0000BF520000}"/>
    <cellStyle name="표준 5 2 3 3 5 3 4" xfId="12624" xr:uid="{00000000-0005-0000-0000-0000C0520000}"/>
    <cellStyle name="표준 5 2 3 3 5 3 5" xfId="16864" xr:uid="{00000000-0005-0000-0000-0000C1520000}"/>
    <cellStyle name="표준 5 2 3 3 5 3 6" xfId="21026" xr:uid="{00000000-0005-0000-0000-0000C2520000}"/>
    <cellStyle name="표준 5 2 3 3 5 3 7" xfId="25122" xr:uid="{00000000-0005-0000-0000-0000C3520000}"/>
    <cellStyle name="표준 5 2 3 3 5 3 8" xfId="33333" xr:uid="{00000000-0005-0000-0000-0000C4520000}"/>
    <cellStyle name="표준 5 2 3 3 5 3 9" xfId="41526" xr:uid="{00000000-0005-0000-0000-0000C5520000}"/>
    <cellStyle name="표준 5 2 3 3 5 4" xfId="2169" xr:uid="{00000000-0005-0000-0000-0000C6520000}"/>
    <cellStyle name="표준 5 2 3 3 5 4 2" xfId="11072" xr:uid="{00000000-0005-0000-0000-0000C7520000}"/>
    <cellStyle name="표준 5 2 3 3 5 4 2 2" xfId="15184" xr:uid="{00000000-0005-0000-0000-0000C8520000}"/>
    <cellStyle name="표준 5 2 3 3 5 4 2 2 2" xfId="31778" xr:uid="{00000000-0005-0000-0000-0000C9520000}"/>
    <cellStyle name="표준 5 2 3 3 5 4 2 2 3" xfId="39989" xr:uid="{00000000-0005-0000-0000-0000CA520000}"/>
    <cellStyle name="표준 5 2 3 3 5 4 2 2 4" xfId="48182" xr:uid="{00000000-0005-0000-0000-0000CB520000}"/>
    <cellStyle name="표준 5 2 3 3 5 4 2 3" xfId="19424" xr:uid="{00000000-0005-0000-0000-0000CC520000}"/>
    <cellStyle name="표준 5 2 3 3 5 4 2 4" xfId="23586" xr:uid="{00000000-0005-0000-0000-0000CD520000}"/>
    <cellStyle name="표준 5 2 3 3 5 4 2 5" xfId="27682" xr:uid="{00000000-0005-0000-0000-0000CE520000}"/>
    <cellStyle name="표준 5 2 3 3 5 4 2 6" xfId="35893" xr:uid="{00000000-0005-0000-0000-0000CF520000}"/>
    <cellStyle name="표준 5 2 3 3 5 4 2 7" xfId="44086" xr:uid="{00000000-0005-0000-0000-0000D0520000}"/>
    <cellStyle name="표준 5 2 3 3 5 4 3" xfId="9024" xr:uid="{00000000-0005-0000-0000-0000D1520000}"/>
    <cellStyle name="표준 5 2 3 3 5 4 3 2" xfId="29730" xr:uid="{00000000-0005-0000-0000-0000D2520000}"/>
    <cellStyle name="표준 5 2 3 3 5 4 3 3" xfId="37941" xr:uid="{00000000-0005-0000-0000-0000D3520000}"/>
    <cellStyle name="표준 5 2 3 3 5 4 3 4" xfId="46134" xr:uid="{00000000-0005-0000-0000-0000D4520000}"/>
    <cellStyle name="표준 5 2 3 3 5 4 4" xfId="13136" xr:uid="{00000000-0005-0000-0000-0000D5520000}"/>
    <cellStyle name="표준 5 2 3 3 5 4 5" xfId="17376" xr:uid="{00000000-0005-0000-0000-0000D6520000}"/>
    <cellStyle name="표준 5 2 3 3 5 4 6" xfId="21538" xr:uid="{00000000-0005-0000-0000-0000D7520000}"/>
    <cellStyle name="표준 5 2 3 3 5 4 7" xfId="25634" xr:uid="{00000000-0005-0000-0000-0000D8520000}"/>
    <cellStyle name="표준 5 2 3 3 5 4 8" xfId="33845" xr:uid="{00000000-0005-0000-0000-0000D9520000}"/>
    <cellStyle name="표준 5 2 3 3 5 4 9" xfId="42038" xr:uid="{00000000-0005-0000-0000-0000DA520000}"/>
    <cellStyle name="표준 5 2 3 3 5 5" xfId="9536" xr:uid="{00000000-0005-0000-0000-0000DB520000}"/>
    <cellStyle name="표준 5 2 3 3 5 5 2" xfId="13648" xr:uid="{00000000-0005-0000-0000-0000DC520000}"/>
    <cellStyle name="표준 5 2 3 3 5 5 2 2" xfId="30242" xr:uid="{00000000-0005-0000-0000-0000DD520000}"/>
    <cellStyle name="표준 5 2 3 3 5 5 2 3" xfId="38453" xr:uid="{00000000-0005-0000-0000-0000DE520000}"/>
    <cellStyle name="표준 5 2 3 3 5 5 2 4" xfId="46646" xr:uid="{00000000-0005-0000-0000-0000DF520000}"/>
    <cellStyle name="표준 5 2 3 3 5 5 3" xfId="17888" xr:uid="{00000000-0005-0000-0000-0000E0520000}"/>
    <cellStyle name="표준 5 2 3 3 5 5 4" xfId="22050" xr:uid="{00000000-0005-0000-0000-0000E1520000}"/>
    <cellStyle name="표준 5 2 3 3 5 5 5" xfId="26146" xr:uid="{00000000-0005-0000-0000-0000E2520000}"/>
    <cellStyle name="표준 5 2 3 3 5 5 6" xfId="34357" xr:uid="{00000000-0005-0000-0000-0000E3520000}"/>
    <cellStyle name="표준 5 2 3 3 5 5 7" xfId="42550" xr:uid="{00000000-0005-0000-0000-0000E4520000}"/>
    <cellStyle name="표준 5 2 3 3 5 6" xfId="7488" xr:uid="{00000000-0005-0000-0000-0000E5520000}"/>
    <cellStyle name="표준 5 2 3 3 5 6 2" xfId="28194" xr:uid="{00000000-0005-0000-0000-0000E6520000}"/>
    <cellStyle name="표준 5 2 3 3 5 6 3" xfId="36405" xr:uid="{00000000-0005-0000-0000-0000E7520000}"/>
    <cellStyle name="표준 5 2 3 3 5 6 4" xfId="44598" xr:uid="{00000000-0005-0000-0000-0000E8520000}"/>
    <cellStyle name="표준 5 2 3 3 5 7" xfId="11600" xr:uid="{00000000-0005-0000-0000-0000E9520000}"/>
    <cellStyle name="표준 5 2 3 3 5 8" xfId="15840" xr:uid="{00000000-0005-0000-0000-0000EA520000}"/>
    <cellStyle name="표준 5 2 3 3 5 9" xfId="20002" xr:uid="{00000000-0005-0000-0000-0000EB520000}"/>
    <cellStyle name="표준 5 2 3 3 6" xfId="889" xr:uid="{00000000-0005-0000-0000-0000EC520000}"/>
    <cellStyle name="표준 5 2 3 3 6 2" xfId="9792" xr:uid="{00000000-0005-0000-0000-0000ED520000}"/>
    <cellStyle name="표준 5 2 3 3 6 2 2" xfId="13904" xr:uid="{00000000-0005-0000-0000-0000EE520000}"/>
    <cellStyle name="표준 5 2 3 3 6 2 2 2" xfId="30498" xr:uid="{00000000-0005-0000-0000-0000EF520000}"/>
    <cellStyle name="표준 5 2 3 3 6 2 2 3" xfId="38709" xr:uid="{00000000-0005-0000-0000-0000F0520000}"/>
    <cellStyle name="표준 5 2 3 3 6 2 2 4" xfId="46902" xr:uid="{00000000-0005-0000-0000-0000F1520000}"/>
    <cellStyle name="표준 5 2 3 3 6 2 3" xfId="18144" xr:uid="{00000000-0005-0000-0000-0000F2520000}"/>
    <cellStyle name="표준 5 2 3 3 6 2 4" xfId="22306" xr:uid="{00000000-0005-0000-0000-0000F3520000}"/>
    <cellStyle name="표준 5 2 3 3 6 2 5" xfId="26402" xr:uid="{00000000-0005-0000-0000-0000F4520000}"/>
    <cellStyle name="표준 5 2 3 3 6 2 6" xfId="34613" xr:uid="{00000000-0005-0000-0000-0000F5520000}"/>
    <cellStyle name="표준 5 2 3 3 6 2 7" xfId="42806" xr:uid="{00000000-0005-0000-0000-0000F6520000}"/>
    <cellStyle name="표준 5 2 3 3 6 3" xfId="7744" xr:uid="{00000000-0005-0000-0000-0000F7520000}"/>
    <cellStyle name="표준 5 2 3 3 6 3 2" xfId="28450" xr:uid="{00000000-0005-0000-0000-0000F8520000}"/>
    <cellStyle name="표준 5 2 3 3 6 3 3" xfId="36661" xr:uid="{00000000-0005-0000-0000-0000F9520000}"/>
    <cellStyle name="표준 5 2 3 3 6 3 4" xfId="44854" xr:uid="{00000000-0005-0000-0000-0000FA520000}"/>
    <cellStyle name="표준 5 2 3 3 6 4" xfId="11856" xr:uid="{00000000-0005-0000-0000-0000FB520000}"/>
    <cellStyle name="표준 5 2 3 3 6 5" xfId="16096" xr:uid="{00000000-0005-0000-0000-0000FC520000}"/>
    <cellStyle name="표준 5 2 3 3 6 6" xfId="20258" xr:uid="{00000000-0005-0000-0000-0000FD520000}"/>
    <cellStyle name="표준 5 2 3 3 6 7" xfId="24354" xr:uid="{00000000-0005-0000-0000-0000FE520000}"/>
    <cellStyle name="표준 5 2 3 3 6 8" xfId="32565" xr:uid="{00000000-0005-0000-0000-0000FF520000}"/>
    <cellStyle name="표준 5 2 3 3 6 9" xfId="40758" xr:uid="{00000000-0005-0000-0000-000000530000}"/>
    <cellStyle name="표준 5 2 3 3 7" xfId="1401" xr:uid="{00000000-0005-0000-0000-000001530000}"/>
    <cellStyle name="표준 5 2 3 3 7 2" xfId="10304" xr:uid="{00000000-0005-0000-0000-000002530000}"/>
    <cellStyle name="표준 5 2 3 3 7 2 2" xfId="14416" xr:uid="{00000000-0005-0000-0000-000003530000}"/>
    <cellStyle name="표준 5 2 3 3 7 2 2 2" xfId="31010" xr:uid="{00000000-0005-0000-0000-000004530000}"/>
    <cellStyle name="표준 5 2 3 3 7 2 2 3" xfId="39221" xr:uid="{00000000-0005-0000-0000-000005530000}"/>
    <cellStyle name="표준 5 2 3 3 7 2 2 4" xfId="47414" xr:uid="{00000000-0005-0000-0000-000006530000}"/>
    <cellStyle name="표준 5 2 3 3 7 2 3" xfId="18656" xr:uid="{00000000-0005-0000-0000-000007530000}"/>
    <cellStyle name="표준 5 2 3 3 7 2 4" xfId="22818" xr:uid="{00000000-0005-0000-0000-000008530000}"/>
    <cellStyle name="표준 5 2 3 3 7 2 5" xfId="26914" xr:uid="{00000000-0005-0000-0000-000009530000}"/>
    <cellStyle name="표준 5 2 3 3 7 2 6" xfId="35125" xr:uid="{00000000-0005-0000-0000-00000A530000}"/>
    <cellStyle name="표준 5 2 3 3 7 2 7" xfId="43318" xr:uid="{00000000-0005-0000-0000-00000B530000}"/>
    <cellStyle name="표준 5 2 3 3 7 3" xfId="8256" xr:uid="{00000000-0005-0000-0000-00000C530000}"/>
    <cellStyle name="표준 5 2 3 3 7 3 2" xfId="28962" xr:uid="{00000000-0005-0000-0000-00000D530000}"/>
    <cellStyle name="표준 5 2 3 3 7 3 3" xfId="37173" xr:uid="{00000000-0005-0000-0000-00000E530000}"/>
    <cellStyle name="표준 5 2 3 3 7 3 4" xfId="45366" xr:uid="{00000000-0005-0000-0000-00000F530000}"/>
    <cellStyle name="표준 5 2 3 3 7 4" xfId="12368" xr:uid="{00000000-0005-0000-0000-000010530000}"/>
    <cellStyle name="표준 5 2 3 3 7 5" xfId="16608" xr:uid="{00000000-0005-0000-0000-000011530000}"/>
    <cellStyle name="표준 5 2 3 3 7 6" xfId="20770" xr:uid="{00000000-0005-0000-0000-000012530000}"/>
    <cellStyle name="표준 5 2 3 3 7 7" xfId="24866" xr:uid="{00000000-0005-0000-0000-000013530000}"/>
    <cellStyle name="표준 5 2 3 3 7 8" xfId="33077" xr:uid="{00000000-0005-0000-0000-000014530000}"/>
    <cellStyle name="표준 5 2 3 3 7 9" xfId="41270" xr:uid="{00000000-0005-0000-0000-000015530000}"/>
    <cellStyle name="표준 5 2 3 3 8" xfId="1913" xr:uid="{00000000-0005-0000-0000-000016530000}"/>
    <cellStyle name="표준 5 2 3 3 8 2" xfId="10816" xr:uid="{00000000-0005-0000-0000-000017530000}"/>
    <cellStyle name="표준 5 2 3 3 8 2 2" xfId="14928" xr:uid="{00000000-0005-0000-0000-000018530000}"/>
    <cellStyle name="표준 5 2 3 3 8 2 2 2" xfId="31522" xr:uid="{00000000-0005-0000-0000-000019530000}"/>
    <cellStyle name="표준 5 2 3 3 8 2 2 3" xfId="39733" xr:uid="{00000000-0005-0000-0000-00001A530000}"/>
    <cellStyle name="표준 5 2 3 3 8 2 2 4" xfId="47926" xr:uid="{00000000-0005-0000-0000-00001B530000}"/>
    <cellStyle name="표준 5 2 3 3 8 2 3" xfId="19168" xr:uid="{00000000-0005-0000-0000-00001C530000}"/>
    <cellStyle name="표준 5 2 3 3 8 2 4" xfId="23330" xr:uid="{00000000-0005-0000-0000-00001D530000}"/>
    <cellStyle name="표준 5 2 3 3 8 2 5" xfId="27426" xr:uid="{00000000-0005-0000-0000-00001E530000}"/>
    <cellStyle name="표준 5 2 3 3 8 2 6" xfId="35637" xr:uid="{00000000-0005-0000-0000-00001F530000}"/>
    <cellStyle name="표준 5 2 3 3 8 2 7" xfId="43830" xr:uid="{00000000-0005-0000-0000-000020530000}"/>
    <cellStyle name="표준 5 2 3 3 8 3" xfId="8768" xr:uid="{00000000-0005-0000-0000-000021530000}"/>
    <cellStyle name="표준 5 2 3 3 8 3 2" xfId="29474" xr:uid="{00000000-0005-0000-0000-000022530000}"/>
    <cellStyle name="표준 5 2 3 3 8 3 3" xfId="37685" xr:uid="{00000000-0005-0000-0000-000023530000}"/>
    <cellStyle name="표준 5 2 3 3 8 3 4" xfId="45878" xr:uid="{00000000-0005-0000-0000-000024530000}"/>
    <cellStyle name="표준 5 2 3 3 8 4" xfId="12880" xr:uid="{00000000-0005-0000-0000-000025530000}"/>
    <cellStyle name="표준 5 2 3 3 8 5" xfId="17120" xr:uid="{00000000-0005-0000-0000-000026530000}"/>
    <cellStyle name="표준 5 2 3 3 8 6" xfId="21282" xr:uid="{00000000-0005-0000-0000-000027530000}"/>
    <cellStyle name="표준 5 2 3 3 8 7" xfId="25378" xr:uid="{00000000-0005-0000-0000-000028530000}"/>
    <cellStyle name="표준 5 2 3 3 8 8" xfId="33589" xr:uid="{00000000-0005-0000-0000-000029530000}"/>
    <cellStyle name="표준 5 2 3 3 8 9" xfId="41782" xr:uid="{00000000-0005-0000-0000-00002A530000}"/>
    <cellStyle name="표준 5 2 3 3 9" xfId="6969" xr:uid="{00000000-0005-0000-0000-00002B530000}"/>
    <cellStyle name="표준 5 2 3 3 9 2" xfId="9280" xr:uid="{00000000-0005-0000-0000-00002C530000}"/>
    <cellStyle name="표준 5 2 3 3 9 2 2" xfId="29986" xr:uid="{00000000-0005-0000-0000-00002D530000}"/>
    <cellStyle name="표준 5 2 3 3 9 2 3" xfId="38197" xr:uid="{00000000-0005-0000-0000-00002E530000}"/>
    <cellStyle name="표준 5 2 3 3 9 2 4" xfId="46390" xr:uid="{00000000-0005-0000-0000-00002F530000}"/>
    <cellStyle name="표준 5 2 3 3 9 3" xfId="13392" xr:uid="{00000000-0005-0000-0000-000030530000}"/>
    <cellStyle name="표준 5 2 3 3 9 4" xfId="17632" xr:uid="{00000000-0005-0000-0000-000031530000}"/>
    <cellStyle name="표준 5 2 3 3 9 5" xfId="21794" xr:uid="{00000000-0005-0000-0000-000032530000}"/>
    <cellStyle name="표준 5 2 3 3 9 6" xfId="25890" xr:uid="{00000000-0005-0000-0000-000033530000}"/>
    <cellStyle name="표준 5 2 3 3 9 7" xfId="34101" xr:uid="{00000000-0005-0000-0000-000034530000}"/>
    <cellStyle name="표준 5 2 3 3 9 8" xfId="42294" xr:uid="{00000000-0005-0000-0000-000035530000}"/>
    <cellStyle name="표준 5 2 3 30" xfId="23826" xr:uid="{00000000-0005-0000-0000-000036530000}"/>
    <cellStyle name="표준 5 2 3 31" xfId="32020" xr:uid="{00000000-0005-0000-0000-000037530000}"/>
    <cellStyle name="표준 5 2 3 32" xfId="32037" xr:uid="{00000000-0005-0000-0000-000038530000}"/>
    <cellStyle name="표준 5 2 3 33" xfId="40230" xr:uid="{00000000-0005-0000-0000-000039530000}"/>
    <cellStyle name="표준 5 2 3 34" xfId="48432" xr:uid="{00000000-0005-0000-0000-00003A530000}"/>
    <cellStyle name="표준 5 2 3 4" xfId="295" xr:uid="{00000000-0005-0000-0000-00003B530000}"/>
    <cellStyle name="표준 5 2 3 4 10" xfId="7173" xr:uid="{00000000-0005-0000-0000-00003C530000}"/>
    <cellStyle name="표준 5 2 3 4 11" xfId="7248" xr:uid="{00000000-0005-0000-0000-00003D530000}"/>
    <cellStyle name="표준 5 2 3 4 12" xfId="11360" xr:uid="{00000000-0005-0000-0000-00003E530000}"/>
    <cellStyle name="표준 5 2 3 4 13" xfId="15488" xr:uid="{00000000-0005-0000-0000-00003F530000}"/>
    <cellStyle name="표준 5 2 3 4 14" xfId="15600" xr:uid="{00000000-0005-0000-0000-000040530000}"/>
    <cellStyle name="표준 5 2 3 4 15" xfId="19762" xr:uid="{00000000-0005-0000-0000-000041530000}"/>
    <cellStyle name="표준 5 2 3 4 16" xfId="23858" xr:uid="{00000000-0005-0000-0000-000042530000}"/>
    <cellStyle name="표준 5 2 3 4 17" xfId="32069" xr:uid="{00000000-0005-0000-0000-000043530000}"/>
    <cellStyle name="표준 5 2 3 4 18" xfId="40262" xr:uid="{00000000-0005-0000-0000-000044530000}"/>
    <cellStyle name="표준 5 2 3 4 19" xfId="49692" xr:uid="{00000000-0005-0000-0000-000045530000}"/>
    <cellStyle name="표준 5 2 3 4 2" xfId="457" xr:uid="{00000000-0005-0000-0000-000046530000}"/>
    <cellStyle name="표준 5 2 3 4 2 10" xfId="11424" xr:uid="{00000000-0005-0000-0000-000047530000}"/>
    <cellStyle name="표준 5 2 3 4 2 11" xfId="15536" xr:uid="{00000000-0005-0000-0000-000048530000}"/>
    <cellStyle name="표준 5 2 3 4 2 12" xfId="15664" xr:uid="{00000000-0005-0000-0000-000049530000}"/>
    <cellStyle name="표준 5 2 3 4 2 13" xfId="19826" xr:uid="{00000000-0005-0000-0000-00004A530000}"/>
    <cellStyle name="표준 5 2 3 4 2 14" xfId="23922" xr:uid="{00000000-0005-0000-0000-00004B530000}"/>
    <cellStyle name="표준 5 2 3 4 2 15" xfId="32133" xr:uid="{00000000-0005-0000-0000-00004C530000}"/>
    <cellStyle name="표준 5 2 3 4 2 16" xfId="40326" xr:uid="{00000000-0005-0000-0000-00004D530000}"/>
    <cellStyle name="표준 5 2 3 4 2 2" xfId="585" xr:uid="{00000000-0005-0000-0000-00004E530000}"/>
    <cellStyle name="표준 5 2 3 4 2 2 10" xfId="19954" xr:uid="{00000000-0005-0000-0000-00004F530000}"/>
    <cellStyle name="표준 5 2 3 4 2 2 11" xfId="24050" xr:uid="{00000000-0005-0000-0000-000050530000}"/>
    <cellStyle name="표준 5 2 3 4 2 2 12" xfId="32261" xr:uid="{00000000-0005-0000-0000-000051530000}"/>
    <cellStyle name="표준 5 2 3 4 2 2 13" xfId="40454" xr:uid="{00000000-0005-0000-0000-000052530000}"/>
    <cellStyle name="표준 5 2 3 4 2 2 2" xfId="841" xr:uid="{00000000-0005-0000-0000-000053530000}"/>
    <cellStyle name="표준 5 2 3 4 2 2 2 10" xfId="24306" xr:uid="{00000000-0005-0000-0000-000054530000}"/>
    <cellStyle name="표준 5 2 3 4 2 2 2 11" xfId="32517" xr:uid="{00000000-0005-0000-0000-000055530000}"/>
    <cellStyle name="표준 5 2 3 4 2 2 2 12" xfId="40710" xr:uid="{00000000-0005-0000-0000-000056530000}"/>
    <cellStyle name="표준 5 2 3 4 2 2 2 2" xfId="1353" xr:uid="{00000000-0005-0000-0000-000057530000}"/>
    <cellStyle name="표준 5 2 3 4 2 2 2 2 2" xfId="10256" xr:uid="{00000000-0005-0000-0000-000058530000}"/>
    <cellStyle name="표준 5 2 3 4 2 2 2 2 2 2" xfId="14368" xr:uid="{00000000-0005-0000-0000-000059530000}"/>
    <cellStyle name="표준 5 2 3 4 2 2 2 2 2 2 2" xfId="30962" xr:uid="{00000000-0005-0000-0000-00005A530000}"/>
    <cellStyle name="표준 5 2 3 4 2 2 2 2 2 2 3" xfId="39173" xr:uid="{00000000-0005-0000-0000-00005B530000}"/>
    <cellStyle name="표준 5 2 3 4 2 2 2 2 2 2 4" xfId="47366" xr:uid="{00000000-0005-0000-0000-00005C530000}"/>
    <cellStyle name="표준 5 2 3 4 2 2 2 2 2 3" xfId="18608" xr:uid="{00000000-0005-0000-0000-00005D530000}"/>
    <cellStyle name="표준 5 2 3 4 2 2 2 2 2 4" xfId="22770" xr:uid="{00000000-0005-0000-0000-00005E530000}"/>
    <cellStyle name="표준 5 2 3 4 2 2 2 2 2 5" xfId="26866" xr:uid="{00000000-0005-0000-0000-00005F530000}"/>
    <cellStyle name="표준 5 2 3 4 2 2 2 2 2 6" xfId="35077" xr:uid="{00000000-0005-0000-0000-000060530000}"/>
    <cellStyle name="표준 5 2 3 4 2 2 2 2 2 7" xfId="43270" xr:uid="{00000000-0005-0000-0000-000061530000}"/>
    <cellStyle name="표준 5 2 3 4 2 2 2 2 3" xfId="8208" xr:uid="{00000000-0005-0000-0000-000062530000}"/>
    <cellStyle name="표준 5 2 3 4 2 2 2 2 3 2" xfId="28914" xr:uid="{00000000-0005-0000-0000-000063530000}"/>
    <cellStyle name="표준 5 2 3 4 2 2 2 2 3 3" xfId="37125" xr:uid="{00000000-0005-0000-0000-000064530000}"/>
    <cellStyle name="표준 5 2 3 4 2 2 2 2 3 4" xfId="45318" xr:uid="{00000000-0005-0000-0000-000065530000}"/>
    <cellStyle name="표준 5 2 3 4 2 2 2 2 4" xfId="12320" xr:uid="{00000000-0005-0000-0000-000066530000}"/>
    <cellStyle name="표준 5 2 3 4 2 2 2 2 5" xfId="16560" xr:uid="{00000000-0005-0000-0000-000067530000}"/>
    <cellStyle name="표준 5 2 3 4 2 2 2 2 6" xfId="20722" xr:uid="{00000000-0005-0000-0000-000068530000}"/>
    <cellStyle name="표준 5 2 3 4 2 2 2 2 7" xfId="24818" xr:uid="{00000000-0005-0000-0000-000069530000}"/>
    <cellStyle name="표준 5 2 3 4 2 2 2 2 8" xfId="33029" xr:uid="{00000000-0005-0000-0000-00006A530000}"/>
    <cellStyle name="표준 5 2 3 4 2 2 2 2 9" xfId="41222" xr:uid="{00000000-0005-0000-0000-00006B530000}"/>
    <cellStyle name="표준 5 2 3 4 2 2 2 3" xfId="1865" xr:uid="{00000000-0005-0000-0000-00006C530000}"/>
    <cellStyle name="표준 5 2 3 4 2 2 2 3 2" xfId="10768" xr:uid="{00000000-0005-0000-0000-00006D530000}"/>
    <cellStyle name="표준 5 2 3 4 2 2 2 3 2 2" xfId="14880" xr:uid="{00000000-0005-0000-0000-00006E530000}"/>
    <cellStyle name="표준 5 2 3 4 2 2 2 3 2 2 2" xfId="31474" xr:uid="{00000000-0005-0000-0000-00006F530000}"/>
    <cellStyle name="표준 5 2 3 4 2 2 2 3 2 2 3" xfId="39685" xr:uid="{00000000-0005-0000-0000-000070530000}"/>
    <cellStyle name="표준 5 2 3 4 2 2 2 3 2 2 4" xfId="47878" xr:uid="{00000000-0005-0000-0000-000071530000}"/>
    <cellStyle name="표준 5 2 3 4 2 2 2 3 2 3" xfId="19120" xr:uid="{00000000-0005-0000-0000-000072530000}"/>
    <cellStyle name="표준 5 2 3 4 2 2 2 3 2 4" xfId="23282" xr:uid="{00000000-0005-0000-0000-000073530000}"/>
    <cellStyle name="표준 5 2 3 4 2 2 2 3 2 5" xfId="27378" xr:uid="{00000000-0005-0000-0000-000074530000}"/>
    <cellStyle name="표준 5 2 3 4 2 2 2 3 2 6" xfId="35589" xr:uid="{00000000-0005-0000-0000-000075530000}"/>
    <cellStyle name="표준 5 2 3 4 2 2 2 3 2 7" xfId="43782" xr:uid="{00000000-0005-0000-0000-000076530000}"/>
    <cellStyle name="표준 5 2 3 4 2 2 2 3 3" xfId="8720" xr:uid="{00000000-0005-0000-0000-000077530000}"/>
    <cellStyle name="표준 5 2 3 4 2 2 2 3 3 2" xfId="29426" xr:uid="{00000000-0005-0000-0000-000078530000}"/>
    <cellStyle name="표준 5 2 3 4 2 2 2 3 3 3" xfId="37637" xr:uid="{00000000-0005-0000-0000-000079530000}"/>
    <cellStyle name="표준 5 2 3 4 2 2 2 3 3 4" xfId="45830" xr:uid="{00000000-0005-0000-0000-00007A530000}"/>
    <cellStyle name="표준 5 2 3 4 2 2 2 3 4" xfId="12832" xr:uid="{00000000-0005-0000-0000-00007B530000}"/>
    <cellStyle name="표준 5 2 3 4 2 2 2 3 5" xfId="17072" xr:uid="{00000000-0005-0000-0000-00007C530000}"/>
    <cellStyle name="표준 5 2 3 4 2 2 2 3 6" xfId="21234" xr:uid="{00000000-0005-0000-0000-00007D530000}"/>
    <cellStyle name="표준 5 2 3 4 2 2 2 3 7" xfId="25330" xr:uid="{00000000-0005-0000-0000-00007E530000}"/>
    <cellStyle name="표준 5 2 3 4 2 2 2 3 8" xfId="33541" xr:uid="{00000000-0005-0000-0000-00007F530000}"/>
    <cellStyle name="표준 5 2 3 4 2 2 2 3 9" xfId="41734" xr:uid="{00000000-0005-0000-0000-000080530000}"/>
    <cellStyle name="표준 5 2 3 4 2 2 2 4" xfId="2377" xr:uid="{00000000-0005-0000-0000-000081530000}"/>
    <cellStyle name="표준 5 2 3 4 2 2 2 4 2" xfId="11280" xr:uid="{00000000-0005-0000-0000-000082530000}"/>
    <cellStyle name="표준 5 2 3 4 2 2 2 4 2 2" xfId="15392" xr:uid="{00000000-0005-0000-0000-000083530000}"/>
    <cellStyle name="표준 5 2 3 4 2 2 2 4 2 2 2" xfId="31986" xr:uid="{00000000-0005-0000-0000-000084530000}"/>
    <cellStyle name="표준 5 2 3 4 2 2 2 4 2 2 3" xfId="40197" xr:uid="{00000000-0005-0000-0000-000085530000}"/>
    <cellStyle name="표준 5 2 3 4 2 2 2 4 2 2 4" xfId="48390" xr:uid="{00000000-0005-0000-0000-000086530000}"/>
    <cellStyle name="표준 5 2 3 4 2 2 2 4 2 3" xfId="19632" xr:uid="{00000000-0005-0000-0000-000087530000}"/>
    <cellStyle name="표준 5 2 3 4 2 2 2 4 2 4" xfId="23794" xr:uid="{00000000-0005-0000-0000-000088530000}"/>
    <cellStyle name="표준 5 2 3 4 2 2 2 4 2 5" xfId="27890" xr:uid="{00000000-0005-0000-0000-000089530000}"/>
    <cellStyle name="표준 5 2 3 4 2 2 2 4 2 6" xfId="36101" xr:uid="{00000000-0005-0000-0000-00008A530000}"/>
    <cellStyle name="표준 5 2 3 4 2 2 2 4 2 7" xfId="44294" xr:uid="{00000000-0005-0000-0000-00008B530000}"/>
    <cellStyle name="표준 5 2 3 4 2 2 2 4 3" xfId="9232" xr:uid="{00000000-0005-0000-0000-00008C530000}"/>
    <cellStyle name="표준 5 2 3 4 2 2 2 4 3 2" xfId="29938" xr:uid="{00000000-0005-0000-0000-00008D530000}"/>
    <cellStyle name="표준 5 2 3 4 2 2 2 4 3 3" xfId="38149" xr:uid="{00000000-0005-0000-0000-00008E530000}"/>
    <cellStyle name="표준 5 2 3 4 2 2 2 4 3 4" xfId="46342" xr:uid="{00000000-0005-0000-0000-00008F530000}"/>
    <cellStyle name="표준 5 2 3 4 2 2 2 4 4" xfId="13344" xr:uid="{00000000-0005-0000-0000-000090530000}"/>
    <cellStyle name="표준 5 2 3 4 2 2 2 4 5" xfId="17584" xr:uid="{00000000-0005-0000-0000-000091530000}"/>
    <cellStyle name="표준 5 2 3 4 2 2 2 4 6" xfId="21746" xr:uid="{00000000-0005-0000-0000-000092530000}"/>
    <cellStyle name="표준 5 2 3 4 2 2 2 4 7" xfId="25842" xr:uid="{00000000-0005-0000-0000-000093530000}"/>
    <cellStyle name="표준 5 2 3 4 2 2 2 4 8" xfId="34053" xr:uid="{00000000-0005-0000-0000-000094530000}"/>
    <cellStyle name="표준 5 2 3 4 2 2 2 4 9" xfId="42246" xr:uid="{00000000-0005-0000-0000-000095530000}"/>
    <cellStyle name="표준 5 2 3 4 2 2 2 5" xfId="9744" xr:uid="{00000000-0005-0000-0000-000096530000}"/>
    <cellStyle name="표준 5 2 3 4 2 2 2 5 2" xfId="13856" xr:uid="{00000000-0005-0000-0000-000097530000}"/>
    <cellStyle name="표준 5 2 3 4 2 2 2 5 2 2" xfId="30450" xr:uid="{00000000-0005-0000-0000-000098530000}"/>
    <cellStyle name="표준 5 2 3 4 2 2 2 5 2 3" xfId="38661" xr:uid="{00000000-0005-0000-0000-000099530000}"/>
    <cellStyle name="표준 5 2 3 4 2 2 2 5 2 4" xfId="46854" xr:uid="{00000000-0005-0000-0000-00009A530000}"/>
    <cellStyle name="표준 5 2 3 4 2 2 2 5 3" xfId="18096" xr:uid="{00000000-0005-0000-0000-00009B530000}"/>
    <cellStyle name="표준 5 2 3 4 2 2 2 5 4" xfId="22258" xr:uid="{00000000-0005-0000-0000-00009C530000}"/>
    <cellStyle name="표준 5 2 3 4 2 2 2 5 5" xfId="26354" xr:uid="{00000000-0005-0000-0000-00009D530000}"/>
    <cellStyle name="표준 5 2 3 4 2 2 2 5 6" xfId="34565" xr:uid="{00000000-0005-0000-0000-00009E530000}"/>
    <cellStyle name="표준 5 2 3 4 2 2 2 5 7" xfId="42758" xr:uid="{00000000-0005-0000-0000-00009F530000}"/>
    <cellStyle name="표준 5 2 3 4 2 2 2 6" xfId="7696" xr:uid="{00000000-0005-0000-0000-0000A0530000}"/>
    <cellStyle name="표준 5 2 3 4 2 2 2 6 2" xfId="28402" xr:uid="{00000000-0005-0000-0000-0000A1530000}"/>
    <cellStyle name="표준 5 2 3 4 2 2 2 6 3" xfId="36613" xr:uid="{00000000-0005-0000-0000-0000A2530000}"/>
    <cellStyle name="표준 5 2 3 4 2 2 2 6 4" xfId="44806" xr:uid="{00000000-0005-0000-0000-0000A3530000}"/>
    <cellStyle name="표준 5 2 3 4 2 2 2 7" xfId="11808" xr:uid="{00000000-0005-0000-0000-0000A4530000}"/>
    <cellStyle name="표준 5 2 3 4 2 2 2 8" xfId="16048" xr:uid="{00000000-0005-0000-0000-0000A5530000}"/>
    <cellStyle name="표준 5 2 3 4 2 2 2 9" xfId="20210" xr:uid="{00000000-0005-0000-0000-0000A6530000}"/>
    <cellStyle name="표준 5 2 3 4 2 2 3" xfId="1097" xr:uid="{00000000-0005-0000-0000-0000A7530000}"/>
    <cellStyle name="표준 5 2 3 4 2 2 3 2" xfId="10000" xr:uid="{00000000-0005-0000-0000-0000A8530000}"/>
    <cellStyle name="표준 5 2 3 4 2 2 3 2 2" xfId="14112" xr:uid="{00000000-0005-0000-0000-0000A9530000}"/>
    <cellStyle name="표준 5 2 3 4 2 2 3 2 2 2" xfId="30706" xr:uid="{00000000-0005-0000-0000-0000AA530000}"/>
    <cellStyle name="표준 5 2 3 4 2 2 3 2 2 3" xfId="38917" xr:uid="{00000000-0005-0000-0000-0000AB530000}"/>
    <cellStyle name="표준 5 2 3 4 2 2 3 2 2 4" xfId="47110" xr:uid="{00000000-0005-0000-0000-0000AC530000}"/>
    <cellStyle name="표준 5 2 3 4 2 2 3 2 3" xfId="18352" xr:uid="{00000000-0005-0000-0000-0000AD530000}"/>
    <cellStyle name="표준 5 2 3 4 2 2 3 2 4" xfId="22514" xr:uid="{00000000-0005-0000-0000-0000AE530000}"/>
    <cellStyle name="표준 5 2 3 4 2 2 3 2 5" xfId="26610" xr:uid="{00000000-0005-0000-0000-0000AF530000}"/>
    <cellStyle name="표준 5 2 3 4 2 2 3 2 6" xfId="34821" xr:uid="{00000000-0005-0000-0000-0000B0530000}"/>
    <cellStyle name="표준 5 2 3 4 2 2 3 2 7" xfId="43014" xr:uid="{00000000-0005-0000-0000-0000B1530000}"/>
    <cellStyle name="표준 5 2 3 4 2 2 3 3" xfId="7952" xr:uid="{00000000-0005-0000-0000-0000B2530000}"/>
    <cellStyle name="표준 5 2 3 4 2 2 3 3 2" xfId="28658" xr:uid="{00000000-0005-0000-0000-0000B3530000}"/>
    <cellStyle name="표준 5 2 3 4 2 2 3 3 3" xfId="36869" xr:uid="{00000000-0005-0000-0000-0000B4530000}"/>
    <cellStyle name="표준 5 2 3 4 2 2 3 3 4" xfId="45062" xr:uid="{00000000-0005-0000-0000-0000B5530000}"/>
    <cellStyle name="표준 5 2 3 4 2 2 3 4" xfId="12064" xr:uid="{00000000-0005-0000-0000-0000B6530000}"/>
    <cellStyle name="표준 5 2 3 4 2 2 3 5" xfId="16304" xr:uid="{00000000-0005-0000-0000-0000B7530000}"/>
    <cellStyle name="표준 5 2 3 4 2 2 3 6" xfId="20466" xr:uid="{00000000-0005-0000-0000-0000B8530000}"/>
    <cellStyle name="표준 5 2 3 4 2 2 3 7" xfId="24562" xr:uid="{00000000-0005-0000-0000-0000B9530000}"/>
    <cellStyle name="표준 5 2 3 4 2 2 3 8" xfId="32773" xr:uid="{00000000-0005-0000-0000-0000BA530000}"/>
    <cellStyle name="표준 5 2 3 4 2 2 3 9" xfId="40966" xr:uid="{00000000-0005-0000-0000-0000BB530000}"/>
    <cellStyle name="표준 5 2 3 4 2 2 4" xfId="1609" xr:uid="{00000000-0005-0000-0000-0000BC530000}"/>
    <cellStyle name="표준 5 2 3 4 2 2 4 2" xfId="10512" xr:uid="{00000000-0005-0000-0000-0000BD530000}"/>
    <cellStyle name="표준 5 2 3 4 2 2 4 2 2" xfId="14624" xr:uid="{00000000-0005-0000-0000-0000BE530000}"/>
    <cellStyle name="표준 5 2 3 4 2 2 4 2 2 2" xfId="31218" xr:uid="{00000000-0005-0000-0000-0000BF530000}"/>
    <cellStyle name="표준 5 2 3 4 2 2 4 2 2 3" xfId="39429" xr:uid="{00000000-0005-0000-0000-0000C0530000}"/>
    <cellStyle name="표준 5 2 3 4 2 2 4 2 2 4" xfId="47622" xr:uid="{00000000-0005-0000-0000-0000C1530000}"/>
    <cellStyle name="표준 5 2 3 4 2 2 4 2 3" xfId="18864" xr:uid="{00000000-0005-0000-0000-0000C2530000}"/>
    <cellStyle name="표준 5 2 3 4 2 2 4 2 4" xfId="23026" xr:uid="{00000000-0005-0000-0000-0000C3530000}"/>
    <cellStyle name="표준 5 2 3 4 2 2 4 2 5" xfId="27122" xr:uid="{00000000-0005-0000-0000-0000C4530000}"/>
    <cellStyle name="표준 5 2 3 4 2 2 4 2 6" xfId="35333" xr:uid="{00000000-0005-0000-0000-0000C5530000}"/>
    <cellStyle name="표준 5 2 3 4 2 2 4 2 7" xfId="43526" xr:uid="{00000000-0005-0000-0000-0000C6530000}"/>
    <cellStyle name="표준 5 2 3 4 2 2 4 3" xfId="8464" xr:uid="{00000000-0005-0000-0000-0000C7530000}"/>
    <cellStyle name="표준 5 2 3 4 2 2 4 3 2" xfId="29170" xr:uid="{00000000-0005-0000-0000-0000C8530000}"/>
    <cellStyle name="표준 5 2 3 4 2 2 4 3 3" xfId="37381" xr:uid="{00000000-0005-0000-0000-0000C9530000}"/>
    <cellStyle name="표준 5 2 3 4 2 2 4 3 4" xfId="45574" xr:uid="{00000000-0005-0000-0000-0000CA530000}"/>
    <cellStyle name="표준 5 2 3 4 2 2 4 4" xfId="12576" xr:uid="{00000000-0005-0000-0000-0000CB530000}"/>
    <cellStyle name="표준 5 2 3 4 2 2 4 5" xfId="16816" xr:uid="{00000000-0005-0000-0000-0000CC530000}"/>
    <cellStyle name="표준 5 2 3 4 2 2 4 6" xfId="20978" xr:uid="{00000000-0005-0000-0000-0000CD530000}"/>
    <cellStyle name="표준 5 2 3 4 2 2 4 7" xfId="25074" xr:uid="{00000000-0005-0000-0000-0000CE530000}"/>
    <cellStyle name="표준 5 2 3 4 2 2 4 8" xfId="33285" xr:uid="{00000000-0005-0000-0000-0000CF530000}"/>
    <cellStyle name="표준 5 2 3 4 2 2 4 9" xfId="41478" xr:uid="{00000000-0005-0000-0000-0000D0530000}"/>
    <cellStyle name="표준 5 2 3 4 2 2 5" xfId="2121" xr:uid="{00000000-0005-0000-0000-0000D1530000}"/>
    <cellStyle name="표준 5 2 3 4 2 2 5 2" xfId="11024" xr:uid="{00000000-0005-0000-0000-0000D2530000}"/>
    <cellStyle name="표준 5 2 3 4 2 2 5 2 2" xfId="15136" xr:uid="{00000000-0005-0000-0000-0000D3530000}"/>
    <cellStyle name="표준 5 2 3 4 2 2 5 2 2 2" xfId="31730" xr:uid="{00000000-0005-0000-0000-0000D4530000}"/>
    <cellStyle name="표준 5 2 3 4 2 2 5 2 2 3" xfId="39941" xr:uid="{00000000-0005-0000-0000-0000D5530000}"/>
    <cellStyle name="표준 5 2 3 4 2 2 5 2 2 4" xfId="48134" xr:uid="{00000000-0005-0000-0000-0000D6530000}"/>
    <cellStyle name="표준 5 2 3 4 2 2 5 2 3" xfId="19376" xr:uid="{00000000-0005-0000-0000-0000D7530000}"/>
    <cellStyle name="표준 5 2 3 4 2 2 5 2 4" xfId="23538" xr:uid="{00000000-0005-0000-0000-0000D8530000}"/>
    <cellStyle name="표준 5 2 3 4 2 2 5 2 5" xfId="27634" xr:uid="{00000000-0005-0000-0000-0000D9530000}"/>
    <cellStyle name="표준 5 2 3 4 2 2 5 2 6" xfId="35845" xr:uid="{00000000-0005-0000-0000-0000DA530000}"/>
    <cellStyle name="표준 5 2 3 4 2 2 5 2 7" xfId="44038" xr:uid="{00000000-0005-0000-0000-0000DB530000}"/>
    <cellStyle name="표준 5 2 3 4 2 2 5 3" xfId="8976" xr:uid="{00000000-0005-0000-0000-0000DC530000}"/>
    <cellStyle name="표준 5 2 3 4 2 2 5 3 2" xfId="29682" xr:uid="{00000000-0005-0000-0000-0000DD530000}"/>
    <cellStyle name="표준 5 2 3 4 2 2 5 3 3" xfId="37893" xr:uid="{00000000-0005-0000-0000-0000DE530000}"/>
    <cellStyle name="표준 5 2 3 4 2 2 5 3 4" xfId="46086" xr:uid="{00000000-0005-0000-0000-0000DF530000}"/>
    <cellStyle name="표준 5 2 3 4 2 2 5 4" xfId="13088" xr:uid="{00000000-0005-0000-0000-0000E0530000}"/>
    <cellStyle name="표준 5 2 3 4 2 2 5 5" xfId="17328" xr:uid="{00000000-0005-0000-0000-0000E1530000}"/>
    <cellStyle name="표준 5 2 3 4 2 2 5 6" xfId="21490" xr:uid="{00000000-0005-0000-0000-0000E2530000}"/>
    <cellStyle name="표준 5 2 3 4 2 2 5 7" xfId="25586" xr:uid="{00000000-0005-0000-0000-0000E3530000}"/>
    <cellStyle name="표준 5 2 3 4 2 2 5 8" xfId="33797" xr:uid="{00000000-0005-0000-0000-0000E4530000}"/>
    <cellStyle name="표준 5 2 3 4 2 2 5 9" xfId="41990" xr:uid="{00000000-0005-0000-0000-0000E5530000}"/>
    <cellStyle name="표준 5 2 3 4 2 2 6" xfId="9488" xr:uid="{00000000-0005-0000-0000-0000E6530000}"/>
    <cellStyle name="표준 5 2 3 4 2 2 6 2" xfId="13600" xr:uid="{00000000-0005-0000-0000-0000E7530000}"/>
    <cellStyle name="표준 5 2 3 4 2 2 6 2 2" xfId="30194" xr:uid="{00000000-0005-0000-0000-0000E8530000}"/>
    <cellStyle name="표준 5 2 3 4 2 2 6 2 3" xfId="38405" xr:uid="{00000000-0005-0000-0000-0000E9530000}"/>
    <cellStyle name="표준 5 2 3 4 2 2 6 2 4" xfId="46598" xr:uid="{00000000-0005-0000-0000-0000EA530000}"/>
    <cellStyle name="표준 5 2 3 4 2 2 6 3" xfId="17840" xr:uid="{00000000-0005-0000-0000-0000EB530000}"/>
    <cellStyle name="표준 5 2 3 4 2 2 6 4" xfId="22002" xr:uid="{00000000-0005-0000-0000-0000EC530000}"/>
    <cellStyle name="표준 5 2 3 4 2 2 6 5" xfId="26098" xr:uid="{00000000-0005-0000-0000-0000ED530000}"/>
    <cellStyle name="표준 5 2 3 4 2 2 6 6" xfId="34309" xr:uid="{00000000-0005-0000-0000-0000EE530000}"/>
    <cellStyle name="표준 5 2 3 4 2 2 6 7" xfId="42502" xr:uid="{00000000-0005-0000-0000-0000EF530000}"/>
    <cellStyle name="표준 5 2 3 4 2 2 7" xfId="7440" xr:uid="{00000000-0005-0000-0000-0000F0530000}"/>
    <cellStyle name="표준 5 2 3 4 2 2 7 2" xfId="28146" xr:uid="{00000000-0005-0000-0000-0000F1530000}"/>
    <cellStyle name="표준 5 2 3 4 2 2 7 3" xfId="36357" xr:uid="{00000000-0005-0000-0000-0000F2530000}"/>
    <cellStyle name="표준 5 2 3 4 2 2 7 4" xfId="44550" xr:uid="{00000000-0005-0000-0000-0000F3530000}"/>
    <cellStyle name="표준 5 2 3 4 2 2 8" xfId="11552" xr:uid="{00000000-0005-0000-0000-0000F4530000}"/>
    <cellStyle name="표준 5 2 3 4 2 2 9" xfId="15792" xr:uid="{00000000-0005-0000-0000-0000F5530000}"/>
    <cellStyle name="표준 5 2 3 4 2 3" xfId="713" xr:uid="{00000000-0005-0000-0000-0000F6530000}"/>
    <cellStyle name="표준 5 2 3 4 2 3 10" xfId="24178" xr:uid="{00000000-0005-0000-0000-0000F7530000}"/>
    <cellStyle name="표준 5 2 3 4 2 3 11" xfId="32389" xr:uid="{00000000-0005-0000-0000-0000F8530000}"/>
    <cellStyle name="표준 5 2 3 4 2 3 12" xfId="40582" xr:uid="{00000000-0005-0000-0000-0000F9530000}"/>
    <cellStyle name="표준 5 2 3 4 2 3 2" xfId="1225" xr:uid="{00000000-0005-0000-0000-0000FA530000}"/>
    <cellStyle name="표준 5 2 3 4 2 3 2 2" xfId="10128" xr:uid="{00000000-0005-0000-0000-0000FB530000}"/>
    <cellStyle name="표준 5 2 3 4 2 3 2 2 2" xfId="14240" xr:uid="{00000000-0005-0000-0000-0000FC530000}"/>
    <cellStyle name="표준 5 2 3 4 2 3 2 2 2 2" xfId="30834" xr:uid="{00000000-0005-0000-0000-0000FD530000}"/>
    <cellStyle name="표준 5 2 3 4 2 3 2 2 2 3" xfId="39045" xr:uid="{00000000-0005-0000-0000-0000FE530000}"/>
    <cellStyle name="표준 5 2 3 4 2 3 2 2 2 4" xfId="47238" xr:uid="{00000000-0005-0000-0000-0000FF530000}"/>
    <cellStyle name="표준 5 2 3 4 2 3 2 2 3" xfId="18480" xr:uid="{00000000-0005-0000-0000-000000540000}"/>
    <cellStyle name="표준 5 2 3 4 2 3 2 2 4" xfId="22642" xr:uid="{00000000-0005-0000-0000-000001540000}"/>
    <cellStyle name="표준 5 2 3 4 2 3 2 2 5" xfId="26738" xr:uid="{00000000-0005-0000-0000-000002540000}"/>
    <cellStyle name="표준 5 2 3 4 2 3 2 2 6" xfId="34949" xr:uid="{00000000-0005-0000-0000-000003540000}"/>
    <cellStyle name="표준 5 2 3 4 2 3 2 2 7" xfId="43142" xr:uid="{00000000-0005-0000-0000-000004540000}"/>
    <cellStyle name="표준 5 2 3 4 2 3 2 3" xfId="8080" xr:uid="{00000000-0005-0000-0000-000005540000}"/>
    <cellStyle name="표준 5 2 3 4 2 3 2 3 2" xfId="28786" xr:uid="{00000000-0005-0000-0000-000006540000}"/>
    <cellStyle name="표준 5 2 3 4 2 3 2 3 3" xfId="36997" xr:uid="{00000000-0005-0000-0000-000007540000}"/>
    <cellStyle name="표준 5 2 3 4 2 3 2 3 4" xfId="45190" xr:uid="{00000000-0005-0000-0000-000008540000}"/>
    <cellStyle name="표준 5 2 3 4 2 3 2 4" xfId="12192" xr:uid="{00000000-0005-0000-0000-000009540000}"/>
    <cellStyle name="표준 5 2 3 4 2 3 2 5" xfId="16432" xr:uid="{00000000-0005-0000-0000-00000A540000}"/>
    <cellStyle name="표준 5 2 3 4 2 3 2 6" xfId="20594" xr:uid="{00000000-0005-0000-0000-00000B540000}"/>
    <cellStyle name="표준 5 2 3 4 2 3 2 7" xfId="24690" xr:uid="{00000000-0005-0000-0000-00000C540000}"/>
    <cellStyle name="표준 5 2 3 4 2 3 2 8" xfId="32901" xr:uid="{00000000-0005-0000-0000-00000D540000}"/>
    <cellStyle name="표준 5 2 3 4 2 3 2 9" xfId="41094" xr:uid="{00000000-0005-0000-0000-00000E540000}"/>
    <cellStyle name="표준 5 2 3 4 2 3 3" xfId="1737" xr:uid="{00000000-0005-0000-0000-00000F540000}"/>
    <cellStyle name="표준 5 2 3 4 2 3 3 2" xfId="10640" xr:uid="{00000000-0005-0000-0000-000010540000}"/>
    <cellStyle name="표준 5 2 3 4 2 3 3 2 2" xfId="14752" xr:uid="{00000000-0005-0000-0000-000011540000}"/>
    <cellStyle name="표준 5 2 3 4 2 3 3 2 2 2" xfId="31346" xr:uid="{00000000-0005-0000-0000-000012540000}"/>
    <cellStyle name="표준 5 2 3 4 2 3 3 2 2 3" xfId="39557" xr:uid="{00000000-0005-0000-0000-000013540000}"/>
    <cellStyle name="표준 5 2 3 4 2 3 3 2 2 4" xfId="47750" xr:uid="{00000000-0005-0000-0000-000014540000}"/>
    <cellStyle name="표준 5 2 3 4 2 3 3 2 3" xfId="18992" xr:uid="{00000000-0005-0000-0000-000015540000}"/>
    <cellStyle name="표준 5 2 3 4 2 3 3 2 4" xfId="23154" xr:uid="{00000000-0005-0000-0000-000016540000}"/>
    <cellStyle name="표준 5 2 3 4 2 3 3 2 5" xfId="27250" xr:uid="{00000000-0005-0000-0000-000017540000}"/>
    <cellStyle name="표준 5 2 3 4 2 3 3 2 6" xfId="35461" xr:uid="{00000000-0005-0000-0000-000018540000}"/>
    <cellStyle name="표준 5 2 3 4 2 3 3 2 7" xfId="43654" xr:uid="{00000000-0005-0000-0000-000019540000}"/>
    <cellStyle name="표준 5 2 3 4 2 3 3 3" xfId="8592" xr:uid="{00000000-0005-0000-0000-00001A540000}"/>
    <cellStyle name="표준 5 2 3 4 2 3 3 3 2" xfId="29298" xr:uid="{00000000-0005-0000-0000-00001B540000}"/>
    <cellStyle name="표준 5 2 3 4 2 3 3 3 3" xfId="37509" xr:uid="{00000000-0005-0000-0000-00001C540000}"/>
    <cellStyle name="표준 5 2 3 4 2 3 3 3 4" xfId="45702" xr:uid="{00000000-0005-0000-0000-00001D540000}"/>
    <cellStyle name="표준 5 2 3 4 2 3 3 4" xfId="12704" xr:uid="{00000000-0005-0000-0000-00001E540000}"/>
    <cellStyle name="표준 5 2 3 4 2 3 3 5" xfId="16944" xr:uid="{00000000-0005-0000-0000-00001F540000}"/>
    <cellStyle name="표준 5 2 3 4 2 3 3 6" xfId="21106" xr:uid="{00000000-0005-0000-0000-000020540000}"/>
    <cellStyle name="표준 5 2 3 4 2 3 3 7" xfId="25202" xr:uid="{00000000-0005-0000-0000-000021540000}"/>
    <cellStyle name="표준 5 2 3 4 2 3 3 8" xfId="33413" xr:uid="{00000000-0005-0000-0000-000022540000}"/>
    <cellStyle name="표준 5 2 3 4 2 3 3 9" xfId="41606" xr:uid="{00000000-0005-0000-0000-000023540000}"/>
    <cellStyle name="표준 5 2 3 4 2 3 4" xfId="2249" xr:uid="{00000000-0005-0000-0000-000024540000}"/>
    <cellStyle name="표준 5 2 3 4 2 3 4 2" xfId="11152" xr:uid="{00000000-0005-0000-0000-000025540000}"/>
    <cellStyle name="표준 5 2 3 4 2 3 4 2 2" xfId="15264" xr:uid="{00000000-0005-0000-0000-000026540000}"/>
    <cellStyle name="표준 5 2 3 4 2 3 4 2 2 2" xfId="31858" xr:uid="{00000000-0005-0000-0000-000027540000}"/>
    <cellStyle name="표준 5 2 3 4 2 3 4 2 2 3" xfId="40069" xr:uid="{00000000-0005-0000-0000-000028540000}"/>
    <cellStyle name="표준 5 2 3 4 2 3 4 2 2 4" xfId="48262" xr:uid="{00000000-0005-0000-0000-000029540000}"/>
    <cellStyle name="표준 5 2 3 4 2 3 4 2 3" xfId="19504" xr:uid="{00000000-0005-0000-0000-00002A540000}"/>
    <cellStyle name="표준 5 2 3 4 2 3 4 2 4" xfId="23666" xr:uid="{00000000-0005-0000-0000-00002B540000}"/>
    <cellStyle name="표준 5 2 3 4 2 3 4 2 5" xfId="27762" xr:uid="{00000000-0005-0000-0000-00002C540000}"/>
    <cellStyle name="표준 5 2 3 4 2 3 4 2 6" xfId="35973" xr:uid="{00000000-0005-0000-0000-00002D540000}"/>
    <cellStyle name="표준 5 2 3 4 2 3 4 2 7" xfId="44166" xr:uid="{00000000-0005-0000-0000-00002E540000}"/>
    <cellStyle name="표준 5 2 3 4 2 3 4 3" xfId="9104" xr:uid="{00000000-0005-0000-0000-00002F540000}"/>
    <cellStyle name="표준 5 2 3 4 2 3 4 3 2" xfId="29810" xr:uid="{00000000-0005-0000-0000-000030540000}"/>
    <cellStyle name="표준 5 2 3 4 2 3 4 3 3" xfId="38021" xr:uid="{00000000-0005-0000-0000-000031540000}"/>
    <cellStyle name="표준 5 2 3 4 2 3 4 3 4" xfId="46214" xr:uid="{00000000-0005-0000-0000-000032540000}"/>
    <cellStyle name="표준 5 2 3 4 2 3 4 4" xfId="13216" xr:uid="{00000000-0005-0000-0000-000033540000}"/>
    <cellStyle name="표준 5 2 3 4 2 3 4 5" xfId="17456" xr:uid="{00000000-0005-0000-0000-000034540000}"/>
    <cellStyle name="표준 5 2 3 4 2 3 4 6" xfId="21618" xr:uid="{00000000-0005-0000-0000-000035540000}"/>
    <cellStyle name="표준 5 2 3 4 2 3 4 7" xfId="25714" xr:uid="{00000000-0005-0000-0000-000036540000}"/>
    <cellStyle name="표준 5 2 3 4 2 3 4 8" xfId="33925" xr:uid="{00000000-0005-0000-0000-000037540000}"/>
    <cellStyle name="표준 5 2 3 4 2 3 4 9" xfId="42118" xr:uid="{00000000-0005-0000-0000-000038540000}"/>
    <cellStyle name="표준 5 2 3 4 2 3 5" xfId="9616" xr:uid="{00000000-0005-0000-0000-000039540000}"/>
    <cellStyle name="표준 5 2 3 4 2 3 5 2" xfId="13728" xr:uid="{00000000-0005-0000-0000-00003A540000}"/>
    <cellStyle name="표준 5 2 3 4 2 3 5 2 2" xfId="30322" xr:uid="{00000000-0005-0000-0000-00003B540000}"/>
    <cellStyle name="표준 5 2 3 4 2 3 5 2 3" xfId="38533" xr:uid="{00000000-0005-0000-0000-00003C540000}"/>
    <cellStyle name="표준 5 2 3 4 2 3 5 2 4" xfId="46726" xr:uid="{00000000-0005-0000-0000-00003D540000}"/>
    <cellStyle name="표준 5 2 3 4 2 3 5 3" xfId="17968" xr:uid="{00000000-0005-0000-0000-00003E540000}"/>
    <cellStyle name="표준 5 2 3 4 2 3 5 4" xfId="22130" xr:uid="{00000000-0005-0000-0000-00003F540000}"/>
    <cellStyle name="표준 5 2 3 4 2 3 5 5" xfId="26226" xr:uid="{00000000-0005-0000-0000-000040540000}"/>
    <cellStyle name="표준 5 2 3 4 2 3 5 6" xfId="34437" xr:uid="{00000000-0005-0000-0000-000041540000}"/>
    <cellStyle name="표준 5 2 3 4 2 3 5 7" xfId="42630" xr:uid="{00000000-0005-0000-0000-000042540000}"/>
    <cellStyle name="표준 5 2 3 4 2 3 6" xfId="7568" xr:uid="{00000000-0005-0000-0000-000043540000}"/>
    <cellStyle name="표준 5 2 3 4 2 3 6 2" xfId="28274" xr:uid="{00000000-0005-0000-0000-000044540000}"/>
    <cellStyle name="표준 5 2 3 4 2 3 6 3" xfId="36485" xr:uid="{00000000-0005-0000-0000-000045540000}"/>
    <cellStyle name="표준 5 2 3 4 2 3 6 4" xfId="44678" xr:uid="{00000000-0005-0000-0000-000046540000}"/>
    <cellStyle name="표준 5 2 3 4 2 3 7" xfId="11680" xr:uid="{00000000-0005-0000-0000-000047540000}"/>
    <cellStyle name="표준 5 2 3 4 2 3 8" xfId="15920" xr:uid="{00000000-0005-0000-0000-000048540000}"/>
    <cellStyle name="표준 5 2 3 4 2 3 9" xfId="20082" xr:uid="{00000000-0005-0000-0000-000049540000}"/>
    <cellStyle name="표준 5 2 3 4 2 4" xfId="969" xr:uid="{00000000-0005-0000-0000-00004A540000}"/>
    <cellStyle name="표준 5 2 3 4 2 4 2" xfId="9872" xr:uid="{00000000-0005-0000-0000-00004B540000}"/>
    <cellStyle name="표준 5 2 3 4 2 4 2 2" xfId="13984" xr:uid="{00000000-0005-0000-0000-00004C540000}"/>
    <cellStyle name="표준 5 2 3 4 2 4 2 2 2" xfId="30578" xr:uid="{00000000-0005-0000-0000-00004D540000}"/>
    <cellStyle name="표준 5 2 3 4 2 4 2 2 3" xfId="38789" xr:uid="{00000000-0005-0000-0000-00004E540000}"/>
    <cellStyle name="표준 5 2 3 4 2 4 2 2 4" xfId="46982" xr:uid="{00000000-0005-0000-0000-00004F540000}"/>
    <cellStyle name="표준 5 2 3 4 2 4 2 3" xfId="18224" xr:uid="{00000000-0005-0000-0000-000050540000}"/>
    <cellStyle name="표준 5 2 3 4 2 4 2 4" xfId="22386" xr:uid="{00000000-0005-0000-0000-000051540000}"/>
    <cellStyle name="표준 5 2 3 4 2 4 2 5" xfId="26482" xr:uid="{00000000-0005-0000-0000-000052540000}"/>
    <cellStyle name="표준 5 2 3 4 2 4 2 6" xfId="34693" xr:uid="{00000000-0005-0000-0000-000053540000}"/>
    <cellStyle name="표준 5 2 3 4 2 4 2 7" xfId="42886" xr:uid="{00000000-0005-0000-0000-000054540000}"/>
    <cellStyle name="표준 5 2 3 4 2 4 3" xfId="7824" xr:uid="{00000000-0005-0000-0000-000055540000}"/>
    <cellStyle name="표준 5 2 3 4 2 4 3 2" xfId="28530" xr:uid="{00000000-0005-0000-0000-000056540000}"/>
    <cellStyle name="표준 5 2 3 4 2 4 3 3" xfId="36741" xr:uid="{00000000-0005-0000-0000-000057540000}"/>
    <cellStyle name="표준 5 2 3 4 2 4 3 4" xfId="44934" xr:uid="{00000000-0005-0000-0000-000058540000}"/>
    <cellStyle name="표준 5 2 3 4 2 4 4" xfId="11936" xr:uid="{00000000-0005-0000-0000-000059540000}"/>
    <cellStyle name="표준 5 2 3 4 2 4 5" xfId="16176" xr:uid="{00000000-0005-0000-0000-00005A540000}"/>
    <cellStyle name="표준 5 2 3 4 2 4 6" xfId="20338" xr:uid="{00000000-0005-0000-0000-00005B540000}"/>
    <cellStyle name="표준 5 2 3 4 2 4 7" xfId="24434" xr:uid="{00000000-0005-0000-0000-00005C540000}"/>
    <cellStyle name="표준 5 2 3 4 2 4 8" xfId="32645" xr:uid="{00000000-0005-0000-0000-00005D540000}"/>
    <cellStyle name="표준 5 2 3 4 2 4 9" xfId="40838" xr:uid="{00000000-0005-0000-0000-00005E540000}"/>
    <cellStyle name="표준 5 2 3 4 2 5" xfId="1481" xr:uid="{00000000-0005-0000-0000-00005F540000}"/>
    <cellStyle name="표준 5 2 3 4 2 5 2" xfId="10384" xr:uid="{00000000-0005-0000-0000-000060540000}"/>
    <cellStyle name="표준 5 2 3 4 2 5 2 2" xfId="14496" xr:uid="{00000000-0005-0000-0000-000061540000}"/>
    <cellStyle name="표준 5 2 3 4 2 5 2 2 2" xfId="31090" xr:uid="{00000000-0005-0000-0000-000062540000}"/>
    <cellStyle name="표준 5 2 3 4 2 5 2 2 3" xfId="39301" xr:uid="{00000000-0005-0000-0000-000063540000}"/>
    <cellStyle name="표준 5 2 3 4 2 5 2 2 4" xfId="47494" xr:uid="{00000000-0005-0000-0000-000064540000}"/>
    <cellStyle name="표준 5 2 3 4 2 5 2 3" xfId="18736" xr:uid="{00000000-0005-0000-0000-000065540000}"/>
    <cellStyle name="표준 5 2 3 4 2 5 2 4" xfId="22898" xr:uid="{00000000-0005-0000-0000-000066540000}"/>
    <cellStyle name="표준 5 2 3 4 2 5 2 5" xfId="26994" xr:uid="{00000000-0005-0000-0000-000067540000}"/>
    <cellStyle name="표준 5 2 3 4 2 5 2 6" xfId="35205" xr:uid="{00000000-0005-0000-0000-000068540000}"/>
    <cellStyle name="표준 5 2 3 4 2 5 2 7" xfId="43398" xr:uid="{00000000-0005-0000-0000-000069540000}"/>
    <cellStyle name="표준 5 2 3 4 2 5 3" xfId="8336" xr:uid="{00000000-0005-0000-0000-00006A540000}"/>
    <cellStyle name="표준 5 2 3 4 2 5 3 2" xfId="29042" xr:uid="{00000000-0005-0000-0000-00006B540000}"/>
    <cellStyle name="표준 5 2 3 4 2 5 3 3" xfId="37253" xr:uid="{00000000-0005-0000-0000-00006C540000}"/>
    <cellStyle name="표준 5 2 3 4 2 5 3 4" xfId="45446" xr:uid="{00000000-0005-0000-0000-00006D540000}"/>
    <cellStyle name="표준 5 2 3 4 2 5 4" xfId="12448" xr:uid="{00000000-0005-0000-0000-00006E540000}"/>
    <cellStyle name="표준 5 2 3 4 2 5 5" xfId="16688" xr:uid="{00000000-0005-0000-0000-00006F540000}"/>
    <cellStyle name="표준 5 2 3 4 2 5 6" xfId="20850" xr:uid="{00000000-0005-0000-0000-000070540000}"/>
    <cellStyle name="표준 5 2 3 4 2 5 7" xfId="24946" xr:uid="{00000000-0005-0000-0000-000071540000}"/>
    <cellStyle name="표준 5 2 3 4 2 5 8" xfId="33157" xr:uid="{00000000-0005-0000-0000-000072540000}"/>
    <cellStyle name="표준 5 2 3 4 2 5 9" xfId="41350" xr:uid="{00000000-0005-0000-0000-000073540000}"/>
    <cellStyle name="표준 5 2 3 4 2 6" xfId="1993" xr:uid="{00000000-0005-0000-0000-000074540000}"/>
    <cellStyle name="표준 5 2 3 4 2 6 2" xfId="10896" xr:uid="{00000000-0005-0000-0000-000075540000}"/>
    <cellStyle name="표준 5 2 3 4 2 6 2 2" xfId="15008" xr:uid="{00000000-0005-0000-0000-000076540000}"/>
    <cellStyle name="표준 5 2 3 4 2 6 2 2 2" xfId="31602" xr:uid="{00000000-0005-0000-0000-000077540000}"/>
    <cellStyle name="표준 5 2 3 4 2 6 2 2 3" xfId="39813" xr:uid="{00000000-0005-0000-0000-000078540000}"/>
    <cellStyle name="표준 5 2 3 4 2 6 2 2 4" xfId="48006" xr:uid="{00000000-0005-0000-0000-000079540000}"/>
    <cellStyle name="표준 5 2 3 4 2 6 2 3" xfId="19248" xr:uid="{00000000-0005-0000-0000-00007A540000}"/>
    <cellStyle name="표준 5 2 3 4 2 6 2 4" xfId="23410" xr:uid="{00000000-0005-0000-0000-00007B540000}"/>
    <cellStyle name="표준 5 2 3 4 2 6 2 5" xfId="27506" xr:uid="{00000000-0005-0000-0000-00007C540000}"/>
    <cellStyle name="표준 5 2 3 4 2 6 2 6" xfId="35717" xr:uid="{00000000-0005-0000-0000-00007D540000}"/>
    <cellStyle name="표준 5 2 3 4 2 6 2 7" xfId="43910" xr:uid="{00000000-0005-0000-0000-00007E540000}"/>
    <cellStyle name="표준 5 2 3 4 2 6 3" xfId="8848" xr:uid="{00000000-0005-0000-0000-00007F540000}"/>
    <cellStyle name="표준 5 2 3 4 2 6 3 2" xfId="29554" xr:uid="{00000000-0005-0000-0000-000080540000}"/>
    <cellStyle name="표준 5 2 3 4 2 6 3 3" xfId="37765" xr:uid="{00000000-0005-0000-0000-000081540000}"/>
    <cellStyle name="표준 5 2 3 4 2 6 3 4" xfId="45958" xr:uid="{00000000-0005-0000-0000-000082540000}"/>
    <cellStyle name="표준 5 2 3 4 2 6 4" xfId="12960" xr:uid="{00000000-0005-0000-0000-000083540000}"/>
    <cellStyle name="표준 5 2 3 4 2 6 5" xfId="17200" xr:uid="{00000000-0005-0000-0000-000084540000}"/>
    <cellStyle name="표준 5 2 3 4 2 6 6" xfId="21362" xr:uid="{00000000-0005-0000-0000-000085540000}"/>
    <cellStyle name="표준 5 2 3 4 2 6 7" xfId="25458" xr:uid="{00000000-0005-0000-0000-000086540000}"/>
    <cellStyle name="표준 5 2 3 4 2 6 8" xfId="33669" xr:uid="{00000000-0005-0000-0000-000087540000}"/>
    <cellStyle name="표준 5 2 3 4 2 6 9" xfId="41862" xr:uid="{00000000-0005-0000-0000-000088540000}"/>
    <cellStyle name="표준 5 2 3 4 2 7" xfId="7053" xr:uid="{00000000-0005-0000-0000-000089540000}"/>
    <cellStyle name="표준 5 2 3 4 2 7 2" xfId="9360" xr:uid="{00000000-0005-0000-0000-00008A540000}"/>
    <cellStyle name="표준 5 2 3 4 2 7 2 2" xfId="30066" xr:uid="{00000000-0005-0000-0000-00008B540000}"/>
    <cellStyle name="표준 5 2 3 4 2 7 2 3" xfId="38277" xr:uid="{00000000-0005-0000-0000-00008C540000}"/>
    <cellStyle name="표준 5 2 3 4 2 7 2 4" xfId="46470" xr:uid="{00000000-0005-0000-0000-00008D540000}"/>
    <cellStyle name="표준 5 2 3 4 2 7 3" xfId="13472" xr:uid="{00000000-0005-0000-0000-00008E540000}"/>
    <cellStyle name="표준 5 2 3 4 2 7 4" xfId="17712" xr:uid="{00000000-0005-0000-0000-00008F540000}"/>
    <cellStyle name="표준 5 2 3 4 2 7 5" xfId="21874" xr:uid="{00000000-0005-0000-0000-000090540000}"/>
    <cellStyle name="표준 5 2 3 4 2 7 6" xfId="25970" xr:uid="{00000000-0005-0000-0000-000091540000}"/>
    <cellStyle name="표준 5 2 3 4 2 7 7" xfId="34181" xr:uid="{00000000-0005-0000-0000-000092540000}"/>
    <cellStyle name="표준 5 2 3 4 2 7 8" xfId="42374" xr:uid="{00000000-0005-0000-0000-000093540000}"/>
    <cellStyle name="표준 5 2 3 4 2 8" xfId="7125" xr:uid="{00000000-0005-0000-0000-000094540000}"/>
    <cellStyle name="표준 5 2 3 4 2 8 2" xfId="28018" xr:uid="{00000000-0005-0000-0000-000095540000}"/>
    <cellStyle name="표준 5 2 3 4 2 8 3" xfId="36229" xr:uid="{00000000-0005-0000-0000-000096540000}"/>
    <cellStyle name="표준 5 2 3 4 2 8 4" xfId="44422" xr:uid="{00000000-0005-0000-0000-000097540000}"/>
    <cellStyle name="표준 5 2 3 4 2 9" xfId="7312" xr:uid="{00000000-0005-0000-0000-000098540000}"/>
    <cellStyle name="표준 5 2 3 4 3" xfId="521" xr:uid="{00000000-0005-0000-0000-000099540000}"/>
    <cellStyle name="표준 5 2 3 4 3 10" xfId="19890" xr:uid="{00000000-0005-0000-0000-00009A540000}"/>
    <cellStyle name="표준 5 2 3 4 3 11" xfId="23986" xr:uid="{00000000-0005-0000-0000-00009B540000}"/>
    <cellStyle name="표준 5 2 3 4 3 12" xfId="32197" xr:uid="{00000000-0005-0000-0000-00009C540000}"/>
    <cellStyle name="표준 5 2 3 4 3 13" xfId="40390" xr:uid="{00000000-0005-0000-0000-00009D540000}"/>
    <cellStyle name="표준 5 2 3 4 3 2" xfId="777" xr:uid="{00000000-0005-0000-0000-00009E540000}"/>
    <cellStyle name="표준 5 2 3 4 3 2 10" xfId="24242" xr:uid="{00000000-0005-0000-0000-00009F540000}"/>
    <cellStyle name="표준 5 2 3 4 3 2 11" xfId="32453" xr:uid="{00000000-0005-0000-0000-0000A0540000}"/>
    <cellStyle name="표준 5 2 3 4 3 2 12" xfId="40646" xr:uid="{00000000-0005-0000-0000-0000A1540000}"/>
    <cellStyle name="표준 5 2 3 4 3 2 2" xfId="1289" xr:uid="{00000000-0005-0000-0000-0000A2540000}"/>
    <cellStyle name="표준 5 2 3 4 3 2 2 2" xfId="10192" xr:uid="{00000000-0005-0000-0000-0000A3540000}"/>
    <cellStyle name="표준 5 2 3 4 3 2 2 2 2" xfId="14304" xr:uid="{00000000-0005-0000-0000-0000A4540000}"/>
    <cellStyle name="표준 5 2 3 4 3 2 2 2 2 2" xfId="30898" xr:uid="{00000000-0005-0000-0000-0000A5540000}"/>
    <cellStyle name="표준 5 2 3 4 3 2 2 2 2 3" xfId="39109" xr:uid="{00000000-0005-0000-0000-0000A6540000}"/>
    <cellStyle name="표준 5 2 3 4 3 2 2 2 2 4" xfId="47302" xr:uid="{00000000-0005-0000-0000-0000A7540000}"/>
    <cellStyle name="표준 5 2 3 4 3 2 2 2 3" xfId="18544" xr:uid="{00000000-0005-0000-0000-0000A8540000}"/>
    <cellStyle name="표준 5 2 3 4 3 2 2 2 4" xfId="22706" xr:uid="{00000000-0005-0000-0000-0000A9540000}"/>
    <cellStyle name="표준 5 2 3 4 3 2 2 2 5" xfId="26802" xr:uid="{00000000-0005-0000-0000-0000AA540000}"/>
    <cellStyle name="표준 5 2 3 4 3 2 2 2 6" xfId="35013" xr:uid="{00000000-0005-0000-0000-0000AB540000}"/>
    <cellStyle name="표준 5 2 3 4 3 2 2 2 7" xfId="43206" xr:uid="{00000000-0005-0000-0000-0000AC540000}"/>
    <cellStyle name="표준 5 2 3 4 3 2 2 3" xfId="8144" xr:uid="{00000000-0005-0000-0000-0000AD540000}"/>
    <cellStyle name="표준 5 2 3 4 3 2 2 3 2" xfId="28850" xr:uid="{00000000-0005-0000-0000-0000AE540000}"/>
    <cellStyle name="표준 5 2 3 4 3 2 2 3 3" xfId="37061" xr:uid="{00000000-0005-0000-0000-0000AF540000}"/>
    <cellStyle name="표준 5 2 3 4 3 2 2 3 4" xfId="45254" xr:uid="{00000000-0005-0000-0000-0000B0540000}"/>
    <cellStyle name="표준 5 2 3 4 3 2 2 4" xfId="12256" xr:uid="{00000000-0005-0000-0000-0000B1540000}"/>
    <cellStyle name="표준 5 2 3 4 3 2 2 5" xfId="16496" xr:uid="{00000000-0005-0000-0000-0000B2540000}"/>
    <cellStyle name="표준 5 2 3 4 3 2 2 6" xfId="20658" xr:uid="{00000000-0005-0000-0000-0000B3540000}"/>
    <cellStyle name="표준 5 2 3 4 3 2 2 7" xfId="24754" xr:uid="{00000000-0005-0000-0000-0000B4540000}"/>
    <cellStyle name="표준 5 2 3 4 3 2 2 8" xfId="32965" xr:uid="{00000000-0005-0000-0000-0000B5540000}"/>
    <cellStyle name="표준 5 2 3 4 3 2 2 9" xfId="41158" xr:uid="{00000000-0005-0000-0000-0000B6540000}"/>
    <cellStyle name="표준 5 2 3 4 3 2 3" xfId="1801" xr:uid="{00000000-0005-0000-0000-0000B7540000}"/>
    <cellStyle name="표준 5 2 3 4 3 2 3 2" xfId="10704" xr:uid="{00000000-0005-0000-0000-0000B8540000}"/>
    <cellStyle name="표준 5 2 3 4 3 2 3 2 2" xfId="14816" xr:uid="{00000000-0005-0000-0000-0000B9540000}"/>
    <cellStyle name="표준 5 2 3 4 3 2 3 2 2 2" xfId="31410" xr:uid="{00000000-0005-0000-0000-0000BA540000}"/>
    <cellStyle name="표준 5 2 3 4 3 2 3 2 2 3" xfId="39621" xr:uid="{00000000-0005-0000-0000-0000BB540000}"/>
    <cellStyle name="표준 5 2 3 4 3 2 3 2 2 4" xfId="47814" xr:uid="{00000000-0005-0000-0000-0000BC540000}"/>
    <cellStyle name="표준 5 2 3 4 3 2 3 2 3" xfId="19056" xr:uid="{00000000-0005-0000-0000-0000BD540000}"/>
    <cellStyle name="표준 5 2 3 4 3 2 3 2 4" xfId="23218" xr:uid="{00000000-0005-0000-0000-0000BE540000}"/>
    <cellStyle name="표준 5 2 3 4 3 2 3 2 5" xfId="27314" xr:uid="{00000000-0005-0000-0000-0000BF540000}"/>
    <cellStyle name="표준 5 2 3 4 3 2 3 2 6" xfId="35525" xr:uid="{00000000-0005-0000-0000-0000C0540000}"/>
    <cellStyle name="표준 5 2 3 4 3 2 3 2 7" xfId="43718" xr:uid="{00000000-0005-0000-0000-0000C1540000}"/>
    <cellStyle name="표준 5 2 3 4 3 2 3 3" xfId="8656" xr:uid="{00000000-0005-0000-0000-0000C2540000}"/>
    <cellStyle name="표준 5 2 3 4 3 2 3 3 2" xfId="29362" xr:uid="{00000000-0005-0000-0000-0000C3540000}"/>
    <cellStyle name="표준 5 2 3 4 3 2 3 3 3" xfId="37573" xr:uid="{00000000-0005-0000-0000-0000C4540000}"/>
    <cellStyle name="표준 5 2 3 4 3 2 3 3 4" xfId="45766" xr:uid="{00000000-0005-0000-0000-0000C5540000}"/>
    <cellStyle name="표준 5 2 3 4 3 2 3 4" xfId="12768" xr:uid="{00000000-0005-0000-0000-0000C6540000}"/>
    <cellStyle name="표준 5 2 3 4 3 2 3 5" xfId="17008" xr:uid="{00000000-0005-0000-0000-0000C7540000}"/>
    <cellStyle name="표준 5 2 3 4 3 2 3 6" xfId="21170" xr:uid="{00000000-0005-0000-0000-0000C8540000}"/>
    <cellStyle name="표준 5 2 3 4 3 2 3 7" xfId="25266" xr:uid="{00000000-0005-0000-0000-0000C9540000}"/>
    <cellStyle name="표준 5 2 3 4 3 2 3 8" xfId="33477" xr:uid="{00000000-0005-0000-0000-0000CA540000}"/>
    <cellStyle name="표준 5 2 3 4 3 2 3 9" xfId="41670" xr:uid="{00000000-0005-0000-0000-0000CB540000}"/>
    <cellStyle name="표준 5 2 3 4 3 2 4" xfId="2313" xr:uid="{00000000-0005-0000-0000-0000CC540000}"/>
    <cellStyle name="표준 5 2 3 4 3 2 4 2" xfId="11216" xr:uid="{00000000-0005-0000-0000-0000CD540000}"/>
    <cellStyle name="표준 5 2 3 4 3 2 4 2 2" xfId="15328" xr:uid="{00000000-0005-0000-0000-0000CE540000}"/>
    <cellStyle name="표준 5 2 3 4 3 2 4 2 2 2" xfId="31922" xr:uid="{00000000-0005-0000-0000-0000CF540000}"/>
    <cellStyle name="표준 5 2 3 4 3 2 4 2 2 3" xfId="40133" xr:uid="{00000000-0005-0000-0000-0000D0540000}"/>
    <cellStyle name="표준 5 2 3 4 3 2 4 2 2 4" xfId="48326" xr:uid="{00000000-0005-0000-0000-0000D1540000}"/>
    <cellStyle name="표준 5 2 3 4 3 2 4 2 3" xfId="19568" xr:uid="{00000000-0005-0000-0000-0000D2540000}"/>
    <cellStyle name="표준 5 2 3 4 3 2 4 2 4" xfId="23730" xr:uid="{00000000-0005-0000-0000-0000D3540000}"/>
    <cellStyle name="표준 5 2 3 4 3 2 4 2 5" xfId="27826" xr:uid="{00000000-0005-0000-0000-0000D4540000}"/>
    <cellStyle name="표준 5 2 3 4 3 2 4 2 6" xfId="36037" xr:uid="{00000000-0005-0000-0000-0000D5540000}"/>
    <cellStyle name="표준 5 2 3 4 3 2 4 2 7" xfId="44230" xr:uid="{00000000-0005-0000-0000-0000D6540000}"/>
    <cellStyle name="표준 5 2 3 4 3 2 4 3" xfId="9168" xr:uid="{00000000-0005-0000-0000-0000D7540000}"/>
    <cellStyle name="표준 5 2 3 4 3 2 4 3 2" xfId="29874" xr:uid="{00000000-0005-0000-0000-0000D8540000}"/>
    <cellStyle name="표준 5 2 3 4 3 2 4 3 3" xfId="38085" xr:uid="{00000000-0005-0000-0000-0000D9540000}"/>
    <cellStyle name="표준 5 2 3 4 3 2 4 3 4" xfId="46278" xr:uid="{00000000-0005-0000-0000-0000DA540000}"/>
    <cellStyle name="표준 5 2 3 4 3 2 4 4" xfId="13280" xr:uid="{00000000-0005-0000-0000-0000DB540000}"/>
    <cellStyle name="표준 5 2 3 4 3 2 4 5" xfId="17520" xr:uid="{00000000-0005-0000-0000-0000DC540000}"/>
    <cellStyle name="표준 5 2 3 4 3 2 4 6" xfId="21682" xr:uid="{00000000-0005-0000-0000-0000DD540000}"/>
    <cellStyle name="표준 5 2 3 4 3 2 4 7" xfId="25778" xr:uid="{00000000-0005-0000-0000-0000DE540000}"/>
    <cellStyle name="표준 5 2 3 4 3 2 4 8" xfId="33989" xr:uid="{00000000-0005-0000-0000-0000DF540000}"/>
    <cellStyle name="표준 5 2 3 4 3 2 4 9" xfId="42182" xr:uid="{00000000-0005-0000-0000-0000E0540000}"/>
    <cellStyle name="표준 5 2 3 4 3 2 5" xfId="9680" xr:uid="{00000000-0005-0000-0000-0000E1540000}"/>
    <cellStyle name="표준 5 2 3 4 3 2 5 2" xfId="13792" xr:uid="{00000000-0005-0000-0000-0000E2540000}"/>
    <cellStyle name="표준 5 2 3 4 3 2 5 2 2" xfId="30386" xr:uid="{00000000-0005-0000-0000-0000E3540000}"/>
    <cellStyle name="표준 5 2 3 4 3 2 5 2 3" xfId="38597" xr:uid="{00000000-0005-0000-0000-0000E4540000}"/>
    <cellStyle name="표준 5 2 3 4 3 2 5 2 4" xfId="46790" xr:uid="{00000000-0005-0000-0000-0000E5540000}"/>
    <cellStyle name="표준 5 2 3 4 3 2 5 3" xfId="18032" xr:uid="{00000000-0005-0000-0000-0000E6540000}"/>
    <cellStyle name="표준 5 2 3 4 3 2 5 4" xfId="22194" xr:uid="{00000000-0005-0000-0000-0000E7540000}"/>
    <cellStyle name="표준 5 2 3 4 3 2 5 5" xfId="26290" xr:uid="{00000000-0005-0000-0000-0000E8540000}"/>
    <cellStyle name="표준 5 2 3 4 3 2 5 6" xfId="34501" xr:uid="{00000000-0005-0000-0000-0000E9540000}"/>
    <cellStyle name="표준 5 2 3 4 3 2 5 7" xfId="42694" xr:uid="{00000000-0005-0000-0000-0000EA540000}"/>
    <cellStyle name="표준 5 2 3 4 3 2 6" xfId="7632" xr:uid="{00000000-0005-0000-0000-0000EB540000}"/>
    <cellStyle name="표준 5 2 3 4 3 2 6 2" xfId="28338" xr:uid="{00000000-0005-0000-0000-0000EC540000}"/>
    <cellStyle name="표준 5 2 3 4 3 2 6 3" xfId="36549" xr:uid="{00000000-0005-0000-0000-0000ED540000}"/>
    <cellStyle name="표준 5 2 3 4 3 2 6 4" xfId="44742" xr:uid="{00000000-0005-0000-0000-0000EE540000}"/>
    <cellStyle name="표준 5 2 3 4 3 2 7" xfId="11744" xr:uid="{00000000-0005-0000-0000-0000EF540000}"/>
    <cellStyle name="표준 5 2 3 4 3 2 8" xfId="15984" xr:uid="{00000000-0005-0000-0000-0000F0540000}"/>
    <cellStyle name="표준 5 2 3 4 3 2 9" xfId="20146" xr:uid="{00000000-0005-0000-0000-0000F1540000}"/>
    <cellStyle name="표준 5 2 3 4 3 3" xfId="1033" xr:uid="{00000000-0005-0000-0000-0000F2540000}"/>
    <cellStyle name="표준 5 2 3 4 3 3 2" xfId="9936" xr:uid="{00000000-0005-0000-0000-0000F3540000}"/>
    <cellStyle name="표준 5 2 3 4 3 3 2 2" xfId="14048" xr:uid="{00000000-0005-0000-0000-0000F4540000}"/>
    <cellStyle name="표준 5 2 3 4 3 3 2 2 2" xfId="30642" xr:uid="{00000000-0005-0000-0000-0000F5540000}"/>
    <cellStyle name="표준 5 2 3 4 3 3 2 2 3" xfId="38853" xr:uid="{00000000-0005-0000-0000-0000F6540000}"/>
    <cellStyle name="표준 5 2 3 4 3 3 2 2 4" xfId="47046" xr:uid="{00000000-0005-0000-0000-0000F7540000}"/>
    <cellStyle name="표준 5 2 3 4 3 3 2 3" xfId="18288" xr:uid="{00000000-0005-0000-0000-0000F8540000}"/>
    <cellStyle name="표준 5 2 3 4 3 3 2 4" xfId="22450" xr:uid="{00000000-0005-0000-0000-0000F9540000}"/>
    <cellStyle name="표준 5 2 3 4 3 3 2 5" xfId="26546" xr:uid="{00000000-0005-0000-0000-0000FA540000}"/>
    <cellStyle name="표준 5 2 3 4 3 3 2 6" xfId="34757" xr:uid="{00000000-0005-0000-0000-0000FB540000}"/>
    <cellStyle name="표준 5 2 3 4 3 3 2 7" xfId="42950" xr:uid="{00000000-0005-0000-0000-0000FC540000}"/>
    <cellStyle name="표준 5 2 3 4 3 3 3" xfId="7888" xr:uid="{00000000-0005-0000-0000-0000FD540000}"/>
    <cellStyle name="표준 5 2 3 4 3 3 3 2" xfId="28594" xr:uid="{00000000-0005-0000-0000-0000FE540000}"/>
    <cellStyle name="표준 5 2 3 4 3 3 3 3" xfId="36805" xr:uid="{00000000-0005-0000-0000-0000FF540000}"/>
    <cellStyle name="표준 5 2 3 4 3 3 3 4" xfId="44998" xr:uid="{00000000-0005-0000-0000-000000550000}"/>
    <cellStyle name="표준 5 2 3 4 3 3 4" xfId="12000" xr:uid="{00000000-0005-0000-0000-000001550000}"/>
    <cellStyle name="표준 5 2 3 4 3 3 5" xfId="16240" xr:uid="{00000000-0005-0000-0000-000002550000}"/>
    <cellStyle name="표준 5 2 3 4 3 3 6" xfId="20402" xr:uid="{00000000-0005-0000-0000-000003550000}"/>
    <cellStyle name="표준 5 2 3 4 3 3 7" xfId="24498" xr:uid="{00000000-0005-0000-0000-000004550000}"/>
    <cellStyle name="표준 5 2 3 4 3 3 8" xfId="32709" xr:uid="{00000000-0005-0000-0000-000005550000}"/>
    <cellStyle name="표준 5 2 3 4 3 3 9" xfId="40902" xr:uid="{00000000-0005-0000-0000-000006550000}"/>
    <cellStyle name="표준 5 2 3 4 3 4" xfId="1545" xr:uid="{00000000-0005-0000-0000-000007550000}"/>
    <cellStyle name="표준 5 2 3 4 3 4 2" xfId="10448" xr:uid="{00000000-0005-0000-0000-000008550000}"/>
    <cellStyle name="표준 5 2 3 4 3 4 2 2" xfId="14560" xr:uid="{00000000-0005-0000-0000-000009550000}"/>
    <cellStyle name="표준 5 2 3 4 3 4 2 2 2" xfId="31154" xr:uid="{00000000-0005-0000-0000-00000A550000}"/>
    <cellStyle name="표준 5 2 3 4 3 4 2 2 3" xfId="39365" xr:uid="{00000000-0005-0000-0000-00000B550000}"/>
    <cellStyle name="표준 5 2 3 4 3 4 2 2 4" xfId="47558" xr:uid="{00000000-0005-0000-0000-00000C550000}"/>
    <cellStyle name="표준 5 2 3 4 3 4 2 3" xfId="18800" xr:uid="{00000000-0005-0000-0000-00000D550000}"/>
    <cellStyle name="표준 5 2 3 4 3 4 2 4" xfId="22962" xr:uid="{00000000-0005-0000-0000-00000E550000}"/>
    <cellStyle name="표준 5 2 3 4 3 4 2 5" xfId="27058" xr:uid="{00000000-0005-0000-0000-00000F550000}"/>
    <cellStyle name="표준 5 2 3 4 3 4 2 6" xfId="35269" xr:uid="{00000000-0005-0000-0000-000010550000}"/>
    <cellStyle name="표준 5 2 3 4 3 4 2 7" xfId="43462" xr:uid="{00000000-0005-0000-0000-000011550000}"/>
    <cellStyle name="표준 5 2 3 4 3 4 3" xfId="8400" xr:uid="{00000000-0005-0000-0000-000012550000}"/>
    <cellStyle name="표준 5 2 3 4 3 4 3 2" xfId="29106" xr:uid="{00000000-0005-0000-0000-000013550000}"/>
    <cellStyle name="표준 5 2 3 4 3 4 3 3" xfId="37317" xr:uid="{00000000-0005-0000-0000-000014550000}"/>
    <cellStyle name="표준 5 2 3 4 3 4 3 4" xfId="45510" xr:uid="{00000000-0005-0000-0000-000015550000}"/>
    <cellStyle name="표준 5 2 3 4 3 4 4" xfId="12512" xr:uid="{00000000-0005-0000-0000-000016550000}"/>
    <cellStyle name="표준 5 2 3 4 3 4 5" xfId="16752" xr:uid="{00000000-0005-0000-0000-000017550000}"/>
    <cellStyle name="표준 5 2 3 4 3 4 6" xfId="20914" xr:uid="{00000000-0005-0000-0000-000018550000}"/>
    <cellStyle name="표준 5 2 3 4 3 4 7" xfId="25010" xr:uid="{00000000-0005-0000-0000-000019550000}"/>
    <cellStyle name="표준 5 2 3 4 3 4 8" xfId="33221" xr:uid="{00000000-0005-0000-0000-00001A550000}"/>
    <cellStyle name="표준 5 2 3 4 3 4 9" xfId="41414" xr:uid="{00000000-0005-0000-0000-00001B550000}"/>
    <cellStyle name="표준 5 2 3 4 3 5" xfId="2057" xr:uid="{00000000-0005-0000-0000-00001C550000}"/>
    <cellStyle name="표준 5 2 3 4 3 5 2" xfId="10960" xr:uid="{00000000-0005-0000-0000-00001D550000}"/>
    <cellStyle name="표준 5 2 3 4 3 5 2 2" xfId="15072" xr:uid="{00000000-0005-0000-0000-00001E550000}"/>
    <cellStyle name="표준 5 2 3 4 3 5 2 2 2" xfId="31666" xr:uid="{00000000-0005-0000-0000-00001F550000}"/>
    <cellStyle name="표준 5 2 3 4 3 5 2 2 3" xfId="39877" xr:uid="{00000000-0005-0000-0000-000020550000}"/>
    <cellStyle name="표준 5 2 3 4 3 5 2 2 4" xfId="48070" xr:uid="{00000000-0005-0000-0000-000021550000}"/>
    <cellStyle name="표준 5 2 3 4 3 5 2 3" xfId="19312" xr:uid="{00000000-0005-0000-0000-000022550000}"/>
    <cellStyle name="표준 5 2 3 4 3 5 2 4" xfId="23474" xr:uid="{00000000-0005-0000-0000-000023550000}"/>
    <cellStyle name="표준 5 2 3 4 3 5 2 5" xfId="27570" xr:uid="{00000000-0005-0000-0000-000024550000}"/>
    <cellStyle name="표준 5 2 3 4 3 5 2 6" xfId="35781" xr:uid="{00000000-0005-0000-0000-000025550000}"/>
    <cellStyle name="표준 5 2 3 4 3 5 2 7" xfId="43974" xr:uid="{00000000-0005-0000-0000-000026550000}"/>
    <cellStyle name="표준 5 2 3 4 3 5 3" xfId="8912" xr:uid="{00000000-0005-0000-0000-000027550000}"/>
    <cellStyle name="표준 5 2 3 4 3 5 3 2" xfId="29618" xr:uid="{00000000-0005-0000-0000-000028550000}"/>
    <cellStyle name="표준 5 2 3 4 3 5 3 3" xfId="37829" xr:uid="{00000000-0005-0000-0000-000029550000}"/>
    <cellStyle name="표준 5 2 3 4 3 5 3 4" xfId="46022" xr:uid="{00000000-0005-0000-0000-00002A550000}"/>
    <cellStyle name="표준 5 2 3 4 3 5 4" xfId="13024" xr:uid="{00000000-0005-0000-0000-00002B550000}"/>
    <cellStyle name="표준 5 2 3 4 3 5 5" xfId="17264" xr:uid="{00000000-0005-0000-0000-00002C550000}"/>
    <cellStyle name="표준 5 2 3 4 3 5 6" xfId="21426" xr:uid="{00000000-0005-0000-0000-00002D550000}"/>
    <cellStyle name="표준 5 2 3 4 3 5 7" xfId="25522" xr:uid="{00000000-0005-0000-0000-00002E550000}"/>
    <cellStyle name="표준 5 2 3 4 3 5 8" xfId="33733" xr:uid="{00000000-0005-0000-0000-00002F550000}"/>
    <cellStyle name="표준 5 2 3 4 3 5 9" xfId="41926" xr:uid="{00000000-0005-0000-0000-000030550000}"/>
    <cellStyle name="표준 5 2 3 4 3 6" xfId="9424" xr:uid="{00000000-0005-0000-0000-000031550000}"/>
    <cellStyle name="표준 5 2 3 4 3 6 2" xfId="13536" xr:uid="{00000000-0005-0000-0000-000032550000}"/>
    <cellStyle name="표준 5 2 3 4 3 6 2 2" xfId="30130" xr:uid="{00000000-0005-0000-0000-000033550000}"/>
    <cellStyle name="표준 5 2 3 4 3 6 2 3" xfId="38341" xr:uid="{00000000-0005-0000-0000-000034550000}"/>
    <cellStyle name="표준 5 2 3 4 3 6 2 4" xfId="46534" xr:uid="{00000000-0005-0000-0000-000035550000}"/>
    <cellStyle name="표준 5 2 3 4 3 6 3" xfId="17776" xr:uid="{00000000-0005-0000-0000-000036550000}"/>
    <cellStyle name="표준 5 2 3 4 3 6 4" xfId="21938" xr:uid="{00000000-0005-0000-0000-000037550000}"/>
    <cellStyle name="표준 5 2 3 4 3 6 5" xfId="26034" xr:uid="{00000000-0005-0000-0000-000038550000}"/>
    <cellStyle name="표준 5 2 3 4 3 6 6" xfId="34245" xr:uid="{00000000-0005-0000-0000-000039550000}"/>
    <cellStyle name="표준 5 2 3 4 3 6 7" xfId="42438" xr:uid="{00000000-0005-0000-0000-00003A550000}"/>
    <cellStyle name="표준 5 2 3 4 3 7" xfId="7376" xr:uid="{00000000-0005-0000-0000-00003B550000}"/>
    <cellStyle name="표준 5 2 3 4 3 7 2" xfId="28082" xr:uid="{00000000-0005-0000-0000-00003C550000}"/>
    <cellStyle name="표준 5 2 3 4 3 7 3" xfId="36293" xr:uid="{00000000-0005-0000-0000-00003D550000}"/>
    <cellStyle name="표준 5 2 3 4 3 7 4" xfId="44486" xr:uid="{00000000-0005-0000-0000-00003E550000}"/>
    <cellStyle name="표준 5 2 3 4 3 8" xfId="11488" xr:uid="{00000000-0005-0000-0000-00003F550000}"/>
    <cellStyle name="표준 5 2 3 4 3 9" xfId="15728" xr:uid="{00000000-0005-0000-0000-000040550000}"/>
    <cellStyle name="표준 5 2 3 4 4" xfId="649" xr:uid="{00000000-0005-0000-0000-000041550000}"/>
    <cellStyle name="표준 5 2 3 4 4 10" xfId="24114" xr:uid="{00000000-0005-0000-0000-000042550000}"/>
    <cellStyle name="표준 5 2 3 4 4 11" xfId="32325" xr:uid="{00000000-0005-0000-0000-000043550000}"/>
    <cellStyle name="표준 5 2 3 4 4 12" xfId="40518" xr:uid="{00000000-0005-0000-0000-000044550000}"/>
    <cellStyle name="표준 5 2 3 4 4 2" xfId="1161" xr:uid="{00000000-0005-0000-0000-000045550000}"/>
    <cellStyle name="표준 5 2 3 4 4 2 2" xfId="10064" xr:uid="{00000000-0005-0000-0000-000046550000}"/>
    <cellStyle name="표준 5 2 3 4 4 2 2 2" xfId="14176" xr:uid="{00000000-0005-0000-0000-000047550000}"/>
    <cellStyle name="표준 5 2 3 4 4 2 2 2 2" xfId="30770" xr:uid="{00000000-0005-0000-0000-000048550000}"/>
    <cellStyle name="표준 5 2 3 4 4 2 2 2 3" xfId="38981" xr:uid="{00000000-0005-0000-0000-000049550000}"/>
    <cellStyle name="표준 5 2 3 4 4 2 2 2 4" xfId="47174" xr:uid="{00000000-0005-0000-0000-00004A550000}"/>
    <cellStyle name="표준 5 2 3 4 4 2 2 3" xfId="18416" xr:uid="{00000000-0005-0000-0000-00004B550000}"/>
    <cellStyle name="표준 5 2 3 4 4 2 2 4" xfId="22578" xr:uid="{00000000-0005-0000-0000-00004C550000}"/>
    <cellStyle name="표준 5 2 3 4 4 2 2 5" xfId="26674" xr:uid="{00000000-0005-0000-0000-00004D550000}"/>
    <cellStyle name="표준 5 2 3 4 4 2 2 6" xfId="34885" xr:uid="{00000000-0005-0000-0000-00004E550000}"/>
    <cellStyle name="표준 5 2 3 4 4 2 2 7" xfId="43078" xr:uid="{00000000-0005-0000-0000-00004F550000}"/>
    <cellStyle name="표준 5 2 3 4 4 2 3" xfId="8016" xr:uid="{00000000-0005-0000-0000-000050550000}"/>
    <cellStyle name="표준 5 2 3 4 4 2 3 2" xfId="28722" xr:uid="{00000000-0005-0000-0000-000051550000}"/>
    <cellStyle name="표준 5 2 3 4 4 2 3 3" xfId="36933" xr:uid="{00000000-0005-0000-0000-000052550000}"/>
    <cellStyle name="표준 5 2 3 4 4 2 3 4" xfId="45126" xr:uid="{00000000-0005-0000-0000-000053550000}"/>
    <cellStyle name="표준 5 2 3 4 4 2 4" xfId="12128" xr:uid="{00000000-0005-0000-0000-000054550000}"/>
    <cellStyle name="표준 5 2 3 4 4 2 5" xfId="16368" xr:uid="{00000000-0005-0000-0000-000055550000}"/>
    <cellStyle name="표준 5 2 3 4 4 2 6" xfId="20530" xr:uid="{00000000-0005-0000-0000-000056550000}"/>
    <cellStyle name="표준 5 2 3 4 4 2 7" xfId="24626" xr:uid="{00000000-0005-0000-0000-000057550000}"/>
    <cellStyle name="표준 5 2 3 4 4 2 8" xfId="32837" xr:uid="{00000000-0005-0000-0000-000058550000}"/>
    <cellStyle name="표준 5 2 3 4 4 2 9" xfId="41030" xr:uid="{00000000-0005-0000-0000-000059550000}"/>
    <cellStyle name="표준 5 2 3 4 4 3" xfId="1673" xr:uid="{00000000-0005-0000-0000-00005A550000}"/>
    <cellStyle name="표준 5 2 3 4 4 3 2" xfId="10576" xr:uid="{00000000-0005-0000-0000-00005B550000}"/>
    <cellStyle name="표준 5 2 3 4 4 3 2 2" xfId="14688" xr:uid="{00000000-0005-0000-0000-00005C550000}"/>
    <cellStyle name="표준 5 2 3 4 4 3 2 2 2" xfId="31282" xr:uid="{00000000-0005-0000-0000-00005D550000}"/>
    <cellStyle name="표준 5 2 3 4 4 3 2 2 3" xfId="39493" xr:uid="{00000000-0005-0000-0000-00005E550000}"/>
    <cellStyle name="표준 5 2 3 4 4 3 2 2 4" xfId="47686" xr:uid="{00000000-0005-0000-0000-00005F550000}"/>
    <cellStyle name="표준 5 2 3 4 4 3 2 3" xfId="18928" xr:uid="{00000000-0005-0000-0000-000060550000}"/>
    <cellStyle name="표준 5 2 3 4 4 3 2 4" xfId="23090" xr:uid="{00000000-0005-0000-0000-000061550000}"/>
    <cellStyle name="표준 5 2 3 4 4 3 2 5" xfId="27186" xr:uid="{00000000-0005-0000-0000-000062550000}"/>
    <cellStyle name="표준 5 2 3 4 4 3 2 6" xfId="35397" xr:uid="{00000000-0005-0000-0000-000063550000}"/>
    <cellStyle name="표준 5 2 3 4 4 3 2 7" xfId="43590" xr:uid="{00000000-0005-0000-0000-000064550000}"/>
    <cellStyle name="표준 5 2 3 4 4 3 3" xfId="8528" xr:uid="{00000000-0005-0000-0000-000065550000}"/>
    <cellStyle name="표준 5 2 3 4 4 3 3 2" xfId="29234" xr:uid="{00000000-0005-0000-0000-000066550000}"/>
    <cellStyle name="표준 5 2 3 4 4 3 3 3" xfId="37445" xr:uid="{00000000-0005-0000-0000-000067550000}"/>
    <cellStyle name="표준 5 2 3 4 4 3 3 4" xfId="45638" xr:uid="{00000000-0005-0000-0000-000068550000}"/>
    <cellStyle name="표준 5 2 3 4 4 3 4" xfId="12640" xr:uid="{00000000-0005-0000-0000-000069550000}"/>
    <cellStyle name="표준 5 2 3 4 4 3 5" xfId="16880" xr:uid="{00000000-0005-0000-0000-00006A550000}"/>
    <cellStyle name="표준 5 2 3 4 4 3 6" xfId="21042" xr:uid="{00000000-0005-0000-0000-00006B550000}"/>
    <cellStyle name="표준 5 2 3 4 4 3 7" xfId="25138" xr:uid="{00000000-0005-0000-0000-00006C550000}"/>
    <cellStyle name="표준 5 2 3 4 4 3 8" xfId="33349" xr:uid="{00000000-0005-0000-0000-00006D550000}"/>
    <cellStyle name="표준 5 2 3 4 4 3 9" xfId="41542" xr:uid="{00000000-0005-0000-0000-00006E550000}"/>
    <cellStyle name="표준 5 2 3 4 4 4" xfId="2185" xr:uid="{00000000-0005-0000-0000-00006F550000}"/>
    <cellStyle name="표준 5 2 3 4 4 4 2" xfId="11088" xr:uid="{00000000-0005-0000-0000-000070550000}"/>
    <cellStyle name="표준 5 2 3 4 4 4 2 2" xfId="15200" xr:uid="{00000000-0005-0000-0000-000071550000}"/>
    <cellStyle name="표준 5 2 3 4 4 4 2 2 2" xfId="31794" xr:uid="{00000000-0005-0000-0000-000072550000}"/>
    <cellStyle name="표준 5 2 3 4 4 4 2 2 3" xfId="40005" xr:uid="{00000000-0005-0000-0000-000073550000}"/>
    <cellStyle name="표준 5 2 3 4 4 4 2 2 4" xfId="48198" xr:uid="{00000000-0005-0000-0000-000074550000}"/>
    <cellStyle name="표준 5 2 3 4 4 4 2 3" xfId="19440" xr:uid="{00000000-0005-0000-0000-000075550000}"/>
    <cellStyle name="표준 5 2 3 4 4 4 2 4" xfId="23602" xr:uid="{00000000-0005-0000-0000-000076550000}"/>
    <cellStyle name="표준 5 2 3 4 4 4 2 5" xfId="27698" xr:uid="{00000000-0005-0000-0000-000077550000}"/>
    <cellStyle name="표준 5 2 3 4 4 4 2 6" xfId="35909" xr:uid="{00000000-0005-0000-0000-000078550000}"/>
    <cellStyle name="표준 5 2 3 4 4 4 2 7" xfId="44102" xr:uid="{00000000-0005-0000-0000-000079550000}"/>
    <cellStyle name="표준 5 2 3 4 4 4 3" xfId="9040" xr:uid="{00000000-0005-0000-0000-00007A550000}"/>
    <cellStyle name="표준 5 2 3 4 4 4 3 2" xfId="29746" xr:uid="{00000000-0005-0000-0000-00007B550000}"/>
    <cellStyle name="표준 5 2 3 4 4 4 3 3" xfId="37957" xr:uid="{00000000-0005-0000-0000-00007C550000}"/>
    <cellStyle name="표준 5 2 3 4 4 4 3 4" xfId="46150" xr:uid="{00000000-0005-0000-0000-00007D550000}"/>
    <cellStyle name="표준 5 2 3 4 4 4 4" xfId="13152" xr:uid="{00000000-0005-0000-0000-00007E550000}"/>
    <cellStyle name="표준 5 2 3 4 4 4 5" xfId="17392" xr:uid="{00000000-0005-0000-0000-00007F550000}"/>
    <cellStyle name="표준 5 2 3 4 4 4 6" xfId="21554" xr:uid="{00000000-0005-0000-0000-000080550000}"/>
    <cellStyle name="표준 5 2 3 4 4 4 7" xfId="25650" xr:uid="{00000000-0005-0000-0000-000081550000}"/>
    <cellStyle name="표준 5 2 3 4 4 4 8" xfId="33861" xr:uid="{00000000-0005-0000-0000-000082550000}"/>
    <cellStyle name="표준 5 2 3 4 4 4 9" xfId="42054" xr:uid="{00000000-0005-0000-0000-000083550000}"/>
    <cellStyle name="표준 5 2 3 4 4 5" xfId="9552" xr:uid="{00000000-0005-0000-0000-000084550000}"/>
    <cellStyle name="표준 5 2 3 4 4 5 2" xfId="13664" xr:uid="{00000000-0005-0000-0000-000085550000}"/>
    <cellStyle name="표준 5 2 3 4 4 5 2 2" xfId="30258" xr:uid="{00000000-0005-0000-0000-000086550000}"/>
    <cellStyle name="표준 5 2 3 4 4 5 2 3" xfId="38469" xr:uid="{00000000-0005-0000-0000-000087550000}"/>
    <cellStyle name="표준 5 2 3 4 4 5 2 4" xfId="46662" xr:uid="{00000000-0005-0000-0000-000088550000}"/>
    <cellStyle name="표준 5 2 3 4 4 5 3" xfId="17904" xr:uid="{00000000-0005-0000-0000-000089550000}"/>
    <cellStyle name="표준 5 2 3 4 4 5 4" xfId="22066" xr:uid="{00000000-0005-0000-0000-00008A550000}"/>
    <cellStyle name="표준 5 2 3 4 4 5 5" xfId="26162" xr:uid="{00000000-0005-0000-0000-00008B550000}"/>
    <cellStyle name="표준 5 2 3 4 4 5 6" xfId="34373" xr:uid="{00000000-0005-0000-0000-00008C550000}"/>
    <cellStyle name="표준 5 2 3 4 4 5 7" xfId="42566" xr:uid="{00000000-0005-0000-0000-00008D550000}"/>
    <cellStyle name="표준 5 2 3 4 4 6" xfId="7504" xr:uid="{00000000-0005-0000-0000-00008E550000}"/>
    <cellStyle name="표준 5 2 3 4 4 6 2" xfId="28210" xr:uid="{00000000-0005-0000-0000-00008F550000}"/>
    <cellStyle name="표준 5 2 3 4 4 6 3" xfId="36421" xr:uid="{00000000-0005-0000-0000-000090550000}"/>
    <cellStyle name="표준 5 2 3 4 4 6 4" xfId="44614" xr:uid="{00000000-0005-0000-0000-000091550000}"/>
    <cellStyle name="표준 5 2 3 4 4 7" xfId="11616" xr:uid="{00000000-0005-0000-0000-000092550000}"/>
    <cellStyle name="표준 5 2 3 4 4 8" xfId="15856" xr:uid="{00000000-0005-0000-0000-000093550000}"/>
    <cellStyle name="표준 5 2 3 4 4 9" xfId="20018" xr:uid="{00000000-0005-0000-0000-000094550000}"/>
    <cellStyle name="표준 5 2 3 4 5" xfId="905" xr:uid="{00000000-0005-0000-0000-000095550000}"/>
    <cellStyle name="표준 5 2 3 4 5 2" xfId="9808" xr:uid="{00000000-0005-0000-0000-000096550000}"/>
    <cellStyle name="표준 5 2 3 4 5 2 2" xfId="13920" xr:uid="{00000000-0005-0000-0000-000097550000}"/>
    <cellStyle name="표준 5 2 3 4 5 2 2 2" xfId="30514" xr:uid="{00000000-0005-0000-0000-000098550000}"/>
    <cellStyle name="표준 5 2 3 4 5 2 2 3" xfId="38725" xr:uid="{00000000-0005-0000-0000-000099550000}"/>
    <cellStyle name="표준 5 2 3 4 5 2 2 4" xfId="46918" xr:uid="{00000000-0005-0000-0000-00009A550000}"/>
    <cellStyle name="표준 5 2 3 4 5 2 3" xfId="18160" xr:uid="{00000000-0005-0000-0000-00009B550000}"/>
    <cellStyle name="표준 5 2 3 4 5 2 4" xfId="22322" xr:uid="{00000000-0005-0000-0000-00009C550000}"/>
    <cellStyle name="표준 5 2 3 4 5 2 5" xfId="26418" xr:uid="{00000000-0005-0000-0000-00009D550000}"/>
    <cellStyle name="표준 5 2 3 4 5 2 6" xfId="34629" xr:uid="{00000000-0005-0000-0000-00009E550000}"/>
    <cellStyle name="표준 5 2 3 4 5 2 7" xfId="42822" xr:uid="{00000000-0005-0000-0000-00009F550000}"/>
    <cellStyle name="표준 5 2 3 4 5 3" xfId="7760" xr:uid="{00000000-0005-0000-0000-0000A0550000}"/>
    <cellStyle name="표준 5 2 3 4 5 3 2" xfId="28466" xr:uid="{00000000-0005-0000-0000-0000A1550000}"/>
    <cellStyle name="표준 5 2 3 4 5 3 3" xfId="36677" xr:uid="{00000000-0005-0000-0000-0000A2550000}"/>
    <cellStyle name="표준 5 2 3 4 5 3 4" xfId="44870" xr:uid="{00000000-0005-0000-0000-0000A3550000}"/>
    <cellStyle name="표준 5 2 3 4 5 4" xfId="11872" xr:uid="{00000000-0005-0000-0000-0000A4550000}"/>
    <cellStyle name="표준 5 2 3 4 5 5" xfId="16112" xr:uid="{00000000-0005-0000-0000-0000A5550000}"/>
    <cellStyle name="표준 5 2 3 4 5 6" xfId="20274" xr:uid="{00000000-0005-0000-0000-0000A6550000}"/>
    <cellStyle name="표준 5 2 3 4 5 7" xfId="24370" xr:uid="{00000000-0005-0000-0000-0000A7550000}"/>
    <cellStyle name="표준 5 2 3 4 5 8" xfId="32581" xr:uid="{00000000-0005-0000-0000-0000A8550000}"/>
    <cellStyle name="표준 5 2 3 4 5 9" xfId="40774" xr:uid="{00000000-0005-0000-0000-0000A9550000}"/>
    <cellStyle name="표준 5 2 3 4 6" xfId="1417" xr:uid="{00000000-0005-0000-0000-0000AA550000}"/>
    <cellStyle name="표준 5 2 3 4 6 2" xfId="10320" xr:uid="{00000000-0005-0000-0000-0000AB550000}"/>
    <cellStyle name="표준 5 2 3 4 6 2 2" xfId="14432" xr:uid="{00000000-0005-0000-0000-0000AC550000}"/>
    <cellStyle name="표준 5 2 3 4 6 2 2 2" xfId="31026" xr:uid="{00000000-0005-0000-0000-0000AD550000}"/>
    <cellStyle name="표준 5 2 3 4 6 2 2 3" xfId="39237" xr:uid="{00000000-0005-0000-0000-0000AE550000}"/>
    <cellStyle name="표준 5 2 3 4 6 2 2 4" xfId="47430" xr:uid="{00000000-0005-0000-0000-0000AF550000}"/>
    <cellStyle name="표준 5 2 3 4 6 2 3" xfId="18672" xr:uid="{00000000-0005-0000-0000-0000B0550000}"/>
    <cellStyle name="표준 5 2 3 4 6 2 4" xfId="22834" xr:uid="{00000000-0005-0000-0000-0000B1550000}"/>
    <cellStyle name="표준 5 2 3 4 6 2 5" xfId="26930" xr:uid="{00000000-0005-0000-0000-0000B2550000}"/>
    <cellStyle name="표준 5 2 3 4 6 2 6" xfId="35141" xr:uid="{00000000-0005-0000-0000-0000B3550000}"/>
    <cellStyle name="표준 5 2 3 4 6 2 7" xfId="43334" xr:uid="{00000000-0005-0000-0000-0000B4550000}"/>
    <cellStyle name="표준 5 2 3 4 6 3" xfId="8272" xr:uid="{00000000-0005-0000-0000-0000B5550000}"/>
    <cellStyle name="표준 5 2 3 4 6 3 2" xfId="28978" xr:uid="{00000000-0005-0000-0000-0000B6550000}"/>
    <cellStyle name="표준 5 2 3 4 6 3 3" xfId="37189" xr:uid="{00000000-0005-0000-0000-0000B7550000}"/>
    <cellStyle name="표준 5 2 3 4 6 3 4" xfId="45382" xr:uid="{00000000-0005-0000-0000-0000B8550000}"/>
    <cellStyle name="표준 5 2 3 4 6 4" xfId="12384" xr:uid="{00000000-0005-0000-0000-0000B9550000}"/>
    <cellStyle name="표준 5 2 3 4 6 5" xfId="16624" xr:uid="{00000000-0005-0000-0000-0000BA550000}"/>
    <cellStyle name="표준 5 2 3 4 6 6" xfId="20786" xr:uid="{00000000-0005-0000-0000-0000BB550000}"/>
    <cellStyle name="표준 5 2 3 4 6 7" xfId="24882" xr:uid="{00000000-0005-0000-0000-0000BC550000}"/>
    <cellStyle name="표준 5 2 3 4 6 8" xfId="33093" xr:uid="{00000000-0005-0000-0000-0000BD550000}"/>
    <cellStyle name="표준 5 2 3 4 6 9" xfId="41286" xr:uid="{00000000-0005-0000-0000-0000BE550000}"/>
    <cellStyle name="표준 5 2 3 4 7" xfId="1929" xr:uid="{00000000-0005-0000-0000-0000BF550000}"/>
    <cellStyle name="표준 5 2 3 4 7 2" xfId="10832" xr:uid="{00000000-0005-0000-0000-0000C0550000}"/>
    <cellStyle name="표준 5 2 3 4 7 2 2" xfId="14944" xr:uid="{00000000-0005-0000-0000-0000C1550000}"/>
    <cellStyle name="표준 5 2 3 4 7 2 2 2" xfId="31538" xr:uid="{00000000-0005-0000-0000-0000C2550000}"/>
    <cellStyle name="표준 5 2 3 4 7 2 2 3" xfId="39749" xr:uid="{00000000-0005-0000-0000-0000C3550000}"/>
    <cellStyle name="표준 5 2 3 4 7 2 2 4" xfId="47942" xr:uid="{00000000-0005-0000-0000-0000C4550000}"/>
    <cellStyle name="표준 5 2 3 4 7 2 3" xfId="19184" xr:uid="{00000000-0005-0000-0000-0000C5550000}"/>
    <cellStyle name="표준 5 2 3 4 7 2 4" xfId="23346" xr:uid="{00000000-0005-0000-0000-0000C6550000}"/>
    <cellStyle name="표준 5 2 3 4 7 2 5" xfId="27442" xr:uid="{00000000-0005-0000-0000-0000C7550000}"/>
    <cellStyle name="표준 5 2 3 4 7 2 6" xfId="35653" xr:uid="{00000000-0005-0000-0000-0000C8550000}"/>
    <cellStyle name="표준 5 2 3 4 7 2 7" xfId="43846" xr:uid="{00000000-0005-0000-0000-0000C9550000}"/>
    <cellStyle name="표준 5 2 3 4 7 3" xfId="8784" xr:uid="{00000000-0005-0000-0000-0000CA550000}"/>
    <cellStyle name="표준 5 2 3 4 7 3 2" xfId="29490" xr:uid="{00000000-0005-0000-0000-0000CB550000}"/>
    <cellStyle name="표준 5 2 3 4 7 3 3" xfId="37701" xr:uid="{00000000-0005-0000-0000-0000CC550000}"/>
    <cellStyle name="표준 5 2 3 4 7 3 4" xfId="45894" xr:uid="{00000000-0005-0000-0000-0000CD550000}"/>
    <cellStyle name="표준 5 2 3 4 7 4" xfId="12896" xr:uid="{00000000-0005-0000-0000-0000CE550000}"/>
    <cellStyle name="표준 5 2 3 4 7 5" xfId="17136" xr:uid="{00000000-0005-0000-0000-0000CF550000}"/>
    <cellStyle name="표준 5 2 3 4 7 6" xfId="21298" xr:uid="{00000000-0005-0000-0000-0000D0550000}"/>
    <cellStyle name="표준 5 2 3 4 7 7" xfId="25394" xr:uid="{00000000-0005-0000-0000-0000D1550000}"/>
    <cellStyle name="표준 5 2 3 4 7 8" xfId="33605" xr:uid="{00000000-0005-0000-0000-0000D2550000}"/>
    <cellStyle name="표준 5 2 3 4 7 9" xfId="41798" xr:uid="{00000000-0005-0000-0000-0000D3550000}"/>
    <cellStyle name="표준 5 2 3 4 8" xfId="393" xr:uid="{00000000-0005-0000-0000-0000D4550000}"/>
    <cellStyle name="표준 5 2 3 4 8 2" xfId="9296" xr:uid="{00000000-0005-0000-0000-0000D5550000}"/>
    <cellStyle name="표준 5 2 3 4 8 2 2" xfId="30002" xr:uid="{00000000-0005-0000-0000-0000D6550000}"/>
    <cellStyle name="표준 5 2 3 4 8 2 3" xfId="38213" xr:uid="{00000000-0005-0000-0000-0000D7550000}"/>
    <cellStyle name="표준 5 2 3 4 8 2 4" xfId="46406" xr:uid="{00000000-0005-0000-0000-0000D8550000}"/>
    <cellStyle name="표준 5 2 3 4 8 3" xfId="13408" xr:uid="{00000000-0005-0000-0000-0000D9550000}"/>
    <cellStyle name="표준 5 2 3 4 8 4" xfId="17648" xr:uid="{00000000-0005-0000-0000-0000DA550000}"/>
    <cellStyle name="표준 5 2 3 4 8 5" xfId="21810" xr:uid="{00000000-0005-0000-0000-0000DB550000}"/>
    <cellStyle name="표준 5 2 3 4 8 6" xfId="25906" xr:uid="{00000000-0005-0000-0000-0000DC550000}"/>
    <cellStyle name="표준 5 2 3 4 8 7" xfId="34117" xr:uid="{00000000-0005-0000-0000-0000DD550000}"/>
    <cellStyle name="표준 5 2 3 4 8 8" xfId="42310" xr:uid="{00000000-0005-0000-0000-0000DE550000}"/>
    <cellStyle name="표준 5 2 3 4 9" xfId="6995" xr:uid="{00000000-0005-0000-0000-0000DF550000}"/>
    <cellStyle name="표준 5 2 3 4 9 2" xfId="27954" xr:uid="{00000000-0005-0000-0000-0000E0550000}"/>
    <cellStyle name="표준 5 2 3 4 9 3" xfId="36165" xr:uid="{00000000-0005-0000-0000-0000E1550000}"/>
    <cellStyle name="표준 5 2 3 4 9 4" xfId="44358" xr:uid="{00000000-0005-0000-0000-0000E2550000}"/>
    <cellStyle name="표준 5 2 3 5" xfId="425" xr:uid="{00000000-0005-0000-0000-0000E3550000}"/>
    <cellStyle name="표준 5 2 3 5 10" xfId="11392" xr:uid="{00000000-0005-0000-0000-0000E4550000}"/>
    <cellStyle name="표준 5 2 3 5 11" xfId="15504" xr:uid="{00000000-0005-0000-0000-0000E5550000}"/>
    <cellStyle name="표준 5 2 3 5 12" xfId="15632" xr:uid="{00000000-0005-0000-0000-0000E6550000}"/>
    <cellStyle name="표준 5 2 3 5 13" xfId="19794" xr:uid="{00000000-0005-0000-0000-0000E7550000}"/>
    <cellStyle name="표준 5 2 3 5 14" xfId="23890" xr:uid="{00000000-0005-0000-0000-0000E8550000}"/>
    <cellStyle name="표준 5 2 3 5 15" xfId="32101" xr:uid="{00000000-0005-0000-0000-0000E9550000}"/>
    <cellStyle name="표준 5 2 3 5 16" xfId="40294" xr:uid="{00000000-0005-0000-0000-0000EA550000}"/>
    <cellStyle name="표준 5 2 3 5 2" xfId="553" xr:uid="{00000000-0005-0000-0000-0000EB550000}"/>
    <cellStyle name="표준 5 2 3 5 2 10" xfId="19922" xr:uid="{00000000-0005-0000-0000-0000EC550000}"/>
    <cellStyle name="표준 5 2 3 5 2 11" xfId="24018" xr:uid="{00000000-0005-0000-0000-0000ED550000}"/>
    <cellStyle name="표준 5 2 3 5 2 12" xfId="32229" xr:uid="{00000000-0005-0000-0000-0000EE550000}"/>
    <cellStyle name="표준 5 2 3 5 2 13" xfId="40422" xr:uid="{00000000-0005-0000-0000-0000EF550000}"/>
    <cellStyle name="표준 5 2 3 5 2 2" xfId="809" xr:uid="{00000000-0005-0000-0000-0000F0550000}"/>
    <cellStyle name="표준 5 2 3 5 2 2 10" xfId="24274" xr:uid="{00000000-0005-0000-0000-0000F1550000}"/>
    <cellStyle name="표준 5 2 3 5 2 2 11" xfId="32485" xr:uid="{00000000-0005-0000-0000-0000F2550000}"/>
    <cellStyle name="표준 5 2 3 5 2 2 12" xfId="40678" xr:uid="{00000000-0005-0000-0000-0000F3550000}"/>
    <cellStyle name="표준 5 2 3 5 2 2 2" xfId="1321" xr:uid="{00000000-0005-0000-0000-0000F4550000}"/>
    <cellStyle name="표준 5 2 3 5 2 2 2 2" xfId="10224" xr:uid="{00000000-0005-0000-0000-0000F5550000}"/>
    <cellStyle name="표준 5 2 3 5 2 2 2 2 2" xfId="14336" xr:uid="{00000000-0005-0000-0000-0000F6550000}"/>
    <cellStyle name="표준 5 2 3 5 2 2 2 2 2 2" xfId="30930" xr:uid="{00000000-0005-0000-0000-0000F7550000}"/>
    <cellStyle name="표준 5 2 3 5 2 2 2 2 2 3" xfId="39141" xr:uid="{00000000-0005-0000-0000-0000F8550000}"/>
    <cellStyle name="표준 5 2 3 5 2 2 2 2 2 4" xfId="47334" xr:uid="{00000000-0005-0000-0000-0000F9550000}"/>
    <cellStyle name="표준 5 2 3 5 2 2 2 2 3" xfId="18576" xr:uid="{00000000-0005-0000-0000-0000FA550000}"/>
    <cellStyle name="표준 5 2 3 5 2 2 2 2 4" xfId="22738" xr:uid="{00000000-0005-0000-0000-0000FB550000}"/>
    <cellStyle name="표준 5 2 3 5 2 2 2 2 5" xfId="26834" xr:uid="{00000000-0005-0000-0000-0000FC550000}"/>
    <cellStyle name="표준 5 2 3 5 2 2 2 2 6" xfId="35045" xr:uid="{00000000-0005-0000-0000-0000FD550000}"/>
    <cellStyle name="표준 5 2 3 5 2 2 2 2 7" xfId="43238" xr:uid="{00000000-0005-0000-0000-0000FE550000}"/>
    <cellStyle name="표준 5 2 3 5 2 2 2 3" xfId="8176" xr:uid="{00000000-0005-0000-0000-0000FF550000}"/>
    <cellStyle name="표준 5 2 3 5 2 2 2 3 2" xfId="28882" xr:uid="{00000000-0005-0000-0000-000000560000}"/>
    <cellStyle name="표준 5 2 3 5 2 2 2 3 3" xfId="37093" xr:uid="{00000000-0005-0000-0000-000001560000}"/>
    <cellStyle name="표준 5 2 3 5 2 2 2 3 4" xfId="45286" xr:uid="{00000000-0005-0000-0000-000002560000}"/>
    <cellStyle name="표준 5 2 3 5 2 2 2 4" xfId="12288" xr:uid="{00000000-0005-0000-0000-000003560000}"/>
    <cellStyle name="표준 5 2 3 5 2 2 2 5" xfId="16528" xr:uid="{00000000-0005-0000-0000-000004560000}"/>
    <cellStyle name="표준 5 2 3 5 2 2 2 6" xfId="20690" xr:uid="{00000000-0005-0000-0000-000005560000}"/>
    <cellStyle name="표준 5 2 3 5 2 2 2 7" xfId="24786" xr:uid="{00000000-0005-0000-0000-000006560000}"/>
    <cellStyle name="표준 5 2 3 5 2 2 2 8" xfId="32997" xr:uid="{00000000-0005-0000-0000-000007560000}"/>
    <cellStyle name="표준 5 2 3 5 2 2 2 9" xfId="41190" xr:uid="{00000000-0005-0000-0000-000008560000}"/>
    <cellStyle name="표준 5 2 3 5 2 2 3" xfId="1833" xr:uid="{00000000-0005-0000-0000-000009560000}"/>
    <cellStyle name="표준 5 2 3 5 2 2 3 2" xfId="10736" xr:uid="{00000000-0005-0000-0000-00000A560000}"/>
    <cellStyle name="표준 5 2 3 5 2 2 3 2 2" xfId="14848" xr:uid="{00000000-0005-0000-0000-00000B560000}"/>
    <cellStyle name="표준 5 2 3 5 2 2 3 2 2 2" xfId="31442" xr:uid="{00000000-0005-0000-0000-00000C560000}"/>
    <cellStyle name="표준 5 2 3 5 2 2 3 2 2 3" xfId="39653" xr:uid="{00000000-0005-0000-0000-00000D560000}"/>
    <cellStyle name="표준 5 2 3 5 2 2 3 2 2 4" xfId="47846" xr:uid="{00000000-0005-0000-0000-00000E560000}"/>
    <cellStyle name="표준 5 2 3 5 2 2 3 2 3" xfId="19088" xr:uid="{00000000-0005-0000-0000-00000F560000}"/>
    <cellStyle name="표준 5 2 3 5 2 2 3 2 4" xfId="23250" xr:uid="{00000000-0005-0000-0000-000010560000}"/>
    <cellStyle name="표준 5 2 3 5 2 2 3 2 5" xfId="27346" xr:uid="{00000000-0005-0000-0000-000011560000}"/>
    <cellStyle name="표준 5 2 3 5 2 2 3 2 6" xfId="35557" xr:uid="{00000000-0005-0000-0000-000012560000}"/>
    <cellStyle name="표준 5 2 3 5 2 2 3 2 7" xfId="43750" xr:uid="{00000000-0005-0000-0000-000013560000}"/>
    <cellStyle name="표준 5 2 3 5 2 2 3 3" xfId="8688" xr:uid="{00000000-0005-0000-0000-000014560000}"/>
    <cellStyle name="표준 5 2 3 5 2 2 3 3 2" xfId="29394" xr:uid="{00000000-0005-0000-0000-000015560000}"/>
    <cellStyle name="표준 5 2 3 5 2 2 3 3 3" xfId="37605" xr:uid="{00000000-0005-0000-0000-000016560000}"/>
    <cellStyle name="표준 5 2 3 5 2 2 3 3 4" xfId="45798" xr:uid="{00000000-0005-0000-0000-000017560000}"/>
    <cellStyle name="표준 5 2 3 5 2 2 3 4" xfId="12800" xr:uid="{00000000-0005-0000-0000-000018560000}"/>
    <cellStyle name="표준 5 2 3 5 2 2 3 5" xfId="17040" xr:uid="{00000000-0005-0000-0000-000019560000}"/>
    <cellStyle name="표준 5 2 3 5 2 2 3 6" xfId="21202" xr:uid="{00000000-0005-0000-0000-00001A560000}"/>
    <cellStyle name="표준 5 2 3 5 2 2 3 7" xfId="25298" xr:uid="{00000000-0005-0000-0000-00001B560000}"/>
    <cellStyle name="표준 5 2 3 5 2 2 3 8" xfId="33509" xr:uid="{00000000-0005-0000-0000-00001C560000}"/>
    <cellStyle name="표준 5 2 3 5 2 2 3 9" xfId="41702" xr:uid="{00000000-0005-0000-0000-00001D560000}"/>
    <cellStyle name="표준 5 2 3 5 2 2 4" xfId="2345" xr:uid="{00000000-0005-0000-0000-00001E560000}"/>
    <cellStyle name="표준 5 2 3 5 2 2 4 2" xfId="11248" xr:uid="{00000000-0005-0000-0000-00001F560000}"/>
    <cellStyle name="표준 5 2 3 5 2 2 4 2 2" xfId="15360" xr:uid="{00000000-0005-0000-0000-000020560000}"/>
    <cellStyle name="표준 5 2 3 5 2 2 4 2 2 2" xfId="31954" xr:uid="{00000000-0005-0000-0000-000021560000}"/>
    <cellStyle name="표준 5 2 3 5 2 2 4 2 2 3" xfId="40165" xr:uid="{00000000-0005-0000-0000-000022560000}"/>
    <cellStyle name="표준 5 2 3 5 2 2 4 2 2 4" xfId="48358" xr:uid="{00000000-0005-0000-0000-000023560000}"/>
    <cellStyle name="표준 5 2 3 5 2 2 4 2 3" xfId="19600" xr:uid="{00000000-0005-0000-0000-000024560000}"/>
    <cellStyle name="표준 5 2 3 5 2 2 4 2 4" xfId="23762" xr:uid="{00000000-0005-0000-0000-000025560000}"/>
    <cellStyle name="표준 5 2 3 5 2 2 4 2 5" xfId="27858" xr:uid="{00000000-0005-0000-0000-000026560000}"/>
    <cellStyle name="표준 5 2 3 5 2 2 4 2 6" xfId="36069" xr:uid="{00000000-0005-0000-0000-000027560000}"/>
    <cellStyle name="표준 5 2 3 5 2 2 4 2 7" xfId="44262" xr:uid="{00000000-0005-0000-0000-000028560000}"/>
    <cellStyle name="표준 5 2 3 5 2 2 4 3" xfId="9200" xr:uid="{00000000-0005-0000-0000-000029560000}"/>
    <cellStyle name="표준 5 2 3 5 2 2 4 3 2" xfId="29906" xr:uid="{00000000-0005-0000-0000-00002A560000}"/>
    <cellStyle name="표준 5 2 3 5 2 2 4 3 3" xfId="38117" xr:uid="{00000000-0005-0000-0000-00002B560000}"/>
    <cellStyle name="표준 5 2 3 5 2 2 4 3 4" xfId="46310" xr:uid="{00000000-0005-0000-0000-00002C560000}"/>
    <cellStyle name="표준 5 2 3 5 2 2 4 4" xfId="13312" xr:uid="{00000000-0005-0000-0000-00002D560000}"/>
    <cellStyle name="표준 5 2 3 5 2 2 4 5" xfId="17552" xr:uid="{00000000-0005-0000-0000-00002E560000}"/>
    <cellStyle name="표준 5 2 3 5 2 2 4 6" xfId="21714" xr:uid="{00000000-0005-0000-0000-00002F560000}"/>
    <cellStyle name="표준 5 2 3 5 2 2 4 7" xfId="25810" xr:uid="{00000000-0005-0000-0000-000030560000}"/>
    <cellStyle name="표준 5 2 3 5 2 2 4 8" xfId="34021" xr:uid="{00000000-0005-0000-0000-000031560000}"/>
    <cellStyle name="표준 5 2 3 5 2 2 4 9" xfId="42214" xr:uid="{00000000-0005-0000-0000-000032560000}"/>
    <cellStyle name="표준 5 2 3 5 2 2 5" xfId="9712" xr:uid="{00000000-0005-0000-0000-000033560000}"/>
    <cellStyle name="표준 5 2 3 5 2 2 5 2" xfId="13824" xr:uid="{00000000-0005-0000-0000-000034560000}"/>
    <cellStyle name="표준 5 2 3 5 2 2 5 2 2" xfId="30418" xr:uid="{00000000-0005-0000-0000-000035560000}"/>
    <cellStyle name="표준 5 2 3 5 2 2 5 2 3" xfId="38629" xr:uid="{00000000-0005-0000-0000-000036560000}"/>
    <cellStyle name="표준 5 2 3 5 2 2 5 2 4" xfId="46822" xr:uid="{00000000-0005-0000-0000-000037560000}"/>
    <cellStyle name="표준 5 2 3 5 2 2 5 3" xfId="18064" xr:uid="{00000000-0005-0000-0000-000038560000}"/>
    <cellStyle name="표준 5 2 3 5 2 2 5 4" xfId="22226" xr:uid="{00000000-0005-0000-0000-000039560000}"/>
    <cellStyle name="표준 5 2 3 5 2 2 5 5" xfId="26322" xr:uid="{00000000-0005-0000-0000-00003A560000}"/>
    <cellStyle name="표준 5 2 3 5 2 2 5 6" xfId="34533" xr:uid="{00000000-0005-0000-0000-00003B560000}"/>
    <cellStyle name="표준 5 2 3 5 2 2 5 7" xfId="42726" xr:uid="{00000000-0005-0000-0000-00003C560000}"/>
    <cellStyle name="표준 5 2 3 5 2 2 6" xfId="7664" xr:uid="{00000000-0005-0000-0000-00003D560000}"/>
    <cellStyle name="표준 5 2 3 5 2 2 6 2" xfId="28370" xr:uid="{00000000-0005-0000-0000-00003E560000}"/>
    <cellStyle name="표준 5 2 3 5 2 2 6 3" xfId="36581" xr:uid="{00000000-0005-0000-0000-00003F560000}"/>
    <cellStyle name="표준 5 2 3 5 2 2 6 4" xfId="44774" xr:uid="{00000000-0005-0000-0000-000040560000}"/>
    <cellStyle name="표준 5 2 3 5 2 2 7" xfId="11776" xr:uid="{00000000-0005-0000-0000-000041560000}"/>
    <cellStyle name="표준 5 2 3 5 2 2 8" xfId="16016" xr:uid="{00000000-0005-0000-0000-000042560000}"/>
    <cellStyle name="표준 5 2 3 5 2 2 9" xfId="20178" xr:uid="{00000000-0005-0000-0000-000043560000}"/>
    <cellStyle name="표준 5 2 3 5 2 3" xfId="1065" xr:uid="{00000000-0005-0000-0000-000044560000}"/>
    <cellStyle name="표준 5 2 3 5 2 3 2" xfId="9968" xr:uid="{00000000-0005-0000-0000-000045560000}"/>
    <cellStyle name="표준 5 2 3 5 2 3 2 2" xfId="14080" xr:uid="{00000000-0005-0000-0000-000046560000}"/>
    <cellStyle name="표준 5 2 3 5 2 3 2 2 2" xfId="30674" xr:uid="{00000000-0005-0000-0000-000047560000}"/>
    <cellStyle name="표준 5 2 3 5 2 3 2 2 3" xfId="38885" xr:uid="{00000000-0005-0000-0000-000048560000}"/>
    <cellStyle name="표준 5 2 3 5 2 3 2 2 4" xfId="47078" xr:uid="{00000000-0005-0000-0000-000049560000}"/>
    <cellStyle name="표준 5 2 3 5 2 3 2 3" xfId="18320" xr:uid="{00000000-0005-0000-0000-00004A560000}"/>
    <cellStyle name="표준 5 2 3 5 2 3 2 4" xfId="22482" xr:uid="{00000000-0005-0000-0000-00004B560000}"/>
    <cellStyle name="표준 5 2 3 5 2 3 2 5" xfId="26578" xr:uid="{00000000-0005-0000-0000-00004C560000}"/>
    <cellStyle name="표준 5 2 3 5 2 3 2 6" xfId="34789" xr:uid="{00000000-0005-0000-0000-00004D560000}"/>
    <cellStyle name="표준 5 2 3 5 2 3 2 7" xfId="42982" xr:uid="{00000000-0005-0000-0000-00004E560000}"/>
    <cellStyle name="표준 5 2 3 5 2 3 3" xfId="7920" xr:uid="{00000000-0005-0000-0000-00004F560000}"/>
    <cellStyle name="표준 5 2 3 5 2 3 3 2" xfId="28626" xr:uid="{00000000-0005-0000-0000-000050560000}"/>
    <cellStyle name="표준 5 2 3 5 2 3 3 3" xfId="36837" xr:uid="{00000000-0005-0000-0000-000051560000}"/>
    <cellStyle name="표준 5 2 3 5 2 3 3 4" xfId="45030" xr:uid="{00000000-0005-0000-0000-000052560000}"/>
    <cellStyle name="표준 5 2 3 5 2 3 4" xfId="12032" xr:uid="{00000000-0005-0000-0000-000053560000}"/>
    <cellStyle name="표준 5 2 3 5 2 3 5" xfId="16272" xr:uid="{00000000-0005-0000-0000-000054560000}"/>
    <cellStyle name="표준 5 2 3 5 2 3 6" xfId="20434" xr:uid="{00000000-0005-0000-0000-000055560000}"/>
    <cellStyle name="표준 5 2 3 5 2 3 7" xfId="24530" xr:uid="{00000000-0005-0000-0000-000056560000}"/>
    <cellStyle name="표준 5 2 3 5 2 3 8" xfId="32741" xr:uid="{00000000-0005-0000-0000-000057560000}"/>
    <cellStyle name="표준 5 2 3 5 2 3 9" xfId="40934" xr:uid="{00000000-0005-0000-0000-000058560000}"/>
    <cellStyle name="표준 5 2 3 5 2 4" xfId="1577" xr:uid="{00000000-0005-0000-0000-000059560000}"/>
    <cellStyle name="표준 5 2 3 5 2 4 2" xfId="10480" xr:uid="{00000000-0005-0000-0000-00005A560000}"/>
    <cellStyle name="표준 5 2 3 5 2 4 2 2" xfId="14592" xr:uid="{00000000-0005-0000-0000-00005B560000}"/>
    <cellStyle name="표준 5 2 3 5 2 4 2 2 2" xfId="31186" xr:uid="{00000000-0005-0000-0000-00005C560000}"/>
    <cellStyle name="표준 5 2 3 5 2 4 2 2 3" xfId="39397" xr:uid="{00000000-0005-0000-0000-00005D560000}"/>
    <cellStyle name="표준 5 2 3 5 2 4 2 2 4" xfId="47590" xr:uid="{00000000-0005-0000-0000-00005E560000}"/>
    <cellStyle name="표준 5 2 3 5 2 4 2 3" xfId="18832" xr:uid="{00000000-0005-0000-0000-00005F560000}"/>
    <cellStyle name="표준 5 2 3 5 2 4 2 4" xfId="22994" xr:uid="{00000000-0005-0000-0000-000060560000}"/>
    <cellStyle name="표준 5 2 3 5 2 4 2 5" xfId="27090" xr:uid="{00000000-0005-0000-0000-000061560000}"/>
    <cellStyle name="표준 5 2 3 5 2 4 2 6" xfId="35301" xr:uid="{00000000-0005-0000-0000-000062560000}"/>
    <cellStyle name="표준 5 2 3 5 2 4 2 7" xfId="43494" xr:uid="{00000000-0005-0000-0000-000063560000}"/>
    <cellStyle name="표준 5 2 3 5 2 4 3" xfId="8432" xr:uid="{00000000-0005-0000-0000-000064560000}"/>
    <cellStyle name="표준 5 2 3 5 2 4 3 2" xfId="29138" xr:uid="{00000000-0005-0000-0000-000065560000}"/>
    <cellStyle name="표준 5 2 3 5 2 4 3 3" xfId="37349" xr:uid="{00000000-0005-0000-0000-000066560000}"/>
    <cellStyle name="표준 5 2 3 5 2 4 3 4" xfId="45542" xr:uid="{00000000-0005-0000-0000-000067560000}"/>
    <cellStyle name="표준 5 2 3 5 2 4 4" xfId="12544" xr:uid="{00000000-0005-0000-0000-000068560000}"/>
    <cellStyle name="표준 5 2 3 5 2 4 5" xfId="16784" xr:uid="{00000000-0005-0000-0000-000069560000}"/>
    <cellStyle name="표준 5 2 3 5 2 4 6" xfId="20946" xr:uid="{00000000-0005-0000-0000-00006A560000}"/>
    <cellStyle name="표준 5 2 3 5 2 4 7" xfId="25042" xr:uid="{00000000-0005-0000-0000-00006B560000}"/>
    <cellStyle name="표준 5 2 3 5 2 4 8" xfId="33253" xr:uid="{00000000-0005-0000-0000-00006C560000}"/>
    <cellStyle name="표준 5 2 3 5 2 4 9" xfId="41446" xr:uid="{00000000-0005-0000-0000-00006D560000}"/>
    <cellStyle name="표준 5 2 3 5 2 5" xfId="2089" xr:uid="{00000000-0005-0000-0000-00006E560000}"/>
    <cellStyle name="표준 5 2 3 5 2 5 2" xfId="10992" xr:uid="{00000000-0005-0000-0000-00006F560000}"/>
    <cellStyle name="표준 5 2 3 5 2 5 2 2" xfId="15104" xr:uid="{00000000-0005-0000-0000-000070560000}"/>
    <cellStyle name="표준 5 2 3 5 2 5 2 2 2" xfId="31698" xr:uid="{00000000-0005-0000-0000-000071560000}"/>
    <cellStyle name="표준 5 2 3 5 2 5 2 2 3" xfId="39909" xr:uid="{00000000-0005-0000-0000-000072560000}"/>
    <cellStyle name="표준 5 2 3 5 2 5 2 2 4" xfId="48102" xr:uid="{00000000-0005-0000-0000-000073560000}"/>
    <cellStyle name="표준 5 2 3 5 2 5 2 3" xfId="19344" xr:uid="{00000000-0005-0000-0000-000074560000}"/>
    <cellStyle name="표준 5 2 3 5 2 5 2 4" xfId="23506" xr:uid="{00000000-0005-0000-0000-000075560000}"/>
    <cellStyle name="표준 5 2 3 5 2 5 2 5" xfId="27602" xr:uid="{00000000-0005-0000-0000-000076560000}"/>
    <cellStyle name="표준 5 2 3 5 2 5 2 6" xfId="35813" xr:uid="{00000000-0005-0000-0000-000077560000}"/>
    <cellStyle name="표준 5 2 3 5 2 5 2 7" xfId="44006" xr:uid="{00000000-0005-0000-0000-000078560000}"/>
    <cellStyle name="표준 5 2 3 5 2 5 3" xfId="8944" xr:uid="{00000000-0005-0000-0000-000079560000}"/>
    <cellStyle name="표준 5 2 3 5 2 5 3 2" xfId="29650" xr:uid="{00000000-0005-0000-0000-00007A560000}"/>
    <cellStyle name="표준 5 2 3 5 2 5 3 3" xfId="37861" xr:uid="{00000000-0005-0000-0000-00007B560000}"/>
    <cellStyle name="표준 5 2 3 5 2 5 3 4" xfId="46054" xr:uid="{00000000-0005-0000-0000-00007C560000}"/>
    <cellStyle name="표준 5 2 3 5 2 5 4" xfId="13056" xr:uid="{00000000-0005-0000-0000-00007D560000}"/>
    <cellStyle name="표준 5 2 3 5 2 5 5" xfId="17296" xr:uid="{00000000-0005-0000-0000-00007E560000}"/>
    <cellStyle name="표준 5 2 3 5 2 5 6" xfId="21458" xr:uid="{00000000-0005-0000-0000-00007F560000}"/>
    <cellStyle name="표준 5 2 3 5 2 5 7" xfId="25554" xr:uid="{00000000-0005-0000-0000-000080560000}"/>
    <cellStyle name="표준 5 2 3 5 2 5 8" xfId="33765" xr:uid="{00000000-0005-0000-0000-000081560000}"/>
    <cellStyle name="표준 5 2 3 5 2 5 9" xfId="41958" xr:uid="{00000000-0005-0000-0000-000082560000}"/>
    <cellStyle name="표준 5 2 3 5 2 6" xfId="9456" xr:uid="{00000000-0005-0000-0000-000083560000}"/>
    <cellStyle name="표준 5 2 3 5 2 6 2" xfId="13568" xr:uid="{00000000-0005-0000-0000-000084560000}"/>
    <cellStyle name="표준 5 2 3 5 2 6 2 2" xfId="30162" xr:uid="{00000000-0005-0000-0000-000085560000}"/>
    <cellStyle name="표준 5 2 3 5 2 6 2 3" xfId="38373" xr:uid="{00000000-0005-0000-0000-000086560000}"/>
    <cellStyle name="표준 5 2 3 5 2 6 2 4" xfId="46566" xr:uid="{00000000-0005-0000-0000-000087560000}"/>
    <cellStyle name="표준 5 2 3 5 2 6 3" xfId="17808" xr:uid="{00000000-0005-0000-0000-000088560000}"/>
    <cellStyle name="표준 5 2 3 5 2 6 4" xfId="21970" xr:uid="{00000000-0005-0000-0000-000089560000}"/>
    <cellStyle name="표준 5 2 3 5 2 6 5" xfId="26066" xr:uid="{00000000-0005-0000-0000-00008A560000}"/>
    <cellStyle name="표준 5 2 3 5 2 6 6" xfId="34277" xr:uid="{00000000-0005-0000-0000-00008B560000}"/>
    <cellStyle name="표준 5 2 3 5 2 6 7" xfId="42470" xr:uid="{00000000-0005-0000-0000-00008C560000}"/>
    <cellStyle name="표준 5 2 3 5 2 7" xfId="7408" xr:uid="{00000000-0005-0000-0000-00008D560000}"/>
    <cellStyle name="표준 5 2 3 5 2 7 2" xfId="28114" xr:uid="{00000000-0005-0000-0000-00008E560000}"/>
    <cellStyle name="표준 5 2 3 5 2 7 3" xfId="36325" xr:uid="{00000000-0005-0000-0000-00008F560000}"/>
    <cellStyle name="표준 5 2 3 5 2 7 4" xfId="44518" xr:uid="{00000000-0005-0000-0000-000090560000}"/>
    <cellStyle name="표준 5 2 3 5 2 8" xfId="11520" xr:uid="{00000000-0005-0000-0000-000091560000}"/>
    <cellStyle name="표준 5 2 3 5 2 9" xfId="15760" xr:uid="{00000000-0005-0000-0000-000092560000}"/>
    <cellStyle name="표준 5 2 3 5 3" xfId="681" xr:uid="{00000000-0005-0000-0000-000093560000}"/>
    <cellStyle name="표준 5 2 3 5 3 10" xfId="24146" xr:uid="{00000000-0005-0000-0000-000094560000}"/>
    <cellStyle name="표준 5 2 3 5 3 11" xfId="32357" xr:uid="{00000000-0005-0000-0000-000095560000}"/>
    <cellStyle name="표준 5 2 3 5 3 12" xfId="40550" xr:uid="{00000000-0005-0000-0000-000096560000}"/>
    <cellStyle name="표준 5 2 3 5 3 2" xfId="1193" xr:uid="{00000000-0005-0000-0000-000097560000}"/>
    <cellStyle name="표준 5 2 3 5 3 2 2" xfId="10096" xr:uid="{00000000-0005-0000-0000-000098560000}"/>
    <cellStyle name="표준 5 2 3 5 3 2 2 2" xfId="14208" xr:uid="{00000000-0005-0000-0000-000099560000}"/>
    <cellStyle name="표준 5 2 3 5 3 2 2 2 2" xfId="30802" xr:uid="{00000000-0005-0000-0000-00009A560000}"/>
    <cellStyle name="표준 5 2 3 5 3 2 2 2 3" xfId="39013" xr:uid="{00000000-0005-0000-0000-00009B560000}"/>
    <cellStyle name="표준 5 2 3 5 3 2 2 2 4" xfId="47206" xr:uid="{00000000-0005-0000-0000-00009C560000}"/>
    <cellStyle name="표준 5 2 3 5 3 2 2 3" xfId="18448" xr:uid="{00000000-0005-0000-0000-00009D560000}"/>
    <cellStyle name="표준 5 2 3 5 3 2 2 4" xfId="22610" xr:uid="{00000000-0005-0000-0000-00009E560000}"/>
    <cellStyle name="표준 5 2 3 5 3 2 2 5" xfId="26706" xr:uid="{00000000-0005-0000-0000-00009F560000}"/>
    <cellStyle name="표준 5 2 3 5 3 2 2 6" xfId="34917" xr:uid="{00000000-0005-0000-0000-0000A0560000}"/>
    <cellStyle name="표준 5 2 3 5 3 2 2 7" xfId="43110" xr:uid="{00000000-0005-0000-0000-0000A1560000}"/>
    <cellStyle name="표준 5 2 3 5 3 2 3" xfId="8048" xr:uid="{00000000-0005-0000-0000-0000A2560000}"/>
    <cellStyle name="표준 5 2 3 5 3 2 3 2" xfId="28754" xr:uid="{00000000-0005-0000-0000-0000A3560000}"/>
    <cellStyle name="표준 5 2 3 5 3 2 3 3" xfId="36965" xr:uid="{00000000-0005-0000-0000-0000A4560000}"/>
    <cellStyle name="표준 5 2 3 5 3 2 3 4" xfId="45158" xr:uid="{00000000-0005-0000-0000-0000A5560000}"/>
    <cellStyle name="표준 5 2 3 5 3 2 4" xfId="12160" xr:uid="{00000000-0005-0000-0000-0000A6560000}"/>
    <cellStyle name="표준 5 2 3 5 3 2 5" xfId="16400" xr:uid="{00000000-0005-0000-0000-0000A7560000}"/>
    <cellStyle name="표준 5 2 3 5 3 2 6" xfId="20562" xr:uid="{00000000-0005-0000-0000-0000A8560000}"/>
    <cellStyle name="표준 5 2 3 5 3 2 7" xfId="24658" xr:uid="{00000000-0005-0000-0000-0000A9560000}"/>
    <cellStyle name="표준 5 2 3 5 3 2 8" xfId="32869" xr:uid="{00000000-0005-0000-0000-0000AA560000}"/>
    <cellStyle name="표준 5 2 3 5 3 2 9" xfId="41062" xr:uid="{00000000-0005-0000-0000-0000AB560000}"/>
    <cellStyle name="표준 5 2 3 5 3 3" xfId="1705" xr:uid="{00000000-0005-0000-0000-0000AC560000}"/>
    <cellStyle name="표준 5 2 3 5 3 3 2" xfId="10608" xr:uid="{00000000-0005-0000-0000-0000AD560000}"/>
    <cellStyle name="표준 5 2 3 5 3 3 2 2" xfId="14720" xr:uid="{00000000-0005-0000-0000-0000AE560000}"/>
    <cellStyle name="표준 5 2 3 5 3 3 2 2 2" xfId="31314" xr:uid="{00000000-0005-0000-0000-0000AF560000}"/>
    <cellStyle name="표준 5 2 3 5 3 3 2 2 3" xfId="39525" xr:uid="{00000000-0005-0000-0000-0000B0560000}"/>
    <cellStyle name="표준 5 2 3 5 3 3 2 2 4" xfId="47718" xr:uid="{00000000-0005-0000-0000-0000B1560000}"/>
    <cellStyle name="표준 5 2 3 5 3 3 2 3" xfId="18960" xr:uid="{00000000-0005-0000-0000-0000B2560000}"/>
    <cellStyle name="표준 5 2 3 5 3 3 2 4" xfId="23122" xr:uid="{00000000-0005-0000-0000-0000B3560000}"/>
    <cellStyle name="표준 5 2 3 5 3 3 2 5" xfId="27218" xr:uid="{00000000-0005-0000-0000-0000B4560000}"/>
    <cellStyle name="표준 5 2 3 5 3 3 2 6" xfId="35429" xr:uid="{00000000-0005-0000-0000-0000B5560000}"/>
    <cellStyle name="표준 5 2 3 5 3 3 2 7" xfId="43622" xr:uid="{00000000-0005-0000-0000-0000B6560000}"/>
    <cellStyle name="표준 5 2 3 5 3 3 3" xfId="8560" xr:uid="{00000000-0005-0000-0000-0000B7560000}"/>
    <cellStyle name="표준 5 2 3 5 3 3 3 2" xfId="29266" xr:uid="{00000000-0005-0000-0000-0000B8560000}"/>
    <cellStyle name="표준 5 2 3 5 3 3 3 3" xfId="37477" xr:uid="{00000000-0005-0000-0000-0000B9560000}"/>
    <cellStyle name="표준 5 2 3 5 3 3 3 4" xfId="45670" xr:uid="{00000000-0005-0000-0000-0000BA560000}"/>
    <cellStyle name="표준 5 2 3 5 3 3 4" xfId="12672" xr:uid="{00000000-0005-0000-0000-0000BB560000}"/>
    <cellStyle name="표준 5 2 3 5 3 3 5" xfId="16912" xr:uid="{00000000-0005-0000-0000-0000BC560000}"/>
    <cellStyle name="표준 5 2 3 5 3 3 6" xfId="21074" xr:uid="{00000000-0005-0000-0000-0000BD560000}"/>
    <cellStyle name="표준 5 2 3 5 3 3 7" xfId="25170" xr:uid="{00000000-0005-0000-0000-0000BE560000}"/>
    <cellStyle name="표준 5 2 3 5 3 3 8" xfId="33381" xr:uid="{00000000-0005-0000-0000-0000BF560000}"/>
    <cellStyle name="표준 5 2 3 5 3 3 9" xfId="41574" xr:uid="{00000000-0005-0000-0000-0000C0560000}"/>
    <cellStyle name="표준 5 2 3 5 3 4" xfId="2217" xr:uid="{00000000-0005-0000-0000-0000C1560000}"/>
    <cellStyle name="표준 5 2 3 5 3 4 2" xfId="11120" xr:uid="{00000000-0005-0000-0000-0000C2560000}"/>
    <cellStyle name="표준 5 2 3 5 3 4 2 2" xfId="15232" xr:uid="{00000000-0005-0000-0000-0000C3560000}"/>
    <cellStyle name="표준 5 2 3 5 3 4 2 2 2" xfId="31826" xr:uid="{00000000-0005-0000-0000-0000C4560000}"/>
    <cellStyle name="표준 5 2 3 5 3 4 2 2 3" xfId="40037" xr:uid="{00000000-0005-0000-0000-0000C5560000}"/>
    <cellStyle name="표준 5 2 3 5 3 4 2 2 4" xfId="48230" xr:uid="{00000000-0005-0000-0000-0000C6560000}"/>
    <cellStyle name="표준 5 2 3 5 3 4 2 3" xfId="19472" xr:uid="{00000000-0005-0000-0000-0000C7560000}"/>
    <cellStyle name="표준 5 2 3 5 3 4 2 4" xfId="23634" xr:uid="{00000000-0005-0000-0000-0000C8560000}"/>
    <cellStyle name="표준 5 2 3 5 3 4 2 5" xfId="27730" xr:uid="{00000000-0005-0000-0000-0000C9560000}"/>
    <cellStyle name="표준 5 2 3 5 3 4 2 6" xfId="35941" xr:uid="{00000000-0005-0000-0000-0000CA560000}"/>
    <cellStyle name="표준 5 2 3 5 3 4 2 7" xfId="44134" xr:uid="{00000000-0005-0000-0000-0000CB560000}"/>
    <cellStyle name="표준 5 2 3 5 3 4 3" xfId="9072" xr:uid="{00000000-0005-0000-0000-0000CC560000}"/>
    <cellStyle name="표준 5 2 3 5 3 4 3 2" xfId="29778" xr:uid="{00000000-0005-0000-0000-0000CD560000}"/>
    <cellStyle name="표준 5 2 3 5 3 4 3 3" xfId="37989" xr:uid="{00000000-0005-0000-0000-0000CE560000}"/>
    <cellStyle name="표준 5 2 3 5 3 4 3 4" xfId="46182" xr:uid="{00000000-0005-0000-0000-0000CF560000}"/>
    <cellStyle name="표준 5 2 3 5 3 4 4" xfId="13184" xr:uid="{00000000-0005-0000-0000-0000D0560000}"/>
    <cellStyle name="표준 5 2 3 5 3 4 5" xfId="17424" xr:uid="{00000000-0005-0000-0000-0000D1560000}"/>
    <cellStyle name="표준 5 2 3 5 3 4 6" xfId="21586" xr:uid="{00000000-0005-0000-0000-0000D2560000}"/>
    <cellStyle name="표준 5 2 3 5 3 4 7" xfId="25682" xr:uid="{00000000-0005-0000-0000-0000D3560000}"/>
    <cellStyle name="표준 5 2 3 5 3 4 8" xfId="33893" xr:uid="{00000000-0005-0000-0000-0000D4560000}"/>
    <cellStyle name="표준 5 2 3 5 3 4 9" xfId="42086" xr:uid="{00000000-0005-0000-0000-0000D5560000}"/>
    <cellStyle name="표준 5 2 3 5 3 5" xfId="9584" xr:uid="{00000000-0005-0000-0000-0000D6560000}"/>
    <cellStyle name="표준 5 2 3 5 3 5 2" xfId="13696" xr:uid="{00000000-0005-0000-0000-0000D7560000}"/>
    <cellStyle name="표준 5 2 3 5 3 5 2 2" xfId="30290" xr:uid="{00000000-0005-0000-0000-0000D8560000}"/>
    <cellStyle name="표준 5 2 3 5 3 5 2 3" xfId="38501" xr:uid="{00000000-0005-0000-0000-0000D9560000}"/>
    <cellStyle name="표준 5 2 3 5 3 5 2 4" xfId="46694" xr:uid="{00000000-0005-0000-0000-0000DA560000}"/>
    <cellStyle name="표준 5 2 3 5 3 5 3" xfId="17936" xr:uid="{00000000-0005-0000-0000-0000DB560000}"/>
    <cellStyle name="표준 5 2 3 5 3 5 4" xfId="22098" xr:uid="{00000000-0005-0000-0000-0000DC560000}"/>
    <cellStyle name="표준 5 2 3 5 3 5 5" xfId="26194" xr:uid="{00000000-0005-0000-0000-0000DD560000}"/>
    <cellStyle name="표준 5 2 3 5 3 5 6" xfId="34405" xr:uid="{00000000-0005-0000-0000-0000DE560000}"/>
    <cellStyle name="표준 5 2 3 5 3 5 7" xfId="42598" xr:uid="{00000000-0005-0000-0000-0000DF560000}"/>
    <cellStyle name="표준 5 2 3 5 3 6" xfId="7536" xr:uid="{00000000-0005-0000-0000-0000E0560000}"/>
    <cellStyle name="표준 5 2 3 5 3 6 2" xfId="28242" xr:uid="{00000000-0005-0000-0000-0000E1560000}"/>
    <cellStyle name="표준 5 2 3 5 3 6 3" xfId="36453" xr:uid="{00000000-0005-0000-0000-0000E2560000}"/>
    <cellStyle name="표준 5 2 3 5 3 6 4" xfId="44646" xr:uid="{00000000-0005-0000-0000-0000E3560000}"/>
    <cellStyle name="표준 5 2 3 5 3 7" xfId="11648" xr:uid="{00000000-0005-0000-0000-0000E4560000}"/>
    <cellStyle name="표준 5 2 3 5 3 8" xfId="15888" xr:uid="{00000000-0005-0000-0000-0000E5560000}"/>
    <cellStyle name="표준 5 2 3 5 3 9" xfId="20050" xr:uid="{00000000-0005-0000-0000-0000E6560000}"/>
    <cellStyle name="표준 5 2 3 5 4" xfId="937" xr:uid="{00000000-0005-0000-0000-0000E7560000}"/>
    <cellStyle name="표준 5 2 3 5 4 2" xfId="9840" xr:uid="{00000000-0005-0000-0000-0000E8560000}"/>
    <cellStyle name="표준 5 2 3 5 4 2 2" xfId="13952" xr:uid="{00000000-0005-0000-0000-0000E9560000}"/>
    <cellStyle name="표준 5 2 3 5 4 2 2 2" xfId="30546" xr:uid="{00000000-0005-0000-0000-0000EA560000}"/>
    <cellStyle name="표준 5 2 3 5 4 2 2 3" xfId="38757" xr:uid="{00000000-0005-0000-0000-0000EB560000}"/>
    <cellStyle name="표준 5 2 3 5 4 2 2 4" xfId="46950" xr:uid="{00000000-0005-0000-0000-0000EC560000}"/>
    <cellStyle name="표준 5 2 3 5 4 2 3" xfId="18192" xr:uid="{00000000-0005-0000-0000-0000ED560000}"/>
    <cellStyle name="표준 5 2 3 5 4 2 4" xfId="22354" xr:uid="{00000000-0005-0000-0000-0000EE560000}"/>
    <cellStyle name="표준 5 2 3 5 4 2 5" xfId="26450" xr:uid="{00000000-0005-0000-0000-0000EF560000}"/>
    <cellStyle name="표준 5 2 3 5 4 2 6" xfId="34661" xr:uid="{00000000-0005-0000-0000-0000F0560000}"/>
    <cellStyle name="표준 5 2 3 5 4 2 7" xfId="42854" xr:uid="{00000000-0005-0000-0000-0000F1560000}"/>
    <cellStyle name="표준 5 2 3 5 4 3" xfId="7792" xr:uid="{00000000-0005-0000-0000-0000F2560000}"/>
    <cellStyle name="표준 5 2 3 5 4 3 2" xfId="28498" xr:uid="{00000000-0005-0000-0000-0000F3560000}"/>
    <cellStyle name="표준 5 2 3 5 4 3 3" xfId="36709" xr:uid="{00000000-0005-0000-0000-0000F4560000}"/>
    <cellStyle name="표준 5 2 3 5 4 3 4" xfId="44902" xr:uid="{00000000-0005-0000-0000-0000F5560000}"/>
    <cellStyle name="표준 5 2 3 5 4 4" xfId="11904" xr:uid="{00000000-0005-0000-0000-0000F6560000}"/>
    <cellStyle name="표준 5 2 3 5 4 5" xfId="16144" xr:uid="{00000000-0005-0000-0000-0000F7560000}"/>
    <cellStyle name="표준 5 2 3 5 4 6" xfId="20306" xr:uid="{00000000-0005-0000-0000-0000F8560000}"/>
    <cellStyle name="표준 5 2 3 5 4 7" xfId="24402" xr:uid="{00000000-0005-0000-0000-0000F9560000}"/>
    <cellStyle name="표준 5 2 3 5 4 8" xfId="32613" xr:uid="{00000000-0005-0000-0000-0000FA560000}"/>
    <cellStyle name="표준 5 2 3 5 4 9" xfId="40806" xr:uid="{00000000-0005-0000-0000-0000FB560000}"/>
    <cellStyle name="표준 5 2 3 5 5" xfId="1449" xr:uid="{00000000-0005-0000-0000-0000FC560000}"/>
    <cellStyle name="표준 5 2 3 5 5 2" xfId="10352" xr:uid="{00000000-0005-0000-0000-0000FD560000}"/>
    <cellStyle name="표준 5 2 3 5 5 2 2" xfId="14464" xr:uid="{00000000-0005-0000-0000-0000FE560000}"/>
    <cellStyle name="표준 5 2 3 5 5 2 2 2" xfId="31058" xr:uid="{00000000-0005-0000-0000-0000FF560000}"/>
    <cellStyle name="표준 5 2 3 5 5 2 2 3" xfId="39269" xr:uid="{00000000-0005-0000-0000-000000570000}"/>
    <cellStyle name="표준 5 2 3 5 5 2 2 4" xfId="47462" xr:uid="{00000000-0005-0000-0000-000001570000}"/>
    <cellStyle name="표준 5 2 3 5 5 2 3" xfId="18704" xr:uid="{00000000-0005-0000-0000-000002570000}"/>
    <cellStyle name="표준 5 2 3 5 5 2 4" xfId="22866" xr:uid="{00000000-0005-0000-0000-000003570000}"/>
    <cellStyle name="표준 5 2 3 5 5 2 5" xfId="26962" xr:uid="{00000000-0005-0000-0000-000004570000}"/>
    <cellStyle name="표준 5 2 3 5 5 2 6" xfId="35173" xr:uid="{00000000-0005-0000-0000-000005570000}"/>
    <cellStyle name="표준 5 2 3 5 5 2 7" xfId="43366" xr:uid="{00000000-0005-0000-0000-000006570000}"/>
    <cellStyle name="표준 5 2 3 5 5 3" xfId="8304" xr:uid="{00000000-0005-0000-0000-000007570000}"/>
    <cellStyle name="표준 5 2 3 5 5 3 2" xfId="29010" xr:uid="{00000000-0005-0000-0000-000008570000}"/>
    <cellStyle name="표준 5 2 3 5 5 3 3" xfId="37221" xr:uid="{00000000-0005-0000-0000-000009570000}"/>
    <cellStyle name="표준 5 2 3 5 5 3 4" xfId="45414" xr:uid="{00000000-0005-0000-0000-00000A570000}"/>
    <cellStyle name="표준 5 2 3 5 5 4" xfId="12416" xr:uid="{00000000-0005-0000-0000-00000B570000}"/>
    <cellStyle name="표준 5 2 3 5 5 5" xfId="16656" xr:uid="{00000000-0005-0000-0000-00000C570000}"/>
    <cellStyle name="표준 5 2 3 5 5 6" xfId="20818" xr:uid="{00000000-0005-0000-0000-00000D570000}"/>
    <cellStyle name="표준 5 2 3 5 5 7" xfId="24914" xr:uid="{00000000-0005-0000-0000-00000E570000}"/>
    <cellStyle name="표준 5 2 3 5 5 8" xfId="33125" xr:uid="{00000000-0005-0000-0000-00000F570000}"/>
    <cellStyle name="표준 5 2 3 5 5 9" xfId="41318" xr:uid="{00000000-0005-0000-0000-000010570000}"/>
    <cellStyle name="표준 5 2 3 5 6" xfId="1961" xr:uid="{00000000-0005-0000-0000-000011570000}"/>
    <cellStyle name="표준 5 2 3 5 6 2" xfId="10864" xr:uid="{00000000-0005-0000-0000-000012570000}"/>
    <cellStyle name="표준 5 2 3 5 6 2 2" xfId="14976" xr:uid="{00000000-0005-0000-0000-000013570000}"/>
    <cellStyle name="표준 5 2 3 5 6 2 2 2" xfId="31570" xr:uid="{00000000-0005-0000-0000-000014570000}"/>
    <cellStyle name="표준 5 2 3 5 6 2 2 3" xfId="39781" xr:uid="{00000000-0005-0000-0000-000015570000}"/>
    <cellStyle name="표준 5 2 3 5 6 2 2 4" xfId="47974" xr:uid="{00000000-0005-0000-0000-000016570000}"/>
    <cellStyle name="표준 5 2 3 5 6 2 3" xfId="19216" xr:uid="{00000000-0005-0000-0000-000017570000}"/>
    <cellStyle name="표준 5 2 3 5 6 2 4" xfId="23378" xr:uid="{00000000-0005-0000-0000-000018570000}"/>
    <cellStyle name="표준 5 2 3 5 6 2 5" xfId="27474" xr:uid="{00000000-0005-0000-0000-000019570000}"/>
    <cellStyle name="표준 5 2 3 5 6 2 6" xfId="35685" xr:uid="{00000000-0005-0000-0000-00001A570000}"/>
    <cellStyle name="표준 5 2 3 5 6 2 7" xfId="43878" xr:uid="{00000000-0005-0000-0000-00001B570000}"/>
    <cellStyle name="표준 5 2 3 5 6 3" xfId="8816" xr:uid="{00000000-0005-0000-0000-00001C570000}"/>
    <cellStyle name="표준 5 2 3 5 6 3 2" xfId="29522" xr:uid="{00000000-0005-0000-0000-00001D570000}"/>
    <cellStyle name="표준 5 2 3 5 6 3 3" xfId="37733" xr:uid="{00000000-0005-0000-0000-00001E570000}"/>
    <cellStyle name="표준 5 2 3 5 6 3 4" xfId="45926" xr:uid="{00000000-0005-0000-0000-00001F570000}"/>
    <cellStyle name="표준 5 2 3 5 6 4" xfId="12928" xr:uid="{00000000-0005-0000-0000-000020570000}"/>
    <cellStyle name="표준 5 2 3 5 6 5" xfId="17168" xr:uid="{00000000-0005-0000-0000-000021570000}"/>
    <cellStyle name="표준 5 2 3 5 6 6" xfId="21330" xr:uid="{00000000-0005-0000-0000-000022570000}"/>
    <cellStyle name="표준 5 2 3 5 6 7" xfId="25426" xr:uid="{00000000-0005-0000-0000-000023570000}"/>
    <cellStyle name="표준 5 2 3 5 6 8" xfId="33637" xr:uid="{00000000-0005-0000-0000-000024570000}"/>
    <cellStyle name="표준 5 2 3 5 6 9" xfId="41830" xr:uid="{00000000-0005-0000-0000-000025570000}"/>
    <cellStyle name="표준 5 2 3 5 7" xfId="7021" xr:uid="{00000000-0005-0000-0000-000026570000}"/>
    <cellStyle name="표준 5 2 3 5 7 2" xfId="9328" xr:uid="{00000000-0005-0000-0000-000027570000}"/>
    <cellStyle name="표준 5 2 3 5 7 2 2" xfId="30034" xr:uid="{00000000-0005-0000-0000-000028570000}"/>
    <cellStyle name="표준 5 2 3 5 7 2 3" xfId="38245" xr:uid="{00000000-0005-0000-0000-000029570000}"/>
    <cellStyle name="표준 5 2 3 5 7 2 4" xfId="46438" xr:uid="{00000000-0005-0000-0000-00002A570000}"/>
    <cellStyle name="표준 5 2 3 5 7 3" xfId="13440" xr:uid="{00000000-0005-0000-0000-00002B570000}"/>
    <cellStyle name="표준 5 2 3 5 7 4" xfId="17680" xr:uid="{00000000-0005-0000-0000-00002C570000}"/>
    <cellStyle name="표준 5 2 3 5 7 5" xfId="21842" xr:uid="{00000000-0005-0000-0000-00002D570000}"/>
    <cellStyle name="표준 5 2 3 5 7 6" xfId="25938" xr:uid="{00000000-0005-0000-0000-00002E570000}"/>
    <cellStyle name="표준 5 2 3 5 7 7" xfId="34149" xr:uid="{00000000-0005-0000-0000-00002F570000}"/>
    <cellStyle name="표준 5 2 3 5 7 8" xfId="42342" xr:uid="{00000000-0005-0000-0000-000030570000}"/>
    <cellStyle name="표준 5 2 3 5 8" xfId="7157" xr:uid="{00000000-0005-0000-0000-000031570000}"/>
    <cellStyle name="표준 5 2 3 5 8 2" xfId="27986" xr:uid="{00000000-0005-0000-0000-000032570000}"/>
    <cellStyle name="표준 5 2 3 5 8 3" xfId="36197" xr:uid="{00000000-0005-0000-0000-000033570000}"/>
    <cellStyle name="표준 5 2 3 5 8 4" xfId="44390" xr:uid="{00000000-0005-0000-0000-000034570000}"/>
    <cellStyle name="표준 5 2 3 5 9" xfId="7280" xr:uid="{00000000-0005-0000-0000-000035570000}"/>
    <cellStyle name="표준 5 2 3 6" xfId="489" xr:uid="{00000000-0005-0000-0000-000036570000}"/>
    <cellStyle name="표준 5 2 3 6 10" xfId="19858" xr:uid="{00000000-0005-0000-0000-000037570000}"/>
    <cellStyle name="표준 5 2 3 6 11" xfId="23954" xr:uid="{00000000-0005-0000-0000-000038570000}"/>
    <cellStyle name="표준 5 2 3 6 12" xfId="32165" xr:uid="{00000000-0005-0000-0000-000039570000}"/>
    <cellStyle name="표준 5 2 3 6 13" xfId="40358" xr:uid="{00000000-0005-0000-0000-00003A570000}"/>
    <cellStyle name="표준 5 2 3 6 2" xfId="745" xr:uid="{00000000-0005-0000-0000-00003B570000}"/>
    <cellStyle name="표준 5 2 3 6 2 10" xfId="24210" xr:uid="{00000000-0005-0000-0000-00003C570000}"/>
    <cellStyle name="표준 5 2 3 6 2 11" xfId="32421" xr:uid="{00000000-0005-0000-0000-00003D570000}"/>
    <cellStyle name="표준 5 2 3 6 2 12" xfId="40614" xr:uid="{00000000-0005-0000-0000-00003E570000}"/>
    <cellStyle name="표준 5 2 3 6 2 2" xfId="1257" xr:uid="{00000000-0005-0000-0000-00003F570000}"/>
    <cellStyle name="표준 5 2 3 6 2 2 2" xfId="10160" xr:uid="{00000000-0005-0000-0000-000040570000}"/>
    <cellStyle name="표준 5 2 3 6 2 2 2 2" xfId="14272" xr:uid="{00000000-0005-0000-0000-000041570000}"/>
    <cellStyle name="표준 5 2 3 6 2 2 2 2 2" xfId="30866" xr:uid="{00000000-0005-0000-0000-000042570000}"/>
    <cellStyle name="표준 5 2 3 6 2 2 2 2 3" xfId="39077" xr:uid="{00000000-0005-0000-0000-000043570000}"/>
    <cellStyle name="표준 5 2 3 6 2 2 2 2 4" xfId="47270" xr:uid="{00000000-0005-0000-0000-000044570000}"/>
    <cellStyle name="표준 5 2 3 6 2 2 2 3" xfId="18512" xr:uid="{00000000-0005-0000-0000-000045570000}"/>
    <cellStyle name="표준 5 2 3 6 2 2 2 4" xfId="22674" xr:uid="{00000000-0005-0000-0000-000046570000}"/>
    <cellStyle name="표준 5 2 3 6 2 2 2 5" xfId="26770" xr:uid="{00000000-0005-0000-0000-000047570000}"/>
    <cellStyle name="표준 5 2 3 6 2 2 2 6" xfId="34981" xr:uid="{00000000-0005-0000-0000-000048570000}"/>
    <cellStyle name="표준 5 2 3 6 2 2 2 7" xfId="43174" xr:uid="{00000000-0005-0000-0000-000049570000}"/>
    <cellStyle name="표준 5 2 3 6 2 2 3" xfId="8112" xr:uid="{00000000-0005-0000-0000-00004A570000}"/>
    <cellStyle name="표준 5 2 3 6 2 2 3 2" xfId="28818" xr:uid="{00000000-0005-0000-0000-00004B570000}"/>
    <cellStyle name="표준 5 2 3 6 2 2 3 3" xfId="37029" xr:uid="{00000000-0005-0000-0000-00004C570000}"/>
    <cellStyle name="표준 5 2 3 6 2 2 3 4" xfId="45222" xr:uid="{00000000-0005-0000-0000-00004D570000}"/>
    <cellStyle name="표준 5 2 3 6 2 2 4" xfId="12224" xr:uid="{00000000-0005-0000-0000-00004E570000}"/>
    <cellStyle name="표준 5 2 3 6 2 2 5" xfId="16464" xr:uid="{00000000-0005-0000-0000-00004F570000}"/>
    <cellStyle name="표준 5 2 3 6 2 2 6" xfId="20626" xr:uid="{00000000-0005-0000-0000-000050570000}"/>
    <cellStyle name="표준 5 2 3 6 2 2 7" xfId="24722" xr:uid="{00000000-0005-0000-0000-000051570000}"/>
    <cellStyle name="표준 5 2 3 6 2 2 8" xfId="32933" xr:uid="{00000000-0005-0000-0000-000052570000}"/>
    <cellStyle name="표준 5 2 3 6 2 2 9" xfId="41126" xr:uid="{00000000-0005-0000-0000-000053570000}"/>
    <cellStyle name="표준 5 2 3 6 2 3" xfId="1769" xr:uid="{00000000-0005-0000-0000-000054570000}"/>
    <cellStyle name="표준 5 2 3 6 2 3 2" xfId="10672" xr:uid="{00000000-0005-0000-0000-000055570000}"/>
    <cellStyle name="표준 5 2 3 6 2 3 2 2" xfId="14784" xr:uid="{00000000-0005-0000-0000-000056570000}"/>
    <cellStyle name="표준 5 2 3 6 2 3 2 2 2" xfId="31378" xr:uid="{00000000-0005-0000-0000-000057570000}"/>
    <cellStyle name="표준 5 2 3 6 2 3 2 2 3" xfId="39589" xr:uid="{00000000-0005-0000-0000-000058570000}"/>
    <cellStyle name="표준 5 2 3 6 2 3 2 2 4" xfId="47782" xr:uid="{00000000-0005-0000-0000-000059570000}"/>
    <cellStyle name="표준 5 2 3 6 2 3 2 3" xfId="19024" xr:uid="{00000000-0005-0000-0000-00005A570000}"/>
    <cellStyle name="표준 5 2 3 6 2 3 2 4" xfId="23186" xr:uid="{00000000-0005-0000-0000-00005B570000}"/>
    <cellStyle name="표준 5 2 3 6 2 3 2 5" xfId="27282" xr:uid="{00000000-0005-0000-0000-00005C570000}"/>
    <cellStyle name="표준 5 2 3 6 2 3 2 6" xfId="35493" xr:uid="{00000000-0005-0000-0000-00005D570000}"/>
    <cellStyle name="표준 5 2 3 6 2 3 2 7" xfId="43686" xr:uid="{00000000-0005-0000-0000-00005E570000}"/>
    <cellStyle name="표준 5 2 3 6 2 3 3" xfId="8624" xr:uid="{00000000-0005-0000-0000-00005F570000}"/>
    <cellStyle name="표준 5 2 3 6 2 3 3 2" xfId="29330" xr:uid="{00000000-0005-0000-0000-000060570000}"/>
    <cellStyle name="표준 5 2 3 6 2 3 3 3" xfId="37541" xr:uid="{00000000-0005-0000-0000-000061570000}"/>
    <cellStyle name="표준 5 2 3 6 2 3 3 4" xfId="45734" xr:uid="{00000000-0005-0000-0000-000062570000}"/>
    <cellStyle name="표준 5 2 3 6 2 3 4" xfId="12736" xr:uid="{00000000-0005-0000-0000-000063570000}"/>
    <cellStyle name="표준 5 2 3 6 2 3 5" xfId="16976" xr:uid="{00000000-0005-0000-0000-000064570000}"/>
    <cellStyle name="표준 5 2 3 6 2 3 6" xfId="21138" xr:uid="{00000000-0005-0000-0000-000065570000}"/>
    <cellStyle name="표준 5 2 3 6 2 3 7" xfId="25234" xr:uid="{00000000-0005-0000-0000-000066570000}"/>
    <cellStyle name="표준 5 2 3 6 2 3 8" xfId="33445" xr:uid="{00000000-0005-0000-0000-000067570000}"/>
    <cellStyle name="표준 5 2 3 6 2 3 9" xfId="41638" xr:uid="{00000000-0005-0000-0000-000068570000}"/>
    <cellStyle name="표준 5 2 3 6 2 4" xfId="2281" xr:uid="{00000000-0005-0000-0000-000069570000}"/>
    <cellStyle name="표준 5 2 3 6 2 4 2" xfId="11184" xr:uid="{00000000-0005-0000-0000-00006A570000}"/>
    <cellStyle name="표준 5 2 3 6 2 4 2 2" xfId="15296" xr:uid="{00000000-0005-0000-0000-00006B570000}"/>
    <cellStyle name="표준 5 2 3 6 2 4 2 2 2" xfId="31890" xr:uid="{00000000-0005-0000-0000-00006C570000}"/>
    <cellStyle name="표준 5 2 3 6 2 4 2 2 3" xfId="40101" xr:uid="{00000000-0005-0000-0000-00006D570000}"/>
    <cellStyle name="표준 5 2 3 6 2 4 2 2 4" xfId="48294" xr:uid="{00000000-0005-0000-0000-00006E570000}"/>
    <cellStyle name="표준 5 2 3 6 2 4 2 3" xfId="19536" xr:uid="{00000000-0005-0000-0000-00006F570000}"/>
    <cellStyle name="표준 5 2 3 6 2 4 2 4" xfId="23698" xr:uid="{00000000-0005-0000-0000-000070570000}"/>
    <cellStyle name="표준 5 2 3 6 2 4 2 5" xfId="27794" xr:uid="{00000000-0005-0000-0000-000071570000}"/>
    <cellStyle name="표준 5 2 3 6 2 4 2 6" xfId="36005" xr:uid="{00000000-0005-0000-0000-000072570000}"/>
    <cellStyle name="표준 5 2 3 6 2 4 2 7" xfId="44198" xr:uid="{00000000-0005-0000-0000-000073570000}"/>
    <cellStyle name="표준 5 2 3 6 2 4 3" xfId="9136" xr:uid="{00000000-0005-0000-0000-000074570000}"/>
    <cellStyle name="표준 5 2 3 6 2 4 3 2" xfId="29842" xr:uid="{00000000-0005-0000-0000-000075570000}"/>
    <cellStyle name="표준 5 2 3 6 2 4 3 3" xfId="38053" xr:uid="{00000000-0005-0000-0000-000076570000}"/>
    <cellStyle name="표준 5 2 3 6 2 4 3 4" xfId="46246" xr:uid="{00000000-0005-0000-0000-000077570000}"/>
    <cellStyle name="표준 5 2 3 6 2 4 4" xfId="13248" xr:uid="{00000000-0005-0000-0000-000078570000}"/>
    <cellStyle name="표준 5 2 3 6 2 4 5" xfId="17488" xr:uid="{00000000-0005-0000-0000-000079570000}"/>
    <cellStyle name="표준 5 2 3 6 2 4 6" xfId="21650" xr:uid="{00000000-0005-0000-0000-00007A570000}"/>
    <cellStyle name="표준 5 2 3 6 2 4 7" xfId="25746" xr:uid="{00000000-0005-0000-0000-00007B570000}"/>
    <cellStyle name="표준 5 2 3 6 2 4 8" xfId="33957" xr:uid="{00000000-0005-0000-0000-00007C570000}"/>
    <cellStyle name="표준 5 2 3 6 2 4 9" xfId="42150" xr:uid="{00000000-0005-0000-0000-00007D570000}"/>
    <cellStyle name="표준 5 2 3 6 2 5" xfId="9648" xr:uid="{00000000-0005-0000-0000-00007E570000}"/>
    <cellStyle name="표준 5 2 3 6 2 5 2" xfId="13760" xr:uid="{00000000-0005-0000-0000-00007F570000}"/>
    <cellStyle name="표준 5 2 3 6 2 5 2 2" xfId="30354" xr:uid="{00000000-0005-0000-0000-000080570000}"/>
    <cellStyle name="표준 5 2 3 6 2 5 2 3" xfId="38565" xr:uid="{00000000-0005-0000-0000-000081570000}"/>
    <cellStyle name="표준 5 2 3 6 2 5 2 4" xfId="46758" xr:uid="{00000000-0005-0000-0000-000082570000}"/>
    <cellStyle name="표준 5 2 3 6 2 5 3" xfId="18000" xr:uid="{00000000-0005-0000-0000-000083570000}"/>
    <cellStyle name="표준 5 2 3 6 2 5 4" xfId="22162" xr:uid="{00000000-0005-0000-0000-000084570000}"/>
    <cellStyle name="표준 5 2 3 6 2 5 5" xfId="26258" xr:uid="{00000000-0005-0000-0000-000085570000}"/>
    <cellStyle name="표준 5 2 3 6 2 5 6" xfId="34469" xr:uid="{00000000-0005-0000-0000-000086570000}"/>
    <cellStyle name="표준 5 2 3 6 2 5 7" xfId="42662" xr:uid="{00000000-0005-0000-0000-000087570000}"/>
    <cellStyle name="표준 5 2 3 6 2 6" xfId="7600" xr:uid="{00000000-0005-0000-0000-000088570000}"/>
    <cellStyle name="표준 5 2 3 6 2 6 2" xfId="28306" xr:uid="{00000000-0005-0000-0000-000089570000}"/>
    <cellStyle name="표준 5 2 3 6 2 6 3" xfId="36517" xr:uid="{00000000-0005-0000-0000-00008A570000}"/>
    <cellStyle name="표준 5 2 3 6 2 6 4" xfId="44710" xr:uid="{00000000-0005-0000-0000-00008B570000}"/>
    <cellStyle name="표준 5 2 3 6 2 7" xfId="11712" xr:uid="{00000000-0005-0000-0000-00008C570000}"/>
    <cellStyle name="표준 5 2 3 6 2 8" xfId="15952" xr:uid="{00000000-0005-0000-0000-00008D570000}"/>
    <cellStyle name="표준 5 2 3 6 2 9" xfId="20114" xr:uid="{00000000-0005-0000-0000-00008E570000}"/>
    <cellStyle name="표준 5 2 3 6 3" xfId="1001" xr:uid="{00000000-0005-0000-0000-00008F570000}"/>
    <cellStyle name="표준 5 2 3 6 3 2" xfId="9904" xr:uid="{00000000-0005-0000-0000-000090570000}"/>
    <cellStyle name="표준 5 2 3 6 3 2 2" xfId="14016" xr:uid="{00000000-0005-0000-0000-000091570000}"/>
    <cellStyle name="표준 5 2 3 6 3 2 2 2" xfId="30610" xr:uid="{00000000-0005-0000-0000-000092570000}"/>
    <cellStyle name="표준 5 2 3 6 3 2 2 3" xfId="38821" xr:uid="{00000000-0005-0000-0000-000093570000}"/>
    <cellStyle name="표준 5 2 3 6 3 2 2 4" xfId="47014" xr:uid="{00000000-0005-0000-0000-000094570000}"/>
    <cellStyle name="표준 5 2 3 6 3 2 3" xfId="18256" xr:uid="{00000000-0005-0000-0000-000095570000}"/>
    <cellStyle name="표준 5 2 3 6 3 2 4" xfId="22418" xr:uid="{00000000-0005-0000-0000-000096570000}"/>
    <cellStyle name="표준 5 2 3 6 3 2 5" xfId="26514" xr:uid="{00000000-0005-0000-0000-000097570000}"/>
    <cellStyle name="표준 5 2 3 6 3 2 6" xfId="34725" xr:uid="{00000000-0005-0000-0000-000098570000}"/>
    <cellStyle name="표준 5 2 3 6 3 2 7" xfId="42918" xr:uid="{00000000-0005-0000-0000-000099570000}"/>
    <cellStyle name="표준 5 2 3 6 3 3" xfId="7856" xr:uid="{00000000-0005-0000-0000-00009A570000}"/>
    <cellStyle name="표준 5 2 3 6 3 3 2" xfId="28562" xr:uid="{00000000-0005-0000-0000-00009B570000}"/>
    <cellStyle name="표준 5 2 3 6 3 3 3" xfId="36773" xr:uid="{00000000-0005-0000-0000-00009C570000}"/>
    <cellStyle name="표준 5 2 3 6 3 3 4" xfId="44966" xr:uid="{00000000-0005-0000-0000-00009D570000}"/>
    <cellStyle name="표준 5 2 3 6 3 4" xfId="11968" xr:uid="{00000000-0005-0000-0000-00009E570000}"/>
    <cellStyle name="표준 5 2 3 6 3 5" xfId="16208" xr:uid="{00000000-0005-0000-0000-00009F570000}"/>
    <cellStyle name="표준 5 2 3 6 3 6" xfId="20370" xr:uid="{00000000-0005-0000-0000-0000A0570000}"/>
    <cellStyle name="표준 5 2 3 6 3 7" xfId="24466" xr:uid="{00000000-0005-0000-0000-0000A1570000}"/>
    <cellStyle name="표준 5 2 3 6 3 8" xfId="32677" xr:uid="{00000000-0005-0000-0000-0000A2570000}"/>
    <cellStyle name="표준 5 2 3 6 3 9" xfId="40870" xr:uid="{00000000-0005-0000-0000-0000A3570000}"/>
    <cellStyle name="표준 5 2 3 6 4" xfId="1513" xr:uid="{00000000-0005-0000-0000-0000A4570000}"/>
    <cellStyle name="표준 5 2 3 6 4 2" xfId="10416" xr:uid="{00000000-0005-0000-0000-0000A5570000}"/>
    <cellStyle name="표준 5 2 3 6 4 2 2" xfId="14528" xr:uid="{00000000-0005-0000-0000-0000A6570000}"/>
    <cellStyle name="표준 5 2 3 6 4 2 2 2" xfId="31122" xr:uid="{00000000-0005-0000-0000-0000A7570000}"/>
    <cellStyle name="표준 5 2 3 6 4 2 2 3" xfId="39333" xr:uid="{00000000-0005-0000-0000-0000A8570000}"/>
    <cellStyle name="표준 5 2 3 6 4 2 2 4" xfId="47526" xr:uid="{00000000-0005-0000-0000-0000A9570000}"/>
    <cellStyle name="표준 5 2 3 6 4 2 3" xfId="18768" xr:uid="{00000000-0005-0000-0000-0000AA570000}"/>
    <cellStyle name="표준 5 2 3 6 4 2 4" xfId="22930" xr:uid="{00000000-0005-0000-0000-0000AB570000}"/>
    <cellStyle name="표준 5 2 3 6 4 2 5" xfId="27026" xr:uid="{00000000-0005-0000-0000-0000AC570000}"/>
    <cellStyle name="표준 5 2 3 6 4 2 6" xfId="35237" xr:uid="{00000000-0005-0000-0000-0000AD570000}"/>
    <cellStyle name="표준 5 2 3 6 4 2 7" xfId="43430" xr:uid="{00000000-0005-0000-0000-0000AE570000}"/>
    <cellStyle name="표준 5 2 3 6 4 3" xfId="8368" xr:uid="{00000000-0005-0000-0000-0000AF570000}"/>
    <cellStyle name="표준 5 2 3 6 4 3 2" xfId="29074" xr:uid="{00000000-0005-0000-0000-0000B0570000}"/>
    <cellStyle name="표준 5 2 3 6 4 3 3" xfId="37285" xr:uid="{00000000-0005-0000-0000-0000B1570000}"/>
    <cellStyle name="표준 5 2 3 6 4 3 4" xfId="45478" xr:uid="{00000000-0005-0000-0000-0000B2570000}"/>
    <cellStyle name="표준 5 2 3 6 4 4" xfId="12480" xr:uid="{00000000-0005-0000-0000-0000B3570000}"/>
    <cellStyle name="표준 5 2 3 6 4 5" xfId="16720" xr:uid="{00000000-0005-0000-0000-0000B4570000}"/>
    <cellStyle name="표준 5 2 3 6 4 6" xfId="20882" xr:uid="{00000000-0005-0000-0000-0000B5570000}"/>
    <cellStyle name="표준 5 2 3 6 4 7" xfId="24978" xr:uid="{00000000-0005-0000-0000-0000B6570000}"/>
    <cellStyle name="표준 5 2 3 6 4 8" xfId="33189" xr:uid="{00000000-0005-0000-0000-0000B7570000}"/>
    <cellStyle name="표준 5 2 3 6 4 9" xfId="41382" xr:uid="{00000000-0005-0000-0000-0000B8570000}"/>
    <cellStyle name="표준 5 2 3 6 5" xfId="2025" xr:uid="{00000000-0005-0000-0000-0000B9570000}"/>
    <cellStyle name="표준 5 2 3 6 5 2" xfId="10928" xr:uid="{00000000-0005-0000-0000-0000BA570000}"/>
    <cellStyle name="표준 5 2 3 6 5 2 2" xfId="15040" xr:uid="{00000000-0005-0000-0000-0000BB570000}"/>
    <cellStyle name="표준 5 2 3 6 5 2 2 2" xfId="31634" xr:uid="{00000000-0005-0000-0000-0000BC570000}"/>
    <cellStyle name="표준 5 2 3 6 5 2 2 3" xfId="39845" xr:uid="{00000000-0005-0000-0000-0000BD570000}"/>
    <cellStyle name="표준 5 2 3 6 5 2 2 4" xfId="48038" xr:uid="{00000000-0005-0000-0000-0000BE570000}"/>
    <cellStyle name="표준 5 2 3 6 5 2 3" xfId="19280" xr:uid="{00000000-0005-0000-0000-0000BF570000}"/>
    <cellStyle name="표준 5 2 3 6 5 2 4" xfId="23442" xr:uid="{00000000-0005-0000-0000-0000C0570000}"/>
    <cellStyle name="표준 5 2 3 6 5 2 5" xfId="27538" xr:uid="{00000000-0005-0000-0000-0000C1570000}"/>
    <cellStyle name="표준 5 2 3 6 5 2 6" xfId="35749" xr:uid="{00000000-0005-0000-0000-0000C2570000}"/>
    <cellStyle name="표준 5 2 3 6 5 2 7" xfId="43942" xr:uid="{00000000-0005-0000-0000-0000C3570000}"/>
    <cellStyle name="표준 5 2 3 6 5 3" xfId="8880" xr:uid="{00000000-0005-0000-0000-0000C4570000}"/>
    <cellStyle name="표준 5 2 3 6 5 3 2" xfId="29586" xr:uid="{00000000-0005-0000-0000-0000C5570000}"/>
    <cellStyle name="표준 5 2 3 6 5 3 3" xfId="37797" xr:uid="{00000000-0005-0000-0000-0000C6570000}"/>
    <cellStyle name="표준 5 2 3 6 5 3 4" xfId="45990" xr:uid="{00000000-0005-0000-0000-0000C7570000}"/>
    <cellStyle name="표준 5 2 3 6 5 4" xfId="12992" xr:uid="{00000000-0005-0000-0000-0000C8570000}"/>
    <cellStyle name="표준 5 2 3 6 5 5" xfId="17232" xr:uid="{00000000-0005-0000-0000-0000C9570000}"/>
    <cellStyle name="표준 5 2 3 6 5 6" xfId="21394" xr:uid="{00000000-0005-0000-0000-0000CA570000}"/>
    <cellStyle name="표준 5 2 3 6 5 7" xfId="25490" xr:uid="{00000000-0005-0000-0000-0000CB570000}"/>
    <cellStyle name="표준 5 2 3 6 5 8" xfId="33701" xr:uid="{00000000-0005-0000-0000-0000CC570000}"/>
    <cellStyle name="표준 5 2 3 6 5 9" xfId="41894" xr:uid="{00000000-0005-0000-0000-0000CD570000}"/>
    <cellStyle name="표준 5 2 3 6 6" xfId="9392" xr:uid="{00000000-0005-0000-0000-0000CE570000}"/>
    <cellStyle name="표준 5 2 3 6 6 2" xfId="13504" xr:uid="{00000000-0005-0000-0000-0000CF570000}"/>
    <cellStyle name="표준 5 2 3 6 6 2 2" xfId="30098" xr:uid="{00000000-0005-0000-0000-0000D0570000}"/>
    <cellStyle name="표준 5 2 3 6 6 2 3" xfId="38309" xr:uid="{00000000-0005-0000-0000-0000D1570000}"/>
    <cellStyle name="표준 5 2 3 6 6 2 4" xfId="46502" xr:uid="{00000000-0005-0000-0000-0000D2570000}"/>
    <cellStyle name="표준 5 2 3 6 6 3" xfId="17744" xr:uid="{00000000-0005-0000-0000-0000D3570000}"/>
    <cellStyle name="표준 5 2 3 6 6 4" xfId="21906" xr:uid="{00000000-0005-0000-0000-0000D4570000}"/>
    <cellStyle name="표준 5 2 3 6 6 5" xfId="26002" xr:uid="{00000000-0005-0000-0000-0000D5570000}"/>
    <cellStyle name="표준 5 2 3 6 6 6" xfId="34213" xr:uid="{00000000-0005-0000-0000-0000D6570000}"/>
    <cellStyle name="표준 5 2 3 6 6 7" xfId="42406" xr:uid="{00000000-0005-0000-0000-0000D7570000}"/>
    <cellStyle name="표준 5 2 3 6 7" xfId="7344" xr:uid="{00000000-0005-0000-0000-0000D8570000}"/>
    <cellStyle name="표준 5 2 3 6 7 2" xfId="28050" xr:uid="{00000000-0005-0000-0000-0000D9570000}"/>
    <cellStyle name="표준 5 2 3 6 7 3" xfId="36261" xr:uid="{00000000-0005-0000-0000-0000DA570000}"/>
    <cellStyle name="표준 5 2 3 6 7 4" xfId="44454" xr:uid="{00000000-0005-0000-0000-0000DB570000}"/>
    <cellStyle name="표준 5 2 3 6 8" xfId="11456" xr:uid="{00000000-0005-0000-0000-0000DC570000}"/>
    <cellStyle name="표준 5 2 3 6 9" xfId="15696" xr:uid="{00000000-0005-0000-0000-0000DD570000}"/>
    <cellStyle name="표준 5 2 3 7" xfId="617" xr:uid="{00000000-0005-0000-0000-0000DE570000}"/>
    <cellStyle name="표준 5 2 3 7 10" xfId="24082" xr:uid="{00000000-0005-0000-0000-0000DF570000}"/>
    <cellStyle name="표준 5 2 3 7 11" xfId="32293" xr:uid="{00000000-0005-0000-0000-0000E0570000}"/>
    <cellStyle name="표준 5 2 3 7 12" xfId="40486" xr:uid="{00000000-0005-0000-0000-0000E1570000}"/>
    <cellStyle name="표준 5 2 3 7 2" xfId="1129" xr:uid="{00000000-0005-0000-0000-0000E2570000}"/>
    <cellStyle name="표준 5 2 3 7 2 2" xfId="10032" xr:uid="{00000000-0005-0000-0000-0000E3570000}"/>
    <cellStyle name="표준 5 2 3 7 2 2 2" xfId="14144" xr:uid="{00000000-0005-0000-0000-0000E4570000}"/>
    <cellStyle name="표준 5 2 3 7 2 2 2 2" xfId="30738" xr:uid="{00000000-0005-0000-0000-0000E5570000}"/>
    <cellStyle name="표준 5 2 3 7 2 2 2 3" xfId="38949" xr:uid="{00000000-0005-0000-0000-0000E6570000}"/>
    <cellStyle name="표준 5 2 3 7 2 2 2 4" xfId="47142" xr:uid="{00000000-0005-0000-0000-0000E7570000}"/>
    <cellStyle name="표준 5 2 3 7 2 2 3" xfId="18384" xr:uid="{00000000-0005-0000-0000-0000E8570000}"/>
    <cellStyle name="표준 5 2 3 7 2 2 4" xfId="22546" xr:uid="{00000000-0005-0000-0000-0000E9570000}"/>
    <cellStyle name="표준 5 2 3 7 2 2 5" xfId="26642" xr:uid="{00000000-0005-0000-0000-0000EA570000}"/>
    <cellStyle name="표준 5 2 3 7 2 2 6" xfId="34853" xr:uid="{00000000-0005-0000-0000-0000EB570000}"/>
    <cellStyle name="표준 5 2 3 7 2 2 7" xfId="43046" xr:uid="{00000000-0005-0000-0000-0000EC570000}"/>
    <cellStyle name="표준 5 2 3 7 2 3" xfId="7984" xr:uid="{00000000-0005-0000-0000-0000ED570000}"/>
    <cellStyle name="표준 5 2 3 7 2 3 2" xfId="28690" xr:uid="{00000000-0005-0000-0000-0000EE570000}"/>
    <cellStyle name="표준 5 2 3 7 2 3 3" xfId="36901" xr:uid="{00000000-0005-0000-0000-0000EF570000}"/>
    <cellStyle name="표준 5 2 3 7 2 3 4" xfId="45094" xr:uid="{00000000-0005-0000-0000-0000F0570000}"/>
    <cellStyle name="표준 5 2 3 7 2 4" xfId="12096" xr:uid="{00000000-0005-0000-0000-0000F1570000}"/>
    <cellStyle name="표준 5 2 3 7 2 5" xfId="16336" xr:uid="{00000000-0005-0000-0000-0000F2570000}"/>
    <cellStyle name="표준 5 2 3 7 2 6" xfId="20498" xr:uid="{00000000-0005-0000-0000-0000F3570000}"/>
    <cellStyle name="표준 5 2 3 7 2 7" xfId="24594" xr:uid="{00000000-0005-0000-0000-0000F4570000}"/>
    <cellStyle name="표준 5 2 3 7 2 8" xfId="32805" xr:uid="{00000000-0005-0000-0000-0000F5570000}"/>
    <cellStyle name="표준 5 2 3 7 2 9" xfId="40998" xr:uid="{00000000-0005-0000-0000-0000F6570000}"/>
    <cellStyle name="표준 5 2 3 7 3" xfId="1641" xr:uid="{00000000-0005-0000-0000-0000F7570000}"/>
    <cellStyle name="표준 5 2 3 7 3 2" xfId="10544" xr:uid="{00000000-0005-0000-0000-0000F8570000}"/>
    <cellStyle name="표준 5 2 3 7 3 2 2" xfId="14656" xr:uid="{00000000-0005-0000-0000-0000F9570000}"/>
    <cellStyle name="표준 5 2 3 7 3 2 2 2" xfId="31250" xr:uid="{00000000-0005-0000-0000-0000FA570000}"/>
    <cellStyle name="표준 5 2 3 7 3 2 2 3" xfId="39461" xr:uid="{00000000-0005-0000-0000-0000FB570000}"/>
    <cellStyle name="표준 5 2 3 7 3 2 2 4" xfId="47654" xr:uid="{00000000-0005-0000-0000-0000FC570000}"/>
    <cellStyle name="표준 5 2 3 7 3 2 3" xfId="18896" xr:uid="{00000000-0005-0000-0000-0000FD570000}"/>
    <cellStyle name="표준 5 2 3 7 3 2 4" xfId="23058" xr:uid="{00000000-0005-0000-0000-0000FE570000}"/>
    <cellStyle name="표준 5 2 3 7 3 2 5" xfId="27154" xr:uid="{00000000-0005-0000-0000-0000FF570000}"/>
    <cellStyle name="표준 5 2 3 7 3 2 6" xfId="35365" xr:uid="{00000000-0005-0000-0000-000000580000}"/>
    <cellStyle name="표준 5 2 3 7 3 2 7" xfId="43558" xr:uid="{00000000-0005-0000-0000-000001580000}"/>
    <cellStyle name="표준 5 2 3 7 3 3" xfId="8496" xr:uid="{00000000-0005-0000-0000-000002580000}"/>
    <cellStyle name="표준 5 2 3 7 3 3 2" xfId="29202" xr:uid="{00000000-0005-0000-0000-000003580000}"/>
    <cellStyle name="표준 5 2 3 7 3 3 3" xfId="37413" xr:uid="{00000000-0005-0000-0000-000004580000}"/>
    <cellStyle name="표준 5 2 3 7 3 3 4" xfId="45606" xr:uid="{00000000-0005-0000-0000-000005580000}"/>
    <cellStyle name="표준 5 2 3 7 3 4" xfId="12608" xr:uid="{00000000-0005-0000-0000-000006580000}"/>
    <cellStyle name="표준 5 2 3 7 3 5" xfId="16848" xr:uid="{00000000-0005-0000-0000-000007580000}"/>
    <cellStyle name="표준 5 2 3 7 3 6" xfId="21010" xr:uid="{00000000-0005-0000-0000-000008580000}"/>
    <cellStyle name="표준 5 2 3 7 3 7" xfId="25106" xr:uid="{00000000-0005-0000-0000-000009580000}"/>
    <cellStyle name="표준 5 2 3 7 3 8" xfId="33317" xr:uid="{00000000-0005-0000-0000-00000A580000}"/>
    <cellStyle name="표준 5 2 3 7 3 9" xfId="41510" xr:uid="{00000000-0005-0000-0000-00000B580000}"/>
    <cellStyle name="표준 5 2 3 7 4" xfId="2153" xr:uid="{00000000-0005-0000-0000-00000C580000}"/>
    <cellStyle name="표준 5 2 3 7 4 2" xfId="11056" xr:uid="{00000000-0005-0000-0000-00000D580000}"/>
    <cellStyle name="표준 5 2 3 7 4 2 2" xfId="15168" xr:uid="{00000000-0005-0000-0000-00000E580000}"/>
    <cellStyle name="표준 5 2 3 7 4 2 2 2" xfId="31762" xr:uid="{00000000-0005-0000-0000-00000F580000}"/>
    <cellStyle name="표준 5 2 3 7 4 2 2 3" xfId="39973" xr:uid="{00000000-0005-0000-0000-000010580000}"/>
    <cellStyle name="표준 5 2 3 7 4 2 2 4" xfId="48166" xr:uid="{00000000-0005-0000-0000-000011580000}"/>
    <cellStyle name="표준 5 2 3 7 4 2 3" xfId="19408" xr:uid="{00000000-0005-0000-0000-000012580000}"/>
    <cellStyle name="표준 5 2 3 7 4 2 4" xfId="23570" xr:uid="{00000000-0005-0000-0000-000013580000}"/>
    <cellStyle name="표준 5 2 3 7 4 2 5" xfId="27666" xr:uid="{00000000-0005-0000-0000-000014580000}"/>
    <cellStyle name="표준 5 2 3 7 4 2 6" xfId="35877" xr:uid="{00000000-0005-0000-0000-000015580000}"/>
    <cellStyle name="표준 5 2 3 7 4 2 7" xfId="44070" xr:uid="{00000000-0005-0000-0000-000016580000}"/>
    <cellStyle name="표준 5 2 3 7 4 3" xfId="9008" xr:uid="{00000000-0005-0000-0000-000017580000}"/>
    <cellStyle name="표준 5 2 3 7 4 3 2" xfId="29714" xr:uid="{00000000-0005-0000-0000-000018580000}"/>
    <cellStyle name="표준 5 2 3 7 4 3 3" xfId="37925" xr:uid="{00000000-0005-0000-0000-000019580000}"/>
    <cellStyle name="표준 5 2 3 7 4 3 4" xfId="46118" xr:uid="{00000000-0005-0000-0000-00001A580000}"/>
    <cellStyle name="표준 5 2 3 7 4 4" xfId="13120" xr:uid="{00000000-0005-0000-0000-00001B580000}"/>
    <cellStyle name="표준 5 2 3 7 4 5" xfId="17360" xr:uid="{00000000-0005-0000-0000-00001C580000}"/>
    <cellStyle name="표준 5 2 3 7 4 6" xfId="21522" xr:uid="{00000000-0005-0000-0000-00001D580000}"/>
    <cellStyle name="표준 5 2 3 7 4 7" xfId="25618" xr:uid="{00000000-0005-0000-0000-00001E580000}"/>
    <cellStyle name="표준 5 2 3 7 4 8" xfId="33829" xr:uid="{00000000-0005-0000-0000-00001F580000}"/>
    <cellStyle name="표준 5 2 3 7 4 9" xfId="42022" xr:uid="{00000000-0005-0000-0000-000020580000}"/>
    <cellStyle name="표준 5 2 3 7 5" xfId="9520" xr:uid="{00000000-0005-0000-0000-000021580000}"/>
    <cellStyle name="표준 5 2 3 7 5 2" xfId="13632" xr:uid="{00000000-0005-0000-0000-000022580000}"/>
    <cellStyle name="표준 5 2 3 7 5 2 2" xfId="30226" xr:uid="{00000000-0005-0000-0000-000023580000}"/>
    <cellStyle name="표준 5 2 3 7 5 2 3" xfId="38437" xr:uid="{00000000-0005-0000-0000-000024580000}"/>
    <cellStyle name="표준 5 2 3 7 5 2 4" xfId="46630" xr:uid="{00000000-0005-0000-0000-000025580000}"/>
    <cellStyle name="표준 5 2 3 7 5 3" xfId="17872" xr:uid="{00000000-0005-0000-0000-000026580000}"/>
    <cellStyle name="표준 5 2 3 7 5 4" xfId="22034" xr:uid="{00000000-0005-0000-0000-000027580000}"/>
    <cellStyle name="표준 5 2 3 7 5 5" xfId="26130" xr:uid="{00000000-0005-0000-0000-000028580000}"/>
    <cellStyle name="표준 5 2 3 7 5 6" xfId="34341" xr:uid="{00000000-0005-0000-0000-000029580000}"/>
    <cellStyle name="표준 5 2 3 7 5 7" xfId="42534" xr:uid="{00000000-0005-0000-0000-00002A580000}"/>
    <cellStyle name="표준 5 2 3 7 6" xfId="7472" xr:uid="{00000000-0005-0000-0000-00002B580000}"/>
    <cellStyle name="표준 5 2 3 7 6 2" xfId="28178" xr:uid="{00000000-0005-0000-0000-00002C580000}"/>
    <cellStyle name="표준 5 2 3 7 6 3" xfId="36389" xr:uid="{00000000-0005-0000-0000-00002D580000}"/>
    <cellStyle name="표준 5 2 3 7 6 4" xfId="44582" xr:uid="{00000000-0005-0000-0000-00002E580000}"/>
    <cellStyle name="표준 5 2 3 7 7" xfId="11584" xr:uid="{00000000-0005-0000-0000-00002F580000}"/>
    <cellStyle name="표준 5 2 3 7 8" xfId="15824" xr:uid="{00000000-0005-0000-0000-000030580000}"/>
    <cellStyle name="표준 5 2 3 7 9" xfId="19986" xr:uid="{00000000-0005-0000-0000-000031580000}"/>
    <cellStyle name="표준 5 2 3 8" xfId="873" xr:uid="{00000000-0005-0000-0000-000032580000}"/>
    <cellStyle name="표준 5 2 3 8 2" xfId="9776" xr:uid="{00000000-0005-0000-0000-000033580000}"/>
    <cellStyle name="표준 5 2 3 8 2 2" xfId="13888" xr:uid="{00000000-0005-0000-0000-000034580000}"/>
    <cellStyle name="표준 5 2 3 8 2 2 2" xfId="30482" xr:uid="{00000000-0005-0000-0000-000035580000}"/>
    <cellStyle name="표준 5 2 3 8 2 2 3" xfId="38693" xr:uid="{00000000-0005-0000-0000-000036580000}"/>
    <cellStyle name="표준 5 2 3 8 2 2 4" xfId="46886" xr:uid="{00000000-0005-0000-0000-000037580000}"/>
    <cellStyle name="표준 5 2 3 8 2 3" xfId="18128" xr:uid="{00000000-0005-0000-0000-000038580000}"/>
    <cellStyle name="표준 5 2 3 8 2 4" xfId="22290" xr:uid="{00000000-0005-0000-0000-000039580000}"/>
    <cellStyle name="표준 5 2 3 8 2 5" xfId="26386" xr:uid="{00000000-0005-0000-0000-00003A580000}"/>
    <cellStyle name="표준 5 2 3 8 2 6" xfId="34597" xr:uid="{00000000-0005-0000-0000-00003B580000}"/>
    <cellStyle name="표준 5 2 3 8 2 7" xfId="42790" xr:uid="{00000000-0005-0000-0000-00003C580000}"/>
    <cellStyle name="표준 5 2 3 8 3" xfId="7728" xr:uid="{00000000-0005-0000-0000-00003D580000}"/>
    <cellStyle name="표준 5 2 3 8 3 2" xfId="28434" xr:uid="{00000000-0005-0000-0000-00003E580000}"/>
    <cellStyle name="표준 5 2 3 8 3 3" xfId="36645" xr:uid="{00000000-0005-0000-0000-00003F580000}"/>
    <cellStyle name="표준 5 2 3 8 3 4" xfId="44838" xr:uid="{00000000-0005-0000-0000-000040580000}"/>
    <cellStyle name="표준 5 2 3 8 4" xfId="11840" xr:uid="{00000000-0005-0000-0000-000041580000}"/>
    <cellStyle name="표준 5 2 3 8 5" xfId="16080" xr:uid="{00000000-0005-0000-0000-000042580000}"/>
    <cellStyle name="표준 5 2 3 8 6" xfId="20242" xr:uid="{00000000-0005-0000-0000-000043580000}"/>
    <cellStyle name="표준 5 2 3 8 7" xfId="24338" xr:uid="{00000000-0005-0000-0000-000044580000}"/>
    <cellStyle name="표준 5 2 3 8 8" xfId="32549" xr:uid="{00000000-0005-0000-0000-000045580000}"/>
    <cellStyle name="표준 5 2 3 8 9" xfId="40742" xr:uid="{00000000-0005-0000-0000-000046580000}"/>
    <cellStyle name="표준 5 2 3 9" xfId="1385" xr:uid="{00000000-0005-0000-0000-000047580000}"/>
    <cellStyle name="표준 5 2 3 9 2" xfId="10288" xr:uid="{00000000-0005-0000-0000-000048580000}"/>
    <cellStyle name="표준 5 2 3 9 2 2" xfId="14400" xr:uid="{00000000-0005-0000-0000-000049580000}"/>
    <cellStyle name="표준 5 2 3 9 2 2 2" xfId="30994" xr:uid="{00000000-0005-0000-0000-00004A580000}"/>
    <cellStyle name="표준 5 2 3 9 2 2 3" xfId="39205" xr:uid="{00000000-0005-0000-0000-00004B580000}"/>
    <cellStyle name="표준 5 2 3 9 2 2 4" xfId="47398" xr:uid="{00000000-0005-0000-0000-00004C580000}"/>
    <cellStyle name="표준 5 2 3 9 2 3" xfId="18640" xr:uid="{00000000-0005-0000-0000-00004D580000}"/>
    <cellStyle name="표준 5 2 3 9 2 4" xfId="22802" xr:uid="{00000000-0005-0000-0000-00004E580000}"/>
    <cellStyle name="표준 5 2 3 9 2 5" xfId="26898" xr:uid="{00000000-0005-0000-0000-00004F580000}"/>
    <cellStyle name="표준 5 2 3 9 2 6" xfId="35109" xr:uid="{00000000-0005-0000-0000-000050580000}"/>
    <cellStyle name="표준 5 2 3 9 2 7" xfId="43302" xr:uid="{00000000-0005-0000-0000-000051580000}"/>
    <cellStyle name="표준 5 2 3 9 3" xfId="8240" xr:uid="{00000000-0005-0000-0000-000052580000}"/>
    <cellStyle name="표준 5 2 3 9 3 2" xfId="28946" xr:uid="{00000000-0005-0000-0000-000053580000}"/>
    <cellStyle name="표준 5 2 3 9 3 3" xfId="37157" xr:uid="{00000000-0005-0000-0000-000054580000}"/>
    <cellStyle name="표준 5 2 3 9 3 4" xfId="45350" xr:uid="{00000000-0005-0000-0000-000055580000}"/>
    <cellStyle name="표준 5 2 3 9 4" xfId="12352" xr:uid="{00000000-0005-0000-0000-000056580000}"/>
    <cellStyle name="표준 5 2 3 9 5" xfId="16592" xr:uid="{00000000-0005-0000-0000-000057580000}"/>
    <cellStyle name="표준 5 2 3 9 6" xfId="20754" xr:uid="{00000000-0005-0000-0000-000058580000}"/>
    <cellStyle name="표준 5 2 3 9 7" xfId="24850" xr:uid="{00000000-0005-0000-0000-000059580000}"/>
    <cellStyle name="표준 5 2 3 9 8" xfId="33061" xr:uid="{00000000-0005-0000-0000-00005A580000}"/>
    <cellStyle name="표준 5 2 3 9 9" xfId="41254" xr:uid="{00000000-0005-0000-0000-00005B580000}"/>
    <cellStyle name="표준 5 2 30" xfId="19676" xr:uid="{00000000-0005-0000-0000-00005C580000}"/>
    <cellStyle name="표준 5 2 31" xfId="19692" xr:uid="{00000000-0005-0000-0000-00005D580000}"/>
    <cellStyle name="표준 5 2 32" xfId="19708" xr:uid="{00000000-0005-0000-0000-00005E580000}"/>
    <cellStyle name="표준 5 2 33" xfId="19738" xr:uid="{00000000-0005-0000-0000-00005F580000}"/>
    <cellStyle name="표준 5 2 34" xfId="23822" xr:uid="{00000000-0005-0000-0000-000060580000}"/>
    <cellStyle name="표준 5 2 35" xfId="32016" xr:uid="{00000000-0005-0000-0000-000061580000}"/>
    <cellStyle name="표준 5 2 36" xfId="32033" xr:uid="{00000000-0005-0000-0000-000062580000}"/>
    <cellStyle name="표준 5 2 37" xfId="40225" xr:uid="{00000000-0005-0000-0000-000063580000}"/>
    <cellStyle name="표준 5 2 38" xfId="48428" xr:uid="{00000000-0005-0000-0000-000064580000}"/>
    <cellStyle name="표준 5 2 4" xfId="72" xr:uid="{00000000-0005-0000-0000-000065580000}"/>
    <cellStyle name="표준 5 2 4 10" xfId="4398" xr:uid="{00000000-0005-0000-0000-000066580000}"/>
    <cellStyle name="표준 5 2 4 10 2" xfId="9268" xr:uid="{00000000-0005-0000-0000-000067580000}"/>
    <cellStyle name="표준 5 2 4 10 2 2" xfId="29974" xr:uid="{00000000-0005-0000-0000-000068580000}"/>
    <cellStyle name="표준 5 2 4 10 2 3" xfId="38185" xr:uid="{00000000-0005-0000-0000-000069580000}"/>
    <cellStyle name="표준 5 2 4 10 2 4" xfId="46378" xr:uid="{00000000-0005-0000-0000-00006A580000}"/>
    <cellStyle name="표준 5 2 4 10 3" xfId="13380" xr:uid="{00000000-0005-0000-0000-00006B580000}"/>
    <cellStyle name="표준 5 2 4 10 4" xfId="17620" xr:uid="{00000000-0005-0000-0000-00006C580000}"/>
    <cellStyle name="표준 5 2 4 10 5" xfId="21782" xr:uid="{00000000-0005-0000-0000-00006D580000}"/>
    <cellStyle name="표준 5 2 4 10 6" xfId="25878" xr:uid="{00000000-0005-0000-0000-00006E580000}"/>
    <cellStyle name="표준 5 2 4 10 7" xfId="34089" xr:uid="{00000000-0005-0000-0000-00006F580000}"/>
    <cellStyle name="표준 5 2 4 10 8" xfId="42282" xr:uid="{00000000-0005-0000-0000-000070580000}"/>
    <cellStyle name="표준 5 2 4 11" xfId="6955" xr:uid="{00000000-0005-0000-0000-000071580000}"/>
    <cellStyle name="표준 5 2 4 11 2" xfId="27926" xr:uid="{00000000-0005-0000-0000-000072580000}"/>
    <cellStyle name="표준 5 2 4 11 3" xfId="36137" xr:uid="{00000000-0005-0000-0000-000073580000}"/>
    <cellStyle name="표준 5 2 4 11 4" xfId="44330" xr:uid="{00000000-0005-0000-0000-000074580000}"/>
    <cellStyle name="표준 5 2 4 12" xfId="7073" xr:uid="{00000000-0005-0000-0000-000075580000}"/>
    <cellStyle name="표준 5 2 4 13" xfId="7089" xr:uid="{00000000-0005-0000-0000-000076580000}"/>
    <cellStyle name="표준 5 2 4 14" xfId="7105" xr:uid="{00000000-0005-0000-0000-000077580000}"/>
    <cellStyle name="표준 5 2 4 15" xfId="7201" xr:uid="{00000000-0005-0000-0000-000078580000}"/>
    <cellStyle name="표준 5 2 4 16" xfId="7220" xr:uid="{00000000-0005-0000-0000-000079580000}"/>
    <cellStyle name="표준 5 2 4 17" xfId="11316" xr:uid="{00000000-0005-0000-0000-00007A580000}"/>
    <cellStyle name="표준 5 2 4 18" xfId="11332" xr:uid="{00000000-0005-0000-0000-00007B580000}"/>
    <cellStyle name="표준 5 2 4 19" xfId="15428" xr:uid="{00000000-0005-0000-0000-00007C580000}"/>
    <cellStyle name="표준 5 2 4 2" xfId="166" xr:uid="{00000000-0005-0000-0000-00007D580000}"/>
    <cellStyle name="표준 5 2 4 2 10" xfId="7185" xr:uid="{00000000-0005-0000-0000-00007E580000}"/>
    <cellStyle name="표준 5 2 4 2 10 2" xfId="27942" xr:uid="{00000000-0005-0000-0000-00007F580000}"/>
    <cellStyle name="표준 5 2 4 2 10 3" xfId="36153" xr:uid="{00000000-0005-0000-0000-000080580000}"/>
    <cellStyle name="표준 5 2 4 2 10 4" xfId="44346" xr:uid="{00000000-0005-0000-0000-000081580000}"/>
    <cellStyle name="표준 5 2 4 2 11" xfId="7236" xr:uid="{00000000-0005-0000-0000-000082580000}"/>
    <cellStyle name="표준 5 2 4 2 12" xfId="11348" xr:uid="{00000000-0005-0000-0000-000083580000}"/>
    <cellStyle name="표준 5 2 4 2 13" xfId="15476" xr:uid="{00000000-0005-0000-0000-000084580000}"/>
    <cellStyle name="표준 5 2 4 2 14" xfId="15588" xr:uid="{00000000-0005-0000-0000-000085580000}"/>
    <cellStyle name="표준 5 2 4 2 15" xfId="19750" xr:uid="{00000000-0005-0000-0000-000086580000}"/>
    <cellStyle name="표준 5 2 4 2 16" xfId="23846" xr:uid="{00000000-0005-0000-0000-000087580000}"/>
    <cellStyle name="표준 5 2 4 2 17" xfId="32057" xr:uid="{00000000-0005-0000-0000-000088580000}"/>
    <cellStyle name="표준 5 2 4 2 18" xfId="40250" xr:uid="{00000000-0005-0000-0000-000089580000}"/>
    <cellStyle name="표준 5 2 4 2 19" xfId="49643" xr:uid="{00000000-0005-0000-0000-00008A580000}"/>
    <cellStyle name="표준 5 2 4 2 2" xfId="413" xr:uid="{00000000-0005-0000-0000-00008B580000}"/>
    <cellStyle name="표준 5 2 4 2 2 10" xfId="7268" xr:uid="{00000000-0005-0000-0000-00008C580000}"/>
    <cellStyle name="표준 5 2 4 2 2 11" xfId="11380" xr:uid="{00000000-0005-0000-0000-00008D580000}"/>
    <cellStyle name="표준 5 2 4 2 2 12" xfId="15524" xr:uid="{00000000-0005-0000-0000-00008E580000}"/>
    <cellStyle name="표준 5 2 4 2 2 13" xfId="15620" xr:uid="{00000000-0005-0000-0000-00008F580000}"/>
    <cellStyle name="표준 5 2 4 2 2 14" xfId="19782" xr:uid="{00000000-0005-0000-0000-000090580000}"/>
    <cellStyle name="표준 5 2 4 2 2 15" xfId="23878" xr:uid="{00000000-0005-0000-0000-000091580000}"/>
    <cellStyle name="표준 5 2 4 2 2 16" xfId="32089" xr:uid="{00000000-0005-0000-0000-000092580000}"/>
    <cellStyle name="표준 5 2 4 2 2 17" xfId="40282" xr:uid="{00000000-0005-0000-0000-000093580000}"/>
    <cellStyle name="표준 5 2 4 2 2 18" xfId="49709" xr:uid="{00000000-0005-0000-0000-000094580000}"/>
    <cellStyle name="표준 5 2 4 2 2 2" xfId="477" xr:uid="{00000000-0005-0000-0000-000095580000}"/>
    <cellStyle name="표준 5 2 4 2 2 2 10" xfId="15684" xr:uid="{00000000-0005-0000-0000-000096580000}"/>
    <cellStyle name="표준 5 2 4 2 2 2 11" xfId="19846" xr:uid="{00000000-0005-0000-0000-000097580000}"/>
    <cellStyle name="표준 5 2 4 2 2 2 12" xfId="23942" xr:uid="{00000000-0005-0000-0000-000098580000}"/>
    <cellStyle name="표준 5 2 4 2 2 2 13" xfId="32153" xr:uid="{00000000-0005-0000-0000-000099580000}"/>
    <cellStyle name="표준 5 2 4 2 2 2 14" xfId="40346" xr:uid="{00000000-0005-0000-0000-00009A580000}"/>
    <cellStyle name="표준 5 2 4 2 2 2 2" xfId="605" xr:uid="{00000000-0005-0000-0000-00009B580000}"/>
    <cellStyle name="표준 5 2 4 2 2 2 2 10" xfId="19974" xr:uid="{00000000-0005-0000-0000-00009C580000}"/>
    <cellStyle name="표준 5 2 4 2 2 2 2 11" xfId="24070" xr:uid="{00000000-0005-0000-0000-00009D580000}"/>
    <cellStyle name="표준 5 2 4 2 2 2 2 12" xfId="32281" xr:uid="{00000000-0005-0000-0000-00009E580000}"/>
    <cellStyle name="표준 5 2 4 2 2 2 2 13" xfId="40474" xr:uid="{00000000-0005-0000-0000-00009F580000}"/>
    <cellStyle name="표준 5 2 4 2 2 2 2 2" xfId="861" xr:uid="{00000000-0005-0000-0000-0000A0580000}"/>
    <cellStyle name="표준 5 2 4 2 2 2 2 2 10" xfId="24326" xr:uid="{00000000-0005-0000-0000-0000A1580000}"/>
    <cellStyle name="표준 5 2 4 2 2 2 2 2 11" xfId="32537" xr:uid="{00000000-0005-0000-0000-0000A2580000}"/>
    <cellStyle name="표준 5 2 4 2 2 2 2 2 12" xfId="40730" xr:uid="{00000000-0005-0000-0000-0000A3580000}"/>
    <cellStyle name="표준 5 2 4 2 2 2 2 2 2" xfId="1373" xr:uid="{00000000-0005-0000-0000-0000A4580000}"/>
    <cellStyle name="표준 5 2 4 2 2 2 2 2 2 2" xfId="10276" xr:uid="{00000000-0005-0000-0000-0000A5580000}"/>
    <cellStyle name="표준 5 2 4 2 2 2 2 2 2 2 2" xfId="14388" xr:uid="{00000000-0005-0000-0000-0000A6580000}"/>
    <cellStyle name="표준 5 2 4 2 2 2 2 2 2 2 2 2" xfId="30982" xr:uid="{00000000-0005-0000-0000-0000A7580000}"/>
    <cellStyle name="표준 5 2 4 2 2 2 2 2 2 2 2 3" xfId="39193" xr:uid="{00000000-0005-0000-0000-0000A8580000}"/>
    <cellStyle name="표준 5 2 4 2 2 2 2 2 2 2 2 4" xfId="47386" xr:uid="{00000000-0005-0000-0000-0000A9580000}"/>
    <cellStyle name="표준 5 2 4 2 2 2 2 2 2 2 3" xfId="18628" xr:uid="{00000000-0005-0000-0000-0000AA580000}"/>
    <cellStyle name="표준 5 2 4 2 2 2 2 2 2 2 4" xfId="22790" xr:uid="{00000000-0005-0000-0000-0000AB580000}"/>
    <cellStyle name="표준 5 2 4 2 2 2 2 2 2 2 5" xfId="26886" xr:uid="{00000000-0005-0000-0000-0000AC580000}"/>
    <cellStyle name="표준 5 2 4 2 2 2 2 2 2 2 6" xfId="35097" xr:uid="{00000000-0005-0000-0000-0000AD580000}"/>
    <cellStyle name="표준 5 2 4 2 2 2 2 2 2 2 7" xfId="43290" xr:uid="{00000000-0005-0000-0000-0000AE580000}"/>
    <cellStyle name="표준 5 2 4 2 2 2 2 2 2 3" xfId="8228" xr:uid="{00000000-0005-0000-0000-0000AF580000}"/>
    <cellStyle name="표준 5 2 4 2 2 2 2 2 2 3 2" xfId="28934" xr:uid="{00000000-0005-0000-0000-0000B0580000}"/>
    <cellStyle name="표준 5 2 4 2 2 2 2 2 2 3 3" xfId="37145" xr:uid="{00000000-0005-0000-0000-0000B1580000}"/>
    <cellStyle name="표준 5 2 4 2 2 2 2 2 2 3 4" xfId="45338" xr:uid="{00000000-0005-0000-0000-0000B2580000}"/>
    <cellStyle name="표준 5 2 4 2 2 2 2 2 2 4" xfId="12340" xr:uid="{00000000-0005-0000-0000-0000B3580000}"/>
    <cellStyle name="표준 5 2 4 2 2 2 2 2 2 5" xfId="16580" xr:uid="{00000000-0005-0000-0000-0000B4580000}"/>
    <cellStyle name="표준 5 2 4 2 2 2 2 2 2 6" xfId="20742" xr:uid="{00000000-0005-0000-0000-0000B5580000}"/>
    <cellStyle name="표준 5 2 4 2 2 2 2 2 2 7" xfId="24838" xr:uid="{00000000-0005-0000-0000-0000B6580000}"/>
    <cellStyle name="표준 5 2 4 2 2 2 2 2 2 8" xfId="33049" xr:uid="{00000000-0005-0000-0000-0000B7580000}"/>
    <cellStyle name="표준 5 2 4 2 2 2 2 2 2 9" xfId="41242" xr:uid="{00000000-0005-0000-0000-0000B8580000}"/>
    <cellStyle name="표준 5 2 4 2 2 2 2 2 3" xfId="1885" xr:uid="{00000000-0005-0000-0000-0000B9580000}"/>
    <cellStyle name="표준 5 2 4 2 2 2 2 2 3 2" xfId="10788" xr:uid="{00000000-0005-0000-0000-0000BA580000}"/>
    <cellStyle name="표준 5 2 4 2 2 2 2 2 3 2 2" xfId="14900" xr:uid="{00000000-0005-0000-0000-0000BB580000}"/>
    <cellStyle name="표준 5 2 4 2 2 2 2 2 3 2 2 2" xfId="31494" xr:uid="{00000000-0005-0000-0000-0000BC580000}"/>
    <cellStyle name="표준 5 2 4 2 2 2 2 2 3 2 2 3" xfId="39705" xr:uid="{00000000-0005-0000-0000-0000BD580000}"/>
    <cellStyle name="표준 5 2 4 2 2 2 2 2 3 2 2 4" xfId="47898" xr:uid="{00000000-0005-0000-0000-0000BE580000}"/>
    <cellStyle name="표준 5 2 4 2 2 2 2 2 3 2 3" xfId="19140" xr:uid="{00000000-0005-0000-0000-0000BF580000}"/>
    <cellStyle name="표준 5 2 4 2 2 2 2 2 3 2 4" xfId="23302" xr:uid="{00000000-0005-0000-0000-0000C0580000}"/>
    <cellStyle name="표준 5 2 4 2 2 2 2 2 3 2 5" xfId="27398" xr:uid="{00000000-0005-0000-0000-0000C1580000}"/>
    <cellStyle name="표준 5 2 4 2 2 2 2 2 3 2 6" xfId="35609" xr:uid="{00000000-0005-0000-0000-0000C2580000}"/>
    <cellStyle name="표준 5 2 4 2 2 2 2 2 3 2 7" xfId="43802" xr:uid="{00000000-0005-0000-0000-0000C3580000}"/>
    <cellStyle name="표준 5 2 4 2 2 2 2 2 3 3" xfId="8740" xr:uid="{00000000-0005-0000-0000-0000C4580000}"/>
    <cellStyle name="표준 5 2 4 2 2 2 2 2 3 3 2" xfId="29446" xr:uid="{00000000-0005-0000-0000-0000C5580000}"/>
    <cellStyle name="표준 5 2 4 2 2 2 2 2 3 3 3" xfId="37657" xr:uid="{00000000-0005-0000-0000-0000C6580000}"/>
    <cellStyle name="표준 5 2 4 2 2 2 2 2 3 3 4" xfId="45850" xr:uid="{00000000-0005-0000-0000-0000C7580000}"/>
    <cellStyle name="표준 5 2 4 2 2 2 2 2 3 4" xfId="12852" xr:uid="{00000000-0005-0000-0000-0000C8580000}"/>
    <cellStyle name="표준 5 2 4 2 2 2 2 2 3 5" xfId="17092" xr:uid="{00000000-0005-0000-0000-0000C9580000}"/>
    <cellStyle name="표준 5 2 4 2 2 2 2 2 3 6" xfId="21254" xr:uid="{00000000-0005-0000-0000-0000CA580000}"/>
    <cellStyle name="표준 5 2 4 2 2 2 2 2 3 7" xfId="25350" xr:uid="{00000000-0005-0000-0000-0000CB580000}"/>
    <cellStyle name="표준 5 2 4 2 2 2 2 2 3 8" xfId="33561" xr:uid="{00000000-0005-0000-0000-0000CC580000}"/>
    <cellStyle name="표준 5 2 4 2 2 2 2 2 3 9" xfId="41754" xr:uid="{00000000-0005-0000-0000-0000CD580000}"/>
    <cellStyle name="표준 5 2 4 2 2 2 2 2 4" xfId="2397" xr:uid="{00000000-0005-0000-0000-0000CE580000}"/>
    <cellStyle name="표준 5 2 4 2 2 2 2 2 4 2" xfId="11300" xr:uid="{00000000-0005-0000-0000-0000CF580000}"/>
    <cellStyle name="표준 5 2 4 2 2 2 2 2 4 2 2" xfId="15412" xr:uid="{00000000-0005-0000-0000-0000D0580000}"/>
    <cellStyle name="표준 5 2 4 2 2 2 2 2 4 2 2 2" xfId="32006" xr:uid="{00000000-0005-0000-0000-0000D1580000}"/>
    <cellStyle name="표준 5 2 4 2 2 2 2 2 4 2 2 3" xfId="40217" xr:uid="{00000000-0005-0000-0000-0000D2580000}"/>
    <cellStyle name="표준 5 2 4 2 2 2 2 2 4 2 2 4" xfId="48410" xr:uid="{00000000-0005-0000-0000-0000D3580000}"/>
    <cellStyle name="표준 5 2 4 2 2 2 2 2 4 2 3" xfId="19652" xr:uid="{00000000-0005-0000-0000-0000D4580000}"/>
    <cellStyle name="표준 5 2 4 2 2 2 2 2 4 2 4" xfId="23814" xr:uid="{00000000-0005-0000-0000-0000D5580000}"/>
    <cellStyle name="표준 5 2 4 2 2 2 2 2 4 2 5" xfId="27910" xr:uid="{00000000-0005-0000-0000-0000D6580000}"/>
    <cellStyle name="표준 5 2 4 2 2 2 2 2 4 2 6" xfId="36121" xr:uid="{00000000-0005-0000-0000-0000D7580000}"/>
    <cellStyle name="표준 5 2 4 2 2 2 2 2 4 2 7" xfId="44314" xr:uid="{00000000-0005-0000-0000-0000D8580000}"/>
    <cellStyle name="표준 5 2 4 2 2 2 2 2 4 3" xfId="9252" xr:uid="{00000000-0005-0000-0000-0000D9580000}"/>
    <cellStyle name="표준 5 2 4 2 2 2 2 2 4 3 2" xfId="29958" xr:uid="{00000000-0005-0000-0000-0000DA580000}"/>
    <cellStyle name="표준 5 2 4 2 2 2 2 2 4 3 3" xfId="38169" xr:uid="{00000000-0005-0000-0000-0000DB580000}"/>
    <cellStyle name="표준 5 2 4 2 2 2 2 2 4 3 4" xfId="46362" xr:uid="{00000000-0005-0000-0000-0000DC580000}"/>
    <cellStyle name="표준 5 2 4 2 2 2 2 2 4 4" xfId="13364" xr:uid="{00000000-0005-0000-0000-0000DD580000}"/>
    <cellStyle name="표준 5 2 4 2 2 2 2 2 4 5" xfId="17604" xr:uid="{00000000-0005-0000-0000-0000DE580000}"/>
    <cellStyle name="표준 5 2 4 2 2 2 2 2 4 6" xfId="21766" xr:uid="{00000000-0005-0000-0000-0000DF580000}"/>
    <cellStyle name="표준 5 2 4 2 2 2 2 2 4 7" xfId="25862" xr:uid="{00000000-0005-0000-0000-0000E0580000}"/>
    <cellStyle name="표준 5 2 4 2 2 2 2 2 4 8" xfId="34073" xr:uid="{00000000-0005-0000-0000-0000E1580000}"/>
    <cellStyle name="표준 5 2 4 2 2 2 2 2 4 9" xfId="42266" xr:uid="{00000000-0005-0000-0000-0000E2580000}"/>
    <cellStyle name="표준 5 2 4 2 2 2 2 2 5" xfId="9764" xr:uid="{00000000-0005-0000-0000-0000E3580000}"/>
    <cellStyle name="표준 5 2 4 2 2 2 2 2 5 2" xfId="13876" xr:uid="{00000000-0005-0000-0000-0000E4580000}"/>
    <cellStyle name="표준 5 2 4 2 2 2 2 2 5 2 2" xfId="30470" xr:uid="{00000000-0005-0000-0000-0000E5580000}"/>
    <cellStyle name="표준 5 2 4 2 2 2 2 2 5 2 3" xfId="38681" xr:uid="{00000000-0005-0000-0000-0000E6580000}"/>
    <cellStyle name="표준 5 2 4 2 2 2 2 2 5 2 4" xfId="46874" xr:uid="{00000000-0005-0000-0000-0000E7580000}"/>
    <cellStyle name="표준 5 2 4 2 2 2 2 2 5 3" xfId="18116" xr:uid="{00000000-0005-0000-0000-0000E8580000}"/>
    <cellStyle name="표준 5 2 4 2 2 2 2 2 5 4" xfId="22278" xr:uid="{00000000-0005-0000-0000-0000E9580000}"/>
    <cellStyle name="표준 5 2 4 2 2 2 2 2 5 5" xfId="26374" xr:uid="{00000000-0005-0000-0000-0000EA580000}"/>
    <cellStyle name="표준 5 2 4 2 2 2 2 2 5 6" xfId="34585" xr:uid="{00000000-0005-0000-0000-0000EB580000}"/>
    <cellStyle name="표준 5 2 4 2 2 2 2 2 5 7" xfId="42778" xr:uid="{00000000-0005-0000-0000-0000EC580000}"/>
    <cellStyle name="표준 5 2 4 2 2 2 2 2 6" xfId="7716" xr:uid="{00000000-0005-0000-0000-0000ED580000}"/>
    <cellStyle name="표준 5 2 4 2 2 2 2 2 6 2" xfId="28422" xr:uid="{00000000-0005-0000-0000-0000EE580000}"/>
    <cellStyle name="표준 5 2 4 2 2 2 2 2 6 3" xfId="36633" xr:uid="{00000000-0005-0000-0000-0000EF580000}"/>
    <cellStyle name="표준 5 2 4 2 2 2 2 2 6 4" xfId="44826" xr:uid="{00000000-0005-0000-0000-0000F0580000}"/>
    <cellStyle name="표준 5 2 4 2 2 2 2 2 7" xfId="11828" xr:uid="{00000000-0005-0000-0000-0000F1580000}"/>
    <cellStyle name="표준 5 2 4 2 2 2 2 2 8" xfId="16068" xr:uid="{00000000-0005-0000-0000-0000F2580000}"/>
    <cellStyle name="표준 5 2 4 2 2 2 2 2 9" xfId="20230" xr:uid="{00000000-0005-0000-0000-0000F3580000}"/>
    <cellStyle name="표준 5 2 4 2 2 2 2 3" xfId="1117" xr:uid="{00000000-0005-0000-0000-0000F4580000}"/>
    <cellStyle name="표준 5 2 4 2 2 2 2 3 2" xfId="10020" xr:uid="{00000000-0005-0000-0000-0000F5580000}"/>
    <cellStyle name="표준 5 2 4 2 2 2 2 3 2 2" xfId="14132" xr:uid="{00000000-0005-0000-0000-0000F6580000}"/>
    <cellStyle name="표준 5 2 4 2 2 2 2 3 2 2 2" xfId="30726" xr:uid="{00000000-0005-0000-0000-0000F7580000}"/>
    <cellStyle name="표준 5 2 4 2 2 2 2 3 2 2 3" xfId="38937" xr:uid="{00000000-0005-0000-0000-0000F8580000}"/>
    <cellStyle name="표준 5 2 4 2 2 2 2 3 2 2 4" xfId="47130" xr:uid="{00000000-0005-0000-0000-0000F9580000}"/>
    <cellStyle name="표준 5 2 4 2 2 2 2 3 2 3" xfId="18372" xr:uid="{00000000-0005-0000-0000-0000FA580000}"/>
    <cellStyle name="표준 5 2 4 2 2 2 2 3 2 4" xfId="22534" xr:uid="{00000000-0005-0000-0000-0000FB580000}"/>
    <cellStyle name="표준 5 2 4 2 2 2 2 3 2 5" xfId="26630" xr:uid="{00000000-0005-0000-0000-0000FC580000}"/>
    <cellStyle name="표준 5 2 4 2 2 2 2 3 2 6" xfId="34841" xr:uid="{00000000-0005-0000-0000-0000FD580000}"/>
    <cellStyle name="표준 5 2 4 2 2 2 2 3 2 7" xfId="43034" xr:uid="{00000000-0005-0000-0000-0000FE580000}"/>
    <cellStyle name="표준 5 2 4 2 2 2 2 3 3" xfId="7972" xr:uid="{00000000-0005-0000-0000-0000FF580000}"/>
    <cellStyle name="표준 5 2 4 2 2 2 2 3 3 2" xfId="28678" xr:uid="{00000000-0005-0000-0000-000000590000}"/>
    <cellStyle name="표준 5 2 4 2 2 2 2 3 3 3" xfId="36889" xr:uid="{00000000-0005-0000-0000-000001590000}"/>
    <cellStyle name="표준 5 2 4 2 2 2 2 3 3 4" xfId="45082" xr:uid="{00000000-0005-0000-0000-000002590000}"/>
    <cellStyle name="표준 5 2 4 2 2 2 2 3 4" xfId="12084" xr:uid="{00000000-0005-0000-0000-000003590000}"/>
    <cellStyle name="표준 5 2 4 2 2 2 2 3 5" xfId="16324" xr:uid="{00000000-0005-0000-0000-000004590000}"/>
    <cellStyle name="표준 5 2 4 2 2 2 2 3 6" xfId="20486" xr:uid="{00000000-0005-0000-0000-000005590000}"/>
    <cellStyle name="표준 5 2 4 2 2 2 2 3 7" xfId="24582" xr:uid="{00000000-0005-0000-0000-000006590000}"/>
    <cellStyle name="표준 5 2 4 2 2 2 2 3 8" xfId="32793" xr:uid="{00000000-0005-0000-0000-000007590000}"/>
    <cellStyle name="표준 5 2 4 2 2 2 2 3 9" xfId="40986" xr:uid="{00000000-0005-0000-0000-000008590000}"/>
    <cellStyle name="표준 5 2 4 2 2 2 2 4" xfId="1629" xr:uid="{00000000-0005-0000-0000-000009590000}"/>
    <cellStyle name="표준 5 2 4 2 2 2 2 4 2" xfId="10532" xr:uid="{00000000-0005-0000-0000-00000A590000}"/>
    <cellStyle name="표준 5 2 4 2 2 2 2 4 2 2" xfId="14644" xr:uid="{00000000-0005-0000-0000-00000B590000}"/>
    <cellStyle name="표준 5 2 4 2 2 2 2 4 2 2 2" xfId="31238" xr:uid="{00000000-0005-0000-0000-00000C590000}"/>
    <cellStyle name="표준 5 2 4 2 2 2 2 4 2 2 3" xfId="39449" xr:uid="{00000000-0005-0000-0000-00000D590000}"/>
    <cellStyle name="표준 5 2 4 2 2 2 2 4 2 2 4" xfId="47642" xr:uid="{00000000-0005-0000-0000-00000E590000}"/>
    <cellStyle name="표준 5 2 4 2 2 2 2 4 2 3" xfId="18884" xr:uid="{00000000-0005-0000-0000-00000F590000}"/>
    <cellStyle name="표준 5 2 4 2 2 2 2 4 2 4" xfId="23046" xr:uid="{00000000-0005-0000-0000-000010590000}"/>
    <cellStyle name="표준 5 2 4 2 2 2 2 4 2 5" xfId="27142" xr:uid="{00000000-0005-0000-0000-000011590000}"/>
    <cellStyle name="표준 5 2 4 2 2 2 2 4 2 6" xfId="35353" xr:uid="{00000000-0005-0000-0000-000012590000}"/>
    <cellStyle name="표준 5 2 4 2 2 2 2 4 2 7" xfId="43546" xr:uid="{00000000-0005-0000-0000-000013590000}"/>
    <cellStyle name="표준 5 2 4 2 2 2 2 4 3" xfId="8484" xr:uid="{00000000-0005-0000-0000-000014590000}"/>
    <cellStyle name="표준 5 2 4 2 2 2 2 4 3 2" xfId="29190" xr:uid="{00000000-0005-0000-0000-000015590000}"/>
    <cellStyle name="표준 5 2 4 2 2 2 2 4 3 3" xfId="37401" xr:uid="{00000000-0005-0000-0000-000016590000}"/>
    <cellStyle name="표준 5 2 4 2 2 2 2 4 3 4" xfId="45594" xr:uid="{00000000-0005-0000-0000-000017590000}"/>
    <cellStyle name="표준 5 2 4 2 2 2 2 4 4" xfId="12596" xr:uid="{00000000-0005-0000-0000-000018590000}"/>
    <cellStyle name="표준 5 2 4 2 2 2 2 4 5" xfId="16836" xr:uid="{00000000-0005-0000-0000-000019590000}"/>
    <cellStyle name="표준 5 2 4 2 2 2 2 4 6" xfId="20998" xr:uid="{00000000-0005-0000-0000-00001A590000}"/>
    <cellStyle name="표준 5 2 4 2 2 2 2 4 7" xfId="25094" xr:uid="{00000000-0005-0000-0000-00001B590000}"/>
    <cellStyle name="표준 5 2 4 2 2 2 2 4 8" xfId="33305" xr:uid="{00000000-0005-0000-0000-00001C590000}"/>
    <cellStyle name="표준 5 2 4 2 2 2 2 4 9" xfId="41498" xr:uid="{00000000-0005-0000-0000-00001D590000}"/>
    <cellStyle name="표준 5 2 4 2 2 2 2 5" xfId="2141" xr:uid="{00000000-0005-0000-0000-00001E590000}"/>
    <cellStyle name="표준 5 2 4 2 2 2 2 5 2" xfId="11044" xr:uid="{00000000-0005-0000-0000-00001F590000}"/>
    <cellStyle name="표준 5 2 4 2 2 2 2 5 2 2" xfId="15156" xr:uid="{00000000-0005-0000-0000-000020590000}"/>
    <cellStyle name="표준 5 2 4 2 2 2 2 5 2 2 2" xfId="31750" xr:uid="{00000000-0005-0000-0000-000021590000}"/>
    <cellStyle name="표준 5 2 4 2 2 2 2 5 2 2 3" xfId="39961" xr:uid="{00000000-0005-0000-0000-000022590000}"/>
    <cellStyle name="표준 5 2 4 2 2 2 2 5 2 2 4" xfId="48154" xr:uid="{00000000-0005-0000-0000-000023590000}"/>
    <cellStyle name="표준 5 2 4 2 2 2 2 5 2 3" xfId="19396" xr:uid="{00000000-0005-0000-0000-000024590000}"/>
    <cellStyle name="표준 5 2 4 2 2 2 2 5 2 4" xfId="23558" xr:uid="{00000000-0005-0000-0000-000025590000}"/>
    <cellStyle name="표준 5 2 4 2 2 2 2 5 2 5" xfId="27654" xr:uid="{00000000-0005-0000-0000-000026590000}"/>
    <cellStyle name="표준 5 2 4 2 2 2 2 5 2 6" xfId="35865" xr:uid="{00000000-0005-0000-0000-000027590000}"/>
    <cellStyle name="표준 5 2 4 2 2 2 2 5 2 7" xfId="44058" xr:uid="{00000000-0005-0000-0000-000028590000}"/>
    <cellStyle name="표준 5 2 4 2 2 2 2 5 3" xfId="8996" xr:uid="{00000000-0005-0000-0000-000029590000}"/>
    <cellStyle name="표준 5 2 4 2 2 2 2 5 3 2" xfId="29702" xr:uid="{00000000-0005-0000-0000-00002A590000}"/>
    <cellStyle name="표준 5 2 4 2 2 2 2 5 3 3" xfId="37913" xr:uid="{00000000-0005-0000-0000-00002B590000}"/>
    <cellStyle name="표준 5 2 4 2 2 2 2 5 3 4" xfId="46106" xr:uid="{00000000-0005-0000-0000-00002C590000}"/>
    <cellStyle name="표준 5 2 4 2 2 2 2 5 4" xfId="13108" xr:uid="{00000000-0005-0000-0000-00002D590000}"/>
    <cellStyle name="표준 5 2 4 2 2 2 2 5 5" xfId="17348" xr:uid="{00000000-0005-0000-0000-00002E590000}"/>
    <cellStyle name="표준 5 2 4 2 2 2 2 5 6" xfId="21510" xr:uid="{00000000-0005-0000-0000-00002F590000}"/>
    <cellStyle name="표준 5 2 4 2 2 2 2 5 7" xfId="25606" xr:uid="{00000000-0005-0000-0000-000030590000}"/>
    <cellStyle name="표준 5 2 4 2 2 2 2 5 8" xfId="33817" xr:uid="{00000000-0005-0000-0000-000031590000}"/>
    <cellStyle name="표준 5 2 4 2 2 2 2 5 9" xfId="42010" xr:uid="{00000000-0005-0000-0000-000032590000}"/>
    <cellStyle name="표준 5 2 4 2 2 2 2 6" xfId="9508" xr:uid="{00000000-0005-0000-0000-000033590000}"/>
    <cellStyle name="표준 5 2 4 2 2 2 2 6 2" xfId="13620" xr:uid="{00000000-0005-0000-0000-000034590000}"/>
    <cellStyle name="표준 5 2 4 2 2 2 2 6 2 2" xfId="30214" xr:uid="{00000000-0005-0000-0000-000035590000}"/>
    <cellStyle name="표준 5 2 4 2 2 2 2 6 2 3" xfId="38425" xr:uid="{00000000-0005-0000-0000-000036590000}"/>
    <cellStyle name="표준 5 2 4 2 2 2 2 6 2 4" xfId="46618" xr:uid="{00000000-0005-0000-0000-000037590000}"/>
    <cellStyle name="표준 5 2 4 2 2 2 2 6 3" xfId="17860" xr:uid="{00000000-0005-0000-0000-000038590000}"/>
    <cellStyle name="표준 5 2 4 2 2 2 2 6 4" xfId="22022" xr:uid="{00000000-0005-0000-0000-000039590000}"/>
    <cellStyle name="표준 5 2 4 2 2 2 2 6 5" xfId="26118" xr:uid="{00000000-0005-0000-0000-00003A590000}"/>
    <cellStyle name="표준 5 2 4 2 2 2 2 6 6" xfId="34329" xr:uid="{00000000-0005-0000-0000-00003B590000}"/>
    <cellStyle name="표준 5 2 4 2 2 2 2 6 7" xfId="42522" xr:uid="{00000000-0005-0000-0000-00003C590000}"/>
    <cellStyle name="표준 5 2 4 2 2 2 2 7" xfId="7460" xr:uid="{00000000-0005-0000-0000-00003D590000}"/>
    <cellStyle name="표준 5 2 4 2 2 2 2 7 2" xfId="28166" xr:uid="{00000000-0005-0000-0000-00003E590000}"/>
    <cellStyle name="표준 5 2 4 2 2 2 2 7 3" xfId="36377" xr:uid="{00000000-0005-0000-0000-00003F590000}"/>
    <cellStyle name="표준 5 2 4 2 2 2 2 7 4" xfId="44570" xr:uid="{00000000-0005-0000-0000-000040590000}"/>
    <cellStyle name="표준 5 2 4 2 2 2 2 8" xfId="11572" xr:uid="{00000000-0005-0000-0000-000041590000}"/>
    <cellStyle name="표준 5 2 4 2 2 2 2 9" xfId="15812" xr:uid="{00000000-0005-0000-0000-000042590000}"/>
    <cellStyle name="표준 5 2 4 2 2 2 3" xfId="733" xr:uid="{00000000-0005-0000-0000-000043590000}"/>
    <cellStyle name="표준 5 2 4 2 2 2 3 10" xfId="24198" xr:uid="{00000000-0005-0000-0000-000044590000}"/>
    <cellStyle name="표준 5 2 4 2 2 2 3 11" xfId="32409" xr:uid="{00000000-0005-0000-0000-000045590000}"/>
    <cellStyle name="표준 5 2 4 2 2 2 3 12" xfId="40602" xr:uid="{00000000-0005-0000-0000-000046590000}"/>
    <cellStyle name="표준 5 2 4 2 2 2 3 2" xfId="1245" xr:uid="{00000000-0005-0000-0000-000047590000}"/>
    <cellStyle name="표준 5 2 4 2 2 2 3 2 2" xfId="10148" xr:uid="{00000000-0005-0000-0000-000048590000}"/>
    <cellStyle name="표준 5 2 4 2 2 2 3 2 2 2" xfId="14260" xr:uid="{00000000-0005-0000-0000-000049590000}"/>
    <cellStyle name="표준 5 2 4 2 2 2 3 2 2 2 2" xfId="30854" xr:uid="{00000000-0005-0000-0000-00004A590000}"/>
    <cellStyle name="표준 5 2 4 2 2 2 3 2 2 2 3" xfId="39065" xr:uid="{00000000-0005-0000-0000-00004B590000}"/>
    <cellStyle name="표준 5 2 4 2 2 2 3 2 2 2 4" xfId="47258" xr:uid="{00000000-0005-0000-0000-00004C590000}"/>
    <cellStyle name="표준 5 2 4 2 2 2 3 2 2 3" xfId="18500" xr:uid="{00000000-0005-0000-0000-00004D590000}"/>
    <cellStyle name="표준 5 2 4 2 2 2 3 2 2 4" xfId="22662" xr:uid="{00000000-0005-0000-0000-00004E590000}"/>
    <cellStyle name="표준 5 2 4 2 2 2 3 2 2 5" xfId="26758" xr:uid="{00000000-0005-0000-0000-00004F590000}"/>
    <cellStyle name="표준 5 2 4 2 2 2 3 2 2 6" xfId="34969" xr:uid="{00000000-0005-0000-0000-000050590000}"/>
    <cellStyle name="표준 5 2 4 2 2 2 3 2 2 7" xfId="43162" xr:uid="{00000000-0005-0000-0000-000051590000}"/>
    <cellStyle name="표준 5 2 4 2 2 2 3 2 3" xfId="8100" xr:uid="{00000000-0005-0000-0000-000052590000}"/>
    <cellStyle name="표준 5 2 4 2 2 2 3 2 3 2" xfId="28806" xr:uid="{00000000-0005-0000-0000-000053590000}"/>
    <cellStyle name="표준 5 2 4 2 2 2 3 2 3 3" xfId="37017" xr:uid="{00000000-0005-0000-0000-000054590000}"/>
    <cellStyle name="표준 5 2 4 2 2 2 3 2 3 4" xfId="45210" xr:uid="{00000000-0005-0000-0000-000055590000}"/>
    <cellStyle name="표준 5 2 4 2 2 2 3 2 4" xfId="12212" xr:uid="{00000000-0005-0000-0000-000056590000}"/>
    <cellStyle name="표준 5 2 4 2 2 2 3 2 5" xfId="16452" xr:uid="{00000000-0005-0000-0000-000057590000}"/>
    <cellStyle name="표준 5 2 4 2 2 2 3 2 6" xfId="20614" xr:uid="{00000000-0005-0000-0000-000058590000}"/>
    <cellStyle name="표준 5 2 4 2 2 2 3 2 7" xfId="24710" xr:uid="{00000000-0005-0000-0000-000059590000}"/>
    <cellStyle name="표준 5 2 4 2 2 2 3 2 8" xfId="32921" xr:uid="{00000000-0005-0000-0000-00005A590000}"/>
    <cellStyle name="표준 5 2 4 2 2 2 3 2 9" xfId="41114" xr:uid="{00000000-0005-0000-0000-00005B590000}"/>
    <cellStyle name="표준 5 2 4 2 2 2 3 3" xfId="1757" xr:uid="{00000000-0005-0000-0000-00005C590000}"/>
    <cellStyle name="표준 5 2 4 2 2 2 3 3 2" xfId="10660" xr:uid="{00000000-0005-0000-0000-00005D590000}"/>
    <cellStyle name="표준 5 2 4 2 2 2 3 3 2 2" xfId="14772" xr:uid="{00000000-0005-0000-0000-00005E590000}"/>
    <cellStyle name="표준 5 2 4 2 2 2 3 3 2 2 2" xfId="31366" xr:uid="{00000000-0005-0000-0000-00005F590000}"/>
    <cellStyle name="표준 5 2 4 2 2 2 3 3 2 2 3" xfId="39577" xr:uid="{00000000-0005-0000-0000-000060590000}"/>
    <cellStyle name="표준 5 2 4 2 2 2 3 3 2 2 4" xfId="47770" xr:uid="{00000000-0005-0000-0000-000061590000}"/>
    <cellStyle name="표준 5 2 4 2 2 2 3 3 2 3" xfId="19012" xr:uid="{00000000-0005-0000-0000-000062590000}"/>
    <cellStyle name="표준 5 2 4 2 2 2 3 3 2 4" xfId="23174" xr:uid="{00000000-0005-0000-0000-000063590000}"/>
    <cellStyle name="표준 5 2 4 2 2 2 3 3 2 5" xfId="27270" xr:uid="{00000000-0005-0000-0000-000064590000}"/>
    <cellStyle name="표준 5 2 4 2 2 2 3 3 2 6" xfId="35481" xr:uid="{00000000-0005-0000-0000-000065590000}"/>
    <cellStyle name="표준 5 2 4 2 2 2 3 3 2 7" xfId="43674" xr:uid="{00000000-0005-0000-0000-000066590000}"/>
    <cellStyle name="표준 5 2 4 2 2 2 3 3 3" xfId="8612" xr:uid="{00000000-0005-0000-0000-000067590000}"/>
    <cellStyle name="표준 5 2 4 2 2 2 3 3 3 2" xfId="29318" xr:uid="{00000000-0005-0000-0000-000068590000}"/>
    <cellStyle name="표준 5 2 4 2 2 2 3 3 3 3" xfId="37529" xr:uid="{00000000-0005-0000-0000-000069590000}"/>
    <cellStyle name="표준 5 2 4 2 2 2 3 3 3 4" xfId="45722" xr:uid="{00000000-0005-0000-0000-00006A590000}"/>
    <cellStyle name="표준 5 2 4 2 2 2 3 3 4" xfId="12724" xr:uid="{00000000-0005-0000-0000-00006B590000}"/>
    <cellStyle name="표준 5 2 4 2 2 2 3 3 5" xfId="16964" xr:uid="{00000000-0005-0000-0000-00006C590000}"/>
    <cellStyle name="표준 5 2 4 2 2 2 3 3 6" xfId="21126" xr:uid="{00000000-0005-0000-0000-00006D590000}"/>
    <cellStyle name="표준 5 2 4 2 2 2 3 3 7" xfId="25222" xr:uid="{00000000-0005-0000-0000-00006E590000}"/>
    <cellStyle name="표준 5 2 4 2 2 2 3 3 8" xfId="33433" xr:uid="{00000000-0005-0000-0000-00006F590000}"/>
    <cellStyle name="표준 5 2 4 2 2 2 3 3 9" xfId="41626" xr:uid="{00000000-0005-0000-0000-000070590000}"/>
    <cellStyle name="표준 5 2 4 2 2 2 3 4" xfId="2269" xr:uid="{00000000-0005-0000-0000-000071590000}"/>
    <cellStyle name="표준 5 2 4 2 2 2 3 4 2" xfId="11172" xr:uid="{00000000-0005-0000-0000-000072590000}"/>
    <cellStyle name="표준 5 2 4 2 2 2 3 4 2 2" xfId="15284" xr:uid="{00000000-0005-0000-0000-000073590000}"/>
    <cellStyle name="표준 5 2 4 2 2 2 3 4 2 2 2" xfId="31878" xr:uid="{00000000-0005-0000-0000-000074590000}"/>
    <cellStyle name="표준 5 2 4 2 2 2 3 4 2 2 3" xfId="40089" xr:uid="{00000000-0005-0000-0000-000075590000}"/>
    <cellStyle name="표준 5 2 4 2 2 2 3 4 2 2 4" xfId="48282" xr:uid="{00000000-0005-0000-0000-000076590000}"/>
    <cellStyle name="표준 5 2 4 2 2 2 3 4 2 3" xfId="19524" xr:uid="{00000000-0005-0000-0000-000077590000}"/>
    <cellStyle name="표준 5 2 4 2 2 2 3 4 2 4" xfId="23686" xr:uid="{00000000-0005-0000-0000-000078590000}"/>
    <cellStyle name="표준 5 2 4 2 2 2 3 4 2 5" xfId="27782" xr:uid="{00000000-0005-0000-0000-000079590000}"/>
    <cellStyle name="표준 5 2 4 2 2 2 3 4 2 6" xfId="35993" xr:uid="{00000000-0005-0000-0000-00007A590000}"/>
    <cellStyle name="표준 5 2 4 2 2 2 3 4 2 7" xfId="44186" xr:uid="{00000000-0005-0000-0000-00007B590000}"/>
    <cellStyle name="표준 5 2 4 2 2 2 3 4 3" xfId="9124" xr:uid="{00000000-0005-0000-0000-00007C590000}"/>
    <cellStyle name="표준 5 2 4 2 2 2 3 4 3 2" xfId="29830" xr:uid="{00000000-0005-0000-0000-00007D590000}"/>
    <cellStyle name="표준 5 2 4 2 2 2 3 4 3 3" xfId="38041" xr:uid="{00000000-0005-0000-0000-00007E590000}"/>
    <cellStyle name="표준 5 2 4 2 2 2 3 4 3 4" xfId="46234" xr:uid="{00000000-0005-0000-0000-00007F590000}"/>
    <cellStyle name="표준 5 2 4 2 2 2 3 4 4" xfId="13236" xr:uid="{00000000-0005-0000-0000-000080590000}"/>
    <cellStyle name="표준 5 2 4 2 2 2 3 4 5" xfId="17476" xr:uid="{00000000-0005-0000-0000-000081590000}"/>
    <cellStyle name="표준 5 2 4 2 2 2 3 4 6" xfId="21638" xr:uid="{00000000-0005-0000-0000-000082590000}"/>
    <cellStyle name="표준 5 2 4 2 2 2 3 4 7" xfId="25734" xr:uid="{00000000-0005-0000-0000-000083590000}"/>
    <cellStyle name="표준 5 2 4 2 2 2 3 4 8" xfId="33945" xr:uid="{00000000-0005-0000-0000-000084590000}"/>
    <cellStyle name="표준 5 2 4 2 2 2 3 4 9" xfId="42138" xr:uid="{00000000-0005-0000-0000-000085590000}"/>
    <cellStyle name="표준 5 2 4 2 2 2 3 5" xfId="9636" xr:uid="{00000000-0005-0000-0000-000086590000}"/>
    <cellStyle name="표준 5 2 4 2 2 2 3 5 2" xfId="13748" xr:uid="{00000000-0005-0000-0000-000087590000}"/>
    <cellStyle name="표준 5 2 4 2 2 2 3 5 2 2" xfId="30342" xr:uid="{00000000-0005-0000-0000-000088590000}"/>
    <cellStyle name="표준 5 2 4 2 2 2 3 5 2 3" xfId="38553" xr:uid="{00000000-0005-0000-0000-000089590000}"/>
    <cellStyle name="표준 5 2 4 2 2 2 3 5 2 4" xfId="46746" xr:uid="{00000000-0005-0000-0000-00008A590000}"/>
    <cellStyle name="표준 5 2 4 2 2 2 3 5 3" xfId="17988" xr:uid="{00000000-0005-0000-0000-00008B590000}"/>
    <cellStyle name="표준 5 2 4 2 2 2 3 5 4" xfId="22150" xr:uid="{00000000-0005-0000-0000-00008C590000}"/>
    <cellStyle name="표준 5 2 4 2 2 2 3 5 5" xfId="26246" xr:uid="{00000000-0005-0000-0000-00008D590000}"/>
    <cellStyle name="표준 5 2 4 2 2 2 3 5 6" xfId="34457" xr:uid="{00000000-0005-0000-0000-00008E590000}"/>
    <cellStyle name="표준 5 2 4 2 2 2 3 5 7" xfId="42650" xr:uid="{00000000-0005-0000-0000-00008F590000}"/>
    <cellStyle name="표준 5 2 4 2 2 2 3 6" xfId="7588" xr:uid="{00000000-0005-0000-0000-000090590000}"/>
    <cellStyle name="표준 5 2 4 2 2 2 3 6 2" xfId="28294" xr:uid="{00000000-0005-0000-0000-000091590000}"/>
    <cellStyle name="표준 5 2 4 2 2 2 3 6 3" xfId="36505" xr:uid="{00000000-0005-0000-0000-000092590000}"/>
    <cellStyle name="표준 5 2 4 2 2 2 3 6 4" xfId="44698" xr:uid="{00000000-0005-0000-0000-000093590000}"/>
    <cellStyle name="표준 5 2 4 2 2 2 3 7" xfId="11700" xr:uid="{00000000-0005-0000-0000-000094590000}"/>
    <cellStyle name="표준 5 2 4 2 2 2 3 8" xfId="15940" xr:uid="{00000000-0005-0000-0000-000095590000}"/>
    <cellStyle name="표준 5 2 4 2 2 2 3 9" xfId="20102" xr:uid="{00000000-0005-0000-0000-000096590000}"/>
    <cellStyle name="표준 5 2 4 2 2 2 4" xfId="989" xr:uid="{00000000-0005-0000-0000-000097590000}"/>
    <cellStyle name="표준 5 2 4 2 2 2 4 2" xfId="9892" xr:uid="{00000000-0005-0000-0000-000098590000}"/>
    <cellStyle name="표준 5 2 4 2 2 2 4 2 2" xfId="14004" xr:uid="{00000000-0005-0000-0000-000099590000}"/>
    <cellStyle name="표준 5 2 4 2 2 2 4 2 2 2" xfId="30598" xr:uid="{00000000-0005-0000-0000-00009A590000}"/>
    <cellStyle name="표준 5 2 4 2 2 2 4 2 2 3" xfId="38809" xr:uid="{00000000-0005-0000-0000-00009B590000}"/>
    <cellStyle name="표준 5 2 4 2 2 2 4 2 2 4" xfId="47002" xr:uid="{00000000-0005-0000-0000-00009C590000}"/>
    <cellStyle name="표준 5 2 4 2 2 2 4 2 3" xfId="18244" xr:uid="{00000000-0005-0000-0000-00009D590000}"/>
    <cellStyle name="표준 5 2 4 2 2 2 4 2 4" xfId="22406" xr:uid="{00000000-0005-0000-0000-00009E590000}"/>
    <cellStyle name="표준 5 2 4 2 2 2 4 2 5" xfId="26502" xr:uid="{00000000-0005-0000-0000-00009F590000}"/>
    <cellStyle name="표준 5 2 4 2 2 2 4 2 6" xfId="34713" xr:uid="{00000000-0005-0000-0000-0000A0590000}"/>
    <cellStyle name="표준 5 2 4 2 2 2 4 2 7" xfId="42906" xr:uid="{00000000-0005-0000-0000-0000A1590000}"/>
    <cellStyle name="표준 5 2 4 2 2 2 4 3" xfId="7844" xr:uid="{00000000-0005-0000-0000-0000A2590000}"/>
    <cellStyle name="표준 5 2 4 2 2 2 4 3 2" xfId="28550" xr:uid="{00000000-0005-0000-0000-0000A3590000}"/>
    <cellStyle name="표준 5 2 4 2 2 2 4 3 3" xfId="36761" xr:uid="{00000000-0005-0000-0000-0000A4590000}"/>
    <cellStyle name="표준 5 2 4 2 2 2 4 3 4" xfId="44954" xr:uid="{00000000-0005-0000-0000-0000A5590000}"/>
    <cellStyle name="표준 5 2 4 2 2 2 4 4" xfId="11956" xr:uid="{00000000-0005-0000-0000-0000A6590000}"/>
    <cellStyle name="표준 5 2 4 2 2 2 4 5" xfId="16196" xr:uid="{00000000-0005-0000-0000-0000A7590000}"/>
    <cellStyle name="표준 5 2 4 2 2 2 4 6" xfId="20358" xr:uid="{00000000-0005-0000-0000-0000A8590000}"/>
    <cellStyle name="표준 5 2 4 2 2 2 4 7" xfId="24454" xr:uid="{00000000-0005-0000-0000-0000A9590000}"/>
    <cellStyle name="표준 5 2 4 2 2 2 4 8" xfId="32665" xr:uid="{00000000-0005-0000-0000-0000AA590000}"/>
    <cellStyle name="표준 5 2 4 2 2 2 4 9" xfId="40858" xr:uid="{00000000-0005-0000-0000-0000AB590000}"/>
    <cellStyle name="표준 5 2 4 2 2 2 5" xfId="1501" xr:uid="{00000000-0005-0000-0000-0000AC590000}"/>
    <cellStyle name="표준 5 2 4 2 2 2 5 2" xfId="10404" xr:uid="{00000000-0005-0000-0000-0000AD590000}"/>
    <cellStyle name="표준 5 2 4 2 2 2 5 2 2" xfId="14516" xr:uid="{00000000-0005-0000-0000-0000AE590000}"/>
    <cellStyle name="표준 5 2 4 2 2 2 5 2 2 2" xfId="31110" xr:uid="{00000000-0005-0000-0000-0000AF590000}"/>
    <cellStyle name="표준 5 2 4 2 2 2 5 2 2 3" xfId="39321" xr:uid="{00000000-0005-0000-0000-0000B0590000}"/>
    <cellStyle name="표준 5 2 4 2 2 2 5 2 2 4" xfId="47514" xr:uid="{00000000-0005-0000-0000-0000B1590000}"/>
    <cellStyle name="표준 5 2 4 2 2 2 5 2 3" xfId="18756" xr:uid="{00000000-0005-0000-0000-0000B2590000}"/>
    <cellStyle name="표준 5 2 4 2 2 2 5 2 4" xfId="22918" xr:uid="{00000000-0005-0000-0000-0000B3590000}"/>
    <cellStyle name="표준 5 2 4 2 2 2 5 2 5" xfId="27014" xr:uid="{00000000-0005-0000-0000-0000B4590000}"/>
    <cellStyle name="표준 5 2 4 2 2 2 5 2 6" xfId="35225" xr:uid="{00000000-0005-0000-0000-0000B5590000}"/>
    <cellStyle name="표준 5 2 4 2 2 2 5 2 7" xfId="43418" xr:uid="{00000000-0005-0000-0000-0000B6590000}"/>
    <cellStyle name="표준 5 2 4 2 2 2 5 3" xfId="8356" xr:uid="{00000000-0005-0000-0000-0000B7590000}"/>
    <cellStyle name="표준 5 2 4 2 2 2 5 3 2" xfId="29062" xr:uid="{00000000-0005-0000-0000-0000B8590000}"/>
    <cellStyle name="표준 5 2 4 2 2 2 5 3 3" xfId="37273" xr:uid="{00000000-0005-0000-0000-0000B9590000}"/>
    <cellStyle name="표준 5 2 4 2 2 2 5 3 4" xfId="45466" xr:uid="{00000000-0005-0000-0000-0000BA590000}"/>
    <cellStyle name="표준 5 2 4 2 2 2 5 4" xfId="12468" xr:uid="{00000000-0005-0000-0000-0000BB590000}"/>
    <cellStyle name="표준 5 2 4 2 2 2 5 5" xfId="16708" xr:uid="{00000000-0005-0000-0000-0000BC590000}"/>
    <cellStyle name="표준 5 2 4 2 2 2 5 6" xfId="20870" xr:uid="{00000000-0005-0000-0000-0000BD590000}"/>
    <cellStyle name="표준 5 2 4 2 2 2 5 7" xfId="24966" xr:uid="{00000000-0005-0000-0000-0000BE590000}"/>
    <cellStyle name="표준 5 2 4 2 2 2 5 8" xfId="33177" xr:uid="{00000000-0005-0000-0000-0000BF590000}"/>
    <cellStyle name="표준 5 2 4 2 2 2 5 9" xfId="41370" xr:uid="{00000000-0005-0000-0000-0000C0590000}"/>
    <cellStyle name="표준 5 2 4 2 2 2 6" xfId="2013" xr:uid="{00000000-0005-0000-0000-0000C1590000}"/>
    <cellStyle name="표준 5 2 4 2 2 2 6 2" xfId="10916" xr:uid="{00000000-0005-0000-0000-0000C2590000}"/>
    <cellStyle name="표준 5 2 4 2 2 2 6 2 2" xfId="15028" xr:uid="{00000000-0005-0000-0000-0000C3590000}"/>
    <cellStyle name="표준 5 2 4 2 2 2 6 2 2 2" xfId="31622" xr:uid="{00000000-0005-0000-0000-0000C4590000}"/>
    <cellStyle name="표준 5 2 4 2 2 2 6 2 2 3" xfId="39833" xr:uid="{00000000-0005-0000-0000-0000C5590000}"/>
    <cellStyle name="표준 5 2 4 2 2 2 6 2 2 4" xfId="48026" xr:uid="{00000000-0005-0000-0000-0000C6590000}"/>
    <cellStyle name="표준 5 2 4 2 2 2 6 2 3" xfId="19268" xr:uid="{00000000-0005-0000-0000-0000C7590000}"/>
    <cellStyle name="표준 5 2 4 2 2 2 6 2 4" xfId="23430" xr:uid="{00000000-0005-0000-0000-0000C8590000}"/>
    <cellStyle name="표준 5 2 4 2 2 2 6 2 5" xfId="27526" xr:uid="{00000000-0005-0000-0000-0000C9590000}"/>
    <cellStyle name="표준 5 2 4 2 2 2 6 2 6" xfId="35737" xr:uid="{00000000-0005-0000-0000-0000CA590000}"/>
    <cellStyle name="표준 5 2 4 2 2 2 6 2 7" xfId="43930" xr:uid="{00000000-0005-0000-0000-0000CB590000}"/>
    <cellStyle name="표준 5 2 4 2 2 2 6 3" xfId="8868" xr:uid="{00000000-0005-0000-0000-0000CC590000}"/>
    <cellStyle name="표준 5 2 4 2 2 2 6 3 2" xfId="29574" xr:uid="{00000000-0005-0000-0000-0000CD590000}"/>
    <cellStyle name="표준 5 2 4 2 2 2 6 3 3" xfId="37785" xr:uid="{00000000-0005-0000-0000-0000CE590000}"/>
    <cellStyle name="표준 5 2 4 2 2 2 6 3 4" xfId="45978" xr:uid="{00000000-0005-0000-0000-0000CF590000}"/>
    <cellStyle name="표준 5 2 4 2 2 2 6 4" xfId="12980" xr:uid="{00000000-0005-0000-0000-0000D0590000}"/>
    <cellStyle name="표준 5 2 4 2 2 2 6 5" xfId="17220" xr:uid="{00000000-0005-0000-0000-0000D1590000}"/>
    <cellStyle name="표준 5 2 4 2 2 2 6 6" xfId="21382" xr:uid="{00000000-0005-0000-0000-0000D2590000}"/>
    <cellStyle name="표준 5 2 4 2 2 2 6 7" xfId="25478" xr:uid="{00000000-0005-0000-0000-0000D3590000}"/>
    <cellStyle name="표준 5 2 4 2 2 2 6 8" xfId="33689" xr:uid="{00000000-0005-0000-0000-0000D4590000}"/>
    <cellStyle name="표준 5 2 4 2 2 2 6 9" xfId="41882" xr:uid="{00000000-0005-0000-0000-0000D5590000}"/>
    <cellStyle name="표준 5 2 4 2 2 2 7" xfId="9380" xr:uid="{00000000-0005-0000-0000-0000D6590000}"/>
    <cellStyle name="표준 5 2 4 2 2 2 7 2" xfId="13492" xr:uid="{00000000-0005-0000-0000-0000D7590000}"/>
    <cellStyle name="표준 5 2 4 2 2 2 7 2 2" xfId="30086" xr:uid="{00000000-0005-0000-0000-0000D8590000}"/>
    <cellStyle name="표준 5 2 4 2 2 2 7 2 3" xfId="38297" xr:uid="{00000000-0005-0000-0000-0000D9590000}"/>
    <cellStyle name="표준 5 2 4 2 2 2 7 2 4" xfId="46490" xr:uid="{00000000-0005-0000-0000-0000DA590000}"/>
    <cellStyle name="표준 5 2 4 2 2 2 7 3" xfId="17732" xr:uid="{00000000-0005-0000-0000-0000DB590000}"/>
    <cellStyle name="표준 5 2 4 2 2 2 7 4" xfId="21894" xr:uid="{00000000-0005-0000-0000-0000DC590000}"/>
    <cellStyle name="표준 5 2 4 2 2 2 7 5" xfId="25990" xr:uid="{00000000-0005-0000-0000-0000DD590000}"/>
    <cellStyle name="표준 5 2 4 2 2 2 7 6" xfId="34201" xr:uid="{00000000-0005-0000-0000-0000DE590000}"/>
    <cellStyle name="표준 5 2 4 2 2 2 7 7" xfId="42394" xr:uid="{00000000-0005-0000-0000-0000DF590000}"/>
    <cellStyle name="표준 5 2 4 2 2 2 8" xfId="7332" xr:uid="{00000000-0005-0000-0000-0000E0590000}"/>
    <cellStyle name="표준 5 2 4 2 2 2 8 2" xfId="28038" xr:uid="{00000000-0005-0000-0000-0000E1590000}"/>
    <cellStyle name="표준 5 2 4 2 2 2 8 3" xfId="36249" xr:uid="{00000000-0005-0000-0000-0000E2590000}"/>
    <cellStyle name="표준 5 2 4 2 2 2 8 4" xfId="44442" xr:uid="{00000000-0005-0000-0000-0000E3590000}"/>
    <cellStyle name="표준 5 2 4 2 2 2 9" xfId="11444" xr:uid="{00000000-0005-0000-0000-0000E4590000}"/>
    <cellStyle name="표준 5 2 4 2 2 3" xfId="541" xr:uid="{00000000-0005-0000-0000-0000E5590000}"/>
    <cellStyle name="표준 5 2 4 2 2 3 10" xfId="19910" xr:uid="{00000000-0005-0000-0000-0000E6590000}"/>
    <cellStyle name="표준 5 2 4 2 2 3 11" xfId="24006" xr:uid="{00000000-0005-0000-0000-0000E7590000}"/>
    <cellStyle name="표준 5 2 4 2 2 3 12" xfId="32217" xr:uid="{00000000-0005-0000-0000-0000E8590000}"/>
    <cellStyle name="표준 5 2 4 2 2 3 13" xfId="40410" xr:uid="{00000000-0005-0000-0000-0000E9590000}"/>
    <cellStyle name="표준 5 2 4 2 2 3 2" xfId="797" xr:uid="{00000000-0005-0000-0000-0000EA590000}"/>
    <cellStyle name="표준 5 2 4 2 2 3 2 10" xfId="24262" xr:uid="{00000000-0005-0000-0000-0000EB590000}"/>
    <cellStyle name="표준 5 2 4 2 2 3 2 11" xfId="32473" xr:uid="{00000000-0005-0000-0000-0000EC590000}"/>
    <cellStyle name="표준 5 2 4 2 2 3 2 12" xfId="40666" xr:uid="{00000000-0005-0000-0000-0000ED590000}"/>
    <cellStyle name="표준 5 2 4 2 2 3 2 2" xfId="1309" xr:uid="{00000000-0005-0000-0000-0000EE590000}"/>
    <cellStyle name="표준 5 2 4 2 2 3 2 2 2" xfId="10212" xr:uid="{00000000-0005-0000-0000-0000EF590000}"/>
    <cellStyle name="표준 5 2 4 2 2 3 2 2 2 2" xfId="14324" xr:uid="{00000000-0005-0000-0000-0000F0590000}"/>
    <cellStyle name="표준 5 2 4 2 2 3 2 2 2 2 2" xfId="30918" xr:uid="{00000000-0005-0000-0000-0000F1590000}"/>
    <cellStyle name="표준 5 2 4 2 2 3 2 2 2 2 3" xfId="39129" xr:uid="{00000000-0005-0000-0000-0000F2590000}"/>
    <cellStyle name="표준 5 2 4 2 2 3 2 2 2 2 4" xfId="47322" xr:uid="{00000000-0005-0000-0000-0000F3590000}"/>
    <cellStyle name="표준 5 2 4 2 2 3 2 2 2 3" xfId="18564" xr:uid="{00000000-0005-0000-0000-0000F4590000}"/>
    <cellStyle name="표준 5 2 4 2 2 3 2 2 2 4" xfId="22726" xr:uid="{00000000-0005-0000-0000-0000F5590000}"/>
    <cellStyle name="표준 5 2 4 2 2 3 2 2 2 5" xfId="26822" xr:uid="{00000000-0005-0000-0000-0000F6590000}"/>
    <cellStyle name="표준 5 2 4 2 2 3 2 2 2 6" xfId="35033" xr:uid="{00000000-0005-0000-0000-0000F7590000}"/>
    <cellStyle name="표준 5 2 4 2 2 3 2 2 2 7" xfId="43226" xr:uid="{00000000-0005-0000-0000-0000F8590000}"/>
    <cellStyle name="표준 5 2 4 2 2 3 2 2 3" xfId="8164" xr:uid="{00000000-0005-0000-0000-0000F9590000}"/>
    <cellStyle name="표준 5 2 4 2 2 3 2 2 3 2" xfId="28870" xr:uid="{00000000-0005-0000-0000-0000FA590000}"/>
    <cellStyle name="표준 5 2 4 2 2 3 2 2 3 3" xfId="37081" xr:uid="{00000000-0005-0000-0000-0000FB590000}"/>
    <cellStyle name="표준 5 2 4 2 2 3 2 2 3 4" xfId="45274" xr:uid="{00000000-0005-0000-0000-0000FC590000}"/>
    <cellStyle name="표준 5 2 4 2 2 3 2 2 4" xfId="12276" xr:uid="{00000000-0005-0000-0000-0000FD590000}"/>
    <cellStyle name="표준 5 2 4 2 2 3 2 2 5" xfId="16516" xr:uid="{00000000-0005-0000-0000-0000FE590000}"/>
    <cellStyle name="표준 5 2 4 2 2 3 2 2 6" xfId="20678" xr:uid="{00000000-0005-0000-0000-0000FF590000}"/>
    <cellStyle name="표준 5 2 4 2 2 3 2 2 7" xfId="24774" xr:uid="{00000000-0005-0000-0000-0000005A0000}"/>
    <cellStyle name="표준 5 2 4 2 2 3 2 2 8" xfId="32985" xr:uid="{00000000-0005-0000-0000-0000015A0000}"/>
    <cellStyle name="표준 5 2 4 2 2 3 2 2 9" xfId="41178" xr:uid="{00000000-0005-0000-0000-0000025A0000}"/>
    <cellStyle name="표준 5 2 4 2 2 3 2 3" xfId="1821" xr:uid="{00000000-0005-0000-0000-0000035A0000}"/>
    <cellStyle name="표준 5 2 4 2 2 3 2 3 2" xfId="10724" xr:uid="{00000000-0005-0000-0000-0000045A0000}"/>
    <cellStyle name="표준 5 2 4 2 2 3 2 3 2 2" xfId="14836" xr:uid="{00000000-0005-0000-0000-0000055A0000}"/>
    <cellStyle name="표준 5 2 4 2 2 3 2 3 2 2 2" xfId="31430" xr:uid="{00000000-0005-0000-0000-0000065A0000}"/>
    <cellStyle name="표준 5 2 4 2 2 3 2 3 2 2 3" xfId="39641" xr:uid="{00000000-0005-0000-0000-0000075A0000}"/>
    <cellStyle name="표준 5 2 4 2 2 3 2 3 2 2 4" xfId="47834" xr:uid="{00000000-0005-0000-0000-0000085A0000}"/>
    <cellStyle name="표준 5 2 4 2 2 3 2 3 2 3" xfId="19076" xr:uid="{00000000-0005-0000-0000-0000095A0000}"/>
    <cellStyle name="표준 5 2 4 2 2 3 2 3 2 4" xfId="23238" xr:uid="{00000000-0005-0000-0000-00000A5A0000}"/>
    <cellStyle name="표준 5 2 4 2 2 3 2 3 2 5" xfId="27334" xr:uid="{00000000-0005-0000-0000-00000B5A0000}"/>
    <cellStyle name="표준 5 2 4 2 2 3 2 3 2 6" xfId="35545" xr:uid="{00000000-0005-0000-0000-00000C5A0000}"/>
    <cellStyle name="표준 5 2 4 2 2 3 2 3 2 7" xfId="43738" xr:uid="{00000000-0005-0000-0000-00000D5A0000}"/>
    <cellStyle name="표준 5 2 4 2 2 3 2 3 3" xfId="8676" xr:uid="{00000000-0005-0000-0000-00000E5A0000}"/>
    <cellStyle name="표준 5 2 4 2 2 3 2 3 3 2" xfId="29382" xr:uid="{00000000-0005-0000-0000-00000F5A0000}"/>
    <cellStyle name="표준 5 2 4 2 2 3 2 3 3 3" xfId="37593" xr:uid="{00000000-0005-0000-0000-0000105A0000}"/>
    <cellStyle name="표준 5 2 4 2 2 3 2 3 3 4" xfId="45786" xr:uid="{00000000-0005-0000-0000-0000115A0000}"/>
    <cellStyle name="표준 5 2 4 2 2 3 2 3 4" xfId="12788" xr:uid="{00000000-0005-0000-0000-0000125A0000}"/>
    <cellStyle name="표준 5 2 4 2 2 3 2 3 5" xfId="17028" xr:uid="{00000000-0005-0000-0000-0000135A0000}"/>
    <cellStyle name="표준 5 2 4 2 2 3 2 3 6" xfId="21190" xr:uid="{00000000-0005-0000-0000-0000145A0000}"/>
    <cellStyle name="표준 5 2 4 2 2 3 2 3 7" xfId="25286" xr:uid="{00000000-0005-0000-0000-0000155A0000}"/>
    <cellStyle name="표준 5 2 4 2 2 3 2 3 8" xfId="33497" xr:uid="{00000000-0005-0000-0000-0000165A0000}"/>
    <cellStyle name="표준 5 2 4 2 2 3 2 3 9" xfId="41690" xr:uid="{00000000-0005-0000-0000-0000175A0000}"/>
    <cellStyle name="표준 5 2 4 2 2 3 2 4" xfId="2333" xr:uid="{00000000-0005-0000-0000-0000185A0000}"/>
    <cellStyle name="표준 5 2 4 2 2 3 2 4 2" xfId="11236" xr:uid="{00000000-0005-0000-0000-0000195A0000}"/>
    <cellStyle name="표준 5 2 4 2 2 3 2 4 2 2" xfId="15348" xr:uid="{00000000-0005-0000-0000-00001A5A0000}"/>
    <cellStyle name="표준 5 2 4 2 2 3 2 4 2 2 2" xfId="31942" xr:uid="{00000000-0005-0000-0000-00001B5A0000}"/>
    <cellStyle name="표준 5 2 4 2 2 3 2 4 2 2 3" xfId="40153" xr:uid="{00000000-0005-0000-0000-00001C5A0000}"/>
    <cellStyle name="표준 5 2 4 2 2 3 2 4 2 2 4" xfId="48346" xr:uid="{00000000-0005-0000-0000-00001D5A0000}"/>
    <cellStyle name="표준 5 2 4 2 2 3 2 4 2 3" xfId="19588" xr:uid="{00000000-0005-0000-0000-00001E5A0000}"/>
    <cellStyle name="표준 5 2 4 2 2 3 2 4 2 4" xfId="23750" xr:uid="{00000000-0005-0000-0000-00001F5A0000}"/>
    <cellStyle name="표준 5 2 4 2 2 3 2 4 2 5" xfId="27846" xr:uid="{00000000-0005-0000-0000-0000205A0000}"/>
    <cellStyle name="표준 5 2 4 2 2 3 2 4 2 6" xfId="36057" xr:uid="{00000000-0005-0000-0000-0000215A0000}"/>
    <cellStyle name="표준 5 2 4 2 2 3 2 4 2 7" xfId="44250" xr:uid="{00000000-0005-0000-0000-0000225A0000}"/>
    <cellStyle name="표준 5 2 4 2 2 3 2 4 3" xfId="9188" xr:uid="{00000000-0005-0000-0000-0000235A0000}"/>
    <cellStyle name="표준 5 2 4 2 2 3 2 4 3 2" xfId="29894" xr:uid="{00000000-0005-0000-0000-0000245A0000}"/>
    <cellStyle name="표준 5 2 4 2 2 3 2 4 3 3" xfId="38105" xr:uid="{00000000-0005-0000-0000-0000255A0000}"/>
    <cellStyle name="표준 5 2 4 2 2 3 2 4 3 4" xfId="46298" xr:uid="{00000000-0005-0000-0000-0000265A0000}"/>
    <cellStyle name="표준 5 2 4 2 2 3 2 4 4" xfId="13300" xr:uid="{00000000-0005-0000-0000-0000275A0000}"/>
    <cellStyle name="표준 5 2 4 2 2 3 2 4 5" xfId="17540" xr:uid="{00000000-0005-0000-0000-0000285A0000}"/>
    <cellStyle name="표준 5 2 4 2 2 3 2 4 6" xfId="21702" xr:uid="{00000000-0005-0000-0000-0000295A0000}"/>
    <cellStyle name="표준 5 2 4 2 2 3 2 4 7" xfId="25798" xr:uid="{00000000-0005-0000-0000-00002A5A0000}"/>
    <cellStyle name="표준 5 2 4 2 2 3 2 4 8" xfId="34009" xr:uid="{00000000-0005-0000-0000-00002B5A0000}"/>
    <cellStyle name="표준 5 2 4 2 2 3 2 4 9" xfId="42202" xr:uid="{00000000-0005-0000-0000-00002C5A0000}"/>
    <cellStyle name="표준 5 2 4 2 2 3 2 5" xfId="9700" xr:uid="{00000000-0005-0000-0000-00002D5A0000}"/>
    <cellStyle name="표준 5 2 4 2 2 3 2 5 2" xfId="13812" xr:uid="{00000000-0005-0000-0000-00002E5A0000}"/>
    <cellStyle name="표준 5 2 4 2 2 3 2 5 2 2" xfId="30406" xr:uid="{00000000-0005-0000-0000-00002F5A0000}"/>
    <cellStyle name="표준 5 2 4 2 2 3 2 5 2 3" xfId="38617" xr:uid="{00000000-0005-0000-0000-0000305A0000}"/>
    <cellStyle name="표준 5 2 4 2 2 3 2 5 2 4" xfId="46810" xr:uid="{00000000-0005-0000-0000-0000315A0000}"/>
    <cellStyle name="표준 5 2 4 2 2 3 2 5 3" xfId="18052" xr:uid="{00000000-0005-0000-0000-0000325A0000}"/>
    <cellStyle name="표준 5 2 4 2 2 3 2 5 4" xfId="22214" xr:uid="{00000000-0005-0000-0000-0000335A0000}"/>
    <cellStyle name="표준 5 2 4 2 2 3 2 5 5" xfId="26310" xr:uid="{00000000-0005-0000-0000-0000345A0000}"/>
    <cellStyle name="표준 5 2 4 2 2 3 2 5 6" xfId="34521" xr:uid="{00000000-0005-0000-0000-0000355A0000}"/>
    <cellStyle name="표준 5 2 4 2 2 3 2 5 7" xfId="42714" xr:uid="{00000000-0005-0000-0000-0000365A0000}"/>
    <cellStyle name="표준 5 2 4 2 2 3 2 6" xfId="7652" xr:uid="{00000000-0005-0000-0000-0000375A0000}"/>
    <cellStyle name="표준 5 2 4 2 2 3 2 6 2" xfId="28358" xr:uid="{00000000-0005-0000-0000-0000385A0000}"/>
    <cellStyle name="표준 5 2 4 2 2 3 2 6 3" xfId="36569" xr:uid="{00000000-0005-0000-0000-0000395A0000}"/>
    <cellStyle name="표준 5 2 4 2 2 3 2 6 4" xfId="44762" xr:uid="{00000000-0005-0000-0000-00003A5A0000}"/>
    <cellStyle name="표준 5 2 4 2 2 3 2 7" xfId="11764" xr:uid="{00000000-0005-0000-0000-00003B5A0000}"/>
    <cellStyle name="표준 5 2 4 2 2 3 2 8" xfId="16004" xr:uid="{00000000-0005-0000-0000-00003C5A0000}"/>
    <cellStyle name="표준 5 2 4 2 2 3 2 9" xfId="20166" xr:uid="{00000000-0005-0000-0000-00003D5A0000}"/>
    <cellStyle name="표준 5 2 4 2 2 3 3" xfId="1053" xr:uid="{00000000-0005-0000-0000-00003E5A0000}"/>
    <cellStyle name="표준 5 2 4 2 2 3 3 2" xfId="9956" xr:uid="{00000000-0005-0000-0000-00003F5A0000}"/>
    <cellStyle name="표준 5 2 4 2 2 3 3 2 2" xfId="14068" xr:uid="{00000000-0005-0000-0000-0000405A0000}"/>
    <cellStyle name="표준 5 2 4 2 2 3 3 2 2 2" xfId="30662" xr:uid="{00000000-0005-0000-0000-0000415A0000}"/>
    <cellStyle name="표준 5 2 4 2 2 3 3 2 2 3" xfId="38873" xr:uid="{00000000-0005-0000-0000-0000425A0000}"/>
    <cellStyle name="표준 5 2 4 2 2 3 3 2 2 4" xfId="47066" xr:uid="{00000000-0005-0000-0000-0000435A0000}"/>
    <cellStyle name="표준 5 2 4 2 2 3 3 2 3" xfId="18308" xr:uid="{00000000-0005-0000-0000-0000445A0000}"/>
    <cellStyle name="표준 5 2 4 2 2 3 3 2 4" xfId="22470" xr:uid="{00000000-0005-0000-0000-0000455A0000}"/>
    <cellStyle name="표준 5 2 4 2 2 3 3 2 5" xfId="26566" xr:uid="{00000000-0005-0000-0000-0000465A0000}"/>
    <cellStyle name="표준 5 2 4 2 2 3 3 2 6" xfId="34777" xr:uid="{00000000-0005-0000-0000-0000475A0000}"/>
    <cellStyle name="표준 5 2 4 2 2 3 3 2 7" xfId="42970" xr:uid="{00000000-0005-0000-0000-0000485A0000}"/>
    <cellStyle name="표준 5 2 4 2 2 3 3 3" xfId="7908" xr:uid="{00000000-0005-0000-0000-0000495A0000}"/>
    <cellStyle name="표준 5 2 4 2 2 3 3 3 2" xfId="28614" xr:uid="{00000000-0005-0000-0000-00004A5A0000}"/>
    <cellStyle name="표준 5 2 4 2 2 3 3 3 3" xfId="36825" xr:uid="{00000000-0005-0000-0000-00004B5A0000}"/>
    <cellStyle name="표준 5 2 4 2 2 3 3 3 4" xfId="45018" xr:uid="{00000000-0005-0000-0000-00004C5A0000}"/>
    <cellStyle name="표준 5 2 4 2 2 3 3 4" xfId="12020" xr:uid="{00000000-0005-0000-0000-00004D5A0000}"/>
    <cellStyle name="표준 5 2 4 2 2 3 3 5" xfId="16260" xr:uid="{00000000-0005-0000-0000-00004E5A0000}"/>
    <cellStyle name="표준 5 2 4 2 2 3 3 6" xfId="20422" xr:uid="{00000000-0005-0000-0000-00004F5A0000}"/>
    <cellStyle name="표준 5 2 4 2 2 3 3 7" xfId="24518" xr:uid="{00000000-0005-0000-0000-0000505A0000}"/>
    <cellStyle name="표준 5 2 4 2 2 3 3 8" xfId="32729" xr:uid="{00000000-0005-0000-0000-0000515A0000}"/>
    <cellStyle name="표준 5 2 4 2 2 3 3 9" xfId="40922" xr:uid="{00000000-0005-0000-0000-0000525A0000}"/>
    <cellStyle name="표준 5 2 4 2 2 3 4" xfId="1565" xr:uid="{00000000-0005-0000-0000-0000535A0000}"/>
    <cellStyle name="표준 5 2 4 2 2 3 4 2" xfId="10468" xr:uid="{00000000-0005-0000-0000-0000545A0000}"/>
    <cellStyle name="표준 5 2 4 2 2 3 4 2 2" xfId="14580" xr:uid="{00000000-0005-0000-0000-0000555A0000}"/>
    <cellStyle name="표준 5 2 4 2 2 3 4 2 2 2" xfId="31174" xr:uid="{00000000-0005-0000-0000-0000565A0000}"/>
    <cellStyle name="표준 5 2 4 2 2 3 4 2 2 3" xfId="39385" xr:uid="{00000000-0005-0000-0000-0000575A0000}"/>
    <cellStyle name="표준 5 2 4 2 2 3 4 2 2 4" xfId="47578" xr:uid="{00000000-0005-0000-0000-0000585A0000}"/>
    <cellStyle name="표준 5 2 4 2 2 3 4 2 3" xfId="18820" xr:uid="{00000000-0005-0000-0000-0000595A0000}"/>
    <cellStyle name="표준 5 2 4 2 2 3 4 2 4" xfId="22982" xr:uid="{00000000-0005-0000-0000-00005A5A0000}"/>
    <cellStyle name="표준 5 2 4 2 2 3 4 2 5" xfId="27078" xr:uid="{00000000-0005-0000-0000-00005B5A0000}"/>
    <cellStyle name="표준 5 2 4 2 2 3 4 2 6" xfId="35289" xr:uid="{00000000-0005-0000-0000-00005C5A0000}"/>
    <cellStyle name="표준 5 2 4 2 2 3 4 2 7" xfId="43482" xr:uid="{00000000-0005-0000-0000-00005D5A0000}"/>
    <cellStyle name="표준 5 2 4 2 2 3 4 3" xfId="8420" xr:uid="{00000000-0005-0000-0000-00005E5A0000}"/>
    <cellStyle name="표준 5 2 4 2 2 3 4 3 2" xfId="29126" xr:uid="{00000000-0005-0000-0000-00005F5A0000}"/>
    <cellStyle name="표준 5 2 4 2 2 3 4 3 3" xfId="37337" xr:uid="{00000000-0005-0000-0000-0000605A0000}"/>
    <cellStyle name="표준 5 2 4 2 2 3 4 3 4" xfId="45530" xr:uid="{00000000-0005-0000-0000-0000615A0000}"/>
    <cellStyle name="표준 5 2 4 2 2 3 4 4" xfId="12532" xr:uid="{00000000-0005-0000-0000-0000625A0000}"/>
    <cellStyle name="표준 5 2 4 2 2 3 4 5" xfId="16772" xr:uid="{00000000-0005-0000-0000-0000635A0000}"/>
    <cellStyle name="표준 5 2 4 2 2 3 4 6" xfId="20934" xr:uid="{00000000-0005-0000-0000-0000645A0000}"/>
    <cellStyle name="표준 5 2 4 2 2 3 4 7" xfId="25030" xr:uid="{00000000-0005-0000-0000-0000655A0000}"/>
    <cellStyle name="표준 5 2 4 2 2 3 4 8" xfId="33241" xr:uid="{00000000-0005-0000-0000-0000665A0000}"/>
    <cellStyle name="표준 5 2 4 2 2 3 4 9" xfId="41434" xr:uid="{00000000-0005-0000-0000-0000675A0000}"/>
    <cellStyle name="표준 5 2 4 2 2 3 5" xfId="2077" xr:uid="{00000000-0005-0000-0000-0000685A0000}"/>
    <cellStyle name="표준 5 2 4 2 2 3 5 2" xfId="10980" xr:uid="{00000000-0005-0000-0000-0000695A0000}"/>
    <cellStyle name="표준 5 2 4 2 2 3 5 2 2" xfId="15092" xr:uid="{00000000-0005-0000-0000-00006A5A0000}"/>
    <cellStyle name="표준 5 2 4 2 2 3 5 2 2 2" xfId="31686" xr:uid="{00000000-0005-0000-0000-00006B5A0000}"/>
    <cellStyle name="표준 5 2 4 2 2 3 5 2 2 3" xfId="39897" xr:uid="{00000000-0005-0000-0000-00006C5A0000}"/>
    <cellStyle name="표준 5 2 4 2 2 3 5 2 2 4" xfId="48090" xr:uid="{00000000-0005-0000-0000-00006D5A0000}"/>
    <cellStyle name="표준 5 2 4 2 2 3 5 2 3" xfId="19332" xr:uid="{00000000-0005-0000-0000-00006E5A0000}"/>
    <cellStyle name="표준 5 2 4 2 2 3 5 2 4" xfId="23494" xr:uid="{00000000-0005-0000-0000-00006F5A0000}"/>
    <cellStyle name="표준 5 2 4 2 2 3 5 2 5" xfId="27590" xr:uid="{00000000-0005-0000-0000-0000705A0000}"/>
    <cellStyle name="표준 5 2 4 2 2 3 5 2 6" xfId="35801" xr:uid="{00000000-0005-0000-0000-0000715A0000}"/>
    <cellStyle name="표준 5 2 4 2 2 3 5 2 7" xfId="43994" xr:uid="{00000000-0005-0000-0000-0000725A0000}"/>
    <cellStyle name="표준 5 2 4 2 2 3 5 3" xfId="8932" xr:uid="{00000000-0005-0000-0000-0000735A0000}"/>
    <cellStyle name="표준 5 2 4 2 2 3 5 3 2" xfId="29638" xr:uid="{00000000-0005-0000-0000-0000745A0000}"/>
    <cellStyle name="표준 5 2 4 2 2 3 5 3 3" xfId="37849" xr:uid="{00000000-0005-0000-0000-0000755A0000}"/>
    <cellStyle name="표준 5 2 4 2 2 3 5 3 4" xfId="46042" xr:uid="{00000000-0005-0000-0000-0000765A0000}"/>
    <cellStyle name="표준 5 2 4 2 2 3 5 4" xfId="13044" xr:uid="{00000000-0005-0000-0000-0000775A0000}"/>
    <cellStyle name="표준 5 2 4 2 2 3 5 5" xfId="17284" xr:uid="{00000000-0005-0000-0000-0000785A0000}"/>
    <cellStyle name="표준 5 2 4 2 2 3 5 6" xfId="21446" xr:uid="{00000000-0005-0000-0000-0000795A0000}"/>
    <cellStyle name="표준 5 2 4 2 2 3 5 7" xfId="25542" xr:uid="{00000000-0005-0000-0000-00007A5A0000}"/>
    <cellStyle name="표준 5 2 4 2 2 3 5 8" xfId="33753" xr:uid="{00000000-0005-0000-0000-00007B5A0000}"/>
    <cellStyle name="표준 5 2 4 2 2 3 5 9" xfId="41946" xr:uid="{00000000-0005-0000-0000-00007C5A0000}"/>
    <cellStyle name="표준 5 2 4 2 2 3 6" xfId="9444" xr:uid="{00000000-0005-0000-0000-00007D5A0000}"/>
    <cellStyle name="표준 5 2 4 2 2 3 6 2" xfId="13556" xr:uid="{00000000-0005-0000-0000-00007E5A0000}"/>
    <cellStyle name="표준 5 2 4 2 2 3 6 2 2" xfId="30150" xr:uid="{00000000-0005-0000-0000-00007F5A0000}"/>
    <cellStyle name="표준 5 2 4 2 2 3 6 2 3" xfId="38361" xr:uid="{00000000-0005-0000-0000-0000805A0000}"/>
    <cellStyle name="표준 5 2 4 2 2 3 6 2 4" xfId="46554" xr:uid="{00000000-0005-0000-0000-0000815A0000}"/>
    <cellStyle name="표준 5 2 4 2 2 3 6 3" xfId="17796" xr:uid="{00000000-0005-0000-0000-0000825A0000}"/>
    <cellStyle name="표준 5 2 4 2 2 3 6 4" xfId="21958" xr:uid="{00000000-0005-0000-0000-0000835A0000}"/>
    <cellStyle name="표준 5 2 4 2 2 3 6 5" xfId="26054" xr:uid="{00000000-0005-0000-0000-0000845A0000}"/>
    <cellStyle name="표준 5 2 4 2 2 3 6 6" xfId="34265" xr:uid="{00000000-0005-0000-0000-0000855A0000}"/>
    <cellStyle name="표준 5 2 4 2 2 3 6 7" xfId="42458" xr:uid="{00000000-0005-0000-0000-0000865A0000}"/>
    <cellStyle name="표준 5 2 4 2 2 3 7" xfId="7396" xr:uid="{00000000-0005-0000-0000-0000875A0000}"/>
    <cellStyle name="표준 5 2 4 2 2 3 7 2" xfId="28102" xr:uid="{00000000-0005-0000-0000-0000885A0000}"/>
    <cellStyle name="표준 5 2 4 2 2 3 7 3" xfId="36313" xr:uid="{00000000-0005-0000-0000-0000895A0000}"/>
    <cellStyle name="표준 5 2 4 2 2 3 7 4" xfId="44506" xr:uid="{00000000-0005-0000-0000-00008A5A0000}"/>
    <cellStyle name="표준 5 2 4 2 2 3 8" xfId="11508" xr:uid="{00000000-0005-0000-0000-00008B5A0000}"/>
    <cellStyle name="표준 5 2 4 2 2 3 9" xfId="15748" xr:uid="{00000000-0005-0000-0000-00008C5A0000}"/>
    <cellStyle name="표준 5 2 4 2 2 4" xfId="669" xr:uid="{00000000-0005-0000-0000-00008D5A0000}"/>
    <cellStyle name="표준 5 2 4 2 2 4 10" xfId="24134" xr:uid="{00000000-0005-0000-0000-00008E5A0000}"/>
    <cellStyle name="표준 5 2 4 2 2 4 11" xfId="32345" xr:uid="{00000000-0005-0000-0000-00008F5A0000}"/>
    <cellStyle name="표준 5 2 4 2 2 4 12" xfId="40538" xr:uid="{00000000-0005-0000-0000-0000905A0000}"/>
    <cellStyle name="표준 5 2 4 2 2 4 2" xfId="1181" xr:uid="{00000000-0005-0000-0000-0000915A0000}"/>
    <cellStyle name="표준 5 2 4 2 2 4 2 2" xfId="10084" xr:uid="{00000000-0005-0000-0000-0000925A0000}"/>
    <cellStyle name="표준 5 2 4 2 2 4 2 2 2" xfId="14196" xr:uid="{00000000-0005-0000-0000-0000935A0000}"/>
    <cellStyle name="표준 5 2 4 2 2 4 2 2 2 2" xfId="30790" xr:uid="{00000000-0005-0000-0000-0000945A0000}"/>
    <cellStyle name="표준 5 2 4 2 2 4 2 2 2 3" xfId="39001" xr:uid="{00000000-0005-0000-0000-0000955A0000}"/>
    <cellStyle name="표준 5 2 4 2 2 4 2 2 2 4" xfId="47194" xr:uid="{00000000-0005-0000-0000-0000965A0000}"/>
    <cellStyle name="표준 5 2 4 2 2 4 2 2 3" xfId="18436" xr:uid="{00000000-0005-0000-0000-0000975A0000}"/>
    <cellStyle name="표준 5 2 4 2 2 4 2 2 4" xfId="22598" xr:uid="{00000000-0005-0000-0000-0000985A0000}"/>
    <cellStyle name="표준 5 2 4 2 2 4 2 2 5" xfId="26694" xr:uid="{00000000-0005-0000-0000-0000995A0000}"/>
    <cellStyle name="표준 5 2 4 2 2 4 2 2 6" xfId="34905" xr:uid="{00000000-0005-0000-0000-00009A5A0000}"/>
    <cellStyle name="표준 5 2 4 2 2 4 2 2 7" xfId="43098" xr:uid="{00000000-0005-0000-0000-00009B5A0000}"/>
    <cellStyle name="표준 5 2 4 2 2 4 2 3" xfId="8036" xr:uid="{00000000-0005-0000-0000-00009C5A0000}"/>
    <cellStyle name="표준 5 2 4 2 2 4 2 3 2" xfId="28742" xr:uid="{00000000-0005-0000-0000-00009D5A0000}"/>
    <cellStyle name="표준 5 2 4 2 2 4 2 3 3" xfId="36953" xr:uid="{00000000-0005-0000-0000-00009E5A0000}"/>
    <cellStyle name="표준 5 2 4 2 2 4 2 3 4" xfId="45146" xr:uid="{00000000-0005-0000-0000-00009F5A0000}"/>
    <cellStyle name="표준 5 2 4 2 2 4 2 4" xfId="12148" xr:uid="{00000000-0005-0000-0000-0000A05A0000}"/>
    <cellStyle name="표준 5 2 4 2 2 4 2 5" xfId="16388" xr:uid="{00000000-0005-0000-0000-0000A15A0000}"/>
    <cellStyle name="표준 5 2 4 2 2 4 2 6" xfId="20550" xr:uid="{00000000-0005-0000-0000-0000A25A0000}"/>
    <cellStyle name="표준 5 2 4 2 2 4 2 7" xfId="24646" xr:uid="{00000000-0005-0000-0000-0000A35A0000}"/>
    <cellStyle name="표준 5 2 4 2 2 4 2 8" xfId="32857" xr:uid="{00000000-0005-0000-0000-0000A45A0000}"/>
    <cellStyle name="표준 5 2 4 2 2 4 2 9" xfId="41050" xr:uid="{00000000-0005-0000-0000-0000A55A0000}"/>
    <cellStyle name="표준 5 2 4 2 2 4 3" xfId="1693" xr:uid="{00000000-0005-0000-0000-0000A65A0000}"/>
    <cellStyle name="표준 5 2 4 2 2 4 3 2" xfId="10596" xr:uid="{00000000-0005-0000-0000-0000A75A0000}"/>
    <cellStyle name="표준 5 2 4 2 2 4 3 2 2" xfId="14708" xr:uid="{00000000-0005-0000-0000-0000A85A0000}"/>
    <cellStyle name="표준 5 2 4 2 2 4 3 2 2 2" xfId="31302" xr:uid="{00000000-0005-0000-0000-0000A95A0000}"/>
    <cellStyle name="표준 5 2 4 2 2 4 3 2 2 3" xfId="39513" xr:uid="{00000000-0005-0000-0000-0000AA5A0000}"/>
    <cellStyle name="표준 5 2 4 2 2 4 3 2 2 4" xfId="47706" xr:uid="{00000000-0005-0000-0000-0000AB5A0000}"/>
    <cellStyle name="표준 5 2 4 2 2 4 3 2 3" xfId="18948" xr:uid="{00000000-0005-0000-0000-0000AC5A0000}"/>
    <cellStyle name="표준 5 2 4 2 2 4 3 2 4" xfId="23110" xr:uid="{00000000-0005-0000-0000-0000AD5A0000}"/>
    <cellStyle name="표준 5 2 4 2 2 4 3 2 5" xfId="27206" xr:uid="{00000000-0005-0000-0000-0000AE5A0000}"/>
    <cellStyle name="표준 5 2 4 2 2 4 3 2 6" xfId="35417" xr:uid="{00000000-0005-0000-0000-0000AF5A0000}"/>
    <cellStyle name="표준 5 2 4 2 2 4 3 2 7" xfId="43610" xr:uid="{00000000-0005-0000-0000-0000B05A0000}"/>
    <cellStyle name="표준 5 2 4 2 2 4 3 3" xfId="8548" xr:uid="{00000000-0005-0000-0000-0000B15A0000}"/>
    <cellStyle name="표준 5 2 4 2 2 4 3 3 2" xfId="29254" xr:uid="{00000000-0005-0000-0000-0000B25A0000}"/>
    <cellStyle name="표준 5 2 4 2 2 4 3 3 3" xfId="37465" xr:uid="{00000000-0005-0000-0000-0000B35A0000}"/>
    <cellStyle name="표준 5 2 4 2 2 4 3 3 4" xfId="45658" xr:uid="{00000000-0005-0000-0000-0000B45A0000}"/>
    <cellStyle name="표준 5 2 4 2 2 4 3 4" xfId="12660" xr:uid="{00000000-0005-0000-0000-0000B55A0000}"/>
    <cellStyle name="표준 5 2 4 2 2 4 3 5" xfId="16900" xr:uid="{00000000-0005-0000-0000-0000B65A0000}"/>
    <cellStyle name="표준 5 2 4 2 2 4 3 6" xfId="21062" xr:uid="{00000000-0005-0000-0000-0000B75A0000}"/>
    <cellStyle name="표준 5 2 4 2 2 4 3 7" xfId="25158" xr:uid="{00000000-0005-0000-0000-0000B85A0000}"/>
    <cellStyle name="표준 5 2 4 2 2 4 3 8" xfId="33369" xr:uid="{00000000-0005-0000-0000-0000B95A0000}"/>
    <cellStyle name="표준 5 2 4 2 2 4 3 9" xfId="41562" xr:uid="{00000000-0005-0000-0000-0000BA5A0000}"/>
    <cellStyle name="표준 5 2 4 2 2 4 4" xfId="2205" xr:uid="{00000000-0005-0000-0000-0000BB5A0000}"/>
    <cellStyle name="표준 5 2 4 2 2 4 4 2" xfId="11108" xr:uid="{00000000-0005-0000-0000-0000BC5A0000}"/>
    <cellStyle name="표준 5 2 4 2 2 4 4 2 2" xfId="15220" xr:uid="{00000000-0005-0000-0000-0000BD5A0000}"/>
    <cellStyle name="표준 5 2 4 2 2 4 4 2 2 2" xfId="31814" xr:uid="{00000000-0005-0000-0000-0000BE5A0000}"/>
    <cellStyle name="표준 5 2 4 2 2 4 4 2 2 3" xfId="40025" xr:uid="{00000000-0005-0000-0000-0000BF5A0000}"/>
    <cellStyle name="표준 5 2 4 2 2 4 4 2 2 4" xfId="48218" xr:uid="{00000000-0005-0000-0000-0000C05A0000}"/>
    <cellStyle name="표준 5 2 4 2 2 4 4 2 3" xfId="19460" xr:uid="{00000000-0005-0000-0000-0000C15A0000}"/>
    <cellStyle name="표준 5 2 4 2 2 4 4 2 4" xfId="23622" xr:uid="{00000000-0005-0000-0000-0000C25A0000}"/>
    <cellStyle name="표준 5 2 4 2 2 4 4 2 5" xfId="27718" xr:uid="{00000000-0005-0000-0000-0000C35A0000}"/>
    <cellStyle name="표준 5 2 4 2 2 4 4 2 6" xfId="35929" xr:uid="{00000000-0005-0000-0000-0000C45A0000}"/>
    <cellStyle name="표준 5 2 4 2 2 4 4 2 7" xfId="44122" xr:uid="{00000000-0005-0000-0000-0000C55A0000}"/>
    <cellStyle name="표준 5 2 4 2 2 4 4 3" xfId="9060" xr:uid="{00000000-0005-0000-0000-0000C65A0000}"/>
    <cellStyle name="표준 5 2 4 2 2 4 4 3 2" xfId="29766" xr:uid="{00000000-0005-0000-0000-0000C75A0000}"/>
    <cellStyle name="표준 5 2 4 2 2 4 4 3 3" xfId="37977" xr:uid="{00000000-0005-0000-0000-0000C85A0000}"/>
    <cellStyle name="표준 5 2 4 2 2 4 4 3 4" xfId="46170" xr:uid="{00000000-0005-0000-0000-0000C95A0000}"/>
    <cellStyle name="표준 5 2 4 2 2 4 4 4" xfId="13172" xr:uid="{00000000-0005-0000-0000-0000CA5A0000}"/>
    <cellStyle name="표준 5 2 4 2 2 4 4 5" xfId="17412" xr:uid="{00000000-0005-0000-0000-0000CB5A0000}"/>
    <cellStyle name="표준 5 2 4 2 2 4 4 6" xfId="21574" xr:uid="{00000000-0005-0000-0000-0000CC5A0000}"/>
    <cellStyle name="표준 5 2 4 2 2 4 4 7" xfId="25670" xr:uid="{00000000-0005-0000-0000-0000CD5A0000}"/>
    <cellStyle name="표준 5 2 4 2 2 4 4 8" xfId="33881" xr:uid="{00000000-0005-0000-0000-0000CE5A0000}"/>
    <cellStyle name="표준 5 2 4 2 2 4 4 9" xfId="42074" xr:uid="{00000000-0005-0000-0000-0000CF5A0000}"/>
    <cellStyle name="표준 5 2 4 2 2 4 5" xfId="9572" xr:uid="{00000000-0005-0000-0000-0000D05A0000}"/>
    <cellStyle name="표준 5 2 4 2 2 4 5 2" xfId="13684" xr:uid="{00000000-0005-0000-0000-0000D15A0000}"/>
    <cellStyle name="표준 5 2 4 2 2 4 5 2 2" xfId="30278" xr:uid="{00000000-0005-0000-0000-0000D25A0000}"/>
    <cellStyle name="표준 5 2 4 2 2 4 5 2 3" xfId="38489" xr:uid="{00000000-0005-0000-0000-0000D35A0000}"/>
    <cellStyle name="표준 5 2 4 2 2 4 5 2 4" xfId="46682" xr:uid="{00000000-0005-0000-0000-0000D45A0000}"/>
    <cellStyle name="표준 5 2 4 2 2 4 5 3" xfId="17924" xr:uid="{00000000-0005-0000-0000-0000D55A0000}"/>
    <cellStyle name="표준 5 2 4 2 2 4 5 4" xfId="22086" xr:uid="{00000000-0005-0000-0000-0000D65A0000}"/>
    <cellStyle name="표준 5 2 4 2 2 4 5 5" xfId="26182" xr:uid="{00000000-0005-0000-0000-0000D75A0000}"/>
    <cellStyle name="표준 5 2 4 2 2 4 5 6" xfId="34393" xr:uid="{00000000-0005-0000-0000-0000D85A0000}"/>
    <cellStyle name="표준 5 2 4 2 2 4 5 7" xfId="42586" xr:uid="{00000000-0005-0000-0000-0000D95A0000}"/>
    <cellStyle name="표준 5 2 4 2 2 4 6" xfId="7524" xr:uid="{00000000-0005-0000-0000-0000DA5A0000}"/>
    <cellStyle name="표준 5 2 4 2 2 4 6 2" xfId="28230" xr:uid="{00000000-0005-0000-0000-0000DB5A0000}"/>
    <cellStyle name="표준 5 2 4 2 2 4 6 3" xfId="36441" xr:uid="{00000000-0005-0000-0000-0000DC5A0000}"/>
    <cellStyle name="표준 5 2 4 2 2 4 6 4" xfId="44634" xr:uid="{00000000-0005-0000-0000-0000DD5A0000}"/>
    <cellStyle name="표준 5 2 4 2 2 4 7" xfId="11636" xr:uid="{00000000-0005-0000-0000-0000DE5A0000}"/>
    <cellStyle name="표준 5 2 4 2 2 4 8" xfId="15876" xr:uid="{00000000-0005-0000-0000-0000DF5A0000}"/>
    <cellStyle name="표준 5 2 4 2 2 4 9" xfId="20038" xr:uid="{00000000-0005-0000-0000-0000E05A0000}"/>
    <cellStyle name="표준 5 2 4 2 2 5" xfId="925" xr:uid="{00000000-0005-0000-0000-0000E15A0000}"/>
    <cellStyle name="표준 5 2 4 2 2 5 2" xfId="9828" xr:uid="{00000000-0005-0000-0000-0000E25A0000}"/>
    <cellStyle name="표준 5 2 4 2 2 5 2 2" xfId="13940" xr:uid="{00000000-0005-0000-0000-0000E35A0000}"/>
    <cellStyle name="표준 5 2 4 2 2 5 2 2 2" xfId="30534" xr:uid="{00000000-0005-0000-0000-0000E45A0000}"/>
    <cellStyle name="표준 5 2 4 2 2 5 2 2 3" xfId="38745" xr:uid="{00000000-0005-0000-0000-0000E55A0000}"/>
    <cellStyle name="표준 5 2 4 2 2 5 2 2 4" xfId="46938" xr:uid="{00000000-0005-0000-0000-0000E65A0000}"/>
    <cellStyle name="표준 5 2 4 2 2 5 2 3" xfId="18180" xr:uid="{00000000-0005-0000-0000-0000E75A0000}"/>
    <cellStyle name="표준 5 2 4 2 2 5 2 4" xfId="22342" xr:uid="{00000000-0005-0000-0000-0000E85A0000}"/>
    <cellStyle name="표준 5 2 4 2 2 5 2 5" xfId="26438" xr:uid="{00000000-0005-0000-0000-0000E95A0000}"/>
    <cellStyle name="표준 5 2 4 2 2 5 2 6" xfId="34649" xr:uid="{00000000-0005-0000-0000-0000EA5A0000}"/>
    <cellStyle name="표준 5 2 4 2 2 5 2 7" xfId="42842" xr:uid="{00000000-0005-0000-0000-0000EB5A0000}"/>
    <cellStyle name="표준 5 2 4 2 2 5 3" xfId="7780" xr:uid="{00000000-0005-0000-0000-0000EC5A0000}"/>
    <cellStyle name="표준 5 2 4 2 2 5 3 2" xfId="28486" xr:uid="{00000000-0005-0000-0000-0000ED5A0000}"/>
    <cellStyle name="표준 5 2 4 2 2 5 3 3" xfId="36697" xr:uid="{00000000-0005-0000-0000-0000EE5A0000}"/>
    <cellStyle name="표준 5 2 4 2 2 5 3 4" xfId="44890" xr:uid="{00000000-0005-0000-0000-0000EF5A0000}"/>
    <cellStyle name="표준 5 2 4 2 2 5 4" xfId="11892" xr:uid="{00000000-0005-0000-0000-0000F05A0000}"/>
    <cellStyle name="표준 5 2 4 2 2 5 5" xfId="16132" xr:uid="{00000000-0005-0000-0000-0000F15A0000}"/>
    <cellStyle name="표준 5 2 4 2 2 5 6" xfId="20294" xr:uid="{00000000-0005-0000-0000-0000F25A0000}"/>
    <cellStyle name="표준 5 2 4 2 2 5 7" xfId="24390" xr:uid="{00000000-0005-0000-0000-0000F35A0000}"/>
    <cellStyle name="표준 5 2 4 2 2 5 8" xfId="32601" xr:uid="{00000000-0005-0000-0000-0000F45A0000}"/>
    <cellStyle name="표준 5 2 4 2 2 5 9" xfId="40794" xr:uid="{00000000-0005-0000-0000-0000F55A0000}"/>
    <cellStyle name="표준 5 2 4 2 2 6" xfId="1437" xr:uid="{00000000-0005-0000-0000-0000F65A0000}"/>
    <cellStyle name="표준 5 2 4 2 2 6 2" xfId="10340" xr:uid="{00000000-0005-0000-0000-0000F75A0000}"/>
    <cellStyle name="표준 5 2 4 2 2 6 2 2" xfId="14452" xr:uid="{00000000-0005-0000-0000-0000F85A0000}"/>
    <cellStyle name="표준 5 2 4 2 2 6 2 2 2" xfId="31046" xr:uid="{00000000-0005-0000-0000-0000F95A0000}"/>
    <cellStyle name="표준 5 2 4 2 2 6 2 2 3" xfId="39257" xr:uid="{00000000-0005-0000-0000-0000FA5A0000}"/>
    <cellStyle name="표준 5 2 4 2 2 6 2 2 4" xfId="47450" xr:uid="{00000000-0005-0000-0000-0000FB5A0000}"/>
    <cellStyle name="표준 5 2 4 2 2 6 2 3" xfId="18692" xr:uid="{00000000-0005-0000-0000-0000FC5A0000}"/>
    <cellStyle name="표준 5 2 4 2 2 6 2 4" xfId="22854" xr:uid="{00000000-0005-0000-0000-0000FD5A0000}"/>
    <cellStyle name="표준 5 2 4 2 2 6 2 5" xfId="26950" xr:uid="{00000000-0005-0000-0000-0000FE5A0000}"/>
    <cellStyle name="표준 5 2 4 2 2 6 2 6" xfId="35161" xr:uid="{00000000-0005-0000-0000-0000FF5A0000}"/>
    <cellStyle name="표준 5 2 4 2 2 6 2 7" xfId="43354" xr:uid="{00000000-0005-0000-0000-0000005B0000}"/>
    <cellStyle name="표준 5 2 4 2 2 6 3" xfId="8292" xr:uid="{00000000-0005-0000-0000-0000015B0000}"/>
    <cellStyle name="표준 5 2 4 2 2 6 3 2" xfId="28998" xr:uid="{00000000-0005-0000-0000-0000025B0000}"/>
    <cellStyle name="표준 5 2 4 2 2 6 3 3" xfId="37209" xr:uid="{00000000-0005-0000-0000-0000035B0000}"/>
    <cellStyle name="표준 5 2 4 2 2 6 3 4" xfId="45402" xr:uid="{00000000-0005-0000-0000-0000045B0000}"/>
    <cellStyle name="표준 5 2 4 2 2 6 4" xfId="12404" xr:uid="{00000000-0005-0000-0000-0000055B0000}"/>
    <cellStyle name="표준 5 2 4 2 2 6 5" xfId="16644" xr:uid="{00000000-0005-0000-0000-0000065B0000}"/>
    <cellStyle name="표준 5 2 4 2 2 6 6" xfId="20806" xr:uid="{00000000-0005-0000-0000-0000075B0000}"/>
    <cellStyle name="표준 5 2 4 2 2 6 7" xfId="24902" xr:uid="{00000000-0005-0000-0000-0000085B0000}"/>
    <cellStyle name="표준 5 2 4 2 2 6 8" xfId="33113" xr:uid="{00000000-0005-0000-0000-0000095B0000}"/>
    <cellStyle name="표준 5 2 4 2 2 6 9" xfId="41306" xr:uid="{00000000-0005-0000-0000-00000A5B0000}"/>
    <cellStyle name="표준 5 2 4 2 2 7" xfId="1949" xr:uid="{00000000-0005-0000-0000-00000B5B0000}"/>
    <cellStyle name="표준 5 2 4 2 2 7 2" xfId="10852" xr:uid="{00000000-0005-0000-0000-00000C5B0000}"/>
    <cellStyle name="표준 5 2 4 2 2 7 2 2" xfId="14964" xr:uid="{00000000-0005-0000-0000-00000D5B0000}"/>
    <cellStyle name="표준 5 2 4 2 2 7 2 2 2" xfId="31558" xr:uid="{00000000-0005-0000-0000-00000E5B0000}"/>
    <cellStyle name="표준 5 2 4 2 2 7 2 2 3" xfId="39769" xr:uid="{00000000-0005-0000-0000-00000F5B0000}"/>
    <cellStyle name="표준 5 2 4 2 2 7 2 2 4" xfId="47962" xr:uid="{00000000-0005-0000-0000-0000105B0000}"/>
    <cellStyle name="표준 5 2 4 2 2 7 2 3" xfId="19204" xr:uid="{00000000-0005-0000-0000-0000115B0000}"/>
    <cellStyle name="표준 5 2 4 2 2 7 2 4" xfId="23366" xr:uid="{00000000-0005-0000-0000-0000125B0000}"/>
    <cellStyle name="표준 5 2 4 2 2 7 2 5" xfId="27462" xr:uid="{00000000-0005-0000-0000-0000135B0000}"/>
    <cellStyle name="표준 5 2 4 2 2 7 2 6" xfId="35673" xr:uid="{00000000-0005-0000-0000-0000145B0000}"/>
    <cellStyle name="표준 5 2 4 2 2 7 2 7" xfId="43866" xr:uid="{00000000-0005-0000-0000-0000155B0000}"/>
    <cellStyle name="표준 5 2 4 2 2 7 3" xfId="8804" xr:uid="{00000000-0005-0000-0000-0000165B0000}"/>
    <cellStyle name="표준 5 2 4 2 2 7 3 2" xfId="29510" xr:uid="{00000000-0005-0000-0000-0000175B0000}"/>
    <cellStyle name="표준 5 2 4 2 2 7 3 3" xfId="37721" xr:uid="{00000000-0005-0000-0000-0000185B0000}"/>
    <cellStyle name="표준 5 2 4 2 2 7 3 4" xfId="45914" xr:uid="{00000000-0005-0000-0000-0000195B0000}"/>
    <cellStyle name="표준 5 2 4 2 2 7 4" xfId="12916" xr:uid="{00000000-0005-0000-0000-00001A5B0000}"/>
    <cellStyle name="표준 5 2 4 2 2 7 5" xfId="17156" xr:uid="{00000000-0005-0000-0000-00001B5B0000}"/>
    <cellStyle name="표준 5 2 4 2 2 7 6" xfId="21318" xr:uid="{00000000-0005-0000-0000-00001C5B0000}"/>
    <cellStyle name="표준 5 2 4 2 2 7 7" xfId="25414" xr:uid="{00000000-0005-0000-0000-00001D5B0000}"/>
    <cellStyle name="표준 5 2 4 2 2 7 8" xfId="33625" xr:uid="{00000000-0005-0000-0000-00001E5B0000}"/>
    <cellStyle name="표준 5 2 4 2 2 7 9" xfId="41818" xr:uid="{00000000-0005-0000-0000-00001F5B0000}"/>
    <cellStyle name="표준 5 2 4 2 2 8" xfId="7041" xr:uid="{00000000-0005-0000-0000-0000205B0000}"/>
    <cellStyle name="표준 5 2 4 2 2 8 2" xfId="9316" xr:uid="{00000000-0005-0000-0000-0000215B0000}"/>
    <cellStyle name="표준 5 2 4 2 2 8 2 2" xfId="30022" xr:uid="{00000000-0005-0000-0000-0000225B0000}"/>
    <cellStyle name="표준 5 2 4 2 2 8 2 3" xfId="38233" xr:uid="{00000000-0005-0000-0000-0000235B0000}"/>
    <cellStyle name="표준 5 2 4 2 2 8 2 4" xfId="46426" xr:uid="{00000000-0005-0000-0000-0000245B0000}"/>
    <cellStyle name="표준 5 2 4 2 2 8 3" xfId="13428" xr:uid="{00000000-0005-0000-0000-0000255B0000}"/>
    <cellStyle name="표준 5 2 4 2 2 8 4" xfId="17668" xr:uid="{00000000-0005-0000-0000-0000265B0000}"/>
    <cellStyle name="표준 5 2 4 2 2 8 5" xfId="21830" xr:uid="{00000000-0005-0000-0000-0000275B0000}"/>
    <cellStyle name="표준 5 2 4 2 2 8 6" xfId="25926" xr:uid="{00000000-0005-0000-0000-0000285B0000}"/>
    <cellStyle name="표준 5 2 4 2 2 8 7" xfId="34137" xr:uid="{00000000-0005-0000-0000-0000295B0000}"/>
    <cellStyle name="표준 5 2 4 2 2 8 8" xfId="42330" xr:uid="{00000000-0005-0000-0000-00002A5B0000}"/>
    <cellStyle name="표준 5 2 4 2 2 9" xfId="7137" xr:uid="{00000000-0005-0000-0000-00002B5B0000}"/>
    <cellStyle name="표준 5 2 4 2 2 9 2" xfId="27974" xr:uid="{00000000-0005-0000-0000-00002C5B0000}"/>
    <cellStyle name="표준 5 2 4 2 2 9 3" xfId="36185" xr:uid="{00000000-0005-0000-0000-00002D5B0000}"/>
    <cellStyle name="표준 5 2 4 2 2 9 4" xfId="44378" xr:uid="{00000000-0005-0000-0000-00002E5B0000}"/>
    <cellStyle name="표준 5 2 4 2 3" xfId="445" xr:uid="{00000000-0005-0000-0000-00002F5B0000}"/>
    <cellStyle name="표준 5 2 4 2 3 10" xfId="15652" xr:uid="{00000000-0005-0000-0000-0000305B0000}"/>
    <cellStyle name="표준 5 2 4 2 3 11" xfId="19814" xr:uid="{00000000-0005-0000-0000-0000315B0000}"/>
    <cellStyle name="표준 5 2 4 2 3 12" xfId="23910" xr:uid="{00000000-0005-0000-0000-0000325B0000}"/>
    <cellStyle name="표준 5 2 4 2 3 13" xfId="32121" xr:uid="{00000000-0005-0000-0000-0000335B0000}"/>
    <cellStyle name="표준 5 2 4 2 3 14" xfId="40314" xr:uid="{00000000-0005-0000-0000-0000345B0000}"/>
    <cellStyle name="표준 5 2 4 2 3 2" xfId="573" xr:uid="{00000000-0005-0000-0000-0000355B0000}"/>
    <cellStyle name="표준 5 2 4 2 3 2 10" xfId="19942" xr:uid="{00000000-0005-0000-0000-0000365B0000}"/>
    <cellStyle name="표준 5 2 4 2 3 2 11" xfId="24038" xr:uid="{00000000-0005-0000-0000-0000375B0000}"/>
    <cellStyle name="표준 5 2 4 2 3 2 12" xfId="32249" xr:uid="{00000000-0005-0000-0000-0000385B0000}"/>
    <cellStyle name="표준 5 2 4 2 3 2 13" xfId="40442" xr:uid="{00000000-0005-0000-0000-0000395B0000}"/>
    <cellStyle name="표준 5 2 4 2 3 2 2" xfId="829" xr:uid="{00000000-0005-0000-0000-00003A5B0000}"/>
    <cellStyle name="표준 5 2 4 2 3 2 2 10" xfId="24294" xr:uid="{00000000-0005-0000-0000-00003B5B0000}"/>
    <cellStyle name="표준 5 2 4 2 3 2 2 11" xfId="32505" xr:uid="{00000000-0005-0000-0000-00003C5B0000}"/>
    <cellStyle name="표준 5 2 4 2 3 2 2 12" xfId="40698" xr:uid="{00000000-0005-0000-0000-00003D5B0000}"/>
    <cellStyle name="표준 5 2 4 2 3 2 2 2" xfId="1341" xr:uid="{00000000-0005-0000-0000-00003E5B0000}"/>
    <cellStyle name="표준 5 2 4 2 3 2 2 2 2" xfId="10244" xr:uid="{00000000-0005-0000-0000-00003F5B0000}"/>
    <cellStyle name="표준 5 2 4 2 3 2 2 2 2 2" xfId="14356" xr:uid="{00000000-0005-0000-0000-0000405B0000}"/>
    <cellStyle name="표준 5 2 4 2 3 2 2 2 2 2 2" xfId="30950" xr:uid="{00000000-0005-0000-0000-0000415B0000}"/>
    <cellStyle name="표준 5 2 4 2 3 2 2 2 2 2 3" xfId="39161" xr:uid="{00000000-0005-0000-0000-0000425B0000}"/>
    <cellStyle name="표준 5 2 4 2 3 2 2 2 2 2 4" xfId="47354" xr:uid="{00000000-0005-0000-0000-0000435B0000}"/>
    <cellStyle name="표준 5 2 4 2 3 2 2 2 2 3" xfId="18596" xr:uid="{00000000-0005-0000-0000-0000445B0000}"/>
    <cellStyle name="표준 5 2 4 2 3 2 2 2 2 4" xfId="22758" xr:uid="{00000000-0005-0000-0000-0000455B0000}"/>
    <cellStyle name="표준 5 2 4 2 3 2 2 2 2 5" xfId="26854" xr:uid="{00000000-0005-0000-0000-0000465B0000}"/>
    <cellStyle name="표준 5 2 4 2 3 2 2 2 2 6" xfId="35065" xr:uid="{00000000-0005-0000-0000-0000475B0000}"/>
    <cellStyle name="표준 5 2 4 2 3 2 2 2 2 7" xfId="43258" xr:uid="{00000000-0005-0000-0000-0000485B0000}"/>
    <cellStyle name="표준 5 2 4 2 3 2 2 2 3" xfId="8196" xr:uid="{00000000-0005-0000-0000-0000495B0000}"/>
    <cellStyle name="표준 5 2 4 2 3 2 2 2 3 2" xfId="28902" xr:uid="{00000000-0005-0000-0000-00004A5B0000}"/>
    <cellStyle name="표준 5 2 4 2 3 2 2 2 3 3" xfId="37113" xr:uid="{00000000-0005-0000-0000-00004B5B0000}"/>
    <cellStyle name="표준 5 2 4 2 3 2 2 2 3 4" xfId="45306" xr:uid="{00000000-0005-0000-0000-00004C5B0000}"/>
    <cellStyle name="표준 5 2 4 2 3 2 2 2 4" xfId="12308" xr:uid="{00000000-0005-0000-0000-00004D5B0000}"/>
    <cellStyle name="표준 5 2 4 2 3 2 2 2 5" xfId="16548" xr:uid="{00000000-0005-0000-0000-00004E5B0000}"/>
    <cellStyle name="표준 5 2 4 2 3 2 2 2 6" xfId="20710" xr:uid="{00000000-0005-0000-0000-00004F5B0000}"/>
    <cellStyle name="표준 5 2 4 2 3 2 2 2 7" xfId="24806" xr:uid="{00000000-0005-0000-0000-0000505B0000}"/>
    <cellStyle name="표준 5 2 4 2 3 2 2 2 8" xfId="33017" xr:uid="{00000000-0005-0000-0000-0000515B0000}"/>
    <cellStyle name="표준 5 2 4 2 3 2 2 2 9" xfId="41210" xr:uid="{00000000-0005-0000-0000-0000525B0000}"/>
    <cellStyle name="표준 5 2 4 2 3 2 2 3" xfId="1853" xr:uid="{00000000-0005-0000-0000-0000535B0000}"/>
    <cellStyle name="표준 5 2 4 2 3 2 2 3 2" xfId="10756" xr:uid="{00000000-0005-0000-0000-0000545B0000}"/>
    <cellStyle name="표준 5 2 4 2 3 2 2 3 2 2" xfId="14868" xr:uid="{00000000-0005-0000-0000-0000555B0000}"/>
    <cellStyle name="표준 5 2 4 2 3 2 2 3 2 2 2" xfId="31462" xr:uid="{00000000-0005-0000-0000-0000565B0000}"/>
    <cellStyle name="표준 5 2 4 2 3 2 2 3 2 2 3" xfId="39673" xr:uid="{00000000-0005-0000-0000-0000575B0000}"/>
    <cellStyle name="표준 5 2 4 2 3 2 2 3 2 2 4" xfId="47866" xr:uid="{00000000-0005-0000-0000-0000585B0000}"/>
    <cellStyle name="표준 5 2 4 2 3 2 2 3 2 3" xfId="19108" xr:uid="{00000000-0005-0000-0000-0000595B0000}"/>
    <cellStyle name="표준 5 2 4 2 3 2 2 3 2 4" xfId="23270" xr:uid="{00000000-0005-0000-0000-00005A5B0000}"/>
    <cellStyle name="표준 5 2 4 2 3 2 2 3 2 5" xfId="27366" xr:uid="{00000000-0005-0000-0000-00005B5B0000}"/>
    <cellStyle name="표준 5 2 4 2 3 2 2 3 2 6" xfId="35577" xr:uid="{00000000-0005-0000-0000-00005C5B0000}"/>
    <cellStyle name="표준 5 2 4 2 3 2 2 3 2 7" xfId="43770" xr:uid="{00000000-0005-0000-0000-00005D5B0000}"/>
    <cellStyle name="표준 5 2 4 2 3 2 2 3 3" xfId="8708" xr:uid="{00000000-0005-0000-0000-00005E5B0000}"/>
    <cellStyle name="표준 5 2 4 2 3 2 2 3 3 2" xfId="29414" xr:uid="{00000000-0005-0000-0000-00005F5B0000}"/>
    <cellStyle name="표준 5 2 4 2 3 2 2 3 3 3" xfId="37625" xr:uid="{00000000-0005-0000-0000-0000605B0000}"/>
    <cellStyle name="표준 5 2 4 2 3 2 2 3 3 4" xfId="45818" xr:uid="{00000000-0005-0000-0000-0000615B0000}"/>
    <cellStyle name="표준 5 2 4 2 3 2 2 3 4" xfId="12820" xr:uid="{00000000-0005-0000-0000-0000625B0000}"/>
    <cellStyle name="표준 5 2 4 2 3 2 2 3 5" xfId="17060" xr:uid="{00000000-0005-0000-0000-0000635B0000}"/>
    <cellStyle name="표준 5 2 4 2 3 2 2 3 6" xfId="21222" xr:uid="{00000000-0005-0000-0000-0000645B0000}"/>
    <cellStyle name="표준 5 2 4 2 3 2 2 3 7" xfId="25318" xr:uid="{00000000-0005-0000-0000-0000655B0000}"/>
    <cellStyle name="표준 5 2 4 2 3 2 2 3 8" xfId="33529" xr:uid="{00000000-0005-0000-0000-0000665B0000}"/>
    <cellStyle name="표준 5 2 4 2 3 2 2 3 9" xfId="41722" xr:uid="{00000000-0005-0000-0000-0000675B0000}"/>
    <cellStyle name="표준 5 2 4 2 3 2 2 4" xfId="2365" xr:uid="{00000000-0005-0000-0000-0000685B0000}"/>
    <cellStyle name="표준 5 2 4 2 3 2 2 4 2" xfId="11268" xr:uid="{00000000-0005-0000-0000-0000695B0000}"/>
    <cellStyle name="표준 5 2 4 2 3 2 2 4 2 2" xfId="15380" xr:uid="{00000000-0005-0000-0000-00006A5B0000}"/>
    <cellStyle name="표준 5 2 4 2 3 2 2 4 2 2 2" xfId="31974" xr:uid="{00000000-0005-0000-0000-00006B5B0000}"/>
    <cellStyle name="표준 5 2 4 2 3 2 2 4 2 2 3" xfId="40185" xr:uid="{00000000-0005-0000-0000-00006C5B0000}"/>
    <cellStyle name="표준 5 2 4 2 3 2 2 4 2 2 4" xfId="48378" xr:uid="{00000000-0005-0000-0000-00006D5B0000}"/>
    <cellStyle name="표준 5 2 4 2 3 2 2 4 2 3" xfId="19620" xr:uid="{00000000-0005-0000-0000-00006E5B0000}"/>
    <cellStyle name="표준 5 2 4 2 3 2 2 4 2 4" xfId="23782" xr:uid="{00000000-0005-0000-0000-00006F5B0000}"/>
    <cellStyle name="표준 5 2 4 2 3 2 2 4 2 5" xfId="27878" xr:uid="{00000000-0005-0000-0000-0000705B0000}"/>
    <cellStyle name="표준 5 2 4 2 3 2 2 4 2 6" xfId="36089" xr:uid="{00000000-0005-0000-0000-0000715B0000}"/>
    <cellStyle name="표준 5 2 4 2 3 2 2 4 2 7" xfId="44282" xr:uid="{00000000-0005-0000-0000-0000725B0000}"/>
    <cellStyle name="표준 5 2 4 2 3 2 2 4 3" xfId="9220" xr:uid="{00000000-0005-0000-0000-0000735B0000}"/>
    <cellStyle name="표준 5 2 4 2 3 2 2 4 3 2" xfId="29926" xr:uid="{00000000-0005-0000-0000-0000745B0000}"/>
    <cellStyle name="표준 5 2 4 2 3 2 2 4 3 3" xfId="38137" xr:uid="{00000000-0005-0000-0000-0000755B0000}"/>
    <cellStyle name="표준 5 2 4 2 3 2 2 4 3 4" xfId="46330" xr:uid="{00000000-0005-0000-0000-0000765B0000}"/>
    <cellStyle name="표준 5 2 4 2 3 2 2 4 4" xfId="13332" xr:uid="{00000000-0005-0000-0000-0000775B0000}"/>
    <cellStyle name="표준 5 2 4 2 3 2 2 4 5" xfId="17572" xr:uid="{00000000-0005-0000-0000-0000785B0000}"/>
    <cellStyle name="표준 5 2 4 2 3 2 2 4 6" xfId="21734" xr:uid="{00000000-0005-0000-0000-0000795B0000}"/>
    <cellStyle name="표준 5 2 4 2 3 2 2 4 7" xfId="25830" xr:uid="{00000000-0005-0000-0000-00007A5B0000}"/>
    <cellStyle name="표준 5 2 4 2 3 2 2 4 8" xfId="34041" xr:uid="{00000000-0005-0000-0000-00007B5B0000}"/>
    <cellStyle name="표준 5 2 4 2 3 2 2 4 9" xfId="42234" xr:uid="{00000000-0005-0000-0000-00007C5B0000}"/>
    <cellStyle name="표준 5 2 4 2 3 2 2 5" xfId="9732" xr:uid="{00000000-0005-0000-0000-00007D5B0000}"/>
    <cellStyle name="표준 5 2 4 2 3 2 2 5 2" xfId="13844" xr:uid="{00000000-0005-0000-0000-00007E5B0000}"/>
    <cellStyle name="표준 5 2 4 2 3 2 2 5 2 2" xfId="30438" xr:uid="{00000000-0005-0000-0000-00007F5B0000}"/>
    <cellStyle name="표준 5 2 4 2 3 2 2 5 2 3" xfId="38649" xr:uid="{00000000-0005-0000-0000-0000805B0000}"/>
    <cellStyle name="표준 5 2 4 2 3 2 2 5 2 4" xfId="46842" xr:uid="{00000000-0005-0000-0000-0000815B0000}"/>
    <cellStyle name="표준 5 2 4 2 3 2 2 5 3" xfId="18084" xr:uid="{00000000-0005-0000-0000-0000825B0000}"/>
    <cellStyle name="표준 5 2 4 2 3 2 2 5 4" xfId="22246" xr:uid="{00000000-0005-0000-0000-0000835B0000}"/>
    <cellStyle name="표준 5 2 4 2 3 2 2 5 5" xfId="26342" xr:uid="{00000000-0005-0000-0000-0000845B0000}"/>
    <cellStyle name="표준 5 2 4 2 3 2 2 5 6" xfId="34553" xr:uid="{00000000-0005-0000-0000-0000855B0000}"/>
    <cellStyle name="표준 5 2 4 2 3 2 2 5 7" xfId="42746" xr:uid="{00000000-0005-0000-0000-0000865B0000}"/>
    <cellStyle name="표준 5 2 4 2 3 2 2 6" xfId="7684" xr:uid="{00000000-0005-0000-0000-0000875B0000}"/>
    <cellStyle name="표준 5 2 4 2 3 2 2 6 2" xfId="28390" xr:uid="{00000000-0005-0000-0000-0000885B0000}"/>
    <cellStyle name="표준 5 2 4 2 3 2 2 6 3" xfId="36601" xr:uid="{00000000-0005-0000-0000-0000895B0000}"/>
    <cellStyle name="표준 5 2 4 2 3 2 2 6 4" xfId="44794" xr:uid="{00000000-0005-0000-0000-00008A5B0000}"/>
    <cellStyle name="표준 5 2 4 2 3 2 2 7" xfId="11796" xr:uid="{00000000-0005-0000-0000-00008B5B0000}"/>
    <cellStyle name="표준 5 2 4 2 3 2 2 8" xfId="16036" xr:uid="{00000000-0005-0000-0000-00008C5B0000}"/>
    <cellStyle name="표준 5 2 4 2 3 2 2 9" xfId="20198" xr:uid="{00000000-0005-0000-0000-00008D5B0000}"/>
    <cellStyle name="표준 5 2 4 2 3 2 3" xfId="1085" xr:uid="{00000000-0005-0000-0000-00008E5B0000}"/>
    <cellStyle name="표준 5 2 4 2 3 2 3 2" xfId="9988" xr:uid="{00000000-0005-0000-0000-00008F5B0000}"/>
    <cellStyle name="표준 5 2 4 2 3 2 3 2 2" xfId="14100" xr:uid="{00000000-0005-0000-0000-0000905B0000}"/>
    <cellStyle name="표준 5 2 4 2 3 2 3 2 2 2" xfId="30694" xr:uid="{00000000-0005-0000-0000-0000915B0000}"/>
    <cellStyle name="표준 5 2 4 2 3 2 3 2 2 3" xfId="38905" xr:uid="{00000000-0005-0000-0000-0000925B0000}"/>
    <cellStyle name="표준 5 2 4 2 3 2 3 2 2 4" xfId="47098" xr:uid="{00000000-0005-0000-0000-0000935B0000}"/>
    <cellStyle name="표준 5 2 4 2 3 2 3 2 3" xfId="18340" xr:uid="{00000000-0005-0000-0000-0000945B0000}"/>
    <cellStyle name="표준 5 2 4 2 3 2 3 2 4" xfId="22502" xr:uid="{00000000-0005-0000-0000-0000955B0000}"/>
    <cellStyle name="표준 5 2 4 2 3 2 3 2 5" xfId="26598" xr:uid="{00000000-0005-0000-0000-0000965B0000}"/>
    <cellStyle name="표준 5 2 4 2 3 2 3 2 6" xfId="34809" xr:uid="{00000000-0005-0000-0000-0000975B0000}"/>
    <cellStyle name="표준 5 2 4 2 3 2 3 2 7" xfId="43002" xr:uid="{00000000-0005-0000-0000-0000985B0000}"/>
    <cellStyle name="표준 5 2 4 2 3 2 3 3" xfId="7940" xr:uid="{00000000-0005-0000-0000-0000995B0000}"/>
    <cellStyle name="표준 5 2 4 2 3 2 3 3 2" xfId="28646" xr:uid="{00000000-0005-0000-0000-00009A5B0000}"/>
    <cellStyle name="표준 5 2 4 2 3 2 3 3 3" xfId="36857" xr:uid="{00000000-0005-0000-0000-00009B5B0000}"/>
    <cellStyle name="표준 5 2 4 2 3 2 3 3 4" xfId="45050" xr:uid="{00000000-0005-0000-0000-00009C5B0000}"/>
    <cellStyle name="표준 5 2 4 2 3 2 3 4" xfId="12052" xr:uid="{00000000-0005-0000-0000-00009D5B0000}"/>
    <cellStyle name="표준 5 2 4 2 3 2 3 5" xfId="16292" xr:uid="{00000000-0005-0000-0000-00009E5B0000}"/>
    <cellStyle name="표준 5 2 4 2 3 2 3 6" xfId="20454" xr:uid="{00000000-0005-0000-0000-00009F5B0000}"/>
    <cellStyle name="표준 5 2 4 2 3 2 3 7" xfId="24550" xr:uid="{00000000-0005-0000-0000-0000A05B0000}"/>
    <cellStyle name="표준 5 2 4 2 3 2 3 8" xfId="32761" xr:uid="{00000000-0005-0000-0000-0000A15B0000}"/>
    <cellStyle name="표준 5 2 4 2 3 2 3 9" xfId="40954" xr:uid="{00000000-0005-0000-0000-0000A25B0000}"/>
    <cellStyle name="표준 5 2 4 2 3 2 4" xfId="1597" xr:uid="{00000000-0005-0000-0000-0000A35B0000}"/>
    <cellStyle name="표준 5 2 4 2 3 2 4 2" xfId="10500" xr:uid="{00000000-0005-0000-0000-0000A45B0000}"/>
    <cellStyle name="표준 5 2 4 2 3 2 4 2 2" xfId="14612" xr:uid="{00000000-0005-0000-0000-0000A55B0000}"/>
    <cellStyle name="표준 5 2 4 2 3 2 4 2 2 2" xfId="31206" xr:uid="{00000000-0005-0000-0000-0000A65B0000}"/>
    <cellStyle name="표준 5 2 4 2 3 2 4 2 2 3" xfId="39417" xr:uid="{00000000-0005-0000-0000-0000A75B0000}"/>
    <cellStyle name="표준 5 2 4 2 3 2 4 2 2 4" xfId="47610" xr:uid="{00000000-0005-0000-0000-0000A85B0000}"/>
    <cellStyle name="표준 5 2 4 2 3 2 4 2 3" xfId="18852" xr:uid="{00000000-0005-0000-0000-0000A95B0000}"/>
    <cellStyle name="표준 5 2 4 2 3 2 4 2 4" xfId="23014" xr:uid="{00000000-0005-0000-0000-0000AA5B0000}"/>
    <cellStyle name="표준 5 2 4 2 3 2 4 2 5" xfId="27110" xr:uid="{00000000-0005-0000-0000-0000AB5B0000}"/>
    <cellStyle name="표준 5 2 4 2 3 2 4 2 6" xfId="35321" xr:uid="{00000000-0005-0000-0000-0000AC5B0000}"/>
    <cellStyle name="표준 5 2 4 2 3 2 4 2 7" xfId="43514" xr:uid="{00000000-0005-0000-0000-0000AD5B0000}"/>
    <cellStyle name="표준 5 2 4 2 3 2 4 3" xfId="8452" xr:uid="{00000000-0005-0000-0000-0000AE5B0000}"/>
    <cellStyle name="표준 5 2 4 2 3 2 4 3 2" xfId="29158" xr:uid="{00000000-0005-0000-0000-0000AF5B0000}"/>
    <cellStyle name="표준 5 2 4 2 3 2 4 3 3" xfId="37369" xr:uid="{00000000-0005-0000-0000-0000B05B0000}"/>
    <cellStyle name="표준 5 2 4 2 3 2 4 3 4" xfId="45562" xr:uid="{00000000-0005-0000-0000-0000B15B0000}"/>
    <cellStyle name="표준 5 2 4 2 3 2 4 4" xfId="12564" xr:uid="{00000000-0005-0000-0000-0000B25B0000}"/>
    <cellStyle name="표준 5 2 4 2 3 2 4 5" xfId="16804" xr:uid="{00000000-0005-0000-0000-0000B35B0000}"/>
    <cellStyle name="표준 5 2 4 2 3 2 4 6" xfId="20966" xr:uid="{00000000-0005-0000-0000-0000B45B0000}"/>
    <cellStyle name="표준 5 2 4 2 3 2 4 7" xfId="25062" xr:uid="{00000000-0005-0000-0000-0000B55B0000}"/>
    <cellStyle name="표준 5 2 4 2 3 2 4 8" xfId="33273" xr:uid="{00000000-0005-0000-0000-0000B65B0000}"/>
    <cellStyle name="표준 5 2 4 2 3 2 4 9" xfId="41466" xr:uid="{00000000-0005-0000-0000-0000B75B0000}"/>
    <cellStyle name="표준 5 2 4 2 3 2 5" xfId="2109" xr:uid="{00000000-0005-0000-0000-0000B85B0000}"/>
    <cellStyle name="표준 5 2 4 2 3 2 5 2" xfId="11012" xr:uid="{00000000-0005-0000-0000-0000B95B0000}"/>
    <cellStyle name="표준 5 2 4 2 3 2 5 2 2" xfId="15124" xr:uid="{00000000-0005-0000-0000-0000BA5B0000}"/>
    <cellStyle name="표준 5 2 4 2 3 2 5 2 2 2" xfId="31718" xr:uid="{00000000-0005-0000-0000-0000BB5B0000}"/>
    <cellStyle name="표준 5 2 4 2 3 2 5 2 2 3" xfId="39929" xr:uid="{00000000-0005-0000-0000-0000BC5B0000}"/>
    <cellStyle name="표준 5 2 4 2 3 2 5 2 2 4" xfId="48122" xr:uid="{00000000-0005-0000-0000-0000BD5B0000}"/>
    <cellStyle name="표준 5 2 4 2 3 2 5 2 3" xfId="19364" xr:uid="{00000000-0005-0000-0000-0000BE5B0000}"/>
    <cellStyle name="표준 5 2 4 2 3 2 5 2 4" xfId="23526" xr:uid="{00000000-0005-0000-0000-0000BF5B0000}"/>
    <cellStyle name="표준 5 2 4 2 3 2 5 2 5" xfId="27622" xr:uid="{00000000-0005-0000-0000-0000C05B0000}"/>
    <cellStyle name="표준 5 2 4 2 3 2 5 2 6" xfId="35833" xr:uid="{00000000-0005-0000-0000-0000C15B0000}"/>
    <cellStyle name="표준 5 2 4 2 3 2 5 2 7" xfId="44026" xr:uid="{00000000-0005-0000-0000-0000C25B0000}"/>
    <cellStyle name="표준 5 2 4 2 3 2 5 3" xfId="8964" xr:uid="{00000000-0005-0000-0000-0000C35B0000}"/>
    <cellStyle name="표준 5 2 4 2 3 2 5 3 2" xfId="29670" xr:uid="{00000000-0005-0000-0000-0000C45B0000}"/>
    <cellStyle name="표준 5 2 4 2 3 2 5 3 3" xfId="37881" xr:uid="{00000000-0005-0000-0000-0000C55B0000}"/>
    <cellStyle name="표준 5 2 4 2 3 2 5 3 4" xfId="46074" xr:uid="{00000000-0005-0000-0000-0000C65B0000}"/>
    <cellStyle name="표준 5 2 4 2 3 2 5 4" xfId="13076" xr:uid="{00000000-0005-0000-0000-0000C75B0000}"/>
    <cellStyle name="표준 5 2 4 2 3 2 5 5" xfId="17316" xr:uid="{00000000-0005-0000-0000-0000C85B0000}"/>
    <cellStyle name="표준 5 2 4 2 3 2 5 6" xfId="21478" xr:uid="{00000000-0005-0000-0000-0000C95B0000}"/>
    <cellStyle name="표준 5 2 4 2 3 2 5 7" xfId="25574" xr:uid="{00000000-0005-0000-0000-0000CA5B0000}"/>
    <cellStyle name="표준 5 2 4 2 3 2 5 8" xfId="33785" xr:uid="{00000000-0005-0000-0000-0000CB5B0000}"/>
    <cellStyle name="표준 5 2 4 2 3 2 5 9" xfId="41978" xr:uid="{00000000-0005-0000-0000-0000CC5B0000}"/>
    <cellStyle name="표준 5 2 4 2 3 2 6" xfId="9476" xr:uid="{00000000-0005-0000-0000-0000CD5B0000}"/>
    <cellStyle name="표준 5 2 4 2 3 2 6 2" xfId="13588" xr:uid="{00000000-0005-0000-0000-0000CE5B0000}"/>
    <cellStyle name="표준 5 2 4 2 3 2 6 2 2" xfId="30182" xr:uid="{00000000-0005-0000-0000-0000CF5B0000}"/>
    <cellStyle name="표준 5 2 4 2 3 2 6 2 3" xfId="38393" xr:uid="{00000000-0005-0000-0000-0000D05B0000}"/>
    <cellStyle name="표준 5 2 4 2 3 2 6 2 4" xfId="46586" xr:uid="{00000000-0005-0000-0000-0000D15B0000}"/>
    <cellStyle name="표준 5 2 4 2 3 2 6 3" xfId="17828" xr:uid="{00000000-0005-0000-0000-0000D25B0000}"/>
    <cellStyle name="표준 5 2 4 2 3 2 6 4" xfId="21990" xr:uid="{00000000-0005-0000-0000-0000D35B0000}"/>
    <cellStyle name="표준 5 2 4 2 3 2 6 5" xfId="26086" xr:uid="{00000000-0005-0000-0000-0000D45B0000}"/>
    <cellStyle name="표준 5 2 4 2 3 2 6 6" xfId="34297" xr:uid="{00000000-0005-0000-0000-0000D55B0000}"/>
    <cellStyle name="표준 5 2 4 2 3 2 6 7" xfId="42490" xr:uid="{00000000-0005-0000-0000-0000D65B0000}"/>
    <cellStyle name="표준 5 2 4 2 3 2 7" xfId="7428" xr:uid="{00000000-0005-0000-0000-0000D75B0000}"/>
    <cellStyle name="표준 5 2 4 2 3 2 7 2" xfId="28134" xr:uid="{00000000-0005-0000-0000-0000D85B0000}"/>
    <cellStyle name="표준 5 2 4 2 3 2 7 3" xfId="36345" xr:uid="{00000000-0005-0000-0000-0000D95B0000}"/>
    <cellStyle name="표준 5 2 4 2 3 2 7 4" xfId="44538" xr:uid="{00000000-0005-0000-0000-0000DA5B0000}"/>
    <cellStyle name="표준 5 2 4 2 3 2 8" xfId="11540" xr:uid="{00000000-0005-0000-0000-0000DB5B0000}"/>
    <cellStyle name="표준 5 2 4 2 3 2 9" xfId="15780" xr:uid="{00000000-0005-0000-0000-0000DC5B0000}"/>
    <cellStyle name="표준 5 2 4 2 3 3" xfId="701" xr:uid="{00000000-0005-0000-0000-0000DD5B0000}"/>
    <cellStyle name="표준 5 2 4 2 3 3 10" xfId="24166" xr:uid="{00000000-0005-0000-0000-0000DE5B0000}"/>
    <cellStyle name="표준 5 2 4 2 3 3 11" xfId="32377" xr:uid="{00000000-0005-0000-0000-0000DF5B0000}"/>
    <cellStyle name="표준 5 2 4 2 3 3 12" xfId="40570" xr:uid="{00000000-0005-0000-0000-0000E05B0000}"/>
    <cellStyle name="표준 5 2 4 2 3 3 2" xfId="1213" xr:uid="{00000000-0005-0000-0000-0000E15B0000}"/>
    <cellStyle name="표준 5 2 4 2 3 3 2 2" xfId="10116" xr:uid="{00000000-0005-0000-0000-0000E25B0000}"/>
    <cellStyle name="표준 5 2 4 2 3 3 2 2 2" xfId="14228" xr:uid="{00000000-0005-0000-0000-0000E35B0000}"/>
    <cellStyle name="표준 5 2 4 2 3 3 2 2 2 2" xfId="30822" xr:uid="{00000000-0005-0000-0000-0000E45B0000}"/>
    <cellStyle name="표준 5 2 4 2 3 3 2 2 2 3" xfId="39033" xr:uid="{00000000-0005-0000-0000-0000E55B0000}"/>
    <cellStyle name="표준 5 2 4 2 3 3 2 2 2 4" xfId="47226" xr:uid="{00000000-0005-0000-0000-0000E65B0000}"/>
    <cellStyle name="표준 5 2 4 2 3 3 2 2 3" xfId="18468" xr:uid="{00000000-0005-0000-0000-0000E75B0000}"/>
    <cellStyle name="표준 5 2 4 2 3 3 2 2 4" xfId="22630" xr:uid="{00000000-0005-0000-0000-0000E85B0000}"/>
    <cellStyle name="표준 5 2 4 2 3 3 2 2 5" xfId="26726" xr:uid="{00000000-0005-0000-0000-0000E95B0000}"/>
    <cellStyle name="표준 5 2 4 2 3 3 2 2 6" xfId="34937" xr:uid="{00000000-0005-0000-0000-0000EA5B0000}"/>
    <cellStyle name="표준 5 2 4 2 3 3 2 2 7" xfId="43130" xr:uid="{00000000-0005-0000-0000-0000EB5B0000}"/>
    <cellStyle name="표준 5 2 4 2 3 3 2 3" xfId="8068" xr:uid="{00000000-0005-0000-0000-0000EC5B0000}"/>
    <cellStyle name="표준 5 2 4 2 3 3 2 3 2" xfId="28774" xr:uid="{00000000-0005-0000-0000-0000ED5B0000}"/>
    <cellStyle name="표준 5 2 4 2 3 3 2 3 3" xfId="36985" xr:uid="{00000000-0005-0000-0000-0000EE5B0000}"/>
    <cellStyle name="표준 5 2 4 2 3 3 2 3 4" xfId="45178" xr:uid="{00000000-0005-0000-0000-0000EF5B0000}"/>
    <cellStyle name="표준 5 2 4 2 3 3 2 4" xfId="12180" xr:uid="{00000000-0005-0000-0000-0000F05B0000}"/>
    <cellStyle name="표준 5 2 4 2 3 3 2 5" xfId="16420" xr:uid="{00000000-0005-0000-0000-0000F15B0000}"/>
    <cellStyle name="표준 5 2 4 2 3 3 2 6" xfId="20582" xr:uid="{00000000-0005-0000-0000-0000F25B0000}"/>
    <cellStyle name="표준 5 2 4 2 3 3 2 7" xfId="24678" xr:uid="{00000000-0005-0000-0000-0000F35B0000}"/>
    <cellStyle name="표준 5 2 4 2 3 3 2 8" xfId="32889" xr:uid="{00000000-0005-0000-0000-0000F45B0000}"/>
    <cellStyle name="표준 5 2 4 2 3 3 2 9" xfId="41082" xr:uid="{00000000-0005-0000-0000-0000F55B0000}"/>
    <cellStyle name="표준 5 2 4 2 3 3 3" xfId="1725" xr:uid="{00000000-0005-0000-0000-0000F65B0000}"/>
    <cellStyle name="표준 5 2 4 2 3 3 3 2" xfId="10628" xr:uid="{00000000-0005-0000-0000-0000F75B0000}"/>
    <cellStyle name="표준 5 2 4 2 3 3 3 2 2" xfId="14740" xr:uid="{00000000-0005-0000-0000-0000F85B0000}"/>
    <cellStyle name="표준 5 2 4 2 3 3 3 2 2 2" xfId="31334" xr:uid="{00000000-0005-0000-0000-0000F95B0000}"/>
    <cellStyle name="표준 5 2 4 2 3 3 3 2 2 3" xfId="39545" xr:uid="{00000000-0005-0000-0000-0000FA5B0000}"/>
    <cellStyle name="표준 5 2 4 2 3 3 3 2 2 4" xfId="47738" xr:uid="{00000000-0005-0000-0000-0000FB5B0000}"/>
    <cellStyle name="표준 5 2 4 2 3 3 3 2 3" xfId="18980" xr:uid="{00000000-0005-0000-0000-0000FC5B0000}"/>
    <cellStyle name="표준 5 2 4 2 3 3 3 2 4" xfId="23142" xr:uid="{00000000-0005-0000-0000-0000FD5B0000}"/>
    <cellStyle name="표준 5 2 4 2 3 3 3 2 5" xfId="27238" xr:uid="{00000000-0005-0000-0000-0000FE5B0000}"/>
    <cellStyle name="표준 5 2 4 2 3 3 3 2 6" xfId="35449" xr:uid="{00000000-0005-0000-0000-0000FF5B0000}"/>
    <cellStyle name="표준 5 2 4 2 3 3 3 2 7" xfId="43642" xr:uid="{00000000-0005-0000-0000-0000005C0000}"/>
    <cellStyle name="표준 5 2 4 2 3 3 3 3" xfId="8580" xr:uid="{00000000-0005-0000-0000-0000015C0000}"/>
    <cellStyle name="표준 5 2 4 2 3 3 3 3 2" xfId="29286" xr:uid="{00000000-0005-0000-0000-0000025C0000}"/>
    <cellStyle name="표준 5 2 4 2 3 3 3 3 3" xfId="37497" xr:uid="{00000000-0005-0000-0000-0000035C0000}"/>
    <cellStyle name="표준 5 2 4 2 3 3 3 3 4" xfId="45690" xr:uid="{00000000-0005-0000-0000-0000045C0000}"/>
    <cellStyle name="표준 5 2 4 2 3 3 3 4" xfId="12692" xr:uid="{00000000-0005-0000-0000-0000055C0000}"/>
    <cellStyle name="표준 5 2 4 2 3 3 3 5" xfId="16932" xr:uid="{00000000-0005-0000-0000-0000065C0000}"/>
    <cellStyle name="표준 5 2 4 2 3 3 3 6" xfId="21094" xr:uid="{00000000-0005-0000-0000-0000075C0000}"/>
    <cellStyle name="표준 5 2 4 2 3 3 3 7" xfId="25190" xr:uid="{00000000-0005-0000-0000-0000085C0000}"/>
    <cellStyle name="표준 5 2 4 2 3 3 3 8" xfId="33401" xr:uid="{00000000-0005-0000-0000-0000095C0000}"/>
    <cellStyle name="표준 5 2 4 2 3 3 3 9" xfId="41594" xr:uid="{00000000-0005-0000-0000-00000A5C0000}"/>
    <cellStyle name="표준 5 2 4 2 3 3 4" xfId="2237" xr:uid="{00000000-0005-0000-0000-00000B5C0000}"/>
    <cellStyle name="표준 5 2 4 2 3 3 4 2" xfId="11140" xr:uid="{00000000-0005-0000-0000-00000C5C0000}"/>
    <cellStyle name="표준 5 2 4 2 3 3 4 2 2" xfId="15252" xr:uid="{00000000-0005-0000-0000-00000D5C0000}"/>
    <cellStyle name="표준 5 2 4 2 3 3 4 2 2 2" xfId="31846" xr:uid="{00000000-0005-0000-0000-00000E5C0000}"/>
    <cellStyle name="표준 5 2 4 2 3 3 4 2 2 3" xfId="40057" xr:uid="{00000000-0005-0000-0000-00000F5C0000}"/>
    <cellStyle name="표준 5 2 4 2 3 3 4 2 2 4" xfId="48250" xr:uid="{00000000-0005-0000-0000-0000105C0000}"/>
    <cellStyle name="표준 5 2 4 2 3 3 4 2 3" xfId="19492" xr:uid="{00000000-0005-0000-0000-0000115C0000}"/>
    <cellStyle name="표준 5 2 4 2 3 3 4 2 4" xfId="23654" xr:uid="{00000000-0005-0000-0000-0000125C0000}"/>
    <cellStyle name="표준 5 2 4 2 3 3 4 2 5" xfId="27750" xr:uid="{00000000-0005-0000-0000-0000135C0000}"/>
    <cellStyle name="표준 5 2 4 2 3 3 4 2 6" xfId="35961" xr:uid="{00000000-0005-0000-0000-0000145C0000}"/>
    <cellStyle name="표준 5 2 4 2 3 3 4 2 7" xfId="44154" xr:uid="{00000000-0005-0000-0000-0000155C0000}"/>
    <cellStyle name="표준 5 2 4 2 3 3 4 3" xfId="9092" xr:uid="{00000000-0005-0000-0000-0000165C0000}"/>
    <cellStyle name="표준 5 2 4 2 3 3 4 3 2" xfId="29798" xr:uid="{00000000-0005-0000-0000-0000175C0000}"/>
    <cellStyle name="표준 5 2 4 2 3 3 4 3 3" xfId="38009" xr:uid="{00000000-0005-0000-0000-0000185C0000}"/>
    <cellStyle name="표준 5 2 4 2 3 3 4 3 4" xfId="46202" xr:uid="{00000000-0005-0000-0000-0000195C0000}"/>
    <cellStyle name="표준 5 2 4 2 3 3 4 4" xfId="13204" xr:uid="{00000000-0005-0000-0000-00001A5C0000}"/>
    <cellStyle name="표준 5 2 4 2 3 3 4 5" xfId="17444" xr:uid="{00000000-0005-0000-0000-00001B5C0000}"/>
    <cellStyle name="표준 5 2 4 2 3 3 4 6" xfId="21606" xr:uid="{00000000-0005-0000-0000-00001C5C0000}"/>
    <cellStyle name="표준 5 2 4 2 3 3 4 7" xfId="25702" xr:uid="{00000000-0005-0000-0000-00001D5C0000}"/>
    <cellStyle name="표준 5 2 4 2 3 3 4 8" xfId="33913" xr:uid="{00000000-0005-0000-0000-00001E5C0000}"/>
    <cellStyle name="표준 5 2 4 2 3 3 4 9" xfId="42106" xr:uid="{00000000-0005-0000-0000-00001F5C0000}"/>
    <cellStyle name="표준 5 2 4 2 3 3 5" xfId="9604" xr:uid="{00000000-0005-0000-0000-0000205C0000}"/>
    <cellStyle name="표준 5 2 4 2 3 3 5 2" xfId="13716" xr:uid="{00000000-0005-0000-0000-0000215C0000}"/>
    <cellStyle name="표준 5 2 4 2 3 3 5 2 2" xfId="30310" xr:uid="{00000000-0005-0000-0000-0000225C0000}"/>
    <cellStyle name="표준 5 2 4 2 3 3 5 2 3" xfId="38521" xr:uid="{00000000-0005-0000-0000-0000235C0000}"/>
    <cellStyle name="표준 5 2 4 2 3 3 5 2 4" xfId="46714" xr:uid="{00000000-0005-0000-0000-0000245C0000}"/>
    <cellStyle name="표준 5 2 4 2 3 3 5 3" xfId="17956" xr:uid="{00000000-0005-0000-0000-0000255C0000}"/>
    <cellStyle name="표준 5 2 4 2 3 3 5 4" xfId="22118" xr:uid="{00000000-0005-0000-0000-0000265C0000}"/>
    <cellStyle name="표준 5 2 4 2 3 3 5 5" xfId="26214" xr:uid="{00000000-0005-0000-0000-0000275C0000}"/>
    <cellStyle name="표준 5 2 4 2 3 3 5 6" xfId="34425" xr:uid="{00000000-0005-0000-0000-0000285C0000}"/>
    <cellStyle name="표준 5 2 4 2 3 3 5 7" xfId="42618" xr:uid="{00000000-0005-0000-0000-0000295C0000}"/>
    <cellStyle name="표준 5 2 4 2 3 3 6" xfId="7556" xr:uid="{00000000-0005-0000-0000-00002A5C0000}"/>
    <cellStyle name="표준 5 2 4 2 3 3 6 2" xfId="28262" xr:uid="{00000000-0005-0000-0000-00002B5C0000}"/>
    <cellStyle name="표준 5 2 4 2 3 3 6 3" xfId="36473" xr:uid="{00000000-0005-0000-0000-00002C5C0000}"/>
    <cellStyle name="표준 5 2 4 2 3 3 6 4" xfId="44666" xr:uid="{00000000-0005-0000-0000-00002D5C0000}"/>
    <cellStyle name="표준 5 2 4 2 3 3 7" xfId="11668" xr:uid="{00000000-0005-0000-0000-00002E5C0000}"/>
    <cellStyle name="표준 5 2 4 2 3 3 8" xfId="15908" xr:uid="{00000000-0005-0000-0000-00002F5C0000}"/>
    <cellStyle name="표준 5 2 4 2 3 3 9" xfId="20070" xr:uid="{00000000-0005-0000-0000-0000305C0000}"/>
    <cellStyle name="표준 5 2 4 2 3 4" xfId="957" xr:uid="{00000000-0005-0000-0000-0000315C0000}"/>
    <cellStyle name="표준 5 2 4 2 3 4 2" xfId="9860" xr:uid="{00000000-0005-0000-0000-0000325C0000}"/>
    <cellStyle name="표준 5 2 4 2 3 4 2 2" xfId="13972" xr:uid="{00000000-0005-0000-0000-0000335C0000}"/>
    <cellStyle name="표준 5 2 4 2 3 4 2 2 2" xfId="30566" xr:uid="{00000000-0005-0000-0000-0000345C0000}"/>
    <cellStyle name="표준 5 2 4 2 3 4 2 2 3" xfId="38777" xr:uid="{00000000-0005-0000-0000-0000355C0000}"/>
    <cellStyle name="표준 5 2 4 2 3 4 2 2 4" xfId="46970" xr:uid="{00000000-0005-0000-0000-0000365C0000}"/>
    <cellStyle name="표준 5 2 4 2 3 4 2 3" xfId="18212" xr:uid="{00000000-0005-0000-0000-0000375C0000}"/>
    <cellStyle name="표준 5 2 4 2 3 4 2 4" xfId="22374" xr:uid="{00000000-0005-0000-0000-0000385C0000}"/>
    <cellStyle name="표준 5 2 4 2 3 4 2 5" xfId="26470" xr:uid="{00000000-0005-0000-0000-0000395C0000}"/>
    <cellStyle name="표준 5 2 4 2 3 4 2 6" xfId="34681" xr:uid="{00000000-0005-0000-0000-00003A5C0000}"/>
    <cellStyle name="표준 5 2 4 2 3 4 2 7" xfId="42874" xr:uid="{00000000-0005-0000-0000-00003B5C0000}"/>
    <cellStyle name="표준 5 2 4 2 3 4 3" xfId="7812" xr:uid="{00000000-0005-0000-0000-00003C5C0000}"/>
    <cellStyle name="표준 5 2 4 2 3 4 3 2" xfId="28518" xr:uid="{00000000-0005-0000-0000-00003D5C0000}"/>
    <cellStyle name="표준 5 2 4 2 3 4 3 3" xfId="36729" xr:uid="{00000000-0005-0000-0000-00003E5C0000}"/>
    <cellStyle name="표준 5 2 4 2 3 4 3 4" xfId="44922" xr:uid="{00000000-0005-0000-0000-00003F5C0000}"/>
    <cellStyle name="표준 5 2 4 2 3 4 4" xfId="11924" xr:uid="{00000000-0005-0000-0000-0000405C0000}"/>
    <cellStyle name="표준 5 2 4 2 3 4 5" xfId="16164" xr:uid="{00000000-0005-0000-0000-0000415C0000}"/>
    <cellStyle name="표준 5 2 4 2 3 4 6" xfId="20326" xr:uid="{00000000-0005-0000-0000-0000425C0000}"/>
    <cellStyle name="표준 5 2 4 2 3 4 7" xfId="24422" xr:uid="{00000000-0005-0000-0000-0000435C0000}"/>
    <cellStyle name="표준 5 2 4 2 3 4 8" xfId="32633" xr:uid="{00000000-0005-0000-0000-0000445C0000}"/>
    <cellStyle name="표준 5 2 4 2 3 4 9" xfId="40826" xr:uid="{00000000-0005-0000-0000-0000455C0000}"/>
    <cellStyle name="표준 5 2 4 2 3 5" xfId="1469" xr:uid="{00000000-0005-0000-0000-0000465C0000}"/>
    <cellStyle name="표준 5 2 4 2 3 5 2" xfId="10372" xr:uid="{00000000-0005-0000-0000-0000475C0000}"/>
    <cellStyle name="표준 5 2 4 2 3 5 2 2" xfId="14484" xr:uid="{00000000-0005-0000-0000-0000485C0000}"/>
    <cellStyle name="표준 5 2 4 2 3 5 2 2 2" xfId="31078" xr:uid="{00000000-0005-0000-0000-0000495C0000}"/>
    <cellStyle name="표준 5 2 4 2 3 5 2 2 3" xfId="39289" xr:uid="{00000000-0005-0000-0000-00004A5C0000}"/>
    <cellStyle name="표준 5 2 4 2 3 5 2 2 4" xfId="47482" xr:uid="{00000000-0005-0000-0000-00004B5C0000}"/>
    <cellStyle name="표준 5 2 4 2 3 5 2 3" xfId="18724" xr:uid="{00000000-0005-0000-0000-00004C5C0000}"/>
    <cellStyle name="표준 5 2 4 2 3 5 2 4" xfId="22886" xr:uid="{00000000-0005-0000-0000-00004D5C0000}"/>
    <cellStyle name="표준 5 2 4 2 3 5 2 5" xfId="26982" xr:uid="{00000000-0005-0000-0000-00004E5C0000}"/>
    <cellStyle name="표준 5 2 4 2 3 5 2 6" xfId="35193" xr:uid="{00000000-0005-0000-0000-00004F5C0000}"/>
    <cellStyle name="표준 5 2 4 2 3 5 2 7" xfId="43386" xr:uid="{00000000-0005-0000-0000-0000505C0000}"/>
    <cellStyle name="표준 5 2 4 2 3 5 3" xfId="8324" xr:uid="{00000000-0005-0000-0000-0000515C0000}"/>
    <cellStyle name="표준 5 2 4 2 3 5 3 2" xfId="29030" xr:uid="{00000000-0005-0000-0000-0000525C0000}"/>
    <cellStyle name="표준 5 2 4 2 3 5 3 3" xfId="37241" xr:uid="{00000000-0005-0000-0000-0000535C0000}"/>
    <cellStyle name="표준 5 2 4 2 3 5 3 4" xfId="45434" xr:uid="{00000000-0005-0000-0000-0000545C0000}"/>
    <cellStyle name="표준 5 2 4 2 3 5 4" xfId="12436" xr:uid="{00000000-0005-0000-0000-0000555C0000}"/>
    <cellStyle name="표준 5 2 4 2 3 5 5" xfId="16676" xr:uid="{00000000-0005-0000-0000-0000565C0000}"/>
    <cellStyle name="표준 5 2 4 2 3 5 6" xfId="20838" xr:uid="{00000000-0005-0000-0000-0000575C0000}"/>
    <cellStyle name="표준 5 2 4 2 3 5 7" xfId="24934" xr:uid="{00000000-0005-0000-0000-0000585C0000}"/>
    <cellStyle name="표준 5 2 4 2 3 5 8" xfId="33145" xr:uid="{00000000-0005-0000-0000-0000595C0000}"/>
    <cellStyle name="표준 5 2 4 2 3 5 9" xfId="41338" xr:uid="{00000000-0005-0000-0000-00005A5C0000}"/>
    <cellStyle name="표준 5 2 4 2 3 6" xfId="1981" xr:uid="{00000000-0005-0000-0000-00005B5C0000}"/>
    <cellStyle name="표준 5 2 4 2 3 6 2" xfId="10884" xr:uid="{00000000-0005-0000-0000-00005C5C0000}"/>
    <cellStyle name="표준 5 2 4 2 3 6 2 2" xfId="14996" xr:uid="{00000000-0005-0000-0000-00005D5C0000}"/>
    <cellStyle name="표준 5 2 4 2 3 6 2 2 2" xfId="31590" xr:uid="{00000000-0005-0000-0000-00005E5C0000}"/>
    <cellStyle name="표준 5 2 4 2 3 6 2 2 3" xfId="39801" xr:uid="{00000000-0005-0000-0000-00005F5C0000}"/>
    <cellStyle name="표준 5 2 4 2 3 6 2 2 4" xfId="47994" xr:uid="{00000000-0005-0000-0000-0000605C0000}"/>
    <cellStyle name="표준 5 2 4 2 3 6 2 3" xfId="19236" xr:uid="{00000000-0005-0000-0000-0000615C0000}"/>
    <cellStyle name="표준 5 2 4 2 3 6 2 4" xfId="23398" xr:uid="{00000000-0005-0000-0000-0000625C0000}"/>
    <cellStyle name="표준 5 2 4 2 3 6 2 5" xfId="27494" xr:uid="{00000000-0005-0000-0000-0000635C0000}"/>
    <cellStyle name="표준 5 2 4 2 3 6 2 6" xfId="35705" xr:uid="{00000000-0005-0000-0000-0000645C0000}"/>
    <cellStyle name="표준 5 2 4 2 3 6 2 7" xfId="43898" xr:uid="{00000000-0005-0000-0000-0000655C0000}"/>
    <cellStyle name="표준 5 2 4 2 3 6 3" xfId="8836" xr:uid="{00000000-0005-0000-0000-0000665C0000}"/>
    <cellStyle name="표준 5 2 4 2 3 6 3 2" xfId="29542" xr:uid="{00000000-0005-0000-0000-0000675C0000}"/>
    <cellStyle name="표준 5 2 4 2 3 6 3 3" xfId="37753" xr:uid="{00000000-0005-0000-0000-0000685C0000}"/>
    <cellStyle name="표준 5 2 4 2 3 6 3 4" xfId="45946" xr:uid="{00000000-0005-0000-0000-0000695C0000}"/>
    <cellStyle name="표준 5 2 4 2 3 6 4" xfId="12948" xr:uid="{00000000-0005-0000-0000-00006A5C0000}"/>
    <cellStyle name="표준 5 2 4 2 3 6 5" xfId="17188" xr:uid="{00000000-0005-0000-0000-00006B5C0000}"/>
    <cellStyle name="표준 5 2 4 2 3 6 6" xfId="21350" xr:uid="{00000000-0005-0000-0000-00006C5C0000}"/>
    <cellStyle name="표준 5 2 4 2 3 6 7" xfId="25446" xr:uid="{00000000-0005-0000-0000-00006D5C0000}"/>
    <cellStyle name="표준 5 2 4 2 3 6 8" xfId="33657" xr:uid="{00000000-0005-0000-0000-00006E5C0000}"/>
    <cellStyle name="표준 5 2 4 2 3 6 9" xfId="41850" xr:uid="{00000000-0005-0000-0000-00006F5C0000}"/>
    <cellStyle name="표준 5 2 4 2 3 7" xfId="9348" xr:uid="{00000000-0005-0000-0000-0000705C0000}"/>
    <cellStyle name="표준 5 2 4 2 3 7 2" xfId="13460" xr:uid="{00000000-0005-0000-0000-0000715C0000}"/>
    <cellStyle name="표준 5 2 4 2 3 7 2 2" xfId="30054" xr:uid="{00000000-0005-0000-0000-0000725C0000}"/>
    <cellStyle name="표준 5 2 4 2 3 7 2 3" xfId="38265" xr:uid="{00000000-0005-0000-0000-0000735C0000}"/>
    <cellStyle name="표준 5 2 4 2 3 7 2 4" xfId="46458" xr:uid="{00000000-0005-0000-0000-0000745C0000}"/>
    <cellStyle name="표준 5 2 4 2 3 7 3" xfId="17700" xr:uid="{00000000-0005-0000-0000-0000755C0000}"/>
    <cellStyle name="표준 5 2 4 2 3 7 4" xfId="21862" xr:uid="{00000000-0005-0000-0000-0000765C0000}"/>
    <cellStyle name="표준 5 2 4 2 3 7 5" xfId="25958" xr:uid="{00000000-0005-0000-0000-0000775C0000}"/>
    <cellStyle name="표준 5 2 4 2 3 7 6" xfId="34169" xr:uid="{00000000-0005-0000-0000-0000785C0000}"/>
    <cellStyle name="표준 5 2 4 2 3 7 7" xfId="42362" xr:uid="{00000000-0005-0000-0000-0000795C0000}"/>
    <cellStyle name="표준 5 2 4 2 3 8" xfId="7300" xr:uid="{00000000-0005-0000-0000-00007A5C0000}"/>
    <cellStyle name="표준 5 2 4 2 3 8 2" xfId="28006" xr:uid="{00000000-0005-0000-0000-00007B5C0000}"/>
    <cellStyle name="표준 5 2 4 2 3 8 3" xfId="36217" xr:uid="{00000000-0005-0000-0000-00007C5C0000}"/>
    <cellStyle name="표준 5 2 4 2 3 8 4" xfId="44410" xr:uid="{00000000-0005-0000-0000-00007D5C0000}"/>
    <cellStyle name="표준 5 2 4 2 3 9" xfId="11412" xr:uid="{00000000-0005-0000-0000-00007E5C0000}"/>
    <cellStyle name="표준 5 2 4 2 4" xfId="509" xr:uid="{00000000-0005-0000-0000-00007F5C0000}"/>
    <cellStyle name="표준 5 2 4 2 4 10" xfId="19878" xr:uid="{00000000-0005-0000-0000-0000805C0000}"/>
    <cellStyle name="표준 5 2 4 2 4 11" xfId="23974" xr:uid="{00000000-0005-0000-0000-0000815C0000}"/>
    <cellStyle name="표준 5 2 4 2 4 12" xfId="32185" xr:uid="{00000000-0005-0000-0000-0000825C0000}"/>
    <cellStyle name="표준 5 2 4 2 4 13" xfId="40378" xr:uid="{00000000-0005-0000-0000-0000835C0000}"/>
    <cellStyle name="표준 5 2 4 2 4 2" xfId="765" xr:uid="{00000000-0005-0000-0000-0000845C0000}"/>
    <cellStyle name="표준 5 2 4 2 4 2 10" xfId="24230" xr:uid="{00000000-0005-0000-0000-0000855C0000}"/>
    <cellStyle name="표준 5 2 4 2 4 2 11" xfId="32441" xr:uid="{00000000-0005-0000-0000-0000865C0000}"/>
    <cellStyle name="표준 5 2 4 2 4 2 12" xfId="40634" xr:uid="{00000000-0005-0000-0000-0000875C0000}"/>
    <cellStyle name="표준 5 2 4 2 4 2 2" xfId="1277" xr:uid="{00000000-0005-0000-0000-0000885C0000}"/>
    <cellStyle name="표준 5 2 4 2 4 2 2 2" xfId="10180" xr:uid="{00000000-0005-0000-0000-0000895C0000}"/>
    <cellStyle name="표준 5 2 4 2 4 2 2 2 2" xfId="14292" xr:uid="{00000000-0005-0000-0000-00008A5C0000}"/>
    <cellStyle name="표준 5 2 4 2 4 2 2 2 2 2" xfId="30886" xr:uid="{00000000-0005-0000-0000-00008B5C0000}"/>
    <cellStyle name="표준 5 2 4 2 4 2 2 2 2 3" xfId="39097" xr:uid="{00000000-0005-0000-0000-00008C5C0000}"/>
    <cellStyle name="표준 5 2 4 2 4 2 2 2 2 4" xfId="47290" xr:uid="{00000000-0005-0000-0000-00008D5C0000}"/>
    <cellStyle name="표준 5 2 4 2 4 2 2 2 3" xfId="18532" xr:uid="{00000000-0005-0000-0000-00008E5C0000}"/>
    <cellStyle name="표준 5 2 4 2 4 2 2 2 4" xfId="22694" xr:uid="{00000000-0005-0000-0000-00008F5C0000}"/>
    <cellStyle name="표준 5 2 4 2 4 2 2 2 5" xfId="26790" xr:uid="{00000000-0005-0000-0000-0000905C0000}"/>
    <cellStyle name="표준 5 2 4 2 4 2 2 2 6" xfId="35001" xr:uid="{00000000-0005-0000-0000-0000915C0000}"/>
    <cellStyle name="표준 5 2 4 2 4 2 2 2 7" xfId="43194" xr:uid="{00000000-0005-0000-0000-0000925C0000}"/>
    <cellStyle name="표준 5 2 4 2 4 2 2 3" xfId="8132" xr:uid="{00000000-0005-0000-0000-0000935C0000}"/>
    <cellStyle name="표준 5 2 4 2 4 2 2 3 2" xfId="28838" xr:uid="{00000000-0005-0000-0000-0000945C0000}"/>
    <cellStyle name="표준 5 2 4 2 4 2 2 3 3" xfId="37049" xr:uid="{00000000-0005-0000-0000-0000955C0000}"/>
    <cellStyle name="표준 5 2 4 2 4 2 2 3 4" xfId="45242" xr:uid="{00000000-0005-0000-0000-0000965C0000}"/>
    <cellStyle name="표준 5 2 4 2 4 2 2 4" xfId="12244" xr:uid="{00000000-0005-0000-0000-0000975C0000}"/>
    <cellStyle name="표준 5 2 4 2 4 2 2 5" xfId="16484" xr:uid="{00000000-0005-0000-0000-0000985C0000}"/>
    <cellStyle name="표준 5 2 4 2 4 2 2 6" xfId="20646" xr:uid="{00000000-0005-0000-0000-0000995C0000}"/>
    <cellStyle name="표준 5 2 4 2 4 2 2 7" xfId="24742" xr:uid="{00000000-0005-0000-0000-00009A5C0000}"/>
    <cellStyle name="표준 5 2 4 2 4 2 2 8" xfId="32953" xr:uid="{00000000-0005-0000-0000-00009B5C0000}"/>
    <cellStyle name="표준 5 2 4 2 4 2 2 9" xfId="41146" xr:uid="{00000000-0005-0000-0000-00009C5C0000}"/>
    <cellStyle name="표준 5 2 4 2 4 2 3" xfId="1789" xr:uid="{00000000-0005-0000-0000-00009D5C0000}"/>
    <cellStyle name="표준 5 2 4 2 4 2 3 2" xfId="10692" xr:uid="{00000000-0005-0000-0000-00009E5C0000}"/>
    <cellStyle name="표준 5 2 4 2 4 2 3 2 2" xfId="14804" xr:uid="{00000000-0005-0000-0000-00009F5C0000}"/>
    <cellStyle name="표준 5 2 4 2 4 2 3 2 2 2" xfId="31398" xr:uid="{00000000-0005-0000-0000-0000A05C0000}"/>
    <cellStyle name="표준 5 2 4 2 4 2 3 2 2 3" xfId="39609" xr:uid="{00000000-0005-0000-0000-0000A15C0000}"/>
    <cellStyle name="표준 5 2 4 2 4 2 3 2 2 4" xfId="47802" xr:uid="{00000000-0005-0000-0000-0000A25C0000}"/>
    <cellStyle name="표준 5 2 4 2 4 2 3 2 3" xfId="19044" xr:uid="{00000000-0005-0000-0000-0000A35C0000}"/>
    <cellStyle name="표준 5 2 4 2 4 2 3 2 4" xfId="23206" xr:uid="{00000000-0005-0000-0000-0000A45C0000}"/>
    <cellStyle name="표준 5 2 4 2 4 2 3 2 5" xfId="27302" xr:uid="{00000000-0005-0000-0000-0000A55C0000}"/>
    <cellStyle name="표준 5 2 4 2 4 2 3 2 6" xfId="35513" xr:uid="{00000000-0005-0000-0000-0000A65C0000}"/>
    <cellStyle name="표준 5 2 4 2 4 2 3 2 7" xfId="43706" xr:uid="{00000000-0005-0000-0000-0000A75C0000}"/>
    <cellStyle name="표준 5 2 4 2 4 2 3 3" xfId="8644" xr:uid="{00000000-0005-0000-0000-0000A85C0000}"/>
    <cellStyle name="표준 5 2 4 2 4 2 3 3 2" xfId="29350" xr:uid="{00000000-0005-0000-0000-0000A95C0000}"/>
    <cellStyle name="표준 5 2 4 2 4 2 3 3 3" xfId="37561" xr:uid="{00000000-0005-0000-0000-0000AA5C0000}"/>
    <cellStyle name="표준 5 2 4 2 4 2 3 3 4" xfId="45754" xr:uid="{00000000-0005-0000-0000-0000AB5C0000}"/>
    <cellStyle name="표준 5 2 4 2 4 2 3 4" xfId="12756" xr:uid="{00000000-0005-0000-0000-0000AC5C0000}"/>
    <cellStyle name="표준 5 2 4 2 4 2 3 5" xfId="16996" xr:uid="{00000000-0005-0000-0000-0000AD5C0000}"/>
    <cellStyle name="표준 5 2 4 2 4 2 3 6" xfId="21158" xr:uid="{00000000-0005-0000-0000-0000AE5C0000}"/>
    <cellStyle name="표준 5 2 4 2 4 2 3 7" xfId="25254" xr:uid="{00000000-0005-0000-0000-0000AF5C0000}"/>
    <cellStyle name="표준 5 2 4 2 4 2 3 8" xfId="33465" xr:uid="{00000000-0005-0000-0000-0000B05C0000}"/>
    <cellStyle name="표준 5 2 4 2 4 2 3 9" xfId="41658" xr:uid="{00000000-0005-0000-0000-0000B15C0000}"/>
    <cellStyle name="표준 5 2 4 2 4 2 4" xfId="2301" xr:uid="{00000000-0005-0000-0000-0000B25C0000}"/>
    <cellStyle name="표준 5 2 4 2 4 2 4 2" xfId="11204" xr:uid="{00000000-0005-0000-0000-0000B35C0000}"/>
    <cellStyle name="표준 5 2 4 2 4 2 4 2 2" xfId="15316" xr:uid="{00000000-0005-0000-0000-0000B45C0000}"/>
    <cellStyle name="표준 5 2 4 2 4 2 4 2 2 2" xfId="31910" xr:uid="{00000000-0005-0000-0000-0000B55C0000}"/>
    <cellStyle name="표준 5 2 4 2 4 2 4 2 2 3" xfId="40121" xr:uid="{00000000-0005-0000-0000-0000B65C0000}"/>
    <cellStyle name="표준 5 2 4 2 4 2 4 2 2 4" xfId="48314" xr:uid="{00000000-0005-0000-0000-0000B75C0000}"/>
    <cellStyle name="표준 5 2 4 2 4 2 4 2 3" xfId="19556" xr:uid="{00000000-0005-0000-0000-0000B85C0000}"/>
    <cellStyle name="표준 5 2 4 2 4 2 4 2 4" xfId="23718" xr:uid="{00000000-0005-0000-0000-0000B95C0000}"/>
    <cellStyle name="표준 5 2 4 2 4 2 4 2 5" xfId="27814" xr:uid="{00000000-0005-0000-0000-0000BA5C0000}"/>
    <cellStyle name="표준 5 2 4 2 4 2 4 2 6" xfId="36025" xr:uid="{00000000-0005-0000-0000-0000BB5C0000}"/>
    <cellStyle name="표준 5 2 4 2 4 2 4 2 7" xfId="44218" xr:uid="{00000000-0005-0000-0000-0000BC5C0000}"/>
    <cellStyle name="표준 5 2 4 2 4 2 4 3" xfId="9156" xr:uid="{00000000-0005-0000-0000-0000BD5C0000}"/>
    <cellStyle name="표준 5 2 4 2 4 2 4 3 2" xfId="29862" xr:uid="{00000000-0005-0000-0000-0000BE5C0000}"/>
    <cellStyle name="표준 5 2 4 2 4 2 4 3 3" xfId="38073" xr:uid="{00000000-0005-0000-0000-0000BF5C0000}"/>
    <cellStyle name="표준 5 2 4 2 4 2 4 3 4" xfId="46266" xr:uid="{00000000-0005-0000-0000-0000C05C0000}"/>
    <cellStyle name="표준 5 2 4 2 4 2 4 4" xfId="13268" xr:uid="{00000000-0005-0000-0000-0000C15C0000}"/>
    <cellStyle name="표준 5 2 4 2 4 2 4 5" xfId="17508" xr:uid="{00000000-0005-0000-0000-0000C25C0000}"/>
    <cellStyle name="표준 5 2 4 2 4 2 4 6" xfId="21670" xr:uid="{00000000-0005-0000-0000-0000C35C0000}"/>
    <cellStyle name="표준 5 2 4 2 4 2 4 7" xfId="25766" xr:uid="{00000000-0005-0000-0000-0000C45C0000}"/>
    <cellStyle name="표준 5 2 4 2 4 2 4 8" xfId="33977" xr:uid="{00000000-0005-0000-0000-0000C55C0000}"/>
    <cellStyle name="표준 5 2 4 2 4 2 4 9" xfId="42170" xr:uid="{00000000-0005-0000-0000-0000C65C0000}"/>
    <cellStyle name="표준 5 2 4 2 4 2 5" xfId="9668" xr:uid="{00000000-0005-0000-0000-0000C75C0000}"/>
    <cellStyle name="표준 5 2 4 2 4 2 5 2" xfId="13780" xr:uid="{00000000-0005-0000-0000-0000C85C0000}"/>
    <cellStyle name="표준 5 2 4 2 4 2 5 2 2" xfId="30374" xr:uid="{00000000-0005-0000-0000-0000C95C0000}"/>
    <cellStyle name="표준 5 2 4 2 4 2 5 2 3" xfId="38585" xr:uid="{00000000-0005-0000-0000-0000CA5C0000}"/>
    <cellStyle name="표준 5 2 4 2 4 2 5 2 4" xfId="46778" xr:uid="{00000000-0005-0000-0000-0000CB5C0000}"/>
    <cellStyle name="표준 5 2 4 2 4 2 5 3" xfId="18020" xr:uid="{00000000-0005-0000-0000-0000CC5C0000}"/>
    <cellStyle name="표준 5 2 4 2 4 2 5 4" xfId="22182" xr:uid="{00000000-0005-0000-0000-0000CD5C0000}"/>
    <cellStyle name="표준 5 2 4 2 4 2 5 5" xfId="26278" xr:uid="{00000000-0005-0000-0000-0000CE5C0000}"/>
    <cellStyle name="표준 5 2 4 2 4 2 5 6" xfId="34489" xr:uid="{00000000-0005-0000-0000-0000CF5C0000}"/>
    <cellStyle name="표준 5 2 4 2 4 2 5 7" xfId="42682" xr:uid="{00000000-0005-0000-0000-0000D05C0000}"/>
    <cellStyle name="표준 5 2 4 2 4 2 6" xfId="7620" xr:uid="{00000000-0005-0000-0000-0000D15C0000}"/>
    <cellStyle name="표준 5 2 4 2 4 2 6 2" xfId="28326" xr:uid="{00000000-0005-0000-0000-0000D25C0000}"/>
    <cellStyle name="표준 5 2 4 2 4 2 6 3" xfId="36537" xr:uid="{00000000-0005-0000-0000-0000D35C0000}"/>
    <cellStyle name="표준 5 2 4 2 4 2 6 4" xfId="44730" xr:uid="{00000000-0005-0000-0000-0000D45C0000}"/>
    <cellStyle name="표준 5 2 4 2 4 2 7" xfId="11732" xr:uid="{00000000-0005-0000-0000-0000D55C0000}"/>
    <cellStyle name="표준 5 2 4 2 4 2 8" xfId="15972" xr:uid="{00000000-0005-0000-0000-0000D65C0000}"/>
    <cellStyle name="표준 5 2 4 2 4 2 9" xfId="20134" xr:uid="{00000000-0005-0000-0000-0000D75C0000}"/>
    <cellStyle name="표준 5 2 4 2 4 3" xfId="1021" xr:uid="{00000000-0005-0000-0000-0000D85C0000}"/>
    <cellStyle name="표준 5 2 4 2 4 3 2" xfId="9924" xr:uid="{00000000-0005-0000-0000-0000D95C0000}"/>
    <cellStyle name="표준 5 2 4 2 4 3 2 2" xfId="14036" xr:uid="{00000000-0005-0000-0000-0000DA5C0000}"/>
    <cellStyle name="표준 5 2 4 2 4 3 2 2 2" xfId="30630" xr:uid="{00000000-0005-0000-0000-0000DB5C0000}"/>
    <cellStyle name="표준 5 2 4 2 4 3 2 2 3" xfId="38841" xr:uid="{00000000-0005-0000-0000-0000DC5C0000}"/>
    <cellStyle name="표준 5 2 4 2 4 3 2 2 4" xfId="47034" xr:uid="{00000000-0005-0000-0000-0000DD5C0000}"/>
    <cellStyle name="표준 5 2 4 2 4 3 2 3" xfId="18276" xr:uid="{00000000-0005-0000-0000-0000DE5C0000}"/>
    <cellStyle name="표준 5 2 4 2 4 3 2 4" xfId="22438" xr:uid="{00000000-0005-0000-0000-0000DF5C0000}"/>
    <cellStyle name="표준 5 2 4 2 4 3 2 5" xfId="26534" xr:uid="{00000000-0005-0000-0000-0000E05C0000}"/>
    <cellStyle name="표준 5 2 4 2 4 3 2 6" xfId="34745" xr:uid="{00000000-0005-0000-0000-0000E15C0000}"/>
    <cellStyle name="표준 5 2 4 2 4 3 2 7" xfId="42938" xr:uid="{00000000-0005-0000-0000-0000E25C0000}"/>
    <cellStyle name="표준 5 2 4 2 4 3 3" xfId="7876" xr:uid="{00000000-0005-0000-0000-0000E35C0000}"/>
    <cellStyle name="표준 5 2 4 2 4 3 3 2" xfId="28582" xr:uid="{00000000-0005-0000-0000-0000E45C0000}"/>
    <cellStyle name="표준 5 2 4 2 4 3 3 3" xfId="36793" xr:uid="{00000000-0005-0000-0000-0000E55C0000}"/>
    <cellStyle name="표준 5 2 4 2 4 3 3 4" xfId="44986" xr:uid="{00000000-0005-0000-0000-0000E65C0000}"/>
    <cellStyle name="표준 5 2 4 2 4 3 4" xfId="11988" xr:uid="{00000000-0005-0000-0000-0000E75C0000}"/>
    <cellStyle name="표준 5 2 4 2 4 3 5" xfId="16228" xr:uid="{00000000-0005-0000-0000-0000E85C0000}"/>
    <cellStyle name="표준 5 2 4 2 4 3 6" xfId="20390" xr:uid="{00000000-0005-0000-0000-0000E95C0000}"/>
    <cellStyle name="표준 5 2 4 2 4 3 7" xfId="24486" xr:uid="{00000000-0005-0000-0000-0000EA5C0000}"/>
    <cellStyle name="표준 5 2 4 2 4 3 8" xfId="32697" xr:uid="{00000000-0005-0000-0000-0000EB5C0000}"/>
    <cellStyle name="표준 5 2 4 2 4 3 9" xfId="40890" xr:uid="{00000000-0005-0000-0000-0000EC5C0000}"/>
    <cellStyle name="표준 5 2 4 2 4 4" xfId="1533" xr:uid="{00000000-0005-0000-0000-0000ED5C0000}"/>
    <cellStyle name="표준 5 2 4 2 4 4 2" xfId="10436" xr:uid="{00000000-0005-0000-0000-0000EE5C0000}"/>
    <cellStyle name="표준 5 2 4 2 4 4 2 2" xfId="14548" xr:uid="{00000000-0005-0000-0000-0000EF5C0000}"/>
    <cellStyle name="표준 5 2 4 2 4 4 2 2 2" xfId="31142" xr:uid="{00000000-0005-0000-0000-0000F05C0000}"/>
    <cellStyle name="표준 5 2 4 2 4 4 2 2 3" xfId="39353" xr:uid="{00000000-0005-0000-0000-0000F15C0000}"/>
    <cellStyle name="표준 5 2 4 2 4 4 2 2 4" xfId="47546" xr:uid="{00000000-0005-0000-0000-0000F25C0000}"/>
    <cellStyle name="표준 5 2 4 2 4 4 2 3" xfId="18788" xr:uid="{00000000-0005-0000-0000-0000F35C0000}"/>
    <cellStyle name="표준 5 2 4 2 4 4 2 4" xfId="22950" xr:uid="{00000000-0005-0000-0000-0000F45C0000}"/>
    <cellStyle name="표준 5 2 4 2 4 4 2 5" xfId="27046" xr:uid="{00000000-0005-0000-0000-0000F55C0000}"/>
    <cellStyle name="표준 5 2 4 2 4 4 2 6" xfId="35257" xr:uid="{00000000-0005-0000-0000-0000F65C0000}"/>
    <cellStyle name="표준 5 2 4 2 4 4 2 7" xfId="43450" xr:uid="{00000000-0005-0000-0000-0000F75C0000}"/>
    <cellStyle name="표준 5 2 4 2 4 4 3" xfId="8388" xr:uid="{00000000-0005-0000-0000-0000F85C0000}"/>
    <cellStyle name="표준 5 2 4 2 4 4 3 2" xfId="29094" xr:uid="{00000000-0005-0000-0000-0000F95C0000}"/>
    <cellStyle name="표준 5 2 4 2 4 4 3 3" xfId="37305" xr:uid="{00000000-0005-0000-0000-0000FA5C0000}"/>
    <cellStyle name="표준 5 2 4 2 4 4 3 4" xfId="45498" xr:uid="{00000000-0005-0000-0000-0000FB5C0000}"/>
    <cellStyle name="표준 5 2 4 2 4 4 4" xfId="12500" xr:uid="{00000000-0005-0000-0000-0000FC5C0000}"/>
    <cellStyle name="표준 5 2 4 2 4 4 5" xfId="16740" xr:uid="{00000000-0005-0000-0000-0000FD5C0000}"/>
    <cellStyle name="표준 5 2 4 2 4 4 6" xfId="20902" xr:uid="{00000000-0005-0000-0000-0000FE5C0000}"/>
    <cellStyle name="표준 5 2 4 2 4 4 7" xfId="24998" xr:uid="{00000000-0005-0000-0000-0000FF5C0000}"/>
    <cellStyle name="표준 5 2 4 2 4 4 8" xfId="33209" xr:uid="{00000000-0005-0000-0000-0000005D0000}"/>
    <cellStyle name="표준 5 2 4 2 4 4 9" xfId="41402" xr:uid="{00000000-0005-0000-0000-0000015D0000}"/>
    <cellStyle name="표준 5 2 4 2 4 5" xfId="2045" xr:uid="{00000000-0005-0000-0000-0000025D0000}"/>
    <cellStyle name="표준 5 2 4 2 4 5 2" xfId="10948" xr:uid="{00000000-0005-0000-0000-0000035D0000}"/>
    <cellStyle name="표준 5 2 4 2 4 5 2 2" xfId="15060" xr:uid="{00000000-0005-0000-0000-0000045D0000}"/>
    <cellStyle name="표준 5 2 4 2 4 5 2 2 2" xfId="31654" xr:uid="{00000000-0005-0000-0000-0000055D0000}"/>
    <cellStyle name="표준 5 2 4 2 4 5 2 2 3" xfId="39865" xr:uid="{00000000-0005-0000-0000-0000065D0000}"/>
    <cellStyle name="표준 5 2 4 2 4 5 2 2 4" xfId="48058" xr:uid="{00000000-0005-0000-0000-0000075D0000}"/>
    <cellStyle name="표준 5 2 4 2 4 5 2 3" xfId="19300" xr:uid="{00000000-0005-0000-0000-0000085D0000}"/>
    <cellStyle name="표준 5 2 4 2 4 5 2 4" xfId="23462" xr:uid="{00000000-0005-0000-0000-0000095D0000}"/>
    <cellStyle name="표준 5 2 4 2 4 5 2 5" xfId="27558" xr:uid="{00000000-0005-0000-0000-00000A5D0000}"/>
    <cellStyle name="표준 5 2 4 2 4 5 2 6" xfId="35769" xr:uid="{00000000-0005-0000-0000-00000B5D0000}"/>
    <cellStyle name="표준 5 2 4 2 4 5 2 7" xfId="43962" xr:uid="{00000000-0005-0000-0000-00000C5D0000}"/>
    <cellStyle name="표준 5 2 4 2 4 5 3" xfId="8900" xr:uid="{00000000-0005-0000-0000-00000D5D0000}"/>
    <cellStyle name="표준 5 2 4 2 4 5 3 2" xfId="29606" xr:uid="{00000000-0005-0000-0000-00000E5D0000}"/>
    <cellStyle name="표준 5 2 4 2 4 5 3 3" xfId="37817" xr:uid="{00000000-0005-0000-0000-00000F5D0000}"/>
    <cellStyle name="표준 5 2 4 2 4 5 3 4" xfId="46010" xr:uid="{00000000-0005-0000-0000-0000105D0000}"/>
    <cellStyle name="표준 5 2 4 2 4 5 4" xfId="13012" xr:uid="{00000000-0005-0000-0000-0000115D0000}"/>
    <cellStyle name="표준 5 2 4 2 4 5 5" xfId="17252" xr:uid="{00000000-0005-0000-0000-0000125D0000}"/>
    <cellStyle name="표준 5 2 4 2 4 5 6" xfId="21414" xr:uid="{00000000-0005-0000-0000-0000135D0000}"/>
    <cellStyle name="표준 5 2 4 2 4 5 7" xfId="25510" xr:uid="{00000000-0005-0000-0000-0000145D0000}"/>
    <cellStyle name="표준 5 2 4 2 4 5 8" xfId="33721" xr:uid="{00000000-0005-0000-0000-0000155D0000}"/>
    <cellStyle name="표준 5 2 4 2 4 5 9" xfId="41914" xr:uid="{00000000-0005-0000-0000-0000165D0000}"/>
    <cellStyle name="표준 5 2 4 2 4 6" xfId="9412" xr:uid="{00000000-0005-0000-0000-0000175D0000}"/>
    <cellStyle name="표준 5 2 4 2 4 6 2" xfId="13524" xr:uid="{00000000-0005-0000-0000-0000185D0000}"/>
    <cellStyle name="표준 5 2 4 2 4 6 2 2" xfId="30118" xr:uid="{00000000-0005-0000-0000-0000195D0000}"/>
    <cellStyle name="표준 5 2 4 2 4 6 2 3" xfId="38329" xr:uid="{00000000-0005-0000-0000-00001A5D0000}"/>
    <cellStyle name="표준 5 2 4 2 4 6 2 4" xfId="46522" xr:uid="{00000000-0005-0000-0000-00001B5D0000}"/>
    <cellStyle name="표준 5 2 4 2 4 6 3" xfId="17764" xr:uid="{00000000-0005-0000-0000-00001C5D0000}"/>
    <cellStyle name="표준 5 2 4 2 4 6 4" xfId="21926" xr:uid="{00000000-0005-0000-0000-00001D5D0000}"/>
    <cellStyle name="표준 5 2 4 2 4 6 5" xfId="26022" xr:uid="{00000000-0005-0000-0000-00001E5D0000}"/>
    <cellStyle name="표준 5 2 4 2 4 6 6" xfId="34233" xr:uid="{00000000-0005-0000-0000-00001F5D0000}"/>
    <cellStyle name="표준 5 2 4 2 4 6 7" xfId="42426" xr:uid="{00000000-0005-0000-0000-0000205D0000}"/>
    <cellStyle name="표준 5 2 4 2 4 7" xfId="7364" xr:uid="{00000000-0005-0000-0000-0000215D0000}"/>
    <cellStyle name="표준 5 2 4 2 4 7 2" xfId="28070" xr:uid="{00000000-0005-0000-0000-0000225D0000}"/>
    <cellStyle name="표준 5 2 4 2 4 7 3" xfId="36281" xr:uid="{00000000-0005-0000-0000-0000235D0000}"/>
    <cellStyle name="표준 5 2 4 2 4 7 4" xfId="44474" xr:uid="{00000000-0005-0000-0000-0000245D0000}"/>
    <cellStyle name="표준 5 2 4 2 4 8" xfId="11476" xr:uid="{00000000-0005-0000-0000-0000255D0000}"/>
    <cellStyle name="표준 5 2 4 2 4 9" xfId="15716" xr:uid="{00000000-0005-0000-0000-0000265D0000}"/>
    <cellStyle name="표준 5 2 4 2 5" xfId="637" xr:uid="{00000000-0005-0000-0000-0000275D0000}"/>
    <cellStyle name="표준 5 2 4 2 5 10" xfId="24102" xr:uid="{00000000-0005-0000-0000-0000285D0000}"/>
    <cellStyle name="표준 5 2 4 2 5 11" xfId="32313" xr:uid="{00000000-0005-0000-0000-0000295D0000}"/>
    <cellStyle name="표준 5 2 4 2 5 12" xfId="40506" xr:uid="{00000000-0005-0000-0000-00002A5D0000}"/>
    <cellStyle name="표준 5 2 4 2 5 2" xfId="1149" xr:uid="{00000000-0005-0000-0000-00002B5D0000}"/>
    <cellStyle name="표준 5 2 4 2 5 2 2" xfId="10052" xr:uid="{00000000-0005-0000-0000-00002C5D0000}"/>
    <cellStyle name="표준 5 2 4 2 5 2 2 2" xfId="14164" xr:uid="{00000000-0005-0000-0000-00002D5D0000}"/>
    <cellStyle name="표준 5 2 4 2 5 2 2 2 2" xfId="30758" xr:uid="{00000000-0005-0000-0000-00002E5D0000}"/>
    <cellStyle name="표준 5 2 4 2 5 2 2 2 3" xfId="38969" xr:uid="{00000000-0005-0000-0000-00002F5D0000}"/>
    <cellStyle name="표준 5 2 4 2 5 2 2 2 4" xfId="47162" xr:uid="{00000000-0005-0000-0000-0000305D0000}"/>
    <cellStyle name="표준 5 2 4 2 5 2 2 3" xfId="18404" xr:uid="{00000000-0005-0000-0000-0000315D0000}"/>
    <cellStyle name="표준 5 2 4 2 5 2 2 4" xfId="22566" xr:uid="{00000000-0005-0000-0000-0000325D0000}"/>
    <cellStyle name="표준 5 2 4 2 5 2 2 5" xfId="26662" xr:uid="{00000000-0005-0000-0000-0000335D0000}"/>
    <cellStyle name="표준 5 2 4 2 5 2 2 6" xfId="34873" xr:uid="{00000000-0005-0000-0000-0000345D0000}"/>
    <cellStyle name="표준 5 2 4 2 5 2 2 7" xfId="43066" xr:uid="{00000000-0005-0000-0000-0000355D0000}"/>
    <cellStyle name="표준 5 2 4 2 5 2 3" xfId="8004" xr:uid="{00000000-0005-0000-0000-0000365D0000}"/>
    <cellStyle name="표준 5 2 4 2 5 2 3 2" xfId="28710" xr:uid="{00000000-0005-0000-0000-0000375D0000}"/>
    <cellStyle name="표준 5 2 4 2 5 2 3 3" xfId="36921" xr:uid="{00000000-0005-0000-0000-0000385D0000}"/>
    <cellStyle name="표준 5 2 4 2 5 2 3 4" xfId="45114" xr:uid="{00000000-0005-0000-0000-0000395D0000}"/>
    <cellStyle name="표준 5 2 4 2 5 2 4" xfId="12116" xr:uid="{00000000-0005-0000-0000-00003A5D0000}"/>
    <cellStyle name="표준 5 2 4 2 5 2 5" xfId="16356" xr:uid="{00000000-0005-0000-0000-00003B5D0000}"/>
    <cellStyle name="표준 5 2 4 2 5 2 6" xfId="20518" xr:uid="{00000000-0005-0000-0000-00003C5D0000}"/>
    <cellStyle name="표준 5 2 4 2 5 2 7" xfId="24614" xr:uid="{00000000-0005-0000-0000-00003D5D0000}"/>
    <cellStyle name="표준 5 2 4 2 5 2 8" xfId="32825" xr:uid="{00000000-0005-0000-0000-00003E5D0000}"/>
    <cellStyle name="표준 5 2 4 2 5 2 9" xfId="41018" xr:uid="{00000000-0005-0000-0000-00003F5D0000}"/>
    <cellStyle name="표준 5 2 4 2 5 3" xfId="1661" xr:uid="{00000000-0005-0000-0000-0000405D0000}"/>
    <cellStyle name="표준 5 2 4 2 5 3 2" xfId="10564" xr:uid="{00000000-0005-0000-0000-0000415D0000}"/>
    <cellStyle name="표준 5 2 4 2 5 3 2 2" xfId="14676" xr:uid="{00000000-0005-0000-0000-0000425D0000}"/>
    <cellStyle name="표준 5 2 4 2 5 3 2 2 2" xfId="31270" xr:uid="{00000000-0005-0000-0000-0000435D0000}"/>
    <cellStyle name="표준 5 2 4 2 5 3 2 2 3" xfId="39481" xr:uid="{00000000-0005-0000-0000-0000445D0000}"/>
    <cellStyle name="표준 5 2 4 2 5 3 2 2 4" xfId="47674" xr:uid="{00000000-0005-0000-0000-0000455D0000}"/>
    <cellStyle name="표준 5 2 4 2 5 3 2 3" xfId="18916" xr:uid="{00000000-0005-0000-0000-0000465D0000}"/>
    <cellStyle name="표준 5 2 4 2 5 3 2 4" xfId="23078" xr:uid="{00000000-0005-0000-0000-0000475D0000}"/>
    <cellStyle name="표준 5 2 4 2 5 3 2 5" xfId="27174" xr:uid="{00000000-0005-0000-0000-0000485D0000}"/>
    <cellStyle name="표준 5 2 4 2 5 3 2 6" xfId="35385" xr:uid="{00000000-0005-0000-0000-0000495D0000}"/>
    <cellStyle name="표준 5 2 4 2 5 3 2 7" xfId="43578" xr:uid="{00000000-0005-0000-0000-00004A5D0000}"/>
    <cellStyle name="표준 5 2 4 2 5 3 3" xfId="8516" xr:uid="{00000000-0005-0000-0000-00004B5D0000}"/>
    <cellStyle name="표준 5 2 4 2 5 3 3 2" xfId="29222" xr:uid="{00000000-0005-0000-0000-00004C5D0000}"/>
    <cellStyle name="표준 5 2 4 2 5 3 3 3" xfId="37433" xr:uid="{00000000-0005-0000-0000-00004D5D0000}"/>
    <cellStyle name="표준 5 2 4 2 5 3 3 4" xfId="45626" xr:uid="{00000000-0005-0000-0000-00004E5D0000}"/>
    <cellStyle name="표준 5 2 4 2 5 3 4" xfId="12628" xr:uid="{00000000-0005-0000-0000-00004F5D0000}"/>
    <cellStyle name="표준 5 2 4 2 5 3 5" xfId="16868" xr:uid="{00000000-0005-0000-0000-0000505D0000}"/>
    <cellStyle name="표준 5 2 4 2 5 3 6" xfId="21030" xr:uid="{00000000-0005-0000-0000-0000515D0000}"/>
    <cellStyle name="표준 5 2 4 2 5 3 7" xfId="25126" xr:uid="{00000000-0005-0000-0000-0000525D0000}"/>
    <cellStyle name="표준 5 2 4 2 5 3 8" xfId="33337" xr:uid="{00000000-0005-0000-0000-0000535D0000}"/>
    <cellStyle name="표준 5 2 4 2 5 3 9" xfId="41530" xr:uid="{00000000-0005-0000-0000-0000545D0000}"/>
    <cellStyle name="표준 5 2 4 2 5 4" xfId="2173" xr:uid="{00000000-0005-0000-0000-0000555D0000}"/>
    <cellStyle name="표준 5 2 4 2 5 4 2" xfId="11076" xr:uid="{00000000-0005-0000-0000-0000565D0000}"/>
    <cellStyle name="표준 5 2 4 2 5 4 2 2" xfId="15188" xr:uid="{00000000-0005-0000-0000-0000575D0000}"/>
    <cellStyle name="표준 5 2 4 2 5 4 2 2 2" xfId="31782" xr:uid="{00000000-0005-0000-0000-0000585D0000}"/>
    <cellStyle name="표준 5 2 4 2 5 4 2 2 3" xfId="39993" xr:uid="{00000000-0005-0000-0000-0000595D0000}"/>
    <cellStyle name="표준 5 2 4 2 5 4 2 2 4" xfId="48186" xr:uid="{00000000-0005-0000-0000-00005A5D0000}"/>
    <cellStyle name="표준 5 2 4 2 5 4 2 3" xfId="19428" xr:uid="{00000000-0005-0000-0000-00005B5D0000}"/>
    <cellStyle name="표준 5 2 4 2 5 4 2 4" xfId="23590" xr:uid="{00000000-0005-0000-0000-00005C5D0000}"/>
    <cellStyle name="표준 5 2 4 2 5 4 2 5" xfId="27686" xr:uid="{00000000-0005-0000-0000-00005D5D0000}"/>
    <cellStyle name="표준 5 2 4 2 5 4 2 6" xfId="35897" xr:uid="{00000000-0005-0000-0000-00005E5D0000}"/>
    <cellStyle name="표준 5 2 4 2 5 4 2 7" xfId="44090" xr:uid="{00000000-0005-0000-0000-00005F5D0000}"/>
    <cellStyle name="표준 5 2 4 2 5 4 3" xfId="9028" xr:uid="{00000000-0005-0000-0000-0000605D0000}"/>
    <cellStyle name="표준 5 2 4 2 5 4 3 2" xfId="29734" xr:uid="{00000000-0005-0000-0000-0000615D0000}"/>
    <cellStyle name="표준 5 2 4 2 5 4 3 3" xfId="37945" xr:uid="{00000000-0005-0000-0000-0000625D0000}"/>
    <cellStyle name="표준 5 2 4 2 5 4 3 4" xfId="46138" xr:uid="{00000000-0005-0000-0000-0000635D0000}"/>
    <cellStyle name="표준 5 2 4 2 5 4 4" xfId="13140" xr:uid="{00000000-0005-0000-0000-0000645D0000}"/>
    <cellStyle name="표준 5 2 4 2 5 4 5" xfId="17380" xr:uid="{00000000-0005-0000-0000-0000655D0000}"/>
    <cellStyle name="표준 5 2 4 2 5 4 6" xfId="21542" xr:uid="{00000000-0005-0000-0000-0000665D0000}"/>
    <cellStyle name="표준 5 2 4 2 5 4 7" xfId="25638" xr:uid="{00000000-0005-0000-0000-0000675D0000}"/>
    <cellStyle name="표준 5 2 4 2 5 4 8" xfId="33849" xr:uid="{00000000-0005-0000-0000-0000685D0000}"/>
    <cellStyle name="표준 5 2 4 2 5 4 9" xfId="42042" xr:uid="{00000000-0005-0000-0000-0000695D0000}"/>
    <cellStyle name="표준 5 2 4 2 5 5" xfId="9540" xr:uid="{00000000-0005-0000-0000-00006A5D0000}"/>
    <cellStyle name="표준 5 2 4 2 5 5 2" xfId="13652" xr:uid="{00000000-0005-0000-0000-00006B5D0000}"/>
    <cellStyle name="표준 5 2 4 2 5 5 2 2" xfId="30246" xr:uid="{00000000-0005-0000-0000-00006C5D0000}"/>
    <cellStyle name="표준 5 2 4 2 5 5 2 3" xfId="38457" xr:uid="{00000000-0005-0000-0000-00006D5D0000}"/>
    <cellStyle name="표준 5 2 4 2 5 5 2 4" xfId="46650" xr:uid="{00000000-0005-0000-0000-00006E5D0000}"/>
    <cellStyle name="표준 5 2 4 2 5 5 3" xfId="17892" xr:uid="{00000000-0005-0000-0000-00006F5D0000}"/>
    <cellStyle name="표준 5 2 4 2 5 5 4" xfId="22054" xr:uid="{00000000-0005-0000-0000-0000705D0000}"/>
    <cellStyle name="표준 5 2 4 2 5 5 5" xfId="26150" xr:uid="{00000000-0005-0000-0000-0000715D0000}"/>
    <cellStyle name="표준 5 2 4 2 5 5 6" xfId="34361" xr:uid="{00000000-0005-0000-0000-0000725D0000}"/>
    <cellStyle name="표준 5 2 4 2 5 5 7" xfId="42554" xr:uid="{00000000-0005-0000-0000-0000735D0000}"/>
    <cellStyle name="표준 5 2 4 2 5 6" xfId="7492" xr:uid="{00000000-0005-0000-0000-0000745D0000}"/>
    <cellStyle name="표준 5 2 4 2 5 6 2" xfId="28198" xr:uid="{00000000-0005-0000-0000-0000755D0000}"/>
    <cellStyle name="표준 5 2 4 2 5 6 3" xfId="36409" xr:uid="{00000000-0005-0000-0000-0000765D0000}"/>
    <cellStyle name="표준 5 2 4 2 5 6 4" xfId="44602" xr:uid="{00000000-0005-0000-0000-0000775D0000}"/>
    <cellStyle name="표준 5 2 4 2 5 7" xfId="11604" xr:uid="{00000000-0005-0000-0000-0000785D0000}"/>
    <cellStyle name="표준 5 2 4 2 5 8" xfId="15844" xr:uid="{00000000-0005-0000-0000-0000795D0000}"/>
    <cellStyle name="표준 5 2 4 2 5 9" xfId="20006" xr:uid="{00000000-0005-0000-0000-00007A5D0000}"/>
    <cellStyle name="표준 5 2 4 2 6" xfId="893" xr:uid="{00000000-0005-0000-0000-00007B5D0000}"/>
    <cellStyle name="표준 5 2 4 2 6 2" xfId="9796" xr:uid="{00000000-0005-0000-0000-00007C5D0000}"/>
    <cellStyle name="표준 5 2 4 2 6 2 2" xfId="13908" xr:uid="{00000000-0005-0000-0000-00007D5D0000}"/>
    <cellStyle name="표준 5 2 4 2 6 2 2 2" xfId="30502" xr:uid="{00000000-0005-0000-0000-00007E5D0000}"/>
    <cellStyle name="표준 5 2 4 2 6 2 2 3" xfId="38713" xr:uid="{00000000-0005-0000-0000-00007F5D0000}"/>
    <cellStyle name="표준 5 2 4 2 6 2 2 4" xfId="46906" xr:uid="{00000000-0005-0000-0000-0000805D0000}"/>
    <cellStyle name="표준 5 2 4 2 6 2 3" xfId="18148" xr:uid="{00000000-0005-0000-0000-0000815D0000}"/>
    <cellStyle name="표준 5 2 4 2 6 2 4" xfId="22310" xr:uid="{00000000-0005-0000-0000-0000825D0000}"/>
    <cellStyle name="표준 5 2 4 2 6 2 5" xfId="26406" xr:uid="{00000000-0005-0000-0000-0000835D0000}"/>
    <cellStyle name="표준 5 2 4 2 6 2 6" xfId="34617" xr:uid="{00000000-0005-0000-0000-0000845D0000}"/>
    <cellStyle name="표준 5 2 4 2 6 2 7" xfId="42810" xr:uid="{00000000-0005-0000-0000-0000855D0000}"/>
    <cellStyle name="표준 5 2 4 2 6 3" xfId="7748" xr:uid="{00000000-0005-0000-0000-0000865D0000}"/>
    <cellStyle name="표준 5 2 4 2 6 3 2" xfId="28454" xr:uid="{00000000-0005-0000-0000-0000875D0000}"/>
    <cellStyle name="표준 5 2 4 2 6 3 3" xfId="36665" xr:uid="{00000000-0005-0000-0000-0000885D0000}"/>
    <cellStyle name="표준 5 2 4 2 6 3 4" xfId="44858" xr:uid="{00000000-0005-0000-0000-0000895D0000}"/>
    <cellStyle name="표준 5 2 4 2 6 4" xfId="11860" xr:uid="{00000000-0005-0000-0000-00008A5D0000}"/>
    <cellStyle name="표준 5 2 4 2 6 5" xfId="16100" xr:uid="{00000000-0005-0000-0000-00008B5D0000}"/>
    <cellStyle name="표준 5 2 4 2 6 6" xfId="20262" xr:uid="{00000000-0005-0000-0000-00008C5D0000}"/>
    <cellStyle name="표준 5 2 4 2 6 7" xfId="24358" xr:uid="{00000000-0005-0000-0000-00008D5D0000}"/>
    <cellStyle name="표준 5 2 4 2 6 8" xfId="32569" xr:uid="{00000000-0005-0000-0000-00008E5D0000}"/>
    <cellStyle name="표준 5 2 4 2 6 9" xfId="40762" xr:uid="{00000000-0005-0000-0000-00008F5D0000}"/>
    <cellStyle name="표준 5 2 4 2 7" xfId="1405" xr:uid="{00000000-0005-0000-0000-0000905D0000}"/>
    <cellStyle name="표준 5 2 4 2 7 2" xfId="10308" xr:uid="{00000000-0005-0000-0000-0000915D0000}"/>
    <cellStyle name="표준 5 2 4 2 7 2 2" xfId="14420" xr:uid="{00000000-0005-0000-0000-0000925D0000}"/>
    <cellStyle name="표준 5 2 4 2 7 2 2 2" xfId="31014" xr:uid="{00000000-0005-0000-0000-0000935D0000}"/>
    <cellStyle name="표준 5 2 4 2 7 2 2 3" xfId="39225" xr:uid="{00000000-0005-0000-0000-0000945D0000}"/>
    <cellStyle name="표준 5 2 4 2 7 2 2 4" xfId="47418" xr:uid="{00000000-0005-0000-0000-0000955D0000}"/>
    <cellStyle name="표준 5 2 4 2 7 2 3" xfId="18660" xr:uid="{00000000-0005-0000-0000-0000965D0000}"/>
    <cellStyle name="표준 5 2 4 2 7 2 4" xfId="22822" xr:uid="{00000000-0005-0000-0000-0000975D0000}"/>
    <cellStyle name="표준 5 2 4 2 7 2 5" xfId="26918" xr:uid="{00000000-0005-0000-0000-0000985D0000}"/>
    <cellStyle name="표준 5 2 4 2 7 2 6" xfId="35129" xr:uid="{00000000-0005-0000-0000-0000995D0000}"/>
    <cellStyle name="표준 5 2 4 2 7 2 7" xfId="43322" xr:uid="{00000000-0005-0000-0000-00009A5D0000}"/>
    <cellStyle name="표준 5 2 4 2 7 3" xfId="8260" xr:uid="{00000000-0005-0000-0000-00009B5D0000}"/>
    <cellStyle name="표준 5 2 4 2 7 3 2" xfId="28966" xr:uid="{00000000-0005-0000-0000-00009C5D0000}"/>
    <cellStyle name="표준 5 2 4 2 7 3 3" xfId="37177" xr:uid="{00000000-0005-0000-0000-00009D5D0000}"/>
    <cellStyle name="표준 5 2 4 2 7 3 4" xfId="45370" xr:uid="{00000000-0005-0000-0000-00009E5D0000}"/>
    <cellStyle name="표준 5 2 4 2 7 4" xfId="12372" xr:uid="{00000000-0005-0000-0000-00009F5D0000}"/>
    <cellStyle name="표준 5 2 4 2 7 5" xfId="16612" xr:uid="{00000000-0005-0000-0000-0000A05D0000}"/>
    <cellStyle name="표준 5 2 4 2 7 6" xfId="20774" xr:uid="{00000000-0005-0000-0000-0000A15D0000}"/>
    <cellStyle name="표준 5 2 4 2 7 7" xfId="24870" xr:uid="{00000000-0005-0000-0000-0000A25D0000}"/>
    <cellStyle name="표준 5 2 4 2 7 8" xfId="33081" xr:uid="{00000000-0005-0000-0000-0000A35D0000}"/>
    <cellStyle name="표준 5 2 4 2 7 9" xfId="41274" xr:uid="{00000000-0005-0000-0000-0000A45D0000}"/>
    <cellStyle name="표준 5 2 4 2 8" xfId="1917" xr:uid="{00000000-0005-0000-0000-0000A55D0000}"/>
    <cellStyle name="표준 5 2 4 2 8 2" xfId="10820" xr:uid="{00000000-0005-0000-0000-0000A65D0000}"/>
    <cellStyle name="표준 5 2 4 2 8 2 2" xfId="14932" xr:uid="{00000000-0005-0000-0000-0000A75D0000}"/>
    <cellStyle name="표준 5 2 4 2 8 2 2 2" xfId="31526" xr:uid="{00000000-0005-0000-0000-0000A85D0000}"/>
    <cellStyle name="표준 5 2 4 2 8 2 2 3" xfId="39737" xr:uid="{00000000-0005-0000-0000-0000A95D0000}"/>
    <cellStyle name="표준 5 2 4 2 8 2 2 4" xfId="47930" xr:uid="{00000000-0005-0000-0000-0000AA5D0000}"/>
    <cellStyle name="표준 5 2 4 2 8 2 3" xfId="19172" xr:uid="{00000000-0005-0000-0000-0000AB5D0000}"/>
    <cellStyle name="표준 5 2 4 2 8 2 4" xfId="23334" xr:uid="{00000000-0005-0000-0000-0000AC5D0000}"/>
    <cellStyle name="표준 5 2 4 2 8 2 5" xfId="27430" xr:uid="{00000000-0005-0000-0000-0000AD5D0000}"/>
    <cellStyle name="표준 5 2 4 2 8 2 6" xfId="35641" xr:uid="{00000000-0005-0000-0000-0000AE5D0000}"/>
    <cellStyle name="표준 5 2 4 2 8 2 7" xfId="43834" xr:uid="{00000000-0005-0000-0000-0000AF5D0000}"/>
    <cellStyle name="표준 5 2 4 2 8 3" xfId="8772" xr:uid="{00000000-0005-0000-0000-0000B05D0000}"/>
    <cellStyle name="표준 5 2 4 2 8 3 2" xfId="29478" xr:uid="{00000000-0005-0000-0000-0000B15D0000}"/>
    <cellStyle name="표준 5 2 4 2 8 3 3" xfId="37689" xr:uid="{00000000-0005-0000-0000-0000B25D0000}"/>
    <cellStyle name="표준 5 2 4 2 8 3 4" xfId="45882" xr:uid="{00000000-0005-0000-0000-0000B35D0000}"/>
    <cellStyle name="표준 5 2 4 2 8 4" xfId="12884" xr:uid="{00000000-0005-0000-0000-0000B45D0000}"/>
    <cellStyle name="표준 5 2 4 2 8 5" xfId="17124" xr:uid="{00000000-0005-0000-0000-0000B55D0000}"/>
    <cellStyle name="표준 5 2 4 2 8 6" xfId="21286" xr:uid="{00000000-0005-0000-0000-0000B65D0000}"/>
    <cellStyle name="표준 5 2 4 2 8 7" xfId="25382" xr:uid="{00000000-0005-0000-0000-0000B75D0000}"/>
    <cellStyle name="표준 5 2 4 2 8 8" xfId="33593" xr:uid="{00000000-0005-0000-0000-0000B85D0000}"/>
    <cellStyle name="표준 5 2 4 2 8 9" xfId="41786" xr:uid="{00000000-0005-0000-0000-0000B95D0000}"/>
    <cellStyle name="표준 5 2 4 2 9" xfId="6973" xr:uid="{00000000-0005-0000-0000-0000BA5D0000}"/>
    <cellStyle name="표준 5 2 4 2 9 2" xfId="9284" xr:uid="{00000000-0005-0000-0000-0000BB5D0000}"/>
    <cellStyle name="표준 5 2 4 2 9 2 2" xfId="29990" xr:uid="{00000000-0005-0000-0000-0000BC5D0000}"/>
    <cellStyle name="표준 5 2 4 2 9 2 3" xfId="38201" xr:uid="{00000000-0005-0000-0000-0000BD5D0000}"/>
    <cellStyle name="표준 5 2 4 2 9 2 4" xfId="46394" xr:uid="{00000000-0005-0000-0000-0000BE5D0000}"/>
    <cellStyle name="표준 5 2 4 2 9 3" xfId="13396" xr:uid="{00000000-0005-0000-0000-0000BF5D0000}"/>
    <cellStyle name="표준 5 2 4 2 9 4" xfId="17636" xr:uid="{00000000-0005-0000-0000-0000C05D0000}"/>
    <cellStyle name="표준 5 2 4 2 9 5" xfId="21798" xr:uid="{00000000-0005-0000-0000-0000C15D0000}"/>
    <cellStyle name="표준 5 2 4 2 9 6" xfId="25894" xr:uid="{00000000-0005-0000-0000-0000C25D0000}"/>
    <cellStyle name="표준 5 2 4 2 9 7" xfId="34105" xr:uid="{00000000-0005-0000-0000-0000C35D0000}"/>
    <cellStyle name="표준 5 2 4 2 9 8" xfId="42298" xr:uid="{00000000-0005-0000-0000-0000C45D0000}"/>
    <cellStyle name="표준 5 2 4 20" xfId="15444" xr:uid="{00000000-0005-0000-0000-0000C55D0000}"/>
    <cellStyle name="표준 5 2 4 21" xfId="15460" xr:uid="{00000000-0005-0000-0000-0000C65D0000}"/>
    <cellStyle name="표준 5 2 4 22" xfId="15556" xr:uid="{00000000-0005-0000-0000-0000C75D0000}"/>
    <cellStyle name="표준 5 2 4 23" xfId="15572" xr:uid="{00000000-0005-0000-0000-0000C85D0000}"/>
    <cellStyle name="표준 5 2 4 24" xfId="19668" xr:uid="{00000000-0005-0000-0000-0000C95D0000}"/>
    <cellStyle name="표준 5 2 4 25" xfId="19684" xr:uid="{00000000-0005-0000-0000-0000CA5D0000}"/>
    <cellStyle name="표준 5 2 4 26" xfId="19700" xr:uid="{00000000-0005-0000-0000-0000CB5D0000}"/>
    <cellStyle name="표준 5 2 4 27" xfId="19716" xr:uid="{00000000-0005-0000-0000-0000CC5D0000}"/>
    <cellStyle name="표준 5 2 4 28" xfId="19739" xr:uid="{00000000-0005-0000-0000-0000CD5D0000}"/>
    <cellStyle name="표준 5 2 4 29" xfId="23830" xr:uid="{00000000-0005-0000-0000-0000CE5D0000}"/>
    <cellStyle name="표준 5 2 4 3" xfId="297" xr:uid="{00000000-0005-0000-0000-0000CF5D0000}"/>
    <cellStyle name="표준 5 2 4 3 10" xfId="7169" xr:uid="{00000000-0005-0000-0000-0000D05D0000}"/>
    <cellStyle name="표준 5 2 4 3 11" xfId="7252" xr:uid="{00000000-0005-0000-0000-0000D15D0000}"/>
    <cellStyle name="표준 5 2 4 3 12" xfId="11364" xr:uid="{00000000-0005-0000-0000-0000D25D0000}"/>
    <cellStyle name="표준 5 2 4 3 13" xfId="15492" xr:uid="{00000000-0005-0000-0000-0000D35D0000}"/>
    <cellStyle name="표준 5 2 4 3 14" xfId="15604" xr:uid="{00000000-0005-0000-0000-0000D45D0000}"/>
    <cellStyle name="표준 5 2 4 3 15" xfId="19766" xr:uid="{00000000-0005-0000-0000-0000D55D0000}"/>
    <cellStyle name="표준 5 2 4 3 16" xfId="23862" xr:uid="{00000000-0005-0000-0000-0000D65D0000}"/>
    <cellStyle name="표준 5 2 4 3 17" xfId="32073" xr:uid="{00000000-0005-0000-0000-0000D75D0000}"/>
    <cellStyle name="표준 5 2 4 3 18" xfId="40266" xr:uid="{00000000-0005-0000-0000-0000D85D0000}"/>
    <cellStyle name="표준 5 2 4 3 19" xfId="49696" xr:uid="{00000000-0005-0000-0000-0000D95D0000}"/>
    <cellStyle name="표준 5 2 4 3 2" xfId="461" xr:uid="{00000000-0005-0000-0000-0000DA5D0000}"/>
    <cellStyle name="표준 5 2 4 3 2 10" xfId="11428" xr:uid="{00000000-0005-0000-0000-0000DB5D0000}"/>
    <cellStyle name="표준 5 2 4 3 2 11" xfId="15540" xr:uid="{00000000-0005-0000-0000-0000DC5D0000}"/>
    <cellStyle name="표준 5 2 4 3 2 12" xfId="15668" xr:uid="{00000000-0005-0000-0000-0000DD5D0000}"/>
    <cellStyle name="표준 5 2 4 3 2 13" xfId="19830" xr:uid="{00000000-0005-0000-0000-0000DE5D0000}"/>
    <cellStyle name="표준 5 2 4 3 2 14" xfId="23926" xr:uid="{00000000-0005-0000-0000-0000DF5D0000}"/>
    <cellStyle name="표준 5 2 4 3 2 15" xfId="32137" xr:uid="{00000000-0005-0000-0000-0000E05D0000}"/>
    <cellStyle name="표준 5 2 4 3 2 16" xfId="40330" xr:uid="{00000000-0005-0000-0000-0000E15D0000}"/>
    <cellStyle name="표준 5 2 4 3 2 2" xfId="589" xr:uid="{00000000-0005-0000-0000-0000E25D0000}"/>
    <cellStyle name="표준 5 2 4 3 2 2 10" xfId="19958" xr:uid="{00000000-0005-0000-0000-0000E35D0000}"/>
    <cellStyle name="표준 5 2 4 3 2 2 11" xfId="24054" xr:uid="{00000000-0005-0000-0000-0000E45D0000}"/>
    <cellStyle name="표준 5 2 4 3 2 2 12" xfId="32265" xr:uid="{00000000-0005-0000-0000-0000E55D0000}"/>
    <cellStyle name="표준 5 2 4 3 2 2 13" xfId="40458" xr:uid="{00000000-0005-0000-0000-0000E65D0000}"/>
    <cellStyle name="표준 5 2 4 3 2 2 2" xfId="845" xr:uid="{00000000-0005-0000-0000-0000E75D0000}"/>
    <cellStyle name="표준 5 2 4 3 2 2 2 10" xfId="24310" xr:uid="{00000000-0005-0000-0000-0000E85D0000}"/>
    <cellStyle name="표준 5 2 4 3 2 2 2 11" xfId="32521" xr:uid="{00000000-0005-0000-0000-0000E95D0000}"/>
    <cellStyle name="표준 5 2 4 3 2 2 2 12" xfId="40714" xr:uid="{00000000-0005-0000-0000-0000EA5D0000}"/>
    <cellStyle name="표준 5 2 4 3 2 2 2 2" xfId="1357" xr:uid="{00000000-0005-0000-0000-0000EB5D0000}"/>
    <cellStyle name="표준 5 2 4 3 2 2 2 2 2" xfId="10260" xr:uid="{00000000-0005-0000-0000-0000EC5D0000}"/>
    <cellStyle name="표준 5 2 4 3 2 2 2 2 2 2" xfId="14372" xr:uid="{00000000-0005-0000-0000-0000ED5D0000}"/>
    <cellStyle name="표준 5 2 4 3 2 2 2 2 2 2 2" xfId="30966" xr:uid="{00000000-0005-0000-0000-0000EE5D0000}"/>
    <cellStyle name="표준 5 2 4 3 2 2 2 2 2 2 3" xfId="39177" xr:uid="{00000000-0005-0000-0000-0000EF5D0000}"/>
    <cellStyle name="표준 5 2 4 3 2 2 2 2 2 2 4" xfId="47370" xr:uid="{00000000-0005-0000-0000-0000F05D0000}"/>
    <cellStyle name="표준 5 2 4 3 2 2 2 2 2 3" xfId="18612" xr:uid="{00000000-0005-0000-0000-0000F15D0000}"/>
    <cellStyle name="표준 5 2 4 3 2 2 2 2 2 4" xfId="22774" xr:uid="{00000000-0005-0000-0000-0000F25D0000}"/>
    <cellStyle name="표준 5 2 4 3 2 2 2 2 2 5" xfId="26870" xr:uid="{00000000-0005-0000-0000-0000F35D0000}"/>
    <cellStyle name="표준 5 2 4 3 2 2 2 2 2 6" xfId="35081" xr:uid="{00000000-0005-0000-0000-0000F45D0000}"/>
    <cellStyle name="표준 5 2 4 3 2 2 2 2 2 7" xfId="43274" xr:uid="{00000000-0005-0000-0000-0000F55D0000}"/>
    <cellStyle name="표준 5 2 4 3 2 2 2 2 3" xfId="8212" xr:uid="{00000000-0005-0000-0000-0000F65D0000}"/>
    <cellStyle name="표준 5 2 4 3 2 2 2 2 3 2" xfId="28918" xr:uid="{00000000-0005-0000-0000-0000F75D0000}"/>
    <cellStyle name="표준 5 2 4 3 2 2 2 2 3 3" xfId="37129" xr:uid="{00000000-0005-0000-0000-0000F85D0000}"/>
    <cellStyle name="표준 5 2 4 3 2 2 2 2 3 4" xfId="45322" xr:uid="{00000000-0005-0000-0000-0000F95D0000}"/>
    <cellStyle name="표준 5 2 4 3 2 2 2 2 4" xfId="12324" xr:uid="{00000000-0005-0000-0000-0000FA5D0000}"/>
    <cellStyle name="표준 5 2 4 3 2 2 2 2 5" xfId="16564" xr:uid="{00000000-0005-0000-0000-0000FB5D0000}"/>
    <cellStyle name="표준 5 2 4 3 2 2 2 2 6" xfId="20726" xr:uid="{00000000-0005-0000-0000-0000FC5D0000}"/>
    <cellStyle name="표준 5 2 4 3 2 2 2 2 7" xfId="24822" xr:uid="{00000000-0005-0000-0000-0000FD5D0000}"/>
    <cellStyle name="표준 5 2 4 3 2 2 2 2 8" xfId="33033" xr:uid="{00000000-0005-0000-0000-0000FE5D0000}"/>
    <cellStyle name="표준 5 2 4 3 2 2 2 2 9" xfId="41226" xr:uid="{00000000-0005-0000-0000-0000FF5D0000}"/>
    <cellStyle name="표준 5 2 4 3 2 2 2 3" xfId="1869" xr:uid="{00000000-0005-0000-0000-0000005E0000}"/>
    <cellStyle name="표준 5 2 4 3 2 2 2 3 2" xfId="10772" xr:uid="{00000000-0005-0000-0000-0000015E0000}"/>
    <cellStyle name="표준 5 2 4 3 2 2 2 3 2 2" xfId="14884" xr:uid="{00000000-0005-0000-0000-0000025E0000}"/>
    <cellStyle name="표준 5 2 4 3 2 2 2 3 2 2 2" xfId="31478" xr:uid="{00000000-0005-0000-0000-0000035E0000}"/>
    <cellStyle name="표준 5 2 4 3 2 2 2 3 2 2 3" xfId="39689" xr:uid="{00000000-0005-0000-0000-0000045E0000}"/>
    <cellStyle name="표준 5 2 4 3 2 2 2 3 2 2 4" xfId="47882" xr:uid="{00000000-0005-0000-0000-0000055E0000}"/>
    <cellStyle name="표준 5 2 4 3 2 2 2 3 2 3" xfId="19124" xr:uid="{00000000-0005-0000-0000-0000065E0000}"/>
    <cellStyle name="표준 5 2 4 3 2 2 2 3 2 4" xfId="23286" xr:uid="{00000000-0005-0000-0000-0000075E0000}"/>
    <cellStyle name="표준 5 2 4 3 2 2 2 3 2 5" xfId="27382" xr:uid="{00000000-0005-0000-0000-0000085E0000}"/>
    <cellStyle name="표준 5 2 4 3 2 2 2 3 2 6" xfId="35593" xr:uid="{00000000-0005-0000-0000-0000095E0000}"/>
    <cellStyle name="표준 5 2 4 3 2 2 2 3 2 7" xfId="43786" xr:uid="{00000000-0005-0000-0000-00000A5E0000}"/>
    <cellStyle name="표준 5 2 4 3 2 2 2 3 3" xfId="8724" xr:uid="{00000000-0005-0000-0000-00000B5E0000}"/>
    <cellStyle name="표준 5 2 4 3 2 2 2 3 3 2" xfId="29430" xr:uid="{00000000-0005-0000-0000-00000C5E0000}"/>
    <cellStyle name="표준 5 2 4 3 2 2 2 3 3 3" xfId="37641" xr:uid="{00000000-0005-0000-0000-00000D5E0000}"/>
    <cellStyle name="표준 5 2 4 3 2 2 2 3 3 4" xfId="45834" xr:uid="{00000000-0005-0000-0000-00000E5E0000}"/>
    <cellStyle name="표준 5 2 4 3 2 2 2 3 4" xfId="12836" xr:uid="{00000000-0005-0000-0000-00000F5E0000}"/>
    <cellStyle name="표준 5 2 4 3 2 2 2 3 5" xfId="17076" xr:uid="{00000000-0005-0000-0000-0000105E0000}"/>
    <cellStyle name="표준 5 2 4 3 2 2 2 3 6" xfId="21238" xr:uid="{00000000-0005-0000-0000-0000115E0000}"/>
    <cellStyle name="표준 5 2 4 3 2 2 2 3 7" xfId="25334" xr:uid="{00000000-0005-0000-0000-0000125E0000}"/>
    <cellStyle name="표준 5 2 4 3 2 2 2 3 8" xfId="33545" xr:uid="{00000000-0005-0000-0000-0000135E0000}"/>
    <cellStyle name="표준 5 2 4 3 2 2 2 3 9" xfId="41738" xr:uid="{00000000-0005-0000-0000-0000145E0000}"/>
    <cellStyle name="표준 5 2 4 3 2 2 2 4" xfId="2381" xr:uid="{00000000-0005-0000-0000-0000155E0000}"/>
    <cellStyle name="표준 5 2 4 3 2 2 2 4 2" xfId="11284" xr:uid="{00000000-0005-0000-0000-0000165E0000}"/>
    <cellStyle name="표준 5 2 4 3 2 2 2 4 2 2" xfId="15396" xr:uid="{00000000-0005-0000-0000-0000175E0000}"/>
    <cellStyle name="표준 5 2 4 3 2 2 2 4 2 2 2" xfId="31990" xr:uid="{00000000-0005-0000-0000-0000185E0000}"/>
    <cellStyle name="표준 5 2 4 3 2 2 2 4 2 2 3" xfId="40201" xr:uid="{00000000-0005-0000-0000-0000195E0000}"/>
    <cellStyle name="표준 5 2 4 3 2 2 2 4 2 2 4" xfId="48394" xr:uid="{00000000-0005-0000-0000-00001A5E0000}"/>
    <cellStyle name="표준 5 2 4 3 2 2 2 4 2 3" xfId="19636" xr:uid="{00000000-0005-0000-0000-00001B5E0000}"/>
    <cellStyle name="표준 5 2 4 3 2 2 2 4 2 4" xfId="23798" xr:uid="{00000000-0005-0000-0000-00001C5E0000}"/>
    <cellStyle name="표준 5 2 4 3 2 2 2 4 2 5" xfId="27894" xr:uid="{00000000-0005-0000-0000-00001D5E0000}"/>
    <cellStyle name="표준 5 2 4 3 2 2 2 4 2 6" xfId="36105" xr:uid="{00000000-0005-0000-0000-00001E5E0000}"/>
    <cellStyle name="표준 5 2 4 3 2 2 2 4 2 7" xfId="44298" xr:uid="{00000000-0005-0000-0000-00001F5E0000}"/>
    <cellStyle name="표준 5 2 4 3 2 2 2 4 3" xfId="9236" xr:uid="{00000000-0005-0000-0000-0000205E0000}"/>
    <cellStyle name="표준 5 2 4 3 2 2 2 4 3 2" xfId="29942" xr:uid="{00000000-0005-0000-0000-0000215E0000}"/>
    <cellStyle name="표준 5 2 4 3 2 2 2 4 3 3" xfId="38153" xr:uid="{00000000-0005-0000-0000-0000225E0000}"/>
    <cellStyle name="표준 5 2 4 3 2 2 2 4 3 4" xfId="46346" xr:uid="{00000000-0005-0000-0000-0000235E0000}"/>
    <cellStyle name="표준 5 2 4 3 2 2 2 4 4" xfId="13348" xr:uid="{00000000-0005-0000-0000-0000245E0000}"/>
    <cellStyle name="표준 5 2 4 3 2 2 2 4 5" xfId="17588" xr:uid="{00000000-0005-0000-0000-0000255E0000}"/>
    <cellStyle name="표준 5 2 4 3 2 2 2 4 6" xfId="21750" xr:uid="{00000000-0005-0000-0000-0000265E0000}"/>
    <cellStyle name="표준 5 2 4 3 2 2 2 4 7" xfId="25846" xr:uid="{00000000-0005-0000-0000-0000275E0000}"/>
    <cellStyle name="표준 5 2 4 3 2 2 2 4 8" xfId="34057" xr:uid="{00000000-0005-0000-0000-0000285E0000}"/>
    <cellStyle name="표준 5 2 4 3 2 2 2 4 9" xfId="42250" xr:uid="{00000000-0005-0000-0000-0000295E0000}"/>
    <cellStyle name="표준 5 2 4 3 2 2 2 5" xfId="9748" xr:uid="{00000000-0005-0000-0000-00002A5E0000}"/>
    <cellStyle name="표준 5 2 4 3 2 2 2 5 2" xfId="13860" xr:uid="{00000000-0005-0000-0000-00002B5E0000}"/>
    <cellStyle name="표준 5 2 4 3 2 2 2 5 2 2" xfId="30454" xr:uid="{00000000-0005-0000-0000-00002C5E0000}"/>
    <cellStyle name="표준 5 2 4 3 2 2 2 5 2 3" xfId="38665" xr:uid="{00000000-0005-0000-0000-00002D5E0000}"/>
    <cellStyle name="표준 5 2 4 3 2 2 2 5 2 4" xfId="46858" xr:uid="{00000000-0005-0000-0000-00002E5E0000}"/>
    <cellStyle name="표준 5 2 4 3 2 2 2 5 3" xfId="18100" xr:uid="{00000000-0005-0000-0000-00002F5E0000}"/>
    <cellStyle name="표준 5 2 4 3 2 2 2 5 4" xfId="22262" xr:uid="{00000000-0005-0000-0000-0000305E0000}"/>
    <cellStyle name="표준 5 2 4 3 2 2 2 5 5" xfId="26358" xr:uid="{00000000-0005-0000-0000-0000315E0000}"/>
    <cellStyle name="표준 5 2 4 3 2 2 2 5 6" xfId="34569" xr:uid="{00000000-0005-0000-0000-0000325E0000}"/>
    <cellStyle name="표준 5 2 4 3 2 2 2 5 7" xfId="42762" xr:uid="{00000000-0005-0000-0000-0000335E0000}"/>
    <cellStyle name="표준 5 2 4 3 2 2 2 6" xfId="7700" xr:uid="{00000000-0005-0000-0000-0000345E0000}"/>
    <cellStyle name="표준 5 2 4 3 2 2 2 6 2" xfId="28406" xr:uid="{00000000-0005-0000-0000-0000355E0000}"/>
    <cellStyle name="표준 5 2 4 3 2 2 2 6 3" xfId="36617" xr:uid="{00000000-0005-0000-0000-0000365E0000}"/>
    <cellStyle name="표준 5 2 4 3 2 2 2 6 4" xfId="44810" xr:uid="{00000000-0005-0000-0000-0000375E0000}"/>
    <cellStyle name="표준 5 2 4 3 2 2 2 7" xfId="11812" xr:uid="{00000000-0005-0000-0000-0000385E0000}"/>
    <cellStyle name="표준 5 2 4 3 2 2 2 8" xfId="16052" xr:uid="{00000000-0005-0000-0000-0000395E0000}"/>
    <cellStyle name="표준 5 2 4 3 2 2 2 9" xfId="20214" xr:uid="{00000000-0005-0000-0000-00003A5E0000}"/>
    <cellStyle name="표준 5 2 4 3 2 2 3" xfId="1101" xr:uid="{00000000-0005-0000-0000-00003B5E0000}"/>
    <cellStyle name="표준 5 2 4 3 2 2 3 2" xfId="10004" xr:uid="{00000000-0005-0000-0000-00003C5E0000}"/>
    <cellStyle name="표준 5 2 4 3 2 2 3 2 2" xfId="14116" xr:uid="{00000000-0005-0000-0000-00003D5E0000}"/>
    <cellStyle name="표준 5 2 4 3 2 2 3 2 2 2" xfId="30710" xr:uid="{00000000-0005-0000-0000-00003E5E0000}"/>
    <cellStyle name="표준 5 2 4 3 2 2 3 2 2 3" xfId="38921" xr:uid="{00000000-0005-0000-0000-00003F5E0000}"/>
    <cellStyle name="표준 5 2 4 3 2 2 3 2 2 4" xfId="47114" xr:uid="{00000000-0005-0000-0000-0000405E0000}"/>
    <cellStyle name="표준 5 2 4 3 2 2 3 2 3" xfId="18356" xr:uid="{00000000-0005-0000-0000-0000415E0000}"/>
    <cellStyle name="표준 5 2 4 3 2 2 3 2 4" xfId="22518" xr:uid="{00000000-0005-0000-0000-0000425E0000}"/>
    <cellStyle name="표준 5 2 4 3 2 2 3 2 5" xfId="26614" xr:uid="{00000000-0005-0000-0000-0000435E0000}"/>
    <cellStyle name="표준 5 2 4 3 2 2 3 2 6" xfId="34825" xr:uid="{00000000-0005-0000-0000-0000445E0000}"/>
    <cellStyle name="표준 5 2 4 3 2 2 3 2 7" xfId="43018" xr:uid="{00000000-0005-0000-0000-0000455E0000}"/>
    <cellStyle name="표준 5 2 4 3 2 2 3 3" xfId="7956" xr:uid="{00000000-0005-0000-0000-0000465E0000}"/>
    <cellStyle name="표준 5 2 4 3 2 2 3 3 2" xfId="28662" xr:uid="{00000000-0005-0000-0000-0000475E0000}"/>
    <cellStyle name="표준 5 2 4 3 2 2 3 3 3" xfId="36873" xr:uid="{00000000-0005-0000-0000-0000485E0000}"/>
    <cellStyle name="표준 5 2 4 3 2 2 3 3 4" xfId="45066" xr:uid="{00000000-0005-0000-0000-0000495E0000}"/>
    <cellStyle name="표준 5 2 4 3 2 2 3 4" xfId="12068" xr:uid="{00000000-0005-0000-0000-00004A5E0000}"/>
    <cellStyle name="표준 5 2 4 3 2 2 3 5" xfId="16308" xr:uid="{00000000-0005-0000-0000-00004B5E0000}"/>
    <cellStyle name="표준 5 2 4 3 2 2 3 6" xfId="20470" xr:uid="{00000000-0005-0000-0000-00004C5E0000}"/>
    <cellStyle name="표준 5 2 4 3 2 2 3 7" xfId="24566" xr:uid="{00000000-0005-0000-0000-00004D5E0000}"/>
    <cellStyle name="표준 5 2 4 3 2 2 3 8" xfId="32777" xr:uid="{00000000-0005-0000-0000-00004E5E0000}"/>
    <cellStyle name="표준 5 2 4 3 2 2 3 9" xfId="40970" xr:uid="{00000000-0005-0000-0000-00004F5E0000}"/>
    <cellStyle name="표준 5 2 4 3 2 2 4" xfId="1613" xr:uid="{00000000-0005-0000-0000-0000505E0000}"/>
    <cellStyle name="표준 5 2 4 3 2 2 4 2" xfId="10516" xr:uid="{00000000-0005-0000-0000-0000515E0000}"/>
    <cellStyle name="표준 5 2 4 3 2 2 4 2 2" xfId="14628" xr:uid="{00000000-0005-0000-0000-0000525E0000}"/>
    <cellStyle name="표준 5 2 4 3 2 2 4 2 2 2" xfId="31222" xr:uid="{00000000-0005-0000-0000-0000535E0000}"/>
    <cellStyle name="표준 5 2 4 3 2 2 4 2 2 3" xfId="39433" xr:uid="{00000000-0005-0000-0000-0000545E0000}"/>
    <cellStyle name="표준 5 2 4 3 2 2 4 2 2 4" xfId="47626" xr:uid="{00000000-0005-0000-0000-0000555E0000}"/>
    <cellStyle name="표준 5 2 4 3 2 2 4 2 3" xfId="18868" xr:uid="{00000000-0005-0000-0000-0000565E0000}"/>
    <cellStyle name="표준 5 2 4 3 2 2 4 2 4" xfId="23030" xr:uid="{00000000-0005-0000-0000-0000575E0000}"/>
    <cellStyle name="표준 5 2 4 3 2 2 4 2 5" xfId="27126" xr:uid="{00000000-0005-0000-0000-0000585E0000}"/>
    <cellStyle name="표준 5 2 4 3 2 2 4 2 6" xfId="35337" xr:uid="{00000000-0005-0000-0000-0000595E0000}"/>
    <cellStyle name="표준 5 2 4 3 2 2 4 2 7" xfId="43530" xr:uid="{00000000-0005-0000-0000-00005A5E0000}"/>
    <cellStyle name="표준 5 2 4 3 2 2 4 3" xfId="8468" xr:uid="{00000000-0005-0000-0000-00005B5E0000}"/>
    <cellStyle name="표준 5 2 4 3 2 2 4 3 2" xfId="29174" xr:uid="{00000000-0005-0000-0000-00005C5E0000}"/>
    <cellStyle name="표준 5 2 4 3 2 2 4 3 3" xfId="37385" xr:uid="{00000000-0005-0000-0000-00005D5E0000}"/>
    <cellStyle name="표준 5 2 4 3 2 2 4 3 4" xfId="45578" xr:uid="{00000000-0005-0000-0000-00005E5E0000}"/>
    <cellStyle name="표준 5 2 4 3 2 2 4 4" xfId="12580" xr:uid="{00000000-0005-0000-0000-00005F5E0000}"/>
    <cellStyle name="표준 5 2 4 3 2 2 4 5" xfId="16820" xr:uid="{00000000-0005-0000-0000-0000605E0000}"/>
    <cellStyle name="표준 5 2 4 3 2 2 4 6" xfId="20982" xr:uid="{00000000-0005-0000-0000-0000615E0000}"/>
    <cellStyle name="표준 5 2 4 3 2 2 4 7" xfId="25078" xr:uid="{00000000-0005-0000-0000-0000625E0000}"/>
    <cellStyle name="표준 5 2 4 3 2 2 4 8" xfId="33289" xr:uid="{00000000-0005-0000-0000-0000635E0000}"/>
    <cellStyle name="표준 5 2 4 3 2 2 4 9" xfId="41482" xr:uid="{00000000-0005-0000-0000-0000645E0000}"/>
    <cellStyle name="표준 5 2 4 3 2 2 5" xfId="2125" xr:uid="{00000000-0005-0000-0000-0000655E0000}"/>
    <cellStyle name="표준 5 2 4 3 2 2 5 2" xfId="11028" xr:uid="{00000000-0005-0000-0000-0000665E0000}"/>
    <cellStyle name="표준 5 2 4 3 2 2 5 2 2" xfId="15140" xr:uid="{00000000-0005-0000-0000-0000675E0000}"/>
    <cellStyle name="표준 5 2 4 3 2 2 5 2 2 2" xfId="31734" xr:uid="{00000000-0005-0000-0000-0000685E0000}"/>
    <cellStyle name="표준 5 2 4 3 2 2 5 2 2 3" xfId="39945" xr:uid="{00000000-0005-0000-0000-0000695E0000}"/>
    <cellStyle name="표준 5 2 4 3 2 2 5 2 2 4" xfId="48138" xr:uid="{00000000-0005-0000-0000-00006A5E0000}"/>
    <cellStyle name="표준 5 2 4 3 2 2 5 2 3" xfId="19380" xr:uid="{00000000-0005-0000-0000-00006B5E0000}"/>
    <cellStyle name="표준 5 2 4 3 2 2 5 2 4" xfId="23542" xr:uid="{00000000-0005-0000-0000-00006C5E0000}"/>
    <cellStyle name="표준 5 2 4 3 2 2 5 2 5" xfId="27638" xr:uid="{00000000-0005-0000-0000-00006D5E0000}"/>
    <cellStyle name="표준 5 2 4 3 2 2 5 2 6" xfId="35849" xr:uid="{00000000-0005-0000-0000-00006E5E0000}"/>
    <cellStyle name="표준 5 2 4 3 2 2 5 2 7" xfId="44042" xr:uid="{00000000-0005-0000-0000-00006F5E0000}"/>
    <cellStyle name="표준 5 2 4 3 2 2 5 3" xfId="8980" xr:uid="{00000000-0005-0000-0000-0000705E0000}"/>
    <cellStyle name="표준 5 2 4 3 2 2 5 3 2" xfId="29686" xr:uid="{00000000-0005-0000-0000-0000715E0000}"/>
    <cellStyle name="표준 5 2 4 3 2 2 5 3 3" xfId="37897" xr:uid="{00000000-0005-0000-0000-0000725E0000}"/>
    <cellStyle name="표준 5 2 4 3 2 2 5 3 4" xfId="46090" xr:uid="{00000000-0005-0000-0000-0000735E0000}"/>
    <cellStyle name="표준 5 2 4 3 2 2 5 4" xfId="13092" xr:uid="{00000000-0005-0000-0000-0000745E0000}"/>
    <cellStyle name="표준 5 2 4 3 2 2 5 5" xfId="17332" xr:uid="{00000000-0005-0000-0000-0000755E0000}"/>
    <cellStyle name="표준 5 2 4 3 2 2 5 6" xfId="21494" xr:uid="{00000000-0005-0000-0000-0000765E0000}"/>
    <cellStyle name="표준 5 2 4 3 2 2 5 7" xfId="25590" xr:uid="{00000000-0005-0000-0000-0000775E0000}"/>
    <cellStyle name="표준 5 2 4 3 2 2 5 8" xfId="33801" xr:uid="{00000000-0005-0000-0000-0000785E0000}"/>
    <cellStyle name="표준 5 2 4 3 2 2 5 9" xfId="41994" xr:uid="{00000000-0005-0000-0000-0000795E0000}"/>
    <cellStyle name="표준 5 2 4 3 2 2 6" xfId="9492" xr:uid="{00000000-0005-0000-0000-00007A5E0000}"/>
    <cellStyle name="표준 5 2 4 3 2 2 6 2" xfId="13604" xr:uid="{00000000-0005-0000-0000-00007B5E0000}"/>
    <cellStyle name="표준 5 2 4 3 2 2 6 2 2" xfId="30198" xr:uid="{00000000-0005-0000-0000-00007C5E0000}"/>
    <cellStyle name="표준 5 2 4 3 2 2 6 2 3" xfId="38409" xr:uid="{00000000-0005-0000-0000-00007D5E0000}"/>
    <cellStyle name="표준 5 2 4 3 2 2 6 2 4" xfId="46602" xr:uid="{00000000-0005-0000-0000-00007E5E0000}"/>
    <cellStyle name="표준 5 2 4 3 2 2 6 3" xfId="17844" xr:uid="{00000000-0005-0000-0000-00007F5E0000}"/>
    <cellStyle name="표준 5 2 4 3 2 2 6 4" xfId="22006" xr:uid="{00000000-0005-0000-0000-0000805E0000}"/>
    <cellStyle name="표준 5 2 4 3 2 2 6 5" xfId="26102" xr:uid="{00000000-0005-0000-0000-0000815E0000}"/>
    <cellStyle name="표준 5 2 4 3 2 2 6 6" xfId="34313" xr:uid="{00000000-0005-0000-0000-0000825E0000}"/>
    <cellStyle name="표준 5 2 4 3 2 2 6 7" xfId="42506" xr:uid="{00000000-0005-0000-0000-0000835E0000}"/>
    <cellStyle name="표준 5 2 4 3 2 2 7" xfId="7444" xr:uid="{00000000-0005-0000-0000-0000845E0000}"/>
    <cellStyle name="표준 5 2 4 3 2 2 7 2" xfId="28150" xr:uid="{00000000-0005-0000-0000-0000855E0000}"/>
    <cellStyle name="표준 5 2 4 3 2 2 7 3" xfId="36361" xr:uid="{00000000-0005-0000-0000-0000865E0000}"/>
    <cellStyle name="표준 5 2 4 3 2 2 7 4" xfId="44554" xr:uid="{00000000-0005-0000-0000-0000875E0000}"/>
    <cellStyle name="표준 5 2 4 3 2 2 8" xfId="11556" xr:uid="{00000000-0005-0000-0000-0000885E0000}"/>
    <cellStyle name="표준 5 2 4 3 2 2 9" xfId="15796" xr:uid="{00000000-0005-0000-0000-0000895E0000}"/>
    <cellStyle name="표준 5 2 4 3 2 3" xfId="717" xr:uid="{00000000-0005-0000-0000-00008A5E0000}"/>
    <cellStyle name="표준 5 2 4 3 2 3 10" xfId="24182" xr:uid="{00000000-0005-0000-0000-00008B5E0000}"/>
    <cellStyle name="표준 5 2 4 3 2 3 11" xfId="32393" xr:uid="{00000000-0005-0000-0000-00008C5E0000}"/>
    <cellStyle name="표준 5 2 4 3 2 3 12" xfId="40586" xr:uid="{00000000-0005-0000-0000-00008D5E0000}"/>
    <cellStyle name="표준 5 2 4 3 2 3 2" xfId="1229" xr:uid="{00000000-0005-0000-0000-00008E5E0000}"/>
    <cellStyle name="표준 5 2 4 3 2 3 2 2" xfId="10132" xr:uid="{00000000-0005-0000-0000-00008F5E0000}"/>
    <cellStyle name="표준 5 2 4 3 2 3 2 2 2" xfId="14244" xr:uid="{00000000-0005-0000-0000-0000905E0000}"/>
    <cellStyle name="표준 5 2 4 3 2 3 2 2 2 2" xfId="30838" xr:uid="{00000000-0005-0000-0000-0000915E0000}"/>
    <cellStyle name="표준 5 2 4 3 2 3 2 2 2 3" xfId="39049" xr:uid="{00000000-0005-0000-0000-0000925E0000}"/>
    <cellStyle name="표준 5 2 4 3 2 3 2 2 2 4" xfId="47242" xr:uid="{00000000-0005-0000-0000-0000935E0000}"/>
    <cellStyle name="표준 5 2 4 3 2 3 2 2 3" xfId="18484" xr:uid="{00000000-0005-0000-0000-0000945E0000}"/>
    <cellStyle name="표준 5 2 4 3 2 3 2 2 4" xfId="22646" xr:uid="{00000000-0005-0000-0000-0000955E0000}"/>
    <cellStyle name="표준 5 2 4 3 2 3 2 2 5" xfId="26742" xr:uid="{00000000-0005-0000-0000-0000965E0000}"/>
    <cellStyle name="표준 5 2 4 3 2 3 2 2 6" xfId="34953" xr:uid="{00000000-0005-0000-0000-0000975E0000}"/>
    <cellStyle name="표준 5 2 4 3 2 3 2 2 7" xfId="43146" xr:uid="{00000000-0005-0000-0000-0000985E0000}"/>
    <cellStyle name="표준 5 2 4 3 2 3 2 3" xfId="8084" xr:uid="{00000000-0005-0000-0000-0000995E0000}"/>
    <cellStyle name="표준 5 2 4 3 2 3 2 3 2" xfId="28790" xr:uid="{00000000-0005-0000-0000-00009A5E0000}"/>
    <cellStyle name="표준 5 2 4 3 2 3 2 3 3" xfId="37001" xr:uid="{00000000-0005-0000-0000-00009B5E0000}"/>
    <cellStyle name="표준 5 2 4 3 2 3 2 3 4" xfId="45194" xr:uid="{00000000-0005-0000-0000-00009C5E0000}"/>
    <cellStyle name="표준 5 2 4 3 2 3 2 4" xfId="12196" xr:uid="{00000000-0005-0000-0000-00009D5E0000}"/>
    <cellStyle name="표준 5 2 4 3 2 3 2 5" xfId="16436" xr:uid="{00000000-0005-0000-0000-00009E5E0000}"/>
    <cellStyle name="표준 5 2 4 3 2 3 2 6" xfId="20598" xr:uid="{00000000-0005-0000-0000-00009F5E0000}"/>
    <cellStyle name="표준 5 2 4 3 2 3 2 7" xfId="24694" xr:uid="{00000000-0005-0000-0000-0000A05E0000}"/>
    <cellStyle name="표준 5 2 4 3 2 3 2 8" xfId="32905" xr:uid="{00000000-0005-0000-0000-0000A15E0000}"/>
    <cellStyle name="표준 5 2 4 3 2 3 2 9" xfId="41098" xr:uid="{00000000-0005-0000-0000-0000A25E0000}"/>
    <cellStyle name="표준 5 2 4 3 2 3 3" xfId="1741" xr:uid="{00000000-0005-0000-0000-0000A35E0000}"/>
    <cellStyle name="표준 5 2 4 3 2 3 3 2" xfId="10644" xr:uid="{00000000-0005-0000-0000-0000A45E0000}"/>
    <cellStyle name="표준 5 2 4 3 2 3 3 2 2" xfId="14756" xr:uid="{00000000-0005-0000-0000-0000A55E0000}"/>
    <cellStyle name="표준 5 2 4 3 2 3 3 2 2 2" xfId="31350" xr:uid="{00000000-0005-0000-0000-0000A65E0000}"/>
    <cellStyle name="표준 5 2 4 3 2 3 3 2 2 3" xfId="39561" xr:uid="{00000000-0005-0000-0000-0000A75E0000}"/>
    <cellStyle name="표준 5 2 4 3 2 3 3 2 2 4" xfId="47754" xr:uid="{00000000-0005-0000-0000-0000A85E0000}"/>
    <cellStyle name="표준 5 2 4 3 2 3 3 2 3" xfId="18996" xr:uid="{00000000-0005-0000-0000-0000A95E0000}"/>
    <cellStyle name="표준 5 2 4 3 2 3 3 2 4" xfId="23158" xr:uid="{00000000-0005-0000-0000-0000AA5E0000}"/>
    <cellStyle name="표준 5 2 4 3 2 3 3 2 5" xfId="27254" xr:uid="{00000000-0005-0000-0000-0000AB5E0000}"/>
    <cellStyle name="표준 5 2 4 3 2 3 3 2 6" xfId="35465" xr:uid="{00000000-0005-0000-0000-0000AC5E0000}"/>
    <cellStyle name="표준 5 2 4 3 2 3 3 2 7" xfId="43658" xr:uid="{00000000-0005-0000-0000-0000AD5E0000}"/>
    <cellStyle name="표준 5 2 4 3 2 3 3 3" xfId="8596" xr:uid="{00000000-0005-0000-0000-0000AE5E0000}"/>
    <cellStyle name="표준 5 2 4 3 2 3 3 3 2" xfId="29302" xr:uid="{00000000-0005-0000-0000-0000AF5E0000}"/>
    <cellStyle name="표준 5 2 4 3 2 3 3 3 3" xfId="37513" xr:uid="{00000000-0005-0000-0000-0000B05E0000}"/>
    <cellStyle name="표준 5 2 4 3 2 3 3 3 4" xfId="45706" xr:uid="{00000000-0005-0000-0000-0000B15E0000}"/>
    <cellStyle name="표준 5 2 4 3 2 3 3 4" xfId="12708" xr:uid="{00000000-0005-0000-0000-0000B25E0000}"/>
    <cellStyle name="표준 5 2 4 3 2 3 3 5" xfId="16948" xr:uid="{00000000-0005-0000-0000-0000B35E0000}"/>
    <cellStyle name="표준 5 2 4 3 2 3 3 6" xfId="21110" xr:uid="{00000000-0005-0000-0000-0000B45E0000}"/>
    <cellStyle name="표준 5 2 4 3 2 3 3 7" xfId="25206" xr:uid="{00000000-0005-0000-0000-0000B55E0000}"/>
    <cellStyle name="표준 5 2 4 3 2 3 3 8" xfId="33417" xr:uid="{00000000-0005-0000-0000-0000B65E0000}"/>
    <cellStyle name="표준 5 2 4 3 2 3 3 9" xfId="41610" xr:uid="{00000000-0005-0000-0000-0000B75E0000}"/>
    <cellStyle name="표준 5 2 4 3 2 3 4" xfId="2253" xr:uid="{00000000-0005-0000-0000-0000B85E0000}"/>
    <cellStyle name="표준 5 2 4 3 2 3 4 2" xfId="11156" xr:uid="{00000000-0005-0000-0000-0000B95E0000}"/>
    <cellStyle name="표준 5 2 4 3 2 3 4 2 2" xfId="15268" xr:uid="{00000000-0005-0000-0000-0000BA5E0000}"/>
    <cellStyle name="표준 5 2 4 3 2 3 4 2 2 2" xfId="31862" xr:uid="{00000000-0005-0000-0000-0000BB5E0000}"/>
    <cellStyle name="표준 5 2 4 3 2 3 4 2 2 3" xfId="40073" xr:uid="{00000000-0005-0000-0000-0000BC5E0000}"/>
    <cellStyle name="표준 5 2 4 3 2 3 4 2 2 4" xfId="48266" xr:uid="{00000000-0005-0000-0000-0000BD5E0000}"/>
    <cellStyle name="표준 5 2 4 3 2 3 4 2 3" xfId="19508" xr:uid="{00000000-0005-0000-0000-0000BE5E0000}"/>
    <cellStyle name="표준 5 2 4 3 2 3 4 2 4" xfId="23670" xr:uid="{00000000-0005-0000-0000-0000BF5E0000}"/>
    <cellStyle name="표준 5 2 4 3 2 3 4 2 5" xfId="27766" xr:uid="{00000000-0005-0000-0000-0000C05E0000}"/>
    <cellStyle name="표준 5 2 4 3 2 3 4 2 6" xfId="35977" xr:uid="{00000000-0005-0000-0000-0000C15E0000}"/>
    <cellStyle name="표준 5 2 4 3 2 3 4 2 7" xfId="44170" xr:uid="{00000000-0005-0000-0000-0000C25E0000}"/>
    <cellStyle name="표준 5 2 4 3 2 3 4 3" xfId="9108" xr:uid="{00000000-0005-0000-0000-0000C35E0000}"/>
    <cellStyle name="표준 5 2 4 3 2 3 4 3 2" xfId="29814" xr:uid="{00000000-0005-0000-0000-0000C45E0000}"/>
    <cellStyle name="표준 5 2 4 3 2 3 4 3 3" xfId="38025" xr:uid="{00000000-0005-0000-0000-0000C55E0000}"/>
    <cellStyle name="표준 5 2 4 3 2 3 4 3 4" xfId="46218" xr:uid="{00000000-0005-0000-0000-0000C65E0000}"/>
    <cellStyle name="표준 5 2 4 3 2 3 4 4" xfId="13220" xr:uid="{00000000-0005-0000-0000-0000C75E0000}"/>
    <cellStyle name="표준 5 2 4 3 2 3 4 5" xfId="17460" xr:uid="{00000000-0005-0000-0000-0000C85E0000}"/>
    <cellStyle name="표준 5 2 4 3 2 3 4 6" xfId="21622" xr:uid="{00000000-0005-0000-0000-0000C95E0000}"/>
    <cellStyle name="표준 5 2 4 3 2 3 4 7" xfId="25718" xr:uid="{00000000-0005-0000-0000-0000CA5E0000}"/>
    <cellStyle name="표준 5 2 4 3 2 3 4 8" xfId="33929" xr:uid="{00000000-0005-0000-0000-0000CB5E0000}"/>
    <cellStyle name="표준 5 2 4 3 2 3 4 9" xfId="42122" xr:uid="{00000000-0005-0000-0000-0000CC5E0000}"/>
    <cellStyle name="표준 5 2 4 3 2 3 5" xfId="9620" xr:uid="{00000000-0005-0000-0000-0000CD5E0000}"/>
    <cellStyle name="표준 5 2 4 3 2 3 5 2" xfId="13732" xr:uid="{00000000-0005-0000-0000-0000CE5E0000}"/>
    <cellStyle name="표준 5 2 4 3 2 3 5 2 2" xfId="30326" xr:uid="{00000000-0005-0000-0000-0000CF5E0000}"/>
    <cellStyle name="표준 5 2 4 3 2 3 5 2 3" xfId="38537" xr:uid="{00000000-0005-0000-0000-0000D05E0000}"/>
    <cellStyle name="표준 5 2 4 3 2 3 5 2 4" xfId="46730" xr:uid="{00000000-0005-0000-0000-0000D15E0000}"/>
    <cellStyle name="표준 5 2 4 3 2 3 5 3" xfId="17972" xr:uid="{00000000-0005-0000-0000-0000D25E0000}"/>
    <cellStyle name="표준 5 2 4 3 2 3 5 4" xfId="22134" xr:uid="{00000000-0005-0000-0000-0000D35E0000}"/>
    <cellStyle name="표준 5 2 4 3 2 3 5 5" xfId="26230" xr:uid="{00000000-0005-0000-0000-0000D45E0000}"/>
    <cellStyle name="표준 5 2 4 3 2 3 5 6" xfId="34441" xr:uid="{00000000-0005-0000-0000-0000D55E0000}"/>
    <cellStyle name="표준 5 2 4 3 2 3 5 7" xfId="42634" xr:uid="{00000000-0005-0000-0000-0000D65E0000}"/>
    <cellStyle name="표준 5 2 4 3 2 3 6" xfId="7572" xr:uid="{00000000-0005-0000-0000-0000D75E0000}"/>
    <cellStyle name="표준 5 2 4 3 2 3 6 2" xfId="28278" xr:uid="{00000000-0005-0000-0000-0000D85E0000}"/>
    <cellStyle name="표준 5 2 4 3 2 3 6 3" xfId="36489" xr:uid="{00000000-0005-0000-0000-0000D95E0000}"/>
    <cellStyle name="표준 5 2 4 3 2 3 6 4" xfId="44682" xr:uid="{00000000-0005-0000-0000-0000DA5E0000}"/>
    <cellStyle name="표준 5 2 4 3 2 3 7" xfId="11684" xr:uid="{00000000-0005-0000-0000-0000DB5E0000}"/>
    <cellStyle name="표준 5 2 4 3 2 3 8" xfId="15924" xr:uid="{00000000-0005-0000-0000-0000DC5E0000}"/>
    <cellStyle name="표준 5 2 4 3 2 3 9" xfId="20086" xr:uid="{00000000-0005-0000-0000-0000DD5E0000}"/>
    <cellStyle name="표준 5 2 4 3 2 4" xfId="973" xr:uid="{00000000-0005-0000-0000-0000DE5E0000}"/>
    <cellStyle name="표준 5 2 4 3 2 4 2" xfId="9876" xr:uid="{00000000-0005-0000-0000-0000DF5E0000}"/>
    <cellStyle name="표준 5 2 4 3 2 4 2 2" xfId="13988" xr:uid="{00000000-0005-0000-0000-0000E05E0000}"/>
    <cellStyle name="표준 5 2 4 3 2 4 2 2 2" xfId="30582" xr:uid="{00000000-0005-0000-0000-0000E15E0000}"/>
    <cellStyle name="표준 5 2 4 3 2 4 2 2 3" xfId="38793" xr:uid="{00000000-0005-0000-0000-0000E25E0000}"/>
    <cellStyle name="표준 5 2 4 3 2 4 2 2 4" xfId="46986" xr:uid="{00000000-0005-0000-0000-0000E35E0000}"/>
    <cellStyle name="표준 5 2 4 3 2 4 2 3" xfId="18228" xr:uid="{00000000-0005-0000-0000-0000E45E0000}"/>
    <cellStyle name="표준 5 2 4 3 2 4 2 4" xfId="22390" xr:uid="{00000000-0005-0000-0000-0000E55E0000}"/>
    <cellStyle name="표준 5 2 4 3 2 4 2 5" xfId="26486" xr:uid="{00000000-0005-0000-0000-0000E65E0000}"/>
    <cellStyle name="표준 5 2 4 3 2 4 2 6" xfId="34697" xr:uid="{00000000-0005-0000-0000-0000E75E0000}"/>
    <cellStyle name="표준 5 2 4 3 2 4 2 7" xfId="42890" xr:uid="{00000000-0005-0000-0000-0000E85E0000}"/>
    <cellStyle name="표준 5 2 4 3 2 4 3" xfId="7828" xr:uid="{00000000-0005-0000-0000-0000E95E0000}"/>
    <cellStyle name="표준 5 2 4 3 2 4 3 2" xfId="28534" xr:uid="{00000000-0005-0000-0000-0000EA5E0000}"/>
    <cellStyle name="표준 5 2 4 3 2 4 3 3" xfId="36745" xr:uid="{00000000-0005-0000-0000-0000EB5E0000}"/>
    <cellStyle name="표준 5 2 4 3 2 4 3 4" xfId="44938" xr:uid="{00000000-0005-0000-0000-0000EC5E0000}"/>
    <cellStyle name="표준 5 2 4 3 2 4 4" xfId="11940" xr:uid="{00000000-0005-0000-0000-0000ED5E0000}"/>
    <cellStyle name="표준 5 2 4 3 2 4 5" xfId="16180" xr:uid="{00000000-0005-0000-0000-0000EE5E0000}"/>
    <cellStyle name="표준 5 2 4 3 2 4 6" xfId="20342" xr:uid="{00000000-0005-0000-0000-0000EF5E0000}"/>
    <cellStyle name="표준 5 2 4 3 2 4 7" xfId="24438" xr:uid="{00000000-0005-0000-0000-0000F05E0000}"/>
    <cellStyle name="표준 5 2 4 3 2 4 8" xfId="32649" xr:uid="{00000000-0005-0000-0000-0000F15E0000}"/>
    <cellStyle name="표준 5 2 4 3 2 4 9" xfId="40842" xr:uid="{00000000-0005-0000-0000-0000F25E0000}"/>
    <cellStyle name="표준 5 2 4 3 2 5" xfId="1485" xr:uid="{00000000-0005-0000-0000-0000F35E0000}"/>
    <cellStyle name="표준 5 2 4 3 2 5 2" xfId="10388" xr:uid="{00000000-0005-0000-0000-0000F45E0000}"/>
    <cellStyle name="표준 5 2 4 3 2 5 2 2" xfId="14500" xr:uid="{00000000-0005-0000-0000-0000F55E0000}"/>
    <cellStyle name="표준 5 2 4 3 2 5 2 2 2" xfId="31094" xr:uid="{00000000-0005-0000-0000-0000F65E0000}"/>
    <cellStyle name="표준 5 2 4 3 2 5 2 2 3" xfId="39305" xr:uid="{00000000-0005-0000-0000-0000F75E0000}"/>
    <cellStyle name="표준 5 2 4 3 2 5 2 2 4" xfId="47498" xr:uid="{00000000-0005-0000-0000-0000F85E0000}"/>
    <cellStyle name="표준 5 2 4 3 2 5 2 3" xfId="18740" xr:uid="{00000000-0005-0000-0000-0000F95E0000}"/>
    <cellStyle name="표준 5 2 4 3 2 5 2 4" xfId="22902" xr:uid="{00000000-0005-0000-0000-0000FA5E0000}"/>
    <cellStyle name="표준 5 2 4 3 2 5 2 5" xfId="26998" xr:uid="{00000000-0005-0000-0000-0000FB5E0000}"/>
    <cellStyle name="표준 5 2 4 3 2 5 2 6" xfId="35209" xr:uid="{00000000-0005-0000-0000-0000FC5E0000}"/>
    <cellStyle name="표준 5 2 4 3 2 5 2 7" xfId="43402" xr:uid="{00000000-0005-0000-0000-0000FD5E0000}"/>
    <cellStyle name="표준 5 2 4 3 2 5 3" xfId="8340" xr:uid="{00000000-0005-0000-0000-0000FE5E0000}"/>
    <cellStyle name="표준 5 2 4 3 2 5 3 2" xfId="29046" xr:uid="{00000000-0005-0000-0000-0000FF5E0000}"/>
    <cellStyle name="표준 5 2 4 3 2 5 3 3" xfId="37257" xr:uid="{00000000-0005-0000-0000-0000005F0000}"/>
    <cellStyle name="표준 5 2 4 3 2 5 3 4" xfId="45450" xr:uid="{00000000-0005-0000-0000-0000015F0000}"/>
    <cellStyle name="표준 5 2 4 3 2 5 4" xfId="12452" xr:uid="{00000000-0005-0000-0000-0000025F0000}"/>
    <cellStyle name="표준 5 2 4 3 2 5 5" xfId="16692" xr:uid="{00000000-0005-0000-0000-0000035F0000}"/>
    <cellStyle name="표준 5 2 4 3 2 5 6" xfId="20854" xr:uid="{00000000-0005-0000-0000-0000045F0000}"/>
    <cellStyle name="표준 5 2 4 3 2 5 7" xfId="24950" xr:uid="{00000000-0005-0000-0000-0000055F0000}"/>
    <cellStyle name="표준 5 2 4 3 2 5 8" xfId="33161" xr:uid="{00000000-0005-0000-0000-0000065F0000}"/>
    <cellStyle name="표준 5 2 4 3 2 5 9" xfId="41354" xr:uid="{00000000-0005-0000-0000-0000075F0000}"/>
    <cellStyle name="표준 5 2 4 3 2 6" xfId="1997" xr:uid="{00000000-0005-0000-0000-0000085F0000}"/>
    <cellStyle name="표준 5 2 4 3 2 6 2" xfId="10900" xr:uid="{00000000-0005-0000-0000-0000095F0000}"/>
    <cellStyle name="표준 5 2 4 3 2 6 2 2" xfId="15012" xr:uid="{00000000-0005-0000-0000-00000A5F0000}"/>
    <cellStyle name="표준 5 2 4 3 2 6 2 2 2" xfId="31606" xr:uid="{00000000-0005-0000-0000-00000B5F0000}"/>
    <cellStyle name="표준 5 2 4 3 2 6 2 2 3" xfId="39817" xr:uid="{00000000-0005-0000-0000-00000C5F0000}"/>
    <cellStyle name="표준 5 2 4 3 2 6 2 2 4" xfId="48010" xr:uid="{00000000-0005-0000-0000-00000D5F0000}"/>
    <cellStyle name="표준 5 2 4 3 2 6 2 3" xfId="19252" xr:uid="{00000000-0005-0000-0000-00000E5F0000}"/>
    <cellStyle name="표준 5 2 4 3 2 6 2 4" xfId="23414" xr:uid="{00000000-0005-0000-0000-00000F5F0000}"/>
    <cellStyle name="표준 5 2 4 3 2 6 2 5" xfId="27510" xr:uid="{00000000-0005-0000-0000-0000105F0000}"/>
    <cellStyle name="표준 5 2 4 3 2 6 2 6" xfId="35721" xr:uid="{00000000-0005-0000-0000-0000115F0000}"/>
    <cellStyle name="표준 5 2 4 3 2 6 2 7" xfId="43914" xr:uid="{00000000-0005-0000-0000-0000125F0000}"/>
    <cellStyle name="표준 5 2 4 3 2 6 3" xfId="8852" xr:uid="{00000000-0005-0000-0000-0000135F0000}"/>
    <cellStyle name="표준 5 2 4 3 2 6 3 2" xfId="29558" xr:uid="{00000000-0005-0000-0000-0000145F0000}"/>
    <cellStyle name="표준 5 2 4 3 2 6 3 3" xfId="37769" xr:uid="{00000000-0005-0000-0000-0000155F0000}"/>
    <cellStyle name="표준 5 2 4 3 2 6 3 4" xfId="45962" xr:uid="{00000000-0005-0000-0000-0000165F0000}"/>
    <cellStyle name="표준 5 2 4 3 2 6 4" xfId="12964" xr:uid="{00000000-0005-0000-0000-0000175F0000}"/>
    <cellStyle name="표준 5 2 4 3 2 6 5" xfId="17204" xr:uid="{00000000-0005-0000-0000-0000185F0000}"/>
    <cellStyle name="표준 5 2 4 3 2 6 6" xfId="21366" xr:uid="{00000000-0005-0000-0000-0000195F0000}"/>
    <cellStyle name="표준 5 2 4 3 2 6 7" xfId="25462" xr:uid="{00000000-0005-0000-0000-00001A5F0000}"/>
    <cellStyle name="표준 5 2 4 3 2 6 8" xfId="33673" xr:uid="{00000000-0005-0000-0000-00001B5F0000}"/>
    <cellStyle name="표준 5 2 4 3 2 6 9" xfId="41866" xr:uid="{00000000-0005-0000-0000-00001C5F0000}"/>
    <cellStyle name="표준 5 2 4 3 2 7" xfId="7057" xr:uid="{00000000-0005-0000-0000-00001D5F0000}"/>
    <cellStyle name="표준 5 2 4 3 2 7 2" xfId="9364" xr:uid="{00000000-0005-0000-0000-00001E5F0000}"/>
    <cellStyle name="표준 5 2 4 3 2 7 2 2" xfId="30070" xr:uid="{00000000-0005-0000-0000-00001F5F0000}"/>
    <cellStyle name="표준 5 2 4 3 2 7 2 3" xfId="38281" xr:uid="{00000000-0005-0000-0000-0000205F0000}"/>
    <cellStyle name="표준 5 2 4 3 2 7 2 4" xfId="46474" xr:uid="{00000000-0005-0000-0000-0000215F0000}"/>
    <cellStyle name="표준 5 2 4 3 2 7 3" xfId="13476" xr:uid="{00000000-0005-0000-0000-0000225F0000}"/>
    <cellStyle name="표준 5 2 4 3 2 7 4" xfId="17716" xr:uid="{00000000-0005-0000-0000-0000235F0000}"/>
    <cellStyle name="표준 5 2 4 3 2 7 5" xfId="21878" xr:uid="{00000000-0005-0000-0000-0000245F0000}"/>
    <cellStyle name="표준 5 2 4 3 2 7 6" xfId="25974" xr:uid="{00000000-0005-0000-0000-0000255F0000}"/>
    <cellStyle name="표준 5 2 4 3 2 7 7" xfId="34185" xr:uid="{00000000-0005-0000-0000-0000265F0000}"/>
    <cellStyle name="표준 5 2 4 3 2 7 8" xfId="42378" xr:uid="{00000000-0005-0000-0000-0000275F0000}"/>
    <cellStyle name="표준 5 2 4 3 2 8" xfId="7121" xr:uid="{00000000-0005-0000-0000-0000285F0000}"/>
    <cellStyle name="표준 5 2 4 3 2 8 2" xfId="28022" xr:uid="{00000000-0005-0000-0000-0000295F0000}"/>
    <cellStyle name="표준 5 2 4 3 2 8 3" xfId="36233" xr:uid="{00000000-0005-0000-0000-00002A5F0000}"/>
    <cellStyle name="표준 5 2 4 3 2 8 4" xfId="44426" xr:uid="{00000000-0005-0000-0000-00002B5F0000}"/>
    <cellStyle name="표준 5 2 4 3 2 9" xfId="7316" xr:uid="{00000000-0005-0000-0000-00002C5F0000}"/>
    <cellStyle name="표준 5 2 4 3 3" xfId="525" xr:uid="{00000000-0005-0000-0000-00002D5F0000}"/>
    <cellStyle name="표준 5 2 4 3 3 10" xfId="19894" xr:uid="{00000000-0005-0000-0000-00002E5F0000}"/>
    <cellStyle name="표준 5 2 4 3 3 11" xfId="23990" xr:uid="{00000000-0005-0000-0000-00002F5F0000}"/>
    <cellStyle name="표준 5 2 4 3 3 12" xfId="32201" xr:uid="{00000000-0005-0000-0000-0000305F0000}"/>
    <cellStyle name="표준 5 2 4 3 3 13" xfId="40394" xr:uid="{00000000-0005-0000-0000-0000315F0000}"/>
    <cellStyle name="표준 5 2 4 3 3 2" xfId="781" xr:uid="{00000000-0005-0000-0000-0000325F0000}"/>
    <cellStyle name="표준 5 2 4 3 3 2 10" xfId="24246" xr:uid="{00000000-0005-0000-0000-0000335F0000}"/>
    <cellStyle name="표준 5 2 4 3 3 2 11" xfId="32457" xr:uid="{00000000-0005-0000-0000-0000345F0000}"/>
    <cellStyle name="표준 5 2 4 3 3 2 12" xfId="40650" xr:uid="{00000000-0005-0000-0000-0000355F0000}"/>
    <cellStyle name="표준 5 2 4 3 3 2 2" xfId="1293" xr:uid="{00000000-0005-0000-0000-0000365F0000}"/>
    <cellStyle name="표준 5 2 4 3 3 2 2 2" xfId="10196" xr:uid="{00000000-0005-0000-0000-0000375F0000}"/>
    <cellStyle name="표준 5 2 4 3 3 2 2 2 2" xfId="14308" xr:uid="{00000000-0005-0000-0000-0000385F0000}"/>
    <cellStyle name="표준 5 2 4 3 3 2 2 2 2 2" xfId="30902" xr:uid="{00000000-0005-0000-0000-0000395F0000}"/>
    <cellStyle name="표준 5 2 4 3 3 2 2 2 2 3" xfId="39113" xr:uid="{00000000-0005-0000-0000-00003A5F0000}"/>
    <cellStyle name="표준 5 2 4 3 3 2 2 2 2 4" xfId="47306" xr:uid="{00000000-0005-0000-0000-00003B5F0000}"/>
    <cellStyle name="표준 5 2 4 3 3 2 2 2 3" xfId="18548" xr:uid="{00000000-0005-0000-0000-00003C5F0000}"/>
    <cellStyle name="표준 5 2 4 3 3 2 2 2 4" xfId="22710" xr:uid="{00000000-0005-0000-0000-00003D5F0000}"/>
    <cellStyle name="표준 5 2 4 3 3 2 2 2 5" xfId="26806" xr:uid="{00000000-0005-0000-0000-00003E5F0000}"/>
    <cellStyle name="표준 5 2 4 3 3 2 2 2 6" xfId="35017" xr:uid="{00000000-0005-0000-0000-00003F5F0000}"/>
    <cellStyle name="표준 5 2 4 3 3 2 2 2 7" xfId="43210" xr:uid="{00000000-0005-0000-0000-0000405F0000}"/>
    <cellStyle name="표준 5 2 4 3 3 2 2 3" xfId="8148" xr:uid="{00000000-0005-0000-0000-0000415F0000}"/>
    <cellStyle name="표준 5 2 4 3 3 2 2 3 2" xfId="28854" xr:uid="{00000000-0005-0000-0000-0000425F0000}"/>
    <cellStyle name="표준 5 2 4 3 3 2 2 3 3" xfId="37065" xr:uid="{00000000-0005-0000-0000-0000435F0000}"/>
    <cellStyle name="표준 5 2 4 3 3 2 2 3 4" xfId="45258" xr:uid="{00000000-0005-0000-0000-0000445F0000}"/>
    <cellStyle name="표준 5 2 4 3 3 2 2 4" xfId="12260" xr:uid="{00000000-0005-0000-0000-0000455F0000}"/>
    <cellStyle name="표준 5 2 4 3 3 2 2 5" xfId="16500" xr:uid="{00000000-0005-0000-0000-0000465F0000}"/>
    <cellStyle name="표준 5 2 4 3 3 2 2 6" xfId="20662" xr:uid="{00000000-0005-0000-0000-0000475F0000}"/>
    <cellStyle name="표준 5 2 4 3 3 2 2 7" xfId="24758" xr:uid="{00000000-0005-0000-0000-0000485F0000}"/>
    <cellStyle name="표준 5 2 4 3 3 2 2 8" xfId="32969" xr:uid="{00000000-0005-0000-0000-0000495F0000}"/>
    <cellStyle name="표준 5 2 4 3 3 2 2 9" xfId="41162" xr:uid="{00000000-0005-0000-0000-00004A5F0000}"/>
    <cellStyle name="표준 5 2 4 3 3 2 3" xfId="1805" xr:uid="{00000000-0005-0000-0000-00004B5F0000}"/>
    <cellStyle name="표준 5 2 4 3 3 2 3 2" xfId="10708" xr:uid="{00000000-0005-0000-0000-00004C5F0000}"/>
    <cellStyle name="표준 5 2 4 3 3 2 3 2 2" xfId="14820" xr:uid="{00000000-0005-0000-0000-00004D5F0000}"/>
    <cellStyle name="표준 5 2 4 3 3 2 3 2 2 2" xfId="31414" xr:uid="{00000000-0005-0000-0000-00004E5F0000}"/>
    <cellStyle name="표준 5 2 4 3 3 2 3 2 2 3" xfId="39625" xr:uid="{00000000-0005-0000-0000-00004F5F0000}"/>
    <cellStyle name="표준 5 2 4 3 3 2 3 2 2 4" xfId="47818" xr:uid="{00000000-0005-0000-0000-0000505F0000}"/>
    <cellStyle name="표준 5 2 4 3 3 2 3 2 3" xfId="19060" xr:uid="{00000000-0005-0000-0000-0000515F0000}"/>
    <cellStyle name="표준 5 2 4 3 3 2 3 2 4" xfId="23222" xr:uid="{00000000-0005-0000-0000-0000525F0000}"/>
    <cellStyle name="표준 5 2 4 3 3 2 3 2 5" xfId="27318" xr:uid="{00000000-0005-0000-0000-0000535F0000}"/>
    <cellStyle name="표준 5 2 4 3 3 2 3 2 6" xfId="35529" xr:uid="{00000000-0005-0000-0000-0000545F0000}"/>
    <cellStyle name="표준 5 2 4 3 3 2 3 2 7" xfId="43722" xr:uid="{00000000-0005-0000-0000-0000555F0000}"/>
    <cellStyle name="표준 5 2 4 3 3 2 3 3" xfId="8660" xr:uid="{00000000-0005-0000-0000-0000565F0000}"/>
    <cellStyle name="표준 5 2 4 3 3 2 3 3 2" xfId="29366" xr:uid="{00000000-0005-0000-0000-0000575F0000}"/>
    <cellStyle name="표준 5 2 4 3 3 2 3 3 3" xfId="37577" xr:uid="{00000000-0005-0000-0000-0000585F0000}"/>
    <cellStyle name="표준 5 2 4 3 3 2 3 3 4" xfId="45770" xr:uid="{00000000-0005-0000-0000-0000595F0000}"/>
    <cellStyle name="표준 5 2 4 3 3 2 3 4" xfId="12772" xr:uid="{00000000-0005-0000-0000-00005A5F0000}"/>
    <cellStyle name="표준 5 2 4 3 3 2 3 5" xfId="17012" xr:uid="{00000000-0005-0000-0000-00005B5F0000}"/>
    <cellStyle name="표준 5 2 4 3 3 2 3 6" xfId="21174" xr:uid="{00000000-0005-0000-0000-00005C5F0000}"/>
    <cellStyle name="표준 5 2 4 3 3 2 3 7" xfId="25270" xr:uid="{00000000-0005-0000-0000-00005D5F0000}"/>
    <cellStyle name="표준 5 2 4 3 3 2 3 8" xfId="33481" xr:uid="{00000000-0005-0000-0000-00005E5F0000}"/>
    <cellStyle name="표준 5 2 4 3 3 2 3 9" xfId="41674" xr:uid="{00000000-0005-0000-0000-00005F5F0000}"/>
    <cellStyle name="표준 5 2 4 3 3 2 4" xfId="2317" xr:uid="{00000000-0005-0000-0000-0000605F0000}"/>
    <cellStyle name="표준 5 2 4 3 3 2 4 2" xfId="11220" xr:uid="{00000000-0005-0000-0000-0000615F0000}"/>
    <cellStyle name="표준 5 2 4 3 3 2 4 2 2" xfId="15332" xr:uid="{00000000-0005-0000-0000-0000625F0000}"/>
    <cellStyle name="표준 5 2 4 3 3 2 4 2 2 2" xfId="31926" xr:uid="{00000000-0005-0000-0000-0000635F0000}"/>
    <cellStyle name="표준 5 2 4 3 3 2 4 2 2 3" xfId="40137" xr:uid="{00000000-0005-0000-0000-0000645F0000}"/>
    <cellStyle name="표준 5 2 4 3 3 2 4 2 2 4" xfId="48330" xr:uid="{00000000-0005-0000-0000-0000655F0000}"/>
    <cellStyle name="표준 5 2 4 3 3 2 4 2 3" xfId="19572" xr:uid="{00000000-0005-0000-0000-0000665F0000}"/>
    <cellStyle name="표준 5 2 4 3 3 2 4 2 4" xfId="23734" xr:uid="{00000000-0005-0000-0000-0000675F0000}"/>
    <cellStyle name="표준 5 2 4 3 3 2 4 2 5" xfId="27830" xr:uid="{00000000-0005-0000-0000-0000685F0000}"/>
    <cellStyle name="표준 5 2 4 3 3 2 4 2 6" xfId="36041" xr:uid="{00000000-0005-0000-0000-0000695F0000}"/>
    <cellStyle name="표준 5 2 4 3 3 2 4 2 7" xfId="44234" xr:uid="{00000000-0005-0000-0000-00006A5F0000}"/>
    <cellStyle name="표준 5 2 4 3 3 2 4 3" xfId="9172" xr:uid="{00000000-0005-0000-0000-00006B5F0000}"/>
    <cellStyle name="표준 5 2 4 3 3 2 4 3 2" xfId="29878" xr:uid="{00000000-0005-0000-0000-00006C5F0000}"/>
    <cellStyle name="표준 5 2 4 3 3 2 4 3 3" xfId="38089" xr:uid="{00000000-0005-0000-0000-00006D5F0000}"/>
    <cellStyle name="표준 5 2 4 3 3 2 4 3 4" xfId="46282" xr:uid="{00000000-0005-0000-0000-00006E5F0000}"/>
    <cellStyle name="표준 5 2 4 3 3 2 4 4" xfId="13284" xr:uid="{00000000-0005-0000-0000-00006F5F0000}"/>
    <cellStyle name="표준 5 2 4 3 3 2 4 5" xfId="17524" xr:uid="{00000000-0005-0000-0000-0000705F0000}"/>
    <cellStyle name="표준 5 2 4 3 3 2 4 6" xfId="21686" xr:uid="{00000000-0005-0000-0000-0000715F0000}"/>
    <cellStyle name="표준 5 2 4 3 3 2 4 7" xfId="25782" xr:uid="{00000000-0005-0000-0000-0000725F0000}"/>
    <cellStyle name="표준 5 2 4 3 3 2 4 8" xfId="33993" xr:uid="{00000000-0005-0000-0000-0000735F0000}"/>
    <cellStyle name="표준 5 2 4 3 3 2 4 9" xfId="42186" xr:uid="{00000000-0005-0000-0000-0000745F0000}"/>
    <cellStyle name="표준 5 2 4 3 3 2 5" xfId="9684" xr:uid="{00000000-0005-0000-0000-0000755F0000}"/>
    <cellStyle name="표준 5 2 4 3 3 2 5 2" xfId="13796" xr:uid="{00000000-0005-0000-0000-0000765F0000}"/>
    <cellStyle name="표준 5 2 4 3 3 2 5 2 2" xfId="30390" xr:uid="{00000000-0005-0000-0000-0000775F0000}"/>
    <cellStyle name="표준 5 2 4 3 3 2 5 2 3" xfId="38601" xr:uid="{00000000-0005-0000-0000-0000785F0000}"/>
    <cellStyle name="표준 5 2 4 3 3 2 5 2 4" xfId="46794" xr:uid="{00000000-0005-0000-0000-0000795F0000}"/>
    <cellStyle name="표준 5 2 4 3 3 2 5 3" xfId="18036" xr:uid="{00000000-0005-0000-0000-00007A5F0000}"/>
    <cellStyle name="표준 5 2 4 3 3 2 5 4" xfId="22198" xr:uid="{00000000-0005-0000-0000-00007B5F0000}"/>
    <cellStyle name="표준 5 2 4 3 3 2 5 5" xfId="26294" xr:uid="{00000000-0005-0000-0000-00007C5F0000}"/>
    <cellStyle name="표준 5 2 4 3 3 2 5 6" xfId="34505" xr:uid="{00000000-0005-0000-0000-00007D5F0000}"/>
    <cellStyle name="표준 5 2 4 3 3 2 5 7" xfId="42698" xr:uid="{00000000-0005-0000-0000-00007E5F0000}"/>
    <cellStyle name="표준 5 2 4 3 3 2 6" xfId="7636" xr:uid="{00000000-0005-0000-0000-00007F5F0000}"/>
    <cellStyle name="표준 5 2 4 3 3 2 6 2" xfId="28342" xr:uid="{00000000-0005-0000-0000-0000805F0000}"/>
    <cellStyle name="표준 5 2 4 3 3 2 6 3" xfId="36553" xr:uid="{00000000-0005-0000-0000-0000815F0000}"/>
    <cellStyle name="표준 5 2 4 3 3 2 6 4" xfId="44746" xr:uid="{00000000-0005-0000-0000-0000825F0000}"/>
    <cellStyle name="표준 5 2 4 3 3 2 7" xfId="11748" xr:uid="{00000000-0005-0000-0000-0000835F0000}"/>
    <cellStyle name="표준 5 2 4 3 3 2 8" xfId="15988" xr:uid="{00000000-0005-0000-0000-0000845F0000}"/>
    <cellStyle name="표준 5 2 4 3 3 2 9" xfId="20150" xr:uid="{00000000-0005-0000-0000-0000855F0000}"/>
    <cellStyle name="표준 5 2 4 3 3 3" xfId="1037" xr:uid="{00000000-0005-0000-0000-0000865F0000}"/>
    <cellStyle name="표준 5 2 4 3 3 3 2" xfId="9940" xr:uid="{00000000-0005-0000-0000-0000875F0000}"/>
    <cellStyle name="표준 5 2 4 3 3 3 2 2" xfId="14052" xr:uid="{00000000-0005-0000-0000-0000885F0000}"/>
    <cellStyle name="표준 5 2 4 3 3 3 2 2 2" xfId="30646" xr:uid="{00000000-0005-0000-0000-0000895F0000}"/>
    <cellStyle name="표준 5 2 4 3 3 3 2 2 3" xfId="38857" xr:uid="{00000000-0005-0000-0000-00008A5F0000}"/>
    <cellStyle name="표준 5 2 4 3 3 3 2 2 4" xfId="47050" xr:uid="{00000000-0005-0000-0000-00008B5F0000}"/>
    <cellStyle name="표준 5 2 4 3 3 3 2 3" xfId="18292" xr:uid="{00000000-0005-0000-0000-00008C5F0000}"/>
    <cellStyle name="표준 5 2 4 3 3 3 2 4" xfId="22454" xr:uid="{00000000-0005-0000-0000-00008D5F0000}"/>
    <cellStyle name="표준 5 2 4 3 3 3 2 5" xfId="26550" xr:uid="{00000000-0005-0000-0000-00008E5F0000}"/>
    <cellStyle name="표준 5 2 4 3 3 3 2 6" xfId="34761" xr:uid="{00000000-0005-0000-0000-00008F5F0000}"/>
    <cellStyle name="표준 5 2 4 3 3 3 2 7" xfId="42954" xr:uid="{00000000-0005-0000-0000-0000905F0000}"/>
    <cellStyle name="표준 5 2 4 3 3 3 3" xfId="7892" xr:uid="{00000000-0005-0000-0000-0000915F0000}"/>
    <cellStyle name="표준 5 2 4 3 3 3 3 2" xfId="28598" xr:uid="{00000000-0005-0000-0000-0000925F0000}"/>
    <cellStyle name="표준 5 2 4 3 3 3 3 3" xfId="36809" xr:uid="{00000000-0005-0000-0000-0000935F0000}"/>
    <cellStyle name="표준 5 2 4 3 3 3 3 4" xfId="45002" xr:uid="{00000000-0005-0000-0000-0000945F0000}"/>
    <cellStyle name="표준 5 2 4 3 3 3 4" xfId="12004" xr:uid="{00000000-0005-0000-0000-0000955F0000}"/>
    <cellStyle name="표준 5 2 4 3 3 3 5" xfId="16244" xr:uid="{00000000-0005-0000-0000-0000965F0000}"/>
    <cellStyle name="표준 5 2 4 3 3 3 6" xfId="20406" xr:uid="{00000000-0005-0000-0000-0000975F0000}"/>
    <cellStyle name="표준 5 2 4 3 3 3 7" xfId="24502" xr:uid="{00000000-0005-0000-0000-0000985F0000}"/>
    <cellStyle name="표준 5 2 4 3 3 3 8" xfId="32713" xr:uid="{00000000-0005-0000-0000-0000995F0000}"/>
    <cellStyle name="표준 5 2 4 3 3 3 9" xfId="40906" xr:uid="{00000000-0005-0000-0000-00009A5F0000}"/>
    <cellStyle name="표준 5 2 4 3 3 4" xfId="1549" xr:uid="{00000000-0005-0000-0000-00009B5F0000}"/>
    <cellStyle name="표준 5 2 4 3 3 4 2" xfId="10452" xr:uid="{00000000-0005-0000-0000-00009C5F0000}"/>
    <cellStyle name="표준 5 2 4 3 3 4 2 2" xfId="14564" xr:uid="{00000000-0005-0000-0000-00009D5F0000}"/>
    <cellStyle name="표준 5 2 4 3 3 4 2 2 2" xfId="31158" xr:uid="{00000000-0005-0000-0000-00009E5F0000}"/>
    <cellStyle name="표준 5 2 4 3 3 4 2 2 3" xfId="39369" xr:uid="{00000000-0005-0000-0000-00009F5F0000}"/>
    <cellStyle name="표준 5 2 4 3 3 4 2 2 4" xfId="47562" xr:uid="{00000000-0005-0000-0000-0000A05F0000}"/>
    <cellStyle name="표준 5 2 4 3 3 4 2 3" xfId="18804" xr:uid="{00000000-0005-0000-0000-0000A15F0000}"/>
    <cellStyle name="표준 5 2 4 3 3 4 2 4" xfId="22966" xr:uid="{00000000-0005-0000-0000-0000A25F0000}"/>
    <cellStyle name="표준 5 2 4 3 3 4 2 5" xfId="27062" xr:uid="{00000000-0005-0000-0000-0000A35F0000}"/>
    <cellStyle name="표준 5 2 4 3 3 4 2 6" xfId="35273" xr:uid="{00000000-0005-0000-0000-0000A45F0000}"/>
    <cellStyle name="표준 5 2 4 3 3 4 2 7" xfId="43466" xr:uid="{00000000-0005-0000-0000-0000A55F0000}"/>
    <cellStyle name="표준 5 2 4 3 3 4 3" xfId="8404" xr:uid="{00000000-0005-0000-0000-0000A65F0000}"/>
    <cellStyle name="표준 5 2 4 3 3 4 3 2" xfId="29110" xr:uid="{00000000-0005-0000-0000-0000A75F0000}"/>
    <cellStyle name="표준 5 2 4 3 3 4 3 3" xfId="37321" xr:uid="{00000000-0005-0000-0000-0000A85F0000}"/>
    <cellStyle name="표준 5 2 4 3 3 4 3 4" xfId="45514" xr:uid="{00000000-0005-0000-0000-0000A95F0000}"/>
    <cellStyle name="표준 5 2 4 3 3 4 4" xfId="12516" xr:uid="{00000000-0005-0000-0000-0000AA5F0000}"/>
    <cellStyle name="표준 5 2 4 3 3 4 5" xfId="16756" xr:uid="{00000000-0005-0000-0000-0000AB5F0000}"/>
    <cellStyle name="표준 5 2 4 3 3 4 6" xfId="20918" xr:uid="{00000000-0005-0000-0000-0000AC5F0000}"/>
    <cellStyle name="표준 5 2 4 3 3 4 7" xfId="25014" xr:uid="{00000000-0005-0000-0000-0000AD5F0000}"/>
    <cellStyle name="표준 5 2 4 3 3 4 8" xfId="33225" xr:uid="{00000000-0005-0000-0000-0000AE5F0000}"/>
    <cellStyle name="표준 5 2 4 3 3 4 9" xfId="41418" xr:uid="{00000000-0005-0000-0000-0000AF5F0000}"/>
    <cellStyle name="표준 5 2 4 3 3 5" xfId="2061" xr:uid="{00000000-0005-0000-0000-0000B05F0000}"/>
    <cellStyle name="표준 5 2 4 3 3 5 2" xfId="10964" xr:uid="{00000000-0005-0000-0000-0000B15F0000}"/>
    <cellStyle name="표준 5 2 4 3 3 5 2 2" xfId="15076" xr:uid="{00000000-0005-0000-0000-0000B25F0000}"/>
    <cellStyle name="표준 5 2 4 3 3 5 2 2 2" xfId="31670" xr:uid="{00000000-0005-0000-0000-0000B35F0000}"/>
    <cellStyle name="표준 5 2 4 3 3 5 2 2 3" xfId="39881" xr:uid="{00000000-0005-0000-0000-0000B45F0000}"/>
    <cellStyle name="표준 5 2 4 3 3 5 2 2 4" xfId="48074" xr:uid="{00000000-0005-0000-0000-0000B55F0000}"/>
    <cellStyle name="표준 5 2 4 3 3 5 2 3" xfId="19316" xr:uid="{00000000-0005-0000-0000-0000B65F0000}"/>
    <cellStyle name="표준 5 2 4 3 3 5 2 4" xfId="23478" xr:uid="{00000000-0005-0000-0000-0000B75F0000}"/>
    <cellStyle name="표준 5 2 4 3 3 5 2 5" xfId="27574" xr:uid="{00000000-0005-0000-0000-0000B85F0000}"/>
    <cellStyle name="표준 5 2 4 3 3 5 2 6" xfId="35785" xr:uid="{00000000-0005-0000-0000-0000B95F0000}"/>
    <cellStyle name="표준 5 2 4 3 3 5 2 7" xfId="43978" xr:uid="{00000000-0005-0000-0000-0000BA5F0000}"/>
    <cellStyle name="표준 5 2 4 3 3 5 3" xfId="8916" xr:uid="{00000000-0005-0000-0000-0000BB5F0000}"/>
    <cellStyle name="표준 5 2 4 3 3 5 3 2" xfId="29622" xr:uid="{00000000-0005-0000-0000-0000BC5F0000}"/>
    <cellStyle name="표준 5 2 4 3 3 5 3 3" xfId="37833" xr:uid="{00000000-0005-0000-0000-0000BD5F0000}"/>
    <cellStyle name="표준 5 2 4 3 3 5 3 4" xfId="46026" xr:uid="{00000000-0005-0000-0000-0000BE5F0000}"/>
    <cellStyle name="표준 5 2 4 3 3 5 4" xfId="13028" xr:uid="{00000000-0005-0000-0000-0000BF5F0000}"/>
    <cellStyle name="표준 5 2 4 3 3 5 5" xfId="17268" xr:uid="{00000000-0005-0000-0000-0000C05F0000}"/>
    <cellStyle name="표준 5 2 4 3 3 5 6" xfId="21430" xr:uid="{00000000-0005-0000-0000-0000C15F0000}"/>
    <cellStyle name="표준 5 2 4 3 3 5 7" xfId="25526" xr:uid="{00000000-0005-0000-0000-0000C25F0000}"/>
    <cellStyle name="표준 5 2 4 3 3 5 8" xfId="33737" xr:uid="{00000000-0005-0000-0000-0000C35F0000}"/>
    <cellStyle name="표준 5 2 4 3 3 5 9" xfId="41930" xr:uid="{00000000-0005-0000-0000-0000C45F0000}"/>
    <cellStyle name="표준 5 2 4 3 3 6" xfId="9428" xr:uid="{00000000-0005-0000-0000-0000C55F0000}"/>
    <cellStyle name="표준 5 2 4 3 3 6 2" xfId="13540" xr:uid="{00000000-0005-0000-0000-0000C65F0000}"/>
    <cellStyle name="표준 5 2 4 3 3 6 2 2" xfId="30134" xr:uid="{00000000-0005-0000-0000-0000C75F0000}"/>
    <cellStyle name="표준 5 2 4 3 3 6 2 3" xfId="38345" xr:uid="{00000000-0005-0000-0000-0000C85F0000}"/>
    <cellStyle name="표준 5 2 4 3 3 6 2 4" xfId="46538" xr:uid="{00000000-0005-0000-0000-0000C95F0000}"/>
    <cellStyle name="표준 5 2 4 3 3 6 3" xfId="17780" xr:uid="{00000000-0005-0000-0000-0000CA5F0000}"/>
    <cellStyle name="표준 5 2 4 3 3 6 4" xfId="21942" xr:uid="{00000000-0005-0000-0000-0000CB5F0000}"/>
    <cellStyle name="표준 5 2 4 3 3 6 5" xfId="26038" xr:uid="{00000000-0005-0000-0000-0000CC5F0000}"/>
    <cellStyle name="표준 5 2 4 3 3 6 6" xfId="34249" xr:uid="{00000000-0005-0000-0000-0000CD5F0000}"/>
    <cellStyle name="표준 5 2 4 3 3 6 7" xfId="42442" xr:uid="{00000000-0005-0000-0000-0000CE5F0000}"/>
    <cellStyle name="표준 5 2 4 3 3 7" xfId="7380" xr:uid="{00000000-0005-0000-0000-0000CF5F0000}"/>
    <cellStyle name="표준 5 2 4 3 3 7 2" xfId="28086" xr:uid="{00000000-0005-0000-0000-0000D05F0000}"/>
    <cellStyle name="표준 5 2 4 3 3 7 3" xfId="36297" xr:uid="{00000000-0005-0000-0000-0000D15F0000}"/>
    <cellStyle name="표준 5 2 4 3 3 7 4" xfId="44490" xr:uid="{00000000-0005-0000-0000-0000D25F0000}"/>
    <cellStyle name="표준 5 2 4 3 3 8" xfId="11492" xr:uid="{00000000-0005-0000-0000-0000D35F0000}"/>
    <cellStyle name="표준 5 2 4 3 3 9" xfId="15732" xr:uid="{00000000-0005-0000-0000-0000D45F0000}"/>
    <cellStyle name="표준 5 2 4 3 4" xfId="653" xr:uid="{00000000-0005-0000-0000-0000D55F0000}"/>
    <cellStyle name="표준 5 2 4 3 4 10" xfId="24118" xr:uid="{00000000-0005-0000-0000-0000D65F0000}"/>
    <cellStyle name="표준 5 2 4 3 4 11" xfId="32329" xr:uid="{00000000-0005-0000-0000-0000D75F0000}"/>
    <cellStyle name="표준 5 2 4 3 4 12" xfId="40522" xr:uid="{00000000-0005-0000-0000-0000D85F0000}"/>
    <cellStyle name="표준 5 2 4 3 4 2" xfId="1165" xr:uid="{00000000-0005-0000-0000-0000D95F0000}"/>
    <cellStyle name="표준 5 2 4 3 4 2 2" xfId="10068" xr:uid="{00000000-0005-0000-0000-0000DA5F0000}"/>
    <cellStyle name="표준 5 2 4 3 4 2 2 2" xfId="14180" xr:uid="{00000000-0005-0000-0000-0000DB5F0000}"/>
    <cellStyle name="표준 5 2 4 3 4 2 2 2 2" xfId="30774" xr:uid="{00000000-0005-0000-0000-0000DC5F0000}"/>
    <cellStyle name="표준 5 2 4 3 4 2 2 2 3" xfId="38985" xr:uid="{00000000-0005-0000-0000-0000DD5F0000}"/>
    <cellStyle name="표준 5 2 4 3 4 2 2 2 4" xfId="47178" xr:uid="{00000000-0005-0000-0000-0000DE5F0000}"/>
    <cellStyle name="표준 5 2 4 3 4 2 2 3" xfId="18420" xr:uid="{00000000-0005-0000-0000-0000DF5F0000}"/>
    <cellStyle name="표준 5 2 4 3 4 2 2 4" xfId="22582" xr:uid="{00000000-0005-0000-0000-0000E05F0000}"/>
    <cellStyle name="표준 5 2 4 3 4 2 2 5" xfId="26678" xr:uid="{00000000-0005-0000-0000-0000E15F0000}"/>
    <cellStyle name="표준 5 2 4 3 4 2 2 6" xfId="34889" xr:uid="{00000000-0005-0000-0000-0000E25F0000}"/>
    <cellStyle name="표준 5 2 4 3 4 2 2 7" xfId="43082" xr:uid="{00000000-0005-0000-0000-0000E35F0000}"/>
    <cellStyle name="표준 5 2 4 3 4 2 3" xfId="8020" xr:uid="{00000000-0005-0000-0000-0000E45F0000}"/>
    <cellStyle name="표준 5 2 4 3 4 2 3 2" xfId="28726" xr:uid="{00000000-0005-0000-0000-0000E55F0000}"/>
    <cellStyle name="표준 5 2 4 3 4 2 3 3" xfId="36937" xr:uid="{00000000-0005-0000-0000-0000E65F0000}"/>
    <cellStyle name="표준 5 2 4 3 4 2 3 4" xfId="45130" xr:uid="{00000000-0005-0000-0000-0000E75F0000}"/>
    <cellStyle name="표준 5 2 4 3 4 2 4" xfId="12132" xr:uid="{00000000-0005-0000-0000-0000E85F0000}"/>
    <cellStyle name="표준 5 2 4 3 4 2 5" xfId="16372" xr:uid="{00000000-0005-0000-0000-0000E95F0000}"/>
    <cellStyle name="표준 5 2 4 3 4 2 6" xfId="20534" xr:uid="{00000000-0005-0000-0000-0000EA5F0000}"/>
    <cellStyle name="표준 5 2 4 3 4 2 7" xfId="24630" xr:uid="{00000000-0005-0000-0000-0000EB5F0000}"/>
    <cellStyle name="표준 5 2 4 3 4 2 8" xfId="32841" xr:uid="{00000000-0005-0000-0000-0000EC5F0000}"/>
    <cellStyle name="표준 5 2 4 3 4 2 9" xfId="41034" xr:uid="{00000000-0005-0000-0000-0000ED5F0000}"/>
    <cellStyle name="표준 5 2 4 3 4 3" xfId="1677" xr:uid="{00000000-0005-0000-0000-0000EE5F0000}"/>
    <cellStyle name="표준 5 2 4 3 4 3 2" xfId="10580" xr:uid="{00000000-0005-0000-0000-0000EF5F0000}"/>
    <cellStyle name="표준 5 2 4 3 4 3 2 2" xfId="14692" xr:uid="{00000000-0005-0000-0000-0000F05F0000}"/>
    <cellStyle name="표준 5 2 4 3 4 3 2 2 2" xfId="31286" xr:uid="{00000000-0005-0000-0000-0000F15F0000}"/>
    <cellStyle name="표준 5 2 4 3 4 3 2 2 3" xfId="39497" xr:uid="{00000000-0005-0000-0000-0000F25F0000}"/>
    <cellStyle name="표준 5 2 4 3 4 3 2 2 4" xfId="47690" xr:uid="{00000000-0005-0000-0000-0000F35F0000}"/>
    <cellStyle name="표준 5 2 4 3 4 3 2 3" xfId="18932" xr:uid="{00000000-0005-0000-0000-0000F45F0000}"/>
    <cellStyle name="표준 5 2 4 3 4 3 2 4" xfId="23094" xr:uid="{00000000-0005-0000-0000-0000F55F0000}"/>
    <cellStyle name="표준 5 2 4 3 4 3 2 5" xfId="27190" xr:uid="{00000000-0005-0000-0000-0000F65F0000}"/>
    <cellStyle name="표준 5 2 4 3 4 3 2 6" xfId="35401" xr:uid="{00000000-0005-0000-0000-0000F75F0000}"/>
    <cellStyle name="표준 5 2 4 3 4 3 2 7" xfId="43594" xr:uid="{00000000-0005-0000-0000-0000F85F0000}"/>
    <cellStyle name="표준 5 2 4 3 4 3 3" xfId="8532" xr:uid="{00000000-0005-0000-0000-0000F95F0000}"/>
    <cellStyle name="표준 5 2 4 3 4 3 3 2" xfId="29238" xr:uid="{00000000-0005-0000-0000-0000FA5F0000}"/>
    <cellStyle name="표준 5 2 4 3 4 3 3 3" xfId="37449" xr:uid="{00000000-0005-0000-0000-0000FB5F0000}"/>
    <cellStyle name="표준 5 2 4 3 4 3 3 4" xfId="45642" xr:uid="{00000000-0005-0000-0000-0000FC5F0000}"/>
    <cellStyle name="표준 5 2 4 3 4 3 4" xfId="12644" xr:uid="{00000000-0005-0000-0000-0000FD5F0000}"/>
    <cellStyle name="표준 5 2 4 3 4 3 5" xfId="16884" xr:uid="{00000000-0005-0000-0000-0000FE5F0000}"/>
    <cellStyle name="표준 5 2 4 3 4 3 6" xfId="21046" xr:uid="{00000000-0005-0000-0000-0000FF5F0000}"/>
    <cellStyle name="표준 5 2 4 3 4 3 7" xfId="25142" xr:uid="{00000000-0005-0000-0000-000000600000}"/>
    <cellStyle name="표준 5 2 4 3 4 3 8" xfId="33353" xr:uid="{00000000-0005-0000-0000-000001600000}"/>
    <cellStyle name="표준 5 2 4 3 4 3 9" xfId="41546" xr:uid="{00000000-0005-0000-0000-000002600000}"/>
    <cellStyle name="표준 5 2 4 3 4 4" xfId="2189" xr:uid="{00000000-0005-0000-0000-000003600000}"/>
    <cellStyle name="표준 5 2 4 3 4 4 2" xfId="11092" xr:uid="{00000000-0005-0000-0000-000004600000}"/>
    <cellStyle name="표준 5 2 4 3 4 4 2 2" xfId="15204" xr:uid="{00000000-0005-0000-0000-000005600000}"/>
    <cellStyle name="표준 5 2 4 3 4 4 2 2 2" xfId="31798" xr:uid="{00000000-0005-0000-0000-000006600000}"/>
    <cellStyle name="표준 5 2 4 3 4 4 2 2 3" xfId="40009" xr:uid="{00000000-0005-0000-0000-000007600000}"/>
    <cellStyle name="표준 5 2 4 3 4 4 2 2 4" xfId="48202" xr:uid="{00000000-0005-0000-0000-000008600000}"/>
    <cellStyle name="표준 5 2 4 3 4 4 2 3" xfId="19444" xr:uid="{00000000-0005-0000-0000-000009600000}"/>
    <cellStyle name="표준 5 2 4 3 4 4 2 4" xfId="23606" xr:uid="{00000000-0005-0000-0000-00000A600000}"/>
    <cellStyle name="표준 5 2 4 3 4 4 2 5" xfId="27702" xr:uid="{00000000-0005-0000-0000-00000B600000}"/>
    <cellStyle name="표준 5 2 4 3 4 4 2 6" xfId="35913" xr:uid="{00000000-0005-0000-0000-00000C600000}"/>
    <cellStyle name="표준 5 2 4 3 4 4 2 7" xfId="44106" xr:uid="{00000000-0005-0000-0000-00000D600000}"/>
    <cellStyle name="표준 5 2 4 3 4 4 3" xfId="9044" xr:uid="{00000000-0005-0000-0000-00000E600000}"/>
    <cellStyle name="표준 5 2 4 3 4 4 3 2" xfId="29750" xr:uid="{00000000-0005-0000-0000-00000F600000}"/>
    <cellStyle name="표준 5 2 4 3 4 4 3 3" xfId="37961" xr:uid="{00000000-0005-0000-0000-000010600000}"/>
    <cellStyle name="표준 5 2 4 3 4 4 3 4" xfId="46154" xr:uid="{00000000-0005-0000-0000-000011600000}"/>
    <cellStyle name="표준 5 2 4 3 4 4 4" xfId="13156" xr:uid="{00000000-0005-0000-0000-000012600000}"/>
    <cellStyle name="표준 5 2 4 3 4 4 5" xfId="17396" xr:uid="{00000000-0005-0000-0000-000013600000}"/>
    <cellStyle name="표준 5 2 4 3 4 4 6" xfId="21558" xr:uid="{00000000-0005-0000-0000-000014600000}"/>
    <cellStyle name="표준 5 2 4 3 4 4 7" xfId="25654" xr:uid="{00000000-0005-0000-0000-000015600000}"/>
    <cellStyle name="표준 5 2 4 3 4 4 8" xfId="33865" xr:uid="{00000000-0005-0000-0000-000016600000}"/>
    <cellStyle name="표준 5 2 4 3 4 4 9" xfId="42058" xr:uid="{00000000-0005-0000-0000-000017600000}"/>
    <cellStyle name="표준 5 2 4 3 4 5" xfId="9556" xr:uid="{00000000-0005-0000-0000-000018600000}"/>
    <cellStyle name="표준 5 2 4 3 4 5 2" xfId="13668" xr:uid="{00000000-0005-0000-0000-000019600000}"/>
    <cellStyle name="표준 5 2 4 3 4 5 2 2" xfId="30262" xr:uid="{00000000-0005-0000-0000-00001A600000}"/>
    <cellStyle name="표준 5 2 4 3 4 5 2 3" xfId="38473" xr:uid="{00000000-0005-0000-0000-00001B600000}"/>
    <cellStyle name="표준 5 2 4 3 4 5 2 4" xfId="46666" xr:uid="{00000000-0005-0000-0000-00001C600000}"/>
    <cellStyle name="표준 5 2 4 3 4 5 3" xfId="17908" xr:uid="{00000000-0005-0000-0000-00001D600000}"/>
    <cellStyle name="표준 5 2 4 3 4 5 4" xfId="22070" xr:uid="{00000000-0005-0000-0000-00001E600000}"/>
    <cellStyle name="표준 5 2 4 3 4 5 5" xfId="26166" xr:uid="{00000000-0005-0000-0000-00001F600000}"/>
    <cellStyle name="표준 5 2 4 3 4 5 6" xfId="34377" xr:uid="{00000000-0005-0000-0000-000020600000}"/>
    <cellStyle name="표준 5 2 4 3 4 5 7" xfId="42570" xr:uid="{00000000-0005-0000-0000-000021600000}"/>
    <cellStyle name="표준 5 2 4 3 4 6" xfId="7508" xr:uid="{00000000-0005-0000-0000-000022600000}"/>
    <cellStyle name="표준 5 2 4 3 4 6 2" xfId="28214" xr:uid="{00000000-0005-0000-0000-000023600000}"/>
    <cellStyle name="표준 5 2 4 3 4 6 3" xfId="36425" xr:uid="{00000000-0005-0000-0000-000024600000}"/>
    <cellStyle name="표준 5 2 4 3 4 6 4" xfId="44618" xr:uid="{00000000-0005-0000-0000-000025600000}"/>
    <cellStyle name="표준 5 2 4 3 4 7" xfId="11620" xr:uid="{00000000-0005-0000-0000-000026600000}"/>
    <cellStyle name="표준 5 2 4 3 4 8" xfId="15860" xr:uid="{00000000-0005-0000-0000-000027600000}"/>
    <cellStyle name="표준 5 2 4 3 4 9" xfId="20022" xr:uid="{00000000-0005-0000-0000-000028600000}"/>
    <cellStyle name="표준 5 2 4 3 5" xfId="909" xr:uid="{00000000-0005-0000-0000-000029600000}"/>
    <cellStyle name="표준 5 2 4 3 5 2" xfId="9812" xr:uid="{00000000-0005-0000-0000-00002A600000}"/>
    <cellStyle name="표준 5 2 4 3 5 2 2" xfId="13924" xr:uid="{00000000-0005-0000-0000-00002B600000}"/>
    <cellStyle name="표준 5 2 4 3 5 2 2 2" xfId="30518" xr:uid="{00000000-0005-0000-0000-00002C600000}"/>
    <cellStyle name="표준 5 2 4 3 5 2 2 3" xfId="38729" xr:uid="{00000000-0005-0000-0000-00002D600000}"/>
    <cellStyle name="표준 5 2 4 3 5 2 2 4" xfId="46922" xr:uid="{00000000-0005-0000-0000-00002E600000}"/>
    <cellStyle name="표준 5 2 4 3 5 2 3" xfId="18164" xr:uid="{00000000-0005-0000-0000-00002F600000}"/>
    <cellStyle name="표준 5 2 4 3 5 2 4" xfId="22326" xr:uid="{00000000-0005-0000-0000-000030600000}"/>
    <cellStyle name="표준 5 2 4 3 5 2 5" xfId="26422" xr:uid="{00000000-0005-0000-0000-000031600000}"/>
    <cellStyle name="표준 5 2 4 3 5 2 6" xfId="34633" xr:uid="{00000000-0005-0000-0000-000032600000}"/>
    <cellStyle name="표준 5 2 4 3 5 2 7" xfId="42826" xr:uid="{00000000-0005-0000-0000-000033600000}"/>
    <cellStyle name="표준 5 2 4 3 5 3" xfId="7764" xr:uid="{00000000-0005-0000-0000-000034600000}"/>
    <cellStyle name="표준 5 2 4 3 5 3 2" xfId="28470" xr:uid="{00000000-0005-0000-0000-000035600000}"/>
    <cellStyle name="표준 5 2 4 3 5 3 3" xfId="36681" xr:uid="{00000000-0005-0000-0000-000036600000}"/>
    <cellStyle name="표준 5 2 4 3 5 3 4" xfId="44874" xr:uid="{00000000-0005-0000-0000-000037600000}"/>
    <cellStyle name="표준 5 2 4 3 5 4" xfId="11876" xr:uid="{00000000-0005-0000-0000-000038600000}"/>
    <cellStyle name="표준 5 2 4 3 5 5" xfId="16116" xr:uid="{00000000-0005-0000-0000-000039600000}"/>
    <cellStyle name="표준 5 2 4 3 5 6" xfId="20278" xr:uid="{00000000-0005-0000-0000-00003A600000}"/>
    <cellStyle name="표준 5 2 4 3 5 7" xfId="24374" xr:uid="{00000000-0005-0000-0000-00003B600000}"/>
    <cellStyle name="표준 5 2 4 3 5 8" xfId="32585" xr:uid="{00000000-0005-0000-0000-00003C600000}"/>
    <cellStyle name="표준 5 2 4 3 5 9" xfId="40778" xr:uid="{00000000-0005-0000-0000-00003D600000}"/>
    <cellStyle name="표준 5 2 4 3 6" xfId="1421" xr:uid="{00000000-0005-0000-0000-00003E600000}"/>
    <cellStyle name="표준 5 2 4 3 6 2" xfId="10324" xr:uid="{00000000-0005-0000-0000-00003F600000}"/>
    <cellStyle name="표준 5 2 4 3 6 2 2" xfId="14436" xr:uid="{00000000-0005-0000-0000-000040600000}"/>
    <cellStyle name="표준 5 2 4 3 6 2 2 2" xfId="31030" xr:uid="{00000000-0005-0000-0000-000041600000}"/>
    <cellStyle name="표준 5 2 4 3 6 2 2 3" xfId="39241" xr:uid="{00000000-0005-0000-0000-000042600000}"/>
    <cellStyle name="표준 5 2 4 3 6 2 2 4" xfId="47434" xr:uid="{00000000-0005-0000-0000-000043600000}"/>
    <cellStyle name="표준 5 2 4 3 6 2 3" xfId="18676" xr:uid="{00000000-0005-0000-0000-000044600000}"/>
    <cellStyle name="표준 5 2 4 3 6 2 4" xfId="22838" xr:uid="{00000000-0005-0000-0000-000045600000}"/>
    <cellStyle name="표준 5 2 4 3 6 2 5" xfId="26934" xr:uid="{00000000-0005-0000-0000-000046600000}"/>
    <cellStyle name="표준 5 2 4 3 6 2 6" xfId="35145" xr:uid="{00000000-0005-0000-0000-000047600000}"/>
    <cellStyle name="표준 5 2 4 3 6 2 7" xfId="43338" xr:uid="{00000000-0005-0000-0000-000048600000}"/>
    <cellStyle name="표준 5 2 4 3 6 3" xfId="8276" xr:uid="{00000000-0005-0000-0000-000049600000}"/>
    <cellStyle name="표준 5 2 4 3 6 3 2" xfId="28982" xr:uid="{00000000-0005-0000-0000-00004A600000}"/>
    <cellStyle name="표준 5 2 4 3 6 3 3" xfId="37193" xr:uid="{00000000-0005-0000-0000-00004B600000}"/>
    <cellStyle name="표준 5 2 4 3 6 3 4" xfId="45386" xr:uid="{00000000-0005-0000-0000-00004C600000}"/>
    <cellStyle name="표준 5 2 4 3 6 4" xfId="12388" xr:uid="{00000000-0005-0000-0000-00004D600000}"/>
    <cellStyle name="표준 5 2 4 3 6 5" xfId="16628" xr:uid="{00000000-0005-0000-0000-00004E600000}"/>
    <cellStyle name="표준 5 2 4 3 6 6" xfId="20790" xr:uid="{00000000-0005-0000-0000-00004F600000}"/>
    <cellStyle name="표준 5 2 4 3 6 7" xfId="24886" xr:uid="{00000000-0005-0000-0000-000050600000}"/>
    <cellStyle name="표준 5 2 4 3 6 8" xfId="33097" xr:uid="{00000000-0005-0000-0000-000051600000}"/>
    <cellStyle name="표준 5 2 4 3 6 9" xfId="41290" xr:uid="{00000000-0005-0000-0000-000052600000}"/>
    <cellStyle name="표준 5 2 4 3 7" xfId="1933" xr:uid="{00000000-0005-0000-0000-000053600000}"/>
    <cellStyle name="표준 5 2 4 3 7 2" xfId="10836" xr:uid="{00000000-0005-0000-0000-000054600000}"/>
    <cellStyle name="표준 5 2 4 3 7 2 2" xfId="14948" xr:uid="{00000000-0005-0000-0000-000055600000}"/>
    <cellStyle name="표준 5 2 4 3 7 2 2 2" xfId="31542" xr:uid="{00000000-0005-0000-0000-000056600000}"/>
    <cellStyle name="표준 5 2 4 3 7 2 2 3" xfId="39753" xr:uid="{00000000-0005-0000-0000-000057600000}"/>
    <cellStyle name="표준 5 2 4 3 7 2 2 4" xfId="47946" xr:uid="{00000000-0005-0000-0000-000058600000}"/>
    <cellStyle name="표준 5 2 4 3 7 2 3" xfId="19188" xr:uid="{00000000-0005-0000-0000-000059600000}"/>
    <cellStyle name="표준 5 2 4 3 7 2 4" xfId="23350" xr:uid="{00000000-0005-0000-0000-00005A600000}"/>
    <cellStyle name="표준 5 2 4 3 7 2 5" xfId="27446" xr:uid="{00000000-0005-0000-0000-00005B600000}"/>
    <cellStyle name="표준 5 2 4 3 7 2 6" xfId="35657" xr:uid="{00000000-0005-0000-0000-00005C600000}"/>
    <cellStyle name="표준 5 2 4 3 7 2 7" xfId="43850" xr:uid="{00000000-0005-0000-0000-00005D600000}"/>
    <cellStyle name="표준 5 2 4 3 7 3" xfId="8788" xr:uid="{00000000-0005-0000-0000-00005E600000}"/>
    <cellStyle name="표준 5 2 4 3 7 3 2" xfId="29494" xr:uid="{00000000-0005-0000-0000-00005F600000}"/>
    <cellStyle name="표준 5 2 4 3 7 3 3" xfId="37705" xr:uid="{00000000-0005-0000-0000-000060600000}"/>
    <cellStyle name="표준 5 2 4 3 7 3 4" xfId="45898" xr:uid="{00000000-0005-0000-0000-000061600000}"/>
    <cellStyle name="표준 5 2 4 3 7 4" xfId="12900" xr:uid="{00000000-0005-0000-0000-000062600000}"/>
    <cellStyle name="표준 5 2 4 3 7 5" xfId="17140" xr:uid="{00000000-0005-0000-0000-000063600000}"/>
    <cellStyle name="표준 5 2 4 3 7 6" xfId="21302" xr:uid="{00000000-0005-0000-0000-000064600000}"/>
    <cellStyle name="표준 5 2 4 3 7 7" xfId="25398" xr:uid="{00000000-0005-0000-0000-000065600000}"/>
    <cellStyle name="표준 5 2 4 3 7 8" xfId="33609" xr:uid="{00000000-0005-0000-0000-000066600000}"/>
    <cellStyle name="표준 5 2 4 3 7 9" xfId="41802" xr:uid="{00000000-0005-0000-0000-000067600000}"/>
    <cellStyle name="표준 5 2 4 3 8" xfId="397" xr:uid="{00000000-0005-0000-0000-000068600000}"/>
    <cellStyle name="표준 5 2 4 3 8 2" xfId="9300" xr:uid="{00000000-0005-0000-0000-000069600000}"/>
    <cellStyle name="표준 5 2 4 3 8 2 2" xfId="30006" xr:uid="{00000000-0005-0000-0000-00006A600000}"/>
    <cellStyle name="표준 5 2 4 3 8 2 3" xfId="38217" xr:uid="{00000000-0005-0000-0000-00006B600000}"/>
    <cellStyle name="표준 5 2 4 3 8 2 4" xfId="46410" xr:uid="{00000000-0005-0000-0000-00006C600000}"/>
    <cellStyle name="표준 5 2 4 3 8 3" xfId="13412" xr:uid="{00000000-0005-0000-0000-00006D600000}"/>
    <cellStyle name="표준 5 2 4 3 8 4" xfId="17652" xr:uid="{00000000-0005-0000-0000-00006E600000}"/>
    <cellStyle name="표준 5 2 4 3 8 5" xfId="21814" xr:uid="{00000000-0005-0000-0000-00006F600000}"/>
    <cellStyle name="표준 5 2 4 3 8 6" xfId="25910" xr:uid="{00000000-0005-0000-0000-000070600000}"/>
    <cellStyle name="표준 5 2 4 3 8 7" xfId="34121" xr:uid="{00000000-0005-0000-0000-000071600000}"/>
    <cellStyle name="표준 5 2 4 3 8 8" xfId="42314" xr:uid="{00000000-0005-0000-0000-000072600000}"/>
    <cellStyle name="표준 5 2 4 3 9" xfId="6999" xr:uid="{00000000-0005-0000-0000-000073600000}"/>
    <cellStyle name="표준 5 2 4 3 9 2" xfId="27958" xr:uid="{00000000-0005-0000-0000-000074600000}"/>
    <cellStyle name="표준 5 2 4 3 9 3" xfId="36169" xr:uid="{00000000-0005-0000-0000-000075600000}"/>
    <cellStyle name="표준 5 2 4 3 9 4" xfId="44362" xr:uid="{00000000-0005-0000-0000-000076600000}"/>
    <cellStyle name="표준 5 2 4 30" xfId="32024" xr:uid="{00000000-0005-0000-0000-000077600000}"/>
    <cellStyle name="표준 5 2 4 31" xfId="32041" xr:uid="{00000000-0005-0000-0000-000078600000}"/>
    <cellStyle name="표준 5 2 4 32" xfId="40234" xr:uid="{00000000-0005-0000-0000-000079600000}"/>
    <cellStyle name="표준 5 2 4 33" xfId="48436" xr:uid="{00000000-0005-0000-0000-00007A600000}"/>
    <cellStyle name="표준 5 2 4 4" xfId="429" xr:uid="{00000000-0005-0000-0000-00007B600000}"/>
    <cellStyle name="표준 5 2 4 4 10" xfId="11396" xr:uid="{00000000-0005-0000-0000-00007C600000}"/>
    <cellStyle name="표준 5 2 4 4 11" xfId="15508" xr:uid="{00000000-0005-0000-0000-00007D600000}"/>
    <cellStyle name="표준 5 2 4 4 12" xfId="15636" xr:uid="{00000000-0005-0000-0000-00007E600000}"/>
    <cellStyle name="표준 5 2 4 4 13" xfId="19798" xr:uid="{00000000-0005-0000-0000-00007F600000}"/>
    <cellStyle name="표준 5 2 4 4 14" xfId="23894" xr:uid="{00000000-0005-0000-0000-000080600000}"/>
    <cellStyle name="표준 5 2 4 4 15" xfId="32105" xr:uid="{00000000-0005-0000-0000-000081600000}"/>
    <cellStyle name="표준 5 2 4 4 16" xfId="40298" xr:uid="{00000000-0005-0000-0000-000082600000}"/>
    <cellStyle name="표준 5 2 4 4 2" xfId="557" xr:uid="{00000000-0005-0000-0000-000083600000}"/>
    <cellStyle name="표준 5 2 4 4 2 10" xfId="19926" xr:uid="{00000000-0005-0000-0000-000084600000}"/>
    <cellStyle name="표준 5 2 4 4 2 11" xfId="24022" xr:uid="{00000000-0005-0000-0000-000085600000}"/>
    <cellStyle name="표준 5 2 4 4 2 12" xfId="32233" xr:uid="{00000000-0005-0000-0000-000086600000}"/>
    <cellStyle name="표준 5 2 4 4 2 13" xfId="40426" xr:uid="{00000000-0005-0000-0000-000087600000}"/>
    <cellStyle name="표준 5 2 4 4 2 2" xfId="813" xr:uid="{00000000-0005-0000-0000-000088600000}"/>
    <cellStyle name="표준 5 2 4 4 2 2 10" xfId="24278" xr:uid="{00000000-0005-0000-0000-000089600000}"/>
    <cellStyle name="표준 5 2 4 4 2 2 11" xfId="32489" xr:uid="{00000000-0005-0000-0000-00008A600000}"/>
    <cellStyle name="표준 5 2 4 4 2 2 12" xfId="40682" xr:uid="{00000000-0005-0000-0000-00008B600000}"/>
    <cellStyle name="표준 5 2 4 4 2 2 2" xfId="1325" xr:uid="{00000000-0005-0000-0000-00008C600000}"/>
    <cellStyle name="표준 5 2 4 4 2 2 2 2" xfId="10228" xr:uid="{00000000-0005-0000-0000-00008D600000}"/>
    <cellStyle name="표준 5 2 4 4 2 2 2 2 2" xfId="14340" xr:uid="{00000000-0005-0000-0000-00008E600000}"/>
    <cellStyle name="표준 5 2 4 4 2 2 2 2 2 2" xfId="30934" xr:uid="{00000000-0005-0000-0000-00008F600000}"/>
    <cellStyle name="표준 5 2 4 4 2 2 2 2 2 3" xfId="39145" xr:uid="{00000000-0005-0000-0000-000090600000}"/>
    <cellStyle name="표준 5 2 4 4 2 2 2 2 2 4" xfId="47338" xr:uid="{00000000-0005-0000-0000-000091600000}"/>
    <cellStyle name="표준 5 2 4 4 2 2 2 2 3" xfId="18580" xr:uid="{00000000-0005-0000-0000-000092600000}"/>
    <cellStyle name="표준 5 2 4 4 2 2 2 2 4" xfId="22742" xr:uid="{00000000-0005-0000-0000-000093600000}"/>
    <cellStyle name="표준 5 2 4 4 2 2 2 2 5" xfId="26838" xr:uid="{00000000-0005-0000-0000-000094600000}"/>
    <cellStyle name="표준 5 2 4 4 2 2 2 2 6" xfId="35049" xr:uid="{00000000-0005-0000-0000-000095600000}"/>
    <cellStyle name="표준 5 2 4 4 2 2 2 2 7" xfId="43242" xr:uid="{00000000-0005-0000-0000-000096600000}"/>
    <cellStyle name="표준 5 2 4 4 2 2 2 3" xfId="8180" xr:uid="{00000000-0005-0000-0000-000097600000}"/>
    <cellStyle name="표준 5 2 4 4 2 2 2 3 2" xfId="28886" xr:uid="{00000000-0005-0000-0000-000098600000}"/>
    <cellStyle name="표준 5 2 4 4 2 2 2 3 3" xfId="37097" xr:uid="{00000000-0005-0000-0000-000099600000}"/>
    <cellStyle name="표준 5 2 4 4 2 2 2 3 4" xfId="45290" xr:uid="{00000000-0005-0000-0000-00009A600000}"/>
    <cellStyle name="표준 5 2 4 4 2 2 2 4" xfId="12292" xr:uid="{00000000-0005-0000-0000-00009B600000}"/>
    <cellStyle name="표준 5 2 4 4 2 2 2 5" xfId="16532" xr:uid="{00000000-0005-0000-0000-00009C600000}"/>
    <cellStyle name="표준 5 2 4 4 2 2 2 6" xfId="20694" xr:uid="{00000000-0005-0000-0000-00009D600000}"/>
    <cellStyle name="표준 5 2 4 4 2 2 2 7" xfId="24790" xr:uid="{00000000-0005-0000-0000-00009E600000}"/>
    <cellStyle name="표준 5 2 4 4 2 2 2 8" xfId="33001" xr:uid="{00000000-0005-0000-0000-00009F600000}"/>
    <cellStyle name="표준 5 2 4 4 2 2 2 9" xfId="41194" xr:uid="{00000000-0005-0000-0000-0000A0600000}"/>
    <cellStyle name="표준 5 2 4 4 2 2 3" xfId="1837" xr:uid="{00000000-0005-0000-0000-0000A1600000}"/>
    <cellStyle name="표준 5 2 4 4 2 2 3 2" xfId="10740" xr:uid="{00000000-0005-0000-0000-0000A2600000}"/>
    <cellStyle name="표준 5 2 4 4 2 2 3 2 2" xfId="14852" xr:uid="{00000000-0005-0000-0000-0000A3600000}"/>
    <cellStyle name="표준 5 2 4 4 2 2 3 2 2 2" xfId="31446" xr:uid="{00000000-0005-0000-0000-0000A4600000}"/>
    <cellStyle name="표준 5 2 4 4 2 2 3 2 2 3" xfId="39657" xr:uid="{00000000-0005-0000-0000-0000A5600000}"/>
    <cellStyle name="표준 5 2 4 4 2 2 3 2 2 4" xfId="47850" xr:uid="{00000000-0005-0000-0000-0000A6600000}"/>
    <cellStyle name="표준 5 2 4 4 2 2 3 2 3" xfId="19092" xr:uid="{00000000-0005-0000-0000-0000A7600000}"/>
    <cellStyle name="표준 5 2 4 4 2 2 3 2 4" xfId="23254" xr:uid="{00000000-0005-0000-0000-0000A8600000}"/>
    <cellStyle name="표준 5 2 4 4 2 2 3 2 5" xfId="27350" xr:uid="{00000000-0005-0000-0000-0000A9600000}"/>
    <cellStyle name="표준 5 2 4 4 2 2 3 2 6" xfId="35561" xr:uid="{00000000-0005-0000-0000-0000AA600000}"/>
    <cellStyle name="표준 5 2 4 4 2 2 3 2 7" xfId="43754" xr:uid="{00000000-0005-0000-0000-0000AB600000}"/>
    <cellStyle name="표준 5 2 4 4 2 2 3 3" xfId="8692" xr:uid="{00000000-0005-0000-0000-0000AC600000}"/>
    <cellStyle name="표준 5 2 4 4 2 2 3 3 2" xfId="29398" xr:uid="{00000000-0005-0000-0000-0000AD600000}"/>
    <cellStyle name="표준 5 2 4 4 2 2 3 3 3" xfId="37609" xr:uid="{00000000-0005-0000-0000-0000AE600000}"/>
    <cellStyle name="표준 5 2 4 4 2 2 3 3 4" xfId="45802" xr:uid="{00000000-0005-0000-0000-0000AF600000}"/>
    <cellStyle name="표준 5 2 4 4 2 2 3 4" xfId="12804" xr:uid="{00000000-0005-0000-0000-0000B0600000}"/>
    <cellStyle name="표준 5 2 4 4 2 2 3 5" xfId="17044" xr:uid="{00000000-0005-0000-0000-0000B1600000}"/>
    <cellStyle name="표준 5 2 4 4 2 2 3 6" xfId="21206" xr:uid="{00000000-0005-0000-0000-0000B2600000}"/>
    <cellStyle name="표준 5 2 4 4 2 2 3 7" xfId="25302" xr:uid="{00000000-0005-0000-0000-0000B3600000}"/>
    <cellStyle name="표준 5 2 4 4 2 2 3 8" xfId="33513" xr:uid="{00000000-0005-0000-0000-0000B4600000}"/>
    <cellStyle name="표준 5 2 4 4 2 2 3 9" xfId="41706" xr:uid="{00000000-0005-0000-0000-0000B5600000}"/>
    <cellStyle name="표준 5 2 4 4 2 2 4" xfId="2349" xr:uid="{00000000-0005-0000-0000-0000B6600000}"/>
    <cellStyle name="표준 5 2 4 4 2 2 4 2" xfId="11252" xr:uid="{00000000-0005-0000-0000-0000B7600000}"/>
    <cellStyle name="표준 5 2 4 4 2 2 4 2 2" xfId="15364" xr:uid="{00000000-0005-0000-0000-0000B8600000}"/>
    <cellStyle name="표준 5 2 4 4 2 2 4 2 2 2" xfId="31958" xr:uid="{00000000-0005-0000-0000-0000B9600000}"/>
    <cellStyle name="표준 5 2 4 4 2 2 4 2 2 3" xfId="40169" xr:uid="{00000000-0005-0000-0000-0000BA600000}"/>
    <cellStyle name="표준 5 2 4 4 2 2 4 2 2 4" xfId="48362" xr:uid="{00000000-0005-0000-0000-0000BB600000}"/>
    <cellStyle name="표준 5 2 4 4 2 2 4 2 3" xfId="19604" xr:uid="{00000000-0005-0000-0000-0000BC600000}"/>
    <cellStyle name="표준 5 2 4 4 2 2 4 2 4" xfId="23766" xr:uid="{00000000-0005-0000-0000-0000BD600000}"/>
    <cellStyle name="표준 5 2 4 4 2 2 4 2 5" xfId="27862" xr:uid="{00000000-0005-0000-0000-0000BE600000}"/>
    <cellStyle name="표준 5 2 4 4 2 2 4 2 6" xfId="36073" xr:uid="{00000000-0005-0000-0000-0000BF600000}"/>
    <cellStyle name="표준 5 2 4 4 2 2 4 2 7" xfId="44266" xr:uid="{00000000-0005-0000-0000-0000C0600000}"/>
    <cellStyle name="표준 5 2 4 4 2 2 4 3" xfId="9204" xr:uid="{00000000-0005-0000-0000-0000C1600000}"/>
    <cellStyle name="표준 5 2 4 4 2 2 4 3 2" xfId="29910" xr:uid="{00000000-0005-0000-0000-0000C2600000}"/>
    <cellStyle name="표준 5 2 4 4 2 2 4 3 3" xfId="38121" xr:uid="{00000000-0005-0000-0000-0000C3600000}"/>
    <cellStyle name="표준 5 2 4 4 2 2 4 3 4" xfId="46314" xr:uid="{00000000-0005-0000-0000-0000C4600000}"/>
    <cellStyle name="표준 5 2 4 4 2 2 4 4" xfId="13316" xr:uid="{00000000-0005-0000-0000-0000C5600000}"/>
    <cellStyle name="표준 5 2 4 4 2 2 4 5" xfId="17556" xr:uid="{00000000-0005-0000-0000-0000C6600000}"/>
    <cellStyle name="표준 5 2 4 4 2 2 4 6" xfId="21718" xr:uid="{00000000-0005-0000-0000-0000C7600000}"/>
    <cellStyle name="표준 5 2 4 4 2 2 4 7" xfId="25814" xr:uid="{00000000-0005-0000-0000-0000C8600000}"/>
    <cellStyle name="표준 5 2 4 4 2 2 4 8" xfId="34025" xr:uid="{00000000-0005-0000-0000-0000C9600000}"/>
    <cellStyle name="표준 5 2 4 4 2 2 4 9" xfId="42218" xr:uid="{00000000-0005-0000-0000-0000CA600000}"/>
    <cellStyle name="표준 5 2 4 4 2 2 5" xfId="9716" xr:uid="{00000000-0005-0000-0000-0000CB600000}"/>
    <cellStyle name="표준 5 2 4 4 2 2 5 2" xfId="13828" xr:uid="{00000000-0005-0000-0000-0000CC600000}"/>
    <cellStyle name="표준 5 2 4 4 2 2 5 2 2" xfId="30422" xr:uid="{00000000-0005-0000-0000-0000CD600000}"/>
    <cellStyle name="표준 5 2 4 4 2 2 5 2 3" xfId="38633" xr:uid="{00000000-0005-0000-0000-0000CE600000}"/>
    <cellStyle name="표준 5 2 4 4 2 2 5 2 4" xfId="46826" xr:uid="{00000000-0005-0000-0000-0000CF600000}"/>
    <cellStyle name="표준 5 2 4 4 2 2 5 3" xfId="18068" xr:uid="{00000000-0005-0000-0000-0000D0600000}"/>
    <cellStyle name="표준 5 2 4 4 2 2 5 4" xfId="22230" xr:uid="{00000000-0005-0000-0000-0000D1600000}"/>
    <cellStyle name="표준 5 2 4 4 2 2 5 5" xfId="26326" xr:uid="{00000000-0005-0000-0000-0000D2600000}"/>
    <cellStyle name="표준 5 2 4 4 2 2 5 6" xfId="34537" xr:uid="{00000000-0005-0000-0000-0000D3600000}"/>
    <cellStyle name="표준 5 2 4 4 2 2 5 7" xfId="42730" xr:uid="{00000000-0005-0000-0000-0000D4600000}"/>
    <cellStyle name="표준 5 2 4 4 2 2 6" xfId="7668" xr:uid="{00000000-0005-0000-0000-0000D5600000}"/>
    <cellStyle name="표준 5 2 4 4 2 2 6 2" xfId="28374" xr:uid="{00000000-0005-0000-0000-0000D6600000}"/>
    <cellStyle name="표준 5 2 4 4 2 2 6 3" xfId="36585" xr:uid="{00000000-0005-0000-0000-0000D7600000}"/>
    <cellStyle name="표준 5 2 4 4 2 2 6 4" xfId="44778" xr:uid="{00000000-0005-0000-0000-0000D8600000}"/>
    <cellStyle name="표준 5 2 4 4 2 2 7" xfId="11780" xr:uid="{00000000-0005-0000-0000-0000D9600000}"/>
    <cellStyle name="표준 5 2 4 4 2 2 8" xfId="16020" xr:uid="{00000000-0005-0000-0000-0000DA600000}"/>
    <cellStyle name="표준 5 2 4 4 2 2 9" xfId="20182" xr:uid="{00000000-0005-0000-0000-0000DB600000}"/>
    <cellStyle name="표준 5 2 4 4 2 3" xfId="1069" xr:uid="{00000000-0005-0000-0000-0000DC600000}"/>
    <cellStyle name="표준 5 2 4 4 2 3 2" xfId="9972" xr:uid="{00000000-0005-0000-0000-0000DD600000}"/>
    <cellStyle name="표준 5 2 4 4 2 3 2 2" xfId="14084" xr:uid="{00000000-0005-0000-0000-0000DE600000}"/>
    <cellStyle name="표준 5 2 4 4 2 3 2 2 2" xfId="30678" xr:uid="{00000000-0005-0000-0000-0000DF600000}"/>
    <cellStyle name="표준 5 2 4 4 2 3 2 2 3" xfId="38889" xr:uid="{00000000-0005-0000-0000-0000E0600000}"/>
    <cellStyle name="표준 5 2 4 4 2 3 2 2 4" xfId="47082" xr:uid="{00000000-0005-0000-0000-0000E1600000}"/>
    <cellStyle name="표준 5 2 4 4 2 3 2 3" xfId="18324" xr:uid="{00000000-0005-0000-0000-0000E2600000}"/>
    <cellStyle name="표준 5 2 4 4 2 3 2 4" xfId="22486" xr:uid="{00000000-0005-0000-0000-0000E3600000}"/>
    <cellStyle name="표준 5 2 4 4 2 3 2 5" xfId="26582" xr:uid="{00000000-0005-0000-0000-0000E4600000}"/>
    <cellStyle name="표준 5 2 4 4 2 3 2 6" xfId="34793" xr:uid="{00000000-0005-0000-0000-0000E5600000}"/>
    <cellStyle name="표준 5 2 4 4 2 3 2 7" xfId="42986" xr:uid="{00000000-0005-0000-0000-0000E6600000}"/>
    <cellStyle name="표준 5 2 4 4 2 3 3" xfId="7924" xr:uid="{00000000-0005-0000-0000-0000E7600000}"/>
    <cellStyle name="표준 5 2 4 4 2 3 3 2" xfId="28630" xr:uid="{00000000-0005-0000-0000-0000E8600000}"/>
    <cellStyle name="표준 5 2 4 4 2 3 3 3" xfId="36841" xr:uid="{00000000-0005-0000-0000-0000E9600000}"/>
    <cellStyle name="표준 5 2 4 4 2 3 3 4" xfId="45034" xr:uid="{00000000-0005-0000-0000-0000EA600000}"/>
    <cellStyle name="표준 5 2 4 4 2 3 4" xfId="12036" xr:uid="{00000000-0005-0000-0000-0000EB600000}"/>
    <cellStyle name="표준 5 2 4 4 2 3 5" xfId="16276" xr:uid="{00000000-0005-0000-0000-0000EC600000}"/>
    <cellStyle name="표준 5 2 4 4 2 3 6" xfId="20438" xr:uid="{00000000-0005-0000-0000-0000ED600000}"/>
    <cellStyle name="표준 5 2 4 4 2 3 7" xfId="24534" xr:uid="{00000000-0005-0000-0000-0000EE600000}"/>
    <cellStyle name="표준 5 2 4 4 2 3 8" xfId="32745" xr:uid="{00000000-0005-0000-0000-0000EF600000}"/>
    <cellStyle name="표준 5 2 4 4 2 3 9" xfId="40938" xr:uid="{00000000-0005-0000-0000-0000F0600000}"/>
    <cellStyle name="표준 5 2 4 4 2 4" xfId="1581" xr:uid="{00000000-0005-0000-0000-0000F1600000}"/>
    <cellStyle name="표준 5 2 4 4 2 4 2" xfId="10484" xr:uid="{00000000-0005-0000-0000-0000F2600000}"/>
    <cellStyle name="표준 5 2 4 4 2 4 2 2" xfId="14596" xr:uid="{00000000-0005-0000-0000-0000F3600000}"/>
    <cellStyle name="표준 5 2 4 4 2 4 2 2 2" xfId="31190" xr:uid="{00000000-0005-0000-0000-0000F4600000}"/>
    <cellStyle name="표준 5 2 4 4 2 4 2 2 3" xfId="39401" xr:uid="{00000000-0005-0000-0000-0000F5600000}"/>
    <cellStyle name="표준 5 2 4 4 2 4 2 2 4" xfId="47594" xr:uid="{00000000-0005-0000-0000-0000F6600000}"/>
    <cellStyle name="표준 5 2 4 4 2 4 2 3" xfId="18836" xr:uid="{00000000-0005-0000-0000-0000F7600000}"/>
    <cellStyle name="표준 5 2 4 4 2 4 2 4" xfId="22998" xr:uid="{00000000-0005-0000-0000-0000F8600000}"/>
    <cellStyle name="표준 5 2 4 4 2 4 2 5" xfId="27094" xr:uid="{00000000-0005-0000-0000-0000F9600000}"/>
    <cellStyle name="표준 5 2 4 4 2 4 2 6" xfId="35305" xr:uid="{00000000-0005-0000-0000-0000FA600000}"/>
    <cellStyle name="표준 5 2 4 4 2 4 2 7" xfId="43498" xr:uid="{00000000-0005-0000-0000-0000FB600000}"/>
    <cellStyle name="표준 5 2 4 4 2 4 3" xfId="8436" xr:uid="{00000000-0005-0000-0000-0000FC600000}"/>
    <cellStyle name="표준 5 2 4 4 2 4 3 2" xfId="29142" xr:uid="{00000000-0005-0000-0000-0000FD600000}"/>
    <cellStyle name="표준 5 2 4 4 2 4 3 3" xfId="37353" xr:uid="{00000000-0005-0000-0000-0000FE600000}"/>
    <cellStyle name="표준 5 2 4 4 2 4 3 4" xfId="45546" xr:uid="{00000000-0005-0000-0000-0000FF600000}"/>
    <cellStyle name="표준 5 2 4 4 2 4 4" xfId="12548" xr:uid="{00000000-0005-0000-0000-000000610000}"/>
    <cellStyle name="표준 5 2 4 4 2 4 5" xfId="16788" xr:uid="{00000000-0005-0000-0000-000001610000}"/>
    <cellStyle name="표준 5 2 4 4 2 4 6" xfId="20950" xr:uid="{00000000-0005-0000-0000-000002610000}"/>
    <cellStyle name="표준 5 2 4 4 2 4 7" xfId="25046" xr:uid="{00000000-0005-0000-0000-000003610000}"/>
    <cellStyle name="표준 5 2 4 4 2 4 8" xfId="33257" xr:uid="{00000000-0005-0000-0000-000004610000}"/>
    <cellStyle name="표준 5 2 4 4 2 4 9" xfId="41450" xr:uid="{00000000-0005-0000-0000-000005610000}"/>
    <cellStyle name="표준 5 2 4 4 2 5" xfId="2093" xr:uid="{00000000-0005-0000-0000-000006610000}"/>
    <cellStyle name="표준 5 2 4 4 2 5 2" xfId="10996" xr:uid="{00000000-0005-0000-0000-000007610000}"/>
    <cellStyle name="표준 5 2 4 4 2 5 2 2" xfId="15108" xr:uid="{00000000-0005-0000-0000-000008610000}"/>
    <cellStyle name="표준 5 2 4 4 2 5 2 2 2" xfId="31702" xr:uid="{00000000-0005-0000-0000-000009610000}"/>
    <cellStyle name="표준 5 2 4 4 2 5 2 2 3" xfId="39913" xr:uid="{00000000-0005-0000-0000-00000A610000}"/>
    <cellStyle name="표준 5 2 4 4 2 5 2 2 4" xfId="48106" xr:uid="{00000000-0005-0000-0000-00000B610000}"/>
    <cellStyle name="표준 5 2 4 4 2 5 2 3" xfId="19348" xr:uid="{00000000-0005-0000-0000-00000C610000}"/>
    <cellStyle name="표준 5 2 4 4 2 5 2 4" xfId="23510" xr:uid="{00000000-0005-0000-0000-00000D610000}"/>
    <cellStyle name="표준 5 2 4 4 2 5 2 5" xfId="27606" xr:uid="{00000000-0005-0000-0000-00000E610000}"/>
    <cellStyle name="표준 5 2 4 4 2 5 2 6" xfId="35817" xr:uid="{00000000-0005-0000-0000-00000F610000}"/>
    <cellStyle name="표준 5 2 4 4 2 5 2 7" xfId="44010" xr:uid="{00000000-0005-0000-0000-000010610000}"/>
    <cellStyle name="표준 5 2 4 4 2 5 3" xfId="8948" xr:uid="{00000000-0005-0000-0000-000011610000}"/>
    <cellStyle name="표준 5 2 4 4 2 5 3 2" xfId="29654" xr:uid="{00000000-0005-0000-0000-000012610000}"/>
    <cellStyle name="표준 5 2 4 4 2 5 3 3" xfId="37865" xr:uid="{00000000-0005-0000-0000-000013610000}"/>
    <cellStyle name="표준 5 2 4 4 2 5 3 4" xfId="46058" xr:uid="{00000000-0005-0000-0000-000014610000}"/>
    <cellStyle name="표준 5 2 4 4 2 5 4" xfId="13060" xr:uid="{00000000-0005-0000-0000-000015610000}"/>
    <cellStyle name="표준 5 2 4 4 2 5 5" xfId="17300" xr:uid="{00000000-0005-0000-0000-000016610000}"/>
    <cellStyle name="표준 5 2 4 4 2 5 6" xfId="21462" xr:uid="{00000000-0005-0000-0000-000017610000}"/>
    <cellStyle name="표준 5 2 4 4 2 5 7" xfId="25558" xr:uid="{00000000-0005-0000-0000-000018610000}"/>
    <cellStyle name="표준 5 2 4 4 2 5 8" xfId="33769" xr:uid="{00000000-0005-0000-0000-000019610000}"/>
    <cellStyle name="표준 5 2 4 4 2 5 9" xfId="41962" xr:uid="{00000000-0005-0000-0000-00001A610000}"/>
    <cellStyle name="표준 5 2 4 4 2 6" xfId="9460" xr:uid="{00000000-0005-0000-0000-00001B610000}"/>
    <cellStyle name="표준 5 2 4 4 2 6 2" xfId="13572" xr:uid="{00000000-0005-0000-0000-00001C610000}"/>
    <cellStyle name="표준 5 2 4 4 2 6 2 2" xfId="30166" xr:uid="{00000000-0005-0000-0000-00001D610000}"/>
    <cellStyle name="표준 5 2 4 4 2 6 2 3" xfId="38377" xr:uid="{00000000-0005-0000-0000-00001E610000}"/>
    <cellStyle name="표준 5 2 4 4 2 6 2 4" xfId="46570" xr:uid="{00000000-0005-0000-0000-00001F610000}"/>
    <cellStyle name="표준 5 2 4 4 2 6 3" xfId="17812" xr:uid="{00000000-0005-0000-0000-000020610000}"/>
    <cellStyle name="표준 5 2 4 4 2 6 4" xfId="21974" xr:uid="{00000000-0005-0000-0000-000021610000}"/>
    <cellStyle name="표준 5 2 4 4 2 6 5" xfId="26070" xr:uid="{00000000-0005-0000-0000-000022610000}"/>
    <cellStyle name="표준 5 2 4 4 2 6 6" xfId="34281" xr:uid="{00000000-0005-0000-0000-000023610000}"/>
    <cellStyle name="표준 5 2 4 4 2 6 7" xfId="42474" xr:uid="{00000000-0005-0000-0000-000024610000}"/>
    <cellStyle name="표준 5 2 4 4 2 7" xfId="7412" xr:uid="{00000000-0005-0000-0000-000025610000}"/>
    <cellStyle name="표준 5 2 4 4 2 7 2" xfId="28118" xr:uid="{00000000-0005-0000-0000-000026610000}"/>
    <cellStyle name="표준 5 2 4 4 2 7 3" xfId="36329" xr:uid="{00000000-0005-0000-0000-000027610000}"/>
    <cellStyle name="표준 5 2 4 4 2 7 4" xfId="44522" xr:uid="{00000000-0005-0000-0000-000028610000}"/>
    <cellStyle name="표준 5 2 4 4 2 8" xfId="11524" xr:uid="{00000000-0005-0000-0000-000029610000}"/>
    <cellStyle name="표준 5 2 4 4 2 9" xfId="15764" xr:uid="{00000000-0005-0000-0000-00002A610000}"/>
    <cellStyle name="표준 5 2 4 4 3" xfId="685" xr:uid="{00000000-0005-0000-0000-00002B610000}"/>
    <cellStyle name="표준 5 2 4 4 3 10" xfId="24150" xr:uid="{00000000-0005-0000-0000-00002C610000}"/>
    <cellStyle name="표준 5 2 4 4 3 11" xfId="32361" xr:uid="{00000000-0005-0000-0000-00002D610000}"/>
    <cellStyle name="표준 5 2 4 4 3 12" xfId="40554" xr:uid="{00000000-0005-0000-0000-00002E610000}"/>
    <cellStyle name="표준 5 2 4 4 3 2" xfId="1197" xr:uid="{00000000-0005-0000-0000-00002F610000}"/>
    <cellStyle name="표준 5 2 4 4 3 2 2" xfId="10100" xr:uid="{00000000-0005-0000-0000-000030610000}"/>
    <cellStyle name="표준 5 2 4 4 3 2 2 2" xfId="14212" xr:uid="{00000000-0005-0000-0000-000031610000}"/>
    <cellStyle name="표준 5 2 4 4 3 2 2 2 2" xfId="30806" xr:uid="{00000000-0005-0000-0000-000032610000}"/>
    <cellStyle name="표준 5 2 4 4 3 2 2 2 3" xfId="39017" xr:uid="{00000000-0005-0000-0000-000033610000}"/>
    <cellStyle name="표준 5 2 4 4 3 2 2 2 4" xfId="47210" xr:uid="{00000000-0005-0000-0000-000034610000}"/>
    <cellStyle name="표준 5 2 4 4 3 2 2 3" xfId="18452" xr:uid="{00000000-0005-0000-0000-000035610000}"/>
    <cellStyle name="표준 5 2 4 4 3 2 2 4" xfId="22614" xr:uid="{00000000-0005-0000-0000-000036610000}"/>
    <cellStyle name="표준 5 2 4 4 3 2 2 5" xfId="26710" xr:uid="{00000000-0005-0000-0000-000037610000}"/>
    <cellStyle name="표준 5 2 4 4 3 2 2 6" xfId="34921" xr:uid="{00000000-0005-0000-0000-000038610000}"/>
    <cellStyle name="표준 5 2 4 4 3 2 2 7" xfId="43114" xr:uid="{00000000-0005-0000-0000-000039610000}"/>
    <cellStyle name="표준 5 2 4 4 3 2 3" xfId="8052" xr:uid="{00000000-0005-0000-0000-00003A610000}"/>
    <cellStyle name="표준 5 2 4 4 3 2 3 2" xfId="28758" xr:uid="{00000000-0005-0000-0000-00003B610000}"/>
    <cellStyle name="표준 5 2 4 4 3 2 3 3" xfId="36969" xr:uid="{00000000-0005-0000-0000-00003C610000}"/>
    <cellStyle name="표준 5 2 4 4 3 2 3 4" xfId="45162" xr:uid="{00000000-0005-0000-0000-00003D610000}"/>
    <cellStyle name="표준 5 2 4 4 3 2 4" xfId="12164" xr:uid="{00000000-0005-0000-0000-00003E610000}"/>
    <cellStyle name="표준 5 2 4 4 3 2 5" xfId="16404" xr:uid="{00000000-0005-0000-0000-00003F610000}"/>
    <cellStyle name="표준 5 2 4 4 3 2 6" xfId="20566" xr:uid="{00000000-0005-0000-0000-000040610000}"/>
    <cellStyle name="표준 5 2 4 4 3 2 7" xfId="24662" xr:uid="{00000000-0005-0000-0000-000041610000}"/>
    <cellStyle name="표준 5 2 4 4 3 2 8" xfId="32873" xr:uid="{00000000-0005-0000-0000-000042610000}"/>
    <cellStyle name="표준 5 2 4 4 3 2 9" xfId="41066" xr:uid="{00000000-0005-0000-0000-000043610000}"/>
    <cellStyle name="표준 5 2 4 4 3 3" xfId="1709" xr:uid="{00000000-0005-0000-0000-000044610000}"/>
    <cellStyle name="표준 5 2 4 4 3 3 2" xfId="10612" xr:uid="{00000000-0005-0000-0000-000045610000}"/>
    <cellStyle name="표준 5 2 4 4 3 3 2 2" xfId="14724" xr:uid="{00000000-0005-0000-0000-000046610000}"/>
    <cellStyle name="표준 5 2 4 4 3 3 2 2 2" xfId="31318" xr:uid="{00000000-0005-0000-0000-000047610000}"/>
    <cellStyle name="표준 5 2 4 4 3 3 2 2 3" xfId="39529" xr:uid="{00000000-0005-0000-0000-000048610000}"/>
    <cellStyle name="표준 5 2 4 4 3 3 2 2 4" xfId="47722" xr:uid="{00000000-0005-0000-0000-000049610000}"/>
    <cellStyle name="표준 5 2 4 4 3 3 2 3" xfId="18964" xr:uid="{00000000-0005-0000-0000-00004A610000}"/>
    <cellStyle name="표준 5 2 4 4 3 3 2 4" xfId="23126" xr:uid="{00000000-0005-0000-0000-00004B610000}"/>
    <cellStyle name="표준 5 2 4 4 3 3 2 5" xfId="27222" xr:uid="{00000000-0005-0000-0000-00004C610000}"/>
    <cellStyle name="표준 5 2 4 4 3 3 2 6" xfId="35433" xr:uid="{00000000-0005-0000-0000-00004D610000}"/>
    <cellStyle name="표준 5 2 4 4 3 3 2 7" xfId="43626" xr:uid="{00000000-0005-0000-0000-00004E610000}"/>
    <cellStyle name="표준 5 2 4 4 3 3 3" xfId="8564" xr:uid="{00000000-0005-0000-0000-00004F610000}"/>
    <cellStyle name="표준 5 2 4 4 3 3 3 2" xfId="29270" xr:uid="{00000000-0005-0000-0000-000050610000}"/>
    <cellStyle name="표준 5 2 4 4 3 3 3 3" xfId="37481" xr:uid="{00000000-0005-0000-0000-000051610000}"/>
    <cellStyle name="표준 5 2 4 4 3 3 3 4" xfId="45674" xr:uid="{00000000-0005-0000-0000-000052610000}"/>
    <cellStyle name="표준 5 2 4 4 3 3 4" xfId="12676" xr:uid="{00000000-0005-0000-0000-000053610000}"/>
    <cellStyle name="표준 5 2 4 4 3 3 5" xfId="16916" xr:uid="{00000000-0005-0000-0000-000054610000}"/>
    <cellStyle name="표준 5 2 4 4 3 3 6" xfId="21078" xr:uid="{00000000-0005-0000-0000-000055610000}"/>
    <cellStyle name="표준 5 2 4 4 3 3 7" xfId="25174" xr:uid="{00000000-0005-0000-0000-000056610000}"/>
    <cellStyle name="표준 5 2 4 4 3 3 8" xfId="33385" xr:uid="{00000000-0005-0000-0000-000057610000}"/>
    <cellStyle name="표준 5 2 4 4 3 3 9" xfId="41578" xr:uid="{00000000-0005-0000-0000-000058610000}"/>
    <cellStyle name="표준 5 2 4 4 3 4" xfId="2221" xr:uid="{00000000-0005-0000-0000-000059610000}"/>
    <cellStyle name="표준 5 2 4 4 3 4 2" xfId="11124" xr:uid="{00000000-0005-0000-0000-00005A610000}"/>
    <cellStyle name="표준 5 2 4 4 3 4 2 2" xfId="15236" xr:uid="{00000000-0005-0000-0000-00005B610000}"/>
    <cellStyle name="표준 5 2 4 4 3 4 2 2 2" xfId="31830" xr:uid="{00000000-0005-0000-0000-00005C610000}"/>
    <cellStyle name="표준 5 2 4 4 3 4 2 2 3" xfId="40041" xr:uid="{00000000-0005-0000-0000-00005D610000}"/>
    <cellStyle name="표준 5 2 4 4 3 4 2 2 4" xfId="48234" xr:uid="{00000000-0005-0000-0000-00005E610000}"/>
    <cellStyle name="표준 5 2 4 4 3 4 2 3" xfId="19476" xr:uid="{00000000-0005-0000-0000-00005F610000}"/>
    <cellStyle name="표준 5 2 4 4 3 4 2 4" xfId="23638" xr:uid="{00000000-0005-0000-0000-000060610000}"/>
    <cellStyle name="표준 5 2 4 4 3 4 2 5" xfId="27734" xr:uid="{00000000-0005-0000-0000-000061610000}"/>
    <cellStyle name="표준 5 2 4 4 3 4 2 6" xfId="35945" xr:uid="{00000000-0005-0000-0000-000062610000}"/>
    <cellStyle name="표준 5 2 4 4 3 4 2 7" xfId="44138" xr:uid="{00000000-0005-0000-0000-000063610000}"/>
    <cellStyle name="표준 5 2 4 4 3 4 3" xfId="9076" xr:uid="{00000000-0005-0000-0000-000064610000}"/>
    <cellStyle name="표준 5 2 4 4 3 4 3 2" xfId="29782" xr:uid="{00000000-0005-0000-0000-000065610000}"/>
    <cellStyle name="표준 5 2 4 4 3 4 3 3" xfId="37993" xr:uid="{00000000-0005-0000-0000-000066610000}"/>
    <cellStyle name="표준 5 2 4 4 3 4 3 4" xfId="46186" xr:uid="{00000000-0005-0000-0000-000067610000}"/>
    <cellStyle name="표준 5 2 4 4 3 4 4" xfId="13188" xr:uid="{00000000-0005-0000-0000-000068610000}"/>
    <cellStyle name="표준 5 2 4 4 3 4 5" xfId="17428" xr:uid="{00000000-0005-0000-0000-000069610000}"/>
    <cellStyle name="표준 5 2 4 4 3 4 6" xfId="21590" xr:uid="{00000000-0005-0000-0000-00006A610000}"/>
    <cellStyle name="표준 5 2 4 4 3 4 7" xfId="25686" xr:uid="{00000000-0005-0000-0000-00006B610000}"/>
    <cellStyle name="표준 5 2 4 4 3 4 8" xfId="33897" xr:uid="{00000000-0005-0000-0000-00006C610000}"/>
    <cellStyle name="표준 5 2 4 4 3 4 9" xfId="42090" xr:uid="{00000000-0005-0000-0000-00006D610000}"/>
    <cellStyle name="표준 5 2 4 4 3 5" xfId="9588" xr:uid="{00000000-0005-0000-0000-00006E610000}"/>
    <cellStyle name="표준 5 2 4 4 3 5 2" xfId="13700" xr:uid="{00000000-0005-0000-0000-00006F610000}"/>
    <cellStyle name="표준 5 2 4 4 3 5 2 2" xfId="30294" xr:uid="{00000000-0005-0000-0000-000070610000}"/>
    <cellStyle name="표준 5 2 4 4 3 5 2 3" xfId="38505" xr:uid="{00000000-0005-0000-0000-000071610000}"/>
    <cellStyle name="표준 5 2 4 4 3 5 2 4" xfId="46698" xr:uid="{00000000-0005-0000-0000-000072610000}"/>
    <cellStyle name="표준 5 2 4 4 3 5 3" xfId="17940" xr:uid="{00000000-0005-0000-0000-000073610000}"/>
    <cellStyle name="표준 5 2 4 4 3 5 4" xfId="22102" xr:uid="{00000000-0005-0000-0000-000074610000}"/>
    <cellStyle name="표준 5 2 4 4 3 5 5" xfId="26198" xr:uid="{00000000-0005-0000-0000-000075610000}"/>
    <cellStyle name="표준 5 2 4 4 3 5 6" xfId="34409" xr:uid="{00000000-0005-0000-0000-000076610000}"/>
    <cellStyle name="표준 5 2 4 4 3 5 7" xfId="42602" xr:uid="{00000000-0005-0000-0000-000077610000}"/>
    <cellStyle name="표준 5 2 4 4 3 6" xfId="7540" xr:uid="{00000000-0005-0000-0000-000078610000}"/>
    <cellStyle name="표준 5 2 4 4 3 6 2" xfId="28246" xr:uid="{00000000-0005-0000-0000-000079610000}"/>
    <cellStyle name="표준 5 2 4 4 3 6 3" xfId="36457" xr:uid="{00000000-0005-0000-0000-00007A610000}"/>
    <cellStyle name="표준 5 2 4 4 3 6 4" xfId="44650" xr:uid="{00000000-0005-0000-0000-00007B610000}"/>
    <cellStyle name="표준 5 2 4 4 3 7" xfId="11652" xr:uid="{00000000-0005-0000-0000-00007C610000}"/>
    <cellStyle name="표준 5 2 4 4 3 8" xfId="15892" xr:uid="{00000000-0005-0000-0000-00007D610000}"/>
    <cellStyle name="표준 5 2 4 4 3 9" xfId="20054" xr:uid="{00000000-0005-0000-0000-00007E610000}"/>
    <cellStyle name="표준 5 2 4 4 4" xfId="941" xr:uid="{00000000-0005-0000-0000-00007F610000}"/>
    <cellStyle name="표준 5 2 4 4 4 2" xfId="9844" xr:uid="{00000000-0005-0000-0000-000080610000}"/>
    <cellStyle name="표준 5 2 4 4 4 2 2" xfId="13956" xr:uid="{00000000-0005-0000-0000-000081610000}"/>
    <cellStyle name="표준 5 2 4 4 4 2 2 2" xfId="30550" xr:uid="{00000000-0005-0000-0000-000082610000}"/>
    <cellStyle name="표준 5 2 4 4 4 2 2 3" xfId="38761" xr:uid="{00000000-0005-0000-0000-000083610000}"/>
    <cellStyle name="표준 5 2 4 4 4 2 2 4" xfId="46954" xr:uid="{00000000-0005-0000-0000-000084610000}"/>
    <cellStyle name="표준 5 2 4 4 4 2 3" xfId="18196" xr:uid="{00000000-0005-0000-0000-000085610000}"/>
    <cellStyle name="표준 5 2 4 4 4 2 4" xfId="22358" xr:uid="{00000000-0005-0000-0000-000086610000}"/>
    <cellStyle name="표준 5 2 4 4 4 2 5" xfId="26454" xr:uid="{00000000-0005-0000-0000-000087610000}"/>
    <cellStyle name="표준 5 2 4 4 4 2 6" xfId="34665" xr:uid="{00000000-0005-0000-0000-000088610000}"/>
    <cellStyle name="표준 5 2 4 4 4 2 7" xfId="42858" xr:uid="{00000000-0005-0000-0000-000089610000}"/>
    <cellStyle name="표준 5 2 4 4 4 3" xfId="7796" xr:uid="{00000000-0005-0000-0000-00008A610000}"/>
    <cellStyle name="표준 5 2 4 4 4 3 2" xfId="28502" xr:uid="{00000000-0005-0000-0000-00008B610000}"/>
    <cellStyle name="표준 5 2 4 4 4 3 3" xfId="36713" xr:uid="{00000000-0005-0000-0000-00008C610000}"/>
    <cellStyle name="표준 5 2 4 4 4 3 4" xfId="44906" xr:uid="{00000000-0005-0000-0000-00008D610000}"/>
    <cellStyle name="표준 5 2 4 4 4 4" xfId="11908" xr:uid="{00000000-0005-0000-0000-00008E610000}"/>
    <cellStyle name="표준 5 2 4 4 4 5" xfId="16148" xr:uid="{00000000-0005-0000-0000-00008F610000}"/>
    <cellStyle name="표준 5 2 4 4 4 6" xfId="20310" xr:uid="{00000000-0005-0000-0000-000090610000}"/>
    <cellStyle name="표준 5 2 4 4 4 7" xfId="24406" xr:uid="{00000000-0005-0000-0000-000091610000}"/>
    <cellStyle name="표준 5 2 4 4 4 8" xfId="32617" xr:uid="{00000000-0005-0000-0000-000092610000}"/>
    <cellStyle name="표준 5 2 4 4 4 9" xfId="40810" xr:uid="{00000000-0005-0000-0000-000093610000}"/>
    <cellStyle name="표준 5 2 4 4 5" xfId="1453" xr:uid="{00000000-0005-0000-0000-000094610000}"/>
    <cellStyle name="표준 5 2 4 4 5 2" xfId="10356" xr:uid="{00000000-0005-0000-0000-000095610000}"/>
    <cellStyle name="표준 5 2 4 4 5 2 2" xfId="14468" xr:uid="{00000000-0005-0000-0000-000096610000}"/>
    <cellStyle name="표준 5 2 4 4 5 2 2 2" xfId="31062" xr:uid="{00000000-0005-0000-0000-000097610000}"/>
    <cellStyle name="표준 5 2 4 4 5 2 2 3" xfId="39273" xr:uid="{00000000-0005-0000-0000-000098610000}"/>
    <cellStyle name="표준 5 2 4 4 5 2 2 4" xfId="47466" xr:uid="{00000000-0005-0000-0000-000099610000}"/>
    <cellStyle name="표준 5 2 4 4 5 2 3" xfId="18708" xr:uid="{00000000-0005-0000-0000-00009A610000}"/>
    <cellStyle name="표준 5 2 4 4 5 2 4" xfId="22870" xr:uid="{00000000-0005-0000-0000-00009B610000}"/>
    <cellStyle name="표준 5 2 4 4 5 2 5" xfId="26966" xr:uid="{00000000-0005-0000-0000-00009C610000}"/>
    <cellStyle name="표준 5 2 4 4 5 2 6" xfId="35177" xr:uid="{00000000-0005-0000-0000-00009D610000}"/>
    <cellStyle name="표준 5 2 4 4 5 2 7" xfId="43370" xr:uid="{00000000-0005-0000-0000-00009E610000}"/>
    <cellStyle name="표준 5 2 4 4 5 3" xfId="8308" xr:uid="{00000000-0005-0000-0000-00009F610000}"/>
    <cellStyle name="표준 5 2 4 4 5 3 2" xfId="29014" xr:uid="{00000000-0005-0000-0000-0000A0610000}"/>
    <cellStyle name="표준 5 2 4 4 5 3 3" xfId="37225" xr:uid="{00000000-0005-0000-0000-0000A1610000}"/>
    <cellStyle name="표준 5 2 4 4 5 3 4" xfId="45418" xr:uid="{00000000-0005-0000-0000-0000A2610000}"/>
    <cellStyle name="표준 5 2 4 4 5 4" xfId="12420" xr:uid="{00000000-0005-0000-0000-0000A3610000}"/>
    <cellStyle name="표준 5 2 4 4 5 5" xfId="16660" xr:uid="{00000000-0005-0000-0000-0000A4610000}"/>
    <cellStyle name="표준 5 2 4 4 5 6" xfId="20822" xr:uid="{00000000-0005-0000-0000-0000A5610000}"/>
    <cellStyle name="표준 5 2 4 4 5 7" xfId="24918" xr:uid="{00000000-0005-0000-0000-0000A6610000}"/>
    <cellStyle name="표준 5 2 4 4 5 8" xfId="33129" xr:uid="{00000000-0005-0000-0000-0000A7610000}"/>
    <cellStyle name="표준 5 2 4 4 5 9" xfId="41322" xr:uid="{00000000-0005-0000-0000-0000A8610000}"/>
    <cellStyle name="표준 5 2 4 4 6" xfId="1965" xr:uid="{00000000-0005-0000-0000-0000A9610000}"/>
    <cellStyle name="표준 5 2 4 4 6 2" xfId="10868" xr:uid="{00000000-0005-0000-0000-0000AA610000}"/>
    <cellStyle name="표준 5 2 4 4 6 2 2" xfId="14980" xr:uid="{00000000-0005-0000-0000-0000AB610000}"/>
    <cellStyle name="표준 5 2 4 4 6 2 2 2" xfId="31574" xr:uid="{00000000-0005-0000-0000-0000AC610000}"/>
    <cellStyle name="표준 5 2 4 4 6 2 2 3" xfId="39785" xr:uid="{00000000-0005-0000-0000-0000AD610000}"/>
    <cellStyle name="표준 5 2 4 4 6 2 2 4" xfId="47978" xr:uid="{00000000-0005-0000-0000-0000AE610000}"/>
    <cellStyle name="표준 5 2 4 4 6 2 3" xfId="19220" xr:uid="{00000000-0005-0000-0000-0000AF610000}"/>
    <cellStyle name="표준 5 2 4 4 6 2 4" xfId="23382" xr:uid="{00000000-0005-0000-0000-0000B0610000}"/>
    <cellStyle name="표준 5 2 4 4 6 2 5" xfId="27478" xr:uid="{00000000-0005-0000-0000-0000B1610000}"/>
    <cellStyle name="표준 5 2 4 4 6 2 6" xfId="35689" xr:uid="{00000000-0005-0000-0000-0000B2610000}"/>
    <cellStyle name="표준 5 2 4 4 6 2 7" xfId="43882" xr:uid="{00000000-0005-0000-0000-0000B3610000}"/>
    <cellStyle name="표준 5 2 4 4 6 3" xfId="8820" xr:uid="{00000000-0005-0000-0000-0000B4610000}"/>
    <cellStyle name="표준 5 2 4 4 6 3 2" xfId="29526" xr:uid="{00000000-0005-0000-0000-0000B5610000}"/>
    <cellStyle name="표준 5 2 4 4 6 3 3" xfId="37737" xr:uid="{00000000-0005-0000-0000-0000B6610000}"/>
    <cellStyle name="표준 5 2 4 4 6 3 4" xfId="45930" xr:uid="{00000000-0005-0000-0000-0000B7610000}"/>
    <cellStyle name="표준 5 2 4 4 6 4" xfId="12932" xr:uid="{00000000-0005-0000-0000-0000B8610000}"/>
    <cellStyle name="표준 5 2 4 4 6 5" xfId="17172" xr:uid="{00000000-0005-0000-0000-0000B9610000}"/>
    <cellStyle name="표준 5 2 4 4 6 6" xfId="21334" xr:uid="{00000000-0005-0000-0000-0000BA610000}"/>
    <cellStyle name="표준 5 2 4 4 6 7" xfId="25430" xr:uid="{00000000-0005-0000-0000-0000BB610000}"/>
    <cellStyle name="표준 5 2 4 4 6 8" xfId="33641" xr:uid="{00000000-0005-0000-0000-0000BC610000}"/>
    <cellStyle name="표준 5 2 4 4 6 9" xfId="41834" xr:uid="{00000000-0005-0000-0000-0000BD610000}"/>
    <cellStyle name="표준 5 2 4 4 7" xfId="7025" xr:uid="{00000000-0005-0000-0000-0000BE610000}"/>
    <cellStyle name="표준 5 2 4 4 7 2" xfId="9332" xr:uid="{00000000-0005-0000-0000-0000BF610000}"/>
    <cellStyle name="표준 5 2 4 4 7 2 2" xfId="30038" xr:uid="{00000000-0005-0000-0000-0000C0610000}"/>
    <cellStyle name="표준 5 2 4 4 7 2 3" xfId="38249" xr:uid="{00000000-0005-0000-0000-0000C1610000}"/>
    <cellStyle name="표준 5 2 4 4 7 2 4" xfId="46442" xr:uid="{00000000-0005-0000-0000-0000C2610000}"/>
    <cellStyle name="표준 5 2 4 4 7 3" xfId="13444" xr:uid="{00000000-0005-0000-0000-0000C3610000}"/>
    <cellStyle name="표준 5 2 4 4 7 4" xfId="17684" xr:uid="{00000000-0005-0000-0000-0000C4610000}"/>
    <cellStyle name="표준 5 2 4 4 7 5" xfId="21846" xr:uid="{00000000-0005-0000-0000-0000C5610000}"/>
    <cellStyle name="표준 5 2 4 4 7 6" xfId="25942" xr:uid="{00000000-0005-0000-0000-0000C6610000}"/>
    <cellStyle name="표준 5 2 4 4 7 7" xfId="34153" xr:uid="{00000000-0005-0000-0000-0000C7610000}"/>
    <cellStyle name="표준 5 2 4 4 7 8" xfId="42346" xr:uid="{00000000-0005-0000-0000-0000C8610000}"/>
    <cellStyle name="표준 5 2 4 4 8" xfId="7153" xr:uid="{00000000-0005-0000-0000-0000C9610000}"/>
    <cellStyle name="표준 5 2 4 4 8 2" xfId="27990" xr:uid="{00000000-0005-0000-0000-0000CA610000}"/>
    <cellStyle name="표준 5 2 4 4 8 3" xfId="36201" xr:uid="{00000000-0005-0000-0000-0000CB610000}"/>
    <cellStyle name="표준 5 2 4 4 8 4" xfId="44394" xr:uid="{00000000-0005-0000-0000-0000CC610000}"/>
    <cellStyle name="표준 5 2 4 4 9" xfId="7284" xr:uid="{00000000-0005-0000-0000-0000CD610000}"/>
    <cellStyle name="표준 5 2 4 5" xfId="493" xr:uid="{00000000-0005-0000-0000-0000CE610000}"/>
    <cellStyle name="표준 5 2 4 5 10" xfId="19862" xr:uid="{00000000-0005-0000-0000-0000CF610000}"/>
    <cellStyle name="표준 5 2 4 5 11" xfId="23958" xr:uid="{00000000-0005-0000-0000-0000D0610000}"/>
    <cellStyle name="표준 5 2 4 5 12" xfId="32169" xr:uid="{00000000-0005-0000-0000-0000D1610000}"/>
    <cellStyle name="표준 5 2 4 5 13" xfId="40362" xr:uid="{00000000-0005-0000-0000-0000D2610000}"/>
    <cellStyle name="표준 5 2 4 5 2" xfId="749" xr:uid="{00000000-0005-0000-0000-0000D3610000}"/>
    <cellStyle name="표준 5 2 4 5 2 10" xfId="24214" xr:uid="{00000000-0005-0000-0000-0000D4610000}"/>
    <cellStyle name="표준 5 2 4 5 2 11" xfId="32425" xr:uid="{00000000-0005-0000-0000-0000D5610000}"/>
    <cellStyle name="표준 5 2 4 5 2 12" xfId="40618" xr:uid="{00000000-0005-0000-0000-0000D6610000}"/>
    <cellStyle name="표준 5 2 4 5 2 2" xfId="1261" xr:uid="{00000000-0005-0000-0000-0000D7610000}"/>
    <cellStyle name="표준 5 2 4 5 2 2 2" xfId="10164" xr:uid="{00000000-0005-0000-0000-0000D8610000}"/>
    <cellStyle name="표준 5 2 4 5 2 2 2 2" xfId="14276" xr:uid="{00000000-0005-0000-0000-0000D9610000}"/>
    <cellStyle name="표준 5 2 4 5 2 2 2 2 2" xfId="30870" xr:uid="{00000000-0005-0000-0000-0000DA610000}"/>
    <cellStyle name="표준 5 2 4 5 2 2 2 2 3" xfId="39081" xr:uid="{00000000-0005-0000-0000-0000DB610000}"/>
    <cellStyle name="표준 5 2 4 5 2 2 2 2 4" xfId="47274" xr:uid="{00000000-0005-0000-0000-0000DC610000}"/>
    <cellStyle name="표준 5 2 4 5 2 2 2 3" xfId="18516" xr:uid="{00000000-0005-0000-0000-0000DD610000}"/>
    <cellStyle name="표준 5 2 4 5 2 2 2 4" xfId="22678" xr:uid="{00000000-0005-0000-0000-0000DE610000}"/>
    <cellStyle name="표준 5 2 4 5 2 2 2 5" xfId="26774" xr:uid="{00000000-0005-0000-0000-0000DF610000}"/>
    <cellStyle name="표준 5 2 4 5 2 2 2 6" xfId="34985" xr:uid="{00000000-0005-0000-0000-0000E0610000}"/>
    <cellStyle name="표준 5 2 4 5 2 2 2 7" xfId="43178" xr:uid="{00000000-0005-0000-0000-0000E1610000}"/>
    <cellStyle name="표준 5 2 4 5 2 2 3" xfId="8116" xr:uid="{00000000-0005-0000-0000-0000E2610000}"/>
    <cellStyle name="표준 5 2 4 5 2 2 3 2" xfId="28822" xr:uid="{00000000-0005-0000-0000-0000E3610000}"/>
    <cellStyle name="표준 5 2 4 5 2 2 3 3" xfId="37033" xr:uid="{00000000-0005-0000-0000-0000E4610000}"/>
    <cellStyle name="표준 5 2 4 5 2 2 3 4" xfId="45226" xr:uid="{00000000-0005-0000-0000-0000E5610000}"/>
    <cellStyle name="표준 5 2 4 5 2 2 4" xfId="12228" xr:uid="{00000000-0005-0000-0000-0000E6610000}"/>
    <cellStyle name="표준 5 2 4 5 2 2 5" xfId="16468" xr:uid="{00000000-0005-0000-0000-0000E7610000}"/>
    <cellStyle name="표준 5 2 4 5 2 2 6" xfId="20630" xr:uid="{00000000-0005-0000-0000-0000E8610000}"/>
    <cellStyle name="표준 5 2 4 5 2 2 7" xfId="24726" xr:uid="{00000000-0005-0000-0000-0000E9610000}"/>
    <cellStyle name="표준 5 2 4 5 2 2 8" xfId="32937" xr:uid="{00000000-0005-0000-0000-0000EA610000}"/>
    <cellStyle name="표준 5 2 4 5 2 2 9" xfId="41130" xr:uid="{00000000-0005-0000-0000-0000EB610000}"/>
    <cellStyle name="표준 5 2 4 5 2 3" xfId="1773" xr:uid="{00000000-0005-0000-0000-0000EC610000}"/>
    <cellStyle name="표준 5 2 4 5 2 3 2" xfId="10676" xr:uid="{00000000-0005-0000-0000-0000ED610000}"/>
    <cellStyle name="표준 5 2 4 5 2 3 2 2" xfId="14788" xr:uid="{00000000-0005-0000-0000-0000EE610000}"/>
    <cellStyle name="표준 5 2 4 5 2 3 2 2 2" xfId="31382" xr:uid="{00000000-0005-0000-0000-0000EF610000}"/>
    <cellStyle name="표준 5 2 4 5 2 3 2 2 3" xfId="39593" xr:uid="{00000000-0005-0000-0000-0000F0610000}"/>
    <cellStyle name="표준 5 2 4 5 2 3 2 2 4" xfId="47786" xr:uid="{00000000-0005-0000-0000-0000F1610000}"/>
    <cellStyle name="표준 5 2 4 5 2 3 2 3" xfId="19028" xr:uid="{00000000-0005-0000-0000-0000F2610000}"/>
    <cellStyle name="표준 5 2 4 5 2 3 2 4" xfId="23190" xr:uid="{00000000-0005-0000-0000-0000F3610000}"/>
    <cellStyle name="표준 5 2 4 5 2 3 2 5" xfId="27286" xr:uid="{00000000-0005-0000-0000-0000F4610000}"/>
    <cellStyle name="표준 5 2 4 5 2 3 2 6" xfId="35497" xr:uid="{00000000-0005-0000-0000-0000F5610000}"/>
    <cellStyle name="표준 5 2 4 5 2 3 2 7" xfId="43690" xr:uid="{00000000-0005-0000-0000-0000F6610000}"/>
    <cellStyle name="표준 5 2 4 5 2 3 3" xfId="8628" xr:uid="{00000000-0005-0000-0000-0000F7610000}"/>
    <cellStyle name="표준 5 2 4 5 2 3 3 2" xfId="29334" xr:uid="{00000000-0005-0000-0000-0000F8610000}"/>
    <cellStyle name="표준 5 2 4 5 2 3 3 3" xfId="37545" xr:uid="{00000000-0005-0000-0000-0000F9610000}"/>
    <cellStyle name="표준 5 2 4 5 2 3 3 4" xfId="45738" xr:uid="{00000000-0005-0000-0000-0000FA610000}"/>
    <cellStyle name="표준 5 2 4 5 2 3 4" xfId="12740" xr:uid="{00000000-0005-0000-0000-0000FB610000}"/>
    <cellStyle name="표준 5 2 4 5 2 3 5" xfId="16980" xr:uid="{00000000-0005-0000-0000-0000FC610000}"/>
    <cellStyle name="표준 5 2 4 5 2 3 6" xfId="21142" xr:uid="{00000000-0005-0000-0000-0000FD610000}"/>
    <cellStyle name="표준 5 2 4 5 2 3 7" xfId="25238" xr:uid="{00000000-0005-0000-0000-0000FE610000}"/>
    <cellStyle name="표준 5 2 4 5 2 3 8" xfId="33449" xr:uid="{00000000-0005-0000-0000-0000FF610000}"/>
    <cellStyle name="표준 5 2 4 5 2 3 9" xfId="41642" xr:uid="{00000000-0005-0000-0000-000000620000}"/>
    <cellStyle name="표준 5 2 4 5 2 4" xfId="2285" xr:uid="{00000000-0005-0000-0000-000001620000}"/>
    <cellStyle name="표준 5 2 4 5 2 4 2" xfId="11188" xr:uid="{00000000-0005-0000-0000-000002620000}"/>
    <cellStyle name="표준 5 2 4 5 2 4 2 2" xfId="15300" xr:uid="{00000000-0005-0000-0000-000003620000}"/>
    <cellStyle name="표준 5 2 4 5 2 4 2 2 2" xfId="31894" xr:uid="{00000000-0005-0000-0000-000004620000}"/>
    <cellStyle name="표준 5 2 4 5 2 4 2 2 3" xfId="40105" xr:uid="{00000000-0005-0000-0000-000005620000}"/>
    <cellStyle name="표준 5 2 4 5 2 4 2 2 4" xfId="48298" xr:uid="{00000000-0005-0000-0000-000006620000}"/>
    <cellStyle name="표준 5 2 4 5 2 4 2 3" xfId="19540" xr:uid="{00000000-0005-0000-0000-000007620000}"/>
    <cellStyle name="표준 5 2 4 5 2 4 2 4" xfId="23702" xr:uid="{00000000-0005-0000-0000-000008620000}"/>
    <cellStyle name="표준 5 2 4 5 2 4 2 5" xfId="27798" xr:uid="{00000000-0005-0000-0000-000009620000}"/>
    <cellStyle name="표준 5 2 4 5 2 4 2 6" xfId="36009" xr:uid="{00000000-0005-0000-0000-00000A620000}"/>
    <cellStyle name="표준 5 2 4 5 2 4 2 7" xfId="44202" xr:uid="{00000000-0005-0000-0000-00000B620000}"/>
    <cellStyle name="표준 5 2 4 5 2 4 3" xfId="9140" xr:uid="{00000000-0005-0000-0000-00000C620000}"/>
    <cellStyle name="표준 5 2 4 5 2 4 3 2" xfId="29846" xr:uid="{00000000-0005-0000-0000-00000D620000}"/>
    <cellStyle name="표준 5 2 4 5 2 4 3 3" xfId="38057" xr:uid="{00000000-0005-0000-0000-00000E620000}"/>
    <cellStyle name="표준 5 2 4 5 2 4 3 4" xfId="46250" xr:uid="{00000000-0005-0000-0000-00000F620000}"/>
    <cellStyle name="표준 5 2 4 5 2 4 4" xfId="13252" xr:uid="{00000000-0005-0000-0000-000010620000}"/>
    <cellStyle name="표준 5 2 4 5 2 4 5" xfId="17492" xr:uid="{00000000-0005-0000-0000-000011620000}"/>
    <cellStyle name="표준 5 2 4 5 2 4 6" xfId="21654" xr:uid="{00000000-0005-0000-0000-000012620000}"/>
    <cellStyle name="표준 5 2 4 5 2 4 7" xfId="25750" xr:uid="{00000000-0005-0000-0000-000013620000}"/>
    <cellStyle name="표준 5 2 4 5 2 4 8" xfId="33961" xr:uid="{00000000-0005-0000-0000-000014620000}"/>
    <cellStyle name="표준 5 2 4 5 2 4 9" xfId="42154" xr:uid="{00000000-0005-0000-0000-000015620000}"/>
    <cellStyle name="표준 5 2 4 5 2 5" xfId="9652" xr:uid="{00000000-0005-0000-0000-000016620000}"/>
    <cellStyle name="표준 5 2 4 5 2 5 2" xfId="13764" xr:uid="{00000000-0005-0000-0000-000017620000}"/>
    <cellStyle name="표준 5 2 4 5 2 5 2 2" xfId="30358" xr:uid="{00000000-0005-0000-0000-000018620000}"/>
    <cellStyle name="표준 5 2 4 5 2 5 2 3" xfId="38569" xr:uid="{00000000-0005-0000-0000-000019620000}"/>
    <cellStyle name="표준 5 2 4 5 2 5 2 4" xfId="46762" xr:uid="{00000000-0005-0000-0000-00001A620000}"/>
    <cellStyle name="표준 5 2 4 5 2 5 3" xfId="18004" xr:uid="{00000000-0005-0000-0000-00001B620000}"/>
    <cellStyle name="표준 5 2 4 5 2 5 4" xfId="22166" xr:uid="{00000000-0005-0000-0000-00001C620000}"/>
    <cellStyle name="표준 5 2 4 5 2 5 5" xfId="26262" xr:uid="{00000000-0005-0000-0000-00001D620000}"/>
    <cellStyle name="표준 5 2 4 5 2 5 6" xfId="34473" xr:uid="{00000000-0005-0000-0000-00001E620000}"/>
    <cellStyle name="표준 5 2 4 5 2 5 7" xfId="42666" xr:uid="{00000000-0005-0000-0000-00001F620000}"/>
    <cellStyle name="표준 5 2 4 5 2 6" xfId="7604" xr:uid="{00000000-0005-0000-0000-000020620000}"/>
    <cellStyle name="표준 5 2 4 5 2 6 2" xfId="28310" xr:uid="{00000000-0005-0000-0000-000021620000}"/>
    <cellStyle name="표준 5 2 4 5 2 6 3" xfId="36521" xr:uid="{00000000-0005-0000-0000-000022620000}"/>
    <cellStyle name="표준 5 2 4 5 2 6 4" xfId="44714" xr:uid="{00000000-0005-0000-0000-000023620000}"/>
    <cellStyle name="표준 5 2 4 5 2 7" xfId="11716" xr:uid="{00000000-0005-0000-0000-000024620000}"/>
    <cellStyle name="표준 5 2 4 5 2 8" xfId="15956" xr:uid="{00000000-0005-0000-0000-000025620000}"/>
    <cellStyle name="표준 5 2 4 5 2 9" xfId="20118" xr:uid="{00000000-0005-0000-0000-000026620000}"/>
    <cellStyle name="표준 5 2 4 5 3" xfId="1005" xr:uid="{00000000-0005-0000-0000-000027620000}"/>
    <cellStyle name="표준 5 2 4 5 3 2" xfId="9908" xr:uid="{00000000-0005-0000-0000-000028620000}"/>
    <cellStyle name="표준 5 2 4 5 3 2 2" xfId="14020" xr:uid="{00000000-0005-0000-0000-000029620000}"/>
    <cellStyle name="표준 5 2 4 5 3 2 2 2" xfId="30614" xr:uid="{00000000-0005-0000-0000-00002A620000}"/>
    <cellStyle name="표준 5 2 4 5 3 2 2 3" xfId="38825" xr:uid="{00000000-0005-0000-0000-00002B620000}"/>
    <cellStyle name="표준 5 2 4 5 3 2 2 4" xfId="47018" xr:uid="{00000000-0005-0000-0000-00002C620000}"/>
    <cellStyle name="표준 5 2 4 5 3 2 3" xfId="18260" xr:uid="{00000000-0005-0000-0000-00002D620000}"/>
    <cellStyle name="표준 5 2 4 5 3 2 4" xfId="22422" xr:uid="{00000000-0005-0000-0000-00002E620000}"/>
    <cellStyle name="표준 5 2 4 5 3 2 5" xfId="26518" xr:uid="{00000000-0005-0000-0000-00002F620000}"/>
    <cellStyle name="표준 5 2 4 5 3 2 6" xfId="34729" xr:uid="{00000000-0005-0000-0000-000030620000}"/>
    <cellStyle name="표준 5 2 4 5 3 2 7" xfId="42922" xr:uid="{00000000-0005-0000-0000-000031620000}"/>
    <cellStyle name="표준 5 2 4 5 3 3" xfId="7860" xr:uid="{00000000-0005-0000-0000-000032620000}"/>
    <cellStyle name="표준 5 2 4 5 3 3 2" xfId="28566" xr:uid="{00000000-0005-0000-0000-000033620000}"/>
    <cellStyle name="표준 5 2 4 5 3 3 3" xfId="36777" xr:uid="{00000000-0005-0000-0000-000034620000}"/>
    <cellStyle name="표준 5 2 4 5 3 3 4" xfId="44970" xr:uid="{00000000-0005-0000-0000-000035620000}"/>
    <cellStyle name="표준 5 2 4 5 3 4" xfId="11972" xr:uid="{00000000-0005-0000-0000-000036620000}"/>
    <cellStyle name="표준 5 2 4 5 3 5" xfId="16212" xr:uid="{00000000-0005-0000-0000-000037620000}"/>
    <cellStyle name="표준 5 2 4 5 3 6" xfId="20374" xr:uid="{00000000-0005-0000-0000-000038620000}"/>
    <cellStyle name="표준 5 2 4 5 3 7" xfId="24470" xr:uid="{00000000-0005-0000-0000-000039620000}"/>
    <cellStyle name="표준 5 2 4 5 3 8" xfId="32681" xr:uid="{00000000-0005-0000-0000-00003A620000}"/>
    <cellStyle name="표준 5 2 4 5 3 9" xfId="40874" xr:uid="{00000000-0005-0000-0000-00003B620000}"/>
    <cellStyle name="표준 5 2 4 5 4" xfId="1517" xr:uid="{00000000-0005-0000-0000-00003C620000}"/>
    <cellStyle name="표준 5 2 4 5 4 2" xfId="10420" xr:uid="{00000000-0005-0000-0000-00003D620000}"/>
    <cellStyle name="표준 5 2 4 5 4 2 2" xfId="14532" xr:uid="{00000000-0005-0000-0000-00003E620000}"/>
    <cellStyle name="표준 5 2 4 5 4 2 2 2" xfId="31126" xr:uid="{00000000-0005-0000-0000-00003F620000}"/>
    <cellStyle name="표준 5 2 4 5 4 2 2 3" xfId="39337" xr:uid="{00000000-0005-0000-0000-000040620000}"/>
    <cellStyle name="표준 5 2 4 5 4 2 2 4" xfId="47530" xr:uid="{00000000-0005-0000-0000-000041620000}"/>
    <cellStyle name="표준 5 2 4 5 4 2 3" xfId="18772" xr:uid="{00000000-0005-0000-0000-000042620000}"/>
    <cellStyle name="표준 5 2 4 5 4 2 4" xfId="22934" xr:uid="{00000000-0005-0000-0000-000043620000}"/>
    <cellStyle name="표준 5 2 4 5 4 2 5" xfId="27030" xr:uid="{00000000-0005-0000-0000-000044620000}"/>
    <cellStyle name="표준 5 2 4 5 4 2 6" xfId="35241" xr:uid="{00000000-0005-0000-0000-000045620000}"/>
    <cellStyle name="표준 5 2 4 5 4 2 7" xfId="43434" xr:uid="{00000000-0005-0000-0000-000046620000}"/>
    <cellStyle name="표준 5 2 4 5 4 3" xfId="8372" xr:uid="{00000000-0005-0000-0000-000047620000}"/>
    <cellStyle name="표준 5 2 4 5 4 3 2" xfId="29078" xr:uid="{00000000-0005-0000-0000-000048620000}"/>
    <cellStyle name="표준 5 2 4 5 4 3 3" xfId="37289" xr:uid="{00000000-0005-0000-0000-000049620000}"/>
    <cellStyle name="표준 5 2 4 5 4 3 4" xfId="45482" xr:uid="{00000000-0005-0000-0000-00004A620000}"/>
    <cellStyle name="표준 5 2 4 5 4 4" xfId="12484" xr:uid="{00000000-0005-0000-0000-00004B620000}"/>
    <cellStyle name="표준 5 2 4 5 4 5" xfId="16724" xr:uid="{00000000-0005-0000-0000-00004C620000}"/>
    <cellStyle name="표준 5 2 4 5 4 6" xfId="20886" xr:uid="{00000000-0005-0000-0000-00004D620000}"/>
    <cellStyle name="표준 5 2 4 5 4 7" xfId="24982" xr:uid="{00000000-0005-0000-0000-00004E620000}"/>
    <cellStyle name="표준 5 2 4 5 4 8" xfId="33193" xr:uid="{00000000-0005-0000-0000-00004F620000}"/>
    <cellStyle name="표준 5 2 4 5 4 9" xfId="41386" xr:uid="{00000000-0005-0000-0000-000050620000}"/>
    <cellStyle name="표준 5 2 4 5 5" xfId="2029" xr:uid="{00000000-0005-0000-0000-000051620000}"/>
    <cellStyle name="표준 5 2 4 5 5 2" xfId="10932" xr:uid="{00000000-0005-0000-0000-000052620000}"/>
    <cellStyle name="표준 5 2 4 5 5 2 2" xfId="15044" xr:uid="{00000000-0005-0000-0000-000053620000}"/>
    <cellStyle name="표준 5 2 4 5 5 2 2 2" xfId="31638" xr:uid="{00000000-0005-0000-0000-000054620000}"/>
    <cellStyle name="표준 5 2 4 5 5 2 2 3" xfId="39849" xr:uid="{00000000-0005-0000-0000-000055620000}"/>
    <cellStyle name="표준 5 2 4 5 5 2 2 4" xfId="48042" xr:uid="{00000000-0005-0000-0000-000056620000}"/>
    <cellStyle name="표준 5 2 4 5 5 2 3" xfId="19284" xr:uid="{00000000-0005-0000-0000-000057620000}"/>
    <cellStyle name="표준 5 2 4 5 5 2 4" xfId="23446" xr:uid="{00000000-0005-0000-0000-000058620000}"/>
    <cellStyle name="표준 5 2 4 5 5 2 5" xfId="27542" xr:uid="{00000000-0005-0000-0000-000059620000}"/>
    <cellStyle name="표준 5 2 4 5 5 2 6" xfId="35753" xr:uid="{00000000-0005-0000-0000-00005A620000}"/>
    <cellStyle name="표준 5 2 4 5 5 2 7" xfId="43946" xr:uid="{00000000-0005-0000-0000-00005B620000}"/>
    <cellStyle name="표준 5 2 4 5 5 3" xfId="8884" xr:uid="{00000000-0005-0000-0000-00005C620000}"/>
    <cellStyle name="표준 5 2 4 5 5 3 2" xfId="29590" xr:uid="{00000000-0005-0000-0000-00005D620000}"/>
    <cellStyle name="표준 5 2 4 5 5 3 3" xfId="37801" xr:uid="{00000000-0005-0000-0000-00005E620000}"/>
    <cellStyle name="표준 5 2 4 5 5 3 4" xfId="45994" xr:uid="{00000000-0005-0000-0000-00005F620000}"/>
    <cellStyle name="표준 5 2 4 5 5 4" xfId="12996" xr:uid="{00000000-0005-0000-0000-000060620000}"/>
    <cellStyle name="표준 5 2 4 5 5 5" xfId="17236" xr:uid="{00000000-0005-0000-0000-000061620000}"/>
    <cellStyle name="표준 5 2 4 5 5 6" xfId="21398" xr:uid="{00000000-0005-0000-0000-000062620000}"/>
    <cellStyle name="표준 5 2 4 5 5 7" xfId="25494" xr:uid="{00000000-0005-0000-0000-000063620000}"/>
    <cellStyle name="표준 5 2 4 5 5 8" xfId="33705" xr:uid="{00000000-0005-0000-0000-000064620000}"/>
    <cellStyle name="표준 5 2 4 5 5 9" xfId="41898" xr:uid="{00000000-0005-0000-0000-000065620000}"/>
    <cellStyle name="표준 5 2 4 5 6" xfId="9396" xr:uid="{00000000-0005-0000-0000-000066620000}"/>
    <cellStyle name="표준 5 2 4 5 6 2" xfId="13508" xr:uid="{00000000-0005-0000-0000-000067620000}"/>
    <cellStyle name="표준 5 2 4 5 6 2 2" xfId="30102" xr:uid="{00000000-0005-0000-0000-000068620000}"/>
    <cellStyle name="표준 5 2 4 5 6 2 3" xfId="38313" xr:uid="{00000000-0005-0000-0000-000069620000}"/>
    <cellStyle name="표준 5 2 4 5 6 2 4" xfId="46506" xr:uid="{00000000-0005-0000-0000-00006A620000}"/>
    <cellStyle name="표준 5 2 4 5 6 3" xfId="17748" xr:uid="{00000000-0005-0000-0000-00006B620000}"/>
    <cellStyle name="표준 5 2 4 5 6 4" xfId="21910" xr:uid="{00000000-0005-0000-0000-00006C620000}"/>
    <cellStyle name="표준 5 2 4 5 6 5" xfId="26006" xr:uid="{00000000-0005-0000-0000-00006D620000}"/>
    <cellStyle name="표준 5 2 4 5 6 6" xfId="34217" xr:uid="{00000000-0005-0000-0000-00006E620000}"/>
    <cellStyle name="표준 5 2 4 5 6 7" xfId="42410" xr:uid="{00000000-0005-0000-0000-00006F620000}"/>
    <cellStyle name="표준 5 2 4 5 7" xfId="7348" xr:uid="{00000000-0005-0000-0000-000070620000}"/>
    <cellStyle name="표준 5 2 4 5 7 2" xfId="28054" xr:uid="{00000000-0005-0000-0000-000071620000}"/>
    <cellStyle name="표준 5 2 4 5 7 3" xfId="36265" xr:uid="{00000000-0005-0000-0000-000072620000}"/>
    <cellStyle name="표준 5 2 4 5 7 4" xfId="44458" xr:uid="{00000000-0005-0000-0000-000073620000}"/>
    <cellStyle name="표준 5 2 4 5 8" xfId="11460" xr:uid="{00000000-0005-0000-0000-000074620000}"/>
    <cellStyle name="표준 5 2 4 5 9" xfId="15700" xr:uid="{00000000-0005-0000-0000-000075620000}"/>
    <cellStyle name="표준 5 2 4 6" xfId="621" xr:uid="{00000000-0005-0000-0000-000076620000}"/>
    <cellStyle name="표준 5 2 4 6 10" xfId="24086" xr:uid="{00000000-0005-0000-0000-000077620000}"/>
    <cellStyle name="표준 5 2 4 6 11" xfId="32297" xr:uid="{00000000-0005-0000-0000-000078620000}"/>
    <cellStyle name="표준 5 2 4 6 12" xfId="40490" xr:uid="{00000000-0005-0000-0000-000079620000}"/>
    <cellStyle name="표준 5 2 4 6 2" xfId="1133" xr:uid="{00000000-0005-0000-0000-00007A620000}"/>
    <cellStyle name="표준 5 2 4 6 2 2" xfId="10036" xr:uid="{00000000-0005-0000-0000-00007B620000}"/>
    <cellStyle name="표준 5 2 4 6 2 2 2" xfId="14148" xr:uid="{00000000-0005-0000-0000-00007C620000}"/>
    <cellStyle name="표준 5 2 4 6 2 2 2 2" xfId="30742" xr:uid="{00000000-0005-0000-0000-00007D620000}"/>
    <cellStyle name="표준 5 2 4 6 2 2 2 3" xfId="38953" xr:uid="{00000000-0005-0000-0000-00007E620000}"/>
    <cellStyle name="표준 5 2 4 6 2 2 2 4" xfId="47146" xr:uid="{00000000-0005-0000-0000-00007F620000}"/>
    <cellStyle name="표준 5 2 4 6 2 2 3" xfId="18388" xr:uid="{00000000-0005-0000-0000-000080620000}"/>
    <cellStyle name="표준 5 2 4 6 2 2 4" xfId="22550" xr:uid="{00000000-0005-0000-0000-000081620000}"/>
    <cellStyle name="표준 5 2 4 6 2 2 5" xfId="26646" xr:uid="{00000000-0005-0000-0000-000082620000}"/>
    <cellStyle name="표준 5 2 4 6 2 2 6" xfId="34857" xr:uid="{00000000-0005-0000-0000-000083620000}"/>
    <cellStyle name="표준 5 2 4 6 2 2 7" xfId="43050" xr:uid="{00000000-0005-0000-0000-000084620000}"/>
    <cellStyle name="표준 5 2 4 6 2 3" xfId="7988" xr:uid="{00000000-0005-0000-0000-000085620000}"/>
    <cellStyle name="표준 5 2 4 6 2 3 2" xfId="28694" xr:uid="{00000000-0005-0000-0000-000086620000}"/>
    <cellStyle name="표준 5 2 4 6 2 3 3" xfId="36905" xr:uid="{00000000-0005-0000-0000-000087620000}"/>
    <cellStyle name="표준 5 2 4 6 2 3 4" xfId="45098" xr:uid="{00000000-0005-0000-0000-000088620000}"/>
    <cellStyle name="표준 5 2 4 6 2 4" xfId="12100" xr:uid="{00000000-0005-0000-0000-000089620000}"/>
    <cellStyle name="표준 5 2 4 6 2 5" xfId="16340" xr:uid="{00000000-0005-0000-0000-00008A620000}"/>
    <cellStyle name="표준 5 2 4 6 2 6" xfId="20502" xr:uid="{00000000-0005-0000-0000-00008B620000}"/>
    <cellStyle name="표준 5 2 4 6 2 7" xfId="24598" xr:uid="{00000000-0005-0000-0000-00008C620000}"/>
    <cellStyle name="표준 5 2 4 6 2 8" xfId="32809" xr:uid="{00000000-0005-0000-0000-00008D620000}"/>
    <cellStyle name="표준 5 2 4 6 2 9" xfId="41002" xr:uid="{00000000-0005-0000-0000-00008E620000}"/>
    <cellStyle name="표준 5 2 4 6 3" xfId="1645" xr:uid="{00000000-0005-0000-0000-00008F620000}"/>
    <cellStyle name="표준 5 2 4 6 3 2" xfId="10548" xr:uid="{00000000-0005-0000-0000-000090620000}"/>
    <cellStyle name="표준 5 2 4 6 3 2 2" xfId="14660" xr:uid="{00000000-0005-0000-0000-000091620000}"/>
    <cellStyle name="표준 5 2 4 6 3 2 2 2" xfId="31254" xr:uid="{00000000-0005-0000-0000-000092620000}"/>
    <cellStyle name="표준 5 2 4 6 3 2 2 3" xfId="39465" xr:uid="{00000000-0005-0000-0000-000093620000}"/>
    <cellStyle name="표준 5 2 4 6 3 2 2 4" xfId="47658" xr:uid="{00000000-0005-0000-0000-000094620000}"/>
    <cellStyle name="표준 5 2 4 6 3 2 3" xfId="18900" xr:uid="{00000000-0005-0000-0000-000095620000}"/>
    <cellStyle name="표준 5 2 4 6 3 2 4" xfId="23062" xr:uid="{00000000-0005-0000-0000-000096620000}"/>
    <cellStyle name="표준 5 2 4 6 3 2 5" xfId="27158" xr:uid="{00000000-0005-0000-0000-000097620000}"/>
    <cellStyle name="표준 5 2 4 6 3 2 6" xfId="35369" xr:uid="{00000000-0005-0000-0000-000098620000}"/>
    <cellStyle name="표준 5 2 4 6 3 2 7" xfId="43562" xr:uid="{00000000-0005-0000-0000-000099620000}"/>
    <cellStyle name="표준 5 2 4 6 3 3" xfId="8500" xr:uid="{00000000-0005-0000-0000-00009A620000}"/>
    <cellStyle name="표준 5 2 4 6 3 3 2" xfId="29206" xr:uid="{00000000-0005-0000-0000-00009B620000}"/>
    <cellStyle name="표준 5 2 4 6 3 3 3" xfId="37417" xr:uid="{00000000-0005-0000-0000-00009C620000}"/>
    <cellStyle name="표준 5 2 4 6 3 3 4" xfId="45610" xr:uid="{00000000-0005-0000-0000-00009D620000}"/>
    <cellStyle name="표준 5 2 4 6 3 4" xfId="12612" xr:uid="{00000000-0005-0000-0000-00009E620000}"/>
    <cellStyle name="표준 5 2 4 6 3 5" xfId="16852" xr:uid="{00000000-0005-0000-0000-00009F620000}"/>
    <cellStyle name="표준 5 2 4 6 3 6" xfId="21014" xr:uid="{00000000-0005-0000-0000-0000A0620000}"/>
    <cellStyle name="표준 5 2 4 6 3 7" xfId="25110" xr:uid="{00000000-0005-0000-0000-0000A1620000}"/>
    <cellStyle name="표준 5 2 4 6 3 8" xfId="33321" xr:uid="{00000000-0005-0000-0000-0000A2620000}"/>
    <cellStyle name="표준 5 2 4 6 3 9" xfId="41514" xr:uid="{00000000-0005-0000-0000-0000A3620000}"/>
    <cellStyle name="표준 5 2 4 6 4" xfId="2157" xr:uid="{00000000-0005-0000-0000-0000A4620000}"/>
    <cellStyle name="표준 5 2 4 6 4 2" xfId="11060" xr:uid="{00000000-0005-0000-0000-0000A5620000}"/>
    <cellStyle name="표준 5 2 4 6 4 2 2" xfId="15172" xr:uid="{00000000-0005-0000-0000-0000A6620000}"/>
    <cellStyle name="표준 5 2 4 6 4 2 2 2" xfId="31766" xr:uid="{00000000-0005-0000-0000-0000A7620000}"/>
    <cellStyle name="표준 5 2 4 6 4 2 2 3" xfId="39977" xr:uid="{00000000-0005-0000-0000-0000A8620000}"/>
    <cellStyle name="표준 5 2 4 6 4 2 2 4" xfId="48170" xr:uid="{00000000-0005-0000-0000-0000A9620000}"/>
    <cellStyle name="표준 5 2 4 6 4 2 3" xfId="19412" xr:uid="{00000000-0005-0000-0000-0000AA620000}"/>
    <cellStyle name="표준 5 2 4 6 4 2 4" xfId="23574" xr:uid="{00000000-0005-0000-0000-0000AB620000}"/>
    <cellStyle name="표준 5 2 4 6 4 2 5" xfId="27670" xr:uid="{00000000-0005-0000-0000-0000AC620000}"/>
    <cellStyle name="표준 5 2 4 6 4 2 6" xfId="35881" xr:uid="{00000000-0005-0000-0000-0000AD620000}"/>
    <cellStyle name="표준 5 2 4 6 4 2 7" xfId="44074" xr:uid="{00000000-0005-0000-0000-0000AE620000}"/>
    <cellStyle name="표준 5 2 4 6 4 3" xfId="9012" xr:uid="{00000000-0005-0000-0000-0000AF620000}"/>
    <cellStyle name="표준 5 2 4 6 4 3 2" xfId="29718" xr:uid="{00000000-0005-0000-0000-0000B0620000}"/>
    <cellStyle name="표준 5 2 4 6 4 3 3" xfId="37929" xr:uid="{00000000-0005-0000-0000-0000B1620000}"/>
    <cellStyle name="표준 5 2 4 6 4 3 4" xfId="46122" xr:uid="{00000000-0005-0000-0000-0000B2620000}"/>
    <cellStyle name="표준 5 2 4 6 4 4" xfId="13124" xr:uid="{00000000-0005-0000-0000-0000B3620000}"/>
    <cellStyle name="표준 5 2 4 6 4 5" xfId="17364" xr:uid="{00000000-0005-0000-0000-0000B4620000}"/>
    <cellStyle name="표준 5 2 4 6 4 6" xfId="21526" xr:uid="{00000000-0005-0000-0000-0000B5620000}"/>
    <cellStyle name="표준 5 2 4 6 4 7" xfId="25622" xr:uid="{00000000-0005-0000-0000-0000B6620000}"/>
    <cellStyle name="표준 5 2 4 6 4 8" xfId="33833" xr:uid="{00000000-0005-0000-0000-0000B7620000}"/>
    <cellStyle name="표준 5 2 4 6 4 9" xfId="42026" xr:uid="{00000000-0005-0000-0000-0000B8620000}"/>
    <cellStyle name="표준 5 2 4 6 5" xfId="9524" xr:uid="{00000000-0005-0000-0000-0000B9620000}"/>
    <cellStyle name="표준 5 2 4 6 5 2" xfId="13636" xr:uid="{00000000-0005-0000-0000-0000BA620000}"/>
    <cellStyle name="표준 5 2 4 6 5 2 2" xfId="30230" xr:uid="{00000000-0005-0000-0000-0000BB620000}"/>
    <cellStyle name="표준 5 2 4 6 5 2 3" xfId="38441" xr:uid="{00000000-0005-0000-0000-0000BC620000}"/>
    <cellStyle name="표준 5 2 4 6 5 2 4" xfId="46634" xr:uid="{00000000-0005-0000-0000-0000BD620000}"/>
    <cellStyle name="표준 5 2 4 6 5 3" xfId="17876" xr:uid="{00000000-0005-0000-0000-0000BE620000}"/>
    <cellStyle name="표준 5 2 4 6 5 4" xfId="22038" xr:uid="{00000000-0005-0000-0000-0000BF620000}"/>
    <cellStyle name="표준 5 2 4 6 5 5" xfId="26134" xr:uid="{00000000-0005-0000-0000-0000C0620000}"/>
    <cellStyle name="표준 5 2 4 6 5 6" xfId="34345" xr:uid="{00000000-0005-0000-0000-0000C1620000}"/>
    <cellStyle name="표준 5 2 4 6 5 7" xfId="42538" xr:uid="{00000000-0005-0000-0000-0000C2620000}"/>
    <cellStyle name="표준 5 2 4 6 6" xfId="7476" xr:uid="{00000000-0005-0000-0000-0000C3620000}"/>
    <cellStyle name="표준 5 2 4 6 6 2" xfId="28182" xr:uid="{00000000-0005-0000-0000-0000C4620000}"/>
    <cellStyle name="표준 5 2 4 6 6 3" xfId="36393" xr:uid="{00000000-0005-0000-0000-0000C5620000}"/>
    <cellStyle name="표준 5 2 4 6 6 4" xfId="44586" xr:uid="{00000000-0005-0000-0000-0000C6620000}"/>
    <cellStyle name="표준 5 2 4 6 7" xfId="11588" xr:uid="{00000000-0005-0000-0000-0000C7620000}"/>
    <cellStyle name="표준 5 2 4 6 8" xfId="15828" xr:uid="{00000000-0005-0000-0000-0000C8620000}"/>
    <cellStyle name="표준 5 2 4 6 9" xfId="19990" xr:uid="{00000000-0005-0000-0000-0000C9620000}"/>
    <cellStyle name="표준 5 2 4 7" xfId="877" xr:uid="{00000000-0005-0000-0000-0000CA620000}"/>
    <cellStyle name="표준 5 2 4 7 2" xfId="9780" xr:uid="{00000000-0005-0000-0000-0000CB620000}"/>
    <cellStyle name="표준 5 2 4 7 2 2" xfId="13892" xr:uid="{00000000-0005-0000-0000-0000CC620000}"/>
    <cellStyle name="표준 5 2 4 7 2 2 2" xfId="30486" xr:uid="{00000000-0005-0000-0000-0000CD620000}"/>
    <cellStyle name="표준 5 2 4 7 2 2 3" xfId="38697" xr:uid="{00000000-0005-0000-0000-0000CE620000}"/>
    <cellStyle name="표준 5 2 4 7 2 2 4" xfId="46890" xr:uid="{00000000-0005-0000-0000-0000CF620000}"/>
    <cellStyle name="표준 5 2 4 7 2 3" xfId="18132" xr:uid="{00000000-0005-0000-0000-0000D0620000}"/>
    <cellStyle name="표준 5 2 4 7 2 4" xfId="22294" xr:uid="{00000000-0005-0000-0000-0000D1620000}"/>
    <cellStyle name="표준 5 2 4 7 2 5" xfId="26390" xr:uid="{00000000-0005-0000-0000-0000D2620000}"/>
    <cellStyle name="표준 5 2 4 7 2 6" xfId="34601" xr:uid="{00000000-0005-0000-0000-0000D3620000}"/>
    <cellStyle name="표준 5 2 4 7 2 7" xfId="42794" xr:uid="{00000000-0005-0000-0000-0000D4620000}"/>
    <cellStyle name="표준 5 2 4 7 3" xfId="7732" xr:uid="{00000000-0005-0000-0000-0000D5620000}"/>
    <cellStyle name="표준 5 2 4 7 3 2" xfId="28438" xr:uid="{00000000-0005-0000-0000-0000D6620000}"/>
    <cellStyle name="표준 5 2 4 7 3 3" xfId="36649" xr:uid="{00000000-0005-0000-0000-0000D7620000}"/>
    <cellStyle name="표준 5 2 4 7 3 4" xfId="44842" xr:uid="{00000000-0005-0000-0000-0000D8620000}"/>
    <cellStyle name="표준 5 2 4 7 4" xfId="11844" xr:uid="{00000000-0005-0000-0000-0000D9620000}"/>
    <cellStyle name="표준 5 2 4 7 5" xfId="16084" xr:uid="{00000000-0005-0000-0000-0000DA620000}"/>
    <cellStyle name="표준 5 2 4 7 6" xfId="20246" xr:uid="{00000000-0005-0000-0000-0000DB620000}"/>
    <cellStyle name="표준 5 2 4 7 7" xfId="24342" xr:uid="{00000000-0005-0000-0000-0000DC620000}"/>
    <cellStyle name="표준 5 2 4 7 8" xfId="32553" xr:uid="{00000000-0005-0000-0000-0000DD620000}"/>
    <cellStyle name="표준 5 2 4 7 9" xfId="40746" xr:uid="{00000000-0005-0000-0000-0000DE620000}"/>
    <cellStyle name="표준 5 2 4 8" xfId="1389" xr:uid="{00000000-0005-0000-0000-0000DF620000}"/>
    <cellStyle name="표준 5 2 4 8 2" xfId="10292" xr:uid="{00000000-0005-0000-0000-0000E0620000}"/>
    <cellStyle name="표준 5 2 4 8 2 2" xfId="14404" xr:uid="{00000000-0005-0000-0000-0000E1620000}"/>
    <cellStyle name="표준 5 2 4 8 2 2 2" xfId="30998" xr:uid="{00000000-0005-0000-0000-0000E2620000}"/>
    <cellStyle name="표준 5 2 4 8 2 2 3" xfId="39209" xr:uid="{00000000-0005-0000-0000-0000E3620000}"/>
    <cellStyle name="표준 5 2 4 8 2 2 4" xfId="47402" xr:uid="{00000000-0005-0000-0000-0000E4620000}"/>
    <cellStyle name="표준 5 2 4 8 2 3" xfId="18644" xr:uid="{00000000-0005-0000-0000-0000E5620000}"/>
    <cellStyle name="표준 5 2 4 8 2 4" xfId="22806" xr:uid="{00000000-0005-0000-0000-0000E6620000}"/>
    <cellStyle name="표준 5 2 4 8 2 5" xfId="26902" xr:uid="{00000000-0005-0000-0000-0000E7620000}"/>
    <cellStyle name="표준 5 2 4 8 2 6" xfId="35113" xr:uid="{00000000-0005-0000-0000-0000E8620000}"/>
    <cellStyle name="표준 5 2 4 8 2 7" xfId="43306" xr:uid="{00000000-0005-0000-0000-0000E9620000}"/>
    <cellStyle name="표준 5 2 4 8 3" xfId="8244" xr:uid="{00000000-0005-0000-0000-0000EA620000}"/>
    <cellStyle name="표준 5 2 4 8 3 2" xfId="28950" xr:uid="{00000000-0005-0000-0000-0000EB620000}"/>
    <cellStyle name="표준 5 2 4 8 3 3" xfId="37161" xr:uid="{00000000-0005-0000-0000-0000EC620000}"/>
    <cellStyle name="표준 5 2 4 8 3 4" xfId="45354" xr:uid="{00000000-0005-0000-0000-0000ED620000}"/>
    <cellStyle name="표준 5 2 4 8 4" xfId="12356" xr:uid="{00000000-0005-0000-0000-0000EE620000}"/>
    <cellStyle name="표준 5 2 4 8 5" xfId="16596" xr:uid="{00000000-0005-0000-0000-0000EF620000}"/>
    <cellStyle name="표준 5 2 4 8 6" xfId="20758" xr:uid="{00000000-0005-0000-0000-0000F0620000}"/>
    <cellStyle name="표준 5 2 4 8 7" xfId="24854" xr:uid="{00000000-0005-0000-0000-0000F1620000}"/>
    <cellStyle name="표준 5 2 4 8 8" xfId="33065" xr:uid="{00000000-0005-0000-0000-0000F2620000}"/>
    <cellStyle name="표준 5 2 4 8 9" xfId="41258" xr:uid="{00000000-0005-0000-0000-0000F3620000}"/>
    <cellStyle name="표준 5 2 4 9" xfId="1901" xr:uid="{00000000-0005-0000-0000-0000F4620000}"/>
    <cellStyle name="표준 5 2 4 9 2" xfId="10804" xr:uid="{00000000-0005-0000-0000-0000F5620000}"/>
    <cellStyle name="표준 5 2 4 9 2 2" xfId="14916" xr:uid="{00000000-0005-0000-0000-0000F6620000}"/>
    <cellStyle name="표준 5 2 4 9 2 2 2" xfId="31510" xr:uid="{00000000-0005-0000-0000-0000F7620000}"/>
    <cellStyle name="표준 5 2 4 9 2 2 3" xfId="39721" xr:uid="{00000000-0005-0000-0000-0000F8620000}"/>
    <cellStyle name="표준 5 2 4 9 2 2 4" xfId="47914" xr:uid="{00000000-0005-0000-0000-0000F9620000}"/>
    <cellStyle name="표준 5 2 4 9 2 3" xfId="19156" xr:uid="{00000000-0005-0000-0000-0000FA620000}"/>
    <cellStyle name="표준 5 2 4 9 2 4" xfId="23318" xr:uid="{00000000-0005-0000-0000-0000FB620000}"/>
    <cellStyle name="표준 5 2 4 9 2 5" xfId="27414" xr:uid="{00000000-0005-0000-0000-0000FC620000}"/>
    <cellStyle name="표준 5 2 4 9 2 6" xfId="35625" xr:uid="{00000000-0005-0000-0000-0000FD620000}"/>
    <cellStyle name="표준 5 2 4 9 2 7" xfId="43818" xr:uid="{00000000-0005-0000-0000-0000FE620000}"/>
    <cellStyle name="표준 5 2 4 9 3" xfId="8756" xr:uid="{00000000-0005-0000-0000-0000FF620000}"/>
    <cellStyle name="표준 5 2 4 9 3 2" xfId="29462" xr:uid="{00000000-0005-0000-0000-000000630000}"/>
    <cellStyle name="표준 5 2 4 9 3 3" xfId="37673" xr:uid="{00000000-0005-0000-0000-000001630000}"/>
    <cellStyle name="표준 5 2 4 9 3 4" xfId="45866" xr:uid="{00000000-0005-0000-0000-000002630000}"/>
    <cellStyle name="표준 5 2 4 9 4" xfId="12868" xr:uid="{00000000-0005-0000-0000-000003630000}"/>
    <cellStyle name="표준 5 2 4 9 5" xfId="17108" xr:uid="{00000000-0005-0000-0000-000004630000}"/>
    <cellStyle name="표준 5 2 4 9 6" xfId="21270" xr:uid="{00000000-0005-0000-0000-000005630000}"/>
    <cellStyle name="표준 5 2 4 9 7" xfId="25366" xr:uid="{00000000-0005-0000-0000-000006630000}"/>
    <cellStyle name="표준 5 2 4 9 8" xfId="33577" xr:uid="{00000000-0005-0000-0000-000007630000}"/>
    <cellStyle name="표준 5 2 4 9 9" xfId="41770" xr:uid="{00000000-0005-0000-0000-000008630000}"/>
    <cellStyle name="표준 5 2 5" xfId="117" xr:uid="{00000000-0005-0000-0000-000009630000}"/>
    <cellStyle name="표준 5 2 5 10" xfId="6965" xr:uid="{00000000-0005-0000-0000-00000A630000}"/>
    <cellStyle name="표준 5 2 5 10 2" xfId="27934" xr:uid="{00000000-0005-0000-0000-00000B630000}"/>
    <cellStyle name="표준 5 2 5 10 3" xfId="36145" xr:uid="{00000000-0005-0000-0000-00000C630000}"/>
    <cellStyle name="표준 5 2 5 10 4" xfId="44338" xr:uid="{00000000-0005-0000-0000-00000D630000}"/>
    <cellStyle name="표준 5 2 5 11" xfId="7193" xr:uid="{00000000-0005-0000-0000-00000E630000}"/>
    <cellStyle name="표준 5 2 5 12" xfId="7228" xr:uid="{00000000-0005-0000-0000-00000F630000}"/>
    <cellStyle name="표준 5 2 5 13" xfId="11340" xr:uid="{00000000-0005-0000-0000-000010630000}"/>
    <cellStyle name="표준 5 2 5 14" xfId="15468" xr:uid="{00000000-0005-0000-0000-000011630000}"/>
    <cellStyle name="표준 5 2 5 15" xfId="15580" xr:uid="{00000000-0005-0000-0000-000012630000}"/>
    <cellStyle name="표준 5 2 5 16" xfId="19742" xr:uid="{00000000-0005-0000-0000-000013630000}"/>
    <cellStyle name="표준 5 2 5 17" xfId="23838" xr:uid="{00000000-0005-0000-0000-000014630000}"/>
    <cellStyle name="표준 5 2 5 18" xfId="32049" xr:uid="{00000000-0005-0000-0000-000015630000}"/>
    <cellStyle name="표준 5 2 5 19" xfId="40242" xr:uid="{00000000-0005-0000-0000-000016630000}"/>
    <cellStyle name="표준 5 2 5 2" xfId="405" xr:uid="{00000000-0005-0000-0000-000017630000}"/>
    <cellStyle name="표준 5 2 5 2 10" xfId="7260" xr:uid="{00000000-0005-0000-0000-000018630000}"/>
    <cellStyle name="표준 5 2 5 2 11" xfId="11372" xr:uid="{00000000-0005-0000-0000-000019630000}"/>
    <cellStyle name="표준 5 2 5 2 12" xfId="15516" xr:uid="{00000000-0005-0000-0000-00001A630000}"/>
    <cellStyle name="표준 5 2 5 2 13" xfId="15612" xr:uid="{00000000-0005-0000-0000-00001B630000}"/>
    <cellStyle name="표준 5 2 5 2 14" xfId="19774" xr:uid="{00000000-0005-0000-0000-00001C630000}"/>
    <cellStyle name="표준 5 2 5 2 15" xfId="23870" xr:uid="{00000000-0005-0000-0000-00001D630000}"/>
    <cellStyle name="표준 5 2 5 2 16" xfId="32081" xr:uid="{00000000-0005-0000-0000-00001E630000}"/>
    <cellStyle name="표준 5 2 5 2 17" xfId="40274" xr:uid="{00000000-0005-0000-0000-00001F630000}"/>
    <cellStyle name="표준 5 2 5 2 18" xfId="49717" xr:uid="{00000000-0005-0000-0000-000020630000}"/>
    <cellStyle name="표준 5 2 5 2 2" xfId="469" xr:uid="{00000000-0005-0000-0000-000021630000}"/>
    <cellStyle name="표준 5 2 5 2 2 10" xfId="15676" xr:uid="{00000000-0005-0000-0000-000022630000}"/>
    <cellStyle name="표준 5 2 5 2 2 11" xfId="19838" xr:uid="{00000000-0005-0000-0000-000023630000}"/>
    <cellStyle name="표준 5 2 5 2 2 12" xfId="23934" xr:uid="{00000000-0005-0000-0000-000024630000}"/>
    <cellStyle name="표준 5 2 5 2 2 13" xfId="32145" xr:uid="{00000000-0005-0000-0000-000025630000}"/>
    <cellStyle name="표준 5 2 5 2 2 14" xfId="40338" xr:uid="{00000000-0005-0000-0000-000026630000}"/>
    <cellStyle name="표준 5 2 5 2 2 2" xfId="597" xr:uid="{00000000-0005-0000-0000-000027630000}"/>
    <cellStyle name="표준 5 2 5 2 2 2 10" xfId="19966" xr:uid="{00000000-0005-0000-0000-000028630000}"/>
    <cellStyle name="표준 5 2 5 2 2 2 11" xfId="24062" xr:uid="{00000000-0005-0000-0000-000029630000}"/>
    <cellStyle name="표준 5 2 5 2 2 2 12" xfId="32273" xr:uid="{00000000-0005-0000-0000-00002A630000}"/>
    <cellStyle name="표준 5 2 5 2 2 2 13" xfId="40466" xr:uid="{00000000-0005-0000-0000-00002B630000}"/>
    <cellStyle name="표준 5 2 5 2 2 2 2" xfId="853" xr:uid="{00000000-0005-0000-0000-00002C630000}"/>
    <cellStyle name="표준 5 2 5 2 2 2 2 10" xfId="24318" xr:uid="{00000000-0005-0000-0000-00002D630000}"/>
    <cellStyle name="표준 5 2 5 2 2 2 2 11" xfId="32529" xr:uid="{00000000-0005-0000-0000-00002E630000}"/>
    <cellStyle name="표준 5 2 5 2 2 2 2 12" xfId="40722" xr:uid="{00000000-0005-0000-0000-00002F630000}"/>
    <cellStyle name="표준 5 2 5 2 2 2 2 2" xfId="1365" xr:uid="{00000000-0005-0000-0000-000030630000}"/>
    <cellStyle name="표준 5 2 5 2 2 2 2 2 2" xfId="10268" xr:uid="{00000000-0005-0000-0000-000031630000}"/>
    <cellStyle name="표준 5 2 5 2 2 2 2 2 2 2" xfId="14380" xr:uid="{00000000-0005-0000-0000-000032630000}"/>
    <cellStyle name="표준 5 2 5 2 2 2 2 2 2 2 2" xfId="30974" xr:uid="{00000000-0005-0000-0000-000033630000}"/>
    <cellStyle name="표준 5 2 5 2 2 2 2 2 2 2 3" xfId="39185" xr:uid="{00000000-0005-0000-0000-000034630000}"/>
    <cellStyle name="표준 5 2 5 2 2 2 2 2 2 2 4" xfId="47378" xr:uid="{00000000-0005-0000-0000-000035630000}"/>
    <cellStyle name="표준 5 2 5 2 2 2 2 2 2 3" xfId="18620" xr:uid="{00000000-0005-0000-0000-000036630000}"/>
    <cellStyle name="표준 5 2 5 2 2 2 2 2 2 4" xfId="22782" xr:uid="{00000000-0005-0000-0000-000037630000}"/>
    <cellStyle name="표준 5 2 5 2 2 2 2 2 2 5" xfId="26878" xr:uid="{00000000-0005-0000-0000-000038630000}"/>
    <cellStyle name="표준 5 2 5 2 2 2 2 2 2 6" xfId="35089" xr:uid="{00000000-0005-0000-0000-000039630000}"/>
    <cellStyle name="표준 5 2 5 2 2 2 2 2 2 7" xfId="43282" xr:uid="{00000000-0005-0000-0000-00003A630000}"/>
    <cellStyle name="표준 5 2 5 2 2 2 2 2 3" xfId="8220" xr:uid="{00000000-0005-0000-0000-00003B630000}"/>
    <cellStyle name="표준 5 2 5 2 2 2 2 2 3 2" xfId="28926" xr:uid="{00000000-0005-0000-0000-00003C630000}"/>
    <cellStyle name="표준 5 2 5 2 2 2 2 2 3 3" xfId="37137" xr:uid="{00000000-0005-0000-0000-00003D630000}"/>
    <cellStyle name="표준 5 2 5 2 2 2 2 2 3 4" xfId="45330" xr:uid="{00000000-0005-0000-0000-00003E630000}"/>
    <cellStyle name="표준 5 2 5 2 2 2 2 2 4" xfId="12332" xr:uid="{00000000-0005-0000-0000-00003F630000}"/>
    <cellStyle name="표준 5 2 5 2 2 2 2 2 5" xfId="16572" xr:uid="{00000000-0005-0000-0000-000040630000}"/>
    <cellStyle name="표준 5 2 5 2 2 2 2 2 6" xfId="20734" xr:uid="{00000000-0005-0000-0000-000041630000}"/>
    <cellStyle name="표준 5 2 5 2 2 2 2 2 7" xfId="24830" xr:uid="{00000000-0005-0000-0000-000042630000}"/>
    <cellStyle name="표준 5 2 5 2 2 2 2 2 8" xfId="33041" xr:uid="{00000000-0005-0000-0000-000043630000}"/>
    <cellStyle name="표준 5 2 5 2 2 2 2 2 9" xfId="41234" xr:uid="{00000000-0005-0000-0000-000044630000}"/>
    <cellStyle name="표준 5 2 5 2 2 2 2 3" xfId="1877" xr:uid="{00000000-0005-0000-0000-000045630000}"/>
    <cellStyle name="표준 5 2 5 2 2 2 2 3 2" xfId="10780" xr:uid="{00000000-0005-0000-0000-000046630000}"/>
    <cellStyle name="표준 5 2 5 2 2 2 2 3 2 2" xfId="14892" xr:uid="{00000000-0005-0000-0000-000047630000}"/>
    <cellStyle name="표준 5 2 5 2 2 2 2 3 2 2 2" xfId="31486" xr:uid="{00000000-0005-0000-0000-000048630000}"/>
    <cellStyle name="표준 5 2 5 2 2 2 2 3 2 2 3" xfId="39697" xr:uid="{00000000-0005-0000-0000-000049630000}"/>
    <cellStyle name="표준 5 2 5 2 2 2 2 3 2 2 4" xfId="47890" xr:uid="{00000000-0005-0000-0000-00004A630000}"/>
    <cellStyle name="표준 5 2 5 2 2 2 2 3 2 3" xfId="19132" xr:uid="{00000000-0005-0000-0000-00004B630000}"/>
    <cellStyle name="표준 5 2 5 2 2 2 2 3 2 4" xfId="23294" xr:uid="{00000000-0005-0000-0000-00004C630000}"/>
    <cellStyle name="표준 5 2 5 2 2 2 2 3 2 5" xfId="27390" xr:uid="{00000000-0005-0000-0000-00004D630000}"/>
    <cellStyle name="표준 5 2 5 2 2 2 2 3 2 6" xfId="35601" xr:uid="{00000000-0005-0000-0000-00004E630000}"/>
    <cellStyle name="표준 5 2 5 2 2 2 2 3 2 7" xfId="43794" xr:uid="{00000000-0005-0000-0000-00004F630000}"/>
    <cellStyle name="표준 5 2 5 2 2 2 2 3 3" xfId="8732" xr:uid="{00000000-0005-0000-0000-000050630000}"/>
    <cellStyle name="표준 5 2 5 2 2 2 2 3 3 2" xfId="29438" xr:uid="{00000000-0005-0000-0000-000051630000}"/>
    <cellStyle name="표준 5 2 5 2 2 2 2 3 3 3" xfId="37649" xr:uid="{00000000-0005-0000-0000-000052630000}"/>
    <cellStyle name="표준 5 2 5 2 2 2 2 3 3 4" xfId="45842" xr:uid="{00000000-0005-0000-0000-000053630000}"/>
    <cellStyle name="표준 5 2 5 2 2 2 2 3 4" xfId="12844" xr:uid="{00000000-0005-0000-0000-000054630000}"/>
    <cellStyle name="표준 5 2 5 2 2 2 2 3 5" xfId="17084" xr:uid="{00000000-0005-0000-0000-000055630000}"/>
    <cellStyle name="표준 5 2 5 2 2 2 2 3 6" xfId="21246" xr:uid="{00000000-0005-0000-0000-000056630000}"/>
    <cellStyle name="표준 5 2 5 2 2 2 2 3 7" xfId="25342" xr:uid="{00000000-0005-0000-0000-000057630000}"/>
    <cellStyle name="표준 5 2 5 2 2 2 2 3 8" xfId="33553" xr:uid="{00000000-0005-0000-0000-000058630000}"/>
    <cellStyle name="표준 5 2 5 2 2 2 2 3 9" xfId="41746" xr:uid="{00000000-0005-0000-0000-000059630000}"/>
    <cellStyle name="표준 5 2 5 2 2 2 2 4" xfId="2389" xr:uid="{00000000-0005-0000-0000-00005A630000}"/>
    <cellStyle name="표준 5 2 5 2 2 2 2 4 2" xfId="11292" xr:uid="{00000000-0005-0000-0000-00005B630000}"/>
    <cellStyle name="표준 5 2 5 2 2 2 2 4 2 2" xfId="15404" xr:uid="{00000000-0005-0000-0000-00005C630000}"/>
    <cellStyle name="표준 5 2 5 2 2 2 2 4 2 2 2" xfId="31998" xr:uid="{00000000-0005-0000-0000-00005D630000}"/>
    <cellStyle name="표준 5 2 5 2 2 2 2 4 2 2 3" xfId="40209" xr:uid="{00000000-0005-0000-0000-00005E630000}"/>
    <cellStyle name="표준 5 2 5 2 2 2 2 4 2 2 4" xfId="48402" xr:uid="{00000000-0005-0000-0000-00005F630000}"/>
    <cellStyle name="표준 5 2 5 2 2 2 2 4 2 3" xfId="19644" xr:uid="{00000000-0005-0000-0000-000060630000}"/>
    <cellStyle name="표준 5 2 5 2 2 2 2 4 2 4" xfId="23806" xr:uid="{00000000-0005-0000-0000-000061630000}"/>
    <cellStyle name="표준 5 2 5 2 2 2 2 4 2 5" xfId="27902" xr:uid="{00000000-0005-0000-0000-000062630000}"/>
    <cellStyle name="표준 5 2 5 2 2 2 2 4 2 6" xfId="36113" xr:uid="{00000000-0005-0000-0000-000063630000}"/>
    <cellStyle name="표준 5 2 5 2 2 2 2 4 2 7" xfId="44306" xr:uid="{00000000-0005-0000-0000-000064630000}"/>
    <cellStyle name="표준 5 2 5 2 2 2 2 4 3" xfId="9244" xr:uid="{00000000-0005-0000-0000-000065630000}"/>
    <cellStyle name="표준 5 2 5 2 2 2 2 4 3 2" xfId="29950" xr:uid="{00000000-0005-0000-0000-000066630000}"/>
    <cellStyle name="표준 5 2 5 2 2 2 2 4 3 3" xfId="38161" xr:uid="{00000000-0005-0000-0000-000067630000}"/>
    <cellStyle name="표준 5 2 5 2 2 2 2 4 3 4" xfId="46354" xr:uid="{00000000-0005-0000-0000-000068630000}"/>
    <cellStyle name="표준 5 2 5 2 2 2 2 4 4" xfId="13356" xr:uid="{00000000-0005-0000-0000-000069630000}"/>
    <cellStyle name="표준 5 2 5 2 2 2 2 4 5" xfId="17596" xr:uid="{00000000-0005-0000-0000-00006A630000}"/>
    <cellStyle name="표준 5 2 5 2 2 2 2 4 6" xfId="21758" xr:uid="{00000000-0005-0000-0000-00006B630000}"/>
    <cellStyle name="표준 5 2 5 2 2 2 2 4 7" xfId="25854" xr:uid="{00000000-0005-0000-0000-00006C630000}"/>
    <cellStyle name="표준 5 2 5 2 2 2 2 4 8" xfId="34065" xr:uid="{00000000-0005-0000-0000-00006D630000}"/>
    <cellStyle name="표준 5 2 5 2 2 2 2 4 9" xfId="42258" xr:uid="{00000000-0005-0000-0000-00006E630000}"/>
    <cellStyle name="표준 5 2 5 2 2 2 2 5" xfId="9756" xr:uid="{00000000-0005-0000-0000-00006F630000}"/>
    <cellStyle name="표준 5 2 5 2 2 2 2 5 2" xfId="13868" xr:uid="{00000000-0005-0000-0000-000070630000}"/>
    <cellStyle name="표준 5 2 5 2 2 2 2 5 2 2" xfId="30462" xr:uid="{00000000-0005-0000-0000-000071630000}"/>
    <cellStyle name="표준 5 2 5 2 2 2 2 5 2 3" xfId="38673" xr:uid="{00000000-0005-0000-0000-000072630000}"/>
    <cellStyle name="표준 5 2 5 2 2 2 2 5 2 4" xfId="46866" xr:uid="{00000000-0005-0000-0000-000073630000}"/>
    <cellStyle name="표준 5 2 5 2 2 2 2 5 3" xfId="18108" xr:uid="{00000000-0005-0000-0000-000074630000}"/>
    <cellStyle name="표준 5 2 5 2 2 2 2 5 4" xfId="22270" xr:uid="{00000000-0005-0000-0000-000075630000}"/>
    <cellStyle name="표준 5 2 5 2 2 2 2 5 5" xfId="26366" xr:uid="{00000000-0005-0000-0000-000076630000}"/>
    <cellStyle name="표준 5 2 5 2 2 2 2 5 6" xfId="34577" xr:uid="{00000000-0005-0000-0000-000077630000}"/>
    <cellStyle name="표준 5 2 5 2 2 2 2 5 7" xfId="42770" xr:uid="{00000000-0005-0000-0000-000078630000}"/>
    <cellStyle name="표준 5 2 5 2 2 2 2 6" xfId="7708" xr:uid="{00000000-0005-0000-0000-000079630000}"/>
    <cellStyle name="표준 5 2 5 2 2 2 2 6 2" xfId="28414" xr:uid="{00000000-0005-0000-0000-00007A630000}"/>
    <cellStyle name="표준 5 2 5 2 2 2 2 6 3" xfId="36625" xr:uid="{00000000-0005-0000-0000-00007B630000}"/>
    <cellStyle name="표준 5 2 5 2 2 2 2 6 4" xfId="44818" xr:uid="{00000000-0005-0000-0000-00007C630000}"/>
    <cellStyle name="표준 5 2 5 2 2 2 2 7" xfId="11820" xr:uid="{00000000-0005-0000-0000-00007D630000}"/>
    <cellStyle name="표준 5 2 5 2 2 2 2 8" xfId="16060" xr:uid="{00000000-0005-0000-0000-00007E630000}"/>
    <cellStyle name="표준 5 2 5 2 2 2 2 9" xfId="20222" xr:uid="{00000000-0005-0000-0000-00007F630000}"/>
    <cellStyle name="표준 5 2 5 2 2 2 3" xfId="1109" xr:uid="{00000000-0005-0000-0000-000080630000}"/>
    <cellStyle name="표준 5 2 5 2 2 2 3 2" xfId="10012" xr:uid="{00000000-0005-0000-0000-000081630000}"/>
    <cellStyle name="표준 5 2 5 2 2 2 3 2 2" xfId="14124" xr:uid="{00000000-0005-0000-0000-000082630000}"/>
    <cellStyle name="표준 5 2 5 2 2 2 3 2 2 2" xfId="30718" xr:uid="{00000000-0005-0000-0000-000083630000}"/>
    <cellStyle name="표준 5 2 5 2 2 2 3 2 2 3" xfId="38929" xr:uid="{00000000-0005-0000-0000-000084630000}"/>
    <cellStyle name="표준 5 2 5 2 2 2 3 2 2 4" xfId="47122" xr:uid="{00000000-0005-0000-0000-000085630000}"/>
    <cellStyle name="표준 5 2 5 2 2 2 3 2 3" xfId="18364" xr:uid="{00000000-0005-0000-0000-000086630000}"/>
    <cellStyle name="표준 5 2 5 2 2 2 3 2 4" xfId="22526" xr:uid="{00000000-0005-0000-0000-000087630000}"/>
    <cellStyle name="표준 5 2 5 2 2 2 3 2 5" xfId="26622" xr:uid="{00000000-0005-0000-0000-000088630000}"/>
    <cellStyle name="표준 5 2 5 2 2 2 3 2 6" xfId="34833" xr:uid="{00000000-0005-0000-0000-000089630000}"/>
    <cellStyle name="표준 5 2 5 2 2 2 3 2 7" xfId="43026" xr:uid="{00000000-0005-0000-0000-00008A630000}"/>
    <cellStyle name="표준 5 2 5 2 2 2 3 3" xfId="7964" xr:uid="{00000000-0005-0000-0000-00008B630000}"/>
    <cellStyle name="표준 5 2 5 2 2 2 3 3 2" xfId="28670" xr:uid="{00000000-0005-0000-0000-00008C630000}"/>
    <cellStyle name="표준 5 2 5 2 2 2 3 3 3" xfId="36881" xr:uid="{00000000-0005-0000-0000-00008D630000}"/>
    <cellStyle name="표준 5 2 5 2 2 2 3 3 4" xfId="45074" xr:uid="{00000000-0005-0000-0000-00008E630000}"/>
    <cellStyle name="표준 5 2 5 2 2 2 3 4" xfId="12076" xr:uid="{00000000-0005-0000-0000-00008F630000}"/>
    <cellStyle name="표준 5 2 5 2 2 2 3 5" xfId="16316" xr:uid="{00000000-0005-0000-0000-000090630000}"/>
    <cellStyle name="표준 5 2 5 2 2 2 3 6" xfId="20478" xr:uid="{00000000-0005-0000-0000-000091630000}"/>
    <cellStyle name="표준 5 2 5 2 2 2 3 7" xfId="24574" xr:uid="{00000000-0005-0000-0000-000092630000}"/>
    <cellStyle name="표준 5 2 5 2 2 2 3 8" xfId="32785" xr:uid="{00000000-0005-0000-0000-000093630000}"/>
    <cellStyle name="표준 5 2 5 2 2 2 3 9" xfId="40978" xr:uid="{00000000-0005-0000-0000-000094630000}"/>
    <cellStyle name="표준 5 2 5 2 2 2 4" xfId="1621" xr:uid="{00000000-0005-0000-0000-000095630000}"/>
    <cellStyle name="표준 5 2 5 2 2 2 4 2" xfId="10524" xr:uid="{00000000-0005-0000-0000-000096630000}"/>
    <cellStyle name="표준 5 2 5 2 2 2 4 2 2" xfId="14636" xr:uid="{00000000-0005-0000-0000-000097630000}"/>
    <cellStyle name="표준 5 2 5 2 2 2 4 2 2 2" xfId="31230" xr:uid="{00000000-0005-0000-0000-000098630000}"/>
    <cellStyle name="표준 5 2 5 2 2 2 4 2 2 3" xfId="39441" xr:uid="{00000000-0005-0000-0000-000099630000}"/>
    <cellStyle name="표준 5 2 5 2 2 2 4 2 2 4" xfId="47634" xr:uid="{00000000-0005-0000-0000-00009A630000}"/>
    <cellStyle name="표준 5 2 5 2 2 2 4 2 3" xfId="18876" xr:uid="{00000000-0005-0000-0000-00009B630000}"/>
    <cellStyle name="표준 5 2 5 2 2 2 4 2 4" xfId="23038" xr:uid="{00000000-0005-0000-0000-00009C630000}"/>
    <cellStyle name="표준 5 2 5 2 2 2 4 2 5" xfId="27134" xr:uid="{00000000-0005-0000-0000-00009D630000}"/>
    <cellStyle name="표준 5 2 5 2 2 2 4 2 6" xfId="35345" xr:uid="{00000000-0005-0000-0000-00009E630000}"/>
    <cellStyle name="표준 5 2 5 2 2 2 4 2 7" xfId="43538" xr:uid="{00000000-0005-0000-0000-00009F630000}"/>
    <cellStyle name="표준 5 2 5 2 2 2 4 3" xfId="8476" xr:uid="{00000000-0005-0000-0000-0000A0630000}"/>
    <cellStyle name="표준 5 2 5 2 2 2 4 3 2" xfId="29182" xr:uid="{00000000-0005-0000-0000-0000A1630000}"/>
    <cellStyle name="표준 5 2 5 2 2 2 4 3 3" xfId="37393" xr:uid="{00000000-0005-0000-0000-0000A2630000}"/>
    <cellStyle name="표준 5 2 5 2 2 2 4 3 4" xfId="45586" xr:uid="{00000000-0005-0000-0000-0000A3630000}"/>
    <cellStyle name="표준 5 2 5 2 2 2 4 4" xfId="12588" xr:uid="{00000000-0005-0000-0000-0000A4630000}"/>
    <cellStyle name="표준 5 2 5 2 2 2 4 5" xfId="16828" xr:uid="{00000000-0005-0000-0000-0000A5630000}"/>
    <cellStyle name="표준 5 2 5 2 2 2 4 6" xfId="20990" xr:uid="{00000000-0005-0000-0000-0000A6630000}"/>
    <cellStyle name="표준 5 2 5 2 2 2 4 7" xfId="25086" xr:uid="{00000000-0005-0000-0000-0000A7630000}"/>
    <cellStyle name="표준 5 2 5 2 2 2 4 8" xfId="33297" xr:uid="{00000000-0005-0000-0000-0000A8630000}"/>
    <cellStyle name="표준 5 2 5 2 2 2 4 9" xfId="41490" xr:uid="{00000000-0005-0000-0000-0000A9630000}"/>
    <cellStyle name="표준 5 2 5 2 2 2 5" xfId="2133" xr:uid="{00000000-0005-0000-0000-0000AA630000}"/>
    <cellStyle name="표준 5 2 5 2 2 2 5 2" xfId="11036" xr:uid="{00000000-0005-0000-0000-0000AB630000}"/>
    <cellStyle name="표준 5 2 5 2 2 2 5 2 2" xfId="15148" xr:uid="{00000000-0005-0000-0000-0000AC630000}"/>
    <cellStyle name="표준 5 2 5 2 2 2 5 2 2 2" xfId="31742" xr:uid="{00000000-0005-0000-0000-0000AD630000}"/>
    <cellStyle name="표준 5 2 5 2 2 2 5 2 2 3" xfId="39953" xr:uid="{00000000-0005-0000-0000-0000AE630000}"/>
    <cellStyle name="표준 5 2 5 2 2 2 5 2 2 4" xfId="48146" xr:uid="{00000000-0005-0000-0000-0000AF630000}"/>
    <cellStyle name="표준 5 2 5 2 2 2 5 2 3" xfId="19388" xr:uid="{00000000-0005-0000-0000-0000B0630000}"/>
    <cellStyle name="표준 5 2 5 2 2 2 5 2 4" xfId="23550" xr:uid="{00000000-0005-0000-0000-0000B1630000}"/>
    <cellStyle name="표준 5 2 5 2 2 2 5 2 5" xfId="27646" xr:uid="{00000000-0005-0000-0000-0000B2630000}"/>
    <cellStyle name="표준 5 2 5 2 2 2 5 2 6" xfId="35857" xr:uid="{00000000-0005-0000-0000-0000B3630000}"/>
    <cellStyle name="표준 5 2 5 2 2 2 5 2 7" xfId="44050" xr:uid="{00000000-0005-0000-0000-0000B4630000}"/>
    <cellStyle name="표준 5 2 5 2 2 2 5 3" xfId="8988" xr:uid="{00000000-0005-0000-0000-0000B5630000}"/>
    <cellStyle name="표준 5 2 5 2 2 2 5 3 2" xfId="29694" xr:uid="{00000000-0005-0000-0000-0000B6630000}"/>
    <cellStyle name="표준 5 2 5 2 2 2 5 3 3" xfId="37905" xr:uid="{00000000-0005-0000-0000-0000B7630000}"/>
    <cellStyle name="표준 5 2 5 2 2 2 5 3 4" xfId="46098" xr:uid="{00000000-0005-0000-0000-0000B8630000}"/>
    <cellStyle name="표준 5 2 5 2 2 2 5 4" xfId="13100" xr:uid="{00000000-0005-0000-0000-0000B9630000}"/>
    <cellStyle name="표준 5 2 5 2 2 2 5 5" xfId="17340" xr:uid="{00000000-0005-0000-0000-0000BA630000}"/>
    <cellStyle name="표준 5 2 5 2 2 2 5 6" xfId="21502" xr:uid="{00000000-0005-0000-0000-0000BB630000}"/>
    <cellStyle name="표준 5 2 5 2 2 2 5 7" xfId="25598" xr:uid="{00000000-0005-0000-0000-0000BC630000}"/>
    <cellStyle name="표준 5 2 5 2 2 2 5 8" xfId="33809" xr:uid="{00000000-0005-0000-0000-0000BD630000}"/>
    <cellStyle name="표준 5 2 5 2 2 2 5 9" xfId="42002" xr:uid="{00000000-0005-0000-0000-0000BE630000}"/>
    <cellStyle name="표준 5 2 5 2 2 2 6" xfId="9500" xr:uid="{00000000-0005-0000-0000-0000BF630000}"/>
    <cellStyle name="표준 5 2 5 2 2 2 6 2" xfId="13612" xr:uid="{00000000-0005-0000-0000-0000C0630000}"/>
    <cellStyle name="표준 5 2 5 2 2 2 6 2 2" xfId="30206" xr:uid="{00000000-0005-0000-0000-0000C1630000}"/>
    <cellStyle name="표준 5 2 5 2 2 2 6 2 3" xfId="38417" xr:uid="{00000000-0005-0000-0000-0000C2630000}"/>
    <cellStyle name="표준 5 2 5 2 2 2 6 2 4" xfId="46610" xr:uid="{00000000-0005-0000-0000-0000C3630000}"/>
    <cellStyle name="표준 5 2 5 2 2 2 6 3" xfId="17852" xr:uid="{00000000-0005-0000-0000-0000C4630000}"/>
    <cellStyle name="표준 5 2 5 2 2 2 6 4" xfId="22014" xr:uid="{00000000-0005-0000-0000-0000C5630000}"/>
    <cellStyle name="표준 5 2 5 2 2 2 6 5" xfId="26110" xr:uid="{00000000-0005-0000-0000-0000C6630000}"/>
    <cellStyle name="표준 5 2 5 2 2 2 6 6" xfId="34321" xr:uid="{00000000-0005-0000-0000-0000C7630000}"/>
    <cellStyle name="표준 5 2 5 2 2 2 6 7" xfId="42514" xr:uid="{00000000-0005-0000-0000-0000C8630000}"/>
    <cellStyle name="표준 5 2 5 2 2 2 7" xfId="7452" xr:uid="{00000000-0005-0000-0000-0000C9630000}"/>
    <cellStyle name="표준 5 2 5 2 2 2 7 2" xfId="28158" xr:uid="{00000000-0005-0000-0000-0000CA630000}"/>
    <cellStyle name="표준 5 2 5 2 2 2 7 3" xfId="36369" xr:uid="{00000000-0005-0000-0000-0000CB630000}"/>
    <cellStyle name="표준 5 2 5 2 2 2 7 4" xfId="44562" xr:uid="{00000000-0005-0000-0000-0000CC630000}"/>
    <cellStyle name="표준 5 2 5 2 2 2 8" xfId="11564" xr:uid="{00000000-0005-0000-0000-0000CD630000}"/>
    <cellStyle name="표준 5 2 5 2 2 2 9" xfId="15804" xr:uid="{00000000-0005-0000-0000-0000CE630000}"/>
    <cellStyle name="표준 5 2 5 2 2 3" xfId="725" xr:uid="{00000000-0005-0000-0000-0000CF630000}"/>
    <cellStyle name="표준 5 2 5 2 2 3 10" xfId="24190" xr:uid="{00000000-0005-0000-0000-0000D0630000}"/>
    <cellStyle name="표준 5 2 5 2 2 3 11" xfId="32401" xr:uid="{00000000-0005-0000-0000-0000D1630000}"/>
    <cellStyle name="표준 5 2 5 2 2 3 12" xfId="40594" xr:uid="{00000000-0005-0000-0000-0000D2630000}"/>
    <cellStyle name="표준 5 2 5 2 2 3 2" xfId="1237" xr:uid="{00000000-0005-0000-0000-0000D3630000}"/>
    <cellStyle name="표준 5 2 5 2 2 3 2 2" xfId="10140" xr:uid="{00000000-0005-0000-0000-0000D4630000}"/>
    <cellStyle name="표준 5 2 5 2 2 3 2 2 2" xfId="14252" xr:uid="{00000000-0005-0000-0000-0000D5630000}"/>
    <cellStyle name="표준 5 2 5 2 2 3 2 2 2 2" xfId="30846" xr:uid="{00000000-0005-0000-0000-0000D6630000}"/>
    <cellStyle name="표준 5 2 5 2 2 3 2 2 2 3" xfId="39057" xr:uid="{00000000-0005-0000-0000-0000D7630000}"/>
    <cellStyle name="표준 5 2 5 2 2 3 2 2 2 4" xfId="47250" xr:uid="{00000000-0005-0000-0000-0000D8630000}"/>
    <cellStyle name="표준 5 2 5 2 2 3 2 2 3" xfId="18492" xr:uid="{00000000-0005-0000-0000-0000D9630000}"/>
    <cellStyle name="표준 5 2 5 2 2 3 2 2 4" xfId="22654" xr:uid="{00000000-0005-0000-0000-0000DA630000}"/>
    <cellStyle name="표준 5 2 5 2 2 3 2 2 5" xfId="26750" xr:uid="{00000000-0005-0000-0000-0000DB630000}"/>
    <cellStyle name="표준 5 2 5 2 2 3 2 2 6" xfId="34961" xr:uid="{00000000-0005-0000-0000-0000DC630000}"/>
    <cellStyle name="표준 5 2 5 2 2 3 2 2 7" xfId="43154" xr:uid="{00000000-0005-0000-0000-0000DD630000}"/>
    <cellStyle name="표준 5 2 5 2 2 3 2 3" xfId="8092" xr:uid="{00000000-0005-0000-0000-0000DE630000}"/>
    <cellStyle name="표준 5 2 5 2 2 3 2 3 2" xfId="28798" xr:uid="{00000000-0005-0000-0000-0000DF630000}"/>
    <cellStyle name="표준 5 2 5 2 2 3 2 3 3" xfId="37009" xr:uid="{00000000-0005-0000-0000-0000E0630000}"/>
    <cellStyle name="표준 5 2 5 2 2 3 2 3 4" xfId="45202" xr:uid="{00000000-0005-0000-0000-0000E1630000}"/>
    <cellStyle name="표준 5 2 5 2 2 3 2 4" xfId="12204" xr:uid="{00000000-0005-0000-0000-0000E2630000}"/>
    <cellStyle name="표준 5 2 5 2 2 3 2 5" xfId="16444" xr:uid="{00000000-0005-0000-0000-0000E3630000}"/>
    <cellStyle name="표준 5 2 5 2 2 3 2 6" xfId="20606" xr:uid="{00000000-0005-0000-0000-0000E4630000}"/>
    <cellStyle name="표준 5 2 5 2 2 3 2 7" xfId="24702" xr:uid="{00000000-0005-0000-0000-0000E5630000}"/>
    <cellStyle name="표준 5 2 5 2 2 3 2 8" xfId="32913" xr:uid="{00000000-0005-0000-0000-0000E6630000}"/>
    <cellStyle name="표준 5 2 5 2 2 3 2 9" xfId="41106" xr:uid="{00000000-0005-0000-0000-0000E7630000}"/>
    <cellStyle name="표준 5 2 5 2 2 3 3" xfId="1749" xr:uid="{00000000-0005-0000-0000-0000E8630000}"/>
    <cellStyle name="표준 5 2 5 2 2 3 3 2" xfId="10652" xr:uid="{00000000-0005-0000-0000-0000E9630000}"/>
    <cellStyle name="표준 5 2 5 2 2 3 3 2 2" xfId="14764" xr:uid="{00000000-0005-0000-0000-0000EA630000}"/>
    <cellStyle name="표준 5 2 5 2 2 3 3 2 2 2" xfId="31358" xr:uid="{00000000-0005-0000-0000-0000EB630000}"/>
    <cellStyle name="표준 5 2 5 2 2 3 3 2 2 3" xfId="39569" xr:uid="{00000000-0005-0000-0000-0000EC630000}"/>
    <cellStyle name="표준 5 2 5 2 2 3 3 2 2 4" xfId="47762" xr:uid="{00000000-0005-0000-0000-0000ED630000}"/>
    <cellStyle name="표준 5 2 5 2 2 3 3 2 3" xfId="19004" xr:uid="{00000000-0005-0000-0000-0000EE630000}"/>
    <cellStyle name="표준 5 2 5 2 2 3 3 2 4" xfId="23166" xr:uid="{00000000-0005-0000-0000-0000EF630000}"/>
    <cellStyle name="표준 5 2 5 2 2 3 3 2 5" xfId="27262" xr:uid="{00000000-0005-0000-0000-0000F0630000}"/>
    <cellStyle name="표준 5 2 5 2 2 3 3 2 6" xfId="35473" xr:uid="{00000000-0005-0000-0000-0000F1630000}"/>
    <cellStyle name="표준 5 2 5 2 2 3 3 2 7" xfId="43666" xr:uid="{00000000-0005-0000-0000-0000F2630000}"/>
    <cellStyle name="표준 5 2 5 2 2 3 3 3" xfId="8604" xr:uid="{00000000-0005-0000-0000-0000F3630000}"/>
    <cellStyle name="표준 5 2 5 2 2 3 3 3 2" xfId="29310" xr:uid="{00000000-0005-0000-0000-0000F4630000}"/>
    <cellStyle name="표준 5 2 5 2 2 3 3 3 3" xfId="37521" xr:uid="{00000000-0005-0000-0000-0000F5630000}"/>
    <cellStyle name="표준 5 2 5 2 2 3 3 3 4" xfId="45714" xr:uid="{00000000-0005-0000-0000-0000F6630000}"/>
    <cellStyle name="표준 5 2 5 2 2 3 3 4" xfId="12716" xr:uid="{00000000-0005-0000-0000-0000F7630000}"/>
    <cellStyle name="표준 5 2 5 2 2 3 3 5" xfId="16956" xr:uid="{00000000-0005-0000-0000-0000F8630000}"/>
    <cellStyle name="표준 5 2 5 2 2 3 3 6" xfId="21118" xr:uid="{00000000-0005-0000-0000-0000F9630000}"/>
    <cellStyle name="표준 5 2 5 2 2 3 3 7" xfId="25214" xr:uid="{00000000-0005-0000-0000-0000FA630000}"/>
    <cellStyle name="표준 5 2 5 2 2 3 3 8" xfId="33425" xr:uid="{00000000-0005-0000-0000-0000FB630000}"/>
    <cellStyle name="표준 5 2 5 2 2 3 3 9" xfId="41618" xr:uid="{00000000-0005-0000-0000-0000FC630000}"/>
    <cellStyle name="표준 5 2 5 2 2 3 4" xfId="2261" xr:uid="{00000000-0005-0000-0000-0000FD630000}"/>
    <cellStyle name="표준 5 2 5 2 2 3 4 2" xfId="11164" xr:uid="{00000000-0005-0000-0000-0000FE630000}"/>
    <cellStyle name="표준 5 2 5 2 2 3 4 2 2" xfId="15276" xr:uid="{00000000-0005-0000-0000-0000FF630000}"/>
    <cellStyle name="표준 5 2 5 2 2 3 4 2 2 2" xfId="31870" xr:uid="{00000000-0005-0000-0000-000000640000}"/>
    <cellStyle name="표준 5 2 5 2 2 3 4 2 2 3" xfId="40081" xr:uid="{00000000-0005-0000-0000-000001640000}"/>
    <cellStyle name="표준 5 2 5 2 2 3 4 2 2 4" xfId="48274" xr:uid="{00000000-0005-0000-0000-000002640000}"/>
    <cellStyle name="표준 5 2 5 2 2 3 4 2 3" xfId="19516" xr:uid="{00000000-0005-0000-0000-000003640000}"/>
    <cellStyle name="표준 5 2 5 2 2 3 4 2 4" xfId="23678" xr:uid="{00000000-0005-0000-0000-000004640000}"/>
    <cellStyle name="표준 5 2 5 2 2 3 4 2 5" xfId="27774" xr:uid="{00000000-0005-0000-0000-000005640000}"/>
    <cellStyle name="표준 5 2 5 2 2 3 4 2 6" xfId="35985" xr:uid="{00000000-0005-0000-0000-000006640000}"/>
    <cellStyle name="표준 5 2 5 2 2 3 4 2 7" xfId="44178" xr:uid="{00000000-0005-0000-0000-000007640000}"/>
    <cellStyle name="표준 5 2 5 2 2 3 4 3" xfId="9116" xr:uid="{00000000-0005-0000-0000-000008640000}"/>
    <cellStyle name="표준 5 2 5 2 2 3 4 3 2" xfId="29822" xr:uid="{00000000-0005-0000-0000-000009640000}"/>
    <cellStyle name="표준 5 2 5 2 2 3 4 3 3" xfId="38033" xr:uid="{00000000-0005-0000-0000-00000A640000}"/>
    <cellStyle name="표준 5 2 5 2 2 3 4 3 4" xfId="46226" xr:uid="{00000000-0005-0000-0000-00000B640000}"/>
    <cellStyle name="표준 5 2 5 2 2 3 4 4" xfId="13228" xr:uid="{00000000-0005-0000-0000-00000C640000}"/>
    <cellStyle name="표준 5 2 5 2 2 3 4 5" xfId="17468" xr:uid="{00000000-0005-0000-0000-00000D640000}"/>
    <cellStyle name="표준 5 2 5 2 2 3 4 6" xfId="21630" xr:uid="{00000000-0005-0000-0000-00000E640000}"/>
    <cellStyle name="표준 5 2 5 2 2 3 4 7" xfId="25726" xr:uid="{00000000-0005-0000-0000-00000F640000}"/>
    <cellStyle name="표준 5 2 5 2 2 3 4 8" xfId="33937" xr:uid="{00000000-0005-0000-0000-000010640000}"/>
    <cellStyle name="표준 5 2 5 2 2 3 4 9" xfId="42130" xr:uid="{00000000-0005-0000-0000-000011640000}"/>
    <cellStyle name="표준 5 2 5 2 2 3 5" xfId="9628" xr:uid="{00000000-0005-0000-0000-000012640000}"/>
    <cellStyle name="표준 5 2 5 2 2 3 5 2" xfId="13740" xr:uid="{00000000-0005-0000-0000-000013640000}"/>
    <cellStyle name="표준 5 2 5 2 2 3 5 2 2" xfId="30334" xr:uid="{00000000-0005-0000-0000-000014640000}"/>
    <cellStyle name="표준 5 2 5 2 2 3 5 2 3" xfId="38545" xr:uid="{00000000-0005-0000-0000-000015640000}"/>
    <cellStyle name="표준 5 2 5 2 2 3 5 2 4" xfId="46738" xr:uid="{00000000-0005-0000-0000-000016640000}"/>
    <cellStyle name="표준 5 2 5 2 2 3 5 3" xfId="17980" xr:uid="{00000000-0005-0000-0000-000017640000}"/>
    <cellStyle name="표준 5 2 5 2 2 3 5 4" xfId="22142" xr:uid="{00000000-0005-0000-0000-000018640000}"/>
    <cellStyle name="표준 5 2 5 2 2 3 5 5" xfId="26238" xr:uid="{00000000-0005-0000-0000-000019640000}"/>
    <cellStyle name="표준 5 2 5 2 2 3 5 6" xfId="34449" xr:uid="{00000000-0005-0000-0000-00001A640000}"/>
    <cellStyle name="표준 5 2 5 2 2 3 5 7" xfId="42642" xr:uid="{00000000-0005-0000-0000-00001B640000}"/>
    <cellStyle name="표준 5 2 5 2 2 3 6" xfId="7580" xr:uid="{00000000-0005-0000-0000-00001C640000}"/>
    <cellStyle name="표준 5 2 5 2 2 3 6 2" xfId="28286" xr:uid="{00000000-0005-0000-0000-00001D640000}"/>
    <cellStyle name="표준 5 2 5 2 2 3 6 3" xfId="36497" xr:uid="{00000000-0005-0000-0000-00001E640000}"/>
    <cellStyle name="표준 5 2 5 2 2 3 6 4" xfId="44690" xr:uid="{00000000-0005-0000-0000-00001F640000}"/>
    <cellStyle name="표준 5 2 5 2 2 3 7" xfId="11692" xr:uid="{00000000-0005-0000-0000-000020640000}"/>
    <cellStyle name="표준 5 2 5 2 2 3 8" xfId="15932" xr:uid="{00000000-0005-0000-0000-000021640000}"/>
    <cellStyle name="표준 5 2 5 2 2 3 9" xfId="20094" xr:uid="{00000000-0005-0000-0000-000022640000}"/>
    <cellStyle name="표준 5 2 5 2 2 4" xfId="981" xr:uid="{00000000-0005-0000-0000-000023640000}"/>
    <cellStyle name="표준 5 2 5 2 2 4 2" xfId="9884" xr:uid="{00000000-0005-0000-0000-000024640000}"/>
    <cellStyle name="표준 5 2 5 2 2 4 2 2" xfId="13996" xr:uid="{00000000-0005-0000-0000-000025640000}"/>
    <cellStyle name="표준 5 2 5 2 2 4 2 2 2" xfId="30590" xr:uid="{00000000-0005-0000-0000-000026640000}"/>
    <cellStyle name="표준 5 2 5 2 2 4 2 2 3" xfId="38801" xr:uid="{00000000-0005-0000-0000-000027640000}"/>
    <cellStyle name="표준 5 2 5 2 2 4 2 2 4" xfId="46994" xr:uid="{00000000-0005-0000-0000-000028640000}"/>
    <cellStyle name="표준 5 2 5 2 2 4 2 3" xfId="18236" xr:uid="{00000000-0005-0000-0000-000029640000}"/>
    <cellStyle name="표준 5 2 5 2 2 4 2 4" xfId="22398" xr:uid="{00000000-0005-0000-0000-00002A640000}"/>
    <cellStyle name="표준 5 2 5 2 2 4 2 5" xfId="26494" xr:uid="{00000000-0005-0000-0000-00002B640000}"/>
    <cellStyle name="표준 5 2 5 2 2 4 2 6" xfId="34705" xr:uid="{00000000-0005-0000-0000-00002C640000}"/>
    <cellStyle name="표준 5 2 5 2 2 4 2 7" xfId="42898" xr:uid="{00000000-0005-0000-0000-00002D640000}"/>
    <cellStyle name="표준 5 2 5 2 2 4 3" xfId="7836" xr:uid="{00000000-0005-0000-0000-00002E640000}"/>
    <cellStyle name="표준 5 2 5 2 2 4 3 2" xfId="28542" xr:uid="{00000000-0005-0000-0000-00002F640000}"/>
    <cellStyle name="표준 5 2 5 2 2 4 3 3" xfId="36753" xr:uid="{00000000-0005-0000-0000-000030640000}"/>
    <cellStyle name="표준 5 2 5 2 2 4 3 4" xfId="44946" xr:uid="{00000000-0005-0000-0000-000031640000}"/>
    <cellStyle name="표준 5 2 5 2 2 4 4" xfId="11948" xr:uid="{00000000-0005-0000-0000-000032640000}"/>
    <cellStyle name="표준 5 2 5 2 2 4 5" xfId="16188" xr:uid="{00000000-0005-0000-0000-000033640000}"/>
    <cellStyle name="표준 5 2 5 2 2 4 6" xfId="20350" xr:uid="{00000000-0005-0000-0000-000034640000}"/>
    <cellStyle name="표준 5 2 5 2 2 4 7" xfId="24446" xr:uid="{00000000-0005-0000-0000-000035640000}"/>
    <cellStyle name="표준 5 2 5 2 2 4 8" xfId="32657" xr:uid="{00000000-0005-0000-0000-000036640000}"/>
    <cellStyle name="표준 5 2 5 2 2 4 9" xfId="40850" xr:uid="{00000000-0005-0000-0000-000037640000}"/>
    <cellStyle name="표준 5 2 5 2 2 5" xfId="1493" xr:uid="{00000000-0005-0000-0000-000038640000}"/>
    <cellStyle name="표준 5 2 5 2 2 5 2" xfId="10396" xr:uid="{00000000-0005-0000-0000-000039640000}"/>
    <cellStyle name="표준 5 2 5 2 2 5 2 2" xfId="14508" xr:uid="{00000000-0005-0000-0000-00003A640000}"/>
    <cellStyle name="표준 5 2 5 2 2 5 2 2 2" xfId="31102" xr:uid="{00000000-0005-0000-0000-00003B640000}"/>
    <cellStyle name="표준 5 2 5 2 2 5 2 2 3" xfId="39313" xr:uid="{00000000-0005-0000-0000-00003C640000}"/>
    <cellStyle name="표준 5 2 5 2 2 5 2 2 4" xfId="47506" xr:uid="{00000000-0005-0000-0000-00003D640000}"/>
    <cellStyle name="표준 5 2 5 2 2 5 2 3" xfId="18748" xr:uid="{00000000-0005-0000-0000-00003E640000}"/>
    <cellStyle name="표준 5 2 5 2 2 5 2 4" xfId="22910" xr:uid="{00000000-0005-0000-0000-00003F640000}"/>
    <cellStyle name="표준 5 2 5 2 2 5 2 5" xfId="27006" xr:uid="{00000000-0005-0000-0000-000040640000}"/>
    <cellStyle name="표준 5 2 5 2 2 5 2 6" xfId="35217" xr:uid="{00000000-0005-0000-0000-000041640000}"/>
    <cellStyle name="표준 5 2 5 2 2 5 2 7" xfId="43410" xr:uid="{00000000-0005-0000-0000-000042640000}"/>
    <cellStyle name="표준 5 2 5 2 2 5 3" xfId="8348" xr:uid="{00000000-0005-0000-0000-000043640000}"/>
    <cellStyle name="표준 5 2 5 2 2 5 3 2" xfId="29054" xr:uid="{00000000-0005-0000-0000-000044640000}"/>
    <cellStyle name="표준 5 2 5 2 2 5 3 3" xfId="37265" xr:uid="{00000000-0005-0000-0000-000045640000}"/>
    <cellStyle name="표준 5 2 5 2 2 5 3 4" xfId="45458" xr:uid="{00000000-0005-0000-0000-000046640000}"/>
    <cellStyle name="표준 5 2 5 2 2 5 4" xfId="12460" xr:uid="{00000000-0005-0000-0000-000047640000}"/>
    <cellStyle name="표준 5 2 5 2 2 5 5" xfId="16700" xr:uid="{00000000-0005-0000-0000-000048640000}"/>
    <cellStyle name="표준 5 2 5 2 2 5 6" xfId="20862" xr:uid="{00000000-0005-0000-0000-000049640000}"/>
    <cellStyle name="표준 5 2 5 2 2 5 7" xfId="24958" xr:uid="{00000000-0005-0000-0000-00004A640000}"/>
    <cellStyle name="표준 5 2 5 2 2 5 8" xfId="33169" xr:uid="{00000000-0005-0000-0000-00004B640000}"/>
    <cellStyle name="표준 5 2 5 2 2 5 9" xfId="41362" xr:uid="{00000000-0005-0000-0000-00004C640000}"/>
    <cellStyle name="표준 5 2 5 2 2 6" xfId="2005" xr:uid="{00000000-0005-0000-0000-00004D640000}"/>
    <cellStyle name="표준 5 2 5 2 2 6 2" xfId="10908" xr:uid="{00000000-0005-0000-0000-00004E640000}"/>
    <cellStyle name="표준 5 2 5 2 2 6 2 2" xfId="15020" xr:uid="{00000000-0005-0000-0000-00004F640000}"/>
    <cellStyle name="표준 5 2 5 2 2 6 2 2 2" xfId="31614" xr:uid="{00000000-0005-0000-0000-000050640000}"/>
    <cellStyle name="표준 5 2 5 2 2 6 2 2 3" xfId="39825" xr:uid="{00000000-0005-0000-0000-000051640000}"/>
    <cellStyle name="표준 5 2 5 2 2 6 2 2 4" xfId="48018" xr:uid="{00000000-0005-0000-0000-000052640000}"/>
    <cellStyle name="표준 5 2 5 2 2 6 2 3" xfId="19260" xr:uid="{00000000-0005-0000-0000-000053640000}"/>
    <cellStyle name="표준 5 2 5 2 2 6 2 4" xfId="23422" xr:uid="{00000000-0005-0000-0000-000054640000}"/>
    <cellStyle name="표준 5 2 5 2 2 6 2 5" xfId="27518" xr:uid="{00000000-0005-0000-0000-000055640000}"/>
    <cellStyle name="표준 5 2 5 2 2 6 2 6" xfId="35729" xr:uid="{00000000-0005-0000-0000-000056640000}"/>
    <cellStyle name="표준 5 2 5 2 2 6 2 7" xfId="43922" xr:uid="{00000000-0005-0000-0000-000057640000}"/>
    <cellStyle name="표준 5 2 5 2 2 6 3" xfId="8860" xr:uid="{00000000-0005-0000-0000-000058640000}"/>
    <cellStyle name="표준 5 2 5 2 2 6 3 2" xfId="29566" xr:uid="{00000000-0005-0000-0000-000059640000}"/>
    <cellStyle name="표준 5 2 5 2 2 6 3 3" xfId="37777" xr:uid="{00000000-0005-0000-0000-00005A640000}"/>
    <cellStyle name="표준 5 2 5 2 2 6 3 4" xfId="45970" xr:uid="{00000000-0005-0000-0000-00005B640000}"/>
    <cellStyle name="표준 5 2 5 2 2 6 4" xfId="12972" xr:uid="{00000000-0005-0000-0000-00005C640000}"/>
    <cellStyle name="표준 5 2 5 2 2 6 5" xfId="17212" xr:uid="{00000000-0005-0000-0000-00005D640000}"/>
    <cellStyle name="표준 5 2 5 2 2 6 6" xfId="21374" xr:uid="{00000000-0005-0000-0000-00005E640000}"/>
    <cellStyle name="표준 5 2 5 2 2 6 7" xfId="25470" xr:uid="{00000000-0005-0000-0000-00005F640000}"/>
    <cellStyle name="표준 5 2 5 2 2 6 8" xfId="33681" xr:uid="{00000000-0005-0000-0000-000060640000}"/>
    <cellStyle name="표준 5 2 5 2 2 6 9" xfId="41874" xr:uid="{00000000-0005-0000-0000-000061640000}"/>
    <cellStyle name="표준 5 2 5 2 2 7" xfId="9372" xr:uid="{00000000-0005-0000-0000-000062640000}"/>
    <cellStyle name="표준 5 2 5 2 2 7 2" xfId="13484" xr:uid="{00000000-0005-0000-0000-000063640000}"/>
    <cellStyle name="표준 5 2 5 2 2 7 2 2" xfId="30078" xr:uid="{00000000-0005-0000-0000-000064640000}"/>
    <cellStyle name="표준 5 2 5 2 2 7 2 3" xfId="38289" xr:uid="{00000000-0005-0000-0000-000065640000}"/>
    <cellStyle name="표준 5 2 5 2 2 7 2 4" xfId="46482" xr:uid="{00000000-0005-0000-0000-000066640000}"/>
    <cellStyle name="표준 5 2 5 2 2 7 3" xfId="17724" xr:uid="{00000000-0005-0000-0000-000067640000}"/>
    <cellStyle name="표준 5 2 5 2 2 7 4" xfId="21886" xr:uid="{00000000-0005-0000-0000-000068640000}"/>
    <cellStyle name="표준 5 2 5 2 2 7 5" xfId="25982" xr:uid="{00000000-0005-0000-0000-000069640000}"/>
    <cellStyle name="표준 5 2 5 2 2 7 6" xfId="34193" xr:uid="{00000000-0005-0000-0000-00006A640000}"/>
    <cellStyle name="표준 5 2 5 2 2 7 7" xfId="42386" xr:uid="{00000000-0005-0000-0000-00006B640000}"/>
    <cellStyle name="표준 5 2 5 2 2 8" xfId="7324" xr:uid="{00000000-0005-0000-0000-00006C640000}"/>
    <cellStyle name="표준 5 2 5 2 2 8 2" xfId="28030" xr:uid="{00000000-0005-0000-0000-00006D640000}"/>
    <cellStyle name="표준 5 2 5 2 2 8 3" xfId="36241" xr:uid="{00000000-0005-0000-0000-00006E640000}"/>
    <cellStyle name="표준 5 2 5 2 2 8 4" xfId="44434" xr:uid="{00000000-0005-0000-0000-00006F640000}"/>
    <cellStyle name="표준 5 2 5 2 2 9" xfId="11436" xr:uid="{00000000-0005-0000-0000-000070640000}"/>
    <cellStyle name="표준 5 2 5 2 3" xfId="533" xr:uid="{00000000-0005-0000-0000-000071640000}"/>
    <cellStyle name="표준 5 2 5 2 3 10" xfId="19902" xr:uid="{00000000-0005-0000-0000-000072640000}"/>
    <cellStyle name="표준 5 2 5 2 3 11" xfId="23998" xr:uid="{00000000-0005-0000-0000-000073640000}"/>
    <cellStyle name="표준 5 2 5 2 3 12" xfId="32209" xr:uid="{00000000-0005-0000-0000-000074640000}"/>
    <cellStyle name="표준 5 2 5 2 3 13" xfId="40402" xr:uid="{00000000-0005-0000-0000-000075640000}"/>
    <cellStyle name="표준 5 2 5 2 3 2" xfId="789" xr:uid="{00000000-0005-0000-0000-000076640000}"/>
    <cellStyle name="표준 5 2 5 2 3 2 10" xfId="24254" xr:uid="{00000000-0005-0000-0000-000077640000}"/>
    <cellStyle name="표준 5 2 5 2 3 2 11" xfId="32465" xr:uid="{00000000-0005-0000-0000-000078640000}"/>
    <cellStyle name="표준 5 2 5 2 3 2 12" xfId="40658" xr:uid="{00000000-0005-0000-0000-000079640000}"/>
    <cellStyle name="표준 5 2 5 2 3 2 2" xfId="1301" xr:uid="{00000000-0005-0000-0000-00007A640000}"/>
    <cellStyle name="표준 5 2 5 2 3 2 2 2" xfId="10204" xr:uid="{00000000-0005-0000-0000-00007B640000}"/>
    <cellStyle name="표준 5 2 5 2 3 2 2 2 2" xfId="14316" xr:uid="{00000000-0005-0000-0000-00007C640000}"/>
    <cellStyle name="표준 5 2 5 2 3 2 2 2 2 2" xfId="30910" xr:uid="{00000000-0005-0000-0000-00007D640000}"/>
    <cellStyle name="표준 5 2 5 2 3 2 2 2 2 3" xfId="39121" xr:uid="{00000000-0005-0000-0000-00007E640000}"/>
    <cellStyle name="표준 5 2 5 2 3 2 2 2 2 4" xfId="47314" xr:uid="{00000000-0005-0000-0000-00007F640000}"/>
    <cellStyle name="표준 5 2 5 2 3 2 2 2 3" xfId="18556" xr:uid="{00000000-0005-0000-0000-000080640000}"/>
    <cellStyle name="표준 5 2 5 2 3 2 2 2 4" xfId="22718" xr:uid="{00000000-0005-0000-0000-000081640000}"/>
    <cellStyle name="표준 5 2 5 2 3 2 2 2 5" xfId="26814" xr:uid="{00000000-0005-0000-0000-000082640000}"/>
    <cellStyle name="표준 5 2 5 2 3 2 2 2 6" xfId="35025" xr:uid="{00000000-0005-0000-0000-000083640000}"/>
    <cellStyle name="표준 5 2 5 2 3 2 2 2 7" xfId="43218" xr:uid="{00000000-0005-0000-0000-000084640000}"/>
    <cellStyle name="표준 5 2 5 2 3 2 2 3" xfId="8156" xr:uid="{00000000-0005-0000-0000-000085640000}"/>
    <cellStyle name="표준 5 2 5 2 3 2 2 3 2" xfId="28862" xr:uid="{00000000-0005-0000-0000-000086640000}"/>
    <cellStyle name="표준 5 2 5 2 3 2 2 3 3" xfId="37073" xr:uid="{00000000-0005-0000-0000-000087640000}"/>
    <cellStyle name="표준 5 2 5 2 3 2 2 3 4" xfId="45266" xr:uid="{00000000-0005-0000-0000-000088640000}"/>
    <cellStyle name="표준 5 2 5 2 3 2 2 4" xfId="12268" xr:uid="{00000000-0005-0000-0000-000089640000}"/>
    <cellStyle name="표준 5 2 5 2 3 2 2 5" xfId="16508" xr:uid="{00000000-0005-0000-0000-00008A640000}"/>
    <cellStyle name="표준 5 2 5 2 3 2 2 6" xfId="20670" xr:uid="{00000000-0005-0000-0000-00008B640000}"/>
    <cellStyle name="표준 5 2 5 2 3 2 2 7" xfId="24766" xr:uid="{00000000-0005-0000-0000-00008C640000}"/>
    <cellStyle name="표준 5 2 5 2 3 2 2 8" xfId="32977" xr:uid="{00000000-0005-0000-0000-00008D640000}"/>
    <cellStyle name="표준 5 2 5 2 3 2 2 9" xfId="41170" xr:uid="{00000000-0005-0000-0000-00008E640000}"/>
    <cellStyle name="표준 5 2 5 2 3 2 3" xfId="1813" xr:uid="{00000000-0005-0000-0000-00008F640000}"/>
    <cellStyle name="표준 5 2 5 2 3 2 3 2" xfId="10716" xr:uid="{00000000-0005-0000-0000-000090640000}"/>
    <cellStyle name="표준 5 2 5 2 3 2 3 2 2" xfId="14828" xr:uid="{00000000-0005-0000-0000-000091640000}"/>
    <cellStyle name="표준 5 2 5 2 3 2 3 2 2 2" xfId="31422" xr:uid="{00000000-0005-0000-0000-000092640000}"/>
    <cellStyle name="표준 5 2 5 2 3 2 3 2 2 3" xfId="39633" xr:uid="{00000000-0005-0000-0000-000093640000}"/>
    <cellStyle name="표준 5 2 5 2 3 2 3 2 2 4" xfId="47826" xr:uid="{00000000-0005-0000-0000-000094640000}"/>
    <cellStyle name="표준 5 2 5 2 3 2 3 2 3" xfId="19068" xr:uid="{00000000-0005-0000-0000-000095640000}"/>
    <cellStyle name="표준 5 2 5 2 3 2 3 2 4" xfId="23230" xr:uid="{00000000-0005-0000-0000-000096640000}"/>
    <cellStyle name="표준 5 2 5 2 3 2 3 2 5" xfId="27326" xr:uid="{00000000-0005-0000-0000-000097640000}"/>
    <cellStyle name="표준 5 2 5 2 3 2 3 2 6" xfId="35537" xr:uid="{00000000-0005-0000-0000-000098640000}"/>
    <cellStyle name="표준 5 2 5 2 3 2 3 2 7" xfId="43730" xr:uid="{00000000-0005-0000-0000-000099640000}"/>
    <cellStyle name="표준 5 2 5 2 3 2 3 3" xfId="8668" xr:uid="{00000000-0005-0000-0000-00009A640000}"/>
    <cellStyle name="표준 5 2 5 2 3 2 3 3 2" xfId="29374" xr:uid="{00000000-0005-0000-0000-00009B640000}"/>
    <cellStyle name="표준 5 2 5 2 3 2 3 3 3" xfId="37585" xr:uid="{00000000-0005-0000-0000-00009C640000}"/>
    <cellStyle name="표준 5 2 5 2 3 2 3 3 4" xfId="45778" xr:uid="{00000000-0005-0000-0000-00009D640000}"/>
    <cellStyle name="표준 5 2 5 2 3 2 3 4" xfId="12780" xr:uid="{00000000-0005-0000-0000-00009E640000}"/>
    <cellStyle name="표준 5 2 5 2 3 2 3 5" xfId="17020" xr:uid="{00000000-0005-0000-0000-00009F640000}"/>
    <cellStyle name="표준 5 2 5 2 3 2 3 6" xfId="21182" xr:uid="{00000000-0005-0000-0000-0000A0640000}"/>
    <cellStyle name="표준 5 2 5 2 3 2 3 7" xfId="25278" xr:uid="{00000000-0005-0000-0000-0000A1640000}"/>
    <cellStyle name="표준 5 2 5 2 3 2 3 8" xfId="33489" xr:uid="{00000000-0005-0000-0000-0000A2640000}"/>
    <cellStyle name="표준 5 2 5 2 3 2 3 9" xfId="41682" xr:uid="{00000000-0005-0000-0000-0000A3640000}"/>
    <cellStyle name="표준 5 2 5 2 3 2 4" xfId="2325" xr:uid="{00000000-0005-0000-0000-0000A4640000}"/>
    <cellStyle name="표준 5 2 5 2 3 2 4 2" xfId="11228" xr:uid="{00000000-0005-0000-0000-0000A5640000}"/>
    <cellStyle name="표준 5 2 5 2 3 2 4 2 2" xfId="15340" xr:uid="{00000000-0005-0000-0000-0000A6640000}"/>
    <cellStyle name="표준 5 2 5 2 3 2 4 2 2 2" xfId="31934" xr:uid="{00000000-0005-0000-0000-0000A7640000}"/>
    <cellStyle name="표준 5 2 5 2 3 2 4 2 2 3" xfId="40145" xr:uid="{00000000-0005-0000-0000-0000A8640000}"/>
    <cellStyle name="표준 5 2 5 2 3 2 4 2 2 4" xfId="48338" xr:uid="{00000000-0005-0000-0000-0000A9640000}"/>
    <cellStyle name="표준 5 2 5 2 3 2 4 2 3" xfId="19580" xr:uid="{00000000-0005-0000-0000-0000AA640000}"/>
    <cellStyle name="표준 5 2 5 2 3 2 4 2 4" xfId="23742" xr:uid="{00000000-0005-0000-0000-0000AB640000}"/>
    <cellStyle name="표준 5 2 5 2 3 2 4 2 5" xfId="27838" xr:uid="{00000000-0005-0000-0000-0000AC640000}"/>
    <cellStyle name="표준 5 2 5 2 3 2 4 2 6" xfId="36049" xr:uid="{00000000-0005-0000-0000-0000AD640000}"/>
    <cellStyle name="표준 5 2 5 2 3 2 4 2 7" xfId="44242" xr:uid="{00000000-0005-0000-0000-0000AE640000}"/>
    <cellStyle name="표준 5 2 5 2 3 2 4 3" xfId="9180" xr:uid="{00000000-0005-0000-0000-0000AF640000}"/>
    <cellStyle name="표준 5 2 5 2 3 2 4 3 2" xfId="29886" xr:uid="{00000000-0005-0000-0000-0000B0640000}"/>
    <cellStyle name="표준 5 2 5 2 3 2 4 3 3" xfId="38097" xr:uid="{00000000-0005-0000-0000-0000B1640000}"/>
    <cellStyle name="표준 5 2 5 2 3 2 4 3 4" xfId="46290" xr:uid="{00000000-0005-0000-0000-0000B2640000}"/>
    <cellStyle name="표준 5 2 5 2 3 2 4 4" xfId="13292" xr:uid="{00000000-0005-0000-0000-0000B3640000}"/>
    <cellStyle name="표준 5 2 5 2 3 2 4 5" xfId="17532" xr:uid="{00000000-0005-0000-0000-0000B4640000}"/>
    <cellStyle name="표준 5 2 5 2 3 2 4 6" xfId="21694" xr:uid="{00000000-0005-0000-0000-0000B5640000}"/>
    <cellStyle name="표준 5 2 5 2 3 2 4 7" xfId="25790" xr:uid="{00000000-0005-0000-0000-0000B6640000}"/>
    <cellStyle name="표준 5 2 5 2 3 2 4 8" xfId="34001" xr:uid="{00000000-0005-0000-0000-0000B7640000}"/>
    <cellStyle name="표준 5 2 5 2 3 2 4 9" xfId="42194" xr:uid="{00000000-0005-0000-0000-0000B8640000}"/>
    <cellStyle name="표준 5 2 5 2 3 2 5" xfId="9692" xr:uid="{00000000-0005-0000-0000-0000B9640000}"/>
    <cellStyle name="표준 5 2 5 2 3 2 5 2" xfId="13804" xr:uid="{00000000-0005-0000-0000-0000BA640000}"/>
    <cellStyle name="표준 5 2 5 2 3 2 5 2 2" xfId="30398" xr:uid="{00000000-0005-0000-0000-0000BB640000}"/>
    <cellStyle name="표준 5 2 5 2 3 2 5 2 3" xfId="38609" xr:uid="{00000000-0005-0000-0000-0000BC640000}"/>
    <cellStyle name="표준 5 2 5 2 3 2 5 2 4" xfId="46802" xr:uid="{00000000-0005-0000-0000-0000BD640000}"/>
    <cellStyle name="표준 5 2 5 2 3 2 5 3" xfId="18044" xr:uid="{00000000-0005-0000-0000-0000BE640000}"/>
    <cellStyle name="표준 5 2 5 2 3 2 5 4" xfId="22206" xr:uid="{00000000-0005-0000-0000-0000BF640000}"/>
    <cellStyle name="표준 5 2 5 2 3 2 5 5" xfId="26302" xr:uid="{00000000-0005-0000-0000-0000C0640000}"/>
    <cellStyle name="표준 5 2 5 2 3 2 5 6" xfId="34513" xr:uid="{00000000-0005-0000-0000-0000C1640000}"/>
    <cellStyle name="표준 5 2 5 2 3 2 5 7" xfId="42706" xr:uid="{00000000-0005-0000-0000-0000C2640000}"/>
    <cellStyle name="표준 5 2 5 2 3 2 6" xfId="7644" xr:uid="{00000000-0005-0000-0000-0000C3640000}"/>
    <cellStyle name="표준 5 2 5 2 3 2 6 2" xfId="28350" xr:uid="{00000000-0005-0000-0000-0000C4640000}"/>
    <cellStyle name="표준 5 2 5 2 3 2 6 3" xfId="36561" xr:uid="{00000000-0005-0000-0000-0000C5640000}"/>
    <cellStyle name="표준 5 2 5 2 3 2 6 4" xfId="44754" xr:uid="{00000000-0005-0000-0000-0000C6640000}"/>
    <cellStyle name="표준 5 2 5 2 3 2 7" xfId="11756" xr:uid="{00000000-0005-0000-0000-0000C7640000}"/>
    <cellStyle name="표준 5 2 5 2 3 2 8" xfId="15996" xr:uid="{00000000-0005-0000-0000-0000C8640000}"/>
    <cellStyle name="표준 5 2 5 2 3 2 9" xfId="20158" xr:uid="{00000000-0005-0000-0000-0000C9640000}"/>
    <cellStyle name="표준 5 2 5 2 3 3" xfId="1045" xr:uid="{00000000-0005-0000-0000-0000CA640000}"/>
    <cellStyle name="표준 5 2 5 2 3 3 2" xfId="9948" xr:uid="{00000000-0005-0000-0000-0000CB640000}"/>
    <cellStyle name="표준 5 2 5 2 3 3 2 2" xfId="14060" xr:uid="{00000000-0005-0000-0000-0000CC640000}"/>
    <cellStyle name="표준 5 2 5 2 3 3 2 2 2" xfId="30654" xr:uid="{00000000-0005-0000-0000-0000CD640000}"/>
    <cellStyle name="표준 5 2 5 2 3 3 2 2 3" xfId="38865" xr:uid="{00000000-0005-0000-0000-0000CE640000}"/>
    <cellStyle name="표준 5 2 5 2 3 3 2 2 4" xfId="47058" xr:uid="{00000000-0005-0000-0000-0000CF640000}"/>
    <cellStyle name="표준 5 2 5 2 3 3 2 3" xfId="18300" xr:uid="{00000000-0005-0000-0000-0000D0640000}"/>
    <cellStyle name="표준 5 2 5 2 3 3 2 4" xfId="22462" xr:uid="{00000000-0005-0000-0000-0000D1640000}"/>
    <cellStyle name="표준 5 2 5 2 3 3 2 5" xfId="26558" xr:uid="{00000000-0005-0000-0000-0000D2640000}"/>
    <cellStyle name="표준 5 2 5 2 3 3 2 6" xfId="34769" xr:uid="{00000000-0005-0000-0000-0000D3640000}"/>
    <cellStyle name="표준 5 2 5 2 3 3 2 7" xfId="42962" xr:uid="{00000000-0005-0000-0000-0000D4640000}"/>
    <cellStyle name="표준 5 2 5 2 3 3 3" xfId="7900" xr:uid="{00000000-0005-0000-0000-0000D5640000}"/>
    <cellStyle name="표준 5 2 5 2 3 3 3 2" xfId="28606" xr:uid="{00000000-0005-0000-0000-0000D6640000}"/>
    <cellStyle name="표준 5 2 5 2 3 3 3 3" xfId="36817" xr:uid="{00000000-0005-0000-0000-0000D7640000}"/>
    <cellStyle name="표준 5 2 5 2 3 3 3 4" xfId="45010" xr:uid="{00000000-0005-0000-0000-0000D8640000}"/>
    <cellStyle name="표준 5 2 5 2 3 3 4" xfId="12012" xr:uid="{00000000-0005-0000-0000-0000D9640000}"/>
    <cellStyle name="표준 5 2 5 2 3 3 5" xfId="16252" xr:uid="{00000000-0005-0000-0000-0000DA640000}"/>
    <cellStyle name="표준 5 2 5 2 3 3 6" xfId="20414" xr:uid="{00000000-0005-0000-0000-0000DB640000}"/>
    <cellStyle name="표준 5 2 5 2 3 3 7" xfId="24510" xr:uid="{00000000-0005-0000-0000-0000DC640000}"/>
    <cellStyle name="표준 5 2 5 2 3 3 8" xfId="32721" xr:uid="{00000000-0005-0000-0000-0000DD640000}"/>
    <cellStyle name="표준 5 2 5 2 3 3 9" xfId="40914" xr:uid="{00000000-0005-0000-0000-0000DE640000}"/>
    <cellStyle name="표준 5 2 5 2 3 4" xfId="1557" xr:uid="{00000000-0005-0000-0000-0000DF640000}"/>
    <cellStyle name="표준 5 2 5 2 3 4 2" xfId="10460" xr:uid="{00000000-0005-0000-0000-0000E0640000}"/>
    <cellStyle name="표준 5 2 5 2 3 4 2 2" xfId="14572" xr:uid="{00000000-0005-0000-0000-0000E1640000}"/>
    <cellStyle name="표준 5 2 5 2 3 4 2 2 2" xfId="31166" xr:uid="{00000000-0005-0000-0000-0000E2640000}"/>
    <cellStyle name="표준 5 2 5 2 3 4 2 2 3" xfId="39377" xr:uid="{00000000-0005-0000-0000-0000E3640000}"/>
    <cellStyle name="표준 5 2 5 2 3 4 2 2 4" xfId="47570" xr:uid="{00000000-0005-0000-0000-0000E4640000}"/>
    <cellStyle name="표준 5 2 5 2 3 4 2 3" xfId="18812" xr:uid="{00000000-0005-0000-0000-0000E5640000}"/>
    <cellStyle name="표준 5 2 5 2 3 4 2 4" xfId="22974" xr:uid="{00000000-0005-0000-0000-0000E6640000}"/>
    <cellStyle name="표준 5 2 5 2 3 4 2 5" xfId="27070" xr:uid="{00000000-0005-0000-0000-0000E7640000}"/>
    <cellStyle name="표준 5 2 5 2 3 4 2 6" xfId="35281" xr:uid="{00000000-0005-0000-0000-0000E8640000}"/>
    <cellStyle name="표준 5 2 5 2 3 4 2 7" xfId="43474" xr:uid="{00000000-0005-0000-0000-0000E9640000}"/>
    <cellStyle name="표준 5 2 5 2 3 4 3" xfId="8412" xr:uid="{00000000-0005-0000-0000-0000EA640000}"/>
    <cellStyle name="표준 5 2 5 2 3 4 3 2" xfId="29118" xr:uid="{00000000-0005-0000-0000-0000EB640000}"/>
    <cellStyle name="표준 5 2 5 2 3 4 3 3" xfId="37329" xr:uid="{00000000-0005-0000-0000-0000EC640000}"/>
    <cellStyle name="표준 5 2 5 2 3 4 3 4" xfId="45522" xr:uid="{00000000-0005-0000-0000-0000ED640000}"/>
    <cellStyle name="표준 5 2 5 2 3 4 4" xfId="12524" xr:uid="{00000000-0005-0000-0000-0000EE640000}"/>
    <cellStyle name="표준 5 2 5 2 3 4 5" xfId="16764" xr:uid="{00000000-0005-0000-0000-0000EF640000}"/>
    <cellStyle name="표준 5 2 5 2 3 4 6" xfId="20926" xr:uid="{00000000-0005-0000-0000-0000F0640000}"/>
    <cellStyle name="표준 5 2 5 2 3 4 7" xfId="25022" xr:uid="{00000000-0005-0000-0000-0000F1640000}"/>
    <cellStyle name="표준 5 2 5 2 3 4 8" xfId="33233" xr:uid="{00000000-0005-0000-0000-0000F2640000}"/>
    <cellStyle name="표준 5 2 5 2 3 4 9" xfId="41426" xr:uid="{00000000-0005-0000-0000-0000F3640000}"/>
    <cellStyle name="표준 5 2 5 2 3 5" xfId="2069" xr:uid="{00000000-0005-0000-0000-0000F4640000}"/>
    <cellStyle name="표준 5 2 5 2 3 5 2" xfId="10972" xr:uid="{00000000-0005-0000-0000-0000F5640000}"/>
    <cellStyle name="표준 5 2 5 2 3 5 2 2" xfId="15084" xr:uid="{00000000-0005-0000-0000-0000F6640000}"/>
    <cellStyle name="표준 5 2 5 2 3 5 2 2 2" xfId="31678" xr:uid="{00000000-0005-0000-0000-0000F7640000}"/>
    <cellStyle name="표준 5 2 5 2 3 5 2 2 3" xfId="39889" xr:uid="{00000000-0005-0000-0000-0000F8640000}"/>
    <cellStyle name="표준 5 2 5 2 3 5 2 2 4" xfId="48082" xr:uid="{00000000-0005-0000-0000-0000F9640000}"/>
    <cellStyle name="표준 5 2 5 2 3 5 2 3" xfId="19324" xr:uid="{00000000-0005-0000-0000-0000FA640000}"/>
    <cellStyle name="표준 5 2 5 2 3 5 2 4" xfId="23486" xr:uid="{00000000-0005-0000-0000-0000FB640000}"/>
    <cellStyle name="표준 5 2 5 2 3 5 2 5" xfId="27582" xr:uid="{00000000-0005-0000-0000-0000FC640000}"/>
    <cellStyle name="표준 5 2 5 2 3 5 2 6" xfId="35793" xr:uid="{00000000-0005-0000-0000-0000FD640000}"/>
    <cellStyle name="표준 5 2 5 2 3 5 2 7" xfId="43986" xr:uid="{00000000-0005-0000-0000-0000FE640000}"/>
    <cellStyle name="표준 5 2 5 2 3 5 3" xfId="8924" xr:uid="{00000000-0005-0000-0000-0000FF640000}"/>
    <cellStyle name="표준 5 2 5 2 3 5 3 2" xfId="29630" xr:uid="{00000000-0005-0000-0000-000000650000}"/>
    <cellStyle name="표준 5 2 5 2 3 5 3 3" xfId="37841" xr:uid="{00000000-0005-0000-0000-000001650000}"/>
    <cellStyle name="표준 5 2 5 2 3 5 3 4" xfId="46034" xr:uid="{00000000-0005-0000-0000-000002650000}"/>
    <cellStyle name="표준 5 2 5 2 3 5 4" xfId="13036" xr:uid="{00000000-0005-0000-0000-000003650000}"/>
    <cellStyle name="표준 5 2 5 2 3 5 5" xfId="17276" xr:uid="{00000000-0005-0000-0000-000004650000}"/>
    <cellStyle name="표준 5 2 5 2 3 5 6" xfId="21438" xr:uid="{00000000-0005-0000-0000-000005650000}"/>
    <cellStyle name="표준 5 2 5 2 3 5 7" xfId="25534" xr:uid="{00000000-0005-0000-0000-000006650000}"/>
    <cellStyle name="표준 5 2 5 2 3 5 8" xfId="33745" xr:uid="{00000000-0005-0000-0000-000007650000}"/>
    <cellStyle name="표준 5 2 5 2 3 5 9" xfId="41938" xr:uid="{00000000-0005-0000-0000-000008650000}"/>
    <cellStyle name="표준 5 2 5 2 3 6" xfId="9436" xr:uid="{00000000-0005-0000-0000-000009650000}"/>
    <cellStyle name="표준 5 2 5 2 3 6 2" xfId="13548" xr:uid="{00000000-0005-0000-0000-00000A650000}"/>
    <cellStyle name="표준 5 2 5 2 3 6 2 2" xfId="30142" xr:uid="{00000000-0005-0000-0000-00000B650000}"/>
    <cellStyle name="표준 5 2 5 2 3 6 2 3" xfId="38353" xr:uid="{00000000-0005-0000-0000-00000C650000}"/>
    <cellStyle name="표준 5 2 5 2 3 6 2 4" xfId="46546" xr:uid="{00000000-0005-0000-0000-00000D650000}"/>
    <cellStyle name="표준 5 2 5 2 3 6 3" xfId="17788" xr:uid="{00000000-0005-0000-0000-00000E650000}"/>
    <cellStyle name="표준 5 2 5 2 3 6 4" xfId="21950" xr:uid="{00000000-0005-0000-0000-00000F650000}"/>
    <cellStyle name="표준 5 2 5 2 3 6 5" xfId="26046" xr:uid="{00000000-0005-0000-0000-000010650000}"/>
    <cellStyle name="표준 5 2 5 2 3 6 6" xfId="34257" xr:uid="{00000000-0005-0000-0000-000011650000}"/>
    <cellStyle name="표준 5 2 5 2 3 6 7" xfId="42450" xr:uid="{00000000-0005-0000-0000-000012650000}"/>
    <cellStyle name="표준 5 2 5 2 3 7" xfId="7388" xr:uid="{00000000-0005-0000-0000-000013650000}"/>
    <cellStyle name="표준 5 2 5 2 3 7 2" xfId="28094" xr:uid="{00000000-0005-0000-0000-000014650000}"/>
    <cellStyle name="표준 5 2 5 2 3 7 3" xfId="36305" xr:uid="{00000000-0005-0000-0000-000015650000}"/>
    <cellStyle name="표준 5 2 5 2 3 7 4" xfId="44498" xr:uid="{00000000-0005-0000-0000-000016650000}"/>
    <cellStyle name="표준 5 2 5 2 3 8" xfId="11500" xr:uid="{00000000-0005-0000-0000-000017650000}"/>
    <cellStyle name="표준 5 2 5 2 3 9" xfId="15740" xr:uid="{00000000-0005-0000-0000-000018650000}"/>
    <cellStyle name="표준 5 2 5 2 4" xfId="661" xr:uid="{00000000-0005-0000-0000-000019650000}"/>
    <cellStyle name="표준 5 2 5 2 4 10" xfId="24126" xr:uid="{00000000-0005-0000-0000-00001A650000}"/>
    <cellStyle name="표준 5 2 5 2 4 11" xfId="32337" xr:uid="{00000000-0005-0000-0000-00001B650000}"/>
    <cellStyle name="표준 5 2 5 2 4 12" xfId="40530" xr:uid="{00000000-0005-0000-0000-00001C650000}"/>
    <cellStyle name="표준 5 2 5 2 4 2" xfId="1173" xr:uid="{00000000-0005-0000-0000-00001D650000}"/>
    <cellStyle name="표준 5 2 5 2 4 2 2" xfId="10076" xr:uid="{00000000-0005-0000-0000-00001E650000}"/>
    <cellStyle name="표준 5 2 5 2 4 2 2 2" xfId="14188" xr:uid="{00000000-0005-0000-0000-00001F650000}"/>
    <cellStyle name="표준 5 2 5 2 4 2 2 2 2" xfId="30782" xr:uid="{00000000-0005-0000-0000-000020650000}"/>
    <cellStyle name="표준 5 2 5 2 4 2 2 2 3" xfId="38993" xr:uid="{00000000-0005-0000-0000-000021650000}"/>
    <cellStyle name="표준 5 2 5 2 4 2 2 2 4" xfId="47186" xr:uid="{00000000-0005-0000-0000-000022650000}"/>
    <cellStyle name="표준 5 2 5 2 4 2 2 3" xfId="18428" xr:uid="{00000000-0005-0000-0000-000023650000}"/>
    <cellStyle name="표준 5 2 5 2 4 2 2 4" xfId="22590" xr:uid="{00000000-0005-0000-0000-000024650000}"/>
    <cellStyle name="표준 5 2 5 2 4 2 2 5" xfId="26686" xr:uid="{00000000-0005-0000-0000-000025650000}"/>
    <cellStyle name="표준 5 2 5 2 4 2 2 6" xfId="34897" xr:uid="{00000000-0005-0000-0000-000026650000}"/>
    <cellStyle name="표준 5 2 5 2 4 2 2 7" xfId="43090" xr:uid="{00000000-0005-0000-0000-000027650000}"/>
    <cellStyle name="표준 5 2 5 2 4 2 3" xfId="8028" xr:uid="{00000000-0005-0000-0000-000028650000}"/>
    <cellStyle name="표준 5 2 5 2 4 2 3 2" xfId="28734" xr:uid="{00000000-0005-0000-0000-000029650000}"/>
    <cellStyle name="표준 5 2 5 2 4 2 3 3" xfId="36945" xr:uid="{00000000-0005-0000-0000-00002A650000}"/>
    <cellStyle name="표준 5 2 5 2 4 2 3 4" xfId="45138" xr:uid="{00000000-0005-0000-0000-00002B650000}"/>
    <cellStyle name="표준 5 2 5 2 4 2 4" xfId="12140" xr:uid="{00000000-0005-0000-0000-00002C650000}"/>
    <cellStyle name="표준 5 2 5 2 4 2 5" xfId="16380" xr:uid="{00000000-0005-0000-0000-00002D650000}"/>
    <cellStyle name="표준 5 2 5 2 4 2 6" xfId="20542" xr:uid="{00000000-0005-0000-0000-00002E650000}"/>
    <cellStyle name="표준 5 2 5 2 4 2 7" xfId="24638" xr:uid="{00000000-0005-0000-0000-00002F650000}"/>
    <cellStyle name="표준 5 2 5 2 4 2 8" xfId="32849" xr:uid="{00000000-0005-0000-0000-000030650000}"/>
    <cellStyle name="표준 5 2 5 2 4 2 9" xfId="41042" xr:uid="{00000000-0005-0000-0000-000031650000}"/>
    <cellStyle name="표준 5 2 5 2 4 3" xfId="1685" xr:uid="{00000000-0005-0000-0000-000032650000}"/>
    <cellStyle name="표준 5 2 5 2 4 3 2" xfId="10588" xr:uid="{00000000-0005-0000-0000-000033650000}"/>
    <cellStyle name="표준 5 2 5 2 4 3 2 2" xfId="14700" xr:uid="{00000000-0005-0000-0000-000034650000}"/>
    <cellStyle name="표준 5 2 5 2 4 3 2 2 2" xfId="31294" xr:uid="{00000000-0005-0000-0000-000035650000}"/>
    <cellStyle name="표준 5 2 5 2 4 3 2 2 3" xfId="39505" xr:uid="{00000000-0005-0000-0000-000036650000}"/>
    <cellStyle name="표준 5 2 5 2 4 3 2 2 4" xfId="47698" xr:uid="{00000000-0005-0000-0000-000037650000}"/>
    <cellStyle name="표준 5 2 5 2 4 3 2 3" xfId="18940" xr:uid="{00000000-0005-0000-0000-000038650000}"/>
    <cellStyle name="표준 5 2 5 2 4 3 2 4" xfId="23102" xr:uid="{00000000-0005-0000-0000-000039650000}"/>
    <cellStyle name="표준 5 2 5 2 4 3 2 5" xfId="27198" xr:uid="{00000000-0005-0000-0000-00003A650000}"/>
    <cellStyle name="표준 5 2 5 2 4 3 2 6" xfId="35409" xr:uid="{00000000-0005-0000-0000-00003B650000}"/>
    <cellStyle name="표준 5 2 5 2 4 3 2 7" xfId="43602" xr:uid="{00000000-0005-0000-0000-00003C650000}"/>
    <cellStyle name="표준 5 2 5 2 4 3 3" xfId="8540" xr:uid="{00000000-0005-0000-0000-00003D650000}"/>
    <cellStyle name="표준 5 2 5 2 4 3 3 2" xfId="29246" xr:uid="{00000000-0005-0000-0000-00003E650000}"/>
    <cellStyle name="표준 5 2 5 2 4 3 3 3" xfId="37457" xr:uid="{00000000-0005-0000-0000-00003F650000}"/>
    <cellStyle name="표준 5 2 5 2 4 3 3 4" xfId="45650" xr:uid="{00000000-0005-0000-0000-000040650000}"/>
    <cellStyle name="표준 5 2 5 2 4 3 4" xfId="12652" xr:uid="{00000000-0005-0000-0000-000041650000}"/>
    <cellStyle name="표준 5 2 5 2 4 3 5" xfId="16892" xr:uid="{00000000-0005-0000-0000-000042650000}"/>
    <cellStyle name="표준 5 2 5 2 4 3 6" xfId="21054" xr:uid="{00000000-0005-0000-0000-000043650000}"/>
    <cellStyle name="표준 5 2 5 2 4 3 7" xfId="25150" xr:uid="{00000000-0005-0000-0000-000044650000}"/>
    <cellStyle name="표준 5 2 5 2 4 3 8" xfId="33361" xr:uid="{00000000-0005-0000-0000-000045650000}"/>
    <cellStyle name="표준 5 2 5 2 4 3 9" xfId="41554" xr:uid="{00000000-0005-0000-0000-000046650000}"/>
    <cellStyle name="표준 5 2 5 2 4 4" xfId="2197" xr:uid="{00000000-0005-0000-0000-000047650000}"/>
    <cellStyle name="표준 5 2 5 2 4 4 2" xfId="11100" xr:uid="{00000000-0005-0000-0000-000048650000}"/>
    <cellStyle name="표준 5 2 5 2 4 4 2 2" xfId="15212" xr:uid="{00000000-0005-0000-0000-000049650000}"/>
    <cellStyle name="표준 5 2 5 2 4 4 2 2 2" xfId="31806" xr:uid="{00000000-0005-0000-0000-00004A650000}"/>
    <cellStyle name="표준 5 2 5 2 4 4 2 2 3" xfId="40017" xr:uid="{00000000-0005-0000-0000-00004B650000}"/>
    <cellStyle name="표준 5 2 5 2 4 4 2 2 4" xfId="48210" xr:uid="{00000000-0005-0000-0000-00004C650000}"/>
    <cellStyle name="표준 5 2 5 2 4 4 2 3" xfId="19452" xr:uid="{00000000-0005-0000-0000-00004D650000}"/>
    <cellStyle name="표준 5 2 5 2 4 4 2 4" xfId="23614" xr:uid="{00000000-0005-0000-0000-00004E650000}"/>
    <cellStyle name="표준 5 2 5 2 4 4 2 5" xfId="27710" xr:uid="{00000000-0005-0000-0000-00004F650000}"/>
    <cellStyle name="표준 5 2 5 2 4 4 2 6" xfId="35921" xr:uid="{00000000-0005-0000-0000-000050650000}"/>
    <cellStyle name="표준 5 2 5 2 4 4 2 7" xfId="44114" xr:uid="{00000000-0005-0000-0000-000051650000}"/>
    <cellStyle name="표준 5 2 5 2 4 4 3" xfId="9052" xr:uid="{00000000-0005-0000-0000-000052650000}"/>
    <cellStyle name="표준 5 2 5 2 4 4 3 2" xfId="29758" xr:uid="{00000000-0005-0000-0000-000053650000}"/>
    <cellStyle name="표준 5 2 5 2 4 4 3 3" xfId="37969" xr:uid="{00000000-0005-0000-0000-000054650000}"/>
    <cellStyle name="표준 5 2 5 2 4 4 3 4" xfId="46162" xr:uid="{00000000-0005-0000-0000-000055650000}"/>
    <cellStyle name="표준 5 2 5 2 4 4 4" xfId="13164" xr:uid="{00000000-0005-0000-0000-000056650000}"/>
    <cellStyle name="표준 5 2 5 2 4 4 5" xfId="17404" xr:uid="{00000000-0005-0000-0000-000057650000}"/>
    <cellStyle name="표준 5 2 5 2 4 4 6" xfId="21566" xr:uid="{00000000-0005-0000-0000-000058650000}"/>
    <cellStyle name="표준 5 2 5 2 4 4 7" xfId="25662" xr:uid="{00000000-0005-0000-0000-000059650000}"/>
    <cellStyle name="표준 5 2 5 2 4 4 8" xfId="33873" xr:uid="{00000000-0005-0000-0000-00005A650000}"/>
    <cellStyle name="표준 5 2 5 2 4 4 9" xfId="42066" xr:uid="{00000000-0005-0000-0000-00005B650000}"/>
    <cellStyle name="표준 5 2 5 2 4 5" xfId="9564" xr:uid="{00000000-0005-0000-0000-00005C650000}"/>
    <cellStyle name="표준 5 2 5 2 4 5 2" xfId="13676" xr:uid="{00000000-0005-0000-0000-00005D650000}"/>
    <cellStyle name="표준 5 2 5 2 4 5 2 2" xfId="30270" xr:uid="{00000000-0005-0000-0000-00005E650000}"/>
    <cellStyle name="표준 5 2 5 2 4 5 2 3" xfId="38481" xr:uid="{00000000-0005-0000-0000-00005F650000}"/>
    <cellStyle name="표준 5 2 5 2 4 5 2 4" xfId="46674" xr:uid="{00000000-0005-0000-0000-000060650000}"/>
    <cellStyle name="표준 5 2 5 2 4 5 3" xfId="17916" xr:uid="{00000000-0005-0000-0000-000061650000}"/>
    <cellStyle name="표준 5 2 5 2 4 5 4" xfId="22078" xr:uid="{00000000-0005-0000-0000-000062650000}"/>
    <cellStyle name="표준 5 2 5 2 4 5 5" xfId="26174" xr:uid="{00000000-0005-0000-0000-000063650000}"/>
    <cellStyle name="표준 5 2 5 2 4 5 6" xfId="34385" xr:uid="{00000000-0005-0000-0000-000064650000}"/>
    <cellStyle name="표준 5 2 5 2 4 5 7" xfId="42578" xr:uid="{00000000-0005-0000-0000-000065650000}"/>
    <cellStyle name="표준 5 2 5 2 4 6" xfId="7516" xr:uid="{00000000-0005-0000-0000-000066650000}"/>
    <cellStyle name="표준 5 2 5 2 4 6 2" xfId="28222" xr:uid="{00000000-0005-0000-0000-000067650000}"/>
    <cellStyle name="표준 5 2 5 2 4 6 3" xfId="36433" xr:uid="{00000000-0005-0000-0000-000068650000}"/>
    <cellStyle name="표준 5 2 5 2 4 6 4" xfId="44626" xr:uid="{00000000-0005-0000-0000-000069650000}"/>
    <cellStyle name="표준 5 2 5 2 4 7" xfId="11628" xr:uid="{00000000-0005-0000-0000-00006A650000}"/>
    <cellStyle name="표준 5 2 5 2 4 8" xfId="15868" xr:uid="{00000000-0005-0000-0000-00006B650000}"/>
    <cellStyle name="표준 5 2 5 2 4 9" xfId="20030" xr:uid="{00000000-0005-0000-0000-00006C650000}"/>
    <cellStyle name="표준 5 2 5 2 5" xfId="917" xr:uid="{00000000-0005-0000-0000-00006D650000}"/>
    <cellStyle name="표준 5 2 5 2 5 2" xfId="9820" xr:uid="{00000000-0005-0000-0000-00006E650000}"/>
    <cellStyle name="표준 5 2 5 2 5 2 2" xfId="13932" xr:uid="{00000000-0005-0000-0000-00006F650000}"/>
    <cellStyle name="표준 5 2 5 2 5 2 2 2" xfId="30526" xr:uid="{00000000-0005-0000-0000-000070650000}"/>
    <cellStyle name="표준 5 2 5 2 5 2 2 3" xfId="38737" xr:uid="{00000000-0005-0000-0000-000071650000}"/>
    <cellStyle name="표준 5 2 5 2 5 2 2 4" xfId="46930" xr:uid="{00000000-0005-0000-0000-000072650000}"/>
    <cellStyle name="표준 5 2 5 2 5 2 3" xfId="18172" xr:uid="{00000000-0005-0000-0000-000073650000}"/>
    <cellStyle name="표준 5 2 5 2 5 2 4" xfId="22334" xr:uid="{00000000-0005-0000-0000-000074650000}"/>
    <cellStyle name="표준 5 2 5 2 5 2 5" xfId="26430" xr:uid="{00000000-0005-0000-0000-000075650000}"/>
    <cellStyle name="표준 5 2 5 2 5 2 6" xfId="34641" xr:uid="{00000000-0005-0000-0000-000076650000}"/>
    <cellStyle name="표준 5 2 5 2 5 2 7" xfId="42834" xr:uid="{00000000-0005-0000-0000-000077650000}"/>
    <cellStyle name="표준 5 2 5 2 5 3" xfId="7772" xr:uid="{00000000-0005-0000-0000-000078650000}"/>
    <cellStyle name="표준 5 2 5 2 5 3 2" xfId="28478" xr:uid="{00000000-0005-0000-0000-000079650000}"/>
    <cellStyle name="표준 5 2 5 2 5 3 3" xfId="36689" xr:uid="{00000000-0005-0000-0000-00007A650000}"/>
    <cellStyle name="표준 5 2 5 2 5 3 4" xfId="44882" xr:uid="{00000000-0005-0000-0000-00007B650000}"/>
    <cellStyle name="표준 5 2 5 2 5 4" xfId="11884" xr:uid="{00000000-0005-0000-0000-00007C650000}"/>
    <cellStyle name="표준 5 2 5 2 5 5" xfId="16124" xr:uid="{00000000-0005-0000-0000-00007D650000}"/>
    <cellStyle name="표준 5 2 5 2 5 6" xfId="20286" xr:uid="{00000000-0005-0000-0000-00007E650000}"/>
    <cellStyle name="표준 5 2 5 2 5 7" xfId="24382" xr:uid="{00000000-0005-0000-0000-00007F650000}"/>
    <cellStyle name="표준 5 2 5 2 5 8" xfId="32593" xr:uid="{00000000-0005-0000-0000-000080650000}"/>
    <cellStyle name="표준 5 2 5 2 5 9" xfId="40786" xr:uid="{00000000-0005-0000-0000-000081650000}"/>
    <cellStyle name="표준 5 2 5 2 6" xfId="1429" xr:uid="{00000000-0005-0000-0000-000082650000}"/>
    <cellStyle name="표준 5 2 5 2 6 2" xfId="10332" xr:uid="{00000000-0005-0000-0000-000083650000}"/>
    <cellStyle name="표준 5 2 5 2 6 2 2" xfId="14444" xr:uid="{00000000-0005-0000-0000-000084650000}"/>
    <cellStyle name="표준 5 2 5 2 6 2 2 2" xfId="31038" xr:uid="{00000000-0005-0000-0000-000085650000}"/>
    <cellStyle name="표준 5 2 5 2 6 2 2 3" xfId="39249" xr:uid="{00000000-0005-0000-0000-000086650000}"/>
    <cellStyle name="표준 5 2 5 2 6 2 2 4" xfId="47442" xr:uid="{00000000-0005-0000-0000-000087650000}"/>
    <cellStyle name="표준 5 2 5 2 6 2 3" xfId="18684" xr:uid="{00000000-0005-0000-0000-000088650000}"/>
    <cellStyle name="표준 5 2 5 2 6 2 4" xfId="22846" xr:uid="{00000000-0005-0000-0000-000089650000}"/>
    <cellStyle name="표준 5 2 5 2 6 2 5" xfId="26942" xr:uid="{00000000-0005-0000-0000-00008A650000}"/>
    <cellStyle name="표준 5 2 5 2 6 2 6" xfId="35153" xr:uid="{00000000-0005-0000-0000-00008B650000}"/>
    <cellStyle name="표준 5 2 5 2 6 2 7" xfId="43346" xr:uid="{00000000-0005-0000-0000-00008C650000}"/>
    <cellStyle name="표준 5 2 5 2 6 3" xfId="8284" xr:uid="{00000000-0005-0000-0000-00008D650000}"/>
    <cellStyle name="표준 5 2 5 2 6 3 2" xfId="28990" xr:uid="{00000000-0005-0000-0000-00008E650000}"/>
    <cellStyle name="표준 5 2 5 2 6 3 3" xfId="37201" xr:uid="{00000000-0005-0000-0000-00008F650000}"/>
    <cellStyle name="표준 5 2 5 2 6 3 4" xfId="45394" xr:uid="{00000000-0005-0000-0000-000090650000}"/>
    <cellStyle name="표준 5 2 5 2 6 4" xfId="12396" xr:uid="{00000000-0005-0000-0000-000091650000}"/>
    <cellStyle name="표준 5 2 5 2 6 5" xfId="16636" xr:uid="{00000000-0005-0000-0000-000092650000}"/>
    <cellStyle name="표준 5 2 5 2 6 6" xfId="20798" xr:uid="{00000000-0005-0000-0000-000093650000}"/>
    <cellStyle name="표준 5 2 5 2 6 7" xfId="24894" xr:uid="{00000000-0005-0000-0000-000094650000}"/>
    <cellStyle name="표준 5 2 5 2 6 8" xfId="33105" xr:uid="{00000000-0005-0000-0000-000095650000}"/>
    <cellStyle name="표준 5 2 5 2 6 9" xfId="41298" xr:uid="{00000000-0005-0000-0000-000096650000}"/>
    <cellStyle name="표준 5 2 5 2 7" xfId="1941" xr:uid="{00000000-0005-0000-0000-000097650000}"/>
    <cellStyle name="표준 5 2 5 2 7 2" xfId="10844" xr:uid="{00000000-0005-0000-0000-000098650000}"/>
    <cellStyle name="표준 5 2 5 2 7 2 2" xfId="14956" xr:uid="{00000000-0005-0000-0000-000099650000}"/>
    <cellStyle name="표준 5 2 5 2 7 2 2 2" xfId="31550" xr:uid="{00000000-0005-0000-0000-00009A650000}"/>
    <cellStyle name="표준 5 2 5 2 7 2 2 3" xfId="39761" xr:uid="{00000000-0005-0000-0000-00009B650000}"/>
    <cellStyle name="표준 5 2 5 2 7 2 2 4" xfId="47954" xr:uid="{00000000-0005-0000-0000-00009C650000}"/>
    <cellStyle name="표준 5 2 5 2 7 2 3" xfId="19196" xr:uid="{00000000-0005-0000-0000-00009D650000}"/>
    <cellStyle name="표준 5 2 5 2 7 2 4" xfId="23358" xr:uid="{00000000-0005-0000-0000-00009E650000}"/>
    <cellStyle name="표준 5 2 5 2 7 2 5" xfId="27454" xr:uid="{00000000-0005-0000-0000-00009F650000}"/>
    <cellStyle name="표준 5 2 5 2 7 2 6" xfId="35665" xr:uid="{00000000-0005-0000-0000-0000A0650000}"/>
    <cellStyle name="표준 5 2 5 2 7 2 7" xfId="43858" xr:uid="{00000000-0005-0000-0000-0000A1650000}"/>
    <cellStyle name="표준 5 2 5 2 7 3" xfId="8796" xr:uid="{00000000-0005-0000-0000-0000A2650000}"/>
    <cellStyle name="표준 5 2 5 2 7 3 2" xfId="29502" xr:uid="{00000000-0005-0000-0000-0000A3650000}"/>
    <cellStyle name="표준 5 2 5 2 7 3 3" xfId="37713" xr:uid="{00000000-0005-0000-0000-0000A4650000}"/>
    <cellStyle name="표준 5 2 5 2 7 3 4" xfId="45906" xr:uid="{00000000-0005-0000-0000-0000A5650000}"/>
    <cellStyle name="표준 5 2 5 2 7 4" xfId="12908" xr:uid="{00000000-0005-0000-0000-0000A6650000}"/>
    <cellStyle name="표준 5 2 5 2 7 5" xfId="17148" xr:uid="{00000000-0005-0000-0000-0000A7650000}"/>
    <cellStyle name="표준 5 2 5 2 7 6" xfId="21310" xr:uid="{00000000-0005-0000-0000-0000A8650000}"/>
    <cellStyle name="표준 5 2 5 2 7 7" xfId="25406" xr:uid="{00000000-0005-0000-0000-0000A9650000}"/>
    <cellStyle name="표준 5 2 5 2 7 8" xfId="33617" xr:uid="{00000000-0005-0000-0000-0000AA650000}"/>
    <cellStyle name="표준 5 2 5 2 7 9" xfId="41810" xr:uid="{00000000-0005-0000-0000-0000AB650000}"/>
    <cellStyle name="표준 5 2 5 2 8" xfId="7033" xr:uid="{00000000-0005-0000-0000-0000AC650000}"/>
    <cellStyle name="표준 5 2 5 2 8 2" xfId="9308" xr:uid="{00000000-0005-0000-0000-0000AD650000}"/>
    <cellStyle name="표준 5 2 5 2 8 2 2" xfId="30014" xr:uid="{00000000-0005-0000-0000-0000AE650000}"/>
    <cellStyle name="표준 5 2 5 2 8 2 3" xfId="38225" xr:uid="{00000000-0005-0000-0000-0000AF650000}"/>
    <cellStyle name="표준 5 2 5 2 8 2 4" xfId="46418" xr:uid="{00000000-0005-0000-0000-0000B0650000}"/>
    <cellStyle name="표준 5 2 5 2 8 3" xfId="13420" xr:uid="{00000000-0005-0000-0000-0000B1650000}"/>
    <cellStyle name="표준 5 2 5 2 8 4" xfId="17660" xr:uid="{00000000-0005-0000-0000-0000B2650000}"/>
    <cellStyle name="표준 5 2 5 2 8 5" xfId="21822" xr:uid="{00000000-0005-0000-0000-0000B3650000}"/>
    <cellStyle name="표준 5 2 5 2 8 6" xfId="25918" xr:uid="{00000000-0005-0000-0000-0000B4650000}"/>
    <cellStyle name="표준 5 2 5 2 8 7" xfId="34129" xr:uid="{00000000-0005-0000-0000-0000B5650000}"/>
    <cellStyle name="표준 5 2 5 2 8 8" xfId="42322" xr:uid="{00000000-0005-0000-0000-0000B6650000}"/>
    <cellStyle name="표준 5 2 5 2 9" xfId="7145" xr:uid="{00000000-0005-0000-0000-0000B7650000}"/>
    <cellStyle name="표준 5 2 5 2 9 2" xfId="27966" xr:uid="{00000000-0005-0000-0000-0000B8650000}"/>
    <cellStyle name="표준 5 2 5 2 9 3" xfId="36177" xr:uid="{00000000-0005-0000-0000-0000B9650000}"/>
    <cellStyle name="표준 5 2 5 2 9 4" xfId="44370" xr:uid="{00000000-0005-0000-0000-0000BA650000}"/>
    <cellStyle name="표준 5 2 5 20" xfId="49651" xr:uid="{00000000-0005-0000-0000-0000BB650000}"/>
    <cellStyle name="표준 5 2 5 3" xfId="437" xr:uid="{00000000-0005-0000-0000-0000BC650000}"/>
    <cellStyle name="표준 5 2 5 3 10" xfId="15644" xr:uid="{00000000-0005-0000-0000-0000BD650000}"/>
    <cellStyle name="표준 5 2 5 3 11" xfId="19806" xr:uid="{00000000-0005-0000-0000-0000BE650000}"/>
    <cellStyle name="표준 5 2 5 3 12" xfId="23902" xr:uid="{00000000-0005-0000-0000-0000BF650000}"/>
    <cellStyle name="표준 5 2 5 3 13" xfId="32113" xr:uid="{00000000-0005-0000-0000-0000C0650000}"/>
    <cellStyle name="표준 5 2 5 3 14" xfId="40306" xr:uid="{00000000-0005-0000-0000-0000C1650000}"/>
    <cellStyle name="표준 5 2 5 3 2" xfId="565" xr:uid="{00000000-0005-0000-0000-0000C2650000}"/>
    <cellStyle name="표준 5 2 5 3 2 10" xfId="19934" xr:uid="{00000000-0005-0000-0000-0000C3650000}"/>
    <cellStyle name="표준 5 2 5 3 2 11" xfId="24030" xr:uid="{00000000-0005-0000-0000-0000C4650000}"/>
    <cellStyle name="표준 5 2 5 3 2 12" xfId="32241" xr:uid="{00000000-0005-0000-0000-0000C5650000}"/>
    <cellStyle name="표준 5 2 5 3 2 13" xfId="40434" xr:uid="{00000000-0005-0000-0000-0000C6650000}"/>
    <cellStyle name="표준 5 2 5 3 2 2" xfId="821" xr:uid="{00000000-0005-0000-0000-0000C7650000}"/>
    <cellStyle name="표준 5 2 5 3 2 2 10" xfId="24286" xr:uid="{00000000-0005-0000-0000-0000C8650000}"/>
    <cellStyle name="표준 5 2 5 3 2 2 11" xfId="32497" xr:uid="{00000000-0005-0000-0000-0000C9650000}"/>
    <cellStyle name="표준 5 2 5 3 2 2 12" xfId="40690" xr:uid="{00000000-0005-0000-0000-0000CA650000}"/>
    <cellStyle name="표준 5 2 5 3 2 2 2" xfId="1333" xr:uid="{00000000-0005-0000-0000-0000CB650000}"/>
    <cellStyle name="표준 5 2 5 3 2 2 2 2" xfId="10236" xr:uid="{00000000-0005-0000-0000-0000CC650000}"/>
    <cellStyle name="표준 5 2 5 3 2 2 2 2 2" xfId="14348" xr:uid="{00000000-0005-0000-0000-0000CD650000}"/>
    <cellStyle name="표준 5 2 5 3 2 2 2 2 2 2" xfId="30942" xr:uid="{00000000-0005-0000-0000-0000CE650000}"/>
    <cellStyle name="표준 5 2 5 3 2 2 2 2 2 3" xfId="39153" xr:uid="{00000000-0005-0000-0000-0000CF650000}"/>
    <cellStyle name="표준 5 2 5 3 2 2 2 2 2 4" xfId="47346" xr:uid="{00000000-0005-0000-0000-0000D0650000}"/>
    <cellStyle name="표준 5 2 5 3 2 2 2 2 3" xfId="18588" xr:uid="{00000000-0005-0000-0000-0000D1650000}"/>
    <cellStyle name="표준 5 2 5 3 2 2 2 2 4" xfId="22750" xr:uid="{00000000-0005-0000-0000-0000D2650000}"/>
    <cellStyle name="표준 5 2 5 3 2 2 2 2 5" xfId="26846" xr:uid="{00000000-0005-0000-0000-0000D3650000}"/>
    <cellStyle name="표준 5 2 5 3 2 2 2 2 6" xfId="35057" xr:uid="{00000000-0005-0000-0000-0000D4650000}"/>
    <cellStyle name="표준 5 2 5 3 2 2 2 2 7" xfId="43250" xr:uid="{00000000-0005-0000-0000-0000D5650000}"/>
    <cellStyle name="표준 5 2 5 3 2 2 2 3" xfId="8188" xr:uid="{00000000-0005-0000-0000-0000D6650000}"/>
    <cellStyle name="표준 5 2 5 3 2 2 2 3 2" xfId="28894" xr:uid="{00000000-0005-0000-0000-0000D7650000}"/>
    <cellStyle name="표준 5 2 5 3 2 2 2 3 3" xfId="37105" xr:uid="{00000000-0005-0000-0000-0000D8650000}"/>
    <cellStyle name="표준 5 2 5 3 2 2 2 3 4" xfId="45298" xr:uid="{00000000-0005-0000-0000-0000D9650000}"/>
    <cellStyle name="표준 5 2 5 3 2 2 2 4" xfId="12300" xr:uid="{00000000-0005-0000-0000-0000DA650000}"/>
    <cellStyle name="표준 5 2 5 3 2 2 2 5" xfId="16540" xr:uid="{00000000-0005-0000-0000-0000DB650000}"/>
    <cellStyle name="표준 5 2 5 3 2 2 2 6" xfId="20702" xr:uid="{00000000-0005-0000-0000-0000DC650000}"/>
    <cellStyle name="표준 5 2 5 3 2 2 2 7" xfId="24798" xr:uid="{00000000-0005-0000-0000-0000DD650000}"/>
    <cellStyle name="표준 5 2 5 3 2 2 2 8" xfId="33009" xr:uid="{00000000-0005-0000-0000-0000DE650000}"/>
    <cellStyle name="표준 5 2 5 3 2 2 2 9" xfId="41202" xr:uid="{00000000-0005-0000-0000-0000DF650000}"/>
    <cellStyle name="표준 5 2 5 3 2 2 3" xfId="1845" xr:uid="{00000000-0005-0000-0000-0000E0650000}"/>
    <cellStyle name="표준 5 2 5 3 2 2 3 2" xfId="10748" xr:uid="{00000000-0005-0000-0000-0000E1650000}"/>
    <cellStyle name="표준 5 2 5 3 2 2 3 2 2" xfId="14860" xr:uid="{00000000-0005-0000-0000-0000E2650000}"/>
    <cellStyle name="표준 5 2 5 3 2 2 3 2 2 2" xfId="31454" xr:uid="{00000000-0005-0000-0000-0000E3650000}"/>
    <cellStyle name="표준 5 2 5 3 2 2 3 2 2 3" xfId="39665" xr:uid="{00000000-0005-0000-0000-0000E4650000}"/>
    <cellStyle name="표준 5 2 5 3 2 2 3 2 2 4" xfId="47858" xr:uid="{00000000-0005-0000-0000-0000E5650000}"/>
    <cellStyle name="표준 5 2 5 3 2 2 3 2 3" xfId="19100" xr:uid="{00000000-0005-0000-0000-0000E6650000}"/>
    <cellStyle name="표준 5 2 5 3 2 2 3 2 4" xfId="23262" xr:uid="{00000000-0005-0000-0000-0000E7650000}"/>
    <cellStyle name="표준 5 2 5 3 2 2 3 2 5" xfId="27358" xr:uid="{00000000-0005-0000-0000-0000E8650000}"/>
    <cellStyle name="표준 5 2 5 3 2 2 3 2 6" xfId="35569" xr:uid="{00000000-0005-0000-0000-0000E9650000}"/>
    <cellStyle name="표준 5 2 5 3 2 2 3 2 7" xfId="43762" xr:uid="{00000000-0005-0000-0000-0000EA650000}"/>
    <cellStyle name="표준 5 2 5 3 2 2 3 3" xfId="8700" xr:uid="{00000000-0005-0000-0000-0000EB650000}"/>
    <cellStyle name="표준 5 2 5 3 2 2 3 3 2" xfId="29406" xr:uid="{00000000-0005-0000-0000-0000EC650000}"/>
    <cellStyle name="표준 5 2 5 3 2 2 3 3 3" xfId="37617" xr:uid="{00000000-0005-0000-0000-0000ED650000}"/>
    <cellStyle name="표준 5 2 5 3 2 2 3 3 4" xfId="45810" xr:uid="{00000000-0005-0000-0000-0000EE650000}"/>
    <cellStyle name="표준 5 2 5 3 2 2 3 4" xfId="12812" xr:uid="{00000000-0005-0000-0000-0000EF650000}"/>
    <cellStyle name="표준 5 2 5 3 2 2 3 5" xfId="17052" xr:uid="{00000000-0005-0000-0000-0000F0650000}"/>
    <cellStyle name="표준 5 2 5 3 2 2 3 6" xfId="21214" xr:uid="{00000000-0005-0000-0000-0000F1650000}"/>
    <cellStyle name="표준 5 2 5 3 2 2 3 7" xfId="25310" xr:uid="{00000000-0005-0000-0000-0000F2650000}"/>
    <cellStyle name="표준 5 2 5 3 2 2 3 8" xfId="33521" xr:uid="{00000000-0005-0000-0000-0000F3650000}"/>
    <cellStyle name="표준 5 2 5 3 2 2 3 9" xfId="41714" xr:uid="{00000000-0005-0000-0000-0000F4650000}"/>
    <cellStyle name="표준 5 2 5 3 2 2 4" xfId="2357" xr:uid="{00000000-0005-0000-0000-0000F5650000}"/>
    <cellStyle name="표준 5 2 5 3 2 2 4 2" xfId="11260" xr:uid="{00000000-0005-0000-0000-0000F6650000}"/>
    <cellStyle name="표준 5 2 5 3 2 2 4 2 2" xfId="15372" xr:uid="{00000000-0005-0000-0000-0000F7650000}"/>
    <cellStyle name="표준 5 2 5 3 2 2 4 2 2 2" xfId="31966" xr:uid="{00000000-0005-0000-0000-0000F8650000}"/>
    <cellStyle name="표준 5 2 5 3 2 2 4 2 2 3" xfId="40177" xr:uid="{00000000-0005-0000-0000-0000F9650000}"/>
    <cellStyle name="표준 5 2 5 3 2 2 4 2 2 4" xfId="48370" xr:uid="{00000000-0005-0000-0000-0000FA650000}"/>
    <cellStyle name="표준 5 2 5 3 2 2 4 2 3" xfId="19612" xr:uid="{00000000-0005-0000-0000-0000FB650000}"/>
    <cellStyle name="표준 5 2 5 3 2 2 4 2 4" xfId="23774" xr:uid="{00000000-0005-0000-0000-0000FC650000}"/>
    <cellStyle name="표준 5 2 5 3 2 2 4 2 5" xfId="27870" xr:uid="{00000000-0005-0000-0000-0000FD650000}"/>
    <cellStyle name="표준 5 2 5 3 2 2 4 2 6" xfId="36081" xr:uid="{00000000-0005-0000-0000-0000FE650000}"/>
    <cellStyle name="표준 5 2 5 3 2 2 4 2 7" xfId="44274" xr:uid="{00000000-0005-0000-0000-0000FF650000}"/>
    <cellStyle name="표준 5 2 5 3 2 2 4 3" xfId="9212" xr:uid="{00000000-0005-0000-0000-000000660000}"/>
    <cellStyle name="표준 5 2 5 3 2 2 4 3 2" xfId="29918" xr:uid="{00000000-0005-0000-0000-000001660000}"/>
    <cellStyle name="표준 5 2 5 3 2 2 4 3 3" xfId="38129" xr:uid="{00000000-0005-0000-0000-000002660000}"/>
    <cellStyle name="표준 5 2 5 3 2 2 4 3 4" xfId="46322" xr:uid="{00000000-0005-0000-0000-000003660000}"/>
    <cellStyle name="표준 5 2 5 3 2 2 4 4" xfId="13324" xr:uid="{00000000-0005-0000-0000-000004660000}"/>
    <cellStyle name="표준 5 2 5 3 2 2 4 5" xfId="17564" xr:uid="{00000000-0005-0000-0000-000005660000}"/>
    <cellStyle name="표준 5 2 5 3 2 2 4 6" xfId="21726" xr:uid="{00000000-0005-0000-0000-000006660000}"/>
    <cellStyle name="표준 5 2 5 3 2 2 4 7" xfId="25822" xr:uid="{00000000-0005-0000-0000-000007660000}"/>
    <cellStyle name="표준 5 2 5 3 2 2 4 8" xfId="34033" xr:uid="{00000000-0005-0000-0000-000008660000}"/>
    <cellStyle name="표준 5 2 5 3 2 2 4 9" xfId="42226" xr:uid="{00000000-0005-0000-0000-000009660000}"/>
    <cellStyle name="표준 5 2 5 3 2 2 5" xfId="9724" xr:uid="{00000000-0005-0000-0000-00000A660000}"/>
    <cellStyle name="표준 5 2 5 3 2 2 5 2" xfId="13836" xr:uid="{00000000-0005-0000-0000-00000B660000}"/>
    <cellStyle name="표준 5 2 5 3 2 2 5 2 2" xfId="30430" xr:uid="{00000000-0005-0000-0000-00000C660000}"/>
    <cellStyle name="표준 5 2 5 3 2 2 5 2 3" xfId="38641" xr:uid="{00000000-0005-0000-0000-00000D660000}"/>
    <cellStyle name="표준 5 2 5 3 2 2 5 2 4" xfId="46834" xr:uid="{00000000-0005-0000-0000-00000E660000}"/>
    <cellStyle name="표준 5 2 5 3 2 2 5 3" xfId="18076" xr:uid="{00000000-0005-0000-0000-00000F660000}"/>
    <cellStyle name="표준 5 2 5 3 2 2 5 4" xfId="22238" xr:uid="{00000000-0005-0000-0000-000010660000}"/>
    <cellStyle name="표준 5 2 5 3 2 2 5 5" xfId="26334" xr:uid="{00000000-0005-0000-0000-000011660000}"/>
    <cellStyle name="표준 5 2 5 3 2 2 5 6" xfId="34545" xr:uid="{00000000-0005-0000-0000-000012660000}"/>
    <cellStyle name="표준 5 2 5 3 2 2 5 7" xfId="42738" xr:uid="{00000000-0005-0000-0000-000013660000}"/>
    <cellStyle name="표준 5 2 5 3 2 2 6" xfId="7676" xr:uid="{00000000-0005-0000-0000-000014660000}"/>
    <cellStyle name="표준 5 2 5 3 2 2 6 2" xfId="28382" xr:uid="{00000000-0005-0000-0000-000015660000}"/>
    <cellStyle name="표준 5 2 5 3 2 2 6 3" xfId="36593" xr:uid="{00000000-0005-0000-0000-000016660000}"/>
    <cellStyle name="표준 5 2 5 3 2 2 6 4" xfId="44786" xr:uid="{00000000-0005-0000-0000-000017660000}"/>
    <cellStyle name="표준 5 2 5 3 2 2 7" xfId="11788" xr:uid="{00000000-0005-0000-0000-000018660000}"/>
    <cellStyle name="표준 5 2 5 3 2 2 8" xfId="16028" xr:uid="{00000000-0005-0000-0000-000019660000}"/>
    <cellStyle name="표준 5 2 5 3 2 2 9" xfId="20190" xr:uid="{00000000-0005-0000-0000-00001A660000}"/>
    <cellStyle name="표준 5 2 5 3 2 3" xfId="1077" xr:uid="{00000000-0005-0000-0000-00001B660000}"/>
    <cellStyle name="표준 5 2 5 3 2 3 2" xfId="9980" xr:uid="{00000000-0005-0000-0000-00001C660000}"/>
    <cellStyle name="표준 5 2 5 3 2 3 2 2" xfId="14092" xr:uid="{00000000-0005-0000-0000-00001D660000}"/>
    <cellStyle name="표준 5 2 5 3 2 3 2 2 2" xfId="30686" xr:uid="{00000000-0005-0000-0000-00001E660000}"/>
    <cellStyle name="표준 5 2 5 3 2 3 2 2 3" xfId="38897" xr:uid="{00000000-0005-0000-0000-00001F660000}"/>
    <cellStyle name="표준 5 2 5 3 2 3 2 2 4" xfId="47090" xr:uid="{00000000-0005-0000-0000-000020660000}"/>
    <cellStyle name="표준 5 2 5 3 2 3 2 3" xfId="18332" xr:uid="{00000000-0005-0000-0000-000021660000}"/>
    <cellStyle name="표준 5 2 5 3 2 3 2 4" xfId="22494" xr:uid="{00000000-0005-0000-0000-000022660000}"/>
    <cellStyle name="표준 5 2 5 3 2 3 2 5" xfId="26590" xr:uid="{00000000-0005-0000-0000-000023660000}"/>
    <cellStyle name="표준 5 2 5 3 2 3 2 6" xfId="34801" xr:uid="{00000000-0005-0000-0000-000024660000}"/>
    <cellStyle name="표준 5 2 5 3 2 3 2 7" xfId="42994" xr:uid="{00000000-0005-0000-0000-000025660000}"/>
    <cellStyle name="표준 5 2 5 3 2 3 3" xfId="7932" xr:uid="{00000000-0005-0000-0000-000026660000}"/>
    <cellStyle name="표준 5 2 5 3 2 3 3 2" xfId="28638" xr:uid="{00000000-0005-0000-0000-000027660000}"/>
    <cellStyle name="표준 5 2 5 3 2 3 3 3" xfId="36849" xr:uid="{00000000-0005-0000-0000-000028660000}"/>
    <cellStyle name="표준 5 2 5 3 2 3 3 4" xfId="45042" xr:uid="{00000000-0005-0000-0000-000029660000}"/>
    <cellStyle name="표준 5 2 5 3 2 3 4" xfId="12044" xr:uid="{00000000-0005-0000-0000-00002A660000}"/>
    <cellStyle name="표준 5 2 5 3 2 3 5" xfId="16284" xr:uid="{00000000-0005-0000-0000-00002B660000}"/>
    <cellStyle name="표준 5 2 5 3 2 3 6" xfId="20446" xr:uid="{00000000-0005-0000-0000-00002C660000}"/>
    <cellStyle name="표준 5 2 5 3 2 3 7" xfId="24542" xr:uid="{00000000-0005-0000-0000-00002D660000}"/>
    <cellStyle name="표준 5 2 5 3 2 3 8" xfId="32753" xr:uid="{00000000-0005-0000-0000-00002E660000}"/>
    <cellStyle name="표준 5 2 5 3 2 3 9" xfId="40946" xr:uid="{00000000-0005-0000-0000-00002F660000}"/>
    <cellStyle name="표준 5 2 5 3 2 4" xfId="1589" xr:uid="{00000000-0005-0000-0000-000030660000}"/>
    <cellStyle name="표준 5 2 5 3 2 4 2" xfId="10492" xr:uid="{00000000-0005-0000-0000-000031660000}"/>
    <cellStyle name="표준 5 2 5 3 2 4 2 2" xfId="14604" xr:uid="{00000000-0005-0000-0000-000032660000}"/>
    <cellStyle name="표준 5 2 5 3 2 4 2 2 2" xfId="31198" xr:uid="{00000000-0005-0000-0000-000033660000}"/>
    <cellStyle name="표준 5 2 5 3 2 4 2 2 3" xfId="39409" xr:uid="{00000000-0005-0000-0000-000034660000}"/>
    <cellStyle name="표준 5 2 5 3 2 4 2 2 4" xfId="47602" xr:uid="{00000000-0005-0000-0000-000035660000}"/>
    <cellStyle name="표준 5 2 5 3 2 4 2 3" xfId="18844" xr:uid="{00000000-0005-0000-0000-000036660000}"/>
    <cellStyle name="표준 5 2 5 3 2 4 2 4" xfId="23006" xr:uid="{00000000-0005-0000-0000-000037660000}"/>
    <cellStyle name="표준 5 2 5 3 2 4 2 5" xfId="27102" xr:uid="{00000000-0005-0000-0000-000038660000}"/>
    <cellStyle name="표준 5 2 5 3 2 4 2 6" xfId="35313" xr:uid="{00000000-0005-0000-0000-000039660000}"/>
    <cellStyle name="표준 5 2 5 3 2 4 2 7" xfId="43506" xr:uid="{00000000-0005-0000-0000-00003A660000}"/>
    <cellStyle name="표준 5 2 5 3 2 4 3" xfId="8444" xr:uid="{00000000-0005-0000-0000-00003B660000}"/>
    <cellStyle name="표준 5 2 5 3 2 4 3 2" xfId="29150" xr:uid="{00000000-0005-0000-0000-00003C660000}"/>
    <cellStyle name="표준 5 2 5 3 2 4 3 3" xfId="37361" xr:uid="{00000000-0005-0000-0000-00003D660000}"/>
    <cellStyle name="표준 5 2 5 3 2 4 3 4" xfId="45554" xr:uid="{00000000-0005-0000-0000-00003E660000}"/>
    <cellStyle name="표준 5 2 5 3 2 4 4" xfId="12556" xr:uid="{00000000-0005-0000-0000-00003F660000}"/>
    <cellStyle name="표준 5 2 5 3 2 4 5" xfId="16796" xr:uid="{00000000-0005-0000-0000-000040660000}"/>
    <cellStyle name="표준 5 2 5 3 2 4 6" xfId="20958" xr:uid="{00000000-0005-0000-0000-000041660000}"/>
    <cellStyle name="표준 5 2 5 3 2 4 7" xfId="25054" xr:uid="{00000000-0005-0000-0000-000042660000}"/>
    <cellStyle name="표준 5 2 5 3 2 4 8" xfId="33265" xr:uid="{00000000-0005-0000-0000-000043660000}"/>
    <cellStyle name="표준 5 2 5 3 2 4 9" xfId="41458" xr:uid="{00000000-0005-0000-0000-000044660000}"/>
    <cellStyle name="표준 5 2 5 3 2 5" xfId="2101" xr:uid="{00000000-0005-0000-0000-000045660000}"/>
    <cellStyle name="표준 5 2 5 3 2 5 2" xfId="11004" xr:uid="{00000000-0005-0000-0000-000046660000}"/>
    <cellStyle name="표준 5 2 5 3 2 5 2 2" xfId="15116" xr:uid="{00000000-0005-0000-0000-000047660000}"/>
    <cellStyle name="표준 5 2 5 3 2 5 2 2 2" xfId="31710" xr:uid="{00000000-0005-0000-0000-000048660000}"/>
    <cellStyle name="표준 5 2 5 3 2 5 2 2 3" xfId="39921" xr:uid="{00000000-0005-0000-0000-000049660000}"/>
    <cellStyle name="표준 5 2 5 3 2 5 2 2 4" xfId="48114" xr:uid="{00000000-0005-0000-0000-00004A660000}"/>
    <cellStyle name="표준 5 2 5 3 2 5 2 3" xfId="19356" xr:uid="{00000000-0005-0000-0000-00004B660000}"/>
    <cellStyle name="표준 5 2 5 3 2 5 2 4" xfId="23518" xr:uid="{00000000-0005-0000-0000-00004C660000}"/>
    <cellStyle name="표준 5 2 5 3 2 5 2 5" xfId="27614" xr:uid="{00000000-0005-0000-0000-00004D660000}"/>
    <cellStyle name="표준 5 2 5 3 2 5 2 6" xfId="35825" xr:uid="{00000000-0005-0000-0000-00004E660000}"/>
    <cellStyle name="표준 5 2 5 3 2 5 2 7" xfId="44018" xr:uid="{00000000-0005-0000-0000-00004F660000}"/>
    <cellStyle name="표준 5 2 5 3 2 5 3" xfId="8956" xr:uid="{00000000-0005-0000-0000-000050660000}"/>
    <cellStyle name="표준 5 2 5 3 2 5 3 2" xfId="29662" xr:uid="{00000000-0005-0000-0000-000051660000}"/>
    <cellStyle name="표준 5 2 5 3 2 5 3 3" xfId="37873" xr:uid="{00000000-0005-0000-0000-000052660000}"/>
    <cellStyle name="표준 5 2 5 3 2 5 3 4" xfId="46066" xr:uid="{00000000-0005-0000-0000-000053660000}"/>
    <cellStyle name="표준 5 2 5 3 2 5 4" xfId="13068" xr:uid="{00000000-0005-0000-0000-000054660000}"/>
    <cellStyle name="표준 5 2 5 3 2 5 5" xfId="17308" xr:uid="{00000000-0005-0000-0000-000055660000}"/>
    <cellStyle name="표준 5 2 5 3 2 5 6" xfId="21470" xr:uid="{00000000-0005-0000-0000-000056660000}"/>
    <cellStyle name="표준 5 2 5 3 2 5 7" xfId="25566" xr:uid="{00000000-0005-0000-0000-000057660000}"/>
    <cellStyle name="표준 5 2 5 3 2 5 8" xfId="33777" xr:uid="{00000000-0005-0000-0000-000058660000}"/>
    <cellStyle name="표준 5 2 5 3 2 5 9" xfId="41970" xr:uid="{00000000-0005-0000-0000-000059660000}"/>
    <cellStyle name="표준 5 2 5 3 2 6" xfId="9468" xr:uid="{00000000-0005-0000-0000-00005A660000}"/>
    <cellStyle name="표준 5 2 5 3 2 6 2" xfId="13580" xr:uid="{00000000-0005-0000-0000-00005B660000}"/>
    <cellStyle name="표준 5 2 5 3 2 6 2 2" xfId="30174" xr:uid="{00000000-0005-0000-0000-00005C660000}"/>
    <cellStyle name="표준 5 2 5 3 2 6 2 3" xfId="38385" xr:uid="{00000000-0005-0000-0000-00005D660000}"/>
    <cellStyle name="표준 5 2 5 3 2 6 2 4" xfId="46578" xr:uid="{00000000-0005-0000-0000-00005E660000}"/>
    <cellStyle name="표준 5 2 5 3 2 6 3" xfId="17820" xr:uid="{00000000-0005-0000-0000-00005F660000}"/>
    <cellStyle name="표준 5 2 5 3 2 6 4" xfId="21982" xr:uid="{00000000-0005-0000-0000-000060660000}"/>
    <cellStyle name="표준 5 2 5 3 2 6 5" xfId="26078" xr:uid="{00000000-0005-0000-0000-000061660000}"/>
    <cellStyle name="표준 5 2 5 3 2 6 6" xfId="34289" xr:uid="{00000000-0005-0000-0000-000062660000}"/>
    <cellStyle name="표준 5 2 5 3 2 6 7" xfId="42482" xr:uid="{00000000-0005-0000-0000-000063660000}"/>
    <cellStyle name="표준 5 2 5 3 2 7" xfId="7420" xr:uid="{00000000-0005-0000-0000-000064660000}"/>
    <cellStyle name="표준 5 2 5 3 2 7 2" xfId="28126" xr:uid="{00000000-0005-0000-0000-000065660000}"/>
    <cellStyle name="표준 5 2 5 3 2 7 3" xfId="36337" xr:uid="{00000000-0005-0000-0000-000066660000}"/>
    <cellStyle name="표준 5 2 5 3 2 7 4" xfId="44530" xr:uid="{00000000-0005-0000-0000-000067660000}"/>
    <cellStyle name="표준 5 2 5 3 2 8" xfId="11532" xr:uid="{00000000-0005-0000-0000-000068660000}"/>
    <cellStyle name="표준 5 2 5 3 2 9" xfId="15772" xr:uid="{00000000-0005-0000-0000-000069660000}"/>
    <cellStyle name="표준 5 2 5 3 3" xfId="693" xr:uid="{00000000-0005-0000-0000-00006A660000}"/>
    <cellStyle name="표준 5 2 5 3 3 10" xfId="24158" xr:uid="{00000000-0005-0000-0000-00006B660000}"/>
    <cellStyle name="표준 5 2 5 3 3 11" xfId="32369" xr:uid="{00000000-0005-0000-0000-00006C660000}"/>
    <cellStyle name="표준 5 2 5 3 3 12" xfId="40562" xr:uid="{00000000-0005-0000-0000-00006D660000}"/>
    <cellStyle name="표준 5 2 5 3 3 2" xfId="1205" xr:uid="{00000000-0005-0000-0000-00006E660000}"/>
    <cellStyle name="표준 5 2 5 3 3 2 2" xfId="10108" xr:uid="{00000000-0005-0000-0000-00006F660000}"/>
    <cellStyle name="표준 5 2 5 3 3 2 2 2" xfId="14220" xr:uid="{00000000-0005-0000-0000-000070660000}"/>
    <cellStyle name="표준 5 2 5 3 3 2 2 2 2" xfId="30814" xr:uid="{00000000-0005-0000-0000-000071660000}"/>
    <cellStyle name="표준 5 2 5 3 3 2 2 2 3" xfId="39025" xr:uid="{00000000-0005-0000-0000-000072660000}"/>
    <cellStyle name="표준 5 2 5 3 3 2 2 2 4" xfId="47218" xr:uid="{00000000-0005-0000-0000-000073660000}"/>
    <cellStyle name="표준 5 2 5 3 3 2 2 3" xfId="18460" xr:uid="{00000000-0005-0000-0000-000074660000}"/>
    <cellStyle name="표준 5 2 5 3 3 2 2 4" xfId="22622" xr:uid="{00000000-0005-0000-0000-000075660000}"/>
    <cellStyle name="표준 5 2 5 3 3 2 2 5" xfId="26718" xr:uid="{00000000-0005-0000-0000-000076660000}"/>
    <cellStyle name="표준 5 2 5 3 3 2 2 6" xfId="34929" xr:uid="{00000000-0005-0000-0000-000077660000}"/>
    <cellStyle name="표준 5 2 5 3 3 2 2 7" xfId="43122" xr:uid="{00000000-0005-0000-0000-000078660000}"/>
    <cellStyle name="표준 5 2 5 3 3 2 3" xfId="8060" xr:uid="{00000000-0005-0000-0000-000079660000}"/>
    <cellStyle name="표준 5 2 5 3 3 2 3 2" xfId="28766" xr:uid="{00000000-0005-0000-0000-00007A660000}"/>
    <cellStyle name="표준 5 2 5 3 3 2 3 3" xfId="36977" xr:uid="{00000000-0005-0000-0000-00007B660000}"/>
    <cellStyle name="표준 5 2 5 3 3 2 3 4" xfId="45170" xr:uid="{00000000-0005-0000-0000-00007C660000}"/>
    <cellStyle name="표준 5 2 5 3 3 2 4" xfId="12172" xr:uid="{00000000-0005-0000-0000-00007D660000}"/>
    <cellStyle name="표준 5 2 5 3 3 2 5" xfId="16412" xr:uid="{00000000-0005-0000-0000-00007E660000}"/>
    <cellStyle name="표준 5 2 5 3 3 2 6" xfId="20574" xr:uid="{00000000-0005-0000-0000-00007F660000}"/>
    <cellStyle name="표준 5 2 5 3 3 2 7" xfId="24670" xr:uid="{00000000-0005-0000-0000-000080660000}"/>
    <cellStyle name="표준 5 2 5 3 3 2 8" xfId="32881" xr:uid="{00000000-0005-0000-0000-000081660000}"/>
    <cellStyle name="표준 5 2 5 3 3 2 9" xfId="41074" xr:uid="{00000000-0005-0000-0000-000082660000}"/>
    <cellStyle name="표준 5 2 5 3 3 3" xfId="1717" xr:uid="{00000000-0005-0000-0000-000083660000}"/>
    <cellStyle name="표준 5 2 5 3 3 3 2" xfId="10620" xr:uid="{00000000-0005-0000-0000-000084660000}"/>
    <cellStyle name="표준 5 2 5 3 3 3 2 2" xfId="14732" xr:uid="{00000000-0005-0000-0000-000085660000}"/>
    <cellStyle name="표준 5 2 5 3 3 3 2 2 2" xfId="31326" xr:uid="{00000000-0005-0000-0000-000086660000}"/>
    <cellStyle name="표준 5 2 5 3 3 3 2 2 3" xfId="39537" xr:uid="{00000000-0005-0000-0000-000087660000}"/>
    <cellStyle name="표준 5 2 5 3 3 3 2 2 4" xfId="47730" xr:uid="{00000000-0005-0000-0000-000088660000}"/>
    <cellStyle name="표준 5 2 5 3 3 3 2 3" xfId="18972" xr:uid="{00000000-0005-0000-0000-000089660000}"/>
    <cellStyle name="표준 5 2 5 3 3 3 2 4" xfId="23134" xr:uid="{00000000-0005-0000-0000-00008A660000}"/>
    <cellStyle name="표준 5 2 5 3 3 3 2 5" xfId="27230" xr:uid="{00000000-0005-0000-0000-00008B660000}"/>
    <cellStyle name="표준 5 2 5 3 3 3 2 6" xfId="35441" xr:uid="{00000000-0005-0000-0000-00008C660000}"/>
    <cellStyle name="표준 5 2 5 3 3 3 2 7" xfId="43634" xr:uid="{00000000-0005-0000-0000-00008D660000}"/>
    <cellStyle name="표준 5 2 5 3 3 3 3" xfId="8572" xr:uid="{00000000-0005-0000-0000-00008E660000}"/>
    <cellStyle name="표준 5 2 5 3 3 3 3 2" xfId="29278" xr:uid="{00000000-0005-0000-0000-00008F660000}"/>
    <cellStyle name="표준 5 2 5 3 3 3 3 3" xfId="37489" xr:uid="{00000000-0005-0000-0000-000090660000}"/>
    <cellStyle name="표준 5 2 5 3 3 3 3 4" xfId="45682" xr:uid="{00000000-0005-0000-0000-000091660000}"/>
    <cellStyle name="표준 5 2 5 3 3 3 4" xfId="12684" xr:uid="{00000000-0005-0000-0000-000092660000}"/>
    <cellStyle name="표준 5 2 5 3 3 3 5" xfId="16924" xr:uid="{00000000-0005-0000-0000-000093660000}"/>
    <cellStyle name="표준 5 2 5 3 3 3 6" xfId="21086" xr:uid="{00000000-0005-0000-0000-000094660000}"/>
    <cellStyle name="표준 5 2 5 3 3 3 7" xfId="25182" xr:uid="{00000000-0005-0000-0000-000095660000}"/>
    <cellStyle name="표준 5 2 5 3 3 3 8" xfId="33393" xr:uid="{00000000-0005-0000-0000-000096660000}"/>
    <cellStyle name="표준 5 2 5 3 3 3 9" xfId="41586" xr:uid="{00000000-0005-0000-0000-000097660000}"/>
    <cellStyle name="표준 5 2 5 3 3 4" xfId="2229" xr:uid="{00000000-0005-0000-0000-000098660000}"/>
    <cellStyle name="표준 5 2 5 3 3 4 2" xfId="11132" xr:uid="{00000000-0005-0000-0000-000099660000}"/>
    <cellStyle name="표준 5 2 5 3 3 4 2 2" xfId="15244" xr:uid="{00000000-0005-0000-0000-00009A660000}"/>
    <cellStyle name="표준 5 2 5 3 3 4 2 2 2" xfId="31838" xr:uid="{00000000-0005-0000-0000-00009B660000}"/>
    <cellStyle name="표준 5 2 5 3 3 4 2 2 3" xfId="40049" xr:uid="{00000000-0005-0000-0000-00009C660000}"/>
    <cellStyle name="표준 5 2 5 3 3 4 2 2 4" xfId="48242" xr:uid="{00000000-0005-0000-0000-00009D660000}"/>
    <cellStyle name="표준 5 2 5 3 3 4 2 3" xfId="19484" xr:uid="{00000000-0005-0000-0000-00009E660000}"/>
    <cellStyle name="표준 5 2 5 3 3 4 2 4" xfId="23646" xr:uid="{00000000-0005-0000-0000-00009F660000}"/>
    <cellStyle name="표준 5 2 5 3 3 4 2 5" xfId="27742" xr:uid="{00000000-0005-0000-0000-0000A0660000}"/>
    <cellStyle name="표준 5 2 5 3 3 4 2 6" xfId="35953" xr:uid="{00000000-0005-0000-0000-0000A1660000}"/>
    <cellStyle name="표준 5 2 5 3 3 4 2 7" xfId="44146" xr:uid="{00000000-0005-0000-0000-0000A2660000}"/>
    <cellStyle name="표준 5 2 5 3 3 4 3" xfId="9084" xr:uid="{00000000-0005-0000-0000-0000A3660000}"/>
    <cellStyle name="표준 5 2 5 3 3 4 3 2" xfId="29790" xr:uid="{00000000-0005-0000-0000-0000A4660000}"/>
    <cellStyle name="표준 5 2 5 3 3 4 3 3" xfId="38001" xr:uid="{00000000-0005-0000-0000-0000A5660000}"/>
    <cellStyle name="표준 5 2 5 3 3 4 3 4" xfId="46194" xr:uid="{00000000-0005-0000-0000-0000A6660000}"/>
    <cellStyle name="표준 5 2 5 3 3 4 4" xfId="13196" xr:uid="{00000000-0005-0000-0000-0000A7660000}"/>
    <cellStyle name="표준 5 2 5 3 3 4 5" xfId="17436" xr:uid="{00000000-0005-0000-0000-0000A8660000}"/>
    <cellStyle name="표준 5 2 5 3 3 4 6" xfId="21598" xr:uid="{00000000-0005-0000-0000-0000A9660000}"/>
    <cellStyle name="표준 5 2 5 3 3 4 7" xfId="25694" xr:uid="{00000000-0005-0000-0000-0000AA660000}"/>
    <cellStyle name="표준 5 2 5 3 3 4 8" xfId="33905" xr:uid="{00000000-0005-0000-0000-0000AB660000}"/>
    <cellStyle name="표준 5 2 5 3 3 4 9" xfId="42098" xr:uid="{00000000-0005-0000-0000-0000AC660000}"/>
    <cellStyle name="표준 5 2 5 3 3 5" xfId="9596" xr:uid="{00000000-0005-0000-0000-0000AD660000}"/>
    <cellStyle name="표준 5 2 5 3 3 5 2" xfId="13708" xr:uid="{00000000-0005-0000-0000-0000AE660000}"/>
    <cellStyle name="표준 5 2 5 3 3 5 2 2" xfId="30302" xr:uid="{00000000-0005-0000-0000-0000AF660000}"/>
    <cellStyle name="표준 5 2 5 3 3 5 2 3" xfId="38513" xr:uid="{00000000-0005-0000-0000-0000B0660000}"/>
    <cellStyle name="표준 5 2 5 3 3 5 2 4" xfId="46706" xr:uid="{00000000-0005-0000-0000-0000B1660000}"/>
    <cellStyle name="표준 5 2 5 3 3 5 3" xfId="17948" xr:uid="{00000000-0005-0000-0000-0000B2660000}"/>
    <cellStyle name="표준 5 2 5 3 3 5 4" xfId="22110" xr:uid="{00000000-0005-0000-0000-0000B3660000}"/>
    <cellStyle name="표준 5 2 5 3 3 5 5" xfId="26206" xr:uid="{00000000-0005-0000-0000-0000B4660000}"/>
    <cellStyle name="표준 5 2 5 3 3 5 6" xfId="34417" xr:uid="{00000000-0005-0000-0000-0000B5660000}"/>
    <cellStyle name="표준 5 2 5 3 3 5 7" xfId="42610" xr:uid="{00000000-0005-0000-0000-0000B6660000}"/>
    <cellStyle name="표준 5 2 5 3 3 6" xfId="7548" xr:uid="{00000000-0005-0000-0000-0000B7660000}"/>
    <cellStyle name="표준 5 2 5 3 3 6 2" xfId="28254" xr:uid="{00000000-0005-0000-0000-0000B8660000}"/>
    <cellStyle name="표준 5 2 5 3 3 6 3" xfId="36465" xr:uid="{00000000-0005-0000-0000-0000B9660000}"/>
    <cellStyle name="표준 5 2 5 3 3 6 4" xfId="44658" xr:uid="{00000000-0005-0000-0000-0000BA660000}"/>
    <cellStyle name="표준 5 2 5 3 3 7" xfId="11660" xr:uid="{00000000-0005-0000-0000-0000BB660000}"/>
    <cellStyle name="표준 5 2 5 3 3 8" xfId="15900" xr:uid="{00000000-0005-0000-0000-0000BC660000}"/>
    <cellStyle name="표준 5 2 5 3 3 9" xfId="20062" xr:uid="{00000000-0005-0000-0000-0000BD660000}"/>
    <cellStyle name="표준 5 2 5 3 4" xfId="949" xr:uid="{00000000-0005-0000-0000-0000BE660000}"/>
    <cellStyle name="표준 5 2 5 3 4 2" xfId="9852" xr:uid="{00000000-0005-0000-0000-0000BF660000}"/>
    <cellStyle name="표준 5 2 5 3 4 2 2" xfId="13964" xr:uid="{00000000-0005-0000-0000-0000C0660000}"/>
    <cellStyle name="표준 5 2 5 3 4 2 2 2" xfId="30558" xr:uid="{00000000-0005-0000-0000-0000C1660000}"/>
    <cellStyle name="표준 5 2 5 3 4 2 2 3" xfId="38769" xr:uid="{00000000-0005-0000-0000-0000C2660000}"/>
    <cellStyle name="표준 5 2 5 3 4 2 2 4" xfId="46962" xr:uid="{00000000-0005-0000-0000-0000C3660000}"/>
    <cellStyle name="표준 5 2 5 3 4 2 3" xfId="18204" xr:uid="{00000000-0005-0000-0000-0000C4660000}"/>
    <cellStyle name="표준 5 2 5 3 4 2 4" xfId="22366" xr:uid="{00000000-0005-0000-0000-0000C5660000}"/>
    <cellStyle name="표준 5 2 5 3 4 2 5" xfId="26462" xr:uid="{00000000-0005-0000-0000-0000C6660000}"/>
    <cellStyle name="표준 5 2 5 3 4 2 6" xfId="34673" xr:uid="{00000000-0005-0000-0000-0000C7660000}"/>
    <cellStyle name="표준 5 2 5 3 4 2 7" xfId="42866" xr:uid="{00000000-0005-0000-0000-0000C8660000}"/>
    <cellStyle name="표준 5 2 5 3 4 3" xfId="7804" xr:uid="{00000000-0005-0000-0000-0000C9660000}"/>
    <cellStyle name="표준 5 2 5 3 4 3 2" xfId="28510" xr:uid="{00000000-0005-0000-0000-0000CA660000}"/>
    <cellStyle name="표준 5 2 5 3 4 3 3" xfId="36721" xr:uid="{00000000-0005-0000-0000-0000CB660000}"/>
    <cellStyle name="표준 5 2 5 3 4 3 4" xfId="44914" xr:uid="{00000000-0005-0000-0000-0000CC660000}"/>
    <cellStyle name="표준 5 2 5 3 4 4" xfId="11916" xr:uid="{00000000-0005-0000-0000-0000CD660000}"/>
    <cellStyle name="표준 5 2 5 3 4 5" xfId="16156" xr:uid="{00000000-0005-0000-0000-0000CE660000}"/>
    <cellStyle name="표준 5 2 5 3 4 6" xfId="20318" xr:uid="{00000000-0005-0000-0000-0000CF660000}"/>
    <cellStyle name="표준 5 2 5 3 4 7" xfId="24414" xr:uid="{00000000-0005-0000-0000-0000D0660000}"/>
    <cellStyle name="표준 5 2 5 3 4 8" xfId="32625" xr:uid="{00000000-0005-0000-0000-0000D1660000}"/>
    <cellStyle name="표준 5 2 5 3 4 9" xfId="40818" xr:uid="{00000000-0005-0000-0000-0000D2660000}"/>
    <cellStyle name="표준 5 2 5 3 5" xfId="1461" xr:uid="{00000000-0005-0000-0000-0000D3660000}"/>
    <cellStyle name="표준 5 2 5 3 5 2" xfId="10364" xr:uid="{00000000-0005-0000-0000-0000D4660000}"/>
    <cellStyle name="표준 5 2 5 3 5 2 2" xfId="14476" xr:uid="{00000000-0005-0000-0000-0000D5660000}"/>
    <cellStyle name="표준 5 2 5 3 5 2 2 2" xfId="31070" xr:uid="{00000000-0005-0000-0000-0000D6660000}"/>
    <cellStyle name="표준 5 2 5 3 5 2 2 3" xfId="39281" xr:uid="{00000000-0005-0000-0000-0000D7660000}"/>
    <cellStyle name="표준 5 2 5 3 5 2 2 4" xfId="47474" xr:uid="{00000000-0005-0000-0000-0000D8660000}"/>
    <cellStyle name="표준 5 2 5 3 5 2 3" xfId="18716" xr:uid="{00000000-0005-0000-0000-0000D9660000}"/>
    <cellStyle name="표준 5 2 5 3 5 2 4" xfId="22878" xr:uid="{00000000-0005-0000-0000-0000DA660000}"/>
    <cellStyle name="표준 5 2 5 3 5 2 5" xfId="26974" xr:uid="{00000000-0005-0000-0000-0000DB660000}"/>
    <cellStyle name="표준 5 2 5 3 5 2 6" xfId="35185" xr:uid="{00000000-0005-0000-0000-0000DC660000}"/>
    <cellStyle name="표준 5 2 5 3 5 2 7" xfId="43378" xr:uid="{00000000-0005-0000-0000-0000DD660000}"/>
    <cellStyle name="표준 5 2 5 3 5 3" xfId="8316" xr:uid="{00000000-0005-0000-0000-0000DE660000}"/>
    <cellStyle name="표준 5 2 5 3 5 3 2" xfId="29022" xr:uid="{00000000-0005-0000-0000-0000DF660000}"/>
    <cellStyle name="표준 5 2 5 3 5 3 3" xfId="37233" xr:uid="{00000000-0005-0000-0000-0000E0660000}"/>
    <cellStyle name="표준 5 2 5 3 5 3 4" xfId="45426" xr:uid="{00000000-0005-0000-0000-0000E1660000}"/>
    <cellStyle name="표준 5 2 5 3 5 4" xfId="12428" xr:uid="{00000000-0005-0000-0000-0000E2660000}"/>
    <cellStyle name="표준 5 2 5 3 5 5" xfId="16668" xr:uid="{00000000-0005-0000-0000-0000E3660000}"/>
    <cellStyle name="표준 5 2 5 3 5 6" xfId="20830" xr:uid="{00000000-0005-0000-0000-0000E4660000}"/>
    <cellStyle name="표준 5 2 5 3 5 7" xfId="24926" xr:uid="{00000000-0005-0000-0000-0000E5660000}"/>
    <cellStyle name="표준 5 2 5 3 5 8" xfId="33137" xr:uid="{00000000-0005-0000-0000-0000E6660000}"/>
    <cellStyle name="표준 5 2 5 3 5 9" xfId="41330" xr:uid="{00000000-0005-0000-0000-0000E7660000}"/>
    <cellStyle name="표준 5 2 5 3 6" xfId="1973" xr:uid="{00000000-0005-0000-0000-0000E8660000}"/>
    <cellStyle name="표준 5 2 5 3 6 2" xfId="10876" xr:uid="{00000000-0005-0000-0000-0000E9660000}"/>
    <cellStyle name="표준 5 2 5 3 6 2 2" xfId="14988" xr:uid="{00000000-0005-0000-0000-0000EA660000}"/>
    <cellStyle name="표준 5 2 5 3 6 2 2 2" xfId="31582" xr:uid="{00000000-0005-0000-0000-0000EB660000}"/>
    <cellStyle name="표준 5 2 5 3 6 2 2 3" xfId="39793" xr:uid="{00000000-0005-0000-0000-0000EC660000}"/>
    <cellStyle name="표준 5 2 5 3 6 2 2 4" xfId="47986" xr:uid="{00000000-0005-0000-0000-0000ED660000}"/>
    <cellStyle name="표준 5 2 5 3 6 2 3" xfId="19228" xr:uid="{00000000-0005-0000-0000-0000EE660000}"/>
    <cellStyle name="표준 5 2 5 3 6 2 4" xfId="23390" xr:uid="{00000000-0005-0000-0000-0000EF660000}"/>
    <cellStyle name="표준 5 2 5 3 6 2 5" xfId="27486" xr:uid="{00000000-0005-0000-0000-0000F0660000}"/>
    <cellStyle name="표준 5 2 5 3 6 2 6" xfId="35697" xr:uid="{00000000-0005-0000-0000-0000F1660000}"/>
    <cellStyle name="표준 5 2 5 3 6 2 7" xfId="43890" xr:uid="{00000000-0005-0000-0000-0000F2660000}"/>
    <cellStyle name="표준 5 2 5 3 6 3" xfId="8828" xr:uid="{00000000-0005-0000-0000-0000F3660000}"/>
    <cellStyle name="표준 5 2 5 3 6 3 2" xfId="29534" xr:uid="{00000000-0005-0000-0000-0000F4660000}"/>
    <cellStyle name="표준 5 2 5 3 6 3 3" xfId="37745" xr:uid="{00000000-0005-0000-0000-0000F5660000}"/>
    <cellStyle name="표준 5 2 5 3 6 3 4" xfId="45938" xr:uid="{00000000-0005-0000-0000-0000F6660000}"/>
    <cellStyle name="표준 5 2 5 3 6 4" xfId="12940" xr:uid="{00000000-0005-0000-0000-0000F7660000}"/>
    <cellStyle name="표준 5 2 5 3 6 5" xfId="17180" xr:uid="{00000000-0005-0000-0000-0000F8660000}"/>
    <cellStyle name="표준 5 2 5 3 6 6" xfId="21342" xr:uid="{00000000-0005-0000-0000-0000F9660000}"/>
    <cellStyle name="표준 5 2 5 3 6 7" xfId="25438" xr:uid="{00000000-0005-0000-0000-0000FA660000}"/>
    <cellStyle name="표준 5 2 5 3 6 8" xfId="33649" xr:uid="{00000000-0005-0000-0000-0000FB660000}"/>
    <cellStyle name="표준 5 2 5 3 6 9" xfId="41842" xr:uid="{00000000-0005-0000-0000-0000FC660000}"/>
    <cellStyle name="표준 5 2 5 3 7" xfId="9340" xr:uid="{00000000-0005-0000-0000-0000FD660000}"/>
    <cellStyle name="표준 5 2 5 3 7 2" xfId="13452" xr:uid="{00000000-0005-0000-0000-0000FE660000}"/>
    <cellStyle name="표준 5 2 5 3 7 2 2" xfId="30046" xr:uid="{00000000-0005-0000-0000-0000FF660000}"/>
    <cellStyle name="표준 5 2 5 3 7 2 3" xfId="38257" xr:uid="{00000000-0005-0000-0000-000000670000}"/>
    <cellStyle name="표준 5 2 5 3 7 2 4" xfId="46450" xr:uid="{00000000-0005-0000-0000-000001670000}"/>
    <cellStyle name="표준 5 2 5 3 7 3" xfId="17692" xr:uid="{00000000-0005-0000-0000-000002670000}"/>
    <cellStyle name="표준 5 2 5 3 7 4" xfId="21854" xr:uid="{00000000-0005-0000-0000-000003670000}"/>
    <cellStyle name="표준 5 2 5 3 7 5" xfId="25950" xr:uid="{00000000-0005-0000-0000-000004670000}"/>
    <cellStyle name="표준 5 2 5 3 7 6" xfId="34161" xr:uid="{00000000-0005-0000-0000-000005670000}"/>
    <cellStyle name="표준 5 2 5 3 7 7" xfId="42354" xr:uid="{00000000-0005-0000-0000-000006670000}"/>
    <cellStyle name="표준 5 2 5 3 8" xfId="7292" xr:uid="{00000000-0005-0000-0000-000007670000}"/>
    <cellStyle name="표준 5 2 5 3 8 2" xfId="27998" xr:uid="{00000000-0005-0000-0000-000008670000}"/>
    <cellStyle name="표준 5 2 5 3 8 3" xfId="36209" xr:uid="{00000000-0005-0000-0000-000009670000}"/>
    <cellStyle name="표준 5 2 5 3 8 4" xfId="44402" xr:uid="{00000000-0005-0000-0000-00000A670000}"/>
    <cellStyle name="표준 5 2 5 3 9" xfId="11404" xr:uid="{00000000-0005-0000-0000-00000B670000}"/>
    <cellStyle name="표준 5 2 5 4" xfId="501" xr:uid="{00000000-0005-0000-0000-00000C670000}"/>
    <cellStyle name="표준 5 2 5 4 10" xfId="19870" xr:uid="{00000000-0005-0000-0000-00000D670000}"/>
    <cellStyle name="표준 5 2 5 4 11" xfId="23966" xr:uid="{00000000-0005-0000-0000-00000E670000}"/>
    <cellStyle name="표준 5 2 5 4 12" xfId="32177" xr:uid="{00000000-0005-0000-0000-00000F670000}"/>
    <cellStyle name="표준 5 2 5 4 13" xfId="40370" xr:uid="{00000000-0005-0000-0000-000010670000}"/>
    <cellStyle name="표준 5 2 5 4 2" xfId="757" xr:uid="{00000000-0005-0000-0000-000011670000}"/>
    <cellStyle name="표준 5 2 5 4 2 10" xfId="24222" xr:uid="{00000000-0005-0000-0000-000012670000}"/>
    <cellStyle name="표준 5 2 5 4 2 11" xfId="32433" xr:uid="{00000000-0005-0000-0000-000013670000}"/>
    <cellStyle name="표준 5 2 5 4 2 12" xfId="40626" xr:uid="{00000000-0005-0000-0000-000014670000}"/>
    <cellStyle name="표준 5 2 5 4 2 2" xfId="1269" xr:uid="{00000000-0005-0000-0000-000015670000}"/>
    <cellStyle name="표준 5 2 5 4 2 2 2" xfId="10172" xr:uid="{00000000-0005-0000-0000-000016670000}"/>
    <cellStyle name="표준 5 2 5 4 2 2 2 2" xfId="14284" xr:uid="{00000000-0005-0000-0000-000017670000}"/>
    <cellStyle name="표준 5 2 5 4 2 2 2 2 2" xfId="30878" xr:uid="{00000000-0005-0000-0000-000018670000}"/>
    <cellStyle name="표준 5 2 5 4 2 2 2 2 3" xfId="39089" xr:uid="{00000000-0005-0000-0000-000019670000}"/>
    <cellStyle name="표준 5 2 5 4 2 2 2 2 4" xfId="47282" xr:uid="{00000000-0005-0000-0000-00001A670000}"/>
    <cellStyle name="표준 5 2 5 4 2 2 2 3" xfId="18524" xr:uid="{00000000-0005-0000-0000-00001B670000}"/>
    <cellStyle name="표준 5 2 5 4 2 2 2 4" xfId="22686" xr:uid="{00000000-0005-0000-0000-00001C670000}"/>
    <cellStyle name="표준 5 2 5 4 2 2 2 5" xfId="26782" xr:uid="{00000000-0005-0000-0000-00001D670000}"/>
    <cellStyle name="표준 5 2 5 4 2 2 2 6" xfId="34993" xr:uid="{00000000-0005-0000-0000-00001E670000}"/>
    <cellStyle name="표준 5 2 5 4 2 2 2 7" xfId="43186" xr:uid="{00000000-0005-0000-0000-00001F670000}"/>
    <cellStyle name="표준 5 2 5 4 2 2 3" xfId="8124" xr:uid="{00000000-0005-0000-0000-000020670000}"/>
    <cellStyle name="표준 5 2 5 4 2 2 3 2" xfId="28830" xr:uid="{00000000-0005-0000-0000-000021670000}"/>
    <cellStyle name="표준 5 2 5 4 2 2 3 3" xfId="37041" xr:uid="{00000000-0005-0000-0000-000022670000}"/>
    <cellStyle name="표준 5 2 5 4 2 2 3 4" xfId="45234" xr:uid="{00000000-0005-0000-0000-000023670000}"/>
    <cellStyle name="표준 5 2 5 4 2 2 4" xfId="12236" xr:uid="{00000000-0005-0000-0000-000024670000}"/>
    <cellStyle name="표준 5 2 5 4 2 2 5" xfId="16476" xr:uid="{00000000-0005-0000-0000-000025670000}"/>
    <cellStyle name="표준 5 2 5 4 2 2 6" xfId="20638" xr:uid="{00000000-0005-0000-0000-000026670000}"/>
    <cellStyle name="표준 5 2 5 4 2 2 7" xfId="24734" xr:uid="{00000000-0005-0000-0000-000027670000}"/>
    <cellStyle name="표준 5 2 5 4 2 2 8" xfId="32945" xr:uid="{00000000-0005-0000-0000-000028670000}"/>
    <cellStyle name="표준 5 2 5 4 2 2 9" xfId="41138" xr:uid="{00000000-0005-0000-0000-000029670000}"/>
    <cellStyle name="표준 5 2 5 4 2 3" xfId="1781" xr:uid="{00000000-0005-0000-0000-00002A670000}"/>
    <cellStyle name="표준 5 2 5 4 2 3 2" xfId="10684" xr:uid="{00000000-0005-0000-0000-00002B670000}"/>
    <cellStyle name="표준 5 2 5 4 2 3 2 2" xfId="14796" xr:uid="{00000000-0005-0000-0000-00002C670000}"/>
    <cellStyle name="표준 5 2 5 4 2 3 2 2 2" xfId="31390" xr:uid="{00000000-0005-0000-0000-00002D670000}"/>
    <cellStyle name="표준 5 2 5 4 2 3 2 2 3" xfId="39601" xr:uid="{00000000-0005-0000-0000-00002E670000}"/>
    <cellStyle name="표준 5 2 5 4 2 3 2 2 4" xfId="47794" xr:uid="{00000000-0005-0000-0000-00002F670000}"/>
    <cellStyle name="표준 5 2 5 4 2 3 2 3" xfId="19036" xr:uid="{00000000-0005-0000-0000-000030670000}"/>
    <cellStyle name="표준 5 2 5 4 2 3 2 4" xfId="23198" xr:uid="{00000000-0005-0000-0000-000031670000}"/>
    <cellStyle name="표준 5 2 5 4 2 3 2 5" xfId="27294" xr:uid="{00000000-0005-0000-0000-000032670000}"/>
    <cellStyle name="표준 5 2 5 4 2 3 2 6" xfId="35505" xr:uid="{00000000-0005-0000-0000-000033670000}"/>
    <cellStyle name="표준 5 2 5 4 2 3 2 7" xfId="43698" xr:uid="{00000000-0005-0000-0000-000034670000}"/>
    <cellStyle name="표준 5 2 5 4 2 3 3" xfId="8636" xr:uid="{00000000-0005-0000-0000-000035670000}"/>
    <cellStyle name="표준 5 2 5 4 2 3 3 2" xfId="29342" xr:uid="{00000000-0005-0000-0000-000036670000}"/>
    <cellStyle name="표준 5 2 5 4 2 3 3 3" xfId="37553" xr:uid="{00000000-0005-0000-0000-000037670000}"/>
    <cellStyle name="표준 5 2 5 4 2 3 3 4" xfId="45746" xr:uid="{00000000-0005-0000-0000-000038670000}"/>
    <cellStyle name="표준 5 2 5 4 2 3 4" xfId="12748" xr:uid="{00000000-0005-0000-0000-000039670000}"/>
    <cellStyle name="표준 5 2 5 4 2 3 5" xfId="16988" xr:uid="{00000000-0005-0000-0000-00003A670000}"/>
    <cellStyle name="표준 5 2 5 4 2 3 6" xfId="21150" xr:uid="{00000000-0005-0000-0000-00003B670000}"/>
    <cellStyle name="표준 5 2 5 4 2 3 7" xfId="25246" xr:uid="{00000000-0005-0000-0000-00003C670000}"/>
    <cellStyle name="표준 5 2 5 4 2 3 8" xfId="33457" xr:uid="{00000000-0005-0000-0000-00003D670000}"/>
    <cellStyle name="표준 5 2 5 4 2 3 9" xfId="41650" xr:uid="{00000000-0005-0000-0000-00003E670000}"/>
    <cellStyle name="표준 5 2 5 4 2 4" xfId="2293" xr:uid="{00000000-0005-0000-0000-00003F670000}"/>
    <cellStyle name="표준 5 2 5 4 2 4 2" xfId="11196" xr:uid="{00000000-0005-0000-0000-000040670000}"/>
    <cellStyle name="표준 5 2 5 4 2 4 2 2" xfId="15308" xr:uid="{00000000-0005-0000-0000-000041670000}"/>
    <cellStyle name="표준 5 2 5 4 2 4 2 2 2" xfId="31902" xr:uid="{00000000-0005-0000-0000-000042670000}"/>
    <cellStyle name="표준 5 2 5 4 2 4 2 2 3" xfId="40113" xr:uid="{00000000-0005-0000-0000-000043670000}"/>
    <cellStyle name="표준 5 2 5 4 2 4 2 2 4" xfId="48306" xr:uid="{00000000-0005-0000-0000-000044670000}"/>
    <cellStyle name="표준 5 2 5 4 2 4 2 3" xfId="19548" xr:uid="{00000000-0005-0000-0000-000045670000}"/>
    <cellStyle name="표준 5 2 5 4 2 4 2 4" xfId="23710" xr:uid="{00000000-0005-0000-0000-000046670000}"/>
    <cellStyle name="표준 5 2 5 4 2 4 2 5" xfId="27806" xr:uid="{00000000-0005-0000-0000-000047670000}"/>
    <cellStyle name="표준 5 2 5 4 2 4 2 6" xfId="36017" xr:uid="{00000000-0005-0000-0000-000048670000}"/>
    <cellStyle name="표준 5 2 5 4 2 4 2 7" xfId="44210" xr:uid="{00000000-0005-0000-0000-000049670000}"/>
    <cellStyle name="표준 5 2 5 4 2 4 3" xfId="9148" xr:uid="{00000000-0005-0000-0000-00004A670000}"/>
    <cellStyle name="표준 5 2 5 4 2 4 3 2" xfId="29854" xr:uid="{00000000-0005-0000-0000-00004B670000}"/>
    <cellStyle name="표준 5 2 5 4 2 4 3 3" xfId="38065" xr:uid="{00000000-0005-0000-0000-00004C670000}"/>
    <cellStyle name="표준 5 2 5 4 2 4 3 4" xfId="46258" xr:uid="{00000000-0005-0000-0000-00004D670000}"/>
    <cellStyle name="표준 5 2 5 4 2 4 4" xfId="13260" xr:uid="{00000000-0005-0000-0000-00004E670000}"/>
    <cellStyle name="표준 5 2 5 4 2 4 5" xfId="17500" xr:uid="{00000000-0005-0000-0000-00004F670000}"/>
    <cellStyle name="표준 5 2 5 4 2 4 6" xfId="21662" xr:uid="{00000000-0005-0000-0000-000050670000}"/>
    <cellStyle name="표준 5 2 5 4 2 4 7" xfId="25758" xr:uid="{00000000-0005-0000-0000-000051670000}"/>
    <cellStyle name="표준 5 2 5 4 2 4 8" xfId="33969" xr:uid="{00000000-0005-0000-0000-000052670000}"/>
    <cellStyle name="표준 5 2 5 4 2 4 9" xfId="42162" xr:uid="{00000000-0005-0000-0000-000053670000}"/>
    <cellStyle name="표준 5 2 5 4 2 5" xfId="9660" xr:uid="{00000000-0005-0000-0000-000054670000}"/>
    <cellStyle name="표준 5 2 5 4 2 5 2" xfId="13772" xr:uid="{00000000-0005-0000-0000-000055670000}"/>
    <cellStyle name="표준 5 2 5 4 2 5 2 2" xfId="30366" xr:uid="{00000000-0005-0000-0000-000056670000}"/>
    <cellStyle name="표준 5 2 5 4 2 5 2 3" xfId="38577" xr:uid="{00000000-0005-0000-0000-000057670000}"/>
    <cellStyle name="표준 5 2 5 4 2 5 2 4" xfId="46770" xr:uid="{00000000-0005-0000-0000-000058670000}"/>
    <cellStyle name="표준 5 2 5 4 2 5 3" xfId="18012" xr:uid="{00000000-0005-0000-0000-000059670000}"/>
    <cellStyle name="표준 5 2 5 4 2 5 4" xfId="22174" xr:uid="{00000000-0005-0000-0000-00005A670000}"/>
    <cellStyle name="표준 5 2 5 4 2 5 5" xfId="26270" xr:uid="{00000000-0005-0000-0000-00005B670000}"/>
    <cellStyle name="표준 5 2 5 4 2 5 6" xfId="34481" xr:uid="{00000000-0005-0000-0000-00005C670000}"/>
    <cellStyle name="표준 5 2 5 4 2 5 7" xfId="42674" xr:uid="{00000000-0005-0000-0000-00005D670000}"/>
    <cellStyle name="표준 5 2 5 4 2 6" xfId="7612" xr:uid="{00000000-0005-0000-0000-00005E670000}"/>
    <cellStyle name="표준 5 2 5 4 2 6 2" xfId="28318" xr:uid="{00000000-0005-0000-0000-00005F670000}"/>
    <cellStyle name="표준 5 2 5 4 2 6 3" xfId="36529" xr:uid="{00000000-0005-0000-0000-000060670000}"/>
    <cellStyle name="표준 5 2 5 4 2 6 4" xfId="44722" xr:uid="{00000000-0005-0000-0000-000061670000}"/>
    <cellStyle name="표준 5 2 5 4 2 7" xfId="11724" xr:uid="{00000000-0005-0000-0000-000062670000}"/>
    <cellStyle name="표준 5 2 5 4 2 8" xfId="15964" xr:uid="{00000000-0005-0000-0000-000063670000}"/>
    <cellStyle name="표준 5 2 5 4 2 9" xfId="20126" xr:uid="{00000000-0005-0000-0000-000064670000}"/>
    <cellStyle name="표준 5 2 5 4 3" xfId="1013" xr:uid="{00000000-0005-0000-0000-000065670000}"/>
    <cellStyle name="표준 5 2 5 4 3 2" xfId="9916" xr:uid="{00000000-0005-0000-0000-000066670000}"/>
    <cellStyle name="표준 5 2 5 4 3 2 2" xfId="14028" xr:uid="{00000000-0005-0000-0000-000067670000}"/>
    <cellStyle name="표준 5 2 5 4 3 2 2 2" xfId="30622" xr:uid="{00000000-0005-0000-0000-000068670000}"/>
    <cellStyle name="표준 5 2 5 4 3 2 2 3" xfId="38833" xr:uid="{00000000-0005-0000-0000-000069670000}"/>
    <cellStyle name="표준 5 2 5 4 3 2 2 4" xfId="47026" xr:uid="{00000000-0005-0000-0000-00006A670000}"/>
    <cellStyle name="표준 5 2 5 4 3 2 3" xfId="18268" xr:uid="{00000000-0005-0000-0000-00006B670000}"/>
    <cellStyle name="표준 5 2 5 4 3 2 4" xfId="22430" xr:uid="{00000000-0005-0000-0000-00006C670000}"/>
    <cellStyle name="표준 5 2 5 4 3 2 5" xfId="26526" xr:uid="{00000000-0005-0000-0000-00006D670000}"/>
    <cellStyle name="표준 5 2 5 4 3 2 6" xfId="34737" xr:uid="{00000000-0005-0000-0000-00006E670000}"/>
    <cellStyle name="표준 5 2 5 4 3 2 7" xfId="42930" xr:uid="{00000000-0005-0000-0000-00006F670000}"/>
    <cellStyle name="표준 5 2 5 4 3 3" xfId="7868" xr:uid="{00000000-0005-0000-0000-000070670000}"/>
    <cellStyle name="표준 5 2 5 4 3 3 2" xfId="28574" xr:uid="{00000000-0005-0000-0000-000071670000}"/>
    <cellStyle name="표준 5 2 5 4 3 3 3" xfId="36785" xr:uid="{00000000-0005-0000-0000-000072670000}"/>
    <cellStyle name="표준 5 2 5 4 3 3 4" xfId="44978" xr:uid="{00000000-0005-0000-0000-000073670000}"/>
    <cellStyle name="표준 5 2 5 4 3 4" xfId="11980" xr:uid="{00000000-0005-0000-0000-000074670000}"/>
    <cellStyle name="표준 5 2 5 4 3 5" xfId="16220" xr:uid="{00000000-0005-0000-0000-000075670000}"/>
    <cellStyle name="표준 5 2 5 4 3 6" xfId="20382" xr:uid="{00000000-0005-0000-0000-000076670000}"/>
    <cellStyle name="표준 5 2 5 4 3 7" xfId="24478" xr:uid="{00000000-0005-0000-0000-000077670000}"/>
    <cellStyle name="표준 5 2 5 4 3 8" xfId="32689" xr:uid="{00000000-0005-0000-0000-000078670000}"/>
    <cellStyle name="표준 5 2 5 4 3 9" xfId="40882" xr:uid="{00000000-0005-0000-0000-000079670000}"/>
    <cellStyle name="표준 5 2 5 4 4" xfId="1525" xr:uid="{00000000-0005-0000-0000-00007A670000}"/>
    <cellStyle name="표준 5 2 5 4 4 2" xfId="10428" xr:uid="{00000000-0005-0000-0000-00007B670000}"/>
    <cellStyle name="표준 5 2 5 4 4 2 2" xfId="14540" xr:uid="{00000000-0005-0000-0000-00007C670000}"/>
    <cellStyle name="표준 5 2 5 4 4 2 2 2" xfId="31134" xr:uid="{00000000-0005-0000-0000-00007D670000}"/>
    <cellStyle name="표준 5 2 5 4 4 2 2 3" xfId="39345" xr:uid="{00000000-0005-0000-0000-00007E670000}"/>
    <cellStyle name="표준 5 2 5 4 4 2 2 4" xfId="47538" xr:uid="{00000000-0005-0000-0000-00007F670000}"/>
    <cellStyle name="표준 5 2 5 4 4 2 3" xfId="18780" xr:uid="{00000000-0005-0000-0000-000080670000}"/>
    <cellStyle name="표준 5 2 5 4 4 2 4" xfId="22942" xr:uid="{00000000-0005-0000-0000-000081670000}"/>
    <cellStyle name="표준 5 2 5 4 4 2 5" xfId="27038" xr:uid="{00000000-0005-0000-0000-000082670000}"/>
    <cellStyle name="표준 5 2 5 4 4 2 6" xfId="35249" xr:uid="{00000000-0005-0000-0000-000083670000}"/>
    <cellStyle name="표준 5 2 5 4 4 2 7" xfId="43442" xr:uid="{00000000-0005-0000-0000-000084670000}"/>
    <cellStyle name="표준 5 2 5 4 4 3" xfId="8380" xr:uid="{00000000-0005-0000-0000-000085670000}"/>
    <cellStyle name="표준 5 2 5 4 4 3 2" xfId="29086" xr:uid="{00000000-0005-0000-0000-000086670000}"/>
    <cellStyle name="표준 5 2 5 4 4 3 3" xfId="37297" xr:uid="{00000000-0005-0000-0000-000087670000}"/>
    <cellStyle name="표준 5 2 5 4 4 3 4" xfId="45490" xr:uid="{00000000-0005-0000-0000-000088670000}"/>
    <cellStyle name="표준 5 2 5 4 4 4" xfId="12492" xr:uid="{00000000-0005-0000-0000-000089670000}"/>
    <cellStyle name="표준 5 2 5 4 4 5" xfId="16732" xr:uid="{00000000-0005-0000-0000-00008A670000}"/>
    <cellStyle name="표준 5 2 5 4 4 6" xfId="20894" xr:uid="{00000000-0005-0000-0000-00008B670000}"/>
    <cellStyle name="표준 5 2 5 4 4 7" xfId="24990" xr:uid="{00000000-0005-0000-0000-00008C670000}"/>
    <cellStyle name="표준 5 2 5 4 4 8" xfId="33201" xr:uid="{00000000-0005-0000-0000-00008D670000}"/>
    <cellStyle name="표준 5 2 5 4 4 9" xfId="41394" xr:uid="{00000000-0005-0000-0000-00008E670000}"/>
    <cellStyle name="표준 5 2 5 4 5" xfId="2037" xr:uid="{00000000-0005-0000-0000-00008F670000}"/>
    <cellStyle name="표준 5 2 5 4 5 2" xfId="10940" xr:uid="{00000000-0005-0000-0000-000090670000}"/>
    <cellStyle name="표준 5 2 5 4 5 2 2" xfId="15052" xr:uid="{00000000-0005-0000-0000-000091670000}"/>
    <cellStyle name="표준 5 2 5 4 5 2 2 2" xfId="31646" xr:uid="{00000000-0005-0000-0000-000092670000}"/>
    <cellStyle name="표준 5 2 5 4 5 2 2 3" xfId="39857" xr:uid="{00000000-0005-0000-0000-000093670000}"/>
    <cellStyle name="표준 5 2 5 4 5 2 2 4" xfId="48050" xr:uid="{00000000-0005-0000-0000-000094670000}"/>
    <cellStyle name="표준 5 2 5 4 5 2 3" xfId="19292" xr:uid="{00000000-0005-0000-0000-000095670000}"/>
    <cellStyle name="표준 5 2 5 4 5 2 4" xfId="23454" xr:uid="{00000000-0005-0000-0000-000096670000}"/>
    <cellStyle name="표준 5 2 5 4 5 2 5" xfId="27550" xr:uid="{00000000-0005-0000-0000-000097670000}"/>
    <cellStyle name="표준 5 2 5 4 5 2 6" xfId="35761" xr:uid="{00000000-0005-0000-0000-000098670000}"/>
    <cellStyle name="표준 5 2 5 4 5 2 7" xfId="43954" xr:uid="{00000000-0005-0000-0000-000099670000}"/>
    <cellStyle name="표준 5 2 5 4 5 3" xfId="8892" xr:uid="{00000000-0005-0000-0000-00009A670000}"/>
    <cellStyle name="표준 5 2 5 4 5 3 2" xfId="29598" xr:uid="{00000000-0005-0000-0000-00009B670000}"/>
    <cellStyle name="표준 5 2 5 4 5 3 3" xfId="37809" xr:uid="{00000000-0005-0000-0000-00009C670000}"/>
    <cellStyle name="표준 5 2 5 4 5 3 4" xfId="46002" xr:uid="{00000000-0005-0000-0000-00009D670000}"/>
    <cellStyle name="표준 5 2 5 4 5 4" xfId="13004" xr:uid="{00000000-0005-0000-0000-00009E670000}"/>
    <cellStyle name="표준 5 2 5 4 5 5" xfId="17244" xr:uid="{00000000-0005-0000-0000-00009F670000}"/>
    <cellStyle name="표준 5 2 5 4 5 6" xfId="21406" xr:uid="{00000000-0005-0000-0000-0000A0670000}"/>
    <cellStyle name="표준 5 2 5 4 5 7" xfId="25502" xr:uid="{00000000-0005-0000-0000-0000A1670000}"/>
    <cellStyle name="표준 5 2 5 4 5 8" xfId="33713" xr:uid="{00000000-0005-0000-0000-0000A2670000}"/>
    <cellStyle name="표준 5 2 5 4 5 9" xfId="41906" xr:uid="{00000000-0005-0000-0000-0000A3670000}"/>
    <cellStyle name="표준 5 2 5 4 6" xfId="9404" xr:uid="{00000000-0005-0000-0000-0000A4670000}"/>
    <cellStyle name="표준 5 2 5 4 6 2" xfId="13516" xr:uid="{00000000-0005-0000-0000-0000A5670000}"/>
    <cellStyle name="표준 5 2 5 4 6 2 2" xfId="30110" xr:uid="{00000000-0005-0000-0000-0000A6670000}"/>
    <cellStyle name="표준 5 2 5 4 6 2 3" xfId="38321" xr:uid="{00000000-0005-0000-0000-0000A7670000}"/>
    <cellStyle name="표준 5 2 5 4 6 2 4" xfId="46514" xr:uid="{00000000-0005-0000-0000-0000A8670000}"/>
    <cellStyle name="표준 5 2 5 4 6 3" xfId="17756" xr:uid="{00000000-0005-0000-0000-0000A9670000}"/>
    <cellStyle name="표준 5 2 5 4 6 4" xfId="21918" xr:uid="{00000000-0005-0000-0000-0000AA670000}"/>
    <cellStyle name="표준 5 2 5 4 6 5" xfId="26014" xr:uid="{00000000-0005-0000-0000-0000AB670000}"/>
    <cellStyle name="표준 5 2 5 4 6 6" xfId="34225" xr:uid="{00000000-0005-0000-0000-0000AC670000}"/>
    <cellStyle name="표준 5 2 5 4 6 7" xfId="42418" xr:uid="{00000000-0005-0000-0000-0000AD670000}"/>
    <cellStyle name="표준 5 2 5 4 7" xfId="7356" xr:uid="{00000000-0005-0000-0000-0000AE670000}"/>
    <cellStyle name="표준 5 2 5 4 7 2" xfId="28062" xr:uid="{00000000-0005-0000-0000-0000AF670000}"/>
    <cellStyle name="표준 5 2 5 4 7 3" xfId="36273" xr:uid="{00000000-0005-0000-0000-0000B0670000}"/>
    <cellStyle name="표준 5 2 5 4 7 4" xfId="44466" xr:uid="{00000000-0005-0000-0000-0000B1670000}"/>
    <cellStyle name="표준 5 2 5 4 8" xfId="11468" xr:uid="{00000000-0005-0000-0000-0000B2670000}"/>
    <cellStyle name="표준 5 2 5 4 9" xfId="15708" xr:uid="{00000000-0005-0000-0000-0000B3670000}"/>
    <cellStyle name="표준 5 2 5 5" xfId="629" xr:uid="{00000000-0005-0000-0000-0000B4670000}"/>
    <cellStyle name="표준 5 2 5 5 10" xfId="24094" xr:uid="{00000000-0005-0000-0000-0000B5670000}"/>
    <cellStyle name="표준 5 2 5 5 11" xfId="32305" xr:uid="{00000000-0005-0000-0000-0000B6670000}"/>
    <cellStyle name="표준 5 2 5 5 12" xfId="40498" xr:uid="{00000000-0005-0000-0000-0000B7670000}"/>
    <cellStyle name="표준 5 2 5 5 2" xfId="1141" xr:uid="{00000000-0005-0000-0000-0000B8670000}"/>
    <cellStyle name="표준 5 2 5 5 2 2" xfId="10044" xr:uid="{00000000-0005-0000-0000-0000B9670000}"/>
    <cellStyle name="표준 5 2 5 5 2 2 2" xfId="14156" xr:uid="{00000000-0005-0000-0000-0000BA670000}"/>
    <cellStyle name="표준 5 2 5 5 2 2 2 2" xfId="30750" xr:uid="{00000000-0005-0000-0000-0000BB670000}"/>
    <cellStyle name="표준 5 2 5 5 2 2 2 3" xfId="38961" xr:uid="{00000000-0005-0000-0000-0000BC670000}"/>
    <cellStyle name="표준 5 2 5 5 2 2 2 4" xfId="47154" xr:uid="{00000000-0005-0000-0000-0000BD670000}"/>
    <cellStyle name="표준 5 2 5 5 2 2 3" xfId="18396" xr:uid="{00000000-0005-0000-0000-0000BE670000}"/>
    <cellStyle name="표준 5 2 5 5 2 2 4" xfId="22558" xr:uid="{00000000-0005-0000-0000-0000BF670000}"/>
    <cellStyle name="표준 5 2 5 5 2 2 5" xfId="26654" xr:uid="{00000000-0005-0000-0000-0000C0670000}"/>
    <cellStyle name="표준 5 2 5 5 2 2 6" xfId="34865" xr:uid="{00000000-0005-0000-0000-0000C1670000}"/>
    <cellStyle name="표준 5 2 5 5 2 2 7" xfId="43058" xr:uid="{00000000-0005-0000-0000-0000C2670000}"/>
    <cellStyle name="표준 5 2 5 5 2 3" xfId="7996" xr:uid="{00000000-0005-0000-0000-0000C3670000}"/>
    <cellStyle name="표준 5 2 5 5 2 3 2" xfId="28702" xr:uid="{00000000-0005-0000-0000-0000C4670000}"/>
    <cellStyle name="표준 5 2 5 5 2 3 3" xfId="36913" xr:uid="{00000000-0005-0000-0000-0000C5670000}"/>
    <cellStyle name="표준 5 2 5 5 2 3 4" xfId="45106" xr:uid="{00000000-0005-0000-0000-0000C6670000}"/>
    <cellStyle name="표준 5 2 5 5 2 4" xfId="12108" xr:uid="{00000000-0005-0000-0000-0000C7670000}"/>
    <cellStyle name="표준 5 2 5 5 2 5" xfId="16348" xr:uid="{00000000-0005-0000-0000-0000C8670000}"/>
    <cellStyle name="표준 5 2 5 5 2 6" xfId="20510" xr:uid="{00000000-0005-0000-0000-0000C9670000}"/>
    <cellStyle name="표준 5 2 5 5 2 7" xfId="24606" xr:uid="{00000000-0005-0000-0000-0000CA670000}"/>
    <cellStyle name="표준 5 2 5 5 2 8" xfId="32817" xr:uid="{00000000-0005-0000-0000-0000CB670000}"/>
    <cellStyle name="표준 5 2 5 5 2 9" xfId="41010" xr:uid="{00000000-0005-0000-0000-0000CC670000}"/>
    <cellStyle name="표준 5 2 5 5 3" xfId="1653" xr:uid="{00000000-0005-0000-0000-0000CD670000}"/>
    <cellStyle name="표준 5 2 5 5 3 2" xfId="10556" xr:uid="{00000000-0005-0000-0000-0000CE670000}"/>
    <cellStyle name="표준 5 2 5 5 3 2 2" xfId="14668" xr:uid="{00000000-0005-0000-0000-0000CF670000}"/>
    <cellStyle name="표준 5 2 5 5 3 2 2 2" xfId="31262" xr:uid="{00000000-0005-0000-0000-0000D0670000}"/>
    <cellStyle name="표준 5 2 5 5 3 2 2 3" xfId="39473" xr:uid="{00000000-0005-0000-0000-0000D1670000}"/>
    <cellStyle name="표준 5 2 5 5 3 2 2 4" xfId="47666" xr:uid="{00000000-0005-0000-0000-0000D2670000}"/>
    <cellStyle name="표준 5 2 5 5 3 2 3" xfId="18908" xr:uid="{00000000-0005-0000-0000-0000D3670000}"/>
    <cellStyle name="표준 5 2 5 5 3 2 4" xfId="23070" xr:uid="{00000000-0005-0000-0000-0000D4670000}"/>
    <cellStyle name="표준 5 2 5 5 3 2 5" xfId="27166" xr:uid="{00000000-0005-0000-0000-0000D5670000}"/>
    <cellStyle name="표준 5 2 5 5 3 2 6" xfId="35377" xr:uid="{00000000-0005-0000-0000-0000D6670000}"/>
    <cellStyle name="표준 5 2 5 5 3 2 7" xfId="43570" xr:uid="{00000000-0005-0000-0000-0000D7670000}"/>
    <cellStyle name="표준 5 2 5 5 3 3" xfId="8508" xr:uid="{00000000-0005-0000-0000-0000D8670000}"/>
    <cellStyle name="표준 5 2 5 5 3 3 2" xfId="29214" xr:uid="{00000000-0005-0000-0000-0000D9670000}"/>
    <cellStyle name="표준 5 2 5 5 3 3 3" xfId="37425" xr:uid="{00000000-0005-0000-0000-0000DA670000}"/>
    <cellStyle name="표준 5 2 5 5 3 3 4" xfId="45618" xr:uid="{00000000-0005-0000-0000-0000DB670000}"/>
    <cellStyle name="표준 5 2 5 5 3 4" xfId="12620" xr:uid="{00000000-0005-0000-0000-0000DC670000}"/>
    <cellStyle name="표준 5 2 5 5 3 5" xfId="16860" xr:uid="{00000000-0005-0000-0000-0000DD670000}"/>
    <cellStyle name="표준 5 2 5 5 3 6" xfId="21022" xr:uid="{00000000-0005-0000-0000-0000DE670000}"/>
    <cellStyle name="표준 5 2 5 5 3 7" xfId="25118" xr:uid="{00000000-0005-0000-0000-0000DF670000}"/>
    <cellStyle name="표준 5 2 5 5 3 8" xfId="33329" xr:uid="{00000000-0005-0000-0000-0000E0670000}"/>
    <cellStyle name="표준 5 2 5 5 3 9" xfId="41522" xr:uid="{00000000-0005-0000-0000-0000E1670000}"/>
    <cellStyle name="표준 5 2 5 5 4" xfId="2165" xr:uid="{00000000-0005-0000-0000-0000E2670000}"/>
    <cellStyle name="표준 5 2 5 5 4 2" xfId="11068" xr:uid="{00000000-0005-0000-0000-0000E3670000}"/>
    <cellStyle name="표준 5 2 5 5 4 2 2" xfId="15180" xr:uid="{00000000-0005-0000-0000-0000E4670000}"/>
    <cellStyle name="표준 5 2 5 5 4 2 2 2" xfId="31774" xr:uid="{00000000-0005-0000-0000-0000E5670000}"/>
    <cellStyle name="표준 5 2 5 5 4 2 2 3" xfId="39985" xr:uid="{00000000-0005-0000-0000-0000E6670000}"/>
    <cellStyle name="표준 5 2 5 5 4 2 2 4" xfId="48178" xr:uid="{00000000-0005-0000-0000-0000E7670000}"/>
    <cellStyle name="표준 5 2 5 5 4 2 3" xfId="19420" xr:uid="{00000000-0005-0000-0000-0000E8670000}"/>
    <cellStyle name="표준 5 2 5 5 4 2 4" xfId="23582" xr:uid="{00000000-0005-0000-0000-0000E9670000}"/>
    <cellStyle name="표준 5 2 5 5 4 2 5" xfId="27678" xr:uid="{00000000-0005-0000-0000-0000EA670000}"/>
    <cellStyle name="표준 5 2 5 5 4 2 6" xfId="35889" xr:uid="{00000000-0005-0000-0000-0000EB670000}"/>
    <cellStyle name="표준 5 2 5 5 4 2 7" xfId="44082" xr:uid="{00000000-0005-0000-0000-0000EC670000}"/>
    <cellStyle name="표준 5 2 5 5 4 3" xfId="9020" xr:uid="{00000000-0005-0000-0000-0000ED670000}"/>
    <cellStyle name="표준 5 2 5 5 4 3 2" xfId="29726" xr:uid="{00000000-0005-0000-0000-0000EE670000}"/>
    <cellStyle name="표준 5 2 5 5 4 3 3" xfId="37937" xr:uid="{00000000-0005-0000-0000-0000EF670000}"/>
    <cellStyle name="표준 5 2 5 5 4 3 4" xfId="46130" xr:uid="{00000000-0005-0000-0000-0000F0670000}"/>
    <cellStyle name="표준 5 2 5 5 4 4" xfId="13132" xr:uid="{00000000-0005-0000-0000-0000F1670000}"/>
    <cellStyle name="표준 5 2 5 5 4 5" xfId="17372" xr:uid="{00000000-0005-0000-0000-0000F2670000}"/>
    <cellStyle name="표준 5 2 5 5 4 6" xfId="21534" xr:uid="{00000000-0005-0000-0000-0000F3670000}"/>
    <cellStyle name="표준 5 2 5 5 4 7" xfId="25630" xr:uid="{00000000-0005-0000-0000-0000F4670000}"/>
    <cellStyle name="표준 5 2 5 5 4 8" xfId="33841" xr:uid="{00000000-0005-0000-0000-0000F5670000}"/>
    <cellStyle name="표준 5 2 5 5 4 9" xfId="42034" xr:uid="{00000000-0005-0000-0000-0000F6670000}"/>
    <cellStyle name="표준 5 2 5 5 5" xfId="9532" xr:uid="{00000000-0005-0000-0000-0000F7670000}"/>
    <cellStyle name="표준 5 2 5 5 5 2" xfId="13644" xr:uid="{00000000-0005-0000-0000-0000F8670000}"/>
    <cellStyle name="표준 5 2 5 5 5 2 2" xfId="30238" xr:uid="{00000000-0005-0000-0000-0000F9670000}"/>
    <cellStyle name="표준 5 2 5 5 5 2 3" xfId="38449" xr:uid="{00000000-0005-0000-0000-0000FA670000}"/>
    <cellStyle name="표준 5 2 5 5 5 2 4" xfId="46642" xr:uid="{00000000-0005-0000-0000-0000FB670000}"/>
    <cellStyle name="표준 5 2 5 5 5 3" xfId="17884" xr:uid="{00000000-0005-0000-0000-0000FC670000}"/>
    <cellStyle name="표준 5 2 5 5 5 4" xfId="22046" xr:uid="{00000000-0005-0000-0000-0000FD670000}"/>
    <cellStyle name="표준 5 2 5 5 5 5" xfId="26142" xr:uid="{00000000-0005-0000-0000-0000FE670000}"/>
    <cellStyle name="표준 5 2 5 5 5 6" xfId="34353" xr:uid="{00000000-0005-0000-0000-0000FF670000}"/>
    <cellStyle name="표준 5 2 5 5 5 7" xfId="42546" xr:uid="{00000000-0005-0000-0000-000000680000}"/>
    <cellStyle name="표준 5 2 5 5 6" xfId="7484" xr:uid="{00000000-0005-0000-0000-000001680000}"/>
    <cellStyle name="표준 5 2 5 5 6 2" xfId="28190" xr:uid="{00000000-0005-0000-0000-000002680000}"/>
    <cellStyle name="표준 5 2 5 5 6 3" xfId="36401" xr:uid="{00000000-0005-0000-0000-000003680000}"/>
    <cellStyle name="표준 5 2 5 5 6 4" xfId="44594" xr:uid="{00000000-0005-0000-0000-000004680000}"/>
    <cellStyle name="표준 5 2 5 5 7" xfId="11596" xr:uid="{00000000-0005-0000-0000-000005680000}"/>
    <cellStyle name="표준 5 2 5 5 8" xfId="15836" xr:uid="{00000000-0005-0000-0000-000006680000}"/>
    <cellStyle name="표준 5 2 5 5 9" xfId="19998" xr:uid="{00000000-0005-0000-0000-000007680000}"/>
    <cellStyle name="표준 5 2 5 6" xfId="885" xr:uid="{00000000-0005-0000-0000-000008680000}"/>
    <cellStyle name="표준 5 2 5 6 2" xfId="9788" xr:uid="{00000000-0005-0000-0000-000009680000}"/>
    <cellStyle name="표준 5 2 5 6 2 2" xfId="13900" xr:uid="{00000000-0005-0000-0000-00000A680000}"/>
    <cellStyle name="표준 5 2 5 6 2 2 2" xfId="30494" xr:uid="{00000000-0005-0000-0000-00000B680000}"/>
    <cellStyle name="표준 5 2 5 6 2 2 3" xfId="38705" xr:uid="{00000000-0005-0000-0000-00000C680000}"/>
    <cellStyle name="표준 5 2 5 6 2 2 4" xfId="46898" xr:uid="{00000000-0005-0000-0000-00000D680000}"/>
    <cellStyle name="표준 5 2 5 6 2 3" xfId="18140" xr:uid="{00000000-0005-0000-0000-00000E680000}"/>
    <cellStyle name="표준 5 2 5 6 2 4" xfId="22302" xr:uid="{00000000-0005-0000-0000-00000F680000}"/>
    <cellStyle name="표준 5 2 5 6 2 5" xfId="26398" xr:uid="{00000000-0005-0000-0000-000010680000}"/>
    <cellStyle name="표준 5 2 5 6 2 6" xfId="34609" xr:uid="{00000000-0005-0000-0000-000011680000}"/>
    <cellStyle name="표준 5 2 5 6 2 7" xfId="42802" xr:uid="{00000000-0005-0000-0000-000012680000}"/>
    <cellStyle name="표준 5 2 5 6 3" xfId="7740" xr:uid="{00000000-0005-0000-0000-000013680000}"/>
    <cellStyle name="표준 5 2 5 6 3 2" xfId="28446" xr:uid="{00000000-0005-0000-0000-000014680000}"/>
    <cellStyle name="표준 5 2 5 6 3 3" xfId="36657" xr:uid="{00000000-0005-0000-0000-000015680000}"/>
    <cellStyle name="표준 5 2 5 6 3 4" xfId="44850" xr:uid="{00000000-0005-0000-0000-000016680000}"/>
    <cellStyle name="표준 5 2 5 6 4" xfId="11852" xr:uid="{00000000-0005-0000-0000-000017680000}"/>
    <cellStyle name="표준 5 2 5 6 5" xfId="16092" xr:uid="{00000000-0005-0000-0000-000018680000}"/>
    <cellStyle name="표준 5 2 5 6 6" xfId="20254" xr:uid="{00000000-0005-0000-0000-000019680000}"/>
    <cellStyle name="표준 5 2 5 6 7" xfId="24350" xr:uid="{00000000-0005-0000-0000-00001A680000}"/>
    <cellStyle name="표준 5 2 5 6 8" xfId="32561" xr:uid="{00000000-0005-0000-0000-00001B680000}"/>
    <cellStyle name="표준 5 2 5 6 9" xfId="40754" xr:uid="{00000000-0005-0000-0000-00001C680000}"/>
    <cellStyle name="표준 5 2 5 7" xfId="1397" xr:uid="{00000000-0005-0000-0000-00001D680000}"/>
    <cellStyle name="표준 5 2 5 7 2" xfId="10300" xr:uid="{00000000-0005-0000-0000-00001E680000}"/>
    <cellStyle name="표준 5 2 5 7 2 2" xfId="14412" xr:uid="{00000000-0005-0000-0000-00001F680000}"/>
    <cellStyle name="표준 5 2 5 7 2 2 2" xfId="31006" xr:uid="{00000000-0005-0000-0000-000020680000}"/>
    <cellStyle name="표준 5 2 5 7 2 2 3" xfId="39217" xr:uid="{00000000-0005-0000-0000-000021680000}"/>
    <cellStyle name="표준 5 2 5 7 2 2 4" xfId="47410" xr:uid="{00000000-0005-0000-0000-000022680000}"/>
    <cellStyle name="표준 5 2 5 7 2 3" xfId="18652" xr:uid="{00000000-0005-0000-0000-000023680000}"/>
    <cellStyle name="표준 5 2 5 7 2 4" xfId="22814" xr:uid="{00000000-0005-0000-0000-000024680000}"/>
    <cellStyle name="표준 5 2 5 7 2 5" xfId="26910" xr:uid="{00000000-0005-0000-0000-000025680000}"/>
    <cellStyle name="표준 5 2 5 7 2 6" xfId="35121" xr:uid="{00000000-0005-0000-0000-000026680000}"/>
    <cellStyle name="표준 5 2 5 7 2 7" xfId="43314" xr:uid="{00000000-0005-0000-0000-000027680000}"/>
    <cellStyle name="표준 5 2 5 7 3" xfId="8252" xr:uid="{00000000-0005-0000-0000-000028680000}"/>
    <cellStyle name="표준 5 2 5 7 3 2" xfId="28958" xr:uid="{00000000-0005-0000-0000-000029680000}"/>
    <cellStyle name="표준 5 2 5 7 3 3" xfId="37169" xr:uid="{00000000-0005-0000-0000-00002A680000}"/>
    <cellStyle name="표준 5 2 5 7 3 4" xfId="45362" xr:uid="{00000000-0005-0000-0000-00002B680000}"/>
    <cellStyle name="표준 5 2 5 7 4" xfId="12364" xr:uid="{00000000-0005-0000-0000-00002C680000}"/>
    <cellStyle name="표준 5 2 5 7 5" xfId="16604" xr:uid="{00000000-0005-0000-0000-00002D680000}"/>
    <cellStyle name="표준 5 2 5 7 6" xfId="20766" xr:uid="{00000000-0005-0000-0000-00002E680000}"/>
    <cellStyle name="표준 5 2 5 7 7" xfId="24862" xr:uid="{00000000-0005-0000-0000-00002F680000}"/>
    <cellStyle name="표준 5 2 5 7 8" xfId="33073" xr:uid="{00000000-0005-0000-0000-000030680000}"/>
    <cellStyle name="표준 5 2 5 7 9" xfId="41266" xr:uid="{00000000-0005-0000-0000-000031680000}"/>
    <cellStyle name="표준 5 2 5 8" xfId="1909" xr:uid="{00000000-0005-0000-0000-000032680000}"/>
    <cellStyle name="표준 5 2 5 8 2" xfId="10812" xr:uid="{00000000-0005-0000-0000-000033680000}"/>
    <cellStyle name="표준 5 2 5 8 2 2" xfId="14924" xr:uid="{00000000-0005-0000-0000-000034680000}"/>
    <cellStyle name="표준 5 2 5 8 2 2 2" xfId="31518" xr:uid="{00000000-0005-0000-0000-000035680000}"/>
    <cellStyle name="표준 5 2 5 8 2 2 3" xfId="39729" xr:uid="{00000000-0005-0000-0000-000036680000}"/>
    <cellStyle name="표준 5 2 5 8 2 2 4" xfId="47922" xr:uid="{00000000-0005-0000-0000-000037680000}"/>
    <cellStyle name="표준 5 2 5 8 2 3" xfId="19164" xr:uid="{00000000-0005-0000-0000-000038680000}"/>
    <cellStyle name="표준 5 2 5 8 2 4" xfId="23326" xr:uid="{00000000-0005-0000-0000-000039680000}"/>
    <cellStyle name="표준 5 2 5 8 2 5" xfId="27422" xr:uid="{00000000-0005-0000-0000-00003A680000}"/>
    <cellStyle name="표준 5 2 5 8 2 6" xfId="35633" xr:uid="{00000000-0005-0000-0000-00003B680000}"/>
    <cellStyle name="표준 5 2 5 8 2 7" xfId="43826" xr:uid="{00000000-0005-0000-0000-00003C680000}"/>
    <cellStyle name="표준 5 2 5 8 3" xfId="8764" xr:uid="{00000000-0005-0000-0000-00003D680000}"/>
    <cellStyle name="표준 5 2 5 8 3 2" xfId="29470" xr:uid="{00000000-0005-0000-0000-00003E680000}"/>
    <cellStyle name="표준 5 2 5 8 3 3" xfId="37681" xr:uid="{00000000-0005-0000-0000-00003F680000}"/>
    <cellStyle name="표준 5 2 5 8 3 4" xfId="45874" xr:uid="{00000000-0005-0000-0000-000040680000}"/>
    <cellStyle name="표준 5 2 5 8 4" xfId="12876" xr:uid="{00000000-0005-0000-0000-000041680000}"/>
    <cellStyle name="표준 5 2 5 8 5" xfId="17116" xr:uid="{00000000-0005-0000-0000-000042680000}"/>
    <cellStyle name="표준 5 2 5 8 6" xfId="21278" xr:uid="{00000000-0005-0000-0000-000043680000}"/>
    <cellStyle name="표준 5 2 5 8 7" xfId="25374" xr:uid="{00000000-0005-0000-0000-000044680000}"/>
    <cellStyle name="표준 5 2 5 8 8" xfId="33585" xr:uid="{00000000-0005-0000-0000-000045680000}"/>
    <cellStyle name="표준 5 2 5 8 9" xfId="41778" xr:uid="{00000000-0005-0000-0000-000046680000}"/>
    <cellStyle name="표준 5 2 5 9" xfId="6226" xr:uid="{00000000-0005-0000-0000-000047680000}"/>
    <cellStyle name="표준 5 2 5 9 2" xfId="9276" xr:uid="{00000000-0005-0000-0000-000048680000}"/>
    <cellStyle name="표준 5 2 5 9 2 2" xfId="29982" xr:uid="{00000000-0005-0000-0000-000049680000}"/>
    <cellStyle name="표준 5 2 5 9 2 3" xfId="38193" xr:uid="{00000000-0005-0000-0000-00004A680000}"/>
    <cellStyle name="표준 5 2 5 9 2 4" xfId="46386" xr:uid="{00000000-0005-0000-0000-00004B680000}"/>
    <cellStyle name="표준 5 2 5 9 3" xfId="13388" xr:uid="{00000000-0005-0000-0000-00004C680000}"/>
    <cellStyle name="표준 5 2 5 9 4" xfId="17628" xr:uid="{00000000-0005-0000-0000-00004D680000}"/>
    <cellStyle name="표준 5 2 5 9 5" xfId="21790" xr:uid="{00000000-0005-0000-0000-00004E680000}"/>
    <cellStyle name="표준 5 2 5 9 6" xfId="25886" xr:uid="{00000000-0005-0000-0000-00004F680000}"/>
    <cellStyle name="표준 5 2 5 9 7" xfId="34097" xr:uid="{00000000-0005-0000-0000-000050680000}"/>
    <cellStyle name="표준 5 2 5 9 8" xfId="42290" xr:uid="{00000000-0005-0000-0000-000051680000}"/>
    <cellStyle name="표준 5 2 6" xfId="290" xr:uid="{00000000-0005-0000-0000-000052680000}"/>
    <cellStyle name="표준 5 2 6 10" xfId="6991" xr:uid="{00000000-0005-0000-0000-000053680000}"/>
    <cellStyle name="표준 5 2 6 11" xfId="7177" xr:uid="{00000000-0005-0000-0000-000054680000}"/>
    <cellStyle name="표준 5 2 6 12" xfId="7244" xr:uid="{00000000-0005-0000-0000-000055680000}"/>
    <cellStyle name="표준 5 2 6 13" xfId="11356" xr:uid="{00000000-0005-0000-0000-000056680000}"/>
    <cellStyle name="표준 5 2 6 14" xfId="15484" xr:uid="{00000000-0005-0000-0000-000057680000}"/>
    <cellStyle name="표준 5 2 6 15" xfId="15596" xr:uid="{00000000-0005-0000-0000-000058680000}"/>
    <cellStyle name="표준 5 2 6 16" xfId="19758" xr:uid="{00000000-0005-0000-0000-000059680000}"/>
    <cellStyle name="표준 5 2 6 17" xfId="23854" xr:uid="{00000000-0005-0000-0000-00005A680000}"/>
    <cellStyle name="표준 5 2 6 18" xfId="32065" xr:uid="{00000000-0005-0000-0000-00005B680000}"/>
    <cellStyle name="표준 5 2 6 19" xfId="40258" xr:uid="{00000000-0005-0000-0000-00005C680000}"/>
    <cellStyle name="표준 5 2 6 2" xfId="453" xr:uid="{00000000-0005-0000-0000-00005D680000}"/>
    <cellStyle name="표준 5 2 6 2 10" xfId="11420" xr:uid="{00000000-0005-0000-0000-00005E680000}"/>
    <cellStyle name="표준 5 2 6 2 11" xfId="15532" xr:uid="{00000000-0005-0000-0000-00005F680000}"/>
    <cellStyle name="표준 5 2 6 2 12" xfId="15660" xr:uid="{00000000-0005-0000-0000-000060680000}"/>
    <cellStyle name="표준 5 2 6 2 13" xfId="19822" xr:uid="{00000000-0005-0000-0000-000061680000}"/>
    <cellStyle name="표준 5 2 6 2 14" xfId="23918" xr:uid="{00000000-0005-0000-0000-000062680000}"/>
    <cellStyle name="표준 5 2 6 2 15" xfId="32129" xr:uid="{00000000-0005-0000-0000-000063680000}"/>
    <cellStyle name="표준 5 2 6 2 16" xfId="40322" xr:uid="{00000000-0005-0000-0000-000064680000}"/>
    <cellStyle name="표준 5 2 6 2 2" xfId="581" xr:uid="{00000000-0005-0000-0000-000065680000}"/>
    <cellStyle name="표준 5 2 6 2 2 10" xfId="19950" xr:uid="{00000000-0005-0000-0000-000066680000}"/>
    <cellStyle name="표준 5 2 6 2 2 11" xfId="24046" xr:uid="{00000000-0005-0000-0000-000067680000}"/>
    <cellStyle name="표준 5 2 6 2 2 12" xfId="32257" xr:uid="{00000000-0005-0000-0000-000068680000}"/>
    <cellStyle name="표준 5 2 6 2 2 13" xfId="40450" xr:uid="{00000000-0005-0000-0000-000069680000}"/>
    <cellStyle name="표준 5 2 6 2 2 2" xfId="837" xr:uid="{00000000-0005-0000-0000-00006A680000}"/>
    <cellStyle name="표준 5 2 6 2 2 2 10" xfId="24302" xr:uid="{00000000-0005-0000-0000-00006B680000}"/>
    <cellStyle name="표준 5 2 6 2 2 2 11" xfId="32513" xr:uid="{00000000-0005-0000-0000-00006C680000}"/>
    <cellStyle name="표준 5 2 6 2 2 2 12" xfId="40706" xr:uid="{00000000-0005-0000-0000-00006D680000}"/>
    <cellStyle name="표준 5 2 6 2 2 2 2" xfId="1349" xr:uid="{00000000-0005-0000-0000-00006E680000}"/>
    <cellStyle name="표준 5 2 6 2 2 2 2 2" xfId="10252" xr:uid="{00000000-0005-0000-0000-00006F680000}"/>
    <cellStyle name="표준 5 2 6 2 2 2 2 2 2" xfId="14364" xr:uid="{00000000-0005-0000-0000-000070680000}"/>
    <cellStyle name="표준 5 2 6 2 2 2 2 2 2 2" xfId="30958" xr:uid="{00000000-0005-0000-0000-000071680000}"/>
    <cellStyle name="표준 5 2 6 2 2 2 2 2 2 3" xfId="39169" xr:uid="{00000000-0005-0000-0000-000072680000}"/>
    <cellStyle name="표준 5 2 6 2 2 2 2 2 2 4" xfId="47362" xr:uid="{00000000-0005-0000-0000-000073680000}"/>
    <cellStyle name="표준 5 2 6 2 2 2 2 2 3" xfId="18604" xr:uid="{00000000-0005-0000-0000-000074680000}"/>
    <cellStyle name="표준 5 2 6 2 2 2 2 2 4" xfId="22766" xr:uid="{00000000-0005-0000-0000-000075680000}"/>
    <cellStyle name="표준 5 2 6 2 2 2 2 2 5" xfId="26862" xr:uid="{00000000-0005-0000-0000-000076680000}"/>
    <cellStyle name="표준 5 2 6 2 2 2 2 2 6" xfId="35073" xr:uid="{00000000-0005-0000-0000-000077680000}"/>
    <cellStyle name="표준 5 2 6 2 2 2 2 2 7" xfId="43266" xr:uid="{00000000-0005-0000-0000-000078680000}"/>
    <cellStyle name="표준 5 2 6 2 2 2 2 3" xfId="8204" xr:uid="{00000000-0005-0000-0000-000079680000}"/>
    <cellStyle name="표준 5 2 6 2 2 2 2 3 2" xfId="28910" xr:uid="{00000000-0005-0000-0000-00007A680000}"/>
    <cellStyle name="표준 5 2 6 2 2 2 2 3 3" xfId="37121" xr:uid="{00000000-0005-0000-0000-00007B680000}"/>
    <cellStyle name="표준 5 2 6 2 2 2 2 3 4" xfId="45314" xr:uid="{00000000-0005-0000-0000-00007C680000}"/>
    <cellStyle name="표준 5 2 6 2 2 2 2 4" xfId="12316" xr:uid="{00000000-0005-0000-0000-00007D680000}"/>
    <cellStyle name="표준 5 2 6 2 2 2 2 5" xfId="16556" xr:uid="{00000000-0005-0000-0000-00007E680000}"/>
    <cellStyle name="표준 5 2 6 2 2 2 2 6" xfId="20718" xr:uid="{00000000-0005-0000-0000-00007F680000}"/>
    <cellStyle name="표준 5 2 6 2 2 2 2 7" xfId="24814" xr:uid="{00000000-0005-0000-0000-000080680000}"/>
    <cellStyle name="표준 5 2 6 2 2 2 2 8" xfId="33025" xr:uid="{00000000-0005-0000-0000-000081680000}"/>
    <cellStyle name="표준 5 2 6 2 2 2 2 9" xfId="41218" xr:uid="{00000000-0005-0000-0000-000082680000}"/>
    <cellStyle name="표준 5 2 6 2 2 2 3" xfId="1861" xr:uid="{00000000-0005-0000-0000-000083680000}"/>
    <cellStyle name="표준 5 2 6 2 2 2 3 2" xfId="10764" xr:uid="{00000000-0005-0000-0000-000084680000}"/>
    <cellStyle name="표준 5 2 6 2 2 2 3 2 2" xfId="14876" xr:uid="{00000000-0005-0000-0000-000085680000}"/>
    <cellStyle name="표준 5 2 6 2 2 2 3 2 2 2" xfId="31470" xr:uid="{00000000-0005-0000-0000-000086680000}"/>
    <cellStyle name="표준 5 2 6 2 2 2 3 2 2 3" xfId="39681" xr:uid="{00000000-0005-0000-0000-000087680000}"/>
    <cellStyle name="표준 5 2 6 2 2 2 3 2 2 4" xfId="47874" xr:uid="{00000000-0005-0000-0000-000088680000}"/>
    <cellStyle name="표준 5 2 6 2 2 2 3 2 3" xfId="19116" xr:uid="{00000000-0005-0000-0000-000089680000}"/>
    <cellStyle name="표준 5 2 6 2 2 2 3 2 4" xfId="23278" xr:uid="{00000000-0005-0000-0000-00008A680000}"/>
    <cellStyle name="표준 5 2 6 2 2 2 3 2 5" xfId="27374" xr:uid="{00000000-0005-0000-0000-00008B680000}"/>
    <cellStyle name="표준 5 2 6 2 2 2 3 2 6" xfId="35585" xr:uid="{00000000-0005-0000-0000-00008C680000}"/>
    <cellStyle name="표준 5 2 6 2 2 2 3 2 7" xfId="43778" xr:uid="{00000000-0005-0000-0000-00008D680000}"/>
    <cellStyle name="표준 5 2 6 2 2 2 3 3" xfId="8716" xr:uid="{00000000-0005-0000-0000-00008E680000}"/>
    <cellStyle name="표준 5 2 6 2 2 2 3 3 2" xfId="29422" xr:uid="{00000000-0005-0000-0000-00008F680000}"/>
    <cellStyle name="표준 5 2 6 2 2 2 3 3 3" xfId="37633" xr:uid="{00000000-0005-0000-0000-000090680000}"/>
    <cellStyle name="표준 5 2 6 2 2 2 3 3 4" xfId="45826" xr:uid="{00000000-0005-0000-0000-000091680000}"/>
    <cellStyle name="표준 5 2 6 2 2 2 3 4" xfId="12828" xr:uid="{00000000-0005-0000-0000-000092680000}"/>
    <cellStyle name="표준 5 2 6 2 2 2 3 5" xfId="17068" xr:uid="{00000000-0005-0000-0000-000093680000}"/>
    <cellStyle name="표준 5 2 6 2 2 2 3 6" xfId="21230" xr:uid="{00000000-0005-0000-0000-000094680000}"/>
    <cellStyle name="표준 5 2 6 2 2 2 3 7" xfId="25326" xr:uid="{00000000-0005-0000-0000-000095680000}"/>
    <cellStyle name="표준 5 2 6 2 2 2 3 8" xfId="33537" xr:uid="{00000000-0005-0000-0000-000096680000}"/>
    <cellStyle name="표준 5 2 6 2 2 2 3 9" xfId="41730" xr:uid="{00000000-0005-0000-0000-000097680000}"/>
    <cellStyle name="표준 5 2 6 2 2 2 4" xfId="2373" xr:uid="{00000000-0005-0000-0000-000098680000}"/>
    <cellStyle name="표준 5 2 6 2 2 2 4 2" xfId="11276" xr:uid="{00000000-0005-0000-0000-000099680000}"/>
    <cellStyle name="표준 5 2 6 2 2 2 4 2 2" xfId="15388" xr:uid="{00000000-0005-0000-0000-00009A680000}"/>
    <cellStyle name="표준 5 2 6 2 2 2 4 2 2 2" xfId="31982" xr:uid="{00000000-0005-0000-0000-00009B680000}"/>
    <cellStyle name="표준 5 2 6 2 2 2 4 2 2 3" xfId="40193" xr:uid="{00000000-0005-0000-0000-00009C680000}"/>
    <cellStyle name="표준 5 2 6 2 2 2 4 2 2 4" xfId="48386" xr:uid="{00000000-0005-0000-0000-00009D680000}"/>
    <cellStyle name="표준 5 2 6 2 2 2 4 2 3" xfId="19628" xr:uid="{00000000-0005-0000-0000-00009E680000}"/>
    <cellStyle name="표준 5 2 6 2 2 2 4 2 4" xfId="23790" xr:uid="{00000000-0005-0000-0000-00009F680000}"/>
    <cellStyle name="표준 5 2 6 2 2 2 4 2 5" xfId="27886" xr:uid="{00000000-0005-0000-0000-0000A0680000}"/>
    <cellStyle name="표준 5 2 6 2 2 2 4 2 6" xfId="36097" xr:uid="{00000000-0005-0000-0000-0000A1680000}"/>
    <cellStyle name="표준 5 2 6 2 2 2 4 2 7" xfId="44290" xr:uid="{00000000-0005-0000-0000-0000A2680000}"/>
    <cellStyle name="표준 5 2 6 2 2 2 4 3" xfId="9228" xr:uid="{00000000-0005-0000-0000-0000A3680000}"/>
    <cellStyle name="표준 5 2 6 2 2 2 4 3 2" xfId="29934" xr:uid="{00000000-0005-0000-0000-0000A4680000}"/>
    <cellStyle name="표준 5 2 6 2 2 2 4 3 3" xfId="38145" xr:uid="{00000000-0005-0000-0000-0000A5680000}"/>
    <cellStyle name="표준 5 2 6 2 2 2 4 3 4" xfId="46338" xr:uid="{00000000-0005-0000-0000-0000A6680000}"/>
    <cellStyle name="표준 5 2 6 2 2 2 4 4" xfId="13340" xr:uid="{00000000-0005-0000-0000-0000A7680000}"/>
    <cellStyle name="표준 5 2 6 2 2 2 4 5" xfId="17580" xr:uid="{00000000-0005-0000-0000-0000A8680000}"/>
    <cellStyle name="표준 5 2 6 2 2 2 4 6" xfId="21742" xr:uid="{00000000-0005-0000-0000-0000A9680000}"/>
    <cellStyle name="표준 5 2 6 2 2 2 4 7" xfId="25838" xr:uid="{00000000-0005-0000-0000-0000AA680000}"/>
    <cellStyle name="표준 5 2 6 2 2 2 4 8" xfId="34049" xr:uid="{00000000-0005-0000-0000-0000AB680000}"/>
    <cellStyle name="표준 5 2 6 2 2 2 4 9" xfId="42242" xr:uid="{00000000-0005-0000-0000-0000AC680000}"/>
    <cellStyle name="표준 5 2 6 2 2 2 5" xfId="9740" xr:uid="{00000000-0005-0000-0000-0000AD680000}"/>
    <cellStyle name="표준 5 2 6 2 2 2 5 2" xfId="13852" xr:uid="{00000000-0005-0000-0000-0000AE680000}"/>
    <cellStyle name="표준 5 2 6 2 2 2 5 2 2" xfId="30446" xr:uid="{00000000-0005-0000-0000-0000AF680000}"/>
    <cellStyle name="표준 5 2 6 2 2 2 5 2 3" xfId="38657" xr:uid="{00000000-0005-0000-0000-0000B0680000}"/>
    <cellStyle name="표준 5 2 6 2 2 2 5 2 4" xfId="46850" xr:uid="{00000000-0005-0000-0000-0000B1680000}"/>
    <cellStyle name="표준 5 2 6 2 2 2 5 3" xfId="18092" xr:uid="{00000000-0005-0000-0000-0000B2680000}"/>
    <cellStyle name="표준 5 2 6 2 2 2 5 4" xfId="22254" xr:uid="{00000000-0005-0000-0000-0000B3680000}"/>
    <cellStyle name="표준 5 2 6 2 2 2 5 5" xfId="26350" xr:uid="{00000000-0005-0000-0000-0000B4680000}"/>
    <cellStyle name="표준 5 2 6 2 2 2 5 6" xfId="34561" xr:uid="{00000000-0005-0000-0000-0000B5680000}"/>
    <cellStyle name="표준 5 2 6 2 2 2 5 7" xfId="42754" xr:uid="{00000000-0005-0000-0000-0000B6680000}"/>
    <cellStyle name="표준 5 2 6 2 2 2 6" xfId="7692" xr:uid="{00000000-0005-0000-0000-0000B7680000}"/>
    <cellStyle name="표준 5 2 6 2 2 2 6 2" xfId="28398" xr:uid="{00000000-0005-0000-0000-0000B8680000}"/>
    <cellStyle name="표준 5 2 6 2 2 2 6 3" xfId="36609" xr:uid="{00000000-0005-0000-0000-0000B9680000}"/>
    <cellStyle name="표준 5 2 6 2 2 2 6 4" xfId="44802" xr:uid="{00000000-0005-0000-0000-0000BA680000}"/>
    <cellStyle name="표준 5 2 6 2 2 2 7" xfId="11804" xr:uid="{00000000-0005-0000-0000-0000BB680000}"/>
    <cellStyle name="표준 5 2 6 2 2 2 8" xfId="16044" xr:uid="{00000000-0005-0000-0000-0000BC680000}"/>
    <cellStyle name="표준 5 2 6 2 2 2 9" xfId="20206" xr:uid="{00000000-0005-0000-0000-0000BD680000}"/>
    <cellStyle name="표준 5 2 6 2 2 3" xfId="1093" xr:uid="{00000000-0005-0000-0000-0000BE680000}"/>
    <cellStyle name="표준 5 2 6 2 2 3 2" xfId="9996" xr:uid="{00000000-0005-0000-0000-0000BF680000}"/>
    <cellStyle name="표준 5 2 6 2 2 3 2 2" xfId="14108" xr:uid="{00000000-0005-0000-0000-0000C0680000}"/>
    <cellStyle name="표준 5 2 6 2 2 3 2 2 2" xfId="30702" xr:uid="{00000000-0005-0000-0000-0000C1680000}"/>
    <cellStyle name="표준 5 2 6 2 2 3 2 2 3" xfId="38913" xr:uid="{00000000-0005-0000-0000-0000C2680000}"/>
    <cellStyle name="표준 5 2 6 2 2 3 2 2 4" xfId="47106" xr:uid="{00000000-0005-0000-0000-0000C3680000}"/>
    <cellStyle name="표준 5 2 6 2 2 3 2 3" xfId="18348" xr:uid="{00000000-0005-0000-0000-0000C4680000}"/>
    <cellStyle name="표준 5 2 6 2 2 3 2 4" xfId="22510" xr:uid="{00000000-0005-0000-0000-0000C5680000}"/>
    <cellStyle name="표준 5 2 6 2 2 3 2 5" xfId="26606" xr:uid="{00000000-0005-0000-0000-0000C6680000}"/>
    <cellStyle name="표준 5 2 6 2 2 3 2 6" xfId="34817" xr:uid="{00000000-0005-0000-0000-0000C7680000}"/>
    <cellStyle name="표준 5 2 6 2 2 3 2 7" xfId="43010" xr:uid="{00000000-0005-0000-0000-0000C8680000}"/>
    <cellStyle name="표준 5 2 6 2 2 3 3" xfId="7948" xr:uid="{00000000-0005-0000-0000-0000C9680000}"/>
    <cellStyle name="표준 5 2 6 2 2 3 3 2" xfId="28654" xr:uid="{00000000-0005-0000-0000-0000CA680000}"/>
    <cellStyle name="표준 5 2 6 2 2 3 3 3" xfId="36865" xr:uid="{00000000-0005-0000-0000-0000CB680000}"/>
    <cellStyle name="표준 5 2 6 2 2 3 3 4" xfId="45058" xr:uid="{00000000-0005-0000-0000-0000CC680000}"/>
    <cellStyle name="표준 5 2 6 2 2 3 4" xfId="12060" xr:uid="{00000000-0005-0000-0000-0000CD680000}"/>
    <cellStyle name="표준 5 2 6 2 2 3 5" xfId="16300" xr:uid="{00000000-0005-0000-0000-0000CE680000}"/>
    <cellStyle name="표준 5 2 6 2 2 3 6" xfId="20462" xr:uid="{00000000-0005-0000-0000-0000CF680000}"/>
    <cellStyle name="표준 5 2 6 2 2 3 7" xfId="24558" xr:uid="{00000000-0005-0000-0000-0000D0680000}"/>
    <cellStyle name="표준 5 2 6 2 2 3 8" xfId="32769" xr:uid="{00000000-0005-0000-0000-0000D1680000}"/>
    <cellStyle name="표준 5 2 6 2 2 3 9" xfId="40962" xr:uid="{00000000-0005-0000-0000-0000D2680000}"/>
    <cellStyle name="표준 5 2 6 2 2 4" xfId="1605" xr:uid="{00000000-0005-0000-0000-0000D3680000}"/>
    <cellStyle name="표준 5 2 6 2 2 4 2" xfId="10508" xr:uid="{00000000-0005-0000-0000-0000D4680000}"/>
    <cellStyle name="표준 5 2 6 2 2 4 2 2" xfId="14620" xr:uid="{00000000-0005-0000-0000-0000D5680000}"/>
    <cellStyle name="표준 5 2 6 2 2 4 2 2 2" xfId="31214" xr:uid="{00000000-0005-0000-0000-0000D6680000}"/>
    <cellStyle name="표준 5 2 6 2 2 4 2 2 3" xfId="39425" xr:uid="{00000000-0005-0000-0000-0000D7680000}"/>
    <cellStyle name="표준 5 2 6 2 2 4 2 2 4" xfId="47618" xr:uid="{00000000-0005-0000-0000-0000D8680000}"/>
    <cellStyle name="표준 5 2 6 2 2 4 2 3" xfId="18860" xr:uid="{00000000-0005-0000-0000-0000D9680000}"/>
    <cellStyle name="표준 5 2 6 2 2 4 2 4" xfId="23022" xr:uid="{00000000-0005-0000-0000-0000DA680000}"/>
    <cellStyle name="표준 5 2 6 2 2 4 2 5" xfId="27118" xr:uid="{00000000-0005-0000-0000-0000DB680000}"/>
    <cellStyle name="표준 5 2 6 2 2 4 2 6" xfId="35329" xr:uid="{00000000-0005-0000-0000-0000DC680000}"/>
    <cellStyle name="표준 5 2 6 2 2 4 2 7" xfId="43522" xr:uid="{00000000-0005-0000-0000-0000DD680000}"/>
    <cellStyle name="표준 5 2 6 2 2 4 3" xfId="8460" xr:uid="{00000000-0005-0000-0000-0000DE680000}"/>
    <cellStyle name="표준 5 2 6 2 2 4 3 2" xfId="29166" xr:uid="{00000000-0005-0000-0000-0000DF680000}"/>
    <cellStyle name="표준 5 2 6 2 2 4 3 3" xfId="37377" xr:uid="{00000000-0005-0000-0000-0000E0680000}"/>
    <cellStyle name="표준 5 2 6 2 2 4 3 4" xfId="45570" xr:uid="{00000000-0005-0000-0000-0000E1680000}"/>
    <cellStyle name="표준 5 2 6 2 2 4 4" xfId="12572" xr:uid="{00000000-0005-0000-0000-0000E2680000}"/>
    <cellStyle name="표준 5 2 6 2 2 4 5" xfId="16812" xr:uid="{00000000-0005-0000-0000-0000E3680000}"/>
    <cellStyle name="표준 5 2 6 2 2 4 6" xfId="20974" xr:uid="{00000000-0005-0000-0000-0000E4680000}"/>
    <cellStyle name="표준 5 2 6 2 2 4 7" xfId="25070" xr:uid="{00000000-0005-0000-0000-0000E5680000}"/>
    <cellStyle name="표준 5 2 6 2 2 4 8" xfId="33281" xr:uid="{00000000-0005-0000-0000-0000E6680000}"/>
    <cellStyle name="표준 5 2 6 2 2 4 9" xfId="41474" xr:uid="{00000000-0005-0000-0000-0000E7680000}"/>
    <cellStyle name="표준 5 2 6 2 2 5" xfId="2117" xr:uid="{00000000-0005-0000-0000-0000E8680000}"/>
    <cellStyle name="표준 5 2 6 2 2 5 2" xfId="11020" xr:uid="{00000000-0005-0000-0000-0000E9680000}"/>
    <cellStyle name="표준 5 2 6 2 2 5 2 2" xfId="15132" xr:uid="{00000000-0005-0000-0000-0000EA680000}"/>
    <cellStyle name="표준 5 2 6 2 2 5 2 2 2" xfId="31726" xr:uid="{00000000-0005-0000-0000-0000EB680000}"/>
    <cellStyle name="표준 5 2 6 2 2 5 2 2 3" xfId="39937" xr:uid="{00000000-0005-0000-0000-0000EC680000}"/>
    <cellStyle name="표준 5 2 6 2 2 5 2 2 4" xfId="48130" xr:uid="{00000000-0005-0000-0000-0000ED680000}"/>
    <cellStyle name="표준 5 2 6 2 2 5 2 3" xfId="19372" xr:uid="{00000000-0005-0000-0000-0000EE680000}"/>
    <cellStyle name="표준 5 2 6 2 2 5 2 4" xfId="23534" xr:uid="{00000000-0005-0000-0000-0000EF680000}"/>
    <cellStyle name="표준 5 2 6 2 2 5 2 5" xfId="27630" xr:uid="{00000000-0005-0000-0000-0000F0680000}"/>
    <cellStyle name="표준 5 2 6 2 2 5 2 6" xfId="35841" xr:uid="{00000000-0005-0000-0000-0000F1680000}"/>
    <cellStyle name="표준 5 2 6 2 2 5 2 7" xfId="44034" xr:uid="{00000000-0005-0000-0000-0000F2680000}"/>
    <cellStyle name="표준 5 2 6 2 2 5 3" xfId="8972" xr:uid="{00000000-0005-0000-0000-0000F3680000}"/>
    <cellStyle name="표준 5 2 6 2 2 5 3 2" xfId="29678" xr:uid="{00000000-0005-0000-0000-0000F4680000}"/>
    <cellStyle name="표준 5 2 6 2 2 5 3 3" xfId="37889" xr:uid="{00000000-0005-0000-0000-0000F5680000}"/>
    <cellStyle name="표준 5 2 6 2 2 5 3 4" xfId="46082" xr:uid="{00000000-0005-0000-0000-0000F6680000}"/>
    <cellStyle name="표준 5 2 6 2 2 5 4" xfId="13084" xr:uid="{00000000-0005-0000-0000-0000F7680000}"/>
    <cellStyle name="표준 5 2 6 2 2 5 5" xfId="17324" xr:uid="{00000000-0005-0000-0000-0000F8680000}"/>
    <cellStyle name="표준 5 2 6 2 2 5 6" xfId="21486" xr:uid="{00000000-0005-0000-0000-0000F9680000}"/>
    <cellStyle name="표준 5 2 6 2 2 5 7" xfId="25582" xr:uid="{00000000-0005-0000-0000-0000FA680000}"/>
    <cellStyle name="표준 5 2 6 2 2 5 8" xfId="33793" xr:uid="{00000000-0005-0000-0000-0000FB680000}"/>
    <cellStyle name="표준 5 2 6 2 2 5 9" xfId="41986" xr:uid="{00000000-0005-0000-0000-0000FC680000}"/>
    <cellStyle name="표준 5 2 6 2 2 6" xfId="9484" xr:uid="{00000000-0005-0000-0000-0000FD680000}"/>
    <cellStyle name="표준 5 2 6 2 2 6 2" xfId="13596" xr:uid="{00000000-0005-0000-0000-0000FE680000}"/>
    <cellStyle name="표준 5 2 6 2 2 6 2 2" xfId="30190" xr:uid="{00000000-0005-0000-0000-0000FF680000}"/>
    <cellStyle name="표준 5 2 6 2 2 6 2 3" xfId="38401" xr:uid="{00000000-0005-0000-0000-000000690000}"/>
    <cellStyle name="표준 5 2 6 2 2 6 2 4" xfId="46594" xr:uid="{00000000-0005-0000-0000-000001690000}"/>
    <cellStyle name="표준 5 2 6 2 2 6 3" xfId="17836" xr:uid="{00000000-0005-0000-0000-000002690000}"/>
    <cellStyle name="표준 5 2 6 2 2 6 4" xfId="21998" xr:uid="{00000000-0005-0000-0000-000003690000}"/>
    <cellStyle name="표준 5 2 6 2 2 6 5" xfId="26094" xr:uid="{00000000-0005-0000-0000-000004690000}"/>
    <cellStyle name="표준 5 2 6 2 2 6 6" xfId="34305" xr:uid="{00000000-0005-0000-0000-000005690000}"/>
    <cellStyle name="표준 5 2 6 2 2 6 7" xfId="42498" xr:uid="{00000000-0005-0000-0000-000006690000}"/>
    <cellStyle name="표준 5 2 6 2 2 7" xfId="7436" xr:uid="{00000000-0005-0000-0000-000007690000}"/>
    <cellStyle name="표준 5 2 6 2 2 7 2" xfId="28142" xr:uid="{00000000-0005-0000-0000-000008690000}"/>
    <cellStyle name="표준 5 2 6 2 2 7 3" xfId="36353" xr:uid="{00000000-0005-0000-0000-000009690000}"/>
    <cellStyle name="표준 5 2 6 2 2 7 4" xfId="44546" xr:uid="{00000000-0005-0000-0000-00000A690000}"/>
    <cellStyle name="표준 5 2 6 2 2 8" xfId="11548" xr:uid="{00000000-0005-0000-0000-00000B690000}"/>
    <cellStyle name="표준 5 2 6 2 2 9" xfId="15788" xr:uid="{00000000-0005-0000-0000-00000C690000}"/>
    <cellStyle name="표준 5 2 6 2 3" xfId="709" xr:uid="{00000000-0005-0000-0000-00000D690000}"/>
    <cellStyle name="표준 5 2 6 2 3 10" xfId="24174" xr:uid="{00000000-0005-0000-0000-00000E690000}"/>
    <cellStyle name="표준 5 2 6 2 3 11" xfId="32385" xr:uid="{00000000-0005-0000-0000-00000F690000}"/>
    <cellStyle name="표준 5 2 6 2 3 12" xfId="40578" xr:uid="{00000000-0005-0000-0000-000010690000}"/>
    <cellStyle name="표준 5 2 6 2 3 2" xfId="1221" xr:uid="{00000000-0005-0000-0000-000011690000}"/>
    <cellStyle name="표준 5 2 6 2 3 2 2" xfId="10124" xr:uid="{00000000-0005-0000-0000-000012690000}"/>
    <cellStyle name="표준 5 2 6 2 3 2 2 2" xfId="14236" xr:uid="{00000000-0005-0000-0000-000013690000}"/>
    <cellStyle name="표준 5 2 6 2 3 2 2 2 2" xfId="30830" xr:uid="{00000000-0005-0000-0000-000014690000}"/>
    <cellStyle name="표준 5 2 6 2 3 2 2 2 3" xfId="39041" xr:uid="{00000000-0005-0000-0000-000015690000}"/>
    <cellStyle name="표준 5 2 6 2 3 2 2 2 4" xfId="47234" xr:uid="{00000000-0005-0000-0000-000016690000}"/>
    <cellStyle name="표준 5 2 6 2 3 2 2 3" xfId="18476" xr:uid="{00000000-0005-0000-0000-000017690000}"/>
    <cellStyle name="표준 5 2 6 2 3 2 2 4" xfId="22638" xr:uid="{00000000-0005-0000-0000-000018690000}"/>
    <cellStyle name="표준 5 2 6 2 3 2 2 5" xfId="26734" xr:uid="{00000000-0005-0000-0000-000019690000}"/>
    <cellStyle name="표준 5 2 6 2 3 2 2 6" xfId="34945" xr:uid="{00000000-0005-0000-0000-00001A690000}"/>
    <cellStyle name="표준 5 2 6 2 3 2 2 7" xfId="43138" xr:uid="{00000000-0005-0000-0000-00001B690000}"/>
    <cellStyle name="표준 5 2 6 2 3 2 3" xfId="8076" xr:uid="{00000000-0005-0000-0000-00001C690000}"/>
    <cellStyle name="표준 5 2 6 2 3 2 3 2" xfId="28782" xr:uid="{00000000-0005-0000-0000-00001D690000}"/>
    <cellStyle name="표준 5 2 6 2 3 2 3 3" xfId="36993" xr:uid="{00000000-0005-0000-0000-00001E690000}"/>
    <cellStyle name="표준 5 2 6 2 3 2 3 4" xfId="45186" xr:uid="{00000000-0005-0000-0000-00001F690000}"/>
    <cellStyle name="표준 5 2 6 2 3 2 4" xfId="12188" xr:uid="{00000000-0005-0000-0000-000020690000}"/>
    <cellStyle name="표준 5 2 6 2 3 2 5" xfId="16428" xr:uid="{00000000-0005-0000-0000-000021690000}"/>
    <cellStyle name="표준 5 2 6 2 3 2 6" xfId="20590" xr:uid="{00000000-0005-0000-0000-000022690000}"/>
    <cellStyle name="표준 5 2 6 2 3 2 7" xfId="24686" xr:uid="{00000000-0005-0000-0000-000023690000}"/>
    <cellStyle name="표준 5 2 6 2 3 2 8" xfId="32897" xr:uid="{00000000-0005-0000-0000-000024690000}"/>
    <cellStyle name="표준 5 2 6 2 3 2 9" xfId="41090" xr:uid="{00000000-0005-0000-0000-000025690000}"/>
    <cellStyle name="표준 5 2 6 2 3 3" xfId="1733" xr:uid="{00000000-0005-0000-0000-000026690000}"/>
    <cellStyle name="표준 5 2 6 2 3 3 2" xfId="10636" xr:uid="{00000000-0005-0000-0000-000027690000}"/>
    <cellStyle name="표준 5 2 6 2 3 3 2 2" xfId="14748" xr:uid="{00000000-0005-0000-0000-000028690000}"/>
    <cellStyle name="표준 5 2 6 2 3 3 2 2 2" xfId="31342" xr:uid="{00000000-0005-0000-0000-000029690000}"/>
    <cellStyle name="표준 5 2 6 2 3 3 2 2 3" xfId="39553" xr:uid="{00000000-0005-0000-0000-00002A690000}"/>
    <cellStyle name="표준 5 2 6 2 3 3 2 2 4" xfId="47746" xr:uid="{00000000-0005-0000-0000-00002B690000}"/>
    <cellStyle name="표준 5 2 6 2 3 3 2 3" xfId="18988" xr:uid="{00000000-0005-0000-0000-00002C690000}"/>
    <cellStyle name="표준 5 2 6 2 3 3 2 4" xfId="23150" xr:uid="{00000000-0005-0000-0000-00002D690000}"/>
    <cellStyle name="표준 5 2 6 2 3 3 2 5" xfId="27246" xr:uid="{00000000-0005-0000-0000-00002E690000}"/>
    <cellStyle name="표준 5 2 6 2 3 3 2 6" xfId="35457" xr:uid="{00000000-0005-0000-0000-00002F690000}"/>
    <cellStyle name="표준 5 2 6 2 3 3 2 7" xfId="43650" xr:uid="{00000000-0005-0000-0000-000030690000}"/>
    <cellStyle name="표준 5 2 6 2 3 3 3" xfId="8588" xr:uid="{00000000-0005-0000-0000-000031690000}"/>
    <cellStyle name="표준 5 2 6 2 3 3 3 2" xfId="29294" xr:uid="{00000000-0005-0000-0000-000032690000}"/>
    <cellStyle name="표준 5 2 6 2 3 3 3 3" xfId="37505" xr:uid="{00000000-0005-0000-0000-000033690000}"/>
    <cellStyle name="표준 5 2 6 2 3 3 3 4" xfId="45698" xr:uid="{00000000-0005-0000-0000-000034690000}"/>
    <cellStyle name="표준 5 2 6 2 3 3 4" xfId="12700" xr:uid="{00000000-0005-0000-0000-000035690000}"/>
    <cellStyle name="표준 5 2 6 2 3 3 5" xfId="16940" xr:uid="{00000000-0005-0000-0000-000036690000}"/>
    <cellStyle name="표준 5 2 6 2 3 3 6" xfId="21102" xr:uid="{00000000-0005-0000-0000-000037690000}"/>
    <cellStyle name="표준 5 2 6 2 3 3 7" xfId="25198" xr:uid="{00000000-0005-0000-0000-000038690000}"/>
    <cellStyle name="표준 5 2 6 2 3 3 8" xfId="33409" xr:uid="{00000000-0005-0000-0000-000039690000}"/>
    <cellStyle name="표준 5 2 6 2 3 3 9" xfId="41602" xr:uid="{00000000-0005-0000-0000-00003A690000}"/>
    <cellStyle name="표준 5 2 6 2 3 4" xfId="2245" xr:uid="{00000000-0005-0000-0000-00003B690000}"/>
    <cellStyle name="표준 5 2 6 2 3 4 2" xfId="11148" xr:uid="{00000000-0005-0000-0000-00003C690000}"/>
    <cellStyle name="표준 5 2 6 2 3 4 2 2" xfId="15260" xr:uid="{00000000-0005-0000-0000-00003D690000}"/>
    <cellStyle name="표준 5 2 6 2 3 4 2 2 2" xfId="31854" xr:uid="{00000000-0005-0000-0000-00003E690000}"/>
    <cellStyle name="표준 5 2 6 2 3 4 2 2 3" xfId="40065" xr:uid="{00000000-0005-0000-0000-00003F690000}"/>
    <cellStyle name="표준 5 2 6 2 3 4 2 2 4" xfId="48258" xr:uid="{00000000-0005-0000-0000-000040690000}"/>
    <cellStyle name="표준 5 2 6 2 3 4 2 3" xfId="19500" xr:uid="{00000000-0005-0000-0000-000041690000}"/>
    <cellStyle name="표준 5 2 6 2 3 4 2 4" xfId="23662" xr:uid="{00000000-0005-0000-0000-000042690000}"/>
    <cellStyle name="표준 5 2 6 2 3 4 2 5" xfId="27758" xr:uid="{00000000-0005-0000-0000-000043690000}"/>
    <cellStyle name="표준 5 2 6 2 3 4 2 6" xfId="35969" xr:uid="{00000000-0005-0000-0000-000044690000}"/>
    <cellStyle name="표준 5 2 6 2 3 4 2 7" xfId="44162" xr:uid="{00000000-0005-0000-0000-000045690000}"/>
    <cellStyle name="표준 5 2 6 2 3 4 3" xfId="9100" xr:uid="{00000000-0005-0000-0000-000046690000}"/>
    <cellStyle name="표준 5 2 6 2 3 4 3 2" xfId="29806" xr:uid="{00000000-0005-0000-0000-000047690000}"/>
    <cellStyle name="표준 5 2 6 2 3 4 3 3" xfId="38017" xr:uid="{00000000-0005-0000-0000-000048690000}"/>
    <cellStyle name="표준 5 2 6 2 3 4 3 4" xfId="46210" xr:uid="{00000000-0005-0000-0000-000049690000}"/>
    <cellStyle name="표준 5 2 6 2 3 4 4" xfId="13212" xr:uid="{00000000-0005-0000-0000-00004A690000}"/>
    <cellStyle name="표준 5 2 6 2 3 4 5" xfId="17452" xr:uid="{00000000-0005-0000-0000-00004B690000}"/>
    <cellStyle name="표준 5 2 6 2 3 4 6" xfId="21614" xr:uid="{00000000-0005-0000-0000-00004C690000}"/>
    <cellStyle name="표준 5 2 6 2 3 4 7" xfId="25710" xr:uid="{00000000-0005-0000-0000-00004D690000}"/>
    <cellStyle name="표준 5 2 6 2 3 4 8" xfId="33921" xr:uid="{00000000-0005-0000-0000-00004E690000}"/>
    <cellStyle name="표준 5 2 6 2 3 4 9" xfId="42114" xr:uid="{00000000-0005-0000-0000-00004F690000}"/>
    <cellStyle name="표준 5 2 6 2 3 5" xfId="9612" xr:uid="{00000000-0005-0000-0000-000050690000}"/>
    <cellStyle name="표준 5 2 6 2 3 5 2" xfId="13724" xr:uid="{00000000-0005-0000-0000-000051690000}"/>
    <cellStyle name="표준 5 2 6 2 3 5 2 2" xfId="30318" xr:uid="{00000000-0005-0000-0000-000052690000}"/>
    <cellStyle name="표준 5 2 6 2 3 5 2 3" xfId="38529" xr:uid="{00000000-0005-0000-0000-000053690000}"/>
    <cellStyle name="표준 5 2 6 2 3 5 2 4" xfId="46722" xr:uid="{00000000-0005-0000-0000-000054690000}"/>
    <cellStyle name="표준 5 2 6 2 3 5 3" xfId="17964" xr:uid="{00000000-0005-0000-0000-000055690000}"/>
    <cellStyle name="표준 5 2 6 2 3 5 4" xfId="22126" xr:uid="{00000000-0005-0000-0000-000056690000}"/>
    <cellStyle name="표준 5 2 6 2 3 5 5" xfId="26222" xr:uid="{00000000-0005-0000-0000-000057690000}"/>
    <cellStyle name="표준 5 2 6 2 3 5 6" xfId="34433" xr:uid="{00000000-0005-0000-0000-000058690000}"/>
    <cellStyle name="표준 5 2 6 2 3 5 7" xfId="42626" xr:uid="{00000000-0005-0000-0000-000059690000}"/>
    <cellStyle name="표준 5 2 6 2 3 6" xfId="7564" xr:uid="{00000000-0005-0000-0000-00005A690000}"/>
    <cellStyle name="표준 5 2 6 2 3 6 2" xfId="28270" xr:uid="{00000000-0005-0000-0000-00005B690000}"/>
    <cellStyle name="표준 5 2 6 2 3 6 3" xfId="36481" xr:uid="{00000000-0005-0000-0000-00005C690000}"/>
    <cellStyle name="표준 5 2 6 2 3 6 4" xfId="44674" xr:uid="{00000000-0005-0000-0000-00005D690000}"/>
    <cellStyle name="표준 5 2 6 2 3 7" xfId="11676" xr:uid="{00000000-0005-0000-0000-00005E690000}"/>
    <cellStyle name="표준 5 2 6 2 3 8" xfId="15916" xr:uid="{00000000-0005-0000-0000-00005F690000}"/>
    <cellStyle name="표준 5 2 6 2 3 9" xfId="20078" xr:uid="{00000000-0005-0000-0000-000060690000}"/>
    <cellStyle name="표준 5 2 6 2 4" xfId="965" xr:uid="{00000000-0005-0000-0000-000061690000}"/>
    <cellStyle name="표준 5 2 6 2 4 2" xfId="9868" xr:uid="{00000000-0005-0000-0000-000062690000}"/>
    <cellStyle name="표준 5 2 6 2 4 2 2" xfId="13980" xr:uid="{00000000-0005-0000-0000-000063690000}"/>
    <cellStyle name="표준 5 2 6 2 4 2 2 2" xfId="30574" xr:uid="{00000000-0005-0000-0000-000064690000}"/>
    <cellStyle name="표준 5 2 6 2 4 2 2 3" xfId="38785" xr:uid="{00000000-0005-0000-0000-000065690000}"/>
    <cellStyle name="표준 5 2 6 2 4 2 2 4" xfId="46978" xr:uid="{00000000-0005-0000-0000-000066690000}"/>
    <cellStyle name="표준 5 2 6 2 4 2 3" xfId="18220" xr:uid="{00000000-0005-0000-0000-000067690000}"/>
    <cellStyle name="표준 5 2 6 2 4 2 4" xfId="22382" xr:uid="{00000000-0005-0000-0000-000068690000}"/>
    <cellStyle name="표준 5 2 6 2 4 2 5" xfId="26478" xr:uid="{00000000-0005-0000-0000-000069690000}"/>
    <cellStyle name="표준 5 2 6 2 4 2 6" xfId="34689" xr:uid="{00000000-0005-0000-0000-00006A690000}"/>
    <cellStyle name="표준 5 2 6 2 4 2 7" xfId="42882" xr:uid="{00000000-0005-0000-0000-00006B690000}"/>
    <cellStyle name="표준 5 2 6 2 4 3" xfId="7820" xr:uid="{00000000-0005-0000-0000-00006C690000}"/>
    <cellStyle name="표준 5 2 6 2 4 3 2" xfId="28526" xr:uid="{00000000-0005-0000-0000-00006D690000}"/>
    <cellStyle name="표준 5 2 6 2 4 3 3" xfId="36737" xr:uid="{00000000-0005-0000-0000-00006E690000}"/>
    <cellStyle name="표준 5 2 6 2 4 3 4" xfId="44930" xr:uid="{00000000-0005-0000-0000-00006F690000}"/>
    <cellStyle name="표준 5 2 6 2 4 4" xfId="11932" xr:uid="{00000000-0005-0000-0000-000070690000}"/>
    <cellStyle name="표준 5 2 6 2 4 5" xfId="16172" xr:uid="{00000000-0005-0000-0000-000071690000}"/>
    <cellStyle name="표준 5 2 6 2 4 6" xfId="20334" xr:uid="{00000000-0005-0000-0000-000072690000}"/>
    <cellStyle name="표준 5 2 6 2 4 7" xfId="24430" xr:uid="{00000000-0005-0000-0000-000073690000}"/>
    <cellStyle name="표준 5 2 6 2 4 8" xfId="32641" xr:uid="{00000000-0005-0000-0000-000074690000}"/>
    <cellStyle name="표준 5 2 6 2 4 9" xfId="40834" xr:uid="{00000000-0005-0000-0000-000075690000}"/>
    <cellStyle name="표준 5 2 6 2 5" xfId="1477" xr:uid="{00000000-0005-0000-0000-000076690000}"/>
    <cellStyle name="표준 5 2 6 2 5 2" xfId="10380" xr:uid="{00000000-0005-0000-0000-000077690000}"/>
    <cellStyle name="표준 5 2 6 2 5 2 2" xfId="14492" xr:uid="{00000000-0005-0000-0000-000078690000}"/>
    <cellStyle name="표준 5 2 6 2 5 2 2 2" xfId="31086" xr:uid="{00000000-0005-0000-0000-000079690000}"/>
    <cellStyle name="표준 5 2 6 2 5 2 2 3" xfId="39297" xr:uid="{00000000-0005-0000-0000-00007A690000}"/>
    <cellStyle name="표준 5 2 6 2 5 2 2 4" xfId="47490" xr:uid="{00000000-0005-0000-0000-00007B690000}"/>
    <cellStyle name="표준 5 2 6 2 5 2 3" xfId="18732" xr:uid="{00000000-0005-0000-0000-00007C690000}"/>
    <cellStyle name="표준 5 2 6 2 5 2 4" xfId="22894" xr:uid="{00000000-0005-0000-0000-00007D690000}"/>
    <cellStyle name="표준 5 2 6 2 5 2 5" xfId="26990" xr:uid="{00000000-0005-0000-0000-00007E690000}"/>
    <cellStyle name="표준 5 2 6 2 5 2 6" xfId="35201" xr:uid="{00000000-0005-0000-0000-00007F690000}"/>
    <cellStyle name="표준 5 2 6 2 5 2 7" xfId="43394" xr:uid="{00000000-0005-0000-0000-000080690000}"/>
    <cellStyle name="표준 5 2 6 2 5 3" xfId="8332" xr:uid="{00000000-0005-0000-0000-000081690000}"/>
    <cellStyle name="표준 5 2 6 2 5 3 2" xfId="29038" xr:uid="{00000000-0005-0000-0000-000082690000}"/>
    <cellStyle name="표준 5 2 6 2 5 3 3" xfId="37249" xr:uid="{00000000-0005-0000-0000-000083690000}"/>
    <cellStyle name="표준 5 2 6 2 5 3 4" xfId="45442" xr:uid="{00000000-0005-0000-0000-000084690000}"/>
    <cellStyle name="표준 5 2 6 2 5 4" xfId="12444" xr:uid="{00000000-0005-0000-0000-000085690000}"/>
    <cellStyle name="표준 5 2 6 2 5 5" xfId="16684" xr:uid="{00000000-0005-0000-0000-000086690000}"/>
    <cellStyle name="표준 5 2 6 2 5 6" xfId="20846" xr:uid="{00000000-0005-0000-0000-000087690000}"/>
    <cellStyle name="표준 5 2 6 2 5 7" xfId="24942" xr:uid="{00000000-0005-0000-0000-000088690000}"/>
    <cellStyle name="표준 5 2 6 2 5 8" xfId="33153" xr:uid="{00000000-0005-0000-0000-000089690000}"/>
    <cellStyle name="표준 5 2 6 2 5 9" xfId="41346" xr:uid="{00000000-0005-0000-0000-00008A690000}"/>
    <cellStyle name="표준 5 2 6 2 6" xfId="1989" xr:uid="{00000000-0005-0000-0000-00008B690000}"/>
    <cellStyle name="표준 5 2 6 2 6 2" xfId="10892" xr:uid="{00000000-0005-0000-0000-00008C690000}"/>
    <cellStyle name="표준 5 2 6 2 6 2 2" xfId="15004" xr:uid="{00000000-0005-0000-0000-00008D690000}"/>
    <cellStyle name="표준 5 2 6 2 6 2 2 2" xfId="31598" xr:uid="{00000000-0005-0000-0000-00008E690000}"/>
    <cellStyle name="표준 5 2 6 2 6 2 2 3" xfId="39809" xr:uid="{00000000-0005-0000-0000-00008F690000}"/>
    <cellStyle name="표준 5 2 6 2 6 2 2 4" xfId="48002" xr:uid="{00000000-0005-0000-0000-000090690000}"/>
    <cellStyle name="표준 5 2 6 2 6 2 3" xfId="19244" xr:uid="{00000000-0005-0000-0000-000091690000}"/>
    <cellStyle name="표준 5 2 6 2 6 2 4" xfId="23406" xr:uid="{00000000-0005-0000-0000-000092690000}"/>
    <cellStyle name="표준 5 2 6 2 6 2 5" xfId="27502" xr:uid="{00000000-0005-0000-0000-000093690000}"/>
    <cellStyle name="표준 5 2 6 2 6 2 6" xfId="35713" xr:uid="{00000000-0005-0000-0000-000094690000}"/>
    <cellStyle name="표준 5 2 6 2 6 2 7" xfId="43906" xr:uid="{00000000-0005-0000-0000-000095690000}"/>
    <cellStyle name="표준 5 2 6 2 6 3" xfId="8844" xr:uid="{00000000-0005-0000-0000-000096690000}"/>
    <cellStyle name="표준 5 2 6 2 6 3 2" xfId="29550" xr:uid="{00000000-0005-0000-0000-000097690000}"/>
    <cellStyle name="표준 5 2 6 2 6 3 3" xfId="37761" xr:uid="{00000000-0005-0000-0000-000098690000}"/>
    <cellStyle name="표준 5 2 6 2 6 3 4" xfId="45954" xr:uid="{00000000-0005-0000-0000-000099690000}"/>
    <cellStyle name="표준 5 2 6 2 6 4" xfId="12956" xr:uid="{00000000-0005-0000-0000-00009A690000}"/>
    <cellStyle name="표준 5 2 6 2 6 5" xfId="17196" xr:uid="{00000000-0005-0000-0000-00009B690000}"/>
    <cellStyle name="표준 5 2 6 2 6 6" xfId="21358" xr:uid="{00000000-0005-0000-0000-00009C690000}"/>
    <cellStyle name="표준 5 2 6 2 6 7" xfId="25454" xr:uid="{00000000-0005-0000-0000-00009D690000}"/>
    <cellStyle name="표준 5 2 6 2 6 8" xfId="33665" xr:uid="{00000000-0005-0000-0000-00009E690000}"/>
    <cellStyle name="표준 5 2 6 2 6 9" xfId="41858" xr:uid="{00000000-0005-0000-0000-00009F690000}"/>
    <cellStyle name="표준 5 2 6 2 7" xfId="7049" xr:uid="{00000000-0005-0000-0000-0000A0690000}"/>
    <cellStyle name="표준 5 2 6 2 7 2" xfId="9356" xr:uid="{00000000-0005-0000-0000-0000A1690000}"/>
    <cellStyle name="표준 5 2 6 2 7 2 2" xfId="30062" xr:uid="{00000000-0005-0000-0000-0000A2690000}"/>
    <cellStyle name="표준 5 2 6 2 7 2 3" xfId="38273" xr:uid="{00000000-0005-0000-0000-0000A3690000}"/>
    <cellStyle name="표준 5 2 6 2 7 2 4" xfId="46466" xr:uid="{00000000-0005-0000-0000-0000A4690000}"/>
    <cellStyle name="표준 5 2 6 2 7 3" xfId="13468" xr:uid="{00000000-0005-0000-0000-0000A5690000}"/>
    <cellStyle name="표준 5 2 6 2 7 4" xfId="17708" xr:uid="{00000000-0005-0000-0000-0000A6690000}"/>
    <cellStyle name="표준 5 2 6 2 7 5" xfId="21870" xr:uid="{00000000-0005-0000-0000-0000A7690000}"/>
    <cellStyle name="표준 5 2 6 2 7 6" xfId="25966" xr:uid="{00000000-0005-0000-0000-0000A8690000}"/>
    <cellStyle name="표준 5 2 6 2 7 7" xfId="34177" xr:uid="{00000000-0005-0000-0000-0000A9690000}"/>
    <cellStyle name="표준 5 2 6 2 7 8" xfId="42370" xr:uid="{00000000-0005-0000-0000-0000AA690000}"/>
    <cellStyle name="표준 5 2 6 2 8" xfId="7129" xr:uid="{00000000-0005-0000-0000-0000AB690000}"/>
    <cellStyle name="표준 5 2 6 2 8 2" xfId="28014" xr:uid="{00000000-0005-0000-0000-0000AC690000}"/>
    <cellStyle name="표준 5 2 6 2 8 3" xfId="36225" xr:uid="{00000000-0005-0000-0000-0000AD690000}"/>
    <cellStyle name="표준 5 2 6 2 8 4" xfId="44418" xr:uid="{00000000-0005-0000-0000-0000AE690000}"/>
    <cellStyle name="표준 5 2 6 2 9" xfId="7308" xr:uid="{00000000-0005-0000-0000-0000AF690000}"/>
    <cellStyle name="표준 5 2 6 20" xfId="49688" xr:uid="{00000000-0005-0000-0000-0000B0690000}"/>
    <cellStyle name="표준 5 2 6 3" xfId="517" xr:uid="{00000000-0005-0000-0000-0000B1690000}"/>
    <cellStyle name="표준 5 2 6 3 10" xfId="19886" xr:uid="{00000000-0005-0000-0000-0000B2690000}"/>
    <cellStyle name="표준 5 2 6 3 11" xfId="23982" xr:uid="{00000000-0005-0000-0000-0000B3690000}"/>
    <cellStyle name="표준 5 2 6 3 12" xfId="32193" xr:uid="{00000000-0005-0000-0000-0000B4690000}"/>
    <cellStyle name="표준 5 2 6 3 13" xfId="40386" xr:uid="{00000000-0005-0000-0000-0000B5690000}"/>
    <cellStyle name="표준 5 2 6 3 2" xfId="773" xr:uid="{00000000-0005-0000-0000-0000B6690000}"/>
    <cellStyle name="표준 5 2 6 3 2 10" xfId="24238" xr:uid="{00000000-0005-0000-0000-0000B7690000}"/>
    <cellStyle name="표준 5 2 6 3 2 11" xfId="32449" xr:uid="{00000000-0005-0000-0000-0000B8690000}"/>
    <cellStyle name="표준 5 2 6 3 2 12" xfId="40642" xr:uid="{00000000-0005-0000-0000-0000B9690000}"/>
    <cellStyle name="표준 5 2 6 3 2 2" xfId="1285" xr:uid="{00000000-0005-0000-0000-0000BA690000}"/>
    <cellStyle name="표준 5 2 6 3 2 2 2" xfId="10188" xr:uid="{00000000-0005-0000-0000-0000BB690000}"/>
    <cellStyle name="표준 5 2 6 3 2 2 2 2" xfId="14300" xr:uid="{00000000-0005-0000-0000-0000BC690000}"/>
    <cellStyle name="표준 5 2 6 3 2 2 2 2 2" xfId="30894" xr:uid="{00000000-0005-0000-0000-0000BD690000}"/>
    <cellStyle name="표준 5 2 6 3 2 2 2 2 3" xfId="39105" xr:uid="{00000000-0005-0000-0000-0000BE690000}"/>
    <cellStyle name="표준 5 2 6 3 2 2 2 2 4" xfId="47298" xr:uid="{00000000-0005-0000-0000-0000BF690000}"/>
    <cellStyle name="표준 5 2 6 3 2 2 2 3" xfId="18540" xr:uid="{00000000-0005-0000-0000-0000C0690000}"/>
    <cellStyle name="표준 5 2 6 3 2 2 2 4" xfId="22702" xr:uid="{00000000-0005-0000-0000-0000C1690000}"/>
    <cellStyle name="표준 5 2 6 3 2 2 2 5" xfId="26798" xr:uid="{00000000-0005-0000-0000-0000C2690000}"/>
    <cellStyle name="표준 5 2 6 3 2 2 2 6" xfId="35009" xr:uid="{00000000-0005-0000-0000-0000C3690000}"/>
    <cellStyle name="표준 5 2 6 3 2 2 2 7" xfId="43202" xr:uid="{00000000-0005-0000-0000-0000C4690000}"/>
    <cellStyle name="표준 5 2 6 3 2 2 3" xfId="8140" xr:uid="{00000000-0005-0000-0000-0000C5690000}"/>
    <cellStyle name="표준 5 2 6 3 2 2 3 2" xfId="28846" xr:uid="{00000000-0005-0000-0000-0000C6690000}"/>
    <cellStyle name="표준 5 2 6 3 2 2 3 3" xfId="37057" xr:uid="{00000000-0005-0000-0000-0000C7690000}"/>
    <cellStyle name="표준 5 2 6 3 2 2 3 4" xfId="45250" xr:uid="{00000000-0005-0000-0000-0000C8690000}"/>
    <cellStyle name="표준 5 2 6 3 2 2 4" xfId="12252" xr:uid="{00000000-0005-0000-0000-0000C9690000}"/>
    <cellStyle name="표준 5 2 6 3 2 2 5" xfId="16492" xr:uid="{00000000-0005-0000-0000-0000CA690000}"/>
    <cellStyle name="표준 5 2 6 3 2 2 6" xfId="20654" xr:uid="{00000000-0005-0000-0000-0000CB690000}"/>
    <cellStyle name="표준 5 2 6 3 2 2 7" xfId="24750" xr:uid="{00000000-0005-0000-0000-0000CC690000}"/>
    <cellStyle name="표준 5 2 6 3 2 2 8" xfId="32961" xr:uid="{00000000-0005-0000-0000-0000CD690000}"/>
    <cellStyle name="표준 5 2 6 3 2 2 9" xfId="41154" xr:uid="{00000000-0005-0000-0000-0000CE690000}"/>
    <cellStyle name="표준 5 2 6 3 2 3" xfId="1797" xr:uid="{00000000-0005-0000-0000-0000CF690000}"/>
    <cellStyle name="표준 5 2 6 3 2 3 2" xfId="10700" xr:uid="{00000000-0005-0000-0000-0000D0690000}"/>
    <cellStyle name="표준 5 2 6 3 2 3 2 2" xfId="14812" xr:uid="{00000000-0005-0000-0000-0000D1690000}"/>
    <cellStyle name="표준 5 2 6 3 2 3 2 2 2" xfId="31406" xr:uid="{00000000-0005-0000-0000-0000D2690000}"/>
    <cellStyle name="표준 5 2 6 3 2 3 2 2 3" xfId="39617" xr:uid="{00000000-0005-0000-0000-0000D3690000}"/>
    <cellStyle name="표준 5 2 6 3 2 3 2 2 4" xfId="47810" xr:uid="{00000000-0005-0000-0000-0000D4690000}"/>
    <cellStyle name="표준 5 2 6 3 2 3 2 3" xfId="19052" xr:uid="{00000000-0005-0000-0000-0000D5690000}"/>
    <cellStyle name="표준 5 2 6 3 2 3 2 4" xfId="23214" xr:uid="{00000000-0005-0000-0000-0000D6690000}"/>
    <cellStyle name="표준 5 2 6 3 2 3 2 5" xfId="27310" xr:uid="{00000000-0005-0000-0000-0000D7690000}"/>
    <cellStyle name="표준 5 2 6 3 2 3 2 6" xfId="35521" xr:uid="{00000000-0005-0000-0000-0000D8690000}"/>
    <cellStyle name="표준 5 2 6 3 2 3 2 7" xfId="43714" xr:uid="{00000000-0005-0000-0000-0000D9690000}"/>
    <cellStyle name="표준 5 2 6 3 2 3 3" xfId="8652" xr:uid="{00000000-0005-0000-0000-0000DA690000}"/>
    <cellStyle name="표준 5 2 6 3 2 3 3 2" xfId="29358" xr:uid="{00000000-0005-0000-0000-0000DB690000}"/>
    <cellStyle name="표준 5 2 6 3 2 3 3 3" xfId="37569" xr:uid="{00000000-0005-0000-0000-0000DC690000}"/>
    <cellStyle name="표준 5 2 6 3 2 3 3 4" xfId="45762" xr:uid="{00000000-0005-0000-0000-0000DD690000}"/>
    <cellStyle name="표준 5 2 6 3 2 3 4" xfId="12764" xr:uid="{00000000-0005-0000-0000-0000DE690000}"/>
    <cellStyle name="표준 5 2 6 3 2 3 5" xfId="17004" xr:uid="{00000000-0005-0000-0000-0000DF690000}"/>
    <cellStyle name="표준 5 2 6 3 2 3 6" xfId="21166" xr:uid="{00000000-0005-0000-0000-0000E0690000}"/>
    <cellStyle name="표준 5 2 6 3 2 3 7" xfId="25262" xr:uid="{00000000-0005-0000-0000-0000E1690000}"/>
    <cellStyle name="표준 5 2 6 3 2 3 8" xfId="33473" xr:uid="{00000000-0005-0000-0000-0000E2690000}"/>
    <cellStyle name="표준 5 2 6 3 2 3 9" xfId="41666" xr:uid="{00000000-0005-0000-0000-0000E3690000}"/>
    <cellStyle name="표준 5 2 6 3 2 4" xfId="2309" xr:uid="{00000000-0005-0000-0000-0000E4690000}"/>
    <cellStyle name="표준 5 2 6 3 2 4 2" xfId="11212" xr:uid="{00000000-0005-0000-0000-0000E5690000}"/>
    <cellStyle name="표준 5 2 6 3 2 4 2 2" xfId="15324" xr:uid="{00000000-0005-0000-0000-0000E6690000}"/>
    <cellStyle name="표준 5 2 6 3 2 4 2 2 2" xfId="31918" xr:uid="{00000000-0005-0000-0000-0000E7690000}"/>
    <cellStyle name="표준 5 2 6 3 2 4 2 2 3" xfId="40129" xr:uid="{00000000-0005-0000-0000-0000E8690000}"/>
    <cellStyle name="표준 5 2 6 3 2 4 2 2 4" xfId="48322" xr:uid="{00000000-0005-0000-0000-0000E9690000}"/>
    <cellStyle name="표준 5 2 6 3 2 4 2 3" xfId="19564" xr:uid="{00000000-0005-0000-0000-0000EA690000}"/>
    <cellStyle name="표준 5 2 6 3 2 4 2 4" xfId="23726" xr:uid="{00000000-0005-0000-0000-0000EB690000}"/>
    <cellStyle name="표준 5 2 6 3 2 4 2 5" xfId="27822" xr:uid="{00000000-0005-0000-0000-0000EC690000}"/>
    <cellStyle name="표준 5 2 6 3 2 4 2 6" xfId="36033" xr:uid="{00000000-0005-0000-0000-0000ED690000}"/>
    <cellStyle name="표준 5 2 6 3 2 4 2 7" xfId="44226" xr:uid="{00000000-0005-0000-0000-0000EE690000}"/>
    <cellStyle name="표준 5 2 6 3 2 4 3" xfId="9164" xr:uid="{00000000-0005-0000-0000-0000EF690000}"/>
    <cellStyle name="표준 5 2 6 3 2 4 3 2" xfId="29870" xr:uid="{00000000-0005-0000-0000-0000F0690000}"/>
    <cellStyle name="표준 5 2 6 3 2 4 3 3" xfId="38081" xr:uid="{00000000-0005-0000-0000-0000F1690000}"/>
    <cellStyle name="표준 5 2 6 3 2 4 3 4" xfId="46274" xr:uid="{00000000-0005-0000-0000-0000F2690000}"/>
    <cellStyle name="표준 5 2 6 3 2 4 4" xfId="13276" xr:uid="{00000000-0005-0000-0000-0000F3690000}"/>
    <cellStyle name="표준 5 2 6 3 2 4 5" xfId="17516" xr:uid="{00000000-0005-0000-0000-0000F4690000}"/>
    <cellStyle name="표준 5 2 6 3 2 4 6" xfId="21678" xr:uid="{00000000-0005-0000-0000-0000F5690000}"/>
    <cellStyle name="표준 5 2 6 3 2 4 7" xfId="25774" xr:uid="{00000000-0005-0000-0000-0000F6690000}"/>
    <cellStyle name="표준 5 2 6 3 2 4 8" xfId="33985" xr:uid="{00000000-0005-0000-0000-0000F7690000}"/>
    <cellStyle name="표준 5 2 6 3 2 4 9" xfId="42178" xr:uid="{00000000-0005-0000-0000-0000F8690000}"/>
    <cellStyle name="표준 5 2 6 3 2 5" xfId="9676" xr:uid="{00000000-0005-0000-0000-0000F9690000}"/>
    <cellStyle name="표준 5 2 6 3 2 5 2" xfId="13788" xr:uid="{00000000-0005-0000-0000-0000FA690000}"/>
    <cellStyle name="표준 5 2 6 3 2 5 2 2" xfId="30382" xr:uid="{00000000-0005-0000-0000-0000FB690000}"/>
    <cellStyle name="표준 5 2 6 3 2 5 2 3" xfId="38593" xr:uid="{00000000-0005-0000-0000-0000FC690000}"/>
    <cellStyle name="표준 5 2 6 3 2 5 2 4" xfId="46786" xr:uid="{00000000-0005-0000-0000-0000FD690000}"/>
    <cellStyle name="표준 5 2 6 3 2 5 3" xfId="18028" xr:uid="{00000000-0005-0000-0000-0000FE690000}"/>
    <cellStyle name="표준 5 2 6 3 2 5 4" xfId="22190" xr:uid="{00000000-0005-0000-0000-0000FF690000}"/>
    <cellStyle name="표준 5 2 6 3 2 5 5" xfId="26286" xr:uid="{00000000-0005-0000-0000-0000006A0000}"/>
    <cellStyle name="표준 5 2 6 3 2 5 6" xfId="34497" xr:uid="{00000000-0005-0000-0000-0000016A0000}"/>
    <cellStyle name="표준 5 2 6 3 2 5 7" xfId="42690" xr:uid="{00000000-0005-0000-0000-0000026A0000}"/>
    <cellStyle name="표준 5 2 6 3 2 6" xfId="7628" xr:uid="{00000000-0005-0000-0000-0000036A0000}"/>
    <cellStyle name="표준 5 2 6 3 2 6 2" xfId="28334" xr:uid="{00000000-0005-0000-0000-0000046A0000}"/>
    <cellStyle name="표준 5 2 6 3 2 6 3" xfId="36545" xr:uid="{00000000-0005-0000-0000-0000056A0000}"/>
    <cellStyle name="표준 5 2 6 3 2 6 4" xfId="44738" xr:uid="{00000000-0005-0000-0000-0000066A0000}"/>
    <cellStyle name="표준 5 2 6 3 2 7" xfId="11740" xr:uid="{00000000-0005-0000-0000-0000076A0000}"/>
    <cellStyle name="표준 5 2 6 3 2 8" xfId="15980" xr:uid="{00000000-0005-0000-0000-0000086A0000}"/>
    <cellStyle name="표준 5 2 6 3 2 9" xfId="20142" xr:uid="{00000000-0005-0000-0000-0000096A0000}"/>
    <cellStyle name="표준 5 2 6 3 3" xfId="1029" xr:uid="{00000000-0005-0000-0000-00000A6A0000}"/>
    <cellStyle name="표준 5 2 6 3 3 2" xfId="9932" xr:uid="{00000000-0005-0000-0000-00000B6A0000}"/>
    <cellStyle name="표준 5 2 6 3 3 2 2" xfId="14044" xr:uid="{00000000-0005-0000-0000-00000C6A0000}"/>
    <cellStyle name="표준 5 2 6 3 3 2 2 2" xfId="30638" xr:uid="{00000000-0005-0000-0000-00000D6A0000}"/>
    <cellStyle name="표준 5 2 6 3 3 2 2 3" xfId="38849" xr:uid="{00000000-0005-0000-0000-00000E6A0000}"/>
    <cellStyle name="표준 5 2 6 3 3 2 2 4" xfId="47042" xr:uid="{00000000-0005-0000-0000-00000F6A0000}"/>
    <cellStyle name="표준 5 2 6 3 3 2 3" xfId="18284" xr:uid="{00000000-0005-0000-0000-0000106A0000}"/>
    <cellStyle name="표준 5 2 6 3 3 2 4" xfId="22446" xr:uid="{00000000-0005-0000-0000-0000116A0000}"/>
    <cellStyle name="표준 5 2 6 3 3 2 5" xfId="26542" xr:uid="{00000000-0005-0000-0000-0000126A0000}"/>
    <cellStyle name="표준 5 2 6 3 3 2 6" xfId="34753" xr:uid="{00000000-0005-0000-0000-0000136A0000}"/>
    <cellStyle name="표준 5 2 6 3 3 2 7" xfId="42946" xr:uid="{00000000-0005-0000-0000-0000146A0000}"/>
    <cellStyle name="표준 5 2 6 3 3 3" xfId="7884" xr:uid="{00000000-0005-0000-0000-0000156A0000}"/>
    <cellStyle name="표준 5 2 6 3 3 3 2" xfId="28590" xr:uid="{00000000-0005-0000-0000-0000166A0000}"/>
    <cellStyle name="표준 5 2 6 3 3 3 3" xfId="36801" xr:uid="{00000000-0005-0000-0000-0000176A0000}"/>
    <cellStyle name="표준 5 2 6 3 3 3 4" xfId="44994" xr:uid="{00000000-0005-0000-0000-0000186A0000}"/>
    <cellStyle name="표준 5 2 6 3 3 4" xfId="11996" xr:uid="{00000000-0005-0000-0000-0000196A0000}"/>
    <cellStyle name="표준 5 2 6 3 3 5" xfId="16236" xr:uid="{00000000-0005-0000-0000-00001A6A0000}"/>
    <cellStyle name="표준 5 2 6 3 3 6" xfId="20398" xr:uid="{00000000-0005-0000-0000-00001B6A0000}"/>
    <cellStyle name="표준 5 2 6 3 3 7" xfId="24494" xr:uid="{00000000-0005-0000-0000-00001C6A0000}"/>
    <cellStyle name="표준 5 2 6 3 3 8" xfId="32705" xr:uid="{00000000-0005-0000-0000-00001D6A0000}"/>
    <cellStyle name="표준 5 2 6 3 3 9" xfId="40898" xr:uid="{00000000-0005-0000-0000-00001E6A0000}"/>
    <cellStyle name="표준 5 2 6 3 4" xfId="1541" xr:uid="{00000000-0005-0000-0000-00001F6A0000}"/>
    <cellStyle name="표준 5 2 6 3 4 2" xfId="10444" xr:uid="{00000000-0005-0000-0000-0000206A0000}"/>
    <cellStyle name="표준 5 2 6 3 4 2 2" xfId="14556" xr:uid="{00000000-0005-0000-0000-0000216A0000}"/>
    <cellStyle name="표준 5 2 6 3 4 2 2 2" xfId="31150" xr:uid="{00000000-0005-0000-0000-0000226A0000}"/>
    <cellStyle name="표준 5 2 6 3 4 2 2 3" xfId="39361" xr:uid="{00000000-0005-0000-0000-0000236A0000}"/>
    <cellStyle name="표준 5 2 6 3 4 2 2 4" xfId="47554" xr:uid="{00000000-0005-0000-0000-0000246A0000}"/>
    <cellStyle name="표준 5 2 6 3 4 2 3" xfId="18796" xr:uid="{00000000-0005-0000-0000-0000256A0000}"/>
    <cellStyle name="표준 5 2 6 3 4 2 4" xfId="22958" xr:uid="{00000000-0005-0000-0000-0000266A0000}"/>
    <cellStyle name="표준 5 2 6 3 4 2 5" xfId="27054" xr:uid="{00000000-0005-0000-0000-0000276A0000}"/>
    <cellStyle name="표준 5 2 6 3 4 2 6" xfId="35265" xr:uid="{00000000-0005-0000-0000-0000286A0000}"/>
    <cellStyle name="표준 5 2 6 3 4 2 7" xfId="43458" xr:uid="{00000000-0005-0000-0000-0000296A0000}"/>
    <cellStyle name="표준 5 2 6 3 4 3" xfId="8396" xr:uid="{00000000-0005-0000-0000-00002A6A0000}"/>
    <cellStyle name="표준 5 2 6 3 4 3 2" xfId="29102" xr:uid="{00000000-0005-0000-0000-00002B6A0000}"/>
    <cellStyle name="표준 5 2 6 3 4 3 3" xfId="37313" xr:uid="{00000000-0005-0000-0000-00002C6A0000}"/>
    <cellStyle name="표준 5 2 6 3 4 3 4" xfId="45506" xr:uid="{00000000-0005-0000-0000-00002D6A0000}"/>
    <cellStyle name="표준 5 2 6 3 4 4" xfId="12508" xr:uid="{00000000-0005-0000-0000-00002E6A0000}"/>
    <cellStyle name="표준 5 2 6 3 4 5" xfId="16748" xr:uid="{00000000-0005-0000-0000-00002F6A0000}"/>
    <cellStyle name="표준 5 2 6 3 4 6" xfId="20910" xr:uid="{00000000-0005-0000-0000-0000306A0000}"/>
    <cellStyle name="표준 5 2 6 3 4 7" xfId="25006" xr:uid="{00000000-0005-0000-0000-0000316A0000}"/>
    <cellStyle name="표준 5 2 6 3 4 8" xfId="33217" xr:uid="{00000000-0005-0000-0000-0000326A0000}"/>
    <cellStyle name="표준 5 2 6 3 4 9" xfId="41410" xr:uid="{00000000-0005-0000-0000-0000336A0000}"/>
    <cellStyle name="표준 5 2 6 3 5" xfId="2053" xr:uid="{00000000-0005-0000-0000-0000346A0000}"/>
    <cellStyle name="표준 5 2 6 3 5 2" xfId="10956" xr:uid="{00000000-0005-0000-0000-0000356A0000}"/>
    <cellStyle name="표준 5 2 6 3 5 2 2" xfId="15068" xr:uid="{00000000-0005-0000-0000-0000366A0000}"/>
    <cellStyle name="표준 5 2 6 3 5 2 2 2" xfId="31662" xr:uid="{00000000-0005-0000-0000-0000376A0000}"/>
    <cellStyle name="표준 5 2 6 3 5 2 2 3" xfId="39873" xr:uid="{00000000-0005-0000-0000-0000386A0000}"/>
    <cellStyle name="표준 5 2 6 3 5 2 2 4" xfId="48066" xr:uid="{00000000-0005-0000-0000-0000396A0000}"/>
    <cellStyle name="표준 5 2 6 3 5 2 3" xfId="19308" xr:uid="{00000000-0005-0000-0000-00003A6A0000}"/>
    <cellStyle name="표준 5 2 6 3 5 2 4" xfId="23470" xr:uid="{00000000-0005-0000-0000-00003B6A0000}"/>
    <cellStyle name="표준 5 2 6 3 5 2 5" xfId="27566" xr:uid="{00000000-0005-0000-0000-00003C6A0000}"/>
    <cellStyle name="표준 5 2 6 3 5 2 6" xfId="35777" xr:uid="{00000000-0005-0000-0000-00003D6A0000}"/>
    <cellStyle name="표준 5 2 6 3 5 2 7" xfId="43970" xr:uid="{00000000-0005-0000-0000-00003E6A0000}"/>
    <cellStyle name="표준 5 2 6 3 5 3" xfId="8908" xr:uid="{00000000-0005-0000-0000-00003F6A0000}"/>
    <cellStyle name="표준 5 2 6 3 5 3 2" xfId="29614" xr:uid="{00000000-0005-0000-0000-0000406A0000}"/>
    <cellStyle name="표준 5 2 6 3 5 3 3" xfId="37825" xr:uid="{00000000-0005-0000-0000-0000416A0000}"/>
    <cellStyle name="표준 5 2 6 3 5 3 4" xfId="46018" xr:uid="{00000000-0005-0000-0000-0000426A0000}"/>
    <cellStyle name="표준 5 2 6 3 5 4" xfId="13020" xr:uid="{00000000-0005-0000-0000-0000436A0000}"/>
    <cellStyle name="표준 5 2 6 3 5 5" xfId="17260" xr:uid="{00000000-0005-0000-0000-0000446A0000}"/>
    <cellStyle name="표준 5 2 6 3 5 6" xfId="21422" xr:uid="{00000000-0005-0000-0000-0000456A0000}"/>
    <cellStyle name="표준 5 2 6 3 5 7" xfId="25518" xr:uid="{00000000-0005-0000-0000-0000466A0000}"/>
    <cellStyle name="표준 5 2 6 3 5 8" xfId="33729" xr:uid="{00000000-0005-0000-0000-0000476A0000}"/>
    <cellStyle name="표준 5 2 6 3 5 9" xfId="41922" xr:uid="{00000000-0005-0000-0000-0000486A0000}"/>
    <cellStyle name="표준 5 2 6 3 6" xfId="9420" xr:uid="{00000000-0005-0000-0000-0000496A0000}"/>
    <cellStyle name="표준 5 2 6 3 6 2" xfId="13532" xr:uid="{00000000-0005-0000-0000-00004A6A0000}"/>
    <cellStyle name="표준 5 2 6 3 6 2 2" xfId="30126" xr:uid="{00000000-0005-0000-0000-00004B6A0000}"/>
    <cellStyle name="표준 5 2 6 3 6 2 3" xfId="38337" xr:uid="{00000000-0005-0000-0000-00004C6A0000}"/>
    <cellStyle name="표준 5 2 6 3 6 2 4" xfId="46530" xr:uid="{00000000-0005-0000-0000-00004D6A0000}"/>
    <cellStyle name="표준 5 2 6 3 6 3" xfId="17772" xr:uid="{00000000-0005-0000-0000-00004E6A0000}"/>
    <cellStyle name="표준 5 2 6 3 6 4" xfId="21934" xr:uid="{00000000-0005-0000-0000-00004F6A0000}"/>
    <cellStyle name="표준 5 2 6 3 6 5" xfId="26030" xr:uid="{00000000-0005-0000-0000-0000506A0000}"/>
    <cellStyle name="표준 5 2 6 3 6 6" xfId="34241" xr:uid="{00000000-0005-0000-0000-0000516A0000}"/>
    <cellStyle name="표준 5 2 6 3 6 7" xfId="42434" xr:uid="{00000000-0005-0000-0000-0000526A0000}"/>
    <cellStyle name="표준 5 2 6 3 7" xfId="7372" xr:uid="{00000000-0005-0000-0000-0000536A0000}"/>
    <cellStyle name="표준 5 2 6 3 7 2" xfId="28078" xr:uid="{00000000-0005-0000-0000-0000546A0000}"/>
    <cellStyle name="표준 5 2 6 3 7 3" xfId="36289" xr:uid="{00000000-0005-0000-0000-0000556A0000}"/>
    <cellStyle name="표준 5 2 6 3 7 4" xfId="44482" xr:uid="{00000000-0005-0000-0000-0000566A0000}"/>
    <cellStyle name="표준 5 2 6 3 8" xfId="11484" xr:uid="{00000000-0005-0000-0000-0000576A0000}"/>
    <cellStyle name="표준 5 2 6 3 9" xfId="15724" xr:uid="{00000000-0005-0000-0000-0000586A0000}"/>
    <cellStyle name="표준 5 2 6 4" xfId="645" xr:uid="{00000000-0005-0000-0000-0000596A0000}"/>
    <cellStyle name="표준 5 2 6 4 10" xfId="24110" xr:uid="{00000000-0005-0000-0000-00005A6A0000}"/>
    <cellStyle name="표준 5 2 6 4 11" xfId="32321" xr:uid="{00000000-0005-0000-0000-00005B6A0000}"/>
    <cellStyle name="표준 5 2 6 4 12" xfId="40514" xr:uid="{00000000-0005-0000-0000-00005C6A0000}"/>
    <cellStyle name="표준 5 2 6 4 2" xfId="1157" xr:uid="{00000000-0005-0000-0000-00005D6A0000}"/>
    <cellStyle name="표준 5 2 6 4 2 2" xfId="10060" xr:uid="{00000000-0005-0000-0000-00005E6A0000}"/>
    <cellStyle name="표준 5 2 6 4 2 2 2" xfId="14172" xr:uid="{00000000-0005-0000-0000-00005F6A0000}"/>
    <cellStyle name="표준 5 2 6 4 2 2 2 2" xfId="30766" xr:uid="{00000000-0005-0000-0000-0000606A0000}"/>
    <cellStyle name="표준 5 2 6 4 2 2 2 3" xfId="38977" xr:uid="{00000000-0005-0000-0000-0000616A0000}"/>
    <cellStyle name="표준 5 2 6 4 2 2 2 4" xfId="47170" xr:uid="{00000000-0005-0000-0000-0000626A0000}"/>
    <cellStyle name="표준 5 2 6 4 2 2 3" xfId="18412" xr:uid="{00000000-0005-0000-0000-0000636A0000}"/>
    <cellStyle name="표준 5 2 6 4 2 2 4" xfId="22574" xr:uid="{00000000-0005-0000-0000-0000646A0000}"/>
    <cellStyle name="표준 5 2 6 4 2 2 5" xfId="26670" xr:uid="{00000000-0005-0000-0000-0000656A0000}"/>
    <cellStyle name="표준 5 2 6 4 2 2 6" xfId="34881" xr:uid="{00000000-0005-0000-0000-0000666A0000}"/>
    <cellStyle name="표준 5 2 6 4 2 2 7" xfId="43074" xr:uid="{00000000-0005-0000-0000-0000676A0000}"/>
    <cellStyle name="표준 5 2 6 4 2 3" xfId="8012" xr:uid="{00000000-0005-0000-0000-0000686A0000}"/>
    <cellStyle name="표준 5 2 6 4 2 3 2" xfId="28718" xr:uid="{00000000-0005-0000-0000-0000696A0000}"/>
    <cellStyle name="표준 5 2 6 4 2 3 3" xfId="36929" xr:uid="{00000000-0005-0000-0000-00006A6A0000}"/>
    <cellStyle name="표준 5 2 6 4 2 3 4" xfId="45122" xr:uid="{00000000-0005-0000-0000-00006B6A0000}"/>
    <cellStyle name="표준 5 2 6 4 2 4" xfId="12124" xr:uid="{00000000-0005-0000-0000-00006C6A0000}"/>
    <cellStyle name="표준 5 2 6 4 2 5" xfId="16364" xr:uid="{00000000-0005-0000-0000-00006D6A0000}"/>
    <cellStyle name="표준 5 2 6 4 2 6" xfId="20526" xr:uid="{00000000-0005-0000-0000-00006E6A0000}"/>
    <cellStyle name="표준 5 2 6 4 2 7" xfId="24622" xr:uid="{00000000-0005-0000-0000-00006F6A0000}"/>
    <cellStyle name="표준 5 2 6 4 2 8" xfId="32833" xr:uid="{00000000-0005-0000-0000-0000706A0000}"/>
    <cellStyle name="표준 5 2 6 4 2 9" xfId="41026" xr:uid="{00000000-0005-0000-0000-0000716A0000}"/>
    <cellStyle name="표준 5 2 6 4 3" xfId="1669" xr:uid="{00000000-0005-0000-0000-0000726A0000}"/>
    <cellStyle name="표준 5 2 6 4 3 2" xfId="10572" xr:uid="{00000000-0005-0000-0000-0000736A0000}"/>
    <cellStyle name="표준 5 2 6 4 3 2 2" xfId="14684" xr:uid="{00000000-0005-0000-0000-0000746A0000}"/>
    <cellStyle name="표준 5 2 6 4 3 2 2 2" xfId="31278" xr:uid="{00000000-0005-0000-0000-0000756A0000}"/>
    <cellStyle name="표준 5 2 6 4 3 2 2 3" xfId="39489" xr:uid="{00000000-0005-0000-0000-0000766A0000}"/>
    <cellStyle name="표준 5 2 6 4 3 2 2 4" xfId="47682" xr:uid="{00000000-0005-0000-0000-0000776A0000}"/>
    <cellStyle name="표준 5 2 6 4 3 2 3" xfId="18924" xr:uid="{00000000-0005-0000-0000-0000786A0000}"/>
    <cellStyle name="표준 5 2 6 4 3 2 4" xfId="23086" xr:uid="{00000000-0005-0000-0000-0000796A0000}"/>
    <cellStyle name="표준 5 2 6 4 3 2 5" xfId="27182" xr:uid="{00000000-0005-0000-0000-00007A6A0000}"/>
    <cellStyle name="표준 5 2 6 4 3 2 6" xfId="35393" xr:uid="{00000000-0005-0000-0000-00007B6A0000}"/>
    <cellStyle name="표준 5 2 6 4 3 2 7" xfId="43586" xr:uid="{00000000-0005-0000-0000-00007C6A0000}"/>
    <cellStyle name="표준 5 2 6 4 3 3" xfId="8524" xr:uid="{00000000-0005-0000-0000-00007D6A0000}"/>
    <cellStyle name="표준 5 2 6 4 3 3 2" xfId="29230" xr:uid="{00000000-0005-0000-0000-00007E6A0000}"/>
    <cellStyle name="표준 5 2 6 4 3 3 3" xfId="37441" xr:uid="{00000000-0005-0000-0000-00007F6A0000}"/>
    <cellStyle name="표준 5 2 6 4 3 3 4" xfId="45634" xr:uid="{00000000-0005-0000-0000-0000806A0000}"/>
    <cellStyle name="표준 5 2 6 4 3 4" xfId="12636" xr:uid="{00000000-0005-0000-0000-0000816A0000}"/>
    <cellStyle name="표준 5 2 6 4 3 5" xfId="16876" xr:uid="{00000000-0005-0000-0000-0000826A0000}"/>
    <cellStyle name="표준 5 2 6 4 3 6" xfId="21038" xr:uid="{00000000-0005-0000-0000-0000836A0000}"/>
    <cellStyle name="표준 5 2 6 4 3 7" xfId="25134" xr:uid="{00000000-0005-0000-0000-0000846A0000}"/>
    <cellStyle name="표준 5 2 6 4 3 8" xfId="33345" xr:uid="{00000000-0005-0000-0000-0000856A0000}"/>
    <cellStyle name="표준 5 2 6 4 3 9" xfId="41538" xr:uid="{00000000-0005-0000-0000-0000866A0000}"/>
    <cellStyle name="표준 5 2 6 4 4" xfId="2181" xr:uid="{00000000-0005-0000-0000-0000876A0000}"/>
    <cellStyle name="표준 5 2 6 4 4 2" xfId="11084" xr:uid="{00000000-0005-0000-0000-0000886A0000}"/>
    <cellStyle name="표준 5 2 6 4 4 2 2" xfId="15196" xr:uid="{00000000-0005-0000-0000-0000896A0000}"/>
    <cellStyle name="표준 5 2 6 4 4 2 2 2" xfId="31790" xr:uid="{00000000-0005-0000-0000-00008A6A0000}"/>
    <cellStyle name="표준 5 2 6 4 4 2 2 3" xfId="40001" xr:uid="{00000000-0005-0000-0000-00008B6A0000}"/>
    <cellStyle name="표준 5 2 6 4 4 2 2 4" xfId="48194" xr:uid="{00000000-0005-0000-0000-00008C6A0000}"/>
    <cellStyle name="표준 5 2 6 4 4 2 3" xfId="19436" xr:uid="{00000000-0005-0000-0000-00008D6A0000}"/>
    <cellStyle name="표준 5 2 6 4 4 2 4" xfId="23598" xr:uid="{00000000-0005-0000-0000-00008E6A0000}"/>
    <cellStyle name="표준 5 2 6 4 4 2 5" xfId="27694" xr:uid="{00000000-0005-0000-0000-00008F6A0000}"/>
    <cellStyle name="표준 5 2 6 4 4 2 6" xfId="35905" xr:uid="{00000000-0005-0000-0000-0000906A0000}"/>
    <cellStyle name="표준 5 2 6 4 4 2 7" xfId="44098" xr:uid="{00000000-0005-0000-0000-0000916A0000}"/>
    <cellStyle name="표준 5 2 6 4 4 3" xfId="9036" xr:uid="{00000000-0005-0000-0000-0000926A0000}"/>
    <cellStyle name="표준 5 2 6 4 4 3 2" xfId="29742" xr:uid="{00000000-0005-0000-0000-0000936A0000}"/>
    <cellStyle name="표준 5 2 6 4 4 3 3" xfId="37953" xr:uid="{00000000-0005-0000-0000-0000946A0000}"/>
    <cellStyle name="표준 5 2 6 4 4 3 4" xfId="46146" xr:uid="{00000000-0005-0000-0000-0000956A0000}"/>
    <cellStyle name="표준 5 2 6 4 4 4" xfId="13148" xr:uid="{00000000-0005-0000-0000-0000966A0000}"/>
    <cellStyle name="표준 5 2 6 4 4 5" xfId="17388" xr:uid="{00000000-0005-0000-0000-0000976A0000}"/>
    <cellStyle name="표준 5 2 6 4 4 6" xfId="21550" xr:uid="{00000000-0005-0000-0000-0000986A0000}"/>
    <cellStyle name="표준 5 2 6 4 4 7" xfId="25646" xr:uid="{00000000-0005-0000-0000-0000996A0000}"/>
    <cellStyle name="표준 5 2 6 4 4 8" xfId="33857" xr:uid="{00000000-0005-0000-0000-00009A6A0000}"/>
    <cellStyle name="표준 5 2 6 4 4 9" xfId="42050" xr:uid="{00000000-0005-0000-0000-00009B6A0000}"/>
    <cellStyle name="표준 5 2 6 4 5" xfId="9548" xr:uid="{00000000-0005-0000-0000-00009C6A0000}"/>
    <cellStyle name="표준 5 2 6 4 5 2" xfId="13660" xr:uid="{00000000-0005-0000-0000-00009D6A0000}"/>
    <cellStyle name="표준 5 2 6 4 5 2 2" xfId="30254" xr:uid="{00000000-0005-0000-0000-00009E6A0000}"/>
    <cellStyle name="표준 5 2 6 4 5 2 3" xfId="38465" xr:uid="{00000000-0005-0000-0000-00009F6A0000}"/>
    <cellStyle name="표준 5 2 6 4 5 2 4" xfId="46658" xr:uid="{00000000-0005-0000-0000-0000A06A0000}"/>
    <cellStyle name="표준 5 2 6 4 5 3" xfId="17900" xr:uid="{00000000-0005-0000-0000-0000A16A0000}"/>
    <cellStyle name="표준 5 2 6 4 5 4" xfId="22062" xr:uid="{00000000-0005-0000-0000-0000A26A0000}"/>
    <cellStyle name="표준 5 2 6 4 5 5" xfId="26158" xr:uid="{00000000-0005-0000-0000-0000A36A0000}"/>
    <cellStyle name="표준 5 2 6 4 5 6" xfId="34369" xr:uid="{00000000-0005-0000-0000-0000A46A0000}"/>
    <cellStyle name="표준 5 2 6 4 5 7" xfId="42562" xr:uid="{00000000-0005-0000-0000-0000A56A0000}"/>
    <cellStyle name="표준 5 2 6 4 6" xfId="7500" xr:uid="{00000000-0005-0000-0000-0000A66A0000}"/>
    <cellStyle name="표준 5 2 6 4 6 2" xfId="28206" xr:uid="{00000000-0005-0000-0000-0000A76A0000}"/>
    <cellStyle name="표준 5 2 6 4 6 3" xfId="36417" xr:uid="{00000000-0005-0000-0000-0000A86A0000}"/>
    <cellStyle name="표준 5 2 6 4 6 4" xfId="44610" xr:uid="{00000000-0005-0000-0000-0000A96A0000}"/>
    <cellStyle name="표준 5 2 6 4 7" xfId="11612" xr:uid="{00000000-0005-0000-0000-0000AA6A0000}"/>
    <cellStyle name="표준 5 2 6 4 8" xfId="15852" xr:uid="{00000000-0005-0000-0000-0000AB6A0000}"/>
    <cellStyle name="표준 5 2 6 4 9" xfId="20014" xr:uid="{00000000-0005-0000-0000-0000AC6A0000}"/>
    <cellStyle name="표준 5 2 6 5" xfId="901" xr:uid="{00000000-0005-0000-0000-0000AD6A0000}"/>
    <cellStyle name="표준 5 2 6 5 2" xfId="9804" xr:uid="{00000000-0005-0000-0000-0000AE6A0000}"/>
    <cellStyle name="표준 5 2 6 5 2 2" xfId="13916" xr:uid="{00000000-0005-0000-0000-0000AF6A0000}"/>
    <cellStyle name="표준 5 2 6 5 2 2 2" xfId="30510" xr:uid="{00000000-0005-0000-0000-0000B06A0000}"/>
    <cellStyle name="표준 5 2 6 5 2 2 3" xfId="38721" xr:uid="{00000000-0005-0000-0000-0000B16A0000}"/>
    <cellStyle name="표준 5 2 6 5 2 2 4" xfId="46914" xr:uid="{00000000-0005-0000-0000-0000B26A0000}"/>
    <cellStyle name="표준 5 2 6 5 2 3" xfId="18156" xr:uid="{00000000-0005-0000-0000-0000B36A0000}"/>
    <cellStyle name="표준 5 2 6 5 2 4" xfId="22318" xr:uid="{00000000-0005-0000-0000-0000B46A0000}"/>
    <cellStyle name="표준 5 2 6 5 2 5" xfId="26414" xr:uid="{00000000-0005-0000-0000-0000B56A0000}"/>
    <cellStyle name="표준 5 2 6 5 2 6" xfId="34625" xr:uid="{00000000-0005-0000-0000-0000B66A0000}"/>
    <cellStyle name="표준 5 2 6 5 2 7" xfId="42818" xr:uid="{00000000-0005-0000-0000-0000B76A0000}"/>
    <cellStyle name="표준 5 2 6 5 3" xfId="7756" xr:uid="{00000000-0005-0000-0000-0000B86A0000}"/>
    <cellStyle name="표준 5 2 6 5 3 2" xfId="28462" xr:uid="{00000000-0005-0000-0000-0000B96A0000}"/>
    <cellStyle name="표준 5 2 6 5 3 3" xfId="36673" xr:uid="{00000000-0005-0000-0000-0000BA6A0000}"/>
    <cellStyle name="표준 5 2 6 5 3 4" xfId="44866" xr:uid="{00000000-0005-0000-0000-0000BB6A0000}"/>
    <cellStyle name="표준 5 2 6 5 4" xfId="11868" xr:uid="{00000000-0005-0000-0000-0000BC6A0000}"/>
    <cellStyle name="표준 5 2 6 5 5" xfId="16108" xr:uid="{00000000-0005-0000-0000-0000BD6A0000}"/>
    <cellStyle name="표준 5 2 6 5 6" xfId="20270" xr:uid="{00000000-0005-0000-0000-0000BE6A0000}"/>
    <cellStyle name="표준 5 2 6 5 7" xfId="24366" xr:uid="{00000000-0005-0000-0000-0000BF6A0000}"/>
    <cellStyle name="표준 5 2 6 5 8" xfId="32577" xr:uid="{00000000-0005-0000-0000-0000C06A0000}"/>
    <cellStyle name="표준 5 2 6 5 9" xfId="40770" xr:uid="{00000000-0005-0000-0000-0000C16A0000}"/>
    <cellStyle name="표준 5 2 6 6" xfId="1413" xr:uid="{00000000-0005-0000-0000-0000C26A0000}"/>
    <cellStyle name="표준 5 2 6 6 2" xfId="10316" xr:uid="{00000000-0005-0000-0000-0000C36A0000}"/>
    <cellStyle name="표준 5 2 6 6 2 2" xfId="14428" xr:uid="{00000000-0005-0000-0000-0000C46A0000}"/>
    <cellStyle name="표준 5 2 6 6 2 2 2" xfId="31022" xr:uid="{00000000-0005-0000-0000-0000C56A0000}"/>
    <cellStyle name="표준 5 2 6 6 2 2 3" xfId="39233" xr:uid="{00000000-0005-0000-0000-0000C66A0000}"/>
    <cellStyle name="표준 5 2 6 6 2 2 4" xfId="47426" xr:uid="{00000000-0005-0000-0000-0000C76A0000}"/>
    <cellStyle name="표준 5 2 6 6 2 3" xfId="18668" xr:uid="{00000000-0005-0000-0000-0000C86A0000}"/>
    <cellStyle name="표준 5 2 6 6 2 4" xfId="22830" xr:uid="{00000000-0005-0000-0000-0000C96A0000}"/>
    <cellStyle name="표준 5 2 6 6 2 5" xfId="26926" xr:uid="{00000000-0005-0000-0000-0000CA6A0000}"/>
    <cellStyle name="표준 5 2 6 6 2 6" xfId="35137" xr:uid="{00000000-0005-0000-0000-0000CB6A0000}"/>
    <cellStyle name="표준 5 2 6 6 2 7" xfId="43330" xr:uid="{00000000-0005-0000-0000-0000CC6A0000}"/>
    <cellStyle name="표준 5 2 6 6 3" xfId="8268" xr:uid="{00000000-0005-0000-0000-0000CD6A0000}"/>
    <cellStyle name="표준 5 2 6 6 3 2" xfId="28974" xr:uid="{00000000-0005-0000-0000-0000CE6A0000}"/>
    <cellStyle name="표준 5 2 6 6 3 3" xfId="37185" xr:uid="{00000000-0005-0000-0000-0000CF6A0000}"/>
    <cellStyle name="표준 5 2 6 6 3 4" xfId="45378" xr:uid="{00000000-0005-0000-0000-0000D06A0000}"/>
    <cellStyle name="표준 5 2 6 6 4" xfId="12380" xr:uid="{00000000-0005-0000-0000-0000D16A0000}"/>
    <cellStyle name="표준 5 2 6 6 5" xfId="16620" xr:uid="{00000000-0005-0000-0000-0000D26A0000}"/>
    <cellStyle name="표준 5 2 6 6 6" xfId="20782" xr:uid="{00000000-0005-0000-0000-0000D36A0000}"/>
    <cellStyle name="표준 5 2 6 6 7" xfId="24878" xr:uid="{00000000-0005-0000-0000-0000D46A0000}"/>
    <cellStyle name="표준 5 2 6 6 8" xfId="33089" xr:uid="{00000000-0005-0000-0000-0000D56A0000}"/>
    <cellStyle name="표준 5 2 6 6 9" xfId="41282" xr:uid="{00000000-0005-0000-0000-0000D66A0000}"/>
    <cellStyle name="표준 5 2 6 7" xfId="1925" xr:uid="{00000000-0005-0000-0000-0000D76A0000}"/>
    <cellStyle name="표준 5 2 6 7 2" xfId="10828" xr:uid="{00000000-0005-0000-0000-0000D86A0000}"/>
    <cellStyle name="표준 5 2 6 7 2 2" xfId="14940" xr:uid="{00000000-0005-0000-0000-0000D96A0000}"/>
    <cellStyle name="표준 5 2 6 7 2 2 2" xfId="31534" xr:uid="{00000000-0005-0000-0000-0000DA6A0000}"/>
    <cellStyle name="표준 5 2 6 7 2 2 3" xfId="39745" xr:uid="{00000000-0005-0000-0000-0000DB6A0000}"/>
    <cellStyle name="표준 5 2 6 7 2 2 4" xfId="47938" xr:uid="{00000000-0005-0000-0000-0000DC6A0000}"/>
    <cellStyle name="표준 5 2 6 7 2 3" xfId="19180" xr:uid="{00000000-0005-0000-0000-0000DD6A0000}"/>
    <cellStyle name="표준 5 2 6 7 2 4" xfId="23342" xr:uid="{00000000-0005-0000-0000-0000DE6A0000}"/>
    <cellStyle name="표준 5 2 6 7 2 5" xfId="27438" xr:uid="{00000000-0005-0000-0000-0000DF6A0000}"/>
    <cellStyle name="표준 5 2 6 7 2 6" xfId="35649" xr:uid="{00000000-0005-0000-0000-0000E06A0000}"/>
    <cellStyle name="표준 5 2 6 7 2 7" xfId="43842" xr:uid="{00000000-0005-0000-0000-0000E16A0000}"/>
    <cellStyle name="표준 5 2 6 7 3" xfId="8780" xr:uid="{00000000-0005-0000-0000-0000E26A0000}"/>
    <cellStyle name="표준 5 2 6 7 3 2" xfId="29486" xr:uid="{00000000-0005-0000-0000-0000E36A0000}"/>
    <cellStyle name="표준 5 2 6 7 3 3" xfId="37697" xr:uid="{00000000-0005-0000-0000-0000E46A0000}"/>
    <cellStyle name="표준 5 2 6 7 3 4" xfId="45890" xr:uid="{00000000-0005-0000-0000-0000E56A0000}"/>
    <cellStyle name="표준 5 2 6 7 4" xfId="12892" xr:uid="{00000000-0005-0000-0000-0000E66A0000}"/>
    <cellStyle name="표준 5 2 6 7 5" xfId="17132" xr:uid="{00000000-0005-0000-0000-0000E76A0000}"/>
    <cellStyle name="표준 5 2 6 7 6" xfId="21294" xr:uid="{00000000-0005-0000-0000-0000E86A0000}"/>
    <cellStyle name="표준 5 2 6 7 7" xfId="25390" xr:uid="{00000000-0005-0000-0000-0000E96A0000}"/>
    <cellStyle name="표준 5 2 6 7 8" xfId="33601" xr:uid="{00000000-0005-0000-0000-0000EA6A0000}"/>
    <cellStyle name="표준 5 2 6 7 9" xfId="41794" xr:uid="{00000000-0005-0000-0000-0000EB6A0000}"/>
    <cellStyle name="표준 5 2 6 8" xfId="389" xr:uid="{00000000-0005-0000-0000-0000EC6A0000}"/>
    <cellStyle name="표준 5 2 6 8 2" xfId="9292" xr:uid="{00000000-0005-0000-0000-0000ED6A0000}"/>
    <cellStyle name="표준 5 2 6 8 2 2" xfId="29998" xr:uid="{00000000-0005-0000-0000-0000EE6A0000}"/>
    <cellStyle name="표준 5 2 6 8 2 3" xfId="38209" xr:uid="{00000000-0005-0000-0000-0000EF6A0000}"/>
    <cellStyle name="표준 5 2 6 8 2 4" xfId="46402" xr:uid="{00000000-0005-0000-0000-0000F06A0000}"/>
    <cellStyle name="표준 5 2 6 8 3" xfId="13404" xr:uid="{00000000-0005-0000-0000-0000F16A0000}"/>
    <cellStyle name="표준 5 2 6 8 4" xfId="17644" xr:uid="{00000000-0005-0000-0000-0000F26A0000}"/>
    <cellStyle name="표준 5 2 6 8 5" xfId="21806" xr:uid="{00000000-0005-0000-0000-0000F36A0000}"/>
    <cellStyle name="표준 5 2 6 8 6" xfId="25902" xr:uid="{00000000-0005-0000-0000-0000F46A0000}"/>
    <cellStyle name="표준 5 2 6 8 7" xfId="34113" xr:uid="{00000000-0005-0000-0000-0000F56A0000}"/>
    <cellStyle name="표준 5 2 6 8 8" xfId="42306" xr:uid="{00000000-0005-0000-0000-0000F66A0000}"/>
    <cellStyle name="표준 5 2 6 9" xfId="6538" xr:uid="{00000000-0005-0000-0000-0000F76A0000}"/>
    <cellStyle name="표준 5 2 6 9 2" xfId="27950" xr:uid="{00000000-0005-0000-0000-0000F86A0000}"/>
    <cellStyle name="표준 5 2 6 9 3" xfId="36161" xr:uid="{00000000-0005-0000-0000-0000F96A0000}"/>
    <cellStyle name="표준 5 2 6 9 4" xfId="44354" xr:uid="{00000000-0005-0000-0000-0000FA6A0000}"/>
    <cellStyle name="표준 5 2 7" xfId="421" xr:uid="{00000000-0005-0000-0000-0000FB6A0000}"/>
    <cellStyle name="표준 5 2 7 10" xfId="7276" xr:uid="{00000000-0005-0000-0000-0000FC6A0000}"/>
    <cellStyle name="표준 5 2 7 11" xfId="11388" xr:uid="{00000000-0005-0000-0000-0000FD6A0000}"/>
    <cellStyle name="표준 5 2 7 12" xfId="15500" xr:uid="{00000000-0005-0000-0000-0000FE6A0000}"/>
    <cellStyle name="표준 5 2 7 13" xfId="15628" xr:uid="{00000000-0005-0000-0000-0000FF6A0000}"/>
    <cellStyle name="표준 5 2 7 14" xfId="19790" xr:uid="{00000000-0005-0000-0000-0000006B0000}"/>
    <cellStyle name="표준 5 2 7 15" xfId="23886" xr:uid="{00000000-0005-0000-0000-0000016B0000}"/>
    <cellStyle name="표준 5 2 7 16" xfId="32097" xr:uid="{00000000-0005-0000-0000-0000026B0000}"/>
    <cellStyle name="표준 5 2 7 17" xfId="40290" xr:uid="{00000000-0005-0000-0000-0000036B0000}"/>
    <cellStyle name="표준 5 2 7 2" xfId="549" xr:uid="{00000000-0005-0000-0000-0000046B0000}"/>
    <cellStyle name="표준 5 2 7 2 10" xfId="19918" xr:uid="{00000000-0005-0000-0000-0000056B0000}"/>
    <cellStyle name="표준 5 2 7 2 11" xfId="24014" xr:uid="{00000000-0005-0000-0000-0000066B0000}"/>
    <cellStyle name="표준 5 2 7 2 12" xfId="32225" xr:uid="{00000000-0005-0000-0000-0000076B0000}"/>
    <cellStyle name="표준 5 2 7 2 13" xfId="40418" xr:uid="{00000000-0005-0000-0000-0000086B0000}"/>
    <cellStyle name="표준 5 2 7 2 2" xfId="805" xr:uid="{00000000-0005-0000-0000-0000096B0000}"/>
    <cellStyle name="표준 5 2 7 2 2 10" xfId="24270" xr:uid="{00000000-0005-0000-0000-00000A6B0000}"/>
    <cellStyle name="표준 5 2 7 2 2 11" xfId="32481" xr:uid="{00000000-0005-0000-0000-00000B6B0000}"/>
    <cellStyle name="표준 5 2 7 2 2 12" xfId="40674" xr:uid="{00000000-0005-0000-0000-00000C6B0000}"/>
    <cellStyle name="표준 5 2 7 2 2 2" xfId="1317" xr:uid="{00000000-0005-0000-0000-00000D6B0000}"/>
    <cellStyle name="표준 5 2 7 2 2 2 2" xfId="10220" xr:uid="{00000000-0005-0000-0000-00000E6B0000}"/>
    <cellStyle name="표준 5 2 7 2 2 2 2 2" xfId="14332" xr:uid="{00000000-0005-0000-0000-00000F6B0000}"/>
    <cellStyle name="표준 5 2 7 2 2 2 2 2 2" xfId="30926" xr:uid="{00000000-0005-0000-0000-0000106B0000}"/>
    <cellStyle name="표준 5 2 7 2 2 2 2 2 3" xfId="39137" xr:uid="{00000000-0005-0000-0000-0000116B0000}"/>
    <cellStyle name="표준 5 2 7 2 2 2 2 2 4" xfId="47330" xr:uid="{00000000-0005-0000-0000-0000126B0000}"/>
    <cellStyle name="표준 5 2 7 2 2 2 2 3" xfId="18572" xr:uid="{00000000-0005-0000-0000-0000136B0000}"/>
    <cellStyle name="표준 5 2 7 2 2 2 2 4" xfId="22734" xr:uid="{00000000-0005-0000-0000-0000146B0000}"/>
    <cellStyle name="표준 5 2 7 2 2 2 2 5" xfId="26830" xr:uid="{00000000-0005-0000-0000-0000156B0000}"/>
    <cellStyle name="표준 5 2 7 2 2 2 2 6" xfId="35041" xr:uid="{00000000-0005-0000-0000-0000166B0000}"/>
    <cellStyle name="표준 5 2 7 2 2 2 2 7" xfId="43234" xr:uid="{00000000-0005-0000-0000-0000176B0000}"/>
    <cellStyle name="표준 5 2 7 2 2 2 3" xfId="8172" xr:uid="{00000000-0005-0000-0000-0000186B0000}"/>
    <cellStyle name="표준 5 2 7 2 2 2 3 2" xfId="28878" xr:uid="{00000000-0005-0000-0000-0000196B0000}"/>
    <cellStyle name="표준 5 2 7 2 2 2 3 3" xfId="37089" xr:uid="{00000000-0005-0000-0000-00001A6B0000}"/>
    <cellStyle name="표준 5 2 7 2 2 2 3 4" xfId="45282" xr:uid="{00000000-0005-0000-0000-00001B6B0000}"/>
    <cellStyle name="표준 5 2 7 2 2 2 4" xfId="12284" xr:uid="{00000000-0005-0000-0000-00001C6B0000}"/>
    <cellStyle name="표준 5 2 7 2 2 2 5" xfId="16524" xr:uid="{00000000-0005-0000-0000-00001D6B0000}"/>
    <cellStyle name="표준 5 2 7 2 2 2 6" xfId="20686" xr:uid="{00000000-0005-0000-0000-00001E6B0000}"/>
    <cellStyle name="표준 5 2 7 2 2 2 7" xfId="24782" xr:uid="{00000000-0005-0000-0000-00001F6B0000}"/>
    <cellStyle name="표준 5 2 7 2 2 2 8" xfId="32993" xr:uid="{00000000-0005-0000-0000-0000206B0000}"/>
    <cellStyle name="표준 5 2 7 2 2 2 9" xfId="41186" xr:uid="{00000000-0005-0000-0000-0000216B0000}"/>
    <cellStyle name="표준 5 2 7 2 2 3" xfId="1829" xr:uid="{00000000-0005-0000-0000-0000226B0000}"/>
    <cellStyle name="표준 5 2 7 2 2 3 2" xfId="10732" xr:uid="{00000000-0005-0000-0000-0000236B0000}"/>
    <cellStyle name="표준 5 2 7 2 2 3 2 2" xfId="14844" xr:uid="{00000000-0005-0000-0000-0000246B0000}"/>
    <cellStyle name="표준 5 2 7 2 2 3 2 2 2" xfId="31438" xr:uid="{00000000-0005-0000-0000-0000256B0000}"/>
    <cellStyle name="표준 5 2 7 2 2 3 2 2 3" xfId="39649" xr:uid="{00000000-0005-0000-0000-0000266B0000}"/>
    <cellStyle name="표준 5 2 7 2 2 3 2 2 4" xfId="47842" xr:uid="{00000000-0005-0000-0000-0000276B0000}"/>
    <cellStyle name="표준 5 2 7 2 2 3 2 3" xfId="19084" xr:uid="{00000000-0005-0000-0000-0000286B0000}"/>
    <cellStyle name="표준 5 2 7 2 2 3 2 4" xfId="23246" xr:uid="{00000000-0005-0000-0000-0000296B0000}"/>
    <cellStyle name="표준 5 2 7 2 2 3 2 5" xfId="27342" xr:uid="{00000000-0005-0000-0000-00002A6B0000}"/>
    <cellStyle name="표준 5 2 7 2 2 3 2 6" xfId="35553" xr:uid="{00000000-0005-0000-0000-00002B6B0000}"/>
    <cellStyle name="표준 5 2 7 2 2 3 2 7" xfId="43746" xr:uid="{00000000-0005-0000-0000-00002C6B0000}"/>
    <cellStyle name="표준 5 2 7 2 2 3 3" xfId="8684" xr:uid="{00000000-0005-0000-0000-00002D6B0000}"/>
    <cellStyle name="표준 5 2 7 2 2 3 3 2" xfId="29390" xr:uid="{00000000-0005-0000-0000-00002E6B0000}"/>
    <cellStyle name="표준 5 2 7 2 2 3 3 3" xfId="37601" xr:uid="{00000000-0005-0000-0000-00002F6B0000}"/>
    <cellStyle name="표준 5 2 7 2 2 3 3 4" xfId="45794" xr:uid="{00000000-0005-0000-0000-0000306B0000}"/>
    <cellStyle name="표준 5 2 7 2 2 3 4" xfId="12796" xr:uid="{00000000-0005-0000-0000-0000316B0000}"/>
    <cellStyle name="표준 5 2 7 2 2 3 5" xfId="17036" xr:uid="{00000000-0005-0000-0000-0000326B0000}"/>
    <cellStyle name="표준 5 2 7 2 2 3 6" xfId="21198" xr:uid="{00000000-0005-0000-0000-0000336B0000}"/>
    <cellStyle name="표준 5 2 7 2 2 3 7" xfId="25294" xr:uid="{00000000-0005-0000-0000-0000346B0000}"/>
    <cellStyle name="표준 5 2 7 2 2 3 8" xfId="33505" xr:uid="{00000000-0005-0000-0000-0000356B0000}"/>
    <cellStyle name="표준 5 2 7 2 2 3 9" xfId="41698" xr:uid="{00000000-0005-0000-0000-0000366B0000}"/>
    <cellStyle name="표준 5 2 7 2 2 4" xfId="2341" xr:uid="{00000000-0005-0000-0000-0000376B0000}"/>
    <cellStyle name="표준 5 2 7 2 2 4 2" xfId="11244" xr:uid="{00000000-0005-0000-0000-0000386B0000}"/>
    <cellStyle name="표준 5 2 7 2 2 4 2 2" xfId="15356" xr:uid="{00000000-0005-0000-0000-0000396B0000}"/>
    <cellStyle name="표준 5 2 7 2 2 4 2 2 2" xfId="31950" xr:uid="{00000000-0005-0000-0000-00003A6B0000}"/>
    <cellStyle name="표준 5 2 7 2 2 4 2 2 3" xfId="40161" xr:uid="{00000000-0005-0000-0000-00003B6B0000}"/>
    <cellStyle name="표준 5 2 7 2 2 4 2 2 4" xfId="48354" xr:uid="{00000000-0005-0000-0000-00003C6B0000}"/>
    <cellStyle name="표준 5 2 7 2 2 4 2 3" xfId="19596" xr:uid="{00000000-0005-0000-0000-00003D6B0000}"/>
    <cellStyle name="표준 5 2 7 2 2 4 2 4" xfId="23758" xr:uid="{00000000-0005-0000-0000-00003E6B0000}"/>
    <cellStyle name="표준 5 2 7 2 2 4 2 5" xfId="27854" xr:uid="{00000000-0005-0000-0000-00003F6B0000}"/>
    <cellStyle name="표준 5 2 7 2 2 4 2 6" xfId="36065" xr:uid="{00000000-0005-0000-0000-0000406B0000}"/>
    <cellStyle name="표준 5 2 7 2 2 4 2 7" xfId="44258" xr:uid="{00000000-0005-0000-0000-0000416B0000}"/>
    <cellStyle name="표준 5 2 7 2 2 4 3" xfId="9196" xr:uid="{00000000-0005-0000-0000-0000426B0000}"/>
    <cellStyle name="표준 5 2 7 2 2 4 3 2" xfId="29902" xr:uid="{00000000-0005-0000-0000-0000436B0000}"/>
    <cellStyle name="표준 5 2 7 2 2 4 3 3" xfId="38113" xr:uid="{00000000-0005-0000-0000-0000446B0000}"/>
    <cellStyle name="표준 5 2 7 2 2 4 3 4" xfId="46306" xr:uid="{00000000-0005-0000-0000-0000456B0000}"/>
    <cellStyle name="표준 5 2 7 2 2 4 4" xfId="13308" xr:uid="{00000000-0005-0000-0000-0000466B0000}"/>
    <cellStyle name="표준 5 2 7 2 2 4 5" xfId="17548" xr:uid="{00000000-0005-0000-0000-0000476B0000}"/>
    <cellStyle name="표준 5 2 7 2 2 4 6" xfId="21710" xr:uid="{00000000-0005-0000-0000-0000486B0000}"/>
    <cellStyle name="표준 5 2 7 2 2 4 7" xfId="25806" xr:uid="{00000000-0005-0000-0000-0000496B0000}"/>
    <cellStyle name="표준 5 2 7 2 2 4 8" xfId="34017" xr:uid="{00000000-0005-0000-0000-00004A6B0000}"/>
    <cellStyle name="표준 5 2 7 2 2 4 9" xfId="42210" xr:uid="{00000000-0005-0000-0000-00004B6B0000}"/>
    <cellStyle name="표준 5 2 7 2 2 5" xfId="9708" xr:uid="{00000000-0005-0000-0000-00004C6B0000}"/>
    <cellStyle name="표준 5 2 7 2 2 5 2" xfId="13820" xr:uid="{00000000-0005-0000-0000-00004D6B0000}"/>
    <cellStyle name="표준 5 2 7 2 2 5 2 2" xfId="30414" xr:uid="{00000000-0005-0000-0000-00004E6B0000}"/>
    <cellStyle name="표준 5 2 7 2 2 5 2 3" xfId="38625" xr:uid="{00000000-0005-0000-0000-00004F6B0000}"/>
    <cellStyle name="표준 5 2 7 2 2 5 2 4" xfId="46818" xr:uid="{00000000-0005-0000-0000-0000506B0000}"/>
    <cellStyle name="표준 5 2 7 2 2 5 3" xfId="18060" xr:uid="{00000000-0005-0000-0000-0000516B0000}"/>
    <cellStyle name="표준 5 2 7 2 2 5 4" xfId="22222" xr:uid="{00000000-0005-0000-0000-0000526B0000}"/>
    <cellStyle name="표준 5 2 7 2 2 5 5" xfId="26318" xr:uid="{00000000-0005-0000-0000-0000536B0000}"/>
    <cellStyle name="표준 5 2 7 2 2 5 6" xfId="34529" xr:uid="{00000000-0005-0000-0000-0000546B0000}"/>
    <cellStyle name="표준 5 2 7 2 2 5 7" xfId="42722" xr:uid="{00000000-0005-0000-0000-0000556B0000}"/>
    <cellStyle name="표준 5 2 7 2 2 6" xfId="7660" xr:uid="{00000000-0005-0000-0000-0000566B0000}"/>
    <cellStyle name="표준 5 2 7 2 2 6 2" xfId="28366" xr:uid="{00000000-0005-0000-0000-0000576B0000}"/>
    <cellStyle name="표준 5 2 7 2 2 6 3" xfId="36577" xr:uid="{00000000-0005-0000-0000-0000586B0000}"/>
    <cellStyle name="표준 5 2 7 2 2 6 4" xfId="44770" xr:uid="{00000000-0005-0000-0000-0000596B0000}"/>
    <cellStyle name="표준 5 2 7 2 2 7" xfId="11772" xr:uid="{00000000-0005-0000-0000-00005A6B0000}"/>
    <cellStyle name="표준 5 2 7 2 2 8" xfId="16012" xr:uid="{00000000-0005-0000-0000-00005B6B0000}"/>
    <cellStyle name="표준 5 2 7 2 2 9" xfId="20174" xr:uid="{00000000-0005-0000-0000-00005C6B0000}"/>
    <cellStyle name="표준 5 2 7 2 3" xfId="1061" xr:uid="{00000000-0005-0000-0000-00005D6B0000}"/>
    <cellStyle name="표준 5 2 7 2 3 2" xfId="9964" xr:uid="{00000000-0005-0000-0000-00005E6B0000}"/>
    <cellStyle name="표준 5 2 7 2 3 2 2" xfId="14076" xr:uid="{00000000-0005-0000-0000-00005F6B0000}"/>
    <cellStyle name="표준 5 2 7 2 3 2 2 2" xfId="30670" xr:uid="{00000000-0005-0000-0000-0000606B0000}"/>
    <cellStyle name="표준 5 2 7 2 3 2 2 3" xfId="38881" xr:uid="{00000000-0005-0000-0000-0000616B0000}"/>
    <cellStyle name="표준 5 2 7 2 3 2 2 4" xfId="47074" xr:uid="{00000000-0005-0000-0000-0000626B0000}"/>
    <cellStyle name="표준 5 2 7 2 3 2 3" xfId="18316" xr:uid="{00000000-0005-0000-0000-0000636B0000}"/>
    <cellStyle name="표준 5 2 7 2 3 2 4" xfId="22478" xr:uid="{00000000-0005-0000-0000-0000646B0000}"/>
    <cellStyle name="표준 5 2 7 2 3 2 5" xfId="26574" xr:uid="{00000000-0005-0000-0000-0000656B0000}"/>
    <cellStyle name="표준 5 2 7 2 3 2 6" xfId="34785" xr:uid="{00000000-0005-0000-0000-0000666B0000}"/>
    <cellStyle name="표준 5 2 7 2 3 2 7" xfId="42978" xr:uid="{00000000-0005-0000-0000-0000676B0000}"/>
    <cellStyle name="표준 5 2 7 2 3 3" xfId="7916" xr:uid="{00000000-0005-0000-0000-0000686B0000}"/>
    <cellStyle name="표준 5 2 7 2 3 3 2" xfId="28622" xr:uid="{00000000-0005-0000-0000-0000696B0000}"/>
    <cellStyle name="표준 5 2 7 2 3 3 3" xfId="36833" xr:uid="{00000000-0005-0000-0000-00006A6B0000}"/>
    <cellStyle name="표준 5 2 7 2 3 3 4" xfId="45026" xr:uid="{00000000-0005-0000-0000-00006B6B0000}"/>
    <cellStyle name="표준 5 2 7 2 3 4" xfId="12028" xr:uid="{00000000-0005-0000-0000-00006C6B0000}"/>
    <cellStyle name="표준 5 2 7 2 3 5" xfId="16268" xr:uid="{00000000-0005-0000-0000-00006D6B0000}"/>
    <cellStyle name="표준 5 2 7 2 3 6" xfId="20430" xr:uid="{00000000-0005-0000-0000-00006E6B0000}"/>
    <cellStyle name="표준 5 2 7 2 3 7" xfId="24526" xr:uid="{00000000-0005-0000-0000-00006F6B0000}"/>
    <cellStyle name="표준 5 2 7 2 3 8" xfId="32737" xr:uid="{00000000-0005-0000-0000-0000706B0000}"/>
    <cellStyle name="표준 5 2 7 2 3 9" xfId="40930" xr:uid="{00000000-0005-0000-0000-0000716B0000}"/>
    <cellStyle name="표준 5 2 7 2 4" xfId="1573" xr:uid="{00000000-0005-0000-0000-0000726B0000}"/>
    <cellStyle name="표준 5 2 7 2 4 2" xfId="10476" xr:uid="{00000000-0005-0000-0000-0000736B0000}"/>
    <cellStyle name="표준 5 2 7 2 4 2 2" xfId="14588" xr:uid="{00000000-0005-0000-0000-0000746B0000}"/>
    <cellStyle name="표준 5 2 7 2 4 2 2 2" xfId="31182" xr:uid="{00000000-0005-0000-0000-0000756B0000}"/>
    <cellStyle name="표준 5 2 7 2 4 2 2 3" xfId="39393" xr:uid="{00000000-0005-0000-0000-0000766B0000}"/>
    <cellStyle name="표준 5 2 7 2 4 2 2 4" xfId="47586" xr:uid="{00000000-0005-0000-0000-0000776B0000}"/>
    <cellStyle name="표준 5 2 7 2 4 2 3" xfId="18828" xr:uid="{00000000-0005-0000-0000-0000786B0000}"/>
    <cellStyle name="표준 5 2 7 2 4 2 4" xfId="22990" xr:uid="{00000000-0005-0000-0000-0000796B0000}"/>
    <cellStyle name="표준 5 2 7 2 4 2 5" xfId="27086" xr:uid="{00000000-0005-0000-0000-00007A6B0000}"/>
    <cellStyle name="표준 5 2 7 2 4 2 6" xfId="35297" xr:uid="{00000000-0005-0000-0000-00007B6B0000}"/>
    <cellStyle name="표준 5 2 7 2 4 2 7" xfId="43490" xr:uid="{00000000-0005-0000-0000-00007C6B0000}"/>
    <cellStyle name="표준 5 2 7 2 4 3" xfId="8428" xr:uid="{00000000-0005-0000-0000-00007D6B0000}"/>
    <cellStyle name="표준 5 2 7 2 4 3 2" xfId="29134" xr:uid="{00000000-0005-0000-0000-00007E6B0000}"/>
    <cellStyle name="표준 5 2 7 2 4 3 3" xfId="37345" xr:uid="{00000000-0005-0000-0000-00007F6B0000}"/>
    <cellStyle name="표준 5 2 7 2 4 3 4" xfId="45538" xr:uid="{00000000-0005-0000-0000-0000806B0000}"/>
    <cellStyle name="표준 5 2 7 2 4 4" xfId="12540" xr:uid="{00000000-0005-0000-0000-0000816B0000}"/>
    <cellStyle name="표준 5 2 7 2 4 5" xfId="16780" xr:uid="{00000000-0005-0000-0000-0000826B0000}"/>
    <cellStyle name="표준 5 2 7 2 4 6" xfId="20942" xr:uid="{00000000-0005-0000-0000-0000836B0000}"/>
    <cellStyle name="표준 5 2 7 2 4 7" xfId="25038" xr:uid="{00000000-0005-0000-0000-0000846B0000}"/>
    <cellStyle name="표준 5 2 7 2 4 8" xfId="33249" xr:uid="{00000000-0005-0000-0000-0000856B0000}"/>
    <cellStyle name="표준 5 2 7 2 4 9" xfId="41442" xr:uid="{00000000-0005-0000-0000-0000866B0000}"/>
    <cellStyle name="표준 5 2 7 2 5" xfId="2085" xr:uid="{00000000-0005-0000-0000-0000876B0000}"/>
    <cellStyle name="표준 5 2 7 2 5 2" xfId="10988" xr:uid="{00000000-0005-0000-0000-0000886B0000}"/>
    <cellStyle name="표준 5 2 7 2 5 2 2" xfId="15100" xr:uid="{00000000-0005-0000-0000-0000896B0000}"/>
    <cellStyle name="표준 5 2 7 2 5 2 2 2" xfId="31694" xr:uid="{00000000-0005-0000-0000-00008A6B0000}"/>
    <cellStyle name="표준 5 2 7 2 5 2 2 3" xfId="39905" xr:uid="{00000000-0005-0000-0000-00008B6B0000}"/>
    <cellStyle name="표준 5 2 7 2 5 2 2 4" xfId="48098" xr:uid="{00000000-0005-0000-0000-00008C6B0000}"/>
    <cellStyle name="표준 5 2 7 2 5 2 3" xfId="19340" xr:uid="{00000000-0005-0000-0000-00008D6B0000}"/>
    <cellStyle name="표준 5 2 7 2 5 2 4" xfId="23502" xr:uid="{00000000-0005-0000-0000-00008E6B0000}"/>
    <cellStyle name="표준 5 2 7 2 5 2 5" xfId="27598" xr:uid="{00000000-0005-0000-0000-00008F6B0000}"/>
    <cellStyle name="표준 5 2 7 2 5 2 6" xfId="35809" xr:uid="{00000000-0005-0000-0000-0000906B0000}"/>
    <cellStyle name="표준 5 2 7 2 5 2 7" xfId="44002" xr:uid="{00000000-0005-0000-0000-0000916B0000}"/>
    <cellStyle name="표준 5 2 7 2 5 3" xfId="8940" xr:uid="{00000000-0005-0000-0000-0000926B0000}"/>
    <cellStyle name="표준 5 2 7 2 5 3 2" xfId="29646" xr:uid="{00000000-0005-0000-0000-0000936B0000}"/>
    <cellStyle name="표준 5 2 7 2 5 3 3" xfId="37857" xr:uid="{00000000-0005-0000-0000-0000946B0000}"/>
    <cellStyle name="표준 5 2 7 2 5 3 4" xfId="46050" xr:uid="{00000000-0005-0000-0000-0000956B0000}"/>
    <cellStyle name="표준 5 2 7 2 5 4" xfId="13052" xr:uid="{00000000-0005-0000-0000-0000966B0000}"/>
    <cellStyle name="표준 5 2 7 2 5 5" xfId="17292" xr:uid="{00000000-0005-0000-0000-0000976B0000}"/>
    <cellStyle name="표준 5 2 7 2 5 6" xfId="21454" xr:uid="{00000000-0005-0000-0000-0000986B0000}"/>
    <cellStyle name="표준 5 2 7 2 5 7" xfId="25550" xr:uid="{00000000-0005-0000-0000-0000996B0000}"/>
    <cellStyle name="표준 5 2 7 2 5 8" xfId="33761" xr:uid="{00000000-0005-0000-0000-00009A6B0000}"/>
    <cellStyle name="표준 5 2 7 2 5 9" xfId="41954" xr:uid="{00000000-0005-0000-0000-00009B6B0000}"/>
    <cellStyle name="표준 5 2 7 2 6" xfId="9452" xr:uid="{00000000-0005-0000-0000-00009C6B0000}"/>
    <cellStyle name="표준 5 2 7 2 6 2" xfId="13564" xr:uid="{00000000-0005-0000-0000-00009D6B0000}"/>
    <cellStyle name="표준 5 2 7 2 6 2 2" xfId="30158" xr:uid="{00000000-0005-0000-0000-00009E6B0000}"/>
    <cellStyle name="표준 5 2 7 2 6 2 3" xfId="38369" xr:uid="{00000000-0005-0000-0000-00009F6B0000}"/>
    <cellStyle name="표준 5 2 7 2 6 2 4" xfId="46562" xr:uid="{00000000-0005-0000-0000-0000A06B0000}"/>
    <cellStyle name="표준 5 2 7 2 6 3" xfId="17804" xr:uid="{00000000-0005-0000-0000-0000A16B0000}"/>
    <cellStyle name="표준 5 2 7 2 6 4" xfId="21966" xr:uid="{00000000-0005-0000-0000-0000A26B0000}"/>
    <cellStyle name="표준 5 2 7 2 6 5" xfId="26062" xr:uid="{00000000-0005-0000-0000-0000A36B0000}"/>
    <cellStyle name="표준 5 2 7 2 6 6" xfId="34273" xr:uid="{00000000-0005-0000-0000-0000A46B0000}"/>
    <cellStyle name="표준 5 2 7 2 6 7" xfId="42466" xr:uid="{00000000-0005-0000-0000-0000A56B0000}"/>
    <cellStyle name="표준 5 2 7 2 7" xfId="7404" xr:uid="{00000000-0005-0000-0000-0000A66B0000}"/>
    <cellStyle name="표준 5 2 7 2 7 2" xfId="28110" xr:uid="{00000000-0005-0000-0000-0000A76B0000}"/>
    <cellStyle name="표준 5 2 7 2 7 3" xfId="36321" xr:uid="{00000000-0005-0000-0000-0000A86B0000}"/>
    <cellStyle name="표준 5 2 7 2 7 4" xfId="44514" xr:uid="{00000000-0005-0000-0000-0000A96B0000}"/>
    <cellStyle name="표준 5 2 7 2 8" xfId="11516" xr:uid="{00000000-0005-0000-0000-0000AA6B0000}"/>
    <cellStyle name="표준 5 2 7 2 9" xfId="15756" xr:uid="{00000000-0005-0000-0000-0000AB6B0000}"/>
    <cellStyle name="표준 5 2 7 3" xfId="677" xr:uid="{00000000-0005-0000-0000-0000AC6B0000}"/>
    <cellStyle name="표준 5 2 7 3 10" xfId="24142" xr:uid="{00000000-0005-0000-0000-0000AD6B0000}"/>
    <cellStyle name="표준 5 2 7 3 11" xfId="32353" xr:uid="{00000000-0005-0000-0000-0000AE6B0000}"/>
    <cellStyle name="표준 5 2 7 3 12" xfId="40546" xr:uid="{00000000-0005-0000-0000-0000AF6B0000}"/>
    <cellStyle name="표준 5 2 7 3 2" xfId="1189" xr:uid="{00000000-0005-0000-0000-0000B06B0000}"/>
    <cellStyle name="표준 5 2 7 3 2 2" xfId="10092" xr:uid="{00000000-0005-0000-0000-0000B16B0000}"/>
    <cellStyle name="표준 5 2 7 3 2 2 2" xfId="14204" xr:uid="{00000000-0005-0000-0000-0000B26B0000}"/>
    <cellStyle name="표준 5 2 7 3 2 2 2 2" xfId="30798" xr:uid="{00000000-0005-0000-0000-0000B36B0000}"/>
    <cellStyle name="표준 5 2 7 3 2 2 2 3" xfId="39009" xr:uid="{00000000-0005-0000-0000-0000B46B0000}"/>
    <cellStyle name="표준 5 2 7 3 2 2 2 4" xfId="47202" xr:uid="{00000000-0005-0000-0000-0000B56B0000}"/>
    <cellStyle name="표준 5 2 7 3 2 2 3" xfId="18444" xr:uid="{00000000-0005-0000-0000-0000B66B0000}"/>
    <cellStyle name="표준 5 2 7 3 2 2 4" xfId="22606" xr:uid="{00000000-0005-0000-0000-0000B76B0000}"/>
    <cellStyle name="표준 5 2 7 3 2 2 5" xfId="26702" xr:uid="{00000000-0005-0000-0000-0000B86B0000}"/>
    <cellStyle name="표준 5 2 7 3 2 2 6" xfId="34913" xr:uid="{00000000-0005-0000-0000-0000B96B0000}"/>
    <cellStyle name="표준 5 2 7 3 2 2 7" xfId="43106" xr:uid="{00000000-0005-0000-0000-0000BA6B0000}"/>
    <cellStyle name="표준 5 2 7 3 2 3" xfId="8044" xr:uid="{00000000-0005-0000-0000-0000BB6B0000}"/>
    <cellStyle name="표준 5 2 7 3 2 3 2" xfId="28750" xr:uid="{00000000-0005-0000-0000-0000BC6B0000}"/>
    <cellStyle name="표준 5 2 7 3 2 3 3" xfId="36961" xr:uid="{00000000-0005-0000-0000-0000BD6B0000}"/>
    <cellStyle name="표준 5 2 7 3 2 3 4" xfId="45154" xr:uid="{00000000-0005-0000-0000-0000BE6B0000}"/>
    <cellStyle name="표준 5 2 7 3 2 4" xfId="12156" xr:uid="{00000000-0005-0000-0000-0000BF6B0000}"/>
    <cellStyle name="표준 5 2 7 3 2 5" xfId="16396" xr:uid="{00000000-0005-0000-0000-0000C06B0000}"/>
    <cellStyle name="표준 5 2 7 3 2 6" xfId="20558" xr:uid="{00000000-0005-0000-0000-0000C16B0000}"/>
    <cellStyle name="표준 5 2 7 3 2 7" xfId="24654" xr:uid="{00000000-0005-0000-0000-0000C26B0000}"/>
    <cellStyle name="표준 5 2 7 3 2 8" xfId="32865" xr:uid="{00000000-0005-0000-0000-0000C36B0000}"/>
    <cellStyle name="표준 5 2 7 3 2 9" xfId="41058" xr:uid="{00000000-0005-0000-0000-0000C46B0000}"/>
    <cellStyle name="표준 5 2 7 3 3" xfId="1701" xr:uid="{00000000-0005-0000-0000-0000C56B0000}"/>
    <cellStyle name="표준 5 2 7 3 3 2" xfId="10604" xr:uid="{00000000-0005-0000-0000-0000C66B0000}"/>
    <cellStyle name="표준 5 2 7 3 3 2 2" xfId="14716" xr:uid="{00000000-0005-0000-0000-0000C76B0000}"/>
    <cellStyle name="표준 5 2 7 3 3 2 2 2" xfId="31310" xr:uid="{00000000-0005-0000-0000-0000C86B0000}"/>
    <cellStyle name="표준 5 2 7 3 3 2 2 3" xfId="39521" xr:uid="{00000000-0005-0000-0000-0000C96B0000}"/>
    <cellStyle name="표준 5 2 7 3 3 2 2 4" xfId="47714" xr:uid="{00000000-0005-0000-0000-0000CA6B0000}"/>
    <cellStyle name="표준 5 2 7 3 3 2 3" xfId="18956" xr:uid="{00000000-0005-0000-0000-0000CB6B0000}"/>
    <cellStyle name="표준 5 2 7 3 3 2 4" xfId="23118" xr:uid="{00000000-0005-0000-0000-0000CC6B0000}"/>
    <cellStyle name="표준 5 2 7 3 3 2 5" xfId="27214" xr:uid="{00000000-0005-0000-0000-0000CD6B0000}"/>
    <cellStyle name="표준 5 2 7 3 3 2 6" xfId="35425" xr:uid="{00000000-0005-0000-0000-0000CE6B0000}"/>
    <cellStyle name="표준 5 2 7 3 3 2 7" xfId="43618" xr:uid="{00000000-0005-0000-0000-0000CF6B0000}"/>
    <cellStyle name="표준 5 2 7 3 3 3" xfId="8556" xr:uid="{00000000-0005-0000-0000-0000D06B0000}"/>
    <cellStyle name="표준 5 2 7 3 3 3 2" xfId="29262" xr:uid="{00000000-0005-0000-0000-0000D16B0000}"/>
    <cellStyle name="표준 5 2 7 3 3 3 3" xfId="37473" xr:uid="{00000000-0005-0000-0000-0000D26B0000}"/>
    <cellStyle name="표준 5 2 7 3 3 3 4" xfId="45666" xr:uid="{00000000-0005-0000-0000-0000D36B0000}"/>
    <cellStyle name="표준 5 2 7 3 3 4" xfId="12668" xr:uid="{00000000-0005-0000-0000-0000D46B0000}"/>
    <cellStyle name="표준 5 2 7 3 3 5" xfId="16908" xr:uid="{00000000-0005-0000-0000-0000D56B0000}"/>
    <cellStyle name="표준 5 2 7 3 3 6" xfId="21070" xr:uid="{00000000-0005-0000-0000-0000D66B0000}"/>
    <cellStyle name="표준 5 2 7 3 3 7" xfId="25166" xr:uid="{00000000-0005-0000-0000-0000D76B0000}"/>
    <cellStyle name="표준 5 2 7 3 3 8" xfId="33377" xr:uid="{00000000-0005-0000-0000-0000D86B0000}"/>
    <cellStyle name="표준 5 2 7 3 3 9" xfId="41570" xr:uid="{00000000-0005-0000-0000-0000D96B0000}"/>
    <cellStyle name="표준 5 2 7 3 4" xfId="2213" xr:uid="{00000000-0005-0000-0000-0000DA6B0000}"/>
    <cellStyle name="표준 5 2 7 3 4 2" xfId="11116" xr:uid="{00000000-0005-0000-0000-0000DB6B0000}"/>
    <cellStyle name="표준 5 2 7 3 4 2 2" xfId="15228" xr:uid="{00000000-0005-0000-0000-0000DC6B0000}"/>
    <cellStyle name="표준 5 2 7 3 4 2 2 2" xfId="31822" xr:uid="{00000000-0005-0000-0000-0000DD6B0000}"/>
    <cellStyle name="표준 5 2 7 3 4 2 2 3" xfId="40033" xr:uid="{00000000-0005-0000-0000-0000DE6B0000}"/>
    <cellStyle name="표준 5 2 7 3 4 2 2 4" xfId="48226" xr:uid="{00000000-0005-0000-0000-0000DF6B0000}"/>
    <cellStyle name="표준 5 2 7 3 4 2 3" xfId="19468" xr:uid="{00000000-0005-0000-0000-0000E06B0000}"/>
    <cellStyle name="표준 5 2 7 3 4 2 4" xfId="23630" xr:uid="{00000000-0005-0000-0000-0000E16B0000}"/>
    <cellStyle name="표준 5 2 7 3 4 2 5" xfId="27726" xr:uid="{00000000-0005-0000-0000-0000E26B0000}"/>
    <cellStyle name="표준 5 2 7 3 4 2 6" xfId="35937" xr:uid="{00000000-0005-0000-0000-0000E36B0000}"/>
    <cellStyle name="표준 5 2 7 3 4 2 7" xfId="44130" xr:uid="{00000000-0005-0000-0000-0000E46B0000}"/>
    <cellStyle name="표준 5 2 7 3 4 3" xfId="9068" xr:uid="{00000000-0005-0000-0000-0000E56B0000}"/>
    <cellStyle name="표준 5 2 7 3 4 3 2" xfId="29774" xr:uid="{00000000-0005-0000-0000-0000E66B0000}"/>
    <cellStyle name="표준 5 2 7 3 4 3 3" xfId="37985" xr:uid="{00000000-0005-0000-0000-0000E76B0000}"/>
    <cellStyle name="표준 5 2 7 3 4 3 4" xfId="46178" xr:uid="{00000000-0005-0000-0000-0000E86B0000}"/>
    <cellStyle name="표준 5 2 7 3 4 4" xfId="13180" xr:uid="{00000000-0005-0000-0000-0000E96B0000}"/>
    <cellStyle name="표준 5 2 7 3 4 5" xfId="17420" xr:uid="{00000000-0005-0000-0000-0000EA6B0000}"/>
    <cellStyle name="표준 5 2 7 3 4 6" xfId="21582" xr:uid="{00000000-0005-0000-0000-0000EB6B0000}"/>
    <cellStyle name="표준 5 2 7 3 4 7" xfId="25678" xr:uid="{00000000-0005-0000-0000-0000EC6B0000}"/>
    <cellStyle name="표준 5 2 7 3 4 8" xfId="33889" xr:uid="{00000000-0005-0000-0000-0000ED6B0000}"/>
    <cellStyle name="표준 5 2 7 3 4 9" xfId="42082" xr:uid="{00000000-0005-0000-0000-0000EE6B0000}"/>
    <cellStyle name="표준 5 2 7 3 5" xfId="9580" xr:uid="{00000000-0005-0000-0000-0000EF6B0000}"/>
    <cellStyle name="표준 5 2 7 3 5 2" xfId="13692" xr:uid="{00000000-0005-0000-0000-0000F06B0000}"/>
    <cellStyle name="표준 5 2 7 3 5 2 2" xfId="30286" xr:uid="{00000000-0005-0000-0000-0000F16B0000}"/>
    <cellStyle name="표준 5 2 7 3 5 2 3" xfId="38497" xr:uid="{00000000-0005-0000-0000-0000F26B0000}"/>
    <cellStyle name="표준 5 2 7 3 5 2 4" xfId="46690" xr:uid="{00000000-0005-0000-0000-0000F36B0000}"/>
    <cellStyle name="표준 5 2 7 3 5 3" xfId="17932" xr:uid="{00000000-0005-0000-0000-0000F46B0000}"/>
    <cellStyle name="표준 5 2 7 3 5 4" xfId="22094" xr:uid="{00000000-0005-0000-0000-0000F56B0000}"/>
    <cellStyle name="표준 5 2 7 3 5 5" xfId="26190" xr:uid="{00000000-0005-0000-0000-0000F66B0000}"/>
    <cellStyle name="표준 5 2 7 3 5 6" xfId="34401" xr:uid="{00000000-0005-0000-0000-0000F76B0000}"/>
    <cellStyle name="표준 5 2 7 3 5 7" xfId="42594" xr:uid="{00000000-0005-0000-0000-0000F86B0000}"/>
    <cellStyle name="표준 5 2 7 3 6" xfId="7532" xr:uid="{00000000-0005-0000-0000-0000F96B0000}"/>
    <cellStyle name="표준 5 2 7 3 6 2" xfId="28238" xr:uid="{00000000-0005-0000-0000-0000FA6B0000}"/>
    <cellStyle name="표준 5 2 7 3 6 3" xfId="36449" xr:uid="{00000000-0005-0000-0000-0000FB6B0000}"/>
    <cellStyle name="표준 5 2 7 3 6 4" xfId="44642" xr:uid="{00000000-0005-0000-0000-0000FC6B0000}"/>
    <cellStyle name="표준 5 2 7 3 7" xfId="11644" xr:uid="{00000000-0005-0000-0000-0000FD6B0000}"/>
    <cellStyle name="표준 5 2 7 3 8" xfId="15884" xr:uid="{00000000-0005-0000-0000-0000FE6B0000}"/>
    <cellStyle name="표준 5 2 7 3 9" xfId="20046" xr:uid="{00000000-0005-0000-0000-0000FF6B0000}"/>
    <cellStyle name="표준 5 2 7 4" xfId="933" xr:uid="{00000000-0005-0000-0000-0000006C0000}"/>
    <cellStyle name="표준 5 2 7 4 2" xfId="9836" xr:uid="{00000000-0005-0000-0000-0000016C0000}"/>
    <cellStyle name="표준 5 2 7 4 2 2" xfId="13948" xr:uid="{00000000-0005-0000-0000-0000026C0000}"/>
    <cellStyle name="표준 5 2 7 4 2 2 2" xfId="30542" xr:uid="{00000000-0005-0000-0000-0000036C0000}"/>
    <cellStyle name="표준 5 2 7 4 2 2 3" xfId="38753" xr:uid="{00000000-0005-0000-0000-0000046C0000}"/>
    <cellStyle name="표준 5 2 7 4 2 2 4" xfId="46946" xr:uid="{00000000-0005-0000-0000-0000056C0000}"/>
    <cellStyle name="표준 5 2 7 4 2 3" xfId="18188" xr:uid="{00000000-0005-0000-0000-0000066C0000}"/>
    <cellStyle name="표준 5 2 7 4 2 4" xfId="22350" xr:uid="{00000000-0005-0000-0000-0000076C0000}"/>
    <cellStyle name="표준 5 2 7 4 2 5" xfId="26446" xr:uid="{00000000-0005-0000-0000-0000086C0000}"/>
    <cellStyle name="표준 5 2 7 4 2 6" xfId="34657" xr:uid="{00000000-0005-0000-0000-0000096C0000}"/>
    <cellStyle name="표준 5 2 7 4 2 7" xfId="42850" xr:uid="{00000000-0005-0000-0000-00000A6C0000}"/>
    <cellStyle name="표준 5 2 7 4 3" xfId="7788" xr:uid="{00000000-0005-0000-0000-00000B6C0000}"/>
    <cellStyle name="표준 5 2 7 4 3 2" xfId="28494" xr:uid="{00000000-0005-0000-0000-00000C6C0000}"/>
    <cellStyle name="표준 5 2 7 4 3 3" xfId="36705" xr:uid="{00000000-0005-0000-0000-00000D6C0000}"/>
    <cellStyle name="표준 5 2 7 4 3 4" xfId="44898" xr:uid="{00000000-0005-0000-0000-00000E6C0000}"/>
    <cellStyle name="표준 5 2 7 4 4" xfId="11900" xr:uid="{00000000-0005-0000-0000-00000F6C0000}"/>
    <cellStyle name="표준 5 2 7 4 5" xfId="16140" xr:uid="{00000000-0005-0000-0000-0000106C0000}"/>
    <cellStyle name="표준 5 2 7 4 6" xfId="20302" xr:uid="{00000000-0005-0000-0000-0000116C0000}"/>
    <cellStyle name="표준 5 2 7 4 7" xfId="24398" xr:uid="{00000000-0005-0000-0000-0000126C0000}"/>
    <cellStyle name="표준 5 2 7 4 8" xfId="32609" xr:uid="{00000000-0005-0000-0000-0000136C0000}"/>
    <cellStyle name="표준 5 2 7 4 9" xfId="40802" xr:uid="{00000000-0005-0000-0000-0000146C0000}"/>
    <cellStyle name="표준 5 2 7 5" xfId="1445" xr:uid="{00000000-0005-0000-0000-0000156C0000}"/>
    <cellStyle name="표준 5 2 7 5 2" xfId="10348" xr:uid="{00000000-0005-0000-0000-0000166C0000}"/>
    <cellStyle name="표준 5 2 7 5 2 2" xfId="14460" xr:uid="{00000000-0005-0000-0000-0000176C0000}"/>
    <cellStyle name="표준 5 2 7 5 2 2 2" xfId="31054" xr:uid="{00000000-0005-0000-0000-0000186C0000}"/>
    <cellStyle name="표준 5 2 7 5 2 2 3" xfId="39265" xr:uid="{00000000-0005-0000-0000-0000196C0000}"/>
    <cellStyle name="표준 5 2 7 5 2 2 4" xfId="47458" xr:uid="{00000000-0005-0000-0000-00001A6C0000}"/>
    <cellStyle name="표준 5 2 7 5 2 3" xfId="18700" xr:uid="{00000000-0005-0000-0000-00001B6C0000}"/>
    <cellStyle name="표준 5 2 7 5 2 4" xfId="22862" xr:uid="{00000000-0005-0000-0000-00001C6C0000}"/>
    <cellStyle name="표준 5 2 7 5 2 5" xfId="26958" xr:uid="{00000000-0005-0000-0000-00001D6C0000}"/>
    <cellStyle name="표준 5 2 7 5 2 6" xfId="35169" xr:uid="{00000000-0005-0000-0000-00001E6C0000}"/>
    <cellStyle name="표준 5 2 7 5 2 7" xfId="43362" xr:uid="{00000000-0005-0000-0000-00001F6C0000}"/>
    <cellStyle name="표준 5 2 7 5 3" xfId="8300" xr:uid="{00000000-0005-0000-0000-0000206C0000}"/>
    <cellStyle name="표준 5 2 7 5 3 2" xfId="29006" xr:uid="{00000000-0005-0000-0000-0000216C0000}"/>
    <cellStyle name="표준 5 2 7 5 3 3" xfId="37217" xr:uid="{00000000-0005-0000-0000-0000226C0000}"/>
    <cellStyle name="표준 5 2 7 5 3 4" xfId="45410" xr:uid="{00000000-0005-0000-0000-0000236C0000}"/>
    <cellStyle name="표준 5 2 7 5 4" xfId="12412" xr:uid="{00000000-0005-0000-0000-0000246C0000}"/>
    <cellStyle name="표준 5 2 7 5 5" xfId="16652" xr:uid="{00000000-0005-0000-0000-0000256C0000}"/>
    <cellStyle name="표준 5 2 7 5 6" xfId="20814" xr:uid="{00000000-0005-0000-0000-0000266C0000}"/>
    <cellStyle name="표준 5 2 7 5 7" xfId="24910" xr:uid="{00000000-0005-0000-0000-0000276C0000}"/>
    <cellStyle name="표준 5 2 7 5 8" xfId="33121" xr:uid="{00000000-0005-0000-0000-0000286C0000}"/>
    <cellStyle name="표준 5 2 7 5 9" xfId="41314" xr:uid="{00000000-0005-0000-0000-0000296C0000}"/>
    <cellStyle name="표준 5 2 7 6" xfId="1957" xr:uid="{00000000-0005-0000-0000-00002A6C0000}"/>
    <cellStyle name="표준 5 2 7 6 2" xfId="10860" xr:uid="{00000000-0005-0000-0000-00002B6C0000}"/>
    <cellStyle name="표준 5 2 7 6 2 2" xfId="14972" xr:uid="{00000000-0005-0000-0000-00002C6C0000}"/>
    <cellStyle name="표준 5 2 7 6 2 2 2" xfId="31566" xr:uid="{00000000-0005-0000-0000-00002D6C0000}"/>
    <cellStyle name="표준 5 2 7 6 2 2 3" xfId="39777" xr:uid="{00000000-0005-0000-0000-00002E6C0000}"/>
    <cellStyle name="표준 5 2 7 6 2 2 4" xfId="47970" xr:uid="{00000000-0005-0000-0000-00002F6C0000}"/>
    <cellStyle name="표준 5 2 7 6 2 3" xfId="19212" xr:uid="{00000000-0005-0000-0000-0000306C0000}"/>
    <cellStyle name="표준 5 2 7 6 2 4" xfId="23374" xr:uid="{00000000-0005-0000-0000-0000316C0000}"/>
    <cellStyle name="표준 5 2 7 6 2 5" xfId="27470" xr:uid="{00000000-0005-0000-0000-0000326C0000}"/>
    <cellStyle name="표준 5 2 7 6 2 6" xfId="35681" xr:uid="{00000000-0005-0000-0000-0000336C0000}"/>
    <cellStyle name="표준 5 2 7 6 2 7" xfId="43874" xr:uid="{00000000-0005-0000-0000-0000346C0000}"/>
    <cellStyle name="표준 5 2 7 6 3" xfId="8812" xr:uid="{00000000-0005-0000-0000-0000356C0000}"/>
    <cellStyle name="표준 5 2 7 6 3 2" xfId="29518" xr:uid="{00000000-0005-0000-0000-0000366C0000}"/>
    <cellStyle name="표준 5 2 7 6 3 3" xfId="37729" xr:uid="{00000000-0005-0000-0000-0000376C0000}"/>
    <cellStyle name="표준 5 2 7 6 3 4" xfId="45922" xr:uid="{00000000-0005-0000-0000-0000386C0000}"/>
    <cellStyle name="표준 5 2 7 6 4" xfId="12924" xr:uid="{00000000-0005-0000-0000-0000396C0000}"/>
    <cellStyle name="표준 5 2 7 6 5" xfId="17164" xr:uid="{00000000-0005-0000-0000-00003A6C0000}"/>
    <cellStyle name="표준 5 2 7 6 6" xfId="21326" xr:uid="{00000000-0005-0000-0000-00003B6C0000}"/>
    <cellStyle name="표준 5 2 7 6 7" xfId="25422" xr:uid="{00000000-0005-0000-0000-00003C6C0000}"/>
    <cellStyle name="표준 5 2 7 6 8" xfId="33633" xr:uid="{00000000-0005-0000-0000-00003D6C0000}"/>
    <cellStyle name="표준 5 2 7 6 9" xfId="41826" xr:uid="{00000000-0005-0000-0000-00003E6C0000}"/>
    <cellStyle name="표준 5 2 7 7" xfId="6577" xr:uid="{00000000-0005-0000-0000-00003F6C0000}"/>
    <cellStyle name="표준 5 2 7 7 2" xfId="9324" xr:uid="{00000000-0005-0000-0000-0000406C0000}"/>
    <cellStyle name="표준 5 2 7 7 2 2" xfId="30030" xr:uid="{00000000-0005-0000-0000-0000416C0000}"/>
    <cellStyle name="표준 5 2 7 7 2 3" xfId="38241" xr:uid="{00000000-0005-0000-0000-0000426C0000}"/>
    <cellStyle name="표준 5 2 7 7 2 4" xfId="46434" xr:uid="{00000000-0005-0000-0000-0000436C0000}"/>
    <cellStyle name="표준 5 2 7 7 3" xfId="13436" xr:uid="{00000000-0005-0000-0000-0000446C0000}"/>
    <cellStyle name="표준 5 2 7 7 4" xfId="17676" xr:uid="{00000000-0005-0000-0000-0000456C0000}"/>
    <cellStyle name="표준 5 2 7 7 5" xfId="21838" xr:uid="{00000000-0005-0000-0000-0000466C0000}"/>
    <cellStyle name="표준 5 2 7 7 6" xfId="25934" xr:uid="{00000000-0005-0000-0000-0000476C0000}"/>
    <cellStyle name="표준 5 2 7 7 7" xfId="34145" xr:uid="{00000000-0005-0000-0000-0000486C0000}"/>
    <cellStyle name="표준 5 2 7 7 8" xfId="42338" xr:uid="{00000000-0005-0000-0000-0000496C0000}"/>
    <cellStyle name="표준 5 2 7 8" xfId="7017" xr:uid="{00000000-0005-0000-0000-00004A6C0000}"/>
    <cellStyle name="표준 5 2 7 8 2" xfId="27982" xr:uid="{00000000-0005-0000-0000-00004B6C0000}"/>
    <cellStyle name="표준 5 2 7 8 3" xfId="36193" xr:uid="{00000000-0005-0000-0000-00004C6C0000}"/>
    <cellStyle name="표준 5 2 7 8 4" xfId="44386" xr:uid="{00000000-0005-0000-0000-00004D6C0000}"/>
    <cellStyle name="표준 5 2 7 9" xfId="7161" xr:uid="{00000000-0005-0000-0000-00004E6C0000}"/>
    <cellStyle name="표준 5 2 8" xfId="485" xr:uid="{00000000-0005-0000-0000-00004F6C0000}"/>
    <cellStyle name="표준 5 2 8 10" xfId="19854" xr:uid="{00000000-0005-0000-0000-0000506C0000}"/>
    <cellStyle name="표준 5 2 8 11" xfId="23950" xr:uid="{00000000-0005-0000-0000-0000516C0000}"/>
    <cellStyle name="표준 5 2 8 12" xfId="32161" xr:uid="{00000000-0005-0000-0000-0000526C0000}"/>
    <cellStyle name="표준 5 2 8 13" xfId="40354" xr:uid="{00000000-0005-0000-0000-0000536C0000}"/>
    <cellStyle name="표준 5 2 8 2" xfId="741" xr:uid="{00000000-0005-0000-0000-0000546C0000}"/>
    <cellStyle name="표준 5 2 8 2 10" xfId="24206" xr:uid="{00000000-0005-0000-0000-0000556C0000}"/>
    <cellStyle name="표준 5 2 8 2 11" xfId="32417" xr:uid="{00000000-0005-0000-0000-0000566C0000}"/>
    <cellStyle name="표준 5 2 8 2 12" xfId="40610" xr:uid="{00000000-0005-0000-0000-0000576C0000}"/>
    <cellStyle name="표준 5 2 8 2 2" xfId="1253" xr:uid="{00000000-0005-0000-0000-0000586C0000}"/>
    <cellStyle name="표준 5 2 8 2 2 2" xfId="10156" xr:uid="{00000000-0005-0000-0000-0000596C0000}"/>
    <cellStyle name="표준 5 2 8 2 2 2 2" xfId="14268" xr:uid="{00000000-0005-0000-0000-00005A6C0000}"/>
    <cellStyle name="표준 5 2 8 2 2 2 2 2" xfId="30862" xr:uid="{00000000-0005-0000-0000-00005B6C0000}"/>
    <cellStyle name="표준 5 2 8 2 2 2 2 3" xfId="39073" xr:uid="{00000000-0005-0000-0000-00005C6C0000}"/>
    <cellStyle name="표준 5 2 8 2 2 2 2 4" xfId="47266" xr:uid="{00000000-0005-0000-0000-00005D6C0000}"/>
    <cellStyle name="표준 5 2 8 2 2 2 3" xfId="18508" xr:uid="{00000000-0005-0000-0000-00005E6C0000}"/>
    <cellStyle name="표준 5 2 8 2 2 2 4" xfId="22670" xr:uid="{00000000-0005-0000-0000-00005F6C0000}"/>
    <cellStyle name="표준 5 2 8 2 2 2 5" xfId="26766" xr:uid="{00000000-0005-0000-0000-0000606C0000}"/>
    <cellStyle name="표준 5 2 8 2 2 2 6" xfId="34977" xr:uid="{00000000-0005-0000-0000-0000616C0000}"/>
    <cellStyle name="표준 5 2 8 2 2 2 7" xfId="43170" xr:uid="{00000000-0005-0000-0000-0000626C0000}"/>
    <cellStyle name="표준 5 2 8 2 2 3" xfId="8108" xr:uid="{00000000-0005-0000-0000-0000636C0000}"/>
    <cellStyle name="표준 5 2 8 2 2 3 2" xfId="28814" xr:uid="{00000000-0005-0000-0000-0000646C0000}"/>
    <cellStyle name="표준 5 2 8 2 2 3 3" xfId="37025" xr:uid="{00000000-0005-0000-0000-0000656C0000}"/>
    <cellStyle name="표준 5 2 8 2 2 3 4" xfId="45218" xr:uid="{00000000-0005-0000-0000-0000666C0000}"/>
    <cellStyle name="표준 5 2 8 2 2 4" xfId="12220" xr:uid="{00000000-0005-0000-0000-0000676C0000}"/>
    <cellStyle name="표준 5 2 8 2 2 5" xfId="16460" xr:uid="{00000000-0005-0000-0000-0000686C0000}"/>
    <cellStyle name="표준 5 2 8 2 2 6" xfId="20622" xr:uid="{00000000-0005-0000-0000-0000696C0000}"/>
    <cellStyle name="표준 5 2 8 2 2 7" xfId="24718" xr:uid="{00000000-0005-0000-0000-00006A6C0000}"/>
    <cellStyle name="표준 5 2 8 2 2 8" xfId="32929" xr:uid="{00000000-0005-0000-0000-00006B6C0000}"/>
    <cellStyle name="표준 5 2 8 2 2 9" xfId="41122" xr:uid="{00000000-0005-0000-0000-00006C6C0000}"/>
    <cellStyle name="표준 5 2 8 2 3" xfId="1765" xr:uid="{00000000-0005-0000-0000-00006D6C0000}"/>
    <cellStyle name="표준 5 2 8 2 3 2" xfId="10668" xr:uid="{00000000-0005-0000-0000-00006E6C0000}"/>
    <cellStyle name="표준 5 2 8 2 3 2 2" xfId="14780" xr:uid="{00000000-0005-0000-0000-00006F6C0000}"/>
    <cellStyle name="표준 5 2 8 2 3 2 2 2" xfId="31374" xr:uid="{00000000-0005-0000-0000-0000706C0000}"/>
    <cellStyle name="표준 5 2 8 2 3 2 2 3" xfId="39585" xr:uid="{00000000-0005-0000-0000-0000716C0000}"/>
    <cellStyle name="표준 5 2 8 2 3 2 2 4" xfId="47778" xr:uid="{00000000-0005-0000-0000-0000726C0000}"/>
    <cellStyle name="표준 5 2 8 2 3 2 3" xfId="19020" xr:uid="{00000000-0005-0000-0000-0000736C0000}"/>
    <cellStyle name="표준 5 2 8 2 3 2 4" xfId="23182" xr:uid="{00000000-0005-0000-0000-0000746C0000}"/>
    <cellStyle name="표준 5 2 8 2 3 2 5" xfId="27278" xr:uid="{00000000-0005-0000-0000-0000756C0000}"/>
    <cellStyle name="표준 5 2 8 2 3 2 6" xfId="35489" xr:uid="{00000000-0005-0000-0000-0000766C0000}"/>
    <cellStyle name="표준 5 2 8 2 3 2 7" xfId="43682" xr:uid="{00000000-0005-0000-0000-0000776C0000}"/>
    <cellStyle name="표준 5 2 8 2 3 3" xfId="8620" xr:uid="{00000000-0005-0000-0000-0000786C0000}"/>
    <cellStyle name="표준 5 2 8 2 3 3 2" xfId="29326" xr:uid="{00000000-0005-0000-0000-0000796C0000}"/>
    <cellStyle name="표준 5 2 8 2 3 3 3" xfId="37537" xr:uid="{00000000-0005-0000-0000-00007A6C0000}"/>
    <cellStyle name="표준 5 2 8 2 3 3 4" xfId="45730" xr:uid="{00000000-0005-0000-0000-00007B6C0000}"/>
    <cellStyle name="표준 5 2 8 2 3 4" xfId="12732" xr:uid="{00000000-0005-0000-0000-00007C6C0000}"/>
    <cellStyle name="표준 5 2 8 2 3 5" xfId="16972" xr:uid="{00000000-0005-0000-0000-00007D6C0000}"/>
    <cellStyle name="표준 5 2 8 2 3 6" xfId="21134" xr:uid="{00000000-0005-0000-0000-00007E6C0000}"/>
    <cellStyle name="표준 5 2 8 2 3 7" xfId="25230" xr:uid="{00000000-0005-0000-0000-00007F6C0000}"/>
    <cellStyle name="표준 5 2 8 2 3 8" xfId="33441" xr:uid="{00000000-0005-0000-0000-0000806C0000}"/>
    <cellStyle name="표준 5 2 8 2 3 9" xfId="41634" xr:uid="{00000000-0005-0000-0000-0000816C0000}"/>
    <cellStyle name="표준 5 2 8 2 4" xfId="2277" xr:uid="{00000000-0005-0000-0000-0000826C0000}"/>
    <cellStyle name="표준 5 2 8 2 4 2" xfId="11180" xr:uid="{00000000-0005-0000-0000-0000836C0000}"/>
    <cellStyle name="표준 5 2 8 2 4 2 2" xfId="15292" xr:uid="{00000000-0005-0000-0000-0000846C0000}"/>
    <cellStyle name="표준 5 2 8 2 4 2 2 2" xfId="31886" xr:uid="{00000000-0005-0000-0000-0000856C0000}"/>
    <cellStyle name="표준 5 2 8 2 4 2 2 3" xfId="40097" xr:uid="{00000000-0005-0000-0000-0000866C0000}"/>
    <cellStyle name="표준 5 2 8 2 4 2 2 4" xfId="48290" xr:uid="{00000000-0005-0000-0000-0000876C0000}"/>
    <cellStyle name="표준 5 2 8 2 4 2 3" xfId="19532" xr:uid="{00000000-0005-0000-0000-0000886C0000}"/>
    <cellStyle name="표준 5 2 8 2 4 2 4" xfId="23694" xr:uid="{00000000-0005-0000-0000-0000896C0000}"/>
    <cellStyle name="표준 5 2 8 2 4 2 5" xfId="27790" xr:uid="{00000000-0005-0000-0000-00008A6C0000}"/>
    <cellStyle name="표준 5 2 8 2 4 2 6" xfId="36001" xr:uid="{00000000-0005-0000-0000-00008B6C0000}"/>
    <cellStyle name="표준 5 2 8 2 4 2 7" xfId="44194" xr:uid="{00000000-0005-0000-0000-00008C6C0000}"/>
    <cellStyle name="표준 5 2 8 2 4 3" xfId="9132" xr:uid="{00000000-0005-0000-0000-00008D6C0000}"/>
    <cellStyle name="표준 5 2 8 2 4 3 2" xfId="29838" xr:uid="{00000000-0005-0000-0000-00008E6C0000}"/>
    <cellStyle name="표준 5 2 8 2 4 3 3" xfId="38049" xr:uid="{00000000-0005-0000-0000-00008F6C0000}"/>
    <cellStyle name="표준 5 2 8 2 4 3 4" xfId="46242" xr:uid="{00000000-0005-0000-0000-0000906C0000}"/>
    <cellStyle name="표준 5 2 8 2 4 4" xfId="13244" xr:uid="{00000000-0005-0000-0000-0000916C0000}"/>
    <cellStyle name="표준 5 2 8 2 4 5" xfId="17484" xr:uid="{00000000-0005-0000-0000-0000926C0000}"/>
    <cellStyle name="표준 5 2 8 2 4 6" xfId="21646" xr:uid="{00000000-0005-0000-0000-0000936C0000}"/>
    <cellStyle name="표준 5 2 8 2 4 7" xfId="25742" xr:uid="{00000000-0005-0000-0000-0000946C0000}"/>
    <cellStyle name="표준 5 2 8 2 4 8" xfId="33953" xr:uid="{00000000-0005-0000-0000-0000956C0000}"/>
    <cellStyle name="표준 5 2 8 2 4 9" xfId="42146" xr:uid="{00000000-0005-0000-0000-0000966C0000}"/>
    <cellStyle name="표준 5 2 8 2 5" xfId="9644" xr:uid="{00000000-0005-0000-0000-0000976C0000}"/>
    <cellStyle name="표준 5 2 8 2 5 2" xfId="13756" xr:uid="{00000000-0005-0000-0000-0000986C0000}"/>
    <cellStyle name="표준 5 2 8 2 5 2 2" xfId="30350" xr:uid="{00000000-0005-0000-0000-0000996C0000}"/>
    <cellStyle name="표준 5 2 8 2 5 2 3" xfId="38561" xr:uid="{00000000-0005-0000-0000-00009A6C0000}"/>
    <cellStyle name="표준 5 2 8 2 5 2 4" xfId="46754" xr:uid="{00000000-0005-0000-0000-00009B6C0000}"/>
    <cellStyle name="표준 5 2 8 2 5 3" xfId="17996" xr:uid="{00000000-0005-0000-0000-00009C6C0000}"/>
    <cellStyle name="표준 5 2 8 2 5 4" xfId="22158" xr:uid="{00000000-0005-0000-0000-00009D6C0000}"/>
    <cellStyle name="표준 5 2 8 2 5 5" xfId="26254" xr:uid="{00000000-0005-0000-0000-00009E6C0000}"/>
    <cellStyle name="표준 5 2 8 2 5 6" xfId="34465" xr:uid="{00000000-0005-0000-0000-00009F6C0000}"/>
    <cellStyle name="표준 5 2 8 2 5 7" xfId="42658" xr:uid="{00000000-0005-0000-0000-0000A06C0000}"/>
    <cellStyle name="표준 5 2 8 2 6" xfId="7596" xr:uid="{00000000-0005-0000-0000-0000A16C0000}"/>
    <cellStyle name="표준 5 2 8 2 6 2" xfId="28302" xr:uid="{00000000-0005-0000-0000-0000A26C0000}"/>
    <cellStyle name="표준 5 2 8 2 6 3" xfId="36513" xr:uid="{00000000-0005-0000-0000-0000A36C0000}"/>
    <cellStyle name="표준 5 2 8 2 6 4" xfId="44706" xr:uid="{00000000-0005-0000-0000-0000A46C0000}"/>
    <cellStyle name="표준 5 2 8 2 7" xfId="11708" xr:uid="{00000000-0005-0000-0000-0000A56C0000}"/>
    <cellStyle name="표준 5 2 8 2 8" xfId="15948" xr:uid="{00000000-0005-0000-0000-0000A66C0000}"/>
    <cellStyle name="표준 5 2 8 2 9" xfId="20110" xr:uid="{00000000-0005-0000-0000-0000A76C0000}"/>
    <cellStyle name="표준 5 2 8 3" xfId="997" xr:uid="{00000000-0005-0000-0000-0000A86C0000}"/>
    <cellStyle name="표준 5 2 8 3 2" xfId="9900" xr:uid="{00000000-0005-0000-0000-0000A96C0000}"/>
    <cellStyle name="표준 5 2 8 3 2 2" xfId="14012" xr:uid="{00000000-0005-0000-0000-0000AA6C0000}"/>
    <cellStyle name="표준 5 2 8 3 2 2 2" xfId="30606" xr:uid="{00000000-0005-0000-0000-0000AB6C0000}"/>
    <cellStyle name="표준 5 2 8 3 2 2 3" xfId="38817" xr:uid="{00000000-0005-0000-0000-0000AC6C0000}"/>
    <cellStyle name="표준 5 2 8 3 2 2 4" xfId="47010" xr:uid="{00000000-0005-0000-0000-0000AD6C0000}"/>
    <cellStyle name="표준 5 2 8 3 2 3" xfId="18252" xr:uid="{00000000-0005-0000-0000-0000AE6C0000}"/>
    <cellStyle name="표준 5 2 8 3 2 4" xfId="22414" xr:uid="{00000000-0005-0000-0000-0000AF6C0000}"/>
    <cellStyle name="표준 5 2 8 3 2 5" xfId="26510" xr:uid="{00000000-0005-0000-0000-0000B06C0000}"/>
    <cellStyle name="표준 5 2 8 3 2 6" xfId="34721" xr:uid="{00000000-0005-0000-0000-0000B16C0000}"/>
    <cellStyle name="표준 5 2 8 3 2 7" xfId="42914" xr:uid="{00000000-0005-0000-0000-0000B26C0000}"/>
    <cellStyle name="표준 5 2 8 3 3" xfId="7852" xr:uid="{00000000-0005-0000-0000-0000B36C0000}"/>
    <cellStyle name="표준 5 2 8 3 3 2" xfId="28558" xr:uid="{00000000-0005-0000-0000-0000B46C0000}"/>
    <cellStyle name="표준 5 2 8 3 3 3" xfId="36769" xr:uid="{00000000-0005-0000-0000-0000B56C0000}"/>
    <cellStyle name="표준 5 2 8 3 3 4" xfId="44962" xr:uid="{00000000-0005-0000-0000-0000B66C0000}"/>
    <cellStyle name="표준 5 2 8 3 4" xfId="11964" xr:uid="{00000000-0005-0000-0000-0000B76C0000}"/>
    <cellStyle name="표준 5 2 8 3 5" xfId="16204" xr:uid="{00000000-0005-0000-0000-0000B86C0000}"/>
    <cellStyle name="표준 5 2 8 3 6" xfId="20366" xr:uid="{00000000-0005-0000-0000-0000B96C0000}"/>
    <cellStyle name="표준 5 2 8 3 7" xfId="24462" xr:uid="{00000000-0005-0000-0000-0000BA6C0000}"/>
    <cellStyle name="표준 5 2 8 3 8" xfId="32673" xr:uid="{00000000-0005-0000-0000-0000BB6C0000}"/>
    <cellStyle name="표준 5 2 8 3 9" xfId="40866" xr:uid="{00000000-0005-0000-0000-0000BC6C0000}"/>
    <cellStyle name="표준 5 2 8 4" xfId="1509" xr:uid="{00000000-0005-0000-0000-0000BD6C0000}"/>
    <cellStyle name="표준 5 2 8 4 2" xfId="10412" xr:uid="{00000000-0005-0000-0000-0000BE6C0000}"/>
    <cellStyle name="표준 5 2 8 4 2 2" xfId="14524" xr:uid="{00000000-0005-0000-0000-0000BF6C0000}"/>
    <cellStyle name="표준 5 2 8 4 2 2 2" xfId="31118" xr:uid="{00000000-0005-0000-0000-0000C06C0000}"/>
    <cellStyle name="표준 5 2 8 4 2 2 3" xfId="39329" xr:uid="{00000000-0005-0000-0000-0000C16C0000}"/>
    <cellStyle name="표준 5 2 8 4 2 2 4" xfId="47522" xr:uid="{00000000-0005-0000-0000-0000C26C0000}"/>
    <cellStyle name="표준 5 2 8 4 2 3" xfId="18764" xr:uid="{00000000-0005-0000-0000-0000C36C0000}"/>
    <cellStyle name="표준 5 2 8 4 2 4" xfId="22926" xr:uid="{00000000-0005-0000-0000-0000C46C0000}"/>
    <cellStyle name="표준 5 2 8 4 2 5" xfId="27022" xr:uid="{00000000-0005-0000-0000-0000C56C0000}"/>
    <cellStyle name="표준 5 2 8 4 2 6" xfId="35233" xr:uid="{00000000-0005-0000-0000-0000C66C0000}"/>
    <cellStyle name="표준 5 2 8 4 2 7" xfId="43426" xr:uid="{00000000-0005-0000-0000-0000C76C0000}"/>
    <cellStyle name="표준 5 2 8 4 3" xfId="8364" xr:uid="{00000000-0005-0000-0000-0000C86C0000}"/>
    <cellStyle name="표준 5 2 8 4 3 2" xfId="29070" xr:uid="{00000000-0005-0000-0000-0000C96C0000}"/>
    <cellStyle name="표준 5 2 8 4 3 3" xfId="37281" xr:uid="{00000000-0005-0000-0000-0000CA6C0000}"/>
    <cellStyle name="표준 5 2 8 4 3 4" xfId="45474" xr:uid="{00000000-0005-0000-0000-0000CB6C0000}"/>
    <cellStyle name="표준 5 2 8 4 4" xfId="12476" xr:uid="{00000000-0005-0000-0000-0000CC6C0000}"/>
    <cellStyle name="표준 5 2 8 4 5" xfId="16716" xr:uid="{00000000-0005-0000-0000-0000CD6C0000}"/>
    <cellStyle name="표준 5 2 8 4 6" xfId="20878" xr:uid="{00000000-0005-0000-0000-0000CE6C0000}"/>
    <cellStyle name="표준 5 2 8 4 7" xfId="24974" xr:uid="{00000000-0005-0000-0000-0000CF6C0000}"/>
    <cellStyle name="표준 5 2 8 4 8" xfId="33185" xr:uid="{00000000-0005-0000-0000-0000D06C0000}"/>
    <cellStyle name="표준 5 2 8 4 9" xfId="41378" xr:uid="{00000000-0005-0000-0000-0000D16C0000}"/>
    <cellStyle name="표준 5 2 8 5" xfId="2021" xr:uid="{00000000-0005-0000-0000-0000D26C0000}"/>
    <cellStyle name="표준 5 2 8 5 2" xfId="10924" xr:uid="{00000000-0005-0000-0000-0000D36C0000}"/>
    <cellStyle name="표준 5 2 8 5 2 2" xfId="15036" xr:uid="{00000000-0005-0000-0000-0000D46C0000}"/>
    <cellStyle name="표준 5 2 8 5 2 2 2" xfId="31630" xr:uid="{00000000-0005-0000-0000-0000D56C0000}"/>
    <cellStyle name="표준 5 2 8 5 2 2 3" xfId="39841" xr:uid="{00000000-0005-0000-0000-0000D66C0000}"/>
    <cellStyle name="표준 5 2 8 5 2 2 4" xfId="48034" xr:uid="{00000000-0005-0000-0000-0000D76C0000}"/>
    <cellStyle name="표준 5 2 8 5 2 3" xfId="19276" xr:uid="{00000000-0005-0000-0000-0000D86C0000}"/>
    <cellStyle name="표준 5 2 8 5 2 4" xfId="23438" xr:uid="{00000000-0005-0000-0000-0000D96C0000}"/>
    <cellStyle name="표준 5 2 8 5 2 5" xfId="27534" xr:uid="{00000000-0005-0000-0000-0000DA6C0000}"/>
    <cellStyle name="표준 5 2 8 5 2 6" xfId="35745" xr:uid="{00000000-0005-0000-0000-0000DB6C0000}"/>
    <cellStyle name="표준 5 2 8 5 2 7" xfId="43938" xr:uid="{00000000-0005-0000-0000-0000DC6C0000}"/>
    <cellStyle name="표준 5 2 8 5 3" xfId="8876" xr:uid="{00000000-0005-0000-0000-0000DD6C0000}"/>
    <cellStyle name="표준 5 2 8 5 3 2" xfId="29582" xr:uid="{00000000-0005-0000-0000-0000DE6C0000}"/>
    <cellStyle name="표준 5 2 8 5 3 3" xfId="37793" xr:uid="{00000000-0005-0000-0000-0000DF6C0000}"/>
    <cellStyle name="표준 5 2 8 5 3 4" xfId="45986" xr:uid="{00000000-0005-0000-0000-0000E06C0000}"/>
    <cellStyle name="표준 5 2 8 5 4" xfId="12988" xr:uid="{00000000-0005-0000-0000-0000E16C0000}"/>
    <cellStyle name="표준 5 2 8 5 5" xfId="17228" xr:uid="{00000000-0005-0000-0000-0000E26C0000}"/>
    <cellStyle name="표준 5 2 8 5 6" xfId="21390" xr:uid="{00000000-0005-0000-0000-0000E36C0000}"/>
    <cellStyle name="표준 5 2 8 5 7" xfId="25486" xr:uid="{00000000-0005-0000-0000-0000E46C0000}"/>
    <cellStyle name="표준 5 2 8 5 8" xfId="33697" xr:uid="{00000000-0005-0000-0000-0000E56C0000}"/>
    <cellStyle name="표준 5 2 8 5 9" xfId="41890" xr:uid="{00000000-0005-0000-0000-0000E66C0000}"/>
    <cellStyle name="표준 5 2 8 6" xfId="6616" xr:uid="{00000000-0005-0000-0000-0000E76C0000}"/>
    <cellStyle name="표준 5 2 8 6 2" xfId="9388" xr:uid="{00000000-0005-0000-0000-0000E86C0000}"/>
    <cellStyle name="표준 5 2 8 6 2 2" xfId="30094" xr:uid="{00000000-0005-0000-0000-0000E96C0000}"/>
    <cellStyle name="표준 5 2 8 6 2 3" xfId="38305" xr:uid="{00000000-0005-0000-0000-0000EA6C0000}"/>
    <cellStyle name="표준 5 2 8 6 2 4" xfId="46498" xr:uid="{00000000-0005-0000-0000-0000EB6C0000}"/>
    <cellStyle name="표준 5 2 8 6 3" xfId="13500" xr:uid="{00000000-0005-0000-0000-0000EC6C0000}"/>
    <cellStyle name="표준 5 2 8 6 4" xfId="17740" xr:uid="{00000000-0005-0000-0000-0000ED6C0000}"/>
    <cellStyle name="표준 5 2 8 6 5" xfId="21902" xr:uid="{00000000-0005-0000-0000-0000EE6C0000}"/>
    <cellStyle name="표준 5 2 8 6 6" xfId="25998" xr:uid="{00000000-0005-0000-0000-0000EF6C0000}"/>
    <cellStyle name="표준 5 2 8 6 7" xfId="34209" xr:uid="{00000000-0005-0000-0000-0000F06C0000}"/>
    <cellStyle name="표준 5 2 8 6 8" xfId="42402" xr:uid="{00000000-0005-0000-0000-0000F16C0000}"/>
    <cellStyle name="표준 5 2 8 7" xfId="7340" xr:uid="{00000000-0005-0000-0000-0000F26C0000}"/>
    <cellStyle name="표준 5 2 8 7 2" xfId="28046" xr:uid="{00000000-0005-0000-0000-0000F36C0000}"/>
    <cellStyle name="표준 5 2 8 7 3" xfId="36257" xr:uid="{00000000-0005-0000-0000-0000F46C0000}"/>
    <cellStyle name="표준 5 2 8 7 4" xfId="44450" xr:uid="{00000000-0005-0000-0000-0000F56C0000}"/>
    <cellStyle name="표준 5 2 8 8" xfId="11452" xr:uid="{00000000-0005-0000-0000-0000F66C0000}"/>
    <cellStyle name="표준 5 2 8 9" xfId="15692" xr:uid="{00000000-0005-0000-0000-0000F76C0000}"/>
    <cellStyle name="표준 5 2 9" xfId="613" xr:uid="{00000000-0005-0000-0000-0000F86C0000}"/>
    <cellStyle name="표준 5 2 9 10" xfId="24078" xr:uid="{00000000-0005-0000-0000-0000F96C0000}"/>
    <cellStyle name="표준 5 2 9 11" xfId="32289" xr:uid="{00000000-0005-0000-0000-0000FA6C0000}"/>
    <cellStyle name="표준 5 2 9 12" xfId="40482" xr:uid="{00000000-0005-0000-0000-0000FB6C0000}"/>
    <cellStyle name="표준 5 2 9 2" xfId="1125" xr:uid="{00000000-0005-0000-0000-0000FC6C0000}"/>
    <cellStyle name="표준 5 2 9 2 2" xfId="10028" xr:uid="{00000000-0005-0000-0000-0000FD6C0000}"/>
    <cellStyle name="표준 5 2 9 2 2 2" xfId="14140" xr:uid="{00000000-0005-0000-0000-0000FE6C0000}"/>
    <cellStyle name="표준 5 2 9 2 2 2 2" xfId="30734" xr:uid="{00000000-0005-0000-0000-0000FF6C0000}"/>
    <cellStyle name="표준 5 2 9 2 2 2 3" xfId="38945" xr:uid="{00000000-0005-0000-0000-0000006D0000}"/>
    <cellStyle name="표준 5 2 9 2 2 2 4" xfId="47138" xr:uid="{00000000-0005-0000-0000-0000016D0000}"/>
    <cellStyle name="표준 5 2 9 2 2 3" xfId="18380" xr:uid="{00000000-0005-0000-0000-0000026D0000}"/>
    <cellStyle name="표준 5 2 9 2 2 4" xfId="22542" xr:uid="{00000000-0005-0000-0000-0000036D0000}"/>
    <cellStyle name="표준 5 2 9 2 2 5" xfId="26638" xr:uid="{00000000-0005-0000-0000-0000046D0000}"/>
    <cellStyle name="표준 5 2 9 2 2 6" xfId="34849" xr:uid="{00000000-0005-0000-0000-0000056D0000}"/>
    <cellStyle name="표준 5 2 9 2 2 7" xfId="43042" xr:uid="{00000000-0005-0000-0000-0000066D0000}"/>
    <cellStyle name="표준 5 2 9 2 3" xfId="7980" xr:uid="{00000000-0005-0000-0000-0000076D0000}"/>
    <cellStyle name="표준 5 2 9 2 3 2" xfId="28686" xr:uid="{00000000-0005-0000-0000-0000086D0000}"/>
    <cellStyle name="표준 5 2 9 2 3 3" xfId="36897" xr:uid="{00000000-0005-0000-0000-0000096D0000}"/>
    <cellStyle name="표준 5 2 9 2 3 4" xfId="45090" xr:uid="{00000000-0005-0000-0000-00000A6D0000}"/>
    <cellStyle name="표준 5 2 9 2 4" xfId="12092" xr:uid="{00000000-0005-0000-0000-00000B6D0000}"/>
    <cellStyle name="표준 5 2 9 2 5" xfId="16332" xr:uid="{00000000-0005-0000-0000-00000C6D0000}"/>
    <cellStyle name="표준 5 2 9 2 6" xfId="20494" xr:uid="{00000000-0005-0000-0000-00000D6D0000}"/>
    <cellStyle name="표준 5 2 9 2 7" xfId="24590" xr:uid="{00000000-0005-0000-0000-00000E6D0000}"/>
    <cellStyle name="표준 5 2 9 2 8" xfId="32801" xr:uid="{00000000-0005-0000-0000-00000F6D0000}"/>
    <cellStyle name="표준 5 2 9 2 9" xfId="40994" xr:uid="{00000000-0005-0000-0000-0000106D0000}"/>
    <cellStyle name="표준 5 2 9 3" xfId="1637" xr:uid="{00000000-0005-0000-0000-0000116D0000}"/>
    <cellStyle name="표준 5 2 9 3 2" xfId="10540" xr:uid="{00000000-0005-0000-0000-0000126D0000}"/>
    <cellStyle name="표준 5 2 9 3 2 2" xfId="14652" xr:uid="{00000000-0005-0000-0000-0000136D0000}"/>
    <cellStyle name="표준 5 2 9 3 2 2 2" xfId="31246" xr:uid="{00000000-0005-0000-0000-0000146D0000}"/>
    <cellStyle name="표준 5 2 9 3 2 2 3" xfId="39457" xr:uid="{00000000-0005-0000-0000-0000156D0000}"/>
    <cellStyle name="표준 5 2 9 3 2 2 4" xfId="47650" xr:uid="{00000000-0005-0000-0000-0000166D0000}"/>
    <cellStyle name="표준 5 2 9 3 2 3" xfId="18892" xr:uid="{00000000-0005-0000-0000-0000176D0000}"/>
    <cellStyle name="표준 5 2 9 3 2 4" xfId="23054" xr:uid="{00000000-0005-0000-0000-0000186D0000}"/>
    <cellStyle name="표준 5 2 9 3 2 5" xfId="27150" xr:uid="{00000000-0005-0000-0000-0000196D0000}"/>
    <cellStyle name="표준 5 2 9 3 2 6" xfId="35361" xr:uid="{00000000-0005-0000-0000-00001A6D0000}"/>
    <cellStyle name="표준 5 2 9 3 2 7" xfId="43554" xr:uid="{00000000-0005-0000-0000-00001B6D0000}"/>
    <cellStyle name="표준 5 2 9 3 3" xfId="8492" xr:uid="{00000000-0005-0000-0000-00001C6D0000}"/>
    <cellStyle name="표준 5 2 9 3 3 2" xfId="29198" xr:uid="{00000000-0005-0000-0000-00001D6D0000}"/>
    <cellStyle name="표준 5 2 9 3 3 3" xfId="37409" xr:uid="{00000000-0005-0000-0000-00001E6D0000}"/>
    <cellStyle name="표준 5 2 9 3 3 4" xfId="45602" xr:uid="{00000000-0005-0000-0000-00001F6D0000}"/>
    <cellStyle name="표준 5 2 9 3 4" xfId="12604" xr:uid="{00000000-0005-0000-0000-0000206D0000}"/>
    <cellStyle name="표준 5 2 9 3 5" xfId="16844" xr:uid="{00000000-0005-0000-0000-0000216D0000}"/>
    <cellStyle name="표준 5 2 9 3 6" xfId="21006" xr:uid="{00000000-0005-0000-0000-0000226D0000}"/>
    <cellStyle name="표준 5 2 9 3 7" xfId="25102" xr:uid="{00000000-0005-0000-0000-0000236D0000}"/>
    <cellStyle name="표준 5 2 9 3 8" xfId="33313" xr:uid="{00000000-0005-0000-0000-0000246D0000}"/>
    <cellStyle name="표준 5 2 9 3 9" xfId="41506" xr:uid="{00000000-0005-0000-0000-0000256D0000}"/>
    <cellStyle name="표준 5 2 9 4" xfId="2149" xr:uid="{00000000-0005-0000-0000-0000266D0000}"/>
    <cellStyle name="표준 5 2 9 4 2" xfId="11052" xr:uid="{00000000-0005-0000-0000-0000276D0000}"/>
    <cellStyle name="표준 5 2 9 4 2 2" xfId="15164" xr:uid="{00000000-0005-0000-0000-0000286D0000}"/>
    <cellStyle name="표준 5 2 9 4 2 2 2" xfId="31758" xr:uid="{00000000-0005-0000-0000-0000296D0000}"/>
    <cellStyle name="표준 5 2 9 4 2 2 3" xfId="39969" xr:uid="{00000000-0005-0000-0000-00002A6D0000}"/>
    <cellStyle name="표준 5 2 9 4 2 2 4" xfId="48162" xr:uid="{00000000-0005-0000-0000-00002B6D0000}"/>
    <cellStyle name="표준 5 2 9 4 2 3" xfId="19404" xr:uid="{00000000-0005-0000-0000-00002C6D0000}"/>
    <cellStyle name="표준 5 2 9 4 2 4" xfId="23566" xr:uid="{00000000-0005-0000-0000-00002D6D0000}"/>
    <cellStyle name="표준 5 2 9 4 2 5" xfId="27662" xr:uid="{00000000-0005-0000-0000-00002E6D0000}"/>
    <cellStyle name="표준 5 2 9 4 2 6" xfId="35873" xr:uid="{00000000-0005-0000-0000-00002F6D0000}"/>
    <cellStyle name="표준 5 2 9 4 2 7" xfId="44066" xr:uid="{00000000-0005-0000-0000-0000306D0000}"/>
    <cellStyle name="표준 5 2 9 4 3" xfId="9004" xr:uid="{00000000-0005-0000-0000-0000316D0000}"/>
    <cellStyle name="표준 5 2 9 4 3 2" xfId="29710" xr:uid="{00000000-0005-0000-0000-0000326D0000}"/>
    <cellStyle name="표준 5 2 9 4 3 3" xfId="37921" xr:uid="{00000000-0005-0000-0000-0000336D0000}"/>
    <cellStyle name="표준 5 2 9 4 3 4" xfId="46114" xr:uid="{00000000-0005-0000-0000-0000346D0000}"/>
    <cellStyle name="표준 5 2 9 4 4" xfId="13116" xr:uid="{00000000-0005-0000-0000-0000356D0000}"/>
    <cellStyle name="표준 5 2 9 4 5" xfId="17356" xr:uid="{00000000-0005-0000-0000-0000366D0000}"/>
    <cellStyle name="표준 5 2 9 4 6" xfId="21518" xr:uid="{00000000-0005-0000-0000-0000376D0000}"/>
    <cellStyle name="표준 5 2 9 4 7" xfId="25614" xr:uid="{00000000-0005-0000-0000-0000386D0000}"/>
    <cellStyle name="표준 5 2 9 4 8" xfId="33825" xr:uid="{00000000-0005-0000-0000-0000396D0000}"/>
    <cellStyle name="표준 5 2 9 4 9" xfId="42018" xr:uid="{00000000-0005-0000-0000-00003A6D0000}"/>
    <cellStyle name="표준 5 2 9 5" xfId="6665" xr:uid="{00000000-0005-0000-0000-00003B6D0000}"/>
    <cellStyle name="표준 5 2 9 5 2" xfId="9516" xr:uid="{00000000-0005-0000-0000-00003C6D0000}"/>
    <cellStyle name="표준 5 2 9 5 2 2" xfId="30222" xr:uid="{00000000-0005-0000-0000-00003D6D0000}"/>
    <cellStyle name="표준 5 2 9 5 2 3" xfId="38433" xr:uid="{00000000-0005-0000-0000-00003E6D0000}"/>
    <cellStyle name="표준 5 2 9 5 2 4" xfId="46626" xr:uid="{00000000-0005-0000-0000-00003F6D0000}"/>
    <cellStyle name="표준 5 2 9 5 3" xfId="13628" xr:uid="{00000000-0005-0000-0000-0000406D0000}"/>
    <cellStyle name="표준 5 2 9 5 4" xfId="17868" xr:uid="{00000000-0005-0000-0000-0000416D0000}"/>
    <cellStyle name="표준 5 2 9 5 5" xfId="22030" xr:uid="{00000000-0005-0000-0000-0000426D0000}"/>
    <cellStyle name="표준 5 2 9 5 6" xfId="26126" xr:uid="{00000000-0005-0000-0000-0000436D0000}"/>
    <cellStyle name="표준 5 2 9 5 7" xfId="34337" xr:uid="{00000000-0005-0000-0000-0000446D0000}"/>
    <cellStyle name="표준 5 2 9 5 8" xfId="42530" xr:uid="{00000000-0005-0000-0000-0000456D0000}"/>
    <cellStyle name="표준 5 2 9 6" xfId="7468" xr:uid="{00000000-0005-0000-0000-0000466D0000}"/>
    <cellStyle name="표준 5 2 9 6 2" xfId="28174" xr:uid="{00000000-0005-0000-0000-0000476D0000}"/>
    <cellStyle name="표준 5 2 9 6 3" xfId="36385" xr:uid="{00000000-0005-0000-0000-0000486D0000}"/>
    <cellStyle name="표준 5 2 9 6 4" xfId="44578" xr:uid="{00000000-0005-0000-0000-0000496D0000}"/>
    <cellStyle name="표준 5 2 9 7" xfId="11580" xr:uid="{00000000-0005-0000-0000-00004A6D0000}"/>
    <cellStyle name="표준 5 2 9 8" xfId="15820" xr:uid="{00000000-0005-0000-0000-00004B6D0000}"/>
    <cellStyle name="표준 5 2 9 9" xfId="19982" xr:uid="{00000000-0005-0000-0000-00004C6D0000}"/>
    <cellStyle name="표준 5 20" xfId="7096" xr:uid="{00000000-0005-0000-0000-00004D6D0000}"/>
    <cellStyle name="표준 5 21" xfId="7210" xr:uid="{00000000-0005-0000-0000-00004E6D0000}"/>
    <cellStyle name="표준 5 22" xfId="7211" xr:uid="{00000000-0005-0000-0000-00004F6D0000}"/>
    <cellStyle name="표준 5 23" xfId="11307" xr:uid="{00000000-0005-0000-0000-0000506D0000}"/>
    <cellStyle name="표준 5 24" xfId="11323" xr:uid="{00000000-0005-0000-0000-0000516D0000}"/>
    <cellStyle name="표준 5 25" xfId="15419" xr:uid="{00000000-0005-0000-0000-0000526D0000}"/>
    <cellStyle name="표준 5 26" xfId="15435" xr:uid="{00000000-0005-0000-0000-0000536D0000}"/>
    <cellStyle name="표준 5 27" xfId="15451" xr:uid="{00000000-0005-0000-0000-0000546D0000}"/>
    <cellStyle name="표준 5 28" xfId="15547" xr:uid="{00000000-0005-0000-0000-0000556D0000}"/>
    <cellStyle name="표준 5 29" xfId="15563" xr:uid="{00000000-0005-0000-0000-0000566D0000}"/>
    <cellStyle name="표준 5 3" xfId="35" xr:uid="{00000000-0005-0000-0000-0000576D0000}"/>
    <cellStyle name="표준 5 3 10" xfId="1382" xr:uid="{00000000-0005-0000-0000-0000586D0000}"/>
    <cellStyle name="표준 5 3 10 2" xfId="10285" xr:uid="{00000000-0005-0000-0000-0000596D0000}"/>
    <cellStyle name="표준 5 3 10 2 2" xfId="14397" xr:uid="{00000000-0005-0000-0000-00005A6D0000}"/>
    <cellStyle name="표준 5 3 10 2 2 2" xfId="30991" xr:uid="{00000000-0005-0000-0000-00005B6D0000}"/>
    <cellStyle name="표준 5 3 10 2 2 3" xfId="39202" xr:uid="{00000000-0005-0000-0000-00005C6D0000}"/>
    <cellStyle name="표준 5 3 10 2 2 4" xfId="47395" xr:uid="{00000000-0005-0000-0000-00005D6D0000}"/>
    <cellStyle name="표준 5 3 10 2 3" xfId="18637" xr:uid="{00000000-0005-0000-0000-00005E6D0000}"/>
    <cellStyle name="표준 5 3 10 2 4" xfId="22799" xr:uid="{00000000-0005-0000-0000-00005F6D0000}"/>
    <cellStyle name="표준 5 3 10 2 5" xfId="26895" xr:uid="{00000000-0005-0000-0000-0000606D0000}"/>
    <cellStyle name="표준 5 3 10 2 6" xfId="35106" xr:uid="{00000000-0005-0000-0000-0000616D0000}"/>
    <cellStyle name="표준 5 3 10 2 7" xfId="43299" xr:uid="{00000000-0005-0000-0000-0000626D0000}"/>
    <cellStyle name="표준 5 3 10 3" xfId="8237" xr:uid="{00000000-0005-0000-0000-0000636D0000}"/>
    <cellStyle name="표준 5 3 10 3 2" xfId="28943" xr:uid="{00000000-0005-0000-0000-0000646D0000}"/>
    <cellStyle name="표준 5 3 10 3 3" xfId="37154" xr:uid="{00000000-0005-0000-0000-0000656D0000}"/>
    <cellStyle name="표준 5 3 10 3 4" xfId="45347" xr:uid="{00000000-0005-0000-0000-0000666D0000}"/>
    <cellStyle name="표준 5 3 10 4" xfId="12349" xr:uid="{00000000-0005-0000-0000-0000676D0000}"/>
    <cellStyle name="표준 5 3 10 5" xfId="16589" xr:uid="{00000000-0005-0000-0000-0000686D0000}"/>
    <cellStyle name="표준 5 3 10 6" xfId="20751" xr:uid="{00000000-0005-0000-0000-0000696D0000}"/>
    <cellStyle name="표준 5 3 10 7" xfId="24847" xr:uid="{00000000-0005-0000-0000-00006A6D0000}"/>
    <cellStyle name="표준 5 3 10 8" xfId="33058" xr:uid="{00000000-0005-0000-0000-00006B6D0000}"/>
    <cellStyle name="표준 5 3 10 9" xfId="41251" xr:uid="{00000000-0005-0000-0000-00006C6D0000}"/>
    <cellStyle name="표준 5 3 11" xfId="1894" xr:uid="{00000000-0005-0000-0000-00006D6D0000}"/>
    <cellStyle name="표준 5 3 11 2" xfId="10797" xr:uid="{00000000-0005-0000-0000-00006E6D0000}"/>
    <cellStyle name="표준 5 3 11 2 2" xfId="14909" xr:uid="{00000000-0005-0000-0000-00006F6D0000}"/>
    <cellStyle name="표준 5 3 11 2 2 2" xfId="31503" xr:uid="{00000000-0005-0000-0000-0000706D0000}"/>
    <cellStyle name="표준 5 3 11 2 2 3" xfId="39714" xr:uid="{00000000-0005-0000-0000-0000716D0000}"/>
    <cellStyle name="표준 5 3 11 2 2 4" xfId="47907" xr:uid="{00000000-0005-0000-0000-0000726D0000}"/>
    <cellStyle name="표준 5 3 11 2 3" xfId="19149" xr:uid="{00000000-0005-0000-0000-0000736D0000}"/>
    <cellStyle name="표준 5 3 11 2 4" xfId="23311" xr:uid="{00000000-0005-0000-0000-0000746D0000}"/>
    <cellStyle name="표준 5 3 11 2 5" xfId="27407" xr:uid="{00000000-0005-0000-0000-0000756D0000}"/>
    <cellStyle name="표준 5 3 11 2 6" xfId="35618" xr:uid="{00000000-0005-0000-0000-0000766D0000}"/>
    <cellStyle name="표준 5 3 11 2 7" xfId="43811" xr:uid="{00000000-0005-0000-0000-0000776D0000}"/>
    <cellStyle name="표준 5 3 11 3" xfId="8749" xr:uid="{00000000-0005-0000-0000-0000786D0000}"/>
    <cellStyle name="표준 5 3 11 3 2" xfId="29455" xr:uid="{00000000-0005-0000-0000-0000796D0000}"/>
    <cellStyle name="표준 5 3 11 3 3" xfId="37666" xr:uid="{00000000-0005-0000-0000-00007A6D0000}"/>
    <cellStyle name="표준 5 3 11 3 4" xfId="45859" xr:uid="{00000000-0005-0000-0000-00007B6D0000}"/>
    <cellStyle name="표준 5 3 11 4" xfId="12861" xr:uid="{00000000-0005-0000-0000-00007C6D0000}"/>
    <cellStyle name="표준 5 3 11 5" xfId="17101" xr:uid="{00000000-0005-0000-0000-00007D6D0000}"/>
    <cellStyle name="표준 5 3 11 6" xfId="21263" xr:uid="{00000000-0005-0000-0000-00007E6D0000}"/>
    <cellStyle name="표준 5 3 11 7" xfId="25359" xr:uid="{00000000-0005-0000-0000-00007F6D0000}"/>
    <cellStyle name="표준 5 3 11 8" xfId="33570" xr:uid="{00000000-0005-0000-0000-0000806D0000}"/>
    <cellStyle name="표준 5 3 11 9" xfId="41763" xr:uid="{00000000-0005-0000-0000-0000816D0000}"/>
    <cellStyle name="표준 5 3 12" xfId="4338" xr:uid="{00000000-0005-0000-0000-0000826D0000}"/>
    <cellStyle name="표준 5 3 12 2" xfId="9261" xr:uid="{00000000-0005-0000-0000-0000836D0000}"/>
    <cellStyle name="표준 5 3 12 2 2" xfId="29967" xr:uid="{00000000-0005-0000-0000-0000846D0000}"/>
    <cellStyle name="표준 5 3 12 2 3" xfId="38178" xr:uid="{00000000-0005-0000-0000-0000856D0000}"/>
    <cellStyle name="표준 5 3 12 2 4" xfId="46371" xr:uid="{00000000-0005-0000-0000-0000866D0000}"/>
    <cellStyle name="표준 5 3 12 3" xfId="13373" xr:uid="{00000000-0005-0000-0000-0000876D0000}"/>
    <cellStyle name="표준 5 3 12 4" xfId="17613" xr:uid="{00000000-0005-0000-0000-0000886D0000}"/>
    <cellStyle name="표준 5 3 12 5" xfId="21775" xr:uid="{00000000-0005-0000-0000-0000896D0000}"/>
    <cellStyle name="표준 5 3 12 6" xfId="25871" xr:uid="{00000000-0005-0000-0000-00008A6D0000}"/>
    <cellStyle name="표준 5 3 12 7" xfId="34082" xr:uid="{00000000-0005-0000-0000-00008B6D0000}"/>
    <cellStyle name="표준 5 3 12 8" xfId="42275" xr:uid="{00000000-0005-0000-0000-00008C6D0000}"/>
    <cellStyle name="표준 5 3 13" xfId="4391" xr:uid="{00000000-0005-0000-0000-00008D6D0000}"/>
    <cellStyle name="표준 5 3 13 2" xfId="27919" xr:uid="{00000000-0005-0000-0000-00008E6D0000}"/>
    <cellStyle name="표준 5 3 13 3" xfId="36130" xr:uid="{00000000-0005-0000-0000-00008F6D0000}"/>
    <cellStyle name="표준 5 3 13 4" xfId="44323" xr:uid="{00000000-0005-0000-0000-0000906D0000}"/>
    <cellStyle name="표준 5 3 14" xfId="6947" xr:uid="{00000000-0005-0000-0000-0000916D0000}"/>
    <cellStyle name="표준 5 3 15" xfId="7066" xr:uid="{00000000-0005-0000-0000-0000926D0000}"/>
    <cellStyle name="표준 5 3 16" xfId="7082" xr:uid="{00000000-0005-0000-0000-0000936D0000}"/>
    <cellStyle name="표준 5 3 17" xfId="7098" xr:uid="{00000000-0005-0000-0000-0000946D0000}"/>
    <cellStyle name="표준 5 3 18" xfId="7208" xr:uid="{00000000-0005-0000-0000-0000956D0000}"/>
    <cellStyle name="표준 5 3 19" xfId="7213" xr:uid="{00000000-0005-0000-0000-0000966D0000}"/>
    <cellStyle name="표준 5 3 2" xfId="59" xr:uid="{00000000-0005-0000-0000-0000976D0000}"/>
    <cellStyle name="표준 5 3 2 10" xfId="1898" xr:uid="{00000000-0005-0000-0000-0000986D0000}"/>
    <cellStyle name="표준 5 3 2 10 2" xfId="10801" xr:uid="{00000000-0005-0000-0000-0000996D0000}"/>
    <cellStyle name="표준 5 3 2 10 2 2" xfId="14913" xr:uid="{00000000-0005-0000-0000-00009A6D0000}"/>
    <cellStyle name="표준 5 3 2 10 2 2 2" xfId="31507" xr:uid="{00000000-0005-0000-0000-00009B6D0000}"/>
    <cellStyle name="표준 5 3 2 10 2 2 3" xfId="39718" xr:uid="{00000000-0005-0000-0000-00009C6D0000}"/>
    <cellStyle name="표준 5 3 2 10 2 2 4" xfId="47911" xr:uid="{00000000-0005-0000-0000-00009D6D0000}"/>
    <cellStyle name="표준 5 3 2 10 2 3" xfId="19153" xr:uid="{00000000-0005-0000-0000-00009E6D0000}"/>
    <cellStyle name="표준 5 3 2 10 2 4" xfId="23315" xr:uid="{00000000-0005-0000-0000-00009F6D0000}"/>
    <cellStyle name="표준 5 3 2 10 2 5" xfId="27411" xr:uid="{00000000-0005-0000-0000-0000A06D0000}"/>
    <cellStyle name="표준 5 3 2 10 2 6" xfId="35622" xr:uid="{00000000-0005-0000-0000-0000A16D0000}"/>
    <cellStyle name="표준 5 3 2 10 2 7" xfId="43815" xr:uid="{00000000-0005-0000-0000-0000A26D0000}"/>
    <cellStyle name="표준 5 3 2 10 3" xfId="8753" xr:uid="{00000000-0005-0000-0000-0000A36D0000}"/>
    <cellStyle name="표준 5 3 2 10 3 2" xfId="29459" xr:uid="{00000000-0005-0000-0000-0000A46D0000}"/>
    <cellStyle name="표준 5 3 2 10 3 3" xfId="37670" xr:uid="{00000000-0005-0000-0000-0000A56D0000}"/>
    <cellStyle name="표준 5 3 2 10 3 4" xfId="45863" xr:uid="{00000000-0005-0000-0000-0000A66D0000}"/>
    <cellStyle name="표준 5 3 2 10 4" xfId="12865" xr:uid="{00000000-0005-0000-0000-0000A76D0000}"/>
    <cellStyle name="표준 5 3 2 10 5" xfId="17105" xr:uid="{00000000-0005-0000-0000-0000A86D0000}"/>
    <cellStyle name="표준 5 3 2 10 6" xfId="21267" xr:uid="{00000000-0005-0000-0000-0000A96D0000}"/>
    <cellStyle name="표준 5 3 2 10 7" xfId="25363" xr:uid="{00000000-0005-0000-0000-0000AA6D0000}"/>
    <cellStyle name="표준 5 3 2 10 8" xfId="33574" xr:uid="{00000000-0005-0000-0000-0000AB6D0000}"/>
    <cellStyle name="표준 5 3 2 10 9" xfId="41767" xr:uid="{00000000-0005-0000-0000-0000AC6D0000}"/>
    <cellStyle name="표준 5 3 2 11" xfId="4395" xr:uid="{00000000-0005-0000-0000-0000AD6D0000}"/>
    <cellStyle name="표준 5 3 2 11 2" xfId="9265" xr:uid="{00000000-0005-0000-0000-0000AE6D0000}"/>
    <cellStyle name="표준 5 3 2 11 2 2" xfId="29971" xr:uid="{00000000-0005-0000-0000-0000AF6D0000}"/>
    <cellStyle name="표준 5 3 2 11 2 3" xfId="38182" xr:uid="{00000000-0005-0000-0000-0000B06D0000}"/>
    <cellStyle name="표준 5 3 2 11 2 4" xfId="46375" xr:uid="{00000000-0005-0000-0000-0000B16D0000}"/>
    <cellStyle name="표준 5 3 2 11 3" xfId="13377" xr:uid="{00000000-0005-0000-0000-0000B26D0000}"/>
    <cellStyle name="표준 5 3 2 11 4" xfId="17617" xr:uid="{00000000-0005-0000-0000-0000B36D0000}"/>
    <cellStyle name="표준 5 3 2 11 5" xfId="21779" xr:uid="{00000000-0005-0000-0000-0000B46D0000}"/>
    <cellStyle name="표준 5 3 2 11 6" xfId="25875" xr:uid="{00000000-0005-0000-0000-0000B56D0000}"/>
    <cellStyle name="표준 5 3 2 11 7" xfId="34086" xr:uid="{00000000-0005-0000-0000-0000B66D0000}"/>
    <cellStyle name="표준 5 3 2 11 8" xfId="42279" xr:uid="{00000000-0005-0000-0000-0000B76D0000}"/>
    <cellStyle name="표준 5 3 2 12" xfId="6952" xr:uid="{00000000-0005-0000-0000-0000B86D0000}"/>
    <cellStyle name="표준 5 3 2 12 2" xfId="27923" xr:uid="{00000000-0005-0000-0000-0000B96D0000}"/>
    <cellStyle name="표준 5 3 2 12 3" xfId="36134" xr:uid="{00000000-0005-0000-0000-0000BA6D0000}"/>
    <cellStyle name="표준 5 3 2 12 4" xfId="44327" xr:uid="{00000000-0005-0000-0000-0000BB6D0000}"/>
    <cellStyle name="표준 5 3 2 13" xfId="7070" xr:uid="{00000000-0005-0000-0000-0000BC6D0000}"/>
    <cellStyle name="표준 5 3 2 14" xfId="7086" xr:uid="{00000000-0005-0000-0000-0000BD6D0000}"/>
    <cellStyle name="표준 5 3 2 15" xfId="7102" xr:uid="{00000000-0005-0000-0000-0000BE6D0000}"/>
    <cellStyle name="표준 5 3 2 16" xfId="7204" xr:uid="{00000000-0005-0000-0000-0000BF6D0000}"/>
    <cellStyle name="표준 5 3 2 17" xfId="7217" xr:uid="{00000000-0005-0000-0000-0000C06D0000}"/>
    <cellStyle name="표준 5 3 2 18" xfId="11313" xr:uid="{00000000-0005-0000-0000-0000C16D0000}"/>
    <cellStyle name="표준 5 3 2 19" xfId="11329" xr:uid="{00000000-0005-0000-0000-0000C26D0000}"/>
    <cellStyle name="표준 5 3 2 2" xfId="77" xr:uid="{00000000-0005-0000-0000-0000C36D0000}"/>
    <cellStyle name="표준 5 3 2 2 10" xfId="4403" xr:uid="{00000000-0005-0000-0000-0000C46D0000}"/>
    <cellStyle name="표준 5 3 2 2 10 2" xfId="9273" xr:uid="{00000000-0005-0000-0000-0000C56D0000}"/>
    <cellStyle name="표준 5 3 2 2 10 2 2" xfId="29979" xr:uid="{00000000-0005-0000-0000-0000C66D0000}"/>
    <cellStyle name="표준 5 3 2 2 10 2 3" xfId="38190" xr:uid="{00000000-0005-0000-0000-0000C76D0000}"/>
    <cellStyle name="표준 5 3 2 2 10 2 4" xfId="46383" xr:uid="{00000000-0005-0000-0000-0000C86D0000}"/>
    <cellStyle name="표준 5 3 2 2 10 3" xfId="13385" xr:uid="{00000000-0005-0000-0000-0000C96D0000}"/>
    <cellStyle name="표준 5 3 2 2 10 4" xfId="17625" xr:uid="{00000000-0005-0000-0000-0000CA6D0000}"/>
    <cellStyle name="표준 5 3 2 2 10 5" xfId="21787" xr:uid="{00000000-0005-0000-0000-0000CB6D0000}"/>
    <cellStyle name="표준 5 3 2 2 10 6" xfId="25883" xr:uid="{00000000-0005-0000-0000-0000CC6D0000}"/>
    <cellStyle name="표준 5 3 2 2 10 7" xfId="34094" xr:uid="{00000000-0005-0000-0000-0000CD6D0000}"/>
    <cellStyle name="표준 5 3 2 2 10 8" xfId="42287" xr:uid="{00000000-0005-0000-0000-0000CE6D0000}"/>
    <cellStyle name="표준 5 3 2 2 11" xfId="6960" xr:uid="{00000000-0005-0000-0000-0000CF6D0000}"/>
    <cellStyle name="표준 5 3 2 2 11 2" xfId="27931" xr:uid="{00000000-0005-0000-0000-0000D06D0000}"/>
    <cellStyle name="표준 5 3 2 2 11 3" xfId="36142" xr:uid="{00000000-0005-0000-0000-0000D16D0000}"/>
    <cellStyle name="표준 5 3 2 2 11 4" xfId="44335" xr:uid="{00000000-0005-0000-0000-0000D26D0000}"/>
    <cellStyle name="표준 5 3 2 2 12" xfId="7078" xr:uid="{00000000-0005-0000-0000-0000D36D0000}"/>
    <cellStyle name="표준 5 3 2 2 13" xfId="7094" xr:uid="{00000000-0005-0000-0000-0000D46D0000}"/>
    <cellStyle name="표준 5 3 2 2 14" xfId="7110" xr:uid="{00000000-0005-0000-0000-0000D56D0000}"/>
    <cellStyle name="표준 5 3 2 2 15" xfId="7196" xr:uid="{00000000-0005-0000-0000-0000D66D0000}"/>
    <cellStyle name="표준 5 3 2 2 16" xfId="7225" xr:uid="{00000000-0005-0000-0000-0000D76D0000}"/>
    <cellStyle name="표준 5 3 2 2 17" xfId="11321" xr:uid="{00000000-0005-0000-0000-0000D86D0000}"/>
    <cellStyle name="표준 5 3 2 2 18" xfId="11337" xr:uid="{00000000-0005-0000-0000-0000D96D0000}"/>
    <cellStyle name="표준 5 3 2 2 19" xfId="15433" xr:uid="{00000000-0005-0000-0000-0000DA6D0000}"/>
    <cellStyle name="표준 5 3 2 2 2" xfId="171" xr:uid="{00000000-0005-0000-0000-0000DB6D0000}"/>
    <cellStyle name="표준 5 3 2 2 2 10" xfId="7180" xr:uid="{00000000-0005-0000-0000-0000DC6D0000}"/>
    <cellStyle name="표준 5 3 2 2 2 10 2" xfId="27947" xr:uid="{00000000-0005-0000-0000-0000DD6D0000}"/>
    <cellStyle name="표준 5 3 2 2 2 10 3" xfId="36158" xr:uid="{00000000-0005-0000-0000-0000DE6D0000}"/>
    <cellStyle name="표준 5 3 2 2 2 10 4" xfId="44351" xr:uid="{00000000-0005-0000-0000-0000DF6D0000}"/>
    <cellStyle name="표준 5 3 2 2 2 11" xfId="7241" xr:uid="{00000000-0005-0000-0000-0000E06D0000}"/>
    <cellStyle name="표준 5 3 2 2 2 12" xfId="11353" xr:uid="{00000000-0005-0000-0000-0000E16D0000}"/>
    <cellStyle name="표준 5 3 2 2 2 13" xfId="15481" xr:uid="{00000000-0005-0000-0000-0000E26D0000}"/>
    <cellStyle name="표준 5 3 2 2 2 14" xfId="15593" xr:uid="{00000000-0005-0000-0000-0000E36D0000}"/>
    <cellStyle name="표준 5 3 2 2 2 15" xfId="19755" xr:uid="{00000000-0005-0000-0000-0000E46D0000}"/>
    <cellStyle name="표준 5 3 2 2 2 16" xfId="23851" xr:uid="{00000000-0005-0000-0000-0000E56D0000}"/>
    <cellStyle name="표준 5 3 2 2 2 17" xfId="32062" xr:uid="{00000000-0005-0000-0000-0000E66D0000}"/>
    <cellStyle name="표준 5 3 2 2 2 18" xfId="40255" xr:uid="{00000000-0005-0000-0000-0000E76D0000}"/>
    <cellStyle name="표준 5 3 2 2 2 19" xfId="49638" xr:uid="{00000000-0005-0000-0000-0000E86D0000}"/>
    <cellStyle name="표준 5 3 2 2 2 2" xfId="418" xr:uid="{00000000-0005-0000-0000-0000E96D0000}"/>
    <cellStyle name="표준 5 3 2 2 2 2 10" xfId="7273" xr:uid="{00000000-0005-0000-0000-0000EA6D0000}"/>
    <cellStyle name="표준 5 3 2 2 2 2 11" xfId="11385" xr:uid="{00000000-0005-0000-0000-0000EB6D0000}"/>
    <cellStyle name="표준 5 3 2 2 2 2 12" xfId="15529" xr:uid="{00000000-0005-0000-0000-0000EC6D0000}"/>
    <cellStyle name="표준 5 3 2 2 2 2 13" xfId="15625" xr:uid="{00000000-0005-0000-0000-0000ED6D0000}"/>
    <cellStyle name="표준 5 3 2 2 2 2 14" xfId="19787" xr:uid="{00000000-0005-0000-0000-0000EE6D0000}"/>
    <cellStyle name="표준 5 3 2 2 2 2 15" xfId="23883" xr:uid="{00000000-0005-0000-0000-0000EF6D0000}"/>
    <cellStyle name="표준 5 3 2 2 2 2 16" xfId="32094" xr:uid="{00000000-0005-0000-0000-0000F06D0000}"/>
    <cellStyle name="표준 5 3 2 2 2 2 17" xfId="40287" xr:uid="{00000000-0005-0000-0000-0000F16D0000}"/>
    <cellStyle name="표준 5 3 2 2 2 2 18" xfId="49704" xr:uid="{00000000-0005-0000-0000-0000F26D0000}"/>
    <cellStyle name="표준 5 3 2 2 2 2 2" xfId="482" xr:uid="{00000000-0005-0000-0000-0000F36D0000}"/>
    <cellStyle name="표준 5 3 2 2 2 2 2 10" xfId="15689" xr:uid="{00000000-0005-0000-0000-0000F46D0000}"/>
    <cellStyle name="표준 5 3 2 2 2 2 2 11" xfId="19851" xr:uid="{00000000-0005-0000-0000-0000F56D0000}"/>
    <cellStyle name="표준 5 3 2 2 2 2 2 12" xfId="23947" xr:uid="{00000000-0005-0000-0000-0000F66D0000}"/>
    <cellStyle name="표준 5 3 2 2 2 2 2 13" xfId="32158" xr:uid="{00000000-0005-0000-0000-0000F76D0000}"/>
    <cellStyle name="표준 5 3 2 2 2 2 2 14" xfId="40351" xr:uid="{00000000-0005-0000-0000-0000F86D0000}"/>
    <cellStyle name="표준 5 3 2 2 2 2 2 2" xfId="610" xr:uid="{00000000-0005-0000-0000-0000F96D0000}"/>
    <cellStyle name="표준 5 3 2 2 2 2 2 2 10" xfId="19979" xr:uid="{00000000-0005-0000-0000-0000FA6D0000}"/>
    <cellStyle name="표준 5 3 2 2 2 2 2 2 11" xfId="24075" xr:uid="{00000000-0005-0000-0000-0000FB6D0000}"/>
    <cellStyle name="표준 5 3 2 2 2 2 2 2 12" xfId="32286" xr:uid="{00000000-0005-0000-0000-0000FC6D0000}"/>
    <cellStyle name="표준 5 3 2 2 2 2 2 2 13" xfId="40479" xr:uid="{00000000-0005-0000-0000-0000FD6D0000}"/>
    <cellStyle name="표준 5 3 2 2 2 2 2 2 2" xfId="866" xr:uid="{00000000-0005-0000-0000-0000FE6D0000}"/>
    <cellStyle name="표준 5 3 2 2 2 2 2 2 2 10" xfId="24331" xr:uid="{00000000-0005-0000-0000-0000FF6D0000}"/>
    <cellStyle name="표준 5 3 2 2 2 2 2 2 2 11" xfId="32542" xr:uid="{00000000-0005-0000-0000-0000006E0000}"/>
    <cellStyle name="표준 5 3 2 2 2 2 2 2 2 12" xfId="40735" xr:uid="{00000000-0005-0000-0000-0000016E0000}"/>
    <cellStyle name="표준 5 3 2 2 2 2 2 2 2 2" xfId="1378" xr:uid="{00000000-0005-0000-0000-0000026E0000}"/>
    <cellStyle name="표준 5 3 2 2 2 2 2 2 2 2 2" xfId="10281" xr:uid="{00000000-0005-0000-0000-0000036E0000}"/>
    <cellStyle name="표준 5 3 2 2 2 2 2 2 2 2 2 2" xfId="14393" xr:uid="{00000000-0005-0000-0000-0000046E0000}"/>
    <cellStyle name="표준 5 3 2 2 2 2 2 2 2 2 2 2 2" xfId="30987" xr:uid="{00000000-0005-0000-0000-0000056E0000}"/>
    <cellStyle name="표준 5 3 2 2 2 2 2 2 2 2 2 2 3" xfId="39198" xr:uid="{00000000-0005-0000-0000-0000066E0000}"/>
    <cellStyle name="표준 5 3 2 2 2 2 2 2 2 2 2 2 4" xfId="47391" xr:uid="{00000000-0005-0000-0000-0000076E0000}"/>
    <cellStyle name="표준 5 3 2 2 2 2 2 2 2 2 2 3" xfId="18633" xr:uid="{00000000-0005-0000-0000-0000086E0000}"/>
    <cellStyle name="표준 5 3 2 2 2 2 2 2 2 2 2 4" xfId="22795" xr:uid="{00000000-0005-0000-0000-0000096E0000}"/>
    <cellStyle name="표준 5 3 2 2 2 2 2 2 2 2 2 5" xfId="26891" xr:uid="{00000000-0005-0000-0000-00000A6E0000}"/>
    <cellStyle name="표준 5 3 2 2 2 2 2 2 2 2 2 6" xfId="35102" xr:uid="{00000000-0005-0000-0000-00000B6E0000}"/>
    <cellStyle name="표준 5 3 2 2 2 2 2 2 2 2 2 7" xfId="43295" xr:uid="{00000000-0005-0000-0000-00000C6E0000}"/>
    <cellStyle name="표준 5 3 2 2 2 2 2 2 2 2 3" xfId="8233" xr:uid="{00000000-0005-0000-0000-00000D6E0000}"/>
    <cellStyle name="표준 5 3 2 2 2 2 2 2 2 2 3 2" xfId="28939" xr:uid="{00000000-0005-0000-0000-00000E6E0000}"/>
    <cellStyle name="표준 5 3 2 2 2 2 2 2 2 2 3 3" xfId="37150" xr:uid="{00000000-0005-0000-0000-00000F6E0000}"/>
    <cellStyle name="표준 5 3 2 2 2 2 2 2 2 2 3 4" xfId="45343" xr:uid="{00000000-0005-0000-0000-0000106E0000}"/>
    <cellStyle name="표준 5 3 2 2 2 2 2 2 2 2 4" xfId="12345" xr:uid="{00000000-0005-0000-0000-0000116E0000}"/>
    <cellStyle name="표준 5 3 2 2 2 2 2 2 2 2 5" xfId="16585" xr:uid="{00000000-0005-0000-0000-0000126E0000}"/>
    <cellStyle name="표준 5 3 2 2 2 2 2 2 2 2 6" xfId="20747" xr:uid="{00000000-0005-0000-0000-0000136E0000}"/>
    <cellStyle name="표준 5 3 2 2 2 2 2 2 2 2 7" xfId="24843" xr:uid="{00000000-0005-0000-0000-0000146E0000}"/>
    <cellStyle name="표준 5 3 2 2 2 2 2 2 2 2 8" xfId="33054" xr:uid="{00000000-0005-0000-0000-0000156E0000}"/>
    <cellStyle name="표준 5 3 2 2 2 2 2 2 2 2 9" xfId="41247" xr:uid="{00000000-0005-0000-0000-0000166E0000}"/>
    <cellStyle name="표준 5 3 2 2 2 2 2 2 2 3" xfId="1890" xr:uid="{00000000-0005-0000-0000-0000176E0000}"/>
    <cellStyle name="표준 5 3 2 2 2 2 2 2 2 3 2" xfId="10793" xr:uid="{00000000-0005-0000-0000-0000186E0000}"/>
    <cellStyle name="표준 5 3 2 2 2 2 2 2 2 3 2 2" xfId="14905" xr:uid="{00000000-0005-0000-0000-0000196E0000}"/>
    <cellStyle name="표준 5 3 2 2 2 2 2 2 2 3 2 2 2" xfId="31499" xr:uid="{00000000-0005-0000-0000-00001A6E0000}"/>
    <cellStyle name="표준 5 3 2 2 2 2 2 2 2 3 2 2 3" xfId="39710" xr:uid="{00000000-0005-0000-0000-00001B6E0000}"/>
    <cellStyle name="표준 5 3 2 2 2 2 2 2 2 3 2 2 4" xfId="47903" xr:uid="{00000000-0005-0000-0000-00001C6E0000}"/>
    <cellStyle name="표준 5 3 2 2 2 2 2 2 2 3 2 3" xfId="19145" xr:uid="{00000000-0005-0000-0000-00001D6E0000}"/>
    <cellStyle name="표준 5 3 2 2 2 2 2 2 2 3 2 4" xfId="23307" xr:uid="{00000000-0005-0000-0000-00001E6E0000}"/>
    <cellStyle name="표준 5 3 2 2 2 2 2 2 2 3 2 5" xfId="27403" xr:uid="{00000000-0005-0000-0000-00001F6E0000}"/>
    <cellStyle name="표준 5 3 2 2 2 2 2 2 2 3 2 6" xfId="35614" xr:uid="{00000000-0005-0000-0000-0000206E0000}"/>
    <cellStyle name="표준 5 3 2 2 2 2 2 2 2 3 2 7" xfId="43807" xr:uid="{00000000-0005-0000-0000-0000216E0000}"/>
    <cellStyle name="표준 5 3 2 2 2 2 2 2 2 3 3" xfId="8745" xr:uid="{00000000-0005-0000-0000-0000226E0000}"/>
    <cellStyle name="표준 5 3 2 2 2 2 2 2 2 3 3 2" xfId="29451" xr:uid="{00000000-0005-0000-0000-0000236E0000}"/>
    <cellStyle name="표준 5 3 2 2 2 2 2 2 2 3 3 3" xfId="37662" xr:uid="{00000000-0005-0000-0000-0000246E0000}"/>
    <cellStyle name="표준 5 3 2 2 2 2 2 2 2 3 3 4" xfId="45855" xr:uid="{00000000-0005-0000-0000-0000256E0000}"/>
    <cellStyle name="표준 5 3 2 2 2 2 2 2 2 3 4" xfId="12857" xr:uid="{00000000-0005-0000-0000-0000266E0000}"/>
    <cellStyle name="표준 5 3 2 2 2 2 2 2 2 3 5" xfId="17097" xr:uid="{00000000-0005-0000-0000-0000276E0000}"/>
    <cellStyle name="표준 5 3 2 2 2 2 2 2 2 3 6" xfId="21259" xr:uid="{00000000-0005-0000-0000-0000286E0000}"/>
    <cellStyle name="표준 5 3 2 2 2 2 2 2 2 3 7" xfId="25355" xr:uid="{00000000-0005-0000-0000-0000296E0000}"/>
    <cellStyle name="표준 5 3 2 2 2 2 2 2 2 3 8" xfId="33566" xr:uid="{00000000-0005-0000-0000-00002A6E0000}"/>
    <cellStyle name="표준 5 3 2 2 2 2 2 2 2 3 9" xfId="41759" xr:uid="{00000000-0005-0000-0000-00002B6E0000}"/>
    <cellStyle name="표준 5 3 2 2 2 2 2 2 2 4" xfId="2402" xr:uid="{00000000-0005-0000-0000-00002C6E0000}"/>
    <cellStyle name="표준 5 3 2 2 2 2 2 2 2 4 2" xfId="11305" xr:uid="{00000000-0005-0000-0000-00002D6E0000}"/>
    <cellStyle name="표준 5 3 2 2 2 2 2 2 2 4 2 2" xfId="15417" xr:uid="{00000000-0005-0000-0000-00002E6E0000}"/>
    <cellStyle name="표준 5 3 2 2 2 2 2 2 2 4 2 2 2" xfId="32011" xr:uid="{00000000-0005-0000-0000-00002F6E0000}"/>
    <cellStyle name="표준 5 3 2 2 2 2 2 2 2 4 2 2 3" xfId="40222" xr:uid="{00000000-0005-0000-0000-0000306E0000}"/>
    <cellStyle name="표준 5 3 2 2 2 2 2 2 2 4 2 2 4" xfId="48415" xr:uid="{00000000-0005-0000-0000-0000316E0000}"/>
    <cellStyle name="표준 5 3 2 2 2 2 2 2 2 4 2 3" xfId="19657" xr:uid="{00000000-0005-0000-0000-0000326E0000}"/>
    <cellStyle name="표준 5 3 2 2 2 2 2 2 2 4 2 4" xfId="23819" xr:uid="{00000000-0005-0000-0000-0000336E0000}"/>
    <cellStyle name="표준 5 3 2 2 2 2 2 2 2 4 2 5" xfId="27915" xr:uid="{00000000-0005-0000-0000-0000346E0000}"/>
    <cellStyle name="표준 5 3 2 2 2 2 2 2 2 4 2 6" xfId="36126" xr:uid="{00000000-0005-0000-0000-0000356E0000}"/>
    <cellStyle name="표준 5 3 2 2 2 2 2 2 2 4 2 7" xfId="44319" xr:uid="{00000000-0005-0000-0000-0000366E0000}"/>
    <cellStyle name="표준 5 3 2 2 2 2 2 2 2 4 3" xfId="9257" xr:uid="{00000000-0005-0000-0000-0000376E0000}"/>
    <cellStyle name="표준 5 3 2 2 2 2 2 2 2 4 3 2" xfId="29963" xr:uid="{00000000-0005-0000-0000-0000386E0000}"/>
    <cellStyle name="표준 5 3 2 2 2 2 2 2 2 4 3 3" xfId="38174" xr:uid="{00000000-0005-0000-0000-0000396E0000}"/>
    <cellStyle name="표준 5 3 2 2 2 2 2 2 2 4 3 4" xfId="46367" xr:uid="{00000000-0005-0000-0000-00003A6E0000}"/>
    <cellStyle name="표준 5 3 2 2 2 2 2 2 2 4 4" xfId="13369" xr:uid="{00000000-0005-0000-0000-00003B6E0000}"/>
    <cellStyle name="표준 5 3 2 2 2 2 2 2 2 4 5" xfId="17609" xr:uid="{00000000-0005-0000-0000-00003C6E0000}"/>
    <cellStyle name="표준 5 3 2 2 2 2 2 2 2 4 6" xfId="21771" xr:uid="{00000000-0005-0000-0000-00003D6E0000}"/>
    <cellStyle name="표준 5 3 2 2 2 2 2 2 2 4 7" xfId="25867" xr:uid="{00000000-0005-0000-0000-00003E6E0000}"/>
    <cellStyle name="표준 5 3 2 2 2 2 2 2 2 4 8" xfId="34078" xr:uid="{00000000-0005-0000-0000-00003F6E0000}"/>
    <cellStyle name="표준 5 3 2 2 2 2 2 2 2 4 9" xfId="42271" xr:uid="{00000000-0005-0000-0000-0000406E0000}"/>
    <cellStyle name="표준 5 3 2 2 2 2 2 2 2 5" xfId="9769" xr:uid="{00000000-0005-0000-0000-0000416E0000}"/>
    <cellStyle name="표준 5 3 2 2 2 2 2 2 2 5 2" xfId="13881" xr:uid="{00000000-0005-0000-0000-0000426E0000}"/>
    <cellStyle name="표준 5 3 2 2 2 2 2 2 2 5 2 2" xfId="30475" xr:uid="{00000000-0005-0000-0000-0000436E0000}"/>
    <cellStyle name="표준 5 3 2 2 2 2 2 2 2 5 2 3" xfId="38686" xr:uid="{00000000-0005-0000-0000-0000446E0000}"/>
    <cellStyle name="표준 5 3 2 2 2 2 2 2 2 5 2 4" xfId="46879" xr:uid="{00000000-0005-0000-0000-0000456E0000}"/>
    <cellStyle name="표준 5 3 2 2 2 2 2 2 2 5 3" xfId="18121" xr:uid="{00000000-0005-0000-0000-0000466E0000}"/>
    <cellStyle name="표준 5 3 2 2 2 2 2 2 2 5 4" xfId="22283" xr:uid="{00000000-0005-0000-0000-0000476E0000}"/>
    <cellStyle name="표준 5 3 2 2 2 2 2 2 2 5 5" xfId="26379" xr:uid="{00000000-0005-0000-0000-0000486E0000}"/>
    <cellStyle name="표준 5 3 2 2 2 2 2 2 2 5 6" xfId="34590" xr:uid="{00000000-0005-0000-0000-0000496E0000}"/>
    <cellStyle name="표준 5 3 2 2 2 2 2 2 2 5 7" xfId="42783" xr:uid="{00000000-0005-0000-0000-00004A6E0000}"/>
    <cellStyle name="표준 5 3 2 2 2 2 2 2 2 6" xfId="7721" xr:uid="{00000000-0005-0000-0000-00004B6E0000}"/>
    <cellStyle name="표준 5 3 2 2 2 2 2 2 2 6 2" xfId="28427" xr:uid="{00000000-0005-0000-0000-00004C6E0000}"/>
    <cellStyle name="표준 5 3 2 2 2 2 2 2 2 6 3" xfId="36638" xr:uid="{00000000-0005-0000-0000-00004D6E0000}"/>
    <cellStyle name="표준 5 3 2 2 2 2 2 2 2 6 4" xfId="44831" xr:uid="{00000000-0005-0000-0000-00004E6E0000}"/>
    <cellStyle name="표준 5 3 2 2 2 2 2 2 2 7" xfId="11833" xr:uid="{00000000-0005-0000-0000-00004F6E0000}"/>
    <cellStyle name="표준 5 3 2 2 2 2 2 2 2 8" xfId="16073" xr:uid="{00000000-0005-0000-0000-0000506E0000}"/>
    <cellStyle name="표준 5 3 2 2 2 2 2 2 2 9" xfId="20235" xr:uid="{00000000-0005-0000-0000-0000516E0000}"/>
    <cellStyle name="표준 5 3 2 2 2 2 2 2 3" xfId="1122" xr:uid="{00000000-0005-0000-0000-0000526E0000}"/>
    <cellStyle name="표준 5 3 2 2 2 2 2 2 3 2" xfId="10025" xr:uid="{00000000-0005-0000-0000-0000536E0000}"/>
    <cellStyle name="표준 5 3 2 2 2 2 2 2 3 2 2" xfId="14137" xr:uid="{00000000-0005-0000-0000-0000546E0000}"/>
    <cellStyle name="표준 5 3 2 2 2 2 2 2 3 2 2 2" xfId="30731" xr:uid="{00000000-0005-0000-0000-0000556E0000}"/>
    <cellStyle name="표준 5 3 2 2 2 2 2 2 3 2 2 3" xfId="38942" xr:uid="{00000000-0005-0000-0000-0000566E0000}"/>
    <cellStyle name="표준 5 3 2 2 2 2 2 2 3 2 2 4" xfId="47135" xr:uid="{00000000-0005-0000-0000-0000576E0000}"/>
    <cellStyle name="표준 5 3 2 2 2 2 2 2 3 2 3" xfId="18377" xr:uid="{00000000-0005-0000-0000-0000586E0000}"/>
    <cellStyle name="표준 5 3 2 2 2 2 2 2 3 2 4" xfId="22539" xr:uid="{00000000-0005-0000-0000-0000596E0000}"/>
    <cellStyle name="표준 5 3 2 2 2 2 2 2 3 2 5" xfId="26635" xr:uid="{00000000-0005-0000-0000-00005A6E0000}"/>
    <cellStyle name="표준 5 3 2 2 2 2 2 2 3 2 6" xfId="34846" xr:uid="{00000000-0005-0000-0000-00005B6E0000}"/>
    <cellStyle name="표준 5 3 2 2 2 2 2 2 3 2 7" xfId="43039" xr:uid="{00000000-0005-0000-0000-00005C6E0000}"/>
    <cellStyle name="표준 5 3 2 2 2 2 2 2 3 3" xfId="7977" xr:uid="{00000000-0005-0000-0000-00005D6E0000}"/>
    <cellStyle name="표준 5 3 2 2 2 2 2 2 3 3 2" xfId="28683" xr:uid="{00000000-0005-0000-0000-00005E6E0000}"/>
    <cellStyle name="표준 5 3 2 2 2 2 2 2 3 3 3" xfId="36894" xr:uid="{00000000-0005-0000-0000-00005F6E0000}"/>
    <cellStyle name="표준 5 3 2 2 2 2 2 2 3 3 4" xfId="45087" xr:uid="{00000000-0005-0000-0000-0000606E0000}"/>
    <cellStyle name="표준 5 3 2 2 2 2 2 2 3 4" xfId="12089" xr:uid="{00000000-0005-0000-0000-0000616E0000}"/>
    <cellStyle name="표준 5 3 2 2 2 2 2 2 3 5" xfId="16329" xr:uid="{00000000-0005-0000-0000-0000626E0000}"/>
    <cellStyle name="표준 5 3 2 2 2 2 2 2 3 6" xfId="20491" xr:uid="{00000000-0005-0000-0000-0000636E0000}"/>
    <cellStyle name="표준 5 3 2 2 2 2 2 2 3 7" xfId="24587" xr:uid="{00000000-0005-0000-0000-0000646E0000}"/>
    <cellStyle name="표준 5 3 2 2 2 2 2 2 3 8" xfId="32798" xr:uid="{00000000-0005-0000-0000-0000656E0000}"/>
    <cellStyle name="표준 5 3 2 2 2 2 2 2 3 9" xfId="40991" xr:uid="{00000000-0005-0000-0000-0000666E0000}"/>
    <cellStyle name="표준 5 3 2 2 2 2 2 2 4" xfId="1634" xr:uid="{00000000-0005-0000-0000-0000676E0000}"/>
    <cellStyle name="표준 5 3 2 2 2 2 2 2 4 2" xfId="10537" xr:uid="{00000000-0005-0000-0000-0000686E0000}"/>
    <cellStyle name="표준 5 3 2 2 2 2 2 2 4 2 2" xfId="14649" xr:uid="{00000000-0005-0000-0000-0000696E0000}"/>
    <cellStyle name="표준 5 3 2 2 2 2 2 2 4 2 2 2" xfId="31243" xr:uid="{00000000-0005-0000-0000-00006A6E0000}"/>
    <cellStyle name="표준 5 3 2 2 2 2 2 2 4 2 2 3" xfId="39454" xr:uid="{00000000-0005-0000-0000-00006B6E0000}"/>
    <cellStyle name="표준 5 3 2 2 2 2 2 2 4 2 2 4" xfId="47647" xr:uid="{00000000-0005-0000-0000-00006C6E0000}"/>
    <cellStyle name="표준 5 3 2 2 2 2 2 2 4 2 3" xfId="18889" xr:uid="{00000000-0005-0000-0000-00006D6E0000}"/>
    <cellStyle name="표준 5 3 2 2 2 2 2 2 4 2 4" xfId="23051" xr:uid="{00000000-0005-0000-0000-00006E6E0000}"/>
    <cellStyle name="표준 5 3 2 2 2 2 2 2 4 2 5" xfId="27147" xr:uid="{00000000-0005-0000-0000-00006F6E0000}"/>
    <cellStyle name="표준 5 3 2 2 2 2 2 2 4 2 6" xfId="35358" xr:uid="{00000000-0005-0000-0000-0000706E0000}"/>
    <cellStyle name="표준 5 3 2 2 2 2 2 2 4 2 7" xfId="43551" xr:uid="{00000000-0005-0000-0000-0000716E0000}"/>
    <cellStyle name="표준 5 3 2 2 2 2 2 2 4 3" xfId="8489" xr:uid="{00000000-0005-0000-0000-0000726E0000}"/>
    <cellStyle name="표준 5 3 2 2 2 2 2 2 4 3 2" xfId="29195" xr:uid="{00000000-0005-0000-0000-0000736E0000}"/>
    <cellStyle name="표준 5 3 2 2 2 2 2 2 4 3 3" xfId="37406" xr:uid="{00000000-0005-0000-0000-0000746E0000}"/>
    <cellStyle name="표준 5 3 2 2 2 2 2 2 4 3 4" xfId="45599" xr:uid="{00000000-0005-0000-0000-0000756E0000}"/>
    <cellStyle name="표준 5 3 2 2 2 2 2 2 4 4" xfId="12601" xr:uid="{00000000-0005-0000-0000-0000766E0000}"/>
    <cellStyle name="표준 5 3 2 2 2 2 2 2 4 5" xfId="16841" xr:uid="{00000000-0005-0000-0000-0000776E0000}"/>
    <cellStyle name="표준 5 3 2 2 2 2 2 2 4 6" xfId="21003" xr:uid="{00000000-0005-0000-0000-0000786E0000}"/>
    <cellStyle name="표준 5 3 2 2 2 2 2 2 4 7" xfId="25099" xr:uid="{00000000-0005-0000-0000-0000796E0000}"/>
    <cellStyle name="표준 5 3 2 2 2 2 2 2 4 8" xfId="33310" xr:uid="{00000000-0005-0000-0000-00007A6E0000}"/>
    <cellStyle name="표준 5 3 2 2 2 2 2 2 4 9" xfId="41503" xr:uid="{00000000-0005-0000-0000-00007B6E0000}"/>
    <cellStyle name="표준 5 3 2 2 2 2 2 2 5" xfId="2146" xr:uid="{00000000-0005-0000-0000-00007C6E0000}"/>
    <cellStyle name="표준 5 3 2 2 2 2 2 2 5 2" xfId="11049" xr:uid="{00000000-0005-0000-0000-00007D6E0000}"/>
    <cellStyle name="표준 5 3 2 2 2 2 2 2 5 2 2" xfId="15161" xr:uid="{00000000-0005-0000-0000-00007E6E0000}"/>
    <cellStyle name="표준 5 3 2 2 2 2 2 2 5 2 2 2" xfId="31755" xr:uid="{00000000-0005-0000-0000-00007F6E0000}"/>
    <cellStyle name="표준 5 3 2 2 2 2 2 2 5 2 2 3" xfId="39966" xr:uid="{00000000-0005-0000-0000-0000806E0000}"/>
    <cellStyle name="표준 5 3 2 2 2 2 2 2 5 2 2 4" xfId="48159" xr:uid="{00000000-0005-0000-0000-0000816E0000}"/>
    <cellStyle name="표준 5 3 2 2 2 2 2 2 5 2 3" xfId="19401" xr:uid="{00000000-0005-0000-0000-0000826E0000}"/>
    <cellStyle name="표준 5 3 2 2 2 2 2 2 5 2 4" xfId="23563" xr:uid="{00000000-0005-0000-0000-0000836E0000}"/>
    <cellStyle name="표준 5 3 2 2 2 2 2 2 5 2 5" xfId="27659" xr:uid="{00000000-0005-0000-0000-0000846E0000}"/>
    <cellStyle name="표준 5 3 2 2 2 2 2 2 5 2 6" xfId="35870" xr:uid="{00000000-0005-0000-0000-0000856E0000}"/>
    <cellStyle name="표준 5 3 2 2 2 2 2 2 5 2 7" xfId="44063" xr:uid="{00000000-0005-0000-0000-0000866E0000}"/>
    <cellStyle name="표준 5 3 2 2 2 2 2 2 5 3" xfId="9001" xr:uid="{00000000-0005-0000-0000-0000876E0000}"/>
    <cellStyle name="표준 5 3 2 2 2 2 2 2 5 3 2" xfId="29707" xr:uid="{00000000-0005-0000-0000-0000886E0000}"/>
    <cellStyle name="표준 5 3 2 2 2 2 2 2 5 3 3" xfId="37918" xr:uid="{00000000-0005-0000-0000-0000896E0000}"/>
    <cellStyle name="표준 5 3 2 2 2 2 2 2 5 3 4" xfId="46111" xr:uid="{00000000-0005-0000-0000-00008A6E0000}"/>
    <cellStyle name="표준 5 3 2 2 2 2 2 2 5 4" xfId="13113" xr:uid="{00000000-0005-0000-0000-00008B6E0000}"/>
    <cellStyle name="표준 5 3 2 2 2 2 2 2 5 5" xfId="17353" xr:uid="{00000000-0005-0000-0000-00008C6E0000}"/>
    <cellStyle name="표준 5 3 2 2 2 2 2 2 5 6" xfId="21515" xr:uid="{00000000-0005-0000-0000-00008D6E0000}"/>
    <cellStyle name="표준 5 3 2 2 2 2 2 2 5 7" xfId="25611" xr:uid="{00000000-0005-0000-0000-00008E6E0000}"/>
    <cellStyle name="표준 5 3 2 2 2 2 2 2 5 8" xfId="33822" xr:uid="{00000000-0005-0000-0000-00008F6E0000}"/>
    <cellStyle name="표준 5 3 2 2 2 2 2 2 5 9" xfId="42015" xr:uid="{00000000-0005-0000-0000-0000906E0000}"/>
    <cellStyle name="표준 5 3 2 2 2 2 2 2 6" xfId="9513" xr:uid="{00000000-0005-0000-0000-0000916E0000}"/>
    <cellStyle name="표준 5 3 2 2 2 2 2 2 6 2" xfId="13625" xr:uid="{00000000-0005-0000-0000-0000926E0000}"/>
    <cellStyle name="표준 5 3 2 2 2 2 2 2 6 2 2" xfId="30219" xr:uid="{00000000-0005-0000-0000-0000936E0000}"/>
    <cellStyle name="표준 5 3 2 2 2 2 2 2 6 2 3" xfId="38430" xr:uid="{00000000-0005-0000-0000-0000946E0000}"/>
    <cellStyle name="표준 5 3 2 2 2 2 2 2 6 2 4" xfId="46623" xr:uid="{00000000-0005-0000-0000-0000956E0000}"/>
    <cellStyle name="표준 5 3 2 2 2 2 2 2 6 3" xfId="17865" xr:uid="{00000000-0005-0000-0000-0000966E0000}"/>
    <cellStyle name="표준 5 3 2 2 2 2 2 2 6 4" xfId="22027" xr:uid="{00000000-0005-0000-0000-0000976E0000}"/>
    <cellStyle name="표준 5 3 2 2 2 2 2 2 6 5" xfId="26123" xr:uid="{00000000-0005-0000-0000-0000986E0000}"/>
    <cellStyle name="표준 5 3 2 2 2 2 2 2 6 6" xfId="34334" xr:uid="{00000000-0005-0000-0000-0000996E0000}"/>
    <cellStyle name="표준 5 3 2 2 2 2 2 2 6 7" xfId="42527" xr:uid="{00000000-0005-0000-0000-00009A6E0000}"/>
    <cellStyle name="표준 5 3 2 2 2 2 2 2 7" xfId="7465" xr:uid="{00000000-0005-0000-0000-00009B6E0000}"/>
    <cellStyle name="표준 5 3 2 2 2 2 2 2 7 2" xfId="28171" xr:uid="{00000000-0005-0000-0000-00009C6E0000}"/>
    <cellStyle name="표준 5 3 2 2 2 2 2 2 7 3" xfId="36382" xr:uid="{00000000-0005-0000-0000-00009D6E0000}"/>
    <cellStyle name="표준 5 3 2 2 2 2 2 2 7 4" xfId="44575" xr:uid="{00000000-0005-0000-0000-00009E6E0000}"/>
    <cellStyle name="표준 5 3 2 2 2 2 2 2 8" xfId="11577" xr:uid="{00000000-0005-0000-0000-00009F6E0000}"/>
    <cellStyle name="표준 5 3 2 2 2 2 2 2 9" xfId="15817" xr:uid="{00000000-0005-0000-0000-0000A06E0000}"/>
    <cellStyle name="표준 5 3 2 2 2 2 2 3" xfId="738" xr:uid="{00000000-0005-0000-0000-0000A16E0000}"/>
    <cellStyle name="표준 5 3 2 2 2 2 2 3 10" xfId="24203" xr:uid="{00000000-0005-0000-0000-0000A26E0000}"/>
    <cellStyle name="표준 5 3 2 2 2 2 2 3 11" xfId="32414" xr:uid="{00000000-0005-0000-0000-0000A36E0000}"/>
    <cellStyle name="표준 5 3 2 2 2 2 2 3 12" xfId="40607" xr:uid="{00000000-0005-0000-0000-0000A46E0000}"/>
    <cellStyle name="표준 5 3 2 2 2 2 2 3 2" xfId="1250" xr:uid="{00000000-0005-0000-0000-0000A56E0000}"/>
    <cellStyle name="표준 5 3 2 2 2 2 2 3 2 2" xfId="10153" xr:uid="{00000000-0005-0000-0000-0000A66E0000}"/>
    <cellStyle name="표준 5 3 2 2 2 2 2 3 2 2 2" xfId="14265" xr:uid="{00000000-0005-0000-0000-0000A76E0000}"/>
    <cellStyle name="표준 5 3 2 2 2 2 2 3 2 2 2 2" xfId="30859" xr:uid="{00000000-0005-0000-0000-0000A86E0000}"/>
    <cellStyle name="표준 5 3 2 2 2 2 2 3 2 2 2 3" xfId="39070" xr:uid="{00000000-0005-0000-0000-0000A96E0000}"/>
    <cellStyle name="표준 5 3 2 2 2 2 2 3 2 2 2 4" xfId="47263" xr:uid="{00000000-0005-0000-0000-0000AA6E0000}"/>
    <cellStyle name="표준 5 3 2 2 2 2 2 3 2 2 3" xfId="18505" xr:uid="{00000000-0005-0000-0000-0000AB6E0000}"/>
    <cellStyle name="표준 5 3 2 2 2 2 2 3 2 2 4" xfId="22667" xr:uid="{00000000-0005-0000-0000-0000AC6E0000}"/>
    <cellStyle name="표준 5 3 2 2 2 2 2 3 2 2 5" xfId="26763" xr:uid="{00000000-0005-0000-0000-0000AD6E0000}"/>
    <cellStyle name="표준 5 3 2 2 2 2 2 3 2 2 6" xfId="34974" xr:uid="{00000000-0005-0000-0000-0000AE6E0000}"/>
    <cellStyle name="표준 5 3 2 2 2 2 2 3 2 2 7" xfId="43167" xr:uid="{00000000-0005-0000-0000-0000AF6E0000}"/>
    <cellStyle name="표준 5 3 2 2 2 2 2 3 2 3" xfId="8105" xr:uid="{00000000-0005-0000-0000-0000B06E0000}"/>
    <cellStyle name="표준 5 3 2 2 2 2 2 3 2 3 2" xfId="28811" xr:uid="{00000000-0005-0000-0000-0000B16E0000}"/>
    <cellStyle name="표준 5 3 2 2 2 2 2 3 2 3 3" xfId="37022" xr:uid="{00000000-0005-0000-0000-0000B26E0000}"/>
    <cellStyle name="표준 5 3 2 2 2 2 2 3 2 3 4" xfId="45215" xr:uid="{00000000-0005-0000-0000-0000B36E0000}"/>
    <cellStyle name="표준 5 3 2 2 2 2 2 3 2 4" xfId="12217" xr:uid="{00000000-0005-0000-0000-0000B46E0000}"/>
    <cellStyle name="표준 5 3 2 2 2 2 2 3 2 5" xfId="16457" xr:uid="{00000000-0005-0000-0000-0000B56E0000}"/>
    <cellStyle name="표준 5 3 2 2 2 2 2 3 2 6" xfId="20619" xr:uid="{00000000-0005-0000-0000-0000B66E0000}"/>
    <cellStyle name="표준 5 3 2 2 2 2 2 3 2 7" xfId="24715" xr:uid="{00000000-0005-0000-0000-0000B76E0000}"/>
    <cellStyle name="표준 5 3 2 2 2 2 2 3 2 8" xfId="32926" xr:uid="{00000000-0005-0000-0000-0000B86E0000}"/>
    <cellStyle name="표준 5 3 2 2 2 2 2 3 2 9" xfId="41119" xr:uid="{00000000-0005-0000-0000-0000B96E0000}"/>
    <cellStyle name="표준 5 3 2 2 2 2 2 3 3" xfId="1762" xr:uid="{00000000-0005-0000-0000-0000BA6E0000}"/>
    <cellStyle name="표준 5 3 2 2 2 2 2 3 3 2" xfId="10665" xr:uid="{00000000-0005-0000-0000-0000BB6E0000}"/>
    <cellStyle name="표준 5 3 2 2 2 2 2 3 3 2 2" xfId="14777" xr:uid="{00000000-0005-0000-0000-0000BC6E0000}"/>
    <cellStyle name="표준 5 3 2 2 2 2 2 3 3 2 2 2" xfId="31371" xr:uid="{00000000-0005-0000-0000-0000BD6E0000}"/>
    <cellStyle name="표준 5 3 2 2 2 2 2 3 3 2 2 3" xfId="39582" xr:uid="{00000000-0005-0000-0000-0000BE6E0000}"/>
    <cellStyle name="표준 5 3 2 2 2 2 2 3 3 2 2 4" xfId="47775" xr:uid="{00000000-0005-0000-0000-0000BF6E0000}"/>
    <cellStyle name="표준 5 3 2 2 2 2 2 3 3 2 3" xfId="19017" xr:uid="{00000000-0005-0000-0000-0000C06E0000}"/>
    <cellStyle name="표준 5 3 2 2 2 2 2 3 3 2 4" xfId="23179" xr:uid="{00000000-0005-0000-0000-0000C16E0000}"/>
    <cellStyle name="표준 5 3 2 2 2 2 2 3 3 2 5" xfId="27275" xr:uid="{00000000-0005-0000-0000-0000C26E0000}"/>
    <cellStyle name="표준 5 3 2 2 2 2 2 3 3 2 6" xfId="35486" xr:uid="{00000000-0005-0000-0000-0000C36E0000}"/>
    <cellStyle name="표준 5 3 2 2 2 2 2 3 3 2 7" xfId="43679" xr:uid="{00000000-0005-0000-0000-0000C46E0000}"/>
    <cellStyle name="표준 5 3 2 2 2 2 2 3 3 3" xfId="8617" xr:uid="{00000000-0005-0000-0000-0000C56E0000}"/>
    <cellStyle name="표준 5 3 2 2 2 2 2 3 3 3 2" xfId="29323" xr:uid="{00000000-0005-0000-0000-0000C66E0000}"/>
    <cellStyle name="표준 5 3 2 2 2 2 2 3 3 3 3" xfId="37534" xr:uid="{00000000-0005-0000-0000-0000C76E0000}"/>
    <cellStyle name="표준 5 3 2 2 2 2 2 3 3 3 4" xfId="45727" xr:uid="{00000000-0005-0000-0000-0000C86E0000}"/>
    <cellStyle name="표준 5 3 2 2 2 2 2 3 3 4" xfId="12729" xr:uid="{00000000-0005-0000-0000-0000C96E0000}"/>
    <cellStyle name="표준 5 3 2 2 2 2 2 3 3 5" xfId="16969" xr:uid="{00000000-0005-0000-0000-0000CA6E0000}"/>
    <cellStyle name="표준 5 3 2 2 2 2 2 3 3 6" xfId="21131" xr:uid="{00000000-0005-0000-0000-0000CB6E0000}"/>
    <cellStyle name="표준 5 3 2 2 2 2 2 3 3 7" xfId="25227" xr:uid="{00000000-0005-0000-0000-0000CC6E0000}"/>
    <cellStyle name="표준 5 3 2 2 2 2 2 3 3 8" xfId="33438" xr:uid="{00000000-0005-0000-0000-0000CD6E0000}"/>
    <cellStyle name="표준 5 3 2 2 2 2 2 3 3 9" xfId="41631" xr:uid="{00000000-0005-0000-0000-0000CE6E0000}"/>
    <cellStyle name="표준 5 3 2 2 2 2 2 3 4" xfId="2274" xr:uid="{00000000-0005-0000-0000-0000CF6E0000}"/>
    <cellStyle name="표준 5 3 2 2 2 2 2 3 4 2" xfId="11177" xr:uid="{00000000-0005-0000-0000-0000D06E0000}"/>
    <cellStyle name="표준 5 3 2 2 2 2 2 3 4 2 2" xfId="15289" xr:uid="{00000000-0005-0000-0000-0000D16E0000}"/>
    <cellStyle name="표준 5 3 2 2 2 2 2 3 4 2 2 2" xfId="31883" xr:uid="{00000000-0005-0000-0000-0000D26E0000}"/>
    <cellStyle name="표준 5 3 2 2 2 2 2 3 4 2 2 3" xfId="40094" xr:uid="{00000000-0005-0000-0000-0000D36E0000}"/>
    <cellStyle name="표준 5 3 2 2 2 2 2 3 4 2 2 4" xfId="48287" xr:uid="{00000000-0005-0000-0000-0000D46E0000}"/>
    <cellStyle name="표준 5 3 2 2 2 2 2 3 4 2 3" xfId="19529" xr:uid="{00000000-0005-0000-0000-0000D56E0000}"/>
    <cellStyle name="표준 5 3 2 2 2 2 2 3 4 2 4" xfId="23691" xr:uid="{00000000-0005-0000-0000-0000D66E0000}"/>
    <cellStyle name="표준 5 3 2 2 2 2 2 3 4 2 5" xfId="27787" xr:uid="{00000000-0005-0000-0000-0000D76E0000}"/>
    <cellStyle name="표준 5 3 2 2 2 2 2 3 4 2 6" xfId="35998" xr:uid="{00000000-0005-0000-0000-0000D86E0000}"/>
    <cellStyle name="표준 5 3 2 2 2 2 2 3 4 2 7" xfId="44191" xr:uid="{00000000-0005-0000-0000-0000D96E0000}"/>
    <cellStyle name="표준 5 3 2 2 2 2 2 3 4 3" xfId="9129" xr:uid="{00000000-0005-0000-0000-0000DA6E0000}"/>
    <cellStyle name="표준 5 3 2 2 2 2 2 3 4 3 2" xfId="29835" xr:uid="{00000000-0005-0000-0000-0000DB6E0000}"/>
    <cellStyle name="표준 5 3 2 2 2 2 2 3 4 3 3" xfId="38046" xr:uid="{00000000-0005-0000-0000-0000DC6E0000}"/>
    <cellStyle name="표준 5 3 2 2 2 2 2 3 4 3 4" xfId="46239" xr:uid="{00000000-0005-0000-0000-0000DD6E0000}"/>
    <cellStyle name="표준 5 3 2 2 2 2 2 3 4 4" xfId="13241" xr:uid="{00000000-0005-0000-0000-0000DE6E0000}"/>
    <cellStyle name="표준 5 3 2 2 2 2 2 3 4 5" xfId="17481" xr:uid="{00000000-0005-0000-0000-0000DF6E0000}"/>
    <cellStyle name="표준 5 3 2 2 2 2 2 3 4 6" xfId="21643" xr:uid="{00000000-0005-0000-0000-0000E06E0000}"/>
    <cellStyle name="표준 5 3 2 2 2 2 2 3 4 7" xfId="25739" xr:uid="{00000000-0005-0000-0000-0000E16E0000}"/>
    <cellStyle name="표준 5 3 2 2 2 2 2 3 4 8" xfId="33950" xr:uid="{00000000-0005-0000-0000-0000E26E0000}"/>
    <cellStyle name="표준 5 3 2 2 2 2 2 3 4 9" xfId="42143" xr:uid="{00000000-0005-0000-0000-0000E36E0000}"/>
    <cellStyle name="표준 5 3 2 2 2 2 2 3 5" xfId="9641" xr:uid="{00000000-0005-0000-0000-0000E46E0000}"/>
    <cellStyle name="표준 5 3 2 2 2 2 2 3 5 2" xfId="13753" xr:uid="{00000000-0005-0000-0000-0000E56E0000}"/>
    <cellStyle name="표준 5 3 2 2 2 2 2 3 5 2 2" xfId="30347" xr:uid="{00000000-0005-0000-0000-0000E66E0000}"/>
    <cellStyle name="표준 5 3 2 2 2 2 2 3 5 2 3" xfId="38558" xr:uid="{00000000-0005-0000-0000-0000E76E0000}"/>
    <cellStyle name="표준 5 3 2 2 2 2 2 3 5 2 4" xfId="46751" xr:uid="{00000000-0005-0000-0000-0000E86E0000}"/>
    <cellStyle name="표준 5 3 2 2 2 2 2 3 5 3" xfId="17993" xr:uid="{00000000-0005-0000-0000-0000E96E0000}"/>
    <cellStyle name="표준 5 3 2 2 2 2 2 3 5 4" xfId="22155" xr:uid="{00000000-0005-0000-0000-0000EA6E0000}"/>
    <cellStyle name="표준 5 3 2 2 2 2 2 3 5 5" xfId="26251" xr:uid="{00000000-0005-0000-0000-0000EB6E0000}"/>
    <cellStyle name="표준 5 3 2 2 2 2 2 3 5 6" xfId="34462" xr:uid="{00000000-0005-0000-0000-0000EC6E0000}"/>
    <cellStyle name="표준 5 3 2 2 2 2 2 3 5 7" xfId="42655" xr:uid="{00000000-0005-0000-0000-0000ED6E0000}"/>
    <cellStyle name="표준 5 3 2 2 2 2 2 3 6" xfId="7593" xr:uid="{00000000-0005-0000-0000-0000EE6E0000}"/>
    <cellStyle name="표준 5 3 2 2 2 2 2 3 6 2" xfId="28299" xr:uid="{00000000-0005-0000-0000-0000EF6E0000}"/>
    <cellStyle name="표준 5 3 2 2 2 2 2 3 6 3" xfId="36510" xr:uid="{00000000-0005-0000-0000-0000F06E0000}"/>
    <cellStyle name="표준 5 3 2 2 2 2 2 3 6 4" xfId="44703" xr:uid="{00000000-0005-0000-0000-0000F16E0000}"/>
    <cellStyle name="표준 5 3 2 2 2 2 2 3 7" xfId="11705" xr:uid="{00000000-0005-0000-0000-0000F26E0000}"/>
    <cellStyle name="표준 5 3 2 2 2 2 2 3 8" xfId="15945" xr:uid="{00000000-0005-0000-0000-0000F36E0000}"/>
    <cellStyle name="표준 5 3 2 2 2 2 2 3 9" xfId="20107" xr:uid="{00000000-0005-0000-0000-0000F46E0000}"/>
    <cellStyle name="표준 5 3 2 2 2 2 2 4" xfId="994" xr:uid="{00000000-0005-0000-0000-0000F56E0000}"/>
    <cellStyle name="표준 5 3 2 2 2 2 2 4 2" xfId="9897" xr:uid="{00000000-0005-0000-0000-0000F66E0000}"/>
    <cellStyle name="표준 5 3 2 2 2 2 2 4 2 2" xfId="14009" xr:uid="{00000000-0005-0000-0000-0000F76E0000}"/>
    <cellStyle name="표준 5 3 2 2 2 2 2 4 2 2 2" xfId="30603" xr:uid="{00000000-0005-0000-0000-0000F86E0000}"/>
    <cellStyle name="표준 5 3 2 2 2 2 2 4 2 2 3" xfId="38814" xr:uid="{00000000-0005-0000-0000-0000F96E0000}"/>
    <cellStyle name="표준 5 3 2 2 2 2 2 4 2 2 4" xfId="47007" xr:uid="{00000000-0005-0000-0000-0000FA6E0000}"/>
    <cellStyle name="표준 5 3 2 2 2 2 2 4 2 3" xfId="18249" xr:uid="{00000000-0005-0000-0000-0000FB6E0000}"/>
    <cellStyle name="표준 5 3 2 2 2 2 2 4 2 4" xfId="22411" xr:uid="{00000000-0005-0000-0000-0000FC6E0000}"/>
    <cellStyle name="표준 5 3 2 2 2 2 2 4 2 5" xfId="26507" xr:uid="{00000000-0005-0000-0000-0000FD6E0000}"/>
    <cellStyle name="표준 5 3 2 2 2 2 2 4 2 6" xfId="34718" xr:uid="{00000000-0005-0000-0000-0000FE6E0000}"/>
    <cellStyle name="표준 5 3 2 2 2 2 2 4 2 7" xfId="42911" xr:uid="{00000000-0005-0000-0000-0000FF6E0000}"/>
    <cellStyle name="표준 5 3 2 2 2 2 2 4 3" xfId="7849" xr:uid="{00000000-0005-0000-0000-0000006F0000}"/>
    <cellStyle name="표준 5 3 2 2 2 2 2 4 3 2" xfId="28555" xr:uid="{00000000-0005-0000-0000-0000016F0000}"/>
    <cellStyle name="표준 5 3 2 2 2 2 2 4 3 3" xfId="36766" xr:uid="{00000000-0005-0000-0000-0000026F0000}"/>
    <cellStyle name="표준 5 3 2 2 2 2 2 4 3 4" xfId="44959" xr:uid="{00000000-0005-0000-0000-0000036F0000}"/>
    <cellStyle name="표준 5 3 2 2 2 2 2 4 4" xfId="11961" xr:uid="{00000000-0005-0000-0000-0000046F0000}"/>
    <cellStyle name="표준 5 3 2 2 2 2 2 4 5" xfId="16201" xr:uid="{00000000-0005-0000-0000-0000056F0000}"/>
    <cellStyle name="표준 5 3 2 2 2 2 2 4 6" xfId="20363" xr:uid="{00000000-0005-0000-0000-0000066F0000}"/>
    <cellStyle name="표준 5 3 2 2 2 2 2 4 7" xfId="24459" xr:uid="{00000000-0005-0000-0000-0000076F0000}"/>
    <cellStyle name="표준 5 3 2 2 2 2 2 4 8" xfId="32670" xr:uid="{00000000-0005-0000-0000-0000086F0000}"/>
    <cellStyle name="표준 5 3 2 2 2 2 2 4 9" xfId="40863" xr:uid="{00000000-0005-0000-0000-0000096F0000}"/>
    <cellStyle name="표준 5 3 2 2 2 2 2 5" xfId="1506" xr:uid="{00000000-0005-0000-0000-00000A6F0000}"/>
    <cellStyle name="표준 5 3 2 2 2 2 2 5 2" xfId="10409" xr:uid="{00000000-0005-0000-0000-00000B6F0000}"/>
    <cellStyle name="표준 5 3 2 2 2 2 2 5 2 2" xfId="14521" xr:uid="{00000000-0005-0000-0000-00000C6F0000}"/>
    <cellStyle name="표준 5 3 2 2 2 2 2 5 2 2 2" xfId="31115" xr:uid="{00000000-0005-0000-0000-00000D6F0000}"/>
    <cellStyle name="표준 5 3 2 2 2 2 2 5 2 2 3" xfId="39326" xr:uid="{00000000-0005-0000-0000-00000E6F0000}"/>
    <cellStyle name="표준 5 3 2 2 2 2 2 5 2 2 4" xfId="47519" xr:uid="{00000000-0005-0000-0000-00000F6F0000}"/>
    <cellStyle name="표준 5 3 2 2 2 2 2 5 2 3" xfId="18761" xr:uid="{00000000-0005-0000-0000-0000106F0000}"/>
    <cellStyle name="표준 5 3 2 2 2 2 2 5 2 4" xfId="22923" xr:uid="{00000000-0005-0000-0000-0000116F0000}"/>
    <cellStyle name="표준 5 3 2 2 2 2 2 5 2 5" xfId="27019" xr:uid="{00000000-0005-0000-0000-0000126F0000}"/>
    <cellStyle name="표준 5 3 2 2 2 2 2 5 2 6" xfId="35230" xr:uid="{00000000-0005-0000-0000-0000136F0000}"/>
    <cellStyle name="표준 5 3 2 2 2 2 2 5 2 7" xfId="43423" xr:uid="{00000000-0005-0000-0000-0000146F0000}"/>
    <cellStyle name="표준 5 3 2 2 2 2 2 5 3" xfId="8361" xr:uid="{00000000-0005-0000-0000-0000156F0000}"/>
    <cellStyle name="표준 5 3 2 2 2 2 2 5 3 2" xfId="29067" xr:uid="{00000000-0005-0000-0000-0000166F0000}"/>
    <cellStyle name="표준 5 3 2 2 2 2 2 5 3 3" xfId="37278" xr:uid="{00000000-0005-0000-0000-0000176F0000}"/>
    <cellStyle name="표준 5 3 2 2 2 2 2 5 3 4" xfId="45471" xr:uid="{00000000-0005-0000-0000-0000186F0000}"/>
    <cellStyle name="표준 5 3 2 2 2 2 2 5 4" xfId="12473" xr:uid="{00000000-0005-0000-0000-0000196F0000}"/>
    <cellStyle name="표준 5 3 2 2 2 2 2 5 5" xfId="16713" xr:uid="{00000000-0005-0000-0000-00001A6F0000}"/>
    <cellStyle name="표준 5 3 2 2 2 2 2 5 6" xfId="20875" xr:uid="{00000000-0005-0000-0000-00001B6F0000}"/>
    <cellStyle name="표준 5 3 2 2 2 2 2 5 7" xfId="24971" xr:uid="{00000000-0005-0000-0000-00001C6F0000}"/>
    <cellStyle name="표준 5 3 2 2 2 2 2 5 8" xfId="33182" xr:uid="{00000000-0005-0000-0000-00001D6F0000}"/>
    <cellStyle name="표준 5 3 2 2 2 2 2 5 9" xfId="41375" xr:uid="{00000000-0005-0000-0000-00001E6F0000}"/>
    <cellStyle name="표준 5 3 2 2 2 2 2 6" xfId="2018" xr:uid="{00000000-0005-0000-0000-00001F6F0000}"/>
    <cellStyle name="표준 5 3 2 2 2 2 2 6 2" xfId="10921" xr:uid="{00000000-0005-0000-0000-0000206F0000}"/>
    <cellStyle name="표준 5 3 2 2 2 2 2 6 2 2" xfId="15033" xr:uid="{00000000-0005-0000-0000-0000216F0000}"/>
    <cellStyle name="표준 5 3 2 2 2 2 2 6 2 2 2" xfId="31627" xr:uid="{00000000-0005-0000-0000-0000226F0000}"/>
    <cellStyle name="표준 5 3 2 2 2 2 2 6 2 2 3" xfId="39838" xr:uid="{00000000-0005-0000-0000-0000236F0000}"/>
    <cellStyle name="표준 5 3 2 2 2 2 2 6 2 2 4" xfId="48031" xr:uid="{00000000-0005-0000-0000-0000246F0000}"/>
    <cellStyle name="표준 5 3 2 2 2 2 2 6 2 3" xfId="19273" xr:uid="{00000000-0005-0000-0000-0000256F0000}"/>
    <cellStyle name="표준 5 3 2 2 2 2 2 6 2 4" xfId="23435" xr:uid="{00000000-0005-0000-0000-0000266F0000}"/>
    <cellStyle name="표준 5 3 2 2 2 2 2 6 2 5" xfId="27531" xr:uid="{00000000-0005-0000-0000-0000276F0000}"/>
    <cellStyle name="표준 5 3 2 2 2 2 2 6 2 6" xfId="35742" xr:uid="{00000000-0005-0000-0000-0000286F0000}"/>
    <cellStyle name="표준 5 3 2 2 2 2 2 6 2 7" xfId="43935" xr:uid="{00000000-0005-0000-0000-0000296F0000}"/>
    <cellStyle name="표준 5 3 2 2 2 2 2 6 3" xfId="8873" xr:uid="{00000000-0005-0000-0000-00002A6F0000}"/>
    <cellStyle name="표준 5 3 2 2 2 2 2 6 3 2" xfId="29579" xr:uid="{00000000-0005-0000-0000-00002B6F0000}"/>
    <cellStyle name="표준 5 3 2 2 2 2 2 6 3 3" xfId="37790" xr:uid="{00000000-0005-0000-0000-00002C6F0000}"/>
    <cellStyle name="표준 5 3 2 2 2 2 2 6 3 4" xfId="45983" xr:uid="{00000000-0005-0000-0000-00002D6F0000}"/>
    <cellStyle name="표준 5 3 2 2 2 2 2 6 4" xfId="12985" xr:uid="{00000000-0005-0000-0000-00002E6F0000}"/>
    <cellStyle name="표준 5 3 2 2 2 2 2 6 5" xfId="17225" xr:uid="{00000000-0005-0000-0000-00002F6F0000}"/>
    <cellStyle name="표준 5 3 2 2 2 2 2 6 6" xfId="21387" xr:uid="{00000000-0005-0000-0000-0000306F0000}"/>
    <cellStyle name="표준 5 3 2 2 2 2 2 6 7" xfId="25483" xr:uid="{00000000-0005-0000-0000-0000316F0000}"/>
    <cellStyle name="표준 5 3 2 2 2 2 2 6 8" xfId="33694" xr:uid="{00000000-0005-0000-0000-0000326F0000}"/>
    <cellStyle name="표준 5 3 2 2 2 2 2 6 9" xfId="41887" xr:uid="{00000000-0005-0000-0000-0000336F0000}"/>
    <cellStyle name="표준 5 3 2 2 2 2 2 7" xfId="9385" xr:uid="{00000000-0005-0000-0000-0000346F0000}"/>
    <cellStyle name="표준 5 3 2 2 2 2 2 7 2" xfId="13497" xr:uid="{00000000-0005-0000-0000-0000356F0000}"/>
    <cellStyle name="표준 5 3 2 2 2 2 2 7 2 2" xfId="30091" xr:uid="{00000000-0005-0000-0000-0000366F0000}"/>
    <cellStyle name="표준 5 3 2 2 2 2 2 7 2 3" xfId="38302" xr:uid="{00000000-0005-0000-0000-0000376F0000}"/>
    <cellStyle name="표준 5 3 2 2 2 2 2 7 2 4" xfId="46495" xr:uid="{00000000-0005-0000-0000-0000386F0000}"/>
    <cellStyle name="표준 5 3 2 2 2 2 2 7 3" xfId="17737" xr:uid="{00000000-0005-0000-0000-0000396F0000}"/>
    <cellStyle name="표준 5 3 2 2 2 2 2 7 4" xfId="21899" xr:uid="{00000000-0005-0000-0000-00003A6F0000}"/>
    <cellStyle name="표준 5 3 2 2 2 2 2 7 5" xfId="25995" xr:uid="{00000000-0005-0000-0000-00003B6F0000}"/>
    <cellStyle name="표준 5 3 2 2 2 2 2 7 6" xfId="34206" xr:uid="{00000000-0005-0000-0000-00003C6F0000}"/>
    <cellStyle name="표준 5 3 2 2 2 2 2 7 7" xfId="42399" xr:uid="{00000000-0005-0000-0000-00003D6F0000}"/>
    <cellStyle name="표준 5 3 2 2 2 2 2 8" xfId="7337" xr:uid="{00000000-0005-0000-0000-00003E6F0000}"/>
    <cellStyle name="표준 5 3 2 2 2 2 2 8 2" xfId="28043" xr:uid="{00000000-0005-0000-0000-00003F6F0000}"/>
    <cellStyle name="표준 5 3 2 2 2 2 2 8 3" xfId="36254" xr:uid="{00000000-0005-0000-0000-0000406F0000}"/>
    <cellStyle name="표준 5 3 2 2 2 2 2 8 4" xfId="44447" xr:uid="{00000000-0005-0000-0000-0000416F0000}"/>
    <cellStyle name="표준 5 3 2 2 2 2 2 9" xfId="11449" xr:uid="{00000000-0005-0000-0000-0000426F0000}"/>
    <cellStyle name="표준 5 3 2 2 2 2 3" xfId="546" xr:uid="{00000000-0005-0000-0000-0000436F0000}"/>
    <cellStyle name="표준 5 3 2 2 2 2 3 10" xfId="19915" xr:uid="{00000000-0005-0000-0000-0000446F0000}"/>
    <cellStyle name="표준 5 3 2 2 2 2 3 11" xfId="24011" xr:uid="{00000000-0005-0000-0000-0000456F0000}"/>
    <cellStyle name="표준 5 3 2 2 2 2 3 12" xfId="32222" xr:uid="{00000000-0005-0000-0000-0000466F0000}"/>
    <cellStyle name="표준 5 3 2 2 2 2 3 13" xfId="40415" xr:uid="{00000000-0005-0000-0000-0000476F0000}"/>
    <cellStyle name="표준 5 3 2 2 2 2 3 2" xfId="802" xr:uid="{00000000-0005-0000-0000-0000486F0000}"/>
    <cellStyle name="표준 5 3 2 2 2 2 3 2 10" xfId="24267" xr:uid="{00000000-0005-0000-0000-0000496F0000}"/>
    <cellStyle name="표준 5 3 2 2 2 2 3 2 11" xfId="32478" xr:uid="{00000000-0005-0000-0000-00004A6F0000}"/>
    <cellStyle name="표준 5 3 2 2 2 2 3 2 12" xfId="40671" xr:uid="{00000000-0005-0000-0000-00004B6F0000}"/>
    <cellStyle name="표준 5 3 2 2 2 2 3 2 2" xfId="1314" xr:uid="{00000000-0005-0000-0000-00004C6F0000}"/>
    <cellStyle name="표준 5 3 2 2 2 2 3 2 2 2" xfId="10217" xr:uid="{00000000-0005-0000-0000-00004D6F0000}"/>
    <cellStyle name="표준 5 3 2 2 2 2 3 2 2 2 2" xfId="14329" xr:uid="{00000000-0005-0000-0000-00004E6F0000}"/>
    <cellStyle name="표준 5 3 2 2 2 2 3 2 2 2 2 2" xfId="30923" xr:uid="{00000000-0005-0000-0000-00004F6F0000}"/>
    <cellStyle name="표준 5 3 2 2 2 2 3 2 2 2 2 3" xfId="39134" xr:uid="{00000000-0005-0000-0000-0000506F0000}"/>
    <cellStyle name="표준 5 3 2 2 2 2 3 2 2 2 2 4" xfId="47327" xr:uid="{00000000-0005-0000-0000-0000516F0000}"/>
    <cellStyle name="표준 5 3 2 2 2 2 3 2 2 2 3" xfId="18569" xr:uid="{00000000-0005-0000-0000-0000526F0000}"/>
    <cellStyle name="표준 5 3 2 2 2 2 3 2 2 2 4" xfId="22731" xr:uid="{00000000-0005-0000-0000-0000536F0000}"/>
    <cellStyle name="표준 5 3 2 2 2 2 3 2 2 2 5" xfId="26827" xr:uid="{00000000-0005-0000-0000-0000546F0000}"/>
    <cellStyle name="표준 5 3 2 2 2 2 3 2 2 2 6" xfId="35038" xr:uid="{00000000-0005-0000-0000-0000556F0000}"/>
    <cellStyle name="표준 5 3 2 2 2 2 3 2 2 2 7" xfId="43231" xr:uid="{00000000-0005-0000-0000-0000566F0000}"/>
    <cellStyle name="표준 5 3 2 2 2 2 3 2 2 3" xfId="8169" xr:uid="{00000000-0005-0000-0000-0000576F0000}"/>
    <cellStyle name="표준 5 3 2 2 2 2 3 2 2 3 2" xfId="28875" xr:uid="{00000000-0005-0000-0000-0000586F0000}"/>
    <cellStyle name="표준 5 3 2 2 2 2 3 2 2 3 3" xfId="37086" xr:uid="{00000000-0005-0000-0000-0000596F0000}"/>
    <cellStyle name="표준 5 3 2 2 2 2 3 2 2 3 4" xfId="45279" xr:uid="{00000000-0005-0000-0000-00005A6F0000}"/>
    <cellStyle name="표준 5 3 2 2 2 2 3 2 2 4" xfId="12281" xr:uid="{00000000-0005-0000-0000-00005B6F0000}"/>
    <cellStyle name="표준 5 3 2 2 2 2 3 2 2 5" xfId="16521" xr:uid="{00000000-0005-0000-0000-00005C6F0000}"/>
    <cellStyle name="표준 5 3 2 2 2 2 3 2 2 6" xfId="20683" xr:uid="{00000000-0005-0000-0000-00005D6F0000}"/>
    <cellStyle name="표준 5 3 2 2 2 2 3 2 2 7" xfId="24779" xr:uid="{00000000-0005-0000-0000-00005E6F0000}"/>
    <cellStyle name="표준 5 3 2 2 2 2 3 2 2 8" xfId="32990" xr:uid="{00000000-0005-0000-0000-00005F6F0000}"/>
    <cellStyle name="표준 5 3 2 2 2 2 3 2 2 9" xfId="41183" xr:uid="{00000000-0005-0000-0000-0000606F0000}"/>
    <cellStyle name="표준 5 3 2 2 2 2 3 2 3" xfId="1826" xr:uid="{00000000-0005-0000-0000-0000616F0000}"/>
    <cellStyle name="표준 5 3 2 2 2 2 3 2 3 2" xfId="10729" xr:uid="{00000000-0005-0000-0000-0000626F0000}"/>
    <cellStyle name="표준 5 3 2 2 2 2 3 2 3 2 2" xfId="14841" xr:uid="{00000000-0005-0000-0000-0000636F0000}"/>
    <cellStyle name="표준 5 3 2 2 2 2 3 2 3 2 2 2" xfId="31435" xr:uid="{00000000-0005-0000-0000-0000646F0000}"/>
    <cellStyle name="표준 5 3 2 2 2 2 3 2 3 2 2 3" xfId="39646" xr:uid="{00000000-0005-0000-0000-0000656F0000}"/>
    <cellStyle name="표준 5 3 2 2 2 2 3 2 3 2 2 4" xfId="47839" xr:uid="{00000000-0005-0000-0000-0000666F0000}"/>
    <cellStyle name="표준 5 3 2 2 2 2 3 2 3 2 3" xfId="19081" xr:uid="{00000000-0005-0000-0000-0000676F0000}"/>
    <cellStyle name="표준 5 3 2 2 2 2 3 2 3 2 4" xfId="23243" xr:uid="{00000000-0005-0000-0000-0000686F0000}"/>
    <cellStyle name="표준 5 3 2 2 2 2 3 2 3 2 5" xfId="27339" xr:uid="{00000000-0005-0000-0000-0000696F0000}"/>
    <cellStyle name="표준 5 3 2 2 2 2 3 2 3 2 6" xfId="35550" xr:uid="{00000000-0005-0000-0000-00006A6F0000}"/>
    <cellStyle name="표준 5 3 2 2 2 2 3 2 3 2 7" xfId="43743" xr:uid="{00000000-0005-0000-0000-00006B6F0000}"/>
    <cellStyle name="표준 5 3 2 2 2 2 3 2 3 3" xfId="8681" xr:uid="{00000000-0005-0000-0000-00006C6F0000}"/>
    <cellStyle name="표준 5 3 2 2 2 2 3 2 3 3 2" xfId="29387" xr:uid="{00000000-0005-0000-0000-00006D6F0000}"/>
    <cellStyle name="표준 5 3 2 2 2 2 3 2 3 3 3" xfId="37598" xr:uid="{00000000-0005-0000-0000-00006E6F0000}"/>
    <cellStyle name="표준 5 3 2 2 2 2 3 2 3 3 4" xfId="45791" xr:uid="{00000000-0005-0000-0000-00006F6F0000}"/>
    <cellStyle name="표준 5 3 2 2 2 2 3 2 3 4" xfId="12793" xr:uid="{00000000-0005-0000-0000-0000706F0000}"/>
    <cellStyle name="표준 5 3 2 2 2 2 3 2 3 5" xfId="17033" xr:uid="{00000000-0005-0000-0000-0000716F0000}"/>
    <cellStyle name="표준 5 3 2 2 2 2 3 2 3 6" xfId="21195" xr:uid="{00000000-0005-0000-0000-0000726F0000}"/>
    <cellStyle name="표준 5 3 2 2 2 2 3 2 3 7" xfId="25291" xr:uid="{00000000-0005-0000-0000-0000736F0000}"/>
    <cellStyle name="표준 5 3 2 2 2 2 3 2 3 8" xfId="33502" xr:uid="{00000000-0005-0000-0000-0000746F0000}"/>
    <cellStyle name="표준 5 3 2 2 2 2 3 2 3 9" xfId="41695" xr:uid="{00000000-0005-0000-0000-0000756F0000}"/>
    <cellStyle name="표준 5 3 2 2 2 2 3 2 4" xfId="2338" xr:uid="{00000000-0005-0000-0000-0000766F0000}"/>
    <cellStyle name="표준 5 3 2 2 2 2 3 2 4 2" xfId="11241" xr:uid="{00000000-0005-0000-0000-0000776F0000}"/>
    <cellStyle name="표준 5 3 2 2 2 2 3 2 4 2 2" xfId="15353" xr:uid="{00000000-0005-0000-0000-0000786F0000}"/>
    <cellStyle name="표준 5 3 2 2 2 2 3 2 4 2 2 2" xfId="31947" xr:uid="{00000000-0005-0000-0000-0000796F0000}"/>
    <cellStyle name="표준 5 3 2 2 2 2 3 2 4 2 2 3" xfId="40158" xr:uid="{00000000-0005-0000-0000-00007A6F0000}"/>
    <cellStyle name="표준 5 3 2 2 2 2 3 2 4 2 2 4" xfId="48351" xr:uid="{00000000-0005-0000-0000-00007B6F0000}"/>
    <cellStyle name="표준 5 3 2 2 2 2 3 2 4 2 3" xfId="19593" xr:uid="{00000000-0005-0000-0000-00007C6F0000}"/>
    <cellStyle name="표준 5 3 2 2 2 2 3 2 4 2 4" xfId="23755" xr:uid="{00000000-0005-0000-0000-00007D6F0000}"/>
    <cellStyle name="표준 5 3 2 2 2 2 3 2 4 2 5" xfId="27851" xr:uid="{00000000-0005-0000-0000-00007E6F0000}"/>
    <cellStyle name="표준 5 3 2 2 2 2 3 2 4 2 6" xfId="36062" xr:uid="{00000000-0005-0000-0000-00007F6F0000}"/>
    <cellStyle name="표준 5 3 2 2 2 2 3 2 4 2 7" xfId="44255" xr:uid="{00000000-0005-0000-0000-0000806F0000}"/>
    <cellStyle name="표준 5 3 2 2 2 2 3 2 4 3" xfId="9193" xr:uid="{00000000-0005-0000-0000-0000816F0000}"/>
    <cellStyle name="표준 5 3 2 2 2 2 3 2 4 3 2" xfId="29899" xr:uid="{00000000-0005-0000-0000-0000826F0000}"/>
    <cellStyle name="표준 5 3 2 2 2 2 3 2 4 3 3" xfId="38110" xr:uid="{00000000-0005-0000-0000-0000836F0000}"/>
    <cellStyle name="표준 5 3 2 2 2 2 3 2 4 3 4" xfId="46303" xr:uid="{00000000-0005-0000-0000-0000846F0000}"/>
    <cellStyle name="표준 5 3 2 2 2 2 3 2 4 4" xfId="13305" xr:uid="{00000000-0005-0000-0000-0000856F0000}"/>
    <cellStyle name="표준 5 3 2 2 2 2 3 2 4 5" xfId="17545" xr:uid="{00000000-0005-0000-0000-0000866F0000}"/>
    <cellStyle name="표준 5 3 2 2 2 2 3 2 4 6" xfId="21707" xr:uid="{00000000-0005-0000-0000-0000876F0000}"/>
    <cellStyle name="표준 5 3 2 2 2 2 3 2 4 7" xfId="25803" xr:uid="{00000000-0005-0000-0000-0000886F0000}"/>
    <cellStyle name="표준 5 3 2 2 2 2 3 2 4 8" xfId="34014" xr:uid="{00000000-0005-0000-0000-0000896F0000}"/>
    <cellStyle name="표준 5 3 2 2 2 2 3 2 4 9" xfId="42207" xr:uid="{00000000-0005-0000-0000-00008A6F0000}"/>
    <cellStyle name="표준 5 3 2 2 2 2 3 2 5" xfId="9705" xr:uid="{00000000-0005-0000-0000-00008B6F0000}"/>
    <cellStyle name="표준 5 3 2 2 2 2 3 2 5 2" xfId="13817" xr:uid="{00000000-0005-0000-0000-00008C6F0000}"/>
    <cellStyle name="표준 5 3 2 2 2 2 3 2 5 2 2" xfId="30411" xr:uid="{00000000-0005-0000-0000-00008D6F0000}"/>
    <cellStyle name="표준 5 3 2 2 2 2 3 2 5 2 3" xfId="38622" xr:uid="{00000000-0005-0000-0000-00008E6F0000}"/>
    <cellStyle name="표준 5 3 2 2 2 2 3 2 5 2 4" xfId="46815" xr:uid="{00000000-0005-0000-0000-00008F6F0000}"/>
    <cellStyle name="표준 5 3 2 2 2 2 3 2 5 3" xfId="18057" xr:uid="{00000000-0005-0000-0000-0000906F0000}"/>
    <cellStyle name="표준 5 3 2 2 2 2 3 2 5 4" xfId="22219" xr:uid="{00000000-0005-0000-0000-0000916F0000}"/>
    <cellStyle name="표준 5 3 2 2 2 2 3 2 5 5" xfId="26315" xr:uid="{00000000-0005-0000-0000-0000926F0000}"/>
    <cellStyle name="표준 5 3 2 2 2 2 3 2 5 6" xfId="34526" xr:uid="{00000000-0005-0000-0000-0000936F0000}"/>
    <cellStyle name="표준 5 3 2 2 2 2 3 2 5 7" xfId="42719" xr:uid="{00000000-0005-0000-0000-0000946F0000}"/>
    <cellStyle name="표준 5 3 2 2 2 2 3 2 6" xfId="7657" xr:uid="{00000000-0005-0000-0000-0000956F0000}"/>
    <cellStyle name="표준 5 3 2 2 2 2 3 2 6 2" xfId="28363" xr:uid="{00000000-0005-0000-0000-0000966F0000}"/>
    <cellStyle name="표준 5 3 2 2 2 2 3 2 6 3" xfId="36574" xr:uid="{00000000-0005-0000-0000-0000976F0000}"/>
    <cellStyle name="표준 5 3 2 2 2 2 3 2 6 4" xfId="44767" xr:uid="{00000000-0005-0000-0000-0000986F0000}"/>
    <cellStyle name="표준 5 3 2 2 2 2 3 2 7" xfId="11769" xr:uid="{00000000-0005-0000-0000-0000996F0000}"/>
    <cellStyle name="표준 5 3 2 2 2 2 3 2 8" xfId="16009" xr:uid="{00000000-0005-0000-0000-00009A6F0000}"/>
    <cellStyle name="표준 5 3 2 2 2 2 3 2 9" xfId="20171" xr:uid="{00000000-0005-0000-0000-00009B6F0000}"/>
    <cellStyle name="표준 5 3 2 2 2 2 3 3" xfId="1058" xr:uid="{00000000-0005-0000-0000-00009C6F0000}"/>
    <cellStyle name="표준 5 3 2 2 2 2 3 3 2" xfId="9961" xr:uid="{00000000-0005-0000-0000-00009D6F0000}"/>
    <cellStyle name="표준 5 3 2 2 2 2 3 3 2 2" xfId="14073" xr:uid="{00000000-0005-0000-0000-00009E6F0000}"/>
    <cellStyle name="표준 5 3 2 2 2 2 3 3 2 2 2" xfId="30667" xr:uid="{00000000-0005-0000-0000-00009F6F0000}"/>
    <cellStyle name="표준 5 3 2 2 2 2 3 3 2 2 3" xfId="38878" xr:uid="{00000000-0005-0000-0000-0000A06F0000}"/>
    <cellStyle name="표준 5 3 2 2 2 2 3 3 2 2 4" xfId="47071" xr:uid="{00000000-0005-0000-0000-0000A16F0000}"/>
    <cellStyle name="표준 5 3 2 2 2 2 3 3 2 3" xfId="18313" xr:uid="{00000000-0005-0000-0000-0000A26F0000}"/>
    <cellStyle name="표준 5 3 2 2 2 2 3 3 2 4" xfId="22475" xr:uid="{00000000-0005-0000-0000-0000A36F0000}"/>
    <cellStyle name="표준 5 3 2 2 2 2 3 3 2 5" xfId="26571" xr:uid="{00000000-0005-0000-0000-0000A46F0000}"/>
    <cellStyle name="표준 5 3 2 2 2 2 3 3 2 6" xfId="34782" xr:uid="{00000000-0005-0000-0000-0000A56F0000}"/>
    <cellStyle name="표준 5 3 2 2 2 2 3 3 2 7" xfId="42975" xr:uid="{00000000-0005-0000-0000-0000A66F0000}"/>
    <cellStyle name="표준 5 3 2 2 2 2 3 3 3" xfId="7913" xr:uid="{00000000-0005-0000-0000-0000A76F0000}"/>
    <cellStyle name="표준 5 3 2 2 2 2 3 3 3 2" xfId="28619" xr:uid="{00000000-0005-0000-0000-0000A86F0000}"/>
    <cellStyle name="표준 5 3 2 2 2 2 3 3 3 3" xfId="36830" xr:uid="{00000000-0005-0000-0000-0000A96F0000}"/>
    <cellStyle name="표준 5 3 2 2 2 2 3 3 3 4" xfId="45023" xr:uid="{00000000-0005-0000-0000-0000AA6F0000}"/>
    <cellStyle name="표준 5 3 2 2 2 2 3 3 4" xfId="12025" xr:uid="{00000000-0005-0000-0000-0000AB6F0000}"/>
    <cellStyle name="표준 5 3 2 2 2 2 3 3 5" xfId="16265" xr:uid="{00000000-0005-0000-0000-0000AC6F0000}"/>
    <cellStyle name="표준 5 3 2 2 2 2 3 3 6" xfId="20427" xr:uid="{00000000-0005-0000-0000-0000AD6F0000}"/>
    <cellStyle name="표준 5 3 2 2 2 2 3 3 7" xfId="24523" xr:uid="{00000000-0005-0000-0000-0000AE6F0000}"/>
    <cellStyle name="표준 5 3 2 2 2 2 3 3 8" xfId="32734" xr:uid="{00000000-0005-0000-0000-0000AF6F0000}"/>
    <cellStyle name="표준 5 3 2 2 2 2 3 3 9" xfId="40927" xr:uid="{00000000-0005-0000-0000-0000B06F0000}"/>
    <cellStyle name="표준 5 3 2 2 2 2 3 4" xfId="1570" xr:uid="{00000000-0005-0000-0000-0000B16F0000}"/>
    <cellStyle name="표준 5 3 2 2 2 2 3 4 2" xfId="10473" xr:uid="{00000000-0005-0000-0000-0000B26F0000}"/>
    <cellStyle name="표준 5 3 2 2 2 2 3 4 2 2" xfId="14585" xr:uid="{00000000-0005-0000-0000-0000B36F0000}"/>
    <cellStyle name="표준 5 3 2 2 2 2 3 4 2 2 2" xfId="31179" xr:uid="{00000000-0005-0000-0000-0000B46F0000}"/>
    <cellStyle name="표준 5 3 2 2 2 2 3 4 2 2 3" xfId="39390" xr:uid="{00000000-0005-0000-0000-0000B56F0000}"/>
    <cellStyle name="표준 5 3 2 2 2 2 3 4 2 2 4" xfId="47583" xr:uid="{00000000-0005-0000-0000-0000B66F0000}"/>
    <cellStyle name="표준 5 3 2 2 2 2 3 4 2 3" xfId="18825" xr:uid="{00000000-0005-0000-0000-0000B76F0000}"/>
    <cellStyle name="표준 5 3 2 2 2 2 3 4 2 4" xfId="22987" xr:uid="{00000000-0005-0000-0000-0000B86F0000}"/>
    <cellStyle name="표준 5 3 2 2 2 2 3 4 2 5" xfId="27083" xr:uid="{00000000-0005-0000-0000-0000B96F0000}"/>
    <cellStyle name="표준 5 3 2 2 2 2 3 4 2 6" xfId="35294" xr:uid="{00000000-0005-0000-0000-0000BA6F0000}"/>
    <cellStyle name="표준 5 3 2 2 2 2 3 4 2 7" xfId="43487" xr:uid="{00000000-0005-0000-0000-0000BB6F0000}"/>
    <cellStyle name="표준 5 3 2 2 2 2 3 4 3" xfId="8425" xr:uid="{00000000-0005-0000-0000-0000BC6F0000}"/>
    <cellStyle name="표준 5 3 2 2 2 2 3 4 3 2" xfId="29131" xr:uid="{00000000-0005-0000-0000-0000BD6F0000}"/>
    <cellStyle name="표준 5 3 2 2 2 2 3 4 3 3" xfId="37342" xr:uid="{00000000-0005-0000-0000-0000BE6F0000}"/>
    <cellStyle name="표준 5 3 2 2 2 2 3 4 3 4" xfId="45535" xr:uid="{00000000-0005-0000-0000-0000BF6F0000}"/>
    <cellStyle name="표준 5 3 2 2 2 2 3 4 4" xfId="12537" xr:uid="{00000000-0005-0000-0000-0000C06F0000}"/>
    <cellStyle name="표준 5 3 2 2 2 2 3 4 5" xfId="16777" xr:uid="{00000000-0005-0000-0000-0000C16F0000}"/>
    <cellStyle name="표준 5 3 2 2 2 2 3 4 6" xfId="20939" xr:uid="{00000000-0005-0000-0000-0000C26F0000}"/>
    <cellStyle name="표준 5 3 2 2 2 2 3 4 7" xfId="25035" xr:uid="{00000000-0005-0000-0000-0000C36F0000}"/>
    <cellStyle name="표준 5 3 2 2 2 2 3 4 8" xfId="33246" xr:uid="{00000000-0005-0000-0000-0000C46F0000}"/>
    <cellStyle name="표준 5 3 2 2 2 2 3 4 9" xfId="41439" xr:uid="{00000000-0005-0000-0000-0000C56F0000}"/>
    <cellStyle name="표준 5 3 2 2 2 2 3 5" xfId="2082" xr:uid="{00000000-0005-0000-0000-0000C66F0000}"/>
    <cellStyle name="표준 5 3 2 2 2 2 3 5 2" xfId="10985" xr:uid="{00000000-0005-0000-0000-0000C76F0000}"/>
    <cellStyle name="표준 5 3 2 2 2 2 3 5 2 2" xfId="15097" xr:uid="{00000000-0005-0000-0000-0000C86F0000}"/>
    <cellStyle name="표준 5 3 2 2 2 2 3 5 2 2 2" xfId="31691" xr:uid="{00000000-0005-0000-0000-0000C96F0000}"/>
    <cellStyle name="표준 5 3 2 2 2 2 3 5 2 2 3" xfId="39902" xr:uid="{00000000-0005-0000-0000-0000CA6F0000}"/>
    <cellStyle name="표준 5 3 2 2 2 2 3 5 2 2 4" xfId="48095" xr:uid="{00000000-0005-0000-0000-0000CB6F0000}"/>
    <cellStyle name="표준 5 3 2 2 2 2 3 5 2 3" xfId="19337" xr:uid="{00000000-0005-0000-0000-0000CC6F0000}"/>
    <cellStyle name="표준 5 3 2 2 2 2 3 5 2 4" xfId="23499" xr:uid="{00000000-0005-0000-0000-0000CD6F0000}"/>
    <cellStyle name="표준 5 3 2 2 2 2 3 5 2 5" xfId="27595" xr:uid="{00000000-0005-0000-0000-0000CE6F0000}"/>
    <cellStyle name="표준 5 3 2 2 2 2 3 5 2 6" xfId="35806" xr:uid="{00000000-0005-0000-0000-0000CF6F0000}"/>
    <cellStyle name="표준 5 3 2 2 2 2 3 5 2 7" xfId="43999" xr:uid="{00000000-0005-0000-0000-0000D06F0000}"/>
    <cellStyle name="표준 5 3 2 2 2 2 3 5 3" xfId="8937" xr:uid="{00000000-0005-0000-0000-0000D16F0000}"/>
    <cellStyle name="표준 5 3 2 2 2 2 3 5 3 2" xfId="29643" xr:uid="{00000000-0005-0000-0000-0000D26F0000}"/>
    <cellStyle name="표준 5 3 2 2 2 2 3 5 3 3" xfId="37854" xr:uid="{00000000-0005-0000-0000-0000D36F0000}"/>
    <cellStyle name="표준 5 3 2 2 2 2 3 5 3 4" xfId="46047" xr:uid="{00000000-0005-0000-0000-0000D46F0000}"/>
    <cellStyle name="표준 5 3 2 2 2 2 3 5 4" xfId="13049" xr:uid="{00000000-0005-0000-0000-0000D56F0000}"/>
    <cellStyle name="표준 5 3 2 2 2 2 3 5 5" xfId="17289" xr:uid="{00000000-0005-0000-0000-0000D66F0000}"/>
    <cellStyle name="표준 5 3 2 2 2 2 3 5 6" xfId="21451" xr:uid="{00000000-0005-0000-0000-0000D76F0000}"/>
    <cellStyle name="표준 5 3 2 2 2 2 3 5 7" xfId="25547" xr:uid="{00000000-0005-0000-0000-0000D86F0000}"/>
    <cellStyle name="표준 5 3 2 2 2 2 3 5 8" xfId="33758" xr:uid="{00000000-0005-0000-0000-0000D96F0000}"/>
    <cellStyle name="표준 5 3 2 2 2 2 3 5 9" xfId="41951" xr:uid="{00000000-0005-0000-0000-0000DA6F0000}"/>
    <cellStyle name="표준 5 3 2 2 2 2 3 6" xfId="9449" xr:uid="{00000000-0005-0000-0000-0000DB6F0000}"/>
    <cellStyle name="표준 5 3 2 2 2 2 3 6 2" xfId="13561" xr:uid="{00000000-0005-0000-0000-0000DC6F0000}"/>
    <cellStyle name="표준 5 3 2 2 2 2 3 6 2 2" xfId="30155" xr:uid="{00000000-0005-0000-0000-0000DD6F0000}"/>
    <cellStyle name="표준 5 3 2 2 2 2 3 6 2 3" xfId="38366" xr:uid="{00000000-0005-0000-0000-0000DE6F0000}"/>
    <cellStyle name="표준 5 3 2 2 2 2 3 6 2 4" xfId="46559" xr:uid="{00000000-0005-0000-0000-0000DF6F0000}"/>
    <cellStyle name="표준 5 3 2 2 2 2 3 6 3" xfId="17801" xr:uid="{00000000-0005-0000-0000-0000E06F0000}"/>
    <cellStyle name="표준 5 3 2 2 2 2 3 6 4" xfId="21963" xr:uid="{00000000-0005-0000-0000-0000E16F0000}"/>
    <cellStyle name="표준 5 3 2 2 2 2 3 6 5" xfId="26059" xr:uid="{00000000-0005-0000-0000-0000E26F0000}"/>
    <cellStyle name="표준 5 3 2 2 2 2 3 6 6" xfId="34270" xr:uid="{00000000-0005-0000-0000-0000E36F0000}"/>
    <cellStyle name="표준 5 3 2 2 2 2 3 6 7" xfId="42463" xr:uid="{00000000-0005-0000-0000-0000E46F0000}"/>
    <cellStyle name="표준 5 3 2 2 2 2 3 7" xfId="7401" xr:uid="{00000000-0005-0000-0000-0000E56F0000}"/>
    <cellStyle name="표준 5 3 2 2 2 2 3 7 2" xfId="28107" xr:uid="{00000000-0005-0000-0000-0000E66F0000}"/>
    <cellStyle name="표준 5 3 2 2 2 2 3 7 3" xfId="36318" xr:uid="{00000000-0005-0000-0000-0000E76F0000}"/>
    <cellStyle name="표준 5 3 2 2 2 2 3 7 4" xfId="44511" xr:uid="{00000000-0005-0000-0000-0000E86F0000}"/>
    <cellStyle name="표준 5 3 2 2 2 2 3 8" xfId="11513" xr:uid="{00000000-0005-0000-0000-0000E96F0000}"/>
    <cellStyle name="표준 5 3 2 2 2 2 3 9" xfId="15753" xr:uid="{00000000-0005-0000-0000-0000EA6F0000}"/>
    <cellStyle name="표준 5 3 2 2 2 2 4" xfId="674" xr:uid="{00000000-0005-0000-0000-0000EB6F0000}"/>
    <cellStyle name="표준 5 3 2 2 2 2 4 10" xfId="24139" xr:uid="{00000000-0005-0000-0000-0000EC6F0000}"/>
    <cellStyle name="표준 5 3 2 2 2 2 4 11" xfId="32350" xr:uid="{00000000-0005-0000-0000-0000ED6F0000}"/>
    <cellStyle name="표준 5 3 2 2 2 2 4 12" xfId="40543" xr:uid="{00000000-0005-0000-0000-0000EE6F0000}"/>
    <cellStyle name="표준 5 3 2 2 2 2 4 2" xfId="1186" xr:uid="{00000000-0005-0000-0000-0000EF6F0000}"/>
    <cellStyle name="표준 5 3 2 2 2 2 4 2 2" xfId="10089" xr:uid="{00000000-0005-0000-0000-0000F06F0000}"/>
    <cellStyle name="표준 5 3 2 2 2 2 4 2 2 2" xfId="14201" xr:uid="{00000000-0005-0000-0000-0000F16F0000}"/>
    <cellStyle name="표준 5 3 2 2 2 2 4 2 2 2 2" xfId="30795" xr:uid="{00000000-0005-0000-0000-0000F26F0000}"/>
    <cellStyle name="표준 5 3 2 2 2 2 4 2 2 2 3" xfId="39006" xr:uid="{00000000-0005-0000-0000-0000F36F0000}"/>
    <cellStyle name="표준 5 3 2 2 2 2 4 2 2 2 4" xfId="47199" xr:uid="{00000000-0005-0000-0000-0000F46F0000}"/>
    <cellStyle name="표준 5 3 2 2 2 2 4 2 2 3" xfId="18441" xr:uid="{00000000-0005-0000-0000-0000F56F0000}"/>
    <cellStyle name="표준 5 3 2 2 2 2 4 2 2 4" xfId="22603" xr:uid="{00000000-0005-0000-0000-0000F66F0000}"/>
    <cellStyle name="표준 5 3 2 2 2 2 4 2 2 5" xfId="26699" xr:uid="{00000000-0005-0000-0000-0000F76F0000}"/>
    <cellStyle name="표준 5 3 2 2 2 2 4 2 2 6" xfId="34910" xr:uid="{00000000-0005-0000-0000-0000F86F0000}"/>
    <cellStyle name="표준 5 3 2 2 2 2 4 2 2 7" xfId="43103" xr:uid="{00000000-0005-0000-0000-0000F96F0000}"/>
    <cellStyle name="표준 5 3 2 2 2 2 4 2 3" xfId="8041" xr:uid="{00000000-0005-0000-0000-0000FA6F0000}"/>
    <cellStyle name="표준 5 3 2 2 2 2 4 2 3 2" xfId="28747" xr:uid="{00000000-0005-0000-0000-0000FB6F0000}"/>
    <cellStyle name="표준 5 3 2 2 2 2 4 2 3 3" xfId="36958" xr:uid="{00000000-0005-0000-0000-0000FC6F0000}"/>
    <cellStyle name="표준 5 3 2 2 2 2 4 2 3 4" xfId="45151" xr:uid="{00000000-0005-0000-0000-0000FD6F0000}"/>
    <cellStyle name="표준 5 3 2 2 2 2 4 2 4" xfId="12153" xr:uid="{00000000-0005-0000-0000-0000FE6F0000}"/>
    <cellStyle name="표준 5 3 2 2 2 2 4 2 5" xfId="16393" xr:uid="{00000000-0005-0000-0000-0000FF6F0000}"/>
    <cellStyle name="표준 5 3 2 2 2 2 4 2 6" xfId="20555" xr:uid="{00000000-0005-0000-0000-000000700000}"/>
    <cellStyle name="표준 5 3 2 2 2 2 4 2 7" xfId="24651" xr:uid="{00000000-0005-0000-0000-000001700000}"/>
    <cellStyle name="표준 5 3 2 2 2 2 4 2 8" xfId="32862" xr:uid="{00000000-0005-0000-0000-000002700000}"/>
    <cellStyle name="표준 5 3 2 2 2 2 4 2 9" xfId="41055" xr:uid="{00000000-0005-0000-0000-000003700000}"/>
    <cellStyle name="표준 5 3 2 2 2 2 4 3" xfId="1698" xr:uid="{00000000-0005-0000-0000-000004700000}"/>
    <cellStyle name="표준 5 3 2 2 2 2 4 3 2" xfId="10601" xr:uid="{00000000-0005-0000-0000-000005700000}"/>
    <cellStyle name="표준 5 3 2 2 2 2 4 3 2 2" xfId="14713" xr:uid="{00000000-0005-0000-0000-000006700000}"/>
    <cellStyle name="표준 5 3 2 2 2 2 4 3 2 2 2" xfId="31307" xr:uid="{00000000-0005-0000-0000-000007700000}"/>
    <cellStyle name="표준 5 3 2 2 2 2 4 3 2 2 3" xfId="39518" xr:uid="{00000000-0005-0000-0000-000008700000}"/>
    <cellStyle name="표준 5 3 2 2 2 2 4 3 2 2 4" xfId="47711" xr:uid="{00000000-0005-0000-0000-000009700000}"/>
    <cellStyle name="표준 5 3 2 2 2 2 4 3 2 3" xfId="18953" xr:uid="{00000000-0005-0000-0000-00000A700000}"/>
    <cellStyle name="표준 5 3 2 2 2 2 4 3 2 4" xfId="23115" xr:uid="{00000000-0005-0000-0000-00000B700000}"/>
    <cellStyle name="표준 5 3 2 2 2 2 4 3 2 5" xfId="27211" xr:uid="{00000000-0005-0000-0000-00000C700000}"/>
    <cellStyle name="표준 5 3 2 2 2 2 4 3 2 6" xfId="35422" xr:uid="{00000000-0005-0000-0000-00000D700000}"/>
    <cellStyle name="표준 5 3 2 2 2 2 4 3 2 7" xfId="43615" xr:uid="{00000000-0005-0000-0000-00000E700000}"/>
    <cellStyle name="표준 5 3 2 2 2 2 4 3 3" xfId="8553" xr:uid="{00000000-0005-0000-0000-00000F700000}"/>
    <cellStyle name="표준 5 3 2 2 2 2 4 3 3 2" xfId="29259" xr:uid="{00000000-0005-0000-0000-000010700000}"/>
    <cellStyle name="표준 5 3 2 2 2 2 4 3 3 3" xfId="37470" xr:uid="{00000000-0005-0000-0000-000011700000}"/>
    <cellStyle name="표준 5 3 2 2 2 2 4 3 3 4" xfId="45663" xr:uid="{00000000-0005-0000-0000-000012700000}"/>
    <cellStyle name="표준 5 3 2 2 2 2 4 3 4" xfId="12665" xr:uid="{00000000-0005-0000-0000-000013700000}"/>
    <cellStyle name="표준 5 3 2 2 2 2 4 3 5" xfId="16905" xr:uid="{00000000-0005-0000-0000-000014700000}"/>
    <cellStyle name="표준 5 3 2 2 2 2 4 3 6" xfId="21067" xr:uid="{00000000-0005-0000-0000-000015700000}"/>
    <cellStyle name="표준 5 3 2 2 2 2 4 3 7" xfId="25163" xr:uid="{00000000-0005-0000-0000-000016700000}"/>
    <cellStyle name="표준 5 3 2 2 2 2 4 3 8" xfId="33374" xr:uid="{00000000-0005-0000-0000-000017700000}"/>
    <cellStyle name="표준 5 3 2 2 2 2 4 3 9" xfId="41567" xr:uid="{00000000-0005-0000-0000-000018700000}"/>
    <cellStyle name="표준 5 3 2 2 2 2 4 4" xfId="2210" xr:uid="{00000000-0005-0000-0000-000019700000}"/>
    <cellStyle name="표준 5 3 2 2 2 2 4 4 2" xfId="11113" xr:uid="{00000000-0005-0000-0000-00001A700000}"/>
    <cellStyle name="표준 5 3 2 2 2 2 4 4 2 2" xfId="15225" xr:uid="{00000000-0005-0000-0000-00001B700000}"/>
    <cellStyle name="표준 5 3 2 2 2 2 4 4 2 2 2" xfId="31819" xr:uid="{00000000-0005-0000-0000-00001C700000}"/>
    <cellStyle name="표준 5 3 2 2 2 2 4 4 2 2 3" xfId="40030" xr:uid="{00000000-0005-0000-0000-00001D700000}"/>
    <cellStyle name="표준 5 3 2 2 2 2 4 4 2 2 4" xfId="48223" xr:uid="{00000000-0005-0000-0000-00001E700000}"/>
    <cellStyle name="표준 5 3 2 2 2 2 4 4 2 3" xfId="19465" xr:uid="{00000000-0005-0000-0000-00001F700000}"/>
    <cellStyle name="표준 5 3 2 2 2 2 4 4 2 4" xfId="23627" xr:uid="{00000000-0005-0000-0000-000020700000}"/>
    <cellStyle name="표준 5 3 2 2 2 2 4 4 2 5" xfId="27723" xr:uid="{00000000-0005-0000-0000-000021700000}"/>
    <cellStyle name="표준 5 3 2 2 2 2 4 4 2 6" xfId="35934" xr:uid="{00000000-0005-0000-0000-000022700000}"/>
    <cellStyle name="표준 5 3 2 2 2 2 4 4 2 7" xfId="44127" xr:uid="{00000000-0005-0000-0000-000023700000}"/>
    <cellStyle name="표준 5 3 2 2 2 2 4 4 3" xfId="9065" xr:uid="{00000000-0005-0000-0000-000024700000}"/>
    <cellStyle name="표준 5 3 2 2 2 2 4 4 3 2" xfId="29771" xr:uid="{00000000-0005-0000-0000-000025700000}"/>
    <cellStyle name="표준 5 3 2 2 2 2 4 4 3 3" xfId="37982" xr:uid="{00000000-0005-0000-0000-000026700000}"/>
    <cellStyle name="표준 5 3 2 2 2 2 4 4 3 4" xfId="46175" xr:uid="{00000000-0005-0000-0000-000027700000}"/>
    <cellStyle name="표준 5 3 2 2 2 2 4 4 4" xfId="13177" xr:uid="{00000000-0005-0000-0000-000028700000}"/>
    <cellStyle name="표준 5 3 2 2 2 2 4 4 5" xfId="17417" xr:uid="{00000000-0005-0000-0000-000029700000}"/>
    <cellStyle name="표준 5 3 2 2 2 2 4 4 6" xfId="21579" xr:uid="{00000000-0005-0000-0000-00002A700000}"/>
    <cellStyle name="표준 5 3 2 2 2 2 4 4 7" xfId="25675" xr:uid="{00000000-0005-0000-0000-00002B700000}"/>
    <cellStyle name="표준 5 3 2 2 2 2 4 4 8" xfId="33886" xr:uid="{00000000-0005-0000-0000-00002C700000}"/>
    <cellStyle name="표준 5 3 2 2 2 2 4 4 9" xfId="42079" xr:uid="{00000000-0005-0000-0000-00002D700000}"/>
    <cellStyle name="표준 5 3 2 2 2 2 4 5" xfId="9577" xr:uid="{00000000-0005-0000-0000-00002E700000}"/>
    <cellStyle name="표준 5 3 2 2 2 2 4 5 2" xfId="13689" xr:uid="{00000000-0005-0000-0000-00002F700000}"/>
    <cellStyle name="표준 5 3 2 2 2 2 4 5 2 2" xfId="30283" xr:uid="{00000000-0005-0000-0000-000030700000}"/>
    <cellStyle name="표준 5 3 2 2 2 2 4 5 2 3" xfId="38494" xr:uid="{00000000-0005-0000-0000-000031700000}"/>
    <cellStyle name="표준 5 3 2 2 2 2 4 5 2 4" xfId="46687" xr:uid="{00000000-0005-0000-0000-000032700000}"/>
    <cellStyle name="표준 5 3 2 2 2 2 4 5 3" xfId="17929" xr:uid="{00000000-0005-0000-0000-000033700000}"/>
    <cellStyle name="표준 5 3 2 2 2 2 4 5 4" xfId="22091" xr:uid="{00000000-0005-0000-0000-000034700000}"/>
    <cellStyle name="표준 5 3 2 2 2 2 4 5 5" xfId="26187" xr:uid="{00000000-0005-0000-0000-000035700000}"/>
    <cellStyle name="표준 5 3 2 2 2 2 4 5 6" xfId="34398" xr:uid="{00000000-0005-0000-0000-000036700000}"/>
    <cellStyle name="표준 5 3 2 2 2 2 4 5 7" xfId="42591" xr:uid="{00000000-0005-0000-0000-000037700000}"/>
    <cellStyle name="표준 5 3 2 2 2 2 4 6" xfId="7529" xr:uid="{00000000-0005-0000-0000-000038700000}"/>
    <cellStyle name="표준 5 3 2 2 2 2 4 6 2" xfId="28235" xr:uid="{00000000-0005-0000-0000-000039700000}"/>
    <cellStyle name="표준 5 3 2 2 2 2 4 6 3" xfId="36446" xr:uid="{00000000-0005-0000-0000-00003A700000}"/>
    <cellStyle name="표준 5 3 2 2 2 2 4 6 4" xfId="44639" xr:uid="{00000000-0005-0000-0000-00003B700000}"/>
    <cellStyle name="표준 5 3 2 2 2 2 4 7" xfId="11641" xr:uid="{00000000-0005-0000-0000-00003C700000}"/>
    <cellStyle name="표준 5 3 2 2 2 2 4 8" xfId="15881" xr:uid="{00000000-0005-0000-0000-00003D700000}"/>
    <cellStyle name="표준 5 3 2 2 2 2 4 9" xfId="20043" xr:uid="{00000000-0005-0000-0000-00003E700000}"/>
    <cellStyle name="표준 5 3 2 2 2 2 5" xfId="930" xr:uid="{00000000-0005-0000-0000-00003F700000}"/>
    <cellStyle name="표준 5 3 2 2 2 2 5 2" xfId="9833" xr:uid="{00000000-0005-0000-0000-000040700000}"/>
    <cellStyle name="표준 5 3 2 2 2 2 5 2 2" xfId="13945" xr:uid="{00000000-0005-0000-0000-000041700000}"/>
    <cellStyle name="표준 5 3 2 2 2 2 5 2 2 2" xfId="30539" xr:uid="{00000000-0005-0000-0000-000042700000}"/>
    <cellStyle name="표준 5 3 2 2 2 2 5 2 2 3" xfId="38750" xr:uid="{00000000-0005-0000-0000-000043700000}"/>
    <cellStyle name="표준 5 3 2 2 2 2 5 2 2 4" xfId="46943" xr:uid="{00000000-0005-0000-0000-000044700000}"/>
    <cellStyle name="표준 5 3 2 2 2 2 5 2 3" xfId="18185" xr:uid="{00000000-0005-0000-0000-000045700000}"/>
    <cellStyle name="표준 5 3 2 2 2 2 5 2 4" xfId="22347" xr:uid="{00000000-0005-0000-0000-000046700000}"/>
    <cellStyle name="표준 5 3 2 2 2 2 5 2 5" xfId="26443" xr:uid="{00000000-0005-0000-0000-000047700000}"/>
    <cellStyle name="표준 5 3 2 2 2 2 5 2 6" xfId="34654" xr:uid="{00000000-0005-0000-0000-000048700000}"/>
    <cellStyle name="표준 5 3 2 2 2 2 5 2 7" xfId="42847" xr:uid="{00000000-0005-0000-0000-000049700000}"/>
    <cellStyle name="표준 5 3 2 2 2 2 5 3" xfId="7785" xr:uid="{00000000-0005-0000-0000-00004A700000}"/>
    <cellStyle name="표준 5 3 2 2 2 2 5 3 2" xfId="28491" xr:uid="{00000000-0005-0000-0000-00004B700000}"/>
    <cellStyle name="표준 5 3 2 2 2 2 5 3 3" xfId="36702" xr:uid="{00000000-0005-0000-0000-00004C700000}"/>
    <cellStyle name="표준 5 3 2 2 2 2 5 3 4" xfId="44895" xr:uid="{00000000-0005-0000-0000-00004D700000}"/>
    <cellStyle name="표준 5 3 2 2 2 2 5 4" xfId="11897" xr:uid="{00000000-0005-0000-0000-00004E700000}"/>
    <cellStyle name="표준 5 3 2 2 2 2 5 5" xfId="16137" xr:uid="{00000000-0005-0000-0000-00004F700000}"/>
    <cellStyle name="표준 5 3 2 2 2 2 5 6" xfId="20299" xr:uid="{00000000-0005-0000-0000-000050700000}"/>
    <cellStyle name="표준 5 3 2 2 2 2 5 7" xfId="24395" xr:uid="{00000000-0005-0000-0000-000051700000}"/>
    <cellStyle name="표준 5 3 2 2 2 2 5 8" xfId="32606" xr:uid="{00000000-0005-0000-0000-000052700000}"/>
    <cellStyle name="표준 5 3 2 2 2 2 5 9" xfId="40799" xr:uid="{00000000-0005-0000-0000-000053700000}"/>
    <cellStyle name="표준 5 3 2 2 2 2 6" xfId="1442" xr:uid="{00000000-0005-0000-0000-000054700000}"/>
    <cellStyle name="표준 5 3 2 2 2 2 6 2" xfId="10345" xr:uid="{00000000-0005-0000-0000-000055700000}"/>
    <cellStyle name="표준 5 3 2 2 2 2 6 2 2" xfId="14457" xr:uid="{00000000-0005-0000-0000-000056700000}"/>
    <cellStyle name="표준 5 3 2 2 2 2 6 2 2 2" xfId="31051" xr:uid="{00000000-0005-0000-0000-000057700000}"/>
    <cellStyle name="표준 5 3 2 2 2 2 6 2 2 3" xfId="39262" xr:uid="{00000000-0005-0000-0000-000058700000}"/>
    <cellStyle name="표준 5 3 2 2 2 2 6 2 2 4" xfId="47455" xr:uid="{00000000-0005-0000-0000-000059700000}"/>
    <cellStyle name="표준 5 3 2 2 2 2 6 2 3" xfId="18697" xr:uid="{00000000-0005-0000-0000-00005A700000}"/>
    <cellStyle name="표준 5 3 2 2 2 2 6 2 4" xfId="22859" xr:uid="{00000000-0005-0000-0000-00005B700000}"/>
    <cellStyle name="표준 5 3 2 2 2 2 6 2 5" xfId="26955" xr:uid="{00000000-0005-0000-0000-00005C700000}"/>
    <cellStyle name="표준 5 3 2 2 2 2 6 2 6" xfId="35166" xr:uid="{00000000-0005-0000-0000-00005D700000}"/>
    <cellStyle name="표준 5 3 2 2 2 2 6 2 7" xfId="43359" xr:uid="{00000000-0005-0000-0000-00005E700000}"/>
    <cellStyle name="표준 5 3 2 2 2 2 6 3" xfId="8297" xr:uid="{00000000-0005-0000-0000-00005F700000}"/>
    <cellStyle name="표준 5 3 2 2 2 2 6 3 2" xfId="29003" xr:uid="{00000000-0005-0000-0000-000060700000}"/>
    <cellStyle name="표준 5 3 2 2 2 2 6 3 3" xfId="37214" xr:uid="{00000000-0005-0000-0000-000061700000}"/>
    <cellStyle name="표준 5 3 2 2 2 2 6 3 4" xfId="45407" xr:uid="{00000000-0005-0000-0000-000062700000}"/>
    <cellStyle name="표준 5 3 2 2 2 2 6 4" xfId="12409" xr:uid="{00000000-0005-0000-0000-000063700000}"/>
    <cellStyle name="표준 5 3 2 2 2 2 6 5" xfId="16649" xr:uid="{00000000-0005-0000-0000-000064700000}"/>
    <cellStyle name="표준 5 3 2 2 2 2 6 6" xfId="20811" xr:uid="{00000000-0005-0000-0000-000065700000}"/>
    <cellStyle name="표준 5 3 2 2 2 2 6 7" xfId="24907" xr:uid="{00000000-0005-0000-0000-000066700000}"/>
    <cellStyle name="표준 5 3 2 2 2 2 6 8" xfId="33118" xr:uid="{00000000-0005-0000-0000-000067700000}"/>
    <cellStyle name="표준 5 3 2 2 2 2 6 9" xfId="41311" xr:uid="{00000000-0005-0000-0000-000068700000}"/>
    <cellStyle name="표준 5 3 2 2 2 2 7" xfId="1954" xr:uid="{00000000-0005-0000-0000-000069700000}"/>
    <cellStyle name="표준 5 3 2 2 2 2 7 2" xfId="10857" xr:uid="{00000000-0005-0000-0000-00006A700000}"/>
    <cellStyle name="표준 5 3 2 2 2 2 7 2 2" xfId="14969" xr:uid="{00000000-0005-0000-0000-00006B700000}"/>
    <cellStyle name="표준 5 3 2 2 2 2 7 2 2 2" xfId="31563" xr:uid="{00000000-0005-0000-0000-00006C700000}"/>
    <cellStyle name="표준 5 3 2 2 2 2 7 2 2 3" xfId="39774" xr:uid="{00000000-0005-0000-0000-00006D700000}"/>
    <cellStyle name="표준 5 3 2 2 2 2 7 2 2 4" xfId="47967" xr:uid="{00000000-0005-0000-0000-00006E700000}"/>
    <cellStyle name="표준 5 3 2 2 2 2 7 2 3" xfId="19209" xr:uid="{00000000-0005-0000-0000-00006F700000}"/>
    <cellStyle name="표준 5 3 2 2 2 2 7 2 4" xfId="23371" xr:uid="{00000000-0005-0000-0000-000070700000}"/>
    <cellStyle name="표준 5 3 2 2 2 2 7 2 5" xfId="27467" xr:uid="{00000000-0005-0000-0000-000071700000}"/>
    <cellStyle name="표준 5 3 2 2 2 2 7 2 6" xfId="35678" xr:uid="{00000000-0005-0000-0000-000072700000}"/>
    <cellStyle name="표준 5 3 2 2 2 2 7 2 7" xfId="43871" xr:uid="{00000000-0005-0000-0000-000073700000}"/>
    <cellStyle name="표준 5 3 2 2 2 2 7 3" xfId="8809" xr:uid="{00000000-0005-0000-0000-000074700000}"/>
    <cellStyle name="표준 5 3 2 2 2 2 7 3 2" xfId="29515" xr:uid="{00000000-0005-0000-0000-000075700000}"/>
    <cellStyle name="표준 5 3 2 2 2 2 7 3 3" xfId="37726" xr:uid="{00000000-0005-0000-0000-000076700000}"/>
    <cellStyle name="표준 5 3 2 2 2 2 7 3 4" xfId="45919" xr:uid="{00000000-0005-0000-0000-000077700000}"/>
    <cellStyle name="표준 5 3 2 2 2 2 7 4" xfId="12921" xr:uid="{00000000-0005-0000-0000-000078700000}"/>
    <cellStyle name="표준 5 3 2 2 2 2 7 5" xfId="17161" xr:uid="{00000000-0005-0000-0000-000079700000}"/>
    <cellStyle name="표준 5 3 2 2 2 2 7 6" xfId="21323" xr:uid="{00000000-0005-0000-0000-00007A700000}"/>
    <cellStyle name="표준 5 3 2 2 2 2 7 7" xfId="25419" xr:uid="{00000000-0005-0000-0000-00007B700000}"/>
    <cellStyle name="표준 5 3 2 2 2 2 7 8" xfId="33630" xr:uid="{00000000-0005-0000-0000-00007C700000}"/>
    <cellStyle name="표준 5 3 2 2 2 2 7 9" xfId="41823" xr:uid="{00000000-0005-0000-0000-00007D700000}"/>
    <cellStyle name="표준 5 3 2 2 2 2 8" xfId="7046" xr:uid="{00000000-0005-0000-0000-00007E700000}"/>
    <cellStyle name="표준 5 3 2 2 2 2 8 2" xfId="9321" xr:uid="{00000000-0005-0000-0000-00007F700000}"/>
    <cellStyle name="표준 5 3 2 2 2 2 8 2 2" xfId="30027" xr:uid="{00000000-0005-0000-0000-000080700000}"/>
    <cellStyle name="표준 5 3 2 2 2 2 8 2 3" xfId="38238" xr:uid="{00000000-0005-0000-0000-000081700000}"/>
    <cellStyle name="표준 5 3 2 2 2 2 8 2 4" xfId="46431" xr:uid="{00000000-0005-0000-0000-000082700000}"/>
    <cellStyle name="표준 5 3 2 2 2 2 8 3" xfId="13433" xr:uid="{00000000-0005-0000-0000-000083700000}"/>
    <cellStyle name="표준 5 3 2 2 2 2 8 4" xfId="17673" xr:uid="{00000000-0005-0000-0000-000084700000}"/>
    <cellStyle name="표준 5 3 2 2 2 2 8 5" xfId="21835" xr:uid="{00000000-0005-0000-0000-000085700000}"/>
    <cellStyle name="표준 5 3 2 2 2 2 8 6" xfId="25931" xr:uid="{00000000-0005-0000-0000-000086700000}"/>
    <cellStyle name="표준 5 3 2 2 2 2 8 7" xfId="34142" xr:uid="{00000000-0005-0000-0000-000087700000}"/>
    <cellStyle name="표준 5 3 2 2 2 2 8 8" xfId="42335" xr:uid="{00000000-0005-0000-0000-000088700000}"/>
    <cellStyle name="표준 5 3 2 2 2 2 9" xfId="7132" xr:uid="{00000000-0005-0000-0000-000089700000}"/>
    <cellStyle name="표준 5 3 2 2 2 2 9 2" xfId="27979" xr:uid="{00000000-0005-0000-0000-00008A700000}"/>
    <cellStyle name="표준 5 3 2 2 2 2 9 3" xfId="36190" xr:uid="{00000000-0005-0000-0000-00008B700000}"/>
    <cellStyle name="표준 5 3 2 2 2 2 9 4" xfId="44383" xr:uid="{00000000-0005-0000-0000-00008C700000}"/>
    <cellStyle name="표준 5 3 2 2 2 3" xfId="450" xr:uid="{00000000-0005-0000-0000-00008D700000}"/>
    <cellStyle name="표준 5 3 2 2 2 3 10" xfId="15657" xr:uid="{00000000-0005-0000-0000-00008E700000}"/>
    <cellStyle name="표준 5 3 2 2 2 3 11" xfId="19819" xr:uid="{00000000-0005-0000-0000-00008F700000}"/>
    <cellStyle name="표준 5 3 2 2 2 3 12" xfId="23915" xr:uid="{00000000-0005-0000-0000-000090700000}"/>
    <cellStyle name="표준 5 3 2 2 2 3 13" xfId="32126" xr:uid="{00000000-0005-0000-0000-000091700000}"/>
    <cellStyle name="표준 5 3 2 2 2 3 14" xfId="40319" xr:uid="{00000000-0005-0000-0000-000092700000}"/>
    <cellStyle name="표준 5 3 2 2 2 3 2" xfId="578" xr:uid="{00000000-0005-0000-0000-000093700000}"/>
    <cellStyle name="표준 5 3 2 2 2 3 2 10" xfId="19947" xr:uid="{00000000-0005-0000-0000-000094700000}"/>
    <cellStyle name="표준 5 3 2 2 2 3 2 11" xfId="24043" xr:uid="{00000000-0005-0000-0000-000095700000}"/>
    <cellStyle name="표준 5 3 2 2 2 3 2 12" xfId="32254" xr:uid="{00000000-0005-0000-0000-000096700000}"/>
    <cellStyle name="표준 5 3 2 2 2 3 2 13" xfId="40447" xr:uid="{00000000-0005-0000-0000-000097700000}"/>
    <cellStyle name="표준 5 3 2 2 2 3 2 2" xfId="834" xr:uid="{00000000-0005-0000-0000-000098700000}"/>
    <cellStyle name="표준 5 3 2 2 2 3 2 2 10" xfId="24299" xr:uid="{00000000-0005-0000-0000-000099700000}"/>
    <cellStyle name="표준 5 3 2 2 2 3 2 2 11" xfId="32510" xr:uid="{00000000-0005-0000-0000-00009A700000}"/>
    <cellStyle name="표준 5 3 2 2 2 3 2 2 12" xfId="40703" xr:uid="{00000000-0005-0000-0000-00009B700000}"/>
    <cellStyle name="표준 5 3 2 2 2 3 2 2 2" xfId="1346" xr:uid="{00000000-0005-0000-0000-00009C700000}"/>
    <cellStyle name="표준 5 3 2 2 2 3 2 2 2 2" xfId="10249" xr:uid="{00000000-0005-0000-0000-00009D700000}"/>
    <cellStyle name="표준 5 3 2 2 2 3 2 2 2 2 2" xfId="14361" xr:uid="{00000000-0005-0000-0000-00009E700000}"/>
    <cellStyle name="표준 5 3 2 2 2 3 2 2 2 2 2 2" xfId="30955" xr:uid="{00000000-0005-0000-0000-00009F700000}"/>
    <cellStyle name="표준 5 3 2 2 2 3 2 2 2 2 2 3" xfId="39166" xr:uid="{00000000-0005-0000-0000-0000A0700000}"/>
    <cellStyle name="표준 5 3 2 2 2 3 2 2 2 2 2 4" xfId="47359" xr:uid="{00000000-0005-0000-0000-0000A1700000}"/>
    <cellStyle name="표준 5 3 2 2 2 3 2 2 2 2 3" xfId="18601" xr:uid="{00000000-0005-0000-0000-0000A2700000}"/>
    <cellStyle name="표준 5 3 2 2 2 3 2 2 2 2 4" xfId="22763" xr:uid="{00000000-0005-0000-0000-0000A3700000}"/>
    <cellStyle name="표준 5 3 2 2 2 3 2 2 2 2 5" xfId="26859" xr:uid="{00000000-0005-0000-0000-0000A4700000}"/>
    <cellStyle name="표준 5 3 2 2 2 3 2 2 2 2 6" xfId="35070" xr:uid="{00000000-0005-0000-0000-0000A5700000}"/>
    <cellStyle name="표준 5 3 2 2 2 3 2 2 2 2 7" xfId="43263" xr:uid="{00000000-0005-0000-0000-0000A6700000}"/>
    <cellStyle name="표준 5 3 2 2 2 3 2 2 2 3" xfId="8201" xr:uid="{00000000-0005-0000-0000-0000A7700000}"/>
    <cellStyle name="표준 5 3 2 2 2 3 2 2 2 3 2" xfId="28907" xr:uid="{00000000-0005-0000-0000-0000A8700000}"/>
    <cellStyle name="표준 5 3 2 2 2 3 2 2 2 3 3" xfId="37118" xr:uid="{00000000-0005-0000-0000-0000A9700000}"/>
    <cellStyle name="표준 5 3 2 2 2 3 2 2 2 3 4" xfId="45311" xr:uid="{00000000-0005-0000-0000-0000AA700000}"/>
    <cellStyle name="표준 5 3 2 2 2 3 2 2 2 4" xfId="12313" xr:uid="{00000000-0005-0000-0000-0000AB700000}"/>
    <cellStyle name="표준 5 3 2 2 2 3 2 2 2 5" xfId="16553" xr:uid="{00000000-0005-0000-0000-0000AC700000}"/>
    <cellStyle name="표준 5 3 2 2 2 3 2 2 2 6" xfId="20715" xr:uid="{00000000-0005-0000-0000-0000AD700000}"/>
    <cellStyle name="표준 5 3 2 2 2 3 2 2 2 7" xfId="24811" xr:uid="{00000000-0005-0000-0000-0000AE700000}"/>
    <cellStyle name="표준 5 3 2 2 2 3 2 2 2 8" xfId="33022" xr:uid="{00000000-0005-0000-0000-0000AF700000}"/>
    <cellStyle name="표준 5 3 2 2 2 3 2 2 2 9" xfId="41215" xr:uid="{00000000-0005-0000-0000-0000B0700000}"/>
    <cellStyle name="표준 5 3 2 2 2 3 2 2 3" xfId="1858" xr:uid="{00000000-0005-0000-0000-0000B1700000}"/>
    <cellStyle name="표준 5 3 2 2 2 3 2 2 3 2" xfId="10761" xr:uid="{00000000-0005-0000-0000-0000B2700000}"/>
    <cellStyle name="표준 5 3 2 2 2 3 2 2 3 2 2" xfId="14873" xr:uid="{00000000-0005-0000-0000-0000B3700000}"/>
    <cellStyle name="표준 5 3 2 2 2 3 2 2 3 2 2 2" xfId="31467" xr:uid="{00000000-0005-0000-0000-0000B4700000}"/>
    <cellStyle name="표준 5 3 2 2 2 3 2 2 3 2 2 3" xfId="39678" xr:uid="{00000000-0005-0000-0000-0000B5700000}"/>
    <cellStyle name="표준 5 3 2 2 2 3 2 2 3 2 2 4" xfId="47871" xr:uid="{00000000-0005-0000-0000-0000B6700000}"/>
    <cellStyle name="표준 5 3 2 2 2 3 2 2 3 2 3" xfId="19113" xr:uid="{00000000-0005-0000-0000-0000B7700000}"/>
    <cellStyle name="표준 5 3 2 2 2 3 2 2 3 2 4" xfId="23275" xr:uid="{00000000-0005-0000-0000-0000B8700000}"/>
    <cellStyle name="표준 5 3 2 2 2 3 2 2 3 2 5" xfId="27371" xr:uid="{00000000-0005-0000-0000-0000B9700000}"/>
    <cellStyle name="표준 5 3 2 2 2 3 2 2 3 2 6" xfId="35582" xr:uid="{00000000-0005-0000-0000-0000BA700000}"/>
    <cellStyle name="표준 5 3 2 2 2 3 2 2 3 2 7" xfId="43775" xr:uid="{00000000-0005-0000-0000-0000BB700000}"/>
    <cellStyle name="표준 5 3 2 2 2 3 2 2 3 3" xfId="8713" xr:uid="{00000000-0005-0000-0000-0000BC700000}"/>
    <cellStyle name="표준 5 3 2 2 2 3 2 2 3 3 2" xfId="29419" xr:uid="{00000000-0005-0000-0000-0000BD700000}"/>
    <cellStyle name="표준 5 3 2 2 2 3 2 2 3 3 3" xfId="37630" xr:uid="{00000000-0005-0000-0000-0000BE700000}"/>
    <cellStyle name="표준 5 3 2 2 2 3 2 2 3 3 4" xfId="45823" xr:uid="{00000000-0005-0000-0000-0000BF700000}"/>
    <cellStyle name="표준 5 3 2 2 2 3 2 2 3 4" xfId="12825" xr:uid="{00000000-0005-0000-0000-0000C0700000}"/>
    <cellStyle name="표준 5 3 2 2 2 3 2 2 3 5" xfId="17065" xr:uid="{00000000-0005-0000-0000-0000C1700000}"/>
    <cellStyle name="표준 5 3 2 2 2 3 2 2 3 6" xfId="21227" xr:uid="{00000000-0005-0000-0000-0000C2700000}"/>
    <cellStyle name="표준 5 3 2 2 2 3 2 2 3 7" xfId="25323" xr:uid="{00000000-0005-0000-0000-0000C3700000}"/>
    <cellStyle name="표준 5 3 2 2 2 3 2 2 3 8" xfId="33534" xr:uid="{00000000-0005-0000-0000-0000C4700000}"/>
    <cellStyle name="표준 5 3 2 2 2 3 2 2 3 9" xfId="41727" xr:uid="{00000000-0005-0000-0000-0000C5700000}"/>
    <cellStyle name="표준 5 3 2 2 2 3 2 2 4" xfId="2370" xr:uid="{00000000-0005-0000-0000-0000C6700000}"/>
    <cellStyle name="표준 5 3 2 2 2 3 2 2 4 2" xfId="11273" xr:uid="{00000000-0005-0000-0000-0000C7700000}"/>
    <cellStyle name="표준 5 3 2 2 2 3 2 2 4 2 2" xfId="15385" xr:uid="{00000000-0005-0000-0000-0000C8700000}"/>
    <cellStyle name="표준 5 3 2 2 2 3 2 2 4 2 2 2" xfId="31979" xr:uid="{00000000-0005-0000-0000-0000C9700000}"/>
    <cellStyle name="표준 5 3 2 2 2 3 2 2 4 2 2 3" xfId="40190" xr:uid="{00000000-0005-0000-0000-0000CA700000}"/>
    <cellStyle name="표준 5 3 2 2 2 3 2 2 4 2 2 4" xfId="48383" xr:uid="{00000000-0005-0000-0000-0000CB700000}"/>
    <cellStyle name="표준 5 3 2 2 2 3 2 2 4 2 3" xfId="19625" xr:uid="{00000000-0005-0000-0000-0000CC700000}"/>
    <cellStyle name="표준 5 3 2 2 2 3 2 2 4 2 4" xfId="23787" xr:uid="{00000000-0005-0000-0000-0000CD700000}"/>
    <cellStyle name="표준 5 3 2 2 2 3 2 2 4 2 5" xfId="27883" xr:uid="{00000000-0005-0000-0000-0000CE700000}"/>
    <cellStyle name="표준 5 3 2 2 2 3 2 2 4 2 6" xfId="36094" xr:uid="{00000000-0005-0000-0000-0000CF700000}"/>
    <cellStyle name="표준 5 3 2 2 2 3 2 2 4 2 7" xfId="44287" xr:uid="{00000000-0005-0000-0000-0000D0700000}"/>
    <cellStyle name="표준 5 3 2 2 2 3 2 2 4 3" xfId="9225" xr:uid="{00000000-0005-0000-0000-0000D1700000}"/>
    <cellStyle name="표준 5 3 2 2 2 3 2 2 4 3 2" xfId="29931" xr:uid="{00000000-0005-0000-0000-0000D2700000}"/>
    <cellStyle name="표준 5 3 2 2 2 3 2 2 4 3 3" xfId="38142" xr:uid="{00000000-0005-0000-0000-0000D3700000}"/>
    <cellStyle name="표준 5 3 2 2 2 3 2 2 4 3 4" xfId="46335" xr:uid="{00000000-0005-0000-0000-0000D4700000}"/>
    <cellStyle name="표준 5 3 2 2 2 3 2 2 4 4" xfId="13337" xr:uid="{00000000-0005-0000-0000-0000D5700000}"/>
    <cellStyle name="표준 5 3 2 2 2 3 2 2 4 5" xfId="17577" xr:uid="{00000000-0005-0000-0000-0000D6700000}"/>
    <cellStyle name="표준 5 3 2 2 2 3 2 2 4 6" xfId="21739" xr:uid="{00000000-0005-0000-0000-0000D7700000}"/>
    <cellStyle name="표준 5 3 2 2 2 3 2 2 4 7" xfId="25835" xr:uid="{00000000-0005-0000-0000-0000D8700000}"/>
    <cellStyle name="표준 5 3 2 2 2 3 2 2 4 8" xfId="34046" xr:uid="{00000000-0005-0000-0000-0000D9700000}"/>
    <cellStyle name="표준 5 3 2 2 2 3 2 2 4 9" xfId="42239" xr:uid="{00000000-0005-0000-0000-0000DA700000}"/>
    <cellStyle name="표준 5 3 2 2 2 3 2 2 5" xfId="9737" xr:uid="{00000000-0005-0000-0000-0000DB700000}"/>
    <cellStyle name="표준 5 3 2 2 2 3 2 2 5 2" xfId="13849" xr:uid="{00000000-0005-0000-0000-0000DC700000}"/>
    <cellStyle name="표준 5 3 2 2 2 3 2 2 5 2 2" xfId="30443" xr:uid="{00000000-0005-0000-0000-0000DD700000}"/>
    <cellStyle name="표준 5 3 2 2 2 3 2 2 5 2 3" xfId="38654" xr:uid="{00000000-0005-0000-0000-0000DE700000}"/>
    <cellStyle name="표준 5 3 2 2 2 3 2 2 5 2 4" xfId="46847" xr:uid="{00000000-0005-0000-0000-0000DF700000}"/>
    <cellStyle name="표준 5 3 2 2 2 3 2 2 5 3" xfId="18089" xr:uid="{00000000-0005-0000-0000-0000E0700000}"/>
    <cellStyle name="표준 5 3 2 2 2 3 2 2 5 4" xfId="22251" xr:uid="{00000000-0005-0000-0000-0000E1700000}"/>
    <cellStyle name="표준 5 3 2 2 2 3 2 2 5 5" xfId="26347" xr:uid="{00000000-0005-0000-0000-0000E2700000}"/>
    <cellStyle name="표준 5 3 2 2 2 3 2 2 5 6" xfId="34558" xr:uid="{00000000-0005-0000-0000-0000E3700000}"/>
    <cellStyle name="표준 5 3 2 2 2 3 2 2 5 7" xfId="42751" xr:uid="{00000000-0005-0000-0000-0000E4700000}"/>
    <cellStyle name="표준 5 3 2 2 2 3 2 2 6" xfId="7689" xr:uid="{00000000-0005-0000-0000-0000E5700000}"/>
    <cellStyle name="표준 5 3 2 2 2 3 2 2 6 2" xfId="28395" xr:uid="{00000000-0005-0000-0000-0000E6700000}"/>
    <cellStyle name="표준 5 3 2 2 2 3 2 2 6 3" xfId="36606" xr:uid="{00000000-0005-0000-0000-0000E7700000}"/>
    <cellStyle name="표준 5 3 2 2 2 3 2 2 6 4" xfId="44799" xr:uid="{00000000-0005-0000-0000-0000E8700000}"/>
    <cellStyle name="표준 5 3 2 2 2 3 2 2 7" xfId="11801" xr:uid="{00000000-0005-0000-0000-0000E9700000}"/>
    <cellStyle name="표준 5 3 2 2 2 3 2 2 8" xfId="16041" xr:uid="{00000000-0005-0000-0000-0000EA700000}"/>
    <cellStyle name="표준 5 3 2 2 2 3 2 2 9" xfId="20203" xr:uid="{00000000-0005-0000-0000-0000EB700000}"/>
    <cellStyle name="표준 5 3 2 2 2 3 2 3" xfId="1090" xr:uid="{00000000-0005-0000-0000-0000EC700000}"/>
    <cellStyle name="표준 5 3 2 2 2 3 2 3 2" xfId="9993" xr:uid="{00000000-0005-0000-0000-0000ED700000}"/>
    <cellStyle name="표준 5 3 2 2 2 3 2 3 2 2" xfId="14105" xr:uid="{00000000-0005-0000-0000-0000EE700000}"/>
    <cellStyle name="표준 5 3 2 2 2 3 2 3 2 2 2" xfId="30699" xr:uid="{00000000-0005-0000-0000-0000EF700000}"/>
    <cellStyle name="표준 5 3 2 2 2 3 2 3 2 2 3" xfId="38910" xr:uid="{00000000-0005-0000-0000-0000F0700000}"/>
    <cellStyle name="표준 5 3 2 2 2 3 2 3 2 2 4" xfId="47103" xr:uid="{00000000-0005-0000-0000-0000F1700000}"/>
    <cellStyle name="표준 5 3 2 2 2 3 2 3 2 3" xfId="18345" xr:uid="{00000000-0005-0000-0000-0000F2700000}"/>
    <cellStyle name="표준 5 3 2 2 2 3 2 3 2 4" xfId="22507" xr:uid="{00000000-0005-0000-0000-0000F3700000}"/>
    <cellStyle name="표준 5 3 2 2 2 3 2 3 2 5" xfId="26603" xr:uid="{00000000-0005-0000-0000-0000F4700000}"/>
    <cellStyle name="표준 5 3 2 2 2 3 2 3 2 6" xfId="34814" xr:uid="{00000000-0005-0000-0000-0000F5700000}"/>
    <cellStyle name="표준 5 3 2 2 2 3 2 3 2 7" xfId="43007" xr:uid="{00000000-0005-0000-0000-0000F6700000}"/>
    <cellStyle name="표준 5 3 2 2 2 3 2 3 3" xfId="7945" xr:uid="{00000000-0005-0000-0000-0000F7700000}"/>
    <cellStyle name="표준 5 3 2 2 2 3 2 3 3 2" xfId="28651" xr:uid="{00000000-0005-0000-0000-0000F8700000}"/>
    <cellStyle name="표준 5 3 2 2 2 3 2 3 3 3" xfId="36862" xr:uid="{00000000-0005-0000-0000-0000F9700000}"/>
    <cellStyle name="표준 5 3 2 2 2 3 2 3 3 4" xfId="45055" xr:uid="{00000000-0005-0000-0000-0000FA700000}"/>
    <cellStyle name="표준 5 3 2 2 2 3 2 3 4" xfId="12057" xr:uid="{00000000-0005-0000-0000-0000FB700000}"/>
    <cellStyle name="표준 5 3 2 2 2 3 2 3 5" xfId="16297" xr:uid="{00000000-0005-0000-0000-0000FC700000}"/>
    <cellStyle name="표준 5 3 2 2 2 3 2 3 6" xfId="20459" xr:uid="{00000000-0005-0000-0000-0000FD700000}"/>
    <cellStyle name="표준 5 3 2 2 2 3 2 3 7" xfId="24555" xr:uid="{00000000-0005-0000-0000-0000FE700000}"/>
    <cellStyle name="표준 5 3 2 2 2 3 2 3 8" xfId="32766" xr:uid="{00000000-0005-0000-0000-0000FF700000}"/>
    <cellStyle name="표준 5 3 2 2 2 3 2 3 9" xfId="40959" xr:uid="{00000000-0005-0000-0000-000000710000}"/>
    <cellStyle name="표준 5 3 2 2 2 3 2 4" xfId="1602" xr:uid="{00000000-0005-0000-0000-000001710000}"/>
    <cellStyle name="표준 5 3 2 2 2 3 2 4 2" xfId="10505" xr:uid="{00000000-0005-0000-0000-000002710000}"/>
    <cellStyle name="표준 5 3 2 2 2 3 2 4 2 2" xfId="14617" xr:uid="{00000000-0005-0000-0000-000003710000}"/>
    <cellStyle name="표준 5 3 2 2 2 3 2 4 2 2 2" xfId="31211" xr:uid="{00000000-0005-0000-0000-000004710000}"/>
    <cellStyle name="표준 5 3 2 2 2 3 2 4 2 2 3" xfId="39422" xr:uid="{00000000-0005-0000-0000-000005710000}"/>
    <cellStyle name="표준 5 3 2 2 2 3 2 4 2 2 4" xfId="47615" xr:uid="{00000000-0005-0000-0000-000006710000}"/>
    <cellStyle name="표준 5 3 2 2 2 3 2 4 2 3" xfId="18857" xr:uid="{00000000-0005-0000-0000-000007710000}"/>
    <cellStyle name="표준 5 3 2 2 2 3 2 4 2 4" xfId="23019" xr:uid="{00000000-0005-0000-0000-000008710000}"/>
    <cellStyle name="표준 5 3 2 2 2 3 2 4 2 5" xfId="27115" xr:uid="{00000000-0005-0000-0000-000009710000}"/>
    <cellStyle name="표준 5 3 2 2 2 3 2 4 2 6" xfId="35326" xr:uid="{00000000-0005-0000-0000-00000A710000}"/>
    <cellStyle name="표준 5 3 2 2 2 3 2 4 2 7" xfId="43519" xr:uid="{00000000-0005-0000-0000-00000B710000}"/>
    <cellStyle name="표준 5 3 2 2 2 3 2 4 3" xfId="8457" xr:uid="{00000000-0005-0000-0000-00000C710000}"/>
    <cellStyle name="표준 5 3 2 2 2 3 2 4 3 2" xfId="29163" xr:uid="{00000000-0005-0000-0000-00000D710000}"/>
    <cellStyle name="표준 5 3 2 2 2 3 2 4 3 3" xfId="37374" xr:uid="{00000000-0005-0000-0000-00000E710000}"/>
    <cellStyle name="표준 5 3 2 2 2 3 2 4 3 4" xfId="45567" xr:uid="{00000000-0005-0000-0000-00000F710000}"/>
    <cellStyle name="표준 5 3 2 2 2 3 2 4 4" xfId="12569" xr:uid="{00000000-0005-0000-0000-000010710000}"/>
    <cellStyle name="표준 5 3 2 2 2 3 2 4 5" xfId="16809" xr:uid="{00000000-0005-0000-0000-000011710000}"/>
    <cellStyle name="표준 5 3 2 2 2 3 2 4 6" xfId="20971" xr:uid="{00000000-0005-0000-0000-000012710000}"/>
    <cellStyle name="표준 5 3 2 2 2 3 2 4 7" xfId="25067" xr:uid="{00000000-0005-0000-0000-000013710000}"/>
    <cellStyle name="표준 5 3 2 2 2 3 2 4 8" xfId="33278" xr:uid="{00000000-0005-0000-0000-000014710000}"/>
    <cellStyle name="표준 5 3 2 2 2 3 2 4 9" xfId="41471" xr:uid="{00000000-0005-0000-0000-000015710000}"/>
    <cellStyle name="표준 5 3 2 2 2 3 2 5" xfId="2114" xr:uid="{00000000-0005-0000-0000-000016710000}"/>
    <cellStyle name="표준 5 3 2 2 2 3 2 5 2" xfId="11017" xr:uid="{00000000-0005-0000-0000-000017710000}"/>
    <cellStyle name="표준 5 3 2 2 2 3 2 5 2 2" xfId="15129" xr:uid="{00000000-0005-0000-0000-000018710000}"/>
    <cellStyle name="표준 5 3 2 2 2 3 2 5 2 2 2" xfId="31723" xr:uid="{00000000-0005-0000-0000-000019710000}"/>
    <cellStyle name="표준 5 3 2 2 2 3 2 5 2 2 3" xfId="39934" xr:uid="{00000000-0005-0000-0000-00001A710000}"/>
    <cellStyle name="표준 5 3 2 2 2 3 2 5 2 2 4" xfId="48127" xr:uid="{00000000-0005-0000-0000-00001B710000}"/>
    <cellStyle name="표준 5 3 2 2 2 3 2 5 2 3" xfId="19369" xr:uid="{00000000-0005-0000-0000-00001C710000}"/>
    <cellStyle name="표준 5 3 2 2 2 3 2 5 2 4" xfId="23531" xr:uid="{00000000-0005-0000-0000-00001D710000}"/>
    <cellStyle name="표준 5 3 2 2 2 3 2 5 2 5" xfId="27627" xr:uid="{00000000-0005-0000-0000-00001E710000}"/>
    <cellStyle name="표준 5 3 2 2 2 3 2 5 2 6" xfId="35838" xr:uid="{00000000-0005-0000-0000-00001F710000}"/>
    <cellStyle name="표준 5 3 2 2 2 3 2 5 2 7" xfId="44031" xr:uid="{00000000-0005-0000-0000-000020710000}"/>
    <cellStyle name="표준 5 3 2 2 2 3 2 5 3" xfId="8969" xr:uid="{00000000-0005-0000-0000-000021710000}"/>
    <cellStyle name="표준 5 3 2 2 2 3 2 5 3 2" xfId="29675" xr:uid="{00000000-0005-0000-0000-000022710000}"/>
    <cellStyle name="표준 5 3 2 2 2 3 2 5 3 3" xfId="37886" xr:uid="{00000000-0005-0000-0000-000023710000}"/>
    <cellStyle name="표준 5 3 2 2 2 3 2 5 3 4" xfId="46079" xr:uid="{00000000-0005-0000-0000-000024710000}"/>
    <cellStyle name="표준 5 3 2 2 2 3 2 5 4" xfId="13081" xr:uid="{00000000-0005-0000-0000-000025710000}"/>
    <cellStyle name="표준 5 3 2 2 2 3 2 5 5" xfId="17321" xr:uid="{00000000-0005-0000-0000-000026710000}"/>
    <cellStyle name="표준 5 3 2 2 2 3 2 5 6" xfId="21483" xr:uid="{00000000-0005-0000-0000-000027710000}"/>
    <cellStyle name="표준 5 3 2 2 2 3 2 5 7" xfId="25579" xr:uid="{00000000-0005-0000-0000-000028710000}"/>
    <cellStyle name="표준 5 3 2 2 2 3 2 5 8" xfId="33790" xr:uid="{00000000-0005-0000-0000-000029710000}"/>
    <cellStyle name="표준 5 3 2 2 2 3 2 5 9" xfId="41983" xr:uid="{00000000-0005-0000-0000-00002A710000}"/>
    <cellStyle name="표준 5 3 2 2 2 3 2 6" xfId="9481" xr:uid="{00000000-0005-0000-0000-00002B710000}"/>
    <cellStyle name="표준 5 3 2 2 2 3 2 6 2" xfId="13593" xr:uid="{00000000-0005-0000-0000-00002C710000}"/>
    <cellStyle name="표준 5 3 2 2 2 3 2 6 2 2" xfId="30187" xr:uid="{00000000-0005-0000-0000-00002D710000}"/>
    <cellStyle name="표준 5 3 2 2 2 3 2 6 2 3" xfId="38398" xr:uid="{00000000-0005-0000-0000-00002E710000}"/>
    <cellStyle name="표준 5 3 2 2 2 3 2 6 2 4" xfId="46591" xr:uid="{00000000-0005-0000-0000-00002F710000}"/>
    <cellStyle name="표준 5 3 2 2 2 3 2 6 3" xfId="17833" xr:uid="{00000000-0005-0000-0000-000030710000}"/>
    <cellStyle name="표준 5 3 2 2 2 3 2 6 4" xfId="21995" xr:uid="{00000000-0005-0000-0000-000031710000}"/>
    <cellStyle name="표준 5 3 2 2 2 3 2 6 5" xfId="26091" xr:uid="{00000000-0005-0000-0000-000032710000}"/>
    <cellStyle name="표준 5 3 2 2 2 3 2 6 6" xfId="34302" xr:uid="{00000000-0005-0000-0000-000033710000}"/>
    <cellStyle name="표준 5 3 2 2 2 3 2 6 7" xfId="42495" xr:uid="{00000000-0005-0000-0000-000034710000}"/>
    <cellStyle name="표준 5 3 2 2 2 3 2 7" xfId="7433" xr:uid="{00000000-0005-0000-0000-000035710000}"/>
    <cellStyle name="표준 5 3 2 2 2 3 2 7 2" xfId="28139" xr:uid="{00000000-0005-0000-0000-000036710000}"/>
    <cellStyle name="표준 5 3 2 2 2 3 2 7 3" xfId="36350" xr:uid="{00000000-0005-0000-0000-000037710000}"/>
    <cellStyle name="표준 5 3 2 2 2 3 2 7 4" xfId="44543" xr:uid="{00000000-0005-0000-0000-000038710000}"/>
    <cellStyle name="표준 5 3 2 2 2 3 2 8" xfId="11545" xr:uid="{00000000-0005-0000-0000-000039710000}"/>
    <cellStyle name="표준 5 3 2 2 2 3 2 9" xfId="15785" xr:uid="{00000000-0005-0000-0000-00003A710000}"/>
    <cellStyle name="표준 5 3 2 2 2 3 3" xfId="706" xr:uid="{00000000-0005-0000-0000-00003B710000}"/>
    <cellStyle name="표준 5 3 2 2 2 3 3 10" xfId="24171" xr:uid="{00000000-0005-0000-0000-00003C710000}"/>
    <cellStyle name="표준 5 3 2 2 2 3 3 11" xfId="32382" xr:uid="{00000000-0005-0000-0000-00003D710000}"/>
    <cellStyle name="표준 5 3 2 2 2 3 3 12" xfId="40575" xr:uid="{00000000-0005-0000-0000-00003E710000}"/>
    <cellStyle name="표준 5 3 2 2 2 3 3 2" xfId="1218" xr:uid="{00000000-0005-0000-0000-00003F710000}"/>
    <cellStyle name="표준 5 3 2 2 2 3 3 2 2" xfId="10121" xr:uid="{00000000-0005-0000-0000-000040710000}"/>
    <cellStyle name="표준 5 3 2 2 2 3 3 2 2 2" xfId="14233" xr:uid="{00000000-0005-0000-0000-000041710000}"/>
    <cellStyle name="표준 5 3 2 2 2 3 3 2 2 2 2" xfId="30827" xr:uid="{00000000-0005-0000-0000-000042710000}"/>
    <cellStyle name="표준 5 3 2 2 2 3 3 2 2 2 3" xfId="39038" xr:uid="{00000000-0005-0000-0000-000043710000}"/>
    <cellStyle name="표준 5 3 2 2 2 3 3 2 2 2 4" xfId="47231" xr:uid="{00000000-0005-0000-0000-000044710000}"/>
    <cellStyle name="표준 5 3 2 2 2 3 3 2 2 3" xfId="18473" xr:uid="{00000000-0005-0000-0000-000045710000}"/>
    <cellStyle name="표준 5 3 2 2 2 3 3 2 2 4" xfId="22635" xr:uid="{00000000-0005-0000-0000-000046710000}"/>
    <cellStyle name="표준 5 3 2 2 2 3 3 2 2 5" xfId="26731" xr:uid="{00000000-0005-0000-0000-000047710000}"/>
    <cellStyle name="표준 5 3 2 2 2 3 3 2 2 6" xfId="34942" xr:uid="{00000000-0005-0000-0000-000048710000}"/>
    <cellStyle name="표준 5 3 2 2 2 3 3 2 2 7" xfId="43135" xr:uid="{00000000-0005-0000-0000-000049710000}"/>
    <cellStyle name="표준 5 3 2 2 2 3 3 2 3" xfId="8073" xr:uid="{00000000-0005-0000-0000-00004A710000}"/>
    <cellStyle name="표준 5 3 2 2 2 3 3 2 3 2" xfId="28779" xr:uid="{00000000-0005-0000-0000-00004B710000}"/>
    <cellStyle name="표준 5 3 2 2 2 3 3 2 3 3" xfId="36990" xr:uid="{00000000-0005-0000-0000-00004C710000}"/>
    <cellStyle name="표준 5 3 2 2 2 3 3 2 3 4" xfId="45183" xr:uid="{00000000-0005-0000-0000-00004D710000}"/>
    <cellStyle name="표준 5 3 2 2 2 3 3 2 4" xfId="12185" xr:uid="{00000000-0005-0000-0000-00004E710000}"/>
    <cellStyle name="표준 5 3 2 2 2 3 3 2 5" xfId="16425" xr:uid="{00000000-0005-0000-0000-00004F710000}"/>
    <cellStyle name="표준 5 3 2 2 2 3 3 2 6" xfId="20587" xr:uid="{00000000-0005-0000-0000-000050710000}"/>
    <cellStyle name="표준 5 3 2 2 2 3 3 2 7" xfId="24683" xr:uid="{00000000-0005-0000-0000-000051710000}"/>
    <cellStyle name="표준 5 3 2 2 2 3 3 2 8" xfId="32894" xr:uid="{00000000-0005-0000-0000-000052710000}"/>
    <cellStyle name="표준 5 3 2 2 2 3 3 2 9" xfId="41087" xr:uid="{00000000-0005-0000-0000-000053710000}"/>
    <cellStyle name="표준 5 3 2 2 2 3 3 3" xfId="1730" xr:uid="{00000000-0005-0000-0000-000054710000}"/>
    <cellStyle name="표준 5 3 2 2 2 3 3 3 2" xfId="10633" xr:uid="{00000000-0005-0000-0000-000055710000}"/>
    <cellStyle name="표준 5 3 2 2 2 3 3 3 2 2" xfId="14745" xr:uid="{00000000-0005-0000-0000-000056710000}"/>
    <cellStyle name="표준 5 3 2 2 2 3 3 3 2 2 2" xfId="31339" xr:uid="{00000000-0005-0000-0000-000057710000}"/>
    <cellStyle name="표준 5 3 2 2 2 3 3 3 2 2 3" xfId="39550" xr:uid="{00000000-0005-0000-0000-000058710000}"/>
    <cellStyle name="표준 5 3 2 2 2 3 3 3 2 2 4" xfId="47743" xr:uid="{00000000-0005-0000-0000-000059710000}"/>
    <cellStyle name="표준 5 3 2 2 2 3 3 3 2 3" xfId="18985" xr:uid="{00000000-0005-0000-0000-00005A710000}"/>
    <cellStyle name="표준 5 3 2 2 2 3 3 3 2 4" xfId="23147" xr:uid="{00000000-0005-0000-0000-00005B710000}"/>
    <cellStyle name="표준 5 3 2 2 2 3 3 3 2 5" xfId="27243" xr:uid="{00000000-0005-0000-0000-00005C710000}"/>
    <cellStyle name="표준 5 3 2 2 2 3 3 3 2 6" xfId="35454" xr:uid="{00000000-0005-0000-0000-00005D710000}"/>
    <cellStyle name="표준 5 3 2 2 2 3 3 3 2 7" xfId="43647" xr:uid="{00000000-0005-0000-0000-00005E710000}"/>
    <cellStyle name="표준 5 3 2 2 2 3 3 3 3" xfId="8585" xr:uid="{00000000-0005-0000-0000-00005F710000}"/>
    <cellStyle name="표준 5 3 2 2 2 3 3 3 3 2" xfId="29291" xr:uid="{00000000-0005-0000-0000-000060710000}"/>
    <cellStyle name="표준 5 3 2 2 2 3 3 3 3 3" xfId="37502" xr:uid="{00000000-0005-0000-0000-000061710000}"/>
    <cellStyle name="표준 5 3 2 2 2 3 3 3 3 4" xfId="45695" xr:uid="{00000000-0005-0000-0000-000062710000}"/>
    <cellStyle name="표준 5 3 2 2 2 3 3 3 4" xfId="12697" xr:uid="{00000000-0005-0000-0000-000063710000}"/>
    <cellStyle name="표준 5 3 2 2 2 3 3 3 5" xfId="16937" xr:uid="{00000000-0005-0000-0000-000064710000}"/>
    <cellStyle name="표준 5 3 2 2 2 3 3 3 6" xfId="21099" xr:uid="{00000000-0005-0000-0000-000065710000}"/>
    <cellStyle name="표준 5 3 2 2 2 3 3 3 7" xfId="25195" xr:uid="{00000000-0005-0000-0000-000066710000}"/>
    <cellStyle name="표준 5 3 2 2 2 3 3 3 8" xfId="33406" xr:uid="{00000000-0005-0000-0000-000067710000}"/>
    <cellStyle name="표준 5 3 2 2 2 3 3 3 9" xfId="41599" xr:uid="{00000000-0005-0000-0000-000068710000}"/>
    <cellStyle name="표준 5 3 2 2 2 3 3 4" xfId="2242" xr:uid="{00000000-0005-0000-0000-000069710000}"/>
    <cellStyle name="표준 5 3 2 2 2 3 3 4 2" xfId="11145" xr:uid="{00000000-0005-0000-0000-00006A710000}"/>
    <cellStyle name="표준 5 3 2 2 2 3 3 4 2 2" xfId="15257" xr:uid="{00000000-0005-0000-0000-00006B710000}"/>
    <cellStyle name="표준 5 3 2 2 2 3 3 4 2 2 2" xfId="31851" xr:uid="{00000000-0005-0000-0000-00006C710000}"/>
    <cellStyle name="표준 5 3 2 2 2 3 3 4 2 2 3" xfId="40062" xr:uid="{00000000-0005-0000-0000-00006D710000}"/>
    <cellStyle name="표준 5 3 2 2 2 3 3 4 2 2 4" xfId="48255" xr:uid="{00000000-0005-0000-0000-00006E710000}"/>
    <cellStyle name="표준 5 3 2 2 2 3 3 4 2 3" xfId="19497" xr:uid="{00000000-0005-0000-0000-00006F710000}"/>
    <cellStyle name="표준 5 3 2 2 2 3 3 4 2 4" xfId="23659" xr:uid="{00000000-0005-0000-0000-000070710000}"/>
    <cellStyle name="표준 5 3 2 2 2 3 3 4 2 5" xfId="27755" xr:uid="{00000000-0005-0000-0000-000071710000}"/>
    <cellStyle name="표준 5 3 2 2 2 3 3 4 2 6" xfId="35966" xr:uid="{00000000-0005-0000-0000-000072710000}"/>
    <cellStyle name="표준 5 3 2 2 2 3 3 4 2 7" xfId="44159" xr:uid="{00000000-0005-0000-0000-000073710000}"/>
    <cellStyle name="표준 5 3 2 2 2 3 3 4 3" xfId="9097" xr:uid="{00000000-0005-0000-0000-000074710000}"/>
    <cellStyle name="표준 5 3 2 2 2 3 3 4 3 2" xfId="29803" xr:uid="{00000000-0005-0000-0000-000075710000}"/>
    <cellStyle name="표준 5 3 2 2 2 3 3 4 3 3" xfId="38014" xr:uid="{00000000-0005-0000-0000-000076710000}"/>
    <cellStyle name="표준 5 3 2 2 2 3 3 4 3 4" xfId="46207" xr:uid="{00000000-0005-0000-0000-000077710000}"/>
    <cellStyle name="표준 5 3 2 2 2 3 3 4 4" xfId="13209" xr:uid="{00000000-0005-0000-0000-000078710000}"/>
    <cellStyle name="표준 5 3 2 2 2 3 3 4 5" xfId="17449" xr:uid="{00000000-0005-0000-0000-000079710000}"/>
    <cellStyle name="표준 5 3 2 2 2 3 3 4 6" xfId="21611" xr:uid="{00000000-0005-0000-0000-00007A710000}"/>
    <cellStyle name="표준 5 3 2 2 2 3 3 4 7" xfId="25707" xr:uid="{00000000-0005-0000-0000-00007B710000}"/>
    <cellStyle name="표준 5 3 2 2 2 3 3 4 8" xfId="33918" xr:uid="{00000000-0005-0000-0000-00007C710000}"/>
    <cellStyle name="표준 5 3 2 2 2 3 3 4 9" xfId="42111" xr:uid="{00000000-0005-0000-0000-00007D710000}"/>
    <cellStyle name="표준 5 3 2 2 2 3 3 5" xfId="9609" xr:uid="{00000000-0005-0000-0000-00007E710000}"/>
    <cellStyle name="표준 5 3 2 2 2 3 3 5 2" xfId="13721" xr:uid="{00000000-0005-0000-0000-00007F710000}"/>
    <cellStyle name="표준 5 3 2 2 2 3 3 5 2 2" xfId="30315" xr:uid="{00000000-0005-0000-0000-000080710000}"/>
    <cellStyle name="표준 5 3 2 2 2 3 3 5 2 3" xfId="38526" xr:uid="{00000000-0005-0000-0000-000081710000}"/>
    <cellStyle name="표준 5 3 2 2 2 3 3 5 2 4" xfId="46719" xr:uid="{00000000-0005-0000-0000-000082710000}"/>
    <cellStyle name="표준 5 3 2 2 2 3 3 5 3" xfId="17961" xr:uid="{00000000-0005-0000-0000-000083710000}"/>
    <cellStyle name="표준 5 3 2 2 2 3 3 5 4" xfId="22123" xr:uid="{00000000-0005-0000-0000-000084710000}"/>
    <cellStyle name="표준 5 3 2 2 2 3 3 5 5" xfId="26219" xr:uid="{00000000-0005-0000-0000-000085710000}"/>
    <cellStyle name="표준 5 3 2 2 2 3 3 5 6" xfId="34430" xr:uid="{00000000-0005-0000-0000-000086710000}"/>
    <cellStyle name="표준 5 3 2 2 2 3 3 5 7" xfId="42623" xr:uid="{00000000-0005-0000-0000-000087710000}"/>
    <cellStyle name="표준 5 3 2 2 2 3 3 6" xfId="7561" xr:uid="{00000000-0005-0000-0000-000088710000}"/>
    <cellStyle name="표준 5 3 2 2 2 3 3 6 2" xfId="28267" xr:uid="{00000000-0005-0000-0000-000089710000}"/>
    <cellStyle name="표준 5 3 2 2 2 3 3 6 3" xfId="36478" xr:uid="{00000000-0005-0000-0000-00008A710000}"/>
    <cellStyle name="표준 5 3 2 2 2 3 3 6 4" xfId="44671" xr:uid="{00000000-0005-0000-0000-00008B710000}"/>
    <cellStyle name="표준 5 3 2 2 2 3 3 7" xfId="11673" xr:uid="{00000000-0005-0000-0000-00008C710000}"/>
    <cellStyle name="표준 5 3 2 2 2 3 3 8" xfId="15913" xr:uid="{00000000-0005-0000-0000-00008D710000}"/>
    <cellStyle name="표준 5 3 2 2 2 3 3 9" xfId="20075" xr:uid="{00000000-0005-0000-0000-00008E710000}"/>
    <cellStyle name="표준 5 3 2 2 2 3 4" xfId="962" xr:uid="{00000000-0005-0000-0000-00008F710000}"/>
    <cellStyle name="표준 5 3 2 2 2 3 4 2" xfId="9865" xr:uid="{00000000-0005-0000-0000-000090710000}"/>
    <cellStyle name="표준 5 3 2 2 2 3 4 2 2" xfId="13977" xr:uid="{00000000-0005-0000-0000-000091710000}"/>
    <cellStyle name="표준 5 3 2 2 2 3 4 2 2 2" xfId="30571" xr:uid="{00000000-0005-0000-0000-000092710000}"/>
    <cellStyle name="표준 5 3 2 2 2 3 4 2 2 3" xfId="38782" xr:uid="{00000000-0005-0000-0000-000093710000}"/>
    <cellStyle name="표준 5 3 2 2 2 3 4 2 2 4" xfId="46975" xr:uid="{00000000-0005-0000-0000-000094710000}"/>
    <cellStyle name="표준 5 3 2 2 2 3 4 2 3" xfId="18217" xr:uid="{00000000-0005-0000-0000-000095710000}"/>
    <cellStyle name="표준 5 3 2 2 2 3 4 2 4" xfId="22379" xr:uid="{00000000-0005-0000-0000-000096710000}"/>
    <cellStyle name="표준 5 3 2 2 2 3 4 2 5" xfId="26475" xr:uid="{00000000-0005-0000-0000-000097710000}"/>
    <cellStyle name="표준 5 3 2 2 2 3 4 2 6" xfId="34686" xr:uid="{00000000-0005-0000-0000-000098710000}"/>
    <cellStyle name="표준 5 3 2 2 2 3 4 2 7" xfId="42879" xr:uid="{00000000-0005-0000-0000-000099710000}"/>
    <cellStyle name="표준 5 3 2 2 2 3 4 3" xfId="7817" xr:uid="{00000000-0005-0000-0000-00009A710000}"/>
    <cellStyle name="표준 5 3 2 2 2 3 4 3 2" xfId="28523" xr:uid="{00000000-0005-0000-0000-00009B710000}"/>
    <cellStyle name="표준 5 3 2 2 2 3 4 3 3" xfId="36734" xr:uid="{00000000-0005-0000-0000-00009C710000}"/>
    <cellStyle name="표준 5 3 2 2 2 3 4 3 4" xfId="44927" xr:uid="{00000000-0005-0000-0000-00009D710000}"/>
    <cellStyle name="표준 5 3 2 2 2 3 4 4" xfId="11929" xr:uid="{00000000-0005-0000-0000-00009E710000}"/>
    <cellStyle name="표준 5 3 2 2 2 3 4 5" xfId="16169" xr:uid="{00000000-0005-0000-0000-00009F710000}"/>
    <cellStyle name="표준 5 3 2 2 2 3 4 6" xfId="20331" xr:uid="{00000000-0005-0000-0000-0000A0710000}"/>
    <cellStyle name="표준 5 3 2 2 2 3 4 7" xfId="24427" xr:uid="{00000000-0005-0000-0000-0000A1710000}"/>
    <cellStyle name="표준 5 3 2 2 2 3 4 8" xfId="32638" xr:uid="{00000000-0005-0000-0000-0000A2710000}"/>
    <cellStyle name="표준 5 3 2 2 2 3 4 9" xfId="40831" xr:uid="{00000000-0005-0000-0000-0000A3710000}"/>
    <cellStyle name="표준 5 3 2 2 2 3 5" xfId="1474" xr:uid="{00000000-0005-0000-0000-0000A4710000}"/>
    <cellStyle name="표준 5 3 2 2 2 3 5 2" xfId="10377" xr:uid="{00000000-0005-0000-0000-0000A5710000}"/>
    <cellStyle name="표준 5 3 2 2 2 3 5 2 2" xfId="14489" xr:uid="{00000000-0005-0000-0000-0000A6710000}"/>
    <cellStyle name="표준 5 3 2 2 2 3 5 2 2 2" xfId="31083" xr:uid="{00000000-0005-0000-0000-0000A7710000}"/>
    <cellStyle name="표준 5 3 2 2 2 3 5 2 2 3" xfId="39294" xr:uid="{00000000-0005-0000-0000-0000A8710000}"/>
    <cellStyle name="표준 5 3 2 2 2 3 5 2 2 4" xfId="47487" xr:uid="{00000000-0005-0000-0000-0000A9710000}"/>
    <cellStyle name="표준 5 3 2 2 2 3 5 2 3" xfId="18729" xr:uid="{00000000-0005-0000-0000-0000AA710000}"/>
    <cellStyle name="표준 5 3 2 2 2 3 5 2 4" xfId="22891" xr:uid="{00000000-0005-0000-0000-0000AB710000}"/>
    <cellStyle name="표준 5 3 2 2 2 3 5 2 5" xfId="26987" xr:uid="{00000000-0005-0000-0000-0000AC710000}"/>
    <cellStyle name="표준 5 3 2 2 2 3 5 2 6" xfId="35198" xr:uid="{00000000-0005-0000-0000-0000AD710000}"/>
    <cellStyle name="표준 5 3 2 2 2 3 5 2 7" xfId="43391" xr:uid="{00000000-0005-0000-0000-0000AE710000}"/>
    <cellStyle name="표준 5 3 2 2 2 3 5 3" xfId="8329" xr:uid="{00000000-0005-0000-0000-0000AF710000}"/>
    <cellStyle name="표준 5 3 2 2 2 3 5 3 2" xfId="29035" xr:uid="{00000000-0005-0000-0000-0000B0710000}"/>
    <cellStyle name="표준 5 3 2 2 2 3 5 3 3" xfId="37246" xr:uid="{00000000-0005-0000-0000-0000B1710000}"/>
    <cellStyle name="표준 5 3 2 2 2 3 5 3 4" xfId="45439" xr:uid="{00000000-0005-0000-0000-0000B2710000}"/>
    <cellStyle name="표준 5 3 2 2 2 3 5 4" xfId="12441" xr:uid="{00000000-0005-0000-0000-0000B3710000}"/>
    <cellStyle name="표준 5 3 2 2 2 3 5 5" xfId="16681" xr:uid="{00000000-0005-0000-0000-0000B4710000}"/>
    <cellStyle name="표준 5 3 2 2 2 3 5 6" xfId="20843" xr:uid="{00000000-0005-0000-0000-0000B5710000}"/>
    <cellStyle name="표준 5 3 2 2 2 3 5 7" xfId="24939" xr:uid="{00000000-0005-0000-0000-0000B6710000}"/>
    <cellStyle name="표준 5 3 2 2 2 3 5 8" xfId="33150" xr:uid="{00000000-0005-0000-0000-0000B7710000}"/>
    <cellStyle name="표준 5 3 2 2 2 3 5 9" xfId="41343" xr:uid="{00000000-0005-0000-0000-0000B8710000}"/>
    <cellStyle name="표준 5 3 2 2 2 3 6" xfId="1986" xr:uid="{00000000-0005-0000-0000-0000B9710000}"/>
    <cellStyle name="표준 5 3 2 2 2 3 6 2" xfId="10889" xr:uid="{00000000-0005-0000-0000-0000BA710000}"/>
    <cellStyle name="표준 5 3 2 2 2 3 6 2 2" xfId="15001" xr:uid="{00000000-0005-0000-0000-0000BB710000}"/>
    <cellStyle name="표준 5 3 2 2 2 3 6 2 2 2" xfId="31595" xr:uid="{00000000-0005-0000-0000-0000BC710000}"/>
    <cellStyle name="표준 5 3 2 2 2 3 6 2 2 3" xfId="39806" xr:uid="{00000000-0005-0000-0000-0000BD710000}"/>
    <cellStyle name="표준 5 3 2 2 2 3 6 2 2 4" xfId="47999" xr:uid="{00000000-0005-0000-0000-0000BE710000}"/>
    <cellStyle name="표준 5 3 2 2 2 3 6 2 3" xfId="19241" xr:uid="{00000000-0005-0000-0000-0000BF710000}"/>
    <cellStyle name="표준 5 3 2 2 2 3 6 2 4" xfId="23403" xr:uid="{00000000-0005-0000-0000-0000C0710000}"/>
    <cellStyle name="표준 5 3 2 2 2 3 6 2 5" xfId="27499" xr:uid="{00000000-0005-0000-0000-0000C1710000}"/>
    <cellStyle name="표준 5 3 2 2 2 3 6 2 6" xfId="35710" xr:uid="{00000000-0005-0000-0000-0000C2710000}"/>
    <cellStyle name="표준 5 3 2 2 2 3 6 2 7" xfId="43903" xr:uid="{00000000-0005-0000-0000-0000C3710000}"/>
    <cellStyle name="표준 5 3 2 2 2 3 6 3" xfId="8841" xr:uid="{00000000-0005-0000-0000-0000C4710000}"/>
    <cellStyle name="표준 5 3 2 2 2 3 6 3 2" xfId="29547" xr:uid="{00000000-0005-0000-0000-0000C5710000}"/>
    <cellStyle name="표준 5 3 2 2 2 3 6 3 3" xfId="37758" xr:uid="{00000000-0005-0000-0000-0000C6710000}"/>
    <cellStyle name="표준 5 3 2 2 2 3 6 3 4" xfId="45951" xr:uid="{00000000-0005-0000-0000-0000C7710000}"/>
    <cellStyle name="표준 5 3 2 2 2 3 6 4" xfId="12953" xr:uid="{00000000-0005-0000-0000-0000C8710000}"/>
    <cellStyle name="표준 5 3 2 2 2 3 6 5" xfId="17193" xr:uid="{00000000-0005-0000-0000-0000C9710000}"/>
    <cellStyle name="표준 5 3 2 2 2 3 6 6" xfId="21355" xr:uid="{00000000-0005-0000-0000-0000CA710000}"/>
    <cellStyle name="표준 5 3 2 2 2 3 6 7" xfId="25451" xr:uid="{00000000-0005-0000-0000-0000CB710000}"/>
    <cellStyle name="표준 5 3 2 2 2 3 6 8" xfId="33662" xr:uid="{00000000-0005-0000-0000-0000CC710000}"/>
    <cellStyle name="표준 5 3 2 2 2 3 6 9" xfId="41855" xr:uid="{00000000-0005-0000-0000-0000CD710000}"/>
    <cellStyle name="표준 5 3 2 2 2 3 7" xfId="9353" xr:uid="{00000000-0005-0000-0000-0000CE710000}"/>
    <cellStyle name="표준 5 3 2 2 2 3 7 2" xfId="13465" xr:uid="{00000000-0005-0000-0000-0000CF710000}"/>
    <cellStyle name="표준 5 3 2 2 2 3 7 2 2" xfId="30059" xr:uid="{00000000-0005-0000-0000-0000D0710000}"/>
    <cellStyle name="표준 5 3 2 2 2 3 7 2 3" xfId="38270" xr:uid="{00000000-0005-0000-0000-0000D1710000}"/>
    <cellStyle name="표준 5 3 2 2 2 3 7 2 4" xfId="46463" xr:uid="{00000000-0005-0000-0000-0000D2710000}"/>
    <cellStyle name="표준 5 3 2 2 2 3 7 3" xfId="17705" xr:uid="{00000000-0005-0000-0000-0000D3710000}"/>
    <cellStyle name="표준 5 3 2 2 2 3 7 4" xfId="21867" xr:uid="{00000000-0005-0000-0000-0000D4710000}"/>
    <cellStyle name="표준 5 3 2 2 2 3 7 5" xfId="25963" xr:uid="{00000000-0005-0000-0000-0000D5710000}"/>
    <cellStyle name="표준 5 3 2 2 2 3 7 6" xfId="34174" xr:uid="{00000000-0005-0000-0000-0000D6710000}"/>
    <cellStyle name="표준 5 3 2 2 2 3 7 7" xfId="42367" xr:uid="{00000000-0005-0000-0000-0000D7710000}"/>
    <cellStyle name="표준 5 3 2 2 2 3 8" xfId="7305" xr:uid="{00000000-0005-0000-0000-0000D8710000}"/>
    <cellStyle name="표준 5 3 2 2 2 3 8 2" xfId="28011" xr:uid="{00000000-0005-0000-0000-0000D9710000}"/>
    <cellStyle name="표준 5 3 2 2 2 3 8 3" xfId="36222" xr:uid="{00000000-0005-0000-0000-0000DA710000}"/>
    <cellStyle name="표준 5 3 2 2 2 3 8 4" xfId="44415" xr:uid="{00000000-0005-0000-0000-0000DB710000}"/>
    <cellStyle name="표준 5 3 2 2 2 3 9" xfId="11417" xr:uid="{00000000-0005-0000-0000-0000DC710000}"/>
    <cellStyle name="표준 5 3 2 2 2 4" xfId="514" xr:uid="{00000000-0005-0000-0000-0000DD710000}"/>
    <cellStyle name="표준 5 3 2 2 2 4 10" xfId="19883" xr:uid="{00000000-0005-0000-0000-0000DE710000}"/>
    <cellStyle name="표준 5 3 2 2 2 4 11" xfId="23979" xr:uid="{00000000-0005-0000-0000-0000DF710000}"/>
    <cellStyle name="표준 5 3 2 2 2 4 12" xfId="32190" xr:uid="{00000000-0005-0000-0000-0000E0710000}"/>
    <cellStyle name="표준 5 3 2 2 2 4 13" xfId="40383" xr:uid="{00000000-0005-0000-0000-0000E1710000}"/>
    <cellStyle name="표준 5 3 2 2 2 4 2" xfId="770" xr:uid="{00000000-0005-0000-0000-0000E2710000}"/>
    <cellStyle name="표준 5 3 2 2 2 4 2 10" xfId="24235" xr:uid="{00000000-0005-0000-0000-0000E3710000}"/>
    <cellStyle name="표준 5 3 2 2 2 4 2 11" xfId="32446" xr:uid="{00000000-0005-0000-0000-0000E4710000}"/>
    <cellStyle name="표준 5 3 2 2 2 4 2 12" xfId="40639" xr:uid="{00000000-0005-0000-0000-0000E5710000}"/>
    <cellStyle name="표준 5 3 2 2 2 4 2 2" xfId="1282" xr:uid="{00000000-0005-0000-0000-0000E6710000}"/>
    <cellStyle name="표준 5 3 2 2 2 4 2 2 2" xfId="10185" xr:uid="{00000000-0005-0000-0000-0000E7710000}"/>
    <cellStyle name="표준 5 3 2 2 2 4 2 2 2 2" xfId="14297" xr:uid="{00000000-0005-0000-0000-0000E8710000}"/>
    <cellStyle name="표준 5 3 2 2 2 4 2 2 2 2 2" xfId="30891" xr:uid="{00000000-0005-0000-0000-0000E9710000}"/>
    <cellStyle name="표준 5 3 2 2 2 4 2 2 2 2 3" xfId="39102" xr:uid="{00000000-0005-0000-0000-0000EA710000}"/>
    <cellStyle name="표준 5 3 2 2 2 4 2 2 2 2 4" xfId="47295" xr:uid="{00000000-0005-0000-0000-0000EB710000}"/>
    <cellStyle name="표준 5 3 2 2 2 4 2 2 2 3" xfId="18537" xr:uid="{00000000-0005-0000-0000-0000EC710000}"/>
    <cellStyle name="표준 5 3 2 2 2 4 2 2 2 4" xfId="22699" xr:uid="{00000000-0005-0000-0000-0000ED710000}"/>
    <cellStyle name="표준 5 3 2 2 2 4 2 2 2 5" xfId="26795" xr:uid="{00000000-0005-0000-0000-0000EE710000}"/>
    <cellStyle name="표준 5 3 2 2 2 4 2 2 2 6" xfId="35006" xr:uid="{00000000-0005-0000-0000-0000EF710000}"/>
    <cellStyle name="표준 5 3 2 2 2 4 2 2 2 7" xfId="43199" xr:uid="{00000000-0005-0000-0000-0000F0710000}"/>
    <cellStyle name="표준 5 3 2 2 2 4 2 2 3" xfId="8137" xr:uid="{00000000-0005-0000-0000-0000F1710000}"/>
    <cellStyle name="표준 5 3 2 2 2 4 2 2 3 2" xfId="28843" xr:uid="{00000000-0005-0000-0000-0000F2710000}"/>
    <cellStyle name="표준 5 3 2 2 2 4 2 2 3 3" xfId="37054" xr:uid="{00000000-0005-0000-0000-0000F3710000}"/>
    <cellStyle name="표준 5 3 2 2 2 4 2 2 3 4" xfId="45247" xr:uid="{00000000-0005-0000-0000-0000F4710000}"/>
    <cellStyle name="표준 5 3 2 2 2 4 2 2 4" xfId="12249" xr:uid="{00000000-0005-0000-0000-0000F5710000}"/>
    <cellStyle name="표준 5 3 2 2 2 4 2 2 5" xfId="16489" xr:uid="{00000000-0005-0000-0000-0000F6710000}"/>
    <cellStyle name="표준 5 3 2 2 2 4 2 2 6" xfId="20651" xr:uid="{00000000-0005-0000-0000-0000F7710000}"/>
    <cellStyle name="표준 5 3 2 2 2 4 2 2 7" xfId="24747" xr:uid="{00000000-0005-0000-0000-0000F8710000}"/>
    <cellStyle name="표준 5 3 2 2 2 4 2 2 8" xfId="32958" xr:uid="{00000000-0005-0000-0000-0000F9710000}"/>
    <cellStyle name="표준 5 3 2 2 2 4 2 2 9" xfId="41151" xr:uid="{00000000-0005-0000-0000-0000FA710000}"/>
    <cellStyle name="표준 5 3 2 2 2 4 2 3" xfId="1794" xr:uid="{00000000-0005-0000-0000-0000FB710000}"/>
    <cellStyle name="표준 5 3 2 2 2 4 2 3 2" xfId="10697" xr:uid="{00000000-0005-0000-0000-0000FC710000}"/>
    <cellStyle name="표준 5 3 2 2 2 4 2 3 2 2" xfId="14809" xr:uid="{00000000-0005-0000-0000-0000FD710000}"/>
    <cellStyle name="표준 5 3 2 2 2 4 2 3 2 2 2" xfId="31403" xr:uid="{00000000-0005-0000-0000-0000FE710000}"/>
    <cellStyle name="표준 5 3 2 2 2 4 2 3 2 2 3" xfId="39614" xr:uid="{00000000-0005-0000-0000-0000FF710000}"/>
    <cellStyle name="표준 5 3 2 2 2 4 2 3 2 2 4" xfId="47807" xr:uid="{00000000-0005-0000-0000-000000720000}"/>
    <cellStyle name="표준 5 3 2 2 2 4 2 3 2 3" xfId="19049" xr:uid="{00000000-0005-0000-0000-000001720000}"/>
    <cellStyle name="표준 5 3 2 2 2 4 2 3 2 4" xfId="23211" xr:uid="{00000000-0005-0000-0000-000002720000}"/>
    <cellStyle name="표준 5 3 2 2 2 4 2 3 2 5" xfId="27307" xr:uid="{00000000-0005-0000-0000-000003720000}"/>
    <cellStyle name="표준 5 3 2 2 2 4 2 3 2 6" xfId="35518" xr:uid="{00000000-0005-0000-0000-000004720000}"/>
    <cellStyle name="표준 5 3 2 2 2 4 2 3 2 7" xfId="43711" xr:uid="{00000000-0005-0000-0000-000005720000}"/>
    <cellStyle name="표준 5 3 2 2 2 4 2 3 3" xfId="8649" xr:uid="{00000000-0005-0000-0000-000006720000}"/>
    <cellStyle name="표준 5 3 2 2 2 4 2 3 3 2" xfId="29355" xr:uid="{00000000-0005-0000-0000-000007720000}"/>
    <cellStyle name="표준 5 3 2 2 2 4 2 3 3 3" xfId="37566" xr:uid="{00000000-0005-0000-0000-000008720000}"/>
    <cellStyle name="표준 5 3 2 2 2 4 2 3 3 4" xfId="45759" xr:uid="{00000000-0005-0000-0000-000009720000}"/>
    <cellStyle name="표준 5 3 2 2 2 4 2 3 4" xfId="12761" xr:uid="{00000000-0005-0000-0000-00000A720000}"/>
    <cellStyle name="표준 5 3 2 2 2 4 2 3 5" xfId="17001" xr:uid="{00000000-0005-0000-0000-00000B720000}"/>
    <cellStyle name="표준 5 3 2 2 2 4 2 3 6" xfId="21163" xr:uid="{00000000-0005-0000-0000-00000C720000}"/>
    <cellStyle name="표준 5 3 2 2 2 4 2 3 7" xfId="25259" xr:uid="{00000000-0005-0000-0000-00000D720000}"/>
    <cellStyle name="표준 5 3 2 2 2 4 2 3 8" xfId="33470" xr:uid="{00000000-0005-0000-0000-00000E720000}"/>
    <cellStyle name="표준 5 3 2 2 2 4 2 3 9" xfId="41663" xr:uid="{00000000-0005-0000-0000-00000F720000}"/>
    <cellStyle name="표준 5 3 2 2 2 4 2 4" xfId="2306" xr:uid="{00000000-0005-0000-0000-000010720000}"/>
    <cellStyle name="표준 5 3 2 2 2 4 2 4 2" xfId="11209" xr:uid="{00000000-0005-0000-0000-000011720000}"/>
    <cellStyle name="표준 5 3 2 2 2 4 2 4 2 2" xfId="15321" xr:uid="{00000000-0005-0000-0000-000012720000}"/>
    <cellStyle name="표준 5 3 2 2 2 4 2 4 2 2 2" xfId="31915" xr:uid="{00000000-0005-0000-0000-000013720000}"/>
    <cellStyle name="표준 5 3 2 2 2 4 2 4 2 2 3" xfId="40126" xr:uid="{00000000-0005-0000-0000-000014720000}"/>
    <cellStyle name="표준 5 3 2 2 2 4 2 4 2 2 4" xfId="48319" xr:uid="{00000000-0005-0000-0000-000015720000}"/>
    <cellStyle name="표준 5 3 2 2 2 4 2 4 2 3" xfId="19561" xr:uid="{00000000-0005-0000-0000-000016720000}"/>
    <cellStyle name="표준 5 3 2 2 2 4 2 4 2 4" xfId="23723" xr:uid="{00000000-0005-0000-0000-000017720000}"/>
    <cellStyle name="표준 5 3 2 2 2 4 2 4 2 5" xfId="27819" xr:uid="{00000000-0005-0000-0000-000018720000}"/>
    <cellStyle name="표준 5 3 2 2 2 4 2 4 2 6" xfId="36030" xr:uid="{00000000-0005-0000-0000-000019720000}"/>
    <cellStyle name="표준 5 3 2 2 2 4 2 4 2 7" xfId="44223" xr:uid="{00000000-0005-0000-0000-00001A720000}"/>
    <cellStyle name="표준 5 3 2 2 2 4 2 4 3" xfId="9161" xr:uid="{00000000-0005-0000-0000-00001B720000}"/>
    <cellStyle name="표준 5 3 2 2 2 4 2 4 3 2" xfId="29867" xr:uid="{00000000-0005-0000-0000-00001C720000}"/>
    <cellStyle name="표준 5 3 2 2 2 4 2 4 3 3" xfId="38078" xr:uid="{00000000-0005-0000-0000-00001D720000}"/>
    <cellStyle name="표준 5 3 2 2 2 4 2 4 3 4" xfId="46271" xr:uid="{00000000-0005-0000-0000-00001E720000}"/>
    <cellStyle name="표준 5 3 2 2 2 4 2 4 4" xfId="13273" xr:uid="{00000000-0005-0000-0000-00001F720000}"/>
    <cellStyle name="표준 5 3 2 2 2 4 2 4 5" xfId="17513" xr:uid="{00000000-0005-0000-0000-000020720000}"/>
    <cellStyle name="표준 5 3 2 2 2 4 2 4 6" xfId="21675" xr:uid="{00000000-0005-0000-0000-000021720000}"/>
    <cellStyle name="표준 5 3 2 2 2 4 2 4 7" xfId="25771" xr:uid="{00000000-0005-0000-0000-000022720000}"/>
    <cellStyle name="표준 5 3 2 2 2 4 2 4 8" xfId="33982" xr:uid="{00000000-0005-0000-0000-000023720000}"/>
    <cellStyle name="표준 5 3 2 2 2 4 2 4 9" xfId="42175" xr:uid="{00000000-0005-0000-0000-000024720000}"/>
    <cellStyle name="표준 5 3 2 2 2 4 2 5" xfId="9673" xr:uid="{00000000-0005-0000-0000-000025720000}"/>
    <cellStyle name="표준 5 3 2 2 2 4 2 5 2" xfId="13785" xr:uid="{00000000-0005-0000-0000-000026720000}"/>
    <cellStyle name="표준 5 3 2 2 2 4 2 5 2 2" xfId="30379" xr:uid="{00000000-0005-0000-0000-000027720000}"/>
    <cellStyle name="표준 5 3 2 2 2 4 2 5 2 3" xfId="38590" xr:uid="{00000000-0005-0000-0000-000028720000}"/>
    <cellStyle name="표준 5 3 2 2 2 4 2 5 2 4" xfId="46783" xr:uid="{00000000-0005-0000-0000-000029720000}"/>
    <cellStyle name="표준 5 3 2 2 2 4 2 5 3" xfId="18025" xr:uid="{00000000-0005-0000-0000-00002A720000}"/>
    <cellStyle name="표준 5 3 2 2 2 4 2 5 4" xfId="22187" xr:uid="{00000000-0005-0000-0000-00002B720000}"/>
    <cellStyle name="표준 5 3 2 2 2 4 2 5 5" xfId="26283" xr:uid="{00000000-0005-0000-0000-00002C720000}"/>
    <cellStyle name="표준 5 3 2 2 2 4 2 5 6" xfId="34494" xr:uid="{00000000-0005-0000-0000-00002D720000}"/>
    <cellStyle name="표준 5 3 2 2 2 4 2 5 7" xfId="42687" xr:uid="{00000000-0005-0000-0000-00002E720000}"/>
    <cellStyle name="표준 5 3 2 2 2 4 2 6" xfId="7625" xr:uid="{00000000-0005-0000-0000-00002F720000}"/>
    <cellStyle name="표준 5 3 2 2 2 4 2 6 2" xfId="28331" xr:uid="{00000000-0005-0000-0000-000030720000}"/>
    <cellStyle name="표준 5 3 2 2 2 4 2 6 3" xfId="36542" xr:uid="{00000000-0005-0000-0000-000031720000}"/>
    <cellStyle name="표준 5 3 2 2 2 4 2 6 4" xfId="44735" xr:uid="{00000000-0005-0000-0000-000032720000}"/>
    <cellStyle name="표준 5 3 2 2 2 4 2 7" xfId="11737" xr:uid="{00000000-0005-0000-0000-000033720000}"/>
    <cellStyle name="표준 5 3 2 2 2 4 2 8" xfId="15977" xr:uid="{00000000-0005-0000-0000-000034720000}"/>
    <cellStyle name="표준 5 3 2 2 2 4 2 9" xfId="20139" xr:uid="{00000000-0005-0000-0000-000035720000}"/>
    <cellStyle name="표준 5 3 2 2 2 4 3" xfId="1026" xr:uid="{00000000-0005-0000-0000-000036720000}"/>
    <cellStyle name="표준 5 3 2 2 2 4 3 2" xfId="9929" xr:uid="{00000000-0005-0000-0000-000037720000}"/>
    <cellStyle name="표준 5 3 2 2 2 4 3 2 2" xfId="14041" xr:uid="{00000000-0005-0000-0000-000038720000}"/>
    <cellStyle name="표준 5 3 2 2 2 4 3 2 2 2" xfId="30635" xr:uid="{00000000-0005-0000-0000-000039720000}"/>
    <cellStyle name="표준 5 3 2 2 2 4 3 2 2 3" xfId="38846" xr:uid="{00000000-0005-0000-0000-00003A720000}"/>
    <cellStyle name="표준 5 3 2 2 2 4 3 2 2 4" xfId="47039" xr:uid="{00000000-0005-0000-0000-00003B720000}"/>
    <cellStyle name="표준 5 3 2 2 2 4 3 2 3" xfId="18281" xr:uid="{00000000-0005-0000-0000-00003C720000}"/>
    <cellStyle name="표준 5 3 2 2 2 4 3 2 4" xfId="22443" xr:uid="{00000000-0005-0000-0000-00003D720000}"/>
    <cellStyle name="표준 5 3 2 2 2 4 3 2 5" xfId="26539" xr:uid="{00000000-0005-0000-0000-00003E720000}"/>
    <cellStyle name="표준 5 3 2 2 2 4 3 2 6" xfId="34750" xr:uid="{00000000-0005-0000-0000-00003F720000}"/>
    <cellStyle name="표준 5 3 2 2 2 4 3 2 7" xfId="42943" xr:uid="{00000000-0005-0000-0000-000040720000}"/>
    <cellStyle name="표준 5 3 2 2 2 4 3 3" xfId="7881" xr:uid="{00000000-0005-0000-0000-000041720000}"/>
    <cellStyle name="표준 5 3 2 2 2 4 3 3 2" xfId="28587" xr:uid="{00000000-0005-0000-0000-000042720000}"/>
    <cellStyle name="표준 5 3 2 2 2 4 3 3 3" xfId="36798" xr:uid="{00000000-0005-0000-0000-000043720000}"/>
    <cellStyle name="표준 5 3 2 2 2 4 3 3 4" xfId="44991" xr:uid="{00000000-0005-0000-0000-000044720000}"/>
    <cellStyle name="표준 5 3 2 2 2 4 3 4" xfId="11993" xr:uid="{00000000-0005-0000-0000-000045720000}"/>
    <cellStyle name="표준 5 3 2 2 2 4 3 5" xfId="16233" xr:uid="{00000000-0005-0000-0000-000046720000}"/>
    <cellStyle name="표준 5 3 2 2 2 4 3 6" xfId="20395" xr:uid="{00000000-0005-0000-0000-000047720000}"/>
    <cellStyle name="표준 5 3 2 2 2 4 3 7" xfId="24491" xr:uid="{00000000-0005-0000-0000-000048720000}"/>
    <cellStyle name="표준 5 3 2 2 2 4 3 8" xfId="32702" xr:uid="{00000000-0005-0000-0000-000049720000}"/>
    <cellStyle name="표준 5 3 2 2 2 4 3 9" xfId="40895" xr:uid="{00000000-0005-0000-0000-00004A720000}"/>
    <cellStyle name="표준 5 3 2 2 2 4 4" xfId="1538" xr:uid="{00000000-0005-0000-0000-00004B720000}"/>
    <cellStyle name="표준 5 3 2 2 2 4 4 2" xfId="10441" xr:uid="{00000000-0005-0000-0000-00004C720000}"/>
    <cellStyle name="표준 5 3 2 2 2 4 4 2 2" xfId="14553" xr:uid="{00000000-0005-0000-0000-00004D720000}"/>
    <cellStyle name="표준 5 3 2 2 2 4 4 2 2 2" xfId="31147" xr:uid="{00000000-0005-0000-0000-00004E720000}"/>
    <cellStyle name="표준 5 3 2 2 2 4 4 2 2 3" xfId="39358" xr:uid="{00000000-0005-0000-0000-00004F720000}"/>
    <cellStyle name="표준 5 3 2 2 2 4 4 2 2 4" xfId="47551" xr:uid="{00000000-0005-0000-0000-000050720000}"/>
    <cellStyle name="표준 5 3 2 2 2 4 4 2 3" xfId="18793" xr:uid="{00000000-0005-0000-0000-000051720000}"/>
    <cellStyle name="표준 5 3 2 2 2 4 4 2 4" xfId="22955" xr:uid="{00000000-0005-0000-0000-000052720000}"/>
    <cellStyle name="표준 5 3 2 2 2 4 4 2 5" xfId="27051" xr:uid="{00000000-0005-0000-0000-000053720000}"/>
    <cellStyle name="표준 5 3 2 2 2 4 4 2 6" xfId="35262" xr:uid="{00000000-0005-0000-0000-000054720000}"/>
    <cellStyle name="표준 5 3 2 2 2 4 4 2 7" xfId="43455" xr:uid="{00000000-0005-0000-0000-000055720000}"/>
    <cellStyle name="표준 5 3 2 2 2 4 4 3" xfId="8393" xr:uid="{00000000-0005-0000-0000-000056720000}"/>
    <cellStyle name="표준 5 3 2 2 2 4 4 3 2" xfId="29099" xr:uid="{00000000-0005-0000-0000-000057720000}"/>
    <cellStyle name="표준 5 3 2 2 2 4 4 3 3" xfId="37310" xr:uid="{00000000-0005-0000-0000-000058720000}"/>
    <cellStyle name="표준 5 3 2 2 2 4 4 3 4" xfId="45503" xr:uid="{00000000-0005-0000-0000-000059720000}"/>
    <cellStyle name="표준 5 3 2 2 2 4 4 4" xfId="12505" xr:uid="{00000000-0005-0000-0000-00005A720000}"/>
    <cellStyle name="표준 5 3 2 2 2 4 4 5" xfId="16745" xr:uid="{00000000-0005-0000-0000-00005B720000}"/>
    <cellStyle name="표준 5 3 2 2 2 4 4 6" xfId="20907" xr:uid="{00000000-0005-0000-0000-00005C720000}"/>
    <cellStyle name="표준 5 3 2 2 2 4 4 7" xfId="25003" xr:uid="{00000000-0005-0000-0000-00005D720000}"/>
    <cellStyle name="표준 5 3 2 2 2 4 4 8" xfId="33214" xr:uid="{00000000-0005-0000-0000-00005E720000}"/>
    <cellStyle name="표준 5 3 2 2 2 4 4 9" xfId="41407" xr:uid="{00000000-0005-0000-0000-00005F720000}"/>
    <cellStyle name="표준 5 3 2 2 2 4 5" xfId="2050" xr:uid="{00000000-0005-0000-0000-000060720000}"/>
    <cellStyle name="표준 5 3 2 2 2 4 5 2" xfId="10953" xr:uid="{00000000-0005-0000-0000-000061720000}"/>
    <cellStyle name="표준 5 3 2 2 2 4 5 2 2" xfId="15065" xr:uid="{00000000-0005-0000-0000-000062720000}"/>
    <cellStyle name="표준 5 3 2 2 2 4 5 2 2 2" xfId="31659" xr:uid="{00000000-0005-0000-0000-000063720000}"/>
    <cellStyle name="표준 5 3 2 2 2 4 5 2 2 3" xfId="39870" xr:uid="{00000000-0005-0000-0000-000064720000}"/>
    <cellStyle name="표준 5 3 2 2 2 4 5 2 2 4" xfId="48063" xr:uid="{00000000-0005-0000-0000-000065720000}"/>
    <cellStyle name="표준 5 3 2 2 2 4 5 2 3" xfId="19305" xr:uid="{00000000-0005-0000-0000-000066720000}"/>
    <cellStyle name="표준 5 3 2 2 2 4 5 2 4" xfId="23467" xr:uid="{00000000-0005-0000-0000-000067720000}"/>
    <cellStyle name="표준 5 3 2 2 2 4 5 2 5" xfId="27563" xr:uid="{00000000-0005-0000-0000-000068720000}"/>
    <cellStyle name="표준 5 3 2 2 2 4 5 2 6" xfId="35774" xr:uid="{00000000-0005-0000-0000-000069720000}"/>
    <cellStyle name="표준 5 3 2 2 2 4 5 2 7" xfId="43967" xr:uid="{00000000-0005-0000-0000-00006A720000}"/>
    <cellStyle name="표준 5 3 2 2 2 4 5 3" xfId="8905" xr:uid="{00000000-0005-0000-0000-00006B720000}"/>
    <cellStyle name="표준 5 3 2 2 2 4 5 3 2" xfId="29611" xr:uid="{00000000-0005-0000-0000-00006C720000}"/>
    <cellStyle name="표준 5 3 2 2 2 4 5 3 3" xfId="37822" xr:uid="{00000000-0005-0000-0000-00006D720000}"/>
    <cellStyle name="표준 5 3 2 2 2 4 5 3 4" xfId="46015" xr:uid="{00000000-0005-0000-0000-00006E720000}"/>
    <cellStyle name="표준 5 3 2 2 2 4 5 4" xfId="13017" xr:uid="{00000000-0005-0000-0000-00006F720000}"/>
    <cellStyle name="표준 5 3 2 2 2 4 5 5" xfId="17257" xr:uid="{00000000-0005-0000-0000-000070720000}"/>
    <cellStyle name="표준 5 3 2 2 2 4 5 6" xfId="21419" xr:uid="{00000000-0005-0000-0000-000071720000}"/>
    <cellStyle name="표준 5 3 2 2 2 4 5 7" xfId="25515" xr:uid="{00000000-0005-0000-0000-000072720000}"/>
    <cellStyle name="표준 5 3 2 2 2 4 5 8" xfId="33726" xr:uid="{00000000-0005-0000-0000-000073720000}"/>
    <cellStyle name="표준 5 3 2 2 2 4 5 9" xfId="41919" xr:uid="{00000000-0005-0000-0000-000074720000}"/>
    <cellStyle name="표준 5 3 2 2 2 4 6" xfId="9417" xr:uid="{00000000-0005-0000-0000-000075720000}"/>
    <cellStyle name="표준 5 3 2 2 2 4 6 2" xfId="13529" xr:uid="{00000000-0005-0000-0000-000076720000}"/>
    <cellStyle name="표준 5 3 2 2 2 4 6 2 2" xfId="30123" xr:uid="{00000000-0005-0000-0000-000077720000}"/>
    <cellStyle name="표준 5 3 2 2 2 4 6 2 3" xfId="38334" xr:uid="{00000000-0005-0000-0000-000078720000}"/>
    <cellStyle name="표준 5 3 2 2 2 4 6 2 4" xfId="46527" xr:uid="{00000000-0005-0000-0000-000079720000}"/>
    <cellStyle name="표준 5 3 2 2 2 4 6 3" xfId="17769" xr:uid="{00000000-0005-0000-0000-00007A720000}"/>
    <cellStyle name="표준 5 3 2 2 2 4 6 4" xfId="21931" xr:uid="{00000000-0005-0000-0000-00007B720000}"/>
    <cellStyle name="표준 5 3 2 2 2 4 6 5" xfId="26027" xr:uid="{00000000-0005-0000-0000-00007C720000}"/>
    <cellStyle name="표준 5 3 2 2 2 4 6 6" xfId="34238" xr:uid="{00000000-0005-0000-0000-00007D720000}"/>
    <cellStyle name="표준 5 3 2 2 2 4 6 7" xfId="42431" xr:uid="{00000000-0005-0000-0000-00007E720000}"/>
    <cellStyle name="표준 5 3 2 2 2 4 7" xfId="7369" xr:uid="{00000000-0005-0000-0000-00007F720000}"/>
    <cellStyle name="표준 5 3 2 2 2 4 7 2" xfId="28075" xr:uid="{00000000-0005-0000-0000-000080720000}"/>
    <cellStyle name="표준 5 3 2 2 2 4 7 3" xfId="36286" xr:uid="{00000000-0005-0000-0000-000081720000}"/>
    <cellStyle name="표준 5 3 2 2 2 4 7 4" xfId="44479" xr:uid="{00000000-0005-0000-0000-000082720000}"/>
    <cellStyle name="표준 5 3 2 2 2 4 8" xfId="11481" xr:uid="{00000000-0005-0000-0000-000083720000}"/>
    <cellStyle name="표준 5 3 2 2 2 4 9" xfId="15721" xr:uid="{00000000-0005-0000-0000-000084720000}"/>
    <cellStyle name="표준 5 3 2 2 2 5" xfId="642" xr:uid="{00000000-0005-0000-0000-000085720000}"/>
    <cellStyle name="표준 5 3 2 2 2 5 10" xfId="24107" xr:uid="{00000000-0005-0000-0000-000086720000}"/>
    <cellStyle name="표준 5 3 2 2 2 5 11" xfId="32318" xr:uid="{00000000-0005-0000-0000-000087720000}"/>
    <cellStyle name="표준 5 3 2 2 2 5 12" xfId="40511" xr:uid="{00000000-0005-0000-0000-000088720000}"/>
    <cellStyle name="표준 5 3 2 2 2 5 2" xfId="1154" xr:uid="{00000000-0005-0000-0000-000089720000}"/>
    <cellStyle name="표준 5 3 2 2 2 5 2 2" xfId="10057" xr:uid="{00000000-0005-0000-0000-00008A720000}"/>
    <cellStyle name="표준 5 3 2 2 2 5 2 2 2" xfId="14169" xr:uid="{00000000-0005-0000-0000-00008B720000}"/>
    <cellStyle name="표준 5 3 2 2 2 5 2 2 2 2" xfId="30763" xr:uid="{00000000-0005-0000-0000-00008C720000}"/>
    <cellStyle name="표준 5 3 2 2 2 5 2 2 2 3" xfId="38974" xr:uid="{00000000-0005-0000-0000-00008D720000}"/>
    <cellStyle name="표준 5 3 2 2 2 5 2 2 2 4" xfId="47167" xr:uid="{00000000-0005-0000-0000-00008E720000}"/>
    <cellStyle name="표준 5 3 2 2 2 5 2 2 3" xfId="18409" xr:uid="{00000000-0005-0000-0000-00008F720000}"/>
    <cellStyle name="표준 5 3 2 2 2 5 2 2 4" xfId="22571" xr:uid="{00000000-0005-0000-0000-000090720000}"/>
    <cellStyle name="표준 5 3 2 2 2 5 2 2 5" xfId="26667" xr:uid="{00000000-0005-0000-0000-000091720000}"/>
    <cellStyle name="표준 5 3 2 2 2 5 2 2 6" xfId="34878" xr:uid="{00000000-0005-0000-0000-000092720000}"/>
    <cellStyle name="표준 5 3 2 2 2 5 2 2 7" xfId="43071" xr:uid="{00000000-0005-0000-0000-000093720000}"/>
    <cellStyle name="표준 5 3 2 2 2 5 2 3" xfId="8009" xr:uid="{00000000-0005-0000-0000-000094720000}"/>
    <cellStyle name="표준 5 3 2 2 2 5 2 3 2" xfId="28715" xr:uid="{00000000-0005-0000-0000-000095720000}"/>
    <cellStyle name="표준 5 3 2 2 2 5 2 3 3" xfId="36926" xr:uid="{00000000-0005-0000-0000-000096720000}"/>
    <cellStyle name="표준 5 3 2 2 2 5 2 3 4" xfId="45119" xr:uid="{00000000-0005-0000-0000-000097720000}"/>
    <cellStyle name="표준 5 3 2 2 2 5 2 4" xfId="12121" xr:uid="{00000000-0005-0000-0000-000098720000}"/>
    <cellStyle name="표준 5 3 2 2 2 5 2 5" xfId="16361" xr:uid="{00000000-0005-0000-0000-000099720000}"/>
    <cellStyle name="표준 5 3 2 2 2 5 2 6" xfId="20523" xr:uid="{00000000-0005-0000-0000-00009A720000}"/>
    <cellStyle name="표준 5 3 2 2 2 5 2 7" xfId="24619" xr:uid="{00000000-0005-0000-0000-00009B720000}"/>
    <cellStyle name="표준 5 3 2 2 2 5 2 8" xfId="32830" xr:uid="{00000000-0005-0000-0000-00009C720000}"/>
    <cellStyle name="표준 5 3 2 2 2 5 2 9" xfId="41023" xr:uid="{00000000-0005-0000-0000-00009D720000}"/>
    <cellStyle name="표준 5 3 2 2 2 5 3" xfId="1666" xr:uid="{00000000-0005-0000-0000-00009E720000}"/>
    <cellStyle name="표준 5 3 2 2 2 5 3 2" xfId="10569" xr:uid="{00000000-0005-0000-0000-00009F720000}"/>
    <cellStyle name="표준 5 3 2 2 2 5 3 2 2" xfId="14681" xr:uid="{00000000-0005-0000-0000-0000A0720000}"/>
    <cellStyle name="표준 5 3 2 2 2 5 3 2 2 2" xfId="31275" xr:uid="{00000000-0005-0000-0000-0000A1720000}"/>
    <cellStyle name="표준 5 3 2 2 2 5 3 2 2 3" xfId="39486" xr:uid="{00000000-0005-0000-0000-0000A2720000}"/>
    <cellStyle name="표준 5 3 2 2 2 5 3 2 2 4" xfId="47679" xr:uid="{00000000-0005-0000-0000-0000A3720000}"/>
    <cellStyle name="표준 5 3 2 2 2 5 3 2 3" xfId="18921" xr:uid="{00000000-0005-0000-0000-0000A4720000}"/>
    <cellStyle name="표준 5 3 2 2 2 5 3 2 4" xfId="23083" xr:uid="{00000000-0005-0000-0000-0000A5720000}"/>
    <cellStyle name="표준 5 3 2 2 2 5 3 2 5" xfId="27179" xr:uid="{00000000-0005-0000-0000-0000A6720000}"/>
    <cellStyle name="표준 5 3 2 2 2 5 3 2 6" xfId="35390" xr:uid="{00000000-0005-0000-0000-0000A7720000}"/>
    <cellStyle name="표준 5 3 2 2 2 5 3 2 7" xfId="43583" xr:uid="{00000000-0005-0000-0000-0000A8720000}"/>
    <cellStyle name="표준 5 3 2 2 2 5 3 3" xfId="8521" xr:uid="{00000000-0005-0000-0000-0000A9720000}"/>
    <cellStyle name="표준 5 3 2 2 2 5 3 3 2" xfId="29227" xr:uid="{00000000-0005-0000-0000-0000AA720000}"/>
    <cellStyle name="표준 5 3 2 2 2 5 3 3 3" xfId="37438" xr:uid="{00000000-0005-0000-0000-0000AB720000}"/>
    <cellStyle name="표준 5 3 2 2 2 5 3 3 4" xfId="45631" xr:uid="{00000000-0005-0000-0000-0000AC720000}"/>
    <cellStyle name="표준 5 3 2 2 2 5 3 4" xfId="12633" xr:uid="{00000000-0005-0000-0000-0000AD720000}"/>
    <cellStyle name="표준 5 3 2 2 2 5 3 5" xfId="16873" xr:uid="{00000000-0005-0000-0000-0000AE720000}"/>
    <cellStyle name="표준 5 3 2 2 2 5 3 6" xfId="21035" xr:uid="{00000000-0005-0000-0000-0000AF720000}"/>
    <cellStyle name="표준 5 3 2 2 2 5 3 7" xfId="25131" xr:uid="{00000000-0005-0000-0000-0000B0720000}"/>
    <cellStyle name="표준 5 3 2 2 2 5 3 8" xfId="33342" xr:uid="{00000000-0005-0000-0000-0000B1720000}"/>
    <cellStyle name="표준 5 3 2 2 2 5 3 9" xfId="41535" xr:uid="{00000000-0005-0000-0000-0000B2720000}"/>
    <cellStyle name="표준 5 3 2 2 2 5 4" xfId="2178" xr:uid="{00000000-0005-0000-0000-0000B3720000}"/>
    <cellStyle name="표준 5 3 2 2 2 5 4 2" xfId="11081" xr:uid="{00000000-0005-0000-0000-0000B4720000}"/>
    <cellStyle name="표준 5 3 2 2 2 5 4 2 2" xfId="15193" xr:uid="{00000000-0005-0000-0000-0000B5720000}"/>
    <cellStyle name="표준 5 3 2 2 2 5 4 2 2 2" xfId="31787" xr:uid="{00000000-0005-0000-0000-0000B6720000}"/>
    <cellStyle name="표준 5 3 2 2 2 5 4 2 2 3" xfId="39998" xr:uid="{00000000-0005-0000-0000-0000B7720000}"/>
    <cellStyle name="표준 5 3 2 2 2 5 4 2 2 4" xfId="48191" xr:uid="{00000000-0005-0000-0000-0000B8720000}"/>
    <cellStyle name="표준 5 3 2 2 2 5 4 2 3" xfId="19433" xr:uid="{00000000-0005-0000-0000-0000B9720000}"/>
    <cellStyle name="표준 5 3 2 2 2 5 4 2 4" xfId="23595" xr:uid="{00000000-0005-0000-0000-0000BA720000}"/>
    <cellStyle name="표준 5 3 2 2 2 5 4 2 5" xfId="27691" xr:uid="{00000000-0005-0000-0000-0000BB720000}"/>
    <cellStyle name="표준 5 3 2 2 2 5 4 2 6" xfId="35902" xr:uid="{00000000-0005-0000-0000-0000BC720000}"/>
    <cellStyle name="표준 5 3 2 2 2 5 4 2 7" xfId="44095" xr:uid="{00000000-0005-0000-0000-0000BD720000}"/>
    <cellStyle name="표준 5 3 2 2 2 5 4 3" xfId="9033" xr:uid="{00000000-0005-0000-0000-0000BE720000}"/>
    <cellStyle name="표준 5 3 2 2 2 5 4 3 2" xfId="29739" xr:uid="{00000000-0005-0000-0000-0000BF720000}"/>
    <cellStyle name="표준 5 3 2 2 2 5 4 3 3" xfId="37950" xr:uid="{00000000-0005-0000-0000-0000C0720000}"/>
    <cellStyle name="표준 5 3 2 2 2 5 4 3 4" xfId="46143" xr:uid="{00000000-0005-0000-0000-0000C1720000}"/>
    <cellStyle name="표준 5 3 2 2 2 5 4 4" xfId="13145" xr:uid="{00000000-0005-0000-0000-0000C2720000}"/>
    <cellStyle name="표준 5 3 2 2 2 5 4 5" xfId="17385" xr:uid="{00000000-0005-0000-0000-0000C3720000}"/>
    <cellStyle name="표준 5 3 2 2 2 5 4 6" xfId="21547" xr:uid="{00000000-0005-0000-0000-0000C4720000}"/>
    <cellStyle name="표준 5 3 2 2 2 5 4 7" xfId="25643" xr:uid="{00000000-0005-0000-0000-0000C5720000}"/>
    <cellStyle name="표준 5 3 2 2 2 5 4 8" xfId="33854" xr:uid="{00000000-0005-0000-0000-0000C6720000}"/>
    <cellStyle name="표준 5 3 2 2 2 5 4 9" xfId="42047" xr:uid="{00000000-0005-0000-0000-0000C7720000}"/>
    <cellStyle name="표준 5 3 2 2 2 5 5" xfId="9545" xr:uid="{00000000-0005-0000-0000-0000C8720000}"/>
    <cellStyle name="표준 5 3 2 2 2 5 5 2" xfId="13657" xr:uid="{00000000-0005-0000-0000-0000C9720000}"/>
    <cellStyle name="표준 5 3 2 2 2 5 5 2 2" xfId="30251" xr:uid="{00000000-0005-0000-0000-0000CA720000}"/>
    <cellStyle name="표준 5 3 2 2 2 5 5 2 3" xfId="38462" xr:uid="{00000000-0005-0000-0000-0000CB720000}"/>
    <cellStyle name="표준 5 3 2 2 2 5 5 2 4" xfId="46655" xr:uid="{00000000-0005-0000-0000-0000CC720000}"/>
    <cellStyle name="표준 5 3 2 2 2 5 5 3" xfId="17897" xr:uid="{00000000-0005-0000-0000-0000CD720000}"/>
    <cellStyle name="표준 5 3 2 2 2 5 5 4" xfId="22059" xr:uid="{00000000-0005-0000-0000-0000CE720000}"/>
    <cellStyle name="표준 5 3 2 2 2 5 5 5" xfId="26155" xr:uid="{00000000-0005-0000-0000-0000CF720000}"/>
    <cellStyle name="표준 5 3 2 2 2 5 5 6" xfId="34366" xr:uid="{00000000-0005-0000-0000-0000D0720000}"/>
    <cellStyle name="표준 5 3 2 2 2 5 5 7" xfId="42559" xr:uid="{00000000-0005-0000-0000-0000D1720000}"/>
    <cellStyle name="표준 5 3 2 2 2 5 6" xfId="7497" xr:uid="{00000000-0005-0000-0000-0000D2720000}"/>
    <cellStyle name="표준 5 3 2 2 2 5 6 2" xfId="28203" xr:uid="{00000000-0005-0000-0000-0000D3720000}"/>
    <cellStyle name="표준 5 3 2 2 2 5 6 3" xfId="36414" xr:uid="{00000000-0005-0000-0000-0000D4720000}"/>
    <cellStyle name="표준 5 3 2 2 2 5 6 4" xfId="44607" xr:uid="{00000000-0005-0000-0000-0000D5720000}"/>
    <cellStyle name="표준 5 3 2 2 2 5 7" xfId="11609" xr:uid="{00000000-0005-0000-0000-0000D6720000}"/>
    <cellStyle name="표준 5 3 2 2 2 5 8" xfId="15849" xr:uid="{00000000-0005-0000-0000-0000D7720000}"/>
    <cellStyle name="표준 5 3 2 2 2 5 9" xfId="20011" xr:uid="{00000000-0005-0000-0000-0000D8720000}"/>
    <cellStyle name="표준 5 3 2 2 2 6" xfId="898" xr:uid="{00000000-0005-0000-0000-0000D9720000}"/>
    <cellStyle name="표준 5 3 2 2 2 6 2" xfId="9801" xr:uid="{00000000-0005-0000-0000-0000DA720000}"/>
    <cellStyle name="표준 5 3 2 2 2 6 2 2" xfId="13913" xr:uid="{00000000-0005-0000-0000-0000DB720000}"/>
    <cellStyle name="표준 5 3 2 2 2 6 2 2 2" xfId="30507" xr:uid="{00000000-0005-0000-0000-0000DC720000}"/>
    <cellStyle name="표준 5 3 2 2 2 6 2 2 3" xfId="38718" xr:uid="{00000000-0005-0000-0000-0000DD720000}"/>
    <cellStyle name="표준 5 3 2 2 2 6 2 2 4" xfId="46911" xr:uid="{00000000-0005-0000-0000-0000DE720000}"/>
    <cellStyle name="표준 5 3 2 2 2 6 2 3" xfId="18153" xr:uid="{00000000-0005-0000-0000-0000DF720000}"/>
    <cellStyle name="표준 5 3 2 2 2 6 2 4" xfId="22315" xr:uid="{00000000-0005-0000-0000-0000E0720000}"/>
    <cellStyle name="표준 5 3 2 2 2 6 2 5" xfId="26411" xr:uid="{00000000-0005-0000-0000-0000E1720000}"/>
    <cellStyle name="표준 5 3 2 2 2 6 2 6" xfId="34622" xr:uid="{00000000-0005-0000-0000-0000E2720000}"/>
    <cellStyle name="표준 5 3 2 2 2 6 2 7" xfId="42815" xr:uid="{00000000-0005-0000-0000-0000E3720000}"/>
    <cellStyle name="표준 5 3 2 2 2 6 3" xfId="7753" xr:uid="{00000000-0005-0000-0000-0000E4720000}"/>
    <cellStyle name="표준 5 3 2 2 2 6 3 2" xfId="28459" xr:uid="{00000000-0005-0000-0000-0000E5720000}"/>
    <cellStyle name="표준 5 3 2 2 2 6 3 3" xfId="36670" xr:uid="{00000000-0005-0000-0000-0000E6720000}"/>
    <cellStyle name="표준 5 3 2 2 2 6 3 4" xfId="44863" xr:uid="{00000000-0005-0000-0000-0000E7720000}"/>
    <cellStyle name="표준 5 3 2 2 2 6 4" xfId="11865" xr:uid="{00000000-0005-0000-0000-0000E8720000}"/>
    <cellStyle name="표준 5 3 2 2 2 6 5" xfId="16105" xr:uid="{00000000-0005-0000-0000-0000E9720000}"/>
    <cellStyle name="표준 5 3 2 2 2 6 6" xfId="20267" xr:uid="{00000000-0005-0000-0000-0000EA720000}"/>
    <cellStyle name="표준 5 3 2 2 2 6 7" xfId="24363" xr:uid="{00000000-0005-0000-0000-0000EB720000}"/>
    <cellStyle name="표준 5 3 2 2 2 6 8" xfId="32574" xr:uid="{00000000-0005-0000-0000-0000EC720000}"/>
    <cellStyle name="표준 5 3 2 2 2 6 9" xfId="40767" xr:uid="{00000000-0005-0000-0000-0000ED720000}"/>
    <cellStyle name="표준 5 3 2 2 2 7" xfId="1410" xr:uid="{00000000-0005-0000-0000-0000EE720000}"/>
    <cellStyle name="표준 5 3 2 2 2 7 2" xfId="10313" xr:uid="{00000000-0005-0000-0000-0000EF720000}"/>
    <cellStyle name="표준 5 3 2 2 2 7 2 2" xfId="14425" xr:uid="{00000000-0005-0000-0000-0000F0720000}"/>
    <cellStyle name="표준 5 3 2 2 2 7 2 2 2" xfId="31019" xr:uid="{00000000-0005-0000-0000-0000F1720000}"/>
    <cellStyle name="표준 5 3 2 2 2 7 2 2 3" xfId="39230" xr:uid="{00000000-0005-0000-0000-0000F2720000}"/>
    <cellStyle name="표준 5 3 2 2 2 7 2 2 4" xfId="47423" xr:uid="{00000000-0005-0000-0000-0000F3720000}"/>
    <cellStyle name="표준 5 3 2 2 2 7 2 3" xfId="18665" xr:uid="{00000000-0005-0000-0000-0000F4720000}"/>
    <cellStyle name="표준 5 3 2 2 2 7 2 4" xfId="22827" xr:uid="{00000000-0005-0000-0000-0000F5720000}"/>
    <cellStyle name="표준 5 3 2 2 2 7 2 5" xfId="26923" xr:uid="{00000000-0005-0000-0000-0000F6720000}"/>
    <cellStyle name="표준 5 3 2 2 2 7 2 6" xfId="35134" xr:uid="{00000000-0005-0000-0000-0000F7720000}"/>
    <cellStyle name="표준 5 3 2 2 2 7 2 7" xfId="43327" xr:uid="{00000000-0005-0000-0000-0000F8720000}"/>
    <cellStyle name="표준 5 3 2 2 2 7 3" xfId="8265" xr:uid="{00000000-0005-0000-0000-0000F9720000}"/>
    <cellStyle name="표준 5 3 2 2 2 7 3 2" xfId="28971" xr:uid="{00000000-0005-0000-0000-0000FA720000}"/>
    <cellStyle name="표준 5 3 2 2 2 7 3 3" xfId="37182" xr:uid="{00000000-0005-0000-0000-0000FB720000}"/>
    <cellStyle name="표준 5 3 2 2 2 7 3 4" xfId="45375" xr:uid="{00000000-0005-0000-0000-0000FC720000}"/>
    <cellStyle name="표준 5 3 2 2 2 7 4" xfId="12377" xr:uid="{00000000-0005-0000-0000-0000FD720000}"/>
    <cellStyle name="표준 5 3 2 2 2 7 5" xfId="16617" xr:uid="{00000000-0005-0000-0000-0000FE720000}"/>
    <cellStyle name="표준 5 3 2 2 2 7 6" xfId="20779" xr:uid="{00000000-0005-0000-0000-0000FF720000}"/>
    <cellStyle name="표준 5 3 2 2 2 7 7" xfId="24875" xr:uid="{00000000-0005-0000-0000-000000730000}"/>
    <cellStyle name="표준 5 3 2 2 2 7 8" xfId="33086" xr:uid="{00000000-0005-0000-0000-000001730000}"/>
    <cellStyle name="표준 5 3 2 2 2 7 9" xfId="41279" xr:uid="{00000000-0005-0000-0000-000002730000}"/>
    <cellStyle name="표준 5 3 2 2 2 8" xfId="1922" xr:uid="{00000000-0005-0000-0000-000003730000}"/>
    <cellStyle name="표준 5 3 2 2 2 8 2" xfId="10825" xr:uid="{00000000-0005-0000-0000-000004730000}"/>
    <cellStyle name="표준 5 3 2 2 2 8 2 2" xfId="14937" xr:uid="{00000000-0005-0000-0000-000005730000}"/>
    <cellStyle name="표준 5 3 2 2 2 8 2 2 2" xfId="31531" xr:uid="{00000000-0005-0000-0000-000006730000}"/>
    <cellStyle name="표준 5 3 2 2 2 8 2 2 3" xfId="39742" xr:uid="{00000000-0005-0000-0000-000007730000}"/>
    <cellStyle name="표준 5 3 2 2 2 8 2 2 4" xfId="47935" xr:uid="{00000000-0005-0000-0000-000008730000}"/>
    <cellStyle name="표준 5 3 2 2 2 8 2 3" xfId="19177" xr:uid="{00000000-0005-0000-0000-000009730000}"/>
    <cellStyle name="표준 5 3 2 2 2 8 2 4" xfId="23339" xr:uid="{00000000-0005-0000-0000-00000A730000}"/>
    <cellStyle name="표준 5 3 2 2 2 8 2 5" xfId="27435" xr:uid="{00000000-0005-0000-0000-00000B730000}"/>
    <cellStyle name="표준 5 3 2 2 2 8 2 6" xfId="35646" xr:uid="{00000000-0005-0000-0000-00000C730000}"/>
    <cellStyle name="표준 5 3 2 2 2 8 2 7" xfId="43839" xr:uid="{00000000-0005-0000-0000-00000D730000}"/>
    <cellStyle name="표준 5 3 2 2 2 8 3" xfId="8777" xr:uid="{00000000-0005-0000-0000-00000E730000}"/>
    <cellStyle name="표준 5 3 2 2 2 8 3 2" xfId="29483" xr:uid="{00000000-0005-0000-0000-00000F730000}"/>
    <cellStyle name="표준 5 3 2 2 2 8 3 3" xfId="37694" xr:uid="{00000000-0005-0000-0000-000010730000}"/>
    <cellStyle name="표준 5 3 2 2 2 8 3 4" xfId="45887" xr:uid="{00000000-0005-0000-0000-000011730000}"/>
    <cellStyle name="표준 5 3 2 2 2 8 4" xfId="12889" xr:uid="{00000000-0005-0000-0000-000012730000}"/>
    <cellStyle name="표준 5 3 2 2 2 8 5" xfId="17129" xr:uid="{00000000-0005-0000-0000-000013730000}"/>
    <cellStyle name="표준 5 3 2 2 2 8 6" xfId="21291" xr:uid="{00000000-0005-0000-0000-000014730000}"/>
    <cellStyle name="표준 5 3 2 2 2 8 7" xfId="25387" xr:uid="{00000000-0005-0000-0000-000015730000}"/>
    <cellStyle name="표준 5 3 2 2 2 8 8" xfId="33598" xr:uid="{00000000-0005-0000-0000-000016730000}"/>
    <cellStyle name="표준 5 3 2 2 2 8 9" xfId="41791" xr:uid="{00000000-0005-0000-0000-000017730000}"/>
    <cellStyle name="표준 5 3 2 2 2 9" xfId="6978" xr:uid="{00000000-0005-0000-0000-000018730000}"/>
    <cellStyle name="표준 5 3 2 2 2 9 2" xfId="9289" xr:uid="{00000000-0005-0000-0000-000019730000}"/>
    <cellStyle name="표준 5 3 2 2 2 9 2 2" xfId="29995" xr:uid="{00000000-0005-0000-0000-00001A730000}"/>
    <cellStyle name="표준 5 3 2 2 2 9 2 3" xfId="38206" xr:uid="{00000000-0005-0000-0000-00001B730000}"/>
    <cellStyle name="표준 5 3 2 2 2 9 2 4" xfId="46399" xr:uid="{00000000-0005-0000-0000-00001C730000}"/>
    <cellStyle name="표준 5 3 2 2 2 9 3" xfId="13401" xr:uid="{00000000-0005-0000-0000-00001D730000}"/>
    <cellStyle name="표준 5 3 2 2 2 9 4" xfId="17641" xr:uid="{00000000-0005-0000-0000-00001E730000}"/>
    <cellStyle name="표준 5 3 2 2 2 9 5" xfId="21803" xr:uid="{00000000-0005-0000-0000-00001F730000}"/>
    <cellStyle name="표준 5 3 2 2 2 9 6" xfId="25899" xr:uid="{00000000-0005-0000-0000-000020730000}"/>
    <cellStyle name="표준 5 3 2 2 2 9 7" xfId="34110" xr:uid="{00000000-0005-0000-0000-000021730000}"/>
    <cellStyle name="표준 5 3 2 2 2 9 8" xfId="42303" xr:uid="{00000000-0005-0000-0000-000022730000}"/>
    <cellStyle name="표준 5 3 2 2 20" xfId="15449" xr:uid="{00000000-0005-0000-0000-000023730000}"/>
    <cellStyle name="표준 5 3 2 2 21" xfId="15465" xr:uid="{00000000-0005-0000-0000-000024730000}"/>
    <cellStyle name="표준 5 3 2 2 22" xfId="15561" xr:uid="{00000000-0005-0000-0000-000025730000}"/>
    <cellStyle name="표준 5 3 2 2 23" xfId="15577" xr:uid="{00000000-0005-0000-0000-000026730000}"/>
    <cellStyle name="표준 5 3 2 2 24" xfId="19673" xr:uid="{00000000-0005-0000-0000-000027730000}"/>
    <cellStyle name="표준 5 3 2 2 25" xfId="19689" xr:uid="{00000000-0005-0000-0000-000028730000}"/>
    <cellStyle name="표준 5 3 2 2 26" xfId="19705" xr:uid="{00000000-0005-0000-0000-000029730000}"/>
    <cellStyle name="표준 5 3 2 2 27" xfId="19721" xr:uid="{00000000-0005-0000-0000-00002A730000}"/>
    <cellStyle name="표준 5 3 2 2 28" xfId="19726" xr:uid="{00000000-0005-0000-0000-00002B730000}"/>
    <cellStyle name="표준 5 3 2 2 29" xfId="23835" xr:uid="{00000000-0005-0000-0000-00002C730000}"/>
    <cellStyle name="표준 5 3 2 2 3" xfId="300" xr:uid="{00000000-0005-0000-0000-00002D730000}"/>
    <cellStyle name="표준 5 3 2 2 3 10" xfId="7164" xr:uid="{00000000-0005-0000-0000-00002E730000}"/>
    <cellStyle name="표준 5 3 2 2 3 11" xfId="7257" xr:uid="{00000000-0005-0000-0000-00002F730000}"/>
    <cellStyle name="표준 5 3 2 2 3 12" xfId="11369" xr:uid="{00000000-0005-0000-0000-000030730000}"/>
    <cellStyle name="표준 5 3 2 2 3 13" xfId="15497" xr:uid="{00000000-0005-0000-0000-000031730000}"/>
    <cellStyle name="표준 5 3 2 2 3 14" xfId="15609" xr:uid="{00000000-0005-0000-0000-000032730000}"/>
    <cellStyle name="표준 5 3 2 2 3 15" xfId="19771" xr:uid="{00000000-0005-0000-0000-000033730000}"/>
    <cellStyle name="표준 5 3 2 2 3 16" xfId="23867" xr:uid="{00000000-0005-0000-0000-000034730000}"/>
    <cellStyle name="표준 5 3 2 2 3 17" xfId="32078" xr:uid="{00000000-0005-0000-0000-000035730000}"/>
    <cellStyle name="표준 5 3 2 2 3 18" xfId="40271" xr:uid="{00000000-0005-0000-0000-000036730000}"/>
    <cellStyle name="표준 5 3 2 2 3 19" xfId="49701" xr:uid="{00000000-0005-0000-0000-000037730000}"/>
    <cellStyle name="표준 5 3 2 2 3 2" xfId="466" xr:uid="{00000000-0005-0000-0000-000038730000}"/>
    <cellStyle name="표준 5 3 2 2 3 2 10" xfId="11433" xr:uid="{00000000-0005-0000-0000-000039730000}"/>
    <cellStyle name="표준 5 3 2 2 3 2 11" xfId="15545" xr:uid="{00000000-0005-0000-0000-00003A730000}"/>
    <cellStyle name="표준 5 3 2 2 3 2 12" xfId="15673" xr:uid="{00000000-0005-0000-0000-00003B730000}"/>
    <cellStyle name="표준 5 3 2 2 3 2 13" xfId="19835" xr:uid="{00000000-0005-0000-0000-00003C730000}"/>
    <cellStyle name="표준 5 3 2 2 3 2 14" xfId="23931" xr:uid="{00000000-0005-0000-0000-00003D730000}"/>
    <cellStyle name="표준 5 3 2 2 3 2 15" xfId="32142" xr:uid="{00000000-0005-0000-0000-00003E730000}"/>
    <cellStyle name="표준 5 3 2 2 3 2 16" xfId="40335" xr:uid="{00000000-0005-0000-0000-00003F730000}"/>
    <cellStyle name="표준 5 3 2 2 3 2 2" xfId="594" xr:uid="{00000000-0005-0000-0000-000040730000}"/>
    <cellStyle name="표준 5 3 2 2 3 2 2 10" xfId="19963" xr:uid="{00000000-0005-0000-0000-000041730000}"/>
    <cellStyle name="표준 5 3 2 2 3 2 2 11" xfId="24059" xr:uid="{00000000-0005-0000-0000-000042730000}"/>
    <cellStyle name="표준 5 3 2 2 3 2 2 12" xfId="32270" xr:uid="{00000000-0005-0000-0000-000043730000}"/>
    <cellStyle name="표준 5 3 2 2 3 2 2 13" xfId="40463" xr:uid="{00000000-0005-0000-0000-000044730000}"/>
    <cellStyle name="표준 5 3 2 2 3 2 2 2" xfId="850" xr:uid="{00000000-0005-0000-0000-000045730000}"/>
    <cellStyle name="표준 5 3 2 2 3 2 2 2 10" xfId="24315" xr:uid="{00000000-0005-0000-0000-000046730000}"/>
    <cellStyle name="표준 5 3 2 2 3 2 2 2 11" xfId="32526" xr:uid="{00000000-0005-0000-0000-000047730000}"/>
    <cellStyle name="표준 5 3 2 2 3 2 2 2 12" xfId="40719" xr:uid="{00000000-0005-0000-0000-000048730000}"/>
    <cellStyle name="표준 5 3 2 2 3 2 2 2 2" xfId="1362" xr:uid="{00000000-0005-0000-0000-000049730000}"/>
    <cellStyle name="표준 5 3 2 2 3 2 2 2 2 2" xfId="10265" xr:uid="{00000000-0005-0000-0000-00004A730000}"/>
    <cellStyle name="표준 5 3 2 2 3 2 2 2 2 2 2" xfId="14377" xr:uid="{00000000-0005-0000-0000-00004B730000}"/>
    <cellStyle name="표준 5 3 2 2 3 2 2 2 2 2 2 2" xfId="30971" xr:uid="{00000000-0005-0000-0000-00004C730000}"/>
    <cellStyle name="표준 5 3 2 2 3 2 2 2 2 2 2 3" xfId="39182" xr:uid="{00000000-0005-0000-0000-00004D730000}"/>
    <cellStyle name="표준 5 3 2 2 3 2 2 2 2 2 2 4" xfId="47375" xr:uid="{00000000-0005-0000-0000-00004E730000}"/>
    <cellStyle name="표준 5 3 2 2 3 2 2 2 2 2 3" xfId="18617" xr:uid="{00000000-0005-0000-0000-00004F730000}"/>
    <cellStyle name="표준 5 3 2 2 3 2 2 2 2 2 4" xfId="22779" xr:uid="{00000000-0005-0000-0000-000050730000}"/>
    <cellStyle name="표준 5 3 2 2 3 2 2 2 2 2 5" xfId="26875" xr:uid="{00000000-0005-0000-0000-000051730000}"/>
    <cellStyle name="표준 5 3 2 2 3 2 2 2 2 2 6" xfId="35086" xr:uid="{00000000-0005-0000-0000-000052730000}"/>
    <cellStyle name="표준 5 3 2 2 3 2 2 2 2 2 7" xfId="43279" xr:uid="{00000000-0005-0000-0000-000053730000}"/>
    <cellStyle name="표준 5 3 2 2 3 2 2 2 2 3" xfId="8217" xr:uid="{00000000-0005-0000-0000-000054730000}"/>
    <cellStyle name="표준 5 3 2 2 3 2 2 2 2 3 2" xfId="28923" xr:uid="{00000000-0005-0000-0000-000055730000}"/>
    <cellStyle name="표준 5 3 2 2 3 2 2 2 2 3 3" xfId="37134" xr:uid="{00000000-0005-0000-0000-000056730000}"/>
    <cellStyle name="표준 5 3 2 2 3 2 2 2 2 3 4" xfId="45327" xr:uid="{00000000-0005-0000-0000-000057730000}"/>
    <cellStyle name="표준 5 3 2 2 3 2 2 2 2 4" xfId="12329" xr:uid="{00000000-0005-0000-0000-000058730000}"/>
    <cellStyle name="표준 5 3 2 2 3 2 2 2 2 5" xfId="16569" xr:uid="{00000000-0005-0000-0000-000059730000}"/>
    <cellStyle name="표준 5 3 2 2 3 2 2 2 2 6" xfId="20731" xr:uid="{00000000-0005-0000-0000-00005A730000}"/>
    <cellStyle name="표준 5 3 2 2 3 2 2 2 2 7" xfId="24827" xr:uid="{00000000-0005-0000-0000-00005B730000}"/>
    <cellStyle name="표준 5 3 2 2 3 2 2 2 2 8" xfId="33038" xr:uid="{00000000-0005-0000-0000-00005C730000}"/>
    <cellStyle name="표준 5 3 2 2 3 2 2 2 2 9" xfId="41231" xr:uid="{00000000-0005-0000-0000-00005D730000}"/>
    <cellStyle name="표준 5 3 2 2 3 2 2 2 3" xfId="1874" xr:uid="{00000000-0005-0000-0000-00005E730000}"/>
    <cellStyle name="표준 5 3 2 2 3 2 2 2 3 2" xfId="10777" xr:uid="{00000000-0005-0000-0000-00005F730000}"/>
    <cellStyle name="표준 5 3 2 2 3 2 2 2 3 2 2" xfId="14889" xr:uid="{00000000-0005-0000-0000-000060730000}"/>
    <cellStyle name="표준 5 3 2 2 3 2 2 2 3 2 2 2" xfId="31483" xr:uid="{00000000-0005-0000-0000-000061730000}"/>
    <cellStyle name="표준 5 3 2 2 3 2 2 2 3 2 2 3" xfId="39694" xr:uid="{00000000-0005-0000-0000-000062730000}"/>
    <cellStyle name="표준 5 3 2 2 3 2 2 2 3 2 2 4" xfId="47887" xr:uid="{00000000-0005-0000-0000-000063730000}"/>
    <cellStyle name="표준 5 3 2 2 3 2 2 2 3 2 3" xfId="19129" xr:uid="{00000000-0005-0000-0000-000064730000}"/>
    <cellStyle name="표준 5 3 2 2 3 2 2 2 3 2 4" xfId="23291" xr:uid="{00000000-0005-0000-0000-000065730000}"/>
    <cellStyle name="표준 5 3 2 2 3 2 2 2 3 2 5" xfId="27387" xr:uid="{00000000-0005-0000-0000-000066730000}"/>
    <cellStyle name="표준 5 3 2 2 3 2 2 2 3 2 6" xfId="35598" xr:uid="{00000000-0005-0000-0000-000067730000}"/>
    <cellStyle name="표준 5 3 2 2 3 2 2 2 3 2 7" xfId="43791" xr:uid="{00000000-0005-0000-0000-000068730000}"/>
    <cellStyle name="표준 5 3 2 2 3 2 2 2 3 3" xfId="8729" xr:uid="{00000000-0005-0000-0000-000069730000}"/>
    <cellStyle name="표준 5 3 2 2 3 2 2 2 3 3 2" xfId="29435" xr:uid="{00000000-0005-0000-0000-00006A730000}"/>
    <cellStyle name="표준 5 3 2 2 3 2 2 2 3 3 3" xfId="37646" xr:uid="{00000000-0005-0000-0000-00006B730000}"/>
    <cellStyle name="표준 5 3 2 2 3 2 2 2 3 3 4" xfId="45839" xr:uid="{00000000-0005-0000-0000-00006C730000}"/>
    <cellStyle name="표준 5 3 2 2 3 2 2 2 3 4" xfId="12841" xr:uid="{00000000-0005-0000-0000-00006D730000}"/>
    <cellStyle name="표준 5 3 2 2 3 2 2 2 3 5" xfId="17081" xr:uid="{00000000-0005-0000-0000-00006E730000}"/>
    <cellStyle name="표준 5 3 2 2 3 2 2 2 3 6" xfId="21243" xr:uid="{00000000-0005-0000-0000-00006F730000}"/>
    <cellStyle name="표준 5 3 2 2 3 2 2 2 3 7" xfId="25339" xr:uid="{00000000-0005-0000-0000-000070730000}"/>
    <cellStyle name="표준 5 3 2 2 3 2 2 2 3 8" xfId="33550" xr:uid="{00000000-0005-0000-0000-000071730000}"/>
    <cellStyle name="표준 5 3 2 2 3 2 2 2 3 9" xfId="41743" xr:uid="{00000000-0005-0000-0000-000072730000}"/>
    <cellStyle name="표준 5 3 2 2 3 2 2 2 4" xfId="2386" xr:uid="{00000000-0005-0000-0000-000073730000}"/>
    <cellStyle name="표준 5 3 2 2 3 2 2 2 4 2" xfId="11289" xr:uid="{00000000-0005-0000-0000-000074730000}"/>
    <cellStyle name="표준 5 3 2 2 3 2 2 2 4 2 2" xfId="15401" xr:uid="{00000000-0005-0000-0000-000075730000}"/>
    <cellStyle name="표준 5 3 2 2 3 2 2 2 4 2 2 2" xfId="31995" xr:uid="{00000000-0005-0000-0000-000076730000}"/>
    <cellStyle name="표준 5 3 2 2 3 2 2 2 4 2 2 3" xfId="40206" xr:uid="{00000000-0005-0000-0000-000077730000}"/>
    <cellStyle name="표준 5 3 2 2 3 2 2 2 4 2 2 4" xfId="48399" xr:uid="{00000000-0005-0000-0000-000078730000}"/>
    <cellStyle name="표준 5 3 2 2 3 2 2 2 4 2 3" xfId="19641" xr:uid="{00000000-0005-0000-0000-000079730000}"/>
    <cellStyle name="표준 5 3 2 2 3 2 2 2 4 2 4" xfId="23803" xr:uid="{00000000-0005-0000-0000-00007A730000}"/>
    <cellStyle name="표준 5 3 2 2 3 2 2 2 4 2 5" xfId="27899" xr:uid="{00000000-0005-0000-0000-00007B730000}"/>
    <cellStyle name="표준 5 3 2 2 3 2 2 2 4 2 6" xfId="36110" xr:uid="{00000000-0005-0000-0000-00007C730000}"/>
    <cellStyle name="표준 5 3 2 2 3 2 2 2 4 2 7" xfId="44303" xr:uid="{00000000-0005-0000-0000-00007D730000}"/>
    <cellStyle name="표준 5 3 2 2 3 2 2 2 4 3" xfId="9241" xr:uid="{00000000-0005-0000-0000-00007E730000}"/>
    <cellStyle name="표준 5 3 2 2 3 2 2 2 4 3 2" xfId="29947" xr:uid="{00000000-0005-0000-0000-00007F730000}"/>
    <cellStyle name="표준 5 3 2 2 3 2 2 2 4 3 3" xfId="38158" xr:uid="{00000000-0005-0000-0000-000080730000}"/>
    <cellStyle name="표준 5 3 2 2 3 2 2 2 4 3 4" xfId="46351" xr:uid="{00000000-0005-0000-0000-000081730000}"/>
    <cellStyle name="표준 5 3 2 2 3 2 2 2 4 4" xfId="13353" xr:uid="{00000000-0005-0000-0000-000082730000}"/>
    <cellStyle name="표준 5 3 2 2 3 2 2 2 4 5" xfId="17593" xr:uid="{00000000-0005-0000-0000-000083730000}"/>
    <cellStyle name="표준 5 3 2 2 3 2 2 2 4 6" xfId="21755" xr:uid="{00000000-0005-0000-0000-000084730000}"/>
    <cellStyle name="표준 5 3 2 2 3 2 2 2 4 7" xfId="25851" xr:uid="{00000000-0005-0000-0000-000085730000}"/>
    <cellStyle name="표준 5 3 2 2 3 2 2 2 4 8" xfId="34062" xr:uid="{00000000-0005-0000-0000-000086730000}"/>
    <cellStyle name="표준 5 3 2 2 3 2 2 2 4 9" xfId="42255" xr:uid="{00000000-0005-0000-0000-000087730000}"/>
    <cellStyle name="표준 5 3 2 2 3 2 2 2 5" xfId="9753" xr:uid="{00000000-0005-0000-0000-000088730000}"/>
    <cellStyle name="표준 5 3 2 2 3 2 2 2 5 2" xfId="13865" xr:uid="{00000000-0005-0000-0000-000089730000}"/>
    <cellStyle name="표준 5 3 2 2 3 2 2 2 5 2 2" xfId="30459" xr:uid="{00000000-0005-0000-0000-00008A730000}"/>
    <cellStyle name="표준 5 3 2 2 3 2 2 2 5 2 3" xfId="38670" xr:uid="{00000000-0005-0000-0000-00008B730000}"/>
    <cellStyle name="표준 5 3 2 2 3 2 2 2 5 2 4" xfId="46863" xr:uid="{00000000-0005-0000-0000-00008C730000}"/>
    <cellStyle name="표준 5 3 2 2 3 2 2 2 5 3" xfId="18105" xr:uid="{00000000-0005-0000-0000-00008D730000}"/>
    <cellStyle name="표준 5 3 2 2 3 2 2 2 5 4" xfId="22267" xr:uid="{00000000-0005-0000-0000-00008E730000}"/>
    <cellStyle name="표준 5 3 2 2 3 2 2 2 5 5" xfId="26363" xr:uid="{00000000-0005-0000-0000-00008F730000}"/>
    <cellStyle name="표준 5 3 2 2 3 2 2 2 5 6" xfId="34574" xr:uid="{00000000-0005-0000-0000-000090730000}"/>
    <cellStyle name="표준 5 3 2 2 3 2 2 2 5 7" xfId="42767" xr:uid="{00000000-0005-0000-0000-000091730000}"/>
    <cellStyle name="표준 5 3 2 2 3 2 2 2 6" xfId="7705" xr:uid="{00000000-0005-0000-0000-000092730000}"/>
    <cellStyle name="표준 5 3 2 2 3 2 2 2 6 2" xfId="28411" xr:uid="{00000000-0005-0000-0000-000093730000}"/>
    <cellStyle name="표준 5 3 2 2 3 2 2 2 6 3" xfId="36622" xr:uid="{00000000-0005-0000-0000-000094730000}"/>
    <cellStyle name="표준 5 3 2 2 3 2 2 2 6 4" xfId="44815" xr:uid="{00000000-0005-0000-0000-000095730000}"/>
    <cellStyle name="표준 5 3 2 2 3 2 2 2 7" xfId="11817" xr:uid="{00000000-0005-0000-0000-000096730000}"/>
    <cellStyle name="표준 5 3 2 2 3 2 2 2 8" xfId="16057" xr:uid="{00000000-0005-0000-0000-000097730000}"/>
    <cellStyle name="표준 5 3 2 2 3 2 2 2 9" xfId="20219" xr:uid="{00000000-0005-0000-0000-000098730000}"/>
    <cellStyle name="표준 5 3 2 2 3 2 2 3" xfId="1106" xr:uid="{00000000-0005-0000-0000-000099730000}"/>
    <cellStyle name="표준 5 3 2 2 3 2 2 3 2" xfId="10009" xr:uid="{00000000-0005-0000-0000-00009A730000}"/>
    <cellStyle name="표준 5 3 2 2 3 2 2 3 2 2" xfId="14121" xr:uid="{00000000-0005-0000-0000-00009B730000}"/>
    <cellStyle name="표준 5 3 2 2 3 2 2 3 2 2 2" xfId="30715" xr:uid="{00000000-0005-0000-0000-00009C730000}"/>
    <cellStyle name="표준 5 3 2 2 3 2 2 3 2 2 3" xfId="38926" xr:uid="{00000000-0005-0000-0000-00009D730000}"/>
    <cellStyle name="표준 5 3 2 2 3 2 2 3 2 2 4" xfId="47119" xr:uid="{00000000-0005-0000-0000-00009E730000}"/>
    <cellStyle name="표준 5 3 2 2 3 2 2 3 2 3" xfId="18361" xr:uid="{00000000-0005-0000-0000-00009F730000}"/>
    <cellStyle name="표준 5 3 2 2 3 2 2 3 2 4" xfId="22523" xr:uid="{00000000-0005-0000-0000-0000A0730000}"/>
    <cellStyle name="표준 5 3 2 2 3 2 2 3 2 5" xfId="26619" xr:uid="{00000000-0005-0000-0000-0000A1730000}"/>
    <cellStyle name="표준 5 3 2 2 3 2 2 3 2 6" xfId="34830" xr:uid="{00000000-0005-0000-0000-0000A2730000}"/>
    <cellStyle name="표준 5 3 2 2 3 2 2 3 2 7" xfId="43023" xr:uid="{00000000-0005-0000-0000-0000A3730000}"/>
    <cellStyle name="표준 5 3 2 2 3 2 2 3 3" xfId="7961" xr:uid="{00000000-0005-0000-0000-0000A4730000}"/>
    <cellStyle name="표준 5 3 2 2 3 2 2 3 3 2" xfId="28667" xr:uid="{00000000-0005-0000-0000-0000A5730000}"/>
    <cellStyle name="표준 5 3 2 2 3 2 2 3 3 3" xfId="36878" xr:uid="{00000000-0005-0000-0000-0000A6730000}"/>
    <cellStyle name="표준 5 3 2 2 3 2 2 3 3 4" xfId="45071" xr:uid="{00000000-0005-0000-0000-0000A7730000}"/>
    <cellStyle name="표준 5 3 2 2 3 2 2 3 4" xfId="12073" xr:uid="{00000000-0005-0000-0000-0000A8730000}"/>
    <cellStyle name="표준 5 3 2 2 3 2 2 3 5" xfId="16313" xr:uid="{00000000-0005-0000-0000-0000A9730000}"/>
    <cellStyle name="표준 5 3 2 2 3 2 2 3 6" xfId="20475" xr:uid="{00000000-0005-0000-0000-0000AA730000}"/>
    <cellStyle name="표준 5 3 2 2 3 2 2 3 7" xfId="24571" xr:uid="{00000000-0005-0000-0000-0000AB730000}"/>
    <cellStyle name="표준 5 3 2 2 3 2 2 3 8" xfId="32782" xr:uid="{00000000-0005-0000-0000-0000AC730000}"/>
    <cellStyle name="표준 5 3 2 2 3 2 2 3 9" xfId="40975" xr:uid="{00000000-0005-0000-0000-0000AD730000}"/>
    <cellStyle name="표준 5 3 2 2 3 2 2 4" xfId="1618" xr:uid="{00000000-0005-0000-0000-0000AE730000}"/>
    <cellStyle name="표준 5 3 2 2 3 2 2 4 2" xfId="10521" xr:uid="{00000000-0005-0000-0000-0000AF730000}"/>
    <cellStyle name="표준 5 3 2 2 3 2 2 4 2 2" xfId="14633" xr:uid="{00000000-0005-0000-0000-0000B0730000}"/>
    <cellStyle name="표준 5 3 2 2 3 2 2 4 2 2 2" xfId="31227" xr:uid="{00000000-0005-0000-0000-0000B1730000}"/>
    <cellStyle name="표준 5 3 2 2 3 2 2 4 2 2 3" xfId="39438" xr:uid="{00000000-0005-0000-0000-0000B2730000}"/>
    <cellStyle name="표준 5 3 2 2 3 2 2 4 2 2 4" xfId="47631" xr:uid="{00000000-0005-0000-0000-0000B3730000}"/>
    <cellStyle name="표준 5 3 2 2 3 2 2 4 2 3" xfId="18873" xr:uid="{00000000-0005-0000-0000-0000B4730000}"/>
    <cellStyle name="표준 5 3 2 2 3 2 2 4 2 4" xfId="23035" xr:uid="{00000000-0005-0000-0000-0000B5730000}"/>
    <cellStyle name="표준 5 3 2 2 3 2 2 4 2 5" xfId="27131" xr:uid="{00000000-0005-0000-0000-0000B6730000}"/>
    <cellStyle name="표준 5 3 2 2 3 2 2 4 2 6" xfId="35342" xr:uid="{00000000-0005-0000-0000-0000B7730000}"/>
    <cellStyle name="표준 5 3 2 2 3 2 2 4 2 7" xfId="43535" xr:uid="{00000000-0005-0000-0000-0000B8730000}"/>
    <cellStyle name="표준 5 3 2 2 3 2 2 4 3" xfId="8473" xr:uid="{00000000-0005-0000-0000-0000B9730000}"/>
    <cellStyle name="표준 5 3 2 2 3 2 2 4 3 2" xfId="29179" xr:uid="{00000000-0005-0000-0000-0000BA730000}"/>
    <cellStyle name="표준 5 3 2 2 3 2 2 4 3 3" xfId="37390" xr:uid="{00000000-0005-0000-0000-0000BB730000}"/>
    <cellStyle name="표준 5 3 2 2 3 2 2 4 3 4" xfId="45583" xr:uid="{00000000-0005-0000-0000-0000BC730000}"/>
    <cellStyle name="표준 5 3 2 2 3 2 2 4 4" xfId="12585" xr:uid="{00000000-0005-0000-0000-0000BD730000}"/>
    <cellStyle name="표준 5 3 2 2 3 2 2 4 5" xfId="16825" xr:uid="{00000000-0005-0000-0000-0000BE730000}"/>
    <cellStyle name="표준 5 3 2 2 3 2 2 4 6" xfId="20987" xr:uid="{00000000-0005-0000-0000-0000BF730000}"/>
    <cellStyle name="표준 5 3 2 2 3 2 2 4 7" xfId="25083" xr:uid="{00000000-0005-0000-0000-0000C0730000}"/>
    <cellStyle name="표준 5 3 2 2 3 2 2 4 8" xfId="33294" xr:uid="{00000000-0005-0000-0000-0000C1730000}"/>
    <cellStyle name="표준 5 3 2 2 3 2 2 4 9" xfId="41487" xr:uid="{00000000-0005-0000-0000-0000C2730000}"/>
    <cellStyle name="표준 5 3 2 2 3 2 2 5" xfId="2130" xr:uid="{00000000-0005-0000-0000-0000C3730000}"/>
    <cellStyle name="표준 5 3 2 2 3 2 2 5 2" xfId="11033" xr:uid="{00000000-0005-0000-0000-0000C4730000}"/>
    <cellStyle name="표준 5 3 2 2 3 2 2 5 2 2" xfId="15145" xr:uid="{00000000-0005-0000-0000-0000C5730000}"/>
    <cellStyle name="표준 5 3 2 2 3 2 2 5 2 2 2" xfId="31739" xr:uid="{00000000-0005-0000-0000-0000C6730000}"/>
    <cellStyle name="표준 5 3 2 2 3 2 2 5 2 2 3" xfId="39950" xr:uid="{00000000-0005-0000-0000-0000C7730000}"/>
    <cellStyle name="표준 5 3 2 2 3 2 2 5 2 2 4" xfId="48143" xr:uid="{00000000-0005-0000-0000-0000C8730000}"/>
    <cellStyle name="표준 5 3 2 2 3 2 2 5 2 3" xfId="19385" xr:uid="{00000000-0005-0000-0000-0000C9730000}"/>
    <cellStyle name="표준 5 3 2 2 3 2 2 5 2 4" xfId="23547" xr:uid="{00000000-0005-0000-0000-0000CA730000}"/>
    <cellStyle name="표준 5 3 2 2 3 2 2 5 2 5" xfId="27643" xr:uid="{00000000-0005-0000-0000-0000CB730000}"/>
    <cellStyle name="표준 5 3 2 2 3 2 2 5 2 6" xfId="35854" xr:uid="{00000000-0005-0000-0000-0000CC730000}"/>
    <cellStyle name="표준 5 3 2 2 3 2 2 5 2 7" xfId="44047" xr:uid="{00000000-0005-0000-0000-0000CD730000}"/>
    <cellStyle name="표준 5 3 2 2 3 2 2 5 3" xfId="8985" xr:uid="{00000000-0005-0000-0000-0000CE730000}"/>
    <cellStyle name="표준 5 3 2 2 3 2 2 5 3 2" xfId="29691" xr:uid="{00000000-0005-0000-0000-0000CF730000}"/>
    <cellStyle name="표준 5 3 2 2 3 2 2 5 3 3" xfId="37902" xr:uid="{00000000-0005-0000-0000-0000D0730000}"/>
    <cellStyle name="표준 5 3 2 2 3 2 2 5 3 4" xfId="46095" xr:uid="{00000000-0005-0000-0000-0000D1730000}"/>
    <cellStyle name="표준 5 3 2 2 3 2 2 5 4" xfId="13097" xr:uid="{00000000-0005-0000-0000-0000D2730000}"/>
    <cellStyle name="표준 5 3 2 2 3 2 2 5 5" xfId="17337" xr:uid="{00000000-0005-0000-0000-0000D3730000}"/>
    <cellStyle name="표준 5 3 2 2 3 2 2 5 6" xfId="21499" xr:uid="{00000000-0005-0000-0000-0000D4730000}"/>
    <cellStyle name="표준 5 3 2 2 3 2 2 5 7" xfId="25595" xr:uid="{00000000-0005-0000-0000-0000D5730000}"/>
    <cellStyle name="표준 5 3 2 2 3 2 2 5 8" xfId="33806" xr:uid="{00000000-0005-0000-0000-0000D6730000}"/>
    <cellStyle name="표준 5 3 2 2 3 2 2 5 9" xfId="41999" xr:uid="{00000000-0005-0000-0000-0000D7730000}"/>
    <cellStyle name="표준 5 3 2 2 3 2 2 6" xfId="9497" xr:uid="{00000000-0005-0000-0000-0000D8730000}"/>
    <cellStyle name="표준 5 3 2 2 3 2 2 6 2" xfId="13609" xr:uid="{00000000-0005-0000-0000-0000D9730000}"/>
    <cellStyle name="표준 5 3 2 2 3 2 2 6 2 2" xfId="30203" xr:uid="{00000000-0005-0000-0000-0000DA730000}"/>
    <cellStyle name="표준 5 3 2 2 3 2 2 6 2 3" xfId="38414" xr:uid="{00000000-0005-0000-0000-0000DB730000}"/>
    <cellStyle name="표준 5 3 2 2 3 2 2 6 2 4" xfId="46607" xr:uid="{00000000-0005-0000-0000-0000DC730000}"/>
    <cellStyle name="표준 5 3 2 2 3 2 2 6 3" xfId="17849" xr:uid="{00000000-0005-0000-0000-0000DD730000}"/>
    <cellStyle name="표준 5 3 2 2 3 2 2 6 4" xfId="22011" xr:uid="{00000000-0005-0000-0000-0000DE730000}"/>
    <cellStyle name="표준 5 3 2 2 3 2 2 6 5" xfId="26107" xr:uid="{00000000-0005-0000-0000-0000DF730000}"/>
    <cellStyle name="표준 5 3 2 2 3 2 2 6 6" xfId="34318" xr:uid="{00000000-0005-0000-0000-0000E0730000}"/>
    <cellStyle name="표준 5 3 2 2 3 2 2 6 7" xfId="42511" xr:uid="{00000000-0005-0000-0000-0000E1730000}"/>
    <cellStyle name="표준 5 3 2 2 3 2 2 7" xfId="7449" xr:uid="{00000000-0005-0000-0000-0000E2730000}"/>
    <cellStyle name="표준 5 3 2 2 3 2 2 7 2" xfId="28155" xr:uid="{00000000-0005-0000-0000-0000E3730000}"/>
    <cellStyle name="표준 5 3 2 2 3 2 2 7 3" xfId="36366" xr:uid="{00000000-0005-0000-0000-0000E4730000}"/>
    <cellStyle name="표준 5 3 2 2 3 2 2 7 4" xfId="44559" xr:uid="{00000000-0005-0000-0000-0000E5730000}"/>
    <cellStyle name="표준 5 3 2 2 3 2 2 8" xfId="11561" xr:uid="{00000000-0005-0000-0000-0000E6730000}"/>
    <cellStyle name="표준 5 3 2 2 3 2 2 9" xfId="15801" xr:uid="{00000000-0005-0000-0000-0000E7730000}"/>
    <cellStyle name="표준 5 3 2 2 3 2 3" xfId="722" xr:uid="{00000000-0005-0000-0000-0000E8730000}"/>
    <cellStyle name="표준 5 3 2 2 3 2 3 10" xfId="24187" xr:uid="{00000000-0005-0000-0000-0000E9730000}"/>
    <cellStyle name="표준 5 3 2 2 3 2 3 11" xfId="32398" xr:uid="{00000000-0005-0000-0000-0000EA730000}"/>
    <cellStyle name="표준 5 3 2 2 3 2 3 12" xfId="40591" xr:uid="{00000000-0005-0000-0000-0000EB730000}"/>
    <cellStyle name="표준 5 3 2 2 3 2 3 2" xfId="1234" xr:uid="{00000000-0005-0000-0000-0000EC730000}"/>
    <cellStyle name="표준 5 3 2 2 3 2 3 2 2" xfId="10137" xr:uid="{00000000-0005-0000-0000-0000ED730000}"/>
    <cellStyle name="표준 5 3 2 2 3 2 3 2 2 2" xfId="14249" xr:uid="{00000000-0005-0000-0000-0000EE730000}"/>
    <cellStyle name="표준 5 3 2 2 3 2 3 2 2 2 2" xfId="30843" xr:uid="{00000000-0005-0000-0000-0000EF730000}"/>
    <cellStyle name="표준 5 3 2 2 3 2 3 2 2 2 3" xfId="39054" xr:uid="{00000000-0005-0000-0000-0000F0730000}"/>
    <cellStyle name="표준 5 3 2 2 3 2 3 2 2 2 4" xfId="47247" xr:uid="{00000000-0005-0000-0000-0000F1730000}"/>
    <cellStyle name="표준 5 3 2 2 3 2 3 2 2 3" xfId="18489" xr:uid="{00000000-0005-0000-0000-0000F2730000}"/>
    <cellStyle name="표준 5 3 2 2 3 2 3 2 2 4" xfId="22651" xr:uid="{00000000-0005-0000-0000-0000F3730000}"/>
    <cellStyle name="표준 5 3 2 2 3 2 3 2 2 5" xfId="26747" xr:uid="{00000000-0005-0000-0000-0000F4730000}"/>
    <cellStyle name="표준 5 3 2 2 3 2 3 2 2 6" xfId="34958" xr:uid="{00000000-0005-0000-0000-0000F5730000}"/>
    <cellStyle name="표준 5 3 2 2 3 2 3 2 2 7" xfId="43151" xr:uid="{00000000-0005-0000-0000-0000F6730000}"/>
    <cellStyle name="표준 5 3 2 2 3 2 3 2 3" xfId="8089" xr:uid="{00000000-0005-0000-0000-0000F7730000}"/>
    <cellStyle name="표준 5 3 2 2 3 2 3 2 3 2" xfId="28795" xr:uid="{00000000-0005-0000-0000-0000F8730000}"/>
    <cellStyle name="표준 5 3 2 2 3 2 3 2 3 3" xfId="37006" xr:uid="{00000000-0005-0000-0000-0000F9730000}"/>
    <cellStyle name="표준 5 3 2 2 3 2 3 2 3 4" xfId="45199" xr:uid="{00000000-0005-0000-0000-0000FA730000}"/>
    <cellStyle name="표준 5 3 2 2 3 2 3 2 4" xfId="12201" xr:uid="{00000000-0005-0000-0000-0000FB730000}"/>
    <cellStyle name="표준 5 3 2 2 3 2 3 2 5" xfId="16441" xr:uid="{00000000-0005-0000-0000-0000FC730000}"/>
    <cellStyle name="표준 5 3 2 2 3 2 3 2 6" xfId="20603" xr:uid="{00000000-0005-0000-0000-0000FD730000}"/>
    <cellStyle name="표준 5 3 2 2 3 2 3 2 7" xfId="24699" xr:uid="{00000000-0005-0000-0000-0000FE730000}"/>
    <cellStyle name="표준 5 3 2 2 3 2 3 2 8" xfId="32910" xr:uid="{00000000-0005-0000-0000-0000FF730000}"/>
    <cellStyle name="표준 5 3 2 2 3 2 3 2 9" xfId="41103" xr:uid="{00000000-0005-0000-0000-000000740000}"/>
    <cellStyle name="표준 5 3 2 2 3 2 3 3" xfId="1746" xr:uid="{00000000-0005-0000-0000-000001740000}"/>
    <cellStyle name="표준 5 3 2 2 3 2 3 3 2" xfId="10649" xr:uid="{00000000-0005-0000-0000-000002740000}"/>
    <cellStyle name="표준 5 3 2 2 3 2 3 3 2 2" xfId="14761" xr:uid="{00000000-0005-0000-0000-000003740000}"/>
    <cellStyle name="표준 5 3 2 2 3 2 3 3 2 2 2" xfId="31355" xr:uid="{00000000-0005-0000-0000-000004740000}"/>
    <cellStyle name="표준 5 3 2 2 3 2 3 3 2 2 3" xfId="39566" xr:uid="{00000000-0005-0000-0000-000005740000}"/>
    <cellStyle name="표준 5 3 2 2 3 2 3 3 2 2 4" xfId="47759" xr:uid="{00000000-0005-0000-0000-000006740000}"/>
    <cellStyle name="표준 5 3 2 2 3 2 3 3 2 3" xfId="19001" xr:uid="{00000000-0005-0000-0000-000007740000}"/>
    <cellStyle name="표준 5 3 2 2 3 2 3 3 2 4" xfId="23163" xr:uid="{00000000-0005-0000-0000-000008740000}"/>
    <cellStyle name="표준 5 3 2 2 3 2 3 3 2 5" xfId="27259" xr:uid="{00000000-0005-0000-0000-000009740000}"/>
    <cellStyle name="표준 5 3 2 2 3 2 3 3 2 6" xfId="35470" xr:uid="{00000000-0005-0000-0000-00000A740000}"/>
    <cellStyle name="표준 5 3 2 2 3 2 3 3 2 7" xfId="43663" xr:uid="{00000000-0005-0000-0000-00000B740000}"/>
    <cellStyle name="표준 5 3 2 2 3 2 3 3 3" xfId="8601" xr:uid="{00000000-0005-0000-0000-00000C740000}"/>
    <cellStyle name="표준 5 3 2 2 3 2 3 3 3 2" xfId="29307" xr:uid="{00000000-0005-0000-0000-00000D740000}"/>
    <cellStyle name="표준 5 3 2 2 3 2 3 3 3 3" xfId="37518" xr:uid="{00000000-0005-0000-0000-00000E740000}"/>
    <cellStyle name="표준 5 3 2 2 3 2 3 3 3 4" xfId="45711" xr:uid="{00000000-0005-0000-0000-00000F740000}"/>
    <cellStyle name="표준 5 3 2 2 3 2 3 3 4" xfId="12713" xr:uid="{00000000-0005-0000-0000-000010740000}"/>
    <cellStyle name="표준 5 3 2 2 3 2 3 3 5" xfId="16953" xr:uid="{00000000-0005-0000-0000-000011740000}"/>
    <cellStyle name="표준 5 3 2 2 3 2 3 3 6" xfId="21115" xr:uid="{00000000-0005-0000-0000-000012740000}"/>
    <cellStyle name="표준 5 3 2 2 3 2 3 3 7" xfId="25211" xr:uid="{00000000-0005-0000-0000-000013740000}"/>
    <cellStyle name="표준 5 3 2 2 3 2 3 3 8" xfId="33422" xr:uid="{00000000-0005-0000-0000-000014740000}"/>
    <cellStyle name="표준 5 3 2 2 3 2 3 3 9" xfId="41615" xr:uid="{00000000-0005-0000-0000-000015740000}"/>
    <cellStyle name="표준 5 3 2 2 3 2 3 4" xfId="2258" xr:uid="{00000000-0005-0000-0000-000016740000}"/>
    <cellStyle name="표준 5 3 2 2 3 2 3 4 2" xfId="11161" xr:uid="{00000000-0005-0000-0000-000017740000}"/>
    <cellStyle name="표준 5 3 2 2 3 2 3 4 2 2" xfId="15273" xr:uid="{00000000-0005-0000-0000-000018740000}"/>
    <cellStyle name="표준 5 3 2 2 3 2 3 4 2 2 2" xfId="31867" xr:uid="{00000000-0005-0000-0000-000019740000}"/>
    <cellStyle name="표준 5 3 2 2 3 2 3 4 2 2 3" xfId="40078" xr:uid="{00000000-0005-0000-0000-00001A740000}"/>
    <cellStyle name="표준 5 3 2 2 3 2 3 4 2 2 4" xfId="48271" xr:uid="{00000000-0005-0000-0000-00001B740000}"/>
    <cellStyle name="표준 5 3 2 2 3 2 3 4 2 3" xfId="19513" xr:uid="{00000000-0005-0000-0000-00001C740000}"/>
    <cellStyle name="표준 5 3 2 2 3 2 3 4 2 4" xfId="23675" xr:uid="{00000000-0005-0000-0000-00001D740000}"/>
    <cellStyle name="표준 5 3 2 2 3 2 3 4 2 5" xfId="27771" xr:uid="{00000000-0005-0000-0000-00001E740000}"/>
    <cellStyle name="표준 5 3 2 2 3 2 3 4 2 6" xfId="35982" xr:uid="{00000000-0005-0000-0000-00001F740000}"/>
    <cellStyle name="표준 5 3 2 2 3 2 3 4 2 7" xfId="44175" xr:uid="{00000000-0005-0000-0000-000020740000}"/>
    <cellStyle name="표준 5 3 2 2 3 2 3 4 3" xfId="9113" xr:uid="{00000000-0005-0000-0000-000021740000}"/>
    <cellStyle name="표준 5 3 2 2 3 2 3 4 3 2" xfId="29819" xr:uid="{00000000-0005-0000-0000-000022740000}"/>
    <cellStyle name="표준 5 3 2 2 3 2 3 4 3 3" xfId="38030" xr:uid="{00000000-0005-0000-0000-000023740000}"/>
    <cellStyle name="표준 5 3 2 2 3 2 3 4 3 4" xfId="46223" xr:uid="{00000000-0005-0000-0000-000024740000}"/>
    <cellStyle name="표준 5 3 2 2 3 2 3 4 4" xfId="13225" xr:uid="{00000000-0005-0000-0000-000025740000}"/>
    <cellStyle name="표준 5 3 2 2 3 2 3 4 5" xfId="17465" xr:uid="{00000000-0005-0000-0000-000026740000}"/>
    <cellStyle name="표준 5 3 2 2 3 2 3 4 6" xfId="21627" xr:uid="{00000000-0005-0000-0000-000027740000}"/>
    <cellStyle name="표준 5 3 2 2 3 2 3 4 7" xfId="25723" xr:uid="{00000000-0005-0000-0000-000028740000}"/>
    <cellStyle name="표준 5 3 2 2 3 2 3 4 8" xfId="33934" xr:uid="{00000000-0005-0000-0000-000029740000}"/>
    <cellStyle name="표준 5 3 2 2 3 2 3 4 9" xfId="42127" xr:uid="{00000000-0005-0000-0000-00002A740000}"/>
    <cellStyle name="표준 5 3 2 2 3 2 3 5" xfId="9625" xr:uid="{00000000-0005-0000-0000-00002B740000}"/>
    <cellStyle name="표준 5 3 2 2 3 2 3 5 2" xfId="13737" xr:uid="{00000000-0005-0000-0000-00002C740000}"/>
    <cellStyle name="표준 5 3 2 2 3 2 3 5 2 2" xfId="30331" xr:uid="{00000000-0005-0000-0000-00002D740000}"/>
    <cellStyle name="표준 5 3 2 2 3 2 3 5 2 3" xfId="38542" xr:uid="{00000000-0005-0000-0000-00002E740000}"/>
    <cellStyle name="표준 5 3 2 2 3 2 3 5 2 4" xfId="46735" xr:uid="{00000000-0005-0000-0000-00002F740000}"/>
    <cellStyle name="표준 5 3 2 2 3 2 3 5 3" xfId="17977" xr:uid="{00000000-0005-0000-0000-000030740000}"/>
    <cellStyle name="표준 5 3 2 2 3 2 3 5 4" xfId="22139" xr:uid="{00000000-0005-0000-0000-000031740000}"/>
    <cellStyle name="표준 5 3 2 2 3 2 3 5 5" xfId="26235" xr:uid="{00000000-0005-0000-0000-000032740000}"/>
    <cellStyle name="표준 5 3 2 2 3 2 3 5 6" xfId="34446" xr:uid="{00000000-0005-0000-0000-000033740000}"/>
    <cellStyle name="표준 5 3 2 2 3 2 3 5 7" xfId="42639" xr:uid="{00000000-0005-0000-0000-000034740000}"/>
    <cellStyle name="표준 5 3 2 2 3 2 3 6" xfId="7577" xr:uid="{00000000-0005-0000-0000-000035740000}"/>
    <cellStyle name="표준 5 3 2 2 3 2 3 6 2" xfId="28283" xr:uid="{00000000-0005-0000-0000-000036740000}"/>
    <cellStyle name="표준 5 3 2 2 3 2 3 6 3" xfId="36494" xr:uid="{00000000-0005-0000-0000-000037740000}"/>
    <cellStyle name="표준 5 3 2 2 3 2 3 6 4" xfId="44687" xr:uid="{00000000-0005-0000-0000-000038740000}"/>
    <cellStyle name="표준 5 3 2 2 3 2 3 7" xfId="11689" xr:uid="{00000000-0005-0000-0000-000039740000}"/>
    <cellStyle name="표준 5 3 2 2 3 2 3 8" xfId="15929" xr:uid="{00000000-0005-0000-0000-00003A740000}"/>
    <cellStyle name="표준 5 3 2 2 3 2 3 9" xfId="20091" xr:uid="{00000000-0005-0000-0000-00003B740000}"/>
    <cellStyle name="표준 5 3 2 2 3 2 4" xfId="978" xr:uid="{00000000-0005-0000-0000-00003C740000}"/>
    <cellStyle name="표준 5 3 2 2 3 2 4 2" xfId="9881" xr:uid="{00000000-0005-0000-0000-00003D740000}"/>
    <cellStyle name="표준 5 3 2 2 3 2 4 2 2" xfId="13993" xr:uid="{00000000-0005-0000-0000-00003E740000}"/>
    <cellStyle name="표준 5 3 2 2 3 2 4 2 2 2" xfId="30587" xr:uid="{00000000-0005-0000-0000-00003F740000}"/>
    <cellStyle name="표준 5 3 2 2 3 2 4 2 2 3" xfId="38798" xr:uid="{00000000-0005-0000-0000-000040740000}"/>
    <cellStyle name="표준 5 3 2 2 3 2 4 2 2 4" xfId="46991" xr:uid="{00000000-0005-0000-0000-000041740000}"/>
    <cellStyle name="표준 5 3 2 2 3 2 4 2 3" xfId="18233" xr:uid="{00000000-0005-0000-0000-000042740000}"/>
    <cellStyle name="표준 5 3 2 2 3 2 4 2 4" xfId="22395" xr:uid="{00000000-0005-0000-0000-000043740000}"/>
    <cellStyle name="표준 5 3 2 2 3 2 4 2 5" xfId="26491" xr:uid="{00000000-0005-0000-0000-000044740000}"/>
    <cellStyle name="표준 5 3 2 2 3 2 4 2 6" xfId="34702" xr:uid="{00000000-0005-0000-0000-000045740000}"/>
    <cellStyle name="표준 5 3 2 2 3 2 4 2 7" xfId="42895" xr:uid="{00000000-0005-0000-0000-000046740000}"/>
    <cellStyle name="표준 5 3 2 2 3 2 4 3" xfId="7833" xr:uid="{00000000-0005-0000-0000-000047740000}"/>
    <cellStyle name="표준 5 3 2 2 3 2 4 3 2" xfId="28539" xr:uid="{00000000-0005-0000-0000-000048740000}"/>
    <cellStyle name="표준 5 3 2 2 3 2 4 3 3" xfId="36750" xr:uid="{00000000-0005-0000-0000-000049740000}"/>
    <cellStyle name="표준 5 3 2 2 3 2 4 3 4" xfId="44943" xr:uid="{00000000-0005-0000-0000-00004A740000}"/>
    <cellStyle name="표준 5 3 2 2 3 2 4 4" xfId="11945" xr:uid="{00000000-0005-0000-0000-00004B740000}"/>
    <cellStyle name="표준 5 3 2 2 3 2 4 5" xfId="16185" xr:uid="{00000000-0005-0000-0000-00004C740000}"/>
    <cellStyle name="표준 5 3 2 2 3 2 4 6" xfId="20347" xr:uid="{00000000-0005-0000-0000-00004D740000}"/>
    <cellStyle name="표준 5 3 2 2 3 2 4 7" xfId="24443" xr:uid="{00000000-0005-0000-0000-00004E740000}"/>
    <cellStyle name="표준 5 3 2 2 3 2 4 8" xfId="32654" xr:uid="{00000000-0005-0000-0000-00004F740000}"/>
    <cellStyle name="표준 5 3 2 2 3 2 4 9" xfId="40847" xr:uid="{00000000-0005-0000-0000-000050740000}"/>
    <cellStyle name="표준 5 3 2 2 3 2 5" xfId="1490" xr:uid="{00000000-0005-0000-0000-000051740000}"/>
    <cellStyle name="표준 5 3 2 2 3 2 5 2" xfId="10393" xr:uid="{00000000-0005-0000-0000-000052740000}"/>
    <cellStyle name="표준 5 3 2 2 3 2 5 2 2" xfId="14505" xr:uid="{00000000-0005-0000-0000-000053740000}"/>
    <cellStyle name="표준 5 3 2 2 3 2 5 2 2 2" xfId="31099" xr:uid="{00000000-0005-0000-0000-000054740000}"/>
    <cellStyle name="표준 5 3 2 2 3 2 5 2 2 3" xfId="39310" xr:uid="{00000000-0005-0000-0000-000055740000}"/>
    <cellStyle name="표준 5 3 2 2 3 2 5 2 2 4" xfId="47503" xr:uid="{00000000-0005-0000-0000-000056740000}"/>
    <cellStyle name="표준 5 3 2 2 3 2 5 2 3" xfId="18745" xr:uid="{00000000-0005-0000-0000-000057740000}"/>
    <cellStyle name="표준 5 3 2 2 3 2 5 2 4" xfId="22907" xr:uid="{00000000-0005-0000-0000-000058740000}"/>
    <cellStyle name="표준 5 3 2 2 3 2 5 2 5" xfId="27003" xr:uid="{00000000-0005-0000-0000-000059740000}"/>
    <cellStyle name="표준 5 3 2 2 3 2 5 2 6" xfId="35214" xr:uid="{00000000-0005-0000-0000-00005A740000}"/>
    <cellStyle name="표준 5 3 2 2 3 2 5 2 7" xfId="43407" xr:uid="{00000000-0005-0000-0000-00005B740000}"/>
    <cellStyle name="표준 5 3 2 2 3 2 5 3" xfId="8345" xr:uid="{00000000-0005-0000-0000-00005C740000}"/>
    <cellStyle name="표준 5 3 2 2 3 2 5 3 2" xfId="29051" xr:uid="{00000000-0005-0000-0000-00005D740000}"/>
    <cellStyle name="표준 5 3 2 2 3 2 5 3 3" xfId="37262" xr:uid="{00000000-0005-0000-0000-00005E740000}"/>
    <cellStyle name="표준 5 3 2 2 3 2 5 3 4" xfId="45455" xr:uid="{00000000-0005-0000-0000-00005F740000}"/>
    <cellStyle name="표준 5 3 2 2 3 2 5 4" xfId="12457" xr:uid="{00000000-0005-0000-0000-000060740000}"/>
    <cellStyle name="표준 5 3 2 2 3 2 5 5" xfId="16697" xr:uid="{00000000-0005-0000-0000-000061740000}"/>
    <cellStyle name="표준 5 3 2 2 3 2 5 6" xfId="20859" xr:uid="{00000000-0005-0000-0000-000062740000}"/>
    <cellStyle name="표준 5 3 2 2 3 2 5 7" xfId="24955" xr:uid="{00000000-0005-0000-0000-000063740000}"/>
    <cellStyle name="표준 5 3 2 2 3 2 5 8" xfId="33166" xr:uid="{00000000-0005-0000-0000-000064740000}"/>
    <cellStyle name="표준 5 3 2 2 3 2 5 9" xfId="41359" xr:uid="{00000000-0005-0000-0000-000065740000}"/>
    <cellStyle name="표준 5 3 2 2 3 2 6" xfId="2002" xr:uid="{00000000-0005-0000-0000-000066740000}"/>
    <cellStyle name="표준 5 3 2 2 3 2 6 2" xfId="10905" xr:uid="{00000000-0005-0000-0000-000067740000}"/>
    <cellStyle name="표준 5 3 2 2 3 2 6 2 2" xfId="15017" xr:uid="{00000000-0005-0000-0000-000068740000}"/>
    <cellStyle name="표준 5 3 2 2 3 2 6 2 2 2" xfId="31611" xr:uid="{00000000-0005-0000-0000-000069740000}"/>
    <cellStyle name="표준 5 3 2 2 3 2 6 2 2 3" xfId="39822" xr:uid="{00000000-0005-0000-0000-00006A740000}"/>
    <cellStyle name="표준 5 3 2 2 3 2 6 2 2 4" xfId="48015" xr:uid="{00000000-0005-0000-0000-00006B740000}"/>
    <cellStyle name="표준 5 3 2 2 3 2 6 2 3" xfId="19257" xr:uid="{00000000-0005-0000-0000-00006C740000}"/>
    <cellStyle name="표준 5 3 2 2 3 2 6 2 4" xfId="23419" xr:uid="{00000000-0005-0000-0000-00006D740000}"/>
    <cellStyle name="표준 5 3 2 2 3 2 6 2 5" xfId="27515" xr:uid="{00000000-0005-0000-0000-00006E740000}"/>
    <cellStyle name="표준 5 3 2 2 3 2 6 2 6" xfId="35726" xr:uid="{00000000-0005-0000-0000-00006F740000}"/>
    <cellStyle name="표준 5 3 2 2 3 2 6 2 7" xfId="43919" xr:uid="{00000000-0005-0000-0000-000070740000}"/>
    <cellStyle name="표준 5 3 2 2 3 2 6 3" xfId="8857" xr:uid="{00000000-0005-0000-0000-000071740000}"/>
    <cellStyle name="표준 5 3 2 2 3 2 6 3 2" xfId="29563" xr:uid="{00000000-0005-0000-0000-000072740000}"/>
    <cellStyle name="표준 5 3 2 2 3 2 6 3 3" xfId="37774" xr:uid="{00000000-0005-0000-0000-000073740000}"/>
    <cellStyle name="표준 5 3 2 2 3 2 6 3 4" xfId="45967" xr:uid="{00000000-0005-0000-0000-000074740000}"/>
    <cellStyle name="표준 5 3 2 2 3 2 6 4" xfId="12969" xr:uid="{00000000-0005-0000-0000-000075740000}"/>
    <cellStyle name="표준 5 3 2 2 3 2 6 5" xfId="17209" xr:uid="{00000000-0005-0000-0000-000076740000}"/>
    <cellStyle name="표준 5 3 2 2 3 2 6 6" xfId="21371" xr:uid="{00000000-0005-0000-0000-000077740000}"/>
    <cellStyle name="표준 5 3 2 2 3 2 6 7" xfId="25467" xr:uid="{00000000-0005-0000-0000-000078740000}"/>
    <cellStyle name="표준 5 3 2 2 3 2 6 8" xfId="33678" xr:uid="{00000000-0005-0000-0000-000079740000}"/>
    <cellStyle name="표준 5 3 2 2 3 2 6 9" xfId="41871" xr:uid="{00000000-0005-0000-0000-00007A740000}"/>
    <cellStyle name="표준 5 3 2 2 3 2 7" xfId="7062" xr:uid="{00000000-0005-0000-0000-00007B740000}"/>
    <cellStyle name="표준 5 3 2 2 3 2 7 2" xfId="9369" xr:uid="{00000000-0005-0000-0000-00007C740000}"/>
    <cellStyle name="표준 5 3 2 2 3 2 7 2 2" xfId="30075" xr:uid="{00000000-0005-0000-0000-00007D740000}"/>
    <cellStyle name="표준 5 3 2 2 3 2 7 2 3" xfId="38286" xr:uid="{00000000-0005-0000-0000-00007E740000}"/>
    <cellStyle name="표준 5 3 2 2 3 2 7 2 4" xfId="46479" xr:uid="{00000000-0005-0000-0000-00007F740000}"/>
    <cellStyle name="표준 5 3 2 2 3 2 7 3" xfId="13481" xr:uid="{00000000-0005-0000-0000-000080740000}"/>
    <cellStyle name="표준 5 3 2 2 3 2 7 4" xfId="17721" xr:uid="{00000000-0005-0000-0000-000081740000}"/>
    <cellStyle name="표준 5 3 2 2 3 2 7 5" xfId="21883" xr:uid="{00000000-0005-0000-0000-000082740000}"/>
    <cellStyle name="표준 5 3 2 2 3 2 7 6" xfId="25979" xr:uid="{00000000-0005-0000-0000-000083740000}"/>
    <cellStyle name="표준 5 3 2 2 3 2 7 7" xfId="34190" xr:uid="{00000000-0005-0000-0000-000084740000}"/>
    <cellStyle name="표준 5 3 2 2 3 2 7 8" xfId="42383" xr:uid="{00000000-0005-0000-0000-000085740000}"/>
    <cellStyle name="표준 5 3 2 2 3 2 8" xfId="7116" xr:uid="{00000000-0005-0000-0000-000086740000}"/>
    <cellStyle name="표준 5 3 2 2 3 2 8 2" xfId="28027" xr:uid="{00000000-0005-0000-0000-000087740000}"/>
    <cellStyle name="표준 5 3 2 2 3 2 8 3" xfId="36238" xr:uid="{00000000-0005-0000-0000-000088740000}"/>
    <cellStyle name="표준 5 3 2 2 3 2 8 4" xfId="44431" xr:uid="{00000000-0005-0000-0000-000089740000}"/>
    <cellStyle name="표준 5 3 2 2 3 2 9" xfId="7321" xr:uid="{00000000-0005-0000-0000-00008A740000}"/>
    <cellStyle name="표준 5 3 2 2 3 3" xfId="530" xr:uid="{00000000-0005-0000-0000-00008B740000}"/>
    <cellStyle name="표준 5 3 2 2 3 3 10" xfId="19899" xr:uid="{00000000-0005-0000-0000-00008C740000}"/>
    <cellStyle name="표준 5 3 2 2 3 3 11" xfId="23995" xr:uid="{00000000-0005-0000-0000-00008D740000}"/>
    <cellStyle name="표준 5 3 2 2 3 3 12" xfId="32206" xr:uid="{00000000-0005-0000-0000-00008E740000}"/>
    <cellStyle name="표준 5 3 2 2 3 3 13" xfId="40399" xr:uid="{00000000-0005-0000-0000-00008F740000}"/>
    <cellStyle name="표준 5 3 2 2 3 3 2" xfId="786" xr:uid="{00000000-0005-0000-0000-000090740000}"/>
    <cellStyle name="표준 5 3 2 2 3 3 2 10" xfId="24251" xr:uid="{00000000-0005-0000-0000-000091740000}"/>
    <cellStyle name="표준 5 3 2 2 3 3 2 11" xfId="32462" xr:uid="{00000000-0005-0000-0000-000092740000}"/>
    <cellStyle name="표준 5 3 2 2 3 3 2 12" xfId="40655" xr:uid="{00000000-0005-0000-0000-000093740000}"/>
    <cellStyle name="표준 5 3 2 2 3 3 2 2" xfId="1298" xr:uid="{00000000-0005-0000-0000-000094740000}"/>
    <cellStyle name="표준 5 3 2 2 3 3 2 2 2" xfId="10201" xr:uid="{00000000-0005-0000-0000-000095740000}"/>
    <cellStyle name="표준 5 3 2 2 3 3 2 2 2 2" xfId="14313" xr:uid="{00000000-0005-0000-0000-000096740000}"/>
    <cellStyle name="표준 5 3 2 2 3 3 2 2 2 2 2" xfId="30907" xr:uid="{00000000-0005-0000-0000-000097740000}"/>
    <cellStyle name="표준 5 3 2 2 3 3 2 2 2 2 3" xfId="39118" xr:uid="{00000000-0005-0000-0000-000098740000}"/>
    <cellStyle name="표준 5 3 2 2 3 3 2 2 2 2 4" xfId="47311" xr:uid="{00000000-0005-0000-0000-000099740000}"/>
    <cellStyle name="표준 5 3 2 2 3 3 2 2 2 3" xfId="18553" xr:uid="{00000000-0005-0000-0000-00009A740000}"/>
    <cellStyle name="표준 5 3 2 2 3 3 2 2 2 4" xfId="22715" xr:uid="{00000000-0005-0000-0000-00009B740000}"/>
    <cellStyle name="표준 5 3 2 2 3 3 2 2 2 5" xfId="26811" xr:uid="{00000000-0005-0000-0000-00009C740000}"/>
    <cellStyle name="표준 5 3 2 2 3 3 2 2 2 6" xfId="35022" xr:uid="{00000000-0005-0000-0000-00009D740000}"/>
    <cellStyle name="표준 5 3 2 2 3 3 2 2 2 7" xfId="43215" xr:uid="{00000000-0005-0000-0000-00009E740000}"/>
    <cellStyle name="표준 5 3 2 2 3 3 2 2 3" xfId="8153" xr:uid="{00000000-0005-0000-0000-00009F740000}"/>
    <cellStyle name="표준 5 3 2 2 3 3 2 2 3 2" xfId="28859" xr:uid="{00000000-0005-0000-0000-0000A0740000}"/>
    <cellStyle name="표준 5 3 2 2 3 3 2 2 3 3" xfId="37070" xr:uid="{00000000-0005-0000-0000-0000A1740000}"/>
    <cellStyle name="표준 5 3 2 2 3 3 2 2 3 4" xfId="45263" xr:uid="{00000000-0005-0000-0000-0000A2740000}"/>
    <cellStyle name="표준 5 3 2 2 3 3 2 2 4" xfId="12265" xr:uid="{00000000-0005-0000-0000-0000A3740000}"/>
    <cellStyle name="표준 5 3 2 2 3 3 2 2 5" xfId="16505" xr:uid="{00000000-0005-0000-0000-0000A4740000}"/>
    <cellStyle name="표준 5 3 2 2 3 3 2 2 6" xfId="20667" xr:uid="{00000000-0005-0000-0000-0000A5740000}"/>
    <cellStyle name="표준 5 3 2 2 3 3 2 2 7" xfId="24763" xr:uid="{00000000-0005-0000-0000-0000A6740000}"/>
    <cellStyle name="표준 5 3 2 2 3 3 2 2 8" xfId="32974" xr:uid="{00000000-0005-0000-0000-0000A7740000}"/>
    <cellStyle name="표준 5 3 2 2 3 3 2 2 9" xfId="41167" xr:uid="{00000000-0005-0000-0000-0000A8740000}"/>
    <cellStyle name="표준 5 3 2 2 3 3 2 3" xfId="1810" xr:uid="{00000000-0005-0000-0000-0000A9740000}"/>
    <cellStyle name="표준 5 3 2 2 3 3 2 3 2" xfId="10713" xr:uid="{00000000-0005-0000-0000-0000AA740000}"/>
    <cellStyle name="표준 5 3 2 2 3 3 2 3 2 2" xfId="14825" xr:uid="{00000000-0005-0000-0000-0000AB740000}"/>
    <cellStyle name="표준 5 3 2 2 3 3 2 3 2 2 2" xfId="31419" xr:uid="{00000000-0005-0000-0000-0000AC740000}"/>
    <cellStyle name="표준 5 3 2 2 3 3 2 3 2 2 3" xfId="39630" xr:uid="{00000000-0005-0000-0000-0000AD740000}"/>
    <cellStyle name="표준 5 3 2 2 3 3 2 3 2 2 4" xfId="47823" xr:uid="{00000000-0005-0000-0000-0000AE740000}"/>
    <cellStyle name="표준 5 3 2 2 3 3 2 3 2 3" xfId="19065" xr:uid="{00000000-0005-0000-0000-0000AF740000}"/>
    <cellStyle name="표준 5 3 2 2 3 3 2 3 2 4" xfId="23227" xr:uid="{00000000-0005-0000-0000-0000B0740000}"/>
    <cellStyle name="표준 5 3 2 2 3 3 2 3 2 5" xfId="27323" xr:uid="{00000000-0005-0000-0000-0000B1740000}"/>
    <cellStyle name="표준 5 3 2 2 3 3 2 3 2 6" xfId="35534" xr:uid="{00000000-0005-0000-0000-0000B2740000}"/>
    <cellStyle name="표준 5 3 2 2 3 3 2 3 2 7" xfId="43727" xr:uid="{00000000-0005-0000-0000-0000B3740000}"/>
    <cellStyle name="표준 5 3 2 2 3 3 2 3 3" xfId="8665" xr:uid="{00000000-0005-0000-0000-0000B4740000}"/>
    <cellStyle name="표준 5 3 2 2 3 3 2 3 3 2" xfId="29371" xr:uid="{00000000-0005-0000-0000-0000B5740000}"/>
    <cellStyle name="표준 5 3 2 2 3 3 2 3 3 3" xfId="37582" xr:uid="{00000000-0005-0000-0000-0000B6740000}"/>
    <cellStyle name="표준 5 3 2 2 3 3 2 3 3 4" xfId="45775" xr:uid="{00000000-0005-0000-0000-0000B7740000}"/>
    <cellStyle name="표준 5 3 2 2 3 3 2 3 4" xfId="12777" xr:uid="{00000000-0005-0000-0000-0000B8740000}"/>
    <cellStyle name="표준 5 3 2 2 3 3 2 3 5" xfId="17017" xr:uid="{00000000-0005-0000-0000-0000B9740000}"/>
    <cellStyle name="표준 5 3 2 2 3 3 2 3 6" xfId="21179" xr:uid="{00000000-0005-0000-0000-0000BA740000}"/>
    <cellStyle name="표준 5 3 2 2 3 3 2 3 7" xfId="25275" xr:uid="{00000000-0005-0000-0000-0000BB740000}"/>
    <cellStyle name="표준 5 3 2 2 3 3 2 3 8" xfId="33486" xr:uid="{00000000-0005-0000-0000-0000BC740000}"/>
    <cellStyle name="표준 5 3 2 2 3 3 2 3 9" xfId="41679" xr:uid="{00000000-0005-0000-0000-0000BD740000}"/>
    <cellStyle name="표준 5 3 2 2 3 3 2 4" xfId="2322" xr:uid="{00000000-0005-0000-0000-0000BE740000}"/>
    <cellStyle name="표준 5 3 2 2 3 3 2 4 2" xfId="11225" xr:uid="{00000000-0005-0000-0000-0000BF740000}"/>
    <cellStyle name="표준 5 3 2 2 3 3 2 4 2 2" xfId="15337" xr:uid="{00000000-0005-0000-0000-0000C0740000}"/>
    <cellStyle name="표준 5 3 2 2 3 3 2 4 2 2 2" xfId="31931" xr:uid="{00000000-0005-0000-0000-0000C1740000}"/>
    <cellStyle name="표준 5 3 2 2 3 3 2 4 2 2 3" xfId="40142" xr:uid="{00000000-0005-0000-0000-0000C2740000}"/>
    <cellStyle name="표준 5 3 2 2 3 3 2 4 2 2 4" xfId="48335" xr:uid="{00000000-0005-0000-0000-0000C3740000}"/>
    <cellStyle name="표준 5 3 2 2 3 3 2 4 2 3" xfId="19577" xr:uid="{00000000-0005-0000-0000-0000C4740000}"/>
    <cellStyle name="표준 5 3 2 2 3 3 2 4 2 4" xfId="23739" xr:uid="{00000000-0005-0000-0000-0000C5740000}"/>
    <cellStyle name="표준 5 3 2 2 3 3 2 4 2 5" xfId="27835" xr:uid="{00000000-0005-0000-0000-0000C6740000}"/>
    <cellStyle name="표준 5 3 2 2 3 3 2 4 2 6" xfId="36046" xr:uid="{00000000-0005-0000-0000-0000C7740000}"/>
    <cellStyle name="표준 5 3 2 2 3 3 2 4 2 7" xfId="44239" xr:uid="{00000000-0005-0000-0000-0000C8740000}"/>
    <cellStyle name="표준 5 3 2 2 3 3 2 4 3" xfId="9177" xr:uid="{00000000-0005-0000-0000-0000C9740000}"/>
    <cellStyle name="표준 5 3 2 2 3 3 2 4 3 2" xfId="29883" xr:uid="{00000000-0005-0000-0000-0000CA740000}"/>
    <cellStyle name="표준 5 3 2 2 3 3 2 4 3 3" xfId="38094" xr:uid="{00000000-0005-0000-0000-0000CB740000}"/>
    <cellStyle name="표준 5 3 2 2 3 3 2 4 3 4" xfId="46287" xr:uid="{00000000-0005-0000-0000-0000CC740000}"/>
    <cellStyle name="표준 5 3 2 2 3 3 2 4 4" xfId="13289" xr:uid="{00000000-0005-0000-0000-0000CD740000}"/>
    <cellStyle name="표준 5 3 2 2 3 3 2 4 5" xfId="17529" xr:uid="{00000000-0005-0000-0000-0000CE740000}"/>
    <cellStyle name="표준 5 3 2 2 3 3 2 4 6" xfId="21691" xr:uid="{00000000-0005-0000-0000-0000CF740000}"/>
    <cellStyle name="표준 5 3 2 2 3 3 2 4 7" xfId="25787" xr:uid="{00000000-0005-0000-0000-0000D0740000}"/>
    <cellStyle name="표준 5 3 2 2 3 3 2 4 8" xfId="33998" xr:uid="{00000000-0005-0000-0000-0000D1740000}"/>
    <cellStyle name="표준 5 3 2 2 3 3 2 4 9" xfId="42191" xr:uid="{00000000-0005-0000-0000-0000D2740000}"/>
    <cellStyle name="표준 5 3 2 2 3 3 2 5" xfId="9689" xr:uid="{00000000-0005-0000-0000-0000D3740000}"/>
    <cellStyle name="표준 5 3 2 2 3 3 2 5 2" xfId="13801" xr:uid="{00000000-0005-0000-0000-0000D4740000}"/>
    <cellStyle name="표준 5 3 2 2 3 3 2 5 2 2" xfId="30395" xr:uid="{00000000-0005-0000-0000-0000D5740000}"/>
    <cellStyle name="표준 5 3 2 2 3 3 2 5 2 3" xfId="38606" xr:uid="{00000000-0005-0000-0000-0000D6740000}"/>
    <cellStyle name="표준 5 3 2 2 3 3 2 5 2 4" xfId="46799" xr:uid="{00000000-0005-0000-0000-0000D7740000}"/>
    <cellStyle name="표준 5 3 2 2 3 3 2 5 3" xfId="18041" xr:uid="{00000000-0005-0000-0000-0000D8740000}"/>
    <cellStyle name="표준 5 3 2 2 3 3 2 5 4" xfId="22203" xr:uid="{00000000-0005-0000-0000-0000D9740000}"/>
    <cellStyle name="표준 5 3 2 2 3 3 2 5 5" xfId="26299" xr:uid="{00000000-0005-0000-0000-0000DA740000}"/>
    <cellStyle name="표준 5 3 2 2 3 3 2 5 6" xfId="34510" xr:uid="{00000000-0005-0000-0000-0000DB740000}"/>
    <cellStyle name="표준 5 3 2 2 3 3 2 5 7" xfId="42703" xr:uid="{00000000-0005-0000-0000-0000DC740000}"/>
    <cellStyle name="표준 5 3 2 2 3 3 2 6" xfId="7641" xr:uid="{00000000-0005-0000-0000-0000DD740000}"/>
    <cellStyle name="표준 5 3 2 2 3 3 2 6 2" xfId="28347" xr:uid="{00000000-0005-0000-0000-0000DE740000}"/>
    <cellStyle name="표준 5 3 2 2 3 3 2 6 3" xfId="36558" xr:uid="{00000000-0005-0000-0000-0000DF740000}"/>
    <cellStyle name="표준 5 3 2 2 3 3 2 6 4" xfId="44751" xr:uid="{00000000-0005-0000-0000-0000E0740000}"/>
    <cellStyle name="표준 5 3 2 2 3 3 2 7" xfId="11753" xr:uid="{00000000-0005-0000-0000-0000E1740000}"/>
    <cellStyle name="표준 5 3 2 2 3 3 2 8" xfId="15993" xr:uid="{00000000-0005-0000-0000-0000E2740000}"/>
    <cellStyle name="표준 5 3 2 2 3 3 2 9" xfId="20155" xr:uid="{00000000-0005-0000-0000-0000E3740000}"/>
    <cellStyle name="표준 5 3 2 2 3 3 3" xfId="1042" xr:uid="{00000000-0005-0000-0000-0000E4740000}"/>
    <cellStyle name="표준 5 3 2 2 3 3 3 2" xfId="9945" xr:uid="{00000000-0005-0000-0000-0000E5740000}"/>
    <cellStyle name="표준 5 3 2 2 3 3 3 2 2" xfId="14057" xr:uid="{00000000-0005-0000-0000-0000E6740000}"/>
    <cellStyle name="표준 5 3 2 2 3 3 3 2 2 2" xfId="30651" xr:uid="{00000000-0005-0000-0000-0000E7740000}"/>
    <cellStyle name="표준 5 3 2 2 3 3 3 2 2 3" xfId="38862" xr:uid="{00000000-0005-0000-0000-0000E8740000}"/>
    <cellStyle name="표준 5 3 2 2 3 3 3 2 2 4" xfId="47055" xr:uid="{00000000-0005-0000-0000-0000E9740000}"/>
    <cellStyle name="표준 5 3 2 2 3 3 3 2 3" xfId="18297" xr:uid="{00000000-0005-0000-0000-0000EA740000}"/>
    <cellStyle name="표준 5 3 2 2 3 3 3 2 4" xfId="22459" xr:uid="{00000000-0005-0000-0000-0000EB740000}"/>
    <cellStyle name="표준 5 3 2 2 3 3 3 2 5" xfId="26555" xr:uid="{00000000-0005-0000-0000-0000EC740000}"/>
    <cellStyle name="표준 5 3 2 2 3 3 3 2 6" xfId="34766" xr:uid="{00000000-0005-0000-0000-0000ED740000}"/>
    <cellStyle name="표준 5 3 2 2 3 3 3 2 7" xfId="42959" xr:uid="{00000000-0005-0000-0000-0000EE740000}"/>
    <cellStyle name="표준 5 3 2 2 3 3 3 3" xfId="7897" xr:uid="{00000000-0005-0000-0000-0000EF740000}"/>
    <cellStyle name="표준 5 3 2 2 3 3 3 3 2" xfId="28603" xr:uid="{00000000-0005-0000-0000-0000F0740000}"/>
    <cellStyle name="표준 5 3 2 2 3 3 3 3 3" xfId="36814" xr:uid="{00000000-0005-0000-0000-0000F1740000}"/>
    <cellStyle name="표준 5 3 2 2 3 3 3 3 4" xfId="45007" xr:uid="{00000000-0005-0000-0000-0000F2740000}"/>
    <cellStyle name="표준 5 3 2 2 3 3 3 4" xfId="12009" xr:uid="{00000000-0005-0000-0000-0000F3740000}"/>
    <cellStyle name="표준 5 3 2 2 3 3 3 5" xfId="16249" xr:uid="{00000000-0005-0000-0000-0000F4740000}"/>
    <cellStyle name="표준 5 3 2 2 3 3 3 6" xfId="20411" xr:uid="{00000000-0005-0000-0000-0000F5740000}"/>
    <cellStyle name="표준 5 3 2 2 3 3 3 7" xfId="24507" xr:uid="{00000000-0005-0000-0000-0000F6740000}"/>
    <cellStyle name="표준 5 3 2 2 3 3 3 8" xfId="32718" xr:uid="{00000000-0005-0000-0000-0000F7740000}"/>
    <cellStyle name="표준 5 3 2 2 3 3 3 9" xfId="40911" xr:uid="{00000000-0005-0000-0000-0000F8740000}"/>
    <cellStyle name="표준 5 3 2 2 3 3 4" xfId="1554" xr:uid="{00000000-0005-0000-0000-0000F9740000}"/>
    <cellStyle name="표준 5 3 2 2 3 3 4 2" xfId="10457" xr:uid="{00000000-0005-0000-0000-0000FA740000}"/>
    <cellStyle name="표준 5 3 2 2 3 3 4 2 2" xfId="14569" xr:uid="{00000000-0005-0000-0000-0000FB740000}"/>
    <cellStyle name="표준 5 3 2 2 3 3 4 2 2 2" xfId="31163" xr:uid="{00000000-0005-0000-0000-0000FC740000}"/>
    <cellStyle name="표준 5 3 2 2 3 3 4 2 2 3" xfId="39374" xr:uid="{00000000-0005-0000-0000-0000FD740000}"/>
    <cellStyle name="표준 5 3 2 2 3 3 4 2 2 4" xfId="47567" xr:uid="{00000000-0005-0000-0000-0000FE740000}"/>
    <cellStyle name="표준 5 3 2 2 3 3 4 2 3" xfId="18809" xr:uid="{00000000-0005-0000-0000-0000FF740000}"/>
    <cellStyle name="표준 5 3 2 2 3 3 4 2 4" xfId="22971" xr:uid="{00000000-0005-0000-0000-000000750000}"/>
    <cellStyle name="표준 5 3 2 2 3 3 4 2 5" xfId="27067" xr:uid="{00000000-0005-0000-0000-000001750000}"/>
    <cellStyle name="표준 5 3 2 2 3 3 4 2 6" xfId="35278" xr:uid="{00000000-0005-0000-0000-000002750000}"/>
    <cellStyle name="표준 5 3 2 2 3 3 4 2 7" xfId="43471" xr:uid="{00000000-0005-0000-0000-000003750000}"/>
    <cellStyle name="표준 5 3 2 2 3 3 4 3" xfId="8409" xr:uid="{00000000-0005-0000-0000-000004750000}"/>
    <cellStyle name="표준 5 3 2 2 3 3 4 3 2" xfId="29115" xr:uid="{00000000-0005-0000-0000-000005750000}"/>
    <cellStyle name="표준 5 3 2 2 3 3 4 3 3" xfId="37326" xr:uid="{00000000-0005-0000-0000-000006750000}"/>
    <cellStyle name="표준 5 3 2 2 3 3 4 3 4" xfId="45519" xr:uid="{00000000-0005-0000-0000-000007750000}"/>
    <cellStyle name="표준 5 3 2 2 3 3 4 4" xfId="12521" xr:uid="{00000000-0005-0000-0000-000008750000}"/>
    <cellStyle name="표준 5 3 2 2 3 3 4 5" xfId="16761" xr:uid="{00000000-0005-0000-0000-000009750000}"/>
    <cellStyle name="표준 5 3 2 2 3 3 4 6" xfId="20923" xr:uid="{00000000-0005-0000-0000-00000A750000}"/>
    <cellStyle name="표준 5 3 2 2 3 3 4 7" xfId="25019" xr:uid="{00000000-0005-0000-0000-00000B750000}"/>
    <cellStyle name="표준 5 3 2 2 3 3 4 8" xfId="33230" xr:uid="{00000000-0005-0000-0000-00000C750000}"/>
    <cellStyle name="표준 5 3 2 2 3 3 4 9" xfId="41423" xr:uid="{00000000-0005-0000-0000-00000D750000}"/>
    <cellStyle name="표준 5 3 2 2 3 3 5" xfId="2066" xr:uid="{00000000-0005-0000-0000-00000E750000}"/>
    <cellStyle name="표준 5 3 2 2 3 3 5 2" xfId="10969" xr:uid="{00000000-0005-0000-0000-00000F750000}"/>
    <cellStyle name="표준 5 3 2 2 3 3 5 2 2" xfId="15081" xr:uid="{00000000-0005-0000-0000-000010750000}"/>
    <cellStyle name="표준 5 3 2 2 3 3 5 2 2 2" xfId="31675" xr:uid="{00000000-0005-0000-0000-000011750000}"/>
    <cellStyle name="표준 5 3 2 2 3 3 5 2 2 3" xfId="39886" xr:uid="{00000000-0005-0000-0000-000012750000}"/>
    <cellStyle name="표준 5 3 2 2 3 3 5 2 2 4" xfId="48079" xr:uid="{00000000-0005-0000-0000-000013750000}"/>
    <cellStyle name="표준 5 3 2 2 3 3 5 2 3" xfId="19321" xr:uid="{00000000-0005-0000-0000-000014750000}"/>
    <cellStyle name="표준 5 3 2 2 3 3 5 2 4" xfId="23483" xr:uid="{00000000-0005-0000-0000-000015750000}"/>
    <cellStyle name="표준 5 3 2 2 3 3 5 2 5" xfId="27579" xr:uid="{00000000-0005-0000-0000-000016750000}"/>
    <cellStyle name="표준 5 3 2 2 3 3 5 2 6" xfId="35790" xr:uid="{00000000-0005-0000-0000-000017750000}"/>
    <cellStyle name="표준 5 3 2 2 3 3 5 2 7" xfId="43983" xr:uid="{00000000-0005-0000-0000-000018750000}"/>
    <cellStyle name="표준 5 3 2 2 3 3 5 3" xfId="8921" xr:uid="{00000000-0005-0000-0000-000019750000}"/>
    <cellStyle name="표준 5 3 2 2 3 3 5 3 2" xfId="29627" xr:uid="{00000000-0005-0000-0000-00001A750000}"/>
    <cellStyle name="표준 5 3 2 2 3 3 5 3 3" xfId="37838" xr:uid="{00000000-0005-0000-0000-00001B750000}"/>
    <cellStyle name="표준 5 3 2 2 3 3 5 3 4" xfId="46031" xr:uid="{00000000-0005-0000-0000-00001C750000}"/>
    <cellStyle name="표준 5 3 2 2 3 3 5 4" xfId="13033" xr:uid="{00000000-0005-0000-0000-00001D750000}"/>
    <cellStyle name="표준 5 3 2 2 3 3 5 5" xfId="17273" xr:uid="{00000000-0005-0000-0000-00001E750000}"/>
    <cellStyle name="표준 5 3 2 2 3 3 5 6" xfId="21435" xr:uid="{00000000-0005-0000-0000-00001F750000}"/>
    <cellStyle name="표준 5 3 2 2 3 3 5 7" xfId="25531" xr:uid="{00000000-0005-0000-0000-000020750000}"/>
    <cellStyle name="표준 5 3 2 2 3 3 5 8" xfId="33742" xr:uid="{00000000-0005-0000-0000-000021750000}"/>
    <cellStyle name="표준 5 3 2 2 3 3 5 9" xfId="41935" xr:uid="{00000000-0005-0000-0000-000022750000}"/>
    <cellStyle name="표준 5 3 2 2 3 3 6" xfId="9433" xr:uid="{00000000-0005-0000-0000-000023750000}"/>
    <cellStyle name="표준 5 3 2 2 3 3 6 2" xfId="13545" xr:uid="{00000000-0005-0000-0000-000024750000}"/>
    <cellStyle name="표준 5 3 2 2 3 3 6 2 2" xfId="30139" xr:uid="{00000000-0005-0000-0000-000025750000}"/>
    <cellStyle name="표준 5 3 2 2 3 3 6 2 3" xfId="38350" xr:uid="{00000000-0005-0000-0000-000026750000}"/>
    <cellStyle name="표준 5 3 2 2 3 3 6 2 4" xfId="46543" xr:uid="{00000000-0005-0000-0000-000027750000}"/>
    <cellStyle name="표준 5 3 2 2 3 3 6 3" xfId="17785" xr:uid="{00000000-0005-0000-0000-000028750000}"/>
    <cellStyle name="표준 5 3 2 2 3 3 6 4" xfId="21947" xr:uid="{00000000-0005-0000-0000-000029750000}"/>
    <cellStyle name="표준 5 3 2 2 3 3 6 5" xfId="26043" xr:uid="{00000000-0005-0000-0000-00002A750000}"/>
    <cellStyle name="표준 5 3 2 2 3 3 6 6" xfId="34254" xr:uid="{00000000-0005-0000-0000-00002B750000}"/>
    <cellStyle name="표준 5 3 2 2 3 3 6 7" xfId="42447" xr:uid="{00000000-0005-0000-0000-00002C750000}"/>
    <cellStyle name="표준 5 3 2 2 3 3 7" xfId="7385" xr:uid="{00000000-0005-0000-0000-00002D750000}"/>
    <cellStyle name="표준 5 3 2 2 3 3 7 2" xfId="28091" xr:uid="{00000000-0005-0000-0000-00002E750000}"/>
    <cellStyle name="표준 5 3 2 2 3 3 7 3" xfId="36302" xr:uid="{00000000-0005-0000-0000-00002F750000}"/>
    <cellStyle name="표준 5 3 2 2 3 3 7 4" xfId="44495" xr:uid="{00000000-0005-0000-0000-000030750000}"/>
    <cellStyle name="표준 5 3 2 2 3 3 8" xfId="11497" xr:uid="{00000000-0005-0000-0000-000031750000}"/>
    <cellStyle name="표준 5 3 2 2 3 3 9" xfId="15737" xr:uid="{00000000-0005-0000-0000-000032750000}"/>
    <cellStyle name="표준 5 3 2 2 3 4" xfId="658" xr:uid="{00000000-0005-0000-0000-000033750000}"/>
    <cellStyle name="표준 5 3 2 2 3 4 10" xfId="24123" xr:uid="{00000000-0005-0000-0000-000034750000}"/>
    <cellStyle name="표준 5 3 2 2 3 4 11" xfId="32334" xr:uid="{00000000-0005-0000-0000-000035750000}"/>
    <cellStyle name="표준 5 3 2 2 3 4 12" xfId="40527" xr:uid="{00000000-0005-0000-0000-000036750000}"/>
    <cellStyle name="표준 5 3 2 2 3 4 2" xfId="1170" xr:uid="{00000000-0005-0000-0000-000037750000}"/>
    <cellStyle name="표준 5 3 2 2 3 4 2 2" xfId="10073" xr:uid="{00000000-0005-0000-0000-000038750000}"/>
    <cellStyle name="표준 5 3 2 2 3 4 2 2 2" xfId="14185" xr:uid="{00000000-0005-0000-0000-000039750000}"/>
    <cellStyle name="표준 5 3 2 2 3 4 2 2 2 2" xfId="30779" xr:uid="{00000000-0005-0000-0000-00003A750000}"/>
    <cellStyle name="표준 5 3 2 2 3 4 2 2 2 3" xfId="38990" xr:uid="{00000000-0005-0000-0000-00003B750000}"/>
    <cellStyle name="표준 5 3 2 2 3 4 2 2 2 4" xfId="47183" xr:uid="{00000000-0005-0000-0000-00003C750000}"/>
    <cellStyle name="표준 5 3 2 2 3 4 2 2 3" xfId="18425" xr:uid="{00000000-0005-0000-0000-00003D750000}"/>
    <cellStyle name="표준 5 3 2 2 3 4 2 2 4" xfId="22587" xr:uid="{00000000-0005-0000-0000-00003E750000}"/>
    <cellStyle name="표준 5 3 2 2 3 4 2 2 5" xfId="26683" xr:uid="{00000000-0005-0000-0000-00003F750000}"/>
    <cellStyle name="표준 5 3 2 2 3 4 2 2 6" xfId="34894" xr:uid="{00000000-0005-0000-0000-000040750000}"/>
    <cellStyle name="표준 5 3 2 2 3 4 2 2 7" xfId="43087" xr:uid="{00000000-0005-0000-0000-000041750000}"/>
    <cellStyle name="표준 5 3 2 2 3 4 2 3" xfId="8025" xr:uid="{00000000-0005-0000-0000-000042750000}"/>
    <cellStyle name="표준 5 3 2 2 3 4 2 3 2" xfId="28731" xr:uid="{00000000-0005-0000-0000-000043750000}"/>
    <cellStyle name="표준 5 3 2 2 3 4 2 3 3" xfId="36942" xr:uid="{00000000-0005-0000-0000-000044750000}"/>
    <cellStyle name="표준 5 3 2 2 3 4 2 3 4" xfId="45135" xr:uid="{00000000-0005-0000-0000-000045750000}"/>
    <cellStyle name="표준 5 3 2 2 3 4 2 4" xfId="12137" xr:uid="{00000000-0005-0000-0000-000046750000}"/>
    <cellStyle name="표준 5 3 2 2 3 4 2 5" xfId="16377" xr:uid="{00000000-0005-0000-0000-000047750000}"/>
    <cellStyle name="표준 5 3 2 2 3 4 2 6" xfId="20539" xr:uid="{00000000-0005-0000-0000-000048750000}"/>
    <cellStyle name="표준 5 3 2 2 3 4 2 7" xfId="24635" xr:uid="{00000000-0005-0000-0000-000049750000}"/>
    <cellStyle name="표준 5 3 2 2 3 4 2 8" xfId="32846" xr:uid="{00000000-0005-0000-0000-00004A750000}"/>
    <cellStyle name="표준 5 3 2 2 3 4 2 9" xfId="41039" xr:uid="{00000000-0005-0000-0000-00004B750000}"/>
    <cellStyle name="표준 5 3 2 2 3 4 3" xfId="1682" xr:uid="{00000000-0005-0000-0000-00004C750000}"/>
    <cellStyle name="표준 5 3 2 2 3 4 3 2" xfId="10585" xr:uid="{00000000-0005-0000-0000-00004D750000}"/>
    <cellStyle name="표준 5 3 2 2 3 4 3 2 2" xfId="14697" xr:uid="{00000000-0005-0000-0000-00004E750000}"/>
    <cellStyle name="표준 5 3 2 2 3 4 3 2 2 2" xfId="31291" xr:uid="{00000000-0005-0000-0000-00004F750000}"/>
    <cellStyle name="표준 5 3 2 2 3 4 3 2 2 3" xfId="39502" xr:uid="{00000000-0005-0000-0000-000050750000}"/>
    <cellStyle name="표준 5 3 2 2 3 4 3 2 2 4" xfId="47695" xr:uid="{00000000-0005-0000-0000-000051750000}"/>
    <cellStyle name="표준 5 3 2 2 3 4 3 2 3" xfId="18937" xr:uid="{00000000-0005-0000-0000-000052750000}"/>
    <cellStyle name="표준 5 3 2 2 3 4 3 2 4" xfId="23099" xr:uid="{00000000-0005-0000-0000-000053750000}"/>
    <cellStyle name="표준 5 3 2 2 3 4 3 2 5" xfId="27195" xr:uid="{00000000-0005-0000-0000-000054750000}"/>
    <cellStyle name="표준 5 3 2 2 3 4 3 2 6" xfId="35406" xr:uid="{00000000-0005-0000-0000-000055750000}"/>
    <cellStyle name="표준 5 3 2 2 3 4 3 2 7" xfId="43599" xr:uid="{00000000-0005-0000-0000-000056750000}"/>
    <cellStyle name="표준 5 3 2 2 3 4 3 3" xfId="8537" xr:uid="{00000000-0005-0000-0000-000057750000}"/>
    <cellStyle name="표준 5 3 2 2 3 4 3 3 2" xfId="29243" xr:uid="{00000000-0005-0000-0000-000058750000}"/>
    <cellStyle name="표준 5 3 2 2 3 4 3 3 3" xfId="37454" xr:uid="{00000000-0005-0000-0000-000059750000}"/>
    <cellStyle name="표준 5 3 2 2 3 4 3 3 4" xfId="45647" xr:uid="{00000000-0005-0000-0000-00005A750000}"/>
    <cellStyle name="표준 5 3 2 2 3 4 3 4" xfId="12649" xr:uid="{00000000-0005-0000-0000-00005B750000}"/>
    <cellStyle name="표준 5 3 2 2 3 4 3 5" xfId="16889" xr:uid="{00000000-0005-0000-0000-00005C750000}"/>
    <cellStyle name="표준 5 3 2 2 3 4 3 6" xfId="21051" xr:uid="{00000000-0005-0000-0000-00005D750000}"/>
    <cellStyle name="표준 5 3 2 2 3 4 3 7" xfId="25147" xr:uid="{00000000-0005-0000-0000-00005E750000}"/>
    <cellStyle name="표준 5 3 2 2 3 4 3 8" xfId="33358" xr:uid="{00000000-0005-0000-0000-00005F750000}"/>
    <cellStyle name="표준 5 3 2 2 3 4 3 9" xfId="41551" xr:uid="{00000000-0005-0000-0000-000060750000}"/>
    <cellStyle name="표준 5 3 2 2 3 4 4" xfId="2194" xr:uid="{00000000-0005-0000-0000-000061750000}"/>
    <cellStyle name="표준 5 3 2 2 3 4 4 2" xfId="11097" xr:uid="{00000000-0005-0000-0000-000062750000}"/>
    <cellStyle name="표준 5 3 2 2 3 4 4 2 2" xfId="15209" xr:uid="{00000000-0005-0000-0000-000063750000}"/>
    <cellStyle name="표준 5 3 2 2 3 4 4 2 2 2" xfId="31803" xr:uid="{00000000-0005-0000-0000-000064750000}"/>
    <cellStyle name="표준 5 3 2 2 3 4 4 2 2 3" xfId="40014" xr:uid="{00000000-0005-0000-0000-000065750000}"/>
    <cellStyle name="표준 5 3 2 2 3 4 4 2 2 4" xfId="48207" xr:uid="{00000000-0005-0000-0000-000066750000}"/>
    <cellStyle name="표준 5 3 2 2 3 4 4 2 3" xfId="19449" xr:uid="{00000000-0005-0000-0000-000067750000}"/>
    <cellStyle name="표준 5 3 2 2 3 4 4 2 4" xfId="23611" xr:uid="{00000000-0005-0000-0000-000068750000}"/>
    <cellStyle name="표준 5 3 2 2 3 4 4 2 5" xfId="27707" xr:uid="{00000000-0005-0000-0000-000069750000}"/>
    <cellStyle name="표준 5 3 2 2 3 4 4 2 6" xfId="35918" xr:uid="{00000000-0005-0000-0000-00006A750000}"/>
    <cellStyle name="표준 5 3 2 2 3 4 4 2 7" xfId="44111" xr:uid="{00000000-0005-0000-0000-00006B750000}"/>
    <cellStyle name="표준 5 3 2 2 3 4 4 3" xfId="9049" xr:uid="{00000000-0005-0000-0000-00006C750000}"/>
    <cellStyle name="표준 5 3 2 2 3 4 4 3 2" xfId="29755" xr:uid="{00000000-0005-0000-0000-00006D750000}"/>
    <cellStyle name="표준 5 3 2 2 3 4 4 3 3" xfId="37966" xr:uid="{00000000-0005-0000-0000-00006E750000}"/>
    <cellStyle name="표준 5 3 2 2 3 4 4 3 4" xfId="46159" xr:uid="{00000000-0005-0000-0000-00006F750000}"/>
    <cellStyle name="표준 5 3 2 2 3 4 4 4" xfId="13161" xr:uid="{00000000-0005-0000-0000-000070750000}"/>
    <cellStyle name="표준 5 3 2 2 3 4 4 5" xfId="17401" xr:uid="{00000000-0005-0000-0000-000071750000}"/>
    <cellStyle name="표준 5 3 2 2 3 4 4 6" xfId="21563" xr:uid="{00000000-0005-0000-0000-000072750000}"/>
    <cellStyle name="표준 5 3 2 2 3 4 4 7" xfId="25659" xr:uid="{00000000-0005-0000-0000-000073750000}"/>
    <cellStyle name="표준 5 3 2 2 3 4 4 8" xfId="33870" xr:uid="{00000000-0005-0000-0000-000074750000}"/>
    <cellStyle name="표준 5 3 2 2 3 4 4 9" xfId="42063" xr:uid="{00000000-0005-0000-0000-000075750000}"/>
    <cellStyle name="표준 5 3 2 2 3 4 5" xfId="9561" xr:uid="{00000000-0005-0000-0000-000076750000}"/>
    <cellStyle name="표준 5 3 2 2 3 4 5 2" xfId="13673" xr:uid="{00000000-0005-0000-0000-000077750000}"/>
    <cellStyle name="표준 5 3 2 2 3 4 5 2 2" xfId="30267" xr:uid="{00000000-0005-0000-0000-000078750000}"/>
    <cellStyle name="표준 5 3 2 2 3 4 5 2 3" xfId="38478" xr:uid="{00000000-0005-0000-0000-000079750000}"/>
    <cellStyle name="표준 5 3 2 2 3 4 5 2 4" xfId="46671" xr:uid="{00000000-0005-0000-0000-00007A750000}"/>
    <cellStyle name="표준 5 3 2 2 3 4 5 3" xfId="17913" xr:uid="{00000000-0005-0000-0000-00007B750000}"/>
    <cellStyle name="표준 5 3 2 2 3 4 5 4" xfId="22075" xr:uid="{00000000-0005-0000-0000-00007C750000}"/>
    <cellStyle name="표준 5 3 2 2 3 4 5 5" xfId="26171" xr:uid="{00000000-0005-0000-0000-00007D750000}"/>
    <cellStyle name="표준 5 3 2 2 3 4 5 6" xfId="34382" xr:uid="{00000000-0005-0000-0000-00007E750000}"/>
    <cellStyle name="표준 5 3 2 2 3 4 5 7" xfId="42575" xr:uid="{00000000-0005-0000-0000-00007F750000}"/>
    <cellStyle name="표준 5 3 2 2 3 4 6" xfId="7513" xr:uid="{00000000-0005-0000-0000-000080750000}"/>
    <cellStyle name="표준 5 3 2 2 3 4 6 2" xfId="28219" xr:uid="{00000000-0005-0000-0000-000081750000}"/>
    <cellStyle name="표준 5 3 2 2 3 4 6 3" xfId="36430" xr:uid="{00000000-0005-0000-0000-000082750000}"/>
    <cellStyle name="표준 5 3 2 2 3 4 6 4" xfId="44623" xr:uid="{00000000-0005-0000-0000-000083750000}"/>
    <cellStyle name="표준 5 3 2 2 3 4 7" xfId="11625" xr:uid="{00000000-0005-0000-0000-000084750000}"/>
    <cellStyle name="표준 5 3 2 2 3 4 8" xfId="15865" xr:uid="{00000000-0005-0000-0000-000085750000}"/>
    <cellStyle name="표준 5 3 2 2 3 4 9" xfId="20027" xr:uid="{00000000-0005-0000-0000-000086750000}"/>
    <cellStyle name="표준 5 3 2 2 3 5" xfId="914" xr:uid="{00000000-0005-0000-0000-000087750000}"/>
    <cellStyle name="표준 5 3 2 2 3 5 2" xfId="9817" xr:uid="{00000000-0005-0000-0000-000088750000}"/>
    <cellStyle name="표준 5 3 2 2 3 5 2 2" xfId="13929" xr:uid="{00000000-0005-0000-0000-000089750000}"/>
    <cellStyle name="표준 5 3 2 2 3 5 2 2 2" xfId="30523" xr:uid="{00000000-0005-0000-0000-00008A750000}"/>
    <cellStyle name="표준 5 3 2 2 3 5 2 2 3" xfId="38734" xr:uid="{00000000-0005-0000-0000-00008B750000}"/>
    <cellStyle name="표준 5 3 2 2 3 5 2 2 4" xfId="46927" xr:uid="{00000000-0005-0000-0000-00008C750000}"/>
    <cellStyle name="표준 5 3 2 2 3 5 2 3" xfId="18169" xr:uid="{00000000-0005-0000-0000-00008D750000}"/>
    <cellStyle name="표준 5 3 2 2 3 5 2 4" xfId="22331" xr:uid="{00000000-0005-0000-0000-00008E750000}"/>
    <cellStyle name="표준 5 3 2 2 3 5 2 5" xfId="26427" xr:uid="{00000000-0005-0000-0000-00008F750000}"/>
    <cellStyle name="표준 5 3 2 2 3 5 2 6" xfId="34638" xr:uid="{00000000-0005-0000-0000-000090750000}"/>
    <cellStyle name="표준 5 3 2 2 3 5 2 7" xfId="42831" xr:uid="{00000000-0005-0000-0000-000091750000}"/>
    <cellStyle name="표준 5 3 2 2 3 5 3" xfId="7769" xr:uid="{00000000-0005-0000-0000-000092750000}"/>
    <cellStyle name="표준 5 3 2 2 3 5 3 2" xfId="28475" xr:uid="{00000000-0005-0000-0000-000093750000}"/>
    <cellStyle name="표준 5 3 2 2 3 5 3 3" xfId="36686" xr:uid="{00000000-0005-0000-0000-000094750000}"/>
    <cellStyle name="표준 5 3 2 2 3 5 3 4" xfId="44879" xr:uid="{00000000-0005-0000-0000-000095750000}"/>
    <cellStyle name="표준 5 3 2 2 3 5 4" xfId="11881" xr:uid="{00000000-0005-0000-0000-000096750000}"/>
    <cellStyle name="표준 5 3 2 2 3 5 5" xfId="16121" xr:uid="{00000000-0005-0000-0000-000097750000}"/>
    <cellStyle name="표준 5 3 2 2 3 5 6" xfId="20283" xr:uid="{00000000-0005-0000-0000-000098750000}"/>
    <cellStyle name="표준 5 3 2 2 3 5 7" xfId="24379" xr:uid="{00000000-0005-0000-0000-000099750000}"/>
    <cellStyle name="표준 5 3 2 2 3 5 8" xfId="32590" xr:uid="{00000000-0005-0000-0000-00009A750000}"/>
    <cellStyle name="표준 5 3 2 2 3 5 9" xfId="40783" xr:uid="{00000000-0005-0000-0000-00009B750000}"/>
    <cellStyle name="표준 5 3 2 2 3 6" xfId="1426" xr:uid="{00000000-0005-0000-0000-00009C750000}"/>
    <cellStyle name="표준 5 3 2 2 3 6 2" xfId="10329" xr:uid="{00000000-0005-0000-0000-00009D750000}"/>
    <cellStyle name="표준 5 3 2 2 3 6 2 2" xfId="14441" xr:uid="{00000000-0005-0000-0000-00009E750000}"/>
    <cellStyle name="표준 5 3 2 2 3 6 2 2 2" xfId="31035" xr:uid="{00000000-0005-0000-0000-00009F750000}"/>
    <cellStyle name="표준 5 3 2 2 3 6 2 2 3" xfId="39246" xr:uid="{00000000-0005-0000-0000-0000A0750000}"/>
    <cellStyle name="표준 5 3 2 2 3 6 2 2 4" xfId="47439" xr:uid="{00000000-0005-0000-0000-0000A1750000}"/>
    <cellStyle name="표준 5 3 2 2 3 6 2 3" xfId="18681" xr:uid="{00000000-0005-0000-0000-0000A2750000}"/>
    <cellStyle name="표준 5 3 2 2 3 6 2 4" xfId="22843" xr:uid="{00000000-0005-0000-0000-0000A3750000}"/>
    <cellStyle name="표준 5 3 2 2 3 6 2 5" xfId="26939" xr:uid="{00000000-0005-0000-0000-0000A4750000}"/>
    <cellStyle name="표준 5 3 2 2 3 6 2 6" xfId="35150" xr:uid="{00000000-0005-0000-0000-0000A5750000}"/>
    <cellStyle name="표준 5 3 2 2 3 6 2 7" xfId="43343" xr:uid="{00000000-0005-0000-0000-0000A6750000}"/>
    <cellStyle name="표준 5 3 2 2 3 6 3" xfId="8281" xr:uid="{00000000-0005-0000-0000-0000A7750000}"/>
    <cellStyle name="표준 5 3 2 2 3 6 3 2" xfId="28987" xr:uid="{00000000-0005-0000-0000-0000A8750000}"/>
    <cellStyle name="표준 5 3 2 2 3 6 3 3" xfId="37198" xr:uid="{00000000-0005-0000-0000-0000A9750000}"/>
    <cellStyle name="표준 5 3 2 2 3 6 3 4" xfId="45391" xr:uid="{00000000-0005-0000-0000-0000AA750000}"/>
    <cellStyle name="표준 5 3 2 2 3 6 4" xfId="12393" xr:uid="{00000000-0005-0000-0000-0000AB750000}"/>
    <cellStyle name="표준 5 3 2 2 3 6 5" xfId="16633" xr:uid="{00000000-0005-0000-0000-0000AC750000}"/>
    <cellStyle name="표준 5 3 2 2 3 6 6" xfId="20795" xr:uid="{00000000-0005-0000-0000-0000AD750000}"/>
    <cellStyle name="표준 5 3 2 2 3 6 7" xfId="24891" xr:uid="{00000000-0005-0000-0000-0000AE750000}"/>
    <cellStyle name="표준 5 3 2 2 3 6 8" xfId="33102" xr:uid="{00000000-0005-0000-0000-0000AF750000}"/>
    <cellStyle name="표준 5 3 2 2 3 6 9" xfId="41295" xr:uid="{00000000-0005-0000-0000-0000B0750000}"/>
    <cellStyle name="표준 5 3 2 2 3 7" xfId="1938" xr:uid="{00000000-0005-0000-0000-0000B1750000}"/>
    <cellStyle name="표준 5 3 2 2 3 7 2" xfId="10841" xr:uid="{00000000-0005-0000-0000-0000B2750000}"/>
    <cellStyle name="표준 5 3 2 2 3 7 2 2" xfId="14953" xr:uid="{00000000-0005-0000-0000-0000B3750000}"/>
    <cellStyle name="표준 5 3 2 2 3 7 2 2 2" xfId="31547" xr:uid="{00000000-0005-0000-0000-0000B4750000}"/>
    <cellStyle name="표준 5 3 2 2 3 7 2 2 3" xfId="39758" xr:uid="{00000000-0005-0000-0000-0000B5750000}"/>
    <cellStyle name="표준 5 3 2 2 3 7 2 2 4" xfId="47951" xr:uid="{00000000-0005-0000-0000-0000B6750000}"/>
    <cellStyle name="표준 5 3 2 2 3 7 2 3" xfId="19193" xr:uid="{00000000-0005-0000-0000-0000B7750000}"/>
    <cellStyle name="표준 5 3 2 2 3 7 2 4" xfId="23355" xr:uid="{00000000-0005-0000-0000-0000B8750000}"/>
    <cellStyle name="표준 5 3 2 2 3 7 2 5" xfId="27451" xr:uid="{00000000-0005-0000-0000-0000B9750000}"/>
    <cellStyle name="표준 5 3 2 2 3 7 2 6" xfId="35662" xr:uid="{00000000-0005-0000-0000-0000BA750000}"/>
    <cellStyle name="표준 5 3 2 2 3 7 2 7" xfId="43855" xr:uid="{00000000-0005-0000-0000-0000BB750000}"/>
    <cellStyle name="표준 5 3 2 2 3 7 3" xfId="8793" xr:uid="{00000000-0005-0000-0000-0000BC750000}"/>
    <cellStyle name="표준 5 3 2 2 3 7 3 2" xfId="29499" xr:uid="{00000000-0005-0000-0000-0000BD750000}"/>
    <cellStyle name="표준 5 3 2 2 3 7 3 3" xfId="37710" xr:uid="{00000000-0005-0000-0000-0000BE750000}"/>
    <cellStyle name="표준 5 3 2 2 3 7 3 4" xfId="45903" xr:uid="{00000000-0005-0000-0000-0000BF750000}"/>
    <cellStyle name="표준 5 3 2 2 3 7 4" xfId="12905" xr:uid="{00000000-0005-0000-0000-0000C0750000}"/>
    <cellStyle name="표준 5 3 2 2 3 7 5" xfId="17145" xr:uid="{00000000-0005-0000-0000-0000C1750000}"/>
    <cellStyle name="표준 5 3 2 2 3 7 6" xfId="21307" xr:uid="{00000000-0005-0000-0000-0000C2750000}"/>
    <cellStyle name="표준 5 3 2 2 3 7 7" xfId="25403" xr:uid="{00000000-0005-0000-0000-0000C3750000}"/>
    <cellStyle name="표준 5 3 2 2 3 7 8" xfId="33614" xr:uid="{00000000-0005-0000-0000-0000C4750000}"/>
    <cellStyle name="표준 5 3 2 2 3 7 9" xfId="41807" xr:uid="{00000000-0005-0000-0000-0000C5750000}"/>
    <cellStyle name="표준 5 3 2 2 3 8" xfId="402" xr:uid="{00000000-0005-0000-0000-0000C6750000}"/>
    <cellStyle name="표준 5 3 2 2 3 8 2" xfId="9305" xr:uid="{00000000-0005-0000-0000-0000C7750000}"/>
    <cellStyle name="표준 5 3 2 2 3 8 2 2" xfId="30011" xr:uid="{00000000-0005-0000-0000-0000C8750000}"/>
    <cellStyle name="표준 5 3 2 2 3 8 2 3" xfId="38222" xr:uid="{00000000-0005-0000-0000-0000C9750000}"/>
    <cellStyle name="표준 5 3 2 2 3 8 2 4" xfId="46415" xr:uid="{00000000-0005-0000-0000-0000CA750000}"/>
    <cellStyle name="표준 5 3 2 2 3 8 3" xfId="13417" xr:uid="{00000000-0005-0000-0000-0000CB750000}"/>
    <cellStyle name="표준 5 3 2 2 3 8 4" xfId="17657" xr:uid="{00000000-0005-0000-0000-0000CC750000}"/>
    <cellStyle name="표준 5 3 2 2 3 8 5" xfId="21819" xr:uid="{00000000-0005-0000-0000-0000CD750000}"/>
    <cellStyle name="표준 5 3 2 2 3 8 6" xfId="25915" xr:uid="{00000000-0005-0000-0000-0000CE750000}"/>
    <cellStyle name="표준 5 3 2 2 3 8 7" xfId="34126" xr:uid="{00000000-0005-0000-0000-0000CF750000}"/>
    <cellStyle name="표준 5 3 2 2 3 8 8" xfId="42319" xr:uid="{00000000-0005-0000-0000-0000D0750000}"/>
    <cellStyle name="표준 5 3 2 2 3 9" xfId="7004" xr:uid="{00000000-0005-0000-0000-0000D1750000}"/>
    <cellStyle name="표준 5 3 2 2 3 9 2" xfId="27963" xr:uid="{00000000-0005-0000-0000-0000D2750000}"/>
    <cellStyle name="표준 5 3 2 2 3 9 3" xfId="36174" xr:uid="{00000000-0005-0000-0000-0000D3750000}"/>
    <cellStyle name="표준 5 3 2 2 3 9 4" xfId="44367" xr:uid="{00000000-0005-0000-0000-0000D4750000}"/>
    <cellStyle name="표준 5 3 2 2 30" xfId="32029" xr:uid="{00000000-0005-0000-0000-0000D5750000}"/>
    <cellStyle name="표준 5 3 2 2 31" xfId="32046" xr:uid="{00000000-0005-0000-0000-0000D6750000}"/>
    <cellStyle name="표준 5 3 2 2 32" xfId="40239" xr:uid="{00000000-0005-0000-0000-0000D7750000}"/>
    <cellStyle name="표준 5 3 2 2 33" xfId="48441" xr:uid="{00000000-0005-0000-0000-0000D8750000}"/>
    <cellStyle name="표준 5 3 2 2 4" xfId="434" xr:uid="{00000000-0005-0000-0000-0000D9750000}"/>
    <cellStyle name="표준 5 3 2 2 4 10" xfId="11401" xr:uid="{00000000-0005-0000-0000-0000DA750000}"/>
    <cellStyle name="표준 5 3 2 2 4 11" xfId="15513" xr:uid="{00000000-0005-0000-0000-0000DB750000}"/>
    <cellStyle name="표준 5 3 2 2 4 12" xfId="15641" xr:uid="{00000000-0005-0000-0000-0000DC750000}"/>
    <cellStyle name="표준 5 3 2 2 4 13" xfId="19803" xr:uid="{00000000-0005-0000-0000-0000DD750000}"/>
    <cellStyle name="표준 5 3 2 2 4 14" xfId="23899" xr:uid="{00000000-0005-0000-0000-0000DE750000}"/>
    <cellStyle name="표준 5 3 2 2 4 15" xfId="32110" xr:uid="{00000000-0005-0000-0000-0000DF750000}"/>
    <cellStyle name="표준 5 3 2 2 4 16" xfId="40303" xr:uid="{00000000-0005-0000-0000-0000E0750000}"/>
    <cellStyle name="표준 5 3 2 2 4 2" xfId="562" xr:uid="{00000000-0005-0000-0000-0000E1750000}"/>
    <cellStyle name="표준 5 3 2 2 4 2 10" xfId="19931" xr:uid="{00000000-0005-0000-0000-0000E2750000}"/>
    <cellStyle name="표준 5 3 2 2 4 2 11" xfId="24027" xr:uid="{00000000-0005-0000-0000-0000E3750000}"/>
    <cellStyle name="표준 5 3 2 2 4 2 12" xfId="32238" xr:uid="{00000000-0005-0000-0000-0000E4750000}"/>
    <cellStyle name="표준 5 3 2 2 4 2 13" xfId="40431" xr:uid="{00000000-0005-0000-0000-0000E5750000}"/>
    <cellStyle name="표준 5 3 2 2 4 2 2" xfId="818" xr:uid="{00000000-0005-0000-0000-0000E6750000}"/>
    <cellStyle name="표준 5 3 2 2 4 2 2 10" xfId="24283" xr:uid="{00000000-0005-0000-0000-0000E7750000}"/>
    <cellStyle name="표준 5 3 2 2 4 2 2 11" xfId="32494" xr:uid="{00000000-0005-0000-0000-0000E8750000}"/>
    <cellStyle name="표준 5 3 2 2 4 2 2 12" xfId="40687" xr:uid="{00000000-0005-0000-0000-0000E9750000}"/>
    <cellStyle name="표준 5 3 2 2 4 2 2 2" xfId="1330" xr:uid="{00000000-0005-0000-0000-0000EA750000}"/>
    <cellStyle name="표준 5 3 2 2 4 2 2 2 2" xfId="10233" xr:uid="{00000000-0005-0000-0000-0000EB750000}"/>
    <cellStyle name="표준 5 3 2 2 4 2 2 2 2 2" xfId="14345" xr:uid="{00000000-0005-0000-0000-0000EC750000}"/>
    <cellStyle name="표준 5 3 2 2 4 2 2 2 2 2 2" xfId="30939" xr:uid="{00000000-0005-0000-0000-0000ED750000}"/>
    <cellStyle name="표준 5 3 2 2 4 2 2 2 2 2 3" xfId="39150" xr:uid="{00000000-0005-0000-0000-0000EE750000}"/>
    <cellStyle name="표준 5 3 2 2 4 2 2 2 2 2 4" xfId="47343" xr:uid="{00000000-0005-0000-0000-0000EF750000}"/>
    <cellStyle name="표준 5 3 2 2 4 2 2 2 2 3" xfId="18585" xr:uid="{00000000-0005-0000-0000-0000F0750000}"/>
    <cellStyle name="표준 5 3 2 2 4 2 2 2 2 4" xfId="22747" xr:uid="{00000000-0005-0000-0000-0000F1750000}"/>
    <cellStyle name="표준 5 3 2 2 4 2 2 2 2 5" xfId="26843" xr:uid="{00000000-0005-0000-0000-0000F2750000}"/>
    <cellStyle name="표준 5 3 2 2 4 2 2 2 2 6" xfId="35054" xr:uid="{00000000-0005-0000-0000-0000F3750000}"/>
    <cellStyle name="표준 5 3 2 2 4 2 2 2 2 7" xfId="43247" xr:uid="{00000000-0005-0000-0000-0000F4750000}"/>
    <cellStyle name="표준 5 3 2 2 4 2 2 2 3" xfId="8185" xr:uid="{00000000-0005-0000-0000-0000F5750000}"/>
    <cellStyle name="표준 5 3 2 2 4 2 2 2 3 2" xfId="28891" xr:uid="{00000000-0005-0000-0000-0000F6750000}"/>
    <cellStyle name="표준 5 3 2 2 4 2 2 2 3 3" xfId="37102" xr:uid="{00000000-0005-0000-0000-0000F7750000}"/>
    <cellStyle name="표준 5 3 2 2 4 2 2 2 3 4" xfId="45295" xr:uid="{00000000-0005-0000-0000-0000F8750000}"/>
    <cellStyle name="표준 5 3 2 2 4 2 2 2 4" xfId="12297" xr:uid="{00000000-0005-0000-0000-0000F9750000}"/>
    <cellStyle name="표준 5 3 2 2 4 2 2 2 5" xfId="16537" xr:uid="{00000000-0005-0000-0000-0000FA750000}"/>
    <cellStyle name="표준 5 3 2 2 4 2 2 2 6" xfId="20699" xr:uid="{00000000-0005-0000-0000-0000FB750000}"/>
    <cellStyle name="표준 5 3 2 2 4 2 2 2 7" xfId="24795" xr:uid="{00000000-0005-0000-0000-0000FC750000}"/>
    <cellStyle name="표준 5 3 2 2 4 2 2 2 8" xfId="33006" xr:uid="{00000000-0005-0000-0000-0000FD750000}"/>
    <cellStyle name="표준 5 3 2 2 4 2 2 2 9" xfId="41199" xr:uid="{00000000-0005-0000-0000-0000FE750000}"/>
    <cellStyle name="표준 5 3 2 2 4 2 2 3" xfId="1842" xr:uid="{00000000-0005-0000-0000-0000FF750000}"/>
    <cellStyle name="표준 5 3 2 2 4 2 2 3 2" xfId="10745" xr:uid="{00000000-0005-0000-0000-000000760000}"/>
    <cellStyle name="표준 5 3 2 2 4 2 2 3 2 2" xfId="14857" xr:uid="{00000000-0005-0000-0000-000001760000}"/>
    <cellStyle name="표준 5 3 2 2 4 2 2 3 2 2 2" xfId="31451" xr:uid="{00000000-0005-0000-0000-000002760000}"/>
    <cellStyle name="표준 5 3 2 2 4 2 2 3 2 2 3" xfId="39662" xr:uid="{00000000-0005-0000-0000-000003760000}"/>
    <cellStyle name="표준 5 3 2 2 4 2 2 3 2 2 4" xfId="47855" xr:uid="{00000000-0005-0000-0000-000004760000}"/>
    <cellStyle name="표준 5 3 2 2 4 2 2 3 2 3" xfId="19097" xr:uid="{00000000-0005-0000-0000-000005760000}"/>
    <cellStyle name="표준 5 3 2 2 4 2 2 3 2 4" xfId="23259" xr:uid="{00000000-0005-0000-0000-000006760000}"/>
    <cellStyle name="표준 5 3 2 2 4 2 2 3 2 5" xfId="27355" xr:uid="{00000000-0005-0000-0000-000007760000}"/>
    <cellStyle name="표준 5 3 2 2 4 2 2 3 2 6" xfId="35566" xr:uid="{00000000-0005-0000-0000-000008760000}"/>
    <cellStyle name="표준 5 3 2 2 4 2 2 3 2 7" xfId="43759" xr:uid="{00000000-0005-0000-0000-000009760000}"/>
    <cellStyle name="표준 5 3 2 2 4 2 2 3 3" xfId="8697" xr:uid="{00000000-0005-0000-0000-00000A760000}"/>
    <cellStyle name="표준 5 3 2 2 4 2 2 3 3 2" xfId="29403" xr:uid="{00000000-0005-0000-0000-00000B760000}"/>
    <cellStyle name="표준 5 3 2 2 4 2 2 3 3 3" xfId="37614" xr:uid="{00000000-0005-0000-0000-00000C760000}"/>
    <cellStyle name="표준 5 3 2 2 4 2 2 3 3 4" xfId="45807" xr:uid="{00000000-0005-0000-0000-00000D760000}"/>
    <cellStyle name="표준 5 3 2 2 4 2 2 3 4" xfId="12809" xr:uid="{00000000-0005-0000-0000-00000E760000}"/>
    <cellStyle name="표준 5 3 2 2 4 2 2 3 5" xfId="17049" xr:uid="{00000000-0005-0000-0000-00000F760000}"/>
    <cellStyle name="표준 5 3 2 2 4 2 2 3 6" xfId="21211" xr:uid="{00000000-0005-0000-0000-000010760000}"/>
    <cellStyle name="표준 5 3 2 2 4 2 2 3 7" xfId="25307" xr:uid="{00000000-0005-0000-0000-000011760000}"/>
    <cellStyle name="표준 5 3 2 2 4 2 2 3 8" xfId="33518" xr:uid="{00000000-0005-0000-0000-000012760000}"/>
    <cellStyle name="표준 5 3 2 2 4 2 2 3 9" xfId="41711" xr:uid="{00000000-0005-0000-0000-000013760000}"/>
    <cellStyle name="표준 5 3 2 2 4 2 2 4" xfId="2354" xr:uid="{00000000-0005-0000-0000-000014760000}"/>
    <cellStyle name="표준 5 3 2 2 4 2 2 4 2" xfId="11257" xr:uid="{00000000-0005-0000-0000-000015760000}"/>
    <cellStyle name="표준 5 3 2 2 4 2 2 4 2 2" xfId="15369" xr:uid="{00000000-0005-0000-0000-000016760000}"/>
    <cellStyle name="표준 5 3 2 2 4 2 2 4 2 2 2" xfId="31963" xr:uid="{00000000-0005-0000-0000-000017760000}"/>
    <cellStyle name="표준 5 3 2 2 4 2 2 4 2 2 3" xfId="40174" xr:uid="{00000000-0005-0000-0000-000018760000}"/>
    <cellStyle name="표준 5 3 2 2 4 2 2 4 2 2 4" xfId="48367" xr:uid="{00000000-0005-0000-0000-000019760000}"/>
    <cellStyle name="표준 5 3 2 2 4 2 2 4 2 3" xfId="19609" xr:uid="{00000000-0005-0000-0000-00001A760000}"/>
    <cellStyle name="표준 5 3 2 2 4 2 2 4 2 4" xfId="23771" xr:uid="{00000000-0005-0000-0000-00001B760000}"/>
    <cellStyle name="표준 5 3 2 2 4 2 2 4 2 5" xfId="27867" xr:uid="{00000000-0005-0000-0000-00001C760000}"/>
    <cellStyle name="표준 5 3 2 2 4 2 2 4 2 6" xfId="36078" xr:uid="{00000000-0005-0000-0000-00001D760000}"/>
    <cellStyle name="표준 5 3 2 2 4 2 2 4 2 7" xfId="44271" xr:uid="{00000000-0005-0000-0000-00001E760000}"/>
    <cellStyle name="표준 5 3 2 2 4 2 2 4 3" xfId="9209" xr:uid="{00000000-0005-0000-0000-00001F760000}"/>
    <cellStyle name="표준 5 3 2 2 4 2 2 4 3 2" xfId="29915" xr:uid="{00000000-0005-0000-0000-000020760000}"/>
    <cellStyle name="표준 5 3 2 2 4 2 2 4 3 3" xfId="38126" xr:uid="{00000000-0005-0000-0000-000021760000}"/>
    <cellStyle name="표준 5 3 2 2 4 2 2 4 3 4" xfId="46319" xr:uid="{00000000-0005-0000-0000-000022760000}"/>
    <cellStyle name="표준 5 3 2 2 4 2 2 4 4" xfId="13321" xr:uid="{00000000-0005-0000-0000-000023760000}"/>
    <cellStyle name="표준 5 3 2 2 4 2 2 4 5" xfId="17561" xr:uid="{00000000-0005-0000-0000-000024760000}"/>
    <cellStyle name="표준 5 3 2 2 4 2 2 4 6" xfId="21723" xr:uid="{00000000-0005-0000-0000-000025760000}"/>
    <cellStyle name="표준 5 3 2 2 4 2 2 4 7" xfId="25819" xr:uid="{00000000-0005-0000-0000-000026760000}"/>
    <cellStyle name="표준 5 3 2 2 4 2 2 4 8" xfId="34030" xr:uid="{00000000-0005-0000-0000-000027760000}"/>
    <cellStyle name="표준 5 3 2 2 4 2 2 4 9" xfId="42223" xr:uid="{00000000-0005-0000-0000-000028760000}"/>
    <cellStyle name="표준 5 3 2 2 4 2 2 5" xfId="9721" xr:uid="{00000000-0005-0000-0000-000029760000}"/>
    <cellStyle name="표준 5 3 2 2 4 2 2 5 2" xfId="13833" xr:uid="{00000000-0005-0000-0000-00002A760000}"/>
    <cellStyle name="표준 5 3 2 2 4 2 2 5 2 2" xfId="30427" xr:uid="{00000000-0005-0000-0000-00002B760000}"/>
    <cellStyle name="표준 5 3 2 2 4 2 2 5 2 3" xfId="38638" xr:uid="{00000000-0005-0000-0000-00002C760000}"/>
    <cellStyle name="표준 5 3 2 2 4 2 2 5 2 4" xfId="46831" xr:uid="{00000000-0005-0000-0000-00002D760000}"/>
    <cellStyle name="표준 5 3 2 2 4 2 2 5 3" xfId="18073" xr:uid="{00000000-0005-0000-0000-00002E760000}"/>
    <cellStyle name="표준 5 3 2 2 4 2 2 5 4" xfId="22235" xr:uid="{00000000-0005-0000-0000-00002F760000}"/>
    <cellStyle name="표준 5 3 2 2 4 2 2 5 5" xfId="26331" xr:uid="{00000000-0005-0000-0000-000030760000}"/>
    <cellStyle name="표준 5 3 2 2 4 2 2 5 6" xfId="34542" xr:uid="{00000000-0005-0000-0000-000031760000}"/>
    <cellStyle name="표준 5 3 2 2 4 2 2 5 7" xfId="42735" xr:uid="{00000000-0005-0000-0000-000032760000}"/>
    <cellStyle name="표준 5 3 2 2 4 2 2 6" xfId="7673" xr:uid="{00000000-0005-0000-0000-000033760000}"/>
    <cellStyle name="표준 5 3 2 2 4 2 2 6 2" xfId="28379" xr:uid="{00000000-0005-0000-0000-000034760000}"/>
    <cellStyle name="표준 5 3 2 2 4 2 2 6 3" xfId="36590" xr:uid="{00000000-0005-0000-0000-000035760000}"/>
    <cellStyle name="표준 5 3 2 2 4 2 2 6 4" xfId="44783" xr:uid="{00000000-0005-0000-0000-000036760000}"/>
    <cellStyle name="표준 5 3 2 2 4 2 2 7" xfId="11785" xr:uid="{00000000-0005-0000-0000-000037760000}"/>
    <cellStyle name="표준 5 3 2 2 4 2 2 8" xfId="16025" xr:uid="{00000000-0005-0000-0000-000038760000}"/>
    <cellStyle name="표준 5 3 2 2 4 2 2 9" xfId="20187" xr:uid="{00000000-0005-0000-0000-000039760000}"/>
    <cellStyle name="표준 5 3 2 2 4 2 3" xfId="1074" xr:uid="{00000000-0005-0000-0000-00003A760000}"/>
    <cellStyle name="표준 5 3 2 2 4 2 3 2" xfId="9977" xr:uid="{00000000-0005-0000-0000-00003B760000}"/>
    <cellStyle name="표준 5 3 2 2 4 2 3 2 2" xfId="14089" xr:uid="{00000000-0005-0000-0000-00003C760000}"/>
    <cellStyle name="표준 5 3 2 2 4 2 3 2 2 2" xfId="30683" xr:uid="{00000000-0005-0000-0000-00003D760000}"/>
    <cellStyle name="표준 5 3 2 2 4 2 3 2 2 3" xfId="38894" xr:uid="{00000000-0005-0000-0000-00003E760000}"/>
    <cellStyle name="표준 5 3 2 2 4 2 3 2 2 4" xfId="47087" xr:uid="{00000000-0005-0000-0000-00003F760000}"/>
    <cellStyle name="표준 5 3 2 2 4 2 3 2 3" xfId="18329" xr:uid="{00000000-0005-0000-0000-000040760000}"/>
    <cellStyle name="표준 5 3 2 2 4 2 3 2 4" xfId="22491" xr:uid="{00000000-0005-0000-0000-000041760000}"/>
    <cellStyle name="표준 5 3 2 2 4 2 3 2 5" xfId="26587" xr:uid="{00000000-0005-0000-0000-000042760000}"/>
    <cellStyle name="표준 5 3 2 2 4 2 3 2 6" xfId="34798" xr:uid="{00000000-0005-0000-0000-000043760000}"/>
    <cellStyle name="표준 5 3 2 2 4 2 3 2 7" xfId="42991" xr:uid="{00000000-0005-0000-0000-000044760000}"/>
    <cellStyle name="표준 5 3 2 2 4 2 3 3" xfId="7929" xr:uid="{00000000-0005-0000-0000-000045760000}"/>
    <cellStyle name="표준 5 3 2 2 4 2 3 3 2" xfId="28635" xr:uid="{00000000-0005-0000-0000-000046760000}"/>
    <cellStyle name="표준 5 3 2 2 4 2 3 3 3" xfId="36846" xr:uid="{00000000-0005-0000-0000-000047760000}"/>
    <cellStyle name="표준 5 3 2 2 4 2 3 3 4" xfId="45039" xr:uid="{00000000-0005-0000-0000-000048760000}"/>
    <cellStyle name="표준 5 3 2 2 4 2 3 4" xfId="12041" xr:uid="{00000000-0005-0000-0000-000049760000}"/>
    <cellStyle name="표준 5 3 2 2 4 2 3 5" xfId="16281" xr:uid="{00000000-0005-0000-0000-00004A760000}"/>
    <cellStyle name="표준 5 3 2 2 4 2 3 6" xfId="20443" xr:uid="{00000000-0005-0000-0000-00004B760000}"/>
    <cellStyle name="표준 5 3 2 2 4 2 3 7" xfId="24539" xr:uid="{00000000-0005-0000-0000-00004C760000}"/>
    <cellStyle name="표준 5 3 2 2 4 2 3 8" xfId="32750" xr:uid="{00000000-0005-0000-0000-00004D760000}"/>
    <cellStyle name="표준 5 3 2 2 4 2 3 9" xfId="40943" xr:uid="{00000000-0005-0000-0000-00004E760000}"/>
    <cellStyle name="표준 5 3 2 2 4 2 4" xfId="1586" xr:uid="{00000000-0005-0000-0000-00004F760000}"/>
    <cellStyle name="표준 5 3 2 2 4 2 4 2" xfId="10489" xr:uid="{00000000-0005-0000-0000-000050760000}"/>
    <cellStyle name="표준 5 3 2 2 4 2 4 2 2" xfId="14601" xr:uid="{00000000-0005-0000-0000-000051760000}"/>
    <cellStyle name="표준 5 3 2 2 4 2 4 2 2 2" xfId="31195" xr:uid="{00000000-0005-0000-0000-000052760000}"/>
    <cellStyle name="표준 5 3 2 2 4 2 4 2 2 3" xfId="39406" xr:uid="{00000000-0005-0000-0000-000053760000}"/>
    <cellStyle name="표준 5 3 2 2 4 2 4 2 2 4" xfId="47599" xr:uid="{00000000-0005-0000-0000-000054760000}"/>
    <cellStyle name="표준 5 3 2 2 4 2 4 2 3" xfId="18841" xr:uid="{00000000-0005-0000-0000-000055760000}"/>
    <cellStyle name="표준 5 3 2 2 4 2 4 2 4" xfId="23003" xr:uid="{00000000-0005-0000-0000-000056760000}"/>
    <cellStyle name="표준 5 3 2 2 4 2 4 2 5" xfId="27099" xr:uid="{00000000-0005-0000-0000-000057760000}"/>
    <cellStyle name="표준 5 3 2 2 4 2 4 2 6" xfId="35310" xr:uid="{00000000-0005-0000-0000-000058760000}"/>
    <cellStyle name="표준 5 3 2 2 4 2 4 2 7" xfId="43503" xr:uid="{00000000-0005-0000-0000-000059760000}"/>
    <cellStyle name="표준 5 3 2 2 4 2 4 3" xfId="8441" xr:uid="{00000000-0005-0000-0000-00005A760000}"/>
    <cellStyle name="표준 5 3 2 2 4 2 4 3 2" xfId="29147" xr:uid="{00000000-0005-0000-0000-00005B760000}"/>
    <cellStyle name="표준 5 3 2 2 4 2 4 3 3" xfId="37358" xr:uid="{00000000-0005-0000-0000-00005C760000}"/>
    <cellStyle name="표준 5 3 2 2 4 2 4 3 4" xfId="45551" xr:uid="{00000000-0005-0000-0000-00005D760000}"/>
    <cellStyle name="표준 5 3 2 2 4 2 4 4" xfId="12553" xr:uid="{00000000-0005-0000-0000-00005E760000}"/>
    <cellStyle name="표준 5 3 2 2 4 2 4 5" xfId="16793" xr:uid="{00000000-0005-0000-0000-00005F760000}"/>
    <cellStyle name="표준 5 3 2 2 4 2 4 6" xfId="20955" xr:uid="{00000000-0005-0000-0000-000060760000}"/>
    <cellStyle name="표준 5 3 2 2 4 2 4 7" xfId="25051" xr:uid="{00000000-0005-0000-0000-000061760000}"/>
    <cellStyle name="표준 5 3 2 2 4 2 4 8" xfId="33262" xr:uid="{00000000-0005-0000-0000-000062760000}"/>
    <cellStyle name="표준 5 3 2 2 4 2 4 9" xfId="41455" xr:uid="{00000000-0005-0000-0000-000063760000}"/>
    <cellStyle name="표준 5 3 2 2 4 2 5" xfId="2098" xr:uid="{00000000-0005-0000-0000-000064760000}"/>
    <cellStyle name="표준 5 3 2 2 4 2 5 2" xfId="11001" xr:uid="{00000000-0005-0000-0000-000065760000}"/>
    <cellStyle name="표준 5 3 2 2 4 2 5 2 2" xfId="15113" xr:uid="{00000000-0005-0000-0000-000066760000}"/>
    <cellStyle name="표준 5 3 2 2 4 2 5 2 2 2" xfId="31707" xr:uid="{00000000-0005-0000-0000-000067760000}"/>
    <cellStyle name="표준 5 3 2 2 4 2 5 2 2 3" xfId="39918" xr:uid="{00000000-0005-0000-0000-000068760000}"/>
    <cellStyle name="표준 5 3 2 2 4 2 5 2 2 4" xfId="48111" xr:uid="{00000000-0005-0000-0000-000069760000}"/>
    <cellStyle name="표준 5 3 2 2 4 2 5 2 3" xfId="19353" xr:uid="{00000000-0005-0000-0000-00006A760000}"/>
    <cellStyle name="표준 5 3 2 2 4 2 5 2 4" xfId="23515" xr:uid="{00000000-0005-0000-0000-00006B760000}"/>
    <cellStyle name="표준 5 3 2 2 4 2 5 2 5" xfId="27611" xr:uid="{00000000-0005-0000-0000-00006C760000}"/>
    <cellStyle name="표준 5 3 2 2 4 2 5 2 6" xfId="35822" xr:uid="{00000000-0005-0000-0000-00006D760000}"/>
    <cellStyle name="표준 5 3 2 2 4 2 5 2 7" xfId="44015" xr:uid="{00000000-0005-0000-0000-00006E760000}"/>
    <cellStyle name="표준 5 3 2 2 4 2 5 3" xfId="8953" xr:uid="{00000000-0005-0000-0000-00006F760000}"/>
    <cellStyle name="표준 5 3 2 2 4 2 5 3 2" xfId="29659" xr:uid="{00000000-0005-0000-0000-000070760000}"/>
    <cellStyle name="표준 5 3 2 2 4 2 5 3 3" xfId="37870" xr:uid="{00000000-0005-0000-0000-000071760000}"/>
    <cellStyle name="표준 5 3 2 2 4 2 5 3 4" xfId="46063" xr:uid="{00000000-0005-0000-0000-000072760000}"/>
    <cellStyle name="표준 5 3 2 2 4 2 5 4" xfId="13065" xr:uid="{00000000-0005-0000-0000-000073760000}"/>
    <cellStyle name="표준 5 3 2 2 4 2 5 5" xfId="17305" xr:uid="{00000000-0005-0000-0000-000074760000}"/>
    <cellStyle name="표준 5 3 2 2 4 2 5 6" xfId="21467" xr:uid="{00000000-0005-0000-0000-000075760000}"/>
    <cellStyle name="표준 5 3 2 2 4 2 5 7" xfId="25563" xr:uid="{00000000-0005-0000-0000-000076760000}"/>
    <cellStyle name="표준 5 3 2 2 4 2 5 8" xfId="33774" xr:uid="{00000000-0005-0000-0000-000077760000}"/>
    <cellStyle name="표준 5 3 2 2 4 2 5 9" xfId="41967" xr:uid="{00000000-0005-0000-0000-000078760000}"/>
    <cellStyle name="표준 5 3 2 2 4 2 6" xfId="9465" xr:uid="{00000000-0005-0000-0000-000079760000}"/>
    <cellStyle name="표준 5 3 2 2 4 2 6 2" xfId="13577" xr:uid="{00000000-0005-0000-0000-00007A760000}"/>
    <cellStyle name="표준 5 3 2 2 4 2 6 2 2" xfId="30171" xr:uid="{00000000-0005-0000-0000-00007B760000}"/>
    <cellStyle name="표준 5 3 2 2 4 2 6 2 3" xfId="38382" xr:uid="{00000000-0005-0000-0000-00007C760000}"/>
    <cellStyle name="표준 5 3 2 2 4 2 6 2 4" xfId="46575" xr:uid="{00000000-0005-0000-0000-00007D760000}"/>
    <cellStyle name="표준 5 3 2 2 4 2 6 3" xfId="17817" xr:uid="{00000000-0005-0000-0000-00007E760000}"/>
    <cellStyle name="표준 5 3 2 2 4 2 6 4" xfId="21979" xr:uid="{00000000-0005-0000-0000-00007F760000}"/>
    <cellStyle name="표준 5 3 2 2 4 2 6 5" xfId="26075" xr:uid="{00000000-0005-0000-0000-000080760000}"/>
    <cellStyle name="표준 5 3 2 2 4 2 6 6" xfId="34286" xr:uid="{00000000-0005-0000-0000-000081760000}"/>
    <cellStyle name="표준 5 3 2 2 4 2 6 7" xfId="42479" xr:uid="{00000000-0005-0000-0000-000082760000}"/>
    <cellStyle name="표준 5 3 2 2 4 2 7" xfId="7417" xr:uid="{00000000-0005-0000-0000-000083760000}"/>
    <cellStyle name="표준 5 3 2 2 4 2 7 2" xfId="28123" xr:uid="{00000000-0005-0000-0000-000084760000}"/>
    <cellStyle name="표준 5 3 2 2 4 2 7 3" xfId="36334" xr:uid="{00000000-0005-0000-0000-000085760000}"/>
    <cellStyle name="표준 5 3 2 2 4 2 7 4" xfId="44527" xr:uid="{00000000-0005-0000-0000-000086760000}"/>
    <cellStyle name="표준 5 3 2 2 4 2 8" xfId="11529" xr:uid="{00000000-0005-0000-0000-000087760000}"/>
    <cellStyle name="표준 5 3 2 2 4 2 9" xfId="15769" xr:uid="{00000000-0005-0000-0000-000088760000}"/>
    <cellStyle name="표준 5 3 2 2 4 3" xfId="690" xr:uid="{00000000-0005-0000-0000-000089760000}"/>
    <cellStyle name="표준 5 3 2 2 4 3 10" xfId="24155" xr:uid="{00000000-0005-0000-0000-00008A760000}"/>
    <cellStyle name="표준 5 3 2 2 4 3 11" xfId="32366" xr:uid="{00000000-0005-0000-0000-00008B760000}"/>
    <cellStyle name="표준 5 3 2 2 4 3 12" xfId="40559" xr:uid="{00000000-0005-0000-0000-00008C760000}"/>
    <cellStyle name="표준 5 3 2 2 4 3 2" xfId="1202" xr:uid="{00000000-0005-0000-0000-00008D760000}"/>
    <cellStyle name="표준 5 3 2 2 4 3 2 2" xfId="10105" xr:uid="{00000000-0005-0000-0000-00008E760000}"/>
    <cellStyle name="표준 5 3 2 2 4 3 2 2 2" xfId="14217" xr:uid="{00000000-0005-0000-0000-00008F760000}"/>
    <cellStyle name="표준 5 3 2 2 4 3 2 2 2 2" xfId="30811" xr:uid="{00000000-0005-0000-0000-000090760000}"/>
    <cellStyle name="표준 5 3 2 2 4 3 2 2 2 3" xfId="39022" xr:uid="{00000000-0005-0000-0000-000091760000}"/>
    <cellStyle name="표준 5 3 2 2 4 3 2 2 2 4" xfId="47215" xr:uid="{00000000-0005-0000-0000-000092760000}"/>
    <cellStyle name="표준 5 3 2 2 4 3 2 2 3" xfId="18457" xr:uid="{00000000-0005-0000-0000-000093760000}"/>
    <cellStyle name="표준 5 3 2 2 4 3 2 2 4" xfId="22619" xr:uid="{00000000-0005-0000-0000-000094760000}"/>
    <cellStyle name="표준 5 3 2 2 4 3 2 2 5" xfId="26715" xr:uid="{00000000-0005-0000-0000-000095760000}"/>
    <cellStyle name="표준 5 3 2 2 4 3 2 2 6" xfId="34926" xr:uid="{00000000-0005-0000-0000-000096760000}"/>
    <cellStyle name="표준 5 3 2 2 4 3 2 2 7" xfId="43119" xr:uid="{00000000-0005-0000-0000-000097760000}"/>
    <cellStyle name="표준 5 3 2 2 4 3 2 3" xfId="8057" xr:uid="{00000000-0005-0000-0000-000098760000}"/>
    <cellStyle name="표준 5 3 2 2 4 3 2 3 2" xfId="28763" xr:uid="{00000000-0005-0000-0000-000099760000}"/>
    <cellStyle name="표준 5 3 2 2 4 3 2 3 3" xfId="36974" xr:uid="{00000000-0005-0000-0000-00009A760000}"/>
    <cellStyle name="표준 5 3 2 2 4 3 2 3 4" xfId="45167" xr:uid="{00000000-0005-0000-0000-00009B760000}"/>
    <cellStyle name="표준 5 3 2 2 4 3 2 4" xfId="12169" xr:uid="{00000000-0005-0000-0000-00009C760000}"/>
    <cellStyle name="표준 5 3 2 2 4 3 2 5" xfId="16409" xr:uid="{00000000-0005-0000-0000-00009D760000}"/>
    <cellStyle name="표준 5 3 2 2 4 3 2 6" xfId="20571" xr:uid="{00000000-0005-0000-0000-00009E760000}"/>
    <cellStyle name="표준 5 3 2 2 4 3 2 7" xfId="24667" xr:uid="{00000000-0005-0000-0000-00009F760000}"/>
    <cellStyle name="표준 5 3 2 2 4 3 2 8" xfId="32878" xr:uid="{00000000-0005-0000-0000-0000A0760000}"/>
    <cellStyle name="표준 5 3 2 2 4 3 2 9" xfId="41071" xr:uid="{00000000-0005-0000-0000-0000A1760000}"/>
    <cellStyle name="표준 5 3 2 2 4 3 3" xfId="1714" xr:uid="{00000000-0005-0000-0000-0000A2760000}"/>
    <cellStyle name="표준 5 3 2 2 4 3 3 2" xfId="10617" xr:uid="{00000000-0005-0000-0000-0000A3760000}"/>
    <cellStyle name="표준 5 3 2 2 4 3 3 2 2" xfId="14729" xr:uid="{00000000-0005-0000-0000-0000A4760000}"/>
    <cellStyle name="표준 5 3 2 2 4 3 3 2 2 2" xfId="31323" xr:uid="{00000000-0005-0000-0000-0000A5760000}"/>
    <cellStyle name="표준 5 3 2 2 4 3 3 2 2 3" xfId="39534" xr:uid="{00000000-0005-0000-0000-0000A6760000}"/>
    <cellStyle name="표준 5 3 2 2 4 3 3 2 2 4" xfId="47727" xr:uid="{00000000-0005-0000-0000-0000A7760000}"/>
    <cellStyle name="표준 5 3 2 2 4 3 3 2 3" xfId="18969" xr:uid="{00000000-0005-0000-0000-0000A8760000}"/>
    <cellStyle name="표준 5 3 2 2 4 3 3 2 4" xfId="23131" xr:uid="{00000000-0005-0000-0000-0000A9760000}"/>
    <cellStyle name="표준 5 3 2 2 4 3 3 2 5" xfId="27227" xr:uid="{00000000-0005-0000-0000-0000AA760000}"/>
    <cellStyle name="표준 5 3 2 2 4 3 3 2 6" xfId="35438" xr:uid="{00000000-0005-0000-0000-0000AB760000}"/>
    <cellStyle name="표준 5 3 2 2 4 3 3 2 7" xfId="43631" xr:uid="{00000000-0005-0000-0000-0000AC760000}"/>
    <cellStyle name="표준 5 3 2 2 4 3 3 3" xfId="8569" xr:uid="{00000000-0005-0000-0000-0000AD760000}"/>
    <cellStyle name="표준 5 3 2 2 4 3 3 3 2" xfId="29275" xr:uid="{00000000-0005-0000-0000-0000AE760000}"/>
    <cellStyle name="표준 5 3 2 2 4 3 3 3 3" xfId="37486" xr:uid="{00000000-0005-0000-0000-0000AF760000}"/>
    <cellStyle name="표준 5 3 2 2 4 3 3 3 4" xfId="45679" xr:uid="{00000000-0005-0000-0000-0000B0760000}"/>
    <cellStyle name="표준 5 3 2 2 4 3 3 4" xfId="12681" xr:uid="{00000000-0005-0000-0000-0000B1760000}"/>
    <cellStyle name="표준 5 3 2 2 4 3 3 5" xfId="16921" xr:uid="{00000000-0005-0000-0000-0000B2760000}"/>
    <cellStyle name="표준 5 3 2 2 4 3 3 6" xfId="21083" xr:uid="{00000000-0005-0000-0000-0000B3760000}"/>
    <cellStyle name="표준 5 3 2 2 4 3 3 7" xfId="25179" xr:uid="{00000000-0005-0000-0000-0000B4760000}"/>
    <cellStyle name="표준 5 3 2 2 4 3 3 8" xfId="33390" xr:uid="{00000000-0005-0000-0000-0000B5760000}"/>
    <cellStyle name="표준 5 3 2 2 4 3 3 9" xfId="41583" xr:uid="{00000000-0005-0000-0000-0000B6760000}"/>
    <cellStyle name="표준 5 3 2 2 4 3 4" xfId="2226" xr:uid="{00000000-0005-0000-0000-0000B7760000}"/>
    <cellStyle name="표준 5 3 2 2 4 3 4 2" xfId="11129" xr:uid="{00000000-0005-0000-0000-0000B8760000}"/>
    <cellStyle name="표준 5 3 2 2 4 3 4 2 2" xfId="15241" xr:uid="{00000000-0005-0000-0000-0000B9760000}"/>
    <cellStyle name="표준 5 3 2 2 4 3 4 2 2 2" xfId="31835" xr:uid="{00000000-0005-0000-0000-0000BA760000}"/>
    <cellStyle name="표준 5 3 2 2 4 3 4 2 2 3" xfId="40046" xr:uid="{00000000-0005-0000-0000-0000BB760000}"/>
    <cellStyle name="표준 5 3 2 2 4 3 4 2 2 4" xfId="48239" xr:uid="{00000000-0005-0000-0000-0000BC760000}"/>
    <cellStyle name="표준 5 3 2 2 4 3 4 2 3" xfId="19481" xr:uid="{00000000-0005-0000-0000-0000BD760000}"/>
    <cellStyle name="표준 5 3 2 2 4 3 4 2 4" xfId="23643" xr:uid="{00000000-0005-0000-0000-0000BE760000}"/>
    <cellStyle name="표준 5 3 2 2 4 3 4 2 5" xfId="27739" xr:uid="{00000000-0005-0000-0000-0000BF760000}"/>
    <cellStyle name="표준 5 3 2 2 4 3 4 2 6" xfId="35950" xr:uid="{00000000-0005-0000-0000-0000C0760000}"/>
    <cellStyle name="표준 5 3 2 2 4 3 4 2 7" xfId="44143" xr:uid="{00000000-0005-0000-0000-0000C1760000}"/>
    <cellStyle name="표준 5 3 2 2 4 3 4 3" xfId="9081" xr:uid="{00000000-0005-0000-0000-0000C2760000}"/>
    <cellStyle name="표준 5 3 2 2 4 3 4 3 2" xfId="29787" xr:uid="{00000000-0005-0000-0000-0000C3760000}"/>
    <cellStyle name="표준 5 3 2 2 4 3 4 3 3" xfId="37998" xr:uid="{00000000-0005-0000-0000-0000C4760000}"/>
    <cellStyle name="표준 5 3 2 2 4 3 4 3 4" xfId="46191" xr:uid="{00000000-0005-0000-0000-0000C5760000}"/>
    <cellStyle name="표준 5 3 2 2 4 3 4 4" xfId="13193" xr:uid="{00000000-0005-0000-0000-0000C6760000}"/>
    <cellStyle name="표준 5 3 2 2 4 3 4 5" xfId="17433" xr:uid="{00000000-0005-0000-0000-0000C7760000}"/>
    <cellStyle name="표준 5 3 2 2 4 3 4 6" xfId="21595" xr:uid="{00000000-0005-0000-0000-0000C8760000}"/>
    <cellStyle name="표준 5 3 2 2 4 3 4 7" xfId="25691" xr:uid="{00000000-0005-0000-0000-0000C9760000}"/>
    <cellStyle name="표준 5 3 2 2 4 3 4 8" xfId="33902" xr:uid="{00000000-0005-0000-0000-0000CA760000}"/>
    <cellStyle name="표준 5 3 2 2 4 3 4 9" xfId="42095" xr:uid="{00000000-0005-0000-0000-0000CB760000}"/>
    <cellStyle name="표준 5 3 2 2 4 3 5" xfId="9593" xr:uid="{00000000-0005-0000-0000-0000CC760000}"/>
    <cellStyle name="표준 5 3 2 2 4 3 5 2" xfId="13705" xr:uid="{00000000-0005-0000-0000-0000CD760000}"/>
    <cellStyle name="표준 5 3 2 2 4 3 5 2 2" xfId="30299" xr:uid="{00000000-0005-0000-0000-0000CE760000}"/>
    <cellStyle name="표준 5 3 2 2 4 3 5 2 3" xfId="38510" xr:uid="{00000000-0005-0000-0000-0000CF760000}"/>
    <cellStyle name="표준 5 3 2 2 4 3 5 2 4" xfId="46703" xr:uid="{00000000-0005-0000-0000-0000D0760000}"/>
    <cellStyle name="표준 5 3 2 2 4 3 5 3" xfId="17945" xr:uid="{00000000-0005-0000-0000-0000D1760000}"/>
    <cellStyle name="표준 5 3 2 2 4 3 5 4" xfId="22107" xr:uid="{00000000-0005-0000-0000-0000D2760000}"/>
    <cellStyle name="표준 5 3 2 2 4 3 5 5" xfId="26203" xr:uid="{00000000-0005-0000-0000-0000D3760000}"/>
    <cellStyle name="표준 5 3 2 2 4 3 5 6" xfId="34414" xr:uid="{00000000-0005-0000-0000-0000D4760000}"/>
    <cellStyle name="표준 5 3 2 2 4 3 5 7" xfId="42607" xr:uid="{00000000-0005-0000-0000-0000D5760000}"/>
    <cellStyle name="표준 5 3 2 2 4 3 6" xfId="7545" xr:uid="{00000000-0005-0000-0000-0000D6760000}"/>
    <cellStyle name="표준 5 3 2 2 4 3 6 2" xfId="28251" xr:uid="{00000000-0005-0000-0000-0000D7760000}"/>
    <cellStyle name="표준 5 3 2 2 4 3 6 3" xfId="36462" xr:uid="{00000000-0005-0000-0000-0000D8760000}"/>
    <cellStyle name="표준 5 3 2 2 4 3 6 4" xfId="44655" xr:uid="{00000000-0005-0000-0000-0000D9760000}"/>
    <cellStyle name="표준 5 3 2 2 4 3 7" xfId="11657" xr:uid="{00000000-0005-0000-0000-0000DA760000}"/>
    <cellStyle name="표준 5 3 2 2 4 3 8" xfId="15897" xr:uid="{00000000-0005-0000-0000-0000DB760000}"/>
    <cellStyle name="표준 5 3 2 2 4 3 9" xfId="20059" xr:uid="{00000000-0005-0000-0000-0000DC760000}"/>
    <cellStyle name="표준 5 3 2 2 4 4" xfId="946" xr:uid="{00000000-0005-0000-0000-0000DD760000}"/>
    <cellStyle name="표준 5 3 2 2 4 4 2" xfId="9849" xr:uid="{00000000-0005-0000-0000-0000DE760000}"/>
    <cellStyle name="표준 5 3 2 2 4 4 2 2" xfId="13961" xr:uid="{00000000-0005-0000-0000-0000DF760000}"/>
    <cellStyle name="표준 5 3 2 2 4 4 2 2 2" xfId="30555" xr:uid="{00000000-0005-0000-0000-0000E0760000}"/>
    <cellStyle name="표준 5 3 2 2 4 4 2 2 3" xfId="38766" xr:uid="{00000000-0005-0000-0000-0000E1760000}"/>
    <cellStyle name="표준 5 3 2 2 4 4 2 2 4" xfId="46959" xr:uid="{00000000-0005-0000-0000-0000E2760000}"/>
    <cellStyle name="표준 5 3 2 2 4 4 2 3" xfId="18201" xr:uid="{00000000-0005-0000-0000-0000E3760000}"/>
    <cellStyle name="표준 5 3 2 2 4 4 2 4" xfId="22363" xr:uid="{00000000-0005-0000-0000-0000E4760000}"/>
    <cellStyle name="표준 5 3 2 2 4 4 2 5" xfId="26459" xr:uid="{00000000-0005-0000-0000-0000E5760000}"/>
    <cellStyle name="표준 5 3 2 2 4 4 2 6" xfId="34670" xr:uid="{00000000-0005-0000-0000-0000E6760000}"/>
    <cellStyle name="표준 5 3 2 2 4 4 2 7" xfId="42863" xr:uid="{00000000-0005-0000-0000-0000E7760000}"/>
    <cellStyle name="표준 5 3 2 2 4 4 3" xfId="7801" xr:uid="{00000000-0005-0000-0000-0000E8760000}"/>
    <cellStyle name="표준 5 3 2 2 4 4 3 2" xfId="28507" xr:uid="{00000000-0005-0000-0000-0000E9760000}"/>
    <cellStyle name="표준 5 3 2 2 4 4 3 3" xfId="36718" xr:uid="{00000000-0005-0000-0000-0000EA760000}"/>
    <cellStyle name="표준 5 3 2 2 4 4 3 4" xfId="44911" xr:uid="{00000000-0005-0000-0000-0000EB760000}"/>
    <cellStyle name="표준 5 3 2 2 4 4 4" xfId="11913" xr:uid="{00000000-0005-0000-0000-0000EC760000}"/>
    <cellStyle name="표준 5 3 2 2 4 4 5" xfId="16153" xr:uid="{00000000-0005-0000-0000-0000ED760000}"/>
    <cellStyle name="표준 5 3 2 2 4 4 6" xfId="20315" xr:uid="{00000000-0005-0000-0000-0000EE760000}"/>
    <cellStyle name="표준 5 3 2 2 4 4 7" xfId="24411" xr:uid="{00000000-0005-0000-0000-0000EF760000}"/>
    <cellStyle name="표준 5 3 2 2 4 4 8" xfId="32622" xr:uid="{00000000-0005-0000-0000-0000F0760000}"/>
    <cellStyle name="표준 5 3 2 2 4 4 9" xfId="40815" xr:uid="{00000000-0005-0000-0000-0000F1760000}"/>
    <cellStyle name="표준 5 3 2 2 4 5" xfId="1458" xr:uid="{00000000-0005-0000-0000-0000F2760000}"/>
    <cellStyle name="표준 5 3 2 2 4 5 2" xfId="10361" xr:uid="{00000000-0005-0000-0000-0000F3760000}"/>
    <cellStyle name="표준 5 3 2 2 4 5 2 2" xfId="14473" xr:uid="{00000000-0005-0000-0000-0000F4760000}"/>
    <cellStyle name="표준 5 3 2 2 4 5 2 2 2" xfId="31067" xr:uid="{00000000-0005-0000-0000-0000F5760000}"/>
    <cellStyle name="표준 5 3 2 2 4 5 2 2 3" xfId="39278" xr:uid="{00000000-0005-0000-0000-0000F6760000}"/>
    <cellStyle name="표준 5 3 2 2 4 5 2 2 4" xfId="47471" xr:uid="{00000000-0005-0000-0000-0000F7760000}"/>
    <cellStyle name="표준 5 3 2 2 4 5 2 3" xfId="18713" xr:uid="{00000000-0005-0000-0000-0000F8760000}"/>
    <cellStyle name="표준 5 3 2 2 4 5 2 4" xfId="22875" xr:uid="{00000000-0005-0000-0000-0000F9760000}"/>
    <cellStyle name="표준 5 3 2 2 4 5 2 5" xfId="26971" xr:uid="{00000000-0005-0000-0000-0000FA760000}"/>
    <cellStyle name="표준 5 3 2 2 4 5 2 6" xfId="35182" xr:uid="{00000000-0005-0000-0000-0000FB760000}"/>
    <cellStyle name="표준 5 3 2 2 4 5 2 7" xfId="43375" xr:uid="{00000000-0005-0000-0000-0000FC760000}"/>
    <cellStyle name="표준 5 3 2 2 4 5 3" xfId="8313" xr:uid="{00000000-0005-0000-0000-0000FD760000}"/>
    <cellStyle name="표준 5 3 2 2 4 5 3 2" xfId="29019" xr:uid="{00000000-0005-0000-0000-0000FE760000}"/>
    <cellStyle name="표준 5 3 2 2 4 5 3 3" xfId="37230" xr:uid="{00000000-0005-0000-0000-0000FF760000}"/>
    <cellStyle name="표준 5 3 2 2 4 5 3 4" xfId="45423" xr:uid="{00000000-0005-0000-0000-000000770000}"/>
    <cellStyle name="표준 5 3 2 2 4 5 4" xfId="12425" xr:uid="{00000000-0005-0000-0000-000001770000}"/>
    <cellStyle name="표준 5 3 2 2 4 5 5" xfId="16665" xr:uid="{00000000-0005-0000-0000-000002770000}"/>
    <cellStyle name="표준 5 3 2 2 4 5 6" xfId="20827" xr:uid="{00000000-0005-0000-0000-000003770000}"/>
    <cellStyle name="표준 5 3 2 2 4 5 7" xfId="24923" xr:uid="{00000000-0005-0000-0000-000004770000}"/>
    <cellStyle name="표준 5 3 2 2 4 5 8" xfId="33134" xr:uid="{00000000-0005-0000-0000-000005770000}"/>
    <cellStyle name="표준 5 3 2 2 4 5 9" xfId="41327" xr:uid="{00000000-0005-0000-0000-000006770000}"/>
    <cellStyle name="표준 5 3 2 2 4 6" xfId="1970" xr:uid="{00000000-0005-0000-0000-000007770000}"/>
    <cellStyle name="표준 5 3 2 2 4 6 2" xfId="10873" xr:uid="{00000000-0005-0000-0000-000008770000}"/>
    <cellStyle name="표준 5 3 2 2 4 6 2 2" xfId="14985" xr:uid="{00000000-0005-0000-0000-000009770000}"/>
    <cellStyle name="표준 5 3 2 2 4 6 2 2 2" xfId="31579" xr:uid="{00000000-0005-0000-0000-00000A770000}"/>
    <cellStyle name="표준 5 3 2 2 4 6 2 2 3" xfId="39790" xr:uid="{00000000-0005-0000-0000-00000B770000}"/>
    <cellStyle name="표준 5 3 2 2 4 6 2 2 4" xfId="47983" xr:uid="{00000000-0005-0000-0000-00000C770000}"/>
    <cellStyle name="표준 5 3 2 2 4 6 2 3" xfId="19225" xr:uid="{00000000-0005-0000-0000-00000D770000}"/>
    <cellStyle name="표준 5 3 2 2 4 6 2 4" xfId="23387" xr:uid="{00000000-0005-0000-0000-00000E770000}"/>
    <cellStyle name="표준 5 3 2 2 4 6 2 5" xfId="27483" xr:uid="{00000000-0005-0000-0000-00000F770000}"/>
    <cellStyle name="표준 5 3 2 2 4 6 2 6" xfId="35694" xr:uid="{00000000-0005-0000-0000-000010770000}"/>
    <cellStyle name="표준 5 3 2 2 4 6 2 7" xfId="43887" xr:uid="{00000000-0005-0000-0000-000011770000}"/>
    <cellStyle name="표준 5 3 2 2 4 6 3" xfId="8825" xr:uid="{00000000-0005-0000-0000-000012770000}"/>
    <cellStyle name="표준 5 3 2 2 4 6 3 2" xfId="29531" xr:uid="{00000000-0005-0000-0000-000013770000}"/>
    <cellStyle name="표준 5 3 2 2 4 6 3 3" xfId="37742" xr:uid="{00000000-0005-0000-0000-000014770000}"/>
    <cellStyle name="표준 5 3 2 2 4 6 3 4" xfId="45935" xr:uid="{00000000-0005-0000-0000-000015770000}"/>
    <cellStyle name="표준 5 3 2 2 4 6 4" xfId="12937" xr:uid="{00000000-0005-0000-0000-000016770000}"/>
    <cellStyle name="표준 5 3 2 2 4 6 5" xfId="17177" xr:uid="{00000000-0005-0000-0000-000017770000}"/>
    <cellStyle name="표준 5 3 2 2 4 6 6" xfId="21339" xr:uid="{00000000-0005-0000-0000-000018770000}"/>
    <cellStyle name="표준 5 3 2 2 4 6 7" xfId="25435" xr:uid="{00000000-0005-0000-0000-000019770000}"/>
    <cellStyle name="표준 5 3 2 2 4 6 8" xfId="33646" xr:uid="{00000000-0005-0000-0000-00001A770000}"/>
    <cellStyle name="표준 5 3 2 2 4 6 9" xfId="41839" xr:uid="{00000000-0005-0000-0000-00001B770000}"/>
    <cellStyle name="표준 5 3 2 2 4 7" xfId="7030" xr:uid="{00000000-0005-0000-0000-00001C770000}"/>
    <cellStyle name="표준 5 3 2 2 4 7 2" xfId="9337" xr:uid="{00000000-0005-0000-0000-00001D770000}"/>
    <cellStyle name="표준 5 3 2 2 4 7 2 2" xfId="30043" xr:uid="{00000000-0005-0000-0000-00001E770000}"/>
    <cellStyle name="표준 5 3 2 2 4 7 2 3" xfId="38254" xr:uid="{00000000-0005-0000-0000-00001F770000}"/>
    <cellStyle name="표준 5 3 2 2 4 7 2 4" xfId="46447" xr:uid="{00000000-0005-0000-0000-000020770000}"/>
    <cellStyle name="표준 5 3 2 2 4 7 3" xfId="13449" xr:uid="{00000000-0005-0000-0000-000021770000}"/>
    <cellStyle name="표준 5 3 2 2 4 7 4" xfId="17689" xr:uid="{00000000-0005-0000-0000-000022770000}"/>
    <cellStyle name="표준 5 3 2 2 4 7 5" xfId="21851" xr:uid="{00000000-0005-0000-0000-000023770000}"/>
    <cellStyle name="표준 5 3 2 2 4 7 6" xfId="25947" xr:uid="{00000000-0005-0000-0000-000024770000}"/>
    <cellStyle name="표준 5 3 2 2 4 7 7" xfId="34158" xr:uid="{00000000-0005-0000-0000-000025770000}"/>
    <cellStyle name="표준 5 3 2 2 4 7 8" xfId="42351" xr:uid="{00000000-0005-0000-0000-000026770000}"/>
    <cellStyle name="표준 5 3 2 2 4 8" xfId="7148" xr:uid="{00000000-0005-0000-0000-000027770000}"/>
    <cellStyle name="표준 5 3 2 2 4 8 2" xfId="27995" xr:uid="{00000000-0005-0000-0000-000028770000}"/>
    <cellStyle name="표준 5 3 2 2 4 8 3" xfId="36206" xr:uid="{00000000-0005-0000-0000-000029770000}"/>
    <cellStyle name="표준 5 3 2 2 4 8 4" xfId="44399" xr:uid="{00000000-0005-0000-0000-00002A770000}"/>
    <cellStyle name="표준 5 3 2 2 4 9" xfId="7289" xr:uid="{00000000-0005-0000-0000-00002B770000}"/>
    <cellStyle name="표준 5 3 2 2 5" xfId="498" xr:uid="{00000000-0005-0000-0000-00002C770000}"/>
    <cellStyle name="표준 5 3 2 2 5 10" xfId="19867" xr:uid="{00000000-0005-0000-0000-00002D770000}"/>
    <cellStyle name="표준 5 3 2 2 5 11" xfId="23963" xr:uid="{00000000-0005-0000-0000-00002E770000}"/>
    <cellStyle name="표준 5 3 2 2 5 12" xfId="32174" xr:uid="{00000000-0005-0000-0000-00002F770000}"/>
    <cellStyle name="표준 5 3 2 2 5 13" xfId="40367" xr:uid="{00000000-0005-0000-0000-000030770000}"/>
    <cellStyle name="표준 5 3 2 2 5 2" xfId="754" xr:uid="{00000000-0005-0000-0000-000031770000}"/>
    <cellStyle name="표준 5 3 2 2 5 2 10" xfId="24219" xr:uid="{00000000-0005-0000-0000-000032770000}"/>
    <cellStyle name="표준 5 3 2 2 5 2 11" xfId="32430" xr:uid="{00000000-0005-0000-0000-000033770000}"/>
    <cellStyle name="표준 5 3 2 2 5 2 12" xfId="40623" xr:uid="{00000000-0005-0000-0000-000034770000}"/>
    <cellStyle name="표준 5 3 2 2 5 2 2" xfId="1266" xr:uid="{00000000-0005-0000-0000-000035770000}"/>
    <cellStyle name="표준 5 3 2 2 5 2 2 2" xfId="10169" xr:uid="{00000000-0005-0000-0000-000036770000}"/>
    <cellStyle name="표준 5 3 2 2 5 2 2 2 2" xfId="14281" xr:uid="{00000000-0005-0000-0000-000037770000}"/>
    <cellStyle name="표준 5 3 2 2 5 2 2 2 2 2" xfId="30875" xr:uid="{00000000-0005-0000-0000-000038770000}"/>
    <cellStyle name="표준 5 3 2 2 5 2 2 2 2 3" xfId="39086" xr:uid="{00000000-0005-0000-0000-000039770000}"/>
    <cellStyle name="표준 5 3 2 2 5 2 2 2 2 4" xfId="47279" xr:uid="{00000000-0005-0000-0000-00003A770000}"/>
    <cellStyle name="표준 5 3 2 2 5 2 2 2 3" xfId="18521" xr:uid="{00000000-0005-0000-0000-00003B770000}"/>
    <cellStyle name="표준 5 3 2 2 5 2 2 2 4" xfId="22683" xr:uid="{00000000-0005-0000-0000-00003C770000}"/>
    <cellStyle name="표준 5 3 2 2 5 2 2 2 5" xfId="26779" xr:uid="{00000000-0005-0000-0000-00003D770000}"/>
    <cellStyle name="표준 5 3 2 2 5 2 2 2 6" xfId="34990" xr:uid="{00000000-0005-0000-0000-00003E770000}"/>
    <cellStyle name="표준 5 3 2 2 5 2 2 2 7" xfId="43183" xr:uid="{00000000-0005-0000-0000-00003F770000}"/>
    <cellStyle name="표준 5 3 2 2 5 2 2 3" xfId="8121" xr:uid="{00000000-0005-0000-0000-000040770000}"/>
    <cellStyle name="표준 5 3 2 2 5 2 2 3 2" xfId="28827" xr:uid="{00000000-0005-0000-0000-000041770000}"/>
    <cellStyle name="표준 5 3 2 2 5 2 2 3 3" xfId="37038" xr:uid="{00000000-0005-0000-0000-000042770000}"/>
    <cellStyle name="표준 5 3 2 2 5 2 2 3 4" xfId="45231" xr:uid="{00000000-0005-0000-0000-000043770000}"/>
    <cellStyle name="표준 5 3 2 2 5 2 2 4" xfId="12233" xr:uid="{00000000-0005-0000-0000-000044770000}"/>
    <cellStyle name="표준 5 3 2 2 5 2 2 5" xfId="16473" xr:uid="{00000000-0005-0000-0000-000045770000}"/>
    <cellStyle name="표준 5 3 2 2 5 2 2 6" xfId="20635" xr:uid="{00000000-0005-0000-0000-000046770000}"/>
    <cellStyle name="표준 5 3 2 2 5 2 2 7" xfId="24731" xr:uid="{00000000-0005-0000-0000-000047770000}"/>
    <cellStyle name="표준 5 3 2 2 5 2 2 8" xfId="32942" xr:uid="{00000000-0005-0000-0000-000048770000}"/>
    <cellStyle name="표준 5 3 2 2 5 2 2 9" xfId="41135" xr:uid="{00000000-0005-0000-0000-000049770000}"/>
    <cellStyle name="표준 5 3 2 2 5 2 3" xfId="1778" xr:uid="{00000000-0005-0000-0000-00004A770000}"/>
    <cellStyle name="표준 5 3 2 2 5 2 3 2" xfId="10681" xr:uid="{00000000-0005-0000-0000-00004B770000}"/>
    <cellStyle name="표준 5 3 2 2 5 2 3 2 2" xfId="14793" xr:uid="{00000000-0005-0000-0000-00004C770000}"/>
    <cellStyle name="표준 5 3 2 2 5 2 3 2 2 2" xfId="31387" xr:uid="{00000000-0005-0000-0000-00004D770000}"/>
    <cellStyle name="표준 5 3 2 2 5 2 3 2 2 3" xfId="39598" xr:uid="{00000000-0005-0000-0000-00004E770000}"/>
    <cellStyle name="표준 5 3 2 2 5 2 3 2 2 4" xfId="47791" xr:uid="{00000000-0005-0000-0000-00004F770000}"/>
    <cellStyle name="표준 5 3 2 2 5 2 3 2 3" xfId="19033" xr:uid="{00000000-0005-0000-0000-000050770000}"/>
    <cellStyle name="표준 5 3 2 2 5 2 3 2 4" xfId="23195" xr:uid="{00000000-0005-0000-0000-000051770000}"/>
    <cellStyle name="표준 5 3 2 2 5 2 3 2 5" xfId="27291" xr:uid="{00000000-0005-0000-0000-000052770000}"/>
    <cellStyle name="표준 5 3 2 2 5 2 3 2 6" xfId="35502" xr:uid="{00000000-0005-0000-0000-000053770000}"/>
    <cellStyle name="표준 5 3 2 2 5 2 3 2 7" xfId="43695" xr:uid="{00000000-0005-0000-0000-000054770000}"/>
    <cellStyle name="표준 5 3 2 2 5 2 3 3" xfId="8633" xr:uid="{00000000-0005-0000-0000-000055770000}"/>
    <cellStyle name="표준 5 3 2 2 5 2 3 3 2" xfId="29339" xr:uid="{00000000-0005-0000-0000-000056770000}"/>
    <cellStyle name="표준 5 3 2 2 5 2 3 3 3" xfId="37550" xr:uid="{00000000-0005-0000-0000-000057770000}"/>
    <cellStyle name="표준 5 3 2 2 5 2 3 3 4" xfId="45743" xr:uid="{00000000-0005-0000-0000-000058770000}"/>
    <cellStyle name="표준 5 3 2 2 5 2 3 4" xfId="12745" xr:uid="{00000000-0005-0000-0000-000059770000}"/>
    <cellStyle name="표준 5 3 2 2 5 2 3 5" xfId="16985" xr:uid="{00000000-0005-0000-0000-00005A770000}"/>
    <cellStyle name="표준 5 3 2 2 5 2 3 6" xfId="21147" xr:uid="{00000000-0005-0000-0000-00005B770000}"/>
    <cellStyle name="표준 5 3 2 2 5 2 3 7" xfId="25243" xr:uid="{00000000-0005-0000-0000-00005C770000}"/>
    <cellStyle name="표준 5 3 2 2 5 2 3 8" xfId="33454" xr:uid="{00000000-0005-0000-0000-00005D770000}"/>
    <cellStyle name="표준 5 3 2 2 5 2 3 9" xfId="41647" xr:uid="{00000000-0005-0000-0000-00005E770000}"/>
    <cellStyle name="표준 5 3 2 2 5 2 4" xfId="2290" xr:uid="{00000000-0005-0000-0000-00005F770000}"/>
    <cellStyle name="표준 5 3 2 2 5 2 4 2" xfId="11193" xr:uid="{00000000-0005-0000-0000-000060770000}"/>
    <cellStyle name="표준 5 3 2 2 5 2 4 2 2" xfId="15305" xr:uid="{00000000-0005-0000-0000-000061770000}"/>
    <cellStyle name="표준 5 3 2 2 5 2 4 2 2 2" xfId="31899" xr:uid="{00000000-0005-0000-0000-000062770000}"/>
    <cellStyle name="표준 5 3 2 2 5 2 4 2 2 3" xfId="40110" xr:uid="{00000000-0005-0000-0000-000063770000}"/>
    <cellStyle name="표준 5 3 2 2 5 2 4 2 2 4" xfId="48303" xr:uid="{00000000-0005-0000-0000-000064770000}"/>
    <cellStyle name="표준 5 3 2 2 5 2 4 2 3" xfId="19545" xr:uid="{00000000-0005-0000-0000-000065770000}"/>
    <cellStyle name="표준 5 3 2 2 5 2 4 2 4" xfId="23707" xr:uid="{00000000-0005-0000-0000-000066770000}"/>
    <cellStyle name="표준 5 3 2 2 5 2 4 2 5" xfId="27803" xr:uid="{00000000-0005-0000-0000-000067770000}"/>
    <cellStyle name="표준 5 3 2 2 5 2 4 2 6" xfId="36014" xr:uid="{00000000-0005-0000-0000-000068770000}"/>
    <cellStyle name="표준 5 3 2 2 5 2 4 2 7" xfId="44207" xr:uid="{00000000-0005-0000-0000-000069770000}"/>
    <cellStyle name="표준 5 3 2 2 5 2 4 3" xfId="9145" xr:uid="{00000000-0005-0000-0000-00006A770000}"/>
    <cellStyle name="표준 5 3 2 2 5 2 4 3 2" xfId="29851" xr:uid="{00000000-0005-0000-0000-00006B770000}"/>
    <cellStyle name="표준 5 3 2 2 5 2 4 3 3" xfId="38062" xr:uid="{00000000-0005-0000-0000-00006C770000}"/>
    <cellStyle name="표준 5 3 2 2 5 2 4 3 4" xfId="46255" xr:uid="{00000000-0005-0000-0000-00006D770000}"/>
    <cellStyle name="표준 5 3 2 2 5 2 4 4" xfId="13257" xr:uid="{00000000-0005-0000-0000-00006E770000}"/>
    <cellStyle name="표준 5 3 2 2 5 2 4 5" xfId="17497" xr:uid="{00000000-0005-0000-0000-00006F770000}"/>
    <cellStyle name="표준 5 3 2 2 5 2 4 6" xfId="21659" xr:uid="{00000000-0005-0000-0000-000070770000}"/>
    <cellStyle name="표준 5 3 2 2 5 2 4 7" xfId="25755" xr:uid="{00000000-0005-0000-0000-000071770000}"/>
    <cellStyle name="표준 5 3 2 2 5 2 4 8" xfId="33966" xr:uid="{00000000-0005-0000-0000-000072770000}"/>
    <cellStyle name="표준 5 3 2 2 5 2 4 9" xfId="42159" xr:uid="{00000000-0005-0000-0000-000073770000}"/>
    <cellStyle name="표준 5 3 2 2 5 2 5" xfId="9657" xr:uid="{00000000-0005-0000-0000-000074770000}"/>
    <cellStyle name="표준 5 3 2 2 5 2 5 2" xfId="13769" xr:uid="{00000000-0005-0000-0000-000075770000}"/>
    <cellStyle name="표준 5 3 2 2 5 2 5 2 2" xfId="30363" xr:uid="{00000000-0005-0000-0000-000076770000}"/>
    <cellStyle name="표준 5 3 2 2 5 2 5 2 3" xfId="38574" xr:uid="{00000000-0005-0000-0000-000077770000}"/>
    <cellStyle name="표준 5 3 2 2 5 2 5 2 4" xfId="46767" xr:uid="{00000000-0005-0000-0000-000078770000}"/>
    <cellStyle name="표준 5 3 2 2 5 2 5 3" xfId="18009" xr:uid="{00000000-0005-0000-0000-000079770000}"/>
    <cellStyle name="표준 5 3 2 2 5 2 5 4" xfId="22171" xr:uid="{00000000-0005-0000-0000-00007A770000}"/>
    <cellStyle name="표준 5 3 2 2 5 2 5 5" xfId="26267" xr:uid="{00000000-0005-0000-0000-00007B770000}"/>
    <cellStyle name="표준 5 3 2 2 5 2 5 6" xfId="34478" xr:uid="{00000000-0005-0000-0000-00007C770000}"/>
    <cellStyle name="표준 5 3 2 2 5 2 5 7" xfId="42671" xr:uid="{00000000-0005-0000-0000-00007D770000}"/>
    <cellStyle name="표준 5 3 2 2 5 2 6" xfId="7609" xr:uid="{00000000-0005-0000-0000-00007E770000}"/>
    <cellStyle name="표준 5 3 2 2 5 2 6 2" xfId="28315" xr:uid="{00000000-0005-0000-0000-00007F770000}"/>
    <cellStyle name="표준 5 3 2 2 5 2 6 3" xfId="36526" xr:uid="{00000000-0005-0000-0000-000080770000}"/>
    <cellStyle name="표준 5 3 2 2 5 2 6 4" xfId="44719" xr:uid="{00000000-0005-0000-0000-000081770000}"/>
    <cellStyle name="표준 5 3 2 2 5 2 7" xfId="11721" xr:uid="{00000000-0005-0000-0000-000082770000}"/>
    <cellStyle name="표준 5 3 2 2 5 2 8" xfId="15961" xr:uid="{00000000-0005-0000-0000-000083770000}"/>
    <cellStyle name="표준 5 3 2 2 5 2 9" xfId="20123" xr:uid="{00000000-0005-0000-0000-000084770000}"/>
    <cellStyle name="표준 5 3 2 2 5 3" xfId="1010" xr:uid="{00000000-0005-0000-0000-000085770000}"/>
    <cellStyle name="표준 5 3 2 2 5 3 2" xfId="9913" xr:uid="{00000000-0005-0000-0000-000086770000}"/>
    <cellStyle name="표준 5 3 2 2 5 3 2 2" xfId="14025" xr:uid="{00000000-0005-0000-0000-000087770000}"/>
    <cellStyle name="표준 5 3 2 2 5 3 2 2 2" xfId="30619" xr:uid="{00000000-0005-0000-0000-000088770000}"/>
    <cellStyle name="표준 5 3 2 2 5 3 2 2 3" xfId="38830" xr:uid="{00000000-0005-0000-0000-000089770000}"/>
    <cellStyle name="표준 5 3 2 2 5 3 2 2 4" xfId="47023" xr:uid="{00000000-0005-0000-0000-00008A770000}"/>
    <cellStyle name="표준 5 3 2 2 5 3 2 3" xfId="18265" xr:uid="{00000000-0005-0000-0000-00008B770000}"/>
    <cellStyle name="표준 5 3 2 2 5 3 2 4" xfId="22427" xr:uid="{00000000-0005-0000-0000-00008C770000}"/>
    <cellStyle name="표준 5 3 2 2 5 3 2 5" xfId="26523" xr:uid="{00000000-0005-0000-0000-00008D770000}"/>
    <cellStyle name="표준 5 3 2 2 5 3 2 6" xfId="34734" xr:uid="{00000000-0005-0000-0000-00008E770000}"/>
    <cellStyle name="표준 5 3 2 2 5 3 2 7" xfId="42927" xr:uid="{00000000-0005-0000-0000-00008F770000}"/>
    <cellStyle name="표준 5 3 2 2 5 3 3" xfId="7865" xr:uid="{00000000-0005-0000-0000-000090770000}"/>
    <cellStyle name="표준 5 3 2 2 5 3 3 2" xfId="28571" xr:uid="{00000000-0005-0000-0000-000091770000}"/>
    <cellStyle name="표준 5 3 2 2 5 3 3 3" xfId="36782" xr:uid="{00000000-0005-0000-0000-000092770000}"/>
    <cellStyle name="표준 5 3 2 2 5 3 3 4" xfId="44975" xr:uid="{00000000-0005-0000-0000-000093770000}"/>
    <cellStyle name="표준 5 3 2 2 5 3 4" xfId="11977" xr:uid="{00000000-0005-0000-0000-000094770000}"/>
    <cellStyle name="표준 5 3 2 2 5 3 5" xfId="16217" xr:uid="{00000000-0005-0000-0000-000095770000}"/>
    <cellStyle name="표준 5 3 2 2 5 3 6" xfId="20379" xr:uid="{00000000-0005-0000-0000-000096770000}"/>
    <cellStyle name="표준 5 3 2 2 5 3 7" xfId="24475" xr:uid="{00000000-0005-0000-0000-000097770000}"/>
    <cellStyle name="표준 5 3 2 2 5 3 8" xfId="32686" xr:uid="{00000000-0005-0000-0000-000098770000}"/>
    <cellStyle name="표준 5 3 2 2 5 3 9" xfId="40879" xr:uid="{00000000-0005-0000-0000-000099770000}"/>
    <cellStyle name="표준 5 3 2 2 5 4" xfId="1522" xr:uid="{00000000-0005-0000-0000-00009A770000}"/>
    <cellStyle name="표준 5 3 2 2 5 4 2" xfId="10425" xr:uid="{00000000-0005-0000-0000-00009B770000}"/>
    <cellStyle name="표준 5 3 2 2 5 4 2 2" xfId="14537" xr:uid="{00000000-0005-0000-0000-00009C770000}"/>
    <cellStyle name="표준 5 3 2 2 5 4 2 2 2" xfId="31131" xr:uid="{00000000-0005-0000-0000-00009D770000}"/>
    <cellStyle name="표준 5 3 2 2 5 4 2 2 3" xfId="39342" xr:uid="{00000000-0005-0000-0000-00009E770000}"/>
    <cellStyle name="표준 5 3 2 2 5 4 2 2 4" xfId="47535" xr:uid="{00000000-0005-0000-0000-00009F770000}"/>
    <cellStyle name="표준 5 3 2 2 5 4 2 3" xfId="18777" xr:uid="{00000000-0005-0000-0000-0000A0770000}"/>
    <cellStyle name="표준 5 3 2 2 5 4 2 4" xfId="22939" xr:uid="{00000000-0005-0000-0000-0000A1770000}"/>
    <cellStyle name="표준 5 3 2 2 5 4 2 5" xfId="27035" xr:uid="{00000000-0005-0000-0000-0000A2770000}"/>
    <cellStyle name="표준 5 3 2 2 5 4 2 6" xfId="35246" xr:uid="{00000000-0005-0000-0000-0000A3770000}"/>
    <cellStyle name="표준 5 3 2 2 5 4 2 7" xfId="43439" xr:uid="{00000000-0005-0000-0000-0000A4770000}"/>
    <cellStyle name="표준 5 3 2 2 5 4 3" xfId="8377" xr:uid="{00000000-0005-0000-0000-0000A5770000}"/>
    <cellStyle name="표준 5 3 2 2 5 4 3 2" xfId="29083" xr:uid="{00000000-0005-0000-0000-0000A6770000}"/>
    <cellStyle name="표준 5 3 2 2 5 4 3 3" xfId="37294" xr:uid="{00000000-0005-0000-0000-0000A7770000}"/>
    <cellStyle name="표준 5 3 2 2 5 4 3 4" xfId="45487" xr:uid="{00000000-0005-0000-0000-0000A8770000}"/>
    <cellStyle name="표준 5 3 2 2 5 4 4" xfId="12489" xr:uid="{00000000-0005-0000-0000-0000A9770000}"/>
    <cellStyle name="표준 5 3 2 2 5 4 5" xfId="16729" xr:uid="{00000000-0005-0000-0000-0000AA770000}"/>
    <cellStyle name="표준 5 3 2 2 5 4 6" xfId="20891" xr:uid="{00000000-0005-0000-0000-0000AB770000}"/>
    <cellStyle name="표준 5 3 2 2 5 4 7" xfId="24987" xr:uid="{00000000-0005-0000-0000-0000AC770000}"/>
    <cellStyle name="표준 5 3 2 2 5 4 8" xfId="33198" xr:uid="{00000000-0005-0000-0000-0000AD770000}"/>
    <cellStyle name="표준 5 3 2 2 5 4 9" xfId="41391" xr:uid="{00000000-0005-0000-0000-0000AE770000}"/>
    <cellStyle name="표준 5 3 2 2 5 5" xfId="2034" xr:uid="{00000000-0005-0000-0000-0000AF770000}"/>
    <cellStyle name="표준 5 3 2 2 5 5 2" xfId="10937" xr:uid="{00000000-0005-0000-0000-0000B0770000}"/>
    <cellStyle name="표준 5 3 2 2 5 5 2 2" xfId="15049" xr:uid="{00000000-0005-0000-0000-0000B1770000}"/>
    <cellStyle name="표준 5 3 2 2 5 5 2 2 2" xfId="31643" xr:uid="{00000000-0005-0000-0000-0000B2770000}"/>
    <cellStyle name="표준 5 3 2 2 5 5 2 2 3" xfId="39854" xr:uid="{00000000-0005-0000-0000-0000B3770000}"/>
    <cellStyle name="표준 5 3 2 2 5 5 2 2 4" xfId="48047" xr:uid="{00000000-0005-0000-0000-0000B4770000}"/>
    <cellStyle name="표준 5 3 2 2 5 5 2 3" xfId="19289" xr:uid="{00000000-0005-0000-0000-0000B5770000}"/>
    <cellStyle name="표준 5 3 2 2 5 5 2 4" xfId="23451" xr:uid="{00000000-0005-0000-0000-0000B6770000}"/>
    <cellStyle name="표준 5 3 2 2 5 5 2 5" xfId="27547" xr:uid="{00000000-0005-0000-0000-0000B7770000}"/>
    <cellStyle name="표준 5 3 2 2 5 5 2 6" xfId="35758" xr:uid="{00000000-0005-0000-0000-0000B8770000}"/>
    <cellStyle name="표준 5 3 2 2 5 5 2 7" xfId="43951" xr:uid="{00000000-0005-0000-0000-0000B9770000}"/>
    <cellStyle name="표준 5 3 2 2 5 5 3" xfId="8889" xr:uid="{00000000-0005-0000-0000-0000BA770000}"/>
    <cellStyle name="표준 5 3 2 2 5 5 3 2" xfId="29595" xr:uid="{00000000-0005-0000-0000-0000BB770000}"/>
    <cellStyle name="표준 5 3 2 2 5 5 3 3" xfId="37806" xr:uid="{00000000-0005-0000-0000-0000BC770000}"/>
    <cellStyle name="표준 5 3 2 2 5 5 3 4" xfId="45999" xr:uid="{00000000-0005-0000-0000-0000BD770000}"/>
    <cellStyle name="표준 5 3 2 2 5 5 4" xfId="13001" xr:uid="{00000000-0005-0000-0000-0000BE770000}"/>
    <cellStyle name="표준 5 3 2 2 5 5 5" xfId="17241" xr:uid="{00000000-0005-0000-0000-0000BF770000}"/>
    <cellStyle name="표준 5 3 2 2 5 5 6" xfId="21403" xr:uid="{00000000-0005-0000-0000-0000C0770000}"/>
    <cellStyle name="표준 5 3 2 2 5 5 7" xfId="25499" xr:uid="{00000000-0005-0000-0000-0000C1770000}"/>
    <cellStyle name="표준 5 3 2 2 5 5 8" xfId="33710" xr:uid="{00000000-0005-0000-0000-0000C2770000}"/>
    <cellStyle name="표준 5 3 2 2 5 5 9" xfId="41903" xr:uid="{00000000-0005-0000-0000-0000C3770000}"/>
    <cellStyle name="표준 5 3 2 2 5 6" xfId="9401" xr:uid="{00000000-0005-0000-0000-0000C4770000}"/>
    <cellStyle name="표준 5 3 2 2 5 6 2" xfId="13513" xr:uid="{00000000-0005-0000-0000-0000C5770000}"/>
    <cellStyle name="표준 5 3 2 2 5 6 2 2" xfId="30107" xr:uid="{00000000-0005-0000-0000-0000C6770000}"/>
    <cellStyle name="표준 5 3 2 2 5 6 2 3" xfId="38318" xr:uid="{00000000-0005-0000-0000-0000C7770000}"/>
    <cellStyle name="표준 5 3 2 2 5 6 2 4" xfId="46511" xr:uid="{00000000-0005-0000-0000-0000C8770000}"/>
    <cellStyle name="표준 5 3 2 2 5 6 3" xfId="17753" xr:uid="{00000000-0005-0000-0000-0000C9770000}"/>
    <cellStyle name="표준 5 3 2 2 5 6 4" xfId="21915" xr:uid="{00000000-0005-0000-0000-0000CA770000}"/>
    <cellStyle name="표준 5 3 2 2 5 6 5" xfId="26011" xr:uid="{00000000-0005-0000-0000-0000CB770000}"/>
    <cellStyle name="표준 5 3 2 2 5 6 6" xfId="34222" xr:uid="{00000000-0005-0000-0000-0000CC770000}"/>
    <cellStyle name="표준 5 3 2 2 5 6 7" xfId="42415" xr:uid="{00000000-0005-0000-0000-0000CD770000}"/>
    <cellStyle name="표준 5 3 2 2 5 7" xfId="7353" xr:uid="{00000000-0005-0000-0000-0000CE770000}"/>
    <cellStyle name="표준 5 3 2 2 5 7 2" xfId="28059" xr:uid="{00000000-0005-0000-0000-0000CF770000}"/>
    <cellStyle name="표준 5 3 2 2 5 7 3" xfId="36270" xr:uid="{00000000-0005-0000-0000-0000D0770000}"/>
    <cellStyle name="표준 5 3 2 2 5 7 4" xfId="44463" xr:uid="{00000000-0005-0000-0000-0000D1770000}"/>
    <cellStyle name="표준 5 3 2 2 5 8" xfId="11465" xr:uid="{00000000-0005-0000-0000-0000D2770000}"/>
    <cellStyle name="표준 5 3 2 2 5 9" xfId="15705" xr:uid="{00000000-0005-0000-0000-0000D3770000}"/>
    <cellStyle name="표준 5 3 2 2 6" xfId="626" xr:uid="{00000000-0005-0000-0000-0000D4770000}"/>
    <cellStyle name="표준 5 3 2 2 6 10" xfId="24091" xr:uid="{00000000-0005-0000-0000-0000D5770000}"/>
    <cellStyle name="표준 5 3 2 2 6 11" xfId="32302" xr:uid="{00000000-0005-0000-0000-0000D6770000}"/>
    <cellStyle name="표준 5 3 2 2 6 12" xfId="40495" xr:uid="{00000000-0005-0000-0000-0000D7770000}"/>
    <cellStyle name="표준 5 3 2 2 6 2" xfId="1138" xr:uid="{00000000-0005-0000-0000-0000D8770000}"/>
    <cellStyle name="표준 5 3 2 2 6 2 2" xfId="10041" xr:uid="{00000000-0005-0000-0000-0000D9770000}"/>
    <cellStyle name="표준 5 3 2 2 6 2 2 2" xfId="14153" xr:uid="{00000000-0005-0000-0000-0000DA770000}"/>
    <cellStyle name="표준 5 3 2 2 6 2 2 2 2" xfId="30747" xr:uid="{00000000-0005-0000-0000-0000DB770000}"/>
    <cellStyle name="표준 5 3 2 2 6 2 2 2 3" xfId="38958" xr:uid="{00000000-0005-0000-0000-0000DC770000}"/>
    <cellStyle name="표준 5 3 2 2 6 2 2 2 4" xfId="47151" xr:uid="{00000000-0005-0000-0000-0000DD770000}"/>
    <cellStyle name="표준 5 3 2 2 6 2 2 3" xfId="18393" xr:uid="{00000000-0005-0000-0000-0000DE770000}"/>
    <cellStyle name="표준 5 3 2 2 6 2 2 4" xfId="22555" xr:uid="{00000000-0005-0000-0000-0000DF770000}"/>
    <cellStyle name="표준 5 3 2 2 6 2 2 5" xfId="26651" xr:uid="{00000000-0005-0000-0000-0000E0770000}"/>
    <cellStyle name="표준 5 3 2 2 6 2 2 6" xfId="34862" xr:uid="{00000000-0005-0000-0000-0000E1770000}"/>
    <cellStyle name="표준 5 3 2 2 6 2 2 7" xfId="43055" xr:uid="{00000000-0005-0000-0000-0000E2770000}"/>
    <cellStyle name="표준 5 3 2 2 6 2 3" xfId="7993" xr:uid="{00000000-0005-0000-0000-0000E3770000}"/>
    <cellStyle name="표준 5 3 2 2 6 2 3 2" xfId="28699" xr:uid="{00000000-0005-0000-0000-0000E4770000}"/>
    <cellStyle name="표준 5 3 2 2 6 2 3 3" xfId="36910" xr:uid="{00000000-0005-0000-0000-0000E5770000}"/>
    <cellStyle name="표준 5 3 2 2 6 2 3 4" xfId="45103" xr:uid="{00000000-0005-0000-0000-0000E6770000}"/>
    <cellStyle name="표준 5 3 2 2 6 2 4" xfId="12105" xr:uid="{00000000-0005-0000-0000-0000E7770000}"/>
    <cellStyle name="표준 5 3 2 2 6 2 5" xfId="16345" xr:uid="{00000000-0005-0000-0000-0000E8770000}"/>
    <cellStyle name="표준 5 3 2 2 6 2 6" xfId="20507" xr:uid="{00000000-0005-0000-0000-0000E9770000}"/>
    <cellStyle name="표준 5 3 2 2 6 2 7" xfId="24603" xr:uid="{00000000-0005-0000-0000-0000EA770000}"/>
    <cellStyle name="표준 5 3 2 2 6 2 8" xfId="32814" xr:uid="{00000000-0005-0000-0000-0000EB770000}"/>
    <cellStyle name="표준 5 3 2 2 6 2 9" xfId="41007" xr:uid="{00000000-0005-0000-0000-0000EC770000}"/>
    <cellStyle name="표준 5 3 2 2 6 3" xfId="1650" xr:uid="{00000000-0005-0000-0000-0000ED770000}"/>
    <cellStyle name="표준 5 3 2 2 6 3 2" xfId="10553" xr:uid="{00000000-0005-0000-0000-0000EE770000}"/>
    <cellStyle name="표준 5 3 2 2 6 3 2 2" xfId="14665" xr:uid="{00000000-0005-0000-0000-0000EF770000}"/>
    <cellStyle name="표준 5 3 2 2 6 3 2 2 2" xfId="31259" xr:uid="{00000000-0005-0000-0000-0000F0770000}"/>
    <cellStyle name="표준 5 3 2 2 6 3 2 2 3" xfId="39470" xr:uid="{00000000-0005-0000-0000-0000F1770000}"/>
    <cellStyle name="표준 5 3 2 2 6 3 2 2 4" xfId="47663" xr:uid="{00000000-0005-0000-0000-0000F2770000}"/>
    <cellStyle name="표준 5 3 2 2 6 3 2 3" xfId="18905" xr:uid="{00000000-0005-0000-0000-0000F3770000}"/>
    <cellStyle name="표준 5 3 2 2 6 3 2 4" xfId="23067" xr:uid="{00000000-0005-0000-0000-0000F4770000}"/>
    <cellStyle name="표준 5 3 2 2 6 3 2 5" xfId="27163" xr:uid="{00000000-0005-0000-0000-0000F5770000}"/>
    <cellStyle name="표준 5 3 2 2 6 3 2 6" xfId="35374" xr:uid="{00000000-0005-0000-0000-0000F6770000}"/>
    <cellStyle name="표준 5 3 2 2 6 3 2 7" xfId="43567" xr:uid="{00000000-0005-0000-0000-0000F7770000}"/>
    <cellStyle name="표준 5 3 2 2 6 3 3" xfId="8505" xr:uid="{00000000-0005-0000-0000-0000F8770000}"/>
    <cellStyle name="표준 5 3 2 2 6 3 3 2" xfId="29211" xr:uid="{00000000-0005-0000-0000-0000F9770000}"/>
    <cellStyle name="표준 5 3 2 2 6 3 3 3" xfId="37422" xr:uid="{00000000-0005-0000-0000-0000FA770000}"/>
    <cellStyle name="표준 5 3 2 2 6 3 3 4" xfId="45615" xr:uid="{00000000-0005-0000-0000-0000FB770000}"/>
    <cellStyle name="표준 5 3 2 2 6 3 4" xfId="12617" xr:uid="{00000000-0005-0000-0000-0000FC770000}"/>
    <cellStyle name="표준 5 3 2 2 6 3 5" xfId="16857" xr:uid="{00000000-0005-0000-0000-0000FD770000}"/>
    <cellStyle name="표준 5 3 2 2 6 3 6" xfId="21019" xr:uid="{00000000-0005-0000-0000-0000FE770000}"/>
    <cellStyle name="표준 5 3 2 2 6 3 7" xfId="25115" xr:uid="{00000000-0005-0000-0000-0000FF770000}"/>
    <cellStyle name="표준 5 3 2 2 6 3 8" xfId="33326" xr:uid="{00000000-0005-0000-0000-000000780000}"/>
    <cellStyle name="표준 5 3 2 2 6 3 9" xfId="41519" xr:uid="{00000000-0005-0000-0000-000001780000}"/>
    <cellStyle name="표준 5 3 2 2 6 4" xfId="2162" xr:uid="{00000000-0005-0000-0000-000002780000}"/>
    <cellStyle name="표준 5 3 2 2 6 4 2" xfId="11065" xr:uid="{00000000-0005-0000-0000-000003780000}"/>
    <cellStyle name="표준 5 3 2 2 6 4 2 2" xfId="15177" xr:uid="{00000000-0005-0000-0000-000004780000}"/>
    <cellStyle name="표준 5 3 2 2 6 4 2 2 2" xfId="31771" xr:uid="{00000000-0005-0000-0000-000005780000}"/>
    <cellStyle name="표준 5 3 2 2 6 4 2 2 3" xfId="39982" xr:uid="{00000000-0005-0000-0000-000006780000}"/>
    <cellStyle name="표준 5 3 2 2 6 4 2 2 4" xfId="48175" xr:uid="{00000000-0005-0000-0000-000007780000}"/>
    <cellStyle name="표준 5 3 2 2 6 4 2 3" xfId="19417" xr:uid="{00000000-0005-0000-0000-000008780000}"/>
    <cellStyle name="표준 5 3 2 2 6 4 2 4" xfId="23579" xr:uid="{00000000-0005-0000-0000-000009780000}"/>
    <cellStyle name="표준 5 3 2 2 6 4 2 5" xfId="27675" xr:uid="{00000000-0005-0000-0000-00000A780000}"/>
    <cellStyle name="표준 5 3 2 2 6 4 2 6" xfId="35886" xr:uid="{00000000-0005-0000-0000-00000B780000}"/>
    <cellStyle name="표준 5 3 2 2 6 4 2 7" xfId="44079" xr:uid="{00000000-0005-0000-0000-00000C780000}"/>
    <cellStyle name="표준 5 3 2 2 6 4 3" xfId="9017" xr:uid="{00000000-0005-0000-0000-00000D780000}"/>
    <cellStyle name="표준 5 3 2 2 6 4 3 2" xfId="29723" xr:uid="{00000000-0005-0000-0000-00000E780000}"/>
    <cellStyle name="표준 5 3 2 2 6 4 3 3" xfId="37934" xr:uid="{00000000-0005-0000-0000-00000F780000}"/>
    <cellStyle name="표준 5 3 2 2 6 4 3 4" xfId="46127" xr:uid="{00000000-0005-0000-0000-000010780000}"/>
    <cellStyle name="표준 5 3 2 2 6 4 4" xfId="13129" xr:uid="{00000000-0005-0000-0000-000011780000}"/>
    <cellStyle name="표준 5 3 2 2 6 4 5" xfId="17369" xr:uid="{00000000-0005-0000-0000-000012780000}"/>
    <cellStyle name="표준 5 3 2 2 6 4 6" xfId="21531" xr:uid="{00000000-0005-0000-0000-000013780000}"/>
    <cellStyle name="표준 5 3 2 2 6 4 7" xfId="25627" xr:uid="{00000000-0005-0000-0000-000014780000}"/>
    <cellStyle name="표준 5 3 2 2 6 4 8" xfId="33838" xr:uid="{00000000-0005-0000-0000-000015780000}"/>
    <cellStyle name="표준 5 3 2 2 6 4 9" xfId="42031" xr:uid="{00000000-0005-0000-0000-000016780000}"/>
    <cellStyle name="표준 5 3 2 2 6 5" xfId="9529" xr:uid="{00000000-0005-0000-0000-000017780000}"/>
    <cellStyle name="표준 5 3 2 2 6 5 2" xfId="13641" xr:uid="{00000000-0005-0000-0000-000018780000}"/>
    <cellStyle name="표준 5 3 2 2 6 5 2 2" xfId="30235" xr:uid="{00000000-0005-0000-0000-000019780000}"/>
    <cellStyle name="표준 5 3 2 2 6 5 2 3" xfId="38446" xr:uid="{00000000-0005-0000-0000-00001A780000}"/>
    <cellStyle name="표준 5 3 2 2 6 5 2 4" xfId="46639" xr:uid="{00000000-0005-0000-0000-00001B780000}"/>
    <cellStyle name="표준 5 3 2 2 6 5 3" xfId="17881" xr:uid="{00000000-0005-0000-0000-00001C780000}"/>
    <cellStyle name="표준 5 3 2 2 6 5 4" xfId="22043" xr:uid="{00000000-0005-0000-0000-00001D780000}"/>
    <cellStyle name="표준 5 3 2 2 6 5 5" xfId="26139" xr:uid="{00000000-0005-0000-0000-00001E780000}"/>
    <cellStyle name="표준 5 3 2 2 6 5 6" xfId="34350" xr:uid="{00000000-0005-0000-0000-00001F780000}"/>
    <cellStyle name="표준 5 3 2 2 6 5 7" xfId="42543" xr:uid="{00000000-0005-0000-0000-000020780000}"/>
    <cellStyle name="표준 5 3 2 2 6 6" xfId="7481" xr:uid="{00000000-0005-0000-0000-000021780000}"/>
    <cellStyle name="표준 5 3 2 2 6 6 2" xfId="28187" xr:uid="{00000000-0005-0000-0000-000022780000}"/>
    <cellStyle name="표준 5 3 2 2 6 6 3" xfId="36398" xr:uid="{00000000-0005-0000-0000-000023780000}"/>
    <cellStyle name="표준 5 3 2 2 6 6 4" xfId="44591" xr:uid="{00000000-0005-0000-0000-000024780000}"/>
    <cellStyle name="표준 5 3 2 2 6 7" xfId="11593" xr:uid="{00000000-0005-0000-0000-000025780000}"/>
    <cellStyle name="표준 5 3 2 2 6 8" xfId="15833" xr:uid="{00000000-0005-0000-0000-000026780000}"/>
    <cellStyle name="표준 5 3 2 2 6 9" xfId="19995" xr:uid="{00000000-0005-0000-0000-000027780000}"/>
    <cellStyle name="표준 5 3 2 2 7" xfId="882" xr:uid="{00000000-0005-0000-0000-000028780000}"/>
    <cellStyle name="표준 5 3 2 2 7 2" xfId="9785" xr:uid="{00000000-0005-0000-0000-000029780000}"/>
    <cellStyle name="표준 5 3 2 2 7 2 2" xfId="13897" xr:uid="{00000000-0005-0000-0000-00002A780000}"/>
    <cellStyle name="표준 5 3 2 2 7 2 2 2" xfId="30491" xr:uid="{00000000-0005-0000-0000-00002B780000}"/>
    <cellStyle name="표준 5 3 2 2 7 2 2 3" xfId="38702" xr:uid="{00000000-0005-0000-0000-00002C780000}"/>
    <cellStyle name="표준 5 3 2 2 7 2 2 4" xfId="46895" xr:uid="{00000000-0005-0000-0000-00002D780000}"/>
    <cellStyle name="표준 5 3 2 2 7 2 3" xfId="18137" xr:uid="{00000000-0005-0000-0000-00002E780000}"/>
    <cellStyle name="표준 5 3 2 2 7 2 4" xfId="22299" xr:uid="{00000000-0005-0000-0000-00002F780000}"/>
    <cellStyle name="표준 5 3 2 2 7 2 5" xfId="26395" xr:uid="{00000000-0005-0000-0000-000030780000}"/>
    <cellStyle name="표준 5 3 2 2 7 2 6" xfId="34606" xr:uid="{00000000-0005-0000-0000-000031780000}"/>
    <cellStyle name="표준 5 3 2 2 7 2 7" xfId="42799" xr:uid="{00000000-0005-0000-0000-000032780000}"/>
    <cellStyle name="표준 5 3 2 2 7 3" xfId="7737" xr:uid="{00000000-0005-0000-0000-000033780000}"/>
    <cellStyle name="표준 5 3 2 2 7 3 2" xfId="28443" xr:uid="{00000000-0005-0000-0000-000034780000}"/>
    <cellStyle name="표준 5 3 2 2 7 3 3" xfId="36654" xr:uid="{00000000-0005-0000-0000-000035780000}"/>
    <cellStyle name="표준 5 3 2 2 7 3 4" xfId="44847" xr:uid="{00000000-0005-0000-0000-000036780000}"/>
    <cellStyle name="표준 5 3 2 2 7 4" xfId="11849" xr:uid="{00000000-0005-0000-0000-000037780000}"/>
    <cellStyle name="표준 5 3 2 2 7 5" xfId="16089" xr:uid="{00000000-0005-0000-0000-000038780000}"/>
    <cellStyle name="표준 5 3 2 2 7 6" xfId="20251" xr:uid="{00000000-0005-0000-0000-000039780000}"/>
    <cellStyle name="표준 5 3 2 2 7 7" xfId="24347" xr:uid="{00000000-0005-0000-0000-00003A780000}"/>
    <cellStyle name="표준 5 3 2 2 7 8" xfId="32558" xr:uid="{00000000-0005-0000-0000-00003B780000}"/>
    <cellStyle name="표준 5 3 2 2 7 9" xfId="40751" xr:uid="{00000000-0005-0000-0000-00003C780000}"/>
    <cellStyle name="표준 5 3 2 2 8" xfId="1394" xr:uid="{00000000-0005-0000-0000-00003D780000}"/>
    <cellStyle name="표준 5 3 2 2 8 2" xfId="10297" xr:uid="{00000000-0005-0000-0000-00003E780000}"/>
    <cellStyle name="표준 5 3 2 2 8 2 2" xfId="14409" xr:uid="{00000000-0005-0000-0000-00003F780000}"/>
    <cellStyle name="표준 5 3 2 2 8 2 2 2" xfId="31003" xr:uid="{00000000-0005-0000-0000-000040780000}"/>
    <cellStyle name="표준 5 3 2 2 8 2 2 3" xfId="39214" xr:uid="{00000000-0005-0000-0000-000041780000}"/>
    <cellStyle name="표준 5 3 2 2 8 2 2 4" xfId="47407" xr:uid="{00000000-0005-0000-0000-000042780000}"/>
    <cellStyle name="표준 5 3 2 2 8 2 3" xfId="18649" xr:uid="{00000000-0005-0000-0000-000043780000}"/>
    <cellStyle name="표준 5 3 2 2 8 2 4" xfId="22811" xr:uid="{00000000-0005-0000-0000-000044780000}"/>
    <cellStyle name="표준 5 3 2 2 8 2 5" xfId="26907" xr:uid="{00000000-0005-0000-0000-000045780000}"/>
    <cellStyle name="표준 5 3 2 2 8 2 6" xfId="35118" xr:uid="{00000000-0005-0000-0000-000046780000}"/>
    <cellStyle name="표준 5 3 2 2 8 2 7" xfId="43311" xr:uid="{00000000-0005-0000-0000-000047780000}"/>
    <cellStyle name="표준 5 3 2 2 8 3" xfId="8249" xr:uid="{00000000-0005-0000-0000-000048780000}"/>
    <cellStyle name="표준 5 3 2 2 8 3 2" xfId="28955" xr:uid="{00000000-0005-0000-0000-000049780000}"/>
    <cellStyle name="표준 5 3 2 2 8 3 3" xfId="37166" xr:uid="{00000000-0005-0000-0000-00004A780000}"/>
    <cellStyle name="표준 5 3 2 2 8 3 4" xfId="45359" xr:uid="{00000000-0005-0000-0000-00004B780000}"/>
    <cellStyle name="표준 5 3 2 2 8 4" xfId="12361" xr:uid="{00000000-0005-0000-0000-00004C780000}"/>
    <cellStyle name="표준 5 3 2 2 8 5" xfId="16601" xr:uid="{00000000-0005-0000-0000-00004D780000}"/>
    <cellStyle name="표준 5 3 2 2 8 6" xfId="20763" xr:uid="{00000000-0005-0000-0000-00004E780000}"/>
    <cellStyle name="표준 5 3 2 2 8 7" xfId="24859" xr:uid="{00000000-0005-0000-0000-00004F780000}"/>
    <cellStyle name="표준 5 3 2 2 8 8" xfId="33070" xr:uid="{00000000-0005-0000-0000-000050780000}"/>
    <cellStyle name="표준 5 3 2 2 8 9" xfId="41263" xr:uid="{00000000-0005-0000-0000-000051780000}"/>
    <cellStyle name="표준 5 3 2 2 9" xfId="1906" xr:uid="{00000000-0005-0000-0000-000052780000}"/>
    <cellStyle name="표준 5 3 2 2 9 2" xfId="10809" xr:uid="{00000000-0005-0000-0000-000053780000}"/>
    <cellStyle name="표준 5 3 2 2 9 2 2" xfId="14921" xr:uid="{00000000-0005-0000-0000-000054780000}"/>
    <cellStyle name="표준 5 3 2 2 9 2 2 2" xfId="31515" xr:uid="{00000000-0005-0000-0000-000055780000}"/>
    <cellStyle name="표준 5 3 2 2 9 2 2 3" xfId="39726" xr:uid="{00000000-0005-0000-0000-000056780000}"/>
    <cellStyle name="표준 5 3 2 2 9 2 2 4" xfId="47919" xr:uid="{00000000-0005-0000-0000-000057780000}"/>
    <cellStyle name="표준 5 3 2 2 9 2 3" xfId="19161" xr:uid="{00000000-0005-0000-0000-000058780000}"/>
    <cellStyle name="표준 5 3 2 2 9 2 4" xfId="23323" xr:uid="{00000000-0005-0000-0000-000059780000}"/>
    <cellStyle name="표준 5 3 2 2 9 2 5" xfId="27419" xr:uid="{00000000-0005-0000-0000-00005A780000}"/>
    <cellStyle name="표준 5 3 2 2 9 2 6" xfId="35630" xr:uid="{00000000-0005-0000-0000-00005B780000}"/>
    <cellStyle name="표준 5 3 2 2 9 2 7" xfId="43823" xr:uid="{00000000-0005-0000-0000-00005C780000}"/>
    <cellStyle name="표준 5 3 2 2 9 3" xfId="8761" xr:uid="{00000000-0005-0000-0000-00005D780000}"/>
    <cellStyle name="표준 5 3 2 2 9 3 2" xfId="29467" xr:uid="{00000000-0005-0000-0000-00005E780000}"/>
    <cellStyle name="표준 5 3 2 2 9 3 3" xfId="37678" xr:uid="{00000000-0005-0000-0000-00005F780000}"/>
    <cellStyle name="표준 5 3 2 2 9 3 4" xfId="45871" xr:uid="{00000000-0005-0000-0000-000060780000}"/>
    <cellStyle name="표준 5 3 2 2 9 4" xfId="12873" xr:uid="{00000000-0005-0000-0000-000061780000}"/>
    <cellStyle name="표준 5 3 2 2 9 5" xfId="17113" xr:uid="{00000000-0005-0000-0000-000062780000}"/>
    <cellStyle name="표준 5 3 2 2 9 6" xfId="21275" xr:uid="{00000000-0005-0000-0000-000063780000}"/>
    <cellStyle name="표준 5 3 2 2 9 7" xfId="25371" xr:uid="{00000000-0005-0000-0000-000064780000}"/>
    <cellStyle name="표준 5 3 2 2 9 8" xfId="33582" xr:uid="{00000000-0005-0000-0000-000065780000}"/>
    <cellStyle name="표준 5 3 2 2 9 9" xfId="41775" xr:uid="{00000000-0005-0000-0000-000066780000}"/>
    <cellStyle name="표준 5 3 2 20" xfId="15425" xr:uid="{00000000-0005-0000-0000-000067780000}"/>
    <cellStyle name="표준 5 3 2 21" xfId="15441" xr:uid="{00000000-0005-0000-0000-000068780000}"/>
    <cellStyle name="표준 5 3 2 22" xfId="15457" xr:uid="{00000000-0005-0000-0000-000069780000}"/>
    <cellStyle name="표준 5 3 2 23" xfId="15553" xr:uid="{00000000-0005-0000-0000-00006A780000}"/>
    <cellStyle name="표준 5 3 2 24" xfId="15569" xr:uid="{00000000-0005-0000-0000-00006B780000}"/>
    <cellStyle name="표준 5 3 2 25" xfId="19665" xr:uid="{00000000-0005-0000-0000-00006C780000}"/>
    <cellStyle name="표준 5 3 2 26" xfId="19681" xr:uid="{00000000-0005-0000-0000-00006D780000}"/>
    <cellStyle name="표준 5 3 2 27" xfId="19697" xr:uid="{00000000-0005-0000-0000-00006E780000}"/>
    <cellStyle name="표준 5 3 2 28" xfId="19713" xr:uid="{00000000-0005-0000-0000-00006F780000}"/>
    <cellStyle name="표준 5 3 2 29" xfId="19733" xr:uid="{00000000-0005-0000-0000-000070780000}"/>
    <cellStyle name="표준 5 3 2 3" xfId="153" xr:uid="{00000000-0005-0000-0000-000071780000}"/>
    <cellStyle name="표준 5 3 2 3 10" xfId="7188" xr:uid="{00000000-0005-0000-0000-000072780000}"/>
    <cellStyle name="표준 5 3 2 3 10 2" xfId="27939" xr:uid="{00000000-0005-0000-0000-000073780000}"/>
    <cellStyle name="표준 5 3 2 3 10 3" xfId="36150" xr:uid="{00000000-0005-0000-0000-000074780000}"/>
    <cellStyle name="표준 5 3 2 3 10 4" xfId="44343" xr:uid="{00000000-0005-0000-0000-000075780000}"/>
    <cellStyle name="표준 5 3 2 3 11" xfId="7233" xr:uid="{00000000-0005-0000-0000-000076780000}"/>
    <cellStyle name="표준 5 3 2 3 12" xfId="11345" xr:uid="{00000000-0005-0000-0000-000077780000}"/>
    <cellStyle name="표준 5 3 2 3 13" xfId="15473" xr:uid="{00000000-0005-0000-0000-000078780000}"/>
    <cellStyle name="표준 5 3 2 3 14" xfId="15585" xr:uid="{00000000-0005-0000-0000-000079780000}"/>
    <cellStyle name="표준 5 3 2 3 15" xfId="19747" xr:uid="{00000000-0005-0000-0000-00007A780000}"/>
    <cellStyle name="표준 5 3 2 3 16" xfId="23843" xr:uid="{00000000-0005-0000-0000-00007B780000}"/>
    <cellStyle name="표준 5 3 2 3 17" xfId="32054" xr:uid="{00000000-0005-0000-0000-00007C780000}"/>
    <cellStyle name="표준 5 3 2 3 18" xfId="40247" xr:uid="{00000000-0005-0000-0000-00007D780000}"/>
    <cellStyle name="표준 5 3 2 3 19" xfId="49646" xr:uid="{00000000-0005-0000-0000-00007E780000}"/>
    <cellStyle name="표준 5 3 2 3 2" xfId="410" xr:uid="{00000000-0005-0000-0000-00007F780000}"/>
    <cellStyle name="표준 5 3 2 3 2 10" xfId="7265" xr:uid="{00000000-0005-0000-0000-000080780000}"/>
    <cellStyle name="표준 5 3 2 3 2 11" xfId="11377" xr:uid="{00000000-0005-0000-0000-000081780000}"/>
    <cellStyle name="표준 5 3 2 3 2 12" xfId="15521" xr:uid="{00000000-0005-0000-0000-000082780000}"/>
    <cellStyle name="표준 5 3 2 3 2 13" xfId="15617" xr:uid="{00000000-0005-0000-0000-000083780000}"/>
    <cellStyle name="표준 5 3 2 3 2 14" xfId="19779" xr:uid="{00000000-0005-0000-0000-000084780000}"/>
    <cellStyle name="표준 5 3 2 3 2 15" xfId="23875" xr:uid="{00000000-0005-0000-0000-000085780000}"/>
    <cellStyle name="표준 5 3 2 3 2 16" xfId="32086" xr:uid="{00000000-0005-0000-0000-000086780000}"/>
    <cellStyle name="표준 5 3 2 3 2 17" xfId="40279" xr:uid="{00000000-0005-0000-0000-000087780000}"/>
    <cellStyle name="표준 5 3 2 3 2 18" xfId="49712" xr:uid="{00000000-0005-0000-0000-000088780000}"/>
    <cellStyle name="표준 5 3 2 3 2 2" xfId="474" xr:uid="{00000000-0005-0000-0000-000089780000}"/>
    <cellStyle name="표준 5 3 2 3 2 2 10" xfId="15681" xr:uid="{00000000-0005-0000-0000-00008A780000}"/>
    <cellStyle name="표준 5 3 2 3 2 2 11" xfId="19843" xr:uid="{00000000-0005-0000-0000-00008B780000}"/>
    <cellStyle name="표준 5 3 2 3 2 2 12" xfId="23939" xr:uid="{00000000-0005-0000-0000-00008C780000}"/>
    <cellStyle name="표준 5 3 2 3 2 2 13" xfId="32150" xr:uid="{00000000-0005-0000-0000-00008D780000}"/>
    <cellStyle name="표준 5 3 2 3 2 2 14" xfId="40343" xr:uid="{00000000-0005-0000-0000-00008E780000}"/>
    <cellStyle name="표준 5 3 2 3 2 2 2" xfId="602" xr:uid="{00000000-0005-0000-0000-00008F780000}"/>
    <cellStyle name="표준 5 3 2 3 2 2 2 10" xfId="19971" xr:uid="{00000000-0005-0000-0000-000090780000}"/>
    <cellStyle name="표준 5 3 2 3 2 2 2 11" xfId="24067" xr:uid="{00000000-0005-0000-0000-000091780000}"/>
    <cellStyle name="표준 5 3 2 3 2 2 2 12" xfId="32278" xr:uid="{00000000-0005-0000-0000-000092780000}"/>
    <cellStyle name="표준 5 3 2 3 2 2 2 13" xfId="40471" xr:uid="{00000000-0005-0000-0000-000093780000}"/>
    <cellStyle name="표준 5 3 2 3 2 2 2 2" xfId="858" xr:uid="{00000000-0005-0000-0000-000094780000}"/>
    <cellStyle name="표준 5 3 2 3 2 2 2 2 10" xfId="24323" xr:uid="{00000000-0005-0000-0000-000095780000}"/>
    <cellStyle name="표준 5 3 2 3 2 2 2 2 11" xfId="32534" xr:uid="{00000000-0005-0000-0000-000096780000}"/>
    <cellStyle name="표준 5 3 2 3 2 2 2 2 12" xfId="40727" xr:uid="{00000000-0005-0000-0000-000097780000}"/>
    <cellStyle name="표준 5 3 2 3 2 2 2 2 2" xfId="1370" xr:uid="{00000000-0005-0000-0000-000098780000}"/>
    <cellStyle name="표준 5 3 2 3 2 2 2 2 2 2" xfId="10273" xr:uid="{00000000-0005-0000-0000-000099780000}"/>
    <cellStyle name="표준 5 3 2 3 2 2 2 2 2 2 2" xfId="14385" xr:uid="{00000000-0005-0000-0000-00009A780000}"/>
    <cellStyle name="표준 5 3 2 3 2 2 2 2 2 2 2 2" xfId="30979" xr:uid="{00000000-0005-0000-0000-00009B780000}"/>
    <cellStyle name="표준 5 3 2 3 2 2 2 2 2 2 2 3" xfId="39190" xr:uid="{00000000-0005-0000-0000-00009C780000}"/>
    <cellStyle name="표준 5 3 2 3 2 2 2 2 2 2 2 4" xfId="47383" xr:uid="{00000000-0005-0000-0000-00009D780000}"/>
    <cellStyle name="표준 5 3 2 3 2 2 2 2 2 2 3" xfId="18625" xr:uid="{00000000-0005-0000-0000-00009E780000}"/>
    <cellStyle name="표준 5 3 2 3 2 2 2 2 2 2 4" xfId="22787" xr:uid="{00000000-0005-0000-0000-00009F780000}"/>
    <cellStyle name="표준 5 3 2 3 2 2 2 2 2 2 5" xfId="26883" xr:uid="{00000000-0005-0000-0000-0000A0780000}"/>
    <cellStyle name="표준 5 3 2 3 2 2 2 2 2 2 6" xfId="35094" xr:uid="{00000000-0005-0000-0000-0000A1780000}"/>
    <cellStyle name="표준 5 3 2 3 2 2 2 2 2 2 7" xfId="43287" xr:uid="{00000000-0005-0000-0000-0000A2780000}"/>
    <cellStyle name="표준 5 3 2 3 2 2 2 2 2 3" xfId="8225" xr:uid="{00000000-0005-0000-0000-0000A3780000}"/>
    <cellStyle name="표준 5 3 2 3 2 2 2 2 2 3 2" xfId="28931" xr:uid="{00000000-0005-0000-0000-0000A4780000}"/>
    <cellStyle name="표준 5 3 2 3 2 2 2 2 2 3 3" xfId="37142" xr:uid="{00000000-0005-0000-0000-0000A5780000}"/>
    <cellStyle name="표준 5 3 2 3 2 2 2 2 2 3 4" xfId="45335" xr:uid="{00000000-0005-0000-0000-0000A6780000}"/>
    <cellStyle name="표준 5 3 2 3 2 2 2 2 2 4" xfId="12337" xr:uid="{00000000-0005-0000-0000-0000A7780000}"/>
    <cellStyle name="표준 5 3 2 3 2 2 2 2 2 5" xfId="16577" xr:uid="{00000000-0005-0000-0000-0000A8780000}"/>
    <cellStyle name="표준 5 3 2 3 2 2 2 2 2 6" xfId="20739" xr:uid="{00000000-0005-0000-0000-0000A9780000}"/>
    <cellStyle name="표준 5 3 2 3 2 2 2 2 2 7" xfId="24835" xr:uid="{00000000-0005-0000-0000-0000AA780000}"/>
    <cellStyle name="표준 5 3 2 3 2 2 2 2 2 8" xfId="33046" xr:uid="{00000000-0005-0000-0000-0000AB780000}"/>
    <cellStyle name="표준 5 3 2 3 2 2 2 2 2 9" xfId="41239" xr:uid="{00000000-0005-0000-0000-0000AC780000}"/>
    <cellStyle name="표준 5 3 2 3 2 2 2 2 3" xfId="1882" xr:uid="{00000000-0005-0000-0000-0000AD780000}"/>
    <cellStyle name="표준 5 3 2 3 2 2 2 2 3 2" xfId="10785" xr:uid="{00000000-0005-0000-0000-0000AE780000}"/>
    <cellStyle name="표준 5 3 2 3 2 2 2 2 3 2 2" xfId="14897" xr:uid="{00000000-0005-0000-0000-0000AF780000}"/>
    <cellStyle name="표준 5 3 2 3 2 2 2 2 3 2 2 2" xfId="31491" xr:uid="{00000000-0005-0000-0000-0000B0780000}"/>
    <cellStyle name="표준 5 3 2 3 2 2 2 2 3 2 2 3" xfId="39702" xr:uid="{00000000-0005-0000-0000-0000B1780000}"/>
    <cellStyle name="표준 5 3 2 3 2 2 2 2 3 2 2 4" xfId="47895" xr:uid="{00000000-0005-0000-0000-0000B2780000}"/>
    <cellStyle name="표준 5 3 2 3 2 2 2 2 3 2 3" xfId="19137" xr:uid="{00000000-0005-0000-0000-0000B3780000}"/>
    <cellStyle name="표준 5 3 2 3 2 2 2 2 3 2 4" xfId="23299" xr:uid="{00000000-0005-0000-0000-0000B4780000}"/>
    <cellStyle name="표준 5 3 2 3 2 2 2 2 3 2 5" xfId="27395" xr:uid="{00000000-0005-0000-0000-0000B5780000}"/>
    <cellStyle name="표준 5 3 2 3 2 2 2 2 3 2 6" xfId="35606" xr:uid="{00000000-0005-0000-0000-0000B6780000}"/>
    <cellStyle name="표준 5 3 2 3 2 2 2 2 3 2 7" xfId="43799" xr:uid="{00000000-0005-0000-0000-0000B7780000}"/>
    <cellStyle name="표준 5 3 2 3 2 2 2 2 3 3" xfId="8737" xr:uid="{00000000-0005-0000-0000-0000B8780000}"/>
    <cellStyle name="표준 5 3 2 3 2 2 2 2 3 3 2" xfId="29443" xr:uid="{00000000-0005-0000-0000-0000B9780000}"/>
    <cellStyle name="표준 5 3 2 3 2 2 2 2 3 3 3" xfId="37654" xr:uid="{00000000-0005-0000-0000-0000BA780000}"/>
    <cellStyle name="표준 5 3 2 3 2 2 2 2 3 3 4" xfId="45847" xr:uid="{00000000-0005-0000-0000-0000BB780000}"/>
    <cellStyle name="표준 5 3 2 3 2 2 2 2 3 4" xfId="12849" xr:uid="{00000000-0005-0000-0000-0000BC780000}"/>
    <cellStyle name="표준 5 3 2 3 2 2 2 2 3 5" xfId="17089" xr:uid="{00000000-0005-0000-0000-0000BD780000}"/>
    <cellStyle name="표준 5 3 2 3 2 2 2 2 3 6" xfId="21251" xr:uid="{00000000-0005-0000-0000-0000BE780000}"/>
    <cellStyle name="표준 5 3 2 3 2 2 2 2 3 7" xfId="25347" xr:uid="{00000000-0005-0000-0000-0000BF780000}"/>
    <cellStyle name="표준 5 3 2 3 2 2 2 2 3 8" xfId="33558" xr:uid="{00000000-0005-0000-0000-0000C0780000}"/>
    <cellStyle name="표준 5 3 2 3 2 2 2 2 3 9" xfId="41751" xr:uid="{00000000-0005-0000-0000-0000C1780000}"/>
    <cellStyle name="표준 5 3 2 3 2 2 2 2 4" xfId="2394" xr:uid="{00000000-0005-0000-0000-0000C2780000}"/>
    <cellStyle name="표준 5 3 2 3 2 2 2 2 4 2" xfId="11297" xr:uid="{00000000-0005-0000-0000-0000C3780000}"/>
    <cellStyle name="표준 5 3 2 3 2 2 2 2 4 2 2" xfId="15409" xr:uid="{00000000-0005-0000-0000-0000C4780000}"/>
    <cellStyle name="표준 5 3 2 3 2 2 2 2 4 2 2 2" xfId="32003" xr:uid="{00000000-0005-0000-0000-0000C5780000}"/>
    <cellStyle name="표준 5 3 2 3 2 2 2 2 4 2 2 3" xfId="40214" xr:uid="{00000000-0005-0000-0000-0000C6780000}"/>
    <cellStyle name="표준 5 3 2 3 2 2 2 2 4 2 2 4" xfId="48407" xr:uid="{00000000-0005-0000-0000-0000C7780000}"/>
    <cellStyle name="표준 5 3 2 3 2 2 2 2 4 2 3" xfId="19649" xr:uid="{00000000-0005-0000-0000-0000C8780000}"/>
    <cellStyle name="표준 5 3 2 3 2 2 2 2 4 2 4" xfId="23811" xr:uid="{00000000-0005-0000-0000-0000C9780000}"/>
    <cellStyle name="표준 5 3 2 3 2 2 2 2 4 2 5" xfId="27907" xr:uid="{00000000-0005-0000-0000-0000CA780000}"/>
    <cellStyle name="표준 5 3 2 3 2 2 2 2 4 2 6" xfId="36118" xr:uid="{00000000-0005-0000-0000-0000CB780000}"/>
    <cellStyle name="표준 5 3 2 3 2 2 2 2 4 2 7" xfId="44311" xr:uid="{00000000-0005-0000-0000-0000CC780000}"/>
    <cellStyle name="표준 5 3 2 3 2 2 2 2 4 3" xfId="9249" xr:uid="{00000000-0005-0000-0000-0000CD780000}"/>
    <cellStyle name="표준 5 3 2 3 2 2 2 2 4 3 2" xfId="29955" xr:uid="{00000000-0005-0000-0000-0000CE780000}"/>
    <cellStyle name="표준 5 3 2 3 2 2 2 2 4 3 3" xfId="38166" xr:uid="{00000000-0005-0000-0000-0000CF780000}"/>
    <cellStyle name="표준 5 3 2 3 2 2 2 2 4 3 4" xfId="46359" xr:uid="{00000000-0005-0000-0000-0000D0780000}"/>
    <cellStyle name="표준 5 3 2 3 2 2 2 2 4 4" xfId="13361" xr:uid="{00000000-0005-0000-0000-0000D1780000}"/>
    <cellStyle name="표준 5 3 2 3 2 2 2 2 4 5" xfId="17601" xr:uid="{00000000-0005-0000-0000-0000D2780000}"/>
    <cellStyle name="표준 5 3 2 3 2 2 2 2 4 6" xfId="21763" xr:uid="{00000000-0005-0000-0000-0000D3780000}"/>
    <cellStyle name="표준 5 3 2 3 2 2 2 2 4 7" xfId="25859" xr:uid="{00000000-0005-0000-0000-0000D4780000}"/>
    <cellStyle name="표준 5 3 2 3 2 2 2 2 4 8" xfId="34070" xr:uid="{00000000-0005-0000-0000-0000D5780000}"/>
    <cellStyle name="표준 5 3 2 3 2 2 2 2 4 9" xfId="42263" xr:uid="{00000000-0005-0000-0000-0000D6780000}"/>
    <cellStyle name="표준 5 3 2 3 2 2 2 2 5" xfId="9761" xr:uid="{00000000-0005-0000-0000-0000D7780000}"/>
    <cellStyle name="표준 5 3 2 3 2 2 2 2 5 2" xfId="13873" xr:uid="{00000000-0005-0000-0000-0000D8780000}"/>
    <cellStyle name="표준 5 3 2 3 2 2 2 2 5 2 2" xfId="30467" xr:uid="{00000000-0005-0000-0000-0000D9780000}"/>
    <cellStyle name="표준 5 3 2 3 2 2 2 2 5 2 3" xfId="38678" xr:uid="{00000000-0005-0000-0000-0000DA780000}"/>
    <cellStyle name="표준 5 3 2 3 2 2 2 2 5 2 4" xfId="46871" xr:uid="{00000000-0005-0000-0000-0000DB780000}"/>
    <cellStyle name="표준 5 3 2 3 2 2 2 2 5 3" xfId="18113" xr:uid="{00000000-0005-0000-0000-0000DC780000}"/>
    <cellStyle name="표준 5 3 2 3 2 2 2 2 5 4" xfId="22275" xr:uid="{00000000-0005-0000-0000-0000DD780000}"/>
    <cellStyle name="표준 5 3 2 3 2 2 2 2 5 5" xfId="26371" xr:uid="{00000000-0005-0000-0000-0000DE780000}"/>
    <cellStyle name="표준 5 3 2 3 2 2 2 2 5 6" xfId="34582" xr:uid="{00000000-0005-0000-0000-0000DF780000}"/>
    <cellStyle name="표준 5 3 2 3 2 2 2 2 5 7" xfId="42775" xr:uid="{00000000-0005-0000-0000-0000E0780000}"/>
    <cellStyle name="표준 5 3 2 3 2 2 2 2 6" xfId="7713" xr:uid="{00000000-0005-0000-0000-0000E1780000}"/>
    <cellStyle name="표준 5 3 2 3 2 2 2 2 6 2" xfId="28419" xr:uid="{00000000-0005-0000-0000-0000E2780000}"/>
    <cellStyle name="표준 5 3 2 3 2 2 2 2 6 3" xfId="36630" xr:uid="{00000000-0005-0000-0000-0000E3780000}"/>
    <cellStyle name="표준 5 3 2 3 2 2 2 2 6 4" xfId="44823" xr:uid="{00000000-0005-0000-0000-0000E4780000}"/>
    <cellStyle name="표준 5 3 2 3 2 2 2 2 7" xfId="11825" xr:uid="{00000000-0005-0000-0000-0000E5780000}"/>
    <cellStyle name="표준 5 3 2 3 2 2 2 2 8" xfId="16065" xr:uid="{00000000-0005-0000-0000-0000E6780000}"/>
    <cellStyle name="표준 5 3 2 3 2 2 2 2 9" xfId="20227" xr:uid="{00000000-0005-0000-0000-0000E7780000}"/>
    <cellStyle name="표준 5 3 2 3 2 2 2 3" xfId="1114" xr:uid="{00000000-0005-0000-0000-0000E8780000}"/>
    <cellStyle name="표준 5 3 2 3 2 2 2 3 2" xfId="10017" xr:uid="{00000000-0005-0000-0000-0000E9780000}"/>
    <cellStyle name="표준 5 3 2 3 2 2 2 3 2 2" xfId="14129" xr:uid="{00000000-0005-0000-0000-0000EA780000}"/>
    <cellStyle name="표준 5 3 2 3 2 2 2 3 2 2 2" xfId="30723" xr:uid="{00000000-0005-0000-0000-0000EB780000}"/>
    <cellStyle name="표준 5 3 2 3 2 2 2 3 2 2 3" xfId="38934" xr:uid="{00000000-0005-0000-0000-0000EC780000}"/>
    <cellStyle name="표준 5 3 2 3 2 2 2 3 2 2 4" xfId="47127" xr:uid="{00000000-0005-0000-0000-0000ED780000}"/>
    <cellStyle name="표준 5 3 2 3 2 2 2 3 2 3" xfId="18369" xr:uid="{00000000-0005-0000-0000-0000EE780000}"/>
    <cellStyle name="표준 5 3 2 3 2 2 2 3 2 4" xfId="22531" xr:uid="{00000000-0005-0000-0000-0000EF780000}"/>
    <cellStyle name="표준 5 3 2 3 2 2 2 3 2 5" xfId="26627" xr:uid="{00000000-0005-0000-0000-0000F0780000}"/>
    <cellStyle name="표준 5 3 2 3 2 2 2 3 2 6" xfId="34838" xr:uid="{00000000-0005-0000-0000-0000F1780000}"/>
    <cellStyle name="표준 5 3 2 3 2 2 2 3 2 7" xfId="43031" xr:uid="{00000000-0005-0000-0000-0000F2780000}"/>
    <cellStyle name="표준 5 3 2 3 2 2 2 3 3" xfId="7969" xr:uid="{00000000-0005-0000-0000-0000F3780000}"/>
    <cellStyle name="표준 5 3 2 3 2 2 2 3 3 2" xfId="28675" xr:uid="{00000000-0005-0000-0000-0000F4780000}"/>
    <cellStyle name="표준 5 3 2 3 2 2 2 3 3 3" xfId="36886" xr:uid="{00000000-0005-0000-0000-0000F5780000}"/>
    <cellStyle name="표준 5 3 2 3 2 2 2 3 3 4" xfId="45079" xr:uid="{00000000-0005-0000-0000-0000F6780000}"/>
    <cellStyle name="표준 5 3 2 3 2 2 2 3 4" xfId="12081" xr:uid="{00000000-0005-0000-0000-0000F7780000}"/>
    <cellStyle name="표준 5 3 2 3 2 2 2 3 5" xfId="16321" xr:uid="{00000000-0005-0000-0000-0000F8780000}"/>
    <cellStyle name="표준 5 3 2 3 2 2 2 3 6" xfId="20483" xr:uid="{00000000-0005-0000-0000-0000F9780000}"/>
    <cellStyle name="표준 5 3 2 3 2 2 2 3 7" xfId="24579" xr:uid="{00000000-0005-0000-0000-0000FA780000}"/>
    <cellStyle name="표준 5 3 2 3 2 2 2 3 8" xfId="32790" xr:uid="{00000000-0005-0000-0000-0000FB780000}"/>
    <cellStyle name="표준 5 3 2 3 2 2 2 3 9" xfId="40983" xr:uid="{00000000-0005-0000-0000-0000FC780000}"/>
    <cellStyle name="표준 5 3 2 3 2 2 2 4" xfId="1626" xr:uid="{00000000-0005-0000-0000-0000FD780000}"/>
    <cellStyle name="표준 5 3 2 3 2 2 2 4 2" xfId="10529" xr:uid="{00000000-0005-0000-0000-0000FE780000}"/>
    <cellStyle name="표준 5 3 2 3 2 2 2 4 2 2" xfId="14641" xr:uid="{00000000-0005-0000-0000-0000FF780000}"/>
    <cellStyle name="표준 5 3 2 3 2 2 2 4 2 2 2" xfId="31235" xr:uid="{00000000-0005-0000-0000-000000790000}"/>
    <cellStyle name="표준 5 3 2 3 2 2 2 4 2 2 3" xfId="39446" xr:uid="{00000000-0005-0000-0000-000001790000}"/>
    <cellStyle name="표준 5 3 2 3 2 2 2 4 2 2 4" xfId="47639" xr:uid="{00000000-0005-0000-0000-000002790000}"/>
    <cellStyle name="표준 5 3 2 3 2 2 2 4 2 3" xfId="18881" xr:uid="{00000000-0005-0000-0000-000003790000}"/>
    <cellStyle name="표준 5 3 2 3 2 2 2 4 2 4" xfId="23043" xr:uid="{00000000-0005-0000-0000-000004790000}"/>
    <cellStyle name="표준 5 3 2 3 2 2 2 4 2 5" xfId="27139" xr:uid="{00000000-0005-0000-0000-000005790000}"/>
    <cellStyle name="표준 5 3 2 3 2 2 2 4 2 6" xfId="35350" xr:uid="{00000000-0005-0000-0000-000006790000}"/>
    <cellStyle name="표준 5 3 2 3 2 2 2 4 2 7" xfId="43543" xr:uid="{00000000-0005-0000-0000-000007790000}"/>
    <cellStyle name="표준 5 3 2 3 2 2 2 4 3" xfId="8481" xr:uid="{00000000-0005-0000-0000-000008790000}"/>
    <cellStyle name="표준 5 3 2 3 2 2 2 4 3 2" xfId="29187" xr:uid="{00000000-0005-0000-0000-000009790000}"/>
    <cellStyle name="표준 5 3 2 3 2 2 2 4 3 3" xfId="37398" xr:uid="{00000000-0005-0000-0000-00000A790000}"/>
    <cellStyle name="표준 5 3 2 3 2 2 2 4 3 4" xfId="45591" xr:uid="{00000000-0005-0000-0000-00000B790000}"/>
    <cellStyle name="표준 5 3 2 3 2 2 2 4 4" xfId="12593" xr:uid="{00000000-0005-0000-0000-00000C790000}"/>
    <cellStyle name="표준 5 3 2 3 2 2 2 4 5" xfId="16833" xr:uid="{00000000-0005-0000-0000-00000D790000}"/>
    <cellStyle name="표준 5 3 2 3 2 2 2 4 6" xfId="20995" xr:uid="{00000000-0005-0000-0000-00000E790000}"/>
    <cellStyle name="표준 5 3 2 3 2 2 2 4 7" xfId="25091" xr:uid="{00000000-0005-0000-0000-00000F790000}"/>
    <cellStyle name="표준 5 3 2 3 2 2 2 4 8" xfId="33302" xr:uid="{00000000-0005-0000-0000-000010790000}"/>
    <cellStyle name="표준 5 3 2 3 2 2 2 4 9" xfId="41495" xr:uid="{00000000-0005-0000-0000-000011790000}"/>
    <cellStyle name="표준 5 3 2 3 2 2 2 5" xfId="2138" xr:uid="{00000000-0005-0000-0000-000012790000}"/>
    <cellStyle name="표준 5 3 2 3 2 2 2 5 2" xfId="11041" xr:uid="{00000000-0005-0000-0000-000013790000}"/>
    <cellStyle name="표준 5 3 2 3 2 2 2 5 2 2" xfId="15153" xr:uid="{00000000-0005-0000-0000-000014790000}"/>
    <cellStyle name="표준 5 3 2 3 2 2 2 5 2 2 2" xfId="31747" xr:uid="{00000000-0005-0000-0000-000015790000}"/>
    <cellStyle name="표준 5 3 2 3 2 2 2 5 2 2 3" xfId="39958" xr:uid="{00000000-0005-0000-0000-000016790000}"/>
    <cellStyle name="표준 5 3 2 3 2 2 2 5 2 2 4" xfId="48151" xr:uid="{00000000-0005-0000-0000-000017790000}"/>
    <cellStyle name="표준 5 3 2 3 2 2 2 5 2 3" xfId="19393" xr:uid="{00000000-0005-0000-0000-000018790000}"/>
    <cellStyle name="표준 5 3 2 3 2 2 2 5 2 4" xfId="23555" xr:uid="{00000000-0005-0000-0000-000019790000}"/>
    <cellStyle name="표준 5 3 2 3 2 2 2 5 2 5" xfId="27651" xr:uid="{00000000-0005-0000-0000-00001A790000}"/>
    <cellStyle name="표준 5 3 2 3 2 2 2 5 2 6" xfId="35862" xr:uid="{00000000-0005-0000-0000-00001B790000}"/>
    <cellStyle name="표준 5 3 2 3 2 2 2 5 2 7" xfId="44055" xr:uid="{00000000-0005-0000-0000-00001C790000}"/>
    <cellStyle name="표준 5 3 2 3 2 2 2 5 3" xfId="8993" xr:uid="{00000000-0005-0000-0000-00001D790000}"/>
    <cellStyle name="표준 5 3 2 3 2 2 2 5 3 2" xfId="29699" xr:uid="{00000000-0005-0000-0000-00001E790000}"/>
    <cellStyle name="표준 5 3 2 3 2 2 2 5 3 3" xfId="37910" xr:uid="{00000000-0005-0000-0000-00001F790000}"/>
    <cellStyle name="표준 5 3 2 3 2 2 2 5 3 4" xfId="46103" xr:uid="{00000000-0005-0000-0000-000020790000}"/>
    <cellStyle name="표준 5 3 2 3 2 2 2 5 4" xfId="13105" xr:uid="{00000000-0005-0000-0000-000021790000}"/>
    <cellStyle name="표준 5 3 2 3 2 2 2 5 5" xfId="17345" xr:uid="{00000000-0005-0000-0000-000022790000}"/>
    <cellStyle name="표준 5 3 2 3 2 2 2 5 6" xfId="21507" xr:uid="{00000000-0005-0000-0000-000023790000}"/>
    <cellStyle name="표준 5 3 2 3 2 2 2 5 7" xfId="25603" xr:uid="{00000000-0005-0000-0000-000024790000}"/>
    <cellStyle name="표준 5 3 2 3 2 2 2 5 8" xfId="33814" xr:uid="{00000000-0005-0000-0000-000025790000}"/>
    <cellStyle name="표준 5 3 2 3 2 2 2 5 9" xfId="42007" xr:uid="{00000000-0005-0000-0000-000026790000}"/>
    <cellStyle name="표준 5 3 2 3 2 2 2 6" xfId="9505" xr:uid="{00000000-0005-0000-0000-000027790000}"/>
    <cellStyle name="표준 5 3 2 3 2 2 2 6 2" xfId="13617" xr:uid="{00000000-0005-0000-0000-000028790000}"/>
    <cellStyle name="표준 5 3 2 3 2 2 2 6 2 2" xfId="30211" xr:uid="{00000000-0005-0000-0000-000029790000}"/>
    <cellStyle name="표준 5 3 2 3 2 2 2 6 2 3" xfId="38422" xr:uid="{00000000-0005-0000-0000-00002A790000}"/>
    <cellStyle name="표준 5 3 2 3 2 2 2 6 2 4" xfId="46615" xr:uid="{00000000-0005-0000-0000-00002B790000}"/>
    <cellStyle name="표준 5 3 2 3 2 2 2 6 3" xfId="17857" xr:uid="{00000000-0005-0000-0000-00002C790000}"/>
    <cellStyle name="표준 5 3 2 3 2 2 2 6 4" xfId="22019" xr:uid="{00000000-0005-0000-0000-00002D790000}"/>
    <cellStyle name="표준 5 3 2 3 2 2 2 6 5" xfId="26115" xr:uid="{00000000-0005-0000-0000-00002E790000}"/>
    <cellStyle name="표준 5 3 2 3 2 2 2 6 6" xfId="34326" xr:uid="{00000000-0005-0000-0000-00002F790000}"/>
    <cellStyle name="표준 5 3 2 3 2 2 2 6 7" xfId="42519" xr:uid="{00000000-0005-0000-0000-000030790000}"/>
    <cellStyle name="표준 5 3 2 3 2 2 2 7" xfId="7457" xr:uid="{00000000-0005-0000-0000-000031790000}"/>
    <cellStyle name="표준 5 3 2 3 2 2 2 7 2" xfId="28163" xr:uid="{00000000-0005-0000-0000-000032790000}"/>
    <cellStyle name="표준 5 3 2 3 2 2 2 7 3" xfId="36374" xr:uid="{00000000-0005-0000-0000-000033790000}"/>
    <cellStyle name="표준 5 3 2 3 2 2 2 7 4" xfId="44567" xr:uid="{00000000-0005-0000-0000-000034790000}"/>
    <cellStyle name="표준 5 3 2 3 2 2 2 8" xfId="11569" xr:uid="{00000000-0005-0000-0000-000035790000}"/>
    <cellStyle name="표준 5 3 2 3 2 2 2 9" xfId="15809" xr:uid="{00000000-0005-0000-0000-000036790000}"/>
    <cellStyle name="표준 5 3 2 3 2 2 3" xfId="730" xr:uid="{00000000-0005-0000-0000-000037790000}"/>
    <cellStyle name="표준 5 3 2 3 2 2 3 10" xfId="24195" xr:uid="{00000000-0005-0000-0000-000038790000}"/>
    <cellStyle name="표준 5 3 2 3 2 2 3 11" xfId="32406" xr:uid="{00000000-0005-0000-0000-000039790000}"/>
    <cellStyle name="표준 5 3 2 3 2 2 3 12" xfId="40599" xr:uid="{00000000-0005-0000-0000-00003A790000}"/>
    <cellStyle name="표준 5 3 2 3 2 2 3 2" xfId="1242" xr:uid="{00000000-0005-0000-0000-00003B790000}"/>
    <cellStyle name="표준 5 3 2 3 2 2 3 2 2" xfId="10145" xr:uid="{00000000-0005-0000-0000-00003C790000}"/>
    <cellStyle name="표준 5 3 2 3 2 2 3 2 2 2" xfId="14257" xr:uid="{00000000-0005-0000-0000-00003D790000}"/>
    <cellStyle name="표준 5 3 2 3 2 2 3 2 2 2 2" xfId="30851" xr:uid="{00000000-0005-0000-0000-00003E790000}"/>
    <cellStyle name="표준 5 3 2 3 2 2 3 2 2 2 3" xfId="39062" xr:uid="{00000000-0005-0000-0000-00003F790000}"/>
    <cellStyle name="표준 5 3 2 3 2 2 3 2 2 2 4" xfId="47255" xr:uid="{00000000-0005-0000-0000-000040790000}"/>
    <cellStyle name="표준 5 3 2 3 2 2 3 2 2 3" xfId="18497" xr:uid="{00000000-0005-0000-0000-000041790000}"/>
    <cellStyle name="표준 5 3 2 3 2 2 3 2 2 4" xfId="22659" xr:uid="{00000000-0005-0000-0000-000042790000}"/>
    <cellStyle name="표준 5 3 2 3 2 2 3 2 2 5" xfId="26755" xr:uid="{00000000-0005-0000-0000-000043790000}"/>
    <cellStyle name="표준 5 3 2 3 2 2 3 2 2 6" xfId="34966" xr:uid="{00000000-0005-0000-0000-000044790000}"/>
    <cellStyle name="표준 5 3 2 3 2 2 3 2 2 7" xfId="43159" xr:uid="{00000000-0005-0000-0000-000045790000}"/>
    <cellStyle name="표준 5 3 2 3 2 2 3 2 3" xfId="8097" xr:uid="{00000000-0005-0000-0000-000046790000}"/>
    <cellStyle name="표준 5 3 2 3 2 2 3 2 3 2" xfId="28803" xr:uid="{00000000-0005-0000-0000-000047790000}"/>
    <cellStyle name="표준 5 3 2 3 2 2 3 2 3 3" xfId="37014" xr:uid="{00000000-0005-0000-0000-000048790000}"/>
    <cellStyle name="표준 5 3 2 3 2 2 3 2 3 4" xfId="45207" xr:uid="{00000000-0005-0000-0000-000049790000}"/>
    <cellStyle name="표준 5 3 2 3 2 2 3 2 4" xfId="12209" xr:uid="{00000000-0005-0000-0000-00004A790000}"/>
    <cellStyle name="표준 5 3 2 3 2 2 3 2 5" xfId="16449" xr:uid="{00000000-0005-0000-0000-00004B790000}"/>
    <cellStyle name="표준 5 3 2 3 2 2 3 2 6" xfId="20611" xr:uid="{00000000-0005-0000-0000-00004C790000}"/>
    <cellStyle name="표준 5 3 2 3 2 2 3 2 7" xfId="24707" xr:uid="{00000000-0005-0000-0000-00004D790000}"/>
    <cellStyle name="표준 5 3 2 3 2 2 3 2 8" xfId="32918" xr:uid="{00000000-0005-0000-0000-00004E790000}"/>
    <cellStyle name="표준 5 3 2 3 2 2 3 2 9" xfId="41111" xr:uid="{00000000-0005-0000-0000-00004F790000}"/>
    <cellStyle name="표준 5 3 2 3 2 2 3 3" xfId="1754" xr:uid="{00000000-0005-0000-0000-000050790000}"/>
    <cellStyle name="표준 5 3 2 3 2 2 3 3 2" xfId="10657" xr:uid="{00000000-0005-0000-0000-000051790000}"/>
    <cellStyle name="표준 5 3 2 3 2 2 3 3 2 2" xfId="14769" xr:uid="{00000000-0005-0000-0000-000052790000}"/>
    <cellStyle name="표준 5 3 2 3 2 2 3 3 2 2 2" xfId="31363" xr:uid="{00000000-0005-0000-0000-000053790000}"/>
    <cellStyle name="표준 5 3 2 3 2 2 3 3 2 2 3" xfId="39574" xr:uid="{00000000-0005-0000-0000-000054790000}"/>
    <cellStyle name="표준 5 3 2 3 2 2 3 3 2 2 4" xfId="47767" xr:uid="{00000000-0005-0000-0000-000055790000}"/>
    <cellStyle name="표준 5 3 2 3 2 2 3 3 2 3" xfId="19009" xr:uid="{00000000-0005-0000-0000-000056790000}"/>
    <cellStyle name="표준 5 3 2 3 2 2 3 3 2 4" xfId="23171" xr:uid="{00000000-0005-0000-0000-000057790000}"/>
    <cellStyle name="표준 5 3 2 3 2 2 3 3 2 5" xfId="27267" xr:uid="{00000000-0005-0000-0000-000058790000}"/>
    <cellStyle name="표준 5 3 2 3 2 2 3 3 2 6" xfId="35478" xr:uid="{00000000-0005-0000-0000-000059790000}"/>
    <cellStyle name="표준 5 3 2 3 2 2 3 3 2 7" xfId="43671" xr:uid="{00000000-0005-0000-0000-00005A790000}"/>
    <cellStyle name="표준 5 3 2 3 2 2 3 3 3" xfId="8609" xr:uid="{00000000-0005-0000-0000-00005B790000}"/>
    <cellStyle name="표준 5 3 2 3 2 2 3 3 3 2" xfId="29315" xr:uid="{00000000-0005-0000-0000-00005C790000}"/>
    <cellStyle name="표준 5 3 2 3 2 2 3 3 3 3" xfId="37526" xr:uid="{00000000-0005-0000-0000-00005D790000}"/>
    <cellStyle name="표준 5 3 2 3 2 2 3 3 3 4" xfId="45719" xr:uid="{00000000-0005-0000-0000-00005E790000}"/>
    <cellStyle name="표준 5 3 2 3 2 2 3 3 4" xfId="12721" xr:uid="{00000000-0005-0000-0000-00005F790000}"/>
    <cellStyle name="표준 5 3 2 3 2 2 3 3 5" xfId="16961" xr:uid="{00000000-0005-0000-0000-000060790000}"/>
    <cellStyle name="표준 5 3 2 3 2 2 3 3 6" xfId="21123" xr:uid="{00000000-0005-0000-0000-000061790000}"/>
    <cellStyle name="표준 5 3 2 3 2 2 3 3 7" xfId="25219" xr:uid="{00000000-0005-0000-0000-000062790000}"/>
    <cellStyle name="표준 5 3 2 3 2 2 3 3 8" xfId="33430" xr:uid="{00000000-0005-0000-0000-000063790000}"/>
    <cellStyle name="표준 5 3 2 3 2 2 3 3 9" xfId="41623" xr:uid="{00000000-0005-0000-0000-000064790000}"/>
    <cellStyle name="표준 5 3 2 3 2 2 3 4" xfId="2266" xr:uid="{00000000-0005-0000-0000-000065790000}"/>
    <cellStyle name="표준 5 3 2 3 2 2 3 4 2" xfId="11169" xr:uid="{00000000-0005-0000-0000-000066790000}"/>
    <cellStyle name="표준 5 3 2 3 2 2 3 4 2 2" xfId="15281" xr:uid="{00000000-0005-0000-0000-000067790000}"/>
    <cellStyle name="표준 5 3 2 3 2 2 3 4 2 2 2" xfId="31875" xr:uid="{00000000-0005-0000-0000-000068790000}"/>
    <cellStyle name="표준 5 3 2 3 2 2 3 4 2 2 3" xfId="40086" xr:uid="{00000000-0005-0000-0000-000069790000}"/>
    <cellStyle name="표준 5 3 2 3 2 2 3 4 2 2 4" xfId="48279" xr:uid="{00000000-0005-0000-0000-00006A790000}"/>
    <cellStyle name="표준 5 3 2 3 2 2 3 4 2 3" xfId="19521" xr:uid="{00000000-0005-0000-0000-00006B790000}"/>
    <cellStyle name="표준 5 3 2 3 2 2 3 4 2 4" xfId="23683" xr:uid="{00000000-0005-0000-0000-00006C790000}"/>
    <cellStyle name="표준 5 3 2 3 2 2 3 4 2 5" xfId="27779" xr:uid="{00000000-0005-0000-0000-00006D790000}"/>
    <cellStyle name="표준 5 3 2 3 2 2 3 4 2 6" xfId="35990" xr:uid="{00000000-0005-0000-0000-00006E790000}"/>
    <cellStyle name="표준 5 3 2 3 2 2 3 4 2 7" xfId="44183" xr:uid="{00000000-0005-0000-0000-00006F790000}"/>
    <cellStyle name="표준 5 3 2 3 2 2 3 4 3" xfId="9121" xr:uid="{00000000-0005-0000-0000-000070790000}"/>
    <cellStyle name="표준 5 3 2 3 2 2 3 4 3 2" xfId="29827" xr:uid="{00000000-0005-0000-0000-000071790000}"/>
    <cellStyle name="표준 5 3 2 3 2 2 3 4 3 3" xfId="38038" xr:uid="{00000000-0005-0000-0000-000072790000}"/>
    <cellStyle name="표준 5 3 2 3 2 2 3 4 3 4" xfId="46231" xr:uid="{00000000-0005-0000-0000-000073790000}"/>
    <cellStyle name="표준 5 3 2 3 2 2 3 4 4" xfId="13233" xr:uid="{00000000-0005-0000-0000-000074790000}"/>
    <cellStyle name="표준 5 3 2 3 2 2 3 4 5" xfId="17473" xr:uid="{00000000-0005-0000-0000-000075790000}"/>
    <cellStyle name="표준 5 3 2 3 2 2 3 4 6" xfId="21635" xr:uid="{00000000-0005-0000-0000-000076790000}"/>
    <cellStyle name="표준 5 3 2 3 2 2 3 4 7" xfId="25731" xr:uid="{00000000-0005-0000-0000-000077790000}"/>
    <cellStyle name="표준 5 3 2 3 2 2 3 4 8" xfId="33942" xr:uid="{00000000-0005-0000-0000-000078790000}"/>
    <cellStyle name="표준 5 3 2 3 2 2 3 4 9" xfId="42135" xr:uid="{00000000-0005-0000-0000-000079790000}"/>
    <cellStyle name="표준 5 3 2 3 2 2 3 5" xfId="9633" xr:uid="{00000000-0005-0000-0000-00007A790000}"/>
    <cellStyle name="표준 5 3 2 3 2 2 3 5 2" xfId="13745" xr:uid="{00000000-0005-0000-0000-00007B790000}"/>
    <cellStyle name="표준 5 3 2 3 2 2 3 5 2 2" xfId="30339" xr:uid="{00000000-0005-0000-0000-00007C790000}"/>
    <cellStyle name="표준 5 3 2 3 2 2 3 5 2 3" xfId="38550" xr:uid="{00000000-0005-0000-0000-00007D790000}"/>
    <cellStyle name="표준 5 3 2 3 2 2 3 5 2 4" xfId="46743" xr:uid="{00000000-0005-0000-0000-00007E790000}"/>
    <cellStyle name="표준 5 3 2 3 2 2 3 5 3" xfId="17985" xr:uid="{00000000-0005-0000-0000-00007F790000}"/>
    <cellStyle name="표준 5 3 2 3 2 2 3 5 4" xfId="22147" xr:uid="{00000000-0005-0000-0000-000080790000}"/>
    <cellStyle name="표준 5 3 2 3 2 2 3 5 5" xfId="26243" xr:uid="{00000000-0005-0000-0000-000081790000}"/>
    <cellStyle name="표준 5 3 2 3 2 2 3 5 6" xfId="34454" xr:uid="{00000000-0005-0000-0000-000082790000}"/>
    <cellStyle name="표준 5 3 2 3 2 2 3 5 7" xfId="42647" xr:uid="{00000000-0005-0000-0000-000083790000}"/>
    <cellStyle name="표준 5 3 2 3 2 2 3 6" xfId="7585" xr:uid="{00000000-0005-0000-0000-000084790000}"/>
    <cellStyle name="표준 5 3 2 3 2 2 3 6 2" xfId="28291" xr:uid="{00000000-0005-0000-0000-000085790000}"/>
    <cellStyle name="표준 5 3 2 3 2 2 3 6 3" xfId="36502" xr:uid="{00000000-0005-0000-0000-000086790000}"/>
    <cellStyle name="표준 5 3 2 3 2 2 3 6 4" xfId="44695" xr:uid="{00000000-0005-0000-0000-000087790000}"/>
    <cellStyle name="표준 5 3 2 3 2 2 3 7" xfId="11697" xr:uid="{00000000-0005-0000-0000-000088790000}"/>
    <cellStyle name="표준 5 3 2 3 2 2 3 8" xfId="15937" xr:uid="{00000000-0005-0000-0000-000089790000}"/>
    <cellStyle name="표준 5 3 2 3 2 2 3 9" xfId="20099" xr:uid="{00000000-0005-0000-0000-00008A790000}"/>
    <cellStyle name="표준 5 3 2 3 2 2 4" xfId="986" xr:uid="{00000000-0005-0000-0000-00008B790000}"/>
    <cellStyle name="표준 5 3 2 3 2 2 4 2" xfId="9889" xr:uid="{00000000-0005-0000-0000-00008C790000}"/>
    <cellStyle name="표준 5 3 2 3 2 2 4 2 2" xfId="14001" xr:uid="{00000000-0005-0000-0000-00008D790000}"/>
    <cellStyle name="표준 5 3 2 3 2 2 4 2 2 2" xfId="30595" xr:uid="{00000000-0005-0000-0000-00008E790000}"/>
    <cellStyle name="표준 5 3 2 3 2 2 4 2 2 3" xfId="38806" xr:uid="{00000000-0005-0000-0000-00008F790000}"/>
    <cellStyle name="표준 5 3 2 3 2 2 4 2 2 4" xfId="46999" xr:uid="{00000000-0005-0000-0000-000090790000}"/>
    <cellStyle name="표준 5 3 2 3 2 2 4 2 3" xfId="18241" xr:uid="{00000000-0005-0000-0000-000091790000}"/>
    <cellStyle name="표준 5 3 2 3 2 2 4 2 4" xfId="22403" xr:uid="{00000000-0005-0000-0000-000092790000}"/>
    <cellStyle name="표준 5 3 2 3 2 2 4 2 5" xfId="26499" xr:uid="{00000000-0005-0000-0000-000093790000}"/>
    <cellStyle name="표준 5 3 2 3 2 2 4 2 6" xfId="34710" xr:uid="{00000000-0005-0000-0000-000094790000}"/>
    <cellStyle name="표준 5 3 2 3 2 2 4 2 7" xfId="42903" xr:uid="{00000000-0005-0000-0000-000095790000}"/>
    <cellStyle name="표준 5 3 2 3 2 2 4 3" xfId="7841" xr:uid="{00000000-0005-0000-0000-000096790000}"/>
    <cellStyle name="표준 5 3 2 3 2 2 4 3 2" xfId="28547" xr:uid="{00000000-0005-0000-0000-000097790000}"/>
    <cellStyle name="표준 5 3 2 3 2 2 4 3 3" xfId="36758" xr:uid="{00000000-0005-0000-0000-000098790000}"/>
    <cellStyle name="표준 5 3 2 3 2 2 4 3 4" xfId="44951" xr:uid="{00000000-0005-0000-0000-000099790000}"/>
    <cellStyle name="표준 5 3 2 3 2 2 4 4" xfId="11953" xr:uid="{00000000-0005-0000-0000-00009A790000}"/>
    <cellStyle name="표준 5 3 2 3 2 2 4 5" xfId="16193" xr:uid="{00000000-0005-0000-0000-00009B790000}"/>
    <cellStyle name="표준 5 3 2 3 2 2 4 6" xfId="20355" xr:uid="{00000000-0005-0000-0000-00009C790000}"/>
    <cellStyle name="표준 5 3 2 3 2 2 4 7" xfId="24451" xr:uid="{00000000-0005-0000-0000-00009D790000}"/>
    <cellStyle name="표준 5 3 2 3 2 2 4 8" xfId="32662" xr:uid="{00000000-0005-0000-0000-00009E790000}"/>
    <cellStyle name="표준 5 3 2 3 2 2 4 9" xfId="40855" xr:uid="{00000000-0005-0000-0000-00009F790000}"/>
    <cellStyle name="표준 5 3 2 3 2 2 5" xfId="1498" xr:uid="{00000000-0005-0000-0000-0000A0790000}"/>
    <cellStyle name="표준 5 3 2 3 2 2 5 2" xfId="10401" xr:uid="{00000000-0005-0000-0000-0000A1790000}"/>
    <cellStyle name="표준 5 3 2 3 2 2 5 2 2" xfId="14513" xr:uid="{00000000-0005-0000-0000-0000A2790000}"/>
    <cellStyle name="표준 5 3 2 3 2 2 5 2 2 2" xfId="31107" xr:uid="{00000000-0005-0000-0000-0000A3790000}"/>
    <cellStyle name="표준 5 3 2 3 2 2 5 2 2 3" xfId="39318" xr:uid="{00000000-0005-0000-0000-0000A4790000}"/>
    <cellStyle name="표준 5 3 2 3 2 2 5 2 2 4" xfId="47511" xr:uid="{00000000-0005-0000-0000-0000A5790000}"/>
    <cellStyle name="표준 5 3 2 3 2 2 5 2 3" xfId="18753" xr:uid="{00000000-0005-0000-0000-0000A6790000}"/>
    <cellStyle name="표준 5 3 2 3 2 2 5 2 4" xfId="22915" xr:uid="{00000000-0005-0000-0000-0000A7790000}"/>
    <cellStyle name="표준 5 3 2 3 2 2 5 2 5" xfId="27011" xr:uid="{00000000-0005-0000-0000-0000A8790000}"/>
    <cellStyle name="표준 5 3 2 3 2 2 5 2 6" xfId="35222" xr:uid="{00000000-0005-0000-0000-0000A9790000}"/>
    <cellStyle name="표준 5 3 2 3 2 2 5 2 7" xfId="43415" xr:uid="{00000000-0005-0000-0000-0000AA790000}"/>
    <cellStyle name="표준 5 3 2 3 2 2 5 3" xfId="8353" xr:uid="{00000000-0005-0000-0000-0000AB790000}"/>
    <cellStyle name="표준 5 3 2 3 2 2 5 3 2" xfId="29059" xr:uid="{00000000-0005-0000-0000-0000AC790000}"/>
    <cellStyle name="표준 5 3 2 3 2 2 5 3 3" xfId="37270" xr:uid="{00000000-0005-0000-0000-0000AD790000}"/>
    <cellStyle name="표준 5 3 2 3 2 2 5 3 4" xfId="45463" xr:uid="{00000000-0005-0000-0000-0000AE790000}"/>
    <cellStyle name="표준 5 3 2 3 2 2 5 4" xfId="12465" xr:uid="{00000000-0005-0000-0000-0000AF790000}"/>
    <cellStyle name="표준 5 3 2 3 2 2 5 5" xfId="16705" xr:uid="{00000000-0005-0000-0000-0000B0790000}"/>
    <cellStyle name="표준 5 3 2 3 2 2 5 6" xfId="20867" xr:uid="{00000000-0005-0000-0000-0000B1790000}"/>
    <cellStyle name="표준 5 3 2 3 2 2 5 7" xfId="24963" xr:uid="{00000000-0005-0000-0000-0000B2790000}"/>
    <cellStyle name="표준 5 3 2 3 2 2 5 8" xfId="33174" xr:uid="{00000000-0005-0000-0000-0000B3790000}"/>
    <cellStyle name="표준 5 3 2 3 2 2 5 9" xfId="41367" xr:uid="{00000000-0005-0000-0000-0000B4790000}"/>
    <cellStyle name="표준 5 3 2 3 2 2 6" xfId="2010" xr:uid="{00000000-0005-0000-0000-0000B5790000}"/>
    <cellStyle name="표준 5 3 2 3 2 2 6 2" xfId="10913" xr:uid="{00000000-0005-0000-0000-0000B6790000}"/>
    <cellStyle name="표준 5 3 2 3 2 2 6 2 2" xfId="15025" xr:uid="{00000000-0005-0000-0000-0000B7790000}"/>
    <cellStyle name="표준 5 3 2 3 2 2 6 2 2 2" xfId="31619" xr:uid="{00000000-0005-0000-0000-0000B8790000}"/>
    <cellStyle name="표준 5 3 2 3 2 2 6 2 2 3" xfId="39830" xr:uid="{00000000-0005-0000-0000-0000B9790000}"/>
    <cellStyle name="표준 5 3 2 3 2 2 6 2 2 4" xfId="48023" xr:uid="{00000000-0005-0000-0000-0000BA790000}"/>
    <cellStyle name="표준 5 3 2 3 2 2 6 2 3" xfId="19265" xr:uid="{00000000-0005-0000-0000-0000BB790000}"/>
    <cellStyle name="표준 5 3 2 3 2 2 6 2 4" xfId="23427" xr:uid="{00000000-0005-0000-0000-0000BC790000}"/>
    <cellStyle name="표준 5 3 2 3 2 2 6 2 5" xfId="27523" xr:uid="{00000000-0005-0000-0000-0000BD790000}"/>
    <cellStyle name="표준 5 3 2 3 2 2 6 2 6" xfId="35734" xr:uid="{00000000-0005-0000-0000-0000BE790000}"/>
    <cellStyle name="표준 5 3 2 3 2 2 6 2 7" xfId="43927" xr:uid="{00000000-0005-0000-0000-0000BF790000}"/>
    <cellStyle name="표준 5 3 2 3 2 2 6 3" xfId="8865" xr:uid="{00000000-0005-0000-0000-0000C0790000}"/>
    <cellStyle name="표준 5 3 2 3 2 2 6 3 2" xfId="29571" xr:uid="{00000000-0005-0000-0000-0000C1790000}"/>
    <cellStyle name="표준 5 3 2 3 2 2 6 3 3" xfId="37782" xr:uid="{00000000-0005-0000-0000-0000C2790000}"/>
    <cellStyle name="표준 5 3 2 3 2 2 6 3 4" xfId="45975" xr:uid="{00000000-0005-0000-0000-0000C3790000}"/>
    <cellStyle name="표준 5 3 2 3 2 2 6 4" xfId="12977" xr:uid="{00000000-0005-0000-0000-0000C4790000}"/>
    <cellStyle name="표준 5 3 2 3 2 2 6 5" xfId="17217" xr:uid="{00000000-0005-0000-0000-0000C5790000}"/>
    <cellStyle name="표준 5 3 2 3 2 2 6 6" xfId="21379" xr:uid="{00000000-0005-0000-0000-0000C6790000}"/>
    <cellStyle name="표준 5 3 2 3 2 2 6 7" xfId="25475" xr:uid="{00000000-0005-0000-0000-0000C7790000}"/>
    <cellStyle name="표준 5 3 2 3 2 2 6 8" xfId="33686" xr:uid="{00000000-0005-0000-0000-0000C8790000}"/>
    <cellStyle name="표준 5 3 2 3 2 2 6 9" xfId="41879" xr:uid="{00000000-0005-0000-0000-0000C9790000}"/>
    <cellStyle name="표준 5 3 2 3 2 2 7" xfId="9377" xr:uid="{00000000-0005-0000-0000-0000CA790000}"/>
    <cellStyle name="표준 5 3 2 3 2 2 7 2" xfId="13489" xr:uid="{00000000-0005-0000-0000-0000CB790000}"/>
    <cellStyle name="표준 5 3 2 3 2 2 7 2 2" xfId="30083" xr:uid="{00000000-0005-0000-0000-0000CC790000}"/>
    <cellStyle name="표준 5 3 2 3 2 2 7 2 3" xfId="38294" xr:uid="{00000000-0005-0000-0000-0000CD790000}"/>
    <cellStyle name="표준 5 3 2 3 2 2 7 2 4" xfId="46487" xr:uid="{00000000-0005-0000-0000-0000CE790000}"/>
    <cellStyle name="표준 5 3 2 3 2 2 7 3" xfId="17729" xr:uid="{00000000-0005-0000-0000-0000CF790000}"/>
    <cellStyle name="표준 5 3 2 3 2 2 7 4" xfId="21891" xr:uid="{00000000-0005-0000-0000-0000D0790000}"/>
    <cellStyle name="표준 5 3 2 3 2 2 7 5" xfId="25987" xr:uid="{00000000-0005-0000-0000-0000D1790000}"/>
    <cellStyle name="표준 5 3 2 3 2 2 7 6" xfId="34198" xr:uid="{00000000-0005-0000-0000-0000D2790000}"/>
    <cellStyle name="표준 5 3 2 3 2 2 7 7" xfId="42391" xr:uid="{00000000-0005-0000-0000-0000D3790000}"/>
    <cellStyle name="표준 5 3 2 3 2 2 8" xfId="7329" xr:uid="{00000000-0005-0000-0000-0000D4790000}"/>
    <cellStyle name="표준 5 3 2 3 2 2 8 2" xfId="28035" xr:uid="{00000000-0005-0000-0000-0000D5790000}"/>
    <cellStyle name="표준 5 3 2 3 2 2 8 3" xfId="36246" xr:uid="{00000000-0005-0000-0000-0000D6790000}"/>
    <cellStyle name="표준 5 3 2 3 2 2 8 4" xfId="44439" xr:uid="{00000000-0005-0000-0000-0000D7790000}"/>
    <cellStyle name="표준 5 3 2 3 2 2 9" xfId="11441" xr:uid="{00000000-0005-0000-0000-0000D8790000}"/>
    <cellStyle name="표준 5 3 2 3 2 3" xfId="538" xr:uid="{00000000-0005-0000-0000-0000D9790000}"/>
    <cellStyle name="표준 5 3 2 3 2 3 10" xfId="19907" xr:uid="{00000000-0005-0000-0000-0000DA790000}"/>
    <cellStyle name="표준 5 3 2 3 2 3 11" xfId="24003" xr:uid="{00000000-0005-0000-0000-0000DB790000}"/>
    <cellStyle name="표준 5 3 2 3 2 3 12" xfId="32214" xr:uid="{00000000-0005-0000-0000-0000DC790000}"/>
    <cellStyle name="표준 5 3 2 3 2 3 13" xfId="40407" xr:uid="{00000000-0005-0000-0000-0000DD790000}"/>
    <cellStyle name="표준 5 3 2 3 2 3 2" xfId="794" xr:uid="{00000000-0005-0000-0000-0000DE790000}"/>
    <cellStyle name="표준 5 3 2 3 2 3 2 10" xfId="24259" xr:uid="{00000000-0005-0000-0000-0000DF790000}"/>
    <cellStyle name="표준 5 3 2 3 2 3 2 11" xfId="32470" xr:uid="{00000000-0005-0000-0000-0000E0790000}"/>
    <cellStyle name="표준 5 3 2 3 2 3 2 12" xfId="40663" xr:uid="{00000000-0005-0000-0000-0000E1790000}"/>
    <cellStyle name="표준 5 3 2 3 2 3 2 2" xfId="1306" xr:uid="{00000000-0005-0000-0000-0000E2790000}"/>
    <cellStyle name="표준 5 3 2 3 2 3 2 2 2" xfId="10209" xr:uid="{00000000-0005-0000-0000-0000E3790000}"/>
    <cellStyle name="표준 5 3 2 3 2 3 2 2 2 2" xfId="14321" xr:uid="{00000000-0005-0000-0000-0000E4790000}"/>
    <cellStyle name="표준 5 3 2 3 2 3 2 2 2 2 2" xfId="30915" xr:uid="{00000000-0005-0000-0000-0000E5790000}"/>
    <cellStyle name="표준 5 3 2 3 2 3 2 2 2 2 3" xfId="39126" xr:uid="{00000000-0005-0000-0000-0000E6790000}"/>
    <cellStyle name="표준 5 3 2 3 2 3 2 2 2 2 4" xfId="47319" xr:uid="{00000000-0005-0000-0000-0000E7790000}"/>
    <cellStyle name="표준 5 3 2 3 2 3 2 2 2 3" xfId="18561" xr:uid="{00000000-0005-0000-0000-0000E8790000}"/>
    <cellStyle name="표준 5 3 2 3 2 3 2 2 2 4" xfId="22723" xr:uid="{00000000-0005-0000-0000-0000E9790000}"/>
    <cellStyle name="표준 5 3 2 3 2 3 2 2 2 5" xfId="26819" xr:uid="{00000000-0005-0000-0000-0000EA790000}"/>
    <cellStyle name="표준 5 3 2 3 2 3 2 2 2 6" xfId="35030" xr:uid="{00000000-0005-0000-0000-0000EB790000}"/>
    <cellStyle name="표준 5 3 2 3 2 3 2 2 2 7" xfId="43223" xr:uid="{00000000-0005-0000-0000-0000EC790000}"/>
    <cellStyle name="표준 5 3 2 3 2 3 2 2 3" xfId="8161" xr:uid="{00000000-0005-0000-0000-0000ED790000}"/>
    <cellStyle name="표준 5 3 2 3 2 3 2 2 3 2" xfId="28867" xr:uid="{00000000-0005-0000-0000-0000EE790000}"/>
    <cellStyle name="표준 5 3 2 3 2 3 2 2 3 3" xfId="37078" xr:uid="{00000000-0005-0000-0000-0000EF790000}"/>
    <cellStyle name="표준 5 3 2 3 2 3 2 2 3 4" xfId="45271" xr:uid="{00000000-0005-0000-0000-0000F0790000}"/>
    <cellStyle name="표준 5 3 2 3 2 3 2 2 4" xfId="12273" xr:uid="{00000000-0005-0000-0000-0000F1790000}"/>
    <cellStyle name="표준 5 3 2 3 2 3 2 2 5" xfId="16513" xr:uid="{00000000-0005-0000-0000-0000F2790000}"/>
    <cellStyle name="표준 5 3 2 3 2 3 2 2 6" xfId="20675" xr:uid="{00000000-0005-0000-0000-0000F3790000}"/>
    <cellStyle name="표준 5 3 2 3 2 3 2 2 7" xfId="24771" xr:uid="{00000000-0005-0000-0000-0000F4790000}"/>
    <cellStyle name="표준 5 3 2 3 2 3 2 2 8" xfId="32982" xr:uid="{00000000-0005-0000-0000-0000F5790000}"/>
    <cellStyle name="표준 5 3 2 3 2 3 2 2 9" xfId="41175" xr:uid="{00000000-0005-0000-0000-0000F6790000}"/>
    <cellStyle name="표준 5 3 2 3 2 3 2 3" xfId="1818" xr:uid="{00000000-0005-0000-0000-0000F7790000}"/>
    <cellStyle name="표준 5 3 2 3 2 3 2 3 2" xfId="10721" xr:uid="{00000000-0005-0000-0000-0000F8790000}"/>
    <cellStyle name="표준 5 3 2 3 2 3 2 3 2 2" xfId="14833" xr:uid="{00000000-0005-0000-0000-0000F9790000}"/>
    <cellStyle name="표준 5 3 2 3 2 3 2 3 2 2 2" xfId="31427" xr:uid="{00000000-0005-0000-0000-0000FA790000}"/>
    <cellStyle name="표준 5 3 2 3 2 3 2 3 2 2 3" xfId="39638" xr:uid="{00000000-0005-0000-0000-0000FB790000}"/>
    <cellStyle name="표준 5 3 2 3 2 3 2 3 2 2 4" xfId="47831" xr:uid="{00000000-0005-0000-0000-0000FC790000}"/>
    <cellStyle name="표준 5 3 2 3 2 3 2 3 2 3" xfId="19073" xr:uid="{00000000-0005-0000-0000-0000FD790000}"/>
    <cellStyle name="표준 5 3 2 3 2 3 2 3 2 4" xfId="23235" xr:uid="{00000000-0005-0000-0000-0000FE790000}"/>
    <cellStyle name="표준 5 3 2 3 2 3 2 3 2 5" xfId="27331" xr:uid="{00000000-0005-0000-0000-0000FF790000}"/>
    <cellStyle name="표준 5 3 2 3 2 3 2 3 2 6" xfId="35542" xr:uid="{00000000-0005-0000-0000-0000007A0000}"/>
    <cellStyle name="표준 5 3 2 3 2 3 2 3 2 7" xfId="43735" xr:uid="{00000000-0005-0000-0000-0000017A0000}"/>
    <cellStyle name="표준 5 3 2 3 2 3 2 3 3" xfId="8673" xr:uid="{00000000-0005-0000-0000-0000027A0000}"/>
    <cellStyle name="표준 5 3 2 3 2 3 2 3 3 2" xfId="29379" xr:uid="{00000000-0005-0000-0000-0000037A0000}"/>
    <cellStyle name="표준 5 3 2 3 2 3 2 3 3 3" xfId="37590" xr:uid="{00000000-0005-0000-0000-0000047A0000}"/>
    <cellStyle name="표준 5 3 2 3 2 3 2 3 3 4" xfId="45783" xr:uid="{00000000-0005-0000-0000-0000057A0000}"/>
    <cellStyle name="표준 5 3 2 3 2 3 2 3 4" xfId="12785" xr:uid="{00000000-0005-0000-0000-0000067A0000}"/>
    <cellStyle name="표준 5 3 2 3 2 3 2 3 5" xfId="17025" xr:uid="{00000000-0005-0000-0000-0000077A0000}"/>
    <cellStyle name="표준 5 3 2 3 2 3 2 3 6" xfId="21187" xr:uid="{00000000-0005-0000-0000-0000087A0000}"/>
    <cellStyle name="표준 5 3 2 3 2 3 2 3 7" xfId="25283" xr:uid="{00000000-0005-0000-0000-0000097A0000}"/>
    <cellStyle name="표준 5 3 2 3 2 3 2 3 8" xfId="33494" xr:uid="{00000000-0005-0000-0000-00000A7A0000}"/>
    <cellStyle name="표준 5 3 2 3 2 3 2 3 9" xfId="41687" xr:uid="{00000000-0005-0000-0000-00000B7A0000}"/>
    <cellStyle name="표준 5 3 2 3 2 3 2 4" xfId="2330" xr:uid="{00000000-0005-0000-0000-00000C7A0000}"/>
    <cellStyle name="표준 5 3 2 3 2 3 2 4 2" xfId="11233" xr:uid="{00000000-0005-0000-0000-00000D7A0000}"/>
    <cellStyle name="표준 5 3 2 3 2 3 2 4 2 2" xfId="15345" xr:uid="{00000000-0005-0000-0000-00000E7A0000}"/>
    <cellStyle name="표준 5 3 2 3 2 3 2 4 2 2 2" xfId="31939" xr:uid="{00000000-0005-0000-0000-00000F7A0000}"/>
    <cellStyle name="표준 5 3 2 3 2 3 2 4 2 2 3" xfId="40150" xr:uid="{00000000-0005-0000-0000-0000107A0000}"/>
    <cellStyle name="표준 5 3 2 3 2 3 2 4 2 2 4" xfId="48343" xr:uid="{00000000-0005-0000-0000-0000117A0000}"/>
    <cellStyle name="표준 5 3 2 3 2 3 2 4 2 3" xfId="19585" xr:uid="{00000000-0005-0000-0000-0000127A0000}"/>
    <cellStyle name="표준 5 3 2 3 2 3 2 4 2 4" xfId="23747" xr:uid="{00000000-0005-0000-0000-0000137A0000}"/>
    <cellStyle name="표준 5 3 2 3 2 3 2 4 2 5" xfId="27843" xr:uid="{00000000-0005-0000-0000-0000147A0000}"/>
    <cellStyle name="표준 5 3 2 3 2 3 2 4 2 6" xfId="36054" xr:uid="{00000000-0005-0000-0000-0000157A0000}"/>
    <cellStyle name="표준 5 3 2 3 2 3 2 4 2 7" xfId="44247" xr:uid="{00000000-0005-0000-0000-0000167A0000}"/>
    <cellStyle name="표준 5 3 2 3 2 3 2 4 3" xfId="9185" xr:uid="{00000000-0005-0000-0000-0000177A0000}"/>
    <cellStyle name="표준 5 3 2 3 2 3 2 4 3 2" xfId="29891" xr:uid="{00000000-0005-0000-0000-0000187A0000}"/>
    <cellStyle name="표준 5 3 2 3 2 3 2 4 3 3" xfId="38102" xr:uid="{00000000-0005-0000-0000-0000197A0000}"/>
    <cellStyle name="표준 5 3 2 3 2 3 2 4 3 4" xfId="46295" xr:uid="{00000000-0005-0000-0000-00001A7A0000}"/>
    <cellStyle name="표준 5 3 2 3 2 3 2 4 4" xfId="13297" xr:uid="{00000000-0005-0000-0000-00001B7A0000}"/>
    <cellStyle name="표준 5 3 2 3 2 3 2 4 5" xfId="17537" xr:uid="{00000000-0005-0000-0000-00001C7A0000}"/>
    <cellStyle name="표준 5 3 2 3 2 3 2 4 6" xfId="21699" xr:uid="{00000000-0005-0000-0000-00001D7A0000}"/>
    <cellStyle name="표준 5 3 2 3 2 3 2 4 7" xfId="25795" xr:uid="{00000000-0005-0000-0000-00001E7A0000}"/>
    <cellStyle name="표준 5 3 2 3 2 3 2 4 8" xfId="34006" xr:uid="{00000000-0005-0000-0000-00001F7A0000}"/>
    <cellStyle name="표준 5 3 2 3 2 3 2 4 9" xfId="42199" xr:uid="{00000000-0005-0000-0000-0000207A0000}"/>
    <cellStyle name="표준 5 3 2 3 2 3 2 5" xfId="9697" xr:uid="{00000000-0005-0000-0000-0000217A0000}"/>
    <cellStyle name="표준 5 3 2 3 2 3 2 5 2" xfId="13809" xr:uid="{00000000-0005-0000-0000-0000227A0000}"/>
    <cellStyle name="표준 5 3 2 3 2 3 2 5 2 2" xfId="30403" xr:uid="{00000000-0005-0000-0000-0000237A0000}"/>
    <cellStyle name="표준 5 3 2 3 2 3 2 5 2 3" xfId="38614" xr:uid="{00000000-0005-0000-0000-0000247A0000}"/>
    <cellStyle name="표준 5 3 2 3 2 3 2 5 2 4" xfId="46807" xr:uid="{00000000-0005-0000-0000-0000257A0000}"/>
    <cellStyle name="표준 5 3 2 3 2 3 2 5 3" xfId="18049" xr:uid="{00000000-0005-0000-0000-0000267A0000}"/>
    <cellStyle name="표준 5 3 2 3 2 3 2 5 4" xfId="22211" xr:uid="{00000000-0005-0000-0000-0000277A0000}"/>
    <cellStyle name="표준 5 3 2 3 2 3 2 5 5" xfId="26307" xr:uid="{00000000-0005-0000-0000-0000287A0000}"/>
    <cellStyle name="표준 5 3 2 3 2 3 2 5 6" xfId="34518" xr:uid="{00000000-0005-0000-0000-0000297A0000}"/>
    <cellStyle name="표준 5 3 2 3 2 3 2 5 7" xfId="42711" xr:uid="{00000000-0005-0000-0000-00002A7A0000}"/>
    <cellStyle name="표준 5 3 2 3 2 3 2 6" xfId="7649" xr:uid="{00000000-0005-0000-0000-00002B7A0000}"/>
    <cellStyle name="표준 5 3 2 3 2 3 2 6 2" xfId="28355" xr:uid="{00000000-0005-0000-0000-00002C7A0000}"/>
    <cellStyle name="표준 5 3 2 3 2 3 2 6 3" xfId="36566" xr:uid="{00000000-0005-0000-0000-00002D7A0000}"/>
    <cellStyle name="표준 5 3 2 3 2 3 2 6 4" xfId="44759" xr:uid="{00000000-0005-0000-0000-00002E7A0000}"/>
    <cellStyle name="표준 5 3 2 3 2 3 2 7" xfId="11761" xr:uid="{00000000-0005-0000-0000-00002F7A0000}"/>
    <cellStyle name="표준 5 3 2 3 2 3 2 8" xfId="16001" xr:uid="{00000000-0005-0000-0000-0000307A0000}"/>
    <cellStyle name="표준 5 3 2 3 2 3 2 9" xfId="20163" xr:uid="{00000000-0005-0000-0000-0000317A0000}"/>
    <cellStyle name="표준 5 3 2 3 2 3 3" xfId="1050" xr:uid="{00000000-0005-0000-0000-0000327A0000}"/>
    <cellStyle name="표준 5 3 2 3 2 3 3 2" xfId="9953" xr:uid="{00000000-0005-0000-0000-0000337A0000}"/>
    <cellStyle name="표준 5 3 2 3 2 3 3 2 2" xfId="14065" xr:uid="{00000000-0005-0000-0000-0000347A0000}"/>
    <cellStyle name="표준 5 3 2 3 2 3 3 2 2 2" xfId="30659" xr:uid="{00000000-0005-0000-0000-0000357A0000}"/>
    <cellStyle name="표준 5 3 2 3 2 3 3 2 2 3" xfId="38870" xr:uid="{00000000-0005-0000-0000-0000367A0000}"/>
    <cellStyle name="표준 5 3 2 3 2 3 3 2 2 4" xfId="47063" xr:uid="{00000000-0005-0000-0000-0000377A0000}"/>
    <cellStyle name="표준 5 3 2 3 2 3 3 2 3" xfId="18305" xr:uid="{00000000-0005-0000-0000-0000387A0000}"/>
    <cellStyle name="표준 5 3 2 3 2 3 3 2 4" xfId="22467" xr:uid="{00000000-0005-0000-0000-0000397A0000}"/>
    <cellStyle name="표준 5 3 2 3 2 3 3 2 5" xfId="26563" xr:uid="{00000000-0005-0000-0000-00003A7A0000}"/>
    <cellStyle name="표준 5 3 2 3 2 3 3 2 6" xfId="34774" xr:uid="{00000000-0005-0000-0000-00003B7A0000}"/>
    <cellStyle name="표준 5 3 2 3 2 3 3 2 7" xfId="42967" xr:uid="{00000000-0005-0000-0000-00003C7A0000}"/>
    <cellStyle name="표준 5 3 2 3 2 3 3 3" xfId="7905" xr:uid="{00000000-0005-0000-0000-00003D7A0000}"/>
    <cellStyle name="표준 5 3 2 3 2 3 3 3 2" xfId="28611" xr:uid="{00000000-0005-0000-0000-00003E7A0000}"/>
    <cellStyle name="표준 5 3 2 3 2 3 3 3 3" xfId="36822" xr:uid="{00000000-0005-0000-0000-00003F7A0000}"/>
    <cellStyle name="표준 5 3 2 3 2 3 3 3 4" xfId="45015" xr:uid="{00000000-0005-0000-0000-0000407A0000}"/>
    <cellStyle name="표준 5 3 2 3 2 3 3 4" xfId="12017" xr:uid="{00000000-0005-0000-0000-0000417A0000}"/>
    <cellStyle name="표준 5 3 2 3 2 3 3 5" xfId="16257" xr:uid="{00000000-0005-0000-0000-0000427A0000}"/>
    <cellStyle name="표준 5 3 2 3 2 3 3 6" xfId="20419" xr:uid="{00000000-0005-0000-0000-0000437A0000}"/>
    <cellStyle name="표준 5 3 2 3 2 3 3 7" xfId="24515" xr:uid="{00000000-0005-0000-0000-0000447A0000}"/>
    <cellStyle name="표준 5 3 2 3 2 3 3 8" xfId="32726" xr:uid="{00000000-0005-0000-0000-0000457A0000}"/>
    <cellStyle name="표준 5 3 2 3 2 3 3 9" xfId="40919" xr:uid="{00000000-0005-0000-0000-0000467A0000}"/>
    <cellStyle name="표준 5 3 2 3 2 3 4" xfId="1562" xr:uid="{00000000-0005-0000-0000-0000477A0000}"/>
    <cellStyle name="표준 5 3 2 3 2 3 4 2" xfId="10465" xr:uid="{00000000-0005-0000-0000-0000487A0000}"/>
    <cellStyle name="표준 5 3 2 3 2 3 4 2 2" xfId="14577" xr:uid="{00000000-0005-0000-0000-0000497A0000}"/>
    <cellStyle name="표준 5 3 2 3 2 3 4 2 2 2" xfId="31171" xr:uid="{00000000-0005-0000-0000-00004A7A0000}"/>
    <cellStyle name="표준 5 3 2 3 2 3 4 2 2 3" xfId="39382" xr:uid="{00000000-0005-0000-0000-00004B7A0000}"/>
    <cellStyle name="표준 5 3 2 3 2 3 4 2 2 4" xfId="47575" xr:uid="{00000000-0005-0000-0000-00004C7A0000}"/>
    <cellStyle name="표준 5 3 2 3 2 3 4 2 3" xfId="18817" xr:uid="{00000000-0005-0000-0000-00004D7A0000}"/>
    <cellStyle name="표준 5 3 2 3 2 3 4 2 4" xfId="22979" xr:uid="{00000000-0005-0000-0000-00004E7A0000}"/>
    <cellStyle name="표준 5 3 2 3 2 3 4 2 5" xfId="27075" xr:uid="{00000000-0005-0000-0000-00004F7A0000}"/>
    <cellStyle name="표준 5 3 2 3 2 3 4 2 6" xfId="35286" xr:uid="{00000000-0005-0000-0000-0000507A0000}"/>
    <cellStyle name="표준 5 3 2 3 2 3 4 2 7" xfId="43479" xr:uid="{00000000-0005-0000-0000-0000517A0000}"/>
    <cellStyle name="표준 5 3 2 3 2 3 4 3" xfId="8417" xr:uid="{00000000-0005-0000-0000-0000527A0000}"/>
    <cellStyle name="표준 5 3 2 3 2 3 4 3 2" xfId="29123" xr:uid="{00000000-0005-0000-0000-0000537A0000}"/>
    <cellStyle name="표준 5 3 2 3 2 3 4 3 3" xfId="37334" xr:uid="{00000000-0005-0000-0000-0000547A0000}"/>
    <cellStyle name="표준 5 3 2 3 2 3 4 3 4" xfId="45527" xr:uid="{00000000-0005-0000-0000-0000557A0000}"/>
    <cellStyle name="표준 5 3 2 3 2 3 4 4" xfId="12529" xr:uid="{00000000-0005-0000-0000-0000567A0000}"/>
    <cellStyle name="표준 5 3 2 3 2 3 4 5" xfId="16769" xr:uid="{00000000-0005-0000-0000-0000577A0000}"/>
    <cellStyle name="표준 5 3 2 3 2 3 4 6" xfId="20931" xr:uid="{00000000-0005-0000-0000-0000587A0000}"/>
    <cellStyle name="표준 5 3 2 3 2 3 4 7" xfId="25027" xr:uid="{00000000-0005-0000-0000-0000597A0000}"/>
    <cellStyle name="표준 5 3 2 3 2 3 4 8" xfId="33238" xr:uid="{00000000-0005-0000-0000-00005A7A0000}"/>
    <cellStyle name="표준 5 3 2 3 2 3 4 9" xfId="41431" xr:uid="{00000000-0005-0000-0000-00005B7A0000}"/>
    <cellStyle name="표준 5 3 2 3 2 3 5" xfId="2074" xr:uid="{00000000-0005-0000-0000-00005C7A0000}"/>
    <cellStyle name="표준 5 3 2 3 2 3 5 2" xfId="10977" xr:uid="{00000000-0005-0000-0000-00005D7A0000}"/>
    <cellStyle name="표준 5 3 2 3 2 3 5 2 2" xfId="15089" xr:uid="{00000000-0005-0000-0000-00005E7A0000}"/>
    <cellStyle name="표준 5 3 2 3 2 3 5 2 2 2" xfId="31683" xr:uid="{00000000-0005-0000-0000-00005F7A0000}"/>
    <cellStyle name="표준 5 3 2 3 2 3 5 2 2 3" xfId="39894" xr:uid="{00000000-0005-0000-0000-0000607A0000}"/>
    <cellStyle name="표준 5 3 2 3 2 3 5 2 2 4" xfId="48087" xr:uid="{00000000-0005-0000-0000-0000617A0000}"/>
    <cellStyle name="표준 5 3 2 3 2 3 5 2 3" xfId="19329" xr:uid="{00000000-0005-0000-0000-0000627A0000}"/>
    <cellStyle name="표준 5 3 2 3 2 3 5 2 4" xfId="23491" xr:uid="{00000000-0005-0000-0000-0000637A0000}"/>
    <cellStyle name="표준 5 3 2 3 2 3 5 2 5" xfId="27587" xr:uid="{00000000-0005-0000-0000-0000647A0000}"/>
    <cellStyle name="표준 5 3 2 3 2 3 5 2 6" xfId="35798" xr:uid="{00000000-0005-0000-0000-0000657A0000}"/>
    <cellStyle name="표준 5 3 2 3 2 3 5 2 7" xfId="43991" xr:uid="{00000000-0005-0000-0000-0000667A0000}"/>
    <cellStyle name="표준 5 3 2 3 2 3 5 3" xfId="8929" xr:uid="{00000000-0005-0000-0000-0000677A0000}"/>
    <cellStyle name="표준 5 3 2 3 2 3 5 3 2" xfId="29635" xr:uid="{00000000-0005-0000-0000-0000687A0000}"/>
    <cellStyle name="표준 5 3 2 3 2 3 5 3 3" xfId="37846" xr:uid="{00000000-0005-0000-0000-0000697A0000}"/>
    <cellStyle name="표준 5 3 2 3 2 3 5 3 4" xfId="46039" xr:uid="{00000000-0005-0000-0000-00006A7A0000}"/>
    <cellStyle name="표준 5 3 2 3 2 3 5 4" xfId="13041" xr:uid="{00000000-0005-0000-0000-00006B7A0000}"/>
    <cellStyle name="표준 5 3 2 3 2 3 5 5" xfId="17281" xr:uid="{00000000-0005-0000-0000-00006C7A0000}"/>
    <cellStyle name="표준 5 3 2 3 2 3 5 6" xfId="21443" xr:uid="{00000000-0005-0000-0000-00006D7A0000}"/>
    <cellStyle name="표준 5 3 2 3 2 3 5 7" xfId="25539" xr:uid="{00000000-0005-0000-0000-00006E7A0000}"/>
    <cellStyle name="표준 5 3 2 3 2 3 5 8" xfId="33750" xr:uid="{00000000-0005-0000-0000-00006F7A0000}"/>
    <cellStyle name="표준 5 3 2 3 2 3 5 9" xfId="41943" xr:uid="{00000000-0005-0000-0000-0000707A0000}"/>
    <cellStyle name="표준 5 3 2 3 2 3 6" xfId="9441" xr:uid="{00000000-0005-0000-0000-0000717A0000}"/>
    <cellStyle name="표준 5 3 2 3 2 3 6 2" xfId="13553" xr:uid="{00000000-0005-0000-0000-0000727A0000}"/>
    <cellStyle name="표준 5 3 2 3 2 3 6 2 2" xfId="30147" xr:uid="{00000000-0005-0000-0000-0000737A0000}"/>
    <cellStyle name="표준 5 3 2 3 2 3 6 2 3" xfId="38358" xr:uid="{00000000-0005-0000-0000-0000747A0000}"/>
    <cellStyle name="표준 5 3 2 3 2 3 6 2 4" xfId="46551" xr:uid="{00000000-0005-0000-0000-0000757A0000}"/>
    <cellStyle name="표준 5 3 2 3 2 3 6 3" xfId="17793" xr:uid="{00000000-0005-0000-0000-0000767A0000}"/>
    <cellStyle name="표준 5 3 2 3 2 3 6 4" xfId="21955" xr:uid="{00000000-0005-0000-0000-0000777A0000}"/>
    <cellStyle name="표준 5 3 2 3 2 3 6 5" xfId="26051" xr:uid="{00000000-0005-0000-0000-0000787A0000}"/>
    <cellStyle name="표준 5 3 2 3 2 3 6 6" xfId="34262" xr:uid="{00000000-0005-0000-0000-0000797A0000}"/>
    <cellStyle name="표준 5 3 2 3 2 3 6 7" xfId="42455" xr:uid="{00000000-0005-0000-0000-00007A7A0000}"/>
    <cellStyle name="표준 5 3 2 3 2 3 7" xfId="7393" xr:uid="{00000000-0005-0000-0000-00007B7A0000}"/>
    <cellStyle name="표준 5 3 2 3 2 3 7 2" xfId="28099" xr:uid="{00000000-0005-0000-0000-00007C7A0000}"/>
    <cellStyle name="표준 5 3 2 3 2 3 7 3" xfId="36310" xr:uid="{00000000-0005-0000-0000-00007D7A0000}"/>
    <cellStyle name="표준 5 3 2 3 2 3 7 4" xfId="44503" xr:uid="{00000000-0005-0000-0000-00007E7A0000}"/>
    <cellStyle name="표준 5 3 2 3 2 3 8" xfId="11505" xr:uid="{00000000-0005-0000-0000-00007F7A0000}"/>
    <cellStyle name="표준 5 3 2 3 2 3 9" xfId="15745" xr:uid="{00000000-0005-0000-0000-0000807A0000}"/>
    <cellStyle name="표준 5 3 2 3 2 4" xfId="666" xr:uid="{00000000-0005-0000-0000-0000817A0000}"/>
    <cellStyle name="표준 5 3 2 3 2 4 10" xfId="24131" xr:uid="{00000000-0005-0000-0000-0000827A0000}"/>
    <cellStyle name="표준 5 3 2 3 2 4 11" xfId="32342" xr:uid="{00000000-0005-0000-0000-0000837A0000}"/>
    <cellStyle name="표준 5 3 2 3 2 4 12" xfId="40535" xr:uid="{00000000-0005-0000-0000-0000847A0000}"/>
    <cellStyle name="표준 5 3 2 3 2 4 2" xfId="1178" xr:uid="{00000000-0005-0000-0000-0000857A0000}"/>
    <cellStyle name="표준 5 3 2 3 2 4 2 2" xfId="10081" xr:uid="{00000000-0005-0000-0000-0000867A0000}"/>
    <cellStyle name="표준 5 3 2 3 2 4 2 2 2" xfId="14193" xr:uid="{00000000-0005-0000-0000-0000877A0000}"/>
    <cellStyle name="표준 5 3 2 3 2 4 2 2 2 2" xfId="30787" xr:uid="{00000000-0005-0000-0000-0000887A0000}"/>
    <cellStyle name="표준 5 3 2 3 2 4 2 2 2 3" xfId="38998" xr:uid="{00000000-0005-0000-0000-0000897A0000}"/>
    <cellStyle name="표준 5 3 2 3 2 4 2 2 2 4" xfId="47191" xr:uid="{00000000-0005-0000-0000-00008A7A0000}"/>
    <cellStyle name="표준 5 3 2 3 2 4 2 2 3" xfId="18433" xr:uid="{00000000-0005-0000-0000-00008B7A0000}"/>
    <cellStyle name="표준 5 3 2 3 2 4 2 2 4" xfId="22595" xr:uid="{00000000-0005-0000-0000-00008C7A0000}"/>
    <cellStyle name="표준 5 3 2 3 2 4 2 2 5" xfId="26691" xr:uid="{00000000-0005-0000-0000-00008D7A0000}"/>
    <cellStyle name="표준 5 3 2 3 2 4 2 2 6" xfId="34902" xr:uid="{00000000-0005-0000-0000-00008E7A0000}"/>
    <cellStyle name="표준 5 3 2 3 2 4 2 2 7" xfId="43095" xr:uid="{00000000-0005-0000-0000-00008F7A0000}"/>
    <cellStyle name="표준 5 3 2 3 2 4 2 3" xfId="8033" xr:uid="{00000000-0005-0000-0000-0000907A0000}"/>
    <cellStyle name="표준 5 3 2 3 2 4 2 3 2" xfId="28739" xr:uid="{00000000-0005-0000-0000-0000917A0000}"/>
    <cellStyle name="표준 5 3 2 3 2 4 2 3 3" xfId="36950" xr:uid="{00000000-0005-0000-0000-0000927A0000}"/>
    <cellStyle name="표준 5 3 2 3 2 4 2 3 4" xfId="45143" xr:uid="{00000000-0005-0000-0000-0000937A0000}"/>
    <cellStyle name="표준 5 3 2 3 2 4 2 4" xfId="12145" xr:uid="{00000000-0005-0000-0000-0000947A0000}"/>
    <cellStyle name="표준 5 3 2 3 2 4 2 5" xfId="16385" xr:uid="{00000000-0005-0000-0000-0000957A0000}"/>
    <cellStyle name="표준 5 3 2 3 2 4 2 6" xfId="20547" xr:uid="{00000000-0005-0000-0000-0000967A0000}"/>
    <cellStyle name="표준 5 3 2 3 2 4 2 7" xfId="24643" xr:uid="{00000000-0005-0000-0000-0000977A0000}"/>
    <cellStyle name="표준 5 3 2 3 2 4 2 8" xfId="32854" xr:uid="{00000000-0005-0000-0000-0000987A0000}"/>
    <cellStyle name="표준 5 3 2 3 2 4 2 9" xfId="41047" xr:uid="{00000000-0005-0000-0000-0000997A0000}"/>
    <cellStyle name="표준 5 3 2 3 2 4 3" xfId="1690" xr:uid="{00000000-0005-0000-0000-00009A7A0000}"/>
    <cellStyle name="표준 5 3 2 3 2 4 3 2" xfId="10593" xr:uid="{00000000-0005-0000-0000-00009B7A0000}"/>
    <cellStyle name="표준 5 3 2 3 2 4 3 2 2" xfId="14705" xr:uid="{00000000-0005-0000-0000-00009C7A0000}"/>
    <cellStyle name="표준 5 3 2 3 2 4 3 2 2 2" xfId="31299" xr:uid="{00000000-0005-0000-0000-00009D7A0000}"/>
    <cellStyle name="표준 5 3 2 3 2 4 3 2 2 3" xfId="39510" xr:uid="{00000000-0005-0000-0000-00009E7A0000}"/>
    <cellStyle name="표준 5 3 2 3 2 4 3 2 2 4" xfId="47703" xr:uid="{00000000-0005-0000-0000-00009F7A0000}"/>
    <cellStyle name="표준 5 3 2 3 2 4 3 2 3" xfId="18945" xr:uid="{00000000-0005-0000-0000-0000A07A0000}"/>
    <cellStyle name="표준 5 3 2 3 2 4 3 2 4" xfId="23107" xr:uid="{00000000-0005-0000-0000-0000A17A0000}"/>
    <cellStyle name="표준 5 3 2 3 2 4 3 2 5" xfId="27203" xr:uid="{00000000-0005-0000-0000-0000A27A0000}"/>
    <cellStyle name="표준 5 3 2 3 2 4 3 2 6" xfId="35414" xr:uid="{00000000-0005-0000-0000-0000A37A0000}"/>
    <cellStyle name="표준 5 3 2 3 2 4 3 2 7" xfId="43607" xr:uid="{00000000-0005-0000-0000-0000A47A0000}"/>
    <cellStyle name="표준 5 3 2 3 2 4 3 3" xfId="8545" xr:uid="{00000000-0005-0000-0000-0000A57A0000}"/>
    <cellStyle name="표준 5 3 2 3 2 4 3 3 2" xfId="29251" xr:uid="{00000000-0005-0000-0000-0000A67A0000}"/>
    <cellStyle name="표준 5 3 2 3 2 4 3 3 3" xfId="37462" xr:uid="{00000000-0005-0000-0000-0000A77A0000}"/>
    <cellStyle name="표준 5 3 2 3 2 4 3 3 4" xfId="45655" xr:uid="{00000000-0005-0000-0000-0000A87A0000}"/>
    <cellStyle name="표준 5 3 2 3 2 4 3 4" xfId="12657" xr:uid="{00000000-0005-0000-0000-0000A97A0000}"/>
    <cellStyle name="표준 5 3 2 3 2 4 3 5" xfId="16897" xr:uid="{00000000-0005-0000-0000-0000AA7A0000}"/>
    <cellStyle name="표준 5 3 2 3 2 4 3 6" xfId="21059" xr:uid="{00000000-0005-0000-0000-0000AB7A0000}"/>
    <cellStyle name="표준 5 3 2 3 2 4 3 7" xfId="25155" xr:uid="{00000000-0005-0000-0000-0000AC7A0000}"/>
    <cellStyle name="표준 5 3 2 3 2 4 3 8" xfId="33366" xr:uid="{00000000-0005-0000-0000-0000AD7A0000}"/>
    <cellStyle name="표준 5 3 2 3 2 4 3 9" xfId="41559" xr:uid="{00000000-0005-0000-0000-0000AE7A0000}"/>
    <cellStyle name="표준 5 3 2 3 2 4 4" xfId="2202" xr:uid="{00000000-0005-0000-0000-0000AF7A0000}"/>
    <cellStyle name="표준 5 3 2 3 2 4 4 2" xfId="11105" xr:uid="{00000000-0005-0000-0000-0000B07A0000}"/>
    <cellStyle name="표준 5 3 2 3 2 4 4 2 2" xfId="15217" xr:uid="{00000000-0005-0000-0000-0000B17A0000}"/>
    <cellStyle name="표준 5 3 2 3 2 4 4 2 2 2" xfId="31811" xr:uid="{00000000-0005-0000-0000-0000B27A0000}"/>
    <cellStyle name="표준 5 3 2 3 2 4 4 2 2 3" xfId="40022" xr:uid="{00000000-0005-0000-0000-0000B37A0000}"/>
    <cellStyle name="표준 5 3 2 3 2 4 4 2 2 4" xfId="48215" xr:uid="{00000000-0005-0000-0000-0000B47A0000}"/>
    <cellStyle name="표준 5 3 2 3 2 4 4 2 3" xfId="19457" xr:uid="{00000000-0005-0000-0000-0000B57A0000}"/>
    <cellStyle name="표준 5 3 2 3 2 4 4 2 4" xfId="23619" xr:uid="{00000000-0005-0000-0000-0000B67A0000}"/>
    <cellStyle name="표준 5 3 2 3 2 4 4 2 5" xfId="27715" xr:uid="{00000000-0005-0000-0000-0000B77A0000}"/>
    <cellStyle name="표준 5 3 2 3 2 4 4 2 6" xfId="35926" xr:uid="{00000000-0005-0000-0000-0000B87A0000}"/>
    <cellStyle name="표준 5 3 2 3 2 4 4 2 7" xfId="44119" xr:uid="{00000000-0005-0000-0000-0000B97A0000}"/>
    <cellStyle name="표준 5 3 2 3 2 4 4 3" xfId="9057" xr:uid="{00000000-0005-0000-0000-0000BA7A0000}"/>
    <cellStyle name="표준 5 3 2 3 2 4 4 3 2" xfId="29763" xr:uid="{00000000-0005-0000-0000-0000BB7A0000}"/>
    <cellStyle name="표준 5 3 2 3 2 4 4 3 3" xfId="37974" xr:uid="{00000000-0005-0000-0000-0000BC7A0000}"/>
    <cellStyle name="표준 5 3 2 3 2 4 4 3 4" xfId="46167" xr:uid="{00000000-0005-0000-0000-0000BD7A0000}"/>
    <cellStyle name="표준 5 3 2 3 2 4 4 4" xfId="13169" xr:uid="{00000000-0005-0000-0000-0000BE7A0000}"/>
    <cellStyle name="표준 5 3 2 3 2 4 4 5" xfId="17409" xr:uid="{00000000-0005-0000-0000-0000BF7A0000}"/>
    <cellStyle name="표준 5 3 2 3 2 4 4 6" xfId="21571" xr:uid="{00000000-0005-0000-0000-0000C07A0000}"/>
    <cellStyle name="표준 5 3 2 3 2 4 4 7" xfId="25667" xr:uid="{00000000-0005-0000-0000-0000C17A0000}"/>
    <cellStyle name="표준 5 3 2 3 2 4 4 8" xfId="33878" xr:uid="{00000000-0005-0000-0000-0000C27A0000}"/>
    <cellStyle name="표준 5 3 2 3 2 4 4 9" xfId="42071" xr:uid="{00000000-0005-0000-0000-0000C37A0000}"/>
    <cellStyle name="표준 5 3 2 3 2 4 5" xfId="9569" xr:uid="{00000000-0005-0000-0000-0000C47A0000}"/>
    <cellStyle name="표준 5 3 2 3 2 4 5 2" xfId="13681" xr:uid="{00000000-0005-0000-0000-0000C57A0000}"/>
    <cellStyle name="표준 5 3 2 3 2 4 5 2 2" xfId="30275" xr:uid="{00000000-0005-0000-0000-0000C67A0000}"/>
    <cellStyle name="표준 5 3 2 3 2 4 5 2 3" xfId="38486" xr:uid="{00000000-0005-0000-0000-0000C77A0000}"/>
    <cellStyle name="표준 5 3 2 3 2 4 5 2 4" xfId="46679" xr:uid="{00000000-0005-0000-0000-0000C87A0000}"/>
    <cellStyle name="표준 5 3 2 3 2 4 5 3" xfId="17921" xr:uid="{00000000-0005-0000-0000-0000C97A0000}"/>
    <cellStyle name="표준 5 3 2 3 2 4 5 4" xfId="22083" xr:uid="{00000000-0005-0000-0000-0000CA7A0000}"/>
    <cellStyle name="표준 5 3 2 3 2 4 5 5" xfId="26179" xr:uid="{00000000-0005-0000-0000-0000CB7A0000}"/>
    <cellStyle name="표준 5 3 2 3 2 4 5 6" xfId="34390" xr:uid="{00000000-0005-0000-0000-0000CC7A0000}"/>
    <cellStyle name="표준 5 3 2 3 2 4 5 7" xfId="42583" xr:uid="{00000000-0005-0000-0000-0000CD7A0000}"/>
    <cellStyle name="표준 5 3 2 3 2 4 6" xfId="7521" xr:uid="{00000000-0005-0000-0000-0000CE7A0000}"/>
    <cellStyle name="표준 5 3 2 3 2 4 6 2" xfId="28227" xr:uid="{00000000-0005-0000-0000-0000CF7A0000}"/>
    <cellStyle name="표준 5 3 2 3 2 4 6 3" xfId="36438" xr:uid="{00000000-0005-0000-0000-0000D07A0000}"/>
    <cellStyle name="표준 5 3 2 3 2 4 6 4" xfId="44631" xr:uid="{00000000-0005-0000-0000-0000D17A0000}"/>
    <cellStyle name="표준 5 3 2 3 2 4 7" xfId="11633" xr:uid="{00000000-0005-0000-0000-0000D27A0000}"/>
    <cellStyle name="표준 5 3 2 3 2 4 8" xfId="15873" xr:uid="{00000000-0005-0000-0000-0000D37A0000}"/>
    <cellStyle name="표준 5 3 2 3 2 4 9" xfId="20035" xr:uid="{00000000-0005-0000-0000-0000D47A0000}"/>
    <cellStyle name="표준 5 3 2 3 2 5" xfId="922" xr:uid="{00000000-0005-0000-0000-0000D57A0000}"/>
    <cellStyle name="표준 5 3 2 3 2 5 2" xfId="9825" xr:uid="{00000000-0005-0000-0000-0000D67A0000}"/>
    <cellStyle name="표준 5 3 2 3 2 5 2 2" xfId="13937" xr:uid="{00000000-0005-0000-0000-0000D77A0000}"/>
    <cellStyle name="표준 5 3 2 3 2 5 2 2 2" xfId="30531" xr:uid="{00000000-0005-0000-0000-0000D87A0000}"/>
    <cellStyle name="표준 5 3 2 3 2 5 2 2 3" xfId="38742" xr:uid="{00000000-0005-0000-0000-0000D97A0000}"/>
    <cellStyle name="표준 5 3 2 3 2 5 2 2 4" xfId="46935" xr:uid="{00000000-0005-0000-0000-0000DA7A0000}"/>
    <cellStyle name="표준 5 3 2 3 2 5 2 3" xfId="18177" xr:uid="{00000000-0005-0000-0000-0000DB7A0000}"/>
    <cellStyle name="표준 5 3 2 3 2 5 2 4" xfId="22339" xr:uid="{00000000-0005-0000-0000-0000DC7A0000}"/>
    <cellStyle name="표준 5 3 2 3 2 5 2 5" xfId="26435" xr:uid="{00000000-0005-0000-0000-0000DD7A0000}"/>
    <cellStyle name="표준 5 3 2 3 2 5 2 6" xfId="34646" xr:uid="{00000000-0005-0000-0000-0000DE7A0000}"/>
    <cellStyle name="표준 5 3 2 3 2 5 2 7" xfId="42839" xr:uid="{00000000-0005-0000-0000-0000DF7A0000}"/>
    <cellStyle name="표준 5 3 2 3 2 5 3" xfId="7777" xr:uid="{00000000-0005-0000-0000-0000E07A0000}"/>
    <cellStyle name="표준 5 3 2 3 2 5 3 2" xfId="28483" xr:uid="{00000000-0005-0000-0000-0000E17A0000}"/>
    <cellStyle name="표준 5 3 2 3 2 5 3 3" xfId="36694" xr:uid="{00000000-0005-0000-0000-0000E27A0000}"/>
    <cellStyle name="표준 5 3 2 3 2 5 3 4" xfId="44887" xr:uid="{00000000-0005-0000-0000-0000E37A0000}"/>
    <cellStyle name="표준 5 3 2 3 2 5 4" xfId="11889" xr:uid="{00000000-0005-0000-0000-0000E47A0000}"/>
    <cellStyle name="표준 5 3 2 3 2 5 5" xfId="16129" xr:uid="{00000000-0005-0000-0000-0000E57A0000}"/>
    <cellStyle name="표준 5 3 2 3 2 5 6" xfId="20291" xr:uid="{00000000-0005-0000-0000-0000E67A0000}"/>
    <cellStyle name="표준 5 3 2 3 2 5 7" xfId="24387" xr:uid="{00000000-0005-0000-0000-0000E77A0000}"/>
    <cellStyle name="표준 5 3 2 3 2 5 8" xfId="32598" xr:uid="{00000000-0005-0000-0000-0000E87A0000}"/>
    <cellStyle name="표준 5 3 2 3 2 5 9" xfId="40791" xr:uid="{00000000-0005-0000-0000-0000E97A0000}"/>
    <cellStyle name="표준 5 3 2 3 2 6" xfId="1434" xr:uid="{00000000-0005-0000-0000-0000EA7A0000}"/>
    <cellStyle name="표준 5 3 2 3 2 6 2" xfId="10337" xr:uid="{00000000-0005-0000-0000-0000EB7A0000}"/>
    <cellStyle name="표준 5 3 2 3 2 6 2 2" xfId="14449" xr:uid="{00000000-0005-0000-0000-0000EC7A0000}"/>
    <cellStyle name="표준 5 3 2 3 2 6 2 2 2" xfId="31043" xr:uid="{00000000-0005-0000-0000-0000ED7A0000}"/>
    <cellStyle name="표준 5 3 2 3 2 6 2 2 3" xfId="39254" xr:uid="{00000000-0005-0000-0000-0000EE7A0000}"/>
    <cellStyle name="표준 5 3 2 3 2 6 2 2 4" xfId="47447" xr:uid="{00000000-0005-0000-0000-0000EF7A0000}"/>
    <cellStyle name="표준 5 3 2 3 2 6 2 3" xfId="18689" xr:uid="{00000000-0005-0000-0000-0000F07A0000}"/>
    <cellStyle name="표준 5 3 2 3 2 6 2 4" xfId="22851" xr:uid="{00000000-0005-0000-0000-0000F17A0000}"/>
    <cellStyle name="표준 5 3 2 3 2 6 2 5" xfId="26947" xr:uid="{00000000-0005-0000-0000-0000F27A0000}"/>
    <cellStyle name="표준 5 3 2 3 2 6 2 6" xfId="35158" xr:uid="{00000000-0005-0000-0000-0000F37A0000}"/>
    <cellStyle name="표준 5 3 2 3 2 6 2 7" xfId="43351" xr:uid="{00000000-0005-0000-0000-0000F47A0000}"/>
    <cellStyle name="표준 5 3 2 3 2 6 3" xfId="8289" xr:uid="{00000000-0005-0000-0000-0000F57A0000}"/>
    <cellStyle name="표준 5 3 2 3 2 6 3 2" xfId="28995" xr:uid="{00000000-0005-0000-0000-0000F67A0000}"/>
    <cellStyle name="표준 5 3 2 3 2 6 3 3" xfId="37206" xr:uid="{00000000-0005-0000-0000-0000F77A0000}"/>
    <cellStyle name="표준 5 3 2 3 2 6 3 4" xfId="45399" xr:uid="{00000000-0005-0000-0000-0000F87A0000}"/>
    <cellStyle name="표준 5 3 2 3 2 6 4" xfId="12401" xr:uid="{00000000-0005-0000-0000-0000F97A0000}"/>
    <cellStyle name="표준 5 3 2 3 2 6 5" xfId="16641" xr:uid="{00000000-0005-0000-0000-0000FA7A0000}"/>
    <cellStyle name="표준 5 3 2 3 2 6 6" xfId="20803" xr:uid="{00000000-0005-0000-0000-0000FB7A0000}"/>
    <cellStyle name="표준 5 3 2 3 2 6 7" xfId="24899" xr:uid="{00000000-0005-0000-0000-0000FC7A0000}"/>
    <cellStyle name="표준 5 3 2 3 2 6 8" xfId="33110" xr:uid="{00000000-0005-0000-0000-0000FD7A0000}"/>
    <cellStyle name="표준 5 3 2 3 2 6 9" xfId="41303" xr:uid="{00000000-0005-0000-0000-0000FE7A0000}"/>
    <cellStyle name="표준 5 3 2 3 2 7" xfId="1946" xr:uid="{00000000-0005-0000-0000-0000FF7A0000}"/>
    <cellStyle name="표준 5 3 2 3 2 7 2" xfId="10849" xr:uid="{00000000-0005-0000-0000-0000007B0000}"/>
    <cellStyle name="표준 5 3 2 3 2 7 2 2" xfId="14961" xr:uid="{00000000-0005-0000-0000-0000017B0000}"/>
    <cellStyle name="표준 5 3 2 3 2 7 2 2 2" xfId="31555" xr:uid="{00000000-0005-0000-0000-0000027B0000}"/>
    <cellStyle name="표준 5 3 2 3 2 7 2 2 3" xfId="39766" xr:uid="{00000000-0005-0000-0000-0000037B0000}"/>
    <cellStyle name="표준 5 3 2 3 2 7 2 2 4" xfId="47959" xr:uid="{00000000-0005-0000-0000-0000047B0000}"/>
    <cellStyle name="표준 5 3 2 3 2 7 2 3" xfId="19201" xr:uid="{00000000-0005-0000-0000-0000057B0000}"/>
    <cellStyle name="표준 5 3 2 3 2 7 2 4" xfId="23363" xr:uid="{00000000-0005-0000-0000-0000067B0000}"/>
    <cellStyle name="표준 5 3 2 3 2 7 2 5" xfId="27459" xr:uid="{00000000-0005-0000-0000-0000077B0000}"/>
    <cellStyle name="표준 5 3 2 3 2 7 2 6" xfId="35670" xr:uid="{00000000-0005-0000-0000-0000087B0000}"/>
    <cellStyle name="표준 5 3 2 3 2 7 2 7" xfId="43863" xr:uid="{00000000-0005-0000-0000-0000097B0000}"/>
    <cellStyle name="표준 5 3 2 3 2 7 3" xfId="8801" xr:uid="{00000000-0005-0000-0000-00000A7B0000}"/>
    <cellStyle name="표준 5 3 2 3 2 7 3 2" xfId="29507" xr:uid="{00000000-0005-0000-0000-00000B7B0000}"/>
    <cellStyle name="표준 5 3 2 3 2 7 3 3" xfId="37718" xr:uid="{00000000-0005-0000-0000-00000C7B0000}"/>
    <cellStyle name="표준 5 3 2 3 2 7 3 4" xfId="45911" xr:uid="{00000000-0005-0000-0000-00000D7B0000}"/>
    <cellStyle name="표준 5 3 2 3 2 7 4" xfId="12913" xr:uid="{00000000-0005-0000-0000-00000E7B0000}"/>
    <cellStyle name="표준 5 3 2 3 2 7 5" xfId="17153" xr:uid="{00000000-0005-0000-0000-00000F7B0000}"/>
    <cellStyle name="표준 5 3 2 3 2 7 6" xfId="21315" xr:uid="{00000000-0005-0000-0000-0000107B0000}"/>
    <cellStyle name="표준 5 3 2 3 2 7 7" xfId="25411" xr:uid="{00000000-0005-0000-0000-0000117B0000}"/>
    <cellStyle name="표준 5 3 2 3 2 7 8" xfId="33622" xr:uid="{00000000-0005-0000-0000-0000127B0000}"/>
    <cellStyle name="표준 5 3 2 3 2 7 9" xfId="41815" xr:uid="{00000000-0005-0000-0000-0000137B0000}"/>
    <cellStyle name="표준 5 3 2 3 2 8" xfId="7038" xr:uid="{00000000-0005-0000-0000-0000147B0000}"/>
    <cellStyle name="표준 5 3 2 3 2 8 2" xfId="9313" xr:uid="{00000000-0005-0000-0000-0000157B0000}"/>
    <cellStyle name="표준 5 3 2 3 2 8 2 2" xfId="30019" xr:uid="{00000000-0005-0000-0000-0000167B0000}"/>
    <cellStyle name="표준 5 3 2 3 2 8 2 3" xfId="38230" xr:uid="{00000000-0005-0000-0000-0000177B0000}"/>
    <cellStyle name="표준 5 3 2 3 2 8 2 4" xfId="46423" xr:uid="{00000000-0005-0000-0000-0000187B0000}"/>
    <cellStyle name="표준 5 3 2 3 2 8 3" xfId="13425" xr:uid="{00000000-0005-0000-0000-0000197B0000}"/>
    <cellStyle name="표준 5 3 2 3 2 8 4" xfId="17665" xr:uid="{00000000-0005-0000-0000-00001A7B0000}"/>
    <cellStyle name="표준 5 3 2 3 2 8 5" xfId="21827" xr:uid="{00000000-0005-0000-0000-00001B7B0000}"/>
    <cellStyle name="표준 5 3 2 3 2 8 6" xfId="25923" xr:uid="{00000000-0005-0000-0000-00001C7B0000}"/>
    <cellStyle name="표준 5 3 2 3 2 8 7" xfId="34134" xr:uid="{00000000-0005-0000-0000-00001D7B0000}"/>
    <cellStyle name="표준 5 3 2 3 2 8 8" xfId="42327" xr:uid="{00000000-0005-0000-0000-00001E7B0000}"/>
    <cellStyle name="표준 5 3 2 3 2 9" xfId="7140" xr:uid="{00000000-0005-0000-0000-00001F7B0000}"/>
    <cellStyle name="표준 5 3 2 3 2 9 2" xfId="27971" xr:uid="{00000000-0005-0000-0000-0000207B0000}"/>
    <cellStyle name="표준 5 3 2 3 2 9 3" xfId="36182" xr:uid="{00000000-0005-0000-0000-0000217B0000}"/>
    <cellStyle name="표준 5 3 2 3 2 9 4" xfId="44375" xr:uid="{00000000-0005-0000-0000-0000227B0000}"/>
    <cellStyle name="표준 5 3 2 3 3" xfId="442" xr:uid="{00000000-0005-0000-0000-0000237B0000}"/>
    <cellStyle name="표준 5 3 2 3 3 10" xfId="15649" xr:uid="{00000000-0005-0000-0000-0000247B0000}"/>
    <cellStyle name="표준 5 3 2 3 3 11" xfId="19811" xr:uid="{00000000-0005-0000-0000-0000257B0000}"/>
    <cellStyle name="표준 5 3 2 3 3 12" xfId="23907" xr:uid="{00000000-0005-0000-0000-0000267B0000}"/>
    <cellStyle name="표준 5 3 2 3 3 13" xfId="32118" xr:uid="{00000000-0005-0000-0000-0000277B0000}"/>
    <cellStyle name="표준 5 3 2 3 3 14" xfId="40311" xr:uid="{00000000-0005-0000-0000-0000287B0000}"/>
    <cellStyle name="표준 5 3 2 3 3 2" xfId="570" xr:uid="{00000000-0005-0000-0000-0000297B0000}"/>
    <cellStyle name="표준 5 3 2 3 3 2 10" xfId="19939" xr:uid="{00000000-0005-0000-0000-00002A7B0000}"/>
    <cellStyle name="표준 5 3 2 3 3 2 11" xfId="24035" xr:uid="{00000000-0005-0000-0000-00002B7B0000}"/>
    <cellStyle name="표준 5 3 2 3 3 2 12" xfId="32246" xr:uid="{00000000-0005-0000-0000-00002C7B0000}"/>
    <cellStyle name="표준 5 3 2 3 3 2 13" xfId="40439" xr:uid="{00000000-0005-0000-0000-00002D7B0000}"/>
    <cellStyle name="표준 5 3 2 3 3 2 2" xfId="826" xr:uid="{00000000-0005-0000-0000-00002E7B0000}"/>
    <cellStyle name="표준 5 3 2 3 3 2 2 10" xfId="24291" xr:uid="{00000000-0005-0000-0000-00002F7B0000}"/>
    <cellStyle name="표준 5 3 2 3 3 2 2 11" xfId="32502" xr:uid="{00000000-0005-0000-0000-0000307B0000}"/>
    <cellStyle name="표준 5 3 2 3 3 2 2 12" xfId="40695" xr:uid="{00000000-0005-0000-0000-0000317B0000}"/>
    <cellStyle name="표준 5 3 2 3 3 2 2 2" xfId="1338" xr:uid="{00000000-0005-0000-0000-0000327B0000}"/>
    <cellStyle name="표준 5 3 2 3 3 2 2 2 2" xfId="10241" xr:uid="{00000000-0005-0000-0000-0000337B0000}"/>
    <cellStyle name="표준 5 3 2 3 3 2 2 2 2 2" xfId="14353" xr:uid="{00000000-0005-0000-0000-0000347B0000}"/>
    <cellStyle name="표준 5 3 2 3 3 2 2 2 2 2 2" xfId="30947" xr:uid="{00000000-0005-0000-0000-0000357B0000}"/>
    <cellStyle name="표준 5 3 2 3 3 2 2 2 2 2 3" xfId="39158" xr:uid="{00000000-0005-0000-0000-0000367B0000}"/>
    <cellStyle name="표준 5 3 2 3 3 2 2 2 2 2 4" xfId="47351" xr:uid="{00000000-0005-0000-0000-0000377B0000}"/>
    <cellStyle name="표준 5 3 2 3 3 2 2 2 2 3" xfId="18593" xr:uid="{00000000-0005-0000-0000-0000387B0000}"/>
    <cellStyle name="표준 5 3 2 3 3 2 2 2 2 4" xfId="22755" xr:uid="{00000000-0005-0000-0000-0000397B0000}"/>
    <cellStyle name="표준 5 3 2 3 3 2 2 2 2 5" xfId="26851" xr:uid="{00000000-0005-0000-0000-00003A7B0000}"/>
    <cellStyle name="표준 5 3 2 3 3 2 2 2 2 6" xfId="35062" xr:uid="{00000000-0005-0000-0000-00003B7B0000}"/>
    <cellStyle name="표준 5 3 2 3 3 2 2 2 2 7" xfId="43255" xr:uid="{00000000-0005-0000-0000-00003C7B0000}"/>
    <cellStyle name="표준 5 3 2 3 3 2 2 2 3" xfId="8193" xr:uid="{00000000-0005-0000-0000-00003D7B0000}"/>
    <cellStyle name="표준 5 3 2 3 3 2 2 2 3 2" xfId="28899" xr:uid="{00000000-0005-0000-0000-00003E7B0000}"/>
    <cellStyle name="표준 5 3 2 3 3 2 2 2 3 3" xfId="37110" xr:uid="{00000000-0005-0000-0000-00003F7B0000}"/>
    <cellStyle name="표준 5 3 2 3 3 2 2 2 3 4" xfId="45303" xr:uid="{00000000-0005-0000-0000-0000407B0000}"/>
    <cellStyle name="표준 5 3 2 3 3 2 2 2 4" xfId="12305" xr:uid="{00000000-0005-0000-0000-0000417B0000}"/>
    <cellStyle name="표준 5 3 2 3 3 2 2 2 5" xfId="16545" xr:uid="{00000000-0005-0000-0000-0000427B0000}"/>
    <cellStyle name="표준 5 3 2 3 3 2 2 2 6" xfId="20707" xr:uid="{00000000-0005-0000-0000-0000437B0000}"/>
    <cellStyle name="표준 5 3 2 3 3 2 2 2 7" xfId="24803" xr:uid="{00000000-0005-0000-0000-0000447B0000}"/>
    <cellStyle name="표준 5 3 2 3 3 2 2 2 8" xfId="33014" xr:uid="{00000000-0005-0000-0000-0000457B0000}"/>
    <cellStyle name="표준 5 3 2 3 3 2 2 2 9" xfId="41207" xr:uid="{00000000-0005-0000-0000-0000467B0000}"/>
    <cellStyle name="표준 5 3 2 3 3 2 2 3" xfId="1850" xr:uid="{00000000-0005-0000-0000-0000477B0000}"/>
    <cellStyle name="표준 5 3 2 3 3 2 2 3 2" xfId="10753" xr:uid="{00000000-0005-0000-0000-0000487B0000}"/>
    <cellStyle name="표준 5 3 2 3 3 2 2 3 2 2" xfId="14865" xr:uid="{00000000-0005-0000-0000-0000497B0000}"/>
    <cellStyle name="표준 5 3 2 3 3 2 2 3 2 2 2" xfId="31459" xr:uid="{00000000-0005-0000-0000-00004A7B0000}"/>
    <cellStyle name="표준 5 3 2 3 3 2 2 3 2 2 3" xfId="39670" xr:uid="{00000000-0005-0000-0000-00004B7B0000}"/>
    <cellStyle name="표준 5 3 2 3 3 2 2 3 2 2 4" xfId="47863" xr:uid="{00000000-0005-0000-0000-00004C7B0000}"/>
    <cellStyle name="표준 5 3 2 3 3 2 2 3 2 3" xfId="19105" xr:uid="{00000000-0005-0000-0000-00004D7B0000}"/>
    <cellStyle name="표준 5 3 2 3 3 2 2 3 2 4" xfId="23267" xr:uid="{00000000-0005-0000-0000-00004E7B0000}"/>
    <cellStyle name="표준 5 3 2 3 3 2 2 3 2 5" xfId="27363" xr:uid="{00000000-0005-0000-0000-00004F7B0000}"/>
    <cellStyle name="표준 5 3 2 3 3 2 2 3 2 6" xfId="35574" xr:uid="{00000000-0005-0000-0000-0000507B0000}"/>
    <cellStyle name="표준 5 3 2 3 3 2 2 3 2 7" xfId="43767" xr:uid="{00000000-0005-0000-0000-0000517B0000}"/>
    <cellStyle name="표준 5 3 2 3 3 2 2 3 3" xfId="8705" xr:uid="{00000000-0005-0000-0000-0000527B0000}"/>
    <cellStyle name="표준 5 3 2 3 3 2 2 3 3 2" xfId="29411" xr:uid="{00000000-0005-0000-0000-0000537B0000}"/>
    <cellStyle name="표준 5 3 2 3 3 2 2 3 3 3" xfId="37622" xr:uid="{00000000-0005-0000-0000-0000547B0000}"/>
    <cellStyle name="표준 5 3 2 3 3 2 2 3 3 4" xfId="45815" xr:uid="{00000000-0005-0000-0000-0000557B0000}"/>
    <cellStyle name="표준 5 3 2 3 3 2 2 3 4" xfId="12817" xr:uid="{00000000-0005-0000-0000-0000567B0000}"/>
    <cellStyle name="표준 5 3 2 3 3 2 2 3 5" xfId="17057" xr:uid="{00000000-0005-0000-0000-0000577B0000}"/>
    <cellStyle name="표준 5 3 2 3 3 2 2 3 6" xfId="21219" xr:uid="{00000000-0005-0000-0000-0000587B0000}"/>
    <cellStyle name="표준 5 3 2 3 3 2 2 3 7" xfId="25315" xr:uid="{00000000-0005-0000-0000-0000597B0000}"/>
    <cellStyle name="표준 5 3 2 3 3 2 2 3 8" xfId="33526" xr:uid="{00000000-0005-0000-0000-00005A7B0000}"/>
    <cellStyle name="표준 5 3 2 3 3 2 2 3 9" xfId="41719" xr:uid="{00000000-0005-0000-0000-00005B7B0000}"/>
    <cellStyle name="표준 5 3 2 3 3 2 2 4" xfId="2362" xr:uid="{00000000-0005-0000-0000-00005C7B0000}"/>
    <cellStyle name="표준 5 3 2 3 3 2 2 4 2" xfId="11265" xr:uid="{00000000-0005-0000-0000-00005D7B0000}"/>
    <cellStyle name="표준 5 3 2 3 3 2 2 4 2 2" xfId="15377" xr:uid="{00000000-0005-0000-0000-00005E7B0000}"/>
    <cellStyle name="표준 5 3 2 3 3 2 2 4 2 2 2" xfId="31971" xr:uid="{00000000-0005-0000-0000-00005F7B0000}"/>
    <cellStyle name="표준 5 3 2 3 3 2 2 4 2 2 3" xfId="40182" xr:uid="{00000000-0005-0000-0000-0000607B0000}"/>
    <cellStyle name="표준 5 3 2 3 3 2 2 4 2 2 4" xfId="48375" xr:uid="{00000000-0005-0000-0000-0000617B0000}"/>
    <cellStyle name="표준 5 3 2 3 3 2 2 4 2 3" xfId="19617" xr:uid="{00000000-0005-0000-0000-0000627B0000}"/>
    <cellStyle name="표준 5 3 2 3 3 2 2 4 2 4" xfId="23779" xr:uid="{00000000-0005-0000-0000-0000637B0000}"/>
    <cellStyle name="표준 5 3 2 3 3 2 2 4 2 5" xfId="27875" xr:uid="{00000000-0005-0000-0000-0000647B0000}"/>
    <cellStyle name="표준 5 3 2 3 3 2 2 4 2 6" xfId="36086" xr:uid="{00000000-0005-0000-0000-0000657B0000}"/>
    <cellStyle name="표준 5 3 2 3 3 2 2 4 2 7" xfId="44279" xr:uid="{00000000-0005-0000-0000-0000667B0000}"/>
    <cellStyle name="표준 5 3 2 3 3 2 2 4 3" xfId="9217" xr:uid="{00000000-0005-0000-0000-0000677B0000}"/>
    <cellStyle name="표준 5 3 2 3 3 2 2 4 3 2" xfId="29923" xr:uid="{00000000-0005-0000-0000-0000687B0000}"/>
    <cellStyle name="표준 5 3 2 3 3 2 2 4 3 3" xfId="38134" xr:uid="{00000000-0005-0000-0000-0000697B0000}"/>
    <cellStyle name="표준 5 3 2 3 3 2 2 4 3 4" xfId="46327" xr:uid="{00000000-0005-0000-0000-00006A7B0000}"/>
    <cellStyle name="표준 5 3 2 3 3 2 2 4 4" xfId="13329" xr:uid="{00000000-0005-0000-0000-00006B7B0000}"/>
    <cellStyle name="표준 5 3 2 3 3 2 2 4 5" xfId="17569" xr:uid="{00000000-0005-0000-0000-00006C7B0000}"/>
    <cellStyle name="표준 5 3 2 3 3 2 2 4 6" xfId="21731" xr:uid="{00000000-0005-0000-0000-00006D7B0000}"/>
    <cellStyle name="표준 5 3 2 3 3 2 2 4 7" xfId="25827" xr:uid="{00000000-0005-0000-0000-00006E7B0000}"/>
    <cellStyle name="표준 5 3 2 3 3 2 2 4 8" xfId="34038" xr:uid="{00000000-0005-0000-0000-00006F7B0000}"/>
    <cellStyle name="표준 5 3 2 3 3 2 2 4 9" xfId="42231" xr:uid="{00000000-0005-0000-0000-0000707B0000}"/>
    <cellStyle name="표준 5 3 2 3 3 2 2 5" xfId="9729" xr:uid="{00000000-0005-0000-0000-0000717B0000}"/>
    <cellStyle name="표준 5 3 2 3 3 2 2 5 2" xfId="13841" xr:uid="{00000000-0005-0000-0000-0000727B0000}"/>
    <cellStyle name="표준 5 3 2 3 3 2 2 5 2 2" xfId="30435" xr:uid="{00000000-0005-0000-0000-0000737B0000}"/>
    <cellStyle name="표준 5 3 2 3 3 2 2 5 2 3" xfId="38646" xr:uid="{00000000-0005-0000-0000-0000747B0000}"/>
    <cellStyle name="표준 5 3 2 3 3 2 2 5 2 4" xfId="46839" xr:uid="{00000000-0005-0000-0000-0000757B0000}"/>
    <cellStyle name="표준 5 3 2 3 3 2 2 5 3" xfId="18081" xr:uid="{00000000-0005-0000-0000-0000767B0000}"/>
    <cellStyle name="표준 5 3 2 3 3 2 2 5 4" xfId="22243" xr:uid="{00000000-0005-0000-0000-0000777B0000}"/>
    <cellStyle name="표준 5 3 2 3 3 2 2 5 5" xfId="26339" xr:uid="{00000000-0005-0000-0000-0000787B0000}"/>
    <cellStyle name="표준 5 3 2 3 3 2 2 5 6" xfId="34550" xr:uid="{00000000-0005-0000-0000-0000797B0000}"/>
    <cellStyle name="표준 5 3 2 3 3 2 2 5 7" xfId="42743" xr:uid="{00000000-0005-0000-0000-00007A7B0000}"/>
    <cellStyle name="표준 5 3 2 3 3 2 2 6" xfId="7681" xr:uid="{00000000-0005-0000-0000-00007B7B0000}"/>
    <cellStyle name="표준 5 3 2 3 3 2 2 6 2" xfId="28387" xr:uid="{00000000-0005-0000-0000-00007C7B0000}"/>
    <cellStyle name="표준 5 3 2 3 3 2 2 6 3" xfId="36598" xr:uid="{00000000-0005-0000-0000-00007D7B0000}"/>
    <cellStyle name="표준 5 3 2 3 3 2 2 6 4" xfId="44791" xr:uid="{00000000-0005-0000-0000-00007E7B0000}"/>
    <cellStyle name="표준 5 3 2 3 3 2 2 7" xfId="11793" xr:uid="{00000000-0005-0000-0000-00007F7B0000}"/>
    <cellStyle name="표준 5 3 2 3 3 2 2 8" xfId="16033" xr:uid="{00000000-0005-0000-0000-0000807B0000}"/>
    <cellStyle name="표준 5 3 2 3 3 2 2 9" xfId="20195" xr:uid="{00000000-0005-0000-0000-0000817B0000}"/>
    <cellStyle name="표준 5 3 2 3 3 2 3" xfId="1082" xr:uid="{00000000-0005-0000-0000-0000827B0000}"/>
    <cellStyle name="표준 5 3 2 3 3 2 3 2" xfId="9985" xr:uid="{00000000-0005-0000-0000-0000837B0000}"/>
    <cellStyle name="표준 5 3 2 3 3 2 3 2 2" xfId="14097" xr:uid="{00000000-0005-0000-0000-0000847B0000}"/>
    <cellStyle name="표준 5 3 2 3 3 2 3 2 2 2" xfId="30691" xr:uid="{00000000-0005-0000-0000-0000857B0000}"/>
    <cellStyle name="표준 5 3 2 3 3 2 3 2 2 3" xfId="38902" xr:uid="{00000000-0005-0000-0000-0000867B0000}"/>
    <cellStyle name="표준 5 3 2 3 3 2 3 2 2 4" xfId="47095" xr:uid="{00000000-0005-0000-0000-0000877B0000}"/>
    <cellStyle name="표준 5 3 2 3 3 2 3 2 3" xfId="18337" xr:uid="{00000000-0005-0000-0000-0000887B0000}"/>
    <cellStyle name="표준 5 3 2 3 3 2 3 2 4" xfId="22499" xr:uid="{00000000-0005-0000-0000-0000897B0000}"/>
    <cellStyle name="표준 5 3 2 3 3 2 3 2 5" xfId="26595" xr:uid="{00000000-0005-0000-0000-00008A7B0000}"/>
    <cellStyle name="표준 5 3 2 3 3 2 3 2 6" xfId="34806" xr:uid="{00000000-0005-0000-0000-00008B7B0000}"/>
    <cellStyle name="표준 5 3 2 3 3 2 3 2 7" xfId="42999" xr:uid="{00000000-0005-0000-0000-00008C7B0000}"/>
    <cellStyle name="표준 5 3 2 3 3 2 3 3" xfId="7937" xr:uid="{00000000-0005-0000-0000-00008D7B0000}"/>
    <cellStyle name="표준 5 3 2 3 3 2 3 3 2" xfId="28643" xr:uid="{00000000-0005-0000-0000-00008E7B0000}"/>
    <cellStyle name="표준 5 3 2 3 3 2 3 3 3" xfId="36854" xr:uid="{00000000-0005-0000-0000-00008F7B0000}"/>
    <cellStyle name="표준 5 3 2 3 3 2 3 3 4" xfId="45047" xr:uid="{00000000-0005-0000-0000-0000907B0000}"/>
    <cellStyle name="표준 5 3 2 3 3 2 3 4" xfId="12049" xr:uid="{00000000-0005-0000-0000-0000917B0000}"/>
    <cellStyle name="표준 5 3 2 3 3 2 3 5" xfId="16289" xr:uid="{00000000-0005-0000-0000-0000927B0000}"/>
    <cellStyle name="표준 5 3 2 3 3 2 3 6" xfId="20451" xr:uid="{00000000-0005-0000-0000-0000937B0000}"/>
    <cellStyle name="표준 5 3 2 3 3 2 3 7" xfId="24547" xr:uid="{00000000-0005-0000-0000-0000947B0000}"/>
    <cellStyle name="표준 5 3 2 3 3 2 3 8" xfId="32758" xr:uid="{00000000-0005-0000-0000-0000957B0000}"/>
    <cellStyle name="표준 5 3 2 3 3 2 3 9" xfId="40951" xr:uid="{00000000-0005-0000-0000-0000967B0000}"/>
    <cellStyle name="표준 5 3 2 3 3 2 4" xfId="1594" xr:uid="{00000000-0005-0000-0000-0000977B0000}"/>
    <cellStyle name="표준 5 3 2 3 3 2 4 2" xfId="10497" xr:uid="{00000000-0005-0000-0000-0000987B0000}"/>
    <cellStyle name="표준 5 3 2 3 3 2 4 2 2" xfId="14609" xr:uid="{00000000-0005-0000-0000-0000997B0000}"/>
    <cellStyle name="표준 5 3 2 3 3 2 4 2 2 2" xfId="31203" xr:uid="{00000000-0005-0000-0000-00009A7B0000}"/>
    <cellStyle name="표준 5 3 2 3 3 2 4 2 2 3" xfId="39414" xr:uid="{00000000-0005-0000-0000-00009B7B0000}"/>
    <cellStyle name="표준 5 3 2 3 3 2 4 2 2 4" xfId="47607" xr:uid="{00000000-0005-0000-0000-00009C7B0000}"/>
    <cellStyle name="표준 5 3 2 3 3 2 4 2 3" xfId="18849" xr:uid="{00000000-0005-0000-0000-00009D7B0000}"/>
    <cellStyle name="표준 5 3 2 3 3 2 4 2 4" xfId="23011" xr:uid="{00000000-0005-0000-0000-00009E7B0000}"/>
    <cellStyle name="표준 5 3 2 3 3 2 4 2 5" xfId="27107" xr:uid="{00000000-0005-0000-0000-00009F7B0000}"/>
    <cellStyle name="표준 5 3 2 3 3 2 4 2 6" xfId="35318" xr:uid="{00000000-0005-0000-0000-0000A07B0000}"/>
    <cellStyle name="표준 5 3 2 3 3 2 4 2 7" xfId="43511" xr:uid="{00000000-0005-0000-0000-0000A17B0000}"/>
    <cellStyle name="표준 5 3 2 3 3 2 4 3" xfId="8449" xr:uid="{00000000-0005-0000-0000-0000A27B0000}"/>
    <cellStyle name="표준 5 3 2 3 3 2 4 3 2" xfId="29155" xr:uid="{00000000-0005-0000-0000-0000A37B0000}"/>
    <cellStyle name="표준 5 3 2 3 3 2 4 3 3" xfId="37366" xr:uid="{00000000-0005-0000-0000-0000A47B0000}"/>
    <cellStyle name="표준 5 3 2 3 3 2 4 3 4" xfId="45559" xr:uid="{00000000-0005-0000-0000-0000A57B0000}"/>
    <cellStyle name="표준 5 3 2 3 3 2 4 4" xfId="12561" xr:uid="{00000000-0005-0000-0000-0000A67B0000}"/>
    <cellStyle name="표준 5 3 2 3 3 2 4 5" xfId="16801" xr:uid="{00000000-0005-0000-0000-0000A77B0000}"/>
    <cellStyle name="표준 5 3 2 3 3 2 4 6" xfId="20963" xr:uid="{00000000-0005-0000-0000-0000A87B0000}"/>
    <cellStyle name="표준 5 3 2 3 3 2 4 7" xfId="25059" xr:uid="{00000000-0005-0000-0000-0000A97B0000}"/>
    <cellStyle name="표준 5 3 2 3 3 2 4 8" xfId="33270" xr:uid="{00000000-0005-0000-0000-0000AA7B0000}"/>
    <cellStyle name="표준 5 3 2 3 3 2 4 9" xfId="41463" xr:uid="{00000000-0005-0000-0000-0000AB7B0000}"/>
    <cellStyle name="표준 5 3 2 3 3 2 5" xfId="2106" xr:uid="{00000000-0005-0000-0000-0000AC7B0000}"/>
    <cellStyle name="표준 5 3 2 3 3 2 5 2" xfId="11009" xr:uid="{00000000-0005-0000-0000-0000AD7B0000}"/>
    <cellStyle name="표준 5 3 2 3 3 2 5 2 2" xfId="15121" xr:uid="{00000000-0005-0000-0000-0000AE7B0000}"/>
    <cellStyle name="표준 5 3 2 3 3 2 5 2 2 2" xfId="31715" xr:uid="{00000000-0005-0000-0000-0000AF7B0000}"/>
    <cellStyle name="표준 5 3 2 3 3 2 5 2 2 3" xfId="39926" xr:uid="{00000000-0005-0000-0000-0000B07B0000}"/>
    <cellStyle name="표준 5 3 2 3 3 2 5 2 2 4" xfId="48119" xr:uid="{00000000-0005-0000-0000-0000B17B0000}"/>
    <cellStyle name="표준 5 3 2 3 3 2 5 2 3" xfId="19361" xr:uid="{00000000-0005-0000-0000-0000B27B0000}"/>
    <cellStyle name="표준 5 3 2 3 3 2 5 2 4" xfId="23523" xr:uid="{00000000-0005-0000-0000-0000B37B0000}"/>
    <cellStyle name="표준 5 3 2 3 3 2 5 2 5" xfId="27619" xr:uid="{00000000-0005-0000-0000-0000B47B0000}"/>
    <cellStyle name="표준 5 3 2 3 3 2 5 2 6" xfId="35830" xr:uid="{00000000-0005-0000-0000-0000B57B0000}"/>
    <cellStyle name="표준 5 3 2 3 3 2 5 2 7" xfId="44023" xr:uid="{00000000-0005-0000-0000-0000B67B0000}"/>
    <cellStyle name="표준 5 3 2 3 3 2 5 3" xfId="8961" xr:uid="{00000000-0005-0000-0000-0000B77B0000}"/>
    <cellStyle name="표준 5 3 2 3 3 2 5 3 2" xfId="29667" xr:uid="{00000000-0005-0000-0000-0000B87B0000}"/>
    <cellStyle name="표준 5 3 2 3 3 2 5 3 3" xfId="37878" xr:uid="{00000000-0005-0000-0000-0000B97B0000}"/>
    <cellStyle name="표준 5 3 2 3 3 2 5 3 4" xfId="46071" xr:uid="{00000000-0005-0000-0000-0000BA7B0000}"/>
    <cellStyle name="표준 5 3 2 3 3 2 5 4" xfId="13073" xr:uid="{00000000-0005-0000-0000-0000BB7B0000}"/>
    <cellStyle name="표준 5 3 2 3 3 2 5 5" xfId="17313" xr:uid="{00000000-0005-0000-0000-0000BC7B0000}"/>
    <cellStyle name="표준 5 3 2 3 3 2 5 6" xfId="21475" xr:uid="{00000000-0005-0000-0000-0000BD7B0000}"/>
    <cellStyle name="표준 5 3 2 3 3 2 5 7" xfId="25571" xr:uid="{00000000-0005-0000-0000-0000BE7B0000}"/>
    <cellStyle name="표준 5 3 2 3 3 2 5 8" xfId="33782" xr:uid="{00000000-0005-0000-0000-0000BF7B0000}"/>
    <cellStyle name="표준 5 3 2 3 3 2 5 9" xfId="41975" xr:uid="{00000000-0005-0000-0000-0000C07B0000}"/>
    <cellStyle name="표준 5 3 2 3 3 2 6" xfId="9473" xr:uid="{00000000-0005-0000-0000-0000C17B0000}"/>
    <cellStyle name="표준 5 3 2 3 3 2 6 2" xfId="13585" xr:uid="{00000000-0005-0000-0000-0000C27B0000}"/>
    <cellStyle name="표준 5 3 2 3 3 2 6 2 2" xfId="30179" xr:uid="{00000000-0005-0000-0000-0000C37B0000}"/>
    <cellStyle name="표준 5 3 2 3 3 2 6 2 3" xfId="38390" xr:uid="{00000000-0005-0000-0000-0000C47B0000}"/>
    <cellStyle name="표준 5 3 2 3 3 2 6 2 4" xfId="46583" xr:uid="{00000000-0005-0000-0000-0000C57B0000}"/>
    <cellStyle name="표준 5 3 2 3 3 2 6 3" xfId="17825" xr:uid="{00000000-0005-0000-0000-0000C67B0000}"/>
    <cellStyle name="표준 5 3 2 3 3 2 6 4" xfId="21987" xr:uid="{00000000-0005-0000-0000-0000C77B0000}"/>
    <cellStyle name="표준 5 3 2 3 3 2 6 5" xfId="26083" xr:uid="{00000000-0005-0000-0000-0000C87B0000}"/>
    <cellStyle name="표준 5 3 2 3 3 2 6 6" xfId="34294" xr:uid="{00000000-0005-0000-0000-0000C97B0000}"/>
    <cellStyle name="표준 5 3 2 3 3 2 6 7" xfId="42487" xr:uid="{00000000-0005-0000-0000-0000CA7B0000}"/>
    <cellStyle name="표준 5 3 2 3 3 2 7" xfId="7425" xr:uid="{00000000-0005-0000-0000-0000CB7B0000}"/>
    <cellStyle name="표준 5 3 2 3 3 2 7 2" xfId="28131" xr:uid="{00000000-0005-0000-0000-0000CC7B0000}"/>
    <cellStyle name="표준 5 3 2 3 3 2 7 3" xfId="36342" xr:uid="{00000000-0005-0000-0000-0000CD7B0000}"/>
    <cellStyle name="표준 5 3 2 3 3 2 7 4" xfId="44535" xr:uid="{00000000-0005-0000-0000-0000CE7B0000}"/>
    <cellStyle name="표준 5 3 2 3 3 2 8" xfId="11537" xr:uid="{00000000-0005-0000-0000-0000CF7B0000}"/>
    <cellStyle name="표준 5 3 2 3 3 2 9" xfId="15777" xr:uid="{00000000-0005-0000-0000-0000D07B0000}"/>
    <cellStyle name="표준 5 3 2 3 3 3" xfId="698" xr:uid="{00000000-0005-0000-0000-0000D17B0000}"/>
    <cellStyle name="표준 5 3 2 3 3 3 10" xfId="24163" xr:uid="{00000000-0005-0000-0000-0000D27B0000}"/>
    <cellStyle name="표준 5 3 2 3 3 3 11" xfId="32374" xr:uid="{00000000-0005-0000-0000-0000D37B0000}"/>
    <cellStyle name="표준 5 3 2 3 3 3 12" xfId="40567" xr:uid="{00000000-0005-0000-0000-0000D47B0000}"/>
    <cellStyle name="표준 5 3 2 3 3 3 2" xfId="1210" xr:uid="{00000000-0005-0000-0000-0000D57B0000}"/>
    <cellStyle name="표준 5 3 2 3 3 3 2 2" xfId="10113" xr:uid="{00000000-0005-0000-0000-0000D67B0000}"/>
    <cellStyle name="표준 5 3 2 3 3 3 2 2 2" xfId="14225" xr:uid="{00000000-0005-0000-0000-0000D77B0000}"/>
    <cellStyle name="표준 5 3 2 3 3 3 2 2 2 2" xfId="30819" xr:uid="{00000000-0005-0000-0000-0000D87B0000}"/>
    <cellStyle name="표준 5 3 2 3 3 3 2 2 2 3" xfId="39030" xr:uid="{00000000-0005-0000-0000-0000D97B0000}"/>
    <cellStyle name="표준 5 3 2 3 3 3 2 2 2 4" xfId="47223" xr:uid="{00000000-0005-0000-0000-0000DA7B0000}"/>
    <cellStyle name="표준 5 3 2 3 3 3 2 2 3" xfId="18465" xr:uid="{00000000-0005-0000-0000-0000DB7B0000}"/>
    <cellStyle name="표준 5 3 2 3 3 3 2 2 4" xfId="22627" xr:uid="{00000000-0005-0000-0000-0000DC7B0000}"/>
    <cellStyle name="표준 5 3 2 3 3 3 2 2 5" xfId="26723" xr:uid="{00000000-0005-0000-0000-0000DD7B0000}"/>
    <cellStyle name="표준 5 3 2 3 3 3 2 2 6" xfId="34934" xr:uid="{00000000-0005-0000-0000-0000DE7B0000}"/>
    <cellStyle name="표준 5 3 2 3 3 3 2 2 7" xfId="43127" xr:uid="{00000000-0005-0000-0000-0000DF7B0000}"/>
    <cellStyle name="표준 5 3 2 3 3 3 2 3" xfId="8065" xr:uid="{00000000-0005-0000-0000-0000E07B0000}"/>
    <cellStyle name="표준 5 3 2 3 3 3 2 3 2" xfId="28771" xr:uid="{00000000-0005-0000-0000-0000E17B0000}"/>
    <cellStyle name="표준 5 3 2 3 3 3 2 3 3" xfId="36982" xr:uid="{00000000-0005-0000-0000-0000E27B0000}"/>
    <cellStyle name="표준 5 3 2 3 3 3 2 3 4" xfId="45175" xr:uid="{00000000-0005-0000-0000-0000E37B0000}"/>
    <cellStyle name="표준 5 3 2 3 3 3 2 4" xfId="12177" xr:uid="{00000000-0005-0000-0000-0000E47B0000}"/>
    <cellStyle name="표준 5 3 2 3 3 3 2 5" xfId="16417" xr:uid="{00000000-0005-0000-0000-0000E57B0000}"/>
    <cellStyle name="표준 5 3 2 3 3 3 2 6" xfId="20579" xr:uid="{00000000-0005-0000-0000-0000E67B0000}"/>
    <cellStyle name="표준 5 3 2 3 3 3 2 7" xfId="24675" xr:uid="{00000000-0005-0000-0000-0000E77B0000}"/>
    <cellStyle name="표준 5 3 2 3 3 3 2 8" xfId="32886" xr:uid="{00000000-0005-0000-0000-0000E87B0000}"/>
    <cellStyle name="표준 5 3 2 3 3 3 2 9" xfId="41079" xr:uid="{00000000-0005-0000-0000-0000E97B0000}"/>
    <cellStyle name="표준 5 3 2 3 3 3 3" xfId="1722" xr:uid="{00000000-0005-0000-0000-0000EA7B0000}"/>
    <cellStyle name="표준 5 3 2 3 3 3 3 2" xfId="10625" xr:uid="{00000000-0005-0000-0000-0000EB7B0000}"/>
    <cellStyle name="표준 5 3 2 3 3 3 3 2 2" xfId="14737" xr:uid="{00000000-0005-0000-0000-0000EC7B0000}"/>
    <cellStyle name="표준 5 3 2 3 3 3 3 2 2 2" xfId="31331" xr:uid="{00000000-0005-0000-0000-0000ED7B0000}"/>
    <cellStyle name="표준 5 3 2 3 3 3 3 2 2 3" xfId="39542" xr:uid="{00000000-0005-0000-0000-0000EE7B0000}"/>
    <cellStyle name="표준 5 3 2 3 3 3 3 2 2 4" xfId="47735" xr:uid="{00000000-0005-0000-0000-0000EF7B0000}"/>
    <cellStyle name="표준 5 3 2 3 3 3 3 2 3" xfId="18977" xr:uid="{00000000-0005-0000-0000-0000F07B0000}"/>
    <cellStyle name="표준 5 3 2 3 3 3 3 2 4" xfId="23139" xr:uid="{00000000-0005-0000-0000-0000F17B0000}"/>
    <cellStyle name="표준 5 3 2 3 3 3 3 2 5" xfId="27235" xr:uid="{00000000-0005-0000-0000-0000F27B0000}"/>
    <cellStyle name="표준 5 3 2 3 3 3 3 2 6" xfId="35446" xr:uid="{00000000-0005-0000-0000-0000F37B0000}"/>
    <cellStyle name="표준 5 3 2 3 3 3 3 2 7" xfId="43639" xr:uid="{00000000-0005-0000-0000-0000F47B0000}"/>
    <cellStyle name="표준 5 3 2 3 3 3 3 3" xfId="8577" xr:uid="{00000000-0005-0000-0000-0000F57B0000}"/>
    <cellStyle name="표준 5 3 2 3 3 3 3 3 2" xfId="29283" xr:uid="{00000000-0005-0000-0000-0000F67B0000}"/>
    <cellStyle name="표준 5 3 2 3 3 3 3 3 3" xfId="37494" xr:uid="{00000000-0005-0000-0000-0000F77B0000}"/>
    <cellStyle name="표준 5 3 2 3 3 3 3 3 4" xfId="45687" xr:uid="{00000000-0005-0000-0000-0000F87B0000}"/>
    <cellStyle name="표준 5 3 2 3 3 3 3 4" xfId="12689" xr:uid="{00000000-0005-0000-0000-0000F97B0000}"/>
    <cellStyle name="표준 5 3 2 3 3 3 3 5" xfId="16929" xr:uid="{00000000-0005-0000-0000-0000FA7B0000}"/>
    <cellStyle name="표준 5 3 2 3 3 3 3 6" xfId="21091" xr:uid="{00000000-0005-0000-0000-0000FB7B0000}"/>
    <cellStyle name="표준 5 3 2 3 3 3 3 7" xfId="25187" xr:uid="{00000000-0005-0000-0000-0000FC7B0000}"/>
    <cellStyle name="표준 5 3 2 3 3 3 3 8" xfId="33398" xr:uid="{00000000-0005-0000-0000-0000FD7B0000}"/>
    <cellStyle name="표준 5 3 2 3 3 3 3 9" xfId="41591" xr:uid="{00000000-0005-0000-0000-0000FE7B0000}"/>
    <cellStyle name="표준 5 3 2 3 3 3 4" xfId="2234" xr:uid="{00000000-0005-0000-0000-0000FF7B0000}"/>
    <cellStyle name="표준 5 3 2 3 3 3 4 2" xfId="11137" xr:uid="{00000000-0005-0000-0000-0000007C0000}"/>
    <cellStyle name="표준 5 3 2 3 3 3 4 2 2" xfId="15249" xr:uid="{00000000-0005-0000-0000-0000017C0000}"/>
    <cellStyle name="표준 5 3 2 3 3 3 4 2 2 2" xfId="31843" xr:uid="{00000000-0005-0000-0000-0000027C0000}"/>
    <cellStyle name="표준 5 3 2 3 3 3 4 2 2 3" xfId="40054" xr:uid="{00000000-0005-0000-0000-0000037C0000}"/>
    <cellStyle name="표준 5 3 2 3 3 3 4 2 2 4" xfId="48247" xr:uid="{00000000-0005-0000-0000-0000047C0000}"/>
    <cellStyle name="표준 5 3 2 3 3 3 4 2 3" xfId="19489" xr:uid="{00000000-0005-0000-0000-0000057C0000}"/>
    <cellStyle name="표준 5 3 2 3 3 3 4 2 4" xfId="23651" xr:uid="{00000000-0005-0000-0000-0000067C0000}"/>
    <cellStyle name="표준 5 3 2 3 3 3 4 2 5" xfId="27747" xr:uid="{00000000-0005-0000-0000-0000077C0000}"/>
    <cellStyle name="표준 5 3 2 3 3 3 4 2 6" xfId="35958" xr:uid="{00000000-0005-0000-0000-0000087C0000}"/>
    <cellStyle name="표준 5 3 2 3 3 3 4 2 7" xfId="44151" xr:uid="{00000000-0005-0000-0000-0000097C0000}"/>
    <cellStyle name="표준 5 3 2 3 3 3 4 3" xfId="9089" xr:uid="{00000000-0005-0000-0000-00000A7C0000}"/>
    <cellStyle name="표준 5 3 2 3 3 3 4 3 2" xfId="29795" xr:uid="{00000000-0005-0000-0000-00000B7C0000}"/>
    <cellStyle name="표준 5 3 2 3 3 3 4 3 3" xfId="38006" xr:uid="{00000000-0005-0000-0000-00000C7C0000}"/>
    <cellStyle name="표준 5 3 2 3 3 3 4 3 4" xfId="46199" xr:uid="{00000000-0005-0000-0000-00000D7C0000}"/>
    <cellStyle name="표준 5 3 2 3 3 3 4 4" xfId="13201" xr:uid="{00000000-0005-0000-0000-00000E7C0000}"/>
    <cellStyle name="표준 5 3 2 3 3 3 4 5" xfId="17441" xr:uid="{00000000-0005-0000-0000-00000F7C0000}"/>
    <cellStyle name="표준 5 3 2 3 3 3 4 6" xfId="21603" xr:uid="{00000000-0005-0000-0000-0000107C0000}"/>
    <cellStyle name="표준 5 3 2 3 3 3 4 7" xfId="25699" xr:uid="{00000000-0005-0000-0000-0000117C0000}"/>
    <cellStyle name="표준 5 3 2 3 3 3 4 8" xfId="33910" xr:uid="{00000000-0005-0000-0000-0000127C0000}"/>
    <cellStyle name="표준 5 3 2 3 3 3 4 9" xfId="42103" xr:uid="{00000000-0005-0000-0000-0000137C0000}"/>
    <cellStyle name="표준 5 3 2 3 3 3 5" xfId="9601" xr:uid="{00000000-0005-0000-0000-0000147C0000}"/>
    <cellStyle name="표준 5 3 2 3 3 3 5 2" xfId="13713" xr:uid="{00000000-0005-0000-0000-0000157C0000}"/>
    <cellStyle name="표준 5 3 2 3 3 3 5 2 2" xfId="30307" xr:uid="{00000000-0005-0000-0000-0000167C0000}"/>
    <cellStyle name="표준 5 3 2 3 3 3 5 2 3" xfId="38518" xr:uid="{00000000-0005-0000-0000-0000177C0000}"/>
    <cellStyle name="표준 5 3 2 3 3 3 5 2 4" xfId="46711" xr:uid="{00000000-0005-0000-0000-0000187C0000}"/>
    <cellStyle name="표준 5 3 2 3 3 3 5 3" xfId="17953" xr:uid="{00000000-0005-0000-0000-0000197C0000}"/>
    <cellStyle name="표준 5 3 2 3 3 3 5 4" xfId="22115" xr:uid="{00000000-0005-0000-0000-00001A7C0000}"/>
    <cellStyle name="표준 5 3 2 3 3 3 5 5" xfId="26211" xr:uid="{00000000-0005-0000-0000-00001B7C0000}"/>
    <cellStyle name="표준 5 3 2 3 3 3 5 6" xfId="34422" xr:uid="{00000000-0005-0000-0000-00001C7C0000}"/>
    <cellStyle name="표준 5 3 2 3 3 3 5 7" xfId="42615" xr:uid="{00000000-0005-0000-0000-00001D7C0000}"/>
    <cellStyle name="표준 5 3 2 3 3 3 6" xfId="7553" xr:uid="{00000000-0005-0000-0000-00001E7C0000}"/>
    <cellStyle name="표준 5 3 2 3 3 3 6 2" xfId="28259" xr:uid="{00000000-0005-0000-0000-00001F7C0000}"/>
    <cellStyle name="표준 5 3 2 3 3 3 6 3" xfId="36470" xr:uid="{00000000-0005-0000-0000-0000207C0000}"/>
    <cellStyle name="표준 5 3 2 3 3 3 6 4" xfId="44663" xr:uid="{00000000-0005-0000-0000-0000217C0000}"/>
    <cellStyle name="표준 5 3 2 3 3 3 7" xfId="11665" xr:uid="{00000000-0005-0000-0000-0000227C0000}"/>
    <cellStyle name="표준 5 3 2 3 3 3 8" xfId="15905" xr:uid="{00000000-0005-0000-0000-0000237C0000}"/>
    <cellStyle name="표준 5 3 2 3 3 3 9" xfId="20067" xr:uid="{00000000-0005-0000-0000-0000247C0000}"/>
    <cellStyle name="표준 5 3 2 3 3 4" xfId="954" xr:uid="{00000000-0005-0000-0000-0000257C0000}"/>
    <cellStyle name="표준 5 3 2 3 3 4 2" xfId="9857" xr:uid="{00000000-0005-0000-0000-0000267C0000}"/>
    <cellStyle name="표준 5 3 2 3 3 4 2 2" xfId="13969" xr:uid="{00000000-0005-0000-0000-0000277C0000}"/>
    <cellStyle name="표준 5 3 2 3 3 4 2 2 2" xfId="30563" xr:uid="{00000000-0005-0000-0000-0000287C0000}"/>
    <cellStyle name="표준 5 3 2 3 3 4 2 2 3" xfId="38774" xr:uid="{00000000-0005-0000-0000-0000297C0000}"/>
    <cellStyle name="표준 5 3 2 3 3 4 2 2 4" xfId="46967" xr:uid="{00000000-0005-0000-0000-00002A7C0000}"/>
    <cellStyle name="표준 5 3 2 3 3 4 2 3" xfId="18209" xr:uid="{00000000-0005-0000-0000-00002B7C0000}"/>
    <cellStyle name="표준 5 3 2 3 3 4 2 4" xfId="22371" xr:uid="{00000000-0005-0000-0000-00002C7C0000}"/>
    <cellStyle name="표준 5 3 2 3 3 4 2 5" xfId="26467" xr:uid="{00000000-0005-0000-0000-00002D7C0000}"/>
    <cellStyle name="표준 5 3 2 3 3 4 2 6" xfId="34678" xr:uid="{00000000-0005-0000-0000-00002E7C0000}"/>
    <cellStyle name="표준 5 3 2 3 3 4 2 7" xfId="42871" xr:uid="{00000000-0005-0000-0000-00002F7C0000}"/>
    <cellStyle name="표준 5 3 2 3 3 4 3" xfId="7809" xr:uid="{00000000-0005-0000-0000-0000307C0000}"/>
    <cellStyle name="표준 5 3 2 3 3 4 3 2" xfId="28515" xr:uid="{00000000-0005-0000-0000-0000317C0000}"/>
    <cellStyle name="표준 5 3 2 3 3 4 3 3" xfId="36726" xr:uid="{00000000-0005-0000-0000-0000327C0000}"/>
    <cellStyle name="표준 5 3 2 3 3 4 3 4" xfId="44919" xr:uid="{00000000-0005-0000-0000-0000337C0000}"/>
    <cellStyle name="표준 5 3 2 3 3 4 4" xfId="11921" xr:uid="{00000000-0005-0000-0000-0000347C0000}"/>
    <cellStyle name="표준 5 3 2 3 3 4 5" xfId="16161" xr:uid="{00000000-0005-0000-0000-0000357C0000}"/>
    <cellStyle name="표준 5 3 2 3 3 4 6" xfId="20323" xr:uid="{00000000-0005-0000-0000-0000367C0000}"/>
    <cellStyle name="표준 5 3 2 3 3 4 7" xfId="24419" xr:uid="{00000000-0005-0000-0000-0000377C0000}"/>
    <cellStyle name="표준 5 3 2 3 3 4 8" xfId="32630" xr:uid="{00000000-0005-0000-0000-0000387C0000}"/>
    <cellStyle name="표준 5 3 2 3 3 4 9" xfId="40823" xr:uid="{00000000-0005-0000-0000-0000397C0000}"/>
    <cellStyle name="표준 5 3 2 3 3 5" xfId="1466" xr:uid="{00000000-0005-0000-0000-00003A7C0000}"/>
    <cellStyle name="표준 5 3 2 3 3 5 2" xfId="10369" xr:uid="{00000000-0005-0000-0000-00003B7C0000}"/>
    <cellStyle name="표준 5 3 2 3 3 5 2 2" xfId="14481" xr:uid="{00000000-0005-0000-0000-00003C7C0000}"/>
    <cellStyle name="표준 5 3 2 3 3 5 2 2 2" xfId="31075" xr:uid="{00000000-0005-0000-0000-00003D7C0000}"/>
    <cellStyle name="표준 5 3 2 3 3 5 2 2 3" xfId="39286" xr:uid="{00000000-0005-0000-0000-00003E7C0000}"/>
    <cellStyle name="표준 5 3 2 3 3 5 2 2 4" xfId="47479" xr:uid="{00000000-0005-0000-0000-00003F7C0000}"/>
    <cellStyle name="표준 5 3 2 3 3 5 2 3" xfId="18721" xr:uid="{00000000-0005-0000-0000-0000407C0000}"/>
    <cellStyle name="표준 5 3 2 3 3 5 2 4" xfId="22883" xr:uid="{00000000-0005-0000-0000-0000417C0000}"/>
    <cellStyle name="표준 5 3 2 3 3 5 2 5" xfId="26979" xr:uid="{00000000-0005-0000-0000-0000427C0000}"/>
    <cellStyle name="표준 5 3 2 3 3 5 2 6" xfId="35190" xr:uid="{00000000-0005-0000-0000-0000437C0000}"/>
    <cellStyle name="표준 5 3 2 3 3 5 2 7" xfId="43383" xr:uid="{00000000-0005-0000-0000-0000447C0000}"/>
    <cellStyle name="표준 5 3 2 3 3 5 3" xfId="8321" xr:uid="{00000000-0005-0000-0000-0000457C0000}"/>
    <cellStyle name="표준 5 3 2 3 3 5 3 2" xfId="29027" xr:uid="{00000000-0005-0000-0000-0000467C0000}"/>
    <cellStyle name="표준 5 3 2 3 3 5 3 3" xfId="37238" xr:uid="{00000000-0005-0000-0000-0000477C0000}"/>
    <cellStyle name="표준 5 3 2 3 3 5 3 4" xfId="45431" xr:uid="{00000000-0005-0000-0000-0000487C0000}"/>
    <cellStyle name="표준 5 3 2 3 3 5 4" xfId="12433" xr:uid="{00000000-0005-0000-0000-0000497C0000}"/>
    <cellStyle name="표준 5 3 2 3 3 5 5" xfId="16673" xr:uid="{00000000-0005-0000-0000-00004A7C0000}"/>
    <cellStyle name="표준 5 3 2 3 3 5 6" xfId="20835" xr:uid="{00000000-0005-0000-0000-00004B7C0000}"/>
    <cellStyle name="표준 5 3 2 3 3 5 7" xfId="24931" xr:uid="{00000000-0005-0000-0000-00004C7C0000}"/>
    <cellStyle name="표준 5 3 2 3 3 5 8" xfId="33142" xr:uid="{00000000-0005-0000-0000-00004D7C0000}"/>
    <cellStyle name="표준 5 3 2 3 3 5 9" xfId="41335" xr:uid="{00000000-0005-0000-0000-00004E7C0000}"/>
    <cellStyle name="표준 5 3 2 3 3 6" xfId="1978" xr:uid="{00000000-0005-0000-0000-00004F7C0000}"/>
    <cellStyle name="표준 5 3 2 3 3 6 2" xfId="10881" xr:uid="{00000000-0005-0000-0000-0000507C0000}"/>
    <cellStyle name="표준 5 3 2 3 3 6 2 2" xfId="14993" xr:uid="{00000000-0005-0000-0000-0000517C0000}"/>
    <cellStyle name="표준 5 3 2 3 3 6 2 2 2" xfId="31587" xr:uid="{00000000-0005-0000-0000-0000527C0000}"/>
    <cellStyle name="표준 5 3 2 3 3 6 2 2 3" xfId="39798" xr:uid="{00000000-0005-0000-0000-0000537C0000}"/>
    <cellStyle name="표준 5 3 2 3 3 6 2 2 4" xfId="47991" xr:uid="{00000000-0005-0000-0000-0000547C0000}"/>
    <cellStyle name="표준 5 3 2 3 3 6 2 3" xfId="19233" xr:uid="{00000000-0005-0000-0000-0000557C0000}"/>
    <cellStyle name="표준 5 3 2 3 3 6 2 4" xfId="23395" xr:uid="{00000000-0005-0000-0000-0000567C0000}"/>
    <cellStyle name="표준 5 3 2 3 3 6 2 5" xfId="27491" xr:uid="{00000000-0005-0000-0000-0000577C0000}"/>
    <cellStyle name="표준 5 3 2 3 3 6 2 6" xfId="35702" xr:uid="{00000000-0005-0000-0000-0000587C0000}"/>
    <cellStyle name="표준 5 3 2 3 3 6 2 7" xfId="43895" xr:uid="{00000000-0005-0000-0000-0000597C0000}"/>
    <cellStyle name="표준 5 3 2 3 3 6 3" xfId="8833" xr:uid="{00000000-0005-0000-0000-00005A7C0000}"/>
    <cellStyle name="표준 5 3 2 3 3 6 3 2" xfId="29539" xr:uid="{00000000-0005-0000-0000-00005B7C0000}"/>
    <cellStyle name="표준 5 3 2 3 3 6 3 3" xfId="37750" xr:uid="{00000000-0005-0000-0000-00005C7C0000}"/>
    <cellStyle name="표준 5 3 2 3 3 6 3 4" xfId="45943" xr:uid="{00000000-0005-0000-0000-00005D7C0000}"/>
    <cellStyle name="표준 5 3 2 3 3 6 4" xfId="12945" xr:uid="{00000000-0005-0000-0000-00005E7C0000}"/>
    <cellStyle name="표준 5 3 2 3 3 6 5" xfId="17185" xr:uid="{00000000-0005-0000-0000-00005F7C0000}"/>
    <cellStyle name="표준 5 3 2 3 3 6 6" xfId="21347" xr:uid="{00000000-0005-0000-0000-0000607C0000}"/>
    <cellStyle name="표준 5 3 2 3 3 6 7" xfId="25443" xr:uid="{00000000-0005-0000-0000-0000617C0000}"/>
    <cellStyle name="표준 5 3 2 3 3 6 8" xfId="33654" xr:uid="{00000000-0005-0000-0000-0000627C0000}"/>
    <cellStyle name="표준 5 3 2 3 3 6 9" xfId="41847" xr:uid="{00000000-0005-0000-0000-0000637C0000}"/>
    <cellStyle name="표준 5 3 2 3 3 7" xfId="9345" xr:uid="{00000000-0005-0000-0000-0000647C0000}"/>
    <cellStyle name="표준 5 3 2 3 3 7 2" xfId="13457" xr:uid="{00000000-0005-0000-0000-0000657C0000}"/>
    <cellStyle name="표준 5 3 2 3 3 7 2 2" xfId="30051" xr:uid="{00000000-0005-0000-0000-0000667C0000}"/>
    <cellStyle name="표준 5 3 2 3 3 7 2 3" xfId="38262" xr:uid="{00000000-0005-0000-0000-0000677C0000}"/>
    <cellStyle name="표준 5 3 2 3 3 7 2 4" xfId="46455" xr:uid="{00000000-0005-0000-0000-0000687C0000}"/>
    <cellStyle name="표준 5 3 2 3 3 7 3" xfId="17697" xr:uid="{00000000-0005-0000-0000-0000697C0000}"/>
    <cellStyle name="표준 5 3 2 3 3 7 4" xfId="21859" xr:uid="{00000000-0005-0000-0000-00006A7C0000}"/>
    <cellStyle name="표준 5 3 2 3 3 7 5" xfId="25955" xr:uid="{00000000-0005-0000-0000-00006B7C0000}"/>
    <cellStyle name="표준 5 3 2 3 3 7 6" xfId="34166" xr:uid="{00000000-0005-0000-0000-00006C7C0000}"/>
    <cellStyle name="표준 5 3 2 3 3 7 7" xfId="42359" xr:uid="{00000000-0005-0000-0000-00006D7C0000}"/>
    <cellStyle name="표준 5 3 2 3 3 8" xfId="7297" xr:uid="{00000000-0005-0000-0000-00006E7C0000}"/>
    <cellStyle name="표준 5 3 2 3 3 8 2" xfId="28003" xr:uid="{00000000-0005-0000-0000-00006F7C0000}"/>
    <cellStyle name="표준 5 3 2 3 3 8 3" xfId="36214" xr:uid="{00000000-0005-0000-0000-0000707C0000}"/>
    <cellStyle name="표준 5 3 2 3 3 8 4" xfId="44407" xr:uid="{00000000-0005-0000-0000-0000717C0000}"/>
    <cellStyle name="표준 5 3 2 3 3 9" xfId="11409" xr:uid="{00000000-0005-0000-0000-0000727C0000}"/>
    <cellStyle name="표준 5 3 2 3 4" xfId="506" xr:uid="{00000000-0005-0000-0000-0000737C0000}"/>
    <cellStyle name="표준 5 3 2 3 4 10" xfId="19875" xr:uid="{00000000-0005-0000-0000-0000747C0000}"/>
    <cellStyle name="표준 5 3 2 3 4 11" xfId="23971" xr:uid="{00000000-0005-0000-0000-0000757C0000}"/>
    <cellStyle name="표준 5 3 2 3 4 12" xfId="32182" xr:uid="{00000000-0005-0000-0000-0000767C0000}"/>
    <cellStyle name="표준 5 3 2 3 4 13" xfId="40375" xr:uid="{00000000-0005-0000-0000-0000777C0000}"/>
    <cellStyle name="표준 5 3 2 3 4 2" xfId="762" xr:uid="{00000000-0005-0000-0000-0000787C0000}"/>
    <cellStyle name="표준 5 3 2 3 4 2 10" xfId="24227" xr:uid="{00000000-0005-0000-0000-0000797C0000}"/>
    <cellStyle name="표준 5 3 2 3 4 2 11" xfId="32438" xr:uid="{00000000-0005-0000-0000-00007A7C0000}"/>
    <cellStyle name="표준 5 3 2 3 4 2 12" xfId="40631" xr:uid="{00000000-0005-0000-0000-00007B7C0000}"/>
    <cellStyle name="표준 5 3 2 3 4 2 2" xfId="1274" xr:uid="{00000000-0005-0000-0000-00007C7C0000}"/>
    <cellStyle name="표준 5 3 2 3 4 2 2 2" xfId="10177" xr:uid="{00000000-0005-0000-0000-00007D7C0000}"/>
    <cellStyle name="표준 5 3 2 3 4 2 2 2 2" xfId="14289" xr:uid="{00000000-0005-0000-0000-00007E7C0000}"/>
    <cellStyle name="표준 5 3 2 3 4 2 2 2 2 2" xfId="30883" xr:uid="{00000000-0005-0000-0000-00007F7C0000}"/>
    <cellStyle name="표준 5 3 2 3 4 2 2 2 2 3" xfId="39094" xr:uid="{00000000-0005-0000-0000-0000807C0000}"/>
    <cellStyle name="표준 5 3 2 3 4 2 2 2 2 4" xfId="47287" xr:uid="{00000000-0005-0000-0000-0000817C0000}"/>
    <cellStyle name="표준 5 3 2 3 4 2 2 2 3" xfId="18529" xr:uid="{00000000-0005-0000-0000-0000827C0000}"/>
    <cellStyle name="표준 5 3 2 3 4 2 2 2 4" xfId="22691" xr:uid="{00000000-0005-0000-0000-0000837C0000}"/>
    <cellStyle name="표준 5 3 2 3 4 2 2 2 5" xfId="26787" xr:uid="{00000000-0005-0000-0000-0000847C0000}"/>
    <cellStyle name="표준 5 3 2 3 4 2 2 2 6" xfId="34998" xr:uid="{00000000-0005-0000-0000-0000857C0000}"/>
    <cellStyle name="표준 5 3 2 3 4 2 2 2 7" xfId="43191" xr:uid="{00000000-0005-0000-0000-0000867C0000}"/>
    <cellStyle name="표준 5 3 2 3 4 2 2 3" xfId="8129" xr:uid="{00000000-0005-0000-0000-0000877C0000}"/>
    <cellStyle name="표준 5 3 2 3 4 2 2 3 2" xfId="28835" xr:uid="{00000000-0005-0000-0000-0000887C0000}"/>
    <cellStyle name="표준 5 3 2 3 4 2 2 3 3" xfId="37046" xr:uid="{00000000-0005-0000-0000-0000897C0000}"/>
    <cellStyle name="표준 5 3 2 3 4 2 2 3 4" xfId="45239" xr:uid="{00000000-0005-0000-0000-00008A7C0000}"/>
    <cellStyle name="표준 5 3 2 3 4 2 2 4" xfId="12241" xr:uid="{00000000-0005-0000-0000-00008B7C0000}"/>
    <cellStyle name="표준 5 3 2 3 4 2 2 5" xfId="16481" xr:uid="{00000000-0005-0000-0000-00008C7C0000}"/>
    <cellStyle name="표준 5 3 2 3 4 2 2 6" xfId="20643" xr:uid="{00000000-0005-0000-0000-00008D7C0000}"/>
    <cellStyle name="표준 5 3 2 3 4 2 2 7" xfId="24739" xr:uid="{00000000-0005-0000-0000-00008E7C0000}"/>
    <cellStyle name="표준 5 3 2 3 4 2 2 8" xfId="32950" xr:uid="{00000000-0005-0000-0000-00008F7C0000}"/>
    <cellStyle name="표준 5 3 2 3 4 2 2 9" xfId="41143" xr:uid="{00000000-0005-0000-0000-0000907C0000}"/>
    <cellStyle name="표준 5 3 2 3 4 2 3" xfId="1786" xr:uid="{00000000-0005-0000-0000-0000917C0000}"/>
    <cellStyle name="표준 5 3 2 3 4 2 3 2" xfId="10689" xr:uid="{00000000-0005-0000-0000-0000927C0000}"/>
    <cellStyle name="표준 5 3 2 3 4 2 3 2 2" xfId="14801" xr:uid="{00000000-0005-0000-0000-0000937C0000}"/>
    <cellStyle name="표준 5 3 2 3 4 2 3 2 2 2" xfId="31395" xr:uid="{00000000-0005-0000-0000-0000947C0000}"/>
    <cellStyle name="표준 5 3 2 3 4 2 3 2 2 3" xfId="39606" xr:uid="{00000000-0005-0000-0000-0000957C0000}"/>
    <cellStyle name="표준 5 3 2 3 4 2 3 2 2 4" xfId="47799" xr:uid="{00000000-0005-0000-0000-0000967C0000}"/>
    <cellStyle name="표준 5 3 2 3 4 2 3 2 3" xfId="19041" xr:uid="{00000000-0005-0000-0000-0000977C0000}"/>
    <cellStyle name="표준 5 3 2 3 4 2 3 2 4" xfId="23203" xr:uid="{00000000-0005-0000-0000-0000987C0000}"/>
    <cellStyle name="표준 5 3 2 3 4 2 3 2 5" xfId="27299" xr:uid="{00000000-0005-0000-0000-0000997C0000}"/>
    <cellStyle name="표준 5 3 2 3 4 2 3 2 6" xfId="35510" xr:uid="{00000000-0005-0000-0000-00009A7C0000}"/>
    <cellStyle name="표준 5 3 2 3 4 2 3 2 7" xfId="43703" xr:uid="{00000000-0005-0000-0000-00009B7C0000}"/>
    <cellStyle name="표준 5 3 2 3 4 2 3 3" xfId="8641" xr:uid="{00000000-0005-0000-0000-00009C7C0000}"/>
    <cellStyle name="표준 5 3 2 3 4 2 3 3 2" xfId="29347" xr:uid="{00000000-0005-0000-0000-00009D7C0000}"/>
    <cellStyle name="표준 5 3 2 3 4 2 3 3 3" xfId="37558" xr:uid="{00000000-0005-0000-0000-00009E7C0000}"/>
    <cellStyle name="표준 5 3 2 3 4 2 3 3 4" xfId="45751" xr:uid="{00000000-0005-0000-0000-00009F7C0000}"/>
    <cellStyle name="표준 5 3 2 3 4 2 3 4" xfId="12753" xr:uid="{00000000-0005-0000-0000-0000A07C0000}"/>
    <cellStyle name="표준 5 3 2 3 4 2 3 5" xfId="16993" xr:uid="{00000000-0005-0000-0000-0000A17C0000}"/>
    <cellStyle name="표준 5 3 2 3 4 2 3 6" xfId="21155" xr:uid="{00000000-0005-0000-0000-0000A27C0000}"/>
    <cellStyle name="표준 5 3 2 3 4 2 3 7" xfId="25251" xr:uid="{00000000-0005-0000-0000-0000A37C0000}"/>
    <cellStyle name="표준 5 3 2 3 4 2 3 8" xfId="33462" xr:uid="{00000000-0005-0000-0000-0000A47C0000}"/>
    <cellStyle name="표준 5 3 2 3 4 2 3 9" xfId="41655" xr:uid="{00000000-0005-0000-0000-0000A57C0000}"/>
    <cellStyle name="표준 5 3 2 3 4 2 4" xfId="2298" xr:uid="{00000000-0005-0000-0000-0000A67C0000}"/>
    <cellStyle name="표준 5 3 2 3 4 2 4 2" xfId="11201" xr:uid="{00000000-0005-0000-0000-0000A77C0000}"/>
    <cellStyle name="표준 5 3 2 3 4 2 4 2 2" xfId="15313" xr:uid="{00000000-0005-0000-0000-0000A87C0000}"/>
    <cellStyle name="표준 5 3 2 3 4 2 4 2 2 2" xfId="31907" xr:uid="{00000000-0005-0000-0000-0000A97C0000}"/>
    <cellStyle name="표준 5 3 2 3 4 2 4 2 2 3" xfId="40118" xr:uid="{00000000-0005-0000-0000-0000AA7C0000}"/>
    <cellStyle name="표준 5 3 2 3 4 2 4 2 2 4" xfId="48311" xr:uid="{00000000-0005-0000-0000-0000AB7C0000}"/>
    <cellStyle name="표준 5 3 2 3 4 2 4 2 3" xfId="19553" xr:uid="{00000000-0005-0000-0000-0000AC7C0000}"/>
    <cellStyle name="표준 5 3 2 3 4 2 4 2 4" xfId="23715" xr:uid="{00000000-0005-0000-0000-0000AD7C0000}"/>
    <cellStyle name="표준 5 3 2 3 4 2 4 2 5" xfId="27811" xr:uid="{00000000-0005-0000-0000-0000AE7C0000}"/>
    <cellStyle name="표준 5 3 2 3 4 2 4 2 6" xfId="36022" xr:uid="{00000000-0005-0000-0000-0000AF7C0000}"/>
    <cellStyle name="표준 5 3 2 3 4 2 4 2 7" xfId="44215" xr:uid="{00000000-0005-0000-0000-0000B07C0000}"/>
    <cellStyle name="표준 5 3 2 3 4 2 4 3" xfId="9153" xr:uid="{00000000-0005-0000-0000-0000B17C0000}"/>
    <cellStyle name="표준 5 3 2 3 4 2 4 3 2" xfId="29859" xr:uid="{00000000-0005-0000-0000-0000B27C0000}"/>
    <cellStyle name="표준 5 3 2 3 4 2 4 3 3" xfId="38070" xr:uid="{00000000-0005-0000-0000-0000B37C0000}"/>
    <cellStyle name="표준 5 3 2 3 4 2 4 3 4" xfId="46263" xr:uid="{00000000-0005-0000-0000-0000B47C0000}"/>
    <cellStyle name="표준 5 3 2 3 4 2 4 4" xfId="13265" xr:uid="{00000000-0005-0000-0000-0000B57C0000}"/>
    <cellStyle name="표준 5 3 2 3 4 2 4 5" xfId="17505" xr:uid="{00000000-0005-0000-0000-0000B67C0000}"/>
    <cellStyle name="표준 5 3 2 3 4 2 4 6" xfId="21667" xr:uid="{00000000-0005-0000-0000-0000B77C0000}"/>
    <cellStyle name="표준 5 3 2 3 4 2 4 7" xfId="25763" xr:uid="{00000000-0005-0000-0000-0000B87C0000}"/>
    <cellStyle name="표준 5 3 2 3 4 2 4 8" xfId="33974" xr:uid="{00000000-0005-0000-0000-0000B97C0000}"/>
    <cellStyle name="표준 5 3 2 3 4 2 4 9" xfId="42167" xr:uid="{00000000-0005-0000-0000-0000BA7C0000}"/>
    <cellStyle name="표준 5 3 2 3 4 2 5" xfId="9665" xr:uid="{00000000-0005-0000-0000-0000BB7C0000}"/>
    <cellStyle name="표준 5 3 2 3 4 2 5 2" xfId="13777" xr:uid="{00000000-0005-0000-0000-0000BC7C0000}"/>
    <cellStyle name="표준 5 3 2 3 4 2 5 2 2" xfId="30371" xr:uid="{00000000-0005-0000-0000-0000BD7C0000}"/>
    <cellStyle name="표준 5 3 2 3 4 2 5 2 3" xfId="38582" xr:uid="{00000000-0005-0000-0000-0000BE7C0000}"/>
    <cellStyle name="표준 5 3 2 3 4 2 5 2 4" xfId="46775" xr:uid="{00000000-0005-0000-0000-0000BF7C0000}"/>
    <cellStyle name="표준 5 3 2 3 4 2 5 3" xfId="18017" xr:uid="{00000000-0005-0000-0000-0000C07C0000}"/>
    <cellStyle name="표준 5 3 2 3 4 2 5 4" xfId="22179" xr:uid="{00000000-0005-0000-0000-0000C17C0000}"/>
    <cellStyle name="표준 5 3 2 3 4 2 5 5" xfId="26275" xr:uid="{00000000-0005-0000-0000-0000C27C0000}"/>
    <cellStyle name="표준 5 3 2 3 4 2 5 6" xfId="34486" xr:uid="{00000000-0005-0000-0000-0000C37C0000}"/>
    <cellStyle name="표준 5 3 2 3 4 2 5 7" xfId="42679" xr:uid="{00000000-0005-0000-0000-0000C47C0000}"/>
    <cellStyle name="표준 5 3 2 3 4 2 6" xfId="7617" xr:uid="{00000000-0005-0000-0000-0000C57C0000}"/>
    <cellStyle name="표준 5 3 2 3 4 2 6 2" xfId="28323" xr:uid="{00000000-0005-0000-0000-0000C67C0000}"/>
    <cellStyle name="표준 5 3 2 3 4 2 6 3" xfId="36534" xr:uid="{00000000-0005-0000-0000-0000C77C0000}"/>
    <cellStyle name="표준 5 3 2 3 4 2 6 4" xfId="44727" xr:uid="{00000000-0005-0000-0000-0000C87C0000}"/>
    <cellStyle name="표준 5 3 2 3 4 2 7" xfId="11729" xr:uid="{00000000-0005-0000-0000-0000C97C0000}"/>
    <cellStyle name="표준 5 3 2 3 4 2 8" xfId="15969" xr:uid="{00000000-0005-0000-0000-0000CA7C0000}"/>
    <cellStyle name="표준 5 3 2 3 4 2 9" xfId="20131" xr:uid="{00000000-0005-0000-0000-0000CB7C0000}"/>
    <cellStyle name="표준 5 3 2 3 4 3" xfId="1018" xr:uid="{00000000-0005-0000-0000-0000CC7C0000}"/>
    <cellStyle name="표준 5 3 2 3 4 3 2" xfId="9921" xr:uid="{00000000-0005-0000-0000-0000CD7C0000}"/>
    <cellStyle name="표준 5 3 2 3 4 3 2 2" xfId="14033" xr:uid="{00000000-0005-0000-0000-0000CE7C0000}"/>
    <cellStyle name="표준 5 3 2 3 4 3 2 2 2" xfId="30627" xr:uid="{00000000-0005-0000-0000-0000CF7C0000}"/>
    <cellStyle name="표준 5 3 2 3 4 3 2 2 3" xfId="38838" xr:uid="{00000000-0005-0000-0000-0000D07C0000}"/>
    <cellStyle name="표준 5 3 2 3 4 3 2 2 4" xfId="47031" xr:uid="{00000000-0005-0000-0000-0000D17C0000}"/>
    <cellStyle name="표준 5 3 2 3 4 3 2 3" xfId="18273" xr:uid="{00000000-0005-0000-0000-0000D27C0000}"/>
    <cellStyle name="표준 5 3 2 3 4 3 2 4" xfId="22435" xr:uid="{00000000-0005-0000-0000-0000D37C0000}"/>
    <cellStyle name="표준 5 3 2 3 4 3 2 5" xfId="26531" xr:uid="{00000000-0005-0000-0000-0000D47C0000}"/>
    <cellStyle name="표준 5 3 2 3 4 3 2 6" xfId="34742" xr:uid="{00000000-0005-0000-0000-0000D57C0000}"/>
    <cellStyle name="표준 5 3 2 3 4 3 2 7" xfId="42935" xr:uid="{00000000-0005-0000-0000-0000D67C0000}"/>
    <cellStyle name="표준 5 3 2 3 4 3 3" xfId="7873" xr:uid="{00000000-0005-0000-0000-0000D77C0000}"/>
    <cellStyle name="표준 5 3 2 3 4 3 3 2" xfId="28579" xr:uid="{00000000-0005-0000-0000-0000D87C0000}"/>
    <cellStyle name="표준 5 3 2 3 4 3 3 3" xfId="36790" xr:uid="{00000000-0005-0000-0000-0000D97C0000}"/>
    <cellStyle name="표준 5 3 2 3 4 3 3 4" xfId="44983" xr:uid="{00000000-0005-0000-0000-0000DA7C0000}"/>
    <cellStyle name="표준 5 3 2 3 4 3 4" xfId="11985" xr:uid="{00000000-0005-0000-0000-0000DB7C0000}"/>
    <cellStyle name="표준 5 3 2 3 4 3 5" xfId="16225" xr:uid="{00000000-0005-0000-0000-0000DC7C0000}"/>
    <cellStyle name="표준 5 3 2 3 4 3 6" xfId="20387" xr:uid="{00000000-0005-0000-0000-0000DD7C0000}"/>
    <cellStyle name="표준 5 3 2 3 4 3 7" xfId="24483" xr:uid="{00000000-0005-0000-0000-0000DE7C0000}"/>
    <cellStyle name="표준 5 3 2 3 4 3 8" xfId="32694" xr:uid="{00000000-0005-0000-0000-0000DF7C0000}"/>
    <cellStyle name="표준 5 3 2 3 4 3 9" xfId="40887" xr:uid="{00000000-0005-0000-0000-0000E07C0000}"/>
    <cellStyle name="표준 5 3 2 3 4 4" xfId="1530" xr:uid="{00000000-0005-0000-0000-0000E17C0000}"/>
    <cellStyle name="표준 5 3 2 3 4 4 2" xfId="10433" xr:uid="{00000000-0005-0000-0000-0000E27C0000}"/>
    <cellStyle name="표준 5 3 2 3 4 4 2 2" xfId="14545" xr:uid="{00000000-0005-0000-0000-0000E37C0000}"/>
    <cellStyle name="표준 5 3 2 3 4 4 2 2 2" xfId="31139" xr:uid="{00000000-0005-0000-0000-0000E47C0000}"/>
    <cellStyle name="표준 5 3 2 3 4 4 2 2 3" xfId="39350" xr:uid="{00000000-0005-0000-0000-0000E57C0000}"/>
    <cellStyle name="표준 5 3 2 3 4 4 2 2 4" xfId="47543" xr:uid="{00000000-0005-0000-0000-0000E67C0000}"/>
    <cellStyle name="표준 5 3 2 3 4 4 2 3" xfId="18785" xr:uid="{00000000-0005-0000-0000-0000E77C0000}"/>
    <cellStyle name="표준 5 3 2 3 4 4 2 4" xfId="22947" xr:uid="{00000000-0005-0000-0000-0000E87C0000}"/>
    <cellStyle name="표준 5 3 2 3 4 4 2 5" xfId="27043" xr:uid="{00000000-0005-0000-0000-0000E97C0000}"/>
    <cellStyle name="표준 5 3 2 3 4 4 2 6" xfId="35254" xr:uid="{00000000-0005-0000-0000-0000EA7C0000}"/>
    <cellStyle name="표준 5 3 2 3 4 4 2 7" xfId="43447" xr:uid="{00000000-0005-0000-0000-0000EB7C0000}"/>
    <cellStyle name="표준 5 3 2 3 4 4 3" xfId="8385" xr:uid="{00000000-0005-0000-0000-0000EC7C0000}"/>
    <cellStyle name="표준 5 3 2 3 4 4 3 2" xfId="29091" xr:uid="{00000000-0005-0000-0000-0000ED7C0000}"/>
    <cellStyle name="표준 5 3 2 3 4 4 3 3" xfId="37302" xr:uid="{00000000-0005-0000-0000-0000EE7C0000}"/>
    <cellStyle name="표준 5 3 2 3 4 4 3 4" xfId="45495" xr:uid="{00000000-0005-0000-0000-0000EF7C0000}"/>
    <cellStyle name="표준 5 3 2 3 4 4 4" xfId="12497" xr:uid="{00000000-0005-0000-0000-0000F07C0000}"/>
    <cellStyle name="표준 5 3 2 3 4 4 5" xfId="16737" xr:uid="{00000000-0005-0000-0000-0000F17C0000}"/>
    <cellStyle name="표준 5 3 2 3 4 4 6" xfId="20899" xr:uid="{00000000-0005-0000-0000-0000F27C0000}"/>
    <cellStyle name="표준 5 3 2 3 4 4 7" xfId="24995" xr:uid="{00000000-0005-0000-0000-0000F37C0000}"/>
    <cellStyle name="표준 5 3 2 3 4 4 8" xfId="33206" xr:uid="{00000000-0005-0000-0000-0000F47C0000}"/>
    <cellStyle name="표준 5 3 2 3 4 4 9" xfId="41399" xr:uid="{00000000-0005-0000-0000-0000F57C0000}"/>
    <cellStyle name="표준 5 3 2 3 4 5" xfId="2042" xr:uid="{00000000-0005-0000-0000-0000F67C0000}"/>
    <cellStyle name="표준 5 3 2 3 4 5 2" xfId="10945" xr:uid="{00000000-0005-0000-0000-0000F77C0000}"/>
    <cellStyle name="표준 5 3 2 3 4 5 2 2" xfId="15057" xr:uid="{00000000-0005-0000-0000-0000F87C0000}"/>
    <cellStyle name="표준 5 3 2 3 4 5 2 2 2" xfId="31651" xr:uid="{00000000-0005-0000-0000-0000F97C0000}"/>
    <cellStyle name="표준 5 3 2 3 4 5 2 2 3" xfId="39862" xr:uid="{00000000-0005-0000-0000-0000FA7C0000}"/>
    <cellStyle name="표준 5 3 2 3 4 5 2 2 4" xfId="48055" xr:uid="{00000000-0005-0000-0000-0000FB7C0000}"/>
    <cellStyle name="표준 5 3 2 3 4 5 2 3" xfId="19297" xr:uid="{00000000-0005-0000-0000-0000FC7C0000}"/>
    <cellStyle name="표준 5 3 2 3 4 5 2 4" xfId="23459" xr:uid="{00000000-0005-0000-0000-0000FD7C0000}"/>
    <cellStyle name="표준 5 3 2 3 4 5 2 5" xfId="27555" xr:uid="{00000000-0005-0000-0000-0000FE7C0000}"/>
    <cellStyle name="표준 5 3 2 3 4 5 2 6" xfId="35766" xr:uid="{00000000-0005-0000-0000-0000FF7C0000}"/>
    <cellStyle name="표준 5 3 2 3 4 5 2 7" xfId="43959" xr:uid="{00000000-0005-0000-0000-0000007D0000}"/>
    <cellStyle name="표준 5 3 2 3 4 5 3" xfId="8897" xr:uid="{00000000-0005-0000-0000-0000017D0000}"/>
    <cellStyle name="표준 5 3 2 3 4 5 3 2" xfId="29603" xr:uid="{00000000-0005-0000-0000-0000027D0000}"/>
    <cellStyle name="표준 5 3 2 3 4 5 3 3" xfId="37814" xr:uid="{00000000-0005-0000-0000-0000037D0000}"/>
    <cellStyle name="표준 5 3 2 3 4 5 3 4" xfId="46007" xr:uid="{00000000-0005-0000-0000-0000047D0000}"/>
    <cellStyle name="표준 5 3 2 3 4 5 4" xfId="13009" xr:uid="{00000000-0005-0000-0000-0000057D0000}"/>
    <cellStyle name="표준 5 3 2 3 4 5 5" xfId="17249" xr:uid="{00000000-0005-0000-0000-0000067D0000}"/>
    <cellStyle name="표준 5 3 2 3 4 5 6" xfId="21411" xr:uid="{00000000-0005-0000-0000-0000077D0000}"/>
    <cellStyle name="표준 5 3 2 3 4 5 7" xfId="25507" xr:uid="{00000000-0005-0000-0000-0000087D0000}"/>
    <cellStyle name="표준 5 3 2 3 4 5 8" xfId="33718" xr:uid="{00000000-0005-0000-0000-0000097D0000}"/>
    <cellStyle name="표준 5 3 2 3 4 5 9" xfId="41911" xr:uid="{00000000-0005-0000-0000-00000A7D0000}"/>
    <cellStyle name="표준 5 3 2 3 4 6" xfId="9409" xr:uid="{00000000-0005-0000-0000-00000B7D0000}"/>
    <cellStyle name="표준 5 3 2 3 4 6 2" xfId="13521" xr:uid="{00000000-0005-0000-0000-00000C7D0000}"/>
    <cellStyle name="표준 5 3 2 3 4 6 2 2" xfId="30115" xr:uid="{00000000-0005-0000-0000-00000D7D0000}"/>
    <cellStyle name="표준 5 3 2 3 4 6 2 3" xfId="38326" xr:uid="{00000000-0005-0000-0000-00000E7D0000}"/>
    <cellStyle name="표준 5 3 2 3 4 6 2 4" xfId="46519" xr:uid="{00000000-0005-0000-0000-00000F7D0000}"/>
    <cellStyle name="표준 5 3 2 3 4 6 3" xfId="17761" xr:uid="{00000000-0005-0000-0000-0000107D0000}"/>
    <cellStyle name="표준 5 3 2 3 4 6 4" xfId="21923" xr:uid="{00000000-0005-0000-0000-0000117D0000}"/>
    <cellStyle name="표준 5 3 2 3 4 6 5" xfId="26019" xr:uid="{00000000-0005-0000-0000-0000127D0000}"/>
    <cellStyle name="표준 5 3 2 3 4 6 6" xfId="34230" xr:uid="{00000000-0005-0000-0000-0000137D0000}"/>
    <cellStyle name="표준 5 3 2 3 4 6 7" xfId="42423" xr:uid="{00000000-0005-0000-0000-0000147D0000}"/>
    <cellStyle name="표준 5 3 2 3 4 7" xfId="7361" xr:uid="{00000000-0005-0000-0000-0000157D0000}"/>
    <cellStyle name="표준 5 3 2 3 4 7 2" xfId="28067" xr:uid="{00000000-0005-0000-0000-0000167D0000}"/>
    <cellStyle name="표준 5 3 2 3 4 7 3" xfId="36278" xr:uid="{00000000-0005-0000-0000-0000177D0000}"/>
    <cellStyle name="표준 5 3 2 3 4 7 4" xfId="44471" xr:uid="{00000000-0005-0000-0000-0000187D0000}"/>
    <cellStyle name="표준 5 3 2 3 4 8" xfId="11473" xr:uid="{00000000-0005-0000-0000-0000197D0000}"/>
    <cellStyle name="표준 5 3 2 3 4 9" xfId="15713" xr:uid="{00000000-0005-0000-0000-00001A7D0000}"/>
    <cellStyle name="표준 5 3 2 3 5" xfId="634" xr:uid="{00000000-0005-0000-0000-00001B7D0000}"/>
    <cellStyle name="표준 5 3 2 3 5 10" xfId="24099" xr:uid="{00000000-0005-0000-0000-00001C7D0000}"/>
    <cellStyle name="표준 5 3 2 3 5 11" xfId="32310" xr:uid="{00000000-0005-0000-0000-00001D7D0000}"/>
    <cellStyle name="표준 5 3 2 3 5 12" xfId="40503" xr:uid="{00000000-0005-0000-0000-00001E7D0000}"/>
    <cellStyle name="표준 5 3 2 3 5 2" xfId="1146" xr:uid="{00000000-0005-0000-0000-00001F7D0000}"/>
    <cellStyle name="표준 5 3 2 3 5 2 2" xfId="10049" xr:uid="{00000000-0005-0000-0000-0000207D0000}"/>
    <cellStyle name="표준 5 3 2 3 5 2 2 2" xfId="14161" xr:uid="{00000000-0005-0000-0000-0000217D0000}"/>
    <cellStyle name="표준 5 3 2 3 5 2 2 2 2" xfId="30755" xr:uid="{00000000-0005-0000-0000-0000227D0000}"/>
    <cellStyle name="표준 5 3 2 3 5 2 2 2 3" xfId="38966" xr:uid="{00000000-0005-0000-0000-0000237D0000}"/>
    <cellStyle name="표준 5 3 2 3 5 2 2 2 4" xfId="47159" xr:uid="{00000000-0005-0000-0000-0000247D0000}"/>
    <cellStyle name="표준 5 3 2 3 5 2 2 3" xfId="18401" xr:uid="{00000000-0005-0000-0000-0000257D0000}"/>
    <cellStyle name="표준 5 3 2 3 5 2 2 4" xfId="22563" xr:uid="{00000000-0005-0000-0000-0000267D0000}"/>
    <cellStyle name="표준 5 3 2 3 5 2 2 5" xfId="26659" xr:uid="{00000000-0005-0000-0000-0000277D0000}"/>
    <cellStyle name="표준 5 3 2 3 5 2 2 6" xfId="34870" xr:uid="{00000000-0005-0000-0000-0000287D0000}"/>
    <cellStyle name="표준 5 3 2 3 5 2 2 7" xfId="43063" xr:uid="{00000000-0005-0000-0000-0000297D0000}"/>
    <cellStyle name="표준 5 3 2 3 5 2 3" xfId="8001" xr:uid="{00000000-0005-0000-0000-00002A7D0000}"/>
    <cellStyle name="표준 5 3 2 3 5 2 3 2" xfId="28707" xr:uid="{00000000-0005-0000-0000-00002B7D0000}"/>
    <cellStyle name="표준 5 3 2 3 5 2 3 3" xfId="36918" xr:uid="{00000000-0005-0000-0000-00002C7D0000}"/>
    <cellStyle name="표준 5 3 2 3 5 2 3 4" xfId="45111" xr:uid="{00000000-0005-0000-0000-00002D7D0000}"/>
    <cellStyle name="표준 5 3 2 3 5 2 4" xfId="12113" xr:uid="{00000000-0005-0000-0000-00002E7D0000}"/>
    <cellStyle name="표준 5 3 2 3 5 2 5" xfId="16353" xr:uid="{00000000-0005-0000-0000-00002F7D0000}"/>
    <cellStyle name="표준 5 3 2 3 5 2 6" xfId="20515" xr:uid="{00000000-0005-0000-0000-0000307D0000}"/>
    <cellStyle name="표준 5 3 2 3 5 2 7" xfId="24611" xr:uid="{00000000-0005-0000-0000-0000317D0000}"/>
    <cellStyle name="표준 5 3 2 3 5 2 8" xfId="32822" xr:uid="{00000000-0005-0000-0000-0000327D0000}"/>
    <cellStyle name="표준 5 3 2 3 5 2 9" xfId="41015" xr:uid="{00000000-0005-0000-0000-0000337D0000}"/>
    <cellStyle name="표준 5 3 2 3 5 3" xfId="1658" xr:uid="{00000000-0005-0000-0000-0000347D0000}"/>
    <cellStyle name="표준 5 3 2 3 5 3 2" xfId="10561" xr:uid="{00000000-0005-0000-0000-0000357D0000}"/>
    <cellStyle name="표준 5 3 2 3 5 3 2 2" xfId="14673" xr:uid="{00000000-0005-0000-0000-0000367D0000}"/>
    <cellStyle name="표준 5 3 2 3 5 3 2 2 2" xfId="31267" xr:uid="{00000000-0005-0000-0000-0000377D0000}"/>
    <cellStyle name="표준 5 3 2 3 5 3 2 2 3" xfId="39478" xr:uid="{00000000-0005-0000-0000-0000387D0000}"/>
    <cellStyle name="표준 5 3 2 3 5 3 2 2 4" xfId="47671" xr:uid="{00000000-0005-0000-0000-0000397D0000}"/>
    <cellStyle name="표준 5 3 2 3 5 3 2 3" xfId="18913" xr:uid="{00000000-0005-0000-0000-00003A7D0000}"/>
    <cellStyle name="표준 5 3 2 3 5 3 2 4" xfId="23075" xr:uid="{00000000-0005-0000-0000-00003B7D0000}"/>
    <cellStyle name="표준 5 3 2 3 5 3 2 5" xfId="27171" xr:uid="{00000000-0005-0000-0000-00003C7D0000}"/>
    <cellStyle name="표준 5 3 2 3 5 3 2 6" xfId="35382" xr:uid="{00000000-0005-0000-0000-00003D7D0000}"/>
    <cellStyle name="표준 5 3 2 3 5 3 2 7" xfId="43575" xr:uid="{00000000-0005-0000-0000-00003E7D0000}"/>
    <cellStyle name="표준 5 3 2 3 5 3 3" xfId="8513" xr:uid="{00000000-0005-0000-0000-00003F7D0000}"/>
    <cellStyle name="표준 5 3 2 3 5 3 3 2" xfId="29219" xr:uid="{00000000-0005-0000-0000-0000407D0000}"/>
    <cellStyle name="표준 5 3 2 3 5 3 3 3" xfId="37430" xr:uid="{00000000-0005-0000-0000-0000417D0000}"/>
    <cellStyle name="표준 5 3 2 3 5 3 3 4" xfId="45623" xr:uid="{00000000-0005-0000-0000-0000427D0000}"/>
    <cellStyle name="표준 5 3 2 3 5 3 4" xfId="12625" xr:uid="{00000000-0005-0000-0000-0000437D0000}"/>
    <cellStyle name="표준 5 3 2 3 5 3 5" xfId="16865" xr:uid="{00000000-0005-0000-0000-0000447D0000}"/>
    <cellStyle name="표준 5 3 2 3 5 3 6" xfId="21027" xr:uid="{00000000-0005-0000-0000-0000457D0000}"/>
    <cellStyle name="표준 5 3 2 3 5 3 7" xfId="25123" xr:uid="{00000000-0005-0000-0000-0000467D0000}"/>
    <cellStyle name="표준 5 3 2 3 5 3 8" xfId="33334" xr:uid="{00000000-0005-0000-0000-0000477D0000}"/>
    <cellStyle name="표준 5 3 2 3 5 3 9" xfId="41527" xr:uid="{00000000-0005-0000-0000-0000487D0000}"/>
    <cellStyle name="표준 5 3 2 3 5 4" xfId="2170" xr:uid="{00000000-0005-0000-0000-0000497D0000}"/>
    <cellStyle name="표준 5 3 2 3 5 4 2" xfId="11073" xr:uid="{00000000-0005-0000-0000-00004A7D0000}"/>
    <cellStyle name="표준 5 3 2 3 5 4 2 2" xfId="15185" xr:uid="{00000000-0005-0000-0000-00004B7D0000}"/>
    <cellStyle name="표준 5 3 2 3 5 4 2 2 2" xfId="31779" xr:uid="{00000000-0005-0000-0000-00004C7D0000}"/>
    <cellStyle name="표준 5 3 2 3 5 4 2 2 3" xfId="39990" xr:uid="{00000000-0005-0000-0000-00004D7D0000}"/>
    <cellStyle name="표준 5 3 2 3 5 4 2 2 4" xfId="48183" xr:uid="{00000000-0005-0000-0000-00004E7D0000}"/>
    <cellStyle name="표준 5 3 2 3 5 4 2 3" xfId="19425" xr:uid="{00000000-0005-0000-0000-00004F7D0000}"/>
    <cellStyle name="표준 5 3 2 3 5 4 2 4" xfId="23587" xr:uid="{00000000-0005-0000-0000-0000507D0000}"/>
    <cellStyle name="표준 5 3 2 3 5 4 2 5" xfId="27683" xr:uid="{00000000-0005-0000-0000-0000517D0000}"/>
    <cellStyle name="표준 5 3 2 3 5 4 2 6" xfId="35894" xr:uid="{00000000-0005-0000-0000-0000527D0000}"/>
    <cellStyle name="표준 5 3 2 3 5 4 2 7" xfId="44087" xr:uid="{00000000-0005-0000-0000-0000537D0000}"/>
    <cellStyle name="표준 5 3 2 3 5 4 3" xfId="9025" xr:uid="{00000000-0005-0000-0000-0000547D0000}"/>
    <cellStyle name="표준 5 3 2 3 5 4 3 2" xfId="29731" xr:uid="{00000000-0005-0000-0000-0000557D0000}"/>
    <cellStyle name="표준 5 3 2 3 5 4 3 3" xfId="37942" xr:uid="{00000000-0005-0000-0000-0000567D0000}"/>
    <cellStyle name="표준 5 3 2 3 5 4 3 4" xfId="46135" xr:uid="{00000000-0005-0000-0000-0000577D0000}"/>
    <cellStyle name="표준 5 3 2 3 5 4 4" xfId="13137" xr:uid="{00000000-0005-0000-0000-0000587D0000}"/>
    <cellStyle name="표준 5 3 2 3 5 4 5" xfId="17377" xr:uid="{00000000-0005-0000-0000-0000597D0000}"/>
    <cellStyle name="표준 5 3 2 3 5 4 6" xfId="21539" xr:uid="{00000000-0005-0000-0000-00005A7D0000}"/>
    <cellStyle name="표준 5 3 2 3 5 4 7" xfId="25635" xr:uid="{00000000-0005-0000-0000-00005B7D0000}"/>
    <cellStyle name="표준 5 3 2 3 5 4 8" xfId="33846" xr:uid="{00000000-0005-0000-0000-00005C7D0000}"/>
    <cellStyle name="표준 5 3 2 3 5 4 9" xfId="42039" xr:uid="{00000000-0005-0000-0000-00005D7D0000}"/>
    <cellStyle name="표준 5 3 2 3 5 5" xfId="9537" xr:uid="{00000000-0005-0000-0000-00005E7D0000}"/>
    <cellStyle name="표준 5 3 2 3 5 5 2" xfId="13649" xr:uid="{00000000-0005-0000-0000-00005F7D0000}"/>
    <cellStyle name="표준 5 3 2 3 5 5 2 2" xfId="30243" xr:uid="{00000000-0005-0000-0000-0000607D0000}"/>
    <cellStyle name="표준 5 3 2 3 5 5 2 3" xfId="38454" xr:uid="{00000000-0005-0000-0000-0000617D0000}"/>
    <cellStyle name="표준 5 3 2 3 5 5 2 4" xfId="46647" xr:uid="{00000000-0005-0000-0000-0000627D0000}"/>
    <cellStyle name="표준 5 3 2 3 5 5 3" xfId="17889" xr:uid="{00000000-0005-0000-0000-0000637D0000}"/>
    <cellStyle name="표준 5 3 2 3 5 5 4" xfId="22051" xr:uid="{00000000-0005-0000-0000-0000647D0000}"/>
    <cellStyle name="표준 5 3 2 3 5 5 5" xfId="26147" xr:uid="{00000000-0005-0000-0000-0000657D0000}"/>
    <cellStyle name="표준 5 3 2 3 5 5 6" xfId="34358" xr:uid="{00000000-0005-0000-0000-0000667D0000}"/>
    <cellStyle name="표준 5 3 2 3 5 5 7" xfId="42551" xr:uid="{00000000-0005-0000-0000-0000677D0000}"/>
    <cellStyle name="표준 5 3 2 3 5 6" xfId="7489" xr:uid="{00000000-0005-0000-0000-0000687D0000}"/>
    <cellStyle name="표준 5 3 2 3 5 6 2" xfId="28195" xr:uid="{00000000-0005-0000-0000-0000697D0000}"/>
    <cellStyle name="표준 5 3 2 3 5 6 3" xfId="36406" xr:uid="{00000000-0005-0000-0000-00006A7D0000}"/>
    <cellStyle name="표준 5 3 2 3 5 6 4" xfId="44599" xr:uid="{00000000-0005-0000-0000-00006B7D0000}"/>
    <cellStyle name="표준 5 3 2 3 5 7" xfId="11601" xr:uid="{00000000-0005-0000-0000-00006C7D0000}"/>
    <cellStyle name="표준 5 3 2 3 5 8" xfId="15841" xr:uid="{00000000-0005-0000-0000-00006D7D0000}"/>
    <cellStyle name="표준 5 3 2 3 5 9" xfId="20003" xr:uid="{00000000-0005-0000-0000-00006E7D0000}"/>
    <cellStyle name="표준 5 3 2 3 6" xfId="890" xr:uid="{00000000-0005-0000-0000-00006F7D0000}"/>
    <cellStyle name="표준 5 3 2 3 6 2" xfId="9793" xr:uid="{00000000-0005-0000-0000-0000707D0000}"/>
    <cellStyle name="표준 5 3 2 3 6 2 2" xfId="13905" xr:uid="{00000000-0005-0000-0000-0000717D0000}"/>
    <cellStyle name="표준 5 3 2 3 6 2 2 2" xfId="30499" xr:uid="{00000000-0005-0000-0000-0000727D0000}"/>
    <cellStyle name="표준 5 3 2 3 6 2 2 3" xfId="38710" xr:uid="{00000000-0005-0000-0000-0000737D0000}"/>
    <cellStyle name="표준 5 3 2 3 6 2 2 4" xfId="46903" xr:uid="{00000000-0005-0000-0000-0000747D0000}"/>
    <cellStyle name="표준 5 3 2 3 6 2 3" xfId="18145" xr:uid="{00000000-0005-0000-0000-0000757D0000}"/>
    <cellStyle name="표준 5 3 2 3 6 2 4" xfId="22307" xr:uid="{00000000-0005-0000-0000-0000767D0000}"/>
    <cellStyle name="표준 5 3 2 3 6 2 5" xfId="26403" xr:uid="{00000000-0005-0000-0000-0000777D0000}"/>
    <cellStyle name="표준 5 3 2 3 6 2 6" xfId="34614" xr:uid="{00000000-0005-0000-0000-0000787D0000}"/>
    <cellStyle name="표준 5 3 2 3 6 2 7" xfId="42807" xr:uid="{00000000-0005-0000-0000-0000797D0000}"/>
    <cellStyle name="표준 5 3 2 3 6 3" xfId="7745" xr:uid="{00000000-0005-0000-0000-00007A7D0000}"/>
    <cellStyle name="표준 5 3 2 3 6 3 2" xfId="28451" xr:uid="{00000000-0005-0000-0000-00007B7D0000}"/>
    <cellStyle name="표준 5 3 2 3 6 3 3" xfId="36662" xr:uid="{00000000-0005-0000-0000-00007C7D0000}"/>
    <cellStyle name="표준 5 3 2 3 6 3 4" xfId="44855" xr:uid="{00000000-0005-0000-0000-00007D7D0000}"/>
    <cellStyle name="표준 5 3 2 3 6 4" xfId="11857" xr:uid="{00000000-0005-0000-0000-00007E7D0000}"/>
    <cellStyle name="표준 5 3 2 3 6 5" xfId="16097" xr:uid="{00000000-0005-0000-0000-00007F7D0000}"/>
    <cellStyle name="표준 5 3 2 3 6 6" xfId="20259" xr:uid="{00000000-0005-0000-0000-0000807D0000}"/>
    <cellStyle name="표준 5 3 2 3 6 7" xfId="24355" xr:uid="{00000000-0005-0000-0000-0000817D0000}"/>
    <cellStyle name="표준 5 3 2 3 6 8" xfId="32566" xr:uid="{00000000-0005-0000-0000-0000827D0000}"/>
    <cellStyle name="표준 5 3 2 3 6 9" xfId="40759" xr:uid="{00000000-0005-0000-0000-0000837D0000}"/>
    <cellStyle name="표준 5 3 2 3 7" xfId="1402" xr:uid="{00000000-0005-0000-0000-0000847D0000}"/>
    <cellStyle name="표준 5 3 2 3 7 2" xfId="10305" xr:uid="{00000000-0005-0000-0000-0000857D0000}"/>
    <cellStyle name="표준 5 3 2 3 7 2 2" xfId="14417" xr:uid="{00000000-0005-0000-0000-0000867D0000}"/>
    <cellStyle name="표준 5 3 2 3 7 2 2 2" xfId="31011" xr:uid="{00000000-0005-0000-0000-0000877D0000}"/>
    <cellStyle name="표준 5 3 2 3 7 2 2 3" xfId="39222" xr:uid="{00000000-0005-0000-0000-0000887D0000}"/>
    <cellStyle name="표준 5 3 2 3 7 2 2 4" xfId="47415" xr:uid="{00000000-0005-0000-0000-0000897D0000}"/>
    <cellStyle name="표준 5 3 2 3 7 2 3" xfId="18657" xr:uid="{00000000-0005-0000-0000-00008A7D0000}"/>
    <cellStyle name="표준 5 3 2 3 7 2 4" xfId="22819" xr:uid="{00000000-0005-0000-0000-00008B7D0000}"/>
    <cellStyle name="표준 5 3 2 3 7 2 5" xfId="26915" xr:uid="{00000000-0005-0000-0000-00008C7D0000}"/>
    <cellStyle name="표준 5 3 2 3 7 2 6" xfId="35126" xr:uid="{00000000-0005-0000-0000-00008D7D0000}"/>
    <cellStyle name="표준 5 3 2 3 7 2 7" xfId="43319" xr:uid="{00000000-0005-0000-0000-00008E7D0000}"/>
    <cellStyle name="표준 5 3 2 3 7 3" xfId="8257" xr:uid="{00000000-0005-0000-0000-00008F7D0000}"/>
    <cellStyle name="표준 5 3 2 3 7 3 2" xfId="28963" xr:uid="{00000000-0005-0000-0000-0000907D0000}"/>
    <cellStyle name="표준 5 3 2 3 7 3 3" xfId="37174" xr:uid="{00000000-0005-0000-0000-0000917D0000}"/>
    <cellStyle name="표준 5 3 2 3 7 3 4" xfId="45367" xr:uid="{00000000-0005-0000-0000-0000927D0000}"/>
    <cellStyle name="표준 5 3 2 3 7 4" xfId="12369" xr:uid="{00000000-0005-0000-0000-0000937D0000}"/>
    <cellStyle name="표준 5 3 2 3 7 5" xfId="16609" xr:uid="{00000000-0005-0000-0000-0000947D0000}"/>
    <cellStyle name="표준 5 3 2 3 7 6" xfId="20771" xr:uid="{00000000-0005-0000-0000-0000957D0000}"/>
    <cellStyle name="표준 5 3 2 3 7 7" xfId="24867" xr:uid="{00000000-0005-0000-0000-0000967D0000}"/>
    <cellStyle name="표준 5 3 2 3 7 8" xfId="33078" xr:uid="{00000000-0005-0000-0000-0000977D0000}"/>
    <cellStyle name="표준 5 3 2 3 7 9" xfId="41271" xr:uid="{00000000-0005-0000-0000-0000987D0000}"/>
    <cellStyle name="표준 5 3 2 3 8" xfId="1914" xr:uid="{00000000-0005-0000-0000-0000997D0000}"/>
    <cellStyle name="표준 5 3 2 3 8 2" xfId="10817" xr:uid="{00000000-0005-0000-0000-00009A7D0000}"/>
    <cellStyle name="표준 5 3 2 3 8 2 2" xfId="14929" xr:uid="{00000000-0005-0000-0000-00009B7D0000}"/>
    <cellStyle name="표준 5 3 2 3 8 2 2 2" xfId="31523" xr:uid="{00000000-0005-0000-0000-00009C7D0000}"/>
    <cellStyle name="표준 5 3 2 3 8 2 2 3" xfId="39734" xr:uid="{00000000-0005-0000-0000-00009D7D0000}"/>
    <cellStyle name="표준 5 3 2 3 8 2 2 4" xfId="47927" xr:uid="{00000000-0005-0000-0000-00009E7D0000}"/>
    <cellStyle name="표준 5 3 2 3 8 2 3" xfId="19169" xr:uid="{00000000-0005-0000-0000-00009F7D0000}"/>
    <cellStyle name="표준 5 3 2 3 8 2 4" xfId="23331" xr:uid="{00000000-0005-0000-0000-0000A07D0000}"/>
    <cellStyle name="표준 5 3 2 3 8 2 5" xfId="27427" xr:uid="{00000000-0005-0000-0000-0000A17D0000}"/>
    <cellStyle name="표준 5 3 2 3 8 2 6" xfId="35638" xr:uid="{00000000-0005-0000-0000-0000A27D0000}"/>
    <cellStyle name="표준 5 3 2 3 8 2 7" xfId="43831" xr:uid="{00000000-0005-0000-0000-0000A37D0000}"/>
    <cellStyle name="표준 5 3 2 3 8 3" xfId="8769" xr:uid="{00000000-0005-0000-0000-0000A47D0000}"/>
    <cellStyle name="표준 5 3 2 3 8 3 2" xfId="29475" xr:uid="{00000000-0005-0000-0000-0000A57D0000}"/>
    <cellStyle name="표준 5 3 2 3 8 3 3" xfId="37686" xr:uid="{00000000-0005-0000-0000-0000A67D0000}"/>
    <cellStyle name="표준 5 3 2 3 8 3 4" xfId="45879" xr:uid="{00000000-0005-0000-0000-0000A77D0000}"/>
    <cellStyle name="표준 5 3 2 3 8 4" xfId="12881" xr:uid="{00000000-0005-0000-0000-0000A87D0000}"/>
    <cellStyle name="표준 5 3 2 3 8 5" xfId="17121" xr:uid="{00000000-0005-0000-0000-0000A97D0000}"/>
    <cellStyle name="표준 5 3 2 3 8 6" xfId="21283" xr:uid="{00000000-0005-0000-0000-0000AA7D0000}"/>
    <cellStyle name="표준 5 3 2 3 8 7" xfId="25379" xr:uid="{00000000-0005-0000-0000-0000AB7D0000}"/>
    <cellStyle name="표준 5 3 2 3 8 8" xfId="33590" xr:uid="{00000000-0005-0000-0000-0000AC7D0000}"/>
    <cellStyle name="표준 5 3 2 3 8 9" xfId="41783" xr:uid="{00000000-0005-0000-0000-0000AD7D0000}"/>
    <cellStyle name="표준 5 3 2 3 9" xfId="6970" xr:uid="{00000000-0005-0000-0000-0000AE7D0000}"/>
    <cellStyle name="표준 5 3 2 3 9 2" xfId="9281" xr:uid="{00000000-0005-0000-0000-0000AF7D0000}"/>
    <cellStyle name="표준 5 3 2 3 9 2 2" xfId="29987" xr:uid="{00000000-0005-0000-0000-0000B07D0000}"/>
    <cellStyle name="표준 5 3 2 3 9 2 3" xfId="38198" xr:uid="{00000000-0005-0000-0000-0000B17D0000}"/>
    <cellStyle name="표준 5 3 2 3 9 2 4" xfId="46391" xr:uid="{00000000-0005-0000-0000-0000B27D0000}"/>
    <cellStyle name="표준 5 3 2 3 9 3" xfId="13393" xr:uid="{00000000-0005-0000-0000-0000B37D0000}"/>
    <cellStyle name="표준 5 3 2 3 9 4" xfId="17633" xr:uid="{00000000-0005-0000-0000-0000B47D0000}"/>
    <cellStyle name="표준 5 3 2 3 9 5" xfId="21795" xr:uid="{00000000-0005-0000-0000-0000B57D0000}"/>
    <cellStyle name="표준 5 3 2 3 9 6" xfId="25891" xr:uid="{00000000-0005-0000-0000-0000B67D0000}"/>
    <cellStyle name="표준 5 3 2 3 9 7" xfId="34102" xr:uid="{00000000-0005-0000-0000-0000B77D0000}"/>
    <cellStyle name="표준 5 3 2 3 9 8" xfId="42295" xr:uid="{00000000-0005-0000-0000-0000B87D0000}"/>
    <cellStyle name="표준 5 3 2 30" xfId="23827" xr:uid="{00000000-0005-0000-0000-0000B97D0000}"/>
    <cellStyle name="표준 5 3 2 31" xfId="32021" xr:uid="{00000000-0005-0000-0000-0000BA7D0000}"/>
    <cellStyle name="표준 5 3 2 32" xfId="32038" xr:uid="{00000000-0005-0000-0000-0000BB7D0000}"/>
    <cellStyle name="표준 5 3 2 33" xfId="40231" xr:uid="{00000000-0005-0000-0000-0000BC7D0000}"/>
    <cellStyle name="표준 5 3 2 34" xfId="48433" xr:uid="{00000000-0005-0000-0000-0000BD7D0000}"/>
    <cellStyle name="표준 5 3 2 4" xfId="299" xr:uid="{00000000-0005-0000-0000-0000BE7D0000}"/>
    <cellStyle name="표준 5 3 2 4 10" xfId="7172" xr:uid="{00000000-0005-0000-0000-0000BF7D0000}"/>
    <cellStyle name="표준 5 3 2 4 11" xfId="7249" xr:uid="{00000000-0005-0000-0000-0000C07D0000}"/>
    <cellStyle name="표준 5 3 2 4 12" xfId="11361" xr:uid="{00000000-0005-0000-0000-0000C17D0000}"/>
    <cellStyle name="표준 5 3 2 4 13" xfId="15489" xr:uid="{00000000-0005-0000-0000-0000C27D0000}"/>
    <cellStyle name="표준 5 3 2 4 14" xfId="15601" xr:uid="{00000000-0005-0000-0000-0000C37D0000}"/>
    <cellStyle name="표준 5 3 2 4 15" xfId="19763" xr:uid="{00000000-0005-0000-0000-0000C47D0000}"/>
    <cellStyle name="표준 5 3 2 4 16" xfId="23859" xr:uid="{00000000-0005-0000-0000-0000C57D0000}"/>
    <cellStyle name="표준 5 3 2 4 17" xfId="32070" xr:uid="{00000000-0005-0000-0000-0000C67D0000}"/>
    <cellStyle name="표준 5 3 2 4 18" xfId="40263" xr:uid="{00000000-0005-0000-0000-0000C77D0000}"/>
    <cellStyle name="표준 5 3 2 4 19" xfId="49693" xr:uid="{00000000-0005-0000-0000-0000C87D0000}"/>
    <cellStyle name="표준 5 3 2 4 2" xfId="458" xr:uid="{00000000-0005-0000-0000-0000C97D0000}"/>
    <cellStyle name="표준 5 3 2 4 2 10" xfId="11425" xr:uid="{00000000-0005-0000-0000-0000CA7D0000}"/>
    <cellStyle name="표준 5 3 2 4 2 11" xfId="15537" xr:uid="{00000000-0005-0000-0000-0000CB7D0000}"/>
    <cellStyle name="표준 5 3 2 4 2 12" xfId="15665" xr:uid="{00000000-0005-0000-0000-0000CC7D0000}"/>
    <cellStyle name="표준 5 3 2 4 2 13" xfId="19827" xr:uid="{00000000-0005-0000-0000-0000CD7D0000}"/>
    <cellStyle name="표준 5 3 2 4 2 14" xfId="23923" xr:uid="{00000000-0005-0000-0000-0000CE7D0000}"/>
    <cellStyle name="표준 5 3 2 4 2 15" xfId="32134" xr:uid="{00000000-0005-0000-0000-0000CF7D0000}"/>
    <cellStyle name="표준 5 3 2 4 2 16" xfId="40327" xr:uid="{00000000-0005-0000-0000-0000D07D0000}"/>
    <cellStyle name="표준 5 3 2 4 2 2" xfId="586" xr:uid="{00000000-0005-0000-0000-0000D17D0000}"/>
    <cellStyle name="표준 5 3 2 4 2 2 10" xfId="19955" xr:uid="{00000000-0005-0000-0000-0000D27D0000}"/>
    <cellStyle name="표준 5 3 2 4 2 2 11" xfId="24051" xr:uid="{00000000-0005-0000-0000-0000D37D0000}"/>
    <cellStyle name="표준 5 3 2 4 2 2 12" xfId="32262" xr:uid="{00000000-0005-0000-0000-0000D47D0000}"/>
    <cellStyle name="표준 5 3 2 4 2 2 13" xfId="40455" xr:uid="{00000000-0005-0000-0000-0000D57D0000}"/>
    <cellStyle name="표준 5 3 2 4 2 2 2" xfId="842" xr:uid="{00000000-0005-0000-0000-0000D67D0000}"/>
    <cellStyle name="표준 5 3 2 4 2 2 2 10" xfId="24307" xr:uid="{00000000-0005-0000-0000-0000D77D0000}"/>
    <cellStyle name="표준 5 3 2 4 2 2 2 11" xfId="32518" xr:uid="{00000000-0005-0000-0000-0000D87D0000}"/>
    <cellStyle name="표준 5 3 2 4 2 2 2 12" xfId="40711" xr:uid="{00000000-0005-0000-0000-0000D97D0000}"/>
    <cellStyle name="표준 5 3 2 4 2 2 2 2" xfId="1354" xr:uid="{00000000-0005-0000-0000-0000DA7D0000}"/>
    <cellStyle name="표준 5 3 2 4 2 2 2 2 2" xfId="10257" xr:uid="{00000000-0005-0000-0000-0000DB7D0000}"/>
    <cellStyle name="표준 5 3 2 4 2 2 2 2 2 2" xfId="14369" xr:uid="{00000000-0005-0000-0000-0000DC7D0000}"/>
    <cellStyle name="표준 5 3 2 4 2 2 2 2 2 2 2" xfId="30963" xr:uid="{00000000-0005-0000-0000-0000DD7D0000}"/>
    <cellStyle name="표준 5 3 2 4 2 2 2 2 2 2 3" xfId="39174" xr:uid="{00000000-0005-0000-0000-0000DE7D0000}"/>
    <cellStyle name="표준 5 3 2 4 2 2 2 2 2 2 4" xfId="47367" xr:uid="{00000000-0005-0000-0000-0000DF7D0000}"/>
    <cellStyle name="표준 5 3 2 4 2 2 2 2 2 3" xfId="18609" xr:uid="{00000000-0005-0000-0000-0000E07D0000}"/>
    <cellStyle name="표준 5 3 2 4 2 2 2 2 2 4" xfId="22771" xr:uid="{00000000-0005-0000-0000-0000E17D0000}"/>
    <cellStyle name="표준 5 3 2 4 2 2 2 2 2 5" xfId="26867" xr:uid="{00000000-0005-0000-0000-0000E27D0000}"/>
    <cellStyle name="표준 5 3 2 4 2 2 2 2 2 6" xfId="35078" xr:uid="{00000000-0005-0000-0000-0000E37D0000}"/>
    <cellStyle name="표준 5 3 2 4 2 2 2 2 2 7" xfId="43271" xr:uid="{00000000-0005-0000-0000-0000E47D0000}"/>
    <cellStyle name="표준 5 3 2 4 2 2 2 2 3" xfId="8209" xr:uid="{00000000-0005-0000-0000-0000E57D0000}"/>
    <cellStyle name="표준 5 3 2 4 2 2 2 2 3 2" xfId="28915" xr:uid="{00000000-0005-0000-0000-0000E67D0000}"/>
    <cellStyle name="표준 5 3 2 4 2 2 2 2 3 3" xfId="37126" xr:uid="{00000000-0005-0000-0000-0000E77D0000}"/>
    <cellStyle name="표준 5 3 2 4 2 2 2 2 3 4" xfId="45319" xr:uid="{00000000-0005-0000-0000-0000E87D0000}"/>
    <cellStyle name="표준 5 3 2 4 2 2 2 2 4" xfId="12321" xr:uid="{00000000-0005-0000-0000-0000E97D0000}"/>
    <cellStyle name="표준 5 3 2 4 2 2 2 2 5" xfId="16561" xr:uid="{00000000-0005-0000-0000-0000EA7D0000}"/>
    <cellStyle name="표준 5 3 2 4 2 2 2 2 6" xfId="20723" xr:uid="{00000000-0005-0000-0000-0000EB7D0000}"/>
    <cellStyle name="표준 5 3 2 4 2 2 2 2 7" xfId="24819" xr:uid="{00000000-0005-0000-0000-0000EC7D0000}"/>
    <cellStyle name="표준 5 3 2 4 2 2 2 2 8" xfId="33030" xr:uid="{00000000-0005-0000-0000-0000ED7D0000}"/>
    <cellStyle name="표준 5 3 2 4 2 2 2 2 9" xfId="41223" xr:uid="{00000000-0005-0000-0000-0000EE7D0000}"/>
    <cellStyle name="표준 5 3 2 4 2 2 2 3" xfId="1866" xr:uid="{00000000-0005-0000-0000-0000EF7D0000}"/>
    <cellStyle name="표준 5 3 2 4 2 2 2 3 2" xfId="10769" xr:uid="{00000000-0005-0000-0000-0000F07D0000}"/>
    <cellStyle name="표준 5 3 2 4 2 2 2 3 2 2" xfId="14881" xr:uid="{00000000-0005-0000-0000-0000F17D0000}"/>
    <cellStyle name="표준 5 3 2 4 2 2 2 3 2 2 2" xfId="31475" xr:uid="{00000000-0005-0000-0000-0000F27D0000}"/>
    <cellStyle name="표준 5 3 2 4 2 2 2 3 2 2 3" xfId="39686" xr:uid="{00000000-0005-0000-0000-0000F37D0000}"/>
    <cellStyle name="표준 5 3 2 4 2 2 2 3 2 2 4" xfId="47879" xr:uid="{00000000-0005-0000-0000-0000F47D0000}"/>
    <cellStyle name="표준 5 3 2 4 2 2 2 3 2 3" xfId="19121" xr:uid="{00000000-0005-0000-0000-0000F57D0000}"/>
    <cellStyle name="표준 5 3 2 4 2 2 2 3 2 4" xfId="23283" xr:uid="{00000000-0005-0000-0000-0000F67D0000}"/>
    <cellStyle name="표준 5 3 2 4 2 2 2 3 2 5" xfId="27379" xr:uid="{00000000-0005-0000-0000-0000F77D0000}"/>
    <cellStyle name="표준 5 3 2 4 2 2 2 3 2 6" xfId="35590" xr:uid="{00000000-0005-0000-0000-0000F87D0000}"/>
    <cellStyle name="표준 5 3 2 4 2 2 2 3 2 7" xfId="43783" xr:uid="{00000000-0005-0000-0000-0000F97D0000}"/>
    <cellStyle name="표준 5 3 2 4 2 2 2 3 3" xfId="8721" xr:uid="{00000000-0005-0000-0000-0000FA7D0000}"/>
    <cellStyle name="표준 5 3 2 4 2 2 2 3 3 2" xfId="29427" xr:uid="{00000000-0005-0000-0000-0000FB7D0000}"/>
    <cellStyle name="표준 5 3 2 4 2 2 2 3 3 3" xfId="37638" xr:uid="{00000000-0005-0000-0000-0000FC7D0000}"/>
    <cellStyle name="표준 5 3 2 4 2 2 2 3 3 4" xfId="45831" xr:uid="{00000000-0005-0000-0000-0000FD7D0000}"/>
    <cellStyle name="표준 5 3 2 4 2 2 2 3 4" xfId="12833" xr:uid="{00000000-0005-0000-0000-0000FE7D0000}"/>
    <cellStyle name="표준 5 3 2 4 2 2 2 3 5" xfId="17073" xr:uid="{00000000-0005-0000-0000-0000FF7D0000}"/>
    <cellStyle name="표준 5 3 2 4 2 2 2 3 6" xfId="21235" xr:uid="{00000000-0005-0000-0000-0000007E0000}"/>
    <cellStyle name="표준 5 3 2 4 2 2 2 3 7" xfId="25331" xr:uid="{00000000-0005-0000-0000-0000017E0000}"/>
    <cellStyle name="표준 5 3 2 4 2 2 2 3 8" xfId="33542" xr:uid="{00000000-0005-0000-0000-0000027E0000}"/>
    <cellStyle name="표준 5 3 2 4 2 2 2 3 9" xfId="41735" xr:uid="{00000000-0005-0000-0000-0000037E0000}"/>
    <cellStyle name="표준 5 3 2 4 2 2 2 4" xfId="2378" xr:uid="{00000000-0005-0000-0000-0000047E0000}"/>
    <cellStyle name="표준 5 3 2 4 2 2 2 4 2" xfId="11281" xr:uid="{00000000-0005-0000-0000-0000057E0000}"/>
    <cellStyle name="표준 5 3 2 4 2 2 2 4 2 2" xfId="15393" xr:uid="{00000000-0005-0000-0000-0000067E0000}"/>
    <cellStyle name="표준 5 3 2 4 2 2 2 4 2 2 2" xfId="31987" xr:uid="{00000000-0005-0000-0000-0000077E0000}"/>
    <cellStyle name="표준 5 3 2 4 2 2 2 4 2 2 3" xfId="40198" xr:uid="{00000000-0005-0000-0000-0000087E0000}"/>
    <cellStyle name="표준 5 3 2 4 2 2 2 4 2 2 4" xfId="48391" xr:uid="{00000000-0005-0000-0000-0000097E0000}"/>
    <cellStyle name="표준 5 3 2 4 2 2 2 4 2 3" xfId="19633" xr:uid="{00000000-0005-0000-0000-00000A7E0000}"/>
    <cellStyle name="표준 5 3 2 4 2 2 2 4 2 4" xfId="23795" xr:uid="{00000000-0005-0000-0000-00000B7E0000}"/>
    <cellStyle name="표준 5 3 2 4 2 2 2 4 2 5" xfId="27891" xr:uid="{00000000-0005-0000-0000-00000C7E0000}"/>
    <cellStyle name="표준 5 3 2 4 2 2 2 4 2 6" xfId="36102" xr:uid="{00000000-0005-0000-0000-00000D7E0000}"/>
    <cellStyle name="표준 5 3 2 4 2 2 2 4 2 7" xfId="44295" xr:uid="{00000000-0005-0000-0000-00000E7E0000}"/>
    <cellStyle name="표준 5 3 2 4 2 2 2 4 3" xfId="9233" xr:uid="{00000000-0005-0000-0000-00000F7E0000}"/>
    <cellStyle name="표준 5 3 2 4 2 2 2 4 3 2" xfId="29939" xr:uid="{00000000-0005-0000-0000-0000107E0000}"/>
    <cellStyle name="표준 5 3 2 4 2 2 2 4 3 3" xfId="38150" xr:uid="{00000000-0005-0000-0000-0000117E0000}"/>
    <cellStyle name="표준 5 3 2 4 2 2 2 4 3 4" xfId="46343" xr:uid="{00000000-0005-0000-0000-0000127E0000}"/>
    <cellStyle name="표준 5 3 2 4 2 2 2 4 4" xfId="13345" xr:uid="{00000000-0005-0000-0000-0000137E0000}"/>
    <cellStyle name="표준 5 3 2 4 2 2 2 4 5" xfId="17585" xr:uid="{00000000-0005-0000-0000-0000147E0000}"/>
    <cellStyle name="표준 5 3 2 4 2 2 2 4 6" xfId="21747" xr:uid="{00000000-0005-0000-0000-0000157E0000}"/>
    <cellStyle name="표준 5 3 2 4 2 2 2 4 7" xfId="25843" xr:uid="{00000000-0005-0000-0000-0000167E0000}"/>
    <cellStyle name="표준 5 3 2 4 2 2 2 4 8" xfId="34054" xr:uid="{00000000-0005-0000-0000-0000177E0000}"/>
    <cellStyle name="표준 5 3 2 4 2 2 2 4 9" xfId="42247" xr:uid="{00000000-0005-0000-0000-0000187E0000}"/>
    <cellStyle name="표준 5 3 2 4 2 2 2 5" xfId="9745" xr:uid="{00000000-0005-0000-0000-0000197E0000}"/>
    <cellStyle name="표준 5 3 2 4 2 2 2 5 2" xfId="13857" xr:uid="{00000000-0005-0000-0000-00001A7E0000}"/>
    <cellStyle name="표준 5 3 2 4 2 2 2 5 2 2" xfId="30451" xr:uid="{00000000-0005-0000-0000-00001B7E0000}"/>
    <cellStyle name="표준 5 3 2 4 2 2 2 5 2 3" xfId="38662" xr:uid="{00000000-0005-0000-0000-00001C7E0000}"/>
    <cellStyle name="표준 5 3 2 4 2 2 2 5 2 4" xfId="46855" xr:uid="{00000000-0005-0000-0000-00001D7E0000}"/>
    <cellStyle name="표준 5 3 2 4 2 2 2 5 3" xfId="18097" xr:uid="{00000000-0005-0000-0000-00001E7E0000}"/>
    <cellStyle name="표준 5 3 2 4 2 2 2 5 4" xfId="22259" xr:uid="{00000000-0005-0000-0000-00001F7E0000}"/>
    <cellStyle name="표준 5 3 2 4 2 2 2 5 5" xfId="26355" xr:uid="{00000000-0005-0000-0000-0000207E0000}"/>
    <cellStyle name="표준 5 3 2 4 2 2 2 5 6" xfId="34566" xr:uid="{00000000-0005-0000-0000-0000217E0000}"/>
    <cellStyle name="표준 5 3 2 4 2 2 2 5 7" xfId="42759" xr:uid="{00000000-0005-0000-0000-0000227E0000}"/>
    <cellStyle name="표준 5 3 2 4 2 2 2 6" xfId="7697" xr:uid="{00000000-0005-0000-0000-0000237E0000}"/>
    <cellStyle name="표준 5 3 2 4 2 2 2 6 2" xfId="28403" xr:uid="{00000000-0005-0000-0000-0000247E0000}"/>
    <cellStyle name="표준 5 3 2 4 2 2 2 6 3" xfId="36614" xr:uid="{00000000-0005-0000-0000-0000257E0000}"/>
    <cellStyle name="표준 5 3 2 4 2 2 2 6 4" xfId="44807" xr:uid="{00000000-0005-0000-0000-0000267E0000}"/>
    <cellStyle name="표준 5 3 2 4 2 2 2 7" xfId="11809" xr:uid="{00000000-0005-0000-0000-0000277E0000}"/>
    <cellStyle name="표준 5 3 2 4 2 2 2 8" xfId="16049" xr:uid="{00000000-0005-0000-0000-0000287E0000}"/>
    <cellStyle name="표준 5 3 2 4 2 2 2 9" xfId="20211" xr:uid="{00000000-0005-0000-0000-0000297E0000}"/>
    <cellStyle name="표준 5 3 2 4 2 2 3" xfId="1098" xr:uid="{00000000-0005-0000-0000-00002A7E0000}"/>
    <cellStyle name="표준 5 3 2 4 2 2 3 2" xfId="10001" xr:uid="{00000000-0005-0000-0000-00002B7E0000}"/>
    <cellStyle name="표준 5 3 2 4 2 2 3 2 2" xfId="14113" xr:uid="{00000000-0005-0000-0000-00002C7E0000}"/>
    <cellStyle name="표준 5 3 2 4 2 2 3 2 2 2" xfId="30707" xr:uid="{00000000-0005-0000-0000-00002D7E0000}"/>
    <cellStyle name="표준 5 3 2 4 2 2 3 2 2 3" xfId="38918" xr:uid="{00000000-0005-0000-0000-00002E7E0000}"/>
    <cellStyle name="표준 5 3 2 4 2 2 3 2 2 4" xfId="47111" xr:uid="{00000000-0005-0000-0000-00002F7E0000}"/>
    <cellStyle name="표준 5 3 2 4 2 2 3 2 3" xfId="18353" xr:uid="{00000000-0005-0000-0000-0000307E0000}"/>
    <cellStyle name="표준 5 3 2 4 2 2 3 2 4" xfId="22515" xr:uid="{00000000-0005-0000-0000-0000317E0000}"/>
    <cellStyle name="표준 5 3 2 4 2 2 3 2 5" xfId="26611" xr:uid="{00000000-0005-0000-0000-0000327E0000}"/>
    <cellStyle name="표준 5 3 2 4 2 2 3 2 6" xfId="34822" xr:uid="{00000000-0005-0000-0000-0000337E0000}"/>
    <cellStyle name="표준 5 3 2 4 2 2 3 2 7" xfId="43015" xr:uid="{00000000-0005-0000-0000-0000347E0000}"/>
    <cellStyle name="표준 5 3 2 4 2 2 3 3" xfId="7953" xr:uid="{00000000-0005-0000-0000-0000357E0000}"/>
    <cellStyle name="표준 5 3 2 4 2 2 3 3 2" xfId="28659" xr:uid="{00000000-0005-0000-0000-0000367E0000}"/>
    <cellStyle name="표준 5 3 2 4 2 2 3 3 3" xfId="36870" xr:uid="{00000000-0005-0000-0000-0000377E0000}"/>
    <cellStyle name="표준 5 3 2 4 2 2 3 3 4" xfId="45063" xr:uid="{00000000-0005-0000-0000-0000387E0000}"/>
    <cellStyle name="표준 5 3 2 4 2 2 3 4" xfId="12065" xr:uid="{00000000-0005-0000-0000-0000397E0000}"/>
    <cellStyle name="표준 5 3 2 4 2 2 3 5" xfId="16305" xr:uid="{00000000-0005-0000-0000-00003A7E0000}"/>
    <cellStyle name="표준 5 3 2 4 2 2 3 6" xfId="20467" xr:uid="{00000000-0005-0000-0000-00003B7E0000}"/>
    <cellStyle name="표준 5 3 2 4 2 2 3 7" xfId="24563" xr:uid="{00000000-0005-0000-0000-00003C7E0000}"/>
    <cellStyle name="표준 5 3 2 4 2 2 3 8" xfId="32774" xr:uid="{00000000-0005-0000-0000-00003D7E0000}"/>
    <cellStyle name="표준 5 3 2 4 2 2 3 9" xfId="40967" xr:uid="{00000000-0005-0000-0000-00003E7E0000}"/>
    <cellStyle name="표준 5 3 2 4 2 2 4" xfId="1610" xr:uid="{00000000-0005-0000-0000-00003F7E0000}"/>
    <cellStyle name="표준 5 3 2 4 2 2 4 2" xfId="10513" xr:uid="{00000000-0005-0000-0000-0000407E0000}"/>
    <cellStyle name="표준 5 3 2 4 2 2 4 2 2" xfId="14625" xr:uid="{00000000-0005-0000-0000-0000417E0000}"/>
    <cellStyle name="표준 5 3 2 4 2 2 4 2 2 2" xfId="31219" xr:uid="{00000000-0005-0000-0000-0000427E0000}"/>
    <cellStyle name="표준 5 3 2 4 2 2 4 2 2 3" xfId="39430" xr:uid="{00000000-0005-0000-0000-0000437E0000}"/>
    <cellStyle name="표준 5 3 2 4 2 2 4 2 2 4" xfId="47623" xr:uid="{00000000-0005-0000-0000-0000447E0000}"/>
    <cellStyle name="표준 5 3 2 4 2 2 4 2 3" xfId="18865" xr:uid="{00000000-0005-0000-0000-0000457E0000}"/>
    <cellStyle name="표준 5 3 2 4 2 2 4 2 4" xfId="23027" xr:uid="{00000000-0005-0000-0000-0000467E0000}"/>
    <cellStyle name="표준 5 3 2 4 2 2 4 2 5" xfId="27123" xr:uid="{00000000-0005-0000-0000-0000477E0000}"/>
    <cellStyle name="표준 5 3 2 4 2 2 4 2 6" xfId="35334" xr:uid="{00000000-0005-0000-0000-0000487E0000}"/>
    <cellStyle name="표준 5 3 2 4 2 2 4 2 7" xfId="43527" xr:uid="{00000000-0005-0000-0000-0000497E0000}"/>
    <cellStyle name="표준 5 3 2 4 2 2 4 3" xfId="8465" xr:uid="{00000000-0005-0000-0000-00004A7E0000}"/>
    <cellStyle name="표준 5 3 2 4 2 2 4 3 2" xfId="29171" xr:uid="{00000000-0005-0000-0000-00004B7E0000}"/>
    <cellStyle name="표준 5 3 2 4 2 2 4 3 3" xfId="37382" xr:uid="{00000000-0005-0000-0000-00004C7E0000}"/>
    <cellStyle name="표준 5 3 2 4 2 2 4 3 4" xfId="45575" xr:uid="{00000000-0005-0000-0000-00004D7E0000}"/>
    <cellStyle name="표준 5 3 2 4 2 2 4 4" xfId="12577" xr:uid="{00000000-0005-0000-0000-00004E7E0000}"/>
    <cellStyle name="표준 5 3 2 4 2 2 4 5" xfId="16817" xr:uid="{00000000-0005-0000-0000-00004F7E0000}"/>
    <cellStyle name="표준 5 3 2 4 2 2 4 6" xfId="20979" xr:uid="{00000000-0005-0000-0000-0000507E0000}"/>
    <cellStyle name="표준 5 3 2 4 2 2 4 7" xfId="25075" xr:uid="{00000000-0005-0000-0000-0000517E0000}"/>
    <cellStyle name="표준 5 3 2 4 2 2 4 8" xfId="33286" xr:uid="{00000000-0005-0000-0000-0000527E0000}"/>
    <cellStyle name="표준 5 3 2 4 2 2 4 9" xfId="41479" xr:uid="{00000000-0005-0000-0000-0000537E0000}"/>
    <cellStyle name="표준 5 3 2 4 2 2 5" xfId="2122" xr:uid="{00000000-0005-0000-0000-0000547E0000}"/>
    <cellStyle name="표준 5 3 2 4 2 2 5 2" xfId="11025" xr:uid="{00000000-0005-0000-0000-0000557E0000}"/>
    <cellStyle name="표준 5 3 2 4 2 2 5 2 2" xfId="15137" xr:uid="{00000000-0005-0000-0000-0000567E0000}"/>
    <cellStyle name="표준 5 3 2 4 2 2 5 2 2 2" xfId="31731" xr:uid="{00000000-0005-0000-0000-0000577E0000}"/>
    <cellStyle name="표준 5 3 2 4 2 2 5 2 2 3" xfId="39942" xr:uid="{00000000-0005-0000-0000-0000587E0000}"/>
    <cellStyle name="표준 5 3 2 4 2 2 5 2 2 4" xfId="48135" xr:uid="{00000000-0005-0000-0000-0000597E0000}"/>
    <cellStyle name="표준 5 3 2 4 2 2 5 2 3" xfId="19377" xr:uid="{00000000-0005-0000-0000-00005A7E0000}"/>
    <cellStyle name="표준 5 3 2 4 2 2 5 2 4" xfId="23539" xr:uid="{00000000-0005-0000-0000-00005B7E0000}"/>
    <cellStyle name="표준 5 3 2 4 2 2 5 2 5" xfId="27635" xr:uid="{00000000-0005-0000-0000-00005C7E0000}"/>
    <cellStyle name="표준 5 3 2 4 2 2 5 2 6" xfId="35846" xr:uid="{00000000-0005-0000-0000-00005D7E0000}"/>
    <cellStyle name="표준 5 3 2 4 2 2 5 2 7" xfId="44039" xr:uid="{00000000-0005-0000-0000-00005E7E0000}"/>
    <cellStyle name="표준 5 3 2 4 2 2 5 3" xfId="8977" xr:uid="{00000000-0005-0000-0000-00005F7E0000}"/>
    <cellStyle name="표준 5 3 2 4 2 2 5 3 2" xfId="29683" xr:uid="{00000000-0005-0000-0000-0000607E0000}"/>
    <cellStyle name="표준 5 3 2 4 2 2 5 3 3" xfId="37894" xr:uid="{00000000-0005-0000-0000-0000617E0000}"/>
    <cellStyle name="표준 5 3 2 4 2 2 5 3 4" xfId="46087" xr:uid="{00000000-0005-0000-0000-0000627E0000}"/>
    <cellStyle name="표준 5 3 2 4 2 2 5 4" xfId="13089" xr:uid="{00000000-0005-0000-0000-0000637E0000}"/>
    <cellStyle name="표준 5 3 2 4 2 2 5 5" xfId="17329" xr:uid="{00000000-0005-0000-0000-0000647E0000}"/>
    <cellStyle name="표준 5 3 2 4 2 2 5 6" xfId="21491" xr:uid="{00000000-0005-0000-0000-0000657E0000}"/>
    <cellStyle name="표준 5 3 2 4 2 2 5 7" xfId="25587" xr:uid="{00000000-0005-0000-0000-0000667E0000}"/>
    <cellStyle name="표준 5 3 2 4 2 2 5 8" xfId="33798" xr:uid="{00000000-0005-0000-0000-0000677E0000}"/>
    <cellStyle name="표준 5 3 2 4 2 2 5 9" xfId="41991" xr:uid="{00000000-0005-0000-0000-0000687E0000}"/>
    <cellStyle name="표준 5 3 2 4 2 2 6" xfId="9489" xr:uid="{00000000-0005-0000-0000-0000697E0000}"/>
    <cellStyle name="표준 5 3 2 4 2 2 6 2" xfId="13601" xr:uid="{00000000-0005-0000-0000-00006A7E0000}"/>
    <cellStyle name="표준 5 3 2 4 2 2 6 2 2" xfId="30195" xr:uid="{00000000-0005-0000-0000-00006B7E0000}"/>
    <cellStyle name="표준 5 3 2 4 2 2 6 2 3" xfId="38406" xr:uid="{00000000-0005-0000-0000-00006C7E0000}"/>
    <cellStyle name="표준 5 3 2 4 2 2 6 2 4" xfId="46599" xr:uid="{00000000-0005-0000-0000-00006D7E0000}"/>
    <cellStyle name="표준 5 3 2 4 2 2 6 3" xfId="17841" xr:uid="{00000000-0005-0000-0000-00006E7E0000}"/>
    <cellStyle name="표준 5 3 2 4 2 2 6 4" xfId="22003" xr:uid="{00000000-0005-0000-0000-00006F7E0000}"/>
    <cellStyle name="표준 5 3 2 4 2 2 6 5" xfId="26099" xr:uid="{00000000-0005-0000-0000-0000707E0000}"/>
    <cellStyle name="표준 5 3 2 4 2 2 6 6" xfId="34310" xr:uid="{00000000-0005-0000-0000-0000717E0000}"/>
    <cellStyle name="표준 5 3 2 4 2 2 6 7" xfId="42503" xr:uid="{00000000-0005-0000-0000-0000727E0000}"/>
    <cellStyle name="표준 5 3 2 4 2 2 7" xfId="7441" xr:uid="{00000000-0005-0000-0000-0000737E0000}"/>
    <cellStyle name="표준 5 3 2 4 2 2 7 2" xfId="28147" xr:uid="{00000000-0005-0000-0000-0000747E0000}"/>
    <cellStyle name="표준 5 3 2 4 2 2 7 3" xfId="36358" xr:uid="{00000000-0005-0000-0000-0000757E0000}"/>
    <cellStyle name="표준 5 3 2 4 2 2 7 4" xfId="44551" xr:uid="{00000000-0005-0000-0000-0000767E0000}"/>
    <cellStyle name="표준 5 3 2 4 2 2 8" xfId="11553" xr:uid="{00000000-0005-0000-0000-0000777E0000}"/>
    <cellStyle name="표준 5 3 2 4 2 2 9" xfId="15793" xr:uid="{00000000-0005-0000-0000-0000787E0000}"/>
    <cellStyle name="표준 5 3 2 4 2 3" xfId="714" xr:uid="{00000000-0005-0000-0000-0000797E0000}"/>
    <cellStyle name="표준 5 3 2 4 2 3 10" xfId="24179" xr:uid="{00000000-0005-0000-0000-00007A7E0000}"/>
    <cellStyle name="표준 5 3 2 4 2 3 11" xfId="32390" xr:uid="{00000000-0005-0000-0000-00007B7E0000}"/>
    <cellStyle name="표준 5 3 2 4 2 3 12" xfId="40583" xr:uid="{00000000-0005-0000-0000-00007C7E0000}"/>
    <cellStyle name="표준 5 3 2 4 2 3 2" xfId="1226" xr:uid="{00000000-0005-0000-0000-00007D7E0000}"/>
    <cellStyle name="표준 5 3 2 4 2 3 2 2" xfId="10129" xr:uid="{00000000-0005-0000-0000-00007E7E0000}"/>
    <cellStyle name="표준 5 3 2 4 2 3 2 2 2" xfId="14241" xr:uid="{00000000-0005-0000-0000-00007F7E0000}"/>
    <cellStyle name="표준 5 3 2 4 2 3 2 2 2 2" xfId="30835" xr:uid="{00000000-0005-0000-0000-0000807E0000}"/>
    <cellStyle name="표준 5 3 2 4 2 3 2 2 2 3" xfId="39046" xr:uid="{00000000-0005-0000-0000-0000817E0000}"/>
    <cellStyle name="표준 5 3 2 4 2 3 2 2 2 4" xfId="47239" xr:uid="{00000000-0005-0000-0000-0000827E0000}"/>
    <cellStyle name="표준 5 3 2 4 2 3 2 2 3" xfId="18481" xr:uid="{00000000-0005-0000-0000-0000837E0000}"/>
    <cellStyle name="표준 5 3 2 4 2 3 2 2 4" xfId="22643" xr:uid="{00000000-0005-0000-0000-0000847E0000}"/>
    <cellStyle name="표준 5 3 2 4 2 3 2 2 5" xfId="26739" xr:uid="{00000000-0005-0000-0000-0000857E0000}"/>
    <cellStyle name="표준 5 3 2 4 2 3 2 2 6" xfId="34950" xr:uid="{00000000-0005-0000-0000-0000867E0000}"/>
    <cellStyle name="표준 5 3 2 4 2 3 2 2 7" xfId="43143" xr:uid="{00000000-0005-0000-0000-0000877E0000}"/>
    <cellStyle name="표준 5 3 2 4 2 3 2 3" xfId="8081" xr:uid="{00000000-0005-0000-0000-0000887E0000}"/>
    <cellStyle name="표준 5 3 2 4 2 3 2 3 2" xfId="28787" xr:uid="{00000000-0005-0000-0000-0000897E0000}"/>
    <cellStyle name="표준 5 3 2 4 2 3 2 3 3" xfId="36998" xr:uid="{00000000-0005-0000-0000-00008A7E0000}"/>
    <cellStyle name="표준 5 3 2 4 2 3 2 3 4" xfId="45191" xr:uid="{00000000-0005-0000-0000-00008B7E0000}"/>
    <cellStyle name="표준 5 3 2 4 2 3 2 4" xfId="12193" xr:uid="{00000000-0005-0000-0000-00008C7E0000}"/>
    <cellStyle name="표준 5 3 2 4 2 3 2 5" xfId="16433" xr:uid="{00000000-0005-0000-0000-00008D7E0000}"/>
    <cellStyle name="표준 5 3 2 4 2 3 2 6" xfId="20595" xr:uid="{00000000-0005-0000-0000-00008E7E0000}"/>
    <cellStyle name="표준 5 3 2 4 2 3 2 7" xfId="24691" xr:uid="{00000000-0005-0000-0000-00008F7E0000}"/>
    <cellStyle name="표준 5 3 2 4 2 3 2 8" xfId="32902" xr:uid="{00000000-0005-0000-0000-0000907E0000}"/>
    <cellStyle name="표준 5 3 2 4 2 3 2 9" xfId="41095" xr:uid="{00000000-0005-0000-0000-0000917E0000}"/>
    <cellStyle name="표준 5 3 2 4 2 3 3" xfId="1738" xr:uid="{00000000-0005-0000-0000-0000927E0000}"/>
    <cellStyle name="표준 5 3 2 4 2 3 3 2" xfId="10641" xr:uid="{00000000-0005-0000-0000-0000937E0000}"/>
    <cellStyle name="표준 5 3 2 4 2 3 3 2 2" xfId="14753" xr:uid="{00000000-0005-0000-0000-0000947E0000}"/>
    <cellStyle name="표준 5 3 2 4 2 3 3 2 2 2" xfId="31347" xr:uid="{00000000-0005-0000-0000-0000957E0000}"/>
    <cellStyle name="표준 5 3 2 4 2 3 3 2 2 3" xfId="39558" xr:uid="{00000000-0005-0000-0000-0000967E0000}"/>
    <cellStyle name="표준 5 3 2 4 2 3 3 2 2 4" xfId="47751" xr:uid="{00000000-0005-0000-0000-0000977E0000}"/>
    <cellStyle name="표준 5 3 2 4 2 3 3 2 3" xfId="18993" xr:uid="{00000000-0005-0000-0000-0000987E0000}"/>
    <cellStyle name="표준 5 3 2 4 2 3 3 2 4" xfId="23155" xr:uid="{00000000-0005-0000-0000-0000997E0000}"/>
    <cellStyle name="표준 5 3 2 4 2 3 3 2 5" xfId="27251" xr:uid="{00000000-0005-0000-0000-00009A7E0000}"/>
    <cellStyle name="표준 5 3 2 4 2 3 3 2 6" xfId="35462" xr:uid="{00000000-0005-0000-0000-00009B7E0000}"/>
    <cellStyle name="표준 5 3 2 4 2 3 3 2 7" xfId="43655" xr:uid="{00000000-0005-0000-0000-00009C7E0000}"/>
    <cellStyle name="표준 5 3 2 4 2 3 3 3" xfId="8593" xr:uid="{00000000-0005-0000-0000-00009D7E0000}"/>
    <cellStyle name="표준 5 3 2 4 2 3 3 3 2" xfId="29299" xr:uid="{00000000-0005-0000-0000-00009E7E0000}"/>
    <cellStyle name="표준 5 3 2 4 2 3 3 3 3" xfId="37510" xr:uid="{00000000-0005-0000-0000-00009F7E0000}"/>
    <cellStyle name="표준 5 3 2 4 2 3 3 3 4" xfId="45703" xr:uid="{00000000-0005-0000-0000-0000A07E0000}"/>
    <cellStyle name="표준 5 3 2 4 2 3 3 4" xfId="12705" xr:uid="{00000000-0005-0000-0000-0000A17E0000}"/>
    <cellStyle name="표준 5 3 2 4 2 3 3 5" xfId="16945" xr:uid="{00000000-0005-0000-0000-0000A27E0000}"/>
    <cellStyle name="표준 5 3 2 4 2 3 3 6" xfId="21107" xr:uid="{00000000-0005-0000-0000-0000A37E0000}"/>
    <cellStyle name="표준 5 3 2 4 2 3 3 7" xfId="25203" xr:uid="{00000000-0005-0000-0000-0000A47E0000}"/>
    <cellStyle name="표준 5 3 2 4 2 3 3 8" xfId="33414" xr:uid="{00000000-0005-0000-0000-0000A57E0000}"/>
    <cellStyle name="표준 5 3 2 4 2 3 3 9" xfId="41607" xr:uid="{00000000-0005-0000-0000-0000A67E0000}"/>
    <cellStyle name="표준 5 3 2 4 2 3 4" xfId="2250" xr:uid="{00000000-0005-0000-0000-0000A77E0000}"/>
    <cellStyle name="표준 5 3 2 4 2 3 4 2" xfId="11153" xr:uid="{00000000-0005-0000-0000-0000A87E0000}"/>
    <cellStyle name="표준 5 3 2 4 2 3 4 2 2" xfId="15265" xr:uid="{00000000-0005-0000-0000-0000A97E0000}"/>
    <cellStyle name="표준 5 3 2 4 2 3 4 2 2 2" xfId="31859" xr:uid="{00000000-0005-0000-0000-0000AA7E0000}"/>
    <cellStyle name="표준 5 3 2 4 2 3 4 2 2 3" xfId="40070" xr:uid="{00000000-0005-0000-0000-0000AB7E0000}"/>
    <cellStyle name="표준 5 3 2 4 2 3 4 2 2 4" xfId="48263" xr:uid="{00000000-0005-0000-0000-0000AC7E0000}"/>
    <cellStyle name="표준 5 3 2 4 2 3 4 2 3" xfId="19505" xr:uid="{00000000-0005-0000-0000-0000AD7E0000}"/>
    <cellStyle name="표준 5 3 2 4 2 3 4 2 4" xfId="23667" xr:uid="{00000000-0005-0000-0000-0000AE7E0000}"/>
    <cellStyle name="표준 5 3 2 4 2 3 4 2 5" xfId="27763" xr:uid="{00000000-0005-0000-0000-0000AF7E0000}"/>
    <cellStyle name="표준 5 3 2 4 2 3 4 2 6" xfId="35974" xr:uid="{00000000-0005-0000-0000-0000B07E0000}"/>
    <cellStyle name="표준 5 3 2 4 2 3 4 2 7" xfId="44167" xr:uid="{00000000-0005-0000-0000-0000B17E0000}"/>
    <cellStyle name="표준 5 3 2 4 2 3 4 3" xfId="9105" xr:uid="{00000000-0005-0000-0000-0000B27E0000}"/>
    <cellStyle name="표준 5 3 2 4 2 3 4 3 2" xfId="29811" xr:uid="{00000000-0005-0000-0000-0000B37E0000}"/>
    <cellStyle name="표준 5 3 2 4 2 3 4 3 3" xfId="38022" xr:uid="{00000000-0005-0000-0000-0000B47E0000}"/>
    <cellStyle name="표준 5 3 2 4 2 3 4 3 4" xfId="46215" xr:uid="{00000000-0005-0000-0000-0000B57E0000}"/>
    <cellStyle name="표준 5 3 2 4 2 3 4 4" xfId="13217" xr:uid="{00000000-0005-0000-0000-0000B67E0000}"/>
    <cellStyle name="표준 5 3 2 4 2 3 4 5" xfId="17457" xr:uid="{00000000-0005-0000-0000-0000B77E0000}"/>
    <cellStyle name="표준 5 3 2 4 2 3 4 6" xfId="21619" xr:uid="{00000000-0005-0000-0000-0000B87E0000}"/>
    <cellStyle name="표준 5 3 2 4 2 3 4 7" xfId="25715" xr:uid="{00000000-0005-0000-0000-0000B97E0000}"/>
    <cellStyle name="표준 5 3 2 4 2 3 4 8" xfId="33926" xr:uid="{00000000-0005-0000-0000-0000BA7E0000}"/>
    <cellStyle name="표준 5 3 2 4 2 3 4 9" xfId="42119" xr:uid="{00000000-0005-0000-0000-0000BB7E0000}"/>
    <cellStyle name="표준 5 3 2 4 2 3 5" xfId="9617" xr:uid="{00000000-0005-0000-0000-0000BC7E0000}"/>
    <cellStyle name="표준 5 3 2 4 2 3 5 2" xfId="13729" xr:uid="{00000000-0005-0000-0000-0000BD7E0000}"/>
    <cellStyle name="표준 5 3 2 4 2 3 5 2 2" xfId="30323" xr:uid="{00000000-0005-0000-0000-0000BE7E0000}"/>
    <cellStyle name="표준 5 3 2 4 2 3 5 2 3" xfId="38534" xr:uid="{00000000-0005-0000-0000-0000BF7E0000}"/>
    <cellStyle name="표준 5 3 2 4 2 3 5 2 4" xfId="46727" xr:uid="{00000000-0005-0000-0000-0000C07E0000}"/>
    <cellStyle name="표준 5 3 2 4 2 3 5 3" xfId="17969" xr:uid="{00000000-0005-0000-0000-0000C17E0000}"/>
    <cellStyle name="표준 5 3 2 4 2 3 5 4" xfId="22131" xr:uid="{00000000-0005-0000-0000-0000C27E0000}"/>
    <cellStyle name="표준 5 3 2 4 2 3 5 5" xfId="26227" xr:uid="{00000000-0005-0000-0000-0000C37E0000}"/>
    <cellStyle name="표준 5 3 2 4 2 3 5 6" xfId="34438" xr:uid="{00000000-0005-0000-0000-0000C47E0000}"/>
    <cellStyle name="표준 5 3 2 4 2 3 5 7" xfId="42631" xr:uid="{00000000-0005-0000-0000-0000C57E0000}"/>
    <cellStyle name="표준 5 3 2 4 2 3 6" xfId="7569" xr:uid="{00000000-0005-0000-0000-0000C67E0000}"/>
    <cellStyle name="표준 5 3 2 4 2 3 6 2" xfId="28275" xr:uid="{00000000-0005-0000-0000-0000C77E0000}"/>
    <cellStyle name="표준 5 3 2 4 2 3 6 3" xfId="36486" xr:uid="{00000000-0005-0000-0000-0000C87E0000}"/>
    <cellStyle name="표준 5 3 2 4 2 3 6 4" xfId="44679" xr:uid="{00000000-0005-0000-0000-0000C97E0000}"/>
    <cellStyle name="표준 5 3 2 4 2 3 7" xfId="11681" xr:uid="{00000000-0005-0000-0000-0000CA7E0000}"/>
    <cellStyle name="표준 5 3 2 4 2 3 8" xfId="15921" xr:uid="{00000000-0005-0000-0000-0000CB7E0000}"/>
    <cellStyle name="표준 5 3 2 4 2 3 9" xfId="20083" xr:uid="{00000000-0005-0000-0000-0000CC7E0000}"/>
    <cellStyle name="표준 5 3 2 4 2 4" xfId="970" xr:uid="{00000000-0005-0000-0000-0000CD7E0000}"/>
    <cellStyle name="표준 5 3 2 4 2 4 2" xfId="9873" xr:uid="{00000000-0005-0000-0000-0000CE7E0000}"/>
    <cellStyle name="표준 5 3 2 4 2 4 2 2" xfId="13985" xr:uid="{00000000-0005-0000-0000-0000CF7E0000}"/>
    <cellStyle name="표준 5 3 2 4 2 4 2 2 2" xfId="30579" xr:uid="{00000000-0005-0000-0000-0000D07E0000}"/>
    <cellStyle name="표준 5 3 2 4 2 4 2 2 3" xfId="38790" xr:uid="{00000000-0005-0000-0000-0000D17E0000}"/>
    <cellStyle name="표준 5 3 2 4 2 4 2 2 4" xfId="46983" xr:uid="{00000000-0005-0000-0000-0000D27E0000}"/>
    <cellStyle name="표준 5 3 2 4 2 4 2 3" xfId="18225" xr:uid="{00000000-0005-0000-0000-0000D37E0000}"/>
    <cellStyle name="표준 5 3 2 4 2 4 2 4" xfId="22387" xr:uid="{00000000-0005-0000-0000-0000D47E0000}"/>
    <cellStyle name="표준 5 3 2 4 2 4 2 5" xfId="26483" xr:uid="{00000000-0005-0000-0000-0000D57E0000}"/>
    <cellStyle name="표준 5 3 2 4 2 4 2 6" xfId="34694" xr:uid="{00000000-0005-0000-0000-0000D67E0000}"/>
    <cellStyle name="표준 5 3 2 4 2 4 2 7" xfId="42887" xr:uid="{00000000-0005-0000-0000-0000D77E0000}"/>
    <cellStyle name="표준 5 3 2 4 2 4 3" xfId="7825" xr:uid="{00000000-0005-0000-0000-0000D87E0000}"/>
    <cellStyle name="표준 5 3 2 4 2 4 3 2" xfId="28531" xr:uid="{00000000-0005-0000-0000-0000D97E0000}"/>
    <cellStyle name="표준 5 3 2 4 2 4 3 3" xfId="36742" xr:uid="{00000000-0005-0000-0000-0000DA7E0000}"/>
    <cellStyle name="표준 5 3 2 4 2 4 3 4" xfId="44935" xr:uid="{00000000-0005-0000-0000-0000DB7E0000}"/>
    <cellStyle name="표준 5 3 2 4 2 4 4" xfId="11937" xr:uid="{00000000-0005-0000-0000-0000DC7E0000}"/>
    <cellStyle name="표준 5 3 2 4 2 4 5" xfId="16177" xr:uid="{00000000-0005-0000-0000-0000DD7E0000}"/>
    <cellStyle name="표준 5 3 2 4 2 4 6" xfId="20339" xr:uid="{00000000-0005-0000-0000-0000DE7E0000}"/>
    <cellStyle name="표준 5 3 2 4 2 4 7" xfId="24435" xr:uid="{00000000-0005-0000-0000-0000DF7E0000}"/>
    <cellStyle name="표준 5 3 2 4 2 4 8" xfId="32646" xr:uid="{00000000-0005-0000-0000-0000E07E0000}"/>
    <cellStyle name="표준 5 3 2 4 2 4 9" xfId="40839" xr:uid="{00000000-0005-0000-0000-0000E17E0000}"/>
    <cellStyle name="표준 5 3 2 4 2 5" xfId="1482" xr:uid="{00000000-0005-0000-0000-0000E27E0000}"/>
    <cellStyle name="표준 5 3 2 4 2 5 2" xfId="10385" xr:uid="{00000000-0005-0000-0000-0000E37E0000}"/>
    <cellStyle name="표준 5 3 2 4 2 5 2 2" xfId="14497" xr:uid="{00000000-0005-0000-0000-0000E47E0000}"/>
    <cellStyle name="표준 5 3 2 4 2 5 2 2 2" xfId="31091" xr:uid="{00000000-0005-0000-0000-0000E57E0000}"/>
    <cellStyle name="표준 5 3 2 4 2 5 2 2 3" xfId="39302" xr:uid="{00000000-0005-0000-0000-0000E67E0000}"/>
    <cellStyle name="표준 5 3 2 4 2 5 2 2 4" xfId="47495" xr:uid="{00000000-0005-0000-0000-0000E77E0000}"/>
    <cellStyle name="표준 5 3 2 4 2 5 2 3" xfId="18737" xr:uid="{00000000-0005-0000-0000-0000E87E0000}"/>
    <cellStyle name="표준 5 3 2 4 2 5 2 4" xfId="22899" xr:uid="{00000000-0005-0000-0000-0000E97E0000}"/>
    <cellStyle name="표준 5 3 2 4 2 5 2 5" xfId="26995" xr:uid="{00000000-0005-0000-0000-0000EA7E0000}"/>
    <cellStyle name="표준 5 3 2 4 2 5 2 6" xfId="35206" xr:uid="{00000000-0005-0000-0000-0000EB7E0000}"/>
    <cellStyle name="표준 5 3 2 4 2 5 2 7" xfId="43399" xr:uid="{00000000-0005-0000-0000-0000EC7E0000}"/>
    <cellStyle name="표준 5 3 2 4 2 5 3" xfId="8337" xr:uid="{00000000-0005-0000-0000-0000ED7E0000}"/>
    <cellStyle name="표준 5 3 2 4 2 5 3 2" xfId="29043" xr:uid="{00000000-0005-0000-0000-0000EE7E0000}"/>
    <cellStyle name="표준 5 3 2 4 2 5 3 3" xfId="37254" xr:uid="{00000000-0005-0000-0000-0000EF7E0000}"/>
    <cellStyle name="표준 5 3 2 4 2 5 3 4" xfId="45447" xr:uid="{00000000-0005-0000-0000-0000F07E0000}"/>
    <cellStyle name="표준 5 3 2 4 2 5 4" xfId="12449" xr:uid="{00000000-0005-0000-0000-0000F17E0000}"/>
    <cellStyle name="표준 5 3 2 4 2 5 5" xfId="16689" xr:uid="{00000000-0005-0000-0000-0000F27E0000}"/>
    <cellStyle name="표준 5 3 2 4 2 5 6" xfId="20851" xr:uid="{00000000-0005-0000-0000-0000F37E0000}"/>
    <cellStyle name="표준 5 3 2 4 2 5 7" xfId="24947" xr:uid="{00000000-0005-0000-0000-0000F47E0000}"/>
    <cellStyle name="표준 5 3 2 4 2 5 8" xfId="33158" xr:uid="{00000000-0005-0000-0000-0000F57E0000}"/>
    <cellStyle name="표준 5 3 2 4 2 5 9" xfId="41351" xr:uid="{00000000-0005-0000-0000-0000F67E0000}"/>
    <cellStyle name="표준 5 3 2 4 2 6" xfId="1994" xr:uid="{00000000-0005-0000-0000-0000F77E0000}"/>
    <cellStyle name="표준 5 3 2 4 2 6 2" xfId="10897" xr:uid="{00000000-0005-0000-0000-0000F87E0000}"/>
    <cellStyle name="표준 5 3 2 4 2 6 2 2" xfId="15009" xr:uid="{00000000-0005-0000-0000-0000F97E0000}"/>
    <cellStyle name="표준 5 3 2 4 2 6 2 2 2" xfId="31603" xr:uid="{00000000-0005-0000-0000-0000FA7E0000}"/>
    <cellStyle name="표준 5 3 2 4 2 6 2 2 3" xfId="39814" xr:uid="{00000000-0005-0000-0000-0000FB7E0000}"/>
    <cellStyle name="표준 5 3 2 4 2 6 2 2 4" xfId="48007" xr:uid="{00000000-0005-0000-0000-0000FC7E0000}"/>
    <cellStyle name="표준 5 3 2 4 2 6 2 3" xfId="19249" xr:uid="{00000000-0005-0000-0000-0000FD7E0000}"/>
    <cellStyle name="표준 5 3 2 4 2 6 2 4" xfId="23411" xr:uid="{00000000-0005-0000-0000-0000FE7E0000}"/>
    <cellStyle name="표준 5 3 2 4 2 6 2 5" xfId="27507" xr:uid="{00000000-0005-0000-0000-0000FF7E0000}"/>
    <cellStyle name="표준 5 3 2 4 2 6 2 6" xfId="35718" xr:uid="{00000000-0005-0000-0000-0000007F0000}"/>
    <cellStyle name="표준 5 3 2 4 2 6 2 7" xfId="43911" xr:uid="{00000000-0005-0000-0000-0000017F0000}"/>
    <cellStyle name="표준 5 3 2 4 2 6 3" xfId="8849" xr:uid="{00000000-0005-0000-0000-0000027F0000}"/>
    <cellStyle name="표준 5 3 2 4 2 6 3 2" xfId="29555" xr:uid="{00000000-0005-0000-0000-0000037F0000}"/>
    <cellStyle name="표준 5 3 2 4 2 6 3 3" xfId="37766" xr:uid="{00000000-0005-0000-0000-0000047F0000}"/>
    <cellStyle name="표준 5 3 2 4 2 6 3 4" xfId="45959" xr:uid="{00000000-0005-0000-0000-0000057F0000}"/>
    <cellStyle name="표준 5 3 2 4 2 6 4" xfId="12961" xr:uid="{00000000-0005-0000-0000-0000067F0000}"/>
    <cellStyle name="표준 5 3 2 4 2 6 5" xfId="17201" xr:uid="{00000000-0005-0000-0000-0000077F0000}"/>
    <cellStyle name="표준 5 3 2 4 2 6 6" xfId="21363" xr:uid="{00000000-0005-0000-0000-0000087F0000}"/>
    <cellStyle name="표준 5 3 2 4 2 6 7" xfId="25459" xr:uid="{00000000-0005-0000-0000-0000097F0000}"/>
    <cellStyle name="표준 5 3 2 4 2 6 8" xfId="33670" xr:uid="{00000000-0005-0000-0000-00000A7F0000}"/>
    <cellStyle name="표준 5 3 2 4 2 6 9" xfId="41863" xr:uid="{00000000-0005-0000-0000-00000B7F0000}"/>
    <cellStyle name="표준 5 3 2 4 2 7" xfId="7054" xr:uid="{00000000-0005-0000-0000-00000C7F0000}"/>
    <cellStyle name="표준 5 3 2 4 2 7 2" xfId="9361" xr:uid="{00000000-0005-0000-0000-00000D7F0000}"/>
    <cellStyle name="표준 5 3 2 4 2 7 2 2" xfId="30067" xr:uid="{00000000-0005-0000-0000-00000E7F0000}"/>
    <cellStyle name="표준 5 3 2 4 2 7 2 3" xfId="38278" xr:uid="{00000000-0005-0000-0000-00000F7F0000}"/>
    <cellStyle name="표준 5 3 2 4 2 7 2 4" xfId="46471" xr:uid="{00000000-0005-0000-0000-0000107F0000}"/>
    <cellStyle name="표준 5 3 2 4 2 7 3" xfId="13473" xr:uid="{00000000-0005-0000-0000-0000117F0000}"/>
    <cellStyle name="표준 5 3 2 4 2 7 4" xfId="17713" xr:uid="{00000000-0005-0000-0000-0000127F0000}"/>
    <cellStyle name="표준 5 3 2 4 2 7 5" xfId="21875" xr:uid="{00000000-0005-0000-0000-0000137F0000}"/>
    <cellStyle name="표준 5 3 2 4 2 7 6" xfId="25971" xr:uid="{00000000-0005-0000-0000-0000147F0000}"/>
    <cellStyle name="표준 5 3 2 4 2 7 7" xfId="34182" xr:uid="{00000000-0005-0000-0000-0000157F0000}"/>
    <cellStyle name="표준 5 3 2 4 2 7 8" xfId="42375" xr:uid="{00000000-0005-0000-0000-0000167F0000}"/>
    <cellStyle name="표준 5 3 2 4 2 8" xfId="7124" xr:uid="{00000000-0005-0000-0000-0000177F0000}"/>
    <cellStyle name="표준 5 3 2 4 2 8 2" xfId="28019" xr:uid="{00000000-0005-0000-0000-0000187F0000}"/>
    <cellStyle name="표준 5 3 2 4 2 8 3" xfId="36230" xr:uid="{00000000-0005-0000-0000-0000197F0000}"/>
    <cellStyle name="표준 5 3 2 4 2 8 4" xfId="44423" xr:uid="{00000000-0005-0000-0000-00001A7F0000}"/>
    <cellStyle name="표준 5 3 2 4 2 9" xfId="7313" xr:uid="{00000000-0005-0000-0000-00001B7F0000}"/>
    <cellStyle name="표준 5 3 2 4 3" xfId="522" xr:uid="{00000000-0005-0000-0000-00001C7F0000}"/>
    <cellStyle name="표준 5 3 2 4 3 10" xfId="19891" xr:uid="{00000000-0005-0000-0000-00001D7F0000}"/>
    <cellStyle name="표준 5 3 2 4 3 11" xfId="23987" xr:uid="{00000000-0005-0000-0000-00001E7F0000}"/>
    <cellStyle name="표준 5 3 2 4 3 12" xfId="32198" xr:uid="{00000000-0005-0000-0000-00001F7F0000}"/>
    <cellStyle name="표준 5 3 2 4 3 13" xfId="40391" xr:uid="{00000000-0005-0000-0000-0000207F0000}"/>
    <cellStyle name="표준 5 3 2 4 3 2" xfId="778" xr:uid="{00000000-0005-0000-0000-0000217F0000}"/>
    <cellStyle name="표준 5 3 2 4 3 2 10" xfId="24243" xr:uid="{00000000-0005-0000-0000-0000227F0000}"/>
    <cellStyle name="표준 5 3 2 4 3 2 11" xfId="32454" xr:uid="{00000000-0005-0000-0000-0000237F0000}"/>
    <cellStyle name="표준 5 3 2 4 3 2 12" xfId="40647" xr:uid="{00000000-0005-0000-0000-0000247F0000}"/>
    <cellStyle name="표준 5 3 2 4 3 2 2" xfId="1290" xr:uid="{00000000-0005-0000-0000-0000257F0000}"/>
    <cellStyle name="표준 5 3 2 4 3 2 2 2" xfId="10193" xr:uid="{00000000-0005-0000-0000-0000267F0000}"/>
    <cellStyle name="표준 5 3 2 4 3 2 2 2 2" xfId="14305" xr:uid="{00000000-0005-0000-0000-0000277F0000}"/>
    <cellStyle name="표준 5 3 2 4 3 2 2 2 2 2" xfId="30899" xr:uid="{00000000-0005-0000-0000-0000287F0000}"/>
    <cellStyle name="표준 5 3 2 4 3 2 2 2 2 3" xfId="39110" xr:uid="{00000000-0005-0000-0000-0000297F0000}"/>
    <cellStyle name="표준 5 3 2 4 3 2 2 2 2 4" xfId="47303" xr:uid="{00000000-0005-0000-0000-00002A7F0000}"/>
    <cellStyle name="표준 5 3 2 4 3 2 2 2 3" xfId="18545" xr:uid="{00000000-0005-0000-0000-00002B7F0000}"/>
    <cellStyle name="표준 5 3 2 4 3 2 2 2 4" xfId="22707" xr:uid="{00000000-0005-0000-0000-00002C7F0000}"/>
    <cellStyle name="표준 5 3 2 4 3 2 2 2 5" xfId="26803" xr:uid="{00000000-0005-0000-0000-00002D7F0000}"/>
    <cellStyle name="표준 5 3 2 4 3 2 2 2 6" xfId="35014" xr:uid="{00000000-0005-0000-0000-00002E7F0000}"/>
    <cellStyle name="표준 5 3 2 4 3 2 2 2 7" xfId="43207" xr:uid="{00000000-0005-0000-0000-00002F7F0000}"/>
    <cellStyle name="표준 5 3 2 4 3 2 2 3" xfId="8145" xr:uid="{00000000-0005-0000-0000-0000307F0000}"/>
    <cellStyle name="표준 5 3 2 4 3 2 2 3 2" xfId="28851" xr:uid="{00000000-0005-0000-0000-0000317F0000}"/>
    <cellStyle name="표준 5 3 2 4 3 2 2 3 3" xfId="37062" xr:uid="{00000000-0005-0000-0000-0000327F0000}"/>
    <cellStyle name="표준 5 3 2 4 3 2 2 3 4" xfId="45255" xr:uid="{00000000-0005-0000-0000-0000337F0000}"/>
    <cellStyle name="표준 5 3 2 4 3 2 2 4" xfId="12257" xr:uid="{00000000-0005-0000-0000-0000347F0000}"/>
    <cellStyle name="표준 5 3 2 4 3 2 2 5" xfId="16497" xr:uid="{00000000-0005-0000-0000-0000357F0000}"/>
    <cellStyle name="표준 5 3 2 4 3 2 2 6" xfId="20659" xr:uid="{00000000-0005-0000-0000-0000367F0000}"/>
    <cellStyle name="표준 5 3 2 4 3 2 2 7" xfId="24755" xr:uid="{00000000-0005-0000-0000-0000377F0000}"/>
    <cellStyle name="표준 5 3 2 4 3 2 2 8" xfId="32966" xr:uid="{00000000-0005-0000-0000-0000387F0000}"/>
    <cellStyle name="표준 5 3 2 4 3 2 2 9" xfId="41159" xr:uid="{00000000-0005-0000-0000-0000397F0000}"/>
    <cellStyle name="표준 5 3 2 4 3 2 3" xfId="1802" xr:uid="{00000000-0005-0000-0000-00003A7F0000}"/>
    <cellStyle name="표준 5 3 2 4 3 2 3 2" xfId="10705" xr:uid="{00000000-0005-0000-0000-00003B7F0000}"/>
    <cellStyle name="표준 5 3 2 4 3 2 3 2 2" xfId="14817" xr:uid="{00000000-0005-0000-0000-00003C7F0000}"/>
    <cellStyle name="표준 5 3 2 4 3 2 3 2 2 2" xfId="31411" xr:uid="{00000000-0005-0000-0000-00003D7F0000}"/>
    <cellStyle name="표준 5 3 2 4 3 2 3 2 2 3" xfId="39622" xr:uid="{00000000-0005-0000-0000-00003E7F0000}"/>
    <cellStyle name="표준 5 3 2 4 3 2 3 2 2 4" xfId="47815" xr:uid="{00000000-0005-0000-0000-00003F7F0000}"/>
    <cellStyle name="표준 5 3 2 4 3 2 3 2 3" xfId="19057" xr:uid="{00000000-0005-0000-0000-0000407F0000}"/>
    <cellStyle name="표준 5 3 2 4 3 2 3 2 4" xfId="23219" xr:uid="{00000000-0005-0000-0000-0000417F0000}"/>
    <cellStyle name="표준 5 3 2 4 3 2 3 2 5" xfId="27315" xr:uid="{00000000-0005-0000-0000-0000427F0000}"/>
    <cellStyle name="표준 5 3 2 4 3 2 3 2 6" xfId="35526" xr:uid="{00000000-0005-0000-0000-0000437F0000}"/>
    <cellStyle name="표준 5 3 2 4 3 2 3 2 7" xfId="43719" xr:uid="{00000000-0005-0000-0000-0000447F0000}"/>
    <cellStyle name="표준 5 3 2 4 3 2 3 3" xfId="8657" xr:uid="{00000000-0005-0000-0000-0000457F0000}"/>
    <cellStyle name="표준 5 3 2 4 3 2 3 3 2" xfId="29363" xr:uid="{00000000-0005-0000-0000-0000467F0000}"/>
    <cellStyle name="표준 5 3 2 4 3 2 3 3 3" xfId="37574" xr:uid="{00000000-0005-0000-0000-0000477F0000}"/>
    <cellStyle name="표준 5 3 2 4 3 2 3 3 4" xfId="45767" xr:uid="{00000000-0005-0000-0000-0000487F0000}"/>
    <cellStyle name="표준 5 3 2 4 3 2 3 4" xfId="12769" xr:uid="{00000000-0005-0000-0000-0000497F0000}"/>
    <cellStyle name="표준 5 3 2 4 3 2 3 5" xfId="17009" xr:uid="{00000000-0005-0000-0000-00004A7F0000}"/>
    <cellStyle name="표준 5 3 2 4 3 2 3 6" xfId="21171" xr:uid="{00000000-0005-0000-0000-00004B7F0000}"/>
    <cellStyle name="표준 5 3 2 4 3 2 3 7" xfId="25267" xr:uid="{00000000-0005-0000-0000-00004C7F0000}"/>
    <cellStyle name="표준 5 3 2 4 3 2 3 8" xfId="33478" xr:uid="{00000000-0005-0000-0000-00004D7F0000}"/>
    <cellStyle name="표준 5 3 2 4 3 2 3 9" xfId="41671" xr:uid="{00000000-0005-0000-0000-00004E7F0000}"/>
    <cellStyle name="표준 5 3 2 4 3 2 4" xfId="2314" xr:uid="{00000000-0005-0000-0000-00004F7F0000}"/>
    <cellStyle name="표준 5 3 2 4 3 2 4 2" xfId="11217" xr:uid="{00000000-0005-0000-0000-0000507F0000}"/>
    <cellStyle name="표준 5 3 2 4 3 2 4 2 2" xfId="15329" xr:uid="{00000000-0005-0000-0000-0000517F0000}"/>
    <cellStyle name="표준 5 3 2 4 3 2 4 2 2 2" xfId="31923" xr:uid="{00000000-0005-0000-0000-0000527F0000}"/>
    <cellStyle name="표준 5 3 2 4 3 2 4 2 2 3" xfId="40134" xr:uid="{00000000-0005-0000-0000-0000537F0000}"/>
    <cellStyle name="표준 5 3 2 4 3 2 4 2 2 4" xfId="48327" xr:uid="{00000000-0005-0000-0000-0000547F0000}"/>
    <cellStyle name="표준 5 3 2 4 3 2 4 2 3" xfId="19569" xr:uid="{00000000-0005-0000-0000-0000557F0000}"/>
    <cellStyle name="표준 5 3 2 4 3 2 4 2 4" xfId="23731" xr:uid="{00000000-0005-0000-0000-0000567F0000}"/>
    <cellStyle name="표준 5 3 2 4 3 2 4 2 5" xfId="27827" xr:uid="{00000000-0005-0000-0000-0000577F0000}"/>
    <cellStyle name="표준 5 3 2 4 3 2 4 2 6" xfId="36038" xr:uid="{00000000-0005-0000-0000-0000587F0000}"/>
    <cellStyle name="표준 5 3 2 4 3 2 4 2 7" xfId="44231" xr:uid="{00000000-0005-0000-0000-0000597F0000}"/>
    <cellStyle name="표준 5 3 2 4 3 2 4 3" xfId="9169" xr:uid="{00000000-0005-0000-0000-00005A7F0000}"/>
    <cellStyle name="표준 5 3 2 4 3 2 4 3 2" xfId="29875" xr:uid="{00000000-0005-0000-0000-00005B7F0000}"/>
    <cellStyle name="표준 5 3 2 4 3 2 4 3 3" xfId="38086" xr:uid="{00000000-0005-0000-0000-00005C7F0000}"/>
    <cellStyle name="표준 5 3 2 4 3 2 4 3 4" xfId="46279" xr:uid="{00000000-0005-0000-0000-00005D7F0000}"/>
    <cellStyle name="표준 5 3 2 4 3 2 4 4" xfId="13281" xr:uid="{00000000-0005-0000-0000-00005E7F0000}"/>
    <cellStyle name="표준 5 3 2 4 3 2 4 5" xfId="17521" xr:uid="{00000000-0005-0000-0000-00005F7F0000}"/>
    <cellStyle name="표준 5 3 2 4 3 2 4 6" xfId="21683" xr:uid="{00000000-0005-0000-0000-0000607F0000}"/>
    <cellStyle name="표준 5 3 2 4 3 2 4 7" xfId="25779" xr:uid="{00000000-0005-0000-0000-0000617F0000}"/>
    <cellStyle name="표준 5 3 2 4 3 2 4 8" xfId="33990" xr:uid="{00000000-0005-0000-0000-0000627F0000}"/>
    <cellStyle name="표준 5 3 2 4 3 2 4 9" xfId="42183" xr:uid="{00000000-0005-0000-0000-0000637F0000}"/>
    <cellStyle name="표준 5 3 2 4 3 2 5" xfId="9681" xr:uid="{00000000-0005-0000-0000-0000647F0000}"/>
    <cellStyle name="표준 5 3 2 4 3 2 5 2" xfId="13793" xr:uid="{00000000-0005-0000-0000-0000657F0000}"/>
    <cellStyle name="표준 5 3 2 4 3 2 5 2 2" xfId="30387" xr:uid="{00000000-0005-0000-0000-0000667F0000}"/>
    <cellStyle name="표준 5 3 2 4 3 2 5 2 3" xfId="38598" xr:uid="{00000000-0005-0000-0000-0000677F0000}"/>
    <cellStyle name="표준 5 3 2 4 3 2 5 2 4" xfId="46791" xr:uid="{00000000-0005-0000-0000-0000687F0000}"/>
    <cellStyle name="표준 5 3 2 4 3 2 5 3" xfId="18033" xr:uid="{00000000-0005-0000-0000-0000697F0000}"/>
    <cellStyle name="표준 5 3 2 4 3 2 5 4" xfId="22195" xr:uid="{00000000-0005-0000-0000-00006A7F0000}"/>
    <cellStyle name="표준 5 3 2 4 3 2 5 5" xfId="26291" xr:uid="{00000000-0005-0000-0000-00006B7F0000}"/>
    <cellStyle name="표준 5 3 2 4 3 2 5 6" xfId="34502" xr:uid="{00000000-0005-0000-0000-00006C7F0000}"/>
    <cellStyle name="표준 5 3 2 4 3 2 5 7" xfId="42695" xr:uid="{00000000-0005-0000-0000-00006D7F0000}"/>
    <cellStyle name="표준 5 3 2 4 3 2 6" xfId="7633" xr:uid="{00000000-0005-0000-0000-00006E7F0000}"/>
    <cellStyle name="표준 5 3 2 4 3 2 6 2" xfId="28339" xr:uid="{00000000-0005-0000-0000-00006F7F0000}"/>
    <cellStyle name="표준 5 3 2 4 3 2 6 3" xfId="36550" xr:uid="{00000000-0005-0000-0000-0000707F0000}"/>
    <cellStyle name="표준 5 3 2 4 3 2 6 4" xfId="44743" xr:uid="{00000000-0005-0000-0000-0000717F0000}"/>
    <cellStyle name="표준 5 3 2 4 3 2 7" xfId="11745" xr:uid="{00000000-0005-0000-0000-0000727F0000}"/>
    <cellStyle name="표준 5 3 2 4 3 2 8" xfId="15985" xr:uid="{00000000-0005-0000-0000-0000737F0000}"/>
    <cellStyle name="표준 5 3 2 4 3 2 9" xfId="20147" xr:uid="{00000000-0005-0000-0000-0000747F0000}"/>
    <cellStyle name="표준 5 3 2 4 3 3" xfId="1034" xr:uid="{00000000-0005-0000-0000-0000757F0000}"/>
    <cellStyle name="표준 5 3 2 4 3 3 2" xfId="9937" xr:uid="{00000000-0005-0000-0000-0000767F0000}"/>
    <cellStyle name="표준 5 3 2 4 3 3 2 2" xfId="14049" xr:uid="{00000000-0005-0000-0000-0000777F0000}"/>
    <cellStyle name="표준 5 3 2 4 3 3 2 2 2" xfId="30643" xr:uid="{00000000-0005-0000-0000-0000787F0000}"/>
    <cellStyle name="표준 5 3 2 4 3 3 2 2 3" xfId="38854" xr:uid="{00000000-0005-0000-0000-0000797F0000}"/>
    <cellStyle name="표준 5 3 2 4 3 3 2 2 4" xfId="47047" xr:uid="{00000000-0005-0000-0000-00007A7F0000}"/>
    <cellStyle name="표준 5 3 2 4 3 3 2 3" xfId="18289" xr:uid="{00000000-0005-0000-0000-00007B7F0000}"/>
    <cellStyle name="표준 5 3 2 4 3 3 2 4" xfId="22451" xr:uid="{00000000-0005-0000-0000-00007C7F0000}"/>
    <cellStyle name="표준 5 3 2 4 3 3 2 5" xfId="26547" xr:uid="{00000000-0005-0000-0000-00007D7F0000}"/>
    <cellStyle name="표준 5 3 2 4 3 3 2 6" xfId="34758" xr:uid="{00000000-0005-0000-0000-00007E7F0000}"/>
    <cellStyle name="표준 5 3 2 4 3 3 2 7" xfId="42951" xr:uid="{00000000-0005-0000-0000-00007F7F0000}"/>
    <cellStyle name="표준 5 3 2 4 3 3 3" xfId="7889" xr:uid="{00000000-0005-0000-0000-0000807F0000}"/>
    <cellStyle name="표준 5 3 2 4 3 3 3 2" xfId="28595" xr:uid="{00000000-0005-0000-0000-0000817F0000}"/>
    <cellStyle name="표준 5 3 2 4 3 3 3 3" xfId="36806" xr:uid="{00000000-0005-0000-0000-0000827F0000}"/>
    <cellStyle name="표준 5 3 2 4 3 3 3 4" xfId="44999" xr:uid="{00000000-0005-0000-0000-0000837F0000}"/>
    <cellStyle name="표준 5 3 2 4 3 3 4" xfId="12001" xr:uid="{00000000-0005-0000-0000-0000847F0000}"/>
    <cellStyle name="표준 5 3 2 4 3 3 5" xfId="16241" xr:uid="{00000000-0005-0000-0000-0000857F0000}"/>
    <cellStyle name="표준 5 3 2 4 3 3 6" xfId="20403" xr:uid="{00000000-0005-0000-0000-0000867F0000}"/>
    <cellStyle name="표준 5 3 2 4 3 3 7" xfId="24499" xr:uid="{00000000-0005-0000-0000-0000877F0000}"/>
    <cellStyle name="표준 5 3 2 4 3 3 8" xfId="32710" xr:uid="{00000000-0005-0000-0000-0000887F0000}"/>
    <cellStyle name="표준 5 3 2 4 3 3 9" xfId="40903" xr:uid="{00000000-0005-0000-0000-0000897F0000}"/>
    <cellStyle name="표준 5 3 2 4 3 4" xfId="1546" xr:uid="{00000000-0005-0000-0000-00008A7F0000}"/>
    <cellStyle name="표준 5 3 2 4 3 4 2" xfId="10449" xr:uid="{00000000-0005-0000-0000-00008B7F0000}"/>
    <cellStyle name="표준 5 3 2 4 3 4 2 2" xfId="14561" xr:uid="{00000000-0005-0000-0000-00008C7F0000}"/>
    <cellStyle name="표준 5 3 2 4 3 4 2 2 2" xfId="31155" xr:uid="{00000000-0005-0000-0000-00008D7F0000}"/>
    <cellStyle name="표준 5 3 2 4 3 4 2 2 3" xfId="39366" xr:uid="{00000000-0005-0000-0000-00008E7F0000}"/>
    <cellStyle name="표준 5 3 2 4 3 4 2 2 4" xfId="47559" xr:uid="{00000000-0005-0000-0000-00008F7F0000}"/>
    <cellStyle name="표준 5 3 2 4 3 4 2 3" xfId="18801" xr:uid="{00000000-0005-0000-0000-0000907F0000}"/>
    <cellStyle name="표준 5 3 2 4 3 4 2 4" xfId="22963" xr:uid="{00000000-0005-0000-0000-0000917F0000}"/>
    <cellStyle name="표준 5 3 2 4 3 4 2 5" xfId="27059" xr:uid="{00000000-0005-0000-0000-0000927F0000}"/>
    <cellStyle name="표준 5 3 2 4 3 4 2 6" xfId="35270" xr:uid="{00000000-0005-0000-0000-0000937F0000}"/>
    <cellStyle name="표준 5 3 2 4 3 4 2 7" xfId="43463" xr:uid="{00000000-0005-0000-0000-0000947F0000}"/>
    <cellStyle name="표준 5 3 2 4 3 4 3" xfId="8401" xr:uid="{00000000-0005-0000-0000-0000957F0000}"/>
    <cellStyle name="표준 5 3 2 4 3 4 3 2" xfId="29107" xr:uid="{00000000-0005-0000-0000-0000967F0000}"/>
    <cellStyle name="표준 5 3 2 4 3 4 3 3" xfId="37318" xr:uid="{00000000-0005-0000-0000-0000977F0000}"/>
    <cellStyle name="표준 5 3 2 4 3 4 3 4" xfId="45511" xr:uid="{00000000-0005-0000-0000-0000987F0000}"/>
    <cellStyle name="표준 5 3 2 4 3 4 4" xfId="12513" xr:uid="{00000000-0005-0000-0000-0000997F0000}"/>
    <cellStyle name="표준 5 3 2 4 3 4 5" xfId="16753" xr:uid="{00000000-0005-0000-0000-00009A7F0000}"/>
    <cellStyle name="표준 5 3 2 4 3 4 6" xfId="20915" xr:uid="{00000000-0005-0000-0000-00009B7F0000}"/>
    <cellStyle name="표준 5 3 2 4 3 4 7" xfId="25011" xr:uid="{00000000-0005-0000-0000-00009C7F0000}"/>
    <cellStyle name="표준 5 3 2 4 3 4 8" xfId="33222" xr:uid="{00000000-0005-0000-0000-00009D7F0000}"/>
    <cellStyle name="표준 5 3 2 4 3 4 9" xfId="41415" xr:uid="{00000000-0005-0000-0000-00009E7F0000}"/>
    <cellStyle name="표준 5 3 2 4 3 5" xfId="2058" xr:uid="{00000000-0005-0000-0000-00009F7F0000}"/>
    <cellStyle name="표준 5 3 2 4 3 5 2" xfId="10961" xr:uid="{00000000-0005-0000-0000-0000A07F0000}"/>
    <cellStyle name="표준 5 3 2 4 3 5 2 2" xfId="15073" xr:uid="{00000000-0005-0000-0000-0000A17F0000}"/>
    <cellStyle name="표준 5 3 2 4 3 5 2 2 2" xfId="31667" xr:uid="{00000000-0005-0000-0000-0000A27F0000}"/>
    <cellStyle name="표준 5 3 2 4 3 5 2 2 3" xfId="39878" xr:uid="{00000000-0005-0000-0000-0000A37F0000}"/>
    <cellStyle name="표준 5 3 2 4 3 5 2 2 4" xfId="48071" xr:uid="{00000000-0005-0000-0000-0000A47F0000}"/>
    <cellStyle name="표준 5 3 2 4 3 5 2 3" xfId="19313" xr:uid="{00000000-0005-0000-0000-0000A57F0000}"/>
    <cellStyle name="표준 5 3 2 4 3 5 2 4" xfId="23475" xr:uid="{00000000-0005-0000-0000-0000A67F0000}"/>
    <cellStyle name="표준 5 3 2 4 3 5 2 5" xfId="27571" xr:uid="{00000000-0005-0000-0000-0000A77F0000}"/>
    <cellStyle name="표준 5 3 2 4 3 5 2 6" xfId="35782" xr:uid="{00000000-0005-0000-0000-0000A87F0000}"/>
    <cellStyle name="표준 5 3 2 4 3 5 2 7" xfId="43975" xr:uid="{00000000-0005-0000-0000-0000A97F0000}"/>
    <cellStyle name="표준 5 3 2 4 3 5 3" xfId="8913" xr:uid="{00000000-0005-0000-0000-0000AA7F0000}"/>
    <cellStyle name="표준 5 3 2 4 3 5 3 2" xfId="29619" xr:uid="{00000000-0005-0000-0000-0000AB7F0000}"/>
    <cellStyle name="표준 5 3 2 4 3 5 3 3" xfId="37830" xr:uid="{00000000-0005-0000-0000-0000AC7F0000}"/>
    <cellStyle name="표준 5 3 2 4 3 5 3 4" xfId="46023" xr:uid="{00000000-0005-0000-0000-0000AD7F0000}"/>
    <cellStyle name="표준 5 3 2 4 3 5 4" xfId="13025" xr:uid="{00000000-0005-0000-0000-0000AE7F0000}"/>
    <cellStyle name="표준 5 3 2 4 3 5 5" xfId="17265" xr:uid="{00000000-0005-0000-0000-0000AF7F0000}"/>
    <cellStyle name="표준 5 3 2 4 3 5 6" xfId="21427" xr:uid="{00000000-0005-0000-0000-0000B07F0000}"/>
    <cellStyle name="표준 5 3 2 4 3 5 7" xfId="25523" xr:uid="{00000000-0005-0000-0000-0000B17F0000}"/>
    <cellStyle name="표준 5 3 2 4 3 5 8" xfId="33734" xr:uid="{00000000-0005-0000-0000-0000B27F0000}"/>
    <cellStyle name="표준 5 3 2 4 3 5 9" xfId="41927" xr:uid="{00000000-0005-0000-0000-0000B37F0000}"/>
    <cellStyle name="표준 5 3 2 4 3 6" xfId="9425" xr:uid="{00000000-0005-0000-0000-0000B47F0000}"/>
    <cellStyle name="표준 5 3 2 4 3 6 2" xfId="13537" xr:uid="{00000000-0005-0000-0000-0000B57F0000}"/>
    <cellStyle name="표준 5 3 2 4 3 6 2 2" xfId="30131" xr:uid="{00000000-0005-0000-0000-0000B67F0000}"/>
    <cellStyle name="표준 5 3 2 4 3 6 2 3" xfId="38342" xr:uid="{00000000-0005-0000-0000-0000B77F0000}"/>
    <cellStyle name="표준 5 3 2 4 3 6 2 4" xfId="46535" xr:uid="{00000000-0005-0000-0000-0000B87F0000}"/>
    <cellStyle name="표준 5 3 2 4 3 6 3" xfId="17777" xr:uid="{00000000-0005-0000-0000-0000B97F0000}"/>
    <cellStyle name="표준 5 3 2 4 3 6 4" xfId="21939" xr:uid="{00000000-0005-0000-0000-0000BA7F0000}"/>
    <cellStyle name="표준 5 3 2 4 3 6 5" xfId="26035" xr:uid="{00000000-0005-0000-0000-0000BB7F0000}"/>
    <cellStyle name="표준 5 3 2 4 3 6 6" xfId="34246" xr:uid="{00000000-0005-0000-0000-0000BC7F0000}"/>
    <cellStyle name="표준 5 3 2 4 3 6 7" xfId="42439" xr:uid="{00000000-0005-0000-0000-0000BD7F0000}"/>
    <cellStyle name="표준 5 3 2 4 3 7" xfId="7377" xr:uid="{00000000-0005-0000-0000-0000BE7F0000}"/>
    <cellStyle name="표준 5 3 2 4 3 7 2" xfId="28083" xr:uid="{00000000-0005-0000-0000-0000BF7F0000}"/>
    <cellStyle name="표준 5 3 2 4 3 7 3" xfId="36294" xr:uid="{00000000-0005-0000-0000-0000C07F0000}"/>
    <cellStyle name="표준 5 3 2 4 3 7 4" xfId="44487" xr:uid="{00000000-0005-0000-0000-0000C17F0000}"/>
    <cellStyle name="표준 5 3 2 4 3 8" xfId="11489" xr:uid="{00000000-0005-0000-0000-0000C27F0000}"/>
    <cellStyle name="표준 5 3 2 4 3 9" xfId="15729" xr:uid="{00000000-0005-0000-0000-0000C37F0000}"/>
    <cellStyle name="표준 5 3 2 4 4" xfId="650" xr:uid="{00000000-0005-0000-0000-0000C47F0000}"/>
    <cellStyle name="표준 5 3 2 4 4 10" xfId="24115" xr:uid="{00000000-0005-0000-0000-0000C57F0000}"/>
    <cellStyle name="표준 5 3 2 4 4 11" xfId="32326" xr:uid="{00000000-0005-0000-0000-0000C67F0000}"/>
    <cellStyle name="표준 5 3 2 4 4 12" xfId="40519" xr:uid="{00000000-0005-0000-0000-0000C77F0000}"/>
    <cellStyle name="표준 5 3 2 4 4 2" xfId="1162" xr:uid="{00000000-0005-0000-0000-0000C87F0000}"/>
    <cellStyle name="표준 5 3 2 4 4 2 2" xfId="10065" xr:uid="{00000000-0005-0000-0000-0000C97F0000}"/>
    <cellStyle name="표준 5 3 2 4 4 2 2 2" xfId="14177" xr:uid="{00000000-0005-0000-0000-0000CA7F0000}"/>
    <cellStyle name="표준 5 3 2 4 4 2 2 2 2" xfId="30771" xr:uid="{00000000-0005-0000-0000-0000CB7F0000}"/>
    <cellStyle name="표준 5 3 2 4 4 2 2 2 3" xfId="38982" xr:uid="{00000000-0005-0000-0000-0000CC7F0000}"/>
    <cellStyle name="표준 5 3 2 4 4 2 2 2 4" xfId="47175" xr:uid="{00000000-0005-0000-0000-0000CD7F0000}"/>
    <cellStyle name="표준 5 3 2 4 4 2 2 3" xfId="18417" xr:uid="{00000000-0005-0000-0000-0000CE7F0000}"/>
    <cellStyle name="표준 5 3 2 4 4 2 2 4" xfId="22579" xr:uid="{00000000-0005-0000-0000-0000CF7F0000}"/>
    <cellStyle name="표준 5 3 2 4 4 2 2 5" xfId="26675" xr:uid="{00000000-0005-0000-0000-0000D07F0000}"/>
    <cellStyle name="표준 5 3 2 4 4 2 2 6" xfId="34886" xr:uid="{00000000-0005-0000-0000-0000D17F0000}"/>
    <cellStyle name="표준 5 3 2 4 4 2 2 7" xfId="43079" xr:uid="{00000000-0005-0000-0000-0000D27F0000}"/>
    <cellStyle name="표준 5 3 2 4 4 2 3" xfId="8017" xr:uid="{00000000-0005-0000-0000-0000D37F0000}"/>
    <cellStyle name="표준 5 3 2 4 4 2 3 2" xfId="28723" xr:uid="{00000000-0005-0000-0000-0000D47F0000}"/>
    <cellStyle name="표준 5 3 2 4 4 2 3 3" xfId="36934" xr:uid="{00000000-0005-0000-0000-0000D57F0000}"/>
    <cellStyle name="표준 5 3 2 4 4 2 3 4" xfId="45127" xr:uid="{00000000-0005-0000-0000-0000D67F0000}"/>
    <cellStyle name="표준 5 3 2 4 4 2 4" xfId="12129" xr:uid="{00000000-0005-0000-0000-0000D77F0000}"/>
    <cellStyle name="표준 5 3 2 4 4 2 5" xfId="16369" xr:uid="{00000000-0005-0000-0000-0000D87F0000}"/>
    <cellStyle name="표준 5 3 2 4 4 2 6" xfId="20531" xr:uid="{00000000-0005-0000-0000-0000D97F0000}"/>
    <cellStyle name="표준 5 3 2 4 4 2 7" xfId="24627" xr:uid="{00000000-0005-0000-0000-0000DA7F0000}"/>
    <cellStyle name="표준 5 3 2 4 4 2 8" xfId="32838" xr:uid="{00000000-0005-0000-0000-0000DB7F0000}"/>
    <cellStyle name="표준 5 3 2 4 4 2 9" xfId="41031" xr:uid="{00000000-0005-0000-0000-0000DC7F0000}"/>
    <cellStyle name="표준 5 3 2 4 4 3" xfId="1674" xr:uid="{00000000-0005-0000-0000-0000DD7F0000}"/>
    <cellStyle name="표준 5 3 2 4 4 3 2" xfId="10577" xr:uid="{00000000-0005-0000-0000-0000DE7F0000}"/>
    <cellStyle name="표준 5 3 2 4 4 3 2 2" xfId="14689" xr:uid="{00000000-0005-0000-0000-0000DF7F0000}"/>
    <cellStyle name="표준 5 3 2 4 4 3 2 2 2" xfId="31283" xr:uid="{00000000-0005-0000-0000-0000E07F0000}"/>
    <cellStyle name="표준 5 3 2 4 4 3 2 2 3" xfId="39494" xr:uid="{00000000-0005-0000-0000-0000E17F0000}"/>
    <cellStyle name="표준 5 3 2 4 4 3 2 2 4" xfId="47687" xr:uid="{00000000-0005-0000-0000-0000E27F0000}"/>
    <cellStyle name="표준 5 3 2 4 4 3 2 3" xfId="18929" xr:uid="{00000000-0005-0000-0000-0000E37F0000}"/>
    <cellStyle name="표준 5 3 2 4 4 3 2 4" xfId="23091" xr:uid="{00000000-0005-0000-0000-0000E47F0000}"/>
    <cellStyle name="표준 5 3 2 4 4 3 2 5" xfId="27187" xr:uid="{00000000-0005-0000-0000-0000E57F0000}"/>
    <cellStyle name="표준 5 3 2 4 4 3 2 6" xfId="35398" xr:uid="{00000000-0005-0000-0000-0000E67F0000}"/>
    <cellStyle name="표준 5 3 2 4 4 3 2 7" xfId="43591" xr:uid="{00000000-0005-0000-0000-0000E77F0000}"/>
    <cellStyle name="표준 5 3 2 4 4 3 3" xfId="8529" xr:uid="{00000000-0005-0000-0000-0000E87F0000}"/>
    <cellStyle name="표준 5 3 2 4 4 3 3 2" xfId="29235" xr:uid="{00000000-0005-0000-0000-0000E97F0000}"/>
    <cellStyle name="표준 5 3 2 4 4 3 3 3" xfId="37446" xr:uid="{00000000-0005-0000-0000-0000EA7F0000}"/>
    <cellStyle name="표준 5 3 2 4 4 3 3 4" xfId="45639" xr:uid="{00000000-0005-0000-0000-0000EB7F0000}"/>
    <cellStyle name="표준 5 3 2 4 4 3 4" xfId="12641" xr:uid="{00000000-0005-0000-0000-0000EC7F0000}"/>
    <cellStyle name="표준 5 3 2 4 4 3 5" xfId="16881" xr:uid="{00000000-0005-0000-0000-0000ED7F0000}"/>
    <cellStyle name="표준 5 3 2 4 4 3 6" xfId="21043" xr:uid="{00000000-0005-0000-0000-0000EE7F0000}"/>
    <cellStyle name="표준 5 3 2 4 4 3 7" xfId="25139" xr:uid="{00000000-0005-0000-0000-0000EF7F0000}"/>
    <cellStyle name="표준 5 3 2 4 4 3 8" xfId="33350" xr:uid="{00000000-0005-0000-0000-0000F07F0000}"/>
    <cellStyle name="표준 5 3 2 4 4 3 9" xfId="41543" xr:uid="{00000000-0005-0000-0000-0000F17F0000}"/>
    <cellStyle name="표준 5 3 2 4 4 4" xfId="2186" xr:uid="{00000000-0005-0000-0000-0000F27F0000}"/>
    <cellStyle name="표준 5 3 2 4 4 4 2" xfId="11089" xr:uid="{00000000-0005-0000-0000-0000F37F0000}"/>
    <cellStyle name="표준 5 3 2 4 4 4 2 2" xfId="15201" xr:uid="{00000000-0005-0000-0000-0000F47F0000}"/>
    <cellStyle name="표준 5 3 2 4 4 4 2 2 2" xfId="31795" xr:uid="{00000000-0005-0000-0000-0000F57F0000}"/>
    <cellStyle name="표준 5 3 2 4 4 4 2 2 3" xfId="40006" xr:uid="{00000000-0005-0000-0000-0000F67F0000}"/>
    <cellStyle name="표준 5 3 2 4 4 4 2 2 4" xfId="48199" xr:uid="{00000000-0005-0000-0000-0000F77F0000}"/>
    <cellStyle name="표준 5 3 2 4 4 4 2 3" xfId="19441" xr:uid="{00000000-0005-0000-0000-0000F87F0000}"/>
    <cellStyle name="표준 5 3 2 4 4 4 2 4" xfId="23603" xr:uid="{00000000-0005-0000-0000-0000F97F0000}"/>
    <cellStyle name="표준 5 3 2 4 4 4 2 5" xfId="27699" xr:uid="{00000000-0005-0000-0000-0000FA7F0000}"/>
    <cellStyle name="표준 5 3 2 4 4 4 2 6" xfId="35910" xr:uid="{00000000-0005-0000-0000-0000FB7F0000}"/>
    <cellStyle name="표준 5 3 2 4 4 4 2 7" xfId="44103" xr:uid="{00000000-0005-0000-0000-0000FC7F0000}"/>
    <cellStyle name="표준 5 3 2 4 4 4 3" xfId="9041" xr:uid="{00000000-0005-0000-0000-0000FD7F0000}"/>
    <cellStyle name="표준 5 3 2 4 4 4 3 2" xfId="29747" xr:uid="{00000000-0005-0000-0000-0000FE7F0000}"/>
    <cellStyle name="표준 5 3 2 4 4 4 3 3" xfId="37958" xr:uid="{00000000-0005-0000-0000-0000FF7F0000}"/>
    <cellStyle name="표준 5 3 2 4 4 4 3 4" xfId="46151" xr:uid="{00000000-0005-0000-0000-000000800000}"/>
    <cellStyle name="표준 5 3 2 4 4 4 4" xfId="13153" xr:uid="{00000000-0005-0000-0000-000001800000}"/>
    <cellStyle name="표준 5 3 2 4 4 4 5" xfId="17393" xr:uid="{00000000-0005-0000-0000-000002800000}"/>
    <cellStyle name="표준 5 3 2 4 4 4 6" xfId="21555" xr:uid="{00000000-0005-0000-0000-000003800000}"/>
    <cellStyle name="표준 5 3 2 4 4 4 7" xfId="25651" xr:uid="{00000000-0005-0000-0000-000004800000}"/>
    <cellStyle name="표준 5 3 2 4 4 4 8" xfId="33862" xr:uid="{00000000-0005-0000-0000-000005800000}"/>
    <cellStyle name="표준 5 3 2 4 4 4 9" xfId="42055" xr:uid="{00000000-0005-0000-0000-000006800000}"/>
    <cellStyle name="표준 5 3 2 4 4 5" xfId="9553" xr:uid="{00000000-0005-0000-0000-000007800000}"/>
    <cellStyle name="표준 5 3 2 4 4 5 2" xfId="13665" xr:uid="{00000000-0005-0000-0000-000008800000}"/>
    <cellStyle name="표준 5 3 2 4 4 5 2 2" xfId="30259" xr:uid="{00000000-0005-0000-0000-000009800000}"/>
    <cellStyle name="표준 5 3 2 4 4 5 2 3" xfId="38470" xr:uid="{00000000-0005-0000-0000-00000A800000}"/>
    <cellStyle name="표준 5 3 2 4 4 5 2 4" xfId="46663" xr:uid="{00000000-0005-0000-0000-00000B800000}"/>
    <cellStyle name="표준 5 3 2 4 4 5 3" xfId="17905" xr:uid="{00000000-0005-0000-0000-00000C800000}"/>
    <cellStyle name="표준 5 3 2 4 4 5 4" xfId="22067" xr:uid="{00000000-0005-0000-0000-00000D800000}"/>
    <cellStyle name="표준 5 3 2 4 4 5 5" xfId="26163" xr:uid="{00000000-0005-0000-0000-00000E800000}"/>
    <cellStyle name="표준 5 3 2 4 4 5 6" xfId="34374" xr:uid="{00000000-0005-0000-0000-00000F800000}"/>
    <cellStyle name="표준 5 3 2 4 4 5 7" xfId="42567" xr:uid="{00000000-0005-0000-0000-000010800000}"/>
    <cellStyle name="표준 5 3 2 4 4 6" xfId="7505" xr:uid="{00000000-0005-0000-0000-000011800000}"/>
    <cellStyle name="표준 5 3 2 4 4 6 2" xfId="28211" xr:uid="{00000000-0005-0000-0000-000012800000}"/>
    <cellStyle name="표준 5 3 2 4 4 6 3" xfId="36422" xr:uid="{00000000-0005-0000-0000-000013800000}"/>
    <cellStyle name="표준 5 3 2 4 4 6 4" xfId="44615" xr:uid="{00000000-0005-0000-0000-000014800000}"/>
    <cellStyle name="표준 5 3 2 4 4 7" xfId="11617" xr:uid="{00000000-0005-0000-0000-000015800000}"/>
    <cellStyle name="표준 5 3 2 4 4 8" xfId="15857" xr:uid="{00000000-0005-0000-0000-000016800000}"/>
    <cellStyle name="표준 5 3 2 4 4 9" xfId="20019" xr:uid="{00000000-0005-0000-0000-000017800000}"/>
    <cellStyle name="표준 5 3 2 4 5" xfId="906" xr:uid="{00000000-0005-0000-0000-000018800000}"/>
    <cellStyle name="표준 5 3 2 4 5 2" xfId="9809" xr:uid="{00000000-0005-0000-0000-000019800000}"/>
    <cellStyle name="표준 5 3 2 4 5 2 2" xfId="13921" xr:uid="{00000000-0005-0000-0000-00001A800000}"/>
    <cellStyle name="표준 5 3 2 4 5 2 2 2" xfId="30515" xr:uid="{00000000-0005-0000-0000-00001B800000}"/>
    <cellStyle name="표준 5 3 2 4 5 2 2 3" xfId="38726" xr:uid="{00000000-0005-0000-0000-00001C800000}"/>
    <cellStyle name="표준 5 3 2 4 5 2 2 4" xfId="46919" xr:uid="{00000000-0005-0000-0000-00001D800000}"/>
    <cellStyle name="표준 5 3 2 4 5 2 3" xfId="18161" xr:uid="{00000000-0005-0000-0000-00001E800000}"/>
    <cellStyle name="표준 5 3 2 4 5 2 4" xfId="22323" xr:uid="{00000000-0005-0000-0000-00001F800000}"/>
    <cellStyle name="표준 5 3 2 4 5 2 5" xfId="26419" xr:uid="{00000000-0005-0000-0000-000020800000}"/>
    <cellStyle name="표준 5 3 2 4 5 2 6" xfId="34630" xr:uid="{00000000-0005-0000-0000-000021800000}"/>
    <cellStyle name="표준 5 3 2 4 5 2 7" xfId="42823" xr:uid="{00000000-0005-0000-0000-000022800000}"/>
    <cellStyle name="표준 5 3 2 4 5 3" xfId="7761" xr:uid="{00000000-0005-0000-0000-000023800000}"/>
    <cellStyle name="표준 5 3 2 4 5 3 2" xfId="28467" xr:uid="{00000000-0005-0000-0000-000024800000}"/>
    <cellStyle name="표준 5 3 2 4 5 3 3" xfId="36678" xr:uid="{00000000-0005-0000-0000-000025800000}"/>
    <cellStyle name="표준 5 3 2 4 5 3 4" xfId="44871" xr:uid="{00000000-0005-0000-0000-000026800000}"/>
    <cellStyle name="표준 5 3 2 4 5 4" xfId="11873" xr:uid="{00000000-0005-0000-0000-000027800000}"/>
    <cellStyle name="표준 5 3 2 4 5 5" xfId="16113" xr:uid="{00000000-0005-0000-0000-000028800000}"/>
    <cellStyle name="표준 5 3 2 4 5 6" xfId="20275" xr:uid="{00000000-0005-0000-0000-000029800000}"/>
    <cellStyle name="표준 5 3 2 4 5 7" xfId="24371" xr:uid="{00000000-0005-0000-0000-00002A800000}"/>
    <cellStyle name="표준 5 3 2 4 5 8" xfId="32582" xr:uid="{00000000-0005-0000-0000-00002B800000}"/>
    <cellStyle name="표준 5 3 2 4 5 9" xfId="40775" xr:uid="{00000000-0005-0000-0000-00002C800000}"/>
    <cellStyle name="표준 5 3 2 4 6" xfId="1418" xr:uid="{00000000-0005-0000-0000-00002D800000}"/>
    <cellStyle name="표준 5 3 2 4 6 2" xfId="10321" xr:uid="{00000000-0005-0000-0000-00002E800000}"/>
    <cellStyle name="표준 5 3 2 4 6 2 2" xfId="14433" xr:uid="{00000000-0005-0000-0000-00002F800000}"/>
    <cellStyle name="표준 5 3 2 4 6 2 2 2" xfId="31027" xr:uid="{00000000-0005-0000-0000-000030800000}"/>
    <cellStyle name="표준 5 3 2 4 6 2 2 3" xfId="39238" xr:uid="{00000000-0005-0000-0000-000031800000}"/>
    <cellStyle name="표준 5 3 2 4 6 2 2 4" xfId="47431" xr:uid="{00000000-0005-0000-0000-000032800000}"/>
    <cellStyle name="표준 5 3 2 4 6 2 3" xfId="18673" xr:uid="{00000000-0005-0000-0000-000033800000}"/>
    <cellStyle name="표준 5 3 2 4 6 2 4" xfId="22835" xr:uid="{00000000-0005-0000-0000-000034800000}"/>
    <cellStyle name="표준 5 3 2 4 6 2 5" xfId="26931" xr:uid="{00000000-0005-0000-0000-000035800000}"/>
    <cellStyle name="표준 5 3 2 4 6 2 6" xfId="35142" xr:uid="{00000000-0005-0000-0000-000036800000}"/>
    <cellStyle name="표준 5 3 2 4 6 2 7" xfId="43335" xr:uid="{00000000-0005-0000-0000-000037800000}"/>
    <cellStyle name="표준 5 3 2 4 6 3" xfId="8273" xr:uid="{00000000-0005-0000-0000-000038800000}"/>
    <cellStyle name="표준 5 3 2 4 6 3 2" xfId="28979" xr:uid="{00000000-0005-0000-0000-000039800000}"/>
    <cellStyle name="표준 5 3 2 4 6 3 3" xfId="37190" xr:uid="{00000000-0005-0000-0000-00003A800000}"/>
    <cellStyle name="표준 5 3 2 4 6 3 4" xfId="45383" xr:uid="{00000000-0005-0000-0000-00003B800000}"/>
    <cellStyle name="표준 5 3 2 4 6 4" xfId="12385" xr:uid="{00000000-0005-0000-0000-00003C800000}"/>
    <cellStyle name="표준 5 3 2 4 6 5" xfId="16625" xr:uid="{00000000-0005-0000-0000-00003D800000}"/>
    <cellStyle name="표준 5 3 2 4 6 6" xfId="20787" xr:uid="{00000000-0005-0000-0000-00003E800000}"/>
    <cellStyle name="표준 5 3 2 4 6 7" xfId="24883" xr:uid="{00000000-0005-0000-0000-00003F800000}"/>
    <cellStyle name="표준 5 3 2 4 6 8" xfId="33094" xr:uid="{00000000-0005-0000-0000-000040800000}"/>
    <cellStyle name="표준 5 3 2 4 6 9" xfId="41287" xr:uid="{00000000-0005-0000-0000-000041800000}"/>
    <cellStyle name="표준 5 3 2 4 7" xfId="1930" xr:uid="{00000000-0005-0000-0000-000042800000}"/>
    <cellStyle name="표준 5 3 2 4 7 2" xfId="10833" xr:uid="{00000000-0005-0000-0000-000043800000}"/>
    <cellStyle name="표준 5 3 2 4 7 2 2" xfId="14945" xr:uid="{00000000-0005-0000-0000-000044800000}"/>
    <cellStyle name="표준 5 3 2 4 7 2 2 2" xfId="31539" xr:uid="{00000000-0005-0000-0000-000045800000}"/>
    <cellStyle name="표준 5 3 2 4 7 2 2 3" xfId="39750" xr:uid="{00000000-0005-0000-0000-000046800000}"/>
    <cellStyle name="표준 5 3 2 4 7 2 2 4" xfId="47943" xr:uid="{00000000-0005-0000-0000-000047800000}"/>
    <cellStyle name="표준 5 3 2 4 7 2 3" xfId="19185" xr:uid="{00000000-0005-0000-0000-000048800000}"/>
    <cellStyle name="표준 5 3 2 4 7 2 4" xfId="23347" xr:uid="{00000000-0005-0000-0000-000049800000}"/>
    <cellStyle name="표준 5 3 2 4 7 2 5" xfId="27443" xr:uid="{00000000-0005-0000-0000-00004A800000}"/>
    <cellStyle name="표준 5 3 2 4 7 2 6" xfId="35654" xr:uid="{00000000-0005-0000-0000-00004B800000}"/>
    <cellStyle name="표준 5 3 2 4 7 2 7" xfId="43847" xr:uid="{00000000-0005-0000-0000-00004C800000}"/>
    <cellStyle name="표준 5 3 2 4 7 3" xfId="8785" xr:uid="{00000000-0005-0000-0000-00004D800000}"/>
    <cellStyle name="표준 5 3 2 4 7 3 2" xfId="29491" xr:uid="{00000000-0005-0000-0000-00004E800000}"/>
    <cellStyle name="표준 5 3 2 4 7 3 3" xfId="37702" xr:uid="{00000000-0005-0000-0000-00004F800000}"/>
    <cellStyle name="표준 5 3 2 4 7 3 4" xfId="45895" xr:uid="{00000000-0005-0000-0000-000050800000}"/>
    <cellStyle name="표준 5 3 2 4 7 4" xfId="12897" xr:uid="{00000000-0005-0000-0000-000051800000}"/>
    <cellStyle name="표준 5 3 2 4 7 5" xfId="17137" xr:uid="{00000000-0005-0000-0000-000052800000}"/>
    <cellStyle name="표준 5 3 2 4 7 6" xfId="21299" xr:uid="{00000000-0005-0000-0000-000053800000}"/>
    <cellStyle name="표준 5 3 2 4 7 7" xfId="25395" xr:uid="{00000000-0005-0000-0000-000054800000}"/>
    <cellStyle name="표준 5 3 2 4 7 8" xfId="33606" xr:uid="{00000000-0005-0000-0000-000055800000}"/>
    <cellStyle name="표준 5 3 2 4 7 9" xfId="41799" xr:uid="{00000000-0005-0000-0000-000056800000}"/>
    <cellStyle name="표준 5 3 2 4 8" xfId="394" xr:uid="{00000000-0005-0000-0000-000057800000}"/>
    <cellStyle name="표준 5 3 2 4 8 2" xfId="9297" xr:uid="{00000000-0005-0000-0000-000058800000}"/>
    <cellStyle name="표준 5 3 2 4 8 2 2" xfId="30003" xr:uid="{00000000-0005-0000-0000-000059800000}"/>
    <cellStyle name="표준 5 3 2 4 8 2 3" xfId="38214" xr:uid="{00000000-0005-0000-0000-00005A800000}"/>
    <cellStyle name="표준 5 3 2 4 8 2 4" xfId="46407" xr:uid="{00000000-0005-0000-0000-00005B800000}"/>
    <cellStyle name="표준 5 3 2 4 8 3" xfId="13409" xr:uid="{00000000-0005-0000-0000-00005C800000}"/>
    <cellStyle name="표준 5 3 2 4 8 4" xfId="17649" xr:uid="{00000000-0005-0000-0000-00005D800000}"/>
    <cellStyle name="표준 5 3 2 4 8 5" xfId="21811" xr:uid="{00000000-0005-0000-0000-00005E800000}"/>
    <cellStyle name="표준 5 3 2 4 8 6" xfId="25907" xr:uid="{00000000-0005-0000-0000-00005F800000}"/>
    <cellStyle name="표준 5 3 2 4 8 7" xfId="34118" xr:uid="{00000000-0005-0000-0000-000060800000}"/>
    <cellStyle name="표준 5 3 2 4 8 8" xfId="42311" xr:uid="{00000000-0005-0000-0000-000061800000}"/>
    <cellStyle name="표준 5 3 2 4 9" xfId="6996" xr:uid="{00000000-0005-0000-0000-000062800000}"/>
    <cellStyle name="표준 5 3 2 4 9 2" xfId="27955" xr:uid="{00000000-0005-0000-0000-000063800000}"/>
    <cellStyle name="표준 5 3 2 4 9 3" xfId="36166" xr:uid="{00000000-0005-0000-0000-000064800000}"/>
    <cellStyle name="표준 5 3 2 4 9 4" xfId="44359" xr:uid="{00000000-0005-0000-0000-000065800000}"/>
    <cellStyle name="표준 5 3 2 5" xfId="426" xr:uid="{00000000-0005-0000-0000-000066800000}"/>
    <cellStyle name="표준 5 3 2 5 10" xfId="11393" xr:uid="{00000000-0005-0000-0000-000067800000}"/>
    <cellStyle name="표준 5 3 2 5 11" xfId="15505" xr:uid="{00000000-0005-0000-0000-000068800000}"/>
    <cellStyle name="표준 5 3 2 5 12" xfId="15633" xr:uid="{00000000-0005-0000-0000-000069800000}"/>
    <cellStyle name="표준 5 3 2 5 13" xfId="19795" xr:uid="{00000000-0005-0000-0000-00006A800000}"/>
    <cellStyle name="표준 5 3 2 5 14" xfId="23891" xr:uid="{00000000-0005-0000-0000-00006B800000}"/>
    <cellStyle name="표준 5 3 2 5 15" xfId="32102" xr:uid="{00000000-0005-0000-0000-00006C800000}"/>
    <cellStyle name="표준 5 3 2 5 16" xfId="40295" xr:uid="{00000000-0005-0000-0000-00006D800000}"/>
    <cellStyle name="표준 5 3 2 5 2" xfId="554" xr:uid="{00000000-0005-0000-0000-00006E800000}"/>
    <cellStyle name="표준 5 3 2 5 2 10" xfId="19923" xr:uid="{00000000-0005-0000-0000-00006F800000}"/>
    <cellStyle name="표준 5 3 2 5 2 11" xfId="24019" xr:uid="{00000000-0005-0000-0000-000070800000}"/>
    <cellStyle name="표준 5 3 2 5 2 12" xfId="32230" xr:uid="{00000000-0005-0000-0000-000071800000}"/>
    <cellStyle name="표준 5 3 2 5 2 13" xfId="40423" xr:uid="{00000000-0005-0000-0000-000072800000}"/>
    <cellStyle name="표준 5 3 2 5 2 2" xfId="810" xr:uid="{00000000-0005-0000-0000-000073800000}"/>
    <cellStyle name="표준 5 3 2 5 2 2 10" xfId="24275" xr:uid="{00000000-0005-0000-0000-000074800000}"/>
    <cellStyle name="표준 5 3 2 5 2 2 11" xfId="32486" xr:uid="{00000000-0005-0000-0000-000075800000}"/>
    <cellStyle name="표준 5 3 2 5 2 2 12" xfId="40679" xr:uid="{00000000-0005-0000-0000-000076800000}"/>
    <cellStyle name="표준 5 3 2 5 2 2 2" xfId="1322" xr:uid="{00000000-0005-0000-0000-000077800000}"/>
    <cellStyle name="표준 5 3 2 5 2 2 2 2" xfId="10225" xr:uid="{00000000-0005-0000-0000-000078800000}"/>
    <cellStyle name="표준 5 3 2 5 2 2 2 2 2" xfId="14337" xr:uid="{00000000-0005-0000-0000-000079800000}"/>
    <cellStyle name="표준 5 3 2 5 2 2 2 2 2 2" xfId="30931" xr:uid="{00000000-0005-0000-0000-00007A800000}"/>
    <cellStyle name="표준 5 3 2 5 2 2 2 2 2 3" xfId="39142" xr:uid="{00000000-0005-0000-0000-00007B800000}"/>
    <cellStyle name="표준 5 3 2 5 2 2 2 2 2 4" xfId="47335" xr:uid="{00000000-0005-0000-0000-00007C800000}"/>
    <cellStyle name="표준 5 3 2 5 2 2 2 2 3" xfId="18577" xr:uid="{00000000-0005-0000-0000-00007D800000}"/>
    <cellStyle name="표준 5 3 2 5 2 2 2 2 4" xfId="22739" xr:uid="{00000000-0005-0000-0000-00007E800000}"/>
    <cellStyle name="표준 5 3 2 5 2 2 2 2 5" xfId="26835" xr:uid="{00000000-0005-0000-0000-00007F800000}"/>
    <cellStyle name="표준 5 3 2 5 2 2 2 2 6" xfId="35046" xr:uid="{00000000-0005-0000-0000-000080800000}"/>
    <cellStyle name="표준 5 3 2 5 2 2 2 2 7" xfId="43239" xr:uid="{00000000-0005-0000-0000-000081800000}"/>
    <cellStyle name="표준 5 3 2 5 2 2 2 3" xfId="8177" xr:uid="{00000000-0005-0000-0000-000082800000}"/>
    <cellStyle name="표준 5 3 2 5 2 2 2 3 2" xfId="28883" xr:uid="{00000000-0005-0000-0000-000083800000}"/>
    <cellStyle name="표준 5 3 2 5 2 2 2 3 3" xfId="37094" xr:uid="{00000000-0005-0000-0000-000084800000}"/>
    <cellStyle name="표준 5 3 2 5 2 2 2 3 4" xfId="45287" xr:uid="{00000000-0005-0000-0000-000085800000}"/>
    <cellStyle name="표준 5 3 2 5 2 2 2 4" xfId="12289" xr:uid="{00000000-0005-0000-0000-000086800000}"/>
    <cellStyle name="표준 5 3 2 5 2 2 2 5" xfId="16529" xr:uid="{00000000-0005-0000-0000-000087800000}"/>
    <cellStyle name="표준 5 3 2 5 2 2 2 6" xfId="20691" xr:uid="{00000000-0005-0000-0000-000088800000}"/>
    <cellStyle name="표준 5 3 2 5 2 2 2 7" xfId="24787" xr:uid="{00000000-0005-0000-0000-000089800000}"/>
    <cellStyle name="표준 5 3 2 5 2 2 2 8" xfId="32998" xr:uid="{00000000-0005-0000-0000-00008A800000}"/>
    <cellStyle name="표준 5 3 2 5 2 2 2 9" xfId="41191" xr:uid="{00000000-0005-0000-0000-00008B800000}"/>
    <cellStyle name="표준 5 3 2 5 2 2 3" xfId="1834" xr:uid="{00000000-0005-0000-0000-00008C800000}"/>
    <cellStyle name="표준 5 3 2 5 2 2 3 2" xfId="10737" xr:uid="{00000000-0005-0000-0000-00008D800000}"/>
    <cellStyle name="표준 5 3 2 5 2 2 3 2 2" xfId="14849" xr:uid="{00000000-0005-0000-0000-00008E800000}"/>
    <cellStyle name="표준 5 3 2 5 2 2 3 2 2 2" xfId="31443" xr:uid="{00000000-0005-0000-0000-00008F800000}"/>
    <cellStyle name="표준 5 3 2 5 2 2 3 2 2 3" xfId="39654" xr:uid="{00000000-0005-0000-0000-000090800000}"/>
    <cellStyle name="표준 5 3 2 5 2 2 3 2 2 4" xfId="47847" xr:uid="{00000000-0005-0000-0000-000091800000}"/>
    <cellStyle name="표준 5 3 2 5 2 2 3 2 3" xfId="19089" xr:uid="{00000000-0005-0000-0000-000092800000}"/>
    <cellStyle name="표준 5 3 2 5 2 2 3 2 4" xfId="23251" xr:uid="{00000000-0005-0000-0000-000093800000}"/>
    <cellStyle name="표준 5 3 2 5 2 2 3 2 5" xfId="27347" xr:uid="{00000000-0005-0000-0000-000094800000}"/>
    <cellStyle name="표준 5 3 2 5 2 2 3 2 6" xfId="35558" xr:uid="{00000000-0005-0000-0000-000095800000}"/>
    <cellStyle name="표준 5 3 2 5 2 2 3 2 7" xfId="43751" xr:uid="{00000000-0005-0000-0000-000096800000}"/>
    <cellStyle name="표준 5 3 2 5 2 2 3 3" xfId="8689" xr:uid="{00000000-0005-0000-0000-000097800000}"/>
    <cellStyle name="표준 5 3 2 5 2 2 3 3 2" xfId="29395" xr:uid="{00000000-0005-0000-0000-000098800000}"/>
    <cellStyle name="표준 5 3 2 5 2 2 3 3 3" xfId="37606" xr:uid="{00000000-0005-0000-0000-000099800000}"/>
    <cellStyle name="표준 5 3 2 5 2 2 3 3 4" xfId="45799" xr:uid="{00000000-0005-0000-0000-00009A800000}"/>
    <cellStyle name="표준 5 3 2 5 2 2 3 4" xfId="12801" xr:uid="{00000000-0005-0000-0000-00009B800000}"/>
    <cellStyle name="표준 5 3 2 5 2 2 3 5" xfId="17041" xr:uid="{00000000-0005-0000-0000-00009C800000}"/>
    <cellStyle name="표준 5 3 2 5 2 2 3 6" xfId="21203" xr:uid="{00000000-0005-0000-0000-00009D800000}"/>
    <cellStyle name="표준 5 3 2 5 2 2 3 7" xfId="25299" xr:uid="{00000000-0005-0000-0000-00009E800000}"/>
    <cellStyle name="표준 5 3 2 5 2 2 3 8" xfId="33510" xr:uid="{00000000-0005-0000-0000-00009F800000}"/>
    <cellStyle name="표준 5 3 2 5 2 2 3 9" xfId="41703" xr:uid="{00000000-0005-0000-0000-0000A0800000}"/>
    <cellStyle name="표준 5 3 2 5 2 2 4" xfId="2346" xr:uid="{00000000-0005-0000-0000-0000A1800000}"/>
    <cellStyle name="표준 5 3 2 5 2 2 4 2" xfId="11249" xr:uid="{00000000-0005-0000-0000-0000A2800000}"/>
    <cellStyle name="표준 5 3 2 5 2 2 4 2 2" xfId="15361" xr:uid="{00000000-0005-0000-0000-0000A3800000}"/>
    <cellStyle name="표준 5 3 2 5 2 2 4 2 2 2" xfId="31955" xr:uid="{00000000-0005-0000-0000-0000A4800000}"/>
    <cellStyle name="표준 5 3 2 5 2 2 4 2 2 3" xfId="40166" xr:uid="{00000000-0005-0000-0000-0000A5800000}"/>
    <cellStyle name="표준 5 3 2 5 2 2 4 2 2 4" xfId="48359" xr:uid="{00000000-0005-0000-0000-0000A6800000}"/>
    <cellStyle name="표준 5 3 2 5 2 2 4 2 3" xfId="19601" xr:uid="{00000000-0005-0000-0000-0000A7800000}"/>
    <cellStyle name="표준 5 3 2 5 2 2 4 2 4" xfId="23763" xr:uid="{00000000-0005-0000-0000-0000A8800000}"/>
    <cellStyle name="표준 5 3 2 5 2 2 4 2 5" xfId="27859" xr:uid="{00000000-0005-0000-0000-0000A9800000}"/>
    <cellStyle name="표준 5 3 2 5 2 2 4 2 6" xfId="36070" xr:uid="{00000000-0005-0000-0000-0000AA800000}"/>
    <cellStyle name="표준 5 3 2 5 2 2 4 2 7" xfId="44263" xr:uid="{00000000-0005-0000-0000-0000AB800000}"/>
    <cellStyle name="표준 5 3 2 5 2 2 4 3" xfId="9201" xr:uid="{00000000-0005-0000-0000-0000AC800000}"/>
    <cellStyle name="표준 5 3 2 5 2 2 4 3 2" xfId="29907" xr:uid="{00000000-0005-0000-0000-0000AD800000}"/>
    <cellStyle name="표준 5 3 2 5 2 2 4 3 3" xfId="38118" xr:uid="{00000000-0005-0000-0000-0000AE800000}"/>
    <cellStyle name="표준 5 3 2 5 2 2 4 3 4" xfId="46311" xr:uid="{00000000-0005-0000-0000-0000AF800000}"/>
    <cellStyle name="표준 5 3 2 5 2 2 4 4" xfId="13313" xr:uid="{00000000-0005-0000-0000-0000B0800000}"/>
    <cellStyle name="표준 5 3 2 5 2 2 4 5" xfId="17553" xr:uid="{00000000-0005-0000-0000-0000B1800000}"/>
    <cellStyle name="표준 5 3 2 5 2 2 4 6" xfId="21715" xr:uid="{00000000-0005-0000-0000-0000B2800000}"/>
    <cellStyle name="표준 5 3 2 5 2 2 4 7" xfId="25811" xr:uid="{00000000-0005-0000-0000-0000B3800000}"/>
    <cellStyle name="표준 5 3 2 5 2 2 4 8" xfId="34022" xr:uid="{00000000-0005-0000-0000-0000B4800000}"/>
    <cellStyle name="표준 5 3 2 5 2 2 4 9" xfId="42215" xr:uid="{00000000-0005-0000-0000-0000B5800000}"/>
    <cellStyle name="표준 5 3 2 5 2 2 5" xfId="9713" xr:uid="{00000000-0005-0000-0000-0000B6800000}"/>
    <cellStyle name="표준 5 3 2 5 2 2 5 2" xfId="13825" xr:uid="{00000000-0005-0000-0000-0000B7800000}"/>
    <cellStyle name="표준 5 3 2 5 2 2 5 2 2" xfId="30419" xr:uid="{00000000-0005-0000-0000-0000B8800000}"/>
    <cellStyle name="표준 5 3 2 5 2 2 5 2 3" xfId="38630" xr:uid="{00000000-0005-0000-0000-0000B9800000}"/>
    <cellStyle name="표준 5 3 2 5 2 2 5 2 4" xfId="46823" xr:uid="{00000000-0005-0000-0000-0000BA800000}"/>
    <cellStyle name="표준 5 3 2 5 2 2 5 3" xfId="18065" xr:uid="{00000000-0005-0000-0000-0000BB800000}"/>
    <cellStyle name="표준 5 3 2 5 2 2 5 4" xfId="22227" xr:uid="{00000000-0005-0000-0000-0000BC800000}"/>
    <cellStyle name="표준 5 3 2 5 2 2 5 5" xfId="26323" xr:uid="{00000000-0005-0000-0000-0000BD800000}"/>
    <cellStyle name="표준 5 3 2 5 2 2 5 6" xfId="34534" xr:uid="{00000000-0005-0000-0000-0000BE800000}"/>
    <cellStyle name="표준 5 3 2 5 2 2 5 7" xfId="42727" xr:uid="{00000000-0005-0000-0000-0000BF800000}"/>
    <cellStyle name="표준 5 3 2 5 2 2 6" xfId="7665" xr:uid="{00000000-0005-0000-0000-0000C0800000}"/>
    <cellStyle name="표준 5 3 2 5 2 2 6 2" xfId="28371" xr:uid="{00000000-0005-0000-0000-0000C1800000}"/>
    <cellStyle name="표준 5 3 2 5 2 2 6 3" xfId="36582" xr:uid="{00000000-0005-0000-0000-0000C2800000}"/>
    <cellStyle name="표준 5 3 2 5 2 2 6 4" xfId="44775" xr:uid="{00000000-0005-0000-0000-0000C3800000}"/>
    <cellStyle name="표준 5 3 2 5 2 2 7" xfId="11777" xr:uid="{00000000-0005-0000-0000-0000C4800000}"/>
    <cellStyle name="표준 5 3 2 5 2 2 8" xfId="16017" xr:uid="{00000000-0005-0000-0000-0000C5800000}"/>
    <cellStyle name="표준 5 3 2 5 2 2 9" xfId="20179" xr:uid="{00000000-0005-0000-0000-0000C6800000}"/>
    <cellStyle name="표준 5 3 2 5 2 3" xfId="1066" xr:uid="{00000000-0005-0000-0000-0000C7800000}"/>
    <cellStyle name="표준 5 3 2 5 2 3 2" xfId="9969" xr:uid="{00000000-0005-0000-0000-0000C8800000}"/>
    <cellStyle name="표준 5 3 2 5 2 3 2 2" xfId="14081" xr:uid="{00000000-0005-0000-0000-0000C9800000}"/>
    <cellStyle name="표준 5 3 2 5 2 3 2 2 2" xfId="30675" xr:uid="{00000000-0005-0000-0000-0000CA800000}"/>
    <cellStyle name="표준 5 3 2 5 2 3 2 2 3" xfId="38886" xr:uid="{00000000-0005-0000-0000-0000CB800000}"/>
    <cellStyle name="표준 5 3 2 5 2 3 2 2 4" xfId="47079" xr:uid="{00000000-0005-0000-0000-0000CC800000}"/>
    <cellStyle name="표준 5 3 2 5 2 3 2 3" xfId="18321" xr:uid="{00000000-0005-0000-0000-0000CD800000}"/>
    <cellStyle name="표준 5 3 2 5 2 3 2 4" xfId="22483" xr:uid="{00000000-0005-0000-0000-0000CE800000}"/>
    <cellStyle name="표준 5 3 2 5 2 3 2 5" xfId="26579" xr:uid="{00000000-0005-0000-0000-0000CF800000}"/>
    <cellStyle name="표준 5 3 2 5 2 3 2 6" xfId="34790" xr:uid="{00000000-0005-0000-0000-0000D0800000}"/>
    <cellStyle name="표준 5 3 2 5 2 3 2 7" xfId="42983" xr:uid="{00000000-0005-0000-0000-0000D1800000}"/>
    <cellStyle name="표준 5 3 2 5 2 3 3" xfId="7921" xr:uid="{00000000-0005-0000-0000-0000D2800000}"/>
    <cellStyle name="표준 5 3 2 5 2 3 3 2" xfId="28627" xr:uid="{00000000-0005-0000-0000-0000D3800000}"/>
    <cellStyle name="표준 5 3 2 5 2 3 3 3" xfId="36838" xr:uid="{00000000-0005-0000-0000-0000D4800000}"/>
    <cellStyle name="표준 5 3 2 5 2 3 3 4" xfId="45031" xr:uid="{00000000-0005-0000-0000-0000D5800000}"/>
    <cellStyle name="표준 5 3 2 5 2 3 4" xfId="12033" xr:uid="{00000000-0005-0000-0000-0000D6800000}"/>
    <cellStyle name="표준 5 3 2 5 2 3 5" xfId="16273" xr:uid="{00000000-0005-0000-0000-0000D7800000}"/>
    <cellStyle name="표준 5 3 2 5 2 3 6" xfId="20435" xr:uid="{00000000-0005-0000-0000-0000D8800000}"/>
    <cellStyle name="표준 5 3 2 5 2 3 7" xfId="24531" xr:uid="{00000000-0005-0000-0000-0000D9800000}"/>
    <cellStyle name="표준 5 3 2 5 2 3 8" xfId="32742" xr:uid="{00000000-0005-0000-0000-0000DA800000}"/>
    <cellStyle name="표준 5 3 2 5 2 3 9" xfId="40935" xr:uid="{00000000-0005-0000-0000-0000DB800000}"/>
    <cellStyle name="표준 5 3 2 5 2 4" xfId="1578" xr:uid="{00000000-0005-0000-0000-0000DC800000}"/>
    <cellStyle name="표준 5 3 2 5 2 4 2" xfId="10481" xr:uid="{00000000-0005-0000-0000-0000DD800000}"/>
    <cellStyle name="표준 5 3 2 5 2 4 2 2" xfId="14593" xr:uid="{00000000-0005-0000-0000-0000DE800000}"/>
    <cellStyle name="표준 5 3 2 5 2 4 2 2 2" xfId="31187" xr:uid="{00000000-0005-0000-0000-0000DF800000}"/>
    <cellStyle name="표준 5 3 2 5 2 4 2 2 3" xfId="39398" xr:uid="{00000000-0005-0000-0000-0000E0800000}"/>
    <cellStyle name="표준 5 3 2 5 2 4 2 2 4" xfId="47591" xr:uid="{00000000-0005-0000-0000-0000E1800000}"/>
    <cellStyle name="표준 5 3 2 5 2 4 2 3" xfId="18833" xr:uid="{00000000-0005-0000-0000-0000E2800000}"/>
    <cellStyle name="표준 5 3 2 5 2 4 2 4" xfId="22995" xr:uid="{00000000-0005-0000-0000-0000E3800000}"/>
    <cellStyle name="표준 5 3 2 5 2 4 2 5" xfId="27091" xr:uid="{00000000-0005-0000-0000-0000E4800000}"/>
    <cellStyle name="표준 5 3 2 5 2 4 2 6" xfId="35302" xr:uid="{00000000-0005-0000-0000-0000E5800000}"/>
    <cellStyle name="표준 5 3 2 5 2 4 2 7" xfId="43495" xr:uid="{00000000-0005-0000-0000-0000E6800000}"/>
    <cellStyle name="표준 5 3 2 5 2 4 3" xfId="8433" xr:uid="{00000000-0005-0000-0000-0000E7800000}"/>
    <cellStyle name="표준 5 3 2 5 2 4 3 2" xfId="29139" xr:uid="{00000000-0005-0000-0000-0000E8800000}"/>
    <cellStyle name="표준 5 3 2 5 2 4 3 3" xfId="37350" xr:uid="{00000000-0005-0000-0000-0000E9800000}"/>
    <cellStyle name="표준 5 3 2 5 2 4 3 4" xfId="45543" xr:uid="{00000000-0005-0000-0000-0000EA800000}"/>
    <cellStyle name="표준 5 3 2 5 2 4 4" xfId="12545" xr:uid="{00000000-0005-0000-0000-0000EB800000}"/>
    <cellStyle name="표준 5 3 2 5 2 4 5" xfId="16785" xr:uid="{00000000-0005-0000-0000-0000EC800000}"/>
    <cellStyle name="표준 5 3 2 5 2 4 6" xfId="20947" xr:uid="{00000000-0005-0000-0000-0000ED800000}"/>
    <cellStyle name="표준 5 3 2 5 2 4 7" xfId="25043" xr:uid="{00000000-0005-0000-0000-0000EE800000}"/>
    <cellStyle name="표준 5 3 2 5 2 4 8" xfId="33254" xr:uid="{00000000-0005-0000-0000-0000EF800000}"/>
    <cellStyle name="표준 5 3 2 5 2 4 9" xfId="41447" xr:uid="{00000000-0005-0000-0000-0000F0800000}"/>
    <cellStyle name="표준 5 3 2 5 2 5" xfId="2090" xr:uid="{00000000-0005-0000-0000-0000F1800000}"/>
    <cellStyle name="표준 5 3 2 5 2 5 2" xfId="10993" xr:uid="{00000000-0005-0000-0000-0000F2800000}"/>
    <cellStyle name="표준 5 3 2 5 2 5 2 2" xfId="15105" xr:uid="{00000000-0005-0000-0000-0000F3800000}"/>
    <cellStyle name="표준 5 3 2 5 2 5 2 2 2" xfId="31699" xr:uid="{00000000-0005-0000-0000-0000F4800000}"/>
    <cellStyle name="표준 5 3 2 5 2 5 2 2 3" xfId="39910" xr:uid="{00000000-0005-0000-0000-0000F5800000}"/>
    <cellStyle name="표준 5 3 2 5 2 5 2 2 4" xfId="48103" xr:uid="{00000000-0005-0000-0000-0000F6800000}"/>
    <cellStyle name="표준 5 3 2 5 2 5 2 3" xfId="19345" xr:uid="{00000000-0005-0000-0000-0000F7800000}"/>
    <cellStyle name="표준 5 3 2 5 2 5 2 4" xfId="23507" xr:uid="{00000000-0005-0000-0000-0000F8800000}"/>
    <cellStyle name="표준 5 3 2 5 2 5 2 5" xfId="27603" xr:uid="{00000000-0005-0000-0000-0000F9800000}"/>
    <cellStyle name="표준 5 3 2 5 2 5 2 6" xfId="35814" xr:uid="{00000000-0005-0000-0000-0000FA800000}"/>
    <cellStyle name="표준 5 3 2 5 2 5 2 7" xfId="44007" xr:uid="{00000000-0005-0000-0000-0000FB800000}"/>
    <cellStyle name="표준 5 3 2 5 2 5 3" xfId="8945" xr:uid="{00000000-0005-0000-0000-0000FC800000}"/>
    <cellStyle name="표준 5 3 2 5 2 5 3 2" xfId="29651" xr:uid="{00000000-0005-0000-0000-0000FD800000}"/>
    <cellStyle name="표준 5 3 2 5 2 5 3 3" xfId="37862" xr:uid="{00000000-0005-0000-0000-0000FE800000}"/>
    <cellStyle name="표준 5 3 2 5 2 5 3 4" xfId="46055" xr:uid="{00000000-0005-0000-0000-0000FF800000}"/>
    <cellStyle name="표준 5 3 2 5 2 5 4" xfId="13057" xr:uid="{00000000-0005-0000-0000-000000810000}"/>
    <cellStyle name="표준 5 3 2 5 2 5 5" xfId="17297" xr:uid="{00000000-0005-0000-0000-000001810000}"/>
    <cellStyle name="표준 5 3 2 5 2 5 6" xfId="21459" xr:uid="{00000000-0005-0000-0000-000002810000}"/>
    <cellStyle name="표준 5 3 2 5 2 5 7" xfId="25555" xr:uid="{00000000-0005-0000-0000-000003810000}"/>
    <cellStyle name="표준 5 3 2 5 2 5 8" xfId="33766" xr:uid="{00000000-0005-0000-0000-000004810000}"/>
    <cellStyle name="표준 5 3 2 5 2 5 9" xfId="41959" xr:uid="{00000000-0005-0000-0000-000005810000}"/>
    <cellStyle name="표준 5 3 2 5 2 6" xfId="9457" xr:uid="{00000000-0005-0000-0000-000006810000}"/>
    <cellStyle name="표준 5 3 2 5 2 6 2" xfId="13569" xr:uid="{00000000-0005-0000-0000-000007810000}"/>
    <cellStyle name="표준 5 3 2 5 2 6 2 2" xfId="30163" xr:uid="{00000000-0005-0000-0000-000008810000}"/>
    <cellStyle name="표준 5 3 2 5 2 6 2 3" xfId="38374" xr:uid="{00000000-0005-0000-0000-000009810000}"/>
    <cellStyle name="표준 5 3 2 5 2 6 2 4" xfId="46567" xr:uid="{00000000-0005-0000-0000-00000A810000}"/>
    <cellStyle name="표준 5 3 2 5 2 6 3" xfId="17809" xr:uid="{00000000-0005-0000-0000-00000B810000}"/>
    <cellStyle name="표준 5 3 2 5 2 6 4" xfId="21971" xr:uid="{00000000-0005-0000-0000-00000C810000}"/>
    <cellStyle name="표준 5 3 2 5 2 6 5" xfId="26067" xr:uid="{00000000-0005-0000-0000-00000D810000}"/>
    <cellStyle name="표준 5 3 2 5 2 6 6" xfId="34278" xr:uid="{00000000-0005-0000-0000-00000E810000}"/>
    <cellStyle name="표준 5 3 2 5 2 6 7" xfId="42471" xr:uid="{00000000-0005-0000-0000-00000F810000}"/>
    <cellStyle name="표준 5 3 2 5 2 7" xfId="7409" xr:uid="{00000000-0005-0000-0000-000010810000}"/>
    <cellStyle name="표준 5 3 2 5 2 7 2" xfId="28115" xr:uid="{00000000-0005-0000-0000-000011810000}"/>
    <cellStyle name="표준 5 3 2 5 2 7 3" xfId="36326" xr:uid="{00000000-0005-0000-0000-000012810000}"/>
    <cellStyle name="표준 5 3 2 5 2 7 4" xfId="44519" xr:uid="{00000000-0005-0000-0000-000013810000}"/>
    <cellStyle name="표준 5 3 2 5 2 8" xfId="11521" xr:uid="{00000000-0005-0000-0000-000014810000}"/>
    <cellStyle name="표준 5 3 2 5 2 9" xfId="15761" xr:uid="{00000000-0005-0000-0000-000015810000}"/>
    <cellStyle name="표준 5 3 2 5 3" xfId="682" xr:uid="{00000000-0005-0000-0000-000016810000}"/>
    <cellStyle name="표준 5 3 2 5 3 10" xfId="24147" xr:uid="{00000000-0005-0000-0000-000017810000}"/>
    <cellStyle name="표준 5 3 2 5 3 11" xfId="32358" xr:uid="{00000000-0005-0000-0000-000018810000}"/>
    <cellStyle name="표준 5 3 2 5 3 12" xfId="40551" xr:uid="{00000000-0005-0000-0000-000019810000}"/>
    <cellStyle name="표준 5 3 2 5 3 2" xfId="1194" xr:uid="{00000000-0005-0000-0000-00001A810000}"/>
    <cellStyle name="표준 5 3 2 5 3 2 2" xfId="10097" xr:uid="{00000000-0005-0000-0000-00001B810000}"/>
    <cellStyle name="표준 5 3 2 5 3 2 2 2" xfId="14209" xr:uid="{00000000-0005-0000-0000-00001C810000}"/>
    <cellStyle name="표준 5 3 2 5 3 2 2 2 2" xfId="30803" xr:uid="{00000000-0005-0000-0000-00001D810000}"/>
    <cellStyle name="표준 5 3 2 5 3 2 2 2 3" xfId="39014" xr:uid="{00000000-0005-0000-0000-00001E810000}"/>
    <cellStyle name="표준 5 3 2 5 3 2 2 2 4" xfId="47207" xr:uid="{00000000-0005-0000-0000-00001F810000}"/>
    <cellStyle name="표준 5 3 2 5 3 2 2 3" xfId="18449" xr:uid="{00000000-0005-0000-0000-000020810000}"/>
    <cellStyle name="표준 5 3 2 5 3 2 2 4" xfId="22611" xr:uid="{00000000-0005-0000-0000-000021810000}"/>
    <cellStyle name="표준 5 3 2 5 3 2 2 5" xfId="26707" xr:uid="{00000000-0005-0000-0000-000022810000}"/>
    <cellStyle name="표준 5 3 2 5 3 2 2 6" xfId="34918" xr:uid="{00000000-0005-0000-0000-000023810000}"/>
    <cellStyle name="표준 5 3 2 5 3 2 2 7" xfId="43111" xr:uid="{00000000-0005-0000-0000-000024810000}"/>
    <cellStyle name="표준 5 3 2 5 3 2 3" xfId="8049" xr:uid="{00000000-0005-0000-0000-000025810000}"/>
    <cellStyle name="표준 5 3 2 5 3 2 3 2" xfId="28755" xr:uid="{00000000-0005-0000-0000-000026810000}"/>
    <cellStyle name="표준 5 3 2 5 3 2 3 3" xfId="36966" xr:uid="{00000000-0005-0000-0000-000027810000}"/>
    <cellStyle name="표준 5 3 2 5 3 2 3 4" xfId="45159" xr:uid="{00000000-0005-0000-0000-000028810000}"/>
    <cellStyle name="표준 5 3 2 5 3 2 4" xfId="12161" xr:uid="{00000000-0005-0000-0000-000029810000}"/>
    <cellStyle name="표준 5 3 2 5 3 2 5" xfId="16401" xr:uid="{00000000-0005-0000-0000-00002A810000}"/>
    <cellStyle name="표준 5 3 2 5 3 2 6" xfId="20563" xr:uid="{00000000-0005-0000-0000-00002B810000}"/>
    <cellStyle name="표준 5 3 2 5 3 2 7" xfId="24659" xr:uid="{00000000-0005-0000-0000-00002C810000}"/>
    <cellStyle name="표준 5 3 2 5 3 2 8" xfId="32870" xr:uid="{00000000-0005-0000-0000-00002D810000}"/>
    <cellStyle name="표준 5 3 2 5 3 2 9" xfId="41063" xr:uid="{00000000-0005-0000-0000-00002E810000}"/>
    <cellStyle name="표준 5 3 2 5 3 3" xfId="1706" xr:uid="{00000000-0005-0000-0000-00002F810000}"/>
    <cellStyle name="표준 5 3 2 5 3 3 2" xfId="10609" xr:uid="{00000000-0005-0000-0000-000030810000}"/>
    <cellStyle name="표준 5 3 2 5 3 3 2 2" xfId="14721" xr:uid="{00000000-0005-0000-0000-000031810000}"/>
    <cellStyle name="표준 5 3 2 5 3 3 2 2 2" xfId="31315" xr:uid="{00000000-0005-0000-0000-000032810000}"/>
    <cellStyle name="표준 5 3 2 5 3 3 2 2 3" xfId="39526" xr:uid="{00000000-0005-0000-0000-000033810000}"/>
    <cellStyle name="표준 5 3 2 5 3 3 2 2 4" xfId="47719" xr:uid="{00000000-0005-0000-0000-000034810000}"/>
    <cellStyle name="표준 5 3 2 5 3 3 2 3" xfId="18961" xr:uid="{00000000-0005-0000-0000-000035810000}"/>
    <cellStyle name="표준 5 3 2 5 3 3 2 4" xfId="23123" xr:uid="{00000000-0005-0000-0000-000036810000}"/>
    <cellStyle name="표준 5 3 2 5 3 3 2 5" xfId="27219" xr:uid="{00000000-0005-0000-0000-000037810000}"/>
    <cellStyle name="표준 5 3 2 5 3 3 2 6" xfId="35430" xr:uid="{00000000-0005-0000-0000-000038810000}"/>
    <cellStyle name="표준 5 3 2 5 3 3 2 7" xfId="43623" xr:uid="{00000000-0005-0000-0000-000039810000}"/>
    <cellStyle name="표준 5 3 2 5 3 3 3" xfId="8561" xr:uid="{00000000-0005-0000-0000-00003A810000}"/>
    <cellStyle name="표준 5 3 2 5 3 3 3 2" xfId="29267" xr:uid="{00000000-0005-0000-0000-00003B810000}"/>
    <cellStyle name="표준 5 3 2 5 3 3 3 3" xfId="37478" xr:uid="{00000000-0005-0000-0000-00003C810000}"/>
    <cellStyle name="표준 5 3 2 5 3 3 3 4" xfId="45671" xr:uid="{00000000-0005-0000-0000-00003D810000}"/>
    <cellStyle name="표준 5 3 2 5 3 3 4" xfId="12673" xr:uid="{00000000-0005-0000-0000-00003E810000}"/>
    <cellStyle name="표준 5 3 2 5 3 3 5" xfId="16913" xr:uid="{00000000-0005-0000-0000-00003F810000}"/>
    <cellStyle name="표준 5 3 2 5 3 3 6" xfId="21075" xr:uid="{00000000-0005-0000-0000-000040810000}"/>
    <cellStyle name="표준 5 3 2 5 3 3 7" xfId="25171" xr:uid="{00000000-0005-0000-0000-000041810000}"/>
    <cellStyle name="표준 5 3 2 5 3 3 8" xfId="33382" xr:uid="{00000000-0005-0000-0000-000042810000}"/>
    <cellStyle name="표준 5 3 2 5 3 3 9" xfId="41575" xr:uid="{00000000-0005-0000-0000-000043810000}"/>
    <cellStyle name="표준 5 3 2 5 3 4" xfId="2218" xr:uid="{00000000-0005-0000-0000-000044810000}"/>
    <cellStyle name="표준 5 3 2 5 3 4 2" xfId="11121" xr:uid="{00000000-0005-0000-0000-000045810000}"/>
    <cellStyle name="표준 5 3 2 5 3 4 2 2" xfId="15233" xr:uid="{00000000-0005-0000-0000-000046810000}"/>
    <cellStyle name="표준 5 3 2 5 3 4 2 2 2" xfId="31827" xr:uid="{00000000-0005-0000-0000-000047810000}"/>
    <cellStyle name="표준 5 3 2 5 3 4 2 2 3" xfId="40038" xr:uid="{00000000-0005-0000-0000-000048810000}"/>
    <cellStyle name="표준 5 3 2 5 3 4 2 2 4" xfId="48231" xr:uid="{00000000-0005-0000-0000-000049810000}"/>
    <cellStyle name="표준 5 3 2 5 3 4 2 3" xfId="19473" xr:uid="{00000000-0005-0000-0000-00004A810000}"/>
    <cellStyle name="표준 5 3 2 5 3 4 2 4" xfId="23635" xr:uid="{00000000-0005-0000-0000-00004B810000}"/>
    <cellStyle name="표준 5 3 2 5 3 4 2 5" xfId="27731" xr:uid="{00000000-0005-0000-0000-00004C810000}"/>
    <cellStyle name="표준 5 3 2 5 3 4 2 6" xfId="35942" xr:uid="{00000000-0005-0000-0000-00004D810000}"/>
    <cellStyle name="표준 5 3 2 5 3 4 2 7" xfId="44135" xr:uid="{00000000-0005-0000-0000-00004E810000}"/>
    <cellStyle name="표준 5 3 2 5 3 4 3" xfId="9073" xr:uid="{00000000-0005-0000-0000-00004F810000}"/>
    <cellStyle name="표준 5 3 2 5 3 4 3 2" xfId="29779" xr:uid="{00000000-0005-0000-0000-000050810000}"/>
    <cellStyle name="표준 5 3 2 5 3 4 3 3" xfId="37990" xr:uid="{00000000-0005-0000-0000-000051810000}"/>
    <cellStyle name="표준 5 3 2 5 3 4 3 4" xfId="46183" xr:uid="{00000000-0005-0000-0000-000052810000}"/>
    <cellStyle name="표준 5 3 2 5 3 4 4" xfId="13185" xr:uid="{00000000-0005-0000-0000-000053810000}"/>
    <cellStyle name="표준 5 3 2 5 3 4 5" xfId="17425" xr:uid="{00000000-0005-0000-0000-000054810000}"/>
    <cellStyle name="표준 5 3 2 5 3 4 6" xfId="21587" xr:uid="{00000000-0005-0000-0000-000055810000}"/>
    <cellStyle name="표준 5 3 2 5 3 4 7" xfId="25683" xr:uid="{00000000-0005-0000-0000-000056810000}"/>
    <cellStyle name="표준 5 3 2 5 3 4 8" xfId="33894" xr:uid="{00000000-0005-0000-0000-000057810000}"/>
    <cellStyle name="표준 5 3 2 5 3 4 9" xfId="42087" xr:uid="{00000000-0005-0000-0000-000058810000}"/>
    <cellStyle name="표준 5 3 2 5 3 5" xfId="9585" xr:uid="{00000000-0005-0000-0000-000059810000}"/>
    <cellStyle name="표준 5 3 2 5 3 5 2" xfId="13697" xr:uid="{00000000-0005-0000-0000-00005A810000}"/>
    <cellStyle name="표준 5 3 2 5 3 5 2 2" xfId="30291" xr:uid="{00000000-0005-0000-0000-00005B810000}"/>
    <cellStyle name="표준 5 3 2 5 3 5 2 3" xfId="38502" xr:uid="{00000000-0005-0000-0000-00005C810000}"/>
    <cellStyle name="표준 5 3 2 5 3 5 2 4" xfId="46695" xr:uid="{00000000-0005-0000-0000-00005D810000}"/>
    <cellStyle name="표준 5 3 2 5 3 5 3" xfId="17937" xr:uid="{00000000-0005-0000-0000-00005E810000}"/>
    <cellStyle name="표준 5 3 2 5 3 5 4" xfId="22099" xr:uid="{00000000-0005-0000-0000-00005F810000}"/>
    <cellStyle name="표준 5 3 2 5 3 5 5" xfId="26195" xr:uid="{00000000-0005-0000-0000-000060810000}"/>
    <cellStyle name="표준 5 3 2 5 3 5 6" xfId="34406" xr:uid="{00000000-0005-0000-0000-000061810000}"/>
    <cellStyle name="표준 5 3 2 5 3 5 7" xfId="42599" xr:uid="{00000000-0005-0000-0000-000062810000}"/>
    <cellStyle name="표준 5 3 2 5 3 6" xfId="7537" xr:uid="{00000000-0005-0000-0000-000063810000}"/>
    <cellStyle name="표준 5 3 2 5 3 6 2" xfId="28243" xr:uid="{00000000-0005-0000-0000-000064810000}"/>
    <cellStyle name="표준 5 3 2 5 3 6 3" xfId="36454" xr:uid="{00000000-0005-0000-0000-000065810000}"/>
    <cellStyle name="표준 5 3 2 5 3 6 4" xfId="44647" xr:uid="{00000000-0005-0000-0000-000066810000}"/>
    <cellStyle name="표준 5 3 2 5 3 7" xfId="11649" xr:uid="{00000000-0005-0000-0000-000067810000}"/>
    <cellStyle name="표준 5 3 2 5 3 8" xfId="15889" xr:uid="{00000000-0005-0000-0000-000068810000}"/>
    <cellStyle name="표준 5 3 2 5 3 9" xfId="20051" xr:uid="{00000000-0005-0000-0000-000069810000}"/>
    <cellStyle name="표준 5 3 2 5 4" xfId="938" xr:uid="{00000000-0005-0000-0000-00006A810000}"/>
    <cellStyle name="표준 5 3 2 5 4 2" xfId="9841" xr:uid="{00000000-0005-0000-0000-00006B810000}"/>
    <cellStyle name="표준 5 3 2 5 4 2 2" xfId="13953" xr:uid="{00000000-0005-0000-0000-00006C810000}"/>
    <cellStyle name="표준 5 3 2 5 4 2 2 2" xfId="30547" xr:uid="{00000000-0005-0000-0000-00006D810000}"/>
    <cellStyle name="표준 5 3 2 5 4 2 2 3" xfId="38758" xr:uid="{00000000-0005-0000-0000-00006E810000}"/>
    <cellStyle name="표준 5 3 2 5 4 2 2 4" xfId="46951" xr:uid="{00000000-0005-0000-0000-00006F810000}"/>
    <cellStyle name="표준 5 3 2 5 4 2 3" xfId="18193" xr:uid="{00000000-0005-0000-0000-000070810000}"/>
    <cellStyle name="표준 5 3 2 5 4 2 4" xfId="22355" xr:uid="{00000000-0005-0000-0000-000071810000}"/>
    <cellStyle name="표준 5 3 2 5 4 2 5" xfId="26451" xr:uid="{00000000-0005-0000-0000-000072810000}"/>
    <cellStyle name="표준 5 3 2 5 4 2 6" xfId="34662" xr:uid="{00000000-0005-0000-0000-000073810000}"/>
    <cellStyle name="표준 5 3 2 5 4 2 7" xfId="42855" xr:uid="{00000000-0005-0000-0000-000074810000}"/>
    <cellStyle name="표준 5 3 2 5 4 3" xfId="7793" xr:uid="{00000000-0005-0000-0000-000075810000}"/>
    <cellStyle name="표준 5 3 2 5 4 3 2" xfId="28499" xr:uid="{00000000-0005-0000-0000-000076810000}"/>
    <cellStyle name="표준 5 3 2 5 4 3 3" xfId="36710" xr:uid="{00000000-0005-0000-0000-000077810000}"/>
    <cellStyle name="표준 5 3 2 5 4 3 4" xfId="44903" xr:uid="{00000000-0005-0000-0000-000078810000}"/>
    <cellStyle name="표준 5 3 2 5 4 4" xfId="11905" xr:uid="{00000000-0005-0000-0000-000079810000}"/>
    <cellStyle name="표준 5 3 2 5 4 5" xfId="16145" xr:uid="{00000000-0005-0000-0000-00007A810000}"/>
    <cellStyle name="표준 5 3 2 5 4 6" xfId="20307" xr:uid="{00000000-0005-0000-0000-00007B810000}"/>
    <cellStyle name="표준 5 3 2 5 4 7" xfId="24403" xr:uid="{00000000-0005-0000-0000-00007C810000}"/>
    <cellStyle name="표준 5 3 2 5 4 8" xfId="32614" xr:uid="{00000000-0005-0000-0000-00007D810000}"/>
    <cellStyle name="표준 5 3 2 5 4 9" xfId="40807" xr:uid="{00000000-0005-0000-0000-00007E810000}"/>
    <cellStyle name="표준 5 3 2 5 5" xfId="1450" xr:uid="{00000000-0005-0000-0000-00007F810000}"/>
    <cellStyle name="표준 5 3 2 5 5 2" xfId="10353" xr:uid="{00000000-0005-0000-0000-000080810000}"/>
    <cellStyle name="표준 5 3 2 5 5 2 2" xfId="14465" xr:uid="{00000000-0005-0000-0000-000081810000}"/>
    <cellStyle name="표준 5 3 2 5 5 2 2 2" xfId="31059" xr:uid="{00000000-0005-0000-0000-000082810000}"/>
    <cellStyle name="표준 5 3 2 5 5 2 2 3" xfId="39270" xr:uid="{00000000-0005-0000-0000-000083810000}"/>
    <cellStyle name="표준 5 3 2 5 5 2 2 4" xfId="47463" xr:uid="{00000000-0005-0000-0000-000084810000}"/>
    <cellStyle name="표준 5 3 2 5 5 2 3" xfId="18705" xr:uid="{00000000-0005-0000-0000-000085810000}"/>
    <cellStyle name="표준 5 3 2 5 5 2 4" xfId="22867" xr:uid="{00000000-0005-0000-0000-000086810000}"/>
    <cellStyle name="표준 5 3 2 5 5 2 5" xfId="26963" xr:uid="{00000000-0005-0000-0000-000087810000}"/>
    <cellStyle name="표준 5 3 2 5 5 2 6" xfId="35174" xr:uid="{00000000-0005-0000-0000-000088810000}"/>
    <cellStyle name="표준 5 3 2 5 5 2 7" xfId="43367" xr:uid="{00000000-0005-0000-0000-000089810000}"/>
    <cellStyle name="표준 5 3 2 5 5 3" xfId="8305" xr:uid="{00000000-0005-0000-0000-00008A810000}"/>
    <cellStyle name="표준 5 3 2 5 5 3 2" xfId="29011" xr:uid="{00000000-0005-0000-0000-00008B810000}"/>
    <cellStyle name="표준 5 3 2 5 5 3 3" xfId="37222" xr:uid="{00000000-0005-0000-0000-00008C810000}"/>
    <cellStyle name="표준 5 3 2 5 5 3 4" xfId="45415" xr:uid="{00000000-0005-0000-0000-00008D810000}"/>
    <cellStyle name="표준 5 3 2 5 5 4" xfId="12417" xr:uid="{00000000-0005-0000-0000-00008E810000}"/>
    <cellStyle name="표준 5 3 2 5 5 5" xfId="16657" xr:uid="{00000000-0005-0000-0000-00008F810000}"/>
    <cellStyle name="표준 5 3 2 5 5 6" xfId="20819" xr:uid="{00000000-0005-0000-0000-000090810000}"/>
    <cellStyle name="표준 5 3 2 5 5 7" xfId="24915" xr:uid="{00000000-0005-0000-0000-000091810000}"/>
    <cellStyle name="표준 5 3 2 5 5 8" xfId="33126" xr:uid="{00000000-0005-0000-0000-000092810000}"/>
    <cellStyle name="표준 5 3 2 5 5 9" xfId="41319" xr:uid="{00000000-0005-0000-0000-000093810000}"/>
    <cellStyle name="표준 5 3 2 5 6" xfId="1962" xr:uid="{00000000-0005-0000-0000-000094810000}"/>
    <cellStyle name="표준 5 3 2 5 6 2" xfId="10865" xr:uid="{00000000-0005-0000-0000-000095810000}"/>
    <cellStyle name="표준 5 3 2 5 6 2 2" xfId="14977" xr:uid="{00000000-0005-0000-0000-000096810000}"/>
    <cellStyle name="표준 5 3 2 5 6 2 2 2" xfId="31571" xr:uid="{00000000-0005-0000-0000-000097810000}"/>
    <cellStyle name="표준 5 3 2 5 6 2 2 3" xfId="39782" xr:uid="{00000000-0005-0000-0000-000098810000}"/>
    <cellStyle name="표준 5 3 2 5 6 2 2 4" xfId="47975" xr:uid="{00000000-0005-0000-0000-000099810000}"/>
    <cellStyle name="표준 5 3 2 5 6 2 3" xfId="19217" xr:uid="{00000000-0005-0000-0000-00009A810000}"/>
    <cellStyle name="표준 5 3 2 5 6 2 4" xfId="23379" xr:uid="{00000000-0005-0000-0000-00009B810000}"/>
    <cellStyle name="표준 5 3 2 5 6 2 5" xfId="27475" xr:uid="{00000000-0005-0000-0000-00009C810000}"/>
    <cellStyle name="표준 5 3 2 5 6 2 6" xfId="35686" xr:uid="{00000000-0005-0000-0000-00009D810000}"/>
    <cellStyle name="표준 5 3 2 5 6 2 7" xfId="43879" xr:uid="{00000000-0005-0000-0000-00009E810000}"/>
    <cellStyle name="표준 5 3 2 5 6 3" xfId="8817" xr:uid="{00000000-0005-0000-0000-00009F810000}"/>
    <cellStyle name="표준 5 3 2 5 6 3 2" xfId="29523" xr:uid="{00000000-0005-0000-0000-0000A0810000}"/>
    <cellStyle name="표준 5 3 2 5 6 3 3" xfId="37734" xr:uid="{00000000-0005-0000-0000-0000A1810000}"/>
    <cellStyle name="표준 5 3 2 5 6 3 4" xfId="45927" xr:uid="{00000000-0005-0000-0000-0000A2810000}"/>
    <cellStyle name="표준 5 3 2 5 6 4" xfId="12929" xr:uid="{00000000-0005-0000-0000-0000A3810000}"/>
    <cellStyle name="표준 5 3 2 5 6 5" xfId="17169" xr:uid="{00000000-0005-0000-0000-0000A4810000}"/>
    <cellStyle name="표준 5 3 2 5 6 6" xfId="21331" xr:uid="{00000000-0005-0000-0000-0000A5810000}"/>
    <cellStyle name="표준 5 3 2 5 6 7" xfId="25427" xr:uid="{00000000-0005-0000-0000-0000A6810000}"/>
    <cellStyle name="표준 5 3 2 5 6 8" xfId="33638" xr:uid="{00000000-0005-0000-0000-0000A7810000}"/>
    <cellStyle name="표준 5 3 2 5 6 9" xfId="41831" xr:uid="{00000000-0005-0000-0000-0000A8810000}"/>
    <cellStyle name="표준 5 3 2 5 7" xfId="7022" xr:uid="{00000000-0005-0000-0000-0000A9810000}"/>
    <cellStyle name="표준 5 3 2 5 7 2" xfId="9329" xr:uid="{00000000-0005-0000-0000-0000AA810000}"/>
    <cellStyle name="표준 5 3 2 5 7 2 2" xfId="30035" xr:uid="{00000000-0005-0000-0000-0000AB810000}"/>
    <cellStyle name="표준 5 3 2 5 7 2 3" xfId="38246" xr:uid="{00000000-0005-0000-0000-0000AC810000}"/>
    <cellStyle name="표준 5 3 2 5 7 2 4" xfId="46439" xr:uid="{00000000-0005-0000-0000-0000AD810000}"/>
    <cellStyle name="표준 5 3 2 5 7 3" xfId="13441" xr:uid="{00000000-0005-0000-0000-0000AE810000}"/>
    <cellStyle name="표준 5 3 2 5 7 4" xfId="17681" xr:uid="{00000000-0005-0000-0000-0000AF810000}"/>
    <cellStyle name="표준 5 3 2 5 7 5" xfId="21843" xr:uid="{00000000-0005-0000-0000-0000B0810000}"/>
    <cellStyle name="표준 5 3 2 5 7 6" xfId="25939" xr:uid="{00000000-0005-0000-0000-0000B1810000}"/>
    <cellStyle name="표준 5 3 2 5 7 7" xfId="34150" xr:uid="{00000000-0005-0000-0000-0000B2810000}"/>
    <cellStyle name="표준 5 3 2 5 7 8" xfId="42343" xr:uid="{00000000-0005-0000-0000-0000B3810000}"/>
    <cellStyle name="표준 5 3 2 5 8" xfId="7156" xr:uid="{00000000-0005-0000-0000-0000B4810000}"/>
    <cellStyle name="표준 5 3 2 5 8 2" xfId="27987" xr:uid="{00000000-0005-0000-0000-0000B5810000}"/>
    <cellStyle name="표준 5 3 2 5 8 3" xfId="36198" xr:uid="{00000000-0005-0000-0000-0000B6810000}"/>
    <cellStyle name="표준 5 3 2 5 8 4" xfId="44391" xr:uid="{00000000-0005-0000-0000-0000B7810000}"/>
    <cellStyle name="표준 5 3 2 5 9" xfId="7281" xr:uid="{00000000-0005-0000-0000-0000B8810000}"/>
    <cellStyle name="표준 5 3 2 6" xfId="490" xr:uid="{00000000-0005-0000-0000-0000B9810000}"/>
    <cellStyle name="표준 5 3 2 6 10" xfId="19859" xr:uid="{00000000-0005-0000-0000-0000BA810000}"/>
    <cellStyle name="표준 5 3 2 6 11" xfId="23955" xr:uid="{00000000-0005-0000-0000-0000BB810000}"/>
    <cellStyle name="표준 5 3 2 6 12" xfId="32166" xr:uid="{00000000-0005-0000-0000-0000BC810000}"/>
    <cellStyle name="표준 5 3 2 6 13" xfId="40359" xr:uid="{00000000-0005-0000-0000-0000BD810000}"/>
    <cellStyle name="표준 5 3 2 6 2" xfId="746" xr:uid="{00000000-0005-0000-0000-0000BE810000}"/>
    <cellStyle name="표준 5 3 2 6 2 10" xfId="24211" xr:uid="{00000000-0005-0000-0000-0000BF810000}"/>
    <cellStyle name="표준 5 3 2 6 2 11" xfId="32422" xr:uid="{00000000-0005-0000-0000-0000C0810000}"/>
    <cellStyle name="표준 5 3 2 6 2 12" xfId="40615" xr:uid="{00000000-0005-0000-0000-0000C1810000}"/>
    <cellStyle name="표준 5 3 2 6 2 2" xfId="1258" xr:uid="{00000000-0005-0000-0000-0000C2810000}"/>
    <cellStyle name="표준 5 3 2 6 2 2 2" xfId="10161" xr:uid="{00000000-0005-0000-0000-0000C3810000}"/>
    <cellStyle name="표준 5 3 2 6 2 2 2 2" xfId="14273" xr:uid="{00000000-0005-0000-0000-0000C4810000}"/>
    <cellStyle name="표준 5 3 2 6 2 2 2 2 2" xfId="30867" xr:uid="{00000000-0005-0000-0000-0000C5810000}"/>
    <cellStyle name="표준 5 3 2 6 2 2 2 2 3" xfId="39078" xr:uid="{00000000-0005-0000-0000-0000C6810000}"/>
    <cellStyle name="표준 5 3 2 6 2 2 2 2 4" xfId="47271" xr:uid="{00000000-0005-0000-0000-0000C7810000}"/>
    <cellStyle name="표준 5 3 2 6 2 2 2 3" xfId="18513" xr:uid="{00000000-0005-0000-0000-0000C8810000}"/>
    <cellStyle name="표준 5 3 2 6 2 2 2 4" xfId="22675" xr:uid="{00000000-0005-0000-0000-0000C9810000}"/>
    <cellStyle name="표준 5 3 2 6 2 2 2 5" xfId="26771" xr:uid="{00000000-0005-0000-0000-0000CA810000}"/>
    <cellStyle name="표준 5 3 2 6 2 2 2 6" xfId="34982" xr:uid="{00000000-0005-0000-0000-0000CB810000}"/>
    <cellStyle name="표준 5 3 2 6 2 2 2 7" xfId="43175" xr:uid="{00000000-0005-0000-0000-0000CC810000}"/>
    <cellStyle name="표준 5 3 2 6 2 2 3" xfId="8113" xr:uid="{00000000-0005-0000-0000-0000CD810000}"/>
    <cellStyle name="표준 5 3 2 6 2 2 3 2" xfId="28819" xr:uid="{00000000-0005-0000-0000-0000CE810000}"/>
    <cellStyle name="표준 5 3 2 6 2 2 3 3" xfId="37030" xr:uid="{00000000-0005-0000-0000-0000CF810000}"/>
    <cellStyle name="표준 5 3 2 6 2 2 3 4" xfId="45223" xr:uid="{00000000-0005-0000-0000-0000D0810000}"/>
    <cellStyle name="표준 5 3 2 6 2 2 4" xfId="12225" xr:uid="{00000000-0005-0000-0000-0000D1810000}"/>
    <cellStyle name="표준 5 3 2 6 2 2 5" xfId="16465" xr:uid="{00000000-0005-0000-0000-0000D2810000}"/>
    <cellStyle name="표준 5 3 2 6 2 2 6" xfId="20627" xr:uid="{00000000-0005-0000-0000-0000D3810000}"/>
    <cellStyle name="표준 5 3 2 6 2 2 7" xfId="24723" xr:uid="{00000000-0005-0000-0000-0000D4810000}"/>
    <cellStyle name="표준 5 3 2 6 2 2 8" xfId="32934" xr:uid="{00000000-0005-0000-0000-0000D5810000}"/>
    <cellStyle name="표준 5 3 2 6 2 2 9" xfId="41127" xr:uid="{00000000-0005-0000-0000-0000D6810000}"/>
    <cellStyle name="표준 5 3 2 6 2 3" xfId="1770" xr:uid="{00000000-0005-0000-0000-0000D7810000}"/>
    <cellStyle name="표준 5 3 2 6 2 3 2" xfId="10673" xr:uid="{00000000-0005-0000-0000-0000D8810000}"/>
    <cellStyle name="표준 5 3 2 6 2 3 2 2" xfId="14785" xr:uid="{00000000-0005-0000-0000-0000D9810000}"/>
    <cellStyle name="표준 5 3 2 6 2 3 2 2 2" xfId="31379" xr:uid="{00000000-0005-0000-0000-0000DA810000}"/>
    <cellStyle name="표준 5 3 2 6 2 3 2 2 3" xfId="39590" xr:uid="{00000000-0005-0000-0000-0000DB810000}"/>
    <cellStyle name="표준 5 3 2 6 2 3 2 2 4" xfId="47783" xr:uid="{00000000-0005-0000-0000-0000DC810000}"/>
    <cellStyle name="표준 5 3 2 6 2 3 2 3" xfId="19025" xr:uid="{00000000-0005-0000-0000-0000DD810000}"/>
    <cellStyle name="표준 5 3 2 6 2 3 2 4" xfId="23187" xr:uid="{00000000-0005-0000-0000-0000DE810000}"/>
    <cellStyle name="표준 5 3 2 6 2 3 2 5" xfId="27283" xr:uid="{00000000-0005-0000-0000-0000DF810000}"/>
    <cellStyle name="표준 5 3 2 6 2 3 2 6" xfId="35494" xr:uid="{00000000-0005-0000-0000-0000E0810000}"/>
    <cellStyle name="표준 5 3 2 6 2 3 2 7" xfId="43687" xr:uid="{00000000-0005-0000-0000-0000E1810000}"/>
    <cellStyle name="표준 5 3 2 6 2 3 3" xfId="8625" xr:uid="{00000000-0005-0000-0000-0000E2810000}"/>
    <cellStyle name="표준 5 3 2 6 2 3 3 2" xfId="29331" xr:uid="{00000000-0005-0000-0000-0000E3810000}"/>
    <cellStyle name="표준 5 3 2 6 2 3 3 3" xfId="37542" xr:uid="{00000000-0005-0000-0000-0000E4810000}"/>
    <cellStyle name="표준 5 3 2 6 2 3 3 4" xfId="45735" xr:uid="{00000000-0005-0000-0000-0000E5810000}"/>
    <cellStyle name="표준 5 3 2 6 2 3 4" xfId="12737" xr:uid="{00000000-0005-0000-0000-0000E6810000}"/>
    <cellStyle name="표준 5 3 2 6 2 3 5" xfId="16977" xr:uid="{00000000-0005-0000-0000-0000E7810000}"/>
    <cellStyle name="표준 5 3 2 6 2 3 6" xfId="21139" xr:uid="{00000000-0005-0000-0000-0000E8810000}"/>
    <cellStyle name="표준 5 3 2 6 2 3 7" xfId="25235" xr:uid="{00000000-0005-0000-0000-0000E9810000}"/>
    <cellStyle name="표준 5 3 2 6 2 3 8" xfId="33446" xr:uid="{00000000-0005-0000-0000-0000EA810000}"/>
    <cellStyle name="표준 5 3 2 6 2 3 9" xfId="41639" xr:uid="{00000000-0005-0000-0000-0000EB810000}"/>
    <cellStyle name="표준 5 3 2 6 2 4" xfId="2282" xr:uid="{00000000-0005-0000-0000-0000EC810000}"/>
    <cellStyle name="표준 5 3 2 6 2 4 2" xfId="11185" xr:uid="{00000000-0005-0000-0000-0000ED810000}"/>
    <cellStyle name="표준 5 3 2 6 2 4 2 2" xfId="15297" xr:uid="{00000000-0005-0000-0000-0000EE810000}"/>
    <cellStyle name="표준 5 3 2 6 2 4 2 2 2" xfId="31891" xr:uid="{00000000-0005-0000-0000-0000EF810000}"/>
    <cellStyle name="표준 5 3 2 6 2 4 2 2 3" xfId="40102" xr:uid="{00000000-0005-0000-0000-0000F0810000}"/>
    <cellStyle name="표준 5 3 2 6 2 4 2 2 4" xfId="48295" xr:uid="{00000000-0005-0000-0000-0000F1810000}"/>
    <cellStyle name="표준 5 3 2 6 2 4 2 3" xfId="19537" xr:uid="{00000000-0005-0000-0000-0000F2810000}"/>
    <cellStyle name="표준 5 3 2 6 2 4 2 4" xfId="23699" xr:uid="{00000000-0005-0000-0000-0000F3810000}"/>
    <cellStyle name="표준 5 3 2 6 2 4 2 5" xfId="27795" xr:uid="{00000000-0005-0000-0000-0000F4810000}"/>
    <cellStyle name="표준 5 3 2 6 2 4 2 6" xfId="36006" xr:uid="{00000000-0005-0000-0000-0000F5810000}"/>
    <cellStyle name="표준 5 3 2 6 2 4 2 7" xfId="44199" xr:uid="{00000000-0005-0000-0000-0000F6810000}"/>
    <cellStyle name="표준 5 3 2 6 2 4 3" xfId="9137" xr:uid="{00000000-0005-0000-0000-0000F7810000}"/>
    <cellStyle name="표준 5 3 2 6 2 4 3 2" xfId="29843" xr:uid="{00000000-0005-0000-0000-0000F8810000}"/>
    <cellStyle name="표준 5 3 2 6 2 4 3 3" xfId="38054" xr:uid="{00000000-0005-0000-0000-0000F9810000}"/>
    <cellStyle name="표준 5 3 2 6 2 4 3 4" xfId="46247" xr:uid="{00000000-0005-0000-0000-0000FA810000}"/>
    <cellStyle name="표준 5 3 2 6 2 4 4" xfId="13249" xr:uid="{00000000-0005-0000-0000-0000FB810000}"/>
    <cellStyle name="표준 5 3 2 6 2 4 5" xfId="17489" xr:uid="{00000000-0005-0000-0000-0000FC810000}"/>
    <cellStyle name="표준 5 3 2 6 2 4 6" xfId="21651" xr:uid="{00000000-0005-0000-0000-0000FD810000}"/>
    <cellStyle name="표준 5 3 2 6 2 4 7" xfId="25747" xr:uid="{00000000-0005-0000-0000-0000FE810000}"/>
    <cellStyle name="표준 5 3 2 6 2 4 8" xfId="33958" xr:uid="{00000000-0005-0000-0000-0000FF810000}"/>
    <cellStyle name="표준 5 3 2 6 2 4 9" xfId="42151" xr:uid="{00000000-0005-0000-0000-000000820000}"/>
    <cellStyle name="표준 5 3 2 6 2 5" xfId="9649" xr:uid="{00000000-0005-0000-0000-000001820000}"/>
    <cellStyle name="표준 5 3 2 6 2 5 2" xfId="13761" xr:uid="{00000000-0005-0000-0000-000002820000}"/>
    <cellStyle name="표준 5 3 2 6 2 5 2 2" xfId="30355" xr:uid="{00000000-0005-0000-0000-000003820000}"/>
    <cellStyle name="표준 5 3 2 6 2 5 2 3" xfId="38566" xr:uid="{00000000-0005-0000-0000-000004820000}"/>
    <cellStyle name="표준 5 3 2 6 2 5 2 4" xfId="46759" xr:uid="{00000000-0005-0000-0000-000005820000}"/>
    <cellStyle name="표준 5 3 2 6 2 5 3" xfId="18001" xr:uid="{00000000-0005-0000-0000-000006820000}"/>
    <cellStyle name="표준 5 3 2 6 2 5 4" xfId="22163" xr:uid="{00000000-0005-0000-0000-000007820000}"/>
    <cellStyle name="표준 5 3 2 6 2 5 5" xfId="26259" xr:uid="{00000000-0005-0000-0000-000008820000}"/>
    <cellStyle name="표준 5 3 2 6 2 5 6" xfId="34470" xr:uid="{00000000-0005-0000-0000-000009820000}"/>
    <cellStyle name="표준 5 3 2 6 2 5 7" xfId="42663" xr:uid="{00000000-0005-0000-0000-00000A820000}"/>
    <cellStyle name="표준 5 3 2 6 2 6" xfId="7601" xr:uid="{00000000-0005-0000-0000-00000B820000}"/>
    <cellStyle name="표준 5 3 2 6 2 6 2" xfId="28307" xr:uid="{00000000-0005-0000-0000-00000C820000}"/>
    <cellStyle name="표준 5 3 2 6 2 6 3" xfId="36518" xr:uid="{00000000-0005-0000-0000-00000D820000}"/>
    <cellStyle name="표준 5 3 2 6 2 6 4" xfId="44711" xr:uid="{00000000-0005-0000-0000-00000E820000}"/>
    <cellStyle name="표준 5 3 2 6 2 7" xfId="11713" xr:uid="{00000000-0005-0000-0000-00000F820000}"/>
    <cellStyle name="표준 5 3 2 6 2 8" xfId="15953" xr:uid="{00000000-0005-0000-0000-000010820000}"/>
    <cellStyle name="표준 5 3 2 6 2 9" xfId="20115" xr:uid="{00000000-0005-0000-0000-000011820000}"/>
    <cellStyle name="표준 5 3 2 6 3" xfId="1002" xr:uid="{00000000-0005-0000-0000-000012820000}"/>
    <cellStyle name="표준 5 3 2 6 3 2" xfId="9905" xr:uid="{00000000-0005-0000-0000-000013820000}"/>
    <cellStyle name="표준 5 3 2 6 3 2 2" xfId="14017" xr:uid="{00000000-0005-0000-0000-000014820000}"/>
    <cellStyle name="표준 5 3 2 6 3 2 2 2" xfId="30611" xr:uid="{00000000-0005-0000-0000-000015820000}"/>
    <cellStyle name="표준 5 3 2 6 3 2 2 3" xfId="38822" xr:uid="{00000000-0005-0000-0000-000016820000}"/>
    <cellStyle name="표준 5 3 2 6 3 2 2 4" xfId="47015" xr:uid="{00000000-0005-0000-0000-000017820000}"/>
    <cellStyle name="표준 5 3 2 6 3 2 3" xfId="18257" xr:uid="{00000000-0005-0000-0000-000018820000}"/>
    <cellStyle name="표준 5 3 2 6 3 2 4" xfId="22419" xr:uid="{00000000-0005-0000-0000-000019820000}"/>
    <cellStyle name="표준 5 3 2 6 3 2 5" xfId="26515" xr:uid="{00000000-0005-0000-0000-00001A820000}"/>
    <cellStyle name="표준 5 3 2 6 3 2 6" xfId="34726" xr:uid="{00000000-0005-0000-0000-00001B820000}"/>
    <cellStyle name="표준 5 3 2 6 3 2 7" xfId="42919" xr:uid="{00000000-0005-0000-0000-00001C820000}"/>
    <cellStyle name="표준 5 3 2 6 3 3" xfId="7857" xr:uid="{00000000-0005-0000-0000-00001D820000}"/>
    <cellStyle name="표준 5 3 2 6 3 3 2" xfId="28563" xr:uid="{00000000-0005-0000-0000-00001E820000}"/>
    <cellStyle name="표준 5 3 2 6 3 3 3" xfId="36774" xr:uid="{00000000-0005-0000-0000-00001F820000}"/>
    <cellStyle name="표준 5 3 2 6 3 3 4" xfId="44967" xr:uid="{00000000-0005-0000-0000-000020820000}"/>
    <cellStyle name="표준 5 3 2 6 3 4" xfId="11969" xr:uid="{00000000-0005-0000-0000-000021820000}"/>
    <cellStyle name="표준 5 3 2 6 3 5" xfId="16209" xr:uid="{00000000-0005-0000-0000-000022820000}"/>
    <cellStyle name="표준 5 3 2 6 3 6" xfId="20371" xr:uid="{00000000-0005-0000-0000-000023820000}"/>
    <cellStyle name="표준 5 3 2 6 3 7" xfId="24467" xr:uid="{00000000-0005-0000-0000-000024820000}"/>
    <cellStyle name="표준 5 3 2 6 3 8" xfId="32678" xr:uid="{00000000-0005-0000-0000-000025820000}"/>
    <cellStyle name="표준 5 3 2 6 3 9" xfId="40871" xr:uid="{00000000-0005-0000-0000-000026820000}"/>
    <cellStyle name="표준 5 3 2 6 4" xfId="1514" xr:uid="{00000000-0005-0000-0000-000027820000}"/>
    <cellStyle name="표준 5 3 2 6 4 2" xfId="10417" xr:uid="{00000000-0005-0000-0000-000028820000}"/>
    <cellStyle name="표준 5 3 2 6 4 2 2" xfId="14529" xr:uid="{00000000-0005-0000-0000-000029820000}"/>
    <cellStyle name="표준 5 3 2 6 4 2 2 2" xfId="31123" xr:uid="{00000000-0005-0000-0000-00002A820000}"/>
    <cellStyle name="표준 5 3 2 6 4 2 2 3" xfId="39334" xr:uid="{00000000-0005-0000-0000-00002B820000}"/>
    <cellStyle name="표준 5 3 2 6 4 2 2 4" xfId="47527" xr:uid="{00000000-0005-0000-0000-00002C820000}"/>
    <cellStyle name="표준 5 3 2 6 4 2 3" xfId="18769" xr:uid="{00000000-0005-0000-0000-00002D820000}"/>
    <cellStyle name="표준 5 3 2 6 4 2 4" xfId="22931" xr:uid="{00000000-0005-0000-0000-00002E820000}"/>
    <cellStyle name="표준 5 3 2 6 4 2 5" xfId="27027" xr:uid="{00000000-0005-0000-0000-00002F820000}"/>
    <cellStyle name="표준 5 3 2 6 4 2 6" xfId="35238" xr:uid="{00000000-0005-0000-0000-000030820000}"/>
    <cellStyle name="표준 5 3 2 6 4 2 7" xfId="43431" xr:uid="{00000000-0005-0000-0000-000031820000}"/>
    <cellStyle name="표준 5 3 2 6 4 3" xfId="8369" xr:uid="{00000000-0005-0000-0000-000032820000}"/>
    <cellStyle name="표준 5 3 2 6 4 3 2" xfId="29075" xr:uid="{00000000-0005-0000-0000-000033820000}"/>
    <cellStyle name="표준 5 3 2 6 4 3 3" xfId="37286" xr:uid="{00000000-0005-0000-0000-000034820000}"/>
    <cellStyle name="표준 5 3 2 6 4 3 4" xfId="45479" xr:uid="{00000000-0005-0000-0000-000035820000}"/>
    <cellStyle name="표준 5 3 2 6 4 4" xfId="12481" xr:uid="{00000000-0005-0000-0000-000036820000}"/>
    <cellStyle name="표준 5 3 2 6 4 5" xfId="16721" xr:uid="{00000000-0005-0000-0000-000037820000}"/>
    <cellStyle name="표준 5 3 2 6 4 6" xfId="20883" xr:uid="{00000000-0005-0000-0000-000038820000}"/>
    <cellStyle name="표준 5 3 2 6 4 7" xfId="24979" xr:uid="{00000000-0005-0000-0000-000039820000}"/>
    <cellStyle name="표준 5 3 2 6 4 8" xfId="33190" xr:uid="{00000000-0005-0000-0000-00003A820000}"/>
    <cellStyle name="표준 5 3 2 6 4 9" xfId="41383" xr:uid="{00000000-0005-0000-0000-00003B820000}"/>
    <cellStyle name="표준 5 3 2 6 5" xfId="2026" xr:uid="{00000000-0005-0000-0000-00003C820000}"/>
    <cellStyle name="표준 5 3 2 6 5 2" xfId="10929" xr:uid="{00000000-0005-0000-0000-00003D820000}"/>
    <cellStyle name="표준 5 3 2 6 5 2 2" xfId="15041" xr:uid="{00000000-0005-0000-0000-00003E820000}"/>
    <cellStyle name="표준 5 3 2 6 5 2 2 2" xfId="31635" xr:uid="{00000000-0005-0000-0000-00003F820000}"/>
    <cellStyle name="표준 5 3 2 6 5 2 2 3" xfId="39846" xr:uid="{00000000-0005-0000-0000-000040820000}"/>
    <cellStyle name="표준 5 3 2 6 5 2 2 4" xfId="48039" xr:uid="{00000000-0005-0000-0000-000041820000}"/>
    <cellStyle name="표준 5 3 2 6 5 2 3" xfId="19281" xr:uid="{00000000-0005-0000-0000-000042820000}"/>
    <cellStyle name="표준 5 3 2 6 5 2 4" xfId="23443" xr:uid="{00000000-0005-0000-0000-000043820000}"/>
    <cellStyle name="표준 5 3 2 6 5 2 5" xfId="27539" xr:uid="{00000000-0005-0000-0000-000044820000}"/>
    <cellStyle name="표준 5 3 2 6 5 2 6" xfId="35750" xr:uid="{00000000-0005-0000-0000-000045820000}"/>
    <cellStyle name="표준 5 3 2 6 5 2 7" xfId="43943" xr:uid="{00000000-0005-0000-0000-000046820000}"/>
    <cellStyle name="표준 5 3 2 6 5 3" xfId="8881" xr:uid="{00000000-0005-0000-0000-000047820000}"/>
    <cellStyle name="표준 5 3 2 6 5 3 2" xfId="29587" xr:uid="{00000000-0005-0000-0000-000048820000}"/>
    <cellStyle name="표준 5 3 2 6 5 3 3" xfId="37798" xr:uid="{00000000-0005-0000-0000-000049820000}"/>
    <cellStyle name="표준 5 3 2 6 5 3 4" xfId="45991" xr:uid="{00000000-0005-0000-0000-00004A820000}"/>
    <cellStyle name="표준 5 3 2 6 5 4" xfId="12993" xr:uid="{00000000-0005-0000-0000-00004B820000}"/>
    <cellStyle name="표준 5 3 2 6 5 5" xfId="17233" xr:uid="{00000000-0005-0000-0000-00004C820000}"/>
    <cellStyle name="표준 5 3 2 6 5 6" xfId="21395" xr:uid="{00000000-0005-0000-0000-00004D820000}"/>
    <cellStyle name="표준 5 3 2 6 5 7" xfId="25491" xr:uid="{00000000-0005-0000-0000-00004E820000}"/>
    <cellStyle name="표준 5 3 2 6 5 8" xfId="33702" xr:uid="{00000000-0005-0000-0000-00004F820000}"/>
    <cellStyle name="표준 5 3 2 6 5 9" xfId="41895" xr:uid="{00000000-0005-0000-0000-000050820000}"/>
    <cellStyle name="표준 5 3 2 6 6" xfId="9393" xr:uid="{00000000-0005-0000-0000-000051820000}"/>
    <cellStyle name="표준 5 3 2 6 6 2" xfId="13505" xr:uid="{00000000-0005-0000-0000-000052820000}"/>
    <cellStyle name="표준 5 3 2 6 6 2 2" xfId="30099" xr:uid="{00000000-0005-0000-0000-000053820000}"/>
    <cellStyle name="표준 5 3 2 6 6 2 3" xfId="38310" xr:uid="{00000000-0005-0000-0000-000054820000}"/>
    <cellStyle name="표준 5 3 2 6 6 2 4" xfId="46503" xr:uid="{00000000-0005-0000-0000-000055820000}"/>
    <cellStyle name="표준 5 3 2 6 6 3" xfId="17745" xr:uid="{00000000-0005-0000-0000-000056820000}"/>
    <cellStyle name="표준 5 3 2 6 6 4" xfId="21907" xr:uid="{00000000-0005-0000-0000-000057820000}"/>
    <cellStyle name="표준 5 3 2 6 6 5" xfId="26003" xr:uid="{00000000-0005-0000-0000-000058820000}"/>
    <cellStyle name="표준 5 3 2 6 6 6" xfId="34214" xr:uid="{00000000-0005-0000-0000-000059820000}"/>
    <cellStyle name="표준 5 3 2 6 6 7" xfId="42407" xr:uid="{00000000-0005-0000-0000-00005A820000}"/>
    <cellStyle name="표준 5 3 2 6 7" xfId="7345" xr:uid="{00000000-0005-0000-0000-00005B820000}"/>
    <cellStyle name="표준 5 3 2 6 7 2" xfId="28051" xr:uid="{00000000-0005-0000-0000-00005C820000}"/>
    <cellStyle name="표준 5 3 2 6 7 3" xfId="36262" xr:uid="{00000000-0005-0000-0000-00005D820000}"/>
    <cellStyle name="표준 5 3 2 6 7 4" xfId="44455" xr:uid="{00000000-0005-0000-0000-00005E820000}"/>
    <cellStyle name="표준 5 3 2 6 8" xfId="11457" xr:uid="{00000000-0005-0000-0000-00005F820000}"/>
    <cellStyle name="표준 5 3 2 6 9" xfId="15697" xr:uid="{00000000-0005-0000-0000-000060820000}"/>
    <cellStyle name="표준 5 3 2 7" xfId="618" xr:uid="{00000000-0005-0000-0000-000061820000}"/>
    <cellStyle name="표준 5 3 2 7 10" xfId="24083" xr:uid="{00000000-0005-0000-0000-000062820000}"/>
    <cellStyle name="표준 5 3 2 7 11" xfId="32294" xr:uid="{00000000-0005-0000-0000-000063820000}"/>
    <cellStyle name="표준 5 3 2 7 12" xfId="40487" xr:uid="{00000000-0005-0000-0000-000064820000}"/>
    <cellStyle name="표준 5 3 2 7 2" xfId="1130" xr:uid="{00000000-0005-0000-0000-000065820000}"/>
    <cellStyle name="표준 5 3 2 7 2 2" xfId="10033" xr:uid="{00000000-0005-0000-0000-000066820000}"/>
    <cellStyle name="표준 5 3 2 7 2 2 2" xfId="14145" xr:uid="{00000000-0005-0000-0000-000067820000}"/>
    <cellStyle name="표준 5 3 2 7 2 2 2 2" xfId="30739" xr:uid="{00000000-0005-0000-0000-000068820000}"/>
    <cellStyle name="표준 5 3 2 7 2 2 2 3" xfId="38950" xr:uid="{00000000-0005-0000-0000-000069820000}"/>
    <cellStyle name="표준 5 3 2 7 2 2 2 4" xfId="47143" xr:uid="{00000000-0005-0000-0000-00006A820000}"/>
    <cellStyle name="표준 5 3 2 7 2 2 3" xfId="18385" xr:uid="{00000000-0005-0000-0000-00006B820000}"/>
    <cellStyle name="표준 5 3 2 7 2 2 4" xfId="22547" xr:uid="{00000000-0005-0000-0000-00006C820000}"/>
    <cellStyle name="표준 5 3 2 7 2 2 5" xfId="26643" xr:uid="{00000000-0005-0000-0000-00006D820000}"/>
    <cellStyle name="표준 5 3 2 7 2 2 6" xfId="34854" xr:uid="{00000000-0005-0000-0000-00006E820000}"/>
    <cellStyle name="표준 5 3 2 7 2 2 7" xfId="43047" xr:uid="{00000000-0005-0000-0000-00006F820000}"/>
    <cellStyle name="표준 5 3 2 7 2 3" xfId="7985" xr:uid="{00000000-0005-0000-0000-000070820000}"/>
    <cellStyle name="표준 5 3 2 7 2 3 2" xfId="28691" xr:uid="{00000000-0005-0000-0000-000071820000}"/>
    <cellStyle name="표준 5 3 2 7 2 3 3" xfId="36902" xr:uid="{00000000-0005-0000-0000-000072820000}"/>
    <cellStyle name="표준 5 3 2 7 2 3 4" xfId="45095" xr:uid="{00000000-0005-0000-0000-000073820000}"/>
    <cellStyle name="표준 5 3 2 7 2 4" xfId="12097" xr:uid="{00000000-0005-0000-0000-000074820000}"/>
    <cellStyle name="표준 5 3 2 7 2 5" xfId="16337" xr:uid="{00000000-0005-0000-0000-000075820000}"/>
    <cellStyle name="표준 5 3 2 7 2 6" xfId="20499" xr:uid="{00000000-0005-0000-0000-000076820000}"/>
    <cellStyle name="표준 5 3 2 7 2 7" xfId="24595" xr:uid="{00000000-0005-0000-0000-000077820000}"/>
    <cellStyle name="표준 5 3 2 7 2 8" xfId="32806" xr:uid="{00000000-0005-0000-0000-000078820000}"/>
    <cellStyle name="표준 5 3 2 7 2 9" xfId="40999" xr:uid="{00000000-0005-0000-0000-000079820000}"/>
    <cellStyle name="표준 5 3 2 7 3" xfId="1642" xr:uid="{00000000-0005-0000-0000-00007A820000}"/>
    <cellStyle name="표준 5 3 2 7 3 2" xfId="10545" xr:uid="{00000000-0005-0000-0000-00007B820000}"/>
    <cellStyle name="표준 5 3 2 7 3 2 2" xfId="14657" xr:uid="{00000000-0005-0000-0000-00007C820000}"/>
    <cellStyle name="표준 5 3 2 7 3 2 2 2" xfId="31251" xr:uid="{00000000-0005-0000-0000-00007D820000}"/>
    <cellStyle name="표준 5 3 2 7 3 2 2 3" xfId="39462" xr:uid="{00000000-0005-0000-0000-00007E820000}"/>
    <cellStyle name="표준 5 3 2 7 3 2 2 4" xfId="47655" xr:uid="{00000000-0005-0000-0000-00007F820000}"/>
    <cellStyle name="표준 5 3 2 7 3 2 3" xfId="18897" xr:uid="{00000000-0005-0000-0000-000080820000}"/>
    <cellStyle name="표준 5 3 2 7 3 2 4" xfId="23059" xr:uid="{00000000-0005-0000-0000-000081820000}"/>
    <cellStyle name="표준 5 3 2 7 3 2 5" xfId="27155" xr:uid="{00000000-0005-0000-0000-000082820000}"/>
    <cellStyle name="표준 5 3 2 7 3 2 6" xfId="35366" xr:uid="{00000000-0005-0000-0000-000083820000}"/>
    <cellStyle name="표준 5 3 2 7 3 2 7" xfId="43559" xr:uid="{00000000-0005-0000-0000-000084820000}"/>
    <cellStyle name="표준 5 3 2 7 3 3" xfId="8497" xr:uid="{00000000-0005-0000-0000-000085820000}"/>
    <cellStyle name="표준 5 3 2 7 3 3 2" xfId="29203" xr:uid="{00000000-0005-0000-0000-000086820000}"/>
    <cellStyle name="표준 5 3 2 7 3 3 3" xfId="37414" xr:uid="{00000000-0005-0000-0000-000087820000}"/>
    <cellStyle name="표준 5 3 2 7 3 3 4" xfId="45607" xr:uid="{00000000-0005-0000-0000-000088820000}"/>
    <cellStyle name="표준 5 3 2 7 3 4" xfId="12609" xr:uid="{00000000-0005-0000-0000-000089820000}"/>
    <cellStyle name="표준 5 3 2 7 3 5" xfId="16849" xr:uid="{00000000-0005-0000-0000-00008A820000}"/>
    <cellStyle name="표준 5 3 2 7 3 6" xfId="21011" xr:uid="{00000000-0005-0000-0000-00008B820000}"/>
    <cellStyle name="표준 5 3 2 7 3 7" xfId="25107" xr:uid="{00000000-0005-0000-0000-00008C820000}"/>
    <cellStyle name="표준 5 3 2 7 3 8" xfId="33318" xr:uid="{00000000-0005-0000-0000-00008D820000}"/>
    <cellStyle name="표준 5 3 2 7 3 9" xfId="41511" xr:uid="{00000000-0005-0000-0000-00008E820000}"/>
    <cellStyle name="표준 5 3 2 7 4" xfId="2154" xr:uid="{00000000-0005-0000-0000-00008F820000}"/>
    <cellStyle name="표준 5 3 2 7 4 2" xfId="11057" xr:uid="{00000000-0005-0000-0000-000090820000}"/>
    <cellStyle name="표준 5 3 2 7 4 2 2" xfId="15169" xr:uid="{00000000-0005-0000-0000-000091820000}"/>
    <cellStyle name="표준 5 3 2 7 4 2 2 2" xfId="31763" xr:uid="{00000000-0005-0000-0000-000092820000}"/>
    <cellStyle name="표준 5 3 2 7 4 2 2 3" xfId="39974" xr:uid="{00000000-0005-0000-0000-000093820000}"/>
    <cellStyle name="표준 5 3 2 7 4 2 2 4" xfId="48167" xr:uid="{00000000-0005-0000-0000-000094820000}"/>
    <cellStyle name="표준 5 3 2 7 4 2 3" xfId="19409" xr:uid="{00000000-0005-0000-0000-000095820000}"/>
    <cellStyle name="표준 5 3 2 7 4 2 4" xfId="23571" xr:uid="{00000000-0005-0000-0000-000096820000}"/>
    <cellStyle name="표준 5 3 2 7 4 2 5" xfId="27667" xr:uid="{00000000-0005-0000-0000-000097820000}"/>
    <cellStyle name="표준 5 3 2 7 4 2 6" xfId="35878" xr:uid="{00000000-0005-0000-0000-000098820000}"/>
    <cellStyle name="표준 5 3 2 7 4 2 7" xfId="44071" xr:uid="{00000000-0005-0000-0000-000099820000}"/>
    <cellStyle name="표준 5 3 2 7 4 3" xfId="9009" xr:uid="{00000000-0005-0000-0000-00009A820000}"/>
    <cellStyle name="표준 5 3 2 7 4 3 2" xfId="29715" xr:uid="{00000000-0005-0000-0000-00009B820000}"/>
    <cellStyle name="표준 5 3 2 7 4 3 3" xfId="37926" xr:uid="{00000000-0005-0000-0000-00009C820000}"/>
    <cellStyle name="표준 5 3 2 7 4 3 4" xfId="46119" xr:uid="{00000000-0005-0000-0000-00009D820000}"/>
    <cellStyle name="표준 5 3 2 7 4 4" xfId="13121" xr:uid="{00000000-0005-0000-0000-00009E820000}"/>
    <cellStyle name="표준 5 3 2 7 4 5" xfId="17361" xr:uid="{00000000-0005-0000-0000-00009F820000}"/>
    <cellStyle name="표준 5 3 2 7 4 6" xfId="21523" xr:uid="{00000000-0005-0000-0000-0000A0820000}"/>
    <cellStyle name="표준 5 3 2 7 4 7" xfId="25619" xr:uid="{00000000-0005-0000-0000-0000A1820000}"/>
    <cellStyle name="표준 5 3 2 7 4 8" xfId="33830" xr:uid="{00000000-0005-0000-0000-0000A2820000}"/>
    <cellStyle name="표준 5 3 2 7 4 9" xfId="42023" xr:uid="{00000000-0005-0000-0000-0000A3820000}"/>
    <cellStyle name="표준 5 3 2 7 5" xfId="9521" xr:uid="{00000000-0005-0000-0000-0000A4820000}"/>
    <cellStyle name="표준 5 3 2 7 5 2" xfId="13633" xr:uid="{00000000-0005-0000-0000-0000A5820000}"/>
    <cellStyle name="표준 5 3 2 7 5 2 2" xfId="30227" xr:uid="{00000000-0005-0000-0000-0000A6820000}"/>
    <cellStyle name="표준 5 3 2 7 5 2 3" xfId="38438" xr:uid="{00000000-0005-0000-0000-0000A7820000}"/>
    <cellStyle name="표준 5 3 2 7 5 2 4" xfId="46631" xr:uid="{00000000-0005-0000-0000-0000A8820000}"/>
    <cellStyle name="표준 5 3 2 7 5 3" xfId="17873" xr:uid="{00000000-0005-0000-0000-0000A9820000}"/>
    <cellStyle name="표준 5 3 2 7 5 4" xfId="22035" xr:uid="{00000000-0005-0000-0000-0000AA820000}"/>
    <cellStyle name="표준 5 3 2 7 5 5" xfId="26131" xr:uid="{00000000-0005-0000-0000-0000AB820000}"/>
    <cellStyle name="표준 5 3 2 7 5 6" xfId="34342" xr:uid="{00000000-0005-0000-0000-0000AC820000}"/>
    <cellStyle name="표준 5 3 2 7 5 7" xfId="42535" xr:uid="{00000000-0005-0000-0000-0000AD820000}"/>
    <cellStyle name="표준 5 3 2 7 6" xfId="7473" xr:uid="{00000000-0005-0000-0000-0000AE820000}"/>
    <cellStyle name="표준 5 3 2 7 6 2" xfId="28179" xr:uid="{00000000-0005-0000-0000-0000AF820000}"/>
    <cellStyle name="표준 5 3 2 7 6 3" xfId="36390" xr:uid="{00000000-0005-0000-0000-0000B0820000}"/>
    <cellStyle name="표준 5 3 2 7 6 4" xfId="44583" xr:uid="{00000000-0005-0000-0000-0000B1820000}"/>
    <cellStyle name="표준 5 3 2 7 7" xfId="11585" xr:uid="{00000000-0005-0000-0000-0000B2820000}"/>
    <cellStyle name="표준 5 3 2 7 8" xfId="15825" xr:uid="{00000000-0005-0000-0000-0000B3820000}"/>
    <cellStyle name="표준 5 3 2 7 9" xfId="19987" xr:uid="{00000000-0005-0000-0000-0000B4820000}"/>
    <cellStyle name="표준 5 3 2 8" xfId="874" xr:uid="{00000000-0005-0000-0000-0000B5820000}"/>
    <cellStyle name="표준 5 3 2 8 2" xfId="9777" xr:uid="{00000000-0005-0000-0000-0000B6820000}"/>
    <cellStyle name="표준 5 3 2 8 2 2" xfId="13889" xr:uid="{00000000-0005-0000-0000-0000B7820000}"/>
    <cellStyle name="표준 5 3 2 8 2 2 2" xfId="30483" xr:uid="{00000000-0005-0000-0000-0000B8820000}"/>
    <cellStyle name="표준 5 3 2 8 2 2 3" xfId="38694" xr:uid="{00000000-0005-0000-0000-0000B9820000}"/>
    <cellStyle name="표준 5 3 2 8 2 2 4" xfId="46887" xr:uid="{00000000-0005-0000-0000-0000BA820000}"/>
    <cellStyle name="표준 5 3 2 8 2 3" xfId="18129" xr:uid="{00000000-0005-0000-0000-0000BB820000}"/>
    <cellStyle name="표준 5 3 2 8 2 4" xfId="22291" xr:uid="{00000000-0005-0000-0000-0000BC820000}"/>
    <cellStyle name="표준 5 3 2 8 2 5" xfId="26387" xr:uid="{00000000-0005-0000-0000-0000BD820000}"/>
    <cellStyle name="표준 5 3 2 8 2 6" xfId="34598" xr:uid="{00000000-0005-0000-0000-0000BE820000}"/>
    <cellStyle name="표준 5 3 2 8 2 7" xfId="42791" xr:uid="{00000000-0005-0000-0000-0000BF820000}"/>
    <cellStyle name="표준 5 3 2 8 3" xfId="7729" xr:uid="{00000000-0005-0000-0000-0000C0820000}"/>
    <cellStyle name="표준 5 3 2 8 3 2" xfId="28435" xr:uid="{00000000-0005-0000-0000-0000C1820000}"/>
    <cellStyle name="표준 5 3 2 8 3 3" xfId="36646" xr:uid="{00000000-0005-0000-0000-0000C2820000}"/>
    <cellStyle name="표준 5 3 2 8 3 4" xfId="44839" xr:uid="{00000000-0005-0000-0000-0000C3820000}"/>
    <cellStyle name="표준 5 3 2 8 4" xfId="11841" xr:uid="{00000000-0005-0000-0000-0000C4820000}"/>
    <cellStyle name="표준 5 3 2 8 5" xfId="16081" xr:uid="{00000000-0005-0000-0000-0000C5820000}"/>
    <cellStyle name="표준 5 3 2 8 6" xfId="20243" xr:uid="{00000000-0005-0000-0000-0000C6820000}"/>
    <cellStyle name="표준 5 3 2 8 7" xfId="24339" xr:uid="{00000000-0005-0000-0000-0000C7820000}"/>
    <cellStyle name="표준 5 3 2 8 8" xfId="32550" xr:uid="{00000000-0005-0000-0000-0000C8820000}"/>
    <cellStyle name="표준 5 3 2 8 9" xfId="40743" xr:uid="{00000000-0005-0000-0000-0000C9820000}"/>
    <cellStyle name="표준 5 3 2 9" xfId="1386" xr:uid="{00000000-0005-0000-0000-0000CA820000}"/>
    <cellStyle name="표준 5 3 2 9 2" xfId="10289" xr:uid="{00000000-0005-0000-0000-0000CB820000}"/>
    <cellStyle name="표준 5 3 2 9 2 2" xfId="14401" xr:uid="{00000000-0005-0000-0000-0000CC820000}"/>
    <cellStyle name="표준 5 3 2 9 2 2 2" xfId="30995" xr:uid="{00000000-0005-0000-0000-0000CD820000}"/>
    <cellStyle name="표준 5 3 2 9 2 2 3" xfId="39206" xr:uid="{00000000-0005-0000-0000-0000CE820000}"/>
    <cellStyle name="표준 5 3 2 9 2 2 4" xfId="47399" xr:uid="{00000000-0005-0000-0000-0000CF820000}"/>
    <cellStyle name="표준 5 3 2 9 2 3" xfId="18641" xr:uid="{00000000-0005-0000-0000-0000D0820000}"/>
    <cellStyle name="표준 5 3 2 9 2 4" xfId="22803" xr:uid="{00000000-0005-0000-0000-0000D1820000}"/>
    <cellStyle name="표준 5 3 2 9 2 5" xfId="26899" xr:uid="{00000000-0005-0000-0000-0000D2820000}"/>
    <cellStyle name="표준 5 3 2 9 2 6" xfId="35110" xr:uid="{00000000-0005-0000-0000-0000D3820000}"/>
    <cellStyle name="표준 5 3 2 9 2 7" xfId="43303" xr:uid="{00000000-0005-0000-0000-0000D4820000}"/>
    <cellStyle name="표준 5 3 2 9 3" xfId="8241" xr:uid="{00000000-0005-0000-0000-0000D5820000}"/>
    <cellStyle name="표준 5 3 2 9 3 2" xfId="28947" xr:uid="{00000000-0005-0000-0000-0000D6820000}"/>
    <cellStyle name="표준 5 3 2 9 3 3" xfId="37158" xr:uid="{00000000-0005-0000-0000-0000D7820000}"/>
    <cellStyle name="표준 5 3 2 9 3 4" xfId="45351" xr:uid="{00000000-0005-0000-0000-0000D8820000}"/>
    <cellStyle name="표준 5 3 2 9 4" xfId="12353" xr:uid="{00000000-0005-0000-0000-0000D9820000}"/>
    <cellStyle name="표준 5 3 2 9 5" xfId="16593" xr:uid="{00000000-0005-0000-0000-0000DA820000}"/>
    <cellStyle name="표준 5 3 2 9 6" xfId="20755" xr:uid="{00000000-0005-0000-0000-0000DB820000}"/>
    <cellStyle name="표준 5 3 2 9 7" xfId="24851" xr:uid="{00000000-0005-0000-0000-0000DC820000}"/>
    <cellStyle name="표준 5 3 2 9 8" xfId="33062" xr:uid="{00000000-0005-0000-0000-0000DD820000}"/>
    <cellStyle name="표준 5 3 2 9 9" xfId="41255" xr:uid="{00000000-0005-0000-0000-0000DE820000}"/>
    <cellStyle name="표준 5 3 20" xfId="11309" xr:uid="{00000000-0005-0000-0000-0000DF820000}"/>
    <cellStyle name="표준 5 3 21" xfId="11325" xr:uid="{00000000-0005-0000-0000-0000E0820000}"/>
    <cellStyle name="표준 5 3 22" xfId="15421" xr:uid="{00000000-0005-0000-0000-0000E1820000}"/>
    <cellStyle name="표준 5 3 23" xfId="15437" xr:uid="{00000000-0005-0000-0000-0000E2820000}"/>
    <cellStyle name="표준 5 3 24" xfId="15453" xr:uid="{00000000-0005-0000-0000-0000E3820000}"/>
    <cellStyle name="표준 5 3 25" xfId="15549" xr:uid="{00000000-0005-0000-0000-0000E4820000}"/>
    <cellStyle name="표준 5 3 26" xfId="15565" xr:uid="{00000000-0005-0000-0000-0000E5820000}"/>
    <cellStyle name="표준 5 3 27" xfId="19661" xr:uid="{00000000-0005-0000-0000-0000E6820000}"/>
    <cellStyle name="표준 5 3 28" xfId="19677" xr:uid="{00000000-0005-0000-0000-0000E7820000}"/>
    <cellStyle name="표준 5 3 29" xfId="19693" xr:uid="{00000000-0005-0000-0000-0000E8820000}"/>
    <cellStyle name="표준 5 3 3" xfId="73" xr:uid="{00000000-0005-0000-0000-0000E9820000}"/>
    <cellStyle name="표준 5 3 3 10" xfId="4399" xr:uid="{00000000-0005-0000-0000-0000EA820000}"/>
    <cellStyle name="표준 5 3 3 10 2" xfId="9269" xr:uid="{00000000-0005-0000-0000-0000EB820000}"/>
    <cellStyle name="표준 5 3 3 10 2 2" xfId="29975" xr:uid="{00000000-0005-0000-0000-0000EC820000}"/>
    <cellStyle name="표준 5 3 3 10 2 3" xfId="38186" xr:uid="{00000000-0005-0000-0000-0000ED820000}"/>
    <cellStyle name="표준 5 3 3 10 2 4" xfId="46379" xr:uid="{00000000-0005-0000-0000-0000EE820000}"/>
    <cellStyle name="표준 5 3 3 10 3" xfId="13381" xr:uid="{00000000-0005-0000-0000-0000EF820000}"/>
    <cellStyle name="표준 5 3 3 10 4" xfId="17621" xr:uid="{00000000-0005-0000-0000-0000F0820000}"/>
    <cellStyle name="표준 5 3 3 10 5" xfId="21783" xr:uid="{00000000-0005-0000-0000-0000F1820000}"/>
    <cellStyle name="표준 5 3 3 10 6" xfId="25879" xr:uid="{00000000-0005-0000-0000-0000F2820000}"/>
    <cellStyle name="표준 5 3 3 10 7" xfId="34090" xr:uid="{00000000-0005-0000-0000-0000F3820000}"/>
    <cellStyle name="표준 5 3 3 10 8" xfId="42283" xr:uid="{00000000-0005-0000-0000-0000F4820000}"/>
    <cellStyle name="표준 5 3 3 11" xfId="6956" xr:uid="{00000000-0005-0000-0000-0000F5820000}"/>
    <cellStyle name="표준 5 3 3 11 2" xfId="27927" xr:uid="{00000000-0005-0000-0000-0000F6820000}"/>
    <cellStyle name="표준 5 3 3 11 3" xfId="36138" xr:uid="{00000000-0005-0000-0000-0000F7820000}"/>
    <cellStyle name="표준 5 3 3 11 4" xfId="44331" xr:uid="{00000000-0005-0000-0000-0000F8820000}"/>
    <cellStyle name="표준 5 3 3 12" xfId="7074" xr:uid="{00000000-0005-0000-0000-0000F9820000}"/>
    <cellStyle name="표준 5 3 3 13" xfId="7090" xr:uid="{00000000-0005-0000-0000-0000FA820000}"/>
    <cellStyle name="표준 5 3 3 14" xfId="7106" xr:uid="{00000000-0005-0000-0000-0000FB820000}"/>
    <cellStyle name="표준 5 3 3 15" xfId="7200" xr:uid="{00000000-0005-0000-0000-0000FC820000}"/>
    <cellStyle name="표준 5 3 3 16" xfId="7221" xr:uid="{00000000-0005-0000-0000-0000FD820000}"/>
    <cellStyle name="표준 5 3 3 17" xfId="11317" xr:uid="{00000000-0005-0000-0000-0000FE820000}"/>
    <cellStyle name="표준 5 3 3 18" xfId="11333" xr:uid="{00000000-0005-0000-0000-0000FF820000}"/>
    <cellStyle name="표준 5 3 3 19" xfId="15429" xr:uid="{00000000-0005-0000-0000-000000830000}"/>
    <cellStyle name="표준 5 3 3 2" xfId="167" xr:uid="{00000000-0005-0000-0000-000001830000}"/>
    <cellStyle name="표준 5 3 3 2 10" xfId="7184" xr:uid="{00000000-0005-0000-0000-000002830000}"/>
    <cellStyle name="표준 5 3 3 2 10 2" xfId="27943" xr:uid="{00000000-0005-0000-0000-000003830000}"/>
    <cellStyle name="표준 5 3 3 2 10 3" xfId="36154" xr:uid="{00000000-0005-0000-0000-000004830000}"/>
    <cellStyle name="표준 5 3 3 2 10 4" xfId="44347" xr:uid="{00000000-0005-0000-0000-000005830000}"/>
    <cellStyle name="표준 5 3 3 2 11" xfId="7237" xr:uid="{00000000-0005-0000-0000-000006830000}"/>
    <cellStyle name="표준 5 3 3 2 12" xfId="11349" xr:uid="{00000000-0005-0000-0000-000007830000}"/>
    <cellStyle name="표준 5 3 3 2 13" xfId="15477" xr:uid="{00000000-0005-0000-0000-000008830000}"/>
    <cellStyle name="표준 5 3 3 2 14" xfId="15589" xr:uid="{00000000-0005-0000-0000-000009830000}"/>
    <cellStyle name="표준 5 3 3 2 15" xfId="19751" xr:uid="{00000000-0005-0000-0000-00000A830000}"/>
    <cellStyle name="표준 5 3 3 2 16" xfId="23847" xr:uid="{00000000-0005-0000-0000-00000B830000}"/>
    <cellStyle name="표준 5 3 3 2 17" xfId="32058" xr:uid="{00000000-0005-0000-0000-00000C830000}"/>
    <cellStyle name="표준 5 3 3 2 18" xfId="40251" xr:uid="{00000000-0005-0000-0000-00000D830000}"/>
    <cellStyle name="표준 5 3 3 2 19" xfId="49642" xr:uid="{00000000-0005-0000-0000-00000E830000}"/>
    <cellStyle name="표준 5 3 3 2 2" xfId="414" xr:uid="{00000000-0005-0000-0000-00000F830000}"/>
    <cellStyle name="표준 5 3 3 2 2 10" xfId="7269" xr:uid="{00000000-0005-0000-0000-000010830000}"/>
    <cellStyle name="표준 5 3 3 2 2 11" xfId="11381" xr:uid="{00000000-0005-0000-0000-000011830000}"/>
    <cellStyle name="표준 5 3 3 2 2 12" xfId="15525" xr:uid="{00000000-0005-0000-0000-000012830000}"/>
    <cellStyle name="표준 5 3 3 2 2 13" xfId="15621" xr:uid="{00000000-0005-0000-0000-000013830000}"/>
    <cellStyle name="표준 5 3 3 2 2 14" xfId="19783" xr:uid="{00000000-0005-0000-0000-000014830000}"/>
    <cellStyle name="표준 5 3 3 2 2 15" xfId="23879" xr:uid="{00000000-0005-0000-0000-000015830000}"/>
    <cellStyle name="표준 5 3 3 2 2 16" xfId="32090" xr:uid="{00000000-0005-0000-0000-000016830000}"/>
    <cellStyle name="표준 5 3 3 2 2 17" xfId="40283" xr:uid="{00000000-0005-0000-0000-000017830000}"/>
    <cellStyle name="표준 5 3 3 2 2 18" xfId="49708" xr:uid="{00000000-0005-0000-0000-000018830000}"/>
    <cellStyle name="표준 5 3 3 2 2 2" xfId="478" xr:uid="{00000000-0005-0000-0000-000019830000}"/>
    <cellStyle name="표준 5 3 3 2 2 2 10" xfId="15685" xr:uid="{00000000-0005-0000-0000-00001A830000}"/>
    <cellStyle name="표준 5 3 3 2 2 2 11" xfId="19847" xr:uid="{00000000-0005-0000-0000-00001B830000}"/>
    <cellStyle name="표준 5 3 3 2 2 2 12" xfId="23943" xr:uid="{00000000-0005-0000-0000-00001C830000}"/>
    <cellStyle name="표준 5 3 3 2 2 2 13" xfId="32154" xr:uid="{00000000-0005-0000-0000-00001D830000}"/>
    <cellStyle name="표준 5 3 3 2 2 2 14" xfId="40347" xr:uid="{00000000-0005-0000-0000-00001E830000}"/>
    <cellStyle name="표준 5 3 3 2 2 2 2" xfId="606" xr:uid="{00000000-0005-0000-0000-00001F830000}"/>
    <cellStyle name="표준 5 3 3 2 2 2 2 10" xfId="19975" xr:uid="{00000000-0005-0000-0000-000020830000}"/>
    <cellStyle name="표준 5 3 3 2 2 2 2 11" xfId="24071" xr:uid="{00000000-0005-0000-0000-000021830000}"/>
    <cellStyle name="표준 5 3 3 2 2 2 2 12" xfId="32282" xr:uid="{00000000-0005-0000-0000-000022830000}"/>
    <cellStyle name="표준 5 3 3 2 2 2 2 13" xfId="40475" xr:uid="{00000000-0005-0000-0000-000023830000}"/>
    <cellStyle name="표준 5 3 3 2 2 2 2 2" xfId="862" xr:uid="{00000000-0005-0000-0000-000024830000}"/>
    <cellStyle name="표준 5 3 3 2 2 2 2 2 10" xfId="24327" xr:uid="{00000000-0005-0000-0000-000025830000}"/>
    <cellStyle name="표준 5 3 3 2 2 2 2 2 11" xfId="32538" xr:uid="{00000000-0005-0000-0000-000026830000}"/>
    <cellStyle name="표준 5 3 3 2 2 2 2 2 12" xfId="40731" xr:uid="{00000000-0005-0000-0000-000027830000}"/>
    <cellStyle name="표준 5 3 3 2 2 2 2 2 2" xfId="1374" xr:uid="{00000000-0005-0000-0000-000028830000}"/>
    <cellStyle name="표준 5 3 3 2 2 2 2 2 2 2" xfId="10277" xr:uid="{00000000-0005-0000-0000-000029830000}"/>
    <cellStyle name="표준 5 3 3 2 2 2 2 2 2 2 2" xfId="14389" xr:uid="{00000000-0005-0000-0000-00002A830000}"/>
    <cellStyle name="표준 5 3 3 2 2 2 2 2 2 2 2 2" xfId="30983" xr:uid="{00000000-0005-0000-0000-00002B830000}"/>
    <cellStyle name="표준 5 3 3 2 2 2 2 2 2 2 2 3" xfId="39194" xr:uid="{00000000-0005-0000-0000-00002C830000}"/>
    <cellStyle name="표준 5 3 3 2 2 2 2 2 2 2 2 4" xfId="47387" xr:uid="{00000000-0005-0000-0000-00002D830000}"/>
    <cellStyle name="표준 5 3 3 2 2 2 2 2 2 2 3" xfId="18629" xr:uid="{00000000-0005-0000-0000-00002E830000}"/>
    <cellStyle name="표준 5 3 3 2 2 2 2 2 2 2 4" xfId="22791" xr:uid="{00000000-0005-0000-0000-00002F830000}"/>
    <cellStyle name="표준 5 3 3 2 2 2 2 2 2 2 5" xfId="26887" xr:uid="{00000000-0005-0000-0000-000030830000}"/>
    <cellStyle name="표준 5 3 3 2 2 2 2 2 2 2 6" xfId="35098" xr:uid="{00000000-0005-0000-0000-000031830000}"/>
    <cellStyle name="표준 5 3 3 2 2 2 2 2 2 2 7" xfId="43291" xr:uid="{00000000-0005-0000-0000-000032830000}"/>
    <cellStyle name="표준 5 3 3 2 2 2 2 2 2 3" xfId="8229" xr:uid="{00000000-0005-0000-0000-000033830000}"/>
    <cellStyle name="표준 5 3 3 2 2 2 2 2 2 3 2" xfId="28935" xr:uid="{00000000-0005-0000-0000-000034830000}"/>
    <cellStyle name="표준 5 3 3 2 2 2 2 2 2 3 3" xfId="37146" xr:uid="{00000000-0005-0000-0000-000035830000}"/>
    <cellStyle name="표준 5 3 3 2 2 2 2 2 2 3 4" xfId="45339" xr:uid="{00000000-0005-0000-0000-000036830000}"/>
    <cellStyle name="표준 5 3 3 2 2 2 2 2 2 4" xfId="12341" xr:uid="{00000000-0005-0000-0000-000037830000}"/>
    <cellStyle name="표준 5 3 3 2 2 2 2 2 2 5" xfId="16581" xr:uid="{00000000-0005-0000-0000-000038830000}"/>
    <cellStyle name="표준 5 3 3 2 2 2 2 2 2 6" xfId="20743" xr:uid="{00000000-0005-0000-0000-000039830000}"/>
    <cellStyle name="표준 5 3 3 2 2 2 2 2 2 7" xfId="24839" xr:uid="{00000000-0005-0000-0000-00003A830000}"/>
    <cellStyle name="표준 5 3 3 2 2 2 2 2 2 8" xfId="33050" xr:uid="{00000000-0005-0000-0000-00003B830000}"/>
    <cellStyle name="표준 5 3 3 2 2 2 2 2 2 9" xfId="41243" xr:uid="{00000000-0005-0000-0000-00003C830000}"/>
    <cellStyle name="표준 5 3 3 2 2 2 2 2 3" xfId="1886" xr:uid="{00000000-0005-0000-0000-00003D830000}"/>
    <cellStyle name="표준 5 3 3 2 2 2 2 2 3 2" xfId="10789" xr:uid="{00000000-0005-0000-0000-00003E830000}"/>
    <cellStyle name="표준 5 3 3 2 2 2 2 2 3 2 2" xfId="14901" xr:uid="{00000000-0005-0000-0000-00003F830000}"/>
    <cellStyle name="표준 5 3 3 2 2 2 2 2 3 2 2 2" xfId="31495" xr:uid="{00000000-0005-0000-0000-000040830000}"/>
    <cellStyle name="표준 5 3 3 2 2 2 2 2 3 2 2 3" xfId="39706" xr:uid="{00000000-0005-0000-0000-000041830000}"/>
    <cellStyle name="표준 5 3 3 2 2 2 2 2 3 2 2 4" xfId="47899" xr:uid="{00000000-0005-0000-0000-000042830000}"/>
    <cellStyle name="표준 5 3 3 2 2 2 2 2 3 2 3" xfId="19141" xr:uid="{00000000-0005-0000-0000-000043830000}"/>
    <cellStyle name="표준 5 3 3 2 2 2 2 2 3 2 4" xfId="23303" xr:uid="{00000000-0005-0000-0000-000044830000}"/>
    <cellStyle name="표준 5 3 3 2 2 2 2 2 3 2 5" xfId="27399" xr:uid="{00000000-0005-0000-0000-000045830000}"/>
    <cellStyle name="표준 5 3 3 2 2 2 2 2 3 2 6" xfId="35610" xr:uid="{00000000-0005-0000-0000-000046830000}"/>
    <cellStyle name="표준 5 3 3 2 2 2 2 2 3 2 7" xfId="43803" xr:uid="{00000000-0005-0000-0000-000047830000}"/>
    <cellStyle name="표준 5 3 3 2 2 2 2 2 3 3" xfId="8741" xr:uid="{00000000-0005-0000-0000-000048830000}"/>
    <cellStyle name="표준 5 3 3 2 2 2 2 2 3 3 2" xfId="29447" xr:uid="{00000000-0005-0000-0000-000049830000}"/>
    <cellStyle name="표준 5 3 3 2 2 2 2 2 3 3 3" xfId="37658" xr:uid="{00000000-0005-0000-0000-00004A830000}"/>
    <cellStyle name="표준 5 3 3 2 2 2 2 2 3 3 4" xfId="45851" xr:uid="{00000000-0005-0000-0000-00004B830000}"/>
    <cellStyle name="표준 5 3 3 2 2 2 2 2 3 4" xfId="12853" xr:uid="{00000000-0005-0000-0000-00004C830000}"/>
    <cellStyle name="표준 5 3 3 2 2 2 2 2 3 5" xfId="17093" xr:uid="{00000000-0005-0000-0000-00004D830000}"/>
    <cellStyle name="표준 5 3 3 2 2 2 2 2 3 6" xfId="21255" xr:uid="{00000000-0005-0000-0000-00004E830000}"/>
    <cellStyle name="표준 5 3 3 2 2 2 2 2 3 7" xfId="25351" xr:uid="{00000000-0005-0000-0000-00004F830000}"/>
    <cellStyle name="표준 5 3 3 2 2 2 2 2 3 8" xfId="33562" xr:uid="{00000000-0005-0000-0000-000050830000}"/>
    <cellStyle name="표준 5 3 3 2 2 2 2 2 3 9" xfId="41755" xr:uid="{00000000-0005-0000-0000-000051830000}"/>
    <cellStyle name="표준 5 3 3 2 2 2 2 2 4" xfId="2398" xr:uid="{00000000-0005-0000-0000-000052830000}"/>
    <cellStyle name="표준 5 3 3 2 2 2 2 2 4 2" xfId="11301" xr:uid="{00000000-0005-0000-0000-000053830000}"/>
    <cellStyle name="표준 5 3 3 2 2 2 2 2 4 2 2" xfId="15413" xr:uid="{00000000-0005-0000-0000-000054830000}"/>
    <cellStyle name="표준 5 3 3 2 2 2 2 2 4 2 2 2" xfId="32007" xr:uid="{00000000-0005-0000-0000-000055830000}"/>
    <cellStyle name="표준 5 3 3 2 2 2 2 2 4 2 2 3" xfId="40218" xr:uid="{00000000-0005-0000-0000-000056830000}"/>
    <cellStyle name="표준 5 3 3 2 2 2 2 2 4 2 2 4" xfId="48411" xr:uid="{00000000-0005-0000-0000-000057830000}"/>
    <cellStyle name="표준 5 3 3 2 2 2 2 2 4 2 3" xfId="19653" xr:uid="{00000000-0005-0000-0000-000058830000}"/>
    <cellStyle name="표준 5 3 3 2 2 2 2 2 4 2 4" xfId="23815" xr:uid="{00000000-0005-0000-0000-000059830000}"/>
    <cellStyle name="표준 5 3 3 2 2 2 2 2 4 2 5" xfId="27911" xr:uid="{00000000-0005-0000-0000-00005A830000}"/>
    <cellStyle name="표준 5 3 3 2 2 2 2 2 4 2 6" xfId="36122" xr:uid="{00000000-0005-0000-0000-00005B830000}"/>
    <cellStyle name="표준 5 3 3 2 2 2 2 2 4 2 7" xfId="44315" xr:uid="{00000000-0005-0000-0000-00005C830000}"/>
    <cellStyle name="표준 5 3 3 2 2 2 2 2 4 3" xfId="9253" xr:uid="{00000000-0005-0000-0000-00005D830000}"/>
    <cellStyle name="표준 5 3 3 2 2 2 2 2 4 3 2" xfId="29959" xr:uid="{00000000-0005-0000-0000-00005E830000}"/>
    <cellStyle name="표준 5 3 3 2 2 2 2 2 4 3 3" xfId="38170" xr:uid="{00000000-0005-0000-0000-00005F830000}"/>
    <cellStyle name="표준 5 3 3 2 2 2 2 2 4 3 4" xfId="46363" xr:uid="{00000000-0005-0000-0000-000060830000}"/>
    <cellStyle name="표준 5 3 3 2 2 2 2 2 4 4" xfId="13365" xr:uid="{00000000-0005-0000-0000-000061830000}"/>
    <cellStyle name="표준 5 3 3 2 2 2 2 2 4 5" xfId="17605" xr:uid="{00000000-0005-0000-0000-000062830000}"/>
    <cellStyle name="표준 5 3 3 2 2 2 2 2 4 6" xfId="21767" xr:uid="{00000000-0005-0000-0000-000063830000}"/>
    <cellStyle name="표준 5 3 3 2 2 2 2 2 4 7" xfId="25863" xr:uid="{00000000-0005-0000-0000-000064830000}"/>
    <cellStyle name="표준 5 3 3 2 2 2 2 2 4 8" xfId="34074" xr:uid="{00000000-0005-0000-0000-000065830000}"/>
    <cellStyle name="표준 5 3 3 2 2 2 2 2 4 9" xfId="42267" xr:uid="{00000000-0005-0000-0000-000066830000}"/>
    <cellStyle name="표준 5 3 3 2 2 2 2 2 5" xfId="9765" xr:uid="{00000000-0005-0000-0000-000067830000}"/>
    <cellStyle name="표준 5 3 3 2 2 2 2 2 5 2" xfId="13877" xr:uid="{00000000-0005-0000-0000-000068830000}"/>
    <cellStyle name="표준 5 3 3 2 2 2 2 2 5 2 2" xfId="30471" xr:uid="{00000000-0005-0000-0000-000069830000}"/>
    <cellStyle name="표준 5 3 3 2 2 2 2 2 5 2 3" xfId="38682" xr:uid="{00000000-0005-0000-0000-00006A830000}"/>
    <cellStyle name="표준 5 3 3 2 2 2 2 2 5 2 4" xfId="46875" xr:uid="{00000000-0005-0000-0000-00006B830000}"/>
    <cellStyle name="표준 5 3 3 2 2 2 2 2 5 3" xfId="18117" xr:uid="{00000000-0005-0000-0000-00006C830000}"/>
    <cellStyle name="표준 5 3 3 2 2 2 2 2 5 4" xfId="22279" xr:uid="{00000000-0005-0000-0000-00006D830000}"/>
    <cellStyle name="표준 5 3 3 2 2 2 2 2 5 5" xfId="26375" xr:uid="{00000000-0005-0000-0000-00006E830000}"/>
    <cellStyle name="표준 5 3 3 2 2 2 2 2 5 6" xfId="34586" xr:uid="{00000000-0005-0000-0000-00006F830000}"/>
    <cellStyle name="표준 5 3 3 2 2 2 2 2 5 7" xfId="42779" xr:uid="{00000000-0005-0000-0000-000070830000}"/>
    <cellStyle name="표준 5 3 3 2 2 2 2 2 6" xfId="7717" xr:uid="{00000000-0005-0000-0000-000071830000}"/>
    <cellStyle name="표준 5 3 3 2 2 2 2 2 6 2" xfId="28423" xr:uid="{00000000-0005-0000-0000-000072830000}"/>
    <cellStyle name="표준 5 3 3 2 2 2 2 2 6 3" xfId="36634" xr:uid="{00000000-0005-0000-0000-000073830000}"/>
    <cellStyle name="표준 5 3 3 2 2 2 2 2 6 4" xfId="44827" xr:uid="{00000000-0005-0000-0000-000074830000}"/>
    <cellStyle name="표준 5 3 3 2 2 2 2 2 7" xfId="11829" xr:uid="{00000000-0005-0000-0000-000075830000}"/>
    <cellStyle name="표준 5 3 3 2 2 2 2 2 8" xfId="16069" xr:uid="{00000000-0005-0000-0000-000076830000}"/>
    <cellStyle name="표준 5 3 3 2 2 2 2 2 9" xfId="20231" xr:uid="{00000000-0005-0000-0000-000077830000}"/>
    <cellStyle name="표준 5 3 3 2 2 2 2 3" xfId="1118" xr:uid="{00000000-0005-0000-0000-000078830000}"/>
    <cellStyle name="표준 5 3 3 2 2 2 2 3 2" xfId="10021" xr:uid="{00000000-0005-0000-0000-000079830000}"/>
    <cellStyle name="표준 5 3 3 2 2 2 2 3 2 2" xfId="14133" xr:uid="{00000000-0005-0000-0000-00007A830000}"/>
    <cellStyle name="표준 5 3 3 2 2 2 2 3 2 2 2" xfId="30727" xr:uid="{00000000-0005-0000-0000-00007B830000}"/>
    <cellStyle name="표준 5 3 3 2 2 2 2 3 2 2 3" xfId="38938" xr:uid="{00000000-0005-0000-0000-00007C830000}"/>
    <cellStyle name="표준 5 3 3 2 2 2 2 3 2 2 4" xfId="47131" xr:uid="{00000000-0005-0000-0000-00007D830000}"/>
    <cellStyle name="표준 5 3 3 2 2 2 2 3 2 3" xfId="18373" xr:uid="{00000000-0005-0000-0000-00007E830000}"/>
    <cellStyle name="표준 5 3 3 2 2 2 2 3 2 4" xfId="22535" xr:uid="{00000000-0005-0000-0000-00007F830000}"/>
    <cellStyle name="표준 5 3 3 2 2 2 2 3 2 5" xfId="26631" xr:uid="{00000000-0005-0000-0000-000080830000}"/>
    <cellStyle name="표준 5 3 3 2 2 2 2 3 2 6" xfId="34842" xr:uid="{00000000-0005-0000-0000-000081830000}"/>
    <cellStyle name="표준 5 3 3 2 2 2 2 3 2 7" xfId="43035" xr:uid="{00000000-0005-0000-0000-000082830000}"/>
    <cellStyle name="표준 5 3 3 2 2 2 2 3 3" xfId="7973" xr:uid="{00000000-0005-0000-0000-000083830000}"/>
    <cellStyle name="표준 5 3 3 2 2 2 2 3 3 2" xfId="28679" xr:uid="{00000000-0005-0000-0000-000084830000}"/>
    <cellStyle name="표준 5 3 3 2 2 2 2 3 3 3" xfId="36890" xr:uid="{00000000-0005-0000-0000-000085830000}"/>
    <cellStyle name="표준 5 3 3 2 2 2 2 3 3 4" xfId="45083" xr:uid="{00000000-0005-0000-0000-000086830000}"/>
    <cellStyle name="표준 5 3 3 2 2 2 2 3 4" xfId="12085" xr:uid="{00000000-0005-0000-0000-000087830000}"/>
    <cellStyle name="표준 5 3 3 2 2 2 2 3 5" xfId="16325" xr:uid="{00000000-0005-0000-0000-000088830000}"/>
    <cellStyle name="표준 5 3 3 2 2 2 2 3 6" xfId="20487" xr:uid="{00000000-0005-0000-0000-000089830000}"/>
    <cellStyle name="표준 5 3 3 2 2 2 2 3 7" xfId="24583" xr:uid="{00000000-0005-0000-0000-00008A830000}"/>
    <cellStyle name="표준 5 3 3 2 2 2 2 3 8" xfId="32794" xr:uid="{00000000-0005-0000-0000-00008B830000}"/>
    <cellStyle name="표준 5 3 3 2 2 2 2 3 9" xfId="40987" xr:uid="{00000000-0005-0000-0000-00008C830000}"/>
    <cellStyle name="표준 5 3 3 2 2 2 2 4" xfId="1630" xr:uid="{00000000-0005-0000-0000-00008D830000}"/>
    <cellStyle name="표준 5 3 3 2 2 2 2 4 2" xfId="10533" xr:uid="{00000000-0005-0000-0000-00008E830000}"/>
    <cellStyle name="표준 5 3 3 2 2 2 2 4 2 2" xfId="14645" xr:uid="{00000000-0005-0000-0000-00008F830000}"/>
    <cellStyle name="표준 5 3 3 2 2 2 2 4 2 2 2" xfId="31239" xr:uid="{00000000-0005-0000-0000-000090830000}"/>
    <cellStyle name="표준 5 3 3 2 2 2 2 4 2 2 3" xfId="39450" xr:uid="{00000000-0005-0000-0000-000091830000}"/>
    <cellStyle name="표준 5 3 3 2 2 2 2 4 2 2 4" xfId="47643" xr:uid="{00000000-0005-0000-0000-000092830000}"/>
    <cellStyle name="표준 5 3 3 2 2 2 2 4 2 3" xfId="18885" xr:uid="{00000000-0005-0000-0000-000093830000}"/>
    <cellStyle name="표준 5 3 3 2 2 2 2 4 2 4" xfId="23047" xr:uid="{00000000-0005-0000-0000-000094830000}"/>
    <cellStyle name="표준 5 3 3 2 2 2 2 4 2 5" xfId="27143" xr:uid="{00000000-0005-0000-0000-000095830000}"/>
    <cellStyle name="표준 5 3 3 2 2 2 2 4 2 6" xfId="35354" xr:uid="{00000000-0005-0000-0000-000096830000}"/>
    <cellStyle name="표준 5 3 3 2 2 2 2 4 2 7" xfId="43547" xr:uid="{00000000-0005-0000-0000-000097830000}"/>
    <cellStyle name="표준 5 3 3 2 2 2 2 4 3" xfId="8485" xr:uid="{00000000-0005-0000-0000-000098830000}"/>
    <cellStyle name="표준 5 3 3 2 2 2 2 4 3 2" xfId="29191" xr:uid="{00000000-0005-0000-0000-000099830000}"/>
    <cellStyle name="표준 5 3 3 2 2 2 2 4 3 3" xfId="37402" xr:uid="{00000000-0005-0000-0000-00009A830000}"/>
    <cellStyle name="표준 5 3 3 2 2 2 2 4 3 4" xfId="45595" xr:uid="{00000000-0005-0000-0000-00009B830000}"/>
    <cellStyle name="표준 5 3 3 2 2 2 2 4 4" xfId="12597" xr:uid="{00000000-0005-0000-0000-00009C830000}"/>
    <cellStyle name="표준 5 3 3 2 2 2 2 4 5" xfId="16837" xr:uid="{00000000-0005-0000-0000-00009D830000}"/>
    <cellStyle name="표준 5 3 3 2 2 2 2 4 6" xfId="20999" xr:uid="{00000000-0005-0000-0000-00009E830000}"/>
    <cellStyle name="표준 5 3 3 2 2 2 2 4 7" xfId="25095" xr:uid="{00000000-0005-0000-0000-00009F830000}"/>
    <cellStyle name="표준 5 3 3 2 2 2 2 4 8" xfId="33306" xr:uid="{00000000-0005-0000-0000-0000A0830000}"/>
    <cellStyle name="표준 5 3 3 2 2 2 2 4 9" xfId="41499" xr:uid="{00000000-0005-0000-0000-0000A1830000}"/>
    <cellStyle name="표준 5 3 3 2 2 2 2 5" xfId="2142" xr:uid="{00000000-0005-0000-0000-0000A2830000}"/>
    <cellStyle name="표준 5 3 3 2 2 2 2 5 2" xfId="11045" xr:uid="{00000000-0005-0000-0000-0000A3830000}"/>
    <cellStyle name="표준 5 3 3 2 2 2 2 5 2 2" xfId="15157" xr:uid="{00000000-0005-0000-0000-0000A4830000}"/>
    <cellStyle name="표준 5 3 3 2 2 2 2 5 2 2 2" xfId="31751" xr:uid="{00000000-0005-0000-0000-0000A5830000}"/>
    <cellStyle name="표준 5 3 3 2 2 2 2 5 2 2 3" xfId="39962" xr:uid="{00000000-0005-0000-0000-0000A6830000}"/>
    <cellStyle name="표준 5 3 3 2 2 2 2 5 2 2 4" xfId="48155" xr:uid="{00000000-0005-0000-0000-0000A7830000}"/>
    <cellStyle name="표준 5 3 3 2 2 2 2 5 2 3" xfId="19397" xr:uid="{00000000-0005-0000-0000-0000A8830000}"/>
    <cellStyle name="표준 5 3 3 2 2 2 2 5 2 4" xfId="23559" xr:uid="{00000000-0005-0000-0000-0000A9830000}"/>
    <cellStyle name="표준 5 3 3 2 2 2 2 5 2 5" xfId="27655" xr:uid="{00000000-0005-0000-0000-0000AA830000}"/>
    <cellStyle name="표준 5 3 3 2 2 2 2 5 2 6" xfId="35866" xr:uid="{00000000-0005-0000-0000-0000AB830000}"/>
    <cellStyle name="표준 5 3 3 2 2 2 2 5 2 7" xfId="44059" xr:uid="{00000000-0005-0000-0000-0000AC830000}"/>
    <cellStyle name="표준 5 3 3 2 2 2 2 5 3" xfId="8997" xr:uid="{00000000-0005-0000-0000-0000AD830000}"/>
    <cellStyle name="표준 5 3 3 2 2 2 2 5 3 2" xfId="29703" xr:uid="{00000000-0005-0000-0000-0000AE830000}"/>
    <cellStyle name="표준 5 3 3 2 2 2 2 5 3 3" xfId="37914" xr:uid="{00000000-0005-0000-0000-0000AF830000}"/>
    <cellStyle name="표준 5 3 3 2 2 2 2 5 3 4" xfId="46107" xr:uid="{00000000-0005-0000-0000-0000B0830000}"/>
    <cellStyle name="표준 5 3 3 2 2 2 2 5 4" xfId="13109" xr:uid="{00000000-0005-0000-0000-0000B1830000}"/>
    <cellStyle name="표준 5 3 3 2 2 2 2 5 5" xfId="17349" xr:uid="{00000000-0005-0000-0000-0000B2830000}"/>
    <cellStyle name="표준 5 3 3 2 2 2 2 5 6" xfId="21511" xr:uid="{00000000-0005-0000-0000-0000B3830000}"/>
    <cellStyle name="표준 5 3 3 2 2 2 2 5 7" xfId="25607" xr:uid="{00000000-0005-0000-0000-0000B4830000}"/>
    <cellStyle name="표준 5 3 3 2 2 2 2 5 8" xfId="33818" xr:uid="{00000000-0005-0000-0000-0000B5830000}"/>
    <cellStyle name="표준 5 3 3 2 2 2 2 5 9" xfId="42011" xr:uid="{00000000-0005-0000-0000-0000B6830000}"/>
    <cellStyle name="표준 5 3 3 2 2 2 2 6" xfId="9509" xr:uid="{00000000-0005-0000-0000-0000B7830000}"/>
    <cellStyle name="표준 5 3 3 2 2 2 2 6 2" xfId="13621" xr:uid="{00000000-0005-0000-0000-0000B8830000}"/>
    <cellStyle name="표준 5 3 3 2 2 2 2 6 2 2" xfId="30215" xr:uid="{00000000-0005-0000-0000-0000B9830000}"/>
    <cellStyle name="표준 5 3 3 2 2 2 2 6 2 3" xfId="38426" xr:uid="{00000000-0005-0000-0000-0000BA830000}"/>
    <cellStyle name="표준 5 3 3 2 2 2 2 6 2 4" xfId="46619" xr:uid="{00000000-0005-0000-0000-0000BB830000}"/>
    <cellStyle name="표준 5 3 3 2 2 2 2 6 3" xfId="17861" xr:uid="{00000000-0005-0000-0000-0000BC830000}"/>
    <cellStyle name="표준 5 3 3 2 2 2 2 6 4" xfId="22023" xr:uid="{00000000-0005-0000-0000-0000BD830000}"/>
    <cellStyle name="표준 5 3 3 2 2 2 2 6 5" xfId="26119" xr:uid="{00000000-0005-0000-0000-0000BE830000}"/>
    <cellStyle name="표준 5 3 3 2 2 2 2 6 6" xfId="34330" xr:uid="{00000000-0005-0000-0000-0000BF830000}"/>
    <cellStyle name="표준 5 3 3 2 2 2 2 6 7" xfId="42523" xr:uid="{00000000-0005-0000-0000-0000C0830000}"/>
    <cellStyle name="표준 5 3 3 2 2 2 2 7" xfId="7461" xr:uid="{00000000-0005-0000-0000-0000C1830000}"/>
    <cellStyle name="표준 5 3 3 2 2 2 2 7 2" xfId="28167" xr:uid="{00000000-0005-0000-0000-0000C2830000}"/>
    <cellStyle name="표준 5 3 3 2 2 2 2 7 3" xfId="36378" xr:uid="{00000000-0005-0000-0000-0000C3830000}"/>
    <cellStyle name="표준 5 3 3 2 2 2 2 7 4" xfId="44571" xr:uid="{00000000-0005-0000-0000-0000C4830000}"/>
    <cellStyle name="표준 5 3 3 2 2 2 2 8" xfId="11573" xr:uid="{00000000-0005-0000-0000-0000C5830000}"/>
    <cellStyle name="표준 5 3 3 2 2 2 2 9" xfId="15813" xr:uid="{00000000-0005-0000-0000-0000C6830000}"/>
    <cellStyle name="표준 5 3 3 2 2 2 3" xfId="734" xr:uid="{00000000-0005-0000-0000-0000C7830000}"/>
    <cellStyle name="표준 5 3 3 2 2 2 3 10" xfId="24199" xr:uid="{00000000-0005-0000-0000-0000C8830000}"/>
    <cellStyle name="표준 5 3 3 2 2 2 3 11" xfId="32410" xr:uid="{00000000-0005-0000-0000-0000C9830000}"/>
    <cellStyle name="표준 5 3 3 2 2 2 3 12" xfId="40603" xr:uid="{00000000-0005-0000-0000-0000CA830000}"/>
    <cellStyle name="표준 5 3 3 2 2 2 3 2" xfId="1246" xr:uid="{00000000-0005-0000-0000-0000CB830000}"/>
    <cellStyle name="표준 5 3 3 2 2 2 3 2 2" xfId="10149" xr:uid="{00000000-0005-0000-0000-0000CC830000}"/>
    <cellStyle name="표준 5 3 3 2 2 2 3 2 2 2" xfId="14261" xr:uid="{00000000-0005-0000-0000-0000CD830000}"/>
    <cellStyle name="표준 5 3 3 2 2 2 3 2 2 2 2" xfId="30855" xr:uid="{00000000-0005-0000-0000-0000CE830000}"/>
    <cellStyle name="표준 5 3 3 2 2 2 3 2 2 2 3" xfId="39066" xr:uid="{00000000-0005-0000-0000-0000CF830000}"/>
    <cellStyle name="표준 5 3 3 2 2 2 3 2 2 2 4" xfId="47259" xr:uid="{00000000-0005-0000-0000-0000D0830000}"/>
    <cellStyle name="표준 5 3 3 2 2 2 3 2 2 3" xfId="18501" xr:uid="{00000000-0005-0000-0000-0000D1830000}"/>
    <cellStyle name="표준 5 3 3 2 2 2 3 2 2 4" xfId="22663" xr:uid="{00000000-0005-0000-0000-0000D2830000}"/>
    <cellStyle name="표준 5 3 3 2 2 2 3 2 2 5" xfId="26759" xr:uid="{00000000-0005-0000-0000-0000D3830000}"/>
    <cellStyle name="표준 5 3 3 2 2 2 3 2 2 6" xfId="34970" xr:uid="{00000000-0005-0000-0000-0000D4830000}"/>
    <cellStyle name="표준 5 3 3 2 2 2 3 2 2 7" xfId="43163" xr:uid="{00000000-0005-0000-0000-0000D5830000}"/>
    <cellStyle name="표준 5 3 3 2 2 2 3 2 3" xfId="8101" xr:uid="{00000000-0005-0000-0000-0000D6830000}"/>
    <cellStyle name="표준 5 3 3 2 2 2 3 2 3 2" xfId="28807" xr:uid="{00000000-0005-0000-0000-0000D7830000}"/>
    <cellStyle name="표준 5 3 3 2 2 2 3 2 3 3" xfId="37018" xr:uid="{00000000-0005-0000-0000-0000D8830000}"/>
    <cellStyle name="표준 5 3 3 2 2 2 3 2 3 4" xfId="45211" xr:uid="{00000000-0005-0000-0000-0000D9830000}"/>
    <cellStyle name="표준 5 3 3 2 2 2 3 2 4" xfId="12213" xr:uid="{00000000-0005-0000-0000-0000DA830000}"/>
    <cellStyle name="표준 5 3 3 2 2 2 3 2 5" xfId="16453" xr:uid="{00000000-0005-0000-0000-0000DB830000}"/>
    <cellStyle name="표준 5 3 3 2 2 2 3 2 6" xfId="20615" xr:uid="{00000000-0005-0000-0000-0000DC830000}"/>
    <cellStyle name="표준 5 3 3 2 2 2 3 2 7" xfId="24711" xr:uid="{00000000-0005-0000-0000-0000DD830000}"/>
    <cellStyle name="표준 5 3 3 2 2 2 3 2 8" xfId="32922" xr:uid="{00000000-0005-0000-0000-0000DE830000}"/>
    <cellStyle name="표준 5 3 3 2 2 2 3 2 9" xfId="41115" xr:uid="{00000000-0005-0000-0000-0000DF830000}"/>
    <cellStyle name="표준 5 3 3 2 2 2 3 3" xfId="1758" xr:uid="{00000000-0005-0000-0000-0000E0830000}"/>
    <cellStyle name="표준 5 3 3 2 2 2 3 3 2" xfId="10661" xr:uid="{00000000-0005-0000-0000-0000E1830000}"/>
    <cellStyle name="표준 5 3 3 2 2 2 3 3 2 2" xfId="14773" xr:uid="{00000000-0005-0000-0000-0000E2830000}"/>
    <cellStyle name="표준 5 3 3 2 2 2 3 3 2 2 2" xfId="31367" xr:uid="{00000000-0005-0000-0000-0000E3830000}"/>
    <cellStyle name="표준 5 3 3 2 2 2 3 3 2 2 3" xfId="39578" xr:uid="{00000000-0005-0000-0000-0000E4830000}"/>
    <cellStyle name="표준 5 3 3 2 2 2 3 3 2 2 4" xfId="47771" xr:uid="{00000000-0005-0000-0000-0000E5830000}"/>
    <cellStyle name="표준 5 3 3 2 2 2 3 3 2 3" xfId="19013" xr:uid="{00000000-0005-0000-0000-0000E6830000}"/>
    <cellStyle name="표준 5 3 3 2 2 2 3 3 2 4" xfId="23175" xr:uid="{00000000-0005-0000-0000-0000E7830000}"/>
    <cellStyle name="표준 5 3 3 2 2 2 3 3 2 5" xfId="27271" xr:uid="{00000000-0005-0000-0000-0000E8830000}"/>
    <cellStyle name="표준 5 3 3 2 2 2 3 3 2 6" xfId="35482" xr:uid="{00000000-0005-0000-0000-0000E9830000}"/>
    <cellStyle name="표준 5 3 3 2 2 2 3 3 2 7" xfId="43675" xr:uid="{00000000-0005-0000-0000-0000EA830000}"/>
    <cellStyle name="표준 5 3 3 2 2 2 3 3 3" xfId="8613" xr:uid="{00000000-0005-0000-0000-0000EB830000}"/>
    <cellStyle name="표준 5 3 3 2 2 2 3 3 3 2" xfId="29319" xr:uid="{00000000-0005-0000-0000-0000EC830000}"/>
    <cellStyle name="표준 5 3 3 2 2 2 3 3 3 3" xfId="37530" xr:uid="{00000000-0005-0000-0000-0000ED830000}"/>
    <cellStyle name="표준 5 3 3 2 2 2 3 3 3 4" xfId="45723" xr:uid="{00000000-0005-0000-0000-0000EE830000}"/>
    <cellStyle name="표준 5 3 3 2 2 2 3 3 4" xfId="12725" xr:uid="{00000000-0005-0000-0000-0000EF830000}"/>
    <cellStyle name="표준 5 3 3 2 2 2 3 3 5" xfId="16965" xr:uid="{00000000-0005-0000-0000-0000F0830000}"/>
    <cellStyle name="표준 5 3 3 2 2 2 3 3 6" xfId="21127" xr:uid="{00000000-0005-0000-0000-0000F1830000}"/>
    <cellStyle name="표준 5 3 3 2 2 2 3 3 7" xfId="25223" xr:uid="{00000000-0005-0000-0000-0000F2830000}"/>
    <cellStyle name="표준 5 3 3 2 2 2 3 3 8" xfId="33434" xr:uid="{00000000-0005-0000-0000-0000F3830000}"/>
    <cellStyle name="표준 5 3 3 2 2 2 3 3 9" xfId="41627" xr:uid="{00000000-0005-0000-0000-0000F4830000}"/>
    <cellStyle name="표준 5 3 3 2 2 2 3 4" xfId="2270" xr:uid="{00000000-0005-0000-0000-0000F5830000}"/>
    <cellStyle name="표준 5 3 3 2 2 2 3 4 2" xfId="11173" xr:uid="{00000000-0005-0000-0000-0000F6830000}"/>
    <cellStyle name="표준 5 3 3 2 2 2 3 4 2 2" xfId="15285" xr:uid="{00000000-0005-0000-0000-0000F7830000}"/>
    <cellStyle name="표준 5 3 3 2 2 2 3 4 2 2 2" xfId="31879" xr:uid="{00000000-0005-0000-0000-0000F8830000}"/>
    <cellStyle name="표준 5 3 3 2 2 2 3 4 2 2 3" xfId="40090" xr:uid="{00000000-0005-0000-0000-0000F9830000}"/>
    <cellStyle name="표준 5 3 3 2 2 2 3 4 2 2 4" xfId="48283" xr:uid="{00000000-0005-0000-0000-0000FA830000}"/>
    <cellStyle name="표준 5 3 3 2 2 2 3 4 2 3" xfId="19525" xr:uid="{00000000-0005-0000-0000-0000FB830000}"/>
    <cellStyle name="표준 5 3 3 2 2 2 3 4 2 4" xfId="23687" xr:uid="{00000000-0005-0000-0000-0000FC830000}"/>
    <cellStyle name="표준 5 3 3 2 2 2 3 4 2 5" xfId="27783" xr:uid="{00000000-0005-0000-0000-0000FD830000}"/>
    <cellStyle name="표준 5 3 3 2 2 2 3 4 2 6" xfId="35994" xr:uid="{00000000-0005-0000-0000-0000FE830000}"/>
    <cellStyle name="표준 5 3 3 2 2 2 3 4 2 7" xfId="44187" xr:uid="{00000000-0005-0000-0000-0000FF830000}"/>
    <cellStyle name="표준 5 3 3 2 2 2 3 4 3" xfId="9125" xr:uid="{00000000-0005-0000-0000-000000840000}"/>
    <cellStyle name="표준 5 3 3 2 2 2 3 4 3 2" xfId="29831" xr:uid="{00000000-0005-0000-0000-000001840000}"/>
    <cellStyle name="표준 5 3 3 2 2 2 3 4 3 3" xfId="38042" xr:uid="{00000000-0005-0000-0000-000002840000}"/>
    <cellStyle name="표준 5 3 3 2 2 2 3 4 3 4" xfId="46235" xr:uid="{00000000-0005-0000-0000-000003840000}"/>
    <cellStyle name="표준 5 3 3 2 2 2 3 4 4" xfId="13237" xr:uid="{00000000-0005-0000-0000-000004840000}"/>
    <cellStyle name="표준 5 3 3 2 2 2 3 4 5" xfId="17477" xr:uid="{00000000-0005-0000-0000-000005840000}"/>
    <cellStyle name="표준 5 3 3 2 2 2 3 4 6" xfId="21639" xr:uid="{00000000-0005-0000-0000-000006840000}"/>
    <cellStyle name="표준 5 3 3 2 2 2 3 4 7" xfId="25735" xr:uid="{00000000-0005-0000-0000-000007840000}"/>
    <cellStyle name="표준 5 3 3 2 2 2 3 4 8" xfId="33946" xr:uid="{00000000-0005-0000-0000-000008840000}"/>
    <cellStyle name="표준 5 3 3 2 2 2 3 4 9" xfId="42139" xr:uid="{00000000-0005-0000-0000-000009840000}"/>
    <cellStyle name="표준 5 3 3 2 2 2 3 5" xfId="9637" xr:uid="{00000000-0005-0000-0000-00000A840000}"/>
    <cellStyle name="표준 5 3 3 2 2 2 3 5 2" xfId="13749" xr:uid="{00000000-0005-0000-0000-00000B840000}"/>
    <cellStyle name="표준 5 3 3 2 2 2 3 5 2 2" xfId="30343" xr:uid="{00000000-0005-0000-0000-00000C840000}"/>
    <cellStyle name="표준 5 3 3 2 2 2 3 5 2 3" xfId="38554" xr:uid="{00000000-0005-0000-0000-00000D840000}"/>
    <cellStyle name="표준 5 3 3 2 2 2 3 5 2 4" xfId="46747" xr:uid="{00000000-0005-0000-0000-00000E840000}"/>
    <cellStyle name="표준 5 3 3 2 2 2 3 5 3" xfId="17989" xr:uid="{00000000-0005-0000-0000-00000F840000}"/>
    <cellStyle name="표준 5 3 3 2 2 2 3 5 4" xfId="22151" xr:uid="{00000000-0005-0000-0000-000010840000}"/>
    <cellStyle name="표준 5 3 3 2 2 2 3 5 5" xfId="26247" xr:uid="{00000000-0005-0000-0000-000011840000}"/>
    <cellStyle name="표준 5 3 3 2 2 2 3 5 6" xfId="34458" xr:uid="{00000000-0005-0000-0000-000012840000}"/>
    <cellStyle name="표준 5 3 3 2 2 2 3 5 7" xfId="42651" xr:uid="{00000000-0005-0000-0000-000013840000}"/>
    <cellStyle name="표준 5 3 3 2 2 2 3 6" xfId="7589" xr:uid="{00000000-0005-0000-0000-000014840000}"/>
    <cellStyle name="표준 5 3 3 2 2 2 3 6 2" xfId="28295" xr:uid="{00000000-0005-0000-0000-000015840000}"/>
    <cellStyle name="표준 5 3 3 2 2 2 3 6 3" xfId="36506" xr:uid="{00000000-0005-0000-0000-000016840000}"/>
    <cellStyle name="표준 5 3 3 2 2 2 3 6 4" xfId="44699" xr:uid="{00000000-0005-0000-0000-000017840000}"/>
    <cellStyle name="표준 5 3 3 2 2 2 3 7" xfId="11701" xr:uid="{00000000-0005-0000-0000-000018840000}"/>
    <cellStyle name="표준 5 3 3 2 2 2 3 8" xfId="15941" xr:uid="{00000000-0005-0000-0000-000019840000}"/>
    <cellStyle name="표준 5 3 3 2 2 2 3 9" xfId="20103" xr:uid="{00000000-0005-0000-0000-00001A840000}"/>
    <cellStyle name="표준 5 3 3 2 2 2 4" xfId="990" xr:uid="{00000000-0005-0000-0000-00001B840000}"/>
    <cellStyle name="표준 5 3 3 2 2 2 4 2" xfId="9893" xr:uid="{00000000-0005-0000-0000-00001C840000}"/>
    <cellStyle name="표준 5 3 3 2 2 2 4 2 2" xfId="14005" xr:uid="{00000000-0005-0000-0000-00001D840000}"/>
    <cellStyle name="표준 5 3 3 2 2 2 4 2 2 2" xfId="30599" xr:uid="{00000000-0005-0000-0000-00001E840000}"/>
    <cellStyle name="표준 5 3 3 2 2 2 4 2 2 3" xfId="38810" xr:uid="{00000000-0005-0000-0000-00001F840000}"/>
    <cellStyle name="표준 5 3 3 2 2 2 4 2 2 4" xfId="47003" xr:uid="{00000000-0005-0000-0000-000020840000}"/>
    <cellStyle name="표준 5 3 3 2 2 2 4 2 3" xfId="18245" xr:uid="{00000000-0005-0000-0000-000021840000}"/>
    <cellStyle name="표준 5 3 3 2 2 2 4 2 4" xfId="22407" xr:uid="{00000000-0005-0000-0000-000022840000}"/>
    <cellStyle name="표준 5 3 3 2 2 2 4 2 5" xfId="26503" xr:uid="{00000000-0005-0000-0000-000023840000}"/>
    <cellStyle name="표준 5 3 3 2 2 2 4 2 6" xfId="34714" xr:uid="{00000000-0005-0000-0000-000024840000}"/>
    <cellStyle name="표준 5 3 3 2 2 2 4 2 7" xfId="42907" xr:uid="{00000000-0005-0000-0000-000025840000}"/>
    <cellStyle name="표준 5 3 3 2 2 2 4 3" xfId="7845" xr:uid="{00000000-0005-0000-0000-000026840000}"/>
    <cellStyle name="표준 5 3 3 2 2 2 4 3 2" xfId="28551" xr:uid="{00000000-0005-0000-0000-000027840000}"/>
    <cellStyle name="표준 5 3 3 2 2 2 4 3 3" xfId="36762" xr:uid="{00000000-0005-0000-0000-000028840000}"/>
    <cellStyle name="표준 5 3 3 2 2 2 4 3 4" xfId="44955" xr:uid="{00000000-0005-0000-0000-000029840000}"/>
    <cellStyle name="표준 5 3 3 2 2 2 4 4" xfId="11957" xr:uid="{00000000-0005-0000-0000-00002A840000}"/>
    <cellStyle name="표준 5 3 3 2 2 2 4 5" xfId="16197" xr:uid="{00000000-0005-0000-0000-00002B840000}"/>
    <cellStyle name="표준 5 3 3 2 2 2 4 6" xfId="20359" xr:uid="{00000000-0005-0000-0000-00002C840000}"/>
    <cellStyle name="표준 5 3 3 2 2 2 4 7" xfId="24455" xr:uid="{00000000-0005-0000-0000-00002D840000}"/>
    <cellStyle name="표준 5 3 3 2 2 2 4 8" xfId="32666" xr:uid="{00000000-0005-0000-0000-00002E840000}"/>
    <cellStyle name="표준 5 3 3 2 2 2 4 9" xfId="40859" xr:uid="{00000000-0005-0000-0000-00002F840000}"/>
    <cellStyle name="표준 5 3 3 2 2 2 5" xfId="1502" xr:uid="{00000000-0005-0000-0000-000030840000}"/>
    <cellStyle name="표준 5 3 3 2 2 2 5 2" xfId="10405" xr:uid="{00000000-0005-0000-0000-000031840000}"/>
    <cellStyle name="표준 5 3 3 2 2 2 5 2 2" xfId="14517" xr:uid="{00000000-0005-0000-0000-000032840000}"/>
    <cellStyle name="표준 5 3 3 2 2 2 5 2 2 2" xfId="31111" xr:uid="{00000000-0005-0000-0000-000033840000}"/>
    <cellStyle name="표준 5 3 3 2 2 2 5 2 2 3" xfId="39322" xr:uid="{00000000-0005-0000-0000-000034840000}"/>
    <cellStyle name="표준 5 3 3 2 2 2 5 2 2 4" xfId="47515" xr:uid="{00000000-0005-0000-0000-000035840000}"/>
    <cellStyle name="표준 5 3 3 2 2 2 5 2 3" xfId="18757" xr:uid="{00000000-0005-0000-0000-000036840000}"/>
    <cellStyle name="표준 5 3 3 2 2 2 5 2 4" xfId="22919" xr:uid="{00000000-0005-0000-0000-000037840000}"/>
    <cellStyle name="표준 5 3 3 2 2 2 5 2 5" xfId="27015" xr:uid="{00000000-0005-0000-0000-000038840000}"/>
    <cellStyle name="표준 5 3 3 2 2 2 5 2 6" xfId="35226" xr:uid="{00000000-0005-0000-0000-000039840000}"/>
    <cellStyle name="표준 5 3 3 2 2 2 5 2 7" xfId="43419" xr:uid="{00000000-0005-0000-0000-00003A840000}"/>
    <cellStyle name="표준 5 3 3 2 2 2 5 3" xfId="8357" xr:uid="{00000000-0005-0000-0000-00003B840000}"/>
    <cellStyle name="표준 5 3 3 2 2 2 5 3 2" xfId="29063" xr:uid="{00000000-0005-0000-0000-00003C840000}"/>
    <cellStyle name="표준 5 3 3 2 2 2 5 3 3" xfId="37274" xr:uid="{00000000-0005-0000-0000-00003D840000}"/>
    <cellStyle name="표준 5 3 3 2 2 2 5 3 4" xfId="45467" xr:uid="{00000000-0005-0000-0000-00003E840000}"/>
    <cellStyle name="표준 5 3 3 2 2 2 5 4" xfId="12469" xr:uid="{00000000-0005-0000-0000-00003F840000}"/>
    <cellStyle name="표준 5 3 3 2 2 2 5 5" xfId="16709" xr:uid="{00000000-0005-0000-0000-000040840000}"/>
    <cellStyle name="표준 5 3 3 2 2 2 5 6" xfId="20871" xr:uid="{00000000-0005-0000-0000-000041840000}"/>
    <cellStyle name="표준 5 3 3 2 2 2 5 7" xfId="24967" xr:uid="{00000000-0005-0000-0000-000042840000}"/>
    <cellStyle name="표준 5 3 3 2 2 2 5 8" xfId="33178" xr:uid="{00000000-0005-0000-0000-000043840000}"/>
    <cellStyle name="표준 5 3 3 2 2 2 5 9" xfId="41371" xr:uid="{00000000-0005-0000-0000-000044840000}"/>
    <cellStyle name="표준 5 3 3 2 2 2 6" xfId="2014" xr:uid="{00000000-0005-0000-0000-000045840000}"/>
    <cellStyle name="표준 5 3 3 2 2 2 6 2" xfId="10917" xr:uid="{00000000-0005-0000-0000-000046840000}"/>
    <cellStyle name="표준 5 3 3 2 2 2 6 2 2" xfId="15029" xr:uid="{00000000-0005-0000-0000-000047840000}"/>
    <cellStyle name="표준 5 3 3 2 2 2 6 2 2 2" xfId="31623" xr:uid="{00000000-0005-0000-0000-000048840000}"/>
    <cellStyle name="표준 5 3 3 2 2 2 6 2 2 3" xfId="39834" xr:uid="{00000000-0005-0000-0000-000049840000}"/>
    <cellStyle name="표준 5 3 3 2 2 2 6 2 2 4" xfId="48027" xr:uid="{00000000-0005-0000-0000-00004A840000}"/>
    <cellStyle name="표준 5 3 3 2 2 2 6 2 3" xfId="19269" xr:uid="{00000000-0005-0000-0000-00004B840000}"/>
    <cellStyle name="표준 5 3 3 2 2 2 6 2 4" xfId="23431" xr:uid="{00000000-0005-0000-0000-00004C840000}"/>
    <cellStyle name="표준 5 3 3 2 2 2 6 2 5" xfId="27527" xr:uid="{00000000-0005-0000-0000-00004D840000}"/>
    <cellStyle name="표준 5 3 3 2 2 2 6 2 6" xfId="35738" xr:uid="{00000000-0005-0000-0000-00004E840000}"/>
    <cellStyle name="표준 5 3 3 2 2 2 6 2 7" xfId="43931" xr:uid="{00000000-0005-0000-0000-00004F840000}"/>
    <cellStyle name="표준 5 3 3 2 2 2 6 3" xfId="8869" xr:uid="{00000000-0005-0000-0000-000050840000}"/>
    <cellStyle name="표준 5 3 3 2 2 2 6 3 2" xfId="29575" xr:uid="{00000000-0005-0000-0000-000051840000}"/>
    <cellStyle name="표준 5 3 3 2 2 2 6 3 3" xfId="37786" xr:uid="{00000000-0005-0000-0000-000052840000}"/>
    <cellStyle name="표준 5 3 3 2 2 2 6 3 4" xfId="45979" xr:uid="{00000000-0005-0000-0000-000053840000}"/>
    <cellStyle name="표준 5 3 3 2 2 2 6 4" xfId="12981" xr:uid="{00000000-0005-0000-0000-000054840000}"/>
    <cellStyle name="표준 5 3 3 2 2 2 6 5" xfId="17221" xr:uid="{00000000-0005-0000-0000-000055840000}"/>
    <cellStyle name="표준 5 3 3 2 2 2 6 6" xfId="21383" xr:uid="{00000000-0005-0000-0000-000056840000}"/>
    <cellStyle name="표준 5 3 3 2 2 2 6 7" xfId="25479" xr:uid="{00000000-0005-0000-0000-000057840000}"/>
    <cellStyle name="표준 5 3 3 2 2 2 6 8" xfId="33690" xr:uid="{00000000-0005-0000-0000-000058840000}"/>
    <cellStyle name="표준 5 3 3 2 2 2 6 9" xfId="41883" xr:uid="{00000000-0005-0000-0000-000059840000}"/>
    <cellStyle name="표준 5 3 3 2 2 2 7" xfId="9381" xr:uid="{00000000-0005-0000-0000-00005A840000}"/>
    <cellStyle name="표준 5 3 3 2 2 2 7 2" xfId="13493" xr:uid="{00000000-0005-0000-0000-00005B840000}"/>
    <cellStyle name="표준 5 3 3 2 2 2 7 2 2" xfId="30087" xr:uid="{00000000-0005-0000-0000-00005C840000}"/>
    <cellStyle name="표준 5 3 3 2 2 2 7 2 3" xfId="38298" xr:uid="{00000000-0005-0000-0000-00005D840000}"/>
    <cellStyle name="표준 5 3 3 2 2 2 7 2 4" xfId="46491" xr:uid="{00000000-0005-0000-0000-00005E840000}"/>
    <cellStyle name="표준 5 3 3 2 2 2 7 3" xfId="17733" xr:uid="{00000000-0005-0000-0000-00005F840000}"/>
    <cellStyle name="표준 5 3 3 2 2 2 7 4" xfId="21895" xr:uid="{00000000-0005-0000-0000-000060840000}"/>
    <cellStyle name="표준 5 3 3 2 2 2 7 5" xfId="25991" xr:uid="{00000000-0005-0000-0000-000061840000}"/>
    <cellStyle name="표준 5 3 3 2 2 2 7 6" xfId="34202" xr:uid="{00000000-0005-0000-0000-000062840000}"/>
    <cellStyle name="표준 5 3 3 2 2 2 7 7" xfId="42395" xr:uid="{00000000-0005-0000-0000-000063840000}"/>
    <cellStyle name="표준 5 3 3 2 2 2 8" xfId="7333" xr:uid="{00000000-0005-0000-0000-000064840000}"/>
    <cellStyle name="표준 5 3 3 2 2 2 8 2" xfId="28039" xr:uid="{00000000-0005-0000-0000-000065840000}"/>
    <cellStyle name="표준 5 3 3 2 2 2 8 3" xfId="36250" xr:uid="{00000000-0005-0000-0000-000066840000}"/>
    <cellStyle name="표준 5 3 3 2 2 2 8 4" xfId="44443" xr:uid="{00000000-0005-0000-0000-000067840000}"/>
    <cellStyle name="표준 5 3 3 2 2 2 9" xfId="11445" xr:uid="{00000000-0005-0000-0000-000068840000}"/>
    <cellStyle name="표준 5 3 3 2 2 3" xfId="542" xr:uid="{00000000-0005-0000-0000-000069840000}"/>
    <cellStyle name="표준 5 3 3 2 2 3 10" xfId="19911" xr:uid="{00000000-0005-0000-0000-00006A840000}"/>
    <cellStyle name="표준 5 3 3 2 2 3 11" xfId="24007" xr:uid="{00000000-0005-0000-0000-00006B840000}"/>
    <cellStyle name="표준 5 3 3 2 2 3 12" xfId="32218" xr:uid="{00000000-0005-0000-0000-00006C840000}"/>
    <cellStyle name="표준 5 3 3 2 2 3 13" xfId="40411" xr:uid="{00000000-0005-0000-0000-00006D840000}"/>
    <cellStyle name="표준 5 3 3 2 2 3 2" xfId="798" xr:uid="{00000000-0005-0000-0000-00006E840000}"/>
    <cellStyle name="표준 5 3 3 2 2 3 2 10" xfId="24263" xr:uid="{00000000-0005-0000-0000-00006F840000}"/>
    <cellStyle name="표준 5 3 3 2 2 3 2 11" xfId="32474" xr:uid="{00000000-0005-0000-0000-000070840000}"/>
    <cellStyle name="표준 5 3 3 2 2 3 2 12" xfId="40667" xr:uid="{00000000-0005-0000-0000-000071840000}"/>
    <cellStyle name="표준 5 3 3 2 2 3 2 2" xfId="1310" xr:uid="{00000000-0005-0000-0000-000072840000}"/>
    <cellStyle name="표준 5 3 3 2 2 3 2 2 2" xfId="10213" xr:uid="{00000000-0005-0000-0000-000073840000}"/>
    <cellStyle name="표준 5 3 3 2 2 3 2 2 2 2" xfId="14325" xr:uid="{00000000-0005-0000-0000-000074840000}"/>
    <cellStyle name="표준 5 3 3 2 2 3 2 2 2 2 2" xfId="30919" xr:uid="{00000000-0005-0000-0000-000075840000}"/>
    <cellStyle name="표준 5 3 3 2 2 3 2 2 2 2 3" xfId="39130" xr:uid="{00000000-0005-0000-0000-000076840000}"/>
    <cellStyle name="표준 5 3 3 2 2 3 2 2 2 2 4" xfId="47323" xr:uid="{00000000-0005-0000-0000-000077840000}"/>
    <cellStyle name="표준 5 3 3 2 2 3 2 2 2 3" xfId="18565" xr:uid="{00000000-0005-0000-0000-000078840000}"/>
    <cellStyle name="표준 5 3 3 2 2 3 2 2 2 4" xfId="22727" xr:uid="{00000000-0005-0000-0000-000079840000}"/>
    <cellStyle name="표준 5 3 3 2 2 3 2 2 2 5" xfId="26823" xr:uid="{00000000-0005-0000-0000-00007A840000}"/>
    <cellStyle name="표준 5 3 3 2 2 3 2 2 2 6" xfId="35034" xr:uid="{00000000-0005-0000-0000-00007B840000}"/>
    <cellStyle name="표준 5 3 3 2 2 3 2 2 2 7" xfId="43227" xr:uid="{00000000-0005-0000-0000-00007C840000}"/>
    <cellStyle name="표준 5 3 3 2 2 3 2 2 3" xfId="8165" xr:uid="{00000000-0005-0000-0000-00007D840000}"/>
    <cellStyle name="표준 5 3 3 2 2 3 2 2 3 2" xfId="28871" xr:uid="{00000000-0005-0000-0000-00007E840000}"/>
    <cellStyle name="표준 5 3 3 2 2 3 2 2 3 3" xfId="37082" xr:uid="{00000000-0005-0000-0000-00007F840000}"/>
    <cellStyle name="표준 5 3 3 2 2 3 2 2 3 4" xfId="45275" xr:uid="{00000000-0005-0000-0000-000080840000}"/>
    <cellStyle name="표준 5 3 3 2 2 3 2 2 4" xfId="12277" xr:uid="{00000000-0005-0000-0000-000081840000}"/>
    <cellStyle name="표준 5 3 3 2 2 3 2 2 5" xfId="16517" xr:uid="{00000000-0005-0000-0000-000082840000}"/>
    <cellStyle name="표준 5 3 3 2 2 3 2 2 6" xfId="20679" xr:uid="{00000000-0005-0000-0000-000083840000}"/>
    <cellStyle name="표준 5 3 3 2 2 3 2 2 7" xfId="24775" xr:uid="{00000000-0005-0000-0000-000084840000}"/>
    <cellStyle name="표준 5 3 3 2 2 3 2 2 8" xfId="32986" xr:uid="{00000000-0005-0000-0000-000085840000}"/>
    <cellStyle name="표준 5 3 3 2 2 3 2 2 9" xfId="41179" xr:uid="{00000000-0005-0000-0000-000086840000}"/>
    <cellStyle name="표준 5 3 3 2 2 3 2 3" xfId="1822" xr:uid="{00000000-0005-0000-0000-000087840000}"/>
    <cellStyle name="표준 5 3 3 2 2 3 2 3 2" xfId="10725" xr:uid="{00000000-0005-0000-0000-000088840000}"/>
    <cellStyle name="표준 5 3 3 2 2 3 2 3 2 2" xfId="14837" xr:uid="{00000000-0005-0000-0000-000089840000}"/>
    <cellStyle name="표준 5 3 3 2 2 3 2 3 2 2 2" xfId="31431" xr:uid="{00000000-0005-0000-0000-00008A840000}"/>
    <cellStyle name="표준 5 3 3 2 2 3 2 3 2 2 3" xfId="39642" xr:uid="{00000000-0005-0000-0000-00008B840000}"/>
    <cellStyle name="표준 5 3 3 2 2 3 2 3 2 2 4" xfId="47835" xr:uid="{00000000-0005-0000-0000-00008C840000}"/>
    <cellStyle name="표준 5 3 3 2 2 3 2 3 2 3" xfId="19077" xr:uid="{00000000-0005-0000-0000-00008D840000}"/>
    <cellStyle name="표준 5 3 3 2 2 3 2 3 2 4" xfId="23239" xr:uid="{00000000-0005-0000-0000-00008E840000}"/>
    <cellStyle name="표준 5 3 3 2 2 3 2 3 2 5" xfId="27335" xr:uid="{00000000-0005-0000-0000-00008F840000}"/>
    <cellStyle name="표준 5 3 3 2 2 3 2 3 2 6" xfId="35546" xr:uid="{00000000-0005-0000-0000-000090840000}"/>
    <cellStyle name="표준 5 3 3 2 2 3 2 3 2 7" xfId="43739" xr:uid="{00000000-0005-0000-0000-000091840000}"/>
    <cellStyle name="표준 5 3 3 2 2 3 2 3 3" xfId="8677" xr:uid="{00000000-0005-0000-0000-000092840000}"/>
    <cellStyle name="표준 5 3 3 2 2 3 2 3 3 2" xfId="29383" xr:uid="{00000000-0005-0000-0000-000093840000}"/>
    <cellStyle name="표준 5 3 3 2 2 3 2 3 3 3" xfId="37594" xr:uid="{00000000-0005-0000-0000-000094840000}"/>
    <cellStyle name="표준 5 3 3 2 2 3 2 3 3 4" xfId="45787" xr:uid="{00000000-0005-0000-0000-000095840000}"/>
    <cellStyle name="표준 5 3 3 2 2 3 2 3 4" xfId="12789" xr:uid="{00000000-0005-0000-0000-000096840000}"/>
    <cellStyle name="표준 5 3 3 2 2 3 2 3 5" xfId="17029" xr:uid="{00000000-0005-0000-0000-000097840000}"/>
    <cellStyle name="표준 5 3 3 2 2 3 2 3 6" xfId="21191" xr:uid="{00000000-0005-0000-0000-000098840000}"/>
    <cellStyle name="표준 5 3 3 2 2 3 2 3 7" xfId="25287" xr:uid="{00000000-0005-0000-0000-000099840000}"/>
    <cellStyle name="표준 5 3 3 2 2 3 2 3 8" xfId="33498" xr:uid="{00000000-0005-0000-0000-00009A840000}"/>
    <cellStyle name="표준 5 3 3 2 2 3 2 3 9" xfId="41691" xr:uid="{00000000-0005-0000-0000-00009B840000}"/>
    <cellStyle name="표준 5 3 3 2 2 3 2 4" xfId="2334" xr:uid="{00000000-0005-0000-0000-00009C840000}"/>
    <cellStyle name="표준 5 3 3 2 2 3 2 4 2" xfId="11237" xr:uid="{00000000-0005-0000-0000-00009D840000}"/>
    <cellStyle name="표준 5 3 3 2 2 3 2 4 2 2" xfId="15349" xr:uid="{00000000-0005-0000-0000-00009E840000}"/>
    <cellStyle name="표준 5 3 3 2 2 3 2 4 2 2 2" xfId="31943" xr:uid="{00000000-0005-0000-0000-00009F840000}"/>
    <cellStyle name="표준 5 3 3 2 2 3 2 4 2 2 3" xfId="40154" xr:uid="{00000000-0005-0000-0000-0000A0840000}"/>
    <cellStyle name="표준 5 3 3 2 2 3 2 4 2 2 4" xfId="48347" xr:uid="{00000000-0005-0000-0000-0000A1840000}"/>
    <cellStyle name="표준 5 3 3 2 2 3 2 4 2 3" xfId="19589" xr:uid="{00000000-0005-0000-0000-0000A2840000}"/>
    <cellStyle name="표준 5 3 3 2 2 3 2 4 2 4" xfId="23751" xr:uid="{00000000-0005-0000-0000-0000A3840000}"/>
    <cellStyle name="표준 5 3 3 2 2 3 2 4 2 5" xfId="27847" xr:uid="{00000000-0005-0000-0000-0000A4840000}"/>
    <cellStyle name="표준 5 3 3 2 2 3 2 4 2 6" xfId="36058" xr:uid="{00000000-0005-0000-0000-0000A5840000}"/>
    <cellStyle name="표준 5 3 3 2 2 3 2 4 2 7" xfId="44251" xr:uid="{00000000-0005-0000-0000-0000A6840000}"/>
    <cellStyle name="표준 5 3 3 2 2 3 2 4 3" xfId="9189" xr:uid="{00000000-0005-0000-0000-0000A7840000}"/>
    <cellStyle name="표준 5 3 3 2 2 3 2 4 3 2" xfId="29895" xr:uid="{00000000-0005-0000-0000-0000A8840000}"/>
    <cellStyle name="표준 5 3 3 2 2 3 2 4 3 3" xfId="38106" xr:uid="{00000000-0005-0000-0000-0000A9840000}"/>
    <cellStyle name="표준 5 3 3 2 2 3 2 4 3 4" xfId="46299" xr:uid="{00000000-0005-0000-0000-0000AA840000}"/>
    <cellStyle name="표준 5 3 3 2 2 3 2 4 4" xfId="13301" xr:uid="{00000000-0005-0000-0000-0000AB840000}"/>
    <cellStyle name="표준 5 3 3 2 2 3 2 4 5" xfId="17541" xr:uid="{00000000-0005-0000-0000-0000AC840000}"/>
    <cellStyle name="표준 5 3 3 2 2 3 2 4 6" xfId="21703" xr:uid="{00000000-0005-0000-0000-0000AD840000}"/>
    <cellStyle name="표준 5 3 3 2 2 3 2 4 7" xfId="25799" xr:uid="{00000000-0005-0000-0000-0000AE840000}"/>
    <cellStyle name="표준 5 3 3 2 2 3 2 4 8" xfId="34010" xr:uid="{00000000-0005-0000-0000-0000AF840000}"/>
    <cellStyle name="표준 5 3 3 2 2 3 2 4 9" xfId="42203" xr:uid="{00000000-0005-0000-0000-0000B0840000}"/>
    <cellStyle name="표준 5 3 3 2 2 3 2 5" xfId="9701" xr:uid="{00000000-0005-0000-0000-0000B1840000}"/>
    <cellStyle name="표준 5 3 3 2 2 3 2 5 2" xfId="13813" xr:uid="{00000000-0005-0000-0000-0000B2840000}"/>
    <cellStyle name="표준 5 3 3 2 2 3 2 5 2 2" xfId="30407" xr:uid="{00000000-0005-0000-0000-0000B3840000}"/>
    <cellStyle name="표준 5 3 3 2 2 3 2 5 2 3" xfId="38618" xr:uid="{00000000-0005-0000-0000-0000B4840000}"/>
    <cellStyle name="표준 5 3 3 2 2 3 2 5 2 4" xfId="46811" xr:uid="{00000000-0005-0000-0000-0000B5840000}"/>
    <cellStyle name="표준 5 3 3 2 2 3 2 5 3" xfId="18053" xr:uid="{00000000-0005-0000-0000-0000B6840000}"/>
    <cellStyle name="표준 5 3 3 2 2 3 2 5 4" xfId="22215" xr:uid="{00000000-0005-0000-0000-0000B7840000}"/>
    <cellStyle name="표준 5 3 3 2 2 3 2 5 5" xfId="26311" xr:uid="{00000000-0005-0000-0000-0000B8840000}"/>
    <cellStyle name="표준 5 3 3 2 2 3 2 5 6" xfId="34522" xr:uid="{00000000-0005-0000-0000-0000B9840000}"/>
    <cellStyle name="표준 5 3 3 2 2 3 2 5 7" xfId="42715" xr:uid="{00000000-0005-0000-0000-0000BA840000}"/>
    <cellStyle name="표준 5 3 3 2 2 3 2 6" xfId="7653" xr:uid="{00000000-0005-0000-0000-0000BB840000}"/>
    <cellStyle name="표준 5 3 3 2 2 3 2 6 2" xfId="28359" xr:uid="{00000000-0005-0000-0000-0000BC840000}"/>
    <cellStyle name="표준 5 3 3 2 2 3 2 6 3" xfId="36570" xr:uid="{00000000-0005-0000-0000-0000BD840000}"/>
    <cellStyle name="표준 5 3 3 2 2 3 2 6 4" xfId="44763" xr:uid="{00000000-0005-0000-0000-0000BE840000}"/>
    <cellStyle name="표준 5 3 3 2 2 3 2 7" xfId="11765" xr:uid="{00000000-0005-0000-0000-0000BF840000}"/>
    <cellStyle name="표준 5 3 3 2 2 3 2 8" xfId="16005" xr:uid="{00000000-0005-0000-0000-0000C0840000}"/>
    <cellStyle name="표준 5 3 3 2 2 3 2 9" xfId="20167" xr:uid="{00000000-0005-0000-0000-0000C1840000}"/>
    <cellStyle name="표준 5 3 3 2 2 3 3" xfId="1054" xr:uid="{00000000-0005-0000-0000-0000C2840000}"/>
    <cellStyle name="표준 5 3 3 2 2 3 3 2" xfId="9957" xr:uid="{00000000-0005-0000-0000-0000C3840000}"/>
    <cellStyle name="표준 5 3 3 2 2 3 3 2 2" xfId="14069" xr:uid="{00000000-0005-0000-0000-0000C4840000}"/>
    <cellStyle name="표준 5 3 3 2 2 3 3 2 2 2" xfId="30663" xr:uid="{00000000-0005-0000-0000-0000C5840000}"/>
    <cellStyle name="표준 5 3 3 2 2 3 3 2 2 3" xfId="38874" xr:uid="{00000000-0005-0000-0000-0000C6840000}"/>
    <cellStyle name="표준 5 3 3 2 2 3 3 2 2 4" xfId="47067" xr:uid="{00000000-0005-0000-0000-0000C7840000}"/>
    <cellStyle name="표준 5 3 3 2 2 3 3 2 3" xfId="18309" xr:uid="{00000000-0005-0000-0000-0000C8840000}"/>
    <cellStyle name="표준 5 3 3 2 2 3 3 2 4" xfId="22471" xr:uid="{00000000-0005-0000-0000-0000C9840000}"/>
    <cellStyle name="표준 5 3 3 2 2 3 3 2 5" xfId="26567" xr:uid="{00000000-0005-0000-0000-0000CA840000}"/>
    <cellStyle name="표준 5 3 3 2 2 3 3 2 6" xfId="34778" xr:uid="{00000000-0005-0000-0000-0000CB840000}"/>
    <cellStyle name="표준 5 3 3 2 2 3 3 2 7" xfId="42971" xr:uid="{00000000-0005-0000-0000-0000CC840000}"/>
    <cellStyle name="표준 5 3 3 2 2 3 3 3" xfId="7909" xr:uid="{00000000-0005-0000-0000-0000CD840000}"/>
    <cellStyle name="표준 5 3 3 2 2 3 3 3 2" xfId="28615" xr:uid="{00000000-0005-0000-0000-0000CE840000}"/>
    <cellStyle name="표준 5 3 3 2 2 3 3 3 3" xfId="36826" xr:uid="{00000000-0005-0000-0000-0000CF840000}"/>
    <cellStyle name="표준 5 3 3 2 2 3 3 3 4" xfId="45019" xr:uid="{00000000-0005-0000-0000-0000D0840000}"/>
    <cellStyle name="표준 5 3 3 2 2 3 3 4" xfId="12021" xr:uid="{00000000-0005-0000-0000-0000D1840000}"/>
    <cellStyle name="표준 5 3 3 2 2 3 3 5" xfId="16261" xr:uid="{00000000-0005-0000-0000-0000D2840000}"/>
    <cellStyle name="표준 5 3 3 2 2 3 3 6" xfId="20423" xr:uid="{00000000-0005-0000-0000-0000D3840000}"/>
    <cellStyle name="표준 5 3 3 2 2 3 3 7" xfId="24519" xr:uid="{00000000-0005-0000-0000-0000D4840000}"/>
    <cellStyle name="표준 5 3 3 2 2 3 3 8" xfId="32730" xr:uid="{00000000-0005-0000-0000-0000D5840000}"/>
    <cellStyle name="표준 5 3 3 2 2 3 3 9" xfId="40923" xr:uid="{00000000-0005-0000-0000-0000D6840000}"/>
    <cellStyle name="표준 5 3 3 2 2 3 4" xfId="1566" xr:uid="{00000000-0005-0000-0000-0000D7840000}"/>
    <cellStyle name="표준 5 3 3 2 2 3 4 2" xfId="10469" xr:uid="{00000000-0005-0000-0000-0000D8840000}"/>
    <cellStyle name="표준 5 3 3 2 2 3 4 2 2" xfId="14581" xr:uid="{00000000-0005-0000-0000-0000D9840000}"/>
    <cellStyle name="표준 5 3 3 2 2 3 4 2 2 2" xfId="31175" xr:uid="{00000000-0005-0000-0000-0000DA840000}"/>
    <cellStyle name="표준 5 3 3 2 2 3 4 2 2 3" xfId="39386" xr:uid="{00000000-0005-0000-0000-0000DB840000}"/>
    <cellStyle name="표준 5 3 3 2 2 3 4 2 2 4" xfId="47579" xr:uid="{00000000-0005-0000-0000-0000DC840000}"/>
    <cellStyle name="표준 5 3 3 2 2 3 4 2 3" xfId="18821" xr:uid="{00000000-0005-0000-0000-0000DD840000}"/>
    <cellStyle name="표준 5 3 3 2 2 3 4 2 4" xfId="22983" xr:uid="{00000000-0005-0000-0000-0000DE840000}"/>
    <cellStyle name="표준 5 3 3 2 2 3 4 2 5" xfId="27079" xr:uid="{00000000-0005-0000-0000-0000DF840000}"/>
    <cellStyle name="표준 5 3 3 2 2 3 4 2 6" xfId="35290" xr:uid="{00000000-0005-0000-0000-0000E0840000}"/>
    <cellStyle name="표준 5 3 3 2 2 3 4 2 7" xfId="43483" xr:uid="{00000000-0005-0000-0000-0000E1840000}"/>
    <cellStyle name="표준 5 3 3 2 2 3 4 3" xfId="8421" xr:uid="{00000000-0005-0000-0000-0000E2840000}"/>
    <cellStyle name="표준 5 3 3 2 2 3 4 3 2" xfId="29127" xr:uid="{00000000-0005-0000-0000-0000E3840000}"/>
    <cellStyle name="표준 5 3 3 2 2 3 4 3 3" xfId="37338" xr:uid="{00000000-0005-0000-0000-0000E4840000}"/>
    <cellStyle name="표준 5 3 3 2 2 3 4 3 4" xfId="45531" xr:uid="{00000000-0005-0000-0000-0000E5840000}"/>
    <cellStyle name="표준 5 3 3 2 2 3 4 4" xfId="12533" xr:uid="{00000000-0005-0000-0000-0000E6840000}"/>
    <cellStyle name="표준 5 3 3 2 2 3 4 5" xfId="16773" xr:uid="{00000000-0005-0000-0000-0000E7840000}"/>
    <cellStyle name="표준 5 3 3 2 2 3 4 6" xfId="20935" xr:uid="{00000000-0005-0000-0000-0000E8840000}"/>
    <cellStyle name="표준 5 3 3 2 2 3 4 7" xfId="25031" xr:uid="{00000000-0005-0000-0000-0000E9840000}"/>
    <cellStyle name="표준 5 3 3 2 2 3 4 8" xfId="33242" xr:uid="{00000000-0005-0000-0000-0000EA840000}"/>
    <cellStyle name="표준 5 3 3 2 2 3 4 9" xfId="41435" xr:uid="{00000000-0005-0000-0000-0000EB840000}"/>
    <cellStyle name="표준 5 3 3 2 2 3 5" xfId="2078" xr:uid="{00000000-0005-0000-0000-0000EC840000}"/>
    <cellStyle name="표준 5 3 3 2 2 3 5 2" xfId="10981" xr:uid="{00000000-0005-0000-0000-0000ED840000}"/>
    <cellStyle name="표준 5 3 3 2 2 3 5 2 2" xfId="15093" xr:uid="{00000000-0005-0000-0000-0000EE840000}"/>
    <cellStyle name="표준 5 3 3 2 2 3 5 2 2 2" xfId="31687" xr:uid="{00000000-0005-0000-0000-0000EF840000}"/>
    <cellStyle name="표준 5 3 3 2 2 3 5 2 2 3" xfId="39898" xr:uid="{00000000-0005-0000-0000-0000F0840000}"/>
    <cellStyle name="표준 5 3 3 2 2 3 5 2 2 4" xfId="48091" xr:uid="{00000000-0005-0000-0000-0000F1840000}"/>
    <cellStyle name="표준 5 3 3 2 2 3 5 2 3" xfId="19333" xr:uid="{00000000-0005-0000-0000-0000F2840000}"/>
    <cellStyle name="표준 5 3 3 2 2 3 5 2 4" xfId="23495" xr:uid="{00000000-0005-0000-0000-0000F3840000}"/>
    <cellStyle name="표준 5 3 3 2 2 3 5 2 5" xfId="27591" xr:uid="{00000000-0005-0000-0000-0000F4840000}"/>
    <cellStyle name="표준 5 3 3 2 2 3 5 2 6" xfId="35802" xr:uid="{00000000-0005-0000-0000-0000F5840000}"/>
    <cellStyle name="표준 5 3 3 2 2 3 5 2 7" xfId="43995" xr:uid="{00000000-0005-0000-0000-0000F6840000}"/>
    <cellStyle name="표준 5 3 3 2 2 3 5 3" xfId="8933" xr:uid="{00000000-0005-0000-0000-0000F7840000}"/>
    <cellStyle name="표준 5 3 3 2 2 3 5 3 2" xfId="29639" xr:uid="{00000000-0005-0000-0000-0000F8840000}"/>
    <cellStyle name="표준 5 3 3 2 2 3 5 3 3" xfId="37850" xr:uid="{00000000-0005-0000-0000-0000F9840000}"/>
    <cellStyle name="표준 5 3 3 2 2 3 5 3 4" xfId="46043" xr:uid="{00000000-0005-0000-0000-0000FA840000}"/>
    <cellStyle name="표준 5 3 3 2 2 3 5 4" xfId="13045" xr:uid="{00000000-0005-0000-0000-0000FB840000}"/>
    <cellStyle name="표준 5 3 3 2 2 3 5 5" xfId="17285" xr:uid="{00000000-0005-0000-0000-0000FC840000}"/>
    <cellStyle name="표준 5 3 3 2 2 3 5 6" xfId="21447" xr:uid="{00000000-0005-0000-0000-0000FD840000}"/>
    <cellStyle name="표준 5 3 3 2 2 3 5 7" xfId="25543" xr:uid="{00000000-0005-0000-0000-0000FE840000}"/>
    <cellStyle name="표준 5 3 3 2 2 3 5 8" xfId="33754" xr:uid="{00000000-0005-0000-0000-0000FF840000}"/>
    <cellStyle name="표준 5 3 3 2 2 3 5 9" xfId="41947" xr:uid="{00000000-0005-0000-0000-000000850000}"/>
    <cellStyle name="표준 5 3 3 2 2 3 6" xfId="9445" xr:uid="{00000000-0005-0000-0000-000001850000}"/>
    <cellStyle name="표준 5 3 3 2 2 3 6 2" xfId="13557" xr:uid="{00000000-0005-0000-0000-000002850000}"/>
    <cellStyle name="표준 5 3 3 2 2 3 6 2 2" xfId="30151" xr:uid="{00000000-0005-0000-0000-000003850000}"/>
    <cellStyle name="표준 5 3 3 2 2 3 6 2 3" xfId="38362" xr:uid="{00000000-0005-0000-0000-000004850000}"/>
    <cellStyle name="표준 5 3 3 2 2 3 6 2 4" xfId="46555" xr:uid="{00000000-0005-0000-0000-000005850000}"/>
    <cellStyle name="표준 5 3 3 2 2 3 6 3" xfId="17797" xr:uid="{00000000-0005-0000-0000-000006850000}"/>
    <cellStyle name="표준 5 3 3 2 2 3 6 4" xfId="21959" xr:uid="{00000000-0005-0000-0000-000007850000}"/>
    <cellStyle name="표준 5 3 3 2 2 3 6 5" xfId="26055" xr:uid="{00000000-0005-0000-0000-000008850000}"/>
    <cellStyle name="표준 5 3 3 2 2 3 6 6" xfId="34266" xr:uid="{00000000-0005-0000-0000-000009850000}"/>
    <cellStyle name="표준 5 3 3 2 2 3 6 7" xfId="42459" xr:uid="{00000000-0005-0000-0000-00000A850000}"/>
    <cellStyle name="표준 5 3 3 2 2 3 7" xfId="7397" xr:uid="{00000000-0005-0000-0000-00000B850000}"/>
    <cellStyle name="표준 5 3 3 2 2 3 7 2" xfId="28103" xr:uid="{00000000-0005-0000-0000-00000C850000}"/>
    <cellStyle name="표준 5 3 3 2 2 3 7 3" xfId="36314" xr:uid="{00000000-0005-0000-0000-00000D850000}"/>
    <cellStyle name="표준 5 3 3 2 2 3 7 4" xfId="44507" xr:uid="{00000000-0005-0000-0000-00000E850000}"/>
    <cellStyle name="표준 5 3 3 2 2 3 8" xfId="11509" xr:uid="{00000000-0005-0000-0000-00000F850000}"/>
    <cellStyle name="표준 5 3 3 2 2 3 9" xfId="15749" xr:uid="{00000000-0005-0000-0000-000010850000}"/>
    <cellStyle name="표준 5 3 3 2 2 4" xfId="670" xr:uid="{00000000-0005-0000-0000-000011850000}"/>
    <cellStyle name="표준 5 3 3 2 2 4 10" xfId="24135" xr:uid="{00000000-0005-0000-0000-000012850000}"/>
    <cellStyle name="표준 5 3 3 2 2 4 11" xfId="32346" xr:uid="{00000000-0005-0000-0000-000013850000}"/>
    <cellStyle name="표준 5 3 3 2 2 4 12" xfId="40539" xr:uid="{00000000-0005-0000-0000-000014850000}"/>
    <cellStyle name="표준 5 3 3 2 2 4 2" xfId="1182" xr:uid="{00000000-0005-0000-0000-000015850000}"/>
    <cellStyle name="표준 5 3 3 2 2 4 2 2" xfId="10085" xr:uid="{00000000-0005-0000-0000-000016850000}"/>
    <cellStyle name="표준 5 3 3 2 2 4 2 2 2" xfId="14197" xr:uid="{00000000-0005-0000-0000-000017850000}"/>
    <cellStyle name="표준 5 3 3 2 2 4 2 2 2 2" xfId="30791" xr:uid="{00000000-0005-0000-0000-000018850000}"/>
    <cellStyle name="표준 5 3 3 2 2 4 2 2 2 3" xfId="39002" xr:uid="{00000000-0005-0000-0000-000019850000}"/>
    <cellStyle name="표준 5 3 3 2 2 4 2 2 2 4" xfId="47195" xr:uid="{00000000-0005-0000-0000-00001A850000}"/>
    <cellStyle name="표준 5 3 3 2 2 4 2 2 3" xfId="18437" xr:uid="{00000000-0005-0000-0000-00001B850000}"/>
    <cellStyle name="표준 5 3 3 2 2 4 2 2 4" xfId="22599" xr:uid="{00000000-0005-0000-0000-00001C850000}"/>
    <cellStyle name="표준 5 3 3 2 2 4 2 2 5" xfId="26695" xr:uid="{00000000-0005-0000-0000-00001D850000}"/>
    <cellStyle name="표준 5 3 3 2 2 4 2 2 6" xfId="34906" xr:uid="{00000000-0005-0000-0000-00001E850000}"/>
    <cellStyle name="표준 5 3 3 2 2 4 2 2 7" xfId="43099" xr:uid="{00000000-0005-0000-0000-00001F850000}"/>
    <cellStyle name="표준 5 3 3 2 2 4 2 3" xfId="8037" xr:uid="{00000000-0005-0000-0000-000020850000}"/>
    <cellStyle name="표준 5 3 3 2 2 4 2 3 2" xfId="28743" xr:uid="{00000000-0005-0000-0000-000021850000}"/>
    <cellStyle name="표준 5 3 3 2 2 4 2 3 3" xfId="36954" xr:uid="{00000000-0005-0000-0000-000022850000}"/>
    <cellStyle name="표준 5 3 3 2 2 4 2 3 4" xfId="45147" xr:uid="{00000000-0005-0000-0000-000023850000}"/>
    <cellStyle name="표준 5 3 3 2 2 4 2 4" xfId="12149" xr:uid="{00000000-0005-0000-0000-000024850000}"/>
    <cellStyle name="표준 5 3 3 2 2 4 2 5" xfId="16389" xr:uid="{00000000-0005-0000-0000-000025850000}"/>
    <cellStyle name="표준 5 3 3 2 2 4 2 6" xfId="20551" xr:uid="{00000000-0005-0000-0000-000026850000}"/>
    <cellStyle name="표준 5 3 3 2 2 4 2 7" xfId="24647" xr:uid="{00000000-0005-0000-0000-000027850000}"/>
    <cellStyle name="표준 5 3 3 2 2 4 2 8" xfId="32858" xr:uid="{00000000-0005-0000-0000-000028850000}"/>
    <cellStyle name="표준 5 3 3 2 2 4 2 9" xfId="41051" xr:uid="{00000000-0005-0000-0000-000029850000}"/>
    <cellStyle name="표준 5 3 3 2 2 4 3" xfId="1694" xr:uid="{00000000-0005-0000-0000-00002A850000}"/>
    <cellStyle name="표준 5 3 3 2 2 4 3 2" xfId="10597" xr:uid="{00000000-0005-0000-0000-00002B850000}"/>
    <cellStyle name="표준 5 3 3 2 2 4 3 2 2" xfId="14709" xr:uid="{00000000-0005-0000-0000-00002C850000}"/>
    <cellStyle name="표준 5 3 3 2 2 4 3 2 2 2" xfId="31303" xr:uid="{00000000-0005-0000-0000-00002D850000}"/>
    <cellStyle name="표준 5 3 3 2 2 4 3 2 2 3" xfId="39514" xr:uid="{00000000-0005-0000-0000-00002E850000}"/>
    <cellStyle name="표준 5 3 3 2 2 4 3 2 2 4" xfId="47707" xr:uid="{00000000-0005-0000-0000-00002F850000}"/>
    <cellStyle name="표준 5 3 3 2 2 4 3 2 3" xfId="18949" xr:uid="{00000000-0005-0000-0000-000030850000}"/>
    <cellStyle name="표준 5 3 3 2 2 4 3 2 4" xfId="23111" xr:uid="{00000000-0005-0000-0000-000031850000}"/>
    <cellStyle name="표준 5 3 3 2 2 4 3 2 5" xfId="27207" xr:uid="{00000000-0005-0000-0000-000032850000}"/>
    <cellStyle name="표준 5 3 3 2 2 4 3 2 6" xfId="35418" xr:uid="{00000000-0005-0000-0000-000033850000}"/>
    <cellStyle name="표준 5 3 3 2 2 4 3 2 7" xfId="43611" xr:uid="{00000000-0005-0000-0000-000034850000}"/>
    <cellStyle name="표준 5 3 3 2 2 4 3 3" xfId="8549" xr:uid="{00000000-0005-0000-0000-000035850000}"/>
    <cellStyle name="표준 5 3 3 2 2 4 3 3 2" xfId="29255" xr:uid="{00000000-0005-0000-0000-000036850000}"/>
    <cellStyle name="표준 5 3 3 2 2 4 3 3 3" xfId="37466" xr:uid="{00000000-0005-0000-0000-000037850000}"/>
    <cellStyle name="표준 5 3 3 2 2 4 3 3 4" xfId="45659" xr:uid="{00000000-0005-0000-0000-000038850000}"/>
    <cellStyle name="표준 5 3 3 2 2 4 3 4" xfId="12661" xr:uid="{00000000-0005-0000-0000-000039850000}"/>
    <cellStyle name="표준 5 3 3 2 2 4 3 5" xfId="16901" xr:uid="{00000000-0005-0000-0000-00003A850000}"/>
    <cellStyle name="표준 5 3 3 2 2 4 3 6" xfId="21063" xr:uid="{00000000-0005-0000-0000-00003B850000}"/>
    <cellStyle name="표준 5 3 3 2 2 4 3 7" xfId="25159" xr:uid="{00000000-0005-0000-0000-00003C850000}"/>
    <cellStyle name="표준 5 3 3 2 2 4 3 8" xfId="33370" xr:uid="{00000000-0005-0000-0000-00003D850000}"/>
    <cellStyle name="표준 5 3 3 2 2 4 3 9" xfId="41563" xr:uid="{00000000-0005-0000-0000-00003E850000}"/>
    <cellStyle name="표준 5 3 3 2 2 4 4" xfId="2206" xr:uid="{00000000-0005-0000-0000-00003F850000}"/>
    <cellStyle name="표준 5 3 3 2 2 4 4 2" xfId="11109" xr:uid="{00000000-0005-0000-0000-000040850000}"/>
    <cellStyle name="표준 5 3 3 2 2 4 4 2 2" xfId="15221" xr:uid="{00000000-0005-0000-0000-000041850000}"/>
    <cellStyle name="표준 5 3 3 2 2 4 4 2 2 2" xfId="31815" xr:uid="{00000000-0005-0000-0000-000042850000}"/>
    <cellStyle name="표준 5 3 3 2 2 4 4 2 2 3" xfId="40026" xr:uid="{00000000-0005-0000-0000-000043850000}"/>
    <cellStyle name="표준 5 3 3 2 2 4 4 2 2 4" xfId="48219" xr:uid="{00000000-0005-0000-0000-000044850000}"/>
    <cellStyle name="표준 5 3 3 2 2 4 4 2 3" xfId="19461" xr:uid="{00000000-0005-0000-0000-000045850000}"/>
    <cellStyle name="표준 5 3 3 2 2 4 4 2 4" xfId="23623" xr:uid="{00000000-0005-0000-0000-000046850000}"/>
    <cellStyle name="표준 5 3 3 2 2 4 4 2 5" xfId="27719" xr:uid="{00000000-0005-0000-0000-000047850000}"/>
    <cellStyle name="표준 5 3 3 2 2 4 4 2 6" xfId="35930" xr:uid="{00000000-0005-0000-0000-000048850000}"/>
    <cellStyle name="표준 5 3 3 2 2 4 4 2 7" xfId="44123" xr:uid="{00000000-0005-0000-0000-000049850000}"/>
    <cellStyle name="표준 5 3 3 2 2 4 4 3" xfId="9061" xr:uid="{00000000-0005-0000-0000-00004A850000}"/>
    <cellStyle name="표준 5 3 3 2 2 4 4 3 2" xfId="29767" xr:uid="{00000000-0005-0000-0000-00004B850000}"/>
    <cellStyle name="표준 5 3 3 2 2 4 4 3 3" xfId="37978" xr:uid="{00000000-0005-0000-0000-00004C850000}"/>
    <cellStyle name="표준 5 3 3 2 2 4 4 3 4" xfId="46171" xr:uid="{00000000-0005-0000-0000-00004D850000}"/>
    <cellStyle name="표준 5 3 3 2 2 4 4 4" xfId="13173" xr:uid="{00000000-0005-0000-0000-00004E850000}"/>
    <cellStyle name="표준 5 3 3 2 2 4 4 5" xfId="17413" xr:uid="{00000000-0005-0000-0000-00004F850000}"/>
    <cellStyle name="표준 5 3 3 2 2 4 4 6" xfId="21575" xr:uid="{00000000-0005-0000-0000-000050850000}"/>
    <cellStyle name="표준 5 3 3 2 2 4 4 7" xfId="25671" xr:uid="{00000000-0005-0000-0000-000051850000}"/>
    <cellStyle name="표준 5 3 3 2 2 4 4 8" xfId="33882" xr:uid="{00000000-0005-0000-0000-000052850000}"/>
    <cellStyle name="표준 5 3 3 2 2 4 4 9" xfId="42075" xr:uid="{00000000-0005-0000-0000-000053850000}"/>
    <cellStyle name="표준 5 3 3 2 2 4 5" xfId="9573" xr:uid="{00000000-0005-0000-0000-000054850000}"/>
    <cellStyle name="표준 5 3 3 2 2 4 5 2" xfId="13685" xr:uid="{00000000-0005-0000-0000-000055850000}"/>
    <cellStyle name="표준 5 3 3 2 2 4 5 2 2" xfId="30279" xr:uid="{00000000-0005-0000-0000-000056850000}"/>
    <cellStyle name="표준 5 3 3 2 2 4 5 2 3" xfId="38490" xr:uid="{00000000-0005-0000-0000-000057850000}"/>
    <cellStyle name="표준 5 3 3 2 2 4 5 2 4" xfId="46683" xr:uid="{00000000-0005-0000-0000-000058850000}"/>
    <cellStyle name="표준 5 3 3 2 2 4 5 3" xfId="17925" xr:uid="{00000000-0005-0000-0000-000059850000}"/>
    <cellStyle name="표준 5 3 3 2 2 4 5 4" xfId="22087" xr:uid="{00000000-0005-0000-0000-00005A850000}"/>
    <cellStyle name="표준 5 3 3 2 2 4 5 5" xfId="26183" xr:uid="{00000000-0005-0000-0000-00005B850000}"/>
    <cellStyle name="표준 5 3 3 2 2 4 5 6" xfId="34394" xr:uid="{00000000-0005-0000-0000-00005C850000}"/>
    <cellStyle name="표준 5 3 3 2 2 4 5 7" xfId="42587" xr:uid="{00000000-0005-0000-0000-00005D850000}"/>
    <cellStyle name="표준 5 3 3 2 2 4 6" xfId="7525" xr:uid="{00000000-0005-0000-0000-00005E850000}"/>
    <cellStyle name="표준 5 3 3 2 2 4 6 2" xfId="28231" xr:uid="{00000000-0005-0000-0000-00005F850000}"/>
    <cellStyle name="표준 5 3 3 2 2 4 6 3" xfId="36442" xr:uid="{00000000-0005-0000-0000-000060850000}"/>
    <cellStyle name="표준 5 3 3 2 2 4 6 4" xfId="44635" xr:uid="{00000000-0005-0000-0000-000061850000}"/>
    <cellStyle name="표준 5 3 3 2 2 4 7" xfId="11637" xr:uid="{00000000-0005-0000-0000-000062850000}"/>
    <cellStyle name="표준 5 3 3 2 2 4 8" xfId="15877" xr:uid="{00000000-0005-0000-0000-000063850000}"/>
    <cellStyle name="표준 5 3 3 2 2 4 9" xfId="20039" xr:uid="{00000000-0005-0000-0000-000064850000}"/>
    <cellStyle name="표준 5 3 3 2 2 5" xfId="926" xr:uid="{00000000-0005-0000-0000-000065850000}"/>
    <cellStyle name="표준 5 3 3 2 2 5 2" xfId="9829" xr:uid="{00000000-0005-0000-0000-000066850000}"/>
    <cellStyle name="표준 5 3 3 2 2 5 2 2" xfId="13941" xr:uid="{00000000-0005-0000-0000-000067850000}"/>
    <cellStyle name="표준 5 3 3 2 2 5 2 2 2" xfId="30535" xr:uid="{00000000-0005-0000-0000-000068850000}"/>
    <cellStyle name="표준 5 3 3 2 2 5 2 2 3" xfId="38746" xr:uid="{00000000-0005-0000-0000-000069850000}"/>
    <cellStyle name="표준 5 3 3 2 2 5 2 2 4" xfId="46939" xr:uid="{00000000-0005-0000-0000-00006A850000}"/>
    <cellStyle name="표준 5 3 3 2 2 5 2 3" xfId="18181" xr:uid="{00000000-0005-0000-0000-00006B850000}"/>
    <cellStyle name="표준 5 3 3 2 2 5 2 4" xfId="22343" xr:uid="{00000000-0005-0000-0000-00006C850000}"/>
    <cellStyle name="표준 5 3 3 2 2 5 2 5" xfId="26439" xr:uid="{00000000-0005-0000-0000-00006D850000}"/>
    <cellStyle name="표준 5 3 3 2 2 5 2 6" xfId="34650" xr:uid="{00000000-0005-0000-0000-00006E850000}"/>
    <cellStyle name="표준 5 3 3 2 2 5 2 7" xfId="42843" xr:uid="{00000000-0005-0000-0000-00006F850000}"/>
    <cellStyle name="표준 5 3 3 2 2 5 3" xfId="7781" xr:uid="{00000000-0005-0000-0000-000070850000}"/>
    <cellStyle name="표준 5 3 3 2 2 5 3 2" xfId="28487" xr:uid="{00000000-0005-0000-0000-000071850000}"/>
    <cellStyle name="표준 5 3 3 2 2 5 3 3" xfId="36698" xr:uid="{00000000-0005-0000-0000-000072850000}"/>
    <cellStyle name="표준 5 3 3 2 2 5 3 4" xfId="44891" xr:uid="{00000000-0005-0000-0000-000073850000}"/>
    <cellStyle name="표준 5 3 3 2 2 5 4" xfId="11893" xr:uid="{00000000-0005-0000-0000-000074850000}"/>
    <cellStyle name="표준 5 3 3 2 2 5 5" xfId="16133" xr:uid="{00000000-0005-0000-0000-000075850000}"/>
    <cellStyle name="표준 5 3 3 2 2 5 6" xfId="20295" xr:uid="{00000000-0005-0000-0000-000076850000}"/>
    <cellStyle name="표준 5 3 3 2 2 5 7" xfId="24391" xr:uid="{00000000-0005-0000-0000-000077850000}"/>
    <cellStyle name="표준 5 3 3 2 2 5 8" xfId="32602" xr:uid="{00000000-0005-0000-0000-000078850000}"/>
    <cellStyle name="표준 5 3 3 2 2 5 9" xfId="40795" xr:uid="{00000000-0005-0000-0000-000079850000}"/>
    <cellStyle name="표준 5 3 3 2 2 6" xfId="1438" xr:uid="{00000000-0005-0000-0000-00007A850000}"/>
    <cellStyle name="표준 5 3 3 2 2 6 2" xfId="10341" xr:uid="{00000000-0005-0000-0000-00007B850000}"/>
    <cellStyle name="표준 5 3 3 2 2 6 2 2" xfId="14453" xr:uid="{00000000-0005-0000-0000-00007C850000}"/>
    <cellStyle name="표준 5 3 3 2 2 6 2 2 2" xfId="31047" xr:uid="{00000000-0005-0000-0000-00007D850000}"/>
    <cellStyle name="표준 5 3 3 2 2 6 2 2 3" xfId="39258" xr:uid="{00000000-0005-0000-0000-00007E850000}"/>
    <cellStyle name="표준 5 3 3 2 2 6 2 2 4" xfId="47451" xr:uid="{00000000-0005-0000-0000-00007F850000}"/>
    <cellStyle name="표준 5 3 3 2 2 6 2 3" xfId="18693" xr:uid="{00000000-0005-0000-0000-000080850000}"/>
    <cellStyle name="표준 5 3 3 2 2 6 2 4" xfId="22855" xr:uid="{00000000-0005-0000-0000-000081850000}"/>
    <cellStyle name="표준 5 3 3 2 2 6 2 5" xfId="26951" xr:uid="{00000000-0005-0000-0000-000082850000}"/>
    <cellStyle name="표준 5 3 3 2 2 6 2 6" xfId="35162" xr:uid="{00000000-0005-0000-0000-000083850000}"/>
    <cellStyle name="표준 5 3 3 2 2 6 2 7" xfId="43355" xr:uid="{00000000-0005-0000-0000-000084850000}"/>
    <cellStyle name="표준 5 3 3 2 2 6 3" xfId="8293" xr:uid="{00000000-0005-0000-0000-000085850000}"/>
    <cellStyle name="표준 5 3 3 2 2 6 3 2" xfId="28999" xr:uid="{00000000-0005-0000-0000-000086850000}"/>
    <cellStyle name="표준 5 3 3 2 2 6 3 3" xfId="37210" xr:uid="{00000000-0005-0000-0000-000087850000}"/>
    <cellStyle name="표준 5 3 3 2 2 6 3 4" xfId="45403" xr:uid="{00000000-0005-0000-0000-000088850000}"/>
    <cellStyle name="표준 5 3 3 2 2 6 4" xfId="12405" xr:uid="{00000000-0005-0000-0000-000089850000}"/>
    <cellStyle name="표준 5 3 3 2 2 6 5" xfId="16645" xr:uid="{00000000-0005-0000-0000-00008A850000}"/>
    <cellStyle name="표준 5 3 3 2 2 6 6" xfId="20807" xr:uid="{00000000-0005-0000-0000-00008B850000}"/>
    <cellStyle name="표준 5 3 3 2 2 6 7" xfId="24903" xr:uid="{00000000-0005-0000-0000-00008C850000}"/>
    <cellStyle name="표준 5 3 3 2 2 6 8" xfId="33114" xr:uid="{00000000-0005-0000-0000-00008D850000}"/>
    <cellStyle name="표준 5 3 3 2 2 6 9" xfId="41307" xr:uid="{00000000-0005-0000-0000-00008E850000}"/>
    <cellStyle name="표준 5 3 3 2 2 7" xfId="1950" xr:uid="{00000000-0005-0000-0000-00008F850000}"/>
    <cellStyle name="표준 5 3 3 2 2 7 2" xfId="10853" xr:uid="{00000000-0005-0000-0000-000090850000}"/>
    <cellStyle name="표준 5 3 3 2 2 7 2 2" xfId="14965" xr:uid="{00000000-0005-0000-0000-000091850000}"/>
    <cellStyle name="표준 5 3 3 2 2 7 2 2 2" xfId="31559" xr:uid="{00000000-0005-0000-0000-000092850000}"/>
    <cellStyle name="표준 5 3 3 2 2 7 2 2 3" xfId="39770" xr:uid="{00000000-0005-0000-0000-000093850000}"/>
    <cellStyle name="표준 5 3 3 2 2 7 2 2 4" xfId="47963" xr:uid="{00000000-0005-0000-0000-000094850000}"/>
    <cellStyle name="표준 5 3 3 2 2 7 2 3" xfId="19205" xr:uid="{00000000-0005-0000-0000-000095850000}"/>
    <cellStyle name="표준 5 3 3 2 2 7 2 4" xfId="23367" xr:uid="{00000000-0005-0000-0000-000096850000}"/>
    <cellStyle name="표준 5 3 3 2 2 7 2 5" xfId="27463" xr:uid="{00000000-0005-0000-0000-000097850000}"/>
    <cellStyle name="표준 5 3 3 2 2 7 2 6" xfId="35674" xr:uid="{00000000-0005-0000-0000-000098850000}"/>
    <cellStyle name="표준 5 3 3 2 2 7 2 7" xfId="43867" xr:uid="{00000000-0005-0000-0000-000099850000}"/>
    <cellStyle name="표준 5 3 3 2 2 7 3" xfId="8805" xr:uid="{00000000-0005-0000-0000-00009A850000}"/>
    <cellStyle name="표준 5 3 3 2 2 7 3 2" xfId="29511" xr:uid="{00000000-0005-0000-0000-00009B850000}"/>
    <cellStyle name="표준 5 3 3 2 2 7 3 3" xfId="37722" xr:uid="{00000000-0005-0000-0000-00009C850000}"/>
    <cellStyle name="표준 5 3 3 2 2 7 3 4" xfId="45915" xr:uid="{00000000-0005-0000-0000-00009D850000}"/>
    <cellStyle name="표준 5 3 3 2 2 7 4" xfId="12917" xr:uid="{00000000-0005-0000-0000-00009E850000}"/>
    <cellStyle name="표준 5 3 3 2 2 7 5" xfId="17157" xr:uid="{00000000-0005-0000-0000-00009F850000}"/>
    <cellStyle name="표준 5 3 3 2 2 7 6" xfId="21319" xr:uid="{00000000-0005-0000-0000-0000A0850000}"/>
    <cellStyle name="표준 5 3 3 2 2 7 7" xfId="25415" xr:uid="{00000000-0005-0000-0000-0000A1850000}"/>
    <cellStyle name="표준 5 3 3 2 2 7 8" xfId="33626" xr:uid="{00000000-0005-0000-0000-0000A2850000}"/>
    <cellStyle name="표준 5 3 3 2 2 7 9" xfId="41819" xr:uid="{00000000-0005-0000-0000-0000A3850000}"/>
    <cellStyle name="표준 5 3 3 2 2 8" xfId="7042" xr:uid="{00000000-0005-0000-0000-0000A4850000}"/>
    <cellStyle name="표준 5 3 3 2 2 8 2" xfId="9317" xr:uid="{00000000-0005-0000-0000-0000A5850000}"/>
    <cellStyle name="표준 5 3 3 2 2 8 2 2" xfId="30023" xr:uid="{00000000-0005-0000-0000-0000A6850000}"/>
    <cellStyle name="표준 5 3 3 2 2 8 2 3" xfId="38234" xr:uid="{00000000-0005-0000-0000-0000A7850000}"/>
    <cellStyle name="표준 5 3 3 2 2 8 2 4" xfId="46427" xr:uid="{00000000-0005-0000-0000-0000A8850000}"/>
    <cellStyle name="표준 5 3 3 2 2 8 3" xfId="13429" xr:uid="{00000000-0005-0000-0000-0000A9850000}"/>
    <cellStyle name="표준 5 3 3 2 2 8 4" xfId="17669" xr:uid="{00000000-0005-0000-0000-0000AA850000}"/>
    <cellStyle name="표준 5 3 3 2 2 8 5" xfId="21831" xr:uid="{00000000-0005-0000-0000-0000AB850000}"/>
    <cellStyle name="표준 5 3 3 2 2 8 6" xfId="25927" xr:uid="{00000000-0005-0000-0000-0000AC850000}"/>
    <cellStyle name="표준 5 3 3 2 2 8 7" xfId="34138" xr:uid="{00000000-0005-0000-0000-0000AD850000}"/>
    <cellStyle name="표준 5 3 3 2 2 8 8" xfId="42331" xr:uid="{00000000-0005-0000-0000-0000AE850000}"/>
    <cellStyle name="표준 5 3 3 2 2 9" xfId="7136" xr:uid="{00000000-0005-0000-0000-0000AF850000}"/>
    <cellStyle name="표준 5 3 3 2 2 9 2" xfId="27975" xr:uid="{00000000-0005-0000-0000-0000B0850000}"/>
    <cellStyle name="표준 5 3 3 2 2 9 3" xfId="36186" xr:uid="{00000000-0005-0000-0000-0000B1850000}"/>
    <cellStyle name="표준 5 3 3 2 2 9 4" xfId="44379" xr:uid="{00000000-0005-0000-0000-0000B2850000}"/>
    <cellStyle name="표준 5 3 3 2 3" xfId="446" xr:uid="{00000000-0005-0000-0000-0000B3850000}"/>
    <cellStyle name="표준 5 3 3 2 3 10" xfId="15653" xr:uid="{00000000-0005-0000-0000-0000B4850000}"/>
    <cellStyle name="표준 5 3 3 2 3 11" xfId="19815" xr:uid="{00000000-0005-0000-0000-0000B5850000}"/>
    <cellStyle name="표준 5 3 3 2 3 12" xfId="23911" xr:uid="{00000000-0005-0000-0000-0000B6850000}"/>
    <cellStyle name="표준 5 3 3 2 3 13" xfId="32122" xr:uid="{00000000-0005-0000-0000-0000B7850000}"/>
    <cellStyle name="표준 5 3 3 2 3 14" xfId="40315" xr:uid="{00000000-0005-0000-0000-0000B8850000}"/>
    <cellStyle name="표준 5 3 3 2 3 2" xfId="574" xr:uid="{00000000-0005-0000-0000-0000B9850000}"/>
    <cellStyle name="표준 5 3 3 2 3 2 10" xfId="19943" xr:uid="{00000000-0005-0000-0000-0000BA850000}"/>
    <cellStyle name="표준 5 3 3 2 3 2 11" xfId="24039" xr:uid="{00000000-0005-0000-0000-0000BB850000}"/>
    <cellStyle name="표준 5 3 3 2 3 2 12" xfId="32250" xr:uid="{00000000-0005-0000-0000-0000BC850000}"/>
    <cellStyle name="표준 5 3 3 2 3 2 13" xfId="40443" xr:uid="{00000000-0005-0000-0000-0000BD850000}"/>
    <cellStyle name="표준 5 3 3 2 3 2 2" xfId="830" xr:uid="{00000000-0005-0000-0000-0000BE850000}"/>
    <cellStyle name="표준 5 3 3 2 3 2 2 10" xfId="24295" xr:uid="{00000000-0005-0000-0000-0000BF850000}"/>
    <cellStyle name="표준 5 3 3 2 3 2 2 11" xfId="32506" xr:uid="{00000000-0005-0000-0000-0000C0850000}"/>
    <cellStyle name="표준 5 3 3 2 3 2 2 12" xfId="40699" xr:uid="{00000000-0005-0000-0000-0000C1850000}"/>
    <cellStyle name="표준 5 3 3 2 3 2 2 2" xfId="1342" xr:uid="{00000000-0005-0000-0000-0000C2850000}"/>
    <cellStyle name="표준 5 3 3 2 3 2 2 2 2" xfId="10245" xr:uid="{00000000-0005-0000-0000-0000C3850000}"/>
    <cellStyle name="표준 5 3 3 2 3 2 2 2 2 2" xfId="14357" xr:uid="{00000000-0005-0000-0000-0000C4850000}"/>
    <cellStyle name="표준 5 3 3 2 3 2 2 2 2 2 2" xfId="30951" xr:uid="{00000000-0005-0000-0000-0000C5850000}"/>
    <cellStyle name="표준 5 3 3 2 3 2 2 2 2 2 3" xfId="39162" xr:uid="{00000000-0005-0000-0000-0000C6850000}"/>
    <cellStyle name="표준 5 3 3 2 3 2 2 2 2 2 4" xfId="47355" xr:uid="{00000000-0005-0000-0000-0000C7850000}"/>
    <cellStyle name="표준 5 3 3 2 3 2 2 2 2 3" xfId="18597" xr:uid="{00000000-0005-0000-0000-0000C8850000}"/>
    <cellStyle name="표준 5 3 3 2 3 2 2 2 2 4" xfId="22759" xr:uid="{00000000-0005-0000-0000-0000C9850000}"/>
    <cellStyle name="표준 5 3 3 2 3 2 2 2 2 5" xfId="26855" xr:uid="{00000000-0005-0000-0000-0000CA850000}"/>
    <cellStyle name="표준 5 3 3 2 3 2 2 2 2 6" xfId="35066" xr:uid="{00000000-0005-0000-0000-0000CB850000}"/>
    <cellStyle name="표준 5 3 3 2 3 2 2 2 2 7" xfId="43259" xr:uid="{00000000-0005-0000-0000-0000CC850000}"/>
    <cellStyle name="표준 5 3 3 2 3 2 2 2 3" xfId="8197" xr:uid="{00000000-0005-0000-0000-0000CD850000}"/>
    <cellStyle name="표준 5 3 3 2 3 2 2 2 3 2" xfId="28903" xr:uid="{00000000-0005-0000-0000-0000CE850000}"/>
    <cellStyle name="표준 5 3 3 2 3 2 2 2 3 3" xfId="37114" xr:uid="{00000000-0005-0000-0000-0000CF850000}"/>
    <cellStyle name="표준 5 3 3 2 3 2 2 2 3 4" xfId="45307" xr:uid="{00000000-0005-0000-0000-0000D0850000}"/>
    <cellStyle name="표준 5 3 3 2 3 2 2 2 4" xfId="12309" xr:uid="{00000000-0005-0000-0000-0000D1850000}"/>
    <cellStyle name="표준 5 3 3 2 3 2 2 2 5" xfId="16549" xr:uid="{00000000-0005-0000-0000-0000D2850000}"/>
    <cellStyle name="표준 5 3 3 2 3 2 2 2 6" xfId="20711" xr:uid="{00000000-0005-0000-0000-0000D3850000}"/>
    <cellStyle name="표준 5 3 3 2 3 2 2 2 7" xfId="24807" xr:uid="{00000000-0005-0000-0000-0000D4850000}"/>
    <cellStyle name="표준 5 3 3 2 3 2 2 2 8" xfId="33018" xr:uid="{00000000-0005-0000-0000-0000D5850000}"/>
    <cellStyle name="표준 5 3 3 2 3 2 2 2 9" xfId="41211" xr:uid="{00000000-0005-0000-0000-0000D6850000}"/>
    <cellStyle name="표준 5 3 3 2 3 2 2 3" xfId="1854" xr:uid="{00000000-0005-0000-0000-0000D7850000}"/>
    <cellStyle name="표준 5 3 3 2 3 2 2 3 2" xfId="10757" xr:uid="{00000000-0005-0000-0000-0000D8850000}"/>
    <cellStyle name="표준 5 3 3 2 3 2 2 3 2 2" xfId="14869" xr:uid="{00000000-0005-0000-0000-0000D9850000}"/>
    <cellStyle name="표준 5 3 3 2 3 2 2 3 2 2 2" xfId="31463" xr:uid="{00000000-0005-0000-0000-0000DA850000}"/>
    <cellStyle name="표준 5 3 3 2 3 2 2 3 2 2 3" xfId="39674" xr:uid="{00000000-0005-0000-0000-0000DB850000}"/>
    <cellStyle name="표준 5 3 3 2 3 2 2 3 2 2 4" xfId="47867" xr:uid="{00000000-0005-0000-0000-0000DC850000}"/>
    <cellStyle name="표준 5 3 3 2 3 2 2 3 2 3" xfId="19109" xr:uid="{00000000-0005-0000-0000-0000DD850000}"/>
    <cellStyle name="표준 5 3 3 2 3 2 2 3 2 4" xfId="23271" xr:uid="{00000000-0005-0000-0000-0000DE850000}"/>
    <cellStyle name="표준 5 3 3 2 3 2 2 3 2 5" xfId="27367" xr:uid="{00000000-0005-0000-0000-0000DF850000}"/>
    <cellStyle name="표준 5 3 3 2 3 2 2 3 2 6" xfId="35578" xr:uid="{00000000-0005-0000-0000-0000E0850000}"/>
    <cellStyle name="표준 5 3 3 2 3 2 2 3 2 7" xfId="43771" xr:uid="{00000000-0005-0000-0000-0000E1850000}"/>
    <cellStyle name="표준 5 3 3 2 3 2 2 3 3" xfId="8709" xr:uid="{00000000-0005-0000-0000-0000E2850000}"/>
    <cellStyle name="표준 5 3 3 2 3 2 2 3 3 2" xfId="29415" xr:uid="{00000000-0005-0000-0000-0000E3850000}"/>
    <cellStyle name="표준 5 3 3 2 3 2 2 3 3 3" xfId="37626" xr:uid="{00000000-0005-0000-0000-0000E4850000}"/>
    <cellStyle name="표준 5 3 3 2 3 2 2 3 3 4" xfId="45819" xr:uid="{00000000-0005-0000-0000-0000E5850000}"/>
    <cellStyle name="표준 5 3 3 2 3 2 2 3 4" xfId="12821" xr:uid="{00000000-0005-0000-0000-0000E6850000}"/>
    <cellStyle name="표준 5 3 3 2 3 2 2 3 5" xfId="17061" xr:uid="{00000000-0005-0000-0000-0000E7850000}"/>
    <cellStyle name="표준 5 3 3 2 3 2 2 3 6" xfId="21223" xr:uid="{00000000-0005-0000-0000-0000E8850000}"/>
    <cellStyle name="표준 5 3 3 2 3 2 2 3 7" xfId="25319" xr:uid="{00000000-0005-0000-0000-0000E9850000}"/>
    <cellStyle name="표준 5 3 3 2 3 2 2 3 8" xfId="33530" xr:uid="{00000000-0005-0000-0000-0000EA850000}"/>
    <cellStyle name="표준 5 3 3 2 3 2 2 3 9" xfId="41723" xr:uid="{00000000-0005-0000-0000-0000EB850000}"/>
    <cellStyle name="표준 5 3 3 2 3 2 2 4" xfId="2366" xr:uid="{00000000-0005-0000-0000-0000EC850000}"/>
    <cellStyle name="표준 5 3 3 2 3 2 2 4 2" xfId="11269" xr:uid="{00000000-0005-0000-0000-0000ED850000}"/>
    <cellStyle name="표준 5 3 3 2 3 2 2 4 2 2" xfId="15381" xr:uid="{00000000-0005-0000-0000-0000EE850000}"/>
    <cellStyle name="표준 5 3 3 2 3 2 2 4 2 2 2" xfId="31975" xr:uid="{00000000-0005-0000-0000-0000EF850000}"/>
    <cellStyle name="표준 5 3 3 2 3 2 2 4 2 2 3" xfId="40186" xr:uid="{00000000-0005-0000-0000-0000F0850000}"/>
    <cellStyle name="표준 5 3 3 2 3 2 2 4 2 2 4" xfId="48379" xr:uid="{00000000-0005-0000-0000-0000F1850000}"/>
    <cellStyle name="표준 5 3 3 2 3 2 2 4 2 3" xfId="19621" xr:uid="{00000000-0005-0000-0000-0000F2850000}"/>
    <cellStyle name="표준 5 3 3 2 3 2 2 4 2 4" xfId="23783" xr:uid="{00000000-0005-0000-0000-0000F3850000}"/>
    <cellStyle name="표준 5 3 3 2 3 2 2 4 2 5" xfId="27879" xr:uid="{00000000-0005-0000-0000-0000F4850000}"/>
    <cellStyle name="표준 5 3 3 2 3 2 2 4 2 6" xfId="36090" xr:uid="{00000000-0005-0000-0000-0000F5850000}"/>
    <cellStyle name="표준 5 3 3 2 3 2 2 4 2 7" xfId="44283" xr:uid="{00000000-0005-0000-0000-0000F6850000}"/>
    <cellStyle name="표준 5 3 3 2 3 2 2 4 3" xfId="9221" xr:uid="{00000000-0005-0000-0000-0000F7850000}"/>
    <cellStyle name="표준 5 3 3 2 3 2 2 4 3 2" xfId="29927" xr:uid="{00000000-0005-0000-0000-0000F8850000}"/>
    <cellStyle name="표준 5 3 3 2 3 2 2 4 3 3" xfId="38138" xr:uid="{00000000-0005-0000-0000-0000F9850000}"/>
    <cellStyle name="표준 5 3 3 2 3 2 2 4 3 4" xfId="46331" xr:uid="{00000000-0005-0000-0000-0000FA850000}"/>
    <cellStyle name="표준 5 3 3 2 3 2 2 4 4" xfId="13333" xr:uid="{00000000-0005-0000-0000-0000FB850000}"/>
    <cellStyle name="표준 5 3 3 2 3 2 2 4 5" xfId="17573" xr:uid="{00000000-0005-0000-0000-0000FC850000}"/>
    <cellStyle name="표준 5 3 3 2 3 2 2 4 6" xfId="21735" xr:uid="{00000000-0005-0000-0000-0000FD850000}"/>
    <cellStyle name="표준 5 3 3 2 3 2 2 4 7" xfId="25831" xr:uid="{00000000-0005-0000-0000-0000FE850000}"/>
    <cellStyle name="표준 5 3 3 2 3 2 2 4 8" xfId="34042" xr:uid="{00000000-0005-0000-0000-0000FF850000}"/>
    <cellStyle name="표준 5 3 3 2 3 2 2 4 9" xfId="42235" xr:uid="{00000000-0005-0000-0000-000000860000}"/>
    <cellStyle name="표준 5 3 3 2 3 2 2 5" xfId="9733" xr:uid="{00000000-0005-0000-0000-000001860000}"/>
    <cellStyle name="표준 5 3 3 2 3 2 2 5 2" xfId="13845" xr:uid="{00000000-0005-0000-0000-000002860000}"/>
    <cellStyle name="표준 5 3 3 2 3 2 2 5 2 2" xfId="30439" xr:uid="{00000000-0005-0000-0000-000003860000}"/>
    <cellStyle name="표준 5 3 3 2 3 2 2 5 2 3" xfId="38650" xr:uid="{00000000-0005-0000-0000-000004860000}"/>
    <cellStyle name="표준 5 3 3 2 3 2 2 5 2 4" xfId="46843" xr:uid="{00000000-0005-0000-0000-000005860000}"/>
    <cellStyle name="표준 5 3 3 2 3 2 2 5 3" xfId="18085" xr:uid="{00000000-0005-0000-0000-000006860000}"/>
    <cellStyle name="표준 5 3 3 2 3 2 2 5 4" xfId="22247" xr:uid="{00000000-0005-0000-0000-000007860000}"/>
    <cellStyle name="표준 5 3 3 2 3 2 2 5 5" xfId="26343" xr:uid="{00000000-0005-0000-0000-000008860000}"/>
    <cellStyle name="표준 5 3 3 2 3 2 2 5 6" xfId="34554" xr:uid="{00000000-0005-0000-0000-000009860000}"/>
    <cellStyle name="표준 5 3 3 2 3 2 2 5 7" xfId="42747" xr:uid="{00000000-0005-0000-0000-00000A860000}"/>
    <cellStyle name="표준 5 3 3 2 3 2 2 6" xfId="7685" xr:uid="{00000000-0005-0000-0000-00000B860000}"/>
    <cellStyle name="표준 5 3 3 2 3 2 2 6 2" xfId="28391" xr:uid="{00000000-0005-0000-0000-00000C860000}"/>
    <cellStyle name="표준 5 3 3 2 3 2 2 6 3" xfId="36602" xr:uid="{00000000-0005-0000-0000-00000D860000}"/>
    <cellStyle name="표준 5 3 3 2 3 2 2 6 4" xfId="44795" xr:uid="{00000000-0005-0000-0000-00000E860000}"/>
    <cellStyle name="표준 5 3 3 2 3 2 2 7" xfId="11797" xr:uid="{00000000-0005-0000-0000-00000F860000}"/>
    <cellStyle name="표준 5 3 3 2 3 2 2 8" xfId="16037" xr:uid="{00000000-0005-0000-0000-000010860000}"/>
    <cellStyle name="표준 5 3 3 2 3 2 2 9" xfId="20199" xr:uid="{00000000-0005-0000-0000-000011860000}"/>
    <cellStyle name="표준 5 3 3 2 3 2 3" xfId="1086" xr:uid="{00000000-0005-0000-0000-000012860000}"/>
    <cellStyle name="표준 5 3 3 2 3 2 3 2" xfId="9989" xr:uid="{00000000-0005-0000-0000-000013860000}"/>
    <cellStyle name="표준 5 3 3 2 3 2 3 2 2" xfId="14101" xr:uid="{00000000-0005-0000-0000-000014860000}"/>
    <cellStyle name="표준 5 3 3 2 3 2 3 2 2 2" xfId="30695" xr:uid="{00000000-0005-0000-0000-000015860000}"/>
    <cellStyle name="표준 5 3 3 2 3 2 3 2 2 3" xfId="38906" xr:uid="{00000000-0005-0000-0000-000016860000}"/>
    <cellStyle name="표준 5 3 3 2 3 2 3 2 2 4" xfId="47099" xr:uid="{00000000-0005-0000-0000-000017860000}"/>
    <cellStyle name="표준 5 3 3 2 3 2 3 2 3" xfId="18341" xr:uid="{00000000-0005-0000-0000-000018860000}"/>
    <cellStyle name="표준 5 3 3 2 3 2 3 2 4" xfId="22503" xr:uid="{00000000-0005-0000-0000-000019860000}"/>
    <cellStyle name="표준 5 3 3 2 3 2 3 2 5" xfId="26599" xr:uid="{00000000-0005-0000-0000-00001A860000}"/>
    <cellStyle name="표준 5 3 3 2 3 2 3 2 6" xfId="34810" xr:uid="{00000000-0005-0000-0000-00001B860000}"/>
    <cellStyle name="표준 5 3 3 2 3 2 3 2 7" xfId="43003" xr:uid="{00000000-0005-0000-0000-00001C860000}"/>
    <cellStyle name="표준 5 3 3 2 3 2 3 3" xfId="7941" xr:uid="{00000000-0005-0000-0000-00001D860000}"/>
    <cellStyle name="표준 5 3 3 2 3 2 3 3 2" xfId="28647" xr:uid="{00000000-0005-0000-0000-00001E860000}"/>
    <cellStyle name="표준 5 3 3 2 3 2 3 3 3" xfId="36858" xr:uid="{00000000-0005-0000-0000-00001F860000}"/>
    <cellStyle name="표준 5 3 3 2 3 2 3 3 4" xfId="45051" xr:uid="{00000000-0005-0000-0000-000020860000}"/>
    <cellStyle name="표준 5 3 3 2 3 2 3 4" xfId="12053" xr:uid="{00000000-0005-0000-0000-000021860000}"/>
    <cellStyle name="표준 5 3 3 2 3 2 3 5" xfId="16293" xr:uid="{00000000-0005-0000-0000-000022860000}"/>
    <cellStyle name="표준 5 3 3 2 3 2 3 6" xfId="20455" xr:uid="{00000000-0005-0000-0000-000023860000}"/>
    <cellStyle name="표준 5 3 3 2 3 2 3 7" xfId="24551" xr:uid="{00000000-0005-0000-0000-000024860000}"/>
    <cellStyle name="표준 5 3 3 2 3 2 3 8" xfId="32762" xr:uid="{00000000-0005-0000-0000-000025860000}"/>
    <cellStyle name="표준 5 3 3 2 3 2 3 9" xfId="40955" xr:uid="{00000000-0005-0000-0000-000026860000}"/>
    <cellStyle name="표준 5 3 3 2 3 2 4" xfId="1598" xr:uid="{00000000-0005-0000-0000-000027860000}"/>
    <cellStyle name="표준 5 3 3 2 3 2 4 2" xfId="10501" xr:uid="{00000000-0005-0000-0000-000028860000}"/>
    <cellStyle name="표준 5 3 3 2 3 2 4 2 2" xfId="14613" xr:uid="{00000000-0005-0000-0000-000029860000}"/>
    <cellStyle name="표준 5 3 3 2 3 2 4 2 2 2" xfId="31207" xr:uid="{00000000-0005-0000-0000-00002A860000}"/>
    <cellStyle name="표준 5 3 3 2 3 2 4 2 2 3" xfId="39418" xr:uid="{00000000-0005-0000-0000-00002B860000}"/>
    <cellStyle name="표준 5 3 3 2 3 2 4 2 2 4" xfId="47611" xr:uid="{00000000-0005-0000-0000-00002C860000}"/>
    <cellStyle name="표준 5 3 3 2 3 2 4 2 3" xfId="18853" xr:uid="{00000000-0005-0000-0000-00002D860000}"/>
    <cellStyle name="표준 5 3 3 2 3 2 4 2 4" xfId="23015" xr:uid="{00000000-0005-0000-0000-00002E860000}"/>
    <cellStyle name="표준 5 3 3 2 3 2 4 2 5" xfId="27111" xr:uid="{00000000-0005-0000-0000-00002F860000}"/>
    <cellStyle name="표준 5 3 3 2 3 2 4 2 6" xfId="35322" xr:uid="{00000000-0005-0000-0000-000030860000}"/>
    <cellStyle name="표준 5 3 3 2 3 2 4 2 7" xfId="43515" xr:uid="{00000000-0005-0000-0000-000031860000}"/>
    <cellStyle name="표준 5 3 3 2 3 2 4 3" xfId="8453" xr:uid="{00000000-0005-0000-0000-000032860000}"/>
    <cellStyle name="표준 5 3 3 2 3 2 4 3 2" xfId="29159" xr:uid="{00000000-0005-0000-0000-000033860000}"/>
    <cellStyle name="표준 5 3 3 2 3 2 4 3 3" xfId="37370" xr:uid="{00000000-0005-0000-0000-000034860000}"/>
    <cellStyle name="표준 5 3 3 2 3 2 4 3 4" xfId="45563" xr:uid="{00000000-0005-0000-0000-000035860000}"/>
    <cellStyle name="표준 5 3 3 2 3 2 4 4" xfId="12565" xr:uid="{00000000-0005-0000-0000-000036860000}"/>
    <cellStyle name="표준 5 3 3 2 3 2 4 5" xfId="16805" xr:uid="{00000000-0005-0000-0000-000037860000}"/>
    <cellStyle name="표준 5 3 3 2 3 2 4 6" xfId="20967" xr:uid="{00000000-0005-0000-0000-000038860000}"/>
    <cellStyle name="표준 5 3 3 2 3 2 4 7" xfId="25063" xr:uid="{00000000-0005-0000-0000-000039860000}"/>
    <cellStyle name="표준 5 3 3 2 3 2 4 8" xfId="33274" xr:uid="{00000000-0005-0000-0000-00003A860000}"/>
    <cellStyle name="표준 5 3 3 2 3 2 4 9" xfId="41467" xr:uid="{00000000-0005-0000-0000-00003B860000}"/>
    <cellStyle name="표준 5 3 3 2 3 2 5" xfId="2110" xr:uid="{00000000-0005-0000-0000-00003C860000}"/>
    <cellStyle name="표준 5 3 3 2 3 2 5 2" xfId="11013" xr:uid="{00000000-0005-0000-0000-00003D860000}"/>
    <cellStyle name="표준 5 3 3 2 3 2 5 2 2" xfId="15125" xr:uid="{00000000-0005-0000-0000-00003E860000}"/>
    <cellStyle name="표준 5 3 3 2 3 2 5 2 2 2" xfId="31719" xr:uid="{00000000-0005-0000-0000-00003F860000}"/>
    <cellStyle name="표준 5 3 3 2 3 2 5 2 2 3" xfId="39930" xr:uid="{00000000-0005-0000-0000-000040860000}"/>
    <cellStyle name="표준 5 3 3 2 3 2 5 2 2 4" xfId="48123" xr:uid="{00000000-0005-0000-0000-000041860000}"/>
    <cellStyle name="표준 5 3 3 2 3 2 5 2 3" xfId="19365" xr:uid="{00000000-0005-0000-0000-000042860000}"/>
    <cellStyle name="표준 5 3 3 2 3 2 5 2 4" xfId="23527" xr:uid="{00000000-0005-0000-0000-000043860000}"/>
    <cellStyle name="표준 5 3 3 2 3 2 5 2 5" xfId="27623" xr:uid="{00000000-0005-0000-0000-000044860000}"/>
    <cellStyle name="표준 5 3 3 2 3 2 5 2 6" xfId="35834" xr:uid="{00000000-0005-0000-0000-000045860000}"/>
    <cellStyle name="표준 5 3 3 2 3 2 5 2 7" xfId="44027" xr:uid="{00000000-0005-0000-0000-000046860000}"/>
    <cellStyle name="표준 5 3 3 2 3 2 5 3" xfId="8965" xr:uid="{00000000-0005-0000-0000-000047860000}"/>
    <cellStyle name="표준 5 3 3 2 3 2 5 3 2" xfId="29671" xr:uid="{00000000-0005-0000-0000-000048860000}"/>
    <cellStyle name="표준 5 3 3 2 3 2 5 3 3" xfId="37882" xr:uid="{00000000-0005-0000-0000-000049860000}"/>
    <cellStyle name="표준 5 3 3 2 3 2 5 3 4" xfId="46075" xr:uid="{00000000-0005-0000-0000-00004A860000}"/>
    <cellStyle name="표준 5 3 3 2 3 2 5 4" xfId="13077" xr:uid="{00000000-0005-0000-0000-00004B860000}"/>
    <cellStyle name="표준 5 3 3 2 3 2 5 5" xfId="17317" xr:uid="{00000000-0005-0000-0000-00004C860000}"/>
    <cellStyle name="표준 5 3 3 2 3 2 5 6" xfId="21479" xr:uid="{00000000-0005-0000-0000-00004D860000}"/>
    <cellStyle name="표준 5 3 3 2 3 2 5 7" xfId="25575" xr:uid="{00000000-0005-0000-0000-00004E860000}"/>
    <cellStyle name="표준 5 3 3 2 3 2 5 8" xfId="33786" xr:uid="{00000000-0005-0000-0000-00004F860000}"/>
    <cellStyle name="표준 5 3 3 2 3 2 5 9" xfId="41979" xr:uid="{00000000-0005-0000-0000-000050860000}"/>
    <cellStyle name="표준 5 3 3 2 3 2 6" xfId="9477" xr:uid="{00000000-0005-0000-0000-000051860000}"/>
    <cellStyle name="표준 5 3 3 2 3 2 6 2" xfId="13589" xr:uid="{00000000-0005-0000-0000-000052860000}"/>
    <cellStyle name="표준 5 3 3 2 3 2 6 2 2" xfId="30183" xr:uid="{00000000-0005-0000-0000-000053860000}"/>
    <cellStyle name="표준 5 3 3 2 3 2 6 2 3" xfId="38394" xr:uid="{00000000-0005-0000-0000-000054860000}"/>
    <cellStyle name="표준 5 3 3 2 3 2 6 2 4" xfId="46587" xr:uid="{00000000-0005-0000-0000-000055860000}"/>
    <cellStyle name="표준 5 3 3 2 3 2 6 3" xfId="17829" xr:uid="{00000000-0005-0000-0000-000056860000}"/>
    <cellStyle name="표준 5 3 3 2 3 2 6 4" xfId="21991" xr:uid="{00000000-0005-0000-0000-000057860000}"/>
    <cellStyle name="표준 5 3 3 2 3 2 6 5" xfId="26087" xr:uid="{00000000-0005-0000-0000-000058860000}"/>
    <cellStyle name="표준 5 3 3 2 3 2 6 6" xfId="34298" xr:uid="{00000000-0005-0000-0000-000059860000}"/>
    <cellStyle name="표준 5 3 3 2 3 2 6 7" xfId="42491" xr:uid="{00000000-0005-0000-0000-00005A860000}"/>
    <cellStyle name="표준 5 3 3 2 3 2 7" xfId="7429" xr:uid="{00000000-0005-0000-0000-00005B860000}"/>
    <cellStyle name="표준 5 3 3 2 3 2 7 2" xfId="28135" xr:uid="{00000000-0005-0000-0000-00005C860000}"/>
    <cellStyle name="표준 5 3 3 2 3 2 7 3" xfId="36346" xr:uid="{00000000-0005-0000-0000-00005D860000}"/>
    <cellStyle name="표준 5 3 3 2 3 2 7 4" xfId="44539" xr:uid="{00000000-0005-0000-0000-00005E860000}"/>
    <cellStyle name="표준 5 3 3 2 3 2 8" xfId="11541" xr:uid="{00000000-0005-0000-0000-00005F860000}"/>
    <cellStyle name="표준 5 3 3 2 3 2 9" xfId="15781" xr:uid="{00000000-0005-0000-0000-000060860000}"/>
    <cellStyle name="표준 5 3 3 2 3 3" xfId="702" xr:uid="{00000000-0005-0000-0000-000061860000}"/>
    <cellStyle name="표준 5 3 3 2 3 3 10" xfId="24167" xr:uid="{00000000-0005-0000-0000-000062860000}"/>
    <cellStyle name="표준 5 3 3 2 3 3 11" xfId="32378" xr:uid="{00000000-0005-0000-0000-000063860000}"/>
    <cellStyle name="표준 5 3 3 2 3 3 12" xfId="40571" xr:uid="{00000000-0005-0000-0000-000064860000}"/>
    <cellStyle name="표준 5 3 3 2 3 3 2" xfId="1214" xr:uid="{00000000-0005-0000-0000-000065860000}"/>
    <cellStyle name="표준 5 3 3 2 3 3 2 2" xfId="10117" xr:uid="{00000000-0005-0000-0000-000066860000}"/>
    <cellStyle name="표준 5 3 3 2 3 3 2 2 2" xfId="14229" xr:uid="{00000000-0005-0000-0000-000067860000}"/>
    <cellStyle name="표준 5 3 3 2 3 3 2 2 2 2" xfId="30823" xr:uid="{00000000-0005-0000-0000-000068860000}"/>
    <cellStyle name="표준 5 3 3 2 3 3 2 2 2 3" xfId="39034" xr:uid="{00000000-0005-0000-0000-000069860000}"/>
    <cellStyle name="표준 5 3 3 2 3 3 2 2 2 4" xfId="47227" xr:uid="{00000000-0005-0000-0000-00006A860000}"/>
    <cellStyle name="표준 5 3 3 2 3 3 2 2 3" xfId="18469" xr:uid="{00000000-0005-0000-0000-00006B860000}"/>
    <cellStyle name="표준 5 3 3 2 3 3 2 2 4" xfId="22631" xr:uid="{00000000-0005-0000-0000-00006C860000}"/>
    <cellStyle name="표준 5 3 3 2 3 3 2 2 5" xfId="26727" xr:uid="{00000000-0005-0000-0000-00006D860000}"/>
    <cellStyle name="표준 5 3 3 2 3 3 2 2 6" xfId="34938" xr:uid="{00000000-0005-0000-0000-00006E860000}"/>
    <cellStyle name="표준 5 3 3 2 3 3 2 2 7" xfId="43131" xr:uid="{00000000-0005-0000-0000-00006F860000}"/>
    <cellStyle name="표준 5 3 3 2 3 3 2 3" xfId="8069" xr:uid="{00000000-0005-0000-0000-000070860000}"/>
    <cellStyle name="표준 5 3 3 2 3 3 2 3 2" xfId="28775" xr:uid="{00000000-0005-0000-0000-000071860000}"/>
    <cellStyle name="표준 5 3 3 2 3 3 2 3 3" xfId="36986" xr:uid="{00000000-0005-0000-0000-000072860000}"/>
    <cellStyle name="표준 5 3 3 2 3 3 2 3 4" xfId="45179" xr:uid="{00000000-0005-0000-0000-000073860000}"/>
    <cellStyle name="표준 5 3 3 2 3 3 2 4" xfId="12181" xr:uid="{00000000-0005-0000-0000-000074860000}"/>
    <cellStyle name="표준 5 3 3 2 3 3 2 5" xfId="16421" xr:uid="{00000000-0005-0000-0000-000075860000}"/>
    <cellStyle name="표준 5 3 3 2 3 3 2 6" xfId="20583" xr:uid="{00000000-0005-0000-0000-000076860000}"/>
    <cellStyle name="표준 5 3 3 2 3 3 2 7" xfId="24679" xr:uid="{00000000-0005-0000-0000-000077860000}"/>
    <cellStyle name="표준 5 3 3 2 3 3 2 8" xfId="32890" xr:uid="{00000000-0005-0000-0000-000078860000}"/>
    <cellStyle name="표준 5 3 3 2 3 3 2 9" xfId="41083" xr:uid="{00000000-0005-0000-0000-000079860000}"/>
    <cellStyle name="표준 5 3 3 2 3 3 3" xfId="1726" xr:uid="{00000000-0005-0000-0000-00007A860000}"/>
    <cellStyle name="표준 5 3 3 2 3 3 3 2" xfId="10629" xr:uid="{00000000-0005-0000-0000-00007B860000}"/>
    <cellStyle name="표준 5 3 3 2 3 3 3 2 2" xfId="14741" xr:uid="{00000000-0005-0000-0000-00007C860000}"/>
    <cellStyle name="표준 5 3 3 2 3 3 3 2 2 2" xfId="31335" xr:uid="{00000000-0005-0000-0000-00007D860000}"/>
    <cellStyle name="표준 5 3 3 2 3 3 3 2 2 3" xfId="39546" xr:uid="{00000000-0005-0000-0000-00007E860000}"/>
    <cellStyle name="표준 5 3 3 2 3 3 3 2 2 4" xfId="47739" xr:uid="{00000000-0005-0000-0000-00007F860000}"/>
    <cellStyle name="표준 5 3 3 2 3 3 3 2 3" xfId="18981" xr:uid="{00000000-0005-0000-0000-000080860000}"/>
    <cellStyle name="표준 5 3 3 2 3 3 3 2 4" xfId="23143" xr:uid="{00000000-0005-0000-0000-000081860000}"/>
    <cellStyle name="표준 5 3 3 2 3 3 3 2 5" xfId="27239" xr:uid="{00000000-0005-0000-0000-000082860000}"/>
    <cellStyle name="표준 5 3 3 2 3 3 3 2 6" xfId="35450" xr:uid="{00000000-0005-0000-0000-000083860000}"/>
    <cellStyle name="표준 5 3 3 2 3 3 3 2 7" xfId="43643" xr:uid="{00000000-0005-0000-0000-000084860000}"/>
    <cellStyle name="표준 5 3 3 2 3 3 3 3" xfId="8581" xr:uid="{00000000-0005-0000-0000-000085860000}"/>
    <cellStyle name="표준 5 3 3 2 3 3 3 3 2" xfId="29287" xr:uid="{00000000-0005-0000-0000-000086860000}"/>
    <cellStyle name="표준 5 3 3 2 3 3 3 3 3" xfId="37498" xr:uid="{00000000-0005-0000-0000-000087860000}"/>
    <cellStyle name="표준 5 3 3 2 3 3 3 3 4" xfId="45691" xr:uid="{00000000-0005-0000-0000-000088860000}"/>
    <cellStyle name="표준 5 3 3 2 3 3 3 4" xfId="12693" xr:uid="{00000000-0005-0000-0000-000089860000}"/>
    <cellStyle name="표준 5 3 3 2 3 3 3 5" xfId="16933" xr:uid="{00000000-0005-0000-0000-00008A860000}"/>
    <cellStyle name="표준 5 3 3 2 3 3 3 6" xfId="21095" xr:uid="{00000000-0005-0000-0000-00008B860000}"/>
    <cellStyle name="표준 5 3 3 2 3 3 3 7" xfId="25191" xr:uid="{00000000-0005-0000-0000-00008C860000}"/>
    <cellStyle name="표준 5 3 3 2 3 3 3 8" xfId="33402" xr:uid="{00000000-0005-0000-0000-00008D860000}"/>
    <cellStyle name="표준 5 3 3 2 3 3 3 9" xfId="41595" xr:uid="{00000000-0005-0000-0000-00008E860000}"/>
    <cellStyle name="표준 5 3 3 2 3 3 4" xfId="2238" xr:uid="{00000000-0005-0000-0000-00008F860000}"/>
    <cellStyle name="표준 5 3 3 2 3 3 4 2" xfId="11141" xr:uid="{00000000-0005-0000-0000-000090860000}"/>
    <cellStyle name="표준 5 3 3 2 3 3 4 2 2" xfId="15253" xr:uid="{00000000-0005-0000-0000-000091860000}"/>
    <cellStyle name="표준 5 3 3 2 3 3 4 2 2 2" xfId="31847" xr:uid="{00000000-0005-0000-0000-000092860000}"/>
    <cellStyle name="표준 5 3 3 2 3 3 4 2 2 3" xfId="40058" xr:uid="{00000000-0005-0000-0000-000093860000}"/>
    <cellStyle name="표준 5 3 3 2 3 3 4 2 2 4" xfId="48251" xr:uid="{00000000-0005-0000-0000-000094860000}"/>
    <cellStyle name="표준 5 3 3 2 3 3 4 2 3" xfId="19493" xr:uid="{00000000-0005-0000-0000-000095860000}"/>
    <cellStyle name="표준 5 3 3 2 3 3 4 2 4" xfId="23655" xr:uid="{00000000-0005-0000-0000-000096860000}"/>
    <cellStyle name="표준 5 3 3 2 3 3 4 2 5" xfId="27751" xr:uid="{00000000-0005-0000-0000-000097860000}"/>
    <cellStyle name="표준 5 3 3 2 3 3 4 2 6" xfId="35962" xr:uid="{00000000-0005-0000-0000-000098860000}"/>
    <cellStyle name="표준 5 3 3 2 3 3 4 2 7" xfId="44155" xr:uid="{00000000-0005-0000-0000-000099860000}"/>
    <cellStyle name="표준 5 3 3 2 3 3 4 3" xfId="9093" xr:uid="{00000000-0005-0000-0000-00009A860000}"/>
    <cellStyle name="표준 5 3 3 2 3 3 4 3 2" xfId="29799" xr:uid="{00000000-0005-0000-0000-00009B860000}"/>
    <cellStyle name="표준 5 3 3 2 3 3 4 3 3" xfId="38010" xr:uid="{00000000-0005-0000-0000-00009C860000}"/>
    <cellStyle name="표준 5 3 3 2 3 3 4 3 4" xfId="46203" xr:uid="{00000000-0005-0000-0000-00009D860000}"/>
    <cellStyle name="표준 5 3 3 2 3 3 4 4" xfId="13205" xr:uid="{00000000-0005-0000-0000-00009E860000}"/>
    <cellStyle name="표준 5 3 3 2 3 3 4 5" xfId="17445" xr:uid="{00000000-0005-0000-0000-00009F860000}"/>
    <cellStyle name="표준 5 3 3 2 3 3 4 6" xfId="21607" xr:uid="{00000000-0005-0000-0000-0000A0860000}"/>
    <cellStyle name="표준 5 3 3 2 3 3 4 7" xfId="25703" xr:uid="{00000000-0005-0000-0000-0000A1860000}"/>
    <cellStyle name="표준 5 3 3 2 3 3 4 8" xfId="33914" xr:uid="{00000000-0005-0000-0000-0000A2860000}"/>
    <cellStyle name="표준 5 3 3 2 3 3 4 9" xfId="42107" xr:uid="{00000000-0005-0000-0000-0000A3860000}"/>
    <cellStyle name="표준 5 3 3 2 3 3 5" xfId="9605" xr:uid="{00000000-0005-0000-0000-0000A4860000}"/>
    <cellStyle name="표준 5 3 3 2 3 3 5 2" xfId="13717" xr:uid="{00000000-0005-0000-0000-0000A5860000}"/>
    <cellStyle name="표준 5 3 3 2 3 3 5 2 2" xfId="30311" xr:uid="{00000000-0005-0000-0000-0000A6860000}"/>
    <cellStyle name="표준 5 3 3 2 3 3 5 2 3" xfId="38522" xr:uid="{00000000-0005-0000-0000-0000A7860000}"/>
    <cellStyle name="표준 5 3 3 2 3 3 5 2 4" xfId="46715" xr:uid="{00000000-0005-0000-0000-0000A8860000}"/>
    <cellStyle name="표준 5 3 3 2 3 3 5 3" xfId="17957" xr:uid="{00000000-0005-0000-0000-0000A9860000}"/>
    <cellStyle name="표준 5 3 3 2 3 3 5 4" xfId="22119" xr:uid="{00000000-0005-0000-0000-0000AA860000}"/>
    <cellStyle name="표준 5 3 3 2 3 3 5 5" xfId="26215" xr:uid="{00000000-0005-0000-0000-0000AB860000}"/>
    <cellStyle name="표준 5 3 3 2 3 3 5 6" xfId="34426" xr:uid="{00000000-0005-0000-0000-0000AC860000}"/>
    <cellStyle name="표준 5 3 3 2 3 3 5 7" xfId="42619" xr:uid="{00000000-0005-0000-0000-0000AD860000}"/>
    <cellStyle name="표준 5 3 3 2 3 3 6" xfId="7557" xr:uid="{00000000-0005-0000-0000-0000AE860000}"/>
    <cellStyle name="표준 5 3 3 2 3 3 6 2" xfId="28263" xr:uid="{00000000-0005-0000-0000-0000AF860000}"/>
    <cellStyle name="표준 5 3 3 2 3 3 6 3" xfId="36474" xr:uid="{00000000-0005-0000-0000-0000B0860000}"/>
    <cellStyle name="표준 5 3 3 2 3 3 6 4" xfId="44667" xr:uid="{00000000-0005-0000-0000-0000B1860000}"/>
    <cellStyle name="표준 5 3 3 2 3 3 7" xfId="11669" xr:uid="{00000000-0005-0000-0000-0000B2860000}"/>
    <cellStyle name="표준 5 3 3 2 3 3 8" xfId="15909" xr:uid="{00000000-0005-0000-0000-0000B3860000}"/>
    <cellStyle name="표준 5 3 3 2 3 3 9" xfId="20071" xr:uid="{00000000-0005-0000-0000-0000B4860000}"/>
    <cellStyle name="표준 5 3 3 2 3 4" xfId="958" xr:uid="{00000000-0005-0000-0000-0000B5860000}"/>
    <cellStyle name="표준 5 3 3 2 3 4 2" xfId="9861" xr:uid="{00000000-0005-0000-0000-0000B6860000}"/>
    <cellStyle name="표준 5 3 3 2 3 4 2 2" xfId="13973" xr:uid="{00000000-0005-0000-0000-0000B7860000}"/>
    <cellStyle name="표준 5 3 3 2 3 4 2 2 2" xfId="30567" xr:uid="{00000000-0005-0000-0000-0000B8860000}"/>
    <cellStyle name="표준 5 3 3 2 3 4 2 2 3" xfId="38778" xr:uid="{00000000-0005-0000-0000-0000B9860000}"/>
    <cellStyle name="표준 5 3 3 2 3 4 2 2 4" xfId="46971" xr:uid="{00000000-0005-0000-0000-0000BA860000}"/>
    <cellStyle name="표준 5 3 3 2 3 4 2 3" xfId="18213" xr:uid="{00000000-0005-0000-0000-0000BB860000}"/>
    <cellStyle name="표준 5 3 3 2 3 4 2 4" xfId="22375" xr:uid="{00000000-0005-0000-0000-0000BC860000}"/>
    <cellStyle name="표준 5 3 3 2 3 4 2 5" xfId="26471" xr:uid="{00000000-0005-0000-0000-0000BD860000}"/>
    <cellStyle name="표준 5 3 3 2 3 4 2 6" xfId="34682" xr:uid="{00000000-0005-0000-0000-0000BE860000}"/>
    <cellStyle name="표준 5 3 3 2 3 4 2 7" xfId="42875" xr:uid="{00000000-0005-0000-0000-0000BF860000}"/>
    <cellStyle name="표준 5 3 3 2 3 4 3" xfId="7813" xr:uid="{00000000-0005-0000-0000-0000C0860000}"/>
    <cellStyle name="표준 5 3 3 2 3 4 3 2" xfId="28519" xr:uid="{00000000-0005-0000-0000-0000C1860000}"/>
    <cellStyle name="표준 5 3 3 2 3 4 3 3" xfId="36730" xr:uid="{00000000-0005-0000-0000-0000C2860000}"/>
    <cellStyle name="표준 5 3 3 2 3 4 3 4" xfId="44923" xr:uid="{00000000-0005-0000-0000-0000C3860000}"/>
    <cellStyle name="표준 5 3 3 2 3 4 4" xfId="11925" xr:uid="{00000000-0005-0000-0000-0000C4860000}"/>
    <cellStyle name="표준 5 3 3 2 3 4 5" xfId="16165" xr:uid="{00000000-0005-0000-0000-0000C5860000}"/>
    <cellStyle name="표준 5 3 3 2 3 4 6" xfId="20327" xr:uid="{00000000-0005-0000-0000-0000C6860000}"/>
    <cellStyle name="표준 5 3 3 2 3 4 7" xfId="24423" xr:uid="{00000000-0005-0000-0000-0000C7860000}"/>
    <cellStyle name="표준 5 3 3 2 3 4 8" xfId="32634" xr:uid="{00000000-0005-0000-0000-0000C8860000}"/>
    <cellStyle name="표준 5 3 3 2 3 4 9" xfId="40827" xr:uid="{00000000-0005-0000-0000-0000C9860000}"/>
    <cellStyle name="표준 5 3 3 2 3 5" xfId="1470" xr:uid="{00000000-0005-0000-0000-0000CA860000}"/>
    <cellStyle name="표준 5 3 3 2 3 5 2" xfId="10373" xr:uid="{00000000-0005-0000-0000-0000CB860000}"/>
    <cellStyle name="표준 5 3 3 2 3 5 2 2" xfId="14485" xr:uid="{00000000-0005-0000-0000-0000CC860000}"/>
    <cellStyle name="표준 5 3 3 2 3 5 2 2 2" xfId="31079" xr:uid="{00000000-0005-0000-0000-0000CD860000}"/>
    <cellStyle name="표준 5 3 3 2 3 5 2 2 3" xfId="39290" xr:uid="{00000000-0005-0000-0000-0000CE860000}"/>
    <cellStyle name="표준 5 3 3 2 3 5 2 2 4" xfId="47483" xr:uid="{00000000-0005-0000-0000-0000CF860000}"/>
    <cellStyle name="표준 5 3 3 2 3 5 2 3" xfId="18725" xr:uid="{00000000-0005-0000-0000-0000D0860000}"/>
    <cellStyle name="표준 5 3 3 2 3 5 2 4" xfId="22887" xr:uid="{00000000-0005-0000-0000-0000D1860000}"/>
    <cellStyle name="표준 5 3 3 2 3 5 2 5" xfId="26983" xr:uid="{00000000-0005-0000-0000-0000D2860000}"/>
    <cellStyle name="표준 5 3 3 2 3 5 2 6" xfId="35194" xr:uid="{00000000-0005-0000-0000-0000D3860000}"/>
    <cellStyle name="표준 5 3 3 2 3 5 2 7" xfId="43387" xr:uid="{00000000-0005-0000-0000-0000D4860000}"/>
    <cellStyle name="표준 5 3 3 2 3 5 3" xfId="8325" xr:uid="{00000000-0005-0000-0000-0000D5860000}"/>
    <cellStyle name="표준 5 3 3 2 3 5 3 2" xfId="29031" xr:uid="{00000000-0005-0000-0000-0000D6860000}"/>
    <cellStyle name="표준 5 3 3 2 3 5 3 3" xfId="37242" xr:uid="{00000000-0005-0000-0000-0000D7860000}"/>
    <cellStyle name="표준 5 3 3 2 3 5 3 4" xfId="45435" xr:uid="{00000000-0005-0000-0000-0000D8860000}"/>
    <cellStyle name="표준 5 3 3 2 3 5 4" xfId="12437" xr:uid="{00000000-0005-0000-0000-0000D9860000}"/>
    <cellStyle name="표준 5 3 3 2 3 5 5" xfId="16677" xr:uid="{00000000-0005-0000-0000-0000DA860000}"/>
    <cellStyle name="표준 5 3 3 2 3 5 6" xfId="20839" xr:uid="{00000000-0005-0000-0000-0000DB860000}"/>
    <cellStyle name="표준 5 3 3 2 3 5 7" xfId="24935" xr:uid="{00000000-0005-0000-0000-0000DC860000}"/>
    <cellStyle name="표준 5 3 3 2 3 5 8" xfId="33146" xr:uid="{00000000-0005-0000-0000-0000DD860000}"/>
    <cellStyle name="표준 5 3 3 2 3 5 9" xfId="41339" xr:uid="{00000000-0005-0000-0000-0000DE860000}"/>
    <cellStyle name="표준 5 3 3 2 3 6" xfId="1982" xr:uid="{00000000-0005-0000-0000-0000DF860000}"/>
    <cellStyle name="표준 5 3 3 2 3 6 2" xfId="10885" xr:uid="{00000000-0005-0000-0000-0000E0860000}"/>
    <cellStyle name="표준 5 3 3 2 3 6 2 2" xfId="14997" xr:uid="{00000000-0005-0000-0000-0000E1860000}"/>
    <cellStyle name="표준 5 3 3 2 3 6 2 2 2" xfId="31591" xr:uid="{00000000-0005-0000-0000-0000E2860000}"/>
    <cellStyle name="표준 5 3 3 2 3 6 2 2 3" xfId="39802" xr:uid="{00000000-0005-0000-0000-0000E3860000}"/>
    <cellStyle name="표준 5 3 3 2 3 6 2 2 4" xfId="47995" xr:uid="{00000000-0005-0000-0000-0000E4860000}"/>
    <cellStyle name="표준 5 3 3 2 3 6 2 3" xfId="19237" xr:uid="{00000000-0005-0000-0000-0000E5860000}"/>
    <cellStyle name="표준 5 3 3 2 3 6 2 4" xfId="23399" xr:uid="{00000000-0005-0000-0000-0000E6860000}"/>
    <cellStyle name="표준 5 3 3 2 3 6 2 5" xfId="27495" xr:uid="{00000000-0005-0000-0000-0000E7860000}"/>
    <cellStyle name="표준 5 3 3 2 3 6 2 6" xfId="35706" xr:uid="{00000000-0005-0000-0000-0000E8860000}"/>
    <cellStyle name="표준 5 3 3 2 3 6 2 7" xfId="43899" xr:uid="{00000000-0005-0000-0000-0000E9860000}"/>
    <cellStyle name="표준 5 3 3 2 3 6 3" xfId="8837" xr:uid="{00000000-0005-0000-0000-0000EA860000}"/>
    <cellStyle name="표준 5 3 3 2 3 6 3 2" xfId="29543" xr:uid="{00000000-0005-0000-0000-0000EB860000}"/>
    <cellStyle name="표준 5 3 3 2 3 6 3 3" xfId="37754" xr:uid="{00000000-0005-0000-0000-0000EC860000}"/>
    <cellStyle name="표준 5 3 3 2 3 6 3 4" xfId="45947" xr:uid="{00000000-0005-0000-0000-0000ED860000}"/>
    <cellStyle name="표준 5 3 3 2 3 6 4" xfId="12949" xr:uid="{00000000-0005-0000-0000-0000EE860000}"/>
    <cellStyle name="표준 5 3 3 2 3 6 5" xfId="17189" xr:uid="{00000000-0005-0000-0000-0000EF860000}"/>
    <cellStyle name="표준 5 3 3 2 3 6 6" xfId="21351" xr:uid="{00000000-0005-0000-0000-0000F0860000}"/>
    <cellStyle name="표준 5 3 3 2 3 6 7" xfId="25447" xr:uid="{00000000-0005-0000-0000-0000F1860000}"/>
    <cellStyle name="표준 5 3 3 2 3 6 8" xfId="33658" xr:uid="{00000000-0005-0000-0000-0000F2860000}"/>
    <cellStyle name="표준 5 3 3 2 3 6 9" xfId="41851" xr:uid="{00000000-0005-0000-0000-0000F3860000}"/>
    <cellStyle name="표준 5 3 3 2 3 7" xfId="9349" xr:uid="{00000000-0005-0000-0000-0000F4860000}"/>
    <cellStyle name="표준 5 3 3 2 3 7 2" xfId="13461" xr:uid="{00000000-0005-0000-0000-0000F5860000}"/>
    <cellStyle name="표준 5 3 3 2 3 7 2 2" xfId="30055" xr:uid="{00000000-0005-0000-0000-0000F6860000}"/>
    <cellStyle name="표준 5 3 3 2 3 7 2 3" xfId="38266" xr:uid="{00000000-0005-0000-0000-0000F7860000}"/>
    <cellStyle name="표준 5 3 3 2 3 7 2 4" xfId="46459" xr:uid="{00000000-0005-0000-0000-0000F8860000}"/>
    <cellStyle name="표준 5 3 3 2 3 7 3" xfId="17701" xr:uid="{00000000-0005-0000-0000-0000F9860000}"/>
    <cellStyle name="표준 5 3 3 2 3 7 4" xfId="21863" xr:uid="{00000000-0005-0000-0000-0000FA860000}"/>
    <cellStyle name="표준 5 3 3 2 3 7 5" xfId="25959" xr:uid="{00000000-0005-0000-0000-0000FB860000}"/>
    <cellStyle name="표준 5 3 3 2 3 7 6" xfId="34170" xr:uid="{00000000-0005-0000-0000-0000FC860000}"/>
    <cellStyle name="표준 5 3 3 2 3 7 7" xfId="42363" xr:uid="{00000000-0005-0000-0000-0000FD860000}"/>
    <cellStyle name="표준 5 3 3 2 3 8" xfId="7301" xr:uid="{00000000-0005-0000-0000-0000FE860000}"/>
    <cellStyle name="표준 5 3 3 2 3 8 2" xfId="28007" xr:uid="{00000000-0005-0000-0000-0000FF860000}"/>
    <cellStyle name="표준 5 3 3 2 3 8 3" xfId="36218" xr:uid="{00000000-0005-0000-0000-000000870000}"/>
    <cellStyle name="표준 5 3 3 2 3 8 4" xfId="44411" xr:uid="{00000000-0005-0000-0000-000001870000}"/>
    <cellStyle name="표준 5 3 3 2 3 9" xfId="11413" xr:uid="{00000000-0005-0000-0000-000002870000}"/>
    <cellStyle name="표준 5 3 3 2 4" xfId="510" xr:uid="{00000000-0005-0000-0000-000003870000}"/>
    <cellStyle name="표준 5 3 3 2 4 10" xfId="19879" xr:uid="{00000000-0005-0000-0000-000004870000}"/>
    <cellStyle name="표준 5 3 3 2 4 11" xfId="23975" xr:uid="{00000000-0005-0000-0000-000005870000}"/>
    <cellStyle name="표준 5 3 3 2 4 12" xfId="32186" xr:uid="{00000000-0005-0000-0000-000006870000}"/>
    <cellStyle name="표준 5 3 3 2 4 13" xfId="40379" xr:uid="{00000000-0005-0000-0000-000007870000}"/>
    <cellStyle name="표준 5 3 3 2 4 2" xfId="766" xr:uid="{00000000-0005-0000-0000-000008870000}"/>
    <cellStyle name="표준 5 3 3 2 4 2 10" xfId="24231" xr:uid="{00000000-0005-0000-0000-000009870000}"/>
    <cellStyle name="표준 5 3 3 2 4 2 11" xfId="32442" xr:uid="{00000000-0005-0000-0000-00000A870000}"/>
    <cellStyle name="표준 5 3 3 2 4 2 12" xfId="40635" xr:uid="{00000000-0005-0000-0000-00000B870000}"/>
    <cellStyle name="표준 5 3 3 2 4 2 2" xfId="1278" xr:uid="{00000000-0005-0000-0000-00000C870000}"/>
    <cellStyle name="표준 5 3 3 2 4 2 2 2" xfId="10181" xr:uid="{00000000-0005-0000-0000-00000D870000}"/>
    <cellStyle name="표준 5 3 3 2 4 2 2 2 2" xfId="14293" xr:uid="{00000000-0005-0000-0000-00000E870000}"/>
    <cellStyle name="표준 5 3 3 2 4 2 2 2 2 2" xfId="30887" xr:uid="{00000000-0005-0000-0000-00000F870000}"/>
    <cellStyle name="표준 5 3 3 2 4 2 2 2 2 3" xfId="39098" xr:uid="{00000000-0005-0000-0000-000010870000}"/>
    <cellStyle name="표준 5 3 3 2 4 2 2 2 2 4" xfId="47291" xr:uid="{00000000-0005-0000-0000-000011870000}"/>
    <cellStyle name="표준 5 3 3 2 4 2 2 2 3" xfId="18533" xr:uid="{00000000-0005-0000-0000-000012870000}"/>
    <cellStyle name="표준 5 3 3 2 4 2 2 2 4" xfId="22695" xr:uid="{00000000-0005-0000-0000-000013870000}"/>
    <cellStyle name="표준 5 3 3 2 4 2 2 2 5" xfId="26791" xr:uid="{00000000-0005-0000-0000-000014870000}"/>
    <cellStyle name="표준 5 3 3 2 4 2 2 2 6" xfId="35002" xr:uid="{00000000-0005-0000-0000-000015870000}"/>
    <cellStyle name="표준 5 3 3 2 4 2 2 2 7" xfId="43195" xr:uid="{00000000-0005-0000-0000-000016870000}"/>
    <cellStyle name="표준 5 3 3 2 4 2 2 3" xfId="8133" xr:uid="{00000000-0005-0000-0000-000017870000}"/>
    <cellStyle name="표준 5 3 3 2 4 2 2 3 2" xfId="28839" xr:uid="{00000000-0005-0000-0000-000018870000}"/>
    <cellStyle name="표준 5 3 3 2 4 2 2 3 3" xfId="37050" xr:uid="{00000000-0005-0000-0000-000019870000}"/>
    <cellStyle name="표준 5 3 3 2 4 2 2 3 4" xfId="45243" xr:uid="{00000000-0005-0000-0000-00001A870000}"/>
    <cellStyle name="표준 5 3 3 2 4 2 2 4" xfId="12245" xr:uid="{00000000-0005-0000-0000-00001B870000}"/>
    <cellStyle name="표준 5 3 3 2 4 2 2 5" xfId="16485" xr:uid="{00000000-0005-0000-0000-00001C870000}"/>
    <cellStyle name="표준 5 3 3 2 4 2 2 6" xfId="20647" xr:uid="{00000000-0005-0000-0000-00001D870000}"/>
    <cellStyle name="표준 5 3 3 2 4 2 2 7" xfId="24743" xr:uid="{00000000-0005-0000-0000-00001E870000}"/>
    <cellStyle name="표준 5 3 3 2 4 2 2 8" xfId="32954" xr:uid="{00000000-0005-0000-0000-00001F870000}"/>
    <cellStyle name="표준 5 3 3 2 4 2 2 9" xfId="41147" xr:uid="{00000000-0005-0000-0000-000020870000}"/>
    <cellStyle name="표준 5 3 3 2 4 2 3" xfId="1790" xr:uid="{00000000-0005-0000-0000-000021870000}"/>
    <cellStyle name="표준 5 3 3 2 4 2 3 2" xfId="10693" xr:uid="{00000000-0005-0000-0000-000022870000}"/>
    <cellStyle name="표준 5 3 3 2 4 2 3 2 2" xfId="14805" xr:uid="{00000000-0005-0000-0000-000023870000}"/>
    <cellStyle name="표준 5 3 3 2 4 2 3 2 2 2" xfId="31399" xr:uid="{00000000-0005-0000-0000-000024870000}"/>
    <cellStyle name="표준 5 3 3 2 4 2 3 2 2 3" xfId="39610" xr:uid="{00000000-0005-0000-0000-000025870000}"/>
    <cellStyle name="표준 5 3 3 2 4 2 3 2 2 4" xfId="47803" xr:uid="{00000000-0005-0000-0000-000026870000}"/>
    <cellStyle name="표준 5 3 3 2 4 2 3 2 3" xfId="19045" xr:uid="{00000000-0005-0000-0000-000027870000}"/>
    <cellStyle name="표준 5 3 3 2 4 2 3 2 4" xfId="23207" xr:uid="{00000000-0005-0000-0000-000028870000}"/>
    <cellStyle name="표준 5 3 3 2 4 2 3 2 5" xfId="27303" xr:uid="{00000000-0005-0000-0000-000029870000}"/>
    <cellStyle name="표준 5 3 3 2 4 2 3 2 6" xfId="35514" xr:uid="{00000000-0005-0000-0000-00002A870000}"/>
    <cellStyle name="표준 5 3 3 2 4 2 3 2 7" xfId="43707" xr:uid="{00000000-0005-0000-0000-00002B870000}"/>
    <cellStyle name="표준 5 3 3 2 4 2 3 3" xfId="8645" xr:uid="{00000000-0005-0000-0000-00002C870000}"/>
    <cellStyle name="표준 5 3 3 2 4 2 3 3 2" xfId="29351" xr:uid="{00000000-0005-0000-0000-00002D870000}"/>
    <cellStyle name="표준 5 3 3 2 4 2 3 3 3" xfId="37562" xr:uid="{00000000-0005-0000-0000-00002E870000}"/>
    <cellStyle name="표준 5 3 3 2 4 2 3 3 4" xfId="45755" xr:uid="{00000000-0005-0000-0000-00002F870000}"/>
    <cellStyle name="표준 5 3 3 2 4 2 3 4" xfId="12757" xr:uid="{00000000-0005-0000-0000-000030870000}"/>
    <cellStyle name="표준 5 3 3 2 4 2 3 5" xfId="16997" xr:uid="{00000000-0005-0000-0000-000031870000}"/>
    <cellStyle name="표준 5 3 3 2 4 2 3 6" xfId="21159" xr:uid="{00000000-0005-0000-0000-000032870000}"/>
    <cellStyle name="표준 5 3 3 2 4 2 3 7" xfId="25255" xr:uid="{00000000-0005-0000-0000-000033870000}"/>
    <cellStyle name="표준 5 3 3 2 4 2 3 8" xfId="33466" xr:uid="{00000000-0005-0000-0000-000034870000}"/>
    <cellStyle name="표준 5 3 3 2 4 2 3 9" xfId="41659" xr:uid="{00000000-0005-0000-0000-000035870000}"/>
    <cellStyle name="표준 5 3 3 2 4 2 4" xfId="2302" xr:uid="{00000000-0005-0000-0000-000036870000}"/>
    <cellStyle name="표준 5 3 3 2 4 2 4 2" xfId="11205" xr:uid="{00000000-0005-0000-0000-000037870000}"/>
    <cellStyle name="표준 5 3 3 2 4 2 4 2 2" xfId="15317" xr:uid="{00000000-0005-0000-0000-000038870000}"/>
    <cellStyle name="표준 5 3 3 2 4 2 4 2 2 2" xfId="31911" xr:uid="{00000000-0005-0000-0000-000039870000}"/>
    <cellStyle name="표준 5 3 3 2 4 2 4 2 2 3" xfId="40122" xr:uid="{00000000-0005-0000-0000-00003A870000}"/>
    <cellStyle name="표준 5 3 3 2 4 2 4 2 2 4" xfId="48315" xr:uid="{00000000-0005-0000-0000-00003B870000}"/>
    <cellStyle name="표준 5 3 3 2 4 2 4 2 3" xfId="19557" xr:uid="{00000000-0005-0000-0000-00003C870000}"/>
    <cellStyle name="표준 5 3 3 2 4 2 4 2 4" xfId="23719" xr:uid="{00000000-0005-0000-0000-00003D870000}"/>
    <cellStyle name="표준 5 3 3 2 4 2 4 2 5" xfId="27815" xr:uid="{00000000-0005-0000-0000-00003E870000}"/>
    <cellStyle name="표준 5 3 3 2 4 2 4 2 6" xfId="36026" xr:uid="{00000000-0005-0000-0000-00003F870000}"/>
    <cellStyle name="표준 5 3 3 2 4 2 4 2 7" xfId="44219" xr:uid="{00000000-0005-0000-0000-000040870000}"/>
    <cellStyle name="표준 5 3 3 2 4 2 4 3" xfId="9157" xr:uid="{00000000-0005-0000-0000-000041870000}"/>
    <cellStyle name="표준 5 3 3 2 4 2 4 3 2" xfId="29863" xr:uid="{00000000-0005-0000-0000-000042870000}"/>
    <cellStyle name="표준 5 3 3 2 4 2 4 3 3" xfId="38074" xr:uid="{00000000-0005-0000-0000-000043870000}"/>
    <cellStyle name="표준 5 3 3 2 4 2 4 3 4" xfId="46267" xr:uid="{00000000-0005-0000-0000-000044870000}"/>
    <cellStyle name="표준 5 3 3 2 4 2 4 4" xfId="13269" xr:uid="{00000000-0005-0000-0000-000045870000}"/>
    <cellStyle name="표준 5 3 3 2 4 2 4 5" xfId="17509" xr:uid="{00000000-0005-0000-0000-000046870000}"/>
    <cellStyle name="표준 5 3 3 2 4 2 4 6" xfId="21671" xr:uid="{00000000-0005-0000-0000-000047870000}"/>
    <cellStyle name="표준 5 3 3 2 4 2 4 7" xfId="25767" xr:uid="{00000000-0005-0000-0000-000048870000}"/>
    <cellStyle name="표준 5 3 3 2 4 2 4 8" xfId="33978" xr:uid="{00000000-0005-0000-0000-000049870000}"/>
    <cellStyle name="표준 5 3 3 2 4 2 4 9" xfId="42171" xr:uid="{00000000-0005-0000-0000-00004A870000}"/>
    <cellStyle name="표준 5 3 3 2 4 2 5" xfId="9669" xr:uid="{00000000-0005-0000-0000-00004B870000}"/>
    <cellStyle name="표준 5 3 3 2 4 2 5 2" xfId="13781" xr:uid="{00000000-0005-0000-0000-00004C870000}"/>
    <cellStyle name="표준 5 3 3 2 4 2 5 2 2" xfId="30375" xr:uid="{00000000-0005-0000-0000-00004D870000}"/>
    <cellStyle name="표준 5 3 3 2 4 2 5 2 3" xfId="38586" xr:uid="{00000000-0005-0000-0000-00004E870000}"/>
    <cellStyle name="표준 5 3 3 2 4 2 5 2 4" xfId="46779" xr:uid="{00000000-0005-0000-0000-00004F870000}"/>
    <cellStyle name="표준 5 3 3 2 4 2 5 3" xfId="18021" xr:uid="{00000000-0005-0000-0000-000050870000}"/>
    <cellStyle name="표준 5 3 3 2 4 2 5 4" xfId="22183" xr:uid="{00000000-0005-0000-0000-000051870000}"/>
    <cellStyle name="표준 5 3 3 2 4 2 5 5" xfId="26279" xr:uid="{00000000-0005-0000-0000-000052870000}"/>
    <cellStyle name="표준 5 3 3 2 4 2 5 6" xfId="34490" xr:uid="{00000000-0005-0000-0000-000053870000}"/>
    <cellStyle name="표준 5 3 3 2 4 2 5 7" xfId="42683" xr:uid="{00000000-0005-0000-0000-000054870000}"/>
    <cellStyle name="표준 5 3 3 2 4 2 6" xfId="7621" xr:uid="{00000000-0005-0000-0000-000055870000}"/>
    <cellStyle name="표준 5 3 3 2 4 2 6 2" xfId="28327" xr:uid="{00000000-0005-0000-0000-000056870000}"/>
    <cellStyle name="표준 5 3 3 2 4 2 6 3" xfId="36538" xr:uid="{00000000-0005-0000-0000-000057870000}"/>
    <cellStyle name="표준 5 3 3 2 4 2 6 4" xfId="44731" xr:uid="{00000000-0005-0000-0000-000058870000}"/>
    <cellStyle name="표준 5 3 3 2 4 2 7" xfId="11733" xr:uid="{00000000-0005-0000-0000-000059870000}"/>
    <cellStyle name="표준 5 3 3 2 4 2 8" xfId="15973" xr:uid="{00000000-0005-0000-0000-00005A870000}"/>
    <cellStyle name="표준 5 3 3 2 4 2 9" xfId="20135" xr:uid="{00000000-0005-0000-0000-00005B870000}"/>
    <cellStyle name="표준 5 3 3 2 4 3" xfId="1022" xr:uid="{00000000-0005-0000-0000-00005C870000}"/>
    <cellStyle name="표준 5 3 3 2 4 3 2" xfId="9925" xr:uid="{00000000-0005-0000-0000-00005D870000}"/>
    <cellStyle name="표준 5 3 3 2 4 3 2 2" xfId="14037" xr:uid="{00000000-0005-0000-0000-00005E870000}"/>
    <cellStyle name="표준 5 3 3 2 4 3 2 2 2" xfId="30631" xr:uid="{00000000-0005-0000-0000-00005F870000}"/>
    <cellStyle name="표준 5 3 3 2 4 3 2 2 3" xfId="38842" xr:uid="{00000000-0005-0000-0000-000060870000}"/>
    <cellStyle name="표준 5 3 3 2 4 3 2 2 4" xfId="47035" xr:uid="{00000000-0005-0000-0000-000061870000}"/>
    <cellStyle name="표준 5 3 3 2 4 3 2 3" xfId="18277" xr:uid="{00000000-0005-0000-0000-000062870000}"/>
    <cellStyle name="표준 5 3 3 2 4 3 2 4" xfId="22439" xr:uid="{00000000-0005-0000-0000-000063870000}"/>
    <cellStyle name="표준 5 3 3 2 4 3 2 5" xfId="26535" xr:uid="{00000000-0005-0000-0000-000064870000}"/>
    <cellStyle name="표준 5 3 3 2 4 3 2 6" xfId="34746" xr:uid="{00000000-0005-0000-0000-000065870000}"/>
    <cellStyle name="표준 5 3 3 2 4 3 2 7" xfId="42939" xr:uid="{00000000-0005-0000-0000-000066870000}"/>
    <cellStyle name="표준 5 3 3 2 4 3 3" xfId="7877" xr:uid="{00000000-0005-0000-0000-000067870000}"/>
    <cellStyle name="표준 5 3 3 2 4 3 3 2" xfId="28583" xr:uid="{00000000-0005-0000-0000-000068870000}"/>
    <cellStyle name="표준 5 3 3 2 4 3 3 3" xfId="36794" xr:uid="{00000000-0005-0000-0000-000069870000}"/>
    <cellStyle name="표준 5 3 3 2 4 3 3 4" xfId="44987" xr:uid="{00000000-0005-0000-0000-00006A870000}"/>
    <cellStyle name="표준 5 3 3 2 4 3 4" xfId="11989" xr:uid="{00000000-0005-0000-0000-00006B870000}"/>
    <cellStyle name="표준 5 3 3 2 4 3 5" xfId="16229" xr:uid="{00000000-0005-0000-0000-00006C870000}"/>
    <cellStyle name="표준 5 3 3 2 4 3 6" xfId="20391" xr:uid="{00000000-0005-0000-0000-00006D870000}"/>
    <cellStyle name="표준 5 3 3 2 4 3 7" xfId="24487" xr:uid="{00000000-0005-0000-0000-00006E870000}"/>
    <cellStyle name="표준 5 3 3 2 4 3 8" xfId="32698" xr:uid="{00000000-0005-0000-0000-00006F870000}"/>
    <cellStyle name="표준 5 3 3 2 4 3 9" xfId="40891" xr:uid="{00000000-0005-0000-0000-000070870000}"/>
    <cellStyle name="표준 5 3 3 2 4 4" xfId="1534" xr:uid="{00000000-0005-0000-0000-000071870000}"/>
    <cellStyle name="표준 5 3 3 2 4 4 2" xfId="10437" xr:uid="{00000000-0005-0000-0000-000072870000}"/>
    <cellStyle name="표준 5 3 3 2 4 4 2 2" xfId="14549" xr:uid="{00000000-0005-0000-0000-000073870000}"/>
    <cellStyle name="표준 5 3 3 2 4 4 2 2 2" xfId="31143" xr:uid="{00000000-0005-0000-0000-000074870000}"/>
    <cellStyle name="표준 5 3 3 2 4 4 2 2 3" xfId="39354" xr:uid="{00000000-0005-0000-0000-000075870000}"/>
    <cellStyle name="표준 5 3 3 2 4 4 2 2 4" xfId="47547" xr:uid="{00000000-0005-0000-0000-000076870000}"/>
    <cellStyle name="표준 5 3 3 2 4 4 2 3" xfId="18789" xr:uid="{00000000-0005-0000-0000-000077870000}"/>
    <cellStyle name="표준 5 3 3 2 4 4 2 4" xfId="22951" xr:uid="{00000000-0005-0000-0000-000078870000}"/>
    <cellStyle name="표준 5 3 3 2 4 4 2 5" xfId="27047" xr:uid="{00000000-0005-0000-0000-000079870000}"/>
    <cellStyle name="표준 5 3 3 2 4 4 2 6" xfId="35258" xr:uid="{00000000-0005-0000-0000-00007A870000}"/>
    <cellStyle name="표준 5 3 3 2 4 4 2 7" xfId="43451" xr:uid="{00000000-0005-0000-0000-00007B870000}"/>
    <cellStyle name="표준 5 3 3 2 4 4 3" xfId="8389" xr:uid="{00000000-0005-0000-0000-00007C870000}"/>
    <cellStyle name="표준 5 3 3 2 4 4 3 2" xfId="29095" xr:uid="{00000000-0005-0000-0000-00007D870000}"/>
    <cellStyle name="표준 5 3 3 2 4 4 3 3" xfId="37306" xr:uid="{00000000-0005-0000-0000-00007E870000}"/>
    <cellStyle name="표준 5 3 3 2 4 4 3 4" xfId="45499" xr:uid="{00000000-0005-0000-0000-00007F870000}"/>
    <cellStyle name="표준 5 3 3 2 4 4 4" xfId="12501" xr:uid="{00000000-0005-0000-0000-000080870000}"/>
    <cellStyle name="표준 5 3 3 2 4 4 5" xfId="16741" xr:uid="{00000000-0005-0000-0000-000081870000}"/>
    <cellStyle name="표준 5 3 3 2 4 4 6" xfId="20903" xr:uid="{00000000-0005-0000-0000-000082870000}"/>
    <cellStyle name="표준 5 3 3 2 4 4 7" xfId="24999" xr:uid="{00000000-0005-0000-0000-000083870000}"/>
    <cellStyle name="표준 5 3 3 2 4 4 8" xfId="33210" xr:uid="{00000000-0005-0000-0000-000084870000}"/>
    <cellStyle name="표준 5 3 3 2 4 4 9" xfId="41403" xr:uid="{00000000-0005-0000-0000-000085870000}"/>
    <cellStyle name="표준 5 3 3 2 4 5" xfId="2046" xr:uid="{00000000-0005-0000-0000-000086870000}"/>
    <cellStyle name="표준 5 3 3 2 4 5 2" xfId="10949" xr:uid="{00000000-0005-0000-0000-000087870000}"/>
    <cellStyle name="표준 5 3 3 2 4 5 2 2" xfId="15061" xr:uid="{00000000-0005-0000-0000-000088870000}"/>
    <cellStyle name="표준 5 3 3 2 4 5 2 2 2" xfId="31655" xr:uid="{00000000-0005-0000-0000-000089870000}"/>
    <cellStyle name="표준 5 3 3 2 4 5 2 2 3" xfId="39866" xr:uid="{00000000-0005-0000-0000-00008A870000}"/>
    <cellStyle name="표준 5 3 3 2 4 5 2 2 4" xfId="48059" xr:uid="{00000000-0005-0000-0000-00008B870000}"/>
    <cellStyle name="표준 5 3 3 2 4 5 2 3" xfId="19301" xr:uid="{00000000-0005-0000-0000-00008C870000}"/>
    <cellStyle name="표준 5 3 3 2 4 5 2 4" xfId="23463" xr:uid="{00000000-0005-0000-0000-00008D870000}"/>
    <cellStyle name="표준 5 3 3 2 4 5 2 5" xfId="27559" xr:uid="{00000000-0005-0000-0000-00008E870000}"/>
    <cellStyle name="표준 5 3 3 2 4 5 2 6" xfId="35770" xr:uid="{00000000-0005-0000-0000-00008F870000}"/>
    <cellStyle name="표준 5 3 3 2 4 5 2 7" xfId="43963" xr:uid="{00000000-0005-0000-0000-000090870000}"/>
    <cellStyle name="표준 5 3 3 2 4 5 3" xfId="8901" xr:uid="{00000000-0005-0000-0000-000091870000}"/>
    <cellStyle name="표준 5 3 3 2 4 5 3 2" xfId="29607" xr:uid="{00000000-0005-0000-0000-000092870000}"/>
    <cellStyle name="표준 5 3 3 2 4 5 3 3" xfId="37818" xr:uid="{00000000-0005-0000-0000-000093870000}"/>
    <cellStyle name="표준 5 3 3 2 4 5 3 4" xfId="46011" xr:uid="{00000000-0005-0000-0000-000094870000}"/>
    <cellStyle name="표준 5 3 3 2 4 5 4" xfId="13013" xr:uid="{00000000-0005-0000-0000-000095870000}"/>
    <cellStyle name="표준 5 3 3 2 4 5 5" xfId="17253" xr:uid="{00000000-0005-0000-0000-000096870000}"/>
    <cellStyle name="표준 5 3 3 2 4 5 6" xfId="21415" xr:uid="{00000000-0005-0000-0000-000097870000}"/>
    <cellStyle name="표준 5 3 3 2 4 5 7" xfId="25511" xr:uid="{00000000-0005-0000-0000-000098870000}"/>
    <cellStyle name="표준 5 3 3 2 4 5 8" xfId="33722" xr:uid="{00000000-0005-0000-0000-000099870000}"/>
    <cellStyle name="표준 5 3 3 2 4 5 9" xfId="41915" xr:uid="{00000000-0005-0000-0000-00009A870000}"/>
    <cellStyle name="표준 5 3 3 2 4 6" xfId="9413" xr:uid="{00000000-0005-0000-0000-00009B870000}"/>
    <cellStyle name="표준 5 3 3 2 4 6 2" xfId="13525" xr:uid="{00000000-0005-0000-0000-00009C870000}"/>
    <cellStyle name="표준 5 3 3 2 4 6 2 2" xfId="30119" xr:uid="{00000000-0005-0000-0000-00009D870000}"/>
    <cellStyle name="표준 5 3 3 2 4 6 2 3" xfId="38330" xr:uid="{00000000-0005-0000-0000-00009E870000}"/>
    <cellStyle name="표준 5 3 3 2 4 6 2 4" xfId="46523" xr:uid="{00000000-0005-0000-0000-00009F870000}"/>
    <cellStyle name="표준 5 3 3 2 4 6 3" xfId="17765" xr:uid="{00000000-0005-0000-0000-0000A0870000}"/>
    <cellStyle name="표준 5 3 3 2 4 6 4" xfId="21927" xr:uid="{00000000-0005-0000-0000-0000A1870000}"/>
    <cellStyle name="표준 5 3 3 2 4 6 5" xfId="26023" xr:uid="{00000000-0005-0000-0000-0000A2870000}"/>
    <cellStyle name="표준 5 3 3 2 4 6 6" xfId="34234" xr:uid="{00000000-0005-0000-0000-0000A3870000}"/>
    <cellStyle name="표준 5 3 3 2 4 6 7" xfId="42427" xr:uid="{00000000-0005-0000-0000-0000A4870000}"/>
    <cellStyle name="표준 5 3 3 2 4 7" xfId="7365" xr:uid="{00000000-0005-0000-0000-0000A5870000}"/>
    <cellStyle name="표준 5 3 3 2 4 7 2" xfId="28071" xr:uid="{00000000-0005-0000-0000-0000A6870000}"/>
    <cellStyle name="표준 5 3 3 2 4 7 3" xfId="36282" xr:uid="{00000000-0005-0000-0000-0000A7870000}"/>
    <cellStyle name="표준 5 3 3 2 4 7 4" xfId="44475" xr:uid="{00000000-0005-0000-0000-0000A8870000}"/>
    <cellStyle name="표준 5 3 3 2 4 8" xfId="11477" xr:uid="{00000000-0005-0000-0000-0000A9870000}"/>
    <cellStyle name="표준 5 3 3 2 4 9" xfId="15717" xr:uid="{00000000-0005-0000-0000-0000AA870000}"/>
    <cellStyle name="표준 5 3 3 2 5" xfId="638" xr:uid="{00000000-0005-0000-0000-0000AB870000}"/>
    <cellStyle name="표준 5 3 3 2 5 10" xfId="24103" xr:uid="{00000000-0005-0000-0000-0000AC870000}"/>
    <cellStyle name="표준 5 3 3 2 5 11" xfId="32314" xr:uid="{00000000-0005-0000-0000-0000AD870000}"/>
    <cellStyle name="표준 5 3 3 2 5 12" xfId="40507" xr:uid="{00000000-0005-0000-0000-0000AE870000}"/>
    <cellStyle name="표준 5 3 3 2 5 2" xfId="1150" xr:uid="{00000000-0005-0000-0000-0000AF870000}"/>
    <cellStyle name="표준 5 3 3 2 5 2 2" xfId="10053" xr:uid="{00000000-0005-0000-0000-0000B0870000}"/>
    <cellStyle name="표준 5 3 3 2 5 2 2 2" xfId="14165" xr:uid="{00000000-0005-0000-0000-0000B1870000}"/>
    <cellStyle name="표준 5 3 3 2 5 2 2 2 2" xfId="30759" xr:uid="{00000000-0005-0000-0000-0000B2870000}"/>
    <cellStyle name="표준 5 3 3 2 5 2 2 2 3" xfId="38970" xr:uid="{00000000-0005-0000-0000-0000B3870000}"/>
    <cellStyle name="표준 5 3 3 2 5 2 2 2 4" xfId="47163" xr:uid="{00000000-0005-0000-0000-0000B4870000}"/>
    <cellStyle name="표준 5 3 3 2 5 2 2 3" xfId="18405" xr:uid="{00000000-0005-0000-0000-0000B5870000}"/>
    <cellStyle name="표준 5 3 3 2 5 2 2 4" xfId="22567" xr:uid="{00000000-0005-0000-0000-0000B6870000}"/>
    <cellStyle name="표준 5 3 3 2 5 2 2 5" xfId="26663" xr:uid="{00000000-0005-0000-0000-0000B7870000}"/>
    <cellStyle name="표준 5 3 3 2 5 2 2 6" xfId="34874" xr:uid="{00000000-0005-0000-0000-0000B8870000}"/>
    <cellStyle name="표준 5 3 3 2 5 2 2 7" xfId="43067" xr:uid="{00000000-0005-0000-0000-0000B9870000}"/>
    <cellStyle name="표준 5 3 3 2 5 2 3" xfId="8005" xr:uid="{00000000-0005-0000-0000-0000BA870000}"/>
    <cellStyle name="표준 5 3 3 2 5 2 3 2" xfId="28711" xr:uid="{00000000-0005-0000-0000-0000BB870000}"/>
    <cellStyle name="표준 5 3 3 2 5 2 3 3" xfId="36922" xr:uid="{00000000-0005-0000-0000-0000BC870000}"/>
    <cellStyle name="표준 5 3 3 2 5 2 3 4" xfId="45115" xr:uid="{00000000-0005-0000-0000-0000BD870000}"/>
    <cellStyle name="표준 5 3 3 2 5 2 4" xfId="12117" xr:uid="{00000000-0005-0000-0000-0000BE870000}"/>
    <cellStyle name="표준 5 3 3 2 5 2 5" xfId="16357" xr:uid="{00000000-0005-0000-0000-0000BF870000}"/>
    <cellStyle name="표준 5 3 3 2 5 2 6" xfId="20519" xr:uid="{00000000-0005-0000-0000-0000C0870000}"/>
    <cellStyle name="표준 5 3 3 2 5 2 7" xfId="24615" xr:uid="{00000000-0005-0000-0000-0000C1870000}"/>
    <cellStyle name="표준 5 3 3 2 5 2 8" xfId="32826" xr:uid="{00000000-0005-0000-0000-0000C2870000}"/>
    <cellStyle name="표준 5 3 3 2 5 2 9" xfId="41019" xr:uid="{00000000-0005-0000-0000-0000C3870000}"/>
    <cellStyle name="표준 5 3 3 2 5 3" xfId="1662" xr:uid="{00000000-0005-0000-0000-0000C4870000}"/>
    <cellStyle name="표준 5 3 3 2 5 3 2" xfId="10565" xr:uid="{00000000-0005-0000-0000-0000C5870000}"/>
    <cellStyle name="표준 5 3 3 2 5 3 2 2" xfId="14677" xr:uid="{00000000-0005-0000-0000-0000C6870000}"/>
    <cellStyle name="표준 5 3 3 2 5 3 2 2 2" xfId="31271" xr:uid="{00000000-0005-0000-0000-0000C7870000}"/>
    <cellStyle name="표준 5 3 3 2 5 3 2 2 3" xfId="39482" xr:uid="{00000000-0005-0000-0000-0000C8870000}"/>
    <cellStyle name="표준 5 3 3 2 5 3 2 2 4" xfId="47675" xr:uid="{00000000-0005-0000-0000-0000C9870000}"/>
    <cellStyle name="표준 5 3 3 2 5 3 2 3" xfId="18917" xr:uid="{00000000-0005-0000-0000-0000CA870000}"/>
    <cellStyle name="표준 5 3 3 2 5 3 2 4" xfId="23079" xr:uid="{00000000-0005-0000-0000-0000CB870000}"/>
    <cellStyle name="표준 5 3 3 2 5 3 2 5" xfId="27175" xr:uid="{00000000-0005-0000-0000-0000CC870000}"/>
    <cellStyle name="표준 5 3 3 2 5 3 2 6" xfId="35386" xr:uid="{00000000-0005-0000-0000-0000CD870000}"/>
    <cellStyle name="표준 5 3 3 2 5 3 2 7" xfId="43579" xr:uid="{00000000-0005-0000-0000-0000CE870000}"/>
    <cellStyle name="표준 5 3 3 2 5 3 3" xfId="8517" xr:uid="{00000000-0005-0000-0000-0000CF870000}"/>
    <cellStyle name="표준 5 3 3 2 5 3 3 2" xfId="29223" xr:uid="{00000000-0005-0000-0000-0000D0870000}"/>
    <cellStyle name="표준 5 3 3 2 5 3 3 3" xfId="37434" xr:uid="{00000000-0005-0000-0000-0000D1870000}"/>
    <cellStyle name="표준 5 3 3 2 5 3 3 4" xfId="45627" xr:uid="{00000000-0005-0000-0000-0000D2870000}"/>
    <cellStyle name="표준 5 3 3 2 5 3 4" xfId="12629" xr:uid="{00000000-0005-0000-0000-0000D3870000}"/>
    <cellStyle name="표준 5 3 3 2 5 3 5" xfId="16869" xr:uid="{00000000-0005-0000-0000-0000D4870000}"/>
    <cellStyle name="표준 5 3 3 2 5 3 6" xfId="21031" xr:uid="{00000000-0005-0000-0000-0000D5870000}"/>
    <cellStyle name="표준 5 3 3 2 5 3 7" xfId="25127" xr:uid="{00000000-0005-0000-0000-0000D6870000}"/>
    <cellStyle name="표준 5 3 3 2 5 3 8" xfId="33338" xr:uid="{00000000-0005-0000-0000-0000D7870000}"/>
    <cellStyle name="표준 5 3 3 2 5 3 9" xfId="41531" xr:uid="{00000000-0005-0000-0000-0000D8870000}"/>
    <cellStyle name="표준 5 3 3 2 5 4" xfId="2174" xr:uid="{00000000-0005-0000-0000-0000D9870000}"/>
    <cellStyle name="표준 5 3 3 2 5 4 2" xfId="11077" xr:uid="{00000000-0005-0000-0000-0000DA870000}"/>
    <cellStyle name="표준 5 3 3 2 5 4 2 2" xfId="15189" xr:uid="{00000000-0005-0000-0000-0000DB870000}"/>
    <cellStyle name="표준 5 3 3 2 5 4 2 2 2" xfId="31783" xr:uid="{00000000-0005-0000-0000-0000DC870000}"/>
    <cellStyle name="표준 5 3 3 2 5 4 2 2 3" xfId="39994" xr:uid="{00000000-0005-0000-0000-0000DD870000}"/>
    <cellStyle name="표준 5 3 3 2 5 4 2 2 4" xfId="48187" xr:uid="{00000000-0005-0000-0000-0000DE870000}"/>
    <cellStyle name="표준 5 3 3 2 5 4 2 3" xfId="19429" xr:uid="{00000000-0005-0000-0000-0000DF870000}"/>
    <cellStyle name="표준 5 3 3 2 5 4 2 4" xfId="23591" xr:uid="{00000000-0005-0000-0000-0000E0870000}"/>
    <cellStyle name="표준 5 3 3 2 5 4 2 5" xfId="27687" xr:uid="{00000000-0005-0000-0000-0000E1870000}"/>
    <cellStyle name="표준 5 3 3 2 5 4 2 6" xfId="35898" xr:uid="{00000000-0005-0000-0000-0000E2870000}"/>
    <cellStyle name="표준 5 3 3 2 5 4 2 7" xfId="44091" xr:uid="{00000000-0005-0000-0000-0000E3870000}"/>
    <cellStyle name="표준 5 3 3 2 5 4 3" xfId="9029" xr:uid="{00000000-0005-0000-0000-0000E4870000}"/>
    <cellStyle name="표준 5 3 3 2 5 4 3 2" xfId="29735" xr:uid="{00000000-0005-0000-0000-0000E5870000}"/>
    <cellStyle name="표준 5 3 3 2 5 4 3 3" xfId="37946" xr:uid="{00000000-0005-0000-0000-0000E6870000}"/>
    <cellStyle name="표준 5 3 3 2 5 4 3 4" xfId="46139" xr:uid="{00000000-0005-0000-0000-0000E7870000}"/>
    <cellStyle name="표준 5 3 3 2 5 4 4" xfId="13141" xr:uid="{00000000-0005-0000-0000-0000E8870000}"/>
    <cellStyle name="표준 5 3 3 2 5 4 5" xfId="17381" xr:uid="{00000000-0005-0000-0000-0000E9870000}"/>
    <cellStyle name="표준 5 3 3 2 5 4 6" xfId="21543" xr:uid="{00000000-0005-0000-0000-0000EA870000}"/>
    <cellStyle name="표준 5 3 3 2 5 4 7" xfId="25639" xr:uid="{00000000-0005-0000-0000-0000EB870000}"/>
    <cellStyle name="표준 5 3 3 2 5 4 8" xfId="33850" xr:uid="{00000000-0005-0000-0000-0000EC870000}"/>
    <cellStyle name="표준 5 3 3 2 5 4 9" xfId="42043" xr:uid="{00000000-0005-0000-0000-0000ED870000}"/>
    <cellStyle name="표준 5 3 3 2 5 5" xfId="9541" xr:uid="{00000000-0005-0000-0000-0000EE870000}"/>
    <cellStyle name="표준 5 3 3 2 5 5 2" xfId="13653" xr:uid="{00000000-0005-0000-0000-0000EF870000}"/>
    <cellStyle name="표준 5 3 3 2 5 5 2 2" xfId="30247" xr:uid="{00000000-0005-0000-0000-0000F0870000}"/>
    <cellStyle name="표준 5 3 3 2 5 5 2 3" xfId="38458" xr:uid="{00000000-0005-0000-0000-0000F1870000}"/>
    <cellStyle name="표준 5 3 3 2 5 5 2 4" xfId="46651" xr:uid="{00000000-0005-0000-0000-0000F2870000}"/>
    <cellStyle name="표준 5 3 3 2 5 5 3" xfId="17893" xr:uid="{00000000-0005-0000-0000-0000F3870000}"/>
    <cellStyle name="표준 5 3 3 2 5 5 4" xfId="22055" xr:uid="{00000000-0005-0000-0000-0000F4870000}"/>
    <cellStyle name="표준 5 3 3 2 5 5 5" xfId="26151" xr:uid="{00000000-0005-0000-0000-0000F5870000}"/>
    <cellStyle name="표준 5 3 3 2 5 5 6" xfId="34362" xr:uid="{00000000-0005-0000-0000-0000F6870000}"/>
    <cellStyle name="표준 5 3 3 2 5 5 7" xfId="42555" xr:uid="{00000000-0005-0000-0000-0000F7870000}"/>
    <cellStyle name="표준 5 3 3 2 5 6" xfId="7493" xr:uid="{00000000-0005-0000-0000-0000F8870000}"/>
    <cellStyle name="표준 5 3 3 2 5 6 2" xfId="28199" xr:uid="{00000000-0005-0000-0000-0000F9870000}"/>
    <cellStyle name="표준 5 3 3 2 5 6 3" xfId="36410" xr:uid="{00000000-0005-0000-0000-0000FA870000}"/>
    <cellStyle name="표준 5 3 3 2 5 6 4" xfId="44603" xr:uid="{00000000-0005-0000-0000-0000FB870000}"/>
    <cellStyle name="표준 5 3 3 2 5 7" xfId="11605" xr:uid="{00000000-0005-0000-0000-0000FC870000}"/>
    <cellStyle name="표준 5 3 3 2 5 8" xfId="15845" xr:uid="{00000000-0005-0000-0000-0000FD870000}"/>
    <cellStyle name="표준 5 3 3 2 5 9" xfId="20007" xr:uid="{00000000-0005-0000-0000-0000FE870000}"/>
    <cellStyle name="표준 5 3 3 2 6" xfId="894" xr:uid="{00000000-0005-0000-0000-0000FF870000}"/>
    <cellStyle name="표준 5 3 3 2 6 2" xfId="9797" xr:uid="{00000000-0005-0000-0000-000000880000}"/>
    <cellStyle name="표준 5 3 3 2 6 2 2" xfId="13909" xr:uid="{00000000-0005-0000-0000-000001880000}"/>
    <cellStyle name="표준 5 3 3 2 6 2 2 2" xfId="30503" xr:uid="{00000000-0005-0000-0000-000002880000}"/>
    <cellStyle name="표준 5 3 3 2 6 2 2 3" xfId="38714" xr:uid="{00000000-0005-0000-0000-000003880000}"/>
    <cellStyle name="표준 5 3 3 2 6 2 2 4" xfId="46907" xr:uid="{00000000-0005-0000-0000-000004880000}"/>
    <cellStyle name="표준 5 3 3 2 6 2 3" xfId="18149" xr:uid="{00000000-0005-0000-0000-000005880000}"/>
    <cellStyle name="표준 5 3 3 2 6 2 4" xfId="22311" xr:uid="{00000000-0005-0000-0000-000006880000}"/>
    <cellStyle name="표준 5 3 3 2 6 2 5" xfId="26407" xr:uid="{00000000-0005-0000-0000-000007880000}"/>
    <cellStyle name="표준 5 3 3 2 6 2 6" xfId="34618" xr:uid="{00000000-0005-0000-0000-000008880000}"/>
    <cellStyle name="표준 5 3 3 2 6 2 7" xfId="42811" xr:uid="{00000000-0005-0000-0000-000009880000}"/>
    <cellStyle name="표준 5 3 3 2 6 3" xfId="7749" xr:uid="{00000000-0005-0000-0000-00000A880000}"/>
    <cellStyle name="표준 5 3 3 2 6 3 2" xfId="28455" xr:uid="{00000000-0005-0000-0000-00000B880000}"/>
    <cellStyle name="표준 5 3 3 2 6 3 3" xfId="36666" xr:uid="{00000000-0005-0000-0000-00000C880000}"/>
    <cellStyle name="표준 5 3 3 2 6 3 4" xfId="44859" xr:uid="{00000000-0005-0000-0000-00000D880000}"/>
    <cellStyle name="표준 5 3 3 2 6 4" xfId="11861" xr:uid="{00000000-0005-0000-0000-00000E880000}"/>
    <cellStyle name="표준 5 3 3 2 6 5" xfId="16101" xr:uid="{00000000-0005-0000-0000-00000F880000}"/>
    <cellStyle name="표준 5 3 3 2 6 6" xfId="20263" xr:uid="{00000000-0005-0000-0000-000010880000}"/>
    <cellStyle name="표준 5 3 3 2 6 7" xfId="24359" xr:uid="{00000000-0005-0000-0000-000011880000}"/>
    <cellStyle name="표준 5 3 3 2 6 8" xfId="32570" xr:uid="{00000000-0005-0000-0000-000012880000}"/>
    <cellStyle name="표준 5 3 3 2 6 9" xfId="40763" xr:uid="{00000000-0005-0000-0000-000013880000}"/>
    <cellStyle name="표준 5 3 3 2 7" xfId="1406" xr:uid="{00000000-0005-0000-0000-000014880000}"/>
    <cellStyle name="표준 5 3 3 2 7 2" xfId="10309" xr:uid="{00000000-0005-0000-0000-000015880000}"/>
    <cellStyle name="표준 5 3 3 2 7 2 2" xfId="14421" xr:uid="{00000000-0005-0000-0000-000016880000}"/>
    <cellStyle name="표준 5 3 3 2 7 2 2 2" xfId="31015" xr:uid="{00000000-0005-0000-0000-000017880000}"/>
    <cellStyle name="표준 5 3 3 2 7 2 2 3" xfId="39226" xr:uid="{00000000-0005-0000-0000-000018880000}"/>
    <cellStyle name="표준 5 3 3 2 7 2 2 4" xfId="47419" xr:uid="{00000000-0005-0000-0000-000019880000}"/>
    <cellStyle name="표준 5 3 3 2 7 2 3" xfId="18661" xr:uid="{00000000-0005-0000-0000-00001A880000}"/>
    <cellStyle name="표준 5 3 3 2 7 2 4" xfId="22823" xr:uid="{00000000-0005-0000-0000-00001B880000}"/>
    <cellStyle name="표준 5 3 3 2 7 2 5" xfId="26919" xr:uid="{00000000-0005-0000-0000-00001C880000}"/>
    <cellStyle name="표준 5 3 3 2 7 2 6" xfId="35130" xr:uid="{00000000-0005-0000-0000-00001D880000}"/>
    <cellStyle name="표준 5 3 3 2 7 2 7" xfId="43323" xr:uid="{00000000-0005-0000-0000-00001E880000}"/>
    <cellStyle name="표준 5 3 3 2 7 3" xfId="8261" xr:uid="{00000000-0005-0000-0000-00001F880000}"/>
    <cellStyle name="표준 5 3 3 2 7 3 2" xfId="28967" xr:uid="{00000000-0005-0000-0000-000020880000}"/>
    <cellStyle name="표준 5 3 3 2 7 3 3" xfId="37178" xr:uid="{00000000-0005-0000-0000-000021880000}"/>
    <cellStyle name="표준 5 3 3 2 7 3 4" xfId="45371" xr:uid="{00000000-0005-0000-0000-000022880000}"/>
    <cellStyle name="표준 5 3 3 2 7 4" xfId="12373" xr:uid="{00000000-0005-0000-0000-000023880000}"/>
    <cellStyle name="표준 5 3 3 2 7 5" xfId="16613" xr:uid="{00000000-0005-0000-0000-000024880000}"/>
    <cellStyle name="표준 5 3 3 2 7 6" xfId="20775" xr:uid="{00000000-0005-0000-0000-000025880000}"/>
    <cellStyle name="표준 5 3 3 2 7 7" xfId="24871" xr:uid="{00000000-0005-0000-0000-000026880000}"/>
    <cellStyle name="표준 5 3 3 2 7 8" xfId="33082" xr:uid="{00000000-0005-0000-0000-000027880000}"/>
    <cellStyle name="표준 5 3 3 2 7 9" xfId="41275" xr:uid="{00000000-0005-0000-0000-000028880000}"/>
    <cellStyle name="표준 5 3 3 2 8" xfId="1918" xr:uid="{00000000-0005-0000-0000-000029880000}"/>
    <cellStyle name="표준 5 3 3 2 8 2" xfId="10821" xr:uid="{00000000-0005-0000-0000-00002A880000}"/>
    <cellStyle name="표준 5 3 3 2 8 2 2" xfId="14933" xr:uid="{00000000-0005-0000-0000-00002B880000}"/>
    <cellStyle name="표준 5 3 3 2 8 2 2 2" xfId="31527" xr:uid="{00000000-0005-0000-0000-00002C880000}"/>
    <cellStyle name="표준 5 3 3 2 8 2 2 3" xfId="39738" xr:uid="{00000000-0005-0000-0000-00002D880000}"/>
    <cellStyle name="표준 5 3 3 2 8 2 2 4" xfId="47931" xr:uid="{00000000-0005-0000-0000-00002E880000}"/>
    <cellStyle name="표준 5 3 3 2 8 2 3" xfId="19173" xr:uid="{00000000-0005-0000-0000-00002F880000}"/>
    <cellStyle name="표준 5 3 3 2 8 2 4" xfId="23335" xr:uid="{00000000-0005-0000-0000-000030880000}"/>
    <cellStyle name="표준 5 3 3 2 8 2 5" xfId="27431" xr:uid="{00000000-0005-0000-0000-000031880000}"/>
    <cellStyle name="표준 5 3 3 2 8 2 6" xfId="35642" xr:uid="{00000000-0005-0000-0000-000032880000}"/>
    <cellStyle name="표준 5 3 3 2 8 2 7" xfId="43835" xr:uid="{00000000-0005-0000-0000-000033880000}"/>
    <cellStyle name="표준 5 3 3 2 8 3" xfId="8773" xr:uid="{00000000-0005-0000-0000-000034880000}"/>
    <cellStyle name="표준 5 3 3 2 8 3 2" xfId="29479" xr:uid="{00000000-0005-0000-0000-000035880000}"/>
    <cellStyle name="표준 5 3 3 2 8 3 3" xfId="37690" xr:uid="{00000000-0005-0000-0000-000036880000}"/>
    <cellStyle name="표준 5 3 3 2 8 3 4" xfId="45883" xr:uid="{00000000-0005-0000-0000-000037880000}"/>
    <cellStyle name="표준 5 3 3 2 8 4" xfId="12885" xr:uid="{00000000-0005-0000-0000-000038880000}"/>
    <cellStyle name="표준 5 3 3 2 8 5" xfId="17125" xr:uid="{00000000-0005-0000-0000-000039880000}"/>
    <cellStyle name="표준 5 3 3 2 8 6" xfId="21287" xr:uid="{00000000-0005-0000-0000-00003A880000}"/>
    <cellStyle name="표준 5 3 3 2 8 7" xfId="25383" xr:uid="{00000000-0005-0000-0000-00003B880000}"/>
    <cellStyle name="표준 5 3 3 2 8 8" xfId="33594" xr:uid="{00000000-0005-0000-0000-00003C880000}"/>
    <cellStyle name="표준 5 3 3 2 8 9" xfId="41787" xr:uid="{00000000-0005-0000-0000-00003D880000}"/>
    <cellStyle name="표준 5 3 3 2 9" xfId="6974" xr:uid="{00000000-0005-0000-0000-00003E880000}"/>
    <cellStyle name="표준 5 3 3 2 9 2" xfId="9285" xr:uid="{00000000-0005-0000-0000-00003F880000}"/>
    <cellStyle name="표준 5 3 3 2 9 2 2" xfId="29991" xr:uid="{00000000-0005-0000-0000-000040880000}"/>
    <cellStyle name="표준 5 3 3 2 9 2 3" xfId="38202" xr:uid="{00000000-0005-0000-0000-000041880000}"/>
    <cellStyle name="표준 5 3 3 2 9 2 4" xfId="46395" xr:uid="{00000000-0005-0000-0000-000042880000}"/>
    <cellStyle name="표준 5 3 3 2 9 3" xfId="13397" xr:uid="{00000000-0005-0000-0000-000043880000}"/>
    <cellStyle name="표준 5 3 3 2 9 4" xfId="17637" xr:uid="{00000000-0005-0000-0000-000044880000}"/>
    <cellStyle name="표준 5 3 3 2 9 5" xfId="21799" xr:uid="{00000000-0005-0000-0000-000045880000}"/>
    <cellStyle name="표준 5 3 3 2 9 6" xfId="25895" xr:uid="{00000000-0005-0000-0000-000046880000}"/>
    <cellStyle name="표준 5 3 3 2 9 7" xfId="34106" xr:uid="{00000000-0005-0000-0000-000047880000}"/>
    <cellStyle name="표준 5 3 3 2 9 8" xfId="42299" xr:uid="{00000000-0005-0000-0000-000048880000}"/>
    <cellStyle name="표준 5 3 3 20" xfId="15445" xr:uid="{00000000-0005-0000-0000-000049880000}"/>
    <cellStyle name="표준 5 3 3 21" xfId="15461" xr:uid="{00000000-0005-0000-0000-00004A880000}"/>
    <cellStyle name="표준 5 3 3 22" xfId="15557" xr:uid="{00000000-0005-0000-0000-00004B880000}"/>
    <cellStyle name="표준 5 3 3 23" xfId="15573" xr:uid="{00000000-0005-0000-0000-00004C880000}"/>
    <cellStyle name="표준 5 3 3 24" xfId="19669" xr:uid="{00000000-0005-0000-0000-00004D880000}"/>
    <cellStyle name="표준 5 3 3 25" xfId="19685" xr:uid="{00000000-0005-0000-0000-00004E880000}"/>
    <cellStyle name="표준 5 3 3 26" xfId="19701" xr:uid="{00000000-0005-0000-0000-00004F880000}"/>
    <cellStyle name="표준 5 3 3 27" xfId="19717" xr:uid="{00000000-0005-0000-0000-000050880000}"/>
    <cellStyle name="표준 5 3 3 28" xfId="19730" xr:uid="{00000000-0005-0000-0000-000051880000}"/>
    <cellStyle name="표준 5 3 3 29" xfId="23831" xr:uid="{00000000-0005-0000-0000-000052880000}"/>
    <cellStyle name="표준 5 3 3 3" xfId="301" xr:uid="{00000000-0005-0000-0000-000053880000}"/>
    <cellStyle name="표준 5 3 3 3 10" xfId="7168" xr:uid="{00000000-0005-0000-0000-000054880000}"/>
    <cellStyle name="표준 5 3 3 3 11" xfId="7253" xr:uid="{00000000-0005-0000-0000-000055880000}"/>
    <cellStyle name="표준 5 3 3 3 12" xfId="11365" xr:uid="{00000000-0005-0000-0000-000056880000}"/>
    <cellStyle name="표준 5 3 3 3 13" xfId="15493" xr:uid="{00000000-0005-0000-0000-000057880000}"/>
    <cellStyle name="표준 5 3 3 3 14" xfId="15605" xr:uid="{00000000-0005-0000-0000-000058880000}"/>
    <cellStyle name="표준 5 3 3 3 15" xfId="19767" xr:uid="{00000000-0005-0000-0000-000059880000}"/>
    <cellStyle name="표준 5 3 3 3 16" xfId="23863" xr:uid="{00000000-0005-0000-0000-00005A880000}"/>
    <cellStyle name="표준 5 3 3 3 17" xfId="32074" xr:uid="{00000000-0005-0000-0000-00005B880000}"/>
    <cellStyle name="표준 5 3 3 3 18" xfId="40267" xr:uid="{00000000-0005-0000-0000-00005C880000}"/>
    <cellStyle name="표준 5 3 3 3 19" xfId="49697" xr:uid="{00000000-0005-0000-0000-00005D880000}"/>
    <cellStyle name="표준 5 3 3 3 2" xfId="462" xr:uid="{00000000-0005-0000-0000-00005E880000}"/>
    <cellStyle name="표준 5 3 3 3 2 10" xfId="11429" xr:uid="{00000000-0005-0000-0000-00005F880000}"/>
    <cellStyle name="표준 5 3 3 3 2 11" xfId="15541" xr:uid="{00000000-0005-0000-0000-000060880000}"/>
    <cellStyle name="표준 5 3 3 3 2 12" xfId="15669" xr:uid="{00000000-0005-0000-0000-000061880000}"/>
    <cellStyle name="표준 5 3 3 3 2 13" xfId="19831" xr:uid="{00000000-0005-0000-0000-000062880000}"/>
    <cellStyle name="표준 5 3 3 3 2 14" xfId="23927" xr:uid="{00000000-0005-0000-0000-000063880000}"/>
    <cellStyle name="표준 5 3 3 3 2 15" xfId="32138" xr:uid="{00000000-0005-0000-0000-000064880000}"/>
    <cellStyle name="표준 5 3 3 3 2 16" xfId="40331" xr:uid="{00000000-0005-0000-0000-000065880000}"/>
    <cellStyle name="표준 5 3 3 3 2 2" xfId="590" xr:uid="{00000000-0005-0000-0000-000066880000}"/>
    <cellStyle name="표준 5 3 3 3 2 2 10" xfId="19959" xr:uid="{00000000-0005-0000-0000-000067880000}"/>
    <cellStyle name="표준 5 3 3 3 2 2 11" xfId="24055" xr:uid="{00000000-0005-0000-0000-000068880000}"/>
    <cellStyle name="표준 5 3 3 3 2 2 12" xfId="32266" xr:uid="{00000000-0005-0000-0000-000069880000}"/>
    <cellStyle name="표준 5 3 3 3 2 2 13" xfId="40459" xr:uid="{00000000-0005-0000-0000-00006A880000}"/>
    <cellStyle name="표준 5 3 3 3 2 2 2" xfId="846" xr:uid="{00000000-0005-0000-0000-00006B880000}"/>
    <cellStyle name="표준 5 3 3 3 2 2 2 10" xfId="24311" xr:uid="{00000000-0005-0000-0000-00006C880000}"/>
    <cellStyle name="표준 5 3 3 3 2 2 2 11" xfId="32522" xr:uid="{00000000-0005-0000-0000-00006D880000}"/>
    <cellStyle name="표준 5 3 3 3 2 2 2 12" xfId="40715" xr:uid="{00000000-0005-0000-0000-00006E880000}"/>
    <cellStyle name="표준 5 3 3 3 2 2 2 2" xfId="1358" xr:uid="{00000000-0005-0000-0000-00006F880000}"/>
    <cellStyle name="표준 5 3 3 3 2 2 2 2 2" xfId="10261" xr:uid="{00000000-0005-0000-0000-000070880000}"/>
    <cellStyle name="표준 5 3 3 3 2 2 2 2 2 2" xfId="14373" xr:uid="{00000000-0005-0000-0000-000071880000}"/>
    <cellStyle name="표준 5 3 3 3 2 2 2 2 2 2 2" xfId="30967" xr:uid="{00000000-0005-0000-0000-000072880000}"/>
    <cellStyle name="표준 5 3 3 3 2 2 2 2 2 2 3" xfId="39178" xr:uid="{00000000-0005-0000-0000-000073880000}"/>
    <cellStyle name="표준 5 3 3 3 2 2 2 2 2 2 4" xfId="47371" xr:uid="{00000000-0005-0000-0000-000074880000}"/>
    <cellStyle name="표준 5 3 3 3 2 2 2 2 2 3" xfId="18613" xr:uid="{00000000-0005-0000-0000-000075880000}"/>
    <cellStyle name="표준 5 3 3 3 2 2 2 2 2 4" xfId="22775" xr:uid="{00000000-0005-0000-0000-000076880000}"/>
    <cellStyle name="표준 5 3 3 3 2 2 2 2 2 5" xfId="26871" xr:uid="{00000000-0005-0000-0000-000077880000}"/>
    <cellStyle name="표준 5 3 3 3 2 2 2 2 2 6" xfId="35082" xr:uid="{00000000-0005-0000-0000-000078880000}"/>
    <cellStyle name="표준 5 3 3 3 2 2 2 2 2 7" xfId="43275" xr:uid="{00000000-0005-0000-0000-000079880000}"/>
    <cellStyle name="표준 5 3 3 3 2 2 2 2 3" xfId="8213" xr:uid="{00000000-0005-0000-0000-00007A880000}"/>
    <cellStyle name="표준 5 3 3 3 2 2 2 2 3 2" xfId="28919" xr:uid="{00000000-0005-0000-0000-00007B880000}"/>
    <cellStyle name="표준 5 3 3 3 2 2 2 2 3 3" xfId="37130" xr:uid="{00000000-0005-0000-0000-00007C880000}"/>
    <cellStyle name="표준 5 3 3 3 2 2 2 2 3 4" xfId="45323" xr:uid="{00000000-0005-0000-0000-00007D880000}"/>
    <cellStyle name="표준 5 3 3 3 2 2 2 2 4" xfId="12325" xr:uid="{00000000-0005-0000-0000-00007E880000}"/>
    <cellStyle name="표준 5 3 3 3 2 2 2 2 5" xfId="16565" xr:uid="{00000000-0005-0000-0000-00007F880000}"/>
    <cellStyle name="표준 5 3 3 3 2 2 2 2 6" xfId="20727" xr:uid="{00000000-0005-0000-0000-000080880000}"/>
    <cellStyle name="표준 5 3 3 3 2 2 2 2 7" xfId="24823" xr:uid="{00000000-0005-0000-0000-000081880000}"/>
    <cellStyle name="표준 5 3 3 3 2 2 2 2 8" xfId="33034" xr:uid="{00000000-0005-0000-0000-000082880000}"/>
    <cellStyle name="표준 5 3 3 3 2 2 2 2 9" xfId="41227" xr:uid="{00000000-0005-0000-0000-000083880000}"/>
    <cellStyle name="표준 5 3 3 3 2 2 2 3" xfId="1870" xr:uid="{00000000-0005-0000-0000-000084880000}"/>
    <cellStyle name="표준 5 3 3 3 2 2 2 3 2" xfId="10773" xr:uid="{00000000-0005-0000-0000-000085880000}"/>
    <cellStyle name="표준 5 3 3 3 2 2 2 3 2 2" xfId="14885" xr:uid="{00000000-0005-0000-0000-000086880000}"/>
    <cellStyle name="표준 5 3 3 3 2 2 2 3 2 2 2" xfId="31479" xr:uid="{00000000-0005-0000-0000-000087880000}"/>
    <cellStyle name="표준 5 3 3 3 2 2 2 3 2 2 3" xfId="39690" xr:uid="{00000000-0005-0000-0000-000088880000}"/>
    <cellStyle name="표준 5 3 3 3 2 2 2 3 2 2 4" xfId="47883" xr:uid="{00000000-0005-0000-0000-000089880000}"/>
    <cellStyle name="표준 5 3 3 3 2 2 2 3 2 3" xfId="19125" xr:uid="{00000000-0005-0000-0000-00008A880000}"/>
    <cellStyle name="표준 5 3 3 3 2 2 2 3 2 4" xfId="23287" xr:uid="{00000000-0005-0000-0000-00008B880000}"/>
    <cellStyle name="표준 5 3 3 3 2 2 2 3 2 5" xfId="27383" xr:uid="{00000000-0005-0000-0000-00008C880000}"/>
    <cellStyle name="표준 5 3 3 3 2 2 2 3 2 6" xfId="35594" xr:uid="{00000000-0005-0000-0000-00008D880000}"/>
    <cellStyle name="표준 5 3 3 3 2 2 2 3 2 7" xfId="43787" xr:uid="{00000000-0005-0000-0000-00008E880000}"/>
    <cellStyle name="표준 5 3 3 3 2 2 2 3 3" xfId="8725" xr:uid="{00000000-0005-0000-0000-00008F880000}"/>
    <cellStyle name="표준 5 3 3 3 2 2 2 3 3 2" xfId="29431" xr:uid="{00000000-0005-0000-0000-000090880000}"/>
    <cellStyle name="표준 5 3 3 3 2 2 2 3 3 3" xfId="37642" xr:uid="{00000000-0005-0000-0000-000091880000}"/>
    <cellStyle name="표준 5 3 3 3 2 2 2 3 3 4" xfId="45835" xr:uid="{00000000-0005-0000-0000-000092880000}"/>
    <cellStyle name="표준 5 3 3 3 2 2 2 3 4" xfId="12837" xr:uid="{00000000-0005-0000-0000-000093880000}"/>
    <cellStyle name="표준 5 3 3 3 2 2 2 3 5" xfId="17077" xr:uid="{00000000-0005-0000-0000-000094880000}"/>
    <cellStyle name="표준 5 3 3 3 2 2 2 3 6" xfId="21239" xr:uid="{00000000-0005-0000-0000-000095880000}"/>
    <cellStyle name="표준 5 3 3 3 2 2 2 3 7" xfId="25335" xr:uid="{00000000-0005-0000-0000-000096880000}"/>
    <cellStyle name="표준 5 3 3 3 2 2 2 3 8" xfId="33546" xr:uid="{00000000-0005-0000-0000-000097880000}"/>
    <cellStyle name="표준 5 3 3 3 2 2 2 3 9" xfId="41739" xr:uid="{00000000-0005-0000-0000-000098880000}"/>
    <cellStyle name="표준 5 3 3 3 2 2 2 4" xfId="2382" xr:uid="{00000000-0005-0000-0000-000099880000}"/>
    <cellStyle name="표준 5 3 3 3 2 2 2 4 2" xfId="11285" xr:uid="{00000000-0005-0000-0000-00009A880000}"/>
    <cellStyle name="표준 5 3 3 3 2 2 2 4 2 2" xfId="15397" xr:uid="{00000000-0005-0000-0000-00009B880000}"/>
    <cellStyle name="표준 5 3 3 3 2 2 2 4 2 2 2" xfId="31991" xr:uid="{00000000-0005-0000-0000-00009C880000}"/>
    <cellStyle name="표준 5 3 3 3 2 2 2 4 2 2 3" xfId="40202" xr:uid="{00000000-0005-0000-0000-00009D880000}"/>
    <cellStyle name="표준 5 3 3 3 2 2 2 4 2 2 4" xfId="48395" xr:uid="{00000000-0005-0000-0000-00009E880000}"/>
    <cellStyle name="표준 5 3 3 3 2 2 2 4 2 3" xfId="19637" xr:uid="{00000000-0005-0000-0000-00009F880000}"/>
    <cellStyle name="표준 5 3 3 3 2 2 2 4 2 4" xfId="23799" xr:uid="{00000000-0005-0000-0000-0000A0880000}"/>
    <cellStyle name="표준 5 3 3 3 2 2 2 4 2 5" xfId="27895" xr:uid="{00000000-0005-0000-0000-0000A1880000}"/>
    <cellStyle name="표준 5 3 3 3 2 2 2 4 2 6" xfId="36106" xr:uid="{00000000-0005-0000-0000-0000A2880000}"/>
    <cellStyle name="표준 5 3 3 3 2 2 2 4 2 7" xfId="44299" xr:uid="{00000000-0005-0000-0000-0000A3880000}"/>
    <cellStyle name="표준 5 3 3 3 2 2 2 4 3" xfId="9237" xr:uid="{00000000-0005-0000-0000-0000A4880000}"/>
    <cellStyle name="표준 5 3 3 3 2 2 2 4 3 2" xfId="29943" xr:uid="{00000000-0005-0000-0000-0000A5880000}"/>
    <cellStyle name="표준 5 3 3 3 2 2 2 4 3 3" xfId="38154" xr:uid="{00000000-0005-0000-0000-0000A6880000}"/>
    <cellStyle name="표준 5 3 3 3 2 2 2 4 3 4" xfId="46347" xr:uid="{00000000-0005-0000-0000-0000A7880000}"/>
    <cellStyle name="표준 5 3 3 3 2 2 2 4 4" xfId="13349" xr:uid="{00000000-0005-0000-0000-0000A8880000}"/>
    <cellStyle name="표준 5 3 3 3 2 2 2 4 5" xfId="17589" xr:uid="{00000000-0005-0000-0000-0000A9880000}"/>
    <cellStyle name="표준 5 3 3 3 2 2 2 4 6" xfId="21751" xr:uid="{00000000-0005-0000-0000-0000AA880000}"/>
    <cellStyle name="표준 5 3 3 3 2 2 2 4 7" xfId="25847" xr:uid="{00000000-0005-0000-0000-0000AB880000}"/>
    <cellStyle name="표준 5 3 3 3 2 2 2 4 8" xfId="34058" xr:uid="{00000000-0005-0000-0000-0000AC880000}"/>
    <cellStyle name="표준 5 3 3 3 2 2 2 4 9" xfId="42251" xr:uid="{00000000-0005-0000-0000-0000AD880000}"/>
    <cellStyle name="표준 5 3 3 3 2 2 2 5" xfId="9749" xr:uid="{00000000-0005-0000-0000-0000AE880000}"/>
    <cellStyle name="표준 5 3 3 3 2 2 2 5 2" xfId="13861" xr:uid="{00000000-0005-0000-0000-0000AF880000}"/>
    <cellStyle name="표준 5 3 3 3 2 2 2 5 2 2" xfId="30455" xr:uid="{00000000-0005-0000-0000-0000B0880000}"/>
    <cellStyle name="표준 5 3 3 3 2 2 2 5 2 3" xfId="38666" xr:uid="{00000000-0005-0000-0000-0000B1880000}"/>
    <cellStyle name="표준 5 3 3 3 2 2 2 5 2 4" xfId="46859" xr:uid="{00000000-0005-0000-0000-0000B2880000}"/>
    <cellStyle name="표준 5 3 3 3 2 2 2 5 3" xfId="18101" xr:uid="{00000000-0005-0000-0000-0000B3880000}"/>
    <cellStyle name="표준 5 3 3 3 2 2 2 5 4" xfId="22263" xr:uid="{00000000-0005-0000-0000-0000B4880000}"/>
    <cellStyle name="표준 5 3 3 3 2 2 2 5 5" xfId="26359" xr:uid="{00000000-0005-0000-0000-0000B5880000}"/>
    <cellStyle name="표준 5 3 3 3 2 2 2 5 6" xfId="34570" xr:uid="{00000000-0005-0000-0000-0000B6880000}"/>
    <cellStyle name="표준 5 3 3 3 2 2 2 5 7" xfId="42763" xr:uid="{00000000-0005-0000-0000-0000B7880000}"/>
    <cellStyle name="표준 5 3 3 3 2 2 2 6" xfId="7701" xr:uid="{00000000-0005-0000-0000-0000B8880000}"/>
    <cellStyle name="표준 5 3 3 3 2 2 2 6 2" xfId="28407" xr:uid="{00000000-0005-0000-0000-0000B9880000}"/>
    <cellStyle name="표준 5 3 3 3 2 2 2 6 3" xfId="36618" xr:uid="{00000000-0005-0000-0000-0000BA880000}"/>
    <cellStyle name="표준 5 3 3 3 2 2 2 6 4" xfId="44811" xr:uid="{00000000-0005-0000-0000-0000BB880000}"/>
    <cellStyle name="표준 5 3 3 3 2 2 2 7" xfId="11813" xr:uid="{00000000-0005-0000-0000-0000BC880000}"/>
    <cellStyle name="표준 5 3 3 3 2 2 2 8" xfId="16053" xr:uid="{00000000-0005-0000-0000-0000BD880000}"/>
    <cellStyle name="표준 5 3 3 3 2 2 2 9" xfId="20215" xr:uid="{00000000-0005-0000-0000-0000BE880000}"/>
    <cellStyle name="표준 5 3 3 3 2 2 3" xfId="1102" xr:uid="{00000000-0005-0000-0000-0000BF880000}"/>
    <cellStyle name="표준 5 3 3 3 2 2 3 2" xfId="10005" xr:uid="{00000000-0005-0000-0000-0000C0880000}"/>
    <cellStyle name="표준 5 3 3 3 2 2 3 2 2" xfId="14117" xr:uid="{00000000-0005-0000-0000-0000C1880000}"/>
    <cellStyle name="표준 5 3 3 3 2 2 3 2 2 2" xfId="30711" xr:uid="{00000000-0005-0000-0000-0000C2880000}"/>
    <cellStyle name="표준 5 3 3 3 2 2 3 2 2 3" xfId="38922" xr:uid="{00000000-0005-0000-0000-0000C3880000}"/>
    <cellStyle name="표준 5 3 3 3 2 2 3 2 2 4" xfId="47115" xr:uid="{00000000-0005-0000-0000-0000C4880000}"/>
    <cellStyle name="표준 5 3 3 3 2 2 3 2 3" xfId="18357" xr:uid="{00000000-0005-0000-0000-0000C5880000}"/>
    <cellStyle name="표준 5 3 3 3 2 2 3 2 4" xfId="22519" xr:uid="{00000000-0005-0000-0000-0000C6880000}"/>
    <cellStyle name="표준 5 3 3 3 2 2 3 2 5" xfId="26615" xr:uid="{00000000-0005-0000-0000-0000C7880000}"/>
    <cellStyle name="표준 5 3 3 3 2 2 3 2 6" xfId="34826" xr:uid="{00000000-0005-0000-0000-0000C8880000}"/>
    <cellStyle name="표준 5 3 3 3 2 2 3 2 7" xfId="43019" xr:uid="{00000000-0005-0000-0000-0000C9880000}"/>
    <cellStyle name="표준 5 3 3 3 2 2 3 3" xfId="7957" xr:uid="{00000000-0005-0000-0000-0000CA880000}"/>
    <cellStyle name="표준 5 3 3 3 2 2 3 3 2" xfId="28663" xr:uid="{00000000-0005-0000-0000-0000CB880000}"/>
    <cellStyle name="표준 5 3 3 3 2 2 3 3 3" xfId="36874" xr:uid="{00000000-0005-0000-0000-0000CC880000}"/>
    <cellStyle name="표준 5 3 3 3 2 2 3 3 4" xfId="45067" xr:uid="{00000000-0005-0000-0000-0000CD880000}"/>
    <cellStyle name="표준 5 3 3 3 2 2 3 4" xfId="12069" xr:uid="{00000000-0005-0000-0000-0000CE880000}"/>
    <cellStyle name="표준 5 3 3 3 2 2 3 5" xfId="16309" xr:uid="{00000000-0005-0000-0000-0000CF880000}"/>
    <cellStyle name="표준 5 3 3 3 2 2 3 6" xfId="20471" xr:uid="{00000000-0005-0000-0000-0000D0880000}"/>
    <cellStyle name="표준 5 3 3 3 2 2 3 7" xfId="24567" xr:uid="{00000000-0005-0000-0000-0000D1880000}"/>
    <cellStyle name="표준 5 3 3 3 2 2 3 8" xfId="32778" xr:uid="{00000000-0005-0000-0000-0000D2880000}"/>
    <cellStyle name="표준 5 3 3 3 2 2 3 9" xfId="40971" xr:uid="{00000000-0005-0000-0000-0000D3880000}"/>
    <cellStyle name="표준 5 3 3 3 2 2 4" xfId="1614" xr:uid="{00000000-0005-0000-0000-0000D4880000}"/>
    <cellStyle name="표준 5 3 3 3 2 2 4 2" xfId="10517" xr:uid="{00000000-0005-0000-0000-0000D5880000}"/>
    <cellStyle name="표준 5 3 3 3 2 2 4 2 2" xfId="14629" xr:uid="{00000000-0005-0000-0000-0000D6880000}"/>
    <cellStyle name="표준 5 3 3 3 2 2 4 2 2 2" xfId="31223" xr:uid="{00000000-0005-0000-0000-0000D7880000}"/>
    <cellStyle name="표준 5 3 3 3 2 2 4 2 2 3" xfId="39434" xr:uid="{00000000-0005-0000-0000-0000D8880000}"/>
    <cellStyle name="표준 5 3 3 3 2 2 4 2 2 4" xfId="47627" xr:uid="{00000000-0005-0000-0000-0000D9880000}"/>
    <cellStyle name="표준 5 3 3 3 2 2 4 2 3" xfId="18869" xr:uid="{00000000-0005-0000-0000-0000DA880000}"/>
    <cellStyle name="표준 5 3 3 3 2 2 4 2 4" xfId="23031" xr:uid="{00000000-0005-0000-0000-0000DB880000}"/>
    <cellStyle name="표준 5 3 3 3 2 2 4 2 5" xfId="27127" xr:uid="{00000000-0005-0000-0000-0000DC880000}"/>
    <cellStyle name="표준 5 3 3 3 2 2 4 2 6" xfId="35338" xr:uid="{00000000-0005-0000-0000-0000DD880000}"/>
    <cellStyle name="표준 5 3 3 3 2 2 4 2 7" xfId="43531" xr:uid="{00000000-0005-0000-0000-0000DE880000}"/>
    <cellStyle name="표준 5 3 3 3 2 2 4 3" xfId="8469" xr:uid="{00000000-0005-0000-0000-0000DF880000}"/>
    <cellStyle name="표준 5 3 3 3 2 2 4 3 2" xfId="29175" xr:uid="{00000000-0005-0000-0000-0000E0880000}"/>
    <cellStyle name="표준 5 3 3 3 2 2 4 3 3" xfId="37386" xr:uid="{00000000-0005-0000-0000-0000E1880000}"/>
    <cellStyle name="표준 5 3 3 3 2 2 4 3 4" xfId="45579" xr:uid="{00000000-0005-0000-0000-0000E2880000}"/>
    <cellStyle name="표준 5 3 3 3 2 2 4 4" xfId="12581" xr:uid="{00000000-0005-0000-0000-0000E3880000}"/>
    <cellStyle name="표준 5 3 3 3 2 2 4 5" xfId="16821" xr:uid="{00000000-0005-0000-0000-0000E4880000}"/>
    <cellStyle name="표준 5 3 3 3 2 2 4 6" xfId="20983" xr:uid="{00000000-0005-0000-0000-0000E5880000}"/>
    <cellStyle name="표준 5 3 3 3 2 2 4 7" xfId="25079" xr:uid="{00000000-0005-0000-0000-0000E6880000}"/>
    <cellStyle name="표준 5 3 3 3 2 2 4 8" xfId="33290" xr:uid="{00000000-0005-0000-0000-0000E7880000}"/>
    <cellStyle name="표준 5 3 3 3 2 2 4 9" xfId="41483" xr:uid="{00000000-0005-0000-0000-0000E8880000}"/>
    <cellStyle name="표준 5 3 3 3 2 2 5" xfId="2126" xr:uid="{00000000-0005-0000-0000-0000E9880000}"/>
    <cellStyle name="표준 5 3 3 3 2 2 5 2" xfId="11029" xr:uid="{00000000-0005-0000-0000-0000EA880000}"/>
    <cellStyle name="표준 5 3 3 3 2 2 5 2 2" xfId="15141" xr:uid="{00000000-0005-0000-0000-0000EB880000}"/>
    <cellStyle name="표준 5 3 3 3 2 2 5 2 2 2" xfId="31735" xr:uid="{00000000-0005-0000-0000-0000EC880000}"/>
    <cellStyle name="표준 5 3 3 3 2 2 5 2 2 3" xfId="39946" xr:uid="{00000000-0005-0000-0000-0000ED880000}"/>
    <cellStyle name="표준 5 3 3 3 2 2 5 2 2 4" xfId="48139" xr:uid="{00000000-0005-0000-0000-0000EE880000}"/>
    <cellStyle name="표준 5 3 3 3 2 2 5 2 3" xfId="19381" xr:uid="{00000000-0005-0000-0000-0000EF880000}"/>
    <cellStyle name="표준 5 3 3 3 2 2 5 2 4" xfId="23543" xr:uid="{00000000-0005-0000-0000-0000F0880000}"/>
    <cellStyle name="표준 5 3 3 3 2 2 5 2 5" xfId="27639" xr:uid="{00000000-0005-0000-0000-0000F1880000}"/>
    <cellStyle name="표준 5 3 3 3 2 2 5 2 6" xfId="35850" xr:uid="{00000000-0005-0000-0000-0000F2880000}"/>
    <cellStyle name="표준 5 3 3 3 2 2 5 2 7" xfId="44043" xr:uid="{00000000-0005-0000-0000-0000F3880000}"/>
    <cellStyle name="표준 5 3 3 3 2 2 5 3" xfId="8981" xr:uid="{00000000-0005-0000-0000-0000F4880000}"/>
    <cellStyle name="표준 5 3 3 3 2 2 5 3 2" xfId="29687" xr:uid="{00000000-0005-0000-0000-0000F5880000}"/>
    <cellStyle name="표준 5 3 3 3 2 2 5 3 3" xfId="37898" xr:uid="{00000000-0005-0000-0000-0000F6880000}"/>
    <cellStyle name="표준 5 3 3 3 2 2 5 3 4" xfId="46091" xr:uid="{00000000-0005-0000-0000-0000F7880000}"/>
    <cellStyle name="표준 5 3 3 3 2 2 5 4" xfId="13093" xr:uid="{00000000-0005-0000-0000-0000F8880000}"/>
    <cellStyle name="표준 5 3 3 3 2 2 5 5" xfId="17333" xr:uid="{00000000-0005-0000-0000-0000F9880000}"/>
    <cellStyle name="표준 5 3 3 3 2 2 5 6" xfId="21495" xr:uid="{00000000-0005-0000-0000-0000FA880000}"/>
    <cellStyle name="표준 5 3 3 3 2 2 5 7" xfId="25591" xr:uid="{00000000-0005-0000-0000-0000FB880000}"/>
    <cellStyle name="표준 5 3 3 3 2 2 5 8" xfId="33802" xr:uid="{00000000-0005-0000-0000-0000FC880000}"/>
    <cellStyle name="표준 5 3 3 3 2 2 5 9" xfId="41995" xr:uid="{00000000-0005-0000-0000-0000FD880000}"/>
    <cellStyle name="표준 5 3 3 3 2 2 6" xfId="9493" xr:uid="{00000000-0005-0000-0000-0000FE880000}"/>
    <cellStyle name="표준 5 3 3 3 2 2 6 2" xfId="13605" xr:uid="{00000000-0005-0000-0000-0000FF880000}"/>
    <cellStyle name="표준 5 3 3 3 2 2 6 2 2" xfId="30199" xr:uid="{00000000-0005-0000-0000-000000890000}"/>
    <cellStyle name="표준 5 3 3 3 2 2 6 2 3" xfId="38410" xr:uid="{00000000-0005-0000-0000-000001890000}"/>
    <cellStyle name="표준 5 3 3 3 2 2 6 2 4" xfId="46603" xr:uid="{00000000-0005-0000-0000-000002890000}"/>
    <cellStyle name="표준 5 3 3 3 2 2 6 3" xfId="17845" xr:uid="{00000000-0005-0000-0000-000003890000}"/>
    <cellStyle name="표준 5 3 3 3 2 2 6 4" xfId="22007" xr:uid="{00000000-0005-0000-0000-000004890000}"/>
    <cellStyle name="표준 5 3 3 3 2 2 6 5" xfId="26103" xr:uid="{00000000-0005-0000-0000-000005890000}"/>
    <cellStyle name="표준 5 3 3 3 2 2 6 6" xfId="34314" xr:uid="{00000000-0005-0000-0000-000006890000}"/>
    <cellStyle name="표준 5 3 3 3 2 2 6 7" xfId="42507" xr:uid="{00000000-0005-0000-0000-000007890000}"/>
    <cellStyle name="표준 5 3 3 3 2 2 7" xfId="7445" xr:uid="{00000000-0005-0000-0000-000008890000}"/>
    <cellStyle name="표준 5 3 3 3 2 2 7 2" xfId="28151" xr:uid="{00000000-0005-0000-0000-000009890000}"/>
    <cellStyle name="표준 5 3 3 3 2 2 7 3" xfId="36362" xr:uid="{00000000-0005-0000-0000-00000A890000}"/>
    <cellStyle name="표준 5 3 3 3 2 2 7 4" xfId="44555" xr:uid="{00000000-0005-0000-0000-00000B890000}"/>
    <cellStyle name="표준 5 3 3 3 2 2 8" xfId="11557" xr:uid="{00000000-0005-0000-0000-00000C890000}"/>
    <cellStyle name="표준 5 3 3 3 2 2 9" xfId="15797" xr:uid="{00000000-0005-0000-0000-00000D890000}"/>
    <cellStyle name="표준 5 3 3 3 2 3" xfId="718" xr:uid="{00000000-0005-0000-0000-00000E890000}"/>
    <cellStyle name="표준 5 3 3 3 2 3 10" xfId="24183" xr:uid="{00000000-0005-0000-0000-00000F890000}"/>
    <cellStyle name="표준 5 3 3 3 2 3 11" xfId="32394" xr:uid="{00000000-0005-0000-0000-000010890000}"/>
    <cellStyle name="표준 5 3 3 3 2 3 12" xfId="40587" xr:uid="{00000000-0005-0000-0000-000011890000}"/>
    <cellStyle name="표준 5 3 3 3 2 3 2" xfId="1230" xr:uid="{00000000-0005-0000-0000-000012890000}"/>
    <cellStyle name="표준 5 3 3 3 2 3 2 2" xfId="10133" xr:uid="{00000000-0005-0000-0000-000013890000}"/>
    <cellStyle name="표준 5 3 3 3 2 3 2 2 2" xfId="14245" xr:uid="{00000000-0005-0000-0000-000014890000}"/>
    <cellStyle name="표준 5 3 3 3 2 3 2 2 2 2" xfId="30839" xr:uid="{00000000-0005-0000-0000-000015890000}"/>
    <cellStyle name="표준 5 3 3 3 2 3 2 2 2 3" xfId="39050" xr:uid="{00000000-0005-0000-0000-000016890000}"/>
    <cellStyle name="표준 5 3 3 3 2 3 2 2 2 4" xfId="47243" xr:uid="{00000000-0005-0000-0000-000017890000}"/>
    <cellStyle name="표준 5 3 3 3 2 3 2 2 3" xfId="18485" xr:uid="{00000000-0005-0000-0000-000018890000}"/>
    <cellStyle name="표준 5 3 3 3 2 3 2 2 4" xfId="22647" xr:uid="{00000000-0005-0000-0000-000019890000}"/>
    <cellStyle name="표준 5 3 3 3 2 3 2 2 5" xfId="26743" xr:uid="{00000000-0005-0000-0000-00001A890000}"/>
    <cellStyle name="표준 5 3 3 3 2 3 2 2 6" xfId="34954" xr:uid="{00000000-0005-0000-0000-00001B890000}"/>
    <cellStyle name="표준 5 3 3 3 2 3 2 2 7" xfId="43147" xr:uid="{00000000-0005-0000-0000-00001C890000}"/>
    <cellStyle name="표준 5 3 3 3 2 3 2 3" xfId="8085" xr:uid="{00000000-0005-0000-0000-00001D890000}"/>
    <cellStyle name="표준 5 3 3 3 2 3 2 3 2" xfId="28791" xr:uid="{00000000-0005-0000-0000-00001E890000}"/>
    <cellStyle name="표준 5 3 3 3 2 3 2 3 3" xfId="37002" xr:uid="{00000000-0005-0000-0000-00001F890000}"/>
    <cellStyle name="표준 5 3 3 3 2 3 2 3 4" xfId="45195" xr:uid="{00000000-0005-0000-0000-000020890000}"/>
    <cellStyle name="표준 5 3 3 3 2 3 2 4" xfId="12197" xr:uid="{00000000-0005-0000-0000-000021890000}"/>
    <cellStyle name="표준 5 3 3 3 2 3 2 5" xfId="16437" xr:uid="{00000000-0005-0000-0000-000022890000}"/>
    <cellStyle name="표준 5 3 3 3 2 3 2 6" xfId="20599" xr:uid="{00000000-0005-0000-0000-000023890000}"/>
    <cellStyle name="표준 5 3 3 3 2 3 2 7" xfId="24695" xr:uid="{00000000-0005-0000-0000-000024890000}"/>
    <cellStyle name="표준 5 3 3 3 2 3 2 8" xfId="32906" xr:uid="{00000000-0005-0000-0000-000025890000}"/>
    <cellStyle name="표준 5 3 3 3 2 3 2 9" xfId="41099" xr:uid="{00000000-0005-0000-0000-000026890000}"/>
    <cellStyle name="표준 5 3 3 3 2 3 3" xfId="1742" xr:uid="{00000000-0005-0000-0000-000027890000}"/>
    <cellStyle name="표준 5 3 3 3 2 3 3 2" xfId="10645" xr:uid="{00000000-0005-0000-0000-000028890000}"/>
    <cellStyle name="표준 5 3 3 3 2 3 3 2 2" xfId="14757" xr:uid="{00000000-0005-0000-0000-000029890000}"/>
    <cellStyle name="표준 5 3 3 3 2 3 3 2 2 2" xfId="31351" xr:uid="{00000000-0005-0000-0000-00002A890000}"/>
    <cellStyle name="표준 5 3 3 3 2 3 3 2 2 3" xfId="39562" xr:uid="{00000000-0005-0000-0000-00002B890000}"/>
    <cellStyle name="표준 5 3 3 3 2 3 3 2 2 4" xfId="47755" xr:uid="{00000000-0005-0000-0000-00002C890000}"/>
    <cellStyle name="표준 5 3 3 3 2 3 3 2 3" xfId="18997" xr:uid="{00000000-0005-0000-0000-00002D890000}"/>
    <cellStyle name="표준 5 3 3 3 2 3 3 2 4" xfId="23159" xr:uid="{00000000-0005-0000-0000-00002E890000}"/>
    <cellStyle name="표준 5 3 3 3 2 3 3 2 5" xfId="27255" xr:uid="{00000000-0005-0000-0000-00002F890000}"/>
    <cellStyle name="표준 5 3 3 3 2 3 3 2 6" xfId="35466" xr:uid="{00000000-0005-0000-0000-000030890000}"/>
    <cellStyle name="표준 5 3 3 3 2 3 3 2 7" xfId="43659" xr:uid="{00000000-0005-0000-0000-000031890000}"/>
    <cellStyle name="표준 5 3 3 3 2 3 3 3" xfId="8597" xr:uid="{00000000-0005-0000-0000-000032890000}"/>
    <cellStyle name="표준 5 3 3 3 2 3 3 3 2" xfId="29303" xr:uid="{00000000-0005-0000-0000-000033890000}"/>
    <cellStyle name="표준 5 3 3 3 2 3 3 3 3" xfId="37514" xr:uid="{00000000-0005-0000-0000-000034890000}"/>
    <cellStyle name="표준 5 3 3 3 2 3 3 3 4" xfId="45707" xr:uid="{00000000-0005-0000-0000-000035890000}"/>
    <cellStyle name="표준 5 3 3 3 2 3 3 4" xfId="12709" xr:uid="{00000000-0005-0000-0000-000036890000}"/>
    <cellStyle name="표준 5 3 3 3 2 3 3 5" xfId="16949" xr:uid="{00000000-0005-0000-0000-000037890000}"/>
    <cellStyle name="표준 5 3 3 3 2 3 3 6" xfId="21111" xr:uid="{00000000-0005-0000-0000-000038890000}"/>
    <cellStyle name="표준 5 3 3 3 2 3 3 7" xfId="25207" xr:uid="{00000000-0005-0000-0000-000039890000}"/>
    <cellStyle name="표준 5 3 3 3 2 3 3 8" xfId="33418" xr:uid="{00000000-0005-0000-0000-00003A890000}"/>
    <cellStyle name="표준 5 3 3 3 2 3 3 9" xfId="41611" xr:uid="{00000000-0005-0000-0000-00003B890000}"/>
    <cellStyle name="표준 5 3 3 3 2 3 4" xfId="2254" xr:uid="{00000000-0005-0000-0000-00003C890000}"/>
    <cellStyle name="표준 5 3 3 3 2 3 4 2" xfId="11157" xr:uid="{00000000-0005-0000-0000-00003D890000}"/>
    <cellStyle name="표준 5 3 3 3 2 3 4 2 2" xfId="15269" xr:uid="{00000000-0005-0000-0000-00003E890000}"/>
    <cellStyle name="표준 5 3 3 3 2 3 4 2 2 2" xfId="31863" xr:uid="{00000000-0005-0000-0000-00003F890000}"/>
    <cellStyle name="표준 5 3 3 3 2 3 4 2 2 3" xfId="40074" xr:uid="{00000000-0005-0000-0000-000040890000}"/>
    <cellStyle name="표준 5 3 3 3 2 3 4 2 2 4" xfId="48267" xr:uid="{00000000-0005-0000-0000-000041890000}"/>
    <cellStyle name="표준 5 3 3 3 2 3 4 2 3" xfId="19509" xr:uid="{00000000-0005-0000-0000-000042890000}"/>
    <cellStyle name="표준 5 3 3 3 2 3 4 2 4" xfId="23671" xr:uid="{00000000-0005-0000-0000-000043890000}"/>
    <cellStyle name="표준 5 3 3 3 2 3 4 2 5" xfId="27767" xr:uid="{00000000-0005-0000-0000-000044890000}"/>
    <cellStyle name="표준 5 3 3 3 2 3 4 2 6" xfId="35978" xr:uid="{00000000-0005-0000-0000-000045890000}"/>
    <cellStyle name="표준 5 3 3 3 2 3 4 2 7" xfId="44171" xr:uid="{00000000-0005-0000-0000-000046890000}"/>
    <cellStyle name="표준 5 3 3 3 2 3 4 3" xfId="9109" xr:uid="{00000000-0005-0000-0000-000047890000}"/>
    <cellStyle name="표준 5 3 3 3 2 3 4 3 2" xfId="29815" xr:uid="{00000000-0005-0000-0000-000048890000}"/>
    <cellStyle name="표준 5 3 3 3 2 3 4 3 3" xfId="38026" xr:uid="{00000000-0005-0000-0000-000049890000}"/>
    <cellStyle name="표준 5 3 3 3 2 3 4 3 4" xfId="46219" xr:uid="{00000000-0005-0000-0000-00004A890000}"/>
    <cellStyle name="표준 5 3 3 3 2 3 4 4" xfId="13221" xr:uid="{00000000-0005-0000-0000-00004B890000}"/>
    <cellStyle name="표준 5 3 3 3 2 3 4 5" xfId="17461" xr:uid="{00000000-0005-0000-0000-00004C890000}"/>
    <cellStyle name="표준 5 3 3 3 2 3 4 6" xfId="21623" xr:uid="{00000000-0005-0000-0000-00004D890000}"/>
    <cellStyle name="표준 5 3 3 3 2 3 4 7" xfId="25719" xr:uid="{00000000-0005-0000-0000-00004E890000}"/>
    <cellStyle name="표준 5 3 3 3 2 3 4 8" xfId="33930" xr:uid="{00000000-0005-0000-0000-00004F890000}"/>
    <cellStyle name="표준 5 3 3 3 2 3 4 9" xfId="42123" xr:uid="{00000000-0005-0000-0000-000050890000}"/>
    <cellStyle name="표준 5 3 3 3 2 3 5" xfId="9621" xr:uid="{00000000-0005-0000-0000-000051890000}"/>
    <cellStyle name="표준 5 3 3 3 2 3 5 2" xfId="13733" xr:uid="{00000000-0005-0000-0000-000052890000}"/>
    <cellStyle name="표준 5 3 3 3 2 3 5 2 2" xfId="30327" xr:uid="{00000000-0005-0000-0000-000053890000}"/>
    <cellStyle name="표준 5 3 3 3 2 3 5 2 3" xfId="38538" xr:uid="{00000000-0005-0000-0000-000054890000}"/>
    <cellStyle name="표준 5 3 3 3 2 3 5 2 4" xfId="46731" xr:uid="{00000000-0005-0000-0000-000055890000}"/>
    <cellStyle name="표준 5 3 3 3 2 3 5 3" xfId="17973" xr:uid="{00000000-0005-0000-0000-000056890000}"/>
    <cellStyle name="표준 5 3 3 3 2 3 5 4" xfId="22135" xr:uid="{00000000-0005-0000-0000-000057890000}"/>
    <cellStyle name="표준 5 3 3 3 2 3 5 5" xfId="26231" xr:uid="{00000000-0005-0000-0000-000058890000}"/>
    <cellStyle name="표준 5 3 3 3 2 3 5 6" xfId="34442" xr:uid="{00000000-0005-0000-0000-000059890000}"/>
    <cellStyle name="표준 5 3 3 3 2 3 5 7" xfId="42635" xr:uid="{00000000-0005-0000-0000-00005A890000}"/>
    <cellStyle name="표준 5 3 3 3 2 3 6" xfId="7573" xr:uid="{00000000-0005-0000-0000-00005B890000}"/>
    <cellStyle name="표준 5 3 3 3 2 3 6 2" xfId="28279" xr:uid="{00000000-0005-0000-0000-00005C890000}"/>
    <cellStyle name="표준 5 3 3 3 2 3 6 3" xfId="36490" xr:uid="{00000000-0005-0000-0000-00005D890000}"/>
    <cellStyle name="표준 5 3 3 3 2 3 6 4" xfId="44683" xr:uid="{00000000-0005-0000-0000-00005E890000}"/>
    <cellStyle name="표준 5 3 3 3 2 3 7" xfId="11685" xr:uid="{00000000-0005-0000-0000-00005F890000}"/>
    <cellStyle name="표준 5 3 3 3 2 3 8" xfId="15925" xr:uid="{00000000-0005-0000-0000-000060890000}"/>
    <cellStyle name="표준 5 3 3 3 2 3 9" xfId="20087" xr:uid="{00000000-0005-0000-0000-000061890000}"/>
    <cellStyle name="표준 5 3 3 3 2 4" xfId="974" xr:uid="{00000000-0005-0000-0000-000062890000}"/>
    <cellStyle name="표준 5 3 3 3 2 4 2" xfId="9877" xr:uid="{00000000-0005-0000-0000-000063890000}"/>
    <cellStyle name="표준 5 3 3 3 2 4 2 2" xfId="13989" xr:uid="{00000000-0005-0000-0000-000064890000}"/>
    <cellStyle name="표준 5 3 3 3 2 4 2 2 2" xfId="30583" xr:uid="{00000000-0005-0000-0000-000065890000}"/>
    <cellStyle name="표준 5 3 3 3 2 4 2 2 3" xfId="38794" xr:uid="{00000000-0005-0000-0000-000066890000}"/>
    <cellStyle name="표준 5 3 3 3 2 4 2 2 4" xfId="46987" xr:uid="{00000000-0005-0000-0000-000067890000}"/>
    <cellStyle name="표준 5 3 3 3 2 4 2 3" xfId="18229" xr:uid="{00000000-0005-0000-0000-000068890000}"/>
    <cellStyle name="표준 5 3 3 3 2 4 2 4" xfId="22391" xr:uid="{00000000-0005-0000-0000-000069890000}"/>
    <cellStyle name="표준 5 3 3 3 2 4 2 5" xfId="26487" xr:uid="{00000000-0005-0000-0000-00006A890000}"/>
    <cellStyle name="표준 5 3 3 3 2 4 2 6" xfId="34698" xr:uid="{00000000-0005-0000-0000-00006B890000}"/>
    <cellStyle name="표준 5 3 3 3 2 4 2 7" xfId="42891" xr:uid="{00000000-0005-0000-0000-00006C890000}"/>
    <cellStyle name="표준 5 3 3 3 2 4 3" xfId="7829" xr:uid="{00000000-0005-0000-0000-00006D890000}"/>
    <cellStyle name="표준 5 3 3 3 2 4 3 2" xfId="28535" xr:uid="{00000000-0005-0000-0000-00006E890000}"/>
    <cellStyle name="표준 5 3 3 3 2 4 3 3" xfId="36746" xr:uid="{00000000-0005-0000-0000-00006F890000}"/>
    <cellStyle name="표준 5 3 3 3 2 4 3 4" xfId="44939" xr:uid="{00000000-0005-0000-0000-000070890000}"/>
    <cellStyle name="표준 5 3 3 3 2 4 4" xfId="11941" xr:uid="{00000000-0005-0000-0000-000071890000}"/>
    <cellStyle name="표준 5 3 3 3 2 4 5" xfId="16181" xr:uid="{00000000-0005-0000-0000-000072890000}"/>
    <cellStyle name="표준 5 3 3 3 2 4 6" xfId="20343" xr:uid="{00000000-0005-0000-0000-000073890000}"/>
    <cellStyle name="표준 5 3 3 3 2 4 7" xfId="24439" xr:uid="{00000000-0005-0000-0000-000074890000}"/>
    <cellStyle name="표준 5 3 3 3 2 4 8" xfId="32650" xr:uid="{00000000-0005-0000-0000-000075890000}"/>
    <cellStyle name="표준 5 3 3 3 2 4 9" xfId="40843" xr:uid="{00000000-0005-0000-0000-000076890000}"/>
    <cellStyle name="표준 5 3 3 3 2 5" xfId="1486" xr:uid="{00000000-0005-0000-0000-000077890000}"/>
    <cellStyle name="표준 5 3 3 3 2 5 2" xfId="10389" xr:uid="{00000000-0005-0000-0000-000078890000}"/>
    <cellStyle name="표준 5 3 3 3 2 5 2 2" xfId="14501" xr:uid="{00000000-0005-0000-0000-000079890000}"/>
    <cellStyle name="표준 5 3 3 3 2 5 2 2 2" xfId="31095" xr:uid="{00000000-0005-0000-0000-00007A890000}"/>
    <cellStyle name="표준 5 3 3 3 2 5 2 2 3" xfId="39306" xr:uid="{00000000-0005-0000-0000-00007B890000}"/>
    <cellStyle name="표준 5 3 3 3 2 5 2 2 4" xfId="47499" xr:uid="{00000000-0005-0000-0000-00007C890000}"/>
    <cellStyle name="표준 5 3 3 3 2 5 2 3" xfId="18741" xr:uid="{00000000-0005-0000-0000-00007D890000}"/>
    <cellStyle name="표준 5 3 3 3 2 5 2 4" xfId="22903" xr:uid="{00000000-0005-0000-0000-00007E890000}"/>
    <cellStyle name="표준 5 3 3 3 2 5 2 5" xfId="26999" xr:uid="{00000000-0005-0000-0000-00007F890000}"/>
    <cellStyle name="표준 5 3 3 3 2 5 2 6" xfId="35210" xr:uid="{00000000-0005-0000-0000-000080890000}"/>
    <cellStyle name="표준 5 3 3 3 2 5 2 7" xfId="43403" xr:uid="{00000000-0005-0000-0000-000081890000}"/>
    <cellStyle name="표준 5 3 3 3 2 5 3" xfId="8341" xr:uid="{00000000-0005-0000-0000-000082890000}"/>
    <cellStyle name="표준 5 3 3 3 2 5 3 2" xfId="29047" xr:uid="{00000000-0005-0000-0000-000083890000}"/>
    <cellStyle name="표준 5 3 3 3 2 5 3 3" xfId="37258" xr:uid="{00000000-0005-0000-0000-000084890000}"/>
    <cellStyle name="표준 5 3 3 3 2 5 3 4" xfId="45451" xr:uid="{00000000-0005-0000-0000-000085890000}"/>
    <cellStyle name="표준 5 3 3 3 2 5 4" xfId="12453" xr:uid="{00000000-0005-0000-0000-000086890000}"/>
    <cellStyle name="표준 5 3 3 3 2 5 5" xfId="16693" xr:uid="{00000000-0005-0000-0000-000087890000}"/>
    <cellStyle name="표준 5 3 3 3 2 5 6" xfId="20855" xr:uid="{00000000-0005-0000-0000-000088890000}"/>
    <cellStyle name="표준 5 3 3 3 2 5 7" xfId="24951" xr:uid="{00000000-0005-0000-0000-000089890000}"/>
    <cellStyle name="표준 5 3 3 3 2 5 8" xfId="33162" xr:uid="{00000000-0005-0000-0000-00008A890000}"/>
    <cellStyle name="표준 5 3 3 3 2 5 9" xfId="41355" xr:uid="{00000000-0005-0000-0000-00008B890000}"/>
    <cellStyle name="표준 5 3 3 3 2 6" xfId="1998" xr:uid="{00000000-0005-0000-0000-00008C890000}"/>
    <cellStyle name="표준 5 3 3 3 2 6 2" xfId="10901" xr:uid="{00000000-0005-0000-0000-00008D890000}"/>
    <cellStyle name="표준 5 3 3 3 2 6 2 2" xfId="15013" xr:uid="{00000000-0005-0000-0000-00008E890000}"/>
    <cellStyle name="표준 5 3 3 3 2 6 2 2 2" xfId="31607" xr:uid="{00000000-0005-0000-0000-00008F890000}"/>
    <cellStyle name="표준 5 3 3 3 2 6 2 2 3" xfId="39818" xr:uid="{00000000-0005-0000-0000-000090890000}"/>
    <cellStyle name="표준 5 3 3 3 2 6 2 2 4" xfId="48011" xr:uid="{00000000-0005-0000-0000-000091890000}"/>
    <cellStyle name="표준 5 3 3 3 2 6 2 3" xfId="19253" xr:uid="{00000000-0005-0000-0000-000092890000}"/>
    <cellStyle name="표준 5 3 3 3 2 6 2 4" xfId="23415" xr:uid="{00000000-0005-0000-0000-000093890000}"/>
    <cellStyle name="표준 5 3 3 3 2 6 2 5" xfId="27511" xr:uid="{00000000-0005-0000-0000-000094890000}"/>
    <cellStyle name="표준 5 3 3 3 2 6 2 6" xfId="35722" xr:uid="{00000000-0005-0000-0000-000095890000}"/>
    <cellStyle name="표준 5 3 3 3 2 6 2 7" xfId="43915" xr:uid="{00000000-0005-0000-0000-000096890000}"/>
    <cellStyle name="표준 5 3 3 3 2 6 3" xfId="8853" xr:uid="{00000000-0005-0000-0000-000097890000}"/>
    <cellStyle name="표준 5 3 3 3 2 6 3 2" xfId="29559" xr:uid="{00000000-0005-0000-0000-000098890000}"/>
    <cellStyle name="표준 5 3 3 3 2 6 3 3" xfId="37770" xr:uid="{00000000-0005-0000-0000-000099890000}"/>
    <cellStyle name="표준 5 3 3 3 2 6 3 4" xfId="45963" xr:uid="{00000000-0005-0000-0000-00009A890000}"/>
    <cellStyle name="표준 5 3 3 3 2 6 4" xfId="12965" xr:uid="{00000000-0005-0000-0000-00009B890000}"/>
    <cellStyle name="표준 5 3 3 3 2 6 5" xfId="17205" xr:uid="{00000000-0005-0000-0000-00009C890000}"/>
    <cellStyle name="표준 5 3 3 3 2 6 6" xfId="21367" xr:uid="{00000000-0005-0000-0000-00009D890000}"/>
    <cellStyle name="표준 5 3 3 3 2 6 7" xfId="25463" xr:uid="{00000000-0005-0000-0000-00009E890000}"/>
    <cellStyle name="표준 5 3 3 3 2 6 8" xfId="33674" xr:uid="{00000000-0005-0000-0000-00009F890000}"/>
    <cellStyle name="표준 5 3 3 3 2 6 9" xfId="41867" xr:uid="{00000000-0005-0000-0000-0000A0890000}"/>
    <cellStyle name="표준 5 3 3 3 2 7" xfId="7058" xr:uid="{00000000-0005-0000-0000-0000A1890000}"/>
    <cellStyle name="표준 5 3 3 3 2 7 2" xfId="9365" xr:uid="{00000000-0005-0000-0000-0000A2890000}"/>
    <cellStyle name="표준 5 3 3 3 2 7 2 2" xfId="30071" xr:uid="{00000000-0005-0000-0000-0000A3890000}"/>
    <cellStyle name="표준 5 3 3 3 2 7 2 3" xfId="38282" xr:uid="{00000000-0005-0000-0000-0000A4890000}"/>
    <cellStyle name="표준 5 3 3 3 2 7 2 4" xfId="46475" xr:uid="{00000000-0005-0000-0000-0000A5890000}"/>
    <cellStyle name="표준 5 3 3 3 2 7 3" xfId="13477" xr:uid="{00000000-0005-0000-0000-0000A6890000}"/>
    <cellStyle name="표준 5 3 3 3 2 7 4" xfId="17717" xr:uid="{00000000-0005-0000-0000-0000A7890000}"/>
    <cellStyle name="표준 5 3 3 3 2 7 5" xfId="21879" xr:uid="{00000000-0005-0000-0000-0000A8890000}"/>
    <cellStyle name="표준 5 3 3 3 2 7 6" xfId="25975" xr:uid="{00000000-0005-0000-0000-0000A9890000}"/>
    <cellStyle name="표준 5 3 3 3 2 7 7" xfId="34186" xr:uid="{00000000-0005-0000-0000-0000AA890000}"/>
    <cellStyle name="표준 5 3 3 3 2 7 8" xfId="42379" xr:uid="{00000000-0005-0000-0000-0000AB890000}"/>
    <cellStyle name="표준 5 3 3 3 2 8" xfId="7120" xr:uid="{00000000-0005-0000-0000-0000AC890000}"/>
    <cellStyle name="표준 5 3 3 3 2 8 2" xfId="28023" xr:uid="{00000000-0005-0000-0000-0000AD890000}"/>
    <cellStyle name="표준 5 3 3 3 2 8 3" xfId="36234" xr:uid="{00000000-0005-0000-0000-0000AE890000}"/>
    <cellStyle name="표준 5 3 3 3 2 8 4" xfId="44427" xr:uid="{00000000-0005-0000-0000-0000AF890000}"/>
    <cellStyle name="표준 5 3 3 3 2 9" xfId="7317" xr:uid="{00000000-0005-0000-0000-0000B0890000}"/>
    <cellStyle name="표준 5 3 3 3 3" xfId="526" xr:uid="{00000000-0005-0000-0000-0000B1890000}"/>
    <cellStyle name="표준 5 3 3 3 3 10" xfId="19895" xr:uid="{00000000-0005-0000-0000-0000B2890000}"/>
    <cellStyle name="표준 5 3 3 3 3 11" xfId="23991" xr:uid="{00000000-0005-0000-0000-0000B3890000}"/>
    <cellStyle name="표준 5 3 3 3 3 12" xfId="32202" xr:uid="{00000000-0005-0000-0000-0000B4890000}"/>
    <cellStyle name="표준 5 3 3 3 3 13" xfId="40395" xr:uid="{00000000-0005-0000-0000-0000B5890000}"/>
    <cellStyle name="표준 5 3 3 3 3 2" xfId="782" xr:uid="{00000000-0005-0000-0000-0000B6890000}"/>
    <cellStyle name="표준 5 3 3 3 3 2 10" xfId="24247" xr:uid="{00000000-0005-0000-0000-0000B7890000}"/>
    <cellStyle name="표준 5 3 3 3 3 2 11" xfId="32458" xr:uid="{00000000-0005-0000-0000-0000B8890000}"/>
    <cellStyle name="표준 5 3 3 3 3 2 12" xfId="40651" xr:uid="{00000000-0005-0000-0000-0000B9890000}"/>
    <cellStyle name="표준 5 3 3 3 3 2 2" xfId="1294" xr:uid="{00000000-0005-0000-0000-0000BA890000}"/>
    <cellStyle name="표준 5 3 3 3 3 2 2 2" xfId="10197" xr:uid="{00000000-0005-0000-0000-0000BB890000}"/>
    <cellStyle name="표준 5 3 3 3 3 2 2 2 2" xfId="14309" xr:uid="{00000000-0005-0000-0000-0000BC890000}"/>
    <cellStyle name="표준 5 3 3 3 3 2 2 2 2 2" xfId="30903" xr:uid="{00000000-0005-0000-0000-0000BD890000}"/>
    <cellStyle name="표준 5 3 3 3 3 2 2 2 2 3" xfId="39114" xr:uid="{00000000-0005-0000-0000-0000BE890000}"/>
    <cellStyle name="표준 5 3 3 3 3 2 2 2 2 4" xfId="47307" xr:uid="{00000000-0005-0000-0000-0000BF890000}"/>
    <cellStyle name="표준 5 3 3 3 3 2 2 2 3" xfId="18549" xr:uid="{00000000-0005-0000-0000-0000C0890000}"/>
    <cellStyle name="표준 5 3 3 3 3 2 2 2 4" xfId="22711" xr:uid="{00000000-0005-0000-0000-0000C1890000}"/>
    <cellStyle name="표준 5 3 3 3 3 2 2 2 5" xfId="26807" xr:uid="{00000000-0005-0000-0000-0000C2890000}"/>
    <cellStyle name="표준 5 3 3 3 3 2 2 2 6" xfId="35018" xr:uid="{00000000-0005-0000-0000-0000C3890000}"/>
    <cellStyle name="표준 5 3 3 3 3 2 2 2 7" xfId="43211" xr:uid="{00000000-0005-0000-0000-0000C4890000}"/>
    <cellStyle name="표준 5 3 3 3 3 2 2 3" xfId="8149" xr:uid="{00000000-0005-0000-0000-0000C5890000}"/>
    <cellStyle name="표준 5 3 3 3 3 2 2 3 2" xfId="28855" xr:uid="{00000000-0005-0000-0000-0000C6890000}"/>
    <cellStyle name="표준 5 3 3 3 3 2 2 3 3" xfId="37066" xr:uid="{00000000-0005-0000-0000-0000C7890000}"/>
    <cellStyle name="표준 5 3 3 3 3 2 2 3 4" xfId="45259" xr:uid="{00000000-0005-0000-0000-0000C8890000}"/>
    <cellStyle name="표준 5 3 3 3 3 2 2 4" xfId="12261" xr:uid="{00000000-0005-0000-0000-0000C9890000}"/>
    <cellStyle name="표준 5 3 3 3 3 2 2 5" xfId="16501" xr:uid="{00000000-0005-0000-0000-0000CA890000}"/>
    <cellStyle name="표준 5 3 3 3 3 2 2 6" xfId="20663" xr:uid="{00000000-0005-0000-0000-0000CB890000}"/>
    <cellStyle name="표준 5 3 3 3 3 2 2 7" xfId="24759" xr:uid="{00000000-0005-0000-0000-0000CC890000}"/>
    <cellStyle name="표준 5 3 3 3 3 2 2 8" xfId="32970" xr:uid="{00000000-0005-0000-0000-0000CD890000}"/>
    <cellStyle name="표준 5 3 3 3 3 2 2 9" xfId="41163" xr:uid="{00000000-0005-0000-0000-0000CE890000}"/>
    <cellStyle name="표준 5 3 3 3 3 2 3" xfId="1806" xr:uid="{00000000-0005-0000-0000-0000CF890000}"/>
    <cellStyle name="표준 5 3 3 3 3 2 3 2" xfId="10709" xr:uid="{00000000-0005-0000-0000-0000D0890000}"/>
    <cellStyle name="표준 5 3 3 3 3 2 3 2 2" xfId="14821" xr:uid="{00000000-0005-0000-0000-0000D1890000}"/>
    <cellStyle name="표준 5 3 3 3 3 2 3 2 2 2" xfId="31415" xr:uid="{00000000-0005-0000-0000-0000D2890000}"/>
    <cellStyle name="표준 5 3 3 3 3 2 3 2 2 3" xfId="39626" xr:uid="{00000000-0005-0000-0000-0000D3890000}"/>
    <cellStyle name="표준 5 3 3 3 3 2 3 2 2 4" xfId="47819" xr:uid="{00000000-0005-0000-0000-0000D4890000}"/>
    <cellStyle name="표준 5 3 3 3 3 2 3 2 3" xfId="19061" xr:uid="{00000000-0005-0000-0000-0000D5890000}"/>
    <cellStyle name="표준 5 3 3 3 3 2 3 2 4" xfId="23223" xr:uid="{00000000-0005-0000-0000-0000D6890000}"/>
    <cellStyle name="표준 5 3 3 3 3 2 3 2 5" xfId="27319" xr:uid="{00000000-0005-0000-0000-0000D7890000}"/>
    <cellStyle name="표준 5 3 3 3 3 2 3 2 6" xfId="35530" xr:uid="{00000000-0005-0000-0000-0000D8890000}"/>
    <cellStyle name="표준 5 3 3 3 3 2 3 2 7" xfId="43723" xr:uid="{00000000-0005-0000-0000-0000D9890000}"/>
    <cellStyle name="표준 5 3 3 3 3 2 3 3" xfId="8661" xr:uid="{00000000-0005-0000-0000-0000DA890000}"/>
    <cellStyle name="표준 5 3 3 3 3 2 3 3 2" xfId="29367" xr:uid="{00000000-0005-0000-0000-0000DB890000}"/>
    <cellStyle name="표준 5 3 3 3 3 2 3 3 3" xfId="37578" xr:uid="{00000000-0005-0000-0000-0000DC890000}"/>
    <cellStyle name="표준 5 3 3 3 3 2 3 3 4" xfId="45771" xr:uid="{00000000-0005-0000-0000-0000DD890000}"/>
    <cellStyle name="표준 5 3 3 3 3 2 3 4" xfId="12773" xr:uid="{00000000-0005-0000-0000-0000DE890000}"/>
    <cellStyle name="표준 5 3 3 3 3 2 3 5" xfId="17013" xr:uid="{00000000-0005-0000-0000-0000DF890000}"/>
    <cellStyle name="표준 5 3 3 3 3 2 3 6" xfId="21175" xr:uid="{00000000-0005-0000-0000-0000E0890000}"/>
    <cellStyle name="표준 5 3 3 3 3 2 3 7" xfId="25271" xr:uid="{00000000-0005-0000-0000-0000E1890000}"/>
    <cellStyle name="표준 5 3 3 3 3 2 3 8" xfId="33482" xr:uid="{00000000-0005-0000-0000-0000E2890000}"/>
    <cellStyle name="표준 5 3 3 3 3 2 3 9" xfId="41675" xr:uid="{00000000-0005-0000-0000-0000E3890000}"/>
    <cellStyle name="표준 5 3 3 3 3 2 4" xfId="2318" xr:uid="{00000000-0005-0000-0000-0000E4890000}"/>
    <cellStyle name="표준 5 3 3 3 3 2 4 2" xfId="11221" xr:uid="{00000000-0005-0000-0000-0000E5890000}"/>
    <cellStyle name="표준 5 3 3 3 3 2 4 2 2" xfId="15333" xr:uid="{00000000-0005-0000-0000-0000E6890000}"/>
    <cellStyle name="표준 5 3 3 3 3 2 4 2 2 2" xfId="31927" xr:uid="{00000000-0005-0000-0000-0000E7890000}"/>
    <cellStyle name="표준 5 3 3 3 3 2 4 2 2 3" xfId="40138" xr:uid="{00000000-0005-0000-0000-0000E8890000}"/>
    <cellStyle name="표준 5 3 3 3 3 2 4 2 2 4" xfId="48331" xr:uid="{00000000-0005-0000-0000-0000E9890000}"/>
    <cellStyle name="표준 5 3 3 3 3 2 4 2 3" xfId="19573" xr:uid="{00000000-0005-0000-0000-0000EA890000}"/>
    <cellStyle name="표준 5 3 3 3 3 2 4 2 4" xfId="23735" xr:uid="{00000000-0005-0000-0000-0000EB890000}"/>
    <cellStyle name="표준 5 3 3 3 3 2 4 2 5" xfId="27831" xr:uid="{00000000-0005-0000-0000-0000EC890000}"/>
    <cellStyle name="표준 5 3 3 3 3 2 4 2 6" xfId="36042" xr:uid="{00000000-0005-0000-0000-0000ED890000}"/>
    <cellStyle name="표준 5 3 3 3 3 2 4 2 7" xfId="44235" xr:uid="{00000000-0005-0000-0000-0000EE890000}"/>
    <cellStyle name="표준 5 3 3 3 3 2 4 3" xfId="9173" xr:uid="{00000000-0005-0000-0000-0000EF890000}"/>
    <cellStyle name="표준 5 3 3 3 3 2 4 3 2" xfId="29879" xr:uid="{00000000-0005-0000-0000-0000F0890000}"/>
    <cellStyle name="표준 5 3 3 3 3 2 4 3 3" xfId="38090" xr:uid="{00000000-0005-0000-0000-0000F1890000}"/>
    <cellStyle name="표준 5 3 3 3 3 2 4 3 4" xfId="46283" xr:uid="{00000000-0005-0000-0000-0000F2890000}"/>
    <cellStyle name="표준 5 3 3 3 3 2 4 4" xfId="13285" xr:uid="{00000000-0005-0000-0000-0000F3890000}"/>
    <cellStyle name="표준 5 3 3 3 3 2 4 5" xfId="17525" xr:uid="{00000000-0005-0000-0000-0000F4890000}"/>
    <cellStyle name="표준 5 3 3 3 3 2 4 6" xfId="21687" xr:uid="{00000000-0005-0000-0000-0000F5890000}"/>
    <cellStyle name="표준 5 3 3 3 3 2 4 7" xfId="25783" xr:uid="{00000000-0005-0000-0000-0000F6890000}"/>
    <cellStyle name="표준 5 3 3 3 3 2 4 8" xfId="33994" xr:uid="{00000000-0005-0000-0000-0000F7890000}"/>
    <cellStyle name="표준 5 3 3 3 3 2 4 9" xfId="42187" xr:uid="{00000000-0005-0000-0000-0000F8890000}"/>
    <cellStyle name="표준 5 3 3 3 3 2 5" xfId="9685" xr:uid="{00000000-0005-0000-0000-0000F9890000}"/>
    <cellStyle name="표준 5 3 3 3 3 2 5 2" xfId="13797" xr:uid="{00000000-0005-0000-0000-0000FA890000}"/>
    <cellStyle name="표준 5 3 3 3 3 2 5 2 2" xfId="30391" xr:uid="{00000000-0005-0000-0000-0000FB890000}"/>
    <cellStyle name="표준 5 3 3 3 3 2 5 2 3" xfId="38602" xr:uid="{00000000-0005-0000-0000-0000FC890000}"/>
    <cellStyle name="표준 5 3 3 3 3 2 5 2 4" xfId="46795" xr:uid="{00000000-0005-0000-0000-0000FD890000}"/>
    <cellStyle name="표준 5 3 3 3 3 2 5 3" xfId="18037" xr:uid="{00000000-0005-0000-0000-0000FE890000}"/>
    <cellStyle name="표준 5 3 3 3 3 2 5 4" xfId="22199" xr:uid="{00000000-0005-0000-0000-0000FF890000}"/>
    <cellStyle name="표준 5 3 3 3 3 2 5 5" xfId="26295" xr:uid="{00000000-0005-0000-0000-0000008A0000}"/>
    <cellStyle name="표준 5 3 3 3 3 2 5 6" xfId="34506" xr:uid="{00000000-0005-0000-0000-0000018A0000}"/>
    <cellStyle name="표준 5 3 3 3 3 2 5 7" xfId="42699" xr:uid="{00000000-0005-0000-0000-0000028A0000}"/>
    <cellStyle name="표준 5 3 3 3 3 2 6" xfId="7637" xr:uid="{00000000-0005-0000-0000-0000038A0000}"/>
    <cellStyle name="표준 5 3 3 3 3 2 6 2" xfId="28343" xr:uid="{00000000-0005-0000-0000-0000048A0000}"/>
    <cellStyle name="표준 5 3 3 3 3 2 6 3" xfId="36554" xr:uid="{00000000-0005-0000-0000-0000058A0000}"/>
    <cellStyle name="표준 5 3 3 3 3 2 6 4" xfId="44747" xr:uid="{00000000-0005-0000-0000-0000068A0000}"/>
    <cellStyle name="표준 5 3 3 3 3 2 7" xfId="11749" xr:uid="{00000000-0005-0000-0000-0000078A0000}"/>
    <cellStyle name="표준 5 3 3 3 3 2 8" xfId="15989" xr:uid="{00000000-0005-0000-0000-0000088A0000}"/>
    <cellStyle name="표준 5 3 3 3 3 2 9" xfId="20151" xr:uid="{00000000-0005-0000-0000-0000098A0000}"/>
    <cellStyle name="표준 5 3 3 3 3 3" xfId="1038" xr:uid="{00000000-0005-0000-0000-00000A8A0000}"/>
    <cellStyle name="표준 5 3 3 3 3 3 2" xfId="9941" xr:uid="{00000000-0005-0000-0000-00000B8A0000}"/>
    <cellStyle name="표준 5 3 3 3 3 3 2 2" xfId="14053" xr:uid="{00000000-0005-0000-0000-00000C8A0000}"/>
    <cellStyle name="표준 5 3 3 3 3 3 2 2 2" xfId="30647" xr:uid="{00000000-0005-0000-0000-00000D8A0000}"/>
    <cellStyle name="표준 5 3 3 3 3 3 2 2 3" xfId="38858" xr:uid="{00000000-0005-0000-0000-00000E8A0000}"/>
    <cellStyle name="표준 5 3 3 3 3 3 2 2 4" xfId="47051" xr:uid="{00000000-0005-0000-0000-00000F8A0000}"/>
    <cellStyle name="표준 5 3 3 3 3 3 2 3" xfId="18293" xr:uid="{00000000-0005-0000-0000-0000108A0000}"/>
    <cellStyle name="표준 5 3 3 3 3 3 2 4" xfId="22455" xr:uid="{00000000-0005-0000-0000-0000118A0000}"/>
    <cellStyle name="표준 5 3 3 3 3 3 2 5" xfId="26551" xr:uid="{00000000-0005-0000-0000-0000128A0000}"/>
    <cellStyle name="표준 5 3 3 3 3 3 2 6" xfId="34762" xr:uid="{00000000-0005-0000-0000-0000138A0000}"/>
    <cellStyle name="표준 5 3 3 3 3 3 2 7" xfId="42955" xr:uid="{00000000-0005-0000-0000-0000148A0000}"/>
    <cellStyle name="표준 5 3 3 3 3 3 3" xfId="7893" xr:uid="{00000000-0005-0000-0000-0000158A0000}"/>
    <cellStyle name="표준 5 3 3 3 3 3 3 2" xfId="28599" xr:uid="{00000000-0005-0000-0000-0000168A0000}"/>
    <cellStyle name="표준 5 3 3 3 3 3 3 3" xfId="36810" xr:uid="{00000000-0005-0000-0000-0000178A0000}"/>
    <cellStyle name="표준 5 3 3 3 3 3 3 4" xfId="45003" xr:uid="{00000000-0005-0000-0000-0000188A0000}"/>
    <cellStyle name="표준 5 3 3 3 3 3 4" xfId="12005" xr:uid="{00000000-0005-0000-0000-0000198A0000}"/>
    <cellStyle name="표준 5 3 3 3 3 3 5" xfId="16245" xr:uid="{00000000-0005-0000-0000-00001A8A0000}"/>
    <cellStyle name="표준 5 3 3 3 3 3 6" xfId="20407" xr:uid="{00000000-0005-0000-0000-00001B8A0000}"/>
    <cellStyle name="표준 5 3 3 3 3 3 7" xfId="24503" xr:uid="{00000000-0005-0000-0000-00001C8A0000}"/>
    <cellStyle name="표준 5 3 3 3 3 3 8" xfId="32714" xr:uid="{00000000-0005-0000-0000-00001D8A0000}"/>
    <cellStyle name="표준 5 3 3 3 3 3 9" xfId="40907" xr:uid="{00000000-0005-0000-0000-00001E8A0000}"/>
    <cellStyle name="표준 5 3 3 3 3 4" xfId="1550" xr:uid="{00000000-0005-0000-0000-00001F8A0000}"/>
    <cellStyle name="표준 5 3 3 3 3 4 2" xfId="10453" xr:uid="{00000000-0005-0000-0000-0000208A0000}"/>
    <cellStyle name="표준 5 3 3 3 3 4 2 2" xfId="14565" xr:uid="{00000000-0005-0000-0000-0000218A0000}"/>
    <cellStyle name="표준 5 3 3 3 3 4 2 2 2" xfId="31159" xr:uid="{00000000-0005-0000-0000-0000228A0000}"/>
    <cellStyle name="표준 5 3 3 3 3 4 2 2 3" xfId="39370" xr:uid="{00000000-0005-0000-0000-0000238A0000}"/>
    <cellStyle name="표준 5 3 3 3 3 4 2 2 4" xfId="47563" xr:uid="{00000000-0005-0000-0000-0000248A0000}"/>
    <cellStyle name="표준 5 3 3 3 3 4 2 3" xfId="18805" xr:uid="{00000000-0005-0000-0000-0000258A0000}"/>
    <cellStyle name="표준 5 3 3 3 3 4 2 4" xfId="22967" xr:uid="{00000000-0005-0000-0000-0000268A0000}"/>
    <cellStyle name="표준 5 3 3 3 3 4 2 5" xfId="27063" xr:uid="{00000000-0005-0000-0000-0000278A0000}"/>
    <cellStyle name="표준 5 3 3 3 3 4 2 6" xfId="35274" xr:uid="{00000000-0005-0000-0000-0000288A0000}"/>
    <cellStyle name="표준 5 3 3 3 3 4 2 7" xfId="43467" xr:uid="{00000000-0005-0000-0000-0000298A0000}"/>
    <cellStyle name="표준 5 3 3 3 3 4 3" xfId="8405" xr:uid="{00000000-0005-0000-0000-00002A8A0000}"/>
    <cellStyle name="표준 5 3 3 3 3 4 3 2" xfId="29111" xr:uid="{00000000-0005-0000-0000-00002B8A0000}"/>
    <cellStyle name="표준 5 3 3 3 3 4 3 3" xfId="37322" xr:uid="{00000000-0005-0000-0000-00002C8A0000}"/>
    <cellStyle name="표준 5 3 3 3 3 4 3 4" xfId="45515" xr:uid="{00000000-0005-0000-0000-00002D8A0000}"/>
    <cellStyle name="표준 5 3 3 3 3 4 4" xfId="12517" xr:uid="{00000000-0005-0000-0000-00002E8A0000}"/>
    <cellStyle name="표준 5 3 3 3 3 4 5" xfId="16757" xr:uid="{00000000-0005-0000-0000-00002F8A0000}"/>
    <cellStyle name="표준 5 3 3 3 3 4 6" xfId="20919" xr:uid="{00000000-0005-0000-0000-0000308A0000}"/>
    <cellStyle name="표준 5 3 3 3 3 4 7" xfId="25015" xr:uid="{00000000-0005-0000-0000-0000318A0000}"/>
    <cellStyle name="표준 5 3 3 3 3 4 8" xfId="33226" xr:uid="{00000000-0005-0000-0000-0000328A0000}"/>
    <cellStyle name="표준 5 3 3 3 3 4 9" xfId="41419" xr:uid="{00000000-0005-0000-0000-0000338A0000}"/>
    <cellStyle name="표준 5 3 3 3 3 5" xfId="2062" xr:uid="{00000000-0005-0000-0000-0000348A0000}"/>
    <cellStyle name="표준 5 3 3 3 3 5 2" xfId="10965" xr:uid="{00000000-0005-0000-0000-0000358A0000}"/>
    <cellStyle name="표준 5 3 3 3 3 5 2 2" xfId="15077" xr:uid="{00000000-0005-0000-0000-0000368A0000}"/>
    <cellStyle name="표준 5 3 3 3 3 5 2 2 2" xfId="31671" xr:uid="{00000000-0005-0000-0000-0000378A0000}"/>
    <cellStyle name="표준 5 3 3 3 3 5 2 2 3" xfId="39882" xr:uid="{00000000-0005-0000-0000-0000388A0000}"/>
    <cellStyle name="표준 5 3 3 3 3 5 2 2 4" xfId="48075" xr:uid="{00000000-0005-0000-0000-0000398A0000}"/>
    <cellStyle name="표준 5 3 3 3 3 5 2 3" xfId="19317" xr:uid="{00000000-0005-0000-0000-00003A8A0000}"/>
    <cellStyle name="표준 5 3 3 3 3 5 2 4" xfId="23479" xr:uid="{00000000-0005-0000-0000-00003B8A0000}"/>
    <cellStyle name="표준 5 3 3 3 3 5 2 5" xfId="27575" xr:uid="{00000000-0005-0000-0000-00003C8A0000}"/>
    <cellStyle name="표준 5 3 3 3 3 5 2 6" xfId="35786" xr:uid="{00000000-0005-0000-0000-00003D8A0000}"/>
    <cellStyle name="표준 5 3 3 3 3 5 2 7" xfId="43979" xr:uid="{00000000-0005-0000-0000-00003E8A0000}"/>
    <cellStyle name="표준 5 3 3 3 3 5 3" xfId="8917" xr:uid="{00000000-0005-0000-0000-00003F8A0000}"/>
    <cellStyle name="표준 5 3 3 3 3 5 3 2" xfId="29623" xr:uid="{00000000-0005-0000-0000-0000408A0000}"/>
    <cellStyle name="표준 5 3 3 3 3 5 3 3" xfId="37834" xr:uid="{00000000-0005-0000-0000-0000418A0000}"/>
    <cellStyle name="표준 5 3 3 3 3 5 3 4" xfId="46027" xr:uid="{00000000-0005-0000-0000-0000428A0000}"/>
    <cellStyle name="표준 5 3 3 3 3 5 4" xfId="13029" xr:uid="{00000000-0005-0000-0000-0000438A0000}"/>
    <cellStyle name="표준 5 3 3 3 3 5 5" xfId="17269" xr:uid="{00000000-0005-0000-0000-0000448A0000}"/>
    <cellStyle name="표준 5 3 3 3 3 5 6" xfId="21431" xr:uid="{00000000-0005-0000-0000-0000458A0000}"/>
    <cellStyle name="표준 5 3 3 3 3 5 7" xfId="25527" xr:uid="{00000000-0005-0000-0000-0000468A0000}"/>
    <cellStyle name="표준 5 3 3 3 3 5 8" xfId="33738" xr:uid="{00000000-0005-0000-0000-0000478A0000}"/>
    <cellStyle name="표준 5 3 3 3 3 5 9" xfId="41931" xr:uid="{00000000-0005-0000-0000-0000488A0000}"/>
    <cellStyle name="표준 5 3 3 3 3 6" xfId="9429" xr:uid="{00000000-0005-0000-0000-0000498A0000}"/>
    <cellStyle name="표준 5 3 3 3 3 6 2" xfId="13541" xr:uid="{00000000-0005-0000-0000-00004A8A0000}"/>
    <cellStyle name="표준 5 3 3 3 3 6 2 2" xfId="30135" xr:uid="{00000000-0005-0000-0000-00004B8A0000}"/>
    <cellStyle name="표준 5 3 3 3 3 6 2 3" xfId="38346" xr:uid="{00000000-0005-0000-0000-00004C8A0000}"/>
    <cellStyle name="표준 5 3 3 3 3 6 2 4" xfId="46539" xr:uid="{00000000-0005-0000-0000-00004D8A0000}"/>
    <cellStyle name="표준 5 3 3 3 3 6 3" xfId="17781" xr:uid="{00000000-0005-0000-0000-00004E8A0000}"/>
    <cellStyle name="표준 5 3 3 3 3 6 4" xfId="21943" xr:uid="{00000000-0005-0000-0000-00004F8A0000}"/>
    <cellStyle name="표준 5 3 3 3 3 6 5" xfId="26039" xr:uid="{00000000-0005-0000-0000-0000508A0000}"/>
    <cellStyle name="표준 5 3 3 3 3 6 6" xfId="34250" xr:uid="{00000000-0005-0000-0000-0000518A0000}"/>
    <cellStyle name="표준 5 3 3 3 3 6 7" xfId="42443" xr:uid="{00000000-0005-0000-0000-0000528A0000}"/>
    <cellStyle name="표준 5 3 3 3 3 7" xfId="7381" xr:uid="{00000000-0005-0000-0000-0000538A0000}"/>
    <cellStyle name="표준 5 3 3 3 3 7 2" xfId="28087" xr:uid="{00000000-0005-0000-0000-0000548A0000}"/>
    <cellStyle name="표준 5 3 3 3 3 7 3" xfId="36298" xr:uid="{00000000-0005-0000-0000-0000558A0000}"/>
    <cellStyle name="표준 5 3 3 3 3 7 4" xfId="44491" xr:uid="{00000000-0005-0000-0000-0000568A0000}"/>
    <cellStyle name="표준 5 3 3 3 3 8" xfId="11493" xr:uid="{00000000-0005-0000-0000-0000578A0000}"/>
    <cellStyle name="표준 5 3 3 3 3 9" xfId="15733" xr:uid="{00000000-0005-0000-0000-0000588A0000}"/>
    <cellStyle name="표준 5 3 3 3 4" xfId="654" xr:uid="{00000000-0005-0000-0000-0000598A0000}"/>
    <cellStyle name="표준 5 3 3 3 4 10" xfId="24119" xr:uid="{00000000-0005-0000-0000-00005A8A0000}"/>
    <cellStyle name="표준 5 3 3 3 4 11" xfId="32330" xr:uid="{00000000-0005-0000-0000-00005B8A0000}"/>
    <cellStyle name="표준 5 3 3 3 4 12" xfId="40523" xr:uid="{00000000-0005-0000-0000-00005C8A0000}"/>
    <cellStyle name="표준 5 3 3 3 4 2" xfId="1166" xr:uid="{00000000-0005-0000-0000-00005D8A0000}"/>
    <cellStyle name="표준 5 3 3 3 4 2 2" xfId="10069" xr:uid="{00000000-0005-0000-0000-00005E8A0000}"/>
    <cellStyle name="표준 5 3 3 3 4 2 2 2" xfId="14181" xr:uid="{00000000-0005-0000-0000-00005F8A0000}"/>
    <cellStyle name="표준 5 3 3 3 4 2 2 2 2" xfId="30775" xr:uid="{00000000-0005-0000-0000-0000608A0000}"/>
    <cellStyle name="표준 5 3 3 3 4 2 2 2 3" xfId="38986" xr:uid="{00000000-0005-0000-0000-0000618A0000}"/>
    <cellStyle name="표준 5 3 3 3 4 2 2 2 4" xfId="47179" xr:uid="{00000000-0005-0000-0000-0000628A0000}"/>
    <cellStyle name="표준 5 3 3 3 4 2 2 3" xfId="18421" xr:uid="{00000000-0005-0000-0000-0000638A0000}"/>
    <cellStyle name="표준 5 3 3 3 4 2 2 4" xfId="22583" xr:uid="{00000000-0005-0000-0000-0000648A0000}"/>
    <cellStyle name="표준 5 3 3 3 4 2 2 5" xfId="26679" xr:uid="{00000000-0005-0000-0000-0000658A0000}"/>
    <cellStyle name="표준 5 3 3 3 4 2 2 6" xfId="34890" xr:uid="{00000000-0005-0000-0000-0000668A0000}"/>
    <cellStyle name="표준 5 3 3 3 4 2 2 7" xfId="43083" xr:uid="{00000000-0005-0000-0000-0000678A0000}"/>
    <cellStyle name="표준 5 3 3 3 4 2 3" xfId="8021" xr:uid="{00000000-0005-0000-0000-0000688A0000}"/>
    <cellStyle name="표준 5 3 3 3 4 2 3 2" xfId="28727" xr:uid="{00000000-0005-0000-0000-0000698A0000}"/>
    <cellStyle name="표준 5 3 3 3 4 2 3 3" xfId="36938" xr:uid="{00000000-0005-0000-0000-00006A8A0000}"/>
    <cellStyle name="표준 5 3 3 3 4 2 3 4" xfId="45131" xr:uid="{00000000-0005-0000-0000-00006B8A0000}"/>
    <cellStyle name="표준 5 3 3 3 4 2 4" xfId="12133" xr:uid="{00000000-0005-0000-0000-00006C8A0000}"/>
    <cellStyle name="표준 5 3 3 3 4 2 5" xfId="16373" xr:uid="{00000000-0005-0000-0000-00006D8A0000}"/>
    <cellStyle name="표준 5 3 3 3 4 2 6" xfId="20535" xr:uid="{00000000-0005-0000-0000-00006E8A0000}"/>
    <cellStyle name="표준 5 3 3 3 4 2 7" xfId="24631" xr:uid="{00000000-0005-0000-0000-00006F8A0000}"/>
    <cellStyle name="표준 5 3 3 3 4 2 8" xfId="32842" xr:uid="{00000000-0005-0000-0000-0000708A0000}"/>
    <cellStyle name="표준 5 3 3 3 4 2 9" xfId="41035" xr:uid="{00000000-0005-0000-0000-0000718A0000}"/>
    <cellStyle name="표준 5 3 3 3 4 3" xfId="1678" xr:uid="{00000000-0005-0000-0000-0000728A0000}"/>
    <cellStyle name="표준 5 3 3 3 4 3 2" xfId="10581" xr:uid="{00000000-0005-0000-0000-0000738A0000}"/>
    <cellStyle name="표준 5 3 3 3 4 3 2 2" xfId="14693" xr:uid="{00000000-0005-0000-0000-0000748A0000}"/>
    <cellStyle name="표준 5 3 3 3 4 3 2 2 2" xfId="31287" xr:uid="{00000000-0005-0000-0000-0000758A0000}"/>
    <cellStyle name="표준 5 3 3 3 4 3 2 2 3" xfId="39498" xr:uid="{00000000-0005-0000-0000-0000768A0000}"/>
    <cellStyle name="표준 5 3 3 3 4 3 2 2 4" xfId="47691" xr:uid="{00000000-0005-0000-0000-0000778A0000}"/>
    <cellStyle name="표준 5 3 3 3 4 3 2 3" xfId="18933" xr:uid="{00000000-0005-0000-0000-0000788A0000}"/>
    <cellStyle name="표준 5 3 3 3 4 3 2 4" xfId="23095" xr:uid="{00000000-0005-0000-0000-0000798A0000}"/>
    <cellStyle name="표준 5 3 3 3 4 3 2 5" xfId="27191" xr:uid="{00000000-0005-0000-0000-00007A8A0000}"/>
    <cellStyle name="표준 5 3 3 3 4 3 2 6" xfId="35402" xr:uid="{00000000-0005-0000-0000-00007B8A0000}"/>
    <cellStyle name="표준 5 3 3 3 4 3 2 7" xfId="43595" xr:uid="{00000000-0005-0000-0000-00007C8A0000}"/>
    <cellStyle name="표준 5 3 3 3 4 3 3" xfId="8533" xr:uid="{00000000-0005-0000-0000-00007D8A0000}"/>
    <cellStyle name="표준 5 3 3 3 4 3 3 2" xfId="29239" xr:uid="{00000000-0005-0000-0000-00007E8A0000}"/>
    <cellStyle name="표준 5 3 3 3 4 3 3 3" xfId="37450" xr:uid="{00000000-0005-0000-0000-00007F8A0000}"/>
    <cellStyle name="표준 5 3 3 3 4 3 3 4" xfId="45643" xr:uid="{00000000-0005-0000-0000-0000808A0000}"/>
    <cellStyle name="표준 5 3 3 3 4 3 4" xfId="12645" xr:uid="{00000000-0005-0000-0000-0000818A0000}"/>
    <cellStyle name="표준 5 3 3 3 4 3 5" xfId="16885" xr:uid="{00000000-0005-0000-0000-0000828A0000}"/>
    <cellStyle name="표준 5 3 3 3 4 3 6" xfId="21047" xr:uid="{00000000-0005-0000-0000-0000838A0000}"/>
    <cellStyle name="표준 5 3 3 3 4 3 7" xfId="25143" xr:uid="{00000000-0005-0000-0000-0000848A0000}"/>
    <cellStyle name="표준 5 3 3 3 4 3 8" xfId="33354" xr:uid="{00000000-0005-0000-0000-0000858A0000}"/>
    <cellStyle name="표준 5 3 3 3 4 3 9" xfId="41547" xr:uid="{00000000-0005-0000-0000-0000868A0000}"/>
    <cellStyle name="표준 5 3 3 3 4 4" xfId="2190" xr:uid="{00000000-0005-0000-0000-0000878A0000}"/>
    <cellStyle name="표준 5 3 3 3 4 4 2" xfId="11093" xr:uid="{00000000-0005-0000-0000-0000888A0000}"/>
    <cellStyle name="표준 5 3 3 3 4 4 2 2" xfId="15205" xr:uid="{00000000-0005-0000-0000-0000898A0000}"/>
    <cellStyle name="표준 5 3 3 3 4 4 2 2 2" xfId="31799" xr:uid="{00000000-0005-0000-0000-00008A8A0000}"/>
    <cellStyle name="표준 5 3 3 3 4 4 2 2 3" xfId="40010" xr:uid="{00000000-0005-0000-0000-00008B8A0000}"/>
    <cellStyle name="표준 5 3 3 3 4 4 2 2 4" xfId="48203" xr:uid="{00000000-0005-0000-0000-00008C8A0000}"/>
    <cellStyle name="표준 5 3 3 3 4 4 2 3" xfId="19445" xr:uid="{00000000-0005-0000-0000-00008D8A0000}"/>
    <cellStyle name="표준 5 3 3 3 4 4 2 4" xfId="23607" xr:uid="{00000000-0005-0000-0000-00008E8A0000}"/>
    <cellStyle name="표준 5 3 3 3 4 4 2 5" xfId="27703" xr:uid="{00000000-0005-0000-0000-00008F8A0000}"/>
    <cellStyle name="표준 5 3 3 3 4 4 2 6" xfId="35914" xr:uid="{00000000-0005-0000-0000-0000908A0000}"/>
    <cellStyle name="표준 5 3 3 3 4 4 2 7" xfId="44107" xr:uid="{00000000-0005-0000-0000-0000918A0000}"/>
    <cellStyle name="표준 5 3 3 3 4 4 3" xfId="9045" xr:uid="{00000000-0005-0000-0000-0000928A0000}"/>
    <cellStyle name="표준 5 3 3 3 4 4 3 2" xfId="29751" xr:uid="{00000000-0005-0000-0000-0000938A0000}"/>
    <cellStyle name="표준 5 3 3 3 4 4 3 3" xfId="37962" xr:uid="{00000000-0005-0000-0000-0000948A0000}"/>
    <cellStyle name="표준 5 3 3 3 4 4 3 4" xfId="46155" xr:uid="{00000000-0005-0000-0000-0000958A0000}"/>
    <cellStyle name="표준 5 3 3 3 4 4 4" xfId="13157" xr:uid="{00000000-0005-0000-0000-0000968A0000}"/>
    <cellStyle name="표준 5 3 3 3 4 4 5" xfId="17397" xr:uid="{00000000-0005-0000-0000-0000978A0000}"/>
    <cellStyle name="표준 5 3 3 3 4 4 6" xfId="21559" xr:uid="{00000000-0005-0000-0000-0000988A0000}"/>
    <cellStyle name="표준 5 3 3 3 4 4 7" xfId="25655" xr:uid="{00000000-0005-0000-0000-0000998A0000}"/>
    <cellStyle name="표준 5 3 3 3 4 4 8" xfId="33866" xr:uid="{00000000-0005-0000-0000-00009A8A0000}"/>
    <cellStyle name="표준 5 3 3 3 4 4 9" xfId="42059" xr:uid="{00000000-0005-0000-0000-00009B8A0000}"/>
    <cellStyle name="표준 5 3 3 3 4 5" xfId="9557" xr:uid="{00000000-0005-0000-0000-00009C8A0000}"/>
    <cellStyle name="표준 5 3 3 3 4 5 2" xfId="13669" xr:uid="{00000000-0005-0000-0000-00009D8A0000}"/>
    <cellStyle name="표준 5 3 3 3 4 5 2 2" xfId="30263" xr:uid="{00000000-0005-0000-0000-00009E8A0000}"/>
    <cellStyle name="표준 5 3 3 3 4 5 2 3" xfId="38474" xr:uid="{00000000-0005-0000-0000-00009F8A0000}"/>
    <cellStyle name="표준 5 3 3 3 4 5 2 4" xfId="46667" xr:uid="{00000000-0005-0000-0000-0000A08A0000}"/>
    <cellStyle name="표준 5 3 3 3 4 5 3" xfId="17909" xr:uid="{00000000-0005-0000-0000-0000A18A0000}"/>
    <cellStyle name="표준 5 3 3 3 4 5 4" xfId="22071" xr:uid="{00000000-0005-0000-0000-0000A28A0000}"/>
    <cellStyle name="표준 5 3 3 3 4 5 5" xfId="26167" xr:uid="{00000000-0005-0000-0000-0000A38A0000}"/>
    <cellStyle name="표준 5 3 3 3 4 5 6" xfId="34378" xr:uid="{00000000-0005-0000-0000-0000A48A0000}"/>
    <cellStyle name="표준 5 3 3 3 4 5 7" xfId="42571" xr:uid="{00000000-0005-0000-0000-0000A58A0000}"/>
    <cellStyle name="표준 5 3 3 3 4 6" xfId="7509" xr:uid="{00000000-0005-0000-0000-0000A68A0000}"/>
    <cellStyle name="표준 5 3 3 3 4 6 2" xfId="28215" xr:uid="{00000000-0005-0000-0000-0000A78A0000}"/>
    <cellStyle name="표준 5 3 3 3 4 6 3" xfId="36426" xr:uid="{00000000-0005-0000-0000-0000A88A0000}"/>
    <cellStyle name="표준 5 3 3 3 4 6 4" xfId="44619" xr:uid="{00000000-0005-0000-0000-0000A98A0000}"/>
    <cellStyle name="표준 5 3 3 3 4 7" xfId="11621" xr:uid="{00000000-0005-0000-0000-0000AA8A0000}"/>
    <cellStyle name="표준 5 3 3 3 4 8" xfId="15861" xr:uid="{00000000-0005-0000-0000-0000AB8A0000}"/>
    <cellStyle name="표준 5 3 3 3 4 9" xfId="20023" xr:uid="{00000000-0005-0000-0000-0000AC8A0000}"/>
    <cellStyle name="표준 5 3 3 3 5" xfId="910" xr:uid="{00000000-0005-0000-0000-0000AD8A0000}"/>
    <cellStyle name="표준 5 3 3 3 5 2" xfId="9813" xr:uid="{00000000-0005-0000-0000-0000AE8A0000}"/>
    <cellStyle name="표준 5 3 3 3 5 2 2" xfId="13925" xr:uid="{00000000-0005-0000-0000-0000AF8A0000}"/>
    <cellStyle name="표준 5 3 3 3 5 2 2 2" xfId="30519" xr:uid="{00000000-0005-0000-0000-0000B08A0000}"/>
    <cellStyle name="표준 5 3 3 3 5 2 2 3" xfId="38730" xr:uid="{00000000-0005-0000-0000-0000B18A0000}"/>
    <cellStyle name="표준 5 3 3 3 5 2 2 4" xfId="46923" xr:uid="{00000000-0005-0000-0000-0000B28A0000}"/>
    <cellStyle name="표준 5 3 3 3 5 2 3" xfId="18165" xr:uid="{00000000-0005-0000-0000-0000B38A0000}"/>
    <cellStyle name="표준 5 3 3 3 5 2 4" xfId="22327" xr:uid="{00000000-0005-0000-0000-0000B48A0000}"/>
    <cellStyle name="표준 5 3 3 3 5 2 5" xfId="26423" xr:uid="{00000000-0005-0000-0000-0000B58A0000}"/>
    <cellStyle name="표준 5 3 3 3 5 2 6" xfId="34634" xr:uid="{00000000-0005-0000-0000-0000B68A0000}"/>
    <cellStyle name="표준 5 3 3 3 5 2 7" xfId="42827" xr:uid="{00000000-0005-0000-0000-0000B78A0000}"/>
    <cellStyle name="표준 5 3 3 3 5 3" xfId="7765" xr:uid="{00000000-0005-0000-0000-0000B88A0000}"/>
    <cellStyle name="표준 5 3 3 3 5 3 2" xfId="28471" xr:uid="{00000000-0005-0000-0000-0000B98A0000}"/>
    <cellStyle name="표준 5 3 3 3 5 3 3" xfId="36682" xr:uid="{00000000-0005-0000-0000-0000BA8A0000}"/>
    <cellStyle name="표준 5 3 3 3 5 3 4" xfId="44875" xr:uid="{00000000-0005-0000-0000-0000BB8A0000}"/>
    <cellStyle name="표준 5 3 3 3 5 4" xfId="11877" xr:uid="{00000000-0005-0000-0000-0000BC8A0000}"/>
    <cellStyle name="표준 5 3 3 3 5 5" xfId="16117" xr:uid="{00000000-0005-0000-0000-0000BD8A0000}"/>
    <cellStyle name="표준 5 3 3 3 5 6" xfId="20279" xr:uid="{00000000-0005-0000-0000-0000BE8A0000}"/>
    <cellStyle name="표준 5 3 3 3 5 7" xfId="24375" xr:uid="{00000000-0005-0000-0000-0000BF8A0000}"/>
    <cellStyle name="표준 5 3 3 3 5 8" xfId="32586" xr:uid="{00000000-0005-0000-0000-0000C08A0000}"/>
    <cellStyle name="표준 5 3 3 3 5 9" xfId="40779" xr:uid="{00000000-0005-0000-0000-0000C18A0000}"/>
    <cellStyle name="표준 5 3 3 3 6" xfId="1422" xr:uid="{00000000-0005-0000-0000-0000C28A0000}"/>
    <cellStyle name="표준 5 3 3 3 6 2" xfId="10325" xr:uid="{00000000-0005-0000-0000-0000C38A0000}"/>
    <cellStyle name="표준 5 3 3 3 6 2 2" xfId="14437" xr:uid="{00000000-0005-0000-0000-0000C48A0000}"/>
    <cellStyle name="표준 5 3 3 3 6 2 2 2" xfId="31031" xr:uid="{00000000-0005-0000-0000-0000C58A0000}"/>
    <cellStyle name="표준 5 3 3 3 6 2 2 3" xfId="39242" xr:uid="{00000000-0005-0000-0000-0000C68A0000}"/>
    <cellStyle name="표준 5 3 3 3 6 2 2 4" xfId="47435" xr:uid="{00000000-0005-0000-0000-0000C78A0000}"/>
    <cellStyle name="표준 5 3 3 3 6 2 3" xfId="18677" xr:uid="{00000000-0005-0000-0000-0000C88A0000}"/>
    <cellStyle name="표준 5 3 3 3 6 2 4" xfId="22839" xr:uid="{00000000-0005-0000-0000-0000C98A0000}"/>
    <cellStyle name="표준 5 3 3 3 6 2 5" xfId="26935" xr:uid="{00000000-0005-0000-0000-0000CA8A0000}"/>
    <cellStyle name="표준 5 3 3 3 6 2 6" xfId="35146" xr:uid="{00000000-0005-0000-0000-0000CB8A0000}"/>
    <cellStyle name="표준 5 3 3 3 6 2 7" xfId="43339" xr:uid="{00000000-0005-0000-0000-0000CC8A0000}"/>
    <cellStyle name="표준 5 3 3 3 6 3" xfId="8277" xr:uid="{00000000-0005-0000-0000-0000CD8A0000}"/>
    <cellStyle name="표준 5 3 3 3 6 3 2" xfId="28983" xr:uid="{00000000-0005-0000-0000-0000CE8A0000}"/>
    <cellStyle name="표준 5 3 3 3 6 3 3" xfId="37194" xr:uid="{00000000-0005-0000-0000-0000CF8A0000}"/>
    <cellStyle name="표준 5 3 3 3 6 3 4" xfId="45387" xr:uid="{00000000-0005-0000-0000-0000D08A0000}"/>
    <cellStyle name="표준 5 3 3 3 6 4" xfId="12389" xr:uid="{00000000-0005-0000-0000-0000D18A0000}"/>
    <cellStyle name="표준 5 3 3 3 6 5" xfId="16629" xr:uid="{00000000-0005-0000-0000-0000D28A0000}"/>
    <cellStyle name="표준 5 3 3 3 6 6" xfId="20791" xr:uid="{00000000-0005-0000-0000-0000D38A0000}"/>
    <cellStyle name="표준 5 3 3 3 6 7" xfId="24887" xr:uid="{00000000-0005-0000-0000-0000D48A0000}"/>
    <cellStyle name="표준 5 3 3 3 6 8" xfId="33098" xr:uid="{00000000-0005-0000-0000-0000D58A0000}"/>
    <cellStyle name="표준 5 3 3 3 6 9" xfId="41291" xr:uid="{00000000-0005-0000-0000-0000D68A0000}"/>
    <cellStyle name="표준 5 3 3 3 7" xfId="1934" xr:uid="{00000000-0005-0000-0000-0000D78A0000}"/>
    <cellStyle name="표준 5 3 3 3 7 2" xfId="10837" xr:uid="{00000000-0005-0000-0000-0000D88A0000}"/>
    <cellStyle name="표준 5 3 3 3 7 2 2" xfId="14949" xr:uid="{00000000-0005-0000-0000-0000D98A0000}"/>
    <cellStyle name="표준 5 3 3 3 7 2 2 2" xfId="31543" xr:uid="{00000000-0005-0000-0000-0000DA8A0000}"/>
    <cellStyle name="표준 5 3 3 3 7 2 2 3" xfId="39754" xr:uid="{00000000-0005-0000-0000-0000DB8A0000}"/>
    <cellStyle name="표준 5 3 3 3 7 2 2 4" xfId="47947" xr:uid="{00000000-0005-0000-0000-0000DC8A0000}"/>
    <cellStyle name="표준 5 3 3 3 7 2 3" xfId="19189" xr:uid="{00000000-0005-0000-0000-0000DD8A0000}"/>
    <cellStyle name="표준 5 3 3 3 7 2 4" xfId="23351" xr:uid="{00000000-0005-0000-0000-0000DE8A0000}"/>
    <cellStyle name="표준 5 3 3 3 7 2 5" xfId="27447" xr:uid="{00000000-0005-0000-0000-0000DF8A0000}"/>
    <cellStyle name="표준 5 3 3 3 7 2 6" xfId="35658" xr:uid="{00000000-0005-0000-0000-0000E08A0000}"/>
    <cellStyle name="표준 5 3 3 3 7 2 7" xfId="43851" xr:uid="{00000000-0005-0000-0000-0000E18A0000}"/>
    <cellStyle name="표준 5 3 3 3 7 3" xfId="8789" xr:uid="{00000000-0005-0000-0000-0000E28A0000}"/>
    <cellStyle name="표준 5 3 3 3 7 3 2" xfId="29495" xr:uid="{00000000-0005-0000-0000-0000E38A0000}"/>
    <cellStyle name="표준 5 3 3 3 7 3 3" xfId="37706" xr:uid="{00000000-0005-0000-0000-0000E48A0000}"/>
    <cellStyle name="표준 5 3 3 3 7 3 4" xfId="45899" xr:uid="{00000000-0005-0000-0000-0000E58A0000}"/>
    <cellStyle name="표준 5 3 3 3 7 4" xfId="12901" xr:uid="{00000000-0005-0000-0000-0000E68A0000}"/>
    <cellStyle name="표준 5 3 3 3 7 5" xfId="17141" xr:uid="{00000000-0005-0000-0000-0000E78A0000}"/>
    <cellStyle name="표준 5 3 3 3 7 6" xfId="21303" xr:uid="{00000000-0005-0000-0000-0000E88A0000}"/>
    <cellStyle name="표준 5 3 3 3 7 7" xfId="25399" xr:uid="{00000000-0005-0000-0000-0000E98A0000}"/>
    <cellStyle name="표준 5 3 3 3 7 8" xfId="33610" xr:uid="{00000000-0005-0000-0000-0000EA8A0000}"/>
    <cellStyle name="표준 5 3 3 3 7 9" xfId="41803" xr:uid="{00000000-0005-0000-0000-0000EB8A0000}"/>
    <cellStyle name="표준 5 3 3 3 8" xfId="398" xr:uid="{00000000-0005-0000-0000-0000EC8A0000}"/>
    <cellStyle name="표준 5 3 3 3 8 2" xfId="9301" xr:uid="{00000000-0005-0000-0000-0000ED8A0000}"/>
    <cellStyle name="표준 5 3 3 3 8 2 2" xfId="30007" xr:uid="{00000000-0005-0000-0000-0000EE8A0000}"/>
    <cellStyle name="표준 5 3 3 3 8 2 3" xfId="38218" xr:uid="{00000000-0005-0000-0000-0000EF8A0000}"/>
    <cellStyle name="표준 5 3 3 3 8 2 4" xfId="46411" xr:uid="{00000000-0005-0000-0000-0000F08A0000}"/>
    <cellStyle name="표준 5 3 3 3 8 3" xfId="13413" xr:uid="{00000000-0005-0000-0000-0000F18A0000}"/>
    <cellStyle name="표준 5 3 3 3 8 4" xfId="17653" xr:uid="{00000000-0005-0000-0000-0000F28A0000}"/>
    <cellStyle name="표준 5 3 3 3 8 5" xfId="21815" xr:uid="{00000000-0005-0000-0000-0000F38A0000}"/>
    <cellStyle name="표준 5 3 3 3 8 6" xfId="25911" xr:uid="{00000000-0005-0000-0000-0000F48A0000}"/>
    <cellStyle name="표준 5 3 3 3 8 7" xfId="34122" xr:uid="{00000000-0005-0000-0000-0000F58A0000}"/>
    <cellStyle name="표준 5 3 3 3 8 8" xfId="42315" xr:uid="{00000000-0005-0000-0000-0000F68A0000}"/>
    <cellStyle name="표준 5 3 3 3 9" xfId="7000" xr:uid="{00000000-0005-0000-0000-0000F78A0000}"/>
    <cellStyle name="표준 5 3 3 3 9 2" xfId="27959" xr:uid="{00000000-0005-0000-0000-0000F88A0000}"/>
    <cellStyle name="표준 5 3 3 3 9 3" xfId="36170" xr:uid="{00000000-0005-0000-0000-0000F98A0000}"/>
    <cellStyle name="표준 5 3 3 3 9 4" xfId="44363" xr:uid="{00000000-0005-0000-0000-0000FA8A0000}"/>
    <cellStyle name="표준 5 3 3 30" xfId="32025" xr:uid="{00000000-0005-0000-0000-0000FB8A0000}"/>
    <cellStyle name="표준 5 3 3 31" xfId="32042" xr:uid="{00000000-0005-0000-0000-0000FC8A0000}"/>
    <cellStyle name="표준 5 3 3 32" xfId="40235" xr:uid="{00000000-0005-0000-0000-0000FD8A0000}"/>
    <cellStyle name="표준 5 3 3 33" xfId="48437" xr:uid="{00000000-0005-0000-0000-0000FE8A0000}"/>
    <cellStyle name="표준 5 3 3 4" xfId="430" xr:uid="{00000000-0005-0000-0000-0000FF8A0000}"/>
    <cellStyle name="표준 5 3 3 4 10" xfId="11397" xr:uid="{00000000-0005-0000-0000-0000008B0000}"/>
    <cellStyle name="표준 5 3 3 4 11" xfId="15509" xr:uid="{00000000-0005-0000-0000-0000018B0000}"/>
    <cellStyle name="표준 5 3 3 4 12" xfId="15637" xr:uid="{00000000-0005-0000-0000-0000028B0000}"/>
    <cellStyle name="표준 5 3 3 4 13" xfId="19799" xr:uid="{00000000-0005-0000-0000-0000038B0000}"/>
    <cellStyle name="표준 5 3 3 4 14" xfId="23895" xr:uid="{00000000-0005-0000-0000-0000048B0000}"/>
    <cellStyle name="표준 5 3 3 4 15" xfId="32106" xr:uid="{00000000-0005-0000-0000-0000058B0000}"/>
    <cellStyle name="표준 5 3 3 4 16" xfId="40299" xr:uid="{00000000-0005-0000-0000-0000068B0000}"/>
    <cellStyle name="표준 5 3 3 4 2" xfId="558" xr:uid="{00000000-0005-0000-0000-0000078B0000}"/>
    <cellStyle name="표준 5 3 3 4 2 10" xfId="19927" xr:uid="{00000000-0005-0000-0000-0000088B0000}"/>
    <cellStyle name="표준 5 3 3 4 2 11" xfId="24023" xr:uid="{00000000-0005-0000-0000-0000098B0000}"/>
    <cellStyle name="표준 5 3 3 4 2 12" xfId="32234" xr:uid="{00000000-0005-0000-0000-00000A8B0000}"/>
    <cellStyle name="표준 5 3 3 4 2 13" xfId="40427" xr:uid="{00000000-0005-0000-0000-00000B8B0000}"/>
    <cellStyle name="표준 5 3 3 4 2 2" xfId="814" xr:uid="{00000000-0005-0000-0000-00000C8B0000}"/>
    <cellStyle name="표준 5 3 3 4 2 2 10" xfId="24279" xr:uid="{00000000-0005-0000-0000-00000D8B0000}"/>
    <cellStyle name="표준 5 3 3 4 2 2 11" xfId="32490" xr:uid="{00000000-0005-0000-0000-00000E8B0000}"/>
    <cellStyle name="표준 5 3 3 4 2 2 12" xfId="40683" xr:uid="{00000000-0005-0000-0000-00000F8B0000}"/>
    <cellStyle name="표준 5 3 3 4 2 2 2" xfId="1326" xr:uid="{00000000-0005-0000-0000-0000108B0000}"/>
    <cellStyle name="표준 5 3 3 4 2 2 2 2" xfId="10229" xr:uid="{00000000-0005-0000-0000-0000118B0000}"/>
    <cellStyle name="표준 5 3 3 4 2 2 2 2 2" xfId="14341" xr:uid="{00000000-0005-0000-0000-0000128B0000}"/>
    <cellStyle name="표준 5 3 3 4 2 2 2 2 2 2" xfId="30935" xr:uid="{00000000-0005-0000-0000-0000138B0000}"/>
    <cellStyle name="표준 5 3 3 4 2 2 2 2 2 3" xfId="39146" xr:uid="{00000000-0005-0000-0000-0000148B0000}"/>
    <cellStyle name="표준 5 3 3 4 2 2 2 2 2 4" xfId="47339" xr:uid="{00000000-0005-0000-0000-0000158B0000}"/>
    <cellStyle name="표준 5 3 3 4 2 2 2 2 3" xfId="18581" xr:uid="{00000000-0005-0000-0000-0000168B0000}"/>
    <cellStyle name="표준 5 3 3 4 2 2 2 2 4" xfId="22743" xr:uid="{00000000-0005-0000-0000-0000178B0000}"/>
    <cellStyle name="표준 5 3 3 4 2 2 2 2 5" xfId="26839" xr:uid="{00000000-0005-0000-0000-0000188B0000}"/>
    <cellStyle name="표준 5 3 3 4 2 2 2 2 6" xfId="35050" xr:uid="{00000000-0005-0000-0000-0000198B0000}"/>
    <cellStyle name="표준 5 3 3 4 2 2 2 2 7" xfId="43243" xr:uid="{00000000-0005-0000-0000-00001A8B0000}"/>
    <cellStyle name="표준 5 3 3 4 2 2 2 3" xfId="8181" xr:uid="{00000000-0005-0000-0000-00001B8B0000}"/>
    <cellStyle name="표준 5 3 3 4 2 2 2 3 2" xfId="28887" xr:uid="{00000000-0005-0000-0000-00001C8B0000}"/>
    <cellStyle name="표준 5 3 3 4 2 2 2 3 3" xfId="37098" xr:uid="{00000000-0005-0000-0000-00001D8B0000}"/>
    <cellStyle name="표준 5 3 3 4 2 2 2 3 4" xfId="45291" xr:uid="{00000000-0005-0000-0000-00001E8B0000}"/>
    <cellStyle name="표준 5 3 3 4 2 2 2 4" xfId="12293" xr:uid="{00000000-0005-0000-0000-00001F8B0000}"/>
    <cellStyle name="표준 5 3 3 4 2 2 2 5" xfId="16533" xr:uid="{00000000-0005-0000-0000-0000208B0000}"/>
    <cellStyle name="표준 5 3 3 4 2 2 2 6" xfId="20695" xr:uid="{00000000-0005-0000-0000-0000218B0000}"/>
    <cellStyle name="표준 5 3 3 4 2 2 2 7" xfId="24791" xr:uid="{00000000-0005-0000-0000-0000228B0000}"/>
    <cellStyle name="표준 5 3 3 4 2 2 2 8" xfId="33002" xr:uid="{00000000-0005-0000-0000-0000238B0000}"/>
    <cellStyle name="표준 5 3 3 4 2 2 2 9" xfId="41195" xr:uid="{00000000-0005-0000-0000-0000248B0000}"/>
    <cellStyle name="표준 5 3 3 4 2 2 3" xfId="1838" xr:uid="{00000000-0005-0000-0000-0000258B0000}"/>
    <cellStyle name="표준 5 3 3 4 2 2 3 2" xfId="10741" xr:uid="{00000000-0005-0000-0000-0000268B0000}"/>
    <cellStyle name="표준 5 3 3 4 2 2 3 2 2" xfId="14853" xr:uid="{00000000-0005-0000-0000-0000278B0000}"/>
    <cellStyle name="표준 5 3 3 4 2 2 3 2 2 2" xfId="31447" xr:uid="{00000000-0005-0000-0000-0000288B0000}"/>
    <cellStyle name="표준 5 3 3 4 2 2 3 2 2 3" xfId="39658" xr:uid="{00000000-0005-0000-0000-0000298B0000}"/>
    <cellStyle name="표준 5 3 3 4 2 2 3 2 2 4" xfId="47851" xr:uid="{00000000-0005-0000-0000-00002A8B0000}"/>
    <cellStyle name="표준 5 3 3 4 2 2 3 2 3" xfId="19093" xr:uid="{00000000-0005-0000-0000-00002B8B0000}"/>
    <cellStyle name="표준 5 3 3 4 2 2 3 2 4" xfId="23255" xr:uid="{00000000-0005-0000-0000-00002C8B0000}"/>
    <cellStyle name="표준 5 3 3 4 2 2 3 2 5" xfId="27351" xr:uid="{00000000-0005-0000-0000-00002D8B0000}"/>
    <cellStyle name="표준 5 3 3 4 2 2 3 2 6" xfId="35562" xr:uid="{00000000-0005-0000-0000-00002E8B0000}"/>
    <cellStyle name="표준 5 3 3 4 2 2 3 2 7" xfId="43755" xr:uid="{00000000-0005-0000-0000-00002F8B0000}"/>
    <cellStyle name="표준 5 3 3 4 2 2 3 3" xfId="8693" xr:uid="{00000000-0005-0000-0000-0000308B0000}"/>
    <cellStyle name="표준 5 3 3 4 2 2 3 3 2" xfId="29399" xr:uid="{00000000-0005-0000-0000-0000318B0000}"/>
    <cellStyle name="표준 5 3 3 4 2 2 3 3 3" xfId="37610" xr:uid="{00000000-0005-0000-0000-0000328B0000}"/>
    <cellStyle name="표준 5 3 3 4 2 2 3 3 4" xfId="45803" xr:uid="{00000000-0005-0000-0000-0000338B0000}"/>
    <cellStyle name="표준 5 3 3 4 2 2 3 4" xfId="12805" xr:uid="{00000000-0005-0000-0000-0000348B0000}"/>
    <cellStyle name="표준 5 3 3 4 2 2 3 5" xfId="17045" xr:uid="{00000000-0005-0000-0000-0000358B0000}"/>
    <cellStyle name="표준 5 3 3 4 2 2 3 6" xfId="21207" xr:uid="{00000000-0005-0000-0000-0000368B0000}"/>
    <cellStyle name="표준 5 3 3 4 2 2 3 7" xfId="25303" xr:uid="{00000000-0005-0000-0000-0000378B0000}"/>
    <cellStyle name="표준 5 3 3 4 2 2 3 8" xfId="33514" xr:uid="{00000000-0005-0000-0000-0000388B0000}"/>
    <cellStyle name="표준 5 3 3 4 2 2 3 9" xfId="41707" xr:uid="{00000000-0005-0000-0000-0000398B0000}"/>
    <cellStyle name="표준 5 3 3 4 2 2 4" xfId="2350" xr:uid="{00000000-0005-0000-0000-00003A8B0000}"/>
    <cellStyle name="표준 5 3 3 4 2 2 4 2" xfId="11253" xr:uid="{00000000-0005-0000-0000-00003B8B0000}"/>
    <cellStyle name="표준 5 3 3 4 2 2 4 2 2" xfId="15365" xr:uid="{00000000-0005-0000-0000-00003C8B0000}"/>
    <cellStyle name="표준 5 3 3 4 2 2 4 2 2 2" xfId="31959" xr:uid="{00000000-0005-0000-0000-00003D8B0000}"/>
    <cellStyle name="표준 5 3 3 4 2 2 4 2 2 3" xfId="40170" xr:uid="{00000000-0005-0000-0000-00003E8B0000}"/>
    <cellStyle name="표준 5 3 3 4 2 2 4 2 2 4" xfId="48363" xr:uid="{00000000-0005-0000-0000-00003F8B0000}"/>
    <cellStyle name="표준 5 3 3 4 2 2 4 2 3" xfId="19605" xr:uid="{00000000-0005-0000-0000-0000408B0000}"/>
    <cellStyle name="표준 5 3 3 4 2 2 4 2 4" xfId="23767" xr:uid="{00000000-0005-0000-0000-0000418B0000}"/>
    <cellStyle name="표준 5 3 3 4 2 2 4 2 5" xfId="27863" xr:uid="{00000000-0005-0000-0000-0000428B0000}"/>
    <cellStyle name="표준 5 3 3 4 2 2 4 2 6" xfId="36074" xr:uid="{00000000-0005-0000-0000-0000438B0000}"/>
    <cellStyle name="표준 5 3 3 4 2 2 4 2 7" xfId="44267" xr:uid="{00000000-0005-0000-0000-0000448B0000}"/>
    <cellStyle name="표준 5 3 3 4 2 2 4 3" xfId="9205" xr:uid="{00000000-0005-0000-0000-0000458B0000}"/>
    <cellStyle name="표준 5 3 3 4 2 2 4 3 2" xfId="29911" xr:uid="{00000000-0005-0000-0000-0000468B0000}"/>
    <cellStyle name="표준 5 3 3 4 2 2 4 3 3" xfId="38122" xr:uid="{00000000-0005-0000-0000-0000478B0000}"/>
    <cellStyle name="표준 5 3 3 4 2 2 4 3 4" xfId="46315" xr:uid="{00000000-0005-0000-0000-0000488B0000}"/>
    <cellStyle name="표준 5 3 3 4 2 2 4 4" xfId="13317" xr:uid="{00000000-0005-0000-0000-0000498B0000}"/>
    <cellStyle name="표준 5 3 3 4 2 2 4 5" xfId="17557" xr:uid="{00000000-0005-0000-0000-00004A8B0000}"/>
    <cellStyle name="표준 5 3 3 4 2 2 4 6" xfId="21719" xr:uid="{00000000-0005-0000-0000-00004B8B0000}"/>
    <cellStyle name="표준 5 3 3 4 2 2 4 7" xfId="25815" xr:uid="{00000000-0005-0000-0000-00004C8B0000}"/>
    <cellStyle name="표준 5 3 3 4 2 2 4 8" xfId="34026" xr:uid="{00000000-0005-0000-0000-00004D8B0000}"/>
    <cellStyle name="표준 5 3 3 4 2 2 4 9" xfId="42219" xr:uid="{00000000-0005-0000-0000-00004E8B0000}"/>
    <cellStyle name="표준 5 3 3 4 2 2 5" xfId="9717" xr:uid="{00000000-0005-0000-0000-00004F8B0000}"/>
    <cellStyle name="표준 5 3 3 4 2 2 5 2" xfId="13829" xr:uid="{00000000-0005-0000-0000-0000508B0000}"/>
    <cellStyle name="표준 5 3 3 4 2 2 5 2 2" xfId="30423" xr:uid="{00000000-0005-0000-0000-0000518B0000}"/>
    <cellStyle name="표준 5 3 3 4 2 2 5 2 3" xfId="38634" xr:uid="{00000000-0005-0000-0000-0000528B0000}"/>
    <cellStyle name="표준 5 3 3 4 2 2 5 2 4" xfId="46827" xr:uid="{00000000-0005-0000-0000-0000538B0000}"/>
    <cellStyle name="표준 5 3 3 4 2 2 5 3" xfId="18069" xr:uid="{00000000-0005-0000-0000-0000548B0000}"/>
    <cellStyle name="표준 5 3 3 4 2 2 5 4" xfId="22231" xr:uid="{00000000-0005-0000-0000-0000558B0000}"/>
    <cellStyle name="표준 5 3 3 4 2 2 5 5" xfId="26327" xr:uid="{00000000-0005-0000-0000-0000568B0000}"/>
    <cellStyle name="표준 5 3 3 4 2 2 5 6" xfId="34538" xr:uid="{00000000-0005-0000-0000-0000578B0000}"/>
    <cellStyle name="표준 5 3 3 4 2 2 5 7" xfId="42731" xr:uid="{00000000-0005-0000-0000-0000588B0000}"/>
    <cellStyle name="표준 5 3 3 4 2 2 6" xfId="7669" xr:uid="{00000000-0005-0000-0000-0000598B0000}"/>
    <cellStyle name="표준 5 3 3 4 2 2 6 2" xfId="28375" xr:uid="{00000000-0005-0000-0000-00005A8B0000}"/>
    <cellStyle name="표준 5 3 3 4 2 2 6 3" xfId="36586" xr:uid="{00000000-0005-0000-0000-00005B8B0000}"/>
    <cellStyle name="표준 5 3 3 4 2 2 6 4" xfId="44779" xr:uid="{00000000-0005-0000-0000-00005C8B0000}"/>
    <cellStyle name="표준 5 3 3 4 2 2 7" xfId="11781" xr:uid="{00000000-0005-0000-0000-00005D8B0000}"/>
    <cellStyle name="표준 5 3 3 4 2 2 8" xfId="16021" xr:uid="{00000000-0005-0000-0000-00005E8B0000}"/>
    <cellStyle name="표준 5 3 3 4 2 2 9" xfId="20183" xr:uid="{00000000-0005-0000-0000-00005F8B0000}"/>
    <cellStyle name="표준 5 3 3 4 2 3" xfId="1070" xr:uid="{00000000-0005-0000-0000-0000608B0000}"/>
    <cellStyle name="표준 5 3 3 4 2 3 2" xfId="9973" xr:uid="{00000000-0005-0000-0000-0000618B0000}"/>
    <cellStyle name="표준 5 3 3 4 2 3 2 2" xfId="14085" xr:uid="{00000000-0005-0000-0000-0000628B0000}"/>
    <cellStyle name="표준 5 3 3 4 2 3 2 2 2" xfId="30679" xr:uid="{00000000-0005-0000-0000-0000638B0000}"/>
    <cellStyle name="표준 5 3 3 4 2 3 2 2 3" xfId="38890" xr:uid="{00000000-0005-0000-0000-0000648B0000}"/>
    <cellStyle name="표준 5 3 3 4 2 3 2 2 4" xfId="47083" xr:uid="{00000000-0005-0000-0000-0000658B0000}"/>
    <cellStyle name="표준 5 3 3 4 2 3 2 3" xfId="18325" xr:uid="{00000000-0005-0000-0000-0000668B0000}"/>
    <cellStyle name="표준 5 3 3 4 2 3 2 4" xfId="22487" xr:uid="{00000000-0005-0000-0000-0000678B0000}"/>
    <cellStyle name="표준 5 3 3 4 2 3 2 5" xfId="26583" xr:uid="{00000000-0005-0000-0000-0000688B0000}"/>
    <cellStyle name="표준 5 3 3 4 2 3 2 6" xfId="34794" xr:uid="{00000000-0005-0000-0000-0000698B0000}"/>
    <cellStyle name="표준 5 3 3 4 2 3 2 7" xfId="42987" xr:uid="{00000000-0005-0000-0000-00006A8B0000}"/>
    <cellStyle name="표준 5 3 3 4 2 3 3" xfId="7925" xr:uid="{00000000-0005-0000-0000-00006B8B0000}"/>
    <cellStyle name="표준 5 3 3 4 2 3 3 2" xfId="28631" xr:uid="{00000000-0005-0000-0000-00006C8B0000}"/>
    <cellStyle name="표준 5 3 3 4 2 3 3 3" xfId="36842" xr:uid="{00000000-0005-0000-0000-00006D8B0000}"/>
    <cellStyle name="표준 5 3 3 4 2 3 3 4" xfId="45035" xr:uid="{00000000-0005-0000-0000-00006E8B0000}"/>
    <cellStyle name="표준 5 3 3 4 2 3 4" xfId="12037" xr:uid="{00000000-0005-0000-0000-00006F8B0000}"/>
    <cellStyle name="표준 5 3 3 4 2 3 5" xfId="16277" xr:uid="{00000000-0005-0000-0000-0000708B0000}"/>
    <cellStyle name="표준 5 3 3 4 2 3 6" xfId="20439" xr:uid="{00000000-0005-0000-0000-0000718B0000}"/>
    <cellStyle name="표준 5 3 3 4 2 3 7" xfId="24535" xr:uid="{00000000-0005-0000-0000-0000728B0000}"/>
    <cellStyle name="표준 5 3 3 4 2 3 8" xfId="32746" xr:uid="{00000000-0005-0000-0000-0000738B0000}"/>
    <cellStyle name="표준 5 3 3 4 2 3 9" xfId="40939" xr:uid="{00000000-0005-0000-0000-0000748B0000}"/>
    <cellStyle name="표준 5 3 3 4 2 4" xfId="1582" xr:uid="{00000000-0005-0000-0000-0000758B0000}"/>
    <cellStyle name="표준 5 3 3 4 2 4 2" xfId="10485" xr:uid="{00000000-0005-0000-0000-0000768B0000}"/>
    <cellStyle name="표준 5 3 3 4 2 4 2 2" xfId="14597" xr:uid="{00000000-0005-0000-0000-0000778B0000}"/>
    <cellStyle name="표준 5 3 3 4 2 4 2 2 2" xfId="31191" xr:uid="{00000000-0005-0000-0000-0000788B0000}"/>
    <cellStyle name="표준 5 3 3 4 2 4 2 2 3" xfId="39402" xr:uid="{00000000-0005-0000-0000-0000798B0000}"/>
    <cellStyle name="표준 5 3 3 4 2 4 2 2 4" xfId="47595" xr:uid="{00000000-0005-0000-0000-00007A8B0000}"/>
    <cellStyle name="표준 5 3 3 4 2 4 2 3" xfId="18837" xr:uid="{00000000-0005-0000-0000-00007B8B0000}"/>
    <cellStyle name="표준 5 3 3 4 2 4 2 4" xfId="22999" xr:uid="{00000000-0005-0000-0000-00007C8B0000}"/>
    <cellStyle name="표준 5 3 3 4 2 4 2 5" xfId="27095" xr:uid="{00000000-0005-0000-0000-00007D8B0000}"/>
    <cellStyle name="표준 5 3 3 4 2 4 2 6" xfId="35306" xr:uid="{00000000-0005-0000-0000-00007E8B0000}"/>
    <cellStyle name="표준 5 3 3 4 2 4 2 7" xfId="43499" xr:uid="{00000000-0005-0000-0000-00007F8B0000}"/>
    <cellStyle name="표준 5 3 3 4 2 4 3" xfId="8437" xr:uid="{00000000-0005-0000-0000-0000808B0000}"/>
    <cellStyle name="표준 5 3 3 4 2 4 3 2" xfId="29143" xr:uid="{00000000-0005-0000-0000-0000818B0000}"/>
    <cellStyle name="표준 5 3 3 4 2 4 3 3" xfId="37354" xr:uid="{00000000-0005-0000-0000-0000828B0000}"/>
    <cellStyle name="표준 5 3 3 4 2 4 3 4" xfId="45547" xr:uid="{00000000-0005-0000-0000-0000838B0000}"/>
    <cellStyle name="표준 5 3 3 4 2 4 4" xfId="12549" xr:uid="{00000000-0005-0000-0000-0000848B0000}"/>
    <cellStyle name="표준 5 3 3 4 2 4 5" xfId="16789" xr:uid="{00000000-0005-0000-0000-0000858B0000}"/>
    <cellStyle name="표준 5 3 3 4 2 4 6" xfId="20951" xr:uid="{00000000-0005-0000-0000-0000868B0000}"/>
    <cellStyle name="표준 5 3 3 4 2 4 7" xfId="25047" xr:uid="{00000000-0005-0000-0000-0000878B0000}"/>
    <cellStyle name="표준 5 3 3 4 2 4 8" xfId="33258" xr:uid="{00000000-0005-0000-0000-0000888B0000}"/>
    <cellStyle name="표준 5 3 3 4 2 4 9" xfId="41451" xr:uid="{00000000-0005-0000-0000-0000898B0000}"/>
    <cellStyle name="표준 5 3 3 4 2 5" xfId="2094" xr:uid="{00000000-0005-0000-0000-00008A8B0000}"/>
    <cellStyle name="표준 5 3 3 4 2 5 2" xfId="10997" xr:uid="{00000000-0005-0000-0000-00008B8B0000}"/>
    <cellStyle name="표준 5 3 3 4 2 5 2 2" xfId="15109" xr:uid="{00000000-0005-0000-0000-00008C8B0000}"/>
    <cellStyle name="표준 5 3 3 4 2 5 2 2 2" xfId="31703" xr:uid="{00000000-0005-0000-0000-00008D8B0000}"/>
    <cellStyle name="표준 5 3 3 4 2 5 2 2 3" xfId="39914" xr:uid="{00000000-0005-0000-0000-00008E8B0000}"/>
    <cellStyle name="표준 5 3 3 4 2 5 2 2 4" xfId="48107" xr:uid="{00000000-0005-0000-0000-00008F8B0000}"/>
    <cellStyle name="표준 5 3 3 4 2 5 2 3" xfId="19349" xr:uid="{00000000-0005-0000-0000-0000908B0000}"/>
    <cellStyle name="표준 5 3 3 4 2 5 2 4" xfId="23511" xr:uid="{00000000-0005-0000-0000-0000918B0000}"/>
    <cellStyle name="표준 5 3 3 4 2 5 2 5" xfId="27607" xr:uid="{00000000-0005-0000-0000-0000928B0000}"/>
    <cellStyle name="표준 5 3 3 4 2 5 2 6" xfId="35818" xr:uid="{00000000-0005-0000-0000-0000938B0000}"/>
    <cellStyle name="표준 5 3 3 4 2 5 2 7" xfId="44011" xr:uid="{00000000-0005-0000-0000-0000948B0000}"/>
    <cellStyle name="표준 5 3 3 4 2 5 3" xfId="8949" xr:uid="{00000000-0005-0000-0000-0000958B0000}"/>
    <cellStyle name="표준 5 3 3 4 2 5 3 2" xfId="29655" xr:uid="{00000000-0005-0000-0000-0000968B0000}"/>
    <cellStyle name="표준 5 3 3 4 2 5 3 3" xfId="37866" xr:uid="{00000000-0005-0000-0000-0000978B0000}"/>
    <cellStyle name="표준 5 3 3 4 2 5 3 4" xfId="46059" xr:uid="{00000000-0005-0000-0000-0000988B0000}"/>
    <cellStyle name="표준 5 3 3 4 2 5 4" xfId="13061" xr:uid="{00000000-0005-0000-0000-0000998B0000}"/>
    <cellStyle name="표준 5 3 3 4 2 5 5" xfId="17301" xr:uid="{00000000-0005-0000-0000-00009A8B0000}"/>
    <cellStyle name="표준 5 3 3 4 2 5 6" xfId="21463" xr:uid="{00000000-0005-0000-0000-00009B8B0000}"/>
    <cellStyle name="표준 5 3 3 4 2 5 7" xfId="25559" xr:uid="{00000000-0005-0000-0000-00009C8B0000}"/>
    <cellStyle name="표준 5 3 3 4 2 5 8" xfId="33770" xr:uid="{00000000-0005-0000-0000-00009D8B0000}"/>
    <cellStyle name="표준 5 3 3 4 2 5 9" xfId="41963" xr:uid="{00000000-0005-0000-0000-00009E8B0000}"/>
    <cellStyle name="표준 5 3 3 4 2 6" xfId="9461" xr:uid="{00000000-0005-0000-0000-00009F8B0000}"/>
    <cellStyle name="표준 5 3 3 4 2 6 2" xfId="13573" xr:uid="{00000000-0005-0000-0000-0000A08B0000}"/>
    <cellStyle name="표준 5 3 3 4 2 6 2 2" xfId="30167" xr:uid="{00000000-0005-0000-0000-0000A18B0000}"/>
    <cellStyle name="표준 5 3 3 4 2 6 2 3" xfId="38378" xr:uid="{00000000-0005-0000-0000-0000A28B0000}"/>
    <cellStyle name="표준 5 3 3 4 2 6 2 4" xfId="46571" xr:uid="{00000000-0005-0000-0000-0000A38B0000}"/>
    <cellStyle name="표준 5 3 3 4 2 6 3" xfId="17813" xr:uid="{00000000-0005-0000-0000-0000A48B0000}"/>
    <cellStyle name="표준 5 3 3 4 2 6 4" xfId="21975" xr:uid="{00000000-0005-0000-0000-0000A58B0000}"/>
    <cellStyle name="표준 5 3 3 4 2 6 5" xfId="26071" xr:uid="{00000000-0005-0000-0000-0000A68B0000}"/>
    <cellStyle name="표준 5 3 3 4 2 6 6" xfId="34282" xr:uid="{00000000-0005-0000-0000-0000A78B0000}"/>
    <cellStyle name="표준 5 3 3 4 2 6 7" xfId="42475" xr:uid="{00000000-0005-0000-0000-0000A88B0000}"/>
    <cellStyle name="표준 5 3 3 4 2 7" xfId="7413" xr:uid="{00000000-0005-0000-0000-0000A98B0000}"/>
    <cellStyle name="표준 5 3 3 4 2 7 2" xfId="28119" xr:uid="{00000000-0005-0000-0000-0000AA8B0000}"/>
    <cellStyle name="표준 5 3 3 4 2 7 3" xfId="36330" xr:uid="{00000000-0005-0000-0000-0000AB8B0000}"/>
    <cellStyle name="표준 5 3 3 4 2 7 4" xfId="44523" xr:uid="{00000000-0005-0000-0000-0000AC8B0000}"/>
    <cellStyle name="표준 5 3 3 4 2 8" xfId="11525" xr:uid="{00000000-0005-0000-0000-0000AD8B0000}"/>
    <cellStyle name="표준 5 3 3 4 2 9" xfId="15765" xr:uid="{00000000-0005-0000-0000-0000AE8B0000}"/>
    <cellStyle name="표준 5 3 3 4 3" xfId="686" xr:uid="{00000000-0005-0000-0000-0000AF8B0000}"/>
    <cellStyle name="표준 5 3 3 4 3 10" xfId="24151" xr:uid="{00000000-0005-0000-0000-0000B08B0000}"/>
    <cellStyle name="표준 5 3 3 4 3 11" xfId="32362" xr:uid="{00000000-0005-0000-0000-0000B18B0000}"/>
    <cellStyle name="표준 5 3 3 4 3 12" xfId="40555" xr:uid="{00000000-0005-0000-0000-0000B28B0000}"/>
    <cellStyle name="표준 5 3 3 4 3 2" xfId="1198" xr:uid="{00000000-0005-0000-0000-0000B38B0000}"/>
    <cellStyle name="표준 5 3 3 4 3 2 2" xfId="10101" xr:uid="{00000000-0005-0000-0000-0000B48B0000}"/>
    <cellStyle name="표준 5 3 3 4 3 2 2 2" xfId="14213" xr:uid="{00000000-0005-0000-0000-0000B58B0000}"/>
    <cellStyle name="표준 5 3 3 4 3 2 2 2 2" xfId="30807" xr:uid="{00000000-0005-0000-0000-0000B68B0000}"/>
    <cellStyle name="표준 5 3 3 4 3 2 2 2 3" xfId="39018" xr:uid="{00000000-0005-0000-0000-0000B78B0000}"/>
    <cellStyle name="표준 5 3 3 4 3 2 2 2 4" xfId="47211" xr:uid="{00000000-0005-0000-0000-0000B88B0000}"/>
    <cellStyle name="표준 5 3 3 4 3 2 2 3" xfId="18453" xr:uid="{00000000-0005-0000-0000-0000B98B0000}"/>
    <cellStyle name="표준 5 3 3 4 3 2 2 4" xfId="22615" xr:uid="{00000000-0005-0000-0000-0000BA8B0000}"/>
    <cellStyle name="표준 5 3 3 4 3 2 2 5" xfId="26711" xr:uid="{00000000-0005-0000-0000-0000BB8B0000}"/>
    <cellStyle name="표준 5 3 3 4 3 2 2 6" xfId="34922" xr:uid="{00000000-0005-0000-0000-0000BC8B0000}"/>
    <cellStyle name="표준 5 3 3 4 3 2 2 7" xfId="43115" xr:uid="{00000000-0005-0000-0000-0000BD8B0000}"/>
    <cellStyle name="표준 5 3 3 4 3 2 3" xfId="8053" xr:uid="{00000000-0005-0000-0000-0000BE8B0000}"/>
    <cellStyle name="표준 5 3 3 4 3 2 3 2" xfId="28759" xr:uid="{00000000-0005-0000-0000-0000BF8B0000}"/>
    <cellStyle name="표준 5 3 3 4 3 2 3 3" xfId="36970" xr:uid="{00000000-0005-0000-0000-0000C08B0000}"/>
    <cellStyle name="표준 5 3 3 4 3 2 3 4" xfId="45163" xr:uid="{00000000-0005-0000-0000-0000C18B0000}"/>
    <cellStyle name="표준 5 3 3 4 3 2 4" xfId="12165" xr:uid="{00000000-0005-0000-0000-0000C28B0000}"/>
    <cellStyle name="표준 5 3 3 4 3 2 5" xfId="16405" xr:uid="{00000000-0005-0000-0000-0000C38B0000}"/>
    <cellStyle name="표준 5 3 3 4 3 2 6" xfId="20567" xr:uid="{00000000-0005-0000-0000-0000C48B0000}"/>
    <cellStyle name="표준 5 3 3 4 3 2 7" xfId="24663" xr:uid="{00000000-0005-0000-0000-0000C58B0000}"/>
    <cellStyle name="표준 5 3 3 4 3 2 8" xfId="32874" xr:uid="{00000000-0005-0000-0000-0000C68B0000}"/>
    <cellStyle name="표준 5 3 3 4 3 2 9" xfId="41067" xr:uid="{00000000-0005-0000-0000-0000C78B0000}"/>
    <cellStyle name="표준 5 3 3 4 3 3" xfId="1710" xr:uid="{00000000-0005-0000-0000-0000C88B0000}"/>
    <cellStyle name="표준 5 3 3 4 3 3 2" xfId="10613" xr:uid="{00000000-0005-0000-0000-0000C98B0000}"/>
    <cellStyle name="표준 5 3 3 4 3 3 2 2" xfId="14725" xr:uid="{00000000-0005-0000-0000-0000CA8B0000}"/>
    <cellStyle name="표준 5 3 3 4 3 3 2 2 2" xfId="31319" xr:uid="{00000000-0005-0000-0000-0000CB8B0000}"/>
    <cellStyle name="표준 5 3 3 4 3 3 2 2 3" xfId="39530" xr:uid="{00000000-0005-0000-0000-0000CC8B0000}"/>
    <cellStyle name="표준 5 3 3 4 3 3 2 2 4" xfId="47723" xr:uid="{00000000-0005-0000-0000-0000CD8B0000}"/>
    <cellStyle name="표준 5 3 3 4 3 3 2 3" xfId="18965" xr:uid="{00000000-0005-0000-0000-0000CE8B0000}"/>
    <cellStyle name="표준 5 3 3 4 3 3 2 4" xfId="23127" xr:uid="{00000000-0005-0000-0000-0000CF8B0000}"/>
    <cellStyle name="표준 5 3 3 4 3 3 2 5" xfId="27223" xr:uid="{00000000-0005-0000-0000-0000D08B0000}"/>
    <cellStyle name="표준 5 3 3 4 3 3 2 6" xfId="35434" xr:uid="{00000000-0005-0000-0000-0000D18B0000}"/>
    <cellStyle name="표준 5 3 3 4 3 3 2 7" xfId="43627" xr:uid="{00000000-0005-0000-0000-0000D28B0000}"/>
    <cellStyle name="표준 5 3 3 4 3 3 3" xfId="8565" xr:uid="{00000000-0005-0000-0000-0000D38B0000}"/>
    <cellStyle name="표준 5 3 3 4 3 3 3 2" xfId="29271" xr:uid="{00000000-0005-0000-0000-0000D48B0000}"/>
    <cellStyle name="표준 5 3 3 4 3 3 3 3" xfId="37482" xr:uid="{00000000-0005-0000-0000-0000D58B0000}"/>
    <cellStyle name="표준 5 3 3 4 3 3 3 4" xfId="45675" xr:uid="{00000000-0005-0000-0000-0000D68B0000}"/>
    <cellStyle name="표준 5 3 3 4 3 3 4" xfId="12677" xr:uid="{00000000-0005-0000-0000-0000D78B0000}"/>
    <cellStyle name="표준 5 3 3 4 3 3 5" xfId="16917" xr:uid="{00000000-0005-0000-0000-0000D88B0000}"/>
    <cellStyle name="표준 5 3 3 4 3 3 6" xfId="21079" xr:uid="{00000000-0005-0000-0000-0000D98B0000}"/>
    <cellStyle name="표준 5 3 3 4 3 3 7" xfId="25175" xr:uid="{00000000-0005-0000-0000-0000DA8B0000}"/>
    <cellStyle name="표준 5 3 3 4 3 3 8" xfId="33386" xr:uid="{00000000-0005-0000-0000-0000DB8B0000}"/>
    <cellStyle name="표준 5 3 3 4 3 3 9" xfId="41579" xr:uid="{00000000-0005-0000-0000-0000DC8B0000}"/>
    <cellStyle name="표준 5 3 3 4 3 4" xfId="2222" xr:uid="{00000000-0005-0000-0000-0000DD8B0000}"/>
    <cellStyle name="표준 5 3 3 4 3 4 2" xfId="11125" xr:uid="{00000000-0005-0000-0000-0000DE8B0000}"/>
    <cellStyle name="표준 5 3 3 4 3 4 2 2" xfId="15237" xr:uid="{00000000-0005-0000-0000-0000DF8B0000}"/>
    <cellStyle name="표준 5 3 3 4 3 4 2 2 2" xfId="31831" xr:uid="{00000000-0005-0000-0000-0000E08B0000}"/>
    <cellStyle name="표준 5 3 3 4 3 4 2 2 3" xfId="40042" xr:uid="{00000000-0005-0000-0000-0000E18B0000}"/>
    <cellStyle name="표준 5 3 3 4 3 4 2 2 4" xfId="48235" xr:uid="{00000000-0005-0000-0000-0000E28B0000}"/>
    <cellStyle name="표준 5 3 3 4 3 4 2 3" xfId="19477" xr:uid="{00000000-0005-0000-0000-0000E38B0000}"/>
    <cellStyle name="표준 5 3 3 4 3 4 2 4" xfId="23639" xr:uid="{00000000-0005-0000-0000-0000E48B0000}"/>
    <cellStyle name="표준 5 3 3 4 3 4 2 5" xfId="27735" xr:uid="{00000000-0005-0000-0000-0000E58B0000}"/>
    <cellStyle name="표준 5 3 3 4 3 4 2 6" xfId="35946" xr:uid="{00000000-0005-0000-0000-0000E68B0000}"/>
    <cellStyle name="표준 5 3 3 4 3 4 2 7" xfId="44139" xr:uid="{00000000-0005-0000-0000-0000E78B0000}"/>
    <cellStyle name="표준 5 3 3 4 3 4 3" xfId="9077" xr:uid="{00000000-0005-0000-0000-0000E88B0000}"/>
    <cellStyle name="표준 5 3 3 4 3 4 3 2" xfId="29783" xr:uid="{00000000-0005-0000-0000-0000E98B0000}"/>
    <cellStyle name="표준 5 3 3 4 3 4 3 3" xfId="37994" xr:uid="{00000000-0005-0000-0000-0000EA8B0000}"/>
    <cellStyle name="표준 5 3 3 4 3 4 3 4" xfId="46187" xr:uid="{00000000-0005-0000-0000-0000EB8B0000}"/>
    <cellStyle name="표준 5 3 3 4 3 4 4" xfId="13189" xr:uid="{00000000-0005-0000-0000-0000EC8B0000}"/>
    <cellStyle name="표준 5 3 3 4 3 4 5" xfId="17429" xr:uid="{00000000-0005-0000-0000-0000ED8B0000}"/>
    <cellStyle name="표준 5 3 3 4 3 4 6" xfId="21591" xr:uid="{00000000-0005-0000-0000-0000EE8B0000}"/>
    <cellStyle name="표준 5 3 3 4 3 4 7" xfId="25687" xr:uid="{00000000-0005-0000-0000-0000EF8B0000}"/>
    <cellStyle name="표준 5 3 3 4 3 4 8" xfId="33898" xr:uid="{00000000-0005-0000-0000-0000F08B0000}"/>
    <cellStyle name="표준 5 3 3 4 3 4 9" xfId="42091" xr:uid="{00000000-0005-0000-0000-0000F18B0000}"/>
    <cellStyle name="표준 5 3 3 4 3 5" xfId="9589" xr:uid="{00000000-0005-0000-0000-0000F28B0000}"/>
    <cellStyle name="표준 5 3 3 4 3 5 2" xfId="13701" xr:uid="{00000000-0005-0000-0000-0000F38B0000}"/>
    <cellStyle name="표준 5 3 3 4 3 5 2 2" xfId="30295" xr:uid="{00000000-0005-0000-0000-0000F48B0000}"/>
    <cellStyle name="표준 5 3 3 4 3 5 2 3" xfId="38506" xr:uid="{00000000-0005-0000-0000-0000F58B0000}"/>
    <cellStyle name="표준 5 3 3 4 3 5 2 4" xfId="46699" xr:uid="{00000000-0005-0000-0000-0000F68B0000}"/>
    <cellStyle name="표준 5 3 3 4 3 5 3" xfId="17941" xr:uid="{00000000-0005-0000-0000-0000F78B0000}"/>
    <cellStyle name="표준 5 3 3 4 3 5 4" xfId="22103" xr:uid="{00000000-0005-0000-0000-0000F88B0000}"/>
    <cellStyle name="표준 5 3 3 4 3 5 5" xfId="26199" xr:uid="{00000000-0005-0000-0000-0000F98B0000}"/>
    <cellStyle name="표준 5 3 3 4 3 5 6" xfId="34410" xr:uid="{00000000-0005-0000-0000-0000FA8B0000}"/>
    <cellStyle name="표준 5 3 3 4 3 5 7" xfId="42603" xr:uid="{00000000-0005-0000-0000-0000FB8B0000}"/>
    <cellStyle name="표준 5 3 3 4 3 6" xfId="7541" xr:uid="{00000000-0005-0000-0000-0000FC8B0000}"/>
    <cellStyle name="표준 5 3 3 4 3 6 2" xfId="28247" xr:uid="{00000000-0005-0000-0000-0000FD8B0000}"/>
    <cellStyle name="표준 5 3 3 4 3 6 3" xfId="36458" xr:uid="{00000000-0005-0000-0000-0000FE8B0000}"/>
    <cellStyle name="표준 5 3 3 4 3 6 4" xfId="44651" xr:uid="{00000000-0005-0000-0000-0000FF8B0000}"/>
    <cellStyle name="표준 5 3 3 4 3 7" xfId="11653" xr:uid="{00000000-0005-0000-0000-0000008C0000}"/>
    <cellStyle name="표준 5 3 3 4 3 8" xfId="15893" xr:uid="{00000000-0005-0000-0000-0000018C0000}"/>
    <cellStyle name="표준 5 3 3 4 3 9" xfId="20055" xr:uid="{00000000-0005-0000-0000-0000028C0000}"/>
    <cellStyle name="표준 5 3 3 4 4" xfId="942" xr:uid="{00000000-0005-0000-0000-0000038C0000}"/>
    <cellStyle name="표준 5 3 3 4 4 2" xfId="9845" xr:uid="{00000000-0005-0000-0000-0000048C0000}"/>
    <cellStyle name="표준 5 3 3 4 4 2 2" xfId="13957" xr:uid="{00000000-0005-0000-0000-0000058C0000}"/>
    <cellStyle name="표준 5 3 3 4 4 2 2 2" xfId="30551" xr:uid="{00000000-0005-0000-0000-0000068C0000}"/>
    <cellStyle name="표준 5 3 3 4 4 2 2 3" xfId="38762" xr:uid="{00000000-0005-0000-0000-0000078C0000}"/>
    <cellStyle name="표준 5 3 3 4 4 2 2 4" xfId="46955" xr:uid="{00000000-0005-0000-0000-0000088C0000}"/>
    <cellStyle name="표준 5 3 3 4 4 2 3" xfId="18197" xr:uid="{00000000-0005-0000-0000-0000098C0000}"/>
    <cellStyle name="표준 5 3 3 4 4 2 4" xfId="22359" xr:uid="{00000000-0005-0000-0000-00000A8C0000}"/>
    <cellStyle name="표준 5 3 3 4 4 2 5" xfId="26455" xr:uid="{00000000-0005-0000-0000-00000B8C0000}"/>
    <cellStyle name="표준 5 3 3 4 4 2 6" xfId="34666" xr:uid="{00000000-0005-0000-0000-00000C8C0000}"/>
    <cellStyle name="표준 5 3 3 4 4 2 7" xfId="42859" xr:uid="{00000000-0005-0000-0000-00000D8C0000}"/>
    <cellStyle name="표준 5 3 3 4 4 3" xfId="7797" xr:uid="{00000000-0005-0000-0000-00000E8C0000}"/>
    <cellStyle name="표준 5 3 3 4 4 3 2" xfId="28503" xr:uid="{00000000-0005-0000-0000-00000F8C0000}"/>
    <cellStyle name="표준 5 3 3 4 4 3 3" xfId="36714" xr:uid="{00000000-0005-0000-0000-0000108C0000}"/>
    <cellStyle name="표준 5 3 3 4 4 3 4" xfId="44907" xr:uid="{00000000-0005-0000-0000-0000118C0000}"/>
    <cellStyle name="표준 5 3 3 4 4 4" xfId="11909" xr:uid="{00000000-0005-0000-0000-0000128C0000}"/>
    <cellStyle name="표준 5 3 3 4 4 5" xfId="16149" xr:uid="{00000000-0005-0000-0000-0000138C0000}"/>
    <cellStyle name="표준 5 3 3 4 4 6" xfId="20311" xr:uid="{00000000-0005-0000-0000-0000148C0000}"/>
    <cellStyle name="표준 5 3 3 4 4 7" xfId="24407" xr:uid="{00000000-0005-0000-0000-0000158C0000}"/>
    <cellStyle name="표준 5 3 3 4 4 8" xfId="32618" xr:uid="{00000000-0005-0000-0000-0000168C0000}"/>
    <cellStyle name="표준 5 3 3 4 4 9" xfId="40811" xr:uid="{00000000-0005-0000-0000-0000178C0000}"/>
    <cellStyle name="표준 5 3 3 4 5" xfId="1454" xr:uid="{00000000-0005-0000-0000-0000188C0000}"/>
    <cellStyle name="표준 5 3 3 4 5 2" xfId="10357" xr:uid="{00000000-0005-0000-0000-0000198C0000}"/>
    <cellStyle name="표준 5 3 3 4 5 2 2" xfId="14469" xr:uid="{00000000-0005-0000-0000-00001A8C0000}"/>
    <cellStyle name="표준 5 3 3 4 5 2 2 2" xfId="31063" xr:uid="{00000000-0005-0000-0000-00001B8C0000}"/>
    <cellStyle name="표준 5 3 3 4 5 2 2 3" xfId="39274" xr:uid="{00000000-0005-0000-0000-00001C8C0000}"/>
    <cellStyle name="표준 5 3 3 4 5 2 2 4" xfId="47467" xr:uid="{00000000-0005-0000-0000-00001D8C0000}"/>
    <cellStyle name="표준 5 3 3 4 5 2 3" xfId="18709" xr:uid="{00000000-0005-0000-0000-00001E8C0000}"/>
    <cellStyle name="표준 5 3 3 4 5 2 4" xfId="22871" xr:uid="{00000000-0005-0000-0000-00001F8C0000}"/>
    <cellStyle name="표준 5 3 3 4 5 2 5" xfId="26967" xr:uid="{00000000-0005-0000-0000-0000208C0000}"/>
    <cellStyle name="표준 5 3 3 4 5 2 6" xfId="35178" xr:uid="{00000000-0005-0000-0000-0000218C0000}"/>
    <cellStyle name="표준 5 3 3 4 5 2 7" xfId="43371" xr:uid="{00000000-0005-0000-0000-0000228C0000}"/>
    <cellStyle name="표준 5 3 3 4 5 3" xfId="8309" xr:uid="{00000000-0005-0000-0000-0000238C0000}"/>
    <cellStyle name="표준 5 3 3 4 5 3 2" xfId="29015" xr:uid="{00000000-0005-0000-0000-0000248C0000}"/>
    <cellStyle name="표준 5 3 3 4 5 3 3" xfId="37226" xr:uid="{00000000-0005-0000-0000-0000258C0000}"/>
    <cellStyle name="표준 5 3 3 4 5 3 4" xfId="45419" xr:uid="{00000000-0005-0000-0000-0000268C0000}"/>
    <cellStyle name="표준 5 3 3 4 5 4" xfId="12421" xr:uid="{00000000-0005-0000-0000-0000278C0000}"/>
    <cellStyle name="표준 5 3 3 4 5 5" xfId="16661" xr:uid="{00000000-0005-0000-0000-0000288C0000}"/>
    <cellStyle name="표준 5 3 3 4 5 6" xfId="20823" xr:uid="{00000000-0005-0000-0000-0000298C0000}"/>
    <cellStyle name="표준 5 3 3 4 5 7" xfId="24919" xr:uid="{00000000-0005-0000-0000-00002A8C0000}"/>
    <cellStyle name="표준 5 3 3 4 5 8" xfId="33130" xr:uid="{00000000-0005-0000-0000-00002B8C0000}"/>
    <cellStyle name="표준 5 3 3 4 5 9" xfId="41323" xr:uid="{00000000-0005-0000-0000-00002C8C0000}"/>
    <cellStyle name="표준 5 3 3 4 6" xfId="1966" xr:uid="{00000000-0005-0000-0000-00002D8C0000}"/>
    <cellStyle name="표준 5 3 3 4 6 2" xfId="10869" xr:uid="{00000000-0005-0000-0000-00002E8C0000}"/>
    <cellStyle name="표준 5 3 3 4 6 2 2" xfId="14981" xr:uid="{00000000-0005-0000-0000-00002F8C0000}"/>
    <cellStyle name="표준 5 3 3 4 6 2 2 2" xfId="31575" xr:uid="{00000000-0005-0000-0000-0000308C0000}"/>
    <cellStyle name="표준 5 3 3 4 6 2 2 3" xfId="39786" xr:uid="{00000000-0005-0000-0000-0000318C0000}"/>
    <cellStyle name="표준 5 3 3 4 6 2 2 4" xfId="47979" xr:uid="{00000000-0005-0000-0000-0000328C0000}"/>
    <cellStyle name="표준 5 3 3 4 6 2 3" xfId="19221" xr:uid="{00000000-0005-0000-0000-0000338C0000}"/>
    <cellStyle name="표준 5 3 3 4 6 2 4" xfId="23383" xr:uid="{00000000-0005-0000-0000-0000348C0000}"/>
    <cellStyle name="표준 5 3 3 4 6 2 5" xfId="27479" xr:uid="{00000000-0005-0000-0000-0000358C0000}"/>
    <cellStyle name="표준 5 3 3 4 6 2 6" xfId="35690" xr:uid="{00000000-0005-0000-0000-0000368C0000}"/>
    <cellStyle name="표준 5 3 3 4 6 2 7" xfId="43883" xr:uid="{00000000-0005-0000-0000-0000378C0000}"/>
    <cellStyle name="표준 5 3 3 4 6 3" xfId="8821" xr:uid="{00000000-0005-0000-0000-0000388C0000}"/>
    <cellStyle name="표준 5 3 3 4 6 3 2" xfId="29527" xr:uid="{00000000-0005-0000-0000-0000398C0000}"/>
    <cellStyle name="표준 5 3 3 4 6 3 3" xfId="37738" xr:uid="{00000000-0005-0000-0000-00003A8C0000}"/>
    <cellStyle name="표준 5 3 3 4 6 3 4" xfId="45931" xr:uid="{00000000-0005-0000-0000-00003B8C0000}"/>
    <cellStyle name="표준 5 3 3 4 6 4" xfId="12933" xr:uid="{00000000-0005-0000-0000-00003C8C0000}"/>
    <cellStyle name="표준 5 3 3 4 6 5" xfId="17173" xr:uid="{00000000-0005-0000-0000-00003D8C0000}"/>
    <cellStyle name="표준 5 3 3 4 6 6" xfId="21335" xr:uid="{00000000-0005-0000-0000-00003E8C0000}"/>
    <cellStyle name="표준 5 3 3 4 6 7" xfId="25431" xr:uid="{00000000-0005-0000-0000-00003F8C0000}"/>
    <cellStyle name="표준 5 3 3 4 6 8" xfId="33642" xr:uid="{00000000-0005-0000-0000-0000408C0000}"/>
    <cellStyle name="표준 5 3 3 4 6 9" xfId="41835" xr:uid="{00000000-0005-0000-0000-0000418C0000}"/>
    <cellStyle name="표준 5 3 3 4 7" xfId="7026" xr:uid="{00000000-0005-0000-0000-0000428C0000}"/>
    <cellStyle name="표준 5 3 3 4 7 2" xfId="9333" xr:uid="{00000000-0005-0000-0000-0000438C0000}"/>
    <cellStyle name="표준 5 3 3 4 7 2 2" xfId="30039" xr:uid="{00000000-0005-0000-0000-0000448C0000}"/>
    <cellStyle name="표준 5 3 3 4 7 2 3" xfId="38250" xr:uid="{00000000-0005-0000-0000-0000458C0000}"/>
    <cellStyle name="표준 5 3 3 4 7 2 4" xfId="46443" xr:uid="{00000000-0005-0000-0000-0000468C0000}"/>
    <cellStyle name="표준 5 3 3 4 7 3" xfId="13445" xr:uid="{00000000-0005-0000-0000-0000478C0000}"/>
    <cellStyle name="표준 5 3 3 4 7 4" xfId="17685" xr:uid="{00000000-0005-0000-0000-0000488C0000}"/>
    <cellStyle name="표준 5 3 3 4 7 5" xfId="21847" xr:uid="{00000000-0005-0000-0000-0000498C0000}"/>
    <cellStyle name="표준 5 3 3 4 7 6" xfId="25943" xr:uid="{00000000-0005-0000-0000-00004A8C0000}"/>
    <cellStyle name="표준 5 3 3 4 7 7" xfId="34154" xr:uid="{00000000-0005-0000-0000-00004B8C0000}"/>
    <cellStyle name="표준 5 3 3 4 7 8" xfId="42347" xr:uid="{00000000-0005-0000-0000-00004C8C0000}"/>
    <cellStyle name="표준 5 3 3 4 8" xfId="7152" xr:uid="{00000000-0005-0000-0000-00004D8C0000}"/>
    <cellStyle name="표준 5 3 3 4 8 2" xfId="27991" xr:uid="{00000000-0005-0000-0000-00004E8C0000}"/>
    <cellStyle name="표준 5 3 3 4 8 3" xfId="36202" xr:uid="{00000000-0005-0000-0000-00004F8C0000}"/>
    <cellStyle name="표준 5 3 3 4 8 4" xfId="44395" xr:uid="{00000000-0005-0000-0000-0000508C0000}"/>
    <cellStyle name="표준 5 3 3 4 9" xfId="7285" xr:uid="{00000000-0005-0000-0000-0000518C0000}"/>
    <cellStyle name="표준 5 3 3 5" xfId="494" xr:uid="{00000000-0005-0000-0000-0000528C0000}"/>
    <cellStyle name="표준 5 3 3 5 10" xfId="19863" xr:uid="{00000000-0005-0000-0000-0000538C0000}"/>
    <cellStyle name="표준 5 3 3 5 11" xfId="23959" xr:uid="{00000000-0005-0000-0000-0000548C0000}"/>
    <cellStyle name="표준 5 3 3 5 12" xfId="32170" xr:uid="{00000000-0005-0000-0000-0000558C0000}"/>
    <cellStyle name="표준 5 3 3 5 13" xfId="40363" xr:uid="{00000000-0005-0000-0000-0000568C0000}"/>
    <cellStyle name="표준 5 3 3 5 2" xfId="750" xr:uid="{00000000-0005-0000-0000-0000578C0000}"/>
    <cellStyle name="표준 5 3 3 5 2 10" xfId="24215" xr:uid="{00000000-0005-0000-0000-0000588C0000}"/>
    <cellStyle name="표준 5 3 3 5 2 11" xfId="32426" xr:uid="{00000000-0005-0000-0000-0000598C0000}"/>
    <cellStyle name="표준 5 3 3 5 2 12" xfId="40619" xr:uid="{00000000-0005-0000-0000-00005A8C0000}"/>
    <cellStyle name="표준 5 3 3 5 2 2" xfId="1262" xr:uid="{00000000-0005-0000-0000-00005B8C0000}"/>
    <cellStyle name="표준 5 3 3 5 2 2 2" xfId="10165" xr:uid="{00000000-0005-0000-0000-00005C8C0000}"/>
    <cellStyle name="표준 5 3 3 5 2 2 2 2" xfId="14277" xr:uid="{00000000-0005-0000-0000-00005D8C0000}"/>
    <cellStyle name="표준 5 3 3 5 2 2 2 2 2" xfId="30871" xr:uid="{00000000-0005-0000-0000-00005E8C0000}"/>
    <cellStyle name="표준 5 3 3 5 2 2 2 2 3" xfId="39082" xr:uid="{00000000-0005-0000-0000-00005F8C0000}"/>
    <cellStyle name="표준 5 3 3 5 2 2 2 2 4" xfId="47275" xr:uid="{00000000-0005-0000-0000-0000608C0000}"/>
    <cellStyle name="표준 5 3 3 5 2 2 2 3" xfId="18517" xr:uid="{00000000-0005-0000-0000-0000618C0000}"/>
    <cellStyle name="표준 5 3 3 5 2 2 2 4" xfId="22679" xr:uid="{00000000-0005-0000-0000-0000628C0000}"/>
    <cellStyle name="표준 5 3 3 5 2 2 2 5" xfId="26775" xr:uid="{00000000-0005-0000-0000-0000638C0000}"/>
    <cellStyle name="표준 5 3 3 5 2 2 2 6" xfId="34986" xr:uid="{00000000-0005-0000-0000-0000648C0000}"/>
    <cellStyle name="표준 5 3 3 5 2 2 2 7" xfId="43179" xr:uid="{00000000-0005-0000-0000-0000658C0000}"/>
    <cellStyle name="표준 5 3 3 5 2 2 3" xfId="8117" xr:uid="{00000000-0005-0000-0000-0000668C0000}"/>
    <cellStyle name="표준 5 3 3 5 2 2 3 2" xfId="28823" xr:uid="{00000000-0005-0000-0000-0000678C0000}"/>
    <cellStyle name="표준 5 3 3 5 2 2 3 3" xfId="37034" xr:uid="{00000000-0005-0000-0000-0000688C0000}"/>
    <cellStyle name="표준 5 3 3 5 2 2 3 4" xfId="45227" xr:uid="{00000000-0005-0000-0000-0000698C0000}"/>
    <cellStyle name="표준 5 3 3 5 2 2 4" xfId="12229" xr:uid="{00000000-0005-0000-0000-00006A8C0000}"/>
    <cellStyle name="표준 5 3 3 5 2 2 5" xfId="16469" xr:uid="{00000000-0005-0000-0000-00006B8C0000}"/>
    <cellStyle name="표준 5 3 3 5 2 2 6" xfId="20631" xr:uid="{00000000-0005-0000-0000-00006C8C0000}"/>
    <cellStyle name="표준 5 3 3 5 2 2 7" xfId="24727" xr:uid="{00000000-0005-0000-0000-00006D8C0000}"/>
    <cellStyle name="표준 5 3 3 5 2 2 8" xfId="32938" xr:uid="{00000000-0005-0000-0000-00006E8C0000}"/>
    <cellStyle name="표준 5 3 3 5 2 2 9" xfId="41131" xr:uid="{00000000-0005-0000-0000-00006F8C0000}"/>
    <cellStyle name="표준 5 3 3 5 2 3" xfId="1774" xr:uid="{00000000-0005-0000-0000-0000708C0000}"/>
    <cellStyle name="표준 5 3 3 5 2 3 2" xfId="10677" xr:uid="{00000000-0005-0000-0000-0000718C0000}"/>
    <cellStyle name="표준 5 3 3 5 2 3 2 2" xfId="14789" xr:uid="{00000000-0005-0000-0000-0000728C0000}"/>
    <cellStyle name="표준 5 3 3 5 2 3 2 2 2" xfId="31383" xr:uid="{00000000-0005-0000-0000-0000738C0000}"/>
    <cellStyle name="표준 5 3 3 5 2 3 2 2 3" xfId="39594" xr:uid="{00000000-0005-0000-0000-0000748C0000}"/>
    <cellStyle name="표준 5 3 3 5 2 3 2 2 4" xfId="47787" xr:uid="{00000000-0005-0000-0000-0000758C0000}"/>
    <cellStyle name="표준 5 3 3 5 2 3 2 3" xfId="19029" xr:uid="{00000000-0005-0000-0000-0000768C0000}"/>
    <cellStyle name="표준 5 3 3 5 2 3 2 4" xfId="23191" xr:uid="{00000000-0005-0000-0000-0000778C0000}"/>
    <cellStyle name="표준 5 3 3 5 2 3 2 5" xfId="27287" xr:uid="{00000000-0005-0000-0000-0000788C0000}"/>
    <cellStyle name="표준 5 3 3 5 2 3 2 6" xfId="35498" xr:uid="{00000000-0005-0000-0000-0000798C0000}"/>
    <cellStyle name="표준 5 3 3 5 2 3 2 7" xfId="43691" xr:uid="{00000000-0005-0000-0000-00007A8C0000}"/>
    <cellStyle name="표준 5 3 3 5 2 3 3" xfId="8629" xr:uid="{00000000-0005-0000-0000-00007B8C0000}"/>
    <cellStyle name="표준 5 3 3 5 2 3 3 2" xfId="29335" xr:uid="{00000000-0005-0000-0000-00007C8C0000}"/>
    <cellStyle name="표준 5 3 3 5 2 3 3 3" xfId="37546" xr:uid="{00000000-0005-0000-0000-00007D8C0000}"/>
    <cellStyle name="표준 5 3 3 5 2 3 3 4" xfId="45739" xr:uid="{00000000-0005-0000-0000-00007E8C0000}"/>
    <cellStyle name="표준 5 3 3 5 2 3 4" xfId="12741" xr:uid="{00000000-0005-0000-0000-00007F8C0000}"/>
    <cellStyle name="표준 5 3 3 5 2 3 5" xfId="16981" xr:uid="{00000000-0005-0000-0000-0000808C0000}"/>
    <cellStyle name="표준 5 3 3 5 2 3 6" xfId="21143" xr:uid="{00000000-0005-0000-0000-0000818C0000}"/>
    <cellStyle name="표준 5 3 3 5 2 3 7" xfId="25239" xr:uid="{00000000-0005-0000-0000-0000828C0000}"/>
    <cellStyle name="표준 5 3 3 5 2 3 8" xfId="33450" xr:uid="{00000000-0005-0000-0000-0000838C0000}"/>
    <cellStyle name="표준 5 3 3 5 2 3 9" xfId="41643" xr:uid="{00000000-0005-0000-0000-0000848C0000}"/>
    <cellStyle name="표준 5 3 3 5 2 4" xfId="2286" xr:uid="{00000000-0005-0000-0000-0000858C0000}"/>
    <cellStyle name="표준 5 3 3 5 2 4 2" xfId="11189" xr:uid="{00000000-0005-0000-0000-0000868C0000}"/>
    <cellStyle name="표준 5 3 3 5 2 4 2 2" xfId="15301" xr:uid="{00000000-0005-0000-0000-0000878C0000}"/>
    <cellStyle name="표준 5 3 3 5 2 4 2 2 2" xfId="31895" xr:uid="{00000000-0005-0000-0000-0000888C0000}"/>
    <cellStyle name="표준 5 3 3 5 2 4 2 2 3" xfId="40106" xr:uid="{00000000-0005-0000-0000-0000898C0000}"/>
    <cellStyle name="표준 5 3 3 5 2 4 2 2 4" xfId="48299" xr:uid="{00000000-0005-0000-0000-00008A8C0000}"/>
    <cellStyle name="표준 5 3 3 5 2 4 2 3" xfId="19541" xr:uid="{00000000-0005-0000-0000-00008B8C0000}"/>
    <cellStyle name="표준 5 3 3 5 2 4 2 4" xfId="23703" xr:uid="{00000000-0005-0000-0000-00008C8C0000}"/>
    <cellStyle name="표준 5 3 3 5 2 4 2 5" xfId="27799" xr:uid="{00000000-0005-0000-0000-00008D8C0000}"/>
    <cellStyle name="표준 5 3 3 5 2 4 2 6" xfId="36010" xr:uid="{00000000-0005-0000-0000-00008E8C0000}"/>
    <cellStyle name="표준 5 3 3 5 2 4 2 7" xfId="44203" xr:uid="{00000000-0005-0000-0000-00008F8C0000}"/>
    <cellStyle name="표준 5 3 3 5 2 4 3" xfId="9141" xr:uid="{00000000-0005-0000-0000-0000908C0000}"/>
    <cellStyle name="표준 5 3 3 5 2 4 3 2" xfId="29847" xr:uid="{00000000-0005-0000-0000-0000918C0000}"/>
    <cellStyle name="표준 5 3 3 5 2 4 3 3" xfId="38058" xr:uid="{00000000-0005-0000-0000-0000928C0000}"/>
    <cellStyle name="표준 5 3 3 5 2 4 3 4" xfId="46251" xr:uid="{00000000-0005-0000-0000-0000938C0000}"/>
    <cellStyle name="표준 5 3 3 5 2 4 4" xfId="13253" xr:uid="{00000000-0005-0000-0000-0000948C0000}"/>
    <cellStyle name="표준 5 3 3 5 2 4 5" xfId="17493" xr:uid="{00000000-0005-0000-0000-0000958C0000}"/>
    <cellStyle name="표준 5 3 3 5 2 4 6" xfId="21655" xr:uid="{00000000-0005-0000-0000-0000968C0000}"/>
    <cellStyle name="표준 5 3 3 5 2 4 7" xfId="25751" xr:uid="{00000000-0005-0000-0000-0000978C0000}"/>
    <cellStyle name="표준 5 3 3 5 2 4 8" xfId="33962" xr:uid="{00000000-0005-0000-0000-0000988C0000}"/>
    <cellStyle name="표준 5 3 3 5 2 4 9" xfId="42155" xr:uid="{00000000-0005-0000-0000-0000998C0000}"/>
    <cellStyle name="표준 5 3 3 5 2 5" xfId="9653" xr:uid="{00000000-0005-0000-0000-00009A8C0000}"/>
    <cellStyle name="표준 5 3 3 5 2 5 2" xfId="13765" xr:uid="{00000000-0005-0000-0000-00009B8C0000}"/>
    <cellStyle name="표준 5 3 3 5 2 5 2 2" xfId="30359" xr:uid="{00000000-0005-0000-0000-00009C8C0000}"/>
    <cellStyle name="표준 5 3 3 5 2 5 2 3" xfId="38570" xr:uid="{00000000-0005-0000-0000-00009D8C0000}"/>
    <cellStyle name="표준 5 3 3 5 2 5 2 4" xfId="46763" xr:uid="{00000000-0005-0000-0000-00009E8C0000}"/>
    <cellStyle name="표준 5 3 3 5 2 5 3" xfId="18005" xr:uid="{00000000-0005-0000-0000-00009F8C0000}"/>
    <cellStyle name="표준 5 3 3 5 2 5 4" xfId="22167" xr:uid="{00000000-0005-0000-0000-0000A08C0000}"/>
    <cellStyle name="표준 5 3 3 5 2 5 5" xfId="26263" xr:uid="{00000000-0005-0000-0000-0000A18C0000}"/>
    <cellStyle name="표준 5 3 3 5 2 5 6" xfId="34474" xr:uid="{00000000-0005-0000-0000-0000A28C0000}"/>
    <cellStyle name="표준 5 3 3 5 2 5 7" xfId="42667" xr:uid="{00000000-0005-0000-0000-0000A38C0000}"/>
    <cellStyle name="표준 5 3 3 5 2 6" xfId="7605" xr:uid="{00000000-0005-0000-0000-0000A48C0000}"/>
    <cellStyle name="표준 5 3 3 5 2 6 2" xfId="28311" xr:uid="{00000000-0005-0000-0000-0000A58C0000}"/>
    <cellStyle name="표준 5 3 3 5 2 6 3" xfId="36522" xr:uid="{00000000-0005-0000-0000-0000A68C0000}"/>
    <cellStyle name="표준 5 3 3 5 2 6 4" xfId="44715" xr:uid="{00000000-0005-0000-0000-0000A78C0000}"/>
    <cellStyle name="표준 5 3 3 5 2 7" xfId="11717" xr:uid="{00000000-0005-0000-0000-0000A88C0000}"/>
    <cellStyle name="표준 5 3 3 5 2 8" xfId="15957" xr:uid="{00000000-0005-0000-0000-0000A98C0000}"/>
    <cellStyle name="표준 5 3 3 5 2 9" xfId="20119" xr:uid="{00000000-0005-0000-0000-0000AA8C0000}"/>
    <cellStyle name="표준 5 3 3 5 3" xfId="1006" xr:uid="{00000000-0005-0000-0000-0000AB8C0000}"/>
    <cellStyle name="표준 5 3 3 5 3 2" xfId="9909" xr:uid="{00000000-0005-0000-0000-0000AC8C0000}"/>
    <cellStyle name="표준 5 3 3 5 3 2 2" xfId="14021" xr:uid="{00000000-0005-0000-0000-0000AD8C0000}"/>
    <cellStyle name="표준 5 3 3 5 3 2 2 2" xfId="30615" xr:uid="{00000000-0005-0000-0000-0000AE8C0000}"/>
    <cellStyle name="표준 5 3 3 5 3 2 2 3" xfId="38826" xr:uid="{00000000-0005-0000-0000-0000AF8C0000}"/>
    <cellStyle name="표준 5 3 3 5 3 2 2 4" xfId="47019" xr:uid="{00000000-0005-0000-0000-0000B08C0000}"/>
    <cellStyle name="표준 5 3 3 5 3 2 3" xfId="18261" xr:uid="{00000000-0005-0000-0000-0000B18C0000}"/>
    <cellStyle name="표준 5 3 3 5 3 2 4" xfId="22423" xr:uid="{00000000-0005-0000-0000-0000B28C0000}"/>
    <cellStyle name="표준 5 3 3 5 3 2 5" xfId="26519" xr:uid="{00000000-0005-0000-0000-0000B38C0000}"/>
    <cellStyle name="표준 5 3 3 5 3 2 6" xfId="34730" xr:uid="{00000000-0005-0000-0000-0000B48C0000}"/>
    <cellStyle name="표준 5 3 3 5 3 2 7" xfId="42923" xr:uid="{00000000-0005-0000-0000-0000B58C0000}"/>
    <cellStyle name="표준 5 3 3 5 3 3" xfId="7861" xr:uid="{00000000-0005-0000-0000-0000B68C0000}"/>
    <cellStyle name="표준 5 3 3 5 3 3 2" xfId="28567" xr:uid="{00000000-0005-0000-0000-0000B78C0000}"/>
    <cellStyle name="표준 5 3 3 5 3 3 3" xfId="36778" xr:uid="{00000000-0005-0000-0000-0000B88C0000}"/>
    <cellStyle name="표준 5 3 3 5 3 3 4" xfId="44971" xr:uid="{00000000-0005-0000-0000-0000B98C0000}"/>
    <cellStyle name="표준 5 3 3 5 3 4" xfId="11973" xr:uid="{00000000-0005-0000-0000-0000BA8C0000}"/>
    <cellStyle name="표준 5 3 3 5 3 5" xfId="16213" xr:uid="{00000000-0005-0000-0000-0000BB8C0000}"/>
    <cellStyle name="표준 5 3 3 5 3 6" xfId="20375" xr:uid="{00000000-0005-0000-0000-0000BC8C0000}"/>
    <cellStyle name="표준 5 3 3 5 3 7" xfId="24471" xr:uid="{00000000-0005-0000-0000-0000BD8C0000}"/>
    <cellStyle name="표준 5 3 3 5 3 8" xfId="32682" xr:uid="{00000000-0005-0000-0000-0000BE8C0000}"/>
    <cellStyle name="표준 5 3 3 5 3 9" xfId="40875" xr:uid="{00000000-0005-0000-0000-0000BF8C0000}"/>
    <cellStyle name="표준 5 3 3 5 4" xfId="1518" xr:uid="{00000000-0005-0000-0000-0000C08C0000}"/>
    <cellStyle name="표준 5 3 3 5 4 2" xfId="10421" xr:uid="{00000000-0005-0000-0000-0000C18C0000}"/>
    <cellStyle name="표준 5 3 3 5 4 2 2" xfId="14533" xr:uid="{00000000-0005-0000-0000-0000C28C0000}"/>
    <cellStyle name="표준 5 3 3 5 4 2 2 2" xfId="31127" xr:uid="{00000000-0005-0000-0000-0000C38C0000}"/>
    <cellStyle name="표준 5 3 3 5 4 2 2 3" xfId="39338" xr:uid="{00000000-0005-0000-0000-0000C48C0000}"/>
    <cellStyle name="표준 5 3 3 5 4 2 2 4" xfId="47531" xr:uid="{00000000-0005-0000-0000-0000C58C0000}"/>
    <cellStyle name="표준 5 3 3 5 4 2 3" xfId="18773" xr:uid="{00000000-0005-0000-0000-0000C68C0000}"/>
    <cellStyle name="표준 5 3 3 5 4 2 4" xfId="22935" xr:uid="{00000000-0005-0000-0000-0000C78C0000}"/>
    <cellStyle name="표준 5 3 3 5 4 2 5" xfId="27031" xr:uid="{00000000-0005-0000-0000-0000C88C0000}"/>
    <cellStyle name="표준 5 3 3 5 4 2 6" xfId="35242" xr:uid="{00000000-0005-0000-0000-0000C98C0000}"/>
    <cellStyle name="표준 5 3 3 5 4 2 7" xfId="43435" xr:uid="{00000000-0005-0000-0000-0000CA8C0000}"/>
    <cellStyle name="표준 5 3 3 5 4 3" xfId="8373" xr:uid="{00000000-0005-0000-0000-0000CB8C0000}"/>
    <cellStyle name="표준 5 3 3 5 4 3 2" xfId="29079" xr:uid="{00000000-0005-0000-0000-0000CC8C0000}"/>
    <cellStyle name="표준 5 3 3 5 4 3 3" xfId="37290" xr:uid="{00000000-0005-0000-0000-0000CD8C0000}"/>
    <cellStyle name="표준 5 3 3 5 4 3 4" xfId="45483" xr:uid="{00000000-0005-0000-0000-0000CE8C0000}"/>
    <cellStyle name="표준 5 3 3 5 4 4" xfId="12485" xr:uid="{00000000-0005-0000-0000-0000CF8C0000}"/>
    <cellStyle name="표준 5 3 3 5 4 5" xfId="16725" xr:uid="{00000000-0005-0000-0000-0000D08C0000}"/>
    <cellStyle name="표준 5 3 3 5 4 6" xfId="20887" xr:uid="{00000000-0005-0000-0000-0000D18C0000}"/>
    <cellStyle name="표준 5 3 3 5 4 7" xfId="24983" xr:uid="{00000000-0005-0000-0000-0000D28C0000}"/>
    <cellStyle name="표준 5 3 3 5 4 8" xfId="33194" xr:uid="{00000000-0005-0000-0000-0000D38C0000}"/>
    <cellStyle name="표준 5 3 3 5 4 9" xfId="41387" xr:uid="{00000000-0005-0000-0000-0000D48C0000}"/>
    <cellStyle name="표준 5 3 3 5 5" xfId="2030" xr:uid="{00000000-0005-0000-0000-0000D58C0000}"/>
    <cellStyle name="표준 5 3 3 5 5 2" xfId="10933" xr:uid="{00000000-0005-0000-0000-0000D68C0000}"/>
    <cellStyle name="표준 5 3 3 5 5 2 2" xfId="15045" xr:uid="{00000000-0005-0000-0000-0000D78C0000}"/>
    <cellStyle name="표준 5 3 3 5 5 2 2 2" xfId="31639" xr:uid="{00000000-0005-0000-0000-0000D88C0000}"/>
    <cellStyle name="표준 5 3 3 5 5 2 2 3" xfId="39850" xr:uid="{00000000-0005-0000-0000-0000D98C0000}"/>
    <cellStyle name="표준 5 3 3 5 5 2 2 4" xfId="48043" xr:uid="{00000000-0005-0000-0000-0000DA8C0000}"/>
    <cellStyle name="표준 5 3 3 5 5 2 3" xfId="19285" xr:uid="{00000000-0005-0000-0000-0000DB8C0000}"/>
    <cellStyle name="표준 5 3 3 5 5 2 4" xfId="23447" xr:uid="{00000000-0005-0000-0000-0000DC8C0000}"/>
    <cellStyle name="표준 5 3 3 5 5 2 5" xfId="27543" xr:uid="{00000000-0005-0000-0000-0000DD8C0000}"/>
    <cellStyle name="표준 5 3 3 5 5 2 6" xfId="35754" xr:uid="{00000000-0005-0000-0000-0000DE8C0000}"/>
    <cellStyle name="표준 5 3 3 5 5 2 7" xfId="43947" xr:uid="{00000000-0005-0000-0000-0000DF8C0000}"/>
    <cellStyle name="표준 5 3 3 5 5 3" xfId="8885" xr:uid="{00000000-0005-0000-0000-0000E08C0000}"/>
    <cellStyle name="표준 5 3 3 5 5 3 2" xfId="29591" xr:uid="{00000000-0005-0000-0000-0000E18C0000}"/>
    <cellStyle name="표준 5 3 3 5 5 3 3" xfId="37802" xr:uid="{00000000-0005-0000-0000-0000E28C0000}"/>
    <cellStyle name="표준 5 3 3 5 5 3 4" xfId="45995" xr:uid="{00000000-0005-0000-0000-0000E38C0000}"/>
    <cellStyle name="표준 5 3 3 5 5 4" xfId="12997" xr:uid="{00000000-0005-0000-0000-0000E48C0000}"/>
    <cellStyle name="표준 5 3 3 5 5 5" xfId="17237" xr:uid="{00000000-0005-0000-0000-0000E58C0000}"/>
    <cellStyle name="표준 5 3 3 5 5 6" xfId="21399" xr:uid="{00000000-0005-0000-0000-0000E68C0000}"/>
    <cellStyle name="표준 5 3 3 5 5 7" xfId="25495" xr:uid="{00000000-0005-0000-0000-0000E78C0000}"/>
    <cellStyle name="표준 5 3 3 5 5 8" xfId="33706" xr:uid="{00000000-0005-0000-0000-0000E88C0000}"/>
    <cellStyle name="표준 5 3 3 5 5 9" xfId="41899" xr:uid="{00000000-0005-0000-0000-0000E98C0000}"/>
    <cellStyle name="표준 5 3 3 5 6" xfId="9397" xr:uid="{00000000-0005-0000-0000-0000EA8C0000}"/>
    <cellStyle name="표준 5 3 3 5 6 2" xfId="13509" xr:uid="{00000000-0005-0000-0000-0000EB8C0000}"/>
    <cellStyle name="표준 5 3 3 5 6 2 2" xfId="30103" xr:uid="{00000000-0005-0000-0000-0000EC8C0000}"/>
    <cellStyle name="표준 5 3 3 5 6 2 3" xfId="38314" xr:uid="{00000000-0005-0000-0000-0000ED8C0000}"/>
    <cellStyle name="표준 5 3 3 5 6 2 4" xfId="46507" xr:uid="{00000000-0005-0000-0000-0000EE8C0000}"/>
    <cellStyle name="표준 5 3 3 5 6 3" xfId="17749" xr:uid="{00000000-0005-0000-0000-0000EF8C0000}"/>
    <cellStyle name="표준 5 3 3 5 6 4" xfId="21911" xr:uid="{00000000-0005-0000-0000-0000F08C0000}"/>
    <cellStyle name="표준 5 3 3 5 6 5" xfId="26007" xr:uid="{00000000-0005-0000-0000-0000F18C0000}"/>
    <cellStyle name="표준 5 3 3 5 6 6" xfId="34218" xr:uid="{00000000-0005-0000-0000-0000F28C0000}"/>
    <cellStyle name="표준 5 3 3 5 6 7" xfId="42411" xr:uid="{00000000-0005-0000-0000-0000F38C0000}"/>
    <cellStyle name="표준 5 3 3 5 7" xfId="7349" xr:uid="{00000000-0005-0000-0000-0000F48C0000}"/>
    <cellStyle name="표준 5 3 3 5 7 2" xfId="28055" xr:uid="{00000000-0005-0000-0000-0000F58C0000}"/>
    <cellStyle name="표준 5 3 3 5 7 3" xfId="36266" xr:uid="{00000000-0005-0000-0000-0000F68C0000}"/>
    <cellStyle name="표준 5 3 3 5 7 4" xfId="44459" xr:uid="{00000000-0005-0000-0000-0000F78C0000}"/>
    <cellStyle name="표준 5 3 3 5 8" xfId="11461" xr:uid="{00000000-0005-0000-0000-0000F88C0000}"/>
    <cellStyle name="표준 5 3 3 5 9" xfId="15701" xr:uid="{00000000-0005-0000-0000-0000F98C0000}"/>
    <cellStyle name="표준 5 3 3 6" xfId="622" xr:uid="{00000000-0005-0000-0000-0000FA8C0000}"/>
    <cellStyle name="표준 5 3 3 6 10" xfId="24087" xr:uid="{00000000-0005-0000-0000-0000FB8C0000}"/>
    <cellStyle name="표준 5 3 3 6 11" xfId="32298" xr:uid="{00000000-0005-0000-0000-0000FC8C0000}"/>
    <cellStyle name="표준 5 3 3 6 12" xfId="40491" xr:uid="{00000000-0005-0000-0000-0000FD8C0000}"/>
    <cellStyle name="표준 5 3 3 6 2" xfId="1134" xr:uid="{00000000-0005-0000-0000-0000FE8C0000}"/>
    <cellStyle name="표준 5 3 3 6 2 2" xfId="10037" xr:uid="{00000000-0005-0000-0000-0000FF8C0000}"/>
    <cellStyle name="표준 5 3 3 6 2 2 2" xfId="14149" xr:uid="{00000000-0005-0000-0000-0000008D0000}"/>
    <cellStyle name="표준 5 3 3 6 2 2 2 2" xfId="30743" xr:uid="{00000000-0005-0000-0000-0000018D0000}"/>
    <cellStyle name="표준 5 3 3 6 2 2 2 3" xfId="38954" xr:uid="{00000000-0005-0000-0000-0000028D0000}"/>
    <cellStyle name="표준 5 3 3 6 2 2 2 4" xfId="47147" xr:uid="{00000000-0005-0000-0000-0000038D0000}"/>
    <cellStyle name="표준 5 3 3 6 2 2 3" xfId="18389" xr:uid="{00000000-0005-0000-0000-0000048D0000}"/>
    <cellStyle name="표준 5 3 3 6 2 2 4" xfId="22551" xr:uid="{00000000-0005-0000-0000-0000058D0000}"/>
    <cellStyle name="표준 5 3 3 6 2 2 5" xfId="26647" xr:uid="{00000000-0005-0000-0000-0000068D0000}"/>
    <cellStyle name="표준 5 3 3 6 2 2 6" xfId="34858" xr:uid="{00000000-0005-0000-0000-0000078D0000}"/>
    <cellStyle name="표준 5 3 3 6 2 2 7" xfId="43051" xr:uid="{00000000-0005-0000-0000-0000088D0000}"/>
    <cellStyle name="표준 5 3 3 6 2 3" xfId="7989" xr:uid="{00000000-0005-0000-0000-0000098D0000}"/>
    <cellStyle name="표준 5 3 3 6 2 3 2" xfId="28695" xr:uid="{00000000-0005-0000-0000-00000A8D0000}"/>
    <cellStyle name="표준 5 3 3 6 2 3 3" xfId="36906" xr:uid="{00000000-0005-0000-0000-00000B8D0000}"/>
    <cellStyle name="표준 5 3 3 6 2 3 4" xfId="45099" xr:uid="{00000000-0005-0000-0000-00000C8D0000}"/>
    <cellStyle name="표준 5 3 3 6 2 4" xfId="12101" xr:uid="{00000000-0005-0000-0000-00000D8D0000}"/>
    <cellStyle name="표준 5 3 3 6 2 5" xfId="16341" xr:uid="{00000000-0005-0000-0000-00000E8D0000}"/>
    <cellStyle name="표준 5 3 3 6 2 6" xfId="20503" xr:uid="{00000000-0005-0000-0000-00000F8D0000}"/>
    <cellStyle name="표준 5 3 3 6 2 7" xfId="24599" xr:uid="{00000000-0005-0000-0000-0000108D0000}"/>
    <cellStyle name="표준 5 3 3 6 2 8" xfId="32810" xr:uid="{00000000-0005-0000-0000-0000118D0000}"/>
    <cellStyle name="표준 5 3 3 6 2 9" xfId="41003" xr:uid="{00000000-0005-0000-0000-0000128D0000}"/>
    <cellStyle name="표준 5 3 3 6 3" xfId="1646" xr:uid="{00000000-0005-0000-0000-0000138D0000}"/>
    <cellStyle name="표준 5 3 3 6 3 2" xfId="10549" xr:uid="{00000000-0005-0000-0000-0000148D0000}"/>
    <cellStyle name="표준 5 3 3 6 3 2 2" xfId="14661" xr:uid="{00000000-0005-0000-0000-0000158D0000}"/>
    <cellStyle name="표준 5 3 3 6 3 2 2 2" xfId="31255" xr:uid="{00000000-0005-0000-0000-0000168D0000}"/>
    <cellStyle name="표준 5 3 3 6 3 2 2 3" xfId="39466" xr:uid="{00000000-0005-0000-0000-0000178D0000}"/>
    <cellStyle name="표준 5 3 3 6 3 2 2 4" xfId="47659" xr:uid="{00000000-0005-0000-0000-0000188D0000}"/>
    <cellStyle name="표준 5 3 3 6 3 2 3" xfId="18901" xr:uid="{00000000-0005-0000-0000-0000198D0000}"/>
    <cellStyle name="표준 5 3 3 6 3 2 4" xfId="23063" xr:uid="{00000000-0005-0000-0000-00001A8D0000}"/>
    <cellStyle name="표준 5 3 3 6 3 2 5" xfId="27159" xr:uid="{00000000-0005-0000-0000-00001B8D0000}"/>
    <cellStyle name="표준 5 3 3 6 3 2 6" xfId="35370" xr:uid="{00000000-0005-0000-0000-00001C8D0000}"/>
    <cellStyle name="표준 5 3 3 6 3 2 7" xfId="43563" xr:uid="{00000000-0005-0000-0000-00001D8D0000}"/>
    <cellStyle name="표준 5 3 3 6 3 3" xfId="8501" xr:uid="{00000000-0005-0000-0000-00001E8D0000}"/>
    <cellStyle name="표준 5 3 3 6 3 3 2" xfId="29207" xr:uid="{00000000-0005-0000-0000-00001F8D0000}"/>
    <cellStyle name="표준 5 3 3 6 3 3 3" xfId="37418" xr:uid="{00000000-0005-0000-0000-0000208D0000}"/>
    <cellStyle name="표준 5 3 3 6 3 3 4" xfId="45611" xr:uid="{00000000-0005-0000-0000-0000218D0000}"/>
    <cellStyle name="표준 5 3 3 6 3 4" xfId="12613" xr:uid="{00000000-0005-0000-0000-0000228D0000}"/>
    <cellStyle name="표준 5 3 3 6 3 5" xfId="16853" xr:uid="{00000000-0005-0000-0000-0000238D0000}"/>
    <cellStyle name="표준 5 3 3 6 3 6" xfId="21015" xr:uid="{00000000-0005-0000-0000-0000248D0000}"/>
    <cellStyle name="표준 5 3 3 6 3 7" xfId="25111" xr:uid="{00000000-0005-0000-0000-0000258D0000}"/>
    <cellStyle name="표준 5 3 3 6 3 8" xfId="33322" xr:uid="{00000000-0005-0000-0000-0000268D0000}"/>
    <cellStyle name="표준 5 3 3 6 3 9" xfId="41515" xr:uid="{00000000-0005-0000-0000-0000278D0000}"/>
    <cellStyle name="표준 5 3 3 6 4" xfId="2158" xr:uid="{00000000-0005-0000-0000-0000288D0000}"/>
    <cellStyle name="표준 5 3 3 6 4 2" xfId="11061" xr:uid="{00000000-0005-0000-0000-0000298D0000}"/>
    <cellStyle name="표준 5 3 3 6 4 2 2" xfId="15173" xr:uid="{00000000-0005-0000-0000-00002A8D0000}"/>
    <cellStyle name="표준 5 3 3 6 4 2 2 2" xfId="31767" xr:uid="{00000000-0005-0000-0000-00002B8D0000}"/>
    <cellStyle name="표준 5 3 3 6 4 2 2 3" xfId="39978" xr:uid="{00000000-0005-0000-0000-00002C8D0000}"/>
    <cellStyle name="표준 5 3 3 6 4 2 2 4" xfId="48171" xr:uid="{00000000-0005-0000-0000-00002D8D0000}"/>
    <cellStyle name="표준 5 3 3 6 4 2 3" xfId="19413" xr:uid="{00000000-0005-0000-0000-00002E8D0000}"/>
    <cellStyle name="표준 5 3 3 6 4 2 4" xfId="23575" xr:uid="{00000000-0005-0000-0000-00002F8D0000}"/>
    <cellStyle name="표준 5 3 3 6 4 2 5" xfId="27671" xr:uid="{00000000-0005-0000-0000-0000308D0000}"/>
    <cellStyle name="표준 5 3 3 6 4 2 6" xfId="35882" xr:uid="{00000000-0005-0000-0000-0000318D0000}"/>
    <cellStyle name="표준 5 3 3 6 4 2 7" xfId="44075" xr:uid="{00000000-0005-0000-0000-0000328D0000}"/>
    <cellStyle name="표준 5 3 3 6 4 3" xfId="9013" xr:uid="{00000000-0005-0000-0000-0000338D0000}"/>
    <cellStyle name="표준 5 3 3 6 4 3 2" xfId="29719" xr:uid="{00000000-0005-0000-0000-0000348D0000}"/>
    <cellStyle name="표준 5 3 3 6 4 3 3" xfId="37930" xr:uid="{00000000-0005-0000-0000-0000358D0000}"/>
    <cellStyle name="표준 5 3 3 6 4 3 4" xfId="46123" xr:uid="{00000000-0005-0000-0000-0000368D0000}"/>
    <cellStyle name="표준 5 3 3 6 4 4" xfId="13125" xr:uid="{00000000-0005-0000-0000-0000378D0000}"/>
    <cellStyle name="표준 5 3 3 6 4 5" xfId="17365" xr:uid="{00000000-0005-0000-0000-0000388D0000}"/>
    <cellStyle name="표준 5 3 3 6 4 6" xfId="21527" xr:uid="{00000000-0005-0000-0000-0000398D0000}"/>
    <cellStyle name="표준 5 3 3 6 4 7" xfId="25623" xr:uid="{00000000-0005-0000-0000-00003A8D0000}"/>
    <cellStyle name="표준 5 3 3 6 4 8" xfId="33834" xr:uid="{00000000-0005-0000-0000-00003B8D0000}"/>
    <cellStyle name="표준 5 3 3 6 4 9" xfId="42027" xr:uid="{00000000-0005-0000-0000-00003C8D0000}"/>
    <cellStyle name="표준 5 3 3 6 5" xfId="9525" xr:uid="{00000000-0005-0000-0000-00003D8D0000}"/>
    <cellStyle name="표준 5 3 3 6 5 2" xfId="13637" xr:uid="{00000000-0005-0000-0000-00003E8D0000}"/>
    <cellStyle name="표준 5 3 3 6 5 2 2" xfId="30231" xr:uid="{00000000-0005-0000-0000-00003F8D0000}"/>
    <cellStyle name="표준 5 3 3 6 5 2 3" xfId="38442" xr:uid="{00000000-0005-0000-0000-0000408D0000}"/>
    <cellStyle name="표준 5 3 3 6 5 2 4" xfId="46635" xr:uid="{00000000-0005-0000-0000-0000418D0000}"/>
    <cellStyle name="표준 5 3 3 6 5 3" xfId="17877" xr:uid="{00000000-0005-0000-0000-0000428D0000}"/>
    <cellStyle name="표준 5 3 3 6 5 4" xfId="22039" xr:uid="{00000000-0005-0000-0000-0000438D0000}"/>
    <cellStyle name="표준 5 3 3 6 5 5" xfId="26135" xr:uid="{00000000-0005-0000-0000-0000448D0000}"/>
    <cellStyle name="표준 5 3 3 6 5 6" xfId="34346" xr:uid="{00000000-0005-0000-0000-0000458D0000}"/>
    <cellStyle name="표준 5 3 3 6 5 7" xfId="42539" xr:uid="{00000000-0005-0000-0000-0000468D0000}"/>
    <cellStyle name="표준 5 3 3 6 6" xfId="7477" xr:uid="{00000000-0005-0000-0000-0000478D0000}"/>
    <cellStyle name="표준 5 3 3 6 6 2" xfId="28183" xr:uid="{00000000-0005-0000-0000-0000488D0000}"/>
    <cellStyle name="표준 5 3 3 6 6 3" xfId="36394" xr:uid="{00000000-0005-0000-0000-0000498D0000}"/>
    <cellStyle name="표준 5 3 3 6 6 4" xfId="44587" xr:uid="{00000000-0005-0000-0000-00004A8D0000}"/>
    <cellStyle name="표준 5 3 3 6 7" xfId="11589" xr:uid="{00000000-0005-0000-0000-00004B8D0000}"/>
    <cellStyle name="표준 5 3 3 6 8" xfId="15829" xr:uid="{00000000-0005-0000-0000-00004C8D0000}"/>
    <cellStyle name="표준 5 3 3 6 9" xfId="19991" xr:uid="{00000000-0005-0000-0000-00004D8D0000}"/>
    <cellStyle name="표준 5 3 3 7" xfId="878" xr:uid="{00000000-0005-0000-0000-00004E8D0000}"/>
    <cellStyle name="표준 5 3 3 7 2" xfId="9781" xr:uid="{00000000-0005-0000-0000-00004F8D0000}"/>
    <cellStyle name="표준 5 3 3 7 2 2" xfId="13893" xr:uid="{00000000-0005-0000-0000-0000508D0000}"/>
    <cellStyle name="표준 5 3 3 7 2 2 2" xfId="30487" xr:uid="{00000000-0005-0000-0000-0000518D0000}"/>
    <cellStyle name="표준 5 3 3 7 2 2 3" xfId="38698" xr:uid="{00000000-0005-0000-0000-0000528D0000}"/>
    <cellStyle name="표준 5 3 3 7 2 2 4" xfId="46891" xr:uid="{00000000-0005-0000-0000-0000538D0000}"/>
    <cellStyle name="표준 5 3 3 7 2 3" xfId="18133" xr:uid="{00000000-0005-0000-0000-0000548D0000}"/>
    <cellStyle name="표준 5 3 3 7 2 4" xfId="22295" xr:uid="{00000000-0005-0000-0000-0000558D0000}"/>
    <cellStyle name="표준 5 3 3 7 2 5" xfId="26391" xr:uid="{00000000-0005-0000-0000-0000568D0000}"/>
    <cellStyle name="표준 5 3 3 7 2 6" xfId="34602" xr:uid="{00000000-0005-0000-0000-0000578D0000}"/>
    <cellStyle name="표준 5 3 3 7 2 7" xfId="42795" xr:uid="{00000000-0005-0000-0000-0000588D0000}"/>
    <cellStyle name="표준 5 3 3 7 3" xfId="7733" xr:uid="{00000000-0005-0000-0000-0000598D0000}"/>
    <cellStyle name="표준 5 3 3 7 3 2" xfId="28439" xr:uid="{00000000-0005-0000-0000-00005A8D0000}"/>
    <cellStyle name="표준 5 3 3 7 3 3" xfId="36650" xr:uid="{00000000-0005-0000-0000-00005B8D0000}"/>
    <cellStyle name="표준 5 3 3 7 3 4" xfId="44843" xr:uid="{00000000-0005-0000-0000-00005C8D0000}"/>
    <cellStyle name="표준 5 3 3 7 4" xfId="11845" xr:uid="{00000000-0005-0000-0000-00005D8D0000}"/>
    <cellStyle name="표준 5 3 3 7 5" xfId="16085" xr:uid="{00000000-0005-0000-0000-00005E8D0000}"/>
    <cellStyle name="표준 5 3 3 7 6" xfId="20247" xr:uid="{00000000-0005-0000-0000-00005F8D0000}"/>
    <cellStyle name="표준 5 3 3 7 7" xfId="24343" xr:uid="{00000000-0005-0000-0000-0000608D0000}"/>
    <cellStyle name="표준 5 3 3 7 8" xfId="32554" xr:uid="{00000000-0005-0000-0000-0000618D0000}"/>
    <cellStyle name="표준 5 3 3 7 9" xfId="40747" xr:uid="{00000000-0005-0000-0000-0000628D0000}"/>
    <cellStyle name="표준 5 3 3 8" xfId="1390" xr:uid="{00000000-0005-0000-0000-0000638D0000}"/>
    <cellStyle name="표준 5 3 3 8 2" xfId="10293" xr:uid="{00000000-0005-0000-0000-0000648D0000}"/>
    <cellStyle name="표준 5 3 3 8 2 2" xfId="14405" xr:uid="{00000000-0005-0000-0000-0000658D0000}"/>
    <cellStyle name="표준 5 3 3 8 2 2 2" xfId="30999" xr:uid="{00000000-0005-0000-0000-0000668D0000}"/>
    <cellStyle name="표준 5 3 3 8 2 2 3" xfId="39210" xr:uid="{00000000-0005-0000-0000-0000678D0000}"/>
    <cellStyle name="표준 5 3 3 8 2 2 4" xfId="47403" xr:uid="{00000000-0005-0000-0000-0000688D0000}"/>
    <cellStyle name="표준 5 3 3 8 2 3" xfId="18645" xr:uid="{00000000-0005-0000-0000-0000698D0000}"/>
    <cellStyle name="표준 5 3 3 8 2 4" xfId="22807" xr:uid="{00000000-0005-0000-0000-00006A8D0000}"/>
    <cellStyle name="표준 5 3 3 8 2 5" xfId="26903" xr:uid="{00000000-0005-0000-0000-00006B8D0000}"/>
    <cellStyle name="표준 5 3 3 8 2 6" xfId="35114" xr:uid="{00000000-0005-0000-0000-00006C8D0000}"/>
    <cellStyle name="표준 5 3 3 8 2 7" xfId="43307" xr:uid="{00000000-0005-0000-0000-00006D8D0000}"/>
    <cellStyle name="표준 5 3 3 8 3" xfId="8245" xr:uid="{00000000-0005-0000-0000-00006E8D0000}"/>
    <cellStyle name="표준 5 3 3 8 3 2" xfId="28951" xr:uid="{00000000-0005-0000-0000-00006F8D0000}"/>
    <cellStyle name="표준 5 3 3 8 3 3" xfId="37162" xr:uid="{00000000-0005-0000-0000-0000708D0000}"/>
    <cellStyle name="표준 5 3 3 8 3 4" xfId="45355" xr:uid="{00000000-0005-0000-0000-0000718D0000}"/>
    <cellStyle name="표준 5 3 3 8 4" xfId="12357" xr:uid="{00000000-0005-0000-0000-0000728D0000}"/>
    <cellStyle name="표준 5 3 3 8 5" xfId="16597" xr:uid="{00000000-0005-0000-0000-0000738D0000}"/>
    <cellStyle name="표준 5 3 3 8 6" xfId="20759" xr:uid="{00000000-0005-0000-0000-0000748D0000}"/>
    <cellStyle name="표준 5 3 3 8 7" xfId="24855" xr:uid="{00000000-0005-0000-0000-0000758D0000}"/>
    <cellStyle name="표준 5 3 3 8 8" xfId="33066" xr:uid="{00000000-0005-0000-0000-0000768D0000}"/>
    <cellStyle name="표준 5 3 3 8 9" xfId="41259" xr:uid="{00000000-0005-0000-0000-0000778D0000}"/>
    <cellStyle name="표준 5 3 3 9" xfId="1902" xr:uid="{00000000-0005-0000-0000-0000788D0000}"/>
    <cellStyle name="표준 5 3 3 9 2" xfId="10805" xr:uid="{00000000-0005-0000-0000-0000798D0000}"/>
    <cellStyle name="표준 5 3 3 9 2 2" xfId="14917" xr:uid="{00000000-0005-0000-0000-00007A8D0000}"/>
    <cellStyle name="표준 5 3 3 9 2 2 2" xfId="31511" xr:uid="{00000000-0005-0000-0000-00007B8D0000}"/>
    <cellStyle name="표준 5 3 3 9 2 2 3" xfId="39722" xr:uid="{00000000-0005-0000-0000-00007C8D0000}"/>
    <cellStyle name="표준 5 3 3 9 2 2 4" xfId="47915" xr:uid="{00000000-0005-0000-0000-00007D8D0000}"/>
    <cellStyle name="표준 5 3 3 9 2 3" xfId="19157" xr:uid="{00000000-0005-0000-0000-00007E8D0000}"/>
    <cellStyle name="표준 5 3 3 9 2 4" xfId="23319" xr:uid="{00000000-0005-0000-0000-00007F8D0000}"/>
    <cellStyle name="표준 5 3 3 9 2 5" xfId="27415" xr:uid="{00000000-0005-0000-0000-0000808D0000}"/>
    <cellStyle name="표준 5 3 3 9 2 6" xfId="35626" xr:uid="{00000000-0005-0000-0000-0000818D0000}"/>
    <cellStyle name="표준 5 3 3 9 2 7" xfId="43819" xr:uid="{00000000-0005-0000-0000-0000828D0000}"/>
    <cellStyle name="표준 5 3 3 9 3" xfId="8757" xr:uid="{00000000-0005-0000-0000-0000838D0000}"/>
    <cellStyle name="표준 5 3 3 9 3 2" xfId="29463" xr:uid="{00000000-0005-0000-0000-0000848D0000}"/>
    <cellStyle name="표준 5 3 3 9 3 3" xfId="37674" xr:uid="{00000000-0005-0000-0000-0000858D0000}"/>
    <cellStyle name="표준 5 3 3 9 3 4" xfId="45867" xr:uid="{00000000-0005-0000-0000-0000868D0000}"/>
    <cellStyle name="표준 5 3 3 9 4" xfId="12869" xr:uid="{00000000-0005-0000-0000-0000878D0000}"/>
    <cellStyle name="표준 5 3 3 9 5" xfId="17109" xr:uid="{00000000-0005-0000-0000-0000888D0000}"/>
    <cellStyle name="표준 5 3 3 9 6" xfId="21271" xr:uid="{00000000-0005-0000-0000-0000898D0000}"/>
    <cellStyle name="표준 5 3 3 9 7" xfId="25367" xr:uid="{00000000-0005-0000-0000-00008A8D0000}"/>
    <cellStyle name="표준 5 3 3 9 8" xfId="33578" xr:uid="{00000000-0005-0000-0000-00008B8D0000}"/>
    <cellStyle name="표준 5 3 3 9 9" xfId="41771" xr:uid="{00000000-0005-0000-0000-00008C8D0000}"/>
    <cellStyle name="표준 5 3 30" xfId="19709" xr:uid="{00000000-0005-0000-0000-00008D8D0000}"/>
    <cellStyle name="표준 5 3 31" xfId="19736" xr:uid="{00000000-0005-0000-0000-00008E8D0000}"/>
    <cellStyle name="표준 5 3 32" xfId="23823" xr:uid="{00000000-0005-0000-0000-00008F8D0000}"/>
    <cellStyle name="표준 5 3 33" xfId="32017" xr:uid="{00000000-0005-0000-0000-0000908D0000}"/>
    <cellStyle name="표준 5 3 34" xfId="32034" xr:uid="{00000000-0005-0000-0000-0000918D0000}"/>
    <cellStyle name="표준 5 3 35" xfId="40227" xr:uid="{00000000-0005-0000-0000-0000928D0000}"/>
    <cellStyle name="표준 5 3 36" xfId="48429" xr:uid="{00000000-0005-0000-0000-0000938D0000}"/>
    <cellStyle name="표준 5 3 4" xfId="129" xr:uid="{00000000-0005-0000-0000-0000948D0000}"/>
    <cellStyle name="표준 5 3 4 10" xfId="7192" xr:uid="{00000000-0005-0000-0000-0000958D0000}"/>
    <cellStyle name="표준 5 3 4 10 2" xfId="27935" xr:uid="{00000000-0005-0000-0000-0000968D0000}"/>
    <cellStyle name="표준 5 3 4 10 3" xfId="36146" xr:uid="{00000000-0005-0000-0000-0000978D0000}"/>
    <cellStyle name="표준 5 3 4 10 4" xfId="44339" xr:uid="{00000000-0005-0000-0000-0000988D0000}"/>
    <cellStyle name="표준 5 3 4 11" xfId="7229" xr:uid="{00000000-0005-0000-0000-0000998D0000}"/>
    <cellStyle name="표준 5 3 4 12" xfId="11341" xr:uid="{00000000-0005-0000-0000-00009A8D0000}"/>
    <cellStyle name="표준 5 3 4 13" xfId="15469" xr:uid="{00000000-0005-0000-0000-00009B8D0000}"/>
    <cellStyle name="표준 5 3 4 14" xfId="15581" xr:uid="{00000000-0005-0000-0000-00009C8D0000}"/>
    <cellStyle name="표준 5 3 4 15" xfId="19743" xr:uid="{00000000-0005-0000-0000-00009D8D0000}"/>
    <cellStyle name="표준 5 3 4 16" xfId="23839" xr:uid="{00000000-0005-0000-0000-00009E8D0000}"/>
    <cellStyle name="표준 5 3 4 17" xfId="32050" xr:uid="{00000000-0005-0000-0000-00009F8D0000}"/>
    <cellStyle name="표준 5 3 4 18" xfId="40243" xr:uid="{00000000-0005-0000-0000-0000A08D0000}"/>
    <cellStyle name="표준 5 3 4 19" xfId="49650" xr:uid="{00000000-0005-0000-0000-0000A18D0000}"/>
    <cellStyle name="표준 5 3 4 2" xfId="406" xr:uid="{00000000-0005-0000-0000-0000A28D0000}"/>
    <cellStyle name="표준 5 3 4 2 10" xfId="7261" xr:uid="{00000000-0005-0000-0000-0000A38D0000}"/>
    <cellStyle name="표준 5 3 4 2 11" xfId="11373" xr:uid="{00000000-0005-0000-0000-0000A48D0000}"/>
    <cellStyle name="표준 5 3 4 2 12" xfId="15517" xr:uid="{00000000-0005-0000-0000-0000A58D0000}"/>
    <cellStyle name="표준 5 3 4 2 13" xfId="15613" xr:uid="{00000000-0005-0000-0000-0000A68D0000}"/>
    <cellStyle name="표준 5 3 4 2 14" xfId="19775" xr:uid="{00000000-0005-0000-0000-0000A78D0000}"/>
    <cellStyle name="표준 5 3 4 2 15" xfId="23871" xr:uid="{00000000-0005-0000-0000-0000A88D0000}"/>
    <cellStyle name="표준 5 3 4 2 16" xfId="32082" xr:uid="{00000000-0005-0000-0000-0000A98D0000}"/>
    <cellStyle name="표준 5 3 4 2 17" xfId="40275" xr:uid="{00000000-0005-0000-0000-0000AA8D0000}"/>
    <cellStyle name="표준 5 3 4 2 18" xfId="49716" xr:uid="{00000000-0005-0000-0000-0000AB8D0000}"/>
    <cellStyle name="표준 5 3 4 2 2" xfId="470" xr:uid="{00000000-0005-0000-0000-0000AC8D0000}"/>
    <cellStyle name="표준 5 3 4 2 2 10" xfId="15677" xr:uid="{00000000-0005-0000-0000-0000AD8D0000}"/>
    <cellStyle name="표준 5 3 4 2 2 11" xfId="19839" xr:uid="{00000000-0005-0000-0000-0000AE8D0000}"/>
    <cellStyle name="표준 5 3 4 2 2 12" xfId="23935" xr:uid="{00000000-0005-0000-0000-0000AF8D0000}"/>
    <cellStyle name="표준 5 3 4 2 2 13" xfId="32146" xr:uid="{00000000-0005-0000-0000-0000B08D0000}"/>
    <cellStyle name="표준 5 3 4 2 2 14" xfId="40339" xr:uid="{00000000-0005-0000-0000-0000B18D0000}"/>
    <cellStyle name="표준 5 3 4 2 2 2" xfId="598" xr:uid="{00000000-0005-0000-0000-0000B28D0000}"/>
    <cellStyle name="표준 5 3 4 2 2 2 10" xfId="19967" xr:uid="{00000000-0005-0000-0000-0000B38D0000}"/>
    <cellStyle name="표준 5 3 4 2 2 2 11" xfId="24063" xr:uid="{00000000-0005-0000-0000-0000B48D0000}"/>
    <cellStyle name="표준 5 3 4 2 2 2 12" xfId="32274" xr:uid="{00000000-0005-0000-0000-0000B58D0000}"/>
    <cellStyle name="표준 5 3 4 2 2 2 13" xfId="40467" xr:uid="{00000000-0005-0000-0000-0000B68D0000}"/>
    <cellStyle name="표준 5 3 4 2 2 2 2" xfId="854" xr:uid="{00000000-0005-0000-0000-0000B78D0000}"/>
    <cellStyle name="표준 5 3 4 2 2 2 2 10" xfId="24319" xr:uid="{00000000-0005-0000-0000-0000B88D0000}"/>
    <cellStyle name="표준 5 3 4 2 2 2 2 11" xfId="32530" xr:uid="{00000000-0005-0000-0000-0000B98D0000}"/>
    <cellStyle name="표준 5 3 4 2 2 2 2 12" xfId="40723" xr:uid="{00000000-0005-0000-0000-0000BA8D0000}"/>
    <cellStyle name="표준 5 3 4 2 2 2 2 2" xfId="1366" xr:uid="{00000000-0005-0000-0000-0000BB8D0000}"/>
    <cellStyle name="표준 5 3 4 2 2 2 2 2 2" xfId="10269" xr:uid="{00000000-0005-0000-0000-0000BC8D0000}"/>
    <cellStyle name="표준 5 3 4 2 2 2 2 2 2 2" xfId="14381" xr:uid="{00000000-0005-0000-0000-0000BD8D0000}"/>
    <cellStyle name="표준 5 3 4 2 2 2 2 2 2 2 2" xfId="30975" xr:uid="{00000000-0005-0000-0000-0000BE8D0000}"/>
    <cellStyle name="표준 5 3 4 2 2 2 2 2 2 2 3" xfId="39186" xr:uid="{00000000-0005-0000-0000-0000BF8D0000}"/>
    <cellStyle name="표준 5 3 4 2 2 2 2 2 2 2 4" xfId="47379" xr:uid="{00000000-0005-0000-0000-0000C08D0000}"/>
    <cellStyle name="표준 5 3 4 2 2 2 2 2 2 3" xfId="18621" xr:uid="{00000000-0005-0000-0000-0000C18D0000}"/>
    <cellStyle name="표준 5 3 4 2 2 2 2 2 2 4" xfId="22783" xr:uid="{00000000-0005-0000-0000-0000C28D0000}"/>
    <cellStyle name="표준 5 3 4 2 2 2 2 2 2 5" xfId="26879" xr:uid="{00000000-0005-0000-0000-0000C38D0000}"/>
    <cellStyle name="표준 5 3 4 2 2 2 2 2 2 6" xfId="35090" xr:uid="{00000000-0005-0000-0000-0000C48D0000}"/>
    <cellStyle name="표준 5 3 4 2 2 2 2 2 2 7" xfId="43283" xr:uid="{00000000-0005-0000-0000-0000C58D0000}"/>
    <cellStyle name="표준 5 3 4 2 2 2 2 2 3" xfId="8221" xr:uid="{00000000-0005-0000-0000-0000C68D0000}"/>
    <cellStyle name="표준 5 3 4 2 2 2 2 2 3 2" xfId="28927" xr:uid="{00000000-0005-0000-0000-0000C78D0000}"/>
    <cellStyle name="표준 5 3 4 2 2 2 2 2 3 3" xfId="37138" xr:uid="{00000000-0005-0000-0000-0000C88D0000}"/>
    <cellStyle name="표준 5 3 4 2 2 2 2 2 3 4" xfId="45331" xr:uid="{00000000-0005-0000-0000-0000C98D0000}"/>
    <cellStyle name="표준 5 3 4 2 2 2 2 2 4" xfId="12333" xr:uid="{00000000-0005-0000-0000-0000CA8D0000}"/>
    <cellStyle name="표준 5 3 4 2 2 2 2 2 5" xfId="16573" xr:uid="{00000000-0005-0000-0000-0000CB8D0000}"/>
    <cellStyle name="표준 5 3 4 2 2 2 2 2 6" xfId="20735" xr:uid="{00000000-0005-0000-0000-0000CC8D0000}"/>
    <cellStyle name="표준 5 3 4 2 2 2 2 2 7" xfId="24831" xr:uid="{00000000-0005-0000-0000-0000CD8D0000}"/>
    <cellStyle name="표준 5 3 4 2 2 2 2 2 8" xfId="33042" xr:uid="{00000000-0005-0000-0000-0000CE8D0000}"/>
    <cellStyle name="표준 5 3 4 2 2 2 2 2 9" xfId="41235" xr:uid="{00000000-0005-0000-0000-0000CF8D0000}"/>
    <cellStyle name="표준 5 3 4 2 2 2 2 3" xfId="1878" xr:uid="{00000000-0005-0000-0000-0000D08D0000}"/>
    <cellStyle name="표준 5 3 4 2 2 2 2 3 2" xfId="10781" xr:uid="{00000000-0005-0000-0000-0000D18D0000}"/>
    <cellStyle name="표준 5 3 4 2 2 2 2 3 2 2" xfId="14893" xr:uid="{00000000-0005-0000-0000-0000D28D0000}"/>
    <cellStyle name="표준 5 3 4 2 2 2 2 3 2 2 2" xfId="31487" xr:uid="{00000000-0005-0000-0000-0000D38D0000}"/>
    <cellStyle name="표준 5 3 4 2 2 2 2 3 2 2 3" xfId="39698" xr:uid="{00000000-0005-0000-0000-0000D48D0000}"/>
    <cellStyle name="표준 5 3 4 2 2 2 2 3 2 2 4" xfId="47891" xr:uid="{00000000-0005-0000-0000-0000D58D0000}"/>
    <cellStyle name="표준 5 3 4 2 2 2 2 3 2 3" xfId="19133" xr:uid="{00000000-0005-0000-0000-0000D68D0000}"/>
    <cellStyle name="표준 5 3 4 2 2 2 2 3 2 4" xfId="23295" xr:uid="{00000000-0005-0000-0000-0000D78D0000}"/>
    <cellStyle name="표준 5 3 4 2 2 2 2 3 2 5" xfId="27391" xr:uid="{00000000-0005-0000-0000-0000D88D0000}"/>
    <cellStyle name="표준 5 3 4 2 2 2 2 3 2 6" xfId="35602" xr:uid="{00000000-0005-0000-0000-0000D98D0000}"/>
    <cellStyle name="표준 5 3 4 2 2 2 2 3 2 7" xfId="43795" xr:uid="{00000000-0005-0000-0000-0000DA8D0000}"/>
    <cellStyle name="표준 5 3 4 2 2 2 2 3 3" xfId="8733" xr:uid="{00000000-0005-0000-0000-0000DB8D0000}"/>
    <cellStyle name="표준 5 3 4 2 2 2 2 3 3 2" xfId="29439" xr:uid="{00000000-0005-0000-0000-0000DC8D0000}"/>
    <cellStyle name="표준 5 3 4 2 2 2 2 3 3 3" xfId="37650" xr:uid="{00000000-0005-0000-0000-0000DD8D0000}"/>
    <cellStyle name="표준 5 3 4 2 2 2 2 3 3 4" xfId="45843" xr:uid="{00000000-0005-0000-0000-0000DE8D0000}"/>
    <cellStyle name="표준 5 3 4 2 2 2 2 3 4" xfId="12845" xr:uid="{00000000-0005-0000-0000-0000DF8D0000}"/>
    <cellStyle name="표준 5 3 4 2 2 2 2 3 5" xfId="17085" xr:uid="{00000000-0005-0000-0000-0000E08D0000}"/>
    <cellStyle name="표준 5 3 4 2 2 2 2 3 6" xfId="21247" xr:uid="{00000000-0005-0000-0000-0000E18D0000}"/>
    <cellStyle name="표준 5 3 4 2 2 2 2 3 7" xfId="25343" xr:uid="{00000000-0005-0000-0000-0000E28D0000}"/>
    <cellStyle name="표준 5 3 4 2 2 2 2 3 8" xfId="33554" xr:uid="{00000000-0005-0000-0000-0000E38D0000}"/>
    <cellStyle name="표준 5 3 4 2 2 2 2 3 9" xfId="41747" xr:uid="{00000000-0005-0000-0000-0000E48D0000}"/>
    <cellStyle name="표준 5 3 4 2 2 2 2 4" xfId="2390" xr:uid="{00000000-0005-0000-0000-0000E58D0000}"/>
    <cellStyle name="표준 5 3 4 2 2 2 2 4 2" xfId="11293" xr:uid="{00000000-0005-0000-0000-0000E68D0000}"/>
    <cellStyle name="표준 5 3 4 2 2 2 2 4 2 2" xfId="15405" xr:uid="{00000000-0005-0000-0000-0000E78D0000}"/>
    <cellStyle name="표준 5 3 4 2 2 2 2 4 2 2 2" xfId="31999" xr:uid="{00000000-0005-0000-0000-0000E88D0000}"/>
    <cellStyle name="표준 5 3 4 2 2 2 2 4 2 2 3" xfId="40210" xr:uid="{00000000-0005-0000-0000-0000E98D0000}"/>
    <cellStyle name="표준 5 3 4 2 2 2 2 4 2 2 4" xfId="48403" xr:uid="{00000000-0005-0000-0000-0000EA8D0000}"/>
    <cellStyle name="표준 5 3 4 2 2 2 2 4 2 3" xfId="19645" xr:uid="{00000000-0005-0000-0000-0000EB8D0000}"/>
    <cellStyle name="표준 5 3 4 2 2 2 2 4 2 4" xfId="23807" xr:uid="{00000000-0005-0000-0000-0000EC8D0000}"/>
    <cellStyle name="표준 5 3 4 2 2 2 2 4 2 5" xfId="27903" xr:uid="{00000000-0005-0000-0000-0000ED8D0000}"/>
    <cellStyle name="표준 5 3 4 2 2 2 2 4 2 6" xfId="36114" xr:uid="{00000000-0005-0000-0000-0000EE8D0000}"/>
    <cellStyle name="표준 5 3 4 2 2 2 2 4 2 7" xfId="44307" xr:uid="{00000000-0005-0000-0000-0000EF8D0000}"/>
    <cellStyle name="표준 5 3 4 2 2 2 2 4 3" xfId="9245" xr:uid="{00000000-0005-0000-0000-0000F08D0000}"/>
    <cellStyle name="표준 5 3 4 2 2 2 2 4 3 2" xfId="29951" xr:uid="{00000000-0005-0000-0000-0000F18D0000}"/>
    <cellStyle name="표준 5 3 4 2 2 2 2 4 3 3" xfId="38162" xr:uid="{00000000-0005-0000-0000-0000F28D0000}"/>
    <cellStyle name="표준 5 3 4 2 2 2 2 4 3 4" xfId="46355" xr:uid="{00000000-0005-0000-0000-0000F38D0000}"/>
    <cellStyle name="표준 5 3 4 2 2 2 2 4 4" xfId="13357" xr:uid="{00000000-0005-0000-0000-0000F48D0000}"/>
    <cellStyle name="표준 5 3 4 2 2 2 2 4 5" xfId="17597" xr:uid="{00000000-0005-0000-0000-0000F58D0000}"/>
    <cellStyle name="표준 5 3 4 2 2 2 2 4 6" xfId="21759" xr:uid="{00000000-0005-0000-0000-0000F68D0000}"/>
    <cellStyle name="표준 5 3 4 2 2 2 2 4 7" xfId="25855" xr:uid="{00000000-0005-0000-0000-0000F78D0000}"/>
    <cellStyle name="표준 5 3 4 2 2 2 2 4 8" xfId="34066" xr:uid="{00000000-0005-0000-0000-0000F88D0000}"/>
    <cellStyle name="표준 5 3 4 2 2 2 2 4 9" xfId="42259" xr:uid="{00000000-0005-0000-0000-0000F98D0000}"/>
    <cellStyle name="표준 5 3 4 2 2 2 2 5" xfId="9757" xr:uid="{00000000-0005-0000-0000-0000FA8D0000}"/>
    <cellStyle name="표준 5 3 4 2 2 2 2 5 2" xfId="13869" xr:uid="{00000000-0005-0000-0000-0000FB8D0000}"/>
    <cellStyle name="표준 5 3 4 2 2 2 2 5 2 2" xfId="30463" xr:uid="{00000000-0005-0000-0000-0000FC8D0000}"/>
    <cellStyle name="표준 5 3 4 2 2 2 2 5 2 3" xfId="38674" xr:uid="{00000000-0005-0000-0000-0000FD8D0000}"/>
    <cellStyle name="표준 5 3 4 2 2 2 2 5 2 4" xfId="46867" xr:uid="{00000000-0005-0000-0000-0000FE8D0000}"/>
    <cellStyle name="표준 5 3 4 2 2 2 2 5 3" xfId="18109" xr:uid="{00000000-0005-0000-0000-0000FF8D0000}"/>
    <cellStyle name="표준 5 3 4 2 2 2 2 5 4" xfId="22271" xr:uid="{00000000-0005-0000-0000-0000008E0000}"/>
    <cellStyle name="표준 5 3 4 2 2 2 2 5 5" xfId="26367" xr:uid="{00000000-0005-0000-0000-0000018E0000}"/>
    <cellStyle name="표준 5 3 4 2 2 2 2 5 6" xfId="34578" xr:uid="{00000000-0005-0000-0000-0000028E0000}"/>
    <cellStyle name="표준 5 3 4 2 2 2 2 5 7" xfId="42771" xr:uid="{00000000-0005-0000-0000-0000038E0000}"/>
    <cellStyle name="표준 5 3 4 2 2 2 2 6" xfId="7709" xr:uid="{00000000-0005-0000-0000-0000048E0000}"/>
    <cellStyle name="표준 5 3 4 2 2 2 2 6 2" xfId="28415" xr:uid="{00000000-0005-0000-0000-0000058E0000}"/>
    <cellStyle name="표준 5 3 4 2 2 2 2 6 3" xfId="36626" xr:uid="{00000000-0005-0000-0000-0000068E0000}"/>
    <cellStyle name="표준 5 3 4 2 2 2 2 6 4" xfId="44819" xr:uid="{00000000-0005-0000-0000-0000078E0000}"/>
    <cellStyle name="표준 5 3 4 2 2 2 2 7" xfId="11821" xr:uid="{00000000-0005-0000-0000-0000088E0000}"/>
    <cellStyle name="표준 5 3 4 2 2 2 2 8" xfId="16061" xr:uid="{00000000-0005-0000-0000-0000098E0000}"/>
    <cellStyle name="표준 5 3 4 2 2 2 2 9" xfId="20223" xr:uid="{00000000-0005-0000-0000-00000A8E0000}"/>
    <cellStyle name="표준 5 3 4 2 2 2 3" xfId="1110" xr:uid="{00000000-0005-0000-0000-00000B8E0000}"/>
    <cellStyle name="표준 5 3 4 2 2 2 3 2" xfId="10013" xr:uid="{00000000-0005-0000-0000-00000C8E0000}"/>
    <cellStyle name="표준 5 3 4 2 2 2 3 2 2" xfId="14125" xr:uid="{00000000-0005-0000-0000-00000D8E0000}"/>
    <cellStyle name="표준 5 3 4 2 2 2 3 2 2 2" xfId="30719" xr:uid="{00000000-0005-0000-0000-00000E8E0000}"/>
    <cellStyle name="표준 5 3 4 2 2 2 3 2 2 3" xfId="38930" xr:uid="{00000000-0005-0000-0000-00000F8E0000}"/>
    <cellStyle name="표준 5 3 4 2 2 2 3 2 2 4" xfId="47123" xr:uid="{00000000-0005-0000-0000-0000108E0000}"/>
    <cellStyle name="표준 5 3 4 2 2 2 3 2 3" xfId="18365" xr:uid="{00000000-0005-0000-0000-0000118E0000}"/>
    <cellStyle name="표준 5 3 4 2 2 2 3 2 4" xfId="22527" xr:uid="{00000000-0005-0000-0000-0000128E0000}"/>
    <cellStyle name="표준 5 3 4 2 2 2 3 2 5" xfId="26623" xr:uid="{00000000-0005-0000-0000-0000138E0000}"/>
    <cellStyle name="표준 5 3 4 2 2 2 3 2 6" xfId="34834" xr:uid="{00000000-0005-0000-0000-0000148E0000}"/>
    <cellStyle name="표준 5 3 4 2 2 2 3 2 7" xfId="43027" xr:uid="{00000000-0005-0000-0000-0000158E0000}"/>
    <cellStyle name="표준 5 3 4 2 2 2 3 3" xfId="7965" xr:uid="{00000000-0005-0000-0000-0000168E0000}"/>
    <cellStyle name="표준 5 3 4 2 2 2 3 3 2" xfId="28671" xr:uid="{00000000-0005-0000-0000-0000178E0000}"/>
    <cellStyle name="표준 5 3 4 2 2 2 3 3 3" xfId="36882" xr:uid="{00000000-0005-0000-0000-0000188E0000}"/>
    <cellStyle name="표준 5 3 4 2 2 2 3 3 4" xfId="45075" xr:uid="{00000000-0005-0000-0000-0000198E0000}"/>
    <cellStyle name="표준 5 3 4 2 2 2 3 4" xfId="12077" xr:uid="{00000000-0005-0000-0000-00001A8E0000}"/>
    <cellStyle name="표준 5 3 4 2 2 2 3 5" xfId="16317" xr:uid="{00000000-0005-0000-0000-00001B8E0000}"/>
    <cellStyle name="표준 5 3 4 2 2 2 3 6" xfId="20479" xr:uid="{00000000-0005-0000-0000-00001C8E0000}"/>
    <cellStyle name="표준 5 3 4 2 2 2 3 7" xfId="24575" xr:uid="{00000000-0005-0000-0000-00001D8E0000}"/>
    <cellStyle name="표준 5 3 4 2 2 2 3 8" xfId="32786" xr:uid="{00000000-0005-0000-0000-00001E8E0000}"/>
    <cellStyle name="표준 5 3 4 2 2 2 3 9" xfId="40979" xr:uid="{00000000-0005-0000-0000-00001F8E0000}"/>
    <cellStyle name="표준 5 3 4 2 2 2 4" xfId="1622" xr:uid="{00000000-0005-0000-0000-0000208E0000}"/>
    <cellStyle name="표준 5 3 4 2 2 2 4 2" xfId="10525" xr:uid="{00000000-0005-0000-0000-0000218E0000}"/>
    <cellStyle name="표준 5 3 4 2 2 2 4 2 2" xfId="14637" xr:uid="{00000000-0005-0000-0000-0000228E0000}"/>
    <cellStyle name="표준 5 3 4 2 2 2 4 2 2 2" xfId="31231" xr:uid="{00000000-0005-0000-0000-0000238E0000}"/>
    <cellStyle name="표준 5 3 4 2 2 2 4 2 2 3" xfId="39442" xr:uid="{00000000-0005-0000-0000-0000248E0000}"/>
    <cellStyle name="표준 5 3 4 2 2 2 4 2 2 4" xfId="47635" xr:uid="{00000000-0005-0000-0000-0000258E0000}"/>
    <cellStyle name="표준 5 3 4 2 2 2 4 2 3" xfId="18877" xr:uid="{00000000-0005-0000-0000-0000268E0000}"/>
    <cellStyle name="표준 5 3 4 2 2 2 4 2 4" xfId="23039" xr:uid="{00000000-0005-0000-0000-0000278E0000}"/>
    <cellStyle name="표준 5 3 4 2 2 2 4 2 5" xfId="27135" xr:uid="{00000000-0005-0000-0000-0000288E0000}"/>
    <cellStyle name="표준 5 3 4 2 2 2 4 2 6" xfId="35346" xr:uid="{00000000-0005-0000-0000-0000298E0000}"/>
    <cellStyle name="표준 5 3 4 2 2 2 4 2 7" xfId="43539" xr:uid="{00000000-0005-0000-0000-00002A8E0000}"/>
    <cellStyle name="표준 5 3 4 2 2 2 4 3" xfId="8477" xr:uid="{00000000-0005-0000-0000-00002B8E0000}"/>
    <cellStyle name="표준 5 3 4 2 2 2 4 3 2" xfId="29183" xr:uid="{00000000-0005-0000-0000-00002C8E0000}"/>
    <cellStyle name="표준 5 3 4 2 2 2 4 3 3" xfId="37394" xr:uid="{00000000-0005-0000-0000-00002D8E0000}"/>
    <cellStyle name="표준 5 3 4 2 2 2 4 3 4" xfId="45587" xr:uid="{00000000-0005-0000-0000-00002E8E0000}"/>
    <cellStyle name="표준 5 3 4 2 2 2 4 4" xfId="12589" xr:uid="{00000000-0005-0000-0000-00002F8E0000}"/>
    <cellStyle name="표준 5 3 4 2 2 2 4 5" xfId="16829" xr:uid="{00000000-0005-0000-0000-0000308E0000}"/>
    <cellStyle name="표준 5 3 4 2 2 2 4 6" xfId="20991" xr:uid="{00000000-0005-0000-0000-0000318E0000}"/>
    <cellStyle name="표준 5 3 4 2 2 2 4 7" xfId="25087" xr:uid="{00000000-0005-0000-0000-0000328E0000}"/>
    <cellStyle name="표준 5 3 4 2 2 2 4 8" xfId="33298" xr:uid="{00000000-0005-0000-0000-0000338E0000}"/>
    <cellStyle name="표준 5 3 4 2 2 2 4 9" xfId="41491" xr:uid="{00000000-0005-0000-0000-0000348E0000}"/>
    <cellStyle name="표준 5 3 4 2 2 2 5" xfId="2134" xr:uid="{00000000-0005-0000-0000-0000358E0000}"/>
    <cellStyle name="표준 5 3 4 2 2 2 5 2" xfId="11037" xr:uid="{00000000-0005-0000-0000-0000368E0000}"/>
    <cellStyle name="표준 5 3 4 2 2 2 5 2 2" xfId="15149" xr:uid="{00000000-0005-0000-0000-0000378E0000}"/>
    <cellStyle name="표준 5 3 4 2 2 2 5 2 2 2" xfId="31743" xr:uid="{00000000-0005-0000-0000-0000388E0000}"/>
    <cellStyle name="표준 5 3 4 2 2 2 5 2 2 3" xfId="39954" xr:uid="{00000000-0005-0000-0000-0000398E0000}"/>
    <cellStyle name="표준 5 3 4 2 2 2 5 2 2 4" xfId="48147" xr:uid="{00000000-0005-0000-0000-00003A8E0000}"/>
    <cellStyle name="표준 5 3 4 2 2 2 5 2 3" xfId="19389" xr:uid="{00000000-0005-0000-0000-00003B8E0000}"/>
    <cellStyle name="표준 5 3 4 2 2 2 5 2 4" xfId="23551" xr:uid="{00000000-0005-0000-0000-00003C8E0000}"/>
    <cellStyle name="표준 5 3 4 2 2 2 5 2 5" xfId="27647" xr:uid="{00000000-0005-0000-0000-00003D8E0000}"/>
    <cellStyle name="표준 5 3 4 2 2 2 5 2 6" xfId="35858" xr:uid="{00000000-0005-0000-0000-00003E8E0000}"/>
    <cellStyle name="표준 5 3 4 2 2 2 5 2 7" xfId="44051" xr:uid="{00000000-0005-0000-0000-00003F8E0000}"/>
    <cellStyle name="표준 5 3 4 2 2 2 5 3" xfId="8989" xr:uid="{00000000-0005-0000-0000-0000408E0000}"/>
    <cellStyle name="표준 5 3 4 2 2 2 5 3 2" xfId="29695" xr:uid="{00000000-0005-0000-0000-0000418E0000}"/>
    <cellStyle name="표준 5 3 4 2 2 2 5 3 3" xfId="37906" xr:uid="{00000000-0005-0000-0000-0000428E0000}"/>
    <cellStyle name="표준 5 3 4 2 2 2 5 3 4" xfId="46099" xr:uid="{00000000-0005-0000-0000-0000438E0000}"/>
    <cellStyle name="표준 5 3 4 2 2 2 5 4" xfId="13101" xr:uid="{00000000-0005-0000-0000-0000448E0000}"/>
    <cellStyle name="표준 5 3 4 2 2 2 5 5" xfId="17341" xr:uid="{00000000-0005-0000-0000-0000458E0000}"/>
    <cellStyle name="표준 5 3 4 2 2 2 5 6" xfId="21503" xr:uid="{00000000-0005-0000-0000-0000468E0000}"/>
    <cellStyle name="표준 5 3 4 2 2 2 5 7" xfId="25599" xr:uid="{00000000-0005-0000-0000-0000478E0000}"/>
    <cellStyle name="표준 5 3 4 2 2 2 5 8" xfId="33810" xr:uid="{00000000-0005-0000-0000-0000488E0000}"/>
    <cellStyle name="표준 5 3 4 2 2 2 5 9" xfId="42003" xr:uid="{00000000-0005-0000-0000-0000498E0000}"/>
    <cellStyle name="표준 5 3 4 2 2 2 6" xfId="9501" xr:uid="{00000000-0005-0000-0000-00004A8E0000}"/>
    <cellStyle name="표준 5 3 4 2 2 2 6 2" xfId="13613" xr:uid="{00000000-0005-0000-0000-00004B8E0000}"/>
    <cellStyle name="표준 5 3 4 2 2 2 6 2 2" xfId="30207" xr:uid="{00000000-0005-0000-0000-00004C8E0000}"/>
    <cellStyle name="표준 5 3 4 2 2 2 6 2 3" xfId="38418" xr:uid="{00000000-0005-0000-0000-00004D8E0000}"/>
    <cellStyle name="표준 5 3 4 2 2 2 6 2 4" xfId="46611" xr:uid="{00000000-0005-0000-0000-00004E8E0000}"/>
    <cellStyle name="표준 5 3 4 2 2 2 6 3" xfId="17853" xr:uid="{00000000-0005-0000-0000-00004F8E0000}"/>
    <cellStyle name="표준 5 3 4 2 2 2 6 4" xfId="22015" xr:uid="{00000000-0005-0000-0000-0000508E0000}"/>
    <cellStyle name="표준 5 3 4 2 2 2 6 5" xfId="26111" xr:uid="{00000000-0005-0000-0000-0000518E0000}"/>
    <cellStyle name="표준 5 3 4 2 2 2 6 6" xfId="34322" xr:uid="{00000000-0005-0000-0000-0000528E0000}"/>
    <cellStyle name="표준 5 3 4 2 2 2 6 7" xfId="42515" xr:uid="{00000000-0005-0000-0000-0000538E0000}"/>
    <cellStyle name="표준 5 3 4 2 2 2 7" xfId="7453" xr:uid="{00000000-0005-0000-0000-0000548E0000}"/>
    <cellStyle name="표준 5 3 4 2 2 2 7 2" xfId="28159" xr:uid="{00000000-0005-0000-0000-0000558E0000}"/>
    <cellStyle name="표준 5 3 4 2 2 2 7 3" xfId="36370" xr:uid="{00000000-0005-0000-0000-0000568E0000}"/>
    <cellStyle name="표준 5 3 4 2 2 2 7 4" xfId="44563" xr:uid="{00000000-0005-0000-0000-0000578E0000}"/>
    <cellStyle name="표준 5 3 4 2 2 2 8" xfId="11565" xr:uid="{00000000-0005-0000-0000-0000588E0000}"/>
    <cellStyle name="표준 5 3 4 2 2 2 9" xfId="15805" xr:uid="{00000000-0005-0000-0000-0000598E0000}"/>
    <cellStyle name="표준 5 3 4 2 2 3" xfId="726" xr:uid="{00000000-0005-0000-0000-00005A8E0000}"/>
    <cellStyle name="표준 5 3 4 2 2 3 10" xfId="24191" xr:uid="{00000000-0005-0000-0000-00005B8E0000}"/>
    <cellStyle name="표준 5 3 4 2 2 3 11" xfId="32402" xr:uid="{00000000-0005-0000-0000-00005C8E0000}"/>
    <cellStyle name="표준 5 3 4 2 2 3 12" xfId="40595" xr:uid="{00000000-0005-0000-0000-00005D8E0000}"/>
    <cellStyle name="표준 5 3 4 2 2 3 2" xfId="1238" xr:uid="{00000000-0005-0000-0000-00005E8E0000}"/>
    <cellStyle name="표준 5 3 4 2 2 3 2 2" xfId="10141" xr:uid="{00000000-0005-0000-0000-00005F8E0000}"/>
    <cellStyle name="표준 5 3 4 2 2 3 2 2 2" xfId="14253" xr:uid="{00000000-0005-0000-0000-0000608E0000}"/>
    <cellStyle name="표준 5 3 4 2 2 3 2 2 2 2" xfId="30847" xr:uid="{00000000-0005-0000-0000-0000618E0000}"/>
    <cellStyle name="표준 5 3 4 2 2 3 2 2 2 3" xfId="39058" xr:uid="{00000000-0005-0000-0000-0000628E0000}"/>
    <cellStyle name="표준 5 3 4 2 2 3 2 2 2 4" xfId="47251" xr:uid="{00000000-0005-0000-0000-0000638E0000}"/>
    <cellStyle name="표준 5 3 4 2 2 3 2 2 3" xfId="18493" xr:uid="{00000000-0005-0000-0000-0000648E0000}"/>
    <cellStyle name="표준 5 3 4 2 2 3 2 2 4" xfId="22655" xr:uid="{00000000-0005-0000-0000-0000658E0000}"/>
    <cellStyle name="표준 5 3 4 2 2 3 2 2 5" xfId="26751" xr:uid="{00000000-0005-0000-0000-0000668E0000}"/>
    <cellStyle name="표준 5 3 4 2 2 3 2 2 6" xfId="34962" xr:uid="{00000000-0005-0000-0000-0000678E0000}"/>
    <cellStyle name="표준 5 3 4 2 2 3 2 2 7" xfId="43155" xr:uid="{00000000-0005-0000-0000-0000688E0000}"/>
    <cellStyle name="표준 5 3 4 2 2 3 2 3" xfId="8093" xr:uid="{00000000-0005-0000-0000-0000698E0000}"/>
    <cellStyle name="표준 5 3 4 2 2 3 2 3 2" xfId="28799" xr:uid="{00000000-0005-0000-0000-00006A8E0000}"/>
    <cellStyle name="표준 5 3 4 2 2 3 2 3 3" xfId="37010" xr:uid="{00000000-0005-0000-0000-00006B8E0000}"/>
    <cellStyle name="표준 5 3 4 2 2 3 2 3 4" xfId="45203" xr:uid="{00000000-0005-0000-0000-00006C8E0000}"/>
    <cellStyle name="표준 5 3 4 2 2 3 2 4" xfId="12205" xr:uid="{00000000-0005-0000-0000-00006D8E0000}"/>
    <cellStyle name="표준 5 3 4 2 2 3 2 5" xfId="16445" xr:uid="{00000000-0005-0000-0000-00006E8E0000}"/>
    <cellStyle name="표준 5 3 4 2 2 3 2 6" xfId="20607" xr:uid="{00000000-0005-0000-0000-00006F8E0000}"/>
    <cellStyle name="표준 5 3 4 2 2 3 2 7" xfId="24703" xr:uid="{00000000-0005-0000-0000-0000708E0000}"/>
    <cellStyle name="표준 5 3 4 2 2 3 2 8" xfId="32914" xr:uid="{00000000-0005-0000-0000-0000718E0000}"/>
    <cellStyle name="표준 5 3 4 2 2 3 2 9" xfId="41107" xr:uid="{00000000-0005-0000-0000-0000728E0000}"/>
    <cellStyle name="표준 5 3 4 2 2 3 3" xfId="1750" xr:uid="{00000000-0005-0000-0000-0000738E0000}"/>
    <cellStyle name="표준 5 3 4 2 2 3 3 2" xfId="10653" xr:uid="{00000000-0005-0000-0000-0000748E0000}"/>
    <cellStyle name="표준 5 3 4 2 2 3 3 2 2" xfId="14765" xr:uid="{00000000-0005-0000-0000-0000758E0000}"/>
    <cellStyle name="표준 5 3 4 2 2 3 3 2 2 2" xfId="31359" xr:uid="{00000000-0005-0000-0000-0000768E0000}"/>
    <cellStyle name="표준 5 3 4 2 2 3 3 2 2 3" xfId="39570" xr:uid="{00000000-0005-0000-0000-0000778E0000}"/>
    <cellStyle name="표준 5 3 4 2 2 3 3 2 2 4" xfId="47763" xr:uid="{00000000-0005-0000-0000-0000788E0000}"/>
    <cellStyle name="표준 5 3 4 2 2 3 3 2 3" xfId="19005" xr:uid="{00000000-0005-0000-0000-0000798E0000}"/>
    <cellStyle name="표준 5 3 4 2 2 3 3 2 4" xfId="23167" xr:uid="{00000000-0005-0000-0000-00007A8E0000}"/>
    <cellStyle name="표준 5 3 4 2 2 3 3 2 5" xfId="27263" xr:uid="{00000000-0005-0000-0000-00007B8E0000}"/>
    <cellStyle name="표준 5 3 4 2 2 3 3 2 6" xfId="35474" xr:uid="{00000000-0005-0000-0000-00007C8E0000}"/>
    <cellStyle name="표준 5 3 4 2 2 3 3 2 7" xfId="43667" xr:uid="{00000000-0005-0000-0000-00007D8E0000}"/>
    <cellStyle name="표준 5 3 4 2 2 3 3 3" xfId="8605" xr:uid="{00000000-0005-0000-0000-00007E8E0000}"/>
    <cellStyle name="표준 5 3 4 2 2 3 3 3 2" xfId="29311" xr:uid="{00000000-0005-0000-0000-00007F8E0000}"/>
    <cellStyle name="표준 5 3 4 2 2 3 3 3 3" xfId="37522" xr:uid="{00000000-0005-0000-0000-0000808E0000}"/>
    <cellStyle name="표준 5 3 4 2 2 3 3 3 4" xfId="45715" xr:uid="{00000000-0005-0000-0000-0000818E0000}"/>
    <cellStyle name="표준 5 3 4 2 2 3 3 4" xfId="12717" xr:uid="{00000000-0005-0000-0000-0000828E0000}"/>
    <cellStyle name="표준 5 3 4 2 2 3 3 5" xfId="16957" xr:uid="{00000000-0005-0000-0000-0000838E0000}"/>
    <cellStyle name="표준 5 3 4 2 2 3 3 6" xfId="21119" xr:uid="{00000000-0005-0000-0000-0000848E0000}"/>
    <cellStyle name="표준 5 3 4 2 2 3 3 7" xfId="25215" xr:uid="{00000000-0005-0000-0000-0000858E0000}"/>
    <cellStyle name="표준 5 3 4 2 2 3 3 8" xfId="33426" xr:uid="{00000000-0005-0000-0000-0000868E0000}"/>
    <cellStyle name="표준 5 3 4 2 2 3 3 9" xfId="41619" xr:uid="{00000000-0005-0000-0000-0000878E0000}"/>
    <cellStyle name="표준 5 3 4 2 2 3 4" xfId="2262" xr:uid="{00000000-0005-0000-0000-0000888E0000}"/>
    <cellStyle name="표준 5 3 4 2 2 3 4 2" xfId="11165" xr:uid="{00000000-0005-0000-0000-0000898E0000}"/>
    <cellStyle name="표준 5 3 4 2 2 3 4 2 2" xfId="15277" xr:uid="{00000000-0005-0000-0000-00008A8E0000}"/>
    <cellStyle name="표준 5 3 4 2 2 3 4 2 2 2" xfId="31871" xr:uid="{00000000-0005-0000-0000-00008B8E0000}"/>
    <cellStyle name="표준 5 3 4 2 2 3 4 2 2 3" xfId="40082" xr:uid="{00000000-0005-0000-0000-00008C8E0000}"/>
    <cellStyle name="표준 5 3 4 2 2 3 4 2 2 4" xfId="48275" xr:uid="{00000000-0005-0000-0000-00008D8E0000}"/>
    <cellStyle name="표준 5 3 4 2 2 3 4 2 3" xfId="19517" xr:uid="{00000000-0005-0000-0000-00008E8E0000}"/>
    <cellStyle name="표준 5 3 4 2 2 3 4 2 4" xfId="23679" xr:uid="{00000000-0005-0000-0000-00008F8E0000}"/>
    <cellStyle name="표준 5 3 4 2 2 3 4 2 5" xfId="27775" xr:uid="{00000000-0005-0000-0000-0000908E0000}"/>
    <cellStyle name="표준 5 3 4 2 2 3 4 2 6" xfId="35986" xr:uid="{00000000-0005-0000-0000-0000918E0000}"/>
    <cellStyle name="표준 5 3 4 2 2 3 4 2 7" xfId="44179" xr:uid="{00000000-0005-0000-0000-0000928E0000}"/>
    <cellStyle name="표준 5 3 4 2 2 3 4 3" xfId="9117" xr:uid="{00000000-0005-0000-0000-0000938E0000}"/>
    <cellStyle name="표준 5 3 4 2 2 3 4 3 2" xfId="29823" xr:uid="{00000000-0005-0000-0000-0000948E0000}"/>
    <cellStyle name="표준 5 3 4 2 2 3 4 3 3" xfId="38034" xr:uid="{00000000-0005-0000-0000-0000958E0000}"/>
    <cellStyle name="표준 5 3 4 2 2 3 4 3 4" xfId="46227" xr:uid="{00000000-0005-0000-0000-0000968E0000}"/>
    <cellStyle name="표준 5 3 4 2 2 3 4 4" xfId="13229" xr:uid="{00000000-0005-0000-0000-0000978E0000}"/>
    <cellStyle name="표준 5 3 4 2 2 3 4 5" xfId="17469" xr:uid="{00000000-0005-0000-0000-0000988E0000}"/>
    <cellStyle name="표준 5 3 4 2 2 3 4 6" xfId="21631" xr:uid="{00000000-0005-0000-0000-0000998E0000}"/>
    <cellStyle name="표준 5 3 4 2 2 3 4 7" xfId="25727" xr:uid="{00000000-0005-0000-0000-00009A8E0000}"/>
    <cellStyle name="표준 5 3 4 2 2 3 4 8" xfId="33938" xr:uid="{00000000-0005-0000-0000-00009B8E0000}"/>
    <cellStyle name="표준 5 3 4 2 2 3 4 9" xfId="42131" xr:uid="{00000000-0005-0000-0000-00009C8E0000}"/>
    <cellStyle name="표준 5 3 4 2 2 3 5" xfId="9629" xr:uid="{00000000-0005-0000-0000-00009D8E0000}"/>
    <cellStyle name="표준 5 3 4 2 2 3 5 2" xfId="13741" xr:uid="{00000000-0005-0000-0000-00009E8E0000}"/>
    <cellStyle name="표준 5 3 4 2 2 3 5 2 2" xfId="30335" xr:uid="{00000000-0005-0000-0000-00009F8E0000}"/>
    <cellStyle name="표준 5 3 4 2 2 3 5 2 3" xfId="38546" xr:uid="{00000000-0005-0000-0000-0000A08E0000}"/>
    <cellStyle name="표준 5 3 4 2 2 3 5 2 4" xfId="46739" xr:uid="{00000000-0005-0000-0000-0000A18E0000}"/>
    <cellStyle name="표준 5 3 4 2 2 3 5 3" xfId="17981" xr:uid="{00000000-0005-0000-0000-0000A28E0000}"/>
    <cellStyle name="표준 5 3 4 2 2 3 5 4" xfId="22143" xr:uid="{00000000-0005-0000-0000-0000A38E0000}"/>
    <cellStyle name="표준 5 3 4 2 2 3 5 5" xfId="26239" xr:uid="{00000000-0005-0000-0000-0000A48E0000}"/>
    <cellStyle name="표준 5 3 4 2 2 3 5 6" xfId="34450" xr:uid="{00000000-0005-0000-0000-0000A58E0000}"/>
    <cellStyle name="표준 5 3 4 2 2 3 5 7" xfId="42643" xr:uid="{00000000-0005-0000-0000-0000A68E0000}"/>
    <cellStyle name="표준 5 3 4 2 2 3 6" xfId="7581" xr:uid="{00000000-0005-0000-0000-0000A78E0000}"/>
    <cellStyle name="표준 5 3 4 2 2 3 6 2" xfId="28287" xr:uid="{00000000-0005-0000-0000-0000A88E0000}"/>
    <cellStyle name="표준 5 3 4 2 2 3 6 3" xfId="36498" xr:uid="{00000000-0005-0000-0000-0000A98E0000}"/>
    <cellStyle name="표준 5 3 4 2 2 3 6 4" xfId="44691" xr:uid="{00000000-0005-0000-0000-0000AA8E0000}"/>
    <cellStyle name="표준 5 3 4 2 2 3 7" xfId="11693" xr:uid="{00000000-0005-0000-0000-0000AB8E0000}"/>
    <cellStyle name="표준 5 3 4 2 2 3 8" xfId="15933" xr:uid="{00000000-0005-0000-0000-0000AC8E0000}"/>
    <cellStyle name="표준 5 3 4 2 2 3 9" xfId="20095" xr:uid="{00000000-0005-0000-0000-0000AD8E0000}"/>
    <cellStyle name="표준 5 3 4 2 2 4" xfId="982" xr:uid="{00000000-0005-0000-0000-0000AE8E0000}"/>
    <cellStyle name="표준 5 3 4 2 2 4 2" xfId="9885" xr:uid="{00000000-0005-0000-0000-0000AF8E0000}"/>
    <cellStyle name="표준 5 3 4 2 2 4 2 2" xfId="13997" xr:uid="{00000000-0005-0000-0000-0000B08E0000}"/>
    <cellStyle name="표준 5 3 4 2 2 4 2 2 2" xfId="30591" xr:uid="{00000000-0005-0000-0000-0000B18E0000}"/>
    <cellStyle name="표준 5 3 4 2 2 4 2 2 3" xfId="38802" xr:uid="{00000000-0005-0000-0000-0000B28E0000}"/>
    <cellStyle name="표준 5 3 4 2 2 4 2 2 4" xfId="46995" xr:uid="{00000000-0005-0000-0000-0000B38E0000}"/>
    <cellStyle name="표준 5 3 4 2 2 4 2 3" xfId="18237" xr:uid="{00000000-0005-0000-0000-0000B48E0000}"/>
    <cellStyle name="표준 5 3 4 2 2 4 2 4" xfId="22399" xr:uid="{00000000-0005-0000-0000-0000B58E0000}"/>
    <cellStyle name="표준 5 3 4 2 2 4 2 5" xfId="26495" xr:uid="{00000000-0005-0000-0000-0000B68E0000}"/>
    <cellStyle name="표준 5 3 4 2 2 4 2 6" xfId="34706" xr:uid="{00000000-0005-0000-0000-0000B78E0000}"/>
    <cellStyle name="표준 5 3 4 2 2 4 2 7" xfId="42899" xr:uid="{00000000-0005-0000-0000-0000B88E0000}"/>
    <cellStyle name="표준 5 3 4 2 2 4 3" xfId="7837" xr:uid="{00000000-0005-0000-0000-0000B98E0000}"/>
    <cellStyle name="표준 5 3 4 2 2 4 3 2" xfId="28543" xr:uid="{00000000-0005-0000-0000-0000BA8E0000}"/>
    <cellStyle name="표준 5 3 4 2 2 4 3 3" xfId="36754" xr:uid="{00000000-0005-0000-0000-0000BB8E0000}"/>
    <cellStyle name="표준 5 3 4 2 2 4 3 4" xfId="44947" xr:uid="{00000000-0005-0000-0000-0000BC8E0000}"/>
    <cellStyle name="표준 5 3 4 2 2 4 4" xfId="11949" xr:uid="{00000000-0005-0000-0000-0000BD8E0000}"/>
    <cellStyle name="표준 5 3 4 2 2 4 5" xfId="16189" xr:uid="{00000000-0005-0000-0000-0000BE8E0000}"/>
    <cellStyle name="표준 5 3 4 2 2 4 6" xfId="20351" xr:uid="{00000000-0005-0000-0000-0000BF8E0000}"/>
    <cellStyle name="표준 5 3 4 2 2 4 7" xfId="24447" xr:uid="{00000000-0005-0000-0000-0000C08E0000}"/>
    <cellStyle name="표준 5 3 4 2 2 4 8" xfId="32658" xr:uid="{00000000-0005-0000-0000-0000C18E0000}"/>
    <cellStyle name="표준 5 3 4 2 2 4 9" xfId="40851" xr:uid="{00000000-0005-0000-0000-0000C28E0000}"/>
    <cellStyle name="표준 5 3 4 2 2 5" xfId="1494" xr:uid="{00000000-0005-0000-0000-0000C38E0000}"/>
    <cellStyle name="표준 5 3 4 2 2 5 2" xfId="10397" xr:uid="{00000000-0005-0000-0000-0000C48E0000}"/>
    <cellStyle name="표준 5 3 4 2 2 5 2 2" xfId="14509" xr:uid="{00000000-0005-0000-0000-0000C58E0000}"/>
    <cellStyle name="표준 5 3 4 2 2 5 2 2 2" xfId="31103" xr:uid="{00000000-0005-0000-0000-0000C68E0000}"/>
    <cellStyle name="표준 5 3 4 2 2 5 2 2 3" xfId="39314" xr:uid="{00000000-0005-0000-0000-0000C78E0000}"/>
    <cellStyle name="표준 5 3 4 2 2 5 2 2 4" xfId="47507" xr:uid="{00000000-0005-0000-0000-0000C88E0000}"/>
    <cellStyle name="표준 5 3 4 2 2 5 2 3" xfId="18749" xr:uid="{00000000-0005-0000-0000-0000C98E0000}"/>
    <cellStyle name="표준 5 3 4 2 2 5 2 4" xfId="22911" xr:uid="{00000000-0005-0000-0000-0000CA8E0000}"/>
    <cellStyle name="표준 5 3 4 2 2 5 2 5" xfId="27007" xr:uid="{00000000-0005-0000-0000-0000CB8E0000}"/>
    <cellStyle name="표준 5 3 4 2 2 5 2 6" xfId="35218" xr:uid="{00000000-0005-0000-0000-0000CC8E0000}"/>
    <cellStyle name="표준 5 3 4 2 2 5 2 7" xfId="43411" xr:uid="{00000000-0005-0000-0000-0000CD8E0000}"/>
    <cellStyle name="표준 5 3 4 2 2 5 3" xfId="8349" xr:uid="{00000000-0005-0000-0000-0000CE8E0000}"/>
    <cellStyle name="표준 5 3 4 2 2 5 3 2" xfId="29055" xr:uid="{00000000-0005-0000-0000-0000CF8E0000}"/>
    <cellStyle name="표준 5 3 4 2 2 5 3 3" xfId="37266" xr:uid="{00000000-0005-0000-0000-0000D08E0000}"/>
    <cellStyle name="표준 5 3 4 2 2 5 3 4" xfId="45459" xr:uid="{00000000-0005-0000-0000-0000D18E0000}"/>
    <cellStyle name="표준 5 3 4 2 2 5 4" xfId="12461" xr:uid="{00000000-0005-0000-0000-0000D28E0000}"/>
    <cellStyle name="표준 5 3 4 2 2 5 5" xfId="16701" xr:uid="{00000000-0005-0000-0000-0000D38E0000}"/>
    <cellStyle name="표준 5 3 4 2 2 5 6" xfId="20863" xr:uid="{00000000-0005-0000-0000-0000D48E0000}"/>
    <cellStyle name="표준 5 3 4 2 2 5 7" xfId="24959" xr:uid="{00000000-0005-0000-0000-0000D58E0000}"/>
    <cellStyle name="표준 5 3 4 2 2 5 8" xfId="33170" xr:uid="{00000000-0005-0000-0000-0000D68E0000}"/>
    <cellStyle name="표준 5 3 4 2 2 5 9" xfId="41363" xr:uid="{00000000-0005-0000-0000-0000D78E0000}"/>
    <cellStyle name="표준 5 3 4 2 2 6" xfId="2006" xr:uid="{00000000-0005-0000-0000-0000D88E0000}"/>
    <cellStyle name="표준 5 3 4 2 2 6 2" xfId="10909" xr:uid="{00000000-0005-0000-0000-0000D98E0000}"/>
    <cellStyle name="표준 5 3 4 2 2 6 2 2" xfId="15021" xr:uid="{00000000-0005-0000-0000-0000DA8E0000}"/>
    <cellStyle name="표준 5 3 4 2 2 6 2 2 2" xfId="31615" xr:uid="{00000000-0005-0000-0000-0000DB8E0000}"/>
    <cellStyle name="표준 5 3 4 2 2 6 2 2 3" xfId="39826" xr:uid="{00000000-0005-0000-0000-0000DC8E0000}"/>
    <cellStyle name="표준 5 3 4 2 2 6 2 2 4" xfId="48019" xr:uid="{00000000-0005-0000-0000-0000DD8E0000}"/>
    <cellStyle name="표준 5 3 4 2 2 6 2 3" xfId="19261" xr:uid="{00000000-0005-0000-0000-0000DE8E0000}"/>
    <cellStyle name="표준 5 3 4 2 2 6 2 4" xfId="23423" xr:uid="{00000000-0005-0000-0000-0000DF8E0000}"/>
    <cellStyle name="표준 5 3 4 2 2 6 2 5" xfId="27519" xr:uid="{00000000-0005-0000-0000-0000E08E0000}"/>
    <cellStyle name="표준 5 3 4 2 2 6 2 6" xfId="35730" xr:uid="{00000000-0005-0000-0000-0000E18E0000}"/>
    <cellStyle name="표준 5 3 4 2 2 6 2 7" xfId="43923" xr:uid="{00000000-0005-0000-0000-0000E28E0000}"/>
    <cellStyle name="표준 5 3 4 2 2 6 3" xfId="8861" xr:uid="{00000000-0005-0000-0000-0000E38E0000}"/>
    <cellStyle name="표준 5 3 4 2 2 6 3 2" xfId="29567" xr:uid="{00000000-0005-0000-0000-0000E48E0000}"/>
    <cellStyle name="표준 5 3 4 2 2 6 3 3" xfId="37778" xr:uid="{00000000-0005-0000-0000-0000E58E0000}"/>
    <cellStyle name="표준 5 3 4 2 2 6 3 4" xfId="45971" xr:uid="{00000000-0005-0000-0000-0000E68E0000}"/>
    <cellStyle name="표준 5 3 4 2 2 6 4" xfId="12973" xr:uid="{00000000-0005-0000-0000-0000E78E0000}"/>
    <cellStyle name="표준 5 3 4 2 2 6 5" xfId="17213" xr:uid="{00000000-0005-0000-0000-0000E88E0000}"/>
    <cellStyle name="표준 5 3 4 2 2 6 6" xfId="21375" xr:uid="{00000000-0005-0000-0000-0000E98E0000}"/>
    <cellStyle name="표준 5 3 4 2 2 6 7" xfId="25471" xr:uid="{00000000-0005-0000-0000-0000EA8E0000}"/>
    <cellStyle name="표준 5 3 4 2 2 6 8" xfId="33682" xr:uid="{00000000-0005-0000-0000-0000EB8E0000}"/>
    <cellStyle name="표준 5 3 4 2 2 6 9" xfId="41875" xr:uid="{00000000-0005-0000-0000-0000EC8E0000}"/>
    <cellStyle name="표준 5 3 4 2 2 7" xfId="9373" xr:uid="{00000000-0005-0000-0000-0000ED8E0000}"/>
    <cellStyle name="표준 5 3 4 2 2 7 2" xfId="13485" xr:uid="{00000000-0005-0000-0000-0000EE8E0000}"/>
    <cellStyle name="표준 5 3 4 2 2 7 2 2" xfId="30079" xr:uid="{00000000-0005-0000-0000-0000EF8E0000}"/>
    <cellStyle name="표준 5 3 4 2 2 7 2 3" xfId="38290" xr:uid="{00000000-0005-0000-0000-0000F08E0000}"/>
    <cellStyle name="표준 5 3 4 2 2 7 2 4" xfId="46483" xr:uid="{00000000-0005-0000-0000-0000F18E0000}"/>
    <cellStyle name="표준 5 3 4 2 2 7 3" xfId="17725" xr:uid="{00000000-0005-0000-0000-0000F28E0000}"/>
    <cellStyle name="표준 5 3 4 2 2 7 4" xfId="21887" xr:uid="{00000000-0005-0000-0000-0000F38E0000}"/>
    <cellStyle name="표준 5 3 4 2 2 7 5" xfId="25983" xr:uid="{00000000-0005-0000-0000-0000F48E0000}"/>
    <cellStyle name="표준 5 3 4 2 2 7 6" xfId="34194" xr:uid="{00000000-0005-0000-0000-0000F58E0000}"/>
    <cellStyle name="표준 5 3 4 2 2 7 7" xfId="42387" xr:uid="{00000000-0005-0000-0000-0000F68E0000}"/>
    <cellStyle name="표준 5 3 4 2 2 8" xfId="7325" xr:uid="{00000000-0005-0000-0000-0000F78E0000}"/>
    <cellStyle name="표준 5 3 4 2 2 8 2" xfId="28031" xr:uid="{00000000-0005-0000-0000-0000F88E0000}"/>
    <cellStyle name="표준 5 3 4 2 2 8 3" xfId="36242" xr:uid="{00000000-0005-0000-0000-0000F98E0000}"/>
    <cellStyle name="표준 5 3 4 2 2 8 4" xfId="44435" xr:uid="{00000000-0005-0000-0000-0000FA8E0000}"/>
    <cellStyle name="표준 5 3 4 2 2 9" xfId="11437" xr:uid="{00000000-0005-0000-0000-0000FB8E0000}"/>
    <cellStyle name="표준 5 3 4 2 3" xfId="534" xr:uid="{00000000-0005-0000-0000-0000FC8E0000}"/>
    <cellStyle name="표준 5 3 4 2 3 10" xfId="19903" xr:uid="{00000000-0005-0000-0000-0000FD8E0000}"/>
    <cellStyle name="표준 5 3 4 2 3 11" xfId="23999" xr:uid="{00000000-0005-0000-0000-0000FE8E0000}"/>
    <cellStyle name="표준 5 3 4 2 3 12" xfId="32210" xr:uid="{00000000-0005-0000-0000-0000FF8E0000}"/>
    <cellStyle name="표준 5 3 4 2 3 13" xfId="40403" xr:uid="{00000000-0005-0000-0000-0000008F0000}"/>
    <cellStyle name="표준 5 3 4 2 3 2" xfId="790" xr:uid="{00000000-0005-0000-0000-0000018F0000}"/>
    <cellStyle name="표준 5 3 4 2 3 2 10" xfId="24255" xr:uid="{00000000-0005-0000-0000-0000028F0000}"/>
    <cellStyle name="표준 5 3 4 2 3 2 11" xfId="32466" xr:uid="{00000000-0005-0000-0000-0000038F0000}"/>
    <cellStyle name="표준 5 3 4 2 3 2 12" xfId="40659" xr:uid="{00000000-0005-0000-0000-0000048F0000}"/>
    <cellStyle name="표준 5 3 4 2 3 2 2" xfId="1302" xr:uid="{00000000-0005-0000-0000-0000058F0000}"/>
    <cellStyle name="표준 5 3 4 2 3 2 2 2" xfId="10205" xr:uid="{00000000-0005-0000-0000-0000068F0000}"/>
    <cellStyle name="표준 5 3 4 2 3 2 2 2 2" xfId="14317" xr:uid="{00000000-0005-0000-0000-0000078F0000}"/>
    <cellStyle name="표준 5 3 4 2 3 2 2 2 2 2" xfId="30911" xr:uid="{00000000-0005-0000-0000-0000088F0000}"/>
    <cellStyle name="표준 5 3 4 2 3 2 2 2 2 3" xfId="39122" xr:uid="{00000000-0005-0000-0000-0000098F0000}"/>
    <cellStyle name="표준 5 3 4 2 3 2 2 2 2 4" xfId="47315" xr:uid="{00000000-0005-0000-0000-00000A8F0000}"/>
    <cellStyle name="표준 5 3 4 2 3 2 2 2 3" xfId="18557" xr:uid="{00000000-0005-0000-0000-00000B8F0000}"/>
    <cellStyle name="표준 5 3 4 2 3 2 2 2 4" xfId="22719" xr:uid="{00000000-0005-0000-0000-00000C8F0000}"/>
    <cellStyle name="표준 5 3 4 2 3 2 2 2 5" xfId="26815" xr:uid="{00000000-0005-0000-0000-00000D8F0000}"/>
    <cellStyle name="표준 5 3 4 2 3 2 2 2 6" xfId="35026" xr:uid="{00000000-0005-0000-0000-00000E8F0000}"/>
    <cellStyle name="표준 5 3 4 2 3 2 2 2 7" xfId="43219" xr:uid="{00000000-0005-0000-0000-00000F8F0000}"/>
    <cellStyle name="표준 5 3 4 2 3 2 2 3" xfId="8157" xr:uid="{00000000-0005-0000-0000-0000108F0000}"/>
    <cellStyle name="표준 5 3 4 2 3 2 2 3 2" xfId="28863" xr:uid="{00000000-0005-0000-0000-0000118F0000}"/>
    <cellStyle name="표준 5 3 4 2 3 2 2 3 3" xfId="37074" xr:uid="{00000000-0005-0000-0000-0000128F0000}"/>
    <cellStyle name="표준 5 3 4 2 3 2 2 3 4" xfId="45267" xr:uid="{00000000-0005-0000-0000-0000138F0000}"/>
    <cellStyle name="표준 5 3 4 2 3 2 2 4" xfId="12269" xr:uid="{00000000-0005-0000-0000-0000148F0000}"/>
    <cellStyle name="표준 5 3 4 2 3 2 2 5" xfId="16509" xr:uid="{00000000-0005-0000-0000-0000158F0000}"/>
    <cellStyle name="표준 5 3 4 2 3 2 2 6" xfId="20671" xr:uid="{00000000-0005-0000-0000-0000168F0000}"/>
    <cellStyle name="표준 5 3 4 2 3 2 2 7" xfId="24767" xr:uid="{00000000-0005-0000-0000-0000178F0000}"/>
    <cellStyle name="표준 5 3 4 2 3 2 2 8" xfId="32978" xr:uid="{00000000-0005-0000-0000-0000188F0000}"/>
    <cellStyle name="표준 5 3 4 2 3 2 2 9" xfId="41171" xr:uid="{00000000-0005-0000-0000-0000198F0000}"/>
    <cellStyle name="표준 5 3 4 2 3 2 3" xfId="1814" xr:uid="{00000000-0005-0000-0000-00001A8F0000}"/>
    <cellStyle name="표준 5 3 4 2 3 2 3 2" xfId="10717" xr:uid="{00000000-0005-0000-0000-00001B8F0000}"/>
    <cellStyle name="표준 5 3 4 2 3 2 3 2 2" xfId="14829" xr:uid="{00000000-0005-0000-0000-00001C8F0000}"/>
    <cellStyle name="표준 5 3 4 2 3 2 3 2 2 2" xfId="31423" xr:uid="{00000000-0005-0000-0000-00001D8F0000}"/>
    <cellStyle name="표준 5 3 4 2 3 2 3 2 2 3" xfId="39634" xr:uid="{00000000-0005-0000-0000-00001E8F0000}"/>
    <cellStyle name="표준 5 3 4 2 3 2 3 2 2 4" xfId="47827" xr:uid="{00000000-0005-0000-0000-00001F8F0000}"/>
    <cellStyle name="표준 5 3 4 2 3 2 3 2 3" xfId="19069" xr:uid="{00000000-0005-0000-0000-0000208F0000}"/>
    <cellStyle name="표준 5 3 4 2 3 2 3 2 4" xfId="23231" xr:uid="{00000000-0005-0000-0000-0000218F0000}"/>
    <cellStyle name="표준 5 3 4 2 3 2 3 2 5" xfId="27327" xr:uid="{00000000-0005-0000-0000-0000228F0000}"/>
    <cellStyle name="표준 5 3 4 2 3 2 3 2 6" xfId="35538" xr:uid="{00000000-0005-0000-0000-0000238F0000}"/>
    <cellStyle name="표준 5 3 4 2 3 2 3 2 7" xfId="43731" xr:uid="{00000000-0005-0000-0000-0000248F0000}"/>
    <cellStyle name="표준 5 3 4 2 3 2 3 3" xfId="8669" xr:uid="{00000000-0005-0000-0000-0000258F0000}"/>
    <cellStyle name="표준 5 3 4 2 3 2 3 3 2" xfId="29375" xr:uid="{00000000-0005-0000-0000-0000268F0000}"/>
    <cellStyle name="표준 5 3 4 2 3 2 3 3 3" xfId="37586" xr:uid="{00000000-0005-0000-0000-0000278F0000}"/>
    <cellStyle name="표준 5 3 4 2 3 2 3 3 4" xfId="45779" xr:uid="{00000000-0005-0000-0000-0000288F0000}"/>
    <cellStyle name="표준 5 3 4 2 3 2 3 4" xfId="12781" xr:uid="{00000000-0005-0000-0000-0000298F0000}"/>
    <cellStyle name="표준 5 3 4 2 3 2 3 5" xfId="17021" xr:uid="{00000000-0005-0000-0000-00002A8F0000}"/>
    <cellStyle name="표준 5 3 4 2 3 2 3 6" xfId="21183" xr:uid="{00000000-0005-0000-0000-00002B8F0000}"/>
    <cellStyle name="표준 5 3 4 2 3 2 3 7" xfId="25279" xr:uid="{00000000-0005-0000-0000-00002C8F0000}"/>
    <cellStyle name="표준 5 3 4 2 3 2 3 8" xfId="33490" xr:uid="{00000000-0005-0000-0000-00002D8F0000}"/>
    <cellStyle name="표준 5 3 4 2 3 2 3 9" xfId="41683" xr:uid="{00000000-0005-0000-0000-00002E8F0000}"/>
    <cellStyle name="표준 5 3 4 2 3 2 4" xfId="2326" xr:uid="{00000000-0005-0000-0000-00002F8F0000}"/>
    <cellStyle name="표준 5 3 4 2 3 2 4 2" xfId="11229" xr:uid="{00000000-0005-0000-0000-0000308F0000}"/>
    <cellStyle name="표준 5 3 4 2 3 2 4 2 2" xfId="15341" xr:uid="{00000000-0005-0000-0000-0000318F0000}"/>
    <cellStyle name="표준 5 3 4 2 3 2 4 2 2 2" xfId="31935" xr:uid="{00000000-0005-0000-0000-0000328F0000}"/>
    <cellStyle name="표준 5 3 4 2 3 2 4 2 2 3" xfId="40146" xr:uid="{00000000-0005-0000-0000-0000338F0000}"/>
    <cellStyle name="표준 5 3 4 2 3 2 4 2 2 4" xfId="48339" xr:uid="{00000000-0005-0000-0000-0000348F0000}"/>
    <cellStyle name="표준 5 3 4 2 3 2 4 2 3" xfId="19581" xr:uid="{00000000-0005-0000-0000-0000358F0000}"/>
    <cellStyle name="표준 5 3 4 2 3 2 4 2 4" xfId="23743" xr:uid="{00000000-0005-0000-0000-0000368F0000}"/>
    <cellStyle name="표준 5 3 4 2 3 2 4 2 5" xfId="27839" xr:uid="{00000000-0005-0000-0000-0000378F0000}"/>
    <cellStyle name="표준 5 3 4 2 3 2 4 2 6" xfId="36050" xr:uid="{00000000-0005-0000-0000-0000388F0000}"/>
    <cellStyle name="표준 5 3 4 2 3 2 4 2 7" xfId="44243" xr:uid="{00000000-0005-0000-0000-0000398F0000}"/>
    <cellStyle name="표준 5 3 4 2 3 2 4 3" xfId="9181" xr:uid="{00000000-0005-0000-0000-00003A8F0000}"/>
    <cellStyle name="표준 5 3 4 2 3 2 4 3 2" xfId="29887" xr:uid="{00000000-0005-0000-0000-00003B8F0000}"/>
    <cellStyle name="표준 5 3 4 2 3 2 4 3 3" xfId="38098" xr:uid="{00000000-0005-0000-0000-00003C8F0000}"/>
    <cellStyle name="표준 5 3 4 2 3 2 4 3 4" xfId="46291" xr:uid="{00000000-0005-0000-0000-00003D8F0000}"/>
    <cellStyle name="표준 5 3 4 2 3 2 4 4" xfId="13293" xr:uid="{00000000-0005-0000-0000-00003E8F0000}"/>
    <cellStyle name="표준 5 3 4 2 3 2 4 5" xfId="17533" xr:uid="{00000000-0005-0000-0000-00003F8F0000}"/>
    <cellStyle name="표준 5 3 4 2 3 2 4 6" xfId="21695" xr:uid="{00000000-0005-0000-0000-0000408F0000}"/>
    <cellStyle name="표준 5 3 4 2 3 2 4 7" xfId="25791" xr:uid="{00000000-0005-0000-0000-0000418F0000}"/>
    <cellStyle name="표준 5 3 4 2 3 2 4 8" xfId="34002" xr:uid="{00000000-0005-0000-0000-0000428F0000}"/>
    <cellStyle name="표준 5 3 4 2 3 2 4 9" xfId="42195" xr:uid="{00000000-0005-0000-0000-0000438F0000}"/>
    <cellStyle name="표준 5 3 4 2 3 2 5" xfId="9693" xr:uid="{00000000-0005-0000-0000-0000448F0000}"/>
    <cellStyle name="표준 5 3 4 2 3 2 5 2" xfId="13805" xr:uid="{00000000-0005-0000-0000-0000458F0000}"/>
    <cellStyle name="표준 5 3 4 2 3 2 5 2 2" xfId="30399" xr:uid="{00000000-0005-0000-0000-0000468F0000}"/>
    <cellStyle name="표준 5 3 4 2 3 2 5 2 3" xfId="38610" xr:uid="{00000000-0005-0000-0000-0000478F0000}"/>
    <cellStyle name="표준 5 3 4 2 3 2 5 2 4" xfId="46803" xr:uid="{00000000-0005-0000-0000-0000488F0000}"/>
    <cellStyle name="표준 5 3 4 2 3 2 5 3" xfId="18045" xr:uid="{00000000-0005-0000-0000-0000498F0000}"/>
    <cellStyle name="표준 5 3 4 2 3 2 5 4" xfId="22207" xr:uid="{00000000-0005-0000-0000-00004A8F0000}"/>
    <cellStyle name="표준 5 3 4 2 3 2 5 5" xfId="26303" xr:uid="{00000000-0005-0000-0000-00004B8F0000}"/>
    <cellStyle name="표준 5 3 4 2 3 2 5 6" xfId="34514" xr:uid="{00000000-0005-0000-0000-00004C8F0000}"/>
    <cellStyle name="표준 5 3 4 2 3 2 5 7" xfId="42707" xr:uid="{00000000-0005-0000-0000-00004D8F0000}"/>
    <cellStyle name="표준 5 3 4 2 3 2 6" xfId="7645" xr:uid="{00000000-0005-0000-0000-00004E8F0000}"/>
    <cellStyle name="표준 5 3 4 2 3 2 6 2" xfId="28351" xr:uid="{00000000-0005-0000-0000-00004F8F0000}"/>
    <cellStyle name="표준 5 3 4 2 3 2 6 3" xfId="36562" xr:uid="{00000000-0005-0000-0000-0000508F0000}"/>
    <cellStyle name="표준 5 3 4 2 3 2 6 4" xfId="44755" xr:uid="{00000000-0005-0000-0000-0000518F0000}"/>
    <cellStyle name="표준 5 3 4 2 3 2 7" xfId="11757" xr:uid="{00000000-0005-0000-0000-0000528F0000}"/>
    <cellStyle name="표준 5 3 4 2 3 2 8" xfId="15997" xr:uid="{00000000-0005-0000-0000-0000538F0000}"/>
    <cellStyle name="표준 5 3 4 2 3 2 9" xfId="20159" xr:uid="{00000000-0005-0000-0000-0000548F0000}"/>
    <cellStyle name="표준 5 3 4 2 3 3" xfId="1046" xr:uid="{00000000-0005-0000-0000-0000558F0000}"/>
    <cellStyle name="표준 5 3 4 2 3 3 2" xfId="9949" xr:uid="{00000000-0005-0000-0000-0000568F0000}"/>
    <cellStyle name="표준 5 3 4 2 3 3 2 2" xfId="14061" xr:uid="{00000000-0005-0000-0000-0000578F0000}"/>
    <cellStyle name="표준 5 3 4 2 3 3 2 2 2" xfId="30655" xr:uid="{00000000-0005-0000-0000-0000588F0000}"/>
    <cellStyle name="표준 5 3 4 2 3 3 2 2 3" xfId="38866" xr:uid="{00000000-0005-0000-0000-0000598F0000}"/>
    <cellStyle name="표준 5 3 4 2 3 3 2 2 4" xfId="47059" xr:uid="{00000000-0005-0000-0000-00005A8F0000}"/>
    <cellStyle name="표준 5 3 4 2 3 3 2 3" xfId="18301" xr:uid="{00000000-0005-0000-0000-00005B8F0000}"/>
    <cellStyle name="표준 5 3 4 2 3 3 2 4" xfId="22463" xr:uid="{00000000-0005-0000-0000-00005C8F0000}"/>
    <cellStyle name="표준 5 3 4 2 3 3 2 5" xfId="26559" xr:uid="{00000000-0005-0000-0000-00005D8F0000}"/>
    <cellStyle name="표준 5 3 4 2 3 3 2 6" xfId="34770" xr:uid="{00000000-0005-0000-0000-00005E8F0000}"/>
    <cellStyle name="표준 5 3 4 2 3 3 2 7" xfId="42963" xr:uid="{00000000-0005-0000-0000-00005F8F0000}"/>
    <cellStyle name="표준 5 3 4 2 3 3 3" xfId="7901" xr:uid="{00000000-0005-0000-0000-0000608F0000}"/>
    <cellStyle name="표준 5 3 4 2 3 3 3 2" xfId="28607" xr:uid="{00000000-0005-0000-0000-0000618F0000}"/>
    <cellStyle name="표준 5 3 4 2 3 3 3 3" xfId="36818" xr:uid="{00000000-0005-0000-0000-0000628F0000}"/>
    <cellStyle name="표준 5 3 4 2 3 3 3 4" xfId="45011" xr:uid="{00000000-0005-0000-0000-0000638F0000}"/>
    <cellStyle name="표준 5 3 4 2 3 3 4" xfId="12013" xr:uid="{00000000-0005-0000-0000-0000648F0000}"/>
    <cellStyle name="표준 5 3 4 2 3 3 5" xfId="16253" xr:uid="{00000000-0005-0000-0000-0000658F0000}"/>
    <cellStyle name="표준 5 3 4 2 3 3 6" xfId="20415" xr:uid="{00000000-0005-0000-0000-0000668F0000}"/>
    <cellStyle name="표준 5 3 4 2 3 3 7" xfId="24511" xr:uid="{00000000-0005-0000-0000-0000678F0000}"/>
    <cellStyle name="표준 5 3 4 2 3 3 8" xfId="32722" xr:uid="{00000000-0005-0000-0000-0000688F0000}"/>
    <cellStyle name="표준 5 3 4 2 3 3 9" xfId="40915" xr:uid="{00000000-0005-0000-0000-0000698F0000}"/>
    <cellStyle name="표준 5 3 4 2 3 4" xfId="1558" xr:uid="{00000000-0005-0000-0000-00006A8F0000}"/>
    <cellStyle name="표준 5 3 4 2 3 4 2" xfId="10461" xr:uid="{00000000-0005-0000-0000-00006B8F0000}"/>
    <cellStyle name="표준 5 3 4 2 3 4 2 2" xfId="14573" xr:uid="{00000000-0005-0000-0000-00006C8F0000}"/>
    <cellStyle name="표준 5 3 4 2 3 4 2 2 2" xfId="31167" xr:uid="{00000000-0005-0000-0000-00006D8F0000}"/>
    <cellStyle name="표준 5 3 4 2 3 4 2 2 3" xfId="39378" xr:uid="{00000000-0005-0000-0000-00006E8F0000}"/>
    <cellStyle name="표준 5 3 4 2 3 4 2 2 4" xfId="47571" xr:uid="{00000000-0005-0000-0000-00006F8F0000}"/>
    <cellStyle name="표준 5 3 4 2 3 4 2 3" xfId="18813" xr:uid="{00000000-0005-0000-0000-0000708F0000}"/>
    <cellStyle name="표준 5 3 4 2 3 4 2 4" xfId="22975" xr:uid="{00000000-0005-0000-0000-0000718F0000}"/>
    <cellStyle name="표준 5 3 4 2 3 4 2 5" xfId="27071" xr:uid="{00000000-0005-0000-0000-0000728F0000}"/>
    <cellStyle name="표준 5 3 4 2 3 4 2 6" xfId="35282" xr:uid="{00000000-0005-0000-0000-0000738F0000}"/>
    <cellStyle name="표준 5 3 4 2 3 4 2 7" xfId="43475" xr:uid="{00000000-0005-0000-0000-0000748F0000}"/>
    <cellStyle name="표준 5 3 4 2 3 4 3" xfId="8413" xr:uid="{00000000-0005-0000-0000-0000758F0000}"/>
    <cellStyle name="표준 5 3 4 2 3 4 3 2" xfId="29119" xr:uid="{00000000-0005-0000-0000-0000768F0000}"/>
    <cellStyle name="표준 5 3 4 2 3 4 3 3" xfId="37330" xr:uid="{00000000-0005-0000-0000-0000778F0000}"/>
    <cellStyle name="표준 5 3 4 2 3 4 3 4" xfId="45523" xr:uid="{00000000-0005-0000-0000-0000788F0000}"/>
    <cellStyle name="표준 5 3 4 2 3 4 4" xfId="12525" xr:uid="{00000000-0005-0000-0000-0000798F0000}"/>
    <cellStyle name="표준 5 3 4 2 3 4 5" xfId="16765" xr:uid="{00000000-0005-0000-0000-00007A8F0000}"/>
    <cellStyle name="표준 5 3 4 2 3 4 6" xfId="20927" xr:uid="{00000000-0005-0000-0000-00007B8F0000}"/>
    <cellStyle name="표준 5 3 4 2 3 4 7" xfId="25023" xr:uid="{00000000-0005-0000-0000-00007C8F0000}"/>
    <cellStyle name="표준 5 3 4 2 3 4 8" xfId="33234" xr:uid="{00000000-0005-0000-0000-00007D8F0000}"/>
    <cellStyle name="표준 5 3 4 2 3 4 9" xfId="41427" xr:uid="{00000000-0005-0000-0000-00007E8F0000}"/>
    <cellStyle name="표준 5 3 4 2 3 5" xfId="2070" xr:uid="{00000000-0005-0000-0000-00007F8F0000}"/>
    <cellStyle name="표준 5 3 4 2 3 5 2" xfId="10973" xr:uid="{00000000-0005-0000-0000-0000808F0000}"/>
    <cellStyle name="표준 5 3 4 2 3 5 2 2" xfId="15085" xr:uid="{00000000-0005-0000-0000-0000818F0000}"/>
    <cellStyle name="표준 5 3 4 2 3 5 2 2 2" xfId="31679" xr:uid="{00000000-0005-0000-0000-0000828F0000}"/>
    <cellStyle name="표준 5 3 4 2 3 5 2 2 3" xfId="39890" xr:uid="{00000000-0005-0000-0000-0000838F0000}"/>
    <cellStyle name="표준 5 3 4 2 3 5 2 2 4" xfId="48083" xr:uid="{00000000-0005-0000-0000-0000848F0000}"/>
    <cellStyle name="표준 5 3 4 2 3 5 2 3" xfId="19325" xr:uid="{00000000-0005-0000-0000-0000858F0000}"/>
    <cellStyle name="표준 5 3 4 2 3 5 2 4" xfId="23487" xr:uid="{00000000-0005-0000-0000-0000868F0000}"/>
    <cellStyle name="표준 5 3 4 2 3 5 2 5" xfId="27583" xr:uid="{00000000-0005-0000-0000-0000878F0000}"/>
    <cellStyle name="표준 5 3 4 2 3 5 2 6" xfId="35794" xr:uid="{00000000-0005-0000-0000-0000888F0000}"/>
    <cellStyle name="표준 5 3 4 2 3 5 2 7" xfId="43987" xr:uid="{00000000-0005-0000-0000-0000898F0000}"/>
    <cellStyle name="표준 5 3 4 2 3 5 3" xfId="8925" xr:uid="{00000000-0005-0000-0000-00008A8F0000}"/>
    <cellStyle name="표준 5 3 4 2 3 5 3 2" xfId="29631" xr:uid="{00000000-0005-0000-0000-00008B8F0000}"/>
    <cellStyle name="표준 5 3 4 2 3 5 3 3" xfId="37842" xr:uid="{00000000-0005-0000-0000-00008C8F0000}"/>
    <cellStyle name="표준 5 3 4 2 3 5 3 4" xfId="46035" xr:uid="{00000000-0005-0000-0000-00008D8F0000}"/>
    <cellStyle name="표준 5 3 4 2 3 5 4" xfId="13037" xr:uid="{00000000-0005-0000-0000-00008E8F0000}"/>
    <cellStyle name="표준 5 3 4 2 3 5 5" xfId="17277" xr:uid="{00000000-0005-0000-0000-00008F8F0000}"/>
    <cellStyle name="표준 5 3 4 2 3 5 6" xfId="21439" xr:uid="{00000000-0005-0000-0000-0000908F0000}"/>
    <cellStyle name="표준 5 3 4 2 3 5 7" xfId="25535" xr:uid="{00000000-0005-0000-0000-0000918F0000}"/>
    <cellStyle name="표준 5 3 4 2 3 5 8" xfId="33746" xr:uid="{00000000-0005-0000-0000-0000928F0000}"/>
    <cellStyle name="표준 5 3 4 2 3 5 9" xfId="41939" xr:uid="{00000000-0005-0000-0000-0000938F0000}"/>
    <cellStyle name="표준 5 3 4 2 3 6" xfId="9437" xr:uid="{00000000-0005-0000-0000-0000948F0000}"/>
    <cellStyle name="표준 5 3 4 2 3 6 2" xfId="13549" xr:uid="{00000000-0005-0000-0000-0000958F0000}"/>
    <cellStyle name="표준 5 3 4 2 3 6 2 2" xfId="30143" xr:uid="{00000000-0005-0000-0000-0000968F0000}"/>
    <cellStyle name="표준 5 3 4 2 3 6 2 3" xfId="38354" xr:uid="{00000000-0005-0000-0000-0000978F0000}"/>
    <cellStyle name="표준 5 3 4 2 3 6 2 4" xfId="46547" xr:uid="{00000000-0005-0000-0000-0000988F0000}"/>
    <cellStyle name="표준 5 3 4 2 3 6 3" xfId="17789" xr:uid="{00000000-0005-0000-0000-0000998F0000}"/>
    <cellStyle name="표준 5 3 4 2 3 6 4" xfId="21951" xr:uid="{00000000-0005-0000-0000-00009A8F0000}"/>
    <cellStyle name="표준 5 3 4 2 3 6 5" xfId="26047" xr:uid="{00000000-0005-0000-0000-00009B8F0000}"/>
    <cellStyle name="표준 5 3 4 2 3 6 6" xfId="34258" xr:uid="{00000000-0005-0000-0000-00009C8F0000}"/>
    <cellStyle name="표준 5 3 4 2 3 6 7" xfId="42451" xr:uid="{00000000-0005-0000-0000-00009D8F0000}"/>
    <cellStyle name="표준 5 3 4 2 3 7" xfId="7389" xr:uid="{00000000-0005-0000-0000-00009E8F0000}"/>
    <cellStyle name="표준 5 3 4 2 3 7 2" xfId="28095" xr:uid="{00000000-0005-0000-0000-00009F8F0000}"/>
    <cellStyle name="표준 5 3 4 2 3 7 3" xfId="36306" xr:uid="{00000000-0005-0000-0000-0000A08F0000}"/>
    <cellStyle name="표준 5 3 4 2 3 7 4" xfId="44499" xr:uid="{00000000-0005-0000-0000-0000A18F0000}"/>
    <cellStyle name="표준 5 3 4 2 3 8" xfId="11501" xr:uid="{00000000-0005-0000-0000-0000A28F0000}"/>
    <cellStyle name="표준 5 3 4 2 3 9" xfId="15741" xr:uid="{00000000-0005-0000-0000-0000A38F0000}"/>
    <cellStyle name="표준 5 3 4 2 4" xfId="662" xr:uid="{00000000-0005-0000-0000-0000A48F0000}"/>
    <cellStyle name="표준 5 3 4 2 4 10" xfId="24127" xr:uid="{00000000-0005-0000-0000-0000A58F0000}"/>
    <cellStyle name="표준 5 3 4 2 4 11" xfId="32338" xr:uid="{00000000-0005-0000-0000-0000A68F0000}"/>
    <cellStyle name="표준 5 3 4 2 4 12" xfId="40531" xr:uid="{00000000-0005-0000-0000-0000A78F0000}"/>
    <cellStyle name="표준 5 3 4 2 4 2" xfId="1174" xr:uid="{00000000-0005-0000-0000-0000A88F0000}"/>
    <cellStyle name="표준 5 3 4 2 4 2 2" xfId="10077" xr:uid="{00000000-0005-0000-0000-0000A98F0000}"/>
    <cellStyle name="표준 5 3 4 2 4 2 2 2" xfId="14189" xr:uid="{00000000-0005-0000-0000-0000AA8F0000}"/>
    <cellStyle name="표준 5 3 4 2 4 2 2 2 2" xfId="30783" xr:uid="{00000000-0005-0000-0000-0000AB8F0000}"/>
    <cellStyle name="표준 5 3 4 2 4 2 2 2 3" xfId="38994" xr:uid="{00000000-0005-0000-0000-0000AC8F0000}"/>
    <cellStyle name="표준 5 3 4 2 4 2 2 2 4" xfId="47187" xr:uid="{00000000-0005-0000-0000-0000AD8F0000}"/>
    <cellStyle name="표준 5 3 4 2 4 2 2 3" xfId="18429" xr:uid="{00000000-0005-0000-0000-0000AE8F0000}"/>
    <cellStyle name="표준 5 3 4 2 4 2 2 4" xfId="22591" xr:uid="{00000000-0005-0000-0000-0000AF8F0000}"/>
    <cellStyle name="표준 5 3 4 2 4 2 2 5" xfId="26687" xr:uid="{00000000-0005-0000-0000-0000B08F0000}"/>
    <cellStyle name="표준 5 3 4 2 4 2 2 6" xfId="34898" xr:uid="{00000000-0005-0000-0000-0000B18F0000}"/>
    <cellStyle name="표준 5 3 4 2 4 2 2 7" xfId="43091" xr:uid="{00000000-0005-0000-0000-0000B28F0000}"/>
    <cellStyle name="표준 5 3 4 2 4 2 3" xfId="8029" xr:uid="{00000000-0005-0000-0000-0000B38F0000}"/>
    <cellStyle name="표준 5 3 4 2 4 2 3 2" xfId="28735" xr:uid="{00000000-0005-0000-0000-0000B48F0000}"/>
    <cellStyle name="표준 5 3 4 2 4 2 3 3" xfId="36946" xr:uid="{00000000-0005-0000-0000-0000B58F0000}"/>
    <cellStyle name="표준 5 3 4 2 4 2 3 4" xfId="45139" xr:uid="{00000000-0005-0000-0000-0000B68F0000}"/>
    <cellStyle name="표준 5 3 4 2 4 2 4" xfId="12141" xr:uid="{00000000-0005-0000-0000-0000B78F0000}"/>
    <cellStyle name="표준 5 3 4 2 4 2 5" xfId="16381" xr:uid="{00000000-0005-0000-0000-0000B88F0000}"/>
    <cellStyle name="표준 5 3 4 2 4 2 6" xfId="20543" xr:uid="{00000000-0005-0000-0000-0000B98F0000}"/>
    <cellStyle name="표준 5 3 4 2 4 2 7" xfId="24639" xr:uid="{00000000-0005-0000-0000-0000BA8F0000}"/>
    <cellStyle name="표준 5 3 4 2 4 2 8" xfId="32850" xr:uid="{00000000-0005-0000-0000-0000BB8F0000}"/>
    <cellStyle name="표준 5 3 4 2 4 2 9" xfId="41043" xr:uid="{00000000-0005-0000-0000-0000BC8F0000}"/>
    <cellStyle name="표준 5 3 4 2 4 3" xfId="1686" xr:uid="{00000000-0005-0000-0000-0000BD8F0000}"/>
    <cellStyle name="표준 5 3 4 2 4 3 2" xfId="10589" xr:uid="{00000000-0005-0000-0000-0000BE8F0000}"/>
    <cellStyle name="표준 5 3 4 2 4 3 2 2" xfId="14701" xr:uid="{00000000-0005-0000-0000-0000BF8F0000}"/>
    <cellStyle name="표준 5 3 4 2 4 3 2 2 2" xfId="31295" xr:uid="{00000000-0005-0000-0000-0000C08F0000}"/>
    <cellStyle name="표준 5 3 4 2 4 3 2 2 3" xfId="39506" xr:uid="{00000000-0005-0000-0000-0000C18F0000}"/>
    <cellStyle name="표준 5 3 4 2 4 3 2 2 4" xfId="47699" xr:uid="{00000000-0005-0000-0000-0000C28F0000}"/>
    <cellStyle name="표준 5 3 4 2 4 3 2 3" xfId="18941" xr:uid="{00000000-0005-0000-0000-0000C38F0000}"/>
    <cellStyle name="표준 5 3 4 2 4 3 2 4" xfId="23103" xr:uid="{00000000-0005-0000-0000-0000C48F0000}"/>
    <cellStyle name="표준 5 3 4 2 4 3 2 5" xfId="27199" xr:uid="{00000000-0005-0000-0000-0000C58F0000}"/>
    <cellStyle name="표준 5 3 4 2 4 3 2 6" xfId="35410" xr:uid="{00000000-0005-0000-0000-0000C68F0000}"/>
    <cellStyle name="표준 5 3 4 2 4 3 2 7" xfId="43603" xr:uid="{00000000-0005-0000-0000-0000C78F0000}"/>
    <cellStyle name="표준 5 3 4 2 4 3 3" xfId="8541" xr:uid="{00000000-0005-0000-0000-0000C88F0000}"/>
    <cellStyle name="표준 5 3 4 2 4 3 3 2" xfId="29247" xr:uid="{00000000-0005-0000-0000-0000C98F0000}"/>
    <cellStyle name="표준 5 3 4 2 4 3 3 3" xfId="37458" xr:uid="{00000000-0005-0000-0000-0000CA8F0000}"/>
    <cellStyle name="표준 5 3 4 2 4 3 3 4" xfId="45651" xr:uid="{00000000-0005-0000-0000-0000CB8F0000}"/>
    <cellStyle name="표준 5 3 4 2 4 3 4" xfId="12653" xr:uid="{00000000-0005-0000-0000-0000CC8F0000}"/>
    <cellStyle name="표준 5 3 4 2 4 3 5" xfId="16893" xr:uid="{00000000-0005-0000-0000-0000CD8F0000}"/>
    <cellStyle name="표준 5 3 4 2 4 3 6" xfId="21055" xr:uid="{00000000-0005-0000-0000-0000CE8F0000}"/>
    <cellStyle name="표준 5 3 4 2 4 3 7" xfId="25151" xr:uid="{00000000-0005-0000-0000-0000CF8F0000}"/>
    <cellStyle name="표준 5 3 4 2 4 3 8" xfId="33362" xr:uid="{00000000-0005-0000-0000-0000D08F0000}"/>
    <cellStyle name="표준 5 3 4 2 4 3 9" xfId="41555" xr:uid="{00000000-0005-0000-0000-0000D18F0000}"/>
    <cellStyle name="표준 5 3 4 2 4 4" xfId="2198" xr:uid="{00000000-0005-0000-0000-0000D28F0000}"/>
    <cellStyle name="표준 5 3 4 2 4 4 2" xfId="11101" xr:uid="{00000000-0005-0000-0000-0000D38F0000}"/>
    <cellStyle name="표준 5 3 4 2 4 4 2 2" xfId="15213" xr:uid="{00000000-0005-0000-0000-0000D48F0000}"/>
    <cellStyle name="표준 5 3 4 2 4 4 2 2 2" xfId="31807" xr:uid="{00000000-0005-0000-0000-0000D58F0000}"/>
    <cellStyle name="표준 5 3 4 2 4 4 2 2 3" xfId="40018" xr:uid="{00000000-0005-0000-0000-0000D68F0000}"/>
    <cellStyle name="표준 5 3 4 2 4 4 2 2 4" xfId="48211" xr:uid="{00000000-0005-0000-0000-0000D78F0000}"/>
    <cellStyle name="표준 5 3 4 2 4 4 2 3" xfId="19453" xr:uid="{00000000-0005-0000-0000-0000D88F0000}"/>
    <cellStyle name="표준 5 3 4 2 4 4 2 4" xfId="23615" xr:uid="{00000000-0005-0000-0000-0000D98F0000}"/>
    <cellStyle name="표준 5 3 4 2 4 4 2 5" xfId="27711" xr:uid="{00000000-0005-0000-0000-0000DA8F0000}"/>
    <cellStyle name="표준 5 3 4 2 4 4 2 6" xfId="35922" xr:uid="{00000000-0005-0000-0000-0000DB8F0000}"/>
    <cellStyle name="표준 5 3 4 2 4 4 2 7" xfId="44115" xr:uid="{00000000-0005-0000-0000-0000DC8F0000}"/>
    <cellStyle name="표준 5 3 4 2 4 4 3" xfId="9053" xr:uid="{00000000-0005-0000-0000-0000DD8F0000}"/>
    <cellStyle name="표준 5 3 4 2 4 4 3 2" xfId="29759" xr:uid="{00000000-0005-0000-0000-0000DE8F0000}"/>
    <cellStyle name="표준 5 3 4 2 4 4 3 3" xfId="37970" xr:uid="{00000000-0005-0000-0000-0000DF8F0000}"/>
    <cellStyle name="표준 5 3 4 2 4 4 3 4" xfId="46163" xr:uid="{00000000-0005-0000-0000-0000E08F0000}"/>
    <cellStyle name="표준 5 3 4 2 4 4 4" xfId="13165" xr:uid="{00000000-0005-0000-0000-0000E18F0000}"/>
    <cellStyle name="표준 5 3 4 2 4 4 5" xfId="17405" xr:uid="{00000000-0005-0000-0000-0000E28F0000}"/>
    <cellStyle name="표준 5 3 4 2 4 4 6" xfId="21567" xr:uid="{00000000-0005-0000-0000-0000E38F0000}"/>
    <cellStyle name="표준 5 3 4 2 4 4 7" xfId="25663" xr:uid="{00000000-0005-0000-0000-0000E48F0000}"/>
    <cellStyle name="표준 5 3 4 2 4 4 8" xfId="33874" xr:uid="{00000000-0005-0000-0000-0000E58F0000}"/>
    <cellStyle name="표준 5 3 4 2 4 4 9" xfId="42067" xr:uid="{00000000-0005-0000-0000-0000E68F0000}"/>
    <cellStyle name="표준 5 3 4 2 4 5" xfId="9565" xr:uid="{00000000-0005-0000-0000-0000E78F0000}"/>
    <cellStyle name="표준 5 3 4 2 4 5 2" xfId="13677" xr:uid="{00000000-0005-0000-0000-0000E88F0000}"/>
    <cellStyle name="표준 5 3 4 2 4 5 2 2" xfId="30271" xr:uid="{00000000-0005-0000-0000-0000E98F0000}"/>
    <cellStyle name="표준 5 3 4 2 4 5 2 3" xfId="38482" xr:uid="{00000000-0005-0000-0000-0000EA8F0000}"/>
    <cellStyle name="표준 5 3 4 2 4 5 2 4" xfId="46675" xr:uid="{00000000-0005-0000-0000-0000EB8F0000}"/>
    <cellStyle name="표준 5 3 4 2 4 5 3" xfId="17917" xr:uid="{00000000-0005-0000-0000-0000EC8F0000}"/>
    <cellStyle name="표준 5 3 4 2 4 5 4" xfId="22079" xr:uid="{00000000-0005-0000-0000-0000ED8F0000}"/>
    <cellStyle name="표준 5 3 4 2 4 5 5" xfId="26175" xr:uid="{00000000-0005-0000-0000-0000EE8F0000}"/>
    <cellStyle name="표준 5 3 4 2 4 5 6" xfId="34386" xr:uid="{00000000-0005-0000-0000-0000EF8F0000}"/>
    <cellStyle name="표준 5 3 4 2 4 5 7" xfId="42579" xr:uid="{00000000-0005-0000-0000-0000F08F0000}"/>
    <cellStyle name="표준 5 3 4 2 4 6" xfId="7517" xr:uid="{00000000-0005-0000-0000-0000F18F0000}"/>
    <cellStyle name="표준 5 3 4 2 4 6 2" xfId="28223" xr:uid="{00000000-0005-0000-0000-0000F28F0000}"/>
    <cellStyle name="표준 5 3 4 2 4 6 3" xfId="36434" xr:uid="{00000000-0005-0000-0000-0000F38F0000}"/>
    <cellStyle name="표준 5 3 4 2 4 6 4" xfId="44627" xr:uid="{00000000-0005-0000-0000-0000F48F0000}"/>
    <cellStyle name="표준 5 3 4 2 4 7" xfId="11629" xr:uid="{00000000-0005-0000-0000-0000F58F0000}"/>
    <cellStyle name="표준 5 3 4 2 4 8" xfId="15869" xr:uid="{00000000-0005-0000-0000-0000F68F0000}"/>
    <cellStyle name="표준 5 3 4 2 4 9" xfId="20031" xr:uid="{00000000-0005-0000-0000-0000F78F0000}"/>
    <cellStyle name="표준 5 3 4 2 5" xfId="918" xr:uid="{00000000-0005-0000-0000-0000F88F0000}"/>
    <cellStyle name="표준 5 3 4 2 5 2" xfId="9821" xr:uid="{00000000-0005-0000-0000-0000F98F0000}"/>
    <cellStyle name="표준 5 3 4 2 5 2 2" xfId="13933" xr:uid="{00000000-0005-0000-0000-0000FA8F0000}"/>
    <cellStyle name="표준 5 3 4 2 5 2 2 2" xfId="30527" xr:uid="{00000000-0005-0000-0000-0000FB8F0000}"/>
    <cellStyle name="표준 5 3 4 2 5 2 2 3" xfId="38738" xr:uid="{00000000-0005-0000-0000-0000FC8F0000}"/>
    <cellStyle name="표준 5 3 4 2 5 2 2 4" xfId="46931" xr:uid="{00000000-0005-0000-0000-0000FD8F0000}"/>
    <cellStyle name="표준 5 3 4 2 5 2 3" xfId="18173" xr:uid="{00000000-0005-0000-0000-0000FE8F0000}"/>
    <cellStyle name="표준 5 3 4 2 5 2 4" xfId="22335" xr:uid="{00000000-0005-0000-0000-0000FF8F0000}"/>
    <cellStyle name="표준 5 3 4 2 5 2 5" xfId="26431" xr:uid="{00000000-0005-0000-0000-000000900000}"/>
    <cellStyle name="표준 5 3 4 2 5 2 6" xfId="34642" xr:uid="{00000000-0005-0000-0000-000001900000}"/>
    <cellStyle name="표준 5 3 4 2 5 2 7" xfId="42835" xr:uid="{00000000-0005-0000-0000-000002900000}"/>
    <cellStyle name="표준 5 3 4 2 5 3" xfId="7773" xr:uid="{00000000-0005-0000-0000-000003900000}"/>
    <cellStyle name="표준 5 3 4 2 5 3 2" xfId="28479" xr:uid="{00000000-0005-0000-0000-000004900000}"/>
    <cellStyle name="표준 5 3 4 2 5 3 3" xfId="36690" xr:uid="{00000000-0005-0000-0000-000005900000}"/>
    <cellStyle name="표준 5 3 4 2 5 3 4" xfId="44883" xr:uid="{00000000-0005-0000-0000-000006900000}"/>
    <cellStyle name="표준 5 3 4 2 5 4" xfId="11885" xr:uid="{00000000-0005-0000-0000-000007900000}"/>
    <cellStyle name="표준 5 3 4 2 5 5" xfId="16125" xr:uid="{00000000-0005-0000-0000-000008900000}"/>
    <cellStyle name="표준 5 3 4 2 5 6" xfId="20287" xr:uid="{00000000-0005-0000-0000-000009900000}"/>
    <cellStyle name="표준 5 3 4 2 5 7" xfId="24383" xr:uid="{00000000-0005-0000-0000-00000A900000}"/>
    <cellStyle name="표준 5 3 4 2 5 8" xfId="32594" xr:uid="{00000000-0005-0000-0000-00000B900000}"/>
    <cellStyle name="표준 5 3 4 2 5 9" xfId="40787" xr:uid="{00000000-0005-0000-0000-00000C900000}"/>
    <cellStyle name="표준 5 3 4 2 6" xfId="1430" xr:uid="{00000000-0005-0000-0000-00000D900000}"/>
    <cellStyle name="표준 5 3 4 2 6 2" xfId="10333" xr:uid="{00000000-0005-0000-0000-00000E900000}"/>
    <cellStyle name="표준 5 3 4 2 6 2 2" xfId="14445" xr:uid="{00000000-0005-0000-0000-00000F900000}"/>
    <cellStyle name="표준 5 3 4 2 6 2 2 2" xfId="31039" xr:uid="{00000000-0005-0000-0000-000010900000}"/>
    <cellStyle name="표준 5 3 4 2 6 2 2 3" xfId="39250" xr:uid="{00000000-0005-0000-0000-000011900000}"/>
    <cellStyle name="표준 5 3 4 2 6 2 2 4" xfId="47443" xr:uid="{00000000-0005-0000-0000-000012900000}"/>
    <cellStyle name="표준 5 3 4 2 6 2 3" xfId="18685" xr:uid="{00000000-0005-0000-0000-000013900000}"/>
    <cellStyle name="표준 5 3 4 2 6 2 4" xfId="22847" xr:uid="{00000000-0005-0000-0000-000014900000}"/>
    <cellStyle name="표준 5 3 4 2 6 2 5" xfId="26943" xr:uid="{00000000-0005-0000-0000-000015900000}"/>
    <cellStyle name="표준 5 3 4 2 6 2 6" xfId="35154" xr:uid="{00000000-0005-0000-0000-000016900000}"/>
    <cellStyle name="표준 5 3 4 2 6 2 7" xfId="43347" xr:uid="{00000000-0005-0000-0000-000017900000}"/>
    <cellStyle name="표준 5 3 4 2 6 3" xfId="8285" xr:uid="{00000000-0005-0000-0000-000018900000}"/>
    <cellStyle name="표준 5 3 4 2 6 3 2" xfId="28991" xr:uid="{00000000-0005-0000-0000-000019900000}"/>
    <cellStyle name="표준 5 3 4 2 6 3 3" xfId="37202" xr:uid="{00000000-0005-0000-0000-00001A900000}"/>
    <cellStyle name="표준 5 3 4 2 6 3 4" xfId="45395" xr:uid="{00000000-0005-0000-0000-00001B900000}"/>
    <cellStyle name="표준 5 3 4 2 6 4" xfId="12397" xr:uid="{00000000-0005-0000-0000-00001C900000}"/>
    <cellStyle name="표준 5 3 4 2 6 5" xfId="16637" xr:uid="{00000000-0005-0000-0000-00001D900000}"/>
    <cellStyle name="표준 5 3 4 2 6 6" xfId="20799" xr:uid="{00000000-0005-0000-0000-00001E900000}"/>
    <cellStyle name="표준 5 3 4 2 6 7" xfId="24895" xr:uid="{00000000-0005-0000-0000-00001F900000}"/>
    <cellStyle name="표준 5 3 4 2 6 8" xfId="33106" xr:uid="{00000000-0005-0000-0000-000020900000}"/>
    <cellStyle name="표준 5 3 4 2 6 9" xfId="41299" xr:uid="{00000000-0005-0000-0000-000021900000}"/>
    <cellStyle name="표준 5 3 4 2 7" xfId="1942" xr:uid="{00000000-0005-0000-0000-000022900000}"/>
    <cellStyle name="표준 5 3 4 2 7 2" xfId="10845" xr:uid="{00000000-0005-0000-0000-000023900000}"/>
    <cellStyle name="표준 5 3 4 2 7 2 2" xfId="14957" xr:uid="{00000000-0005-0000-0000-000024900000}"/>
    <cellStyle name="표준 5 3 4 2 7 2 2 2" xfId="31551" xr:uid="{00000000-0005-0000-0000-000025900000}"/>
    <cellStyle name="표준 5 3 4 2 7 2 2 3" xfId="39762" xr:uid="{00000000-0005-0000-0000-000026900000}"/>
    <cellStyle name="표준 5 3 4 2 7 2 2 4" xfId="47955" xr:uid="{00000000-0005-0000-0000-000027900000}"/>
    <cellStyle name="표준 5 3 4 2 7 2 3" xfId="19197" xr:uid="{00000000-0005-0000-0000-000028900000}"/>
    <cellStyle name="표준 5 3 4 2 7 2 4" xfId="23359" xr:uid="{00000000-0005-0000-0000-000029900000}"/>
    <cellStyle name="표준 5 3 4 2 7 2 5" xfId="27455" xr:uid="{00000000-0005-0000-0000-00002A900000}"/>
    <cellStyle name="표준 5 3 4 2 7 2 6" xfId="35666" xr:uid="{00000000-0005-0000-0000-00002B900000}"/>
    <cellStyle name="표준 5 3 4 2 7 2 7" xfId="43859" xr:uid="{00000000-0005-0000-0000-00002C900000}"/>
    <cellStyle name="표준 5 3 4 2 7 3" xfId="8797" xr:uid="{00000000-0005-0000-0000-00002D900000}"/>
    <cellStyle name="표준 5 3 4 2 7 3 2" xfId="29503" xr:uid="{00000000-0005-0000-0000-00002E900000}"/>
    <cellStyle name="표준 5 3 4 2 7 3 3" xfId="37714" xr:uid="{00000000-0005-0000-0000-00002F900000}"/>
    <cellStyle name="표준 5 3 4 2 7 3 4" xfId="45907" xr:uid="{00000000-0005-0000-0000-000030900000}"/>
    <cellStyle name="표준 5 3 4 2 7 4" xfId="12909" xr:uid="{00000000-0005-0000-0000-000031900000}"/>
    <cellStyle name="표준 5 3 4 2 7 5" xfId="17149" xr:uid="{00000000-0005-0000-0000-000032900000}"/>
    <cellStyle name="표준 5 3 4 2 7 6" xfId="21311" xr:uid="{00000000-0005-0000-0000-000033900000}"/>
    <cellStyle name="표준 5 3 4 2 7 7" xfId="25407" xr:uid="{00000000-0005-0000-0000-000034900000}"/>
    <cellStyle name="표준 5 3 4 2 7 8" xfId="33618" xr:uid="{00000000-0005-0000-0000-000035900000}"/>
    <cellStyle name="표준 5 3 4 2 7 9" xfId="41811" xr:uid="{00000000-0005-0000-0000-000036900000}"/>
    <cellStyle name="표준 5 3 4 2 8" xfId="7034" xr:uid="{00000000-0005-0000-0000-000037900000}"/>
    <cellStyle name="표준 5 3 4 2 8 2" xfId="9309" xr:uid="{00000000-0005-0000-0000-000038900000}"/>
    <cellStyle name="표준 5 3 4 2 8 2 2" xfId="30015" xr:uid="{00000000-0005-0000-0000-000039900000}"/>
    <cellStyle name="표준 5 3 4 2 8 2 3" xfId="38226" xr:uid="{00000000-0005-0000-0000-00003A900000}"/>
    <cellStyle name="표준 5 3 4 2 8 2 4" xfId="46419" xr:uid="{00000000-0005-0000-0000-00003B900000}"/>
    <cellStyle name="표준 5 3 4 2 8 3" xfId="13421" xr:uid="{00000000-0005-0000-0000-00003C900000}"/>
    <cellStyle name="표준 5 3 4 2 8 4" xfId="17661" xr:uid="{00000000-0005-0000-0000-00003D900000}"/>
    <cellStyle name="표준 5 3 4 2 8 5" xfId="21823" xr:uid="{00000000-0005-0000-0000-00003E900000}"/>
    <cellStyle name="표준 5 3 4 2 8 6" xfId="25919" xr:uid="{00000000-0005-0000-0000-00003F900000}"/>
    <cellStyle name="표준 5 3 4 2 8 7" xfId="34130" xr:uid="{00000000-0005-0000-0000-000040900000}"/>
    <cellStyle name="표준 5 3 4 2 8 8" xfId="42323" xr:uid="{00000000-0005-0000-0000-000041900000}"/>
    <cellStyle name="표준 5 3 4 2 9" xfId="7144" xr:uid="{00000000-0005-0000-0000-000042900000}"/>
    <cellStyle name="표준 5 3 4 2 9 2" xfId="27967" xr:uid="{00000000-0005-0000-0000-000043900000}"/>
    <cellStyle name="표준 5 3 4 2 9 3" xfId="36178" xr:uid="{00000000-0005-0000-0000-000044900000}"/>
    <cellStyle name="표준 5 3 4 2 9 4" xfId="44371" xr:uid="{00000000-0005-0000-0000-000045900000}"/>
    <cellStyle name="표준 5 3 4 3" xfId="438" xr:uid="{00000000-0005-0000-0000-000046900000}"/>
    <cellStyle name="표준 5 3 4 3 10" xfId="15645" xr:uid="{00000000-0005-0000-0000-000047900000}"/>
    <cellStyle name="표준 5 3 4 3 11" xfId="19807" xr:uid="{00000000-0005-0000-0000-000048900000}"/>
    <cellStyle name="표준 5 3 4 3 12" xfId="23903" xr:uid="{00000000-0005-0000-0000-000049900000}"/>
    <cellStyle name="표준 5 3 4 3 13" xfId="32114" xr:uid="{00000000-0005-0000-0000-00004A900000}"/>
    <cellStyle name="표준 5 3 4 3 14" xfId="40307" xr:uid="{00000000-0005-0000-0000-00004B900000}"/>
    <cellStyle name="표준 5 3 4 3 2" xfId="566" xr:uid="{00000000-0005-0000-0000-00004C900000}"/>
    <cellStyle name="표준 5 3 4 3 2 10" xfId="19935" xr:uid="{00000000-0005-0000-0000-00004D900000}"/>
    <cellStyle name="표준 5 3 4 3 2 11" xfId="24031" xr:uid="{00000000-0005-0000-0000-00004E900000}"/>
    <cellStyle name="표준 5 3 4 3 2 12" xfId="32242" xr:uid="{00000000-0005-0000-0000-00004F900000}"/>
    <cellStyle name="표준 5 3 4 3 2 13" xfId="40435" xr:uid="{00000000-0005-0000-0000-000050900000}"/>
    <cellStyle name="표준 5 3 4 3 2 2" xfId="822" xr:uid="{00000000-0005-0000-0000-000051900000}"/>
    <cellStyle name="표준 5 3 4 3 2 2 10" xfId="24287" xr:uid="{00000000-0005-0000-0000-000052900000}"/>
    <cellStyle name="표준 5 3 4 3 2 2 11" xfId="32498" xr:uid="{00000000-0005-0000-0000-000053900000}"/>
    <cellStyle name="표준 5 3 4 3 2 2 12" xfId="40691" xr:uid="{00000000-0005-0000-0000-000054900000}"/>
    <cellStyle name="표준 5 3 4 3 2 2 2" xfId="1334" xr:uid="{00000000-0005-0000-0000-000055900000}"/>
    <cellStyle name="표준 5 3 4 3 2 2 2 2" xfId="10237" xr:uid="{00000000-0005-0000-0000-000056900000}"/>
    <cellStyle name="표준 5 3 4 3 2 2 2 2 2" xfId="14349" xr:uid="{00000000-0005-0000-0000-000057900000}"/>
    <cellStyle name="표준 5 3 4 3 2 2 2 2 2 2" xfId="30943" xr:uid="{00000000-0005-0000-0000-000058900000}"/>
    <cellStyle name="표준 5 3 4 3 2 2 2 2 2 3" xfId="39154" xr:uid="{00000000-0005-0000-0000-000059900000}"/>
    <cellStyle name="표준 5 3 4 3 2 2 2 2 2 4" xfId="47347" xr:uid="{00000000-0005-0000-0000-00005A900000}"/>
    <cellStyle name="표준 5 3 4 3 2 2 2 2 3" xfId="18589" xr:uid="{00000000-0005-0000-0000-00005B900000}"/>
    <cellStyle name="표준 5 3 4 3 2 2 2 2 4" xfId="22751" xr:uid="{00000000-0005-0000-0000-00005C900000}"/>
    <cellStyle name="표준 5 3 4 3 2 2 2 2 5" xfId="26847" xr:uid="{00000000-0005-0000-0000-00005D900000}"/>
    <cellStyle name="표준 5 3 4 3 2 2 2 2 6" xfId="35058" xr:uid="{00000000-0005-0000-0000-00005E900000}"/>
    <cellStyle name="표준 5 3 4 3 2 2 2 2 7" xfId="43251" xr:uid="{00000000-0005-0000-0000-00005F900000}"/>
    <cellStyle name="표준 5 3 4 3 2 2 2 3" xfId="8189" xr:uid="{00000000-0005-0000-0000-000060900000}"/>
    <cellStyle name="표준 5 3 4 3 2 2 2 3 2" xfId="28895" xr:uid="{00000000-0005-0000-0000-000061900000}"/>
    <cellStyle name="표준 5 3 4 3 2 2 2 3 3" xfId="37106" xr:uid="{00000000-0005-0000-0000-000062900000}"/>
    <cellStyle name="표준 5 3 4 3 2 2 2 3 4" xfId="45299" xr:uid="{00000000-0005-0000-0000-000063900000}"/>
    <cellStyle name="표준 5 3 4 3 2 2 2 4" xfId="12301" xr:uid="{00000000-0005-0000-0000-000064900000}"/>
    <cellStyle name="표준 5 3 4 3 2 2 2 5" xfId="16541" xr:uid="{00000000-0005-0000-0000-000065900000}"/>
    <cellStyle name="표준 5 3 4 3 2 2 2 6" xfId="20703" xr:uid="{00000000-0005-0000-0000-000066900000}"/>
    <cellStyle name="표준 5 3 4 3 2 2 2 7" xfId="24799" xr:uid="{00000000-0005-0000-0000-000067900000}"/>
    <cellStyle name="표준 5 3 4 3 2 2 2 8" xfId="33010" xr:uid="{00000000-0005-0000-0000-000068900000}"/>
    <cellStyle name="표준 5 3 4 3 2 2 2 9" xfId="41203" xr:uid="{00000000-0005-0000-0000-000069900000}"/>
    <cellStyle name="표준 5 3 4 3 2 2 3" xfId="1846" xr:uid="{00000000-0005-0000-0000-00006A900000}"/>
    <cellStyle name="표준 5 3 4 3 2 2 3 2" xfId="10749" xr:uid="{00000000-0005-0000-0000-00006B900000}"/>
    <cellStyle name="표준 5 3 4 3 2 2 3 2 2" xfId="14861" xr:uid="{00000000-0005-0000-0000-00006C900000}"/>
    <cellStyle name="표준 5 3 4 3 2 2 3 2 2 2" xfId="31455" xr:uid="{00000000-0005-0000-0000-00006D900000}"/>
    <cellStyle name="표준 5 3 4 3 2 2 3 2 2 3" xfId="39666" xr:uid="{00000000-0005-0000-0000-00006E900000}"/>
    <cellStyle name="표준 5 3 4 3 2 2 3 2 2 4" xfId="47859" xr:uid="{00000000-0005-0000-0000-00006F900000}"/>
    <cellStyle name="표준 5 3 4 3 2 2 3 2 3" xfId="19101" xr:uid="{00000000-0005-0000-0000-000070900000}"/>
    <cellStyle name="표준 5 3 4 3 2 2 3 2 4" xfId="23263" xr:uid="{00000000-0005-0000-0000-000071900000}"/>
    <cellStyle name="표준 5 3 4 3 2 2 3 2 5" xfId="27359" xr:uid="{00000000-0005-0000-0000-000072900000}"/>
    <cellStyle name="표준 5 3 4 3 2 2 3 2 6" xfId="35570" xr:uid="{00000000-0005-0000-0000-000073900000}"/>
    <cellStyle name="표준 5 3 4 3 2 2 3 2 7" xfId="43763" xr:uid="{00000000-0005-0000-0000-000074900000}"/>
    <cellStyle name="표준 5 3 4 3 2 2 3 3" xfId="8701" xr:uid="{00000000-0005-0000-0000-000075900000}"/>
    <cellStyle name="표준 5 3 4 3 2 2 3 3 2" xfId="29407" xr:uid="{00000000-0005-0000-0000-000076900000}"/>
    <cellStyle name="표준 5 3 4 3 2 2 3 3 3" xfId="37618" xr:uid="{00000000-0005-0000-0000-000077900000}"/>
    <cellStyle name="표준 5 3 4 3 2 2 3 3 4" xfId="45811" xr:uid="{00000000-0005-0000-0000-000078900000}"/>
    <cellStyle name="표준 5 3 4 3 2 2 3 4" xfId="12813" xr:uid="{00000000-0005-0000-0000-000079900000}"/>
    <cellStyle name="표준 5 3 4 3 2 2 3 5" xfId="17053" xr:uid="{00000000-0005-0000-0000-00007A900000}"/>
    <cellStyle name="표준 5 3 4 3 2 2 3 6" xfId="21215" xr:uid="{00000000-0005-0000-0000-00007B900000}"/>
    <cellStyle name="표준 5 3 4 3 2 2 3 7" xfId="25311" xr:uid="{00000000-0005-0000-0000-00007C900000}"/>
    <cellStyle name="표준 5 3 4 3 2 2 3 8" xfId="33522" xr:uid="{00000000-0005-0000-0000-00007D900000}"/>
    <cellStyle name="표준 5 3 4 3 2 2 3 9" xfId="41715" xr:uid="{00000000-0005-0000-0000-00007E900000}"/>
    <cellStyle name="표준 5 3 4 3 2 2 4" xfId="2358" xr:uid="{00000000-0005-0000-0000-00007F900000}"/>
    <cellStyle name="표준 5 3 4 3 2 2 4 2" xfId="11261" xr:uid="{00000000-0005-0000-0000-000080900000}"/>
    <cellStyle name="표준 5 3 4 3 2 2 4 2 2" xfId="15373" xr:uid="{00000000-0005-0000-0000-000081900000}"/>
    <cellStyle name="표준 5 3 4 3 2 2 4 2 2 2" xfId="31967" xr:uid="{00000000-0005-0000-0000-000082900000}"/>
    <cellStyle name="표준 5 3 4 3 2 2 4 2 2 3" xfId="40178" xr:uid="{00000000-0005-0000-0000-000083900000}"/>
    <cellStyle name="표준 5 3 4 3 2 2 4 2 2 4" xfId="48371" xr:uid="{00000000-0005-0000-0000-000084900000}"/>
    <cellStyle name="표준 5 3 4 3 2 2 4 2 3" xfId="19613" xr:uid="{00000000-0005-0000-0000-000085900000}"/>
    <cellStyle name="표준 5 3 4 3 2 2 4 2 4" xfId="23775" xr:uid="{00000000-0005-0000-0000-000086900000}"/>
    <cellStyle name="표준 5 3 4 3 2 2 4 2 5" xfId="27871" xr:uid="{00000000-0005-0000-0000-000087900000}"/>
    <cellStyle name="표준 5 3 4 3 2 2 4 2 6" xfId="36082" xr:uid="{00000000-0005-0000-0000-000088900000}"/>
    <cellStyle name="표준 5 3 4 3 2 2 4 2 7" xfId="44275" xr:uid="{00000000-0005-0000-0000-000089900000}"/>
    <cellStyle name="표준 5 3 4 3 2 2 4 3" xfId="9213" xr:uid="{00000000-0005-0000-0000-00008A900000}"/>
    <cellStyle name="표준 5 3 4 3 2 2 4 3 2" xfId="29919" xr:uid="{00000000-0005-0000-0000-00008B900000}"/>
    <cellStyle name="표준 5 3 4 3 2 2 4 3 3" xfId="38130" xr:uid="{00000000-0005-0000-0000-00008C900000}"/>
    <cellStyle name="표준 5 3 4 3 2 2 4 3 4" xfId="46323" xr:uid="{00000000-0005-0000-0000-00008D900000}"/>
    <cellStyle name="표준 5 3 4 3 2 2 4 4" xfId="13325" xr:uid="{00000000-0005-0000-0000-00008E900000}"/>
    <cellStyle name="표준 5 3 4 3 2 2 4 5" xfId="17565" xr:uid="{00000000-0005-0000-0000-00008F900000}"/>
    <cellStyle name="표준 5 3 4 3 2 2 4 6" xfId="21727" xr:uid="{00000000-0005-0000-0000-000090900000}"/>
    <cellStyle name="표준 5 3 4 3 2 2 4 7" xfId="25823" xr:uid="{00000000-0005-0000-0000-000091900000}"/>
    <cellStyle name="표준 5 3 4 3 2 2 4 8" xfId="34034" xr:uid="{00000000-0005-0000-0000-000092900000}"/>
    <cellStyle name="표준 5 3 4 3 2 2 4 9" xfId="42227" xr:uid="{00000000-0005-0000-0000-000093900000}"/>
    <cellStyle name="표준 5 3 4 3 2 2 5" xfId="9725" xr:uid="{00000000-0005-0000-0000-000094900000}"/>
    <cellStyle name="표준 5 3 4 3 2 2 5 2" xfId="13837" xr:uid="{00000000-0005-0000-0000-000095900000}"/>
    <cellStyle name="표준 5 3 4 3 2 2 5 2 2" xfId="30431" xr:uid="{00000000-0005-0000-0000-000096900000}"/>
    <cellStyle name="표준 5 3 4 3 2 2 5 2 3" xfId="38642" xr:uid="{00000000-0005-0000-0000-000097900000}"/>
    <cellStyle name="표준 5 3 4 3 2 2 5 2 4" xfId="46835" xr:uid="{00000000-0005-0000-0000-000098900000}"/>
    <cellStyle name="표준 5 3 4 3 2 2 5 3" xfId="18077" xr:uid="{00000000-0005-0000-0000-000099900000}"/>
    <cellStyle name="표준 5 3 4 3 2 2 5 4" xfId="22239" xr:uid="{00000000-0005-0000-0000-00009A900000}"/>
    <cellStyle name="표준 5 3 4 3 2 2 5 5" xfId="26335" xr:uid="{00000000-0005-0000-0000-00009B900000}"/>
    <cellStyle name="표준 5 3 4 3 2 2 5 6" xfId="34546" xr:uid="{00000000-0005-0000-0000-00009C900000}"/>
    <cellStyle name="표준 5 3 4 3 2 2 5 7" xfId="42739" xr:uid="{00000000-0005-0000-0000-00009D900000}"/>
    <cellStyle name="표준 5 3 4 3 2 2 6" xfId="7677" xr:uid="{00000000-0005-0000-0000-00009E900000}"/>
    <cellStyle name="표준 5 3 4 3 2 2 6 2" xfId="28383" xr:uid="{00000000-0005-0000-0000-00009F900000}"/>
    <cellStyle name="표준 5 3 4 3 2 2 6 3" xfId="36594" xr:uid="{00000000-0005-0000-0000-0000A0900000}"/>
    <cellStyle name="표준 5 3 4 3 2 2 6 4" xfId="44787" xr:uid="{00000000-0005-0000-0000-0000A1900000}"/>
    <cellStyle name="표준 5 3 4 3 2 2 7" xfId="11789" xr:uid="{00000000-0005-0000-0000-0000A2900000}"/>
    <cellStyle name="표준 5 3 4 3 2 2 8" xfId="16029" xr:uid="{00000000-0005-0000-0000-0000A3900000}"/>
    <cellStyle name="표준 5 3 4 3 2 2 9" xfId="20191" xr:uid="{00000000-0005-0000-0000-0000A4900000}"/>
    <cellStyle name="표준 5 3 4 3 2 3" xfId="1078" xr:uid="{00000000-0005-0000-0000-0000A5900000}"/>
    <cellStyle name="표준 5 3 4 3 2 3 2" xfId="9981" xr:uid="{00000000-0005-0000-0000-0000A6900000}"/>
    <cellStyle name="표준 5 3 4 3 2 3 2 2" xfId="14093" xr:uid="{00000000-0005-0000-0000-0000A7900000}"/>
    <cellStyle name="표준 5 3 4 3 2 3 2 2 2" xfId="30687" xr:uid="{00000000-0005-0000-0000-0000A8900000}"/>
    <cellStyle name="표준 5 3 4 3 2 3 2 2 3" xfId="38898" xr:uid="{00000000-0005-0000-0000-0000A9900000}"/>
    <cellStyle name="표준 5 3 4 3 2 3 2 2 4" xfId="47091" xr:uid="{00000000-0005-0000-0000-0000AA900000}"/>
    <cellStyle name="표준 5 3 4 3 2 3 2 3" xfId="18333" xr:uid="{00000000-0005-0000-0000-0000AB900000}"/>
    <cellStyle name="표준 5 3 4 3 2 3 2 4" xfId="22495" xr:uid="{00000000-0005-0000-0000-0000AC900000}"/>
    <cellStyle name="표준 5 3 4 3 2 3 2 5" xfId="26591" xr:uid="{00000000-0005-0000-0000-0000AD900000}"/>
    <cellStyle name="표준 5 3 4 3 2 3 2 6" xfId="34802" xr:uid="{00000000-0005-0000-0000-0000AE900000}"/>
    <cellStyle name="표준 5 3 4 3 2 3 2 7" xfId="42995" xr:uid="{00000000-0005-0000-0000-0000AF900000}"/>
    <cellStyle name="표준 5 3 4 3 2 3 3" xfId="7933" xr:uid="{00000000-0005-0000-0000-0000B0900000}"/>
    <cellStyle name="표준 5 3 4 3 2 3 3 2" xfId="28639" xr:uid="{00000000-0005-0000-0000-0000B1900000}"/>
    <cellStyle name="표준 5 3 4 3 2 3 3 3" xfId="36850" xr:uid="{00000000-0005-0000-0000-0000B2900000}"/>
    <cellStyle name="표준 5 3 4 3 2 3 3 4" xfId="45043" xr:uid="{00000000-0005-0000-0000-0000B3900000}"/>
    <cellStyle name="표준 5 3 4 3 2 3 4" xfId="12045" xr:uid="{00000000-0005-0000-0000-0000B4900000}"/>
    <cellStyle name="표준 5 3 4 3 2 3 5" xfId="16285" xr:uid="{00000000-0005-0000-0000-0000B5900000}"/>
    <cellStyle name="표준 5 3 4 3 2 3 6" xfId="20447" xr:uid="{00000000-0005-0000-0000-0000B6900000}"/>
    <cellStyle name="표준 5 3 4 3 2 3 7" xfId="24543" xr:uid="{00000000-0005-0000-0000-0000B7900000}"/>
    <cellStyle name="표준 5 3 4 3 2 3 8" xfId="32754" xr:uid="{00000000-0005-0000-0000-0000B8900000}"/>
    <cellStyle name="표준 5 3 4 3 2 3 9" xfId="40947" xr:uid="{00000000-0005-0000-0000-0000B9900000}"/>
    <cellStyle name="표준 5 3 4 3 2 4" xfId="1590" xr:uid="{00000000-0005-0000-0000-0000BA900000}"/>
    <cellStyle name="표준 5 3 4 3 2 4 2" xfId="10493" xr:uid="{00000000-0005-0000-0000-0000BB900000}"/>
    <cellStyle name="표준 5 3 4 3 2 4 2 2" xfId="14605" xr:uid="{00000000-0005-0000-0000-0000BC900000}"/>
    <cellStyle name="표준 5 3 4 3 2 4 2 2 2" xfId="31199" xr:uid="{00000000-0005-0000-0000-0000BD900000}"/>
    <cellStyle name="표준 5 3 4 3 2 4 2 2 3" xfId="39410" xr:uid="{00000000-0005-0000-0000-0000BE900000}"/>
    <cellStyle name="표준 5 3 4 3 2 4 2 2 4" xfId="47603" xr:uid="{00000000-0005-0000-0000-0000BF900000}"/>
    <cellStyle name="표준 5 3 4 3 2 4 2 3" xfId="18845" xr:uid="{00000000-0005-0000-0000-0000C0900000}"/>
    <cellStyle name="표준 5 3 4 3 2 4 2 4" xfId="23007" xr:uid="{00000000-0005-0000-0000-0000C1900000}"/>
    <cellStyle name="표준 5 3 4 3 2 4 2 5" xfId="27103" xr:uid="{00000000-0005-0000-0000-0000C2900000}"/>
    <cellStyle name="표준 5 3 4 3 2 4 2 6" xfId="35314" xr:uid="{00000000-0005-0000-0000-0000C3900000}"/>
    <cellStyle name="표준 5 3 4 3 2 4 2 7" xfId="43507" xr:uid="{00000000-0005-0000-0000-0000C4900000}"/>
    <cellStyle name="표준 5 3 4 3 2 4 3" xfId="8445" xr:uid="{00000000-0005-0000-0000-0000C5900000}"/>
    <cellStyle name="표준 5 3 4 3 2 4 3 2" xfId="29151" xr:uid="{00000000-0005-0000-0000-0000C6900000}"/>
    <cellStyle name="표준 5 3 4 3 2 4 3 3" xfId="37362" xr:uid="{00000000-0005-0000-0000-0000C7900000}"/>
    <cellStyle name="표준 5 3 4 3 2 4 3 4" xfId="45555" xr:uid="{00000000-0005-0000-0000-0000C8900000}"/>
    <cellStyle name="표준 5 3 4 3 2 4 4" xfId="12557" xr:uid="{00000000-0005-0000-0000-0000C9900000}"/>
    <cellStyle name="표준 5 3 4 3 2 4 5" xfId="16797" xr:uid="{00000000-0005-0000-0000-0000CA900000}"/>
    <cellStyle name="표준 5 3 4 3 2 4 6" xfId="20959" xr:uid="{00000000-0005-0000-0000-0000CB900000}"/>
    <cellStyle name="표준 5 3 4 3 2 4 7" xfId="25055" xr:uid="{00000000-0005-0000-0000-0000CC900000}"/>
    <cellStyle name="표준 5 3 4 3 2 4 8" xfId="33266" xr:uid="{00000000-0005-0000-0000-0000CD900000}"/>
    <cellStyle name="표준 5 3 4 3 2 4 9" xfId="41459" xr:uid="{00000000-0005-0000-0000-0000CE900000}"/>
    <cellStyle name="표준 5 3 4 3 2 5" xfId="2102" xr:uid="{00000000-0005-0000-0000-0000CF900000}"/>
    <cellStyle name="표준 5 3 4 3 2 5 2" xfId="11005" xr:uid="{00000000-0005-0000-0000-0000D0900000}"/>
    <cellStyle name="표준 5 3 4 3 2 5 2 2" xfId="15117" xr:uid="{00000000-0005-0000-0000-0000D1900000}"/>
    <cellStyle name="표준 5 3 4 3 2 5 2 2 2" xfId="31711" xr:uid="{00000000-0005-0000-0000-0000D2900000}"/>
    <cellStyle name="표준 5 3 4 3 2 5 2 2 3" xfId="39922" xr:uid="{00000000-0005-0000-0000-0000D3900000}"/>
    <cellStyle name="표준 5 3 4 3 2 5 2 2 4" xfId="48115" xr:uid="{00000000-0005-0000-0000-0000D4900000}"/>
    <cellStyle name="표준 5 3 4 3 2 5 2 3" xfId="19357" xr:uid="{00000000-0005-0000-0000-0000D5900000}"/>
    <cellStyle name="표준 5 3 4 3 2 5 2 4" xfId="23519" xr:uid="{00000000-0005-0000-0000-0000D6900000}"/>
    <cellStyle name="표준 5 3 4 3 2 5 2 5" xfId="27615" xr:uid="{00000000-0005-0000-0000-0000D7900000}"/>
    <cellStyle name="표준 5 3 4 3 2 5 2 6" xfId="35826" xr:uid="{00000000-0005-0000-0000-0000D8900000}"/>
    <cellStyle name="표준 5 3 4 3 2 5 2 7" xfId="44019" xr:uid="{00000000-0005-0000-0000-0000D9900000}"/>
    <cellStyle name="표준 5 3 4 3 2 5 3" xfId="8957" xr:uid="{00000000-0005-0000-0000-0000DA900000}"/>
    <cellStyle name="표준 5 3 4 3 2 5 3 2" xfId="29663" xr:uid="{00000000-0005-0000-0000-0000DB900000}"/>
    <cellStyle name="표준 5 3 4 3 2 5 3 3" xfId="37874" xr:uid="{00000000-0005-0000-0000-0000DC900000}"/>
    <cellStyle name="표준 5 3 4 3 2 5 3 4" xfId="46067" xr:uid="{00000000-0005-0000-0000-0000DD900000}"/>
    <cellStyle name="표준 5 3 4 3 2 5 4" xfId="13069" xr:uid="{00000000-0005-0000-0000-0000DE900000}"/>
    <cellStyle name="표준 5 3 4 3 2 5 5" xfId="17309" xr:uid="{00000000-0005-0000-0000-0000DF900000}"/>
    <cellStyle name="표준 5 3 4 3 2 5 6" xfId="21471" xr:uid="{00000000-0005-0000-0000-0000E0900000}"/>
    <cellStyle name="표준 5 3 4 3 2 5 7" xfId="25567" xr:uid="{00000000-0005-0000-0000-0000E1900000}"/>
    <cellStyle name="표준 5 3 4 3 2 5 8" xfId="33778" xr:uid="{00000000-0005-0000-0000-0000E2900000}"/>
    <cellStyle name="표준 5 3 4 3 2 5 9" xfId="41971" xr:uid="{00000000-0005-0000-0000-0000E3900000}"/>
    <cellStyle name="표준 5 3 4 3 2 6" xfId="9469" xr:uid="{00000000-0005-0000-0000-0000E4900000}"/>
    <cellStyle name="표준 5 3 4 3 2 6 2" xfId="13581" xr:uid="{00000000-0005-0000-0000-0000E5900000}"/>
    <cellStyle name="표준 5 3 4 3 2 6 2 2" xfId="30175" xr:uid="{00000000-0005-0000-0000-0000E6900000}"/>
    <cellStyle name="표준 5 3 4 3 2 6 2 3" xfId="38386" xr:uid="{00000000-0005-0000-0000-0000E7900000}"/>
    <cellStyle name="표준 5 3 4 3 2 6 2 4" xfId="46579" xr:uid="{00000000-0005-0000-0000-0000E8900000}"/>
    <cellStyle name="표준 5 3 4 3 2 6 3" xfId="17821" xr:uid="{00000000-0005-0000-0000-0000E9900000}"/>
    <cellStyle name="표준 5 3 4 3 2 6 4" xfId="21983" xr:uid="{00000000-0005-0000-0000-0000EA900000}"/>
    <cellStyle name="표준 5 3 4 3 2 6 5" xfId="26079" xr:uid="{00000000-0005-0000-0000-0000EB900000}"/>
    <cellStyle name="표준 5 3 4 3 2 6 6" xfId="34290" xr:uid="{00000000-0005-0000-0000-0000EC900000}"/>
    <cellStyle name="표준 5 3 4 3 2 6 7" xfId="42483" xr:uid="{00000000-0005-0000-0000-0000ED900000}"/>
    <cellStyle name="표준 5 3 4 3 2 7" xfId="7421" xr:uid="{00000000-0005-0000-0000-0000EE900000}"/>
    <cellStyle name="표준 5 3 4 3 2 7 2" xfId="28127" xr:uid="{00000000-0005-0000-0000-0000EF900000}"/>
    <cellStyle name="표준 5 3 4 3 2 7 3" xfId="36338" xr:uid="{00000000-0005-0000-0000-0000F0900000}"/>
    <cellStyle name="표준 5 3 4 3 2 7 4" xfId="44531" xr:uid="{00000000-0005-0000-0000-0000F1900000}"/>
    <cellStyle name="표준 5 3 4 3 2 8" xfId="11533" xr:uid="{00000000-0005-0000-0000-0000F2900000}"/>
    <cellStyle name="표준 5 3 4 3 2 9" xfId="15773" xr:uid="{00000000-0005-0000-0000-0000F3900000}"/>
    <cellStyle name="표준 5 3 4 3 3" xfId="694" xr:uid="{00000000-0005-0000-0000-0000F4900000}"/>
    <cellStyle name="표준 5 3 4 3 3 10" xfId="24159" xr:uid="{00000000-0005-0000-0000-0000F5900000}"/>
    <cellStyle name="표준 5 3 4 3 3 11" xfId="32370" xr:uid="{00000000-0005-0000-0000-0000F6900000}"/>
    <cellStyle name="표준 5 3 4 3 3 12" xfId="40563" xr:uid="{00000000-0005-0000-0000-0000F7900000}"/>
    <cellStyle name="표준 5 3 4 3 3 2" xfId="1206" xr:uid="{00000000-0005-0000-0000-0000F8900000}"/>
    <cellStyle name="표준 5 3 4 3 3 2 2" xfId="10109" xr:uid="{00000000-0005-0000-0000-0000F9900000}"/>
    <cellStyle name="표준 5 3 4 3 3 2 2 2" xfId="14221" xr:uid="{00000000-0005-0000-0000-0000FA900000}"/>
    <cellStyle name="표준 5 3 4 3 3 2 2 2 2" xfId="30815" xr:uid="{00000000-0005-0000-0000-0000FB900000}"/>
    <cellStyle name="표준 5 3 4 3 3 2 2 2 3" xfId="39026" xr:uid="{00000000-0005-0000-0000-0000FC900000}"/>
    <cellStyle name="표준 5 3 4 3 3 2 2 2 4" xfId="47219" xr:uid="{00000000-0005-0000-0000-0000FD900000}"/>
    <cellStyle name="표준 5 3 4 3 3 2 2 3" xfId="18461" xr:uid="{00000000-0005-0000-0000-0000FE900000}"/>
    <cellStyle name="표준 5 3 4 3 3 2 2 4" xfId="22623" xr:uid="{00000000-0005-0000-0000-0000FF900000}"/>
    <cellStyle name="표준 5 3 4 3 3 2 2 5" xfId="26719" xr:uid="{00000000-0005-0000-0000-000000910000}"/>
    <cellStyle name="표준 5 3 4 3 3 2 2 6" xfId="34930" xr:uid="{00000000-0005-0000-0000-000001910000}"/>
    <cellStyle name="표준 5 3 4 3 3 2 2 7" xfId="43123" xr:uid="{00000000-0005-0000-0000-000002910000}"/>
    <cellStyle name="표준 5 3 4 3 3 2 3" xfId="8061" xr:uid="{00000000-0005-0000-0000-000003910000}"/>
    <cellStyle name="표준 5 3 4 3 3 2 3 2" xfId="28767" xr:uid="{00000000-0005-0000-0000-000004910000}"/>
    <cellStyle name="표준 5 3 4 3 3 2 3 3" xfId="36978" xr:uid="{00000000-0005-0000-0000-000005910000}"/>
    <cellStyle name="표준 5 3 4 3 3 2 3 4" xfId="45171" xr:uid="{00000000-0005-0000-0000-000006910000}"/>
    <cellStyle name="표준 5 3 4 3 3 2 4" xfId="12173" xr:uid="{00000000-0005-0000-0000-000007910000}"/>
    <cellStyle name="표준 5 3 4 3 3 2 5" xfId="16413" xr:uid="{00000000-0005-0000-0000-000008910000}"/>
    <cellStyle name="표준 5 3 4 3 3 2 6" xfId="20575" xr:uid="{00000000-0005-0000-0000-000009910000}"/>
    <cellStyle name="표준 5 3 4 3 3 2 7" xfId="24671" xr:uid="{00000000-0005-0000-0000-00000A910000}"/>
    <cellStyle name="표준 5 3 4 3 3 2 8" xfId="32882" xr:uid="{00000000-0005-0000-0000-00000B910000}"/>
    <cellStyle name="표준 5 3 4 3 3 2 9" xfId="41075" xr:uid="{00000000-0005-0000-0000-00000C910000}"/>
    <cellStyle name="표준 5 3 4 3 3 3" xfId="1718" xr:uid="{00000000-0005-0000-0000-00000D910000}"/>
    <cellStyle name="표준 5 3 4 3 3 3 2" xfId="10621" xr:uid="{00000000-0005-0000-0000-00000E910000}"/>
    <cellStyle name="표준 5 3 4 3 3 3 2 2" xfId="14733" xr:uid="{00000000-0005-0000-0000-00000F910000}"/>
    <cellStyle name="표준 5 3 4 3 3 3 2 2 2" xfId="31327" xr:uid="{00000000-0005-0000-0000-000010910000}"/>
    <cellStyle name="표준 5 3 4 3 3 3 2 2 3" xfId="39538" xr:uid="{00000000-0005-0000-0000-000011910000}"/>
    <cellStyle name="표준 5 3 4 3 3 3 2 2 4" xfId="47731" xr:uid="{00000000-0005-0000-0000-000012910000}"/>
    <cellStyle name="표준 5 3 4 3 3 3 2 3" xfId="18973" xr:uid="{00000000-0005-0000-0000-000013910000}"/>
    <cellStyle name="표준 5 3 4 3 3 3 2 4" xfId="23135" xr:uid="{00000000-0005-0000-0000-000014910000}"/>
    <cellStyle name="표준 5 3 4 3 3 3 2 5" xfId="27231" xr:uid="{00000000-0005-0000-0000-000015910000}"/>
    <cellStyle name="표준 5 3 4 3 3 3 2 6" xfId="35442" xr:uid="{00000000-0005-0000-0000-000016910000}"/>
    <cellStyle name="표준 5 3 4 3 3 3 2 7" xfId="43635" xr:uid="{00000000-0005-0000-0000-000017910000}"/>
    <cellStyle name="표준 5 3 4 3 3 3 3" xfId="8573" xr:uid="{00000000-0005-0000-0000-000018910000}"/>
    <cellStyle name="표준 5 3 4 3 3 3 3 2" xfId="29279" xr:uid="{00000000-0005-0000-0000-000019910000}"/>
    <cellStyle name="표준 5 3 4 3 3 3 3 3" xfId="37490" xr:uid="{00000000-0005-0000-0000-00001A910000}"/>
    <cellStyle name="표준 5 3 4 3 3 3 3 4" xfId="45683" xr:uid="{00000000-0005-0000-0000-00001B910000}"/>
    <cellStyle name="표준 5 3 4 3 3 3 4" xfId="12685" xr:uid="{00000000-0005-0000-0000-00001C910000}"/>
    <cellStyle name="표준 5 3 4 3 3 3 5" xfId="16925" xr:uid="{00000000-0005-0000-0000-00001D910000}"/>
    <cellStyle name="표준 5 3 4 3 3 3 6" xfId="21087" xr:uid="{00000000-0005-0000-0000-00001E910000}"/>
    <cellStyle name="표준 5 3 4 3 3 3 7" xfId="25183" xr:uid="{00000000-0005-0000-0000-00001F910000}"/>
    <cellStyle name="표준 5 3 4 3 3 3 8" xfId="33394" xr:uid="{00000000-0005-0000-0000-000020910000}"/>
    <cellStyle name="표준 5 3 4 3 3 3 9" xfId="41587" xr:uid="{00000000-0005-0000-0000-000021910000}"/>
    <cellStyle name="표준 5 3 4 3 3 4" xfId="2230" xr:uid="{00000000-0005-0000-0000-000022910000}"/>
    <cellStyle name="표준 5 3 4 3 3 4 2" xfId="11133" xr:uid="{00000000-0005-0000-0000-000023910000}"/>
    <cellStyle name="표준 5 3 4 3 3 4 2 2" xfId="15245" xr:uid="{00000000-0005-0000-0000-000024910000}"/>
    <cellStyle name="표준 5 3 4 3 3 4 2 2 2" xfId="31839" xr:uid="{00000000-0005-0000-0000-000025910000}"/>
    <cellStyle name="표준 5 3 4 3 3 4 2 2 3" xfId="40050" xr:uid="{00000000-0005-0000-0000-000026910000}"/>
    <cellStyle name="표준 5 3 4 3 3 4 2 2 4" xfId="48243" xr:uid="{00000000-0005-0000-0000-000027910000}"/>
    <cellStyle name="표준 5 3 4 3 3 4 2 3" xfId="19485" xr:uid="{00000000-0005-0000-0000-000028910000}"/>
    <cellStyle name="표준 5 3 4 3 3 4 2 4" xfId="23647" xr:uid="{00000000-0005-0000-0000-000029910000}"/>
    <cellStyle name="표준 5 3 4 3 3 4 2 5" xfId="27743" xr:uid="{00000000-0005-0000-0000-00002A910000}"/>
    <cellStyle name="표준 5 3 4 3 3 4 2 6" xfId="35954" xr:uid="{00000000-0005-0000-0000-00002B910000}"/>
    <cellStyle name="표준 5 3 4 3 3 4 2 7" xfId="44147" xr:uid="{00000000-0005-0000-0000-00002C910000}"/>
    <cellStyle name="표준 5 3 4 3 3 4 3" xfId="9085" xr:uid="{00000000-0005-0000-0000-00002D910000}"/>
    <cellStyle name="표준 5 3 4 3 3 4 3 2" xfId="29791" xr:uid="{00000000-0005-0000-0000-00002E910000}"/>
    <cellStyle name="표준 5 3 4 3 3 4 3 3" xfId="38002" xr:uid="{00000000-0005-0000-0000-00002F910000}"/>
    <cellStyle name="표준 5 3 4 3 3 4 3 4" xfId="46195" xr:uid="{00000000-0005-0000-0000-000030910000}"/>
    <cellStyle name="표준 5 3 4 3 3 4 4" xfId="13197" xr:uid="{00000000-0005-0000-0000-000031910000}"/>
    <cellStyle name="표준 5 3 4 3 3 4 5" xfId="17437" xr:uid="{00000000-0005-0000-0000-000032910000}"/>
    <cellStyle name="표준 5 3 4 3 3 4 6" xfId="21599" xr:uid="{00000000-0005-0000-0000-000033910000}"/>
    <cellStyle name="표준 5 3 4 3 3 4 7" xfId="25695" xr:uid="{00000000-0005-0000-0000-000034910000}"/>
    <cellStyle name="표준 5 3 4 3 3 4 8" xfId="33906" xr:uid="{00000000-0005-0000-0000-000035910000}"/>
    <cellStyle name="표준 5 3 4 3 3 4 9" xfId="42099" xr:uid="{00000000-0005-0000-0000-000036910000}"/>
    <cellStyle name="표준 5 3 4 3 3 5" xfId="9597" xr:uid="{00000000-0005-0000-0000-000037910000}"/>
    <cellStyle name="표준 5 3 4 3 3 5 2" xfId="13709" xr:uid="{00000000-0005-0000-0000-000038910000}"/>
    <cellStyle name="표준 5 3 4 3 3 5 2 2" xfId="30303" xr:uid="{00000000-0005-0000-0000-000039910000}"/>
    <cellStyle name="표준 5 3 4 3 3 5 2 3" xfId="38514" xr:uid="{00000000-0005-0000-0000-00003A910000}"/>
    <cellStyle name="표준 5 3 4 3 3 5 2 4" xfId="46707" xr:uid="{00000000-0005-0000-0000-00003B910000}"/>
    <cellStyle name="표준 5 3 4 3 3 5 3" xfId="17949" xr:uid="{00000000-0005-0000-0000-00003C910000}"/>
    <cellStyle name="표준 5 3 4 3 3 5 4" xfId="22111" xr:uid="{00000000-0005-0000-0000-00003D910000}"/>
    <cellStyle name="표준 5 3 4 3 3 5 5" xfId="26207" xr:uid="{00000000-0005-0000-0000-00003E910000}"/>
    <cellStyle name="표준 5 3 4 3 3 5 6" xfId="34418" xr:uid="{00000000-0005-0000-0000-00003F910000}"/>
    <cellStyle name="표준 5 3 4 3 3 5 7" xfId="42611" xr:uid="{00000000-0005-0000-0000-000040910000}"/>
    <cellStyle name="표준 5 3 4 3 3 6" xfId="7549" xr:uid="{00000000-0005-0000-0000-000041910000}"/>
    <cellStyle name="표준 5 3 4 3 3 6 2" xfId="28255" xr:uid="{00000000-0005-0000-0000-000042910000}"/>
    <cellStyle name="표준 5 3 4 3 3 6 3" xfId="36466" xr:uid="{00000000-0005-0000-0000-000043910000}"/>
    <cellStyle name="표준 5 3 4 3 3 6 4" xfId="44659" xr:uid="{00000000-0005-0000-0000-000044910000}"/>
    <cellStyle name="표준 5 3 4 3 3 7" xfId="11661" xr:uid="{00000000-0005-0000-0000-000045910000}"/>
    <cellStyle name="표준 5 3 4 3 3 8" xfId="15901" xr:uid="{00000000-0005-0000-0000-000046910000}"/>
    <cellStyle name="표준 5 3 4 3 3 9" xfId="20063" xr:uid="{00000000-0005-0000-0000-000047910000}"/>
    <cellStyle name="표준 5 3 4 3 4" xfId="950" xr:uid="{00000000-0005-0000-0000-000048910000}"/>
    <cellStyle name="표준 5 3 4 3 4 2" xfId="9853" xr:uid="{00000000-0005-0000-0000-000049910000}"/>
    <cellStyle name="표준 5 3 4 3 4 2 2" xfId="13965" xr:uid="{00000000-0005-0000-0000-00004A910000}"/>
    <cellStyle name="표준 5 3 4 3 4 2 2 2" xfId="30559" xr:uid="{00000000-0005-0000-0000-00004B910000}"/>
    <cellStyle name="표준 5 3 4 3 4 2 2 3" xfId="38770" xr:uid="{00000000-0005-0000-0000-00004C910000}"/>
    <cellStyle name="표준 5 3 4 3 4 2 2 4" xfId="46963" xr:uid="{00000000-0005-0000-0000-00004D910000}"/>
    <cellStyle name="표준 5 3 4 3 4 2 3" xfId="18205" xr:uid="{00000000-0005-0000-0000-00004E910000}"/>
    <cellStyle name="표준 5 3 4 3 4 2 4" xfId="22367" xr:uid="{00000000-0005-0000-0000-00004F910000}"/>
    <cellStyle name="표준 5 3 4 3 4 2 5" xfId="26463" xr:uid="{00000000-0005-0000-0000-000050910000}"/>
    <cellStyle name="표준 5 3 4 3 4 2 6" xfId="34674" xr:uid="{00000000-0005-0000-0000-000051910000}"/>
    <cellStyle name="표준 5 3 4 3 4 2 7" xfId="42867" xr:uid="{00000000-0005-0000-0000-000052910000}"/>
    <cellStyle name="표준 5 3 4 3 4 3" xfId="7805" xr:uid="{00000000-0005-0000-0000-000053910000}"/>
    <cellStyle name="표준 5 3 4 3 4 3 2" xfId="28511" xr:uid="{00000000-0005-0000-0000-000054910000}"/>
    <cellStyle name="표준 5 3 4 3 4 3 3" xfId="36722" xr:uid="{00000000-0005-0000-0000-000055910000}"/>
    <cellStyle name="표준 5 3 4 3 4 3 4" xfId="44915" xr:uid="{00000000-0005-0000-0000-000056910000}"/>
    <cellStyle name="표준 5 3 4 3 4 4" xfId="11917" xr:uid="{00000000-0005-0000-0000-000057910000}"/>
    <cellStyle name="표준 5 3 4 3 4 5" xfId="16157" xr:uid="{00000000-0005-0000-0000-000058910000}"/>
    <cellStyle name="표준 5 3 4 3 4 6" xfId="20319" xr:uid="{00000000-0005-0000-0000-000059910000}"/>
    <cellStyle name="표준 5 3 4 3 4 7" xfId="24415" xr:uid="{00000000-0005-0000-0000-00005A910000}"/>
    <cellStyle name="표준 5 3 4 3 4 8" xfId="32626" xr:uid="{00000000-0005-0000-0000-00005B910000}"/>
    <cellStyle name="표준 5 3 4 3 4 9" xfId="40819" xr:uid="{00000000-0005-0000-0000-00005C910000}"/>
    <cellStyle name="표준 5 3 4 3 5" xfId="1462" xr:uid="{00000000-0005-0000-0000-00005D910000}"/>
    <cellStyle name="표준 5 3 4 3 5 2" xfId="10365" xr:uid="{00000000-0005-0000-0000-00005E910000}"/>
    <cellStyle name="표준 5 3 4 3 5 2 2" xfId="14477" xr:uid="{00000000-0005-0000-0000-00005F910000}"/>
    <cellStyle name="표준 5 3 4 3 5 2 2 2" xfId="31071" xr:uid="{00000000-0005-0000-0000-000060910000}"/>
    <cellStyle name="표준 5 3 4 3 5 2 2 3" xfId="39282" xr:uid="{00000000-0005-0000-0000-000061910000}"/>
    <cellStyle name="표준 5 3 4 3 5 2 2 4" xfId="47475" xr:uid="{00000000-0005-0000-0000-000062910000}"/>
    <cellStyle name="표준 5 3 4 3 5 2 3" xfId="18717" xr:uid="{00000000-0005-0000-0000-000063910000}"/>
    <cellStyle name="표준 5 3 4 3 5 2 4" xfId="22879" xr:uid="{00000000-0005-0000-0000-000064910000}"/>
    <cellStyle name="표준 5 3 4 3 5 2 5" xfId="26975" xr:uid="{00000000-0005-0000-0000-000065910000}"/>
    <cellStyle name="표준 5 3 4 3 5 2 6" xfId="35186" xr:uid="{00000000-0005-0000-0000-000066910000}"/>
    <cellStyle name="표준 5 3 4 3 5 2 7" xfId="43379" xr:uid="{00000000-0005-0000-0000-000067910000}"/>
    <cellStyle name="표준 5 3 4 3 5 3" xfId="8317" xr:uid="{00000000-0005-0000-0000-000068910000}"/>
    <cellStyle name="표준 5 3 4 3 5 3 2" xfId="29023" xr:uid="{00000000-0005-0000-0000-000069910000}"/>
    <cellStyle name="표준 5 3 4 3 5 3 3" xfId="37234" xr:uid="{00000000-0005-0000-0000-00006A910000}"/>
    <cellStyle name="표준 5 3 4 3 5 3 4" xfId="45427" xr:uid="{00000000-0005-0000-0000-00006B910000}"/>
    <cellStyle name="표준 5 3 4 3 5 4" xfId="12429" xr:uid="{00000000-0005-0000-0000-00006C910000}"/>
    <cellStyle name="표준 5 3 4 3 5 5" xfId="16669" xr:uid="{00000000-0005-0000-0000-00006D910000}"/>
    <cellStyle name="표준 5 3 4 3 5 6" xfId="20831" xr:uid="{00000000-0005-0000-0000-00006E910000}"/>
    <cellStyle name="표준 5 3 4 3 5 7" xfId="24927" xr:uid="{00000000-0005-0000-0000-00006F910000}"/>
    <cellStyle name="표준 5 3 4 3 5 8" xfId="33138" xr:uid="{00000000-0005-0000-0000-000070910000}"/>
    <cellStyle name="표준 5 3 4 3 5 9" xfId="41331" xr:uid="{00000000-0005-0000-0000-000071910000}"/>
    <cellStyle name="표준 5 3 4 3 6" xfId="1974" xr:uid="{00000000-0005-0000-0000-000072910000}"/>
    <cellStyle name="표준 5 3 4 3 6 2" xfId="10877" xr:uid="{00000000-0005-0000-0000-000073910000}"/>
    <cellStyle name="표준 5 3 4 3 6 2 2" xfId="14989" xr:uid="{00000000-0005-0000-0000-000074910000}"/>
    <cellStyle name="표준 5 3 4 3 6 2 2 2" xfId="31583" xr:uid="{00000000-0005-0000-0000-000075910000}"/>
    <cellStyle name="표준 5 3 4 3 6 2 2 3" xfId="39794" xr:uid="{00000000-0005-0000-0000-000076910000}"/>
    <cellStyle name="표준 5 3 4 3 6 2 2 4" xfId="47987" xr:uid="{00000000-0005-0000-0000-000077910000}"/>
    <cellStyle name="표준 5 3 4 3 6 2 3" xfId="19229" xr:uid="{00000000-0005-0000-0000-000078910000}"/>
    <cellStyle name="표준 5 3 4 3 6 2 4" xfId="23391" xr:uid="{00000000-0005-0000-0000-000079910000}"/>
    <cellStyle name="표준 5 3 4 3 6 2 5" xfId="27487" xr:uid="{00000000-0005-0000-0000-00007A910000}"/>
    <cellStyle name="표준 5 3 4 3 6 2 6" xfId="35698" xr:uid="{00000000-0005-0000-0000-00007B910000}"/>
    <cellStyle name="표준 5 3 4 3 6 2 7" xfId="43891" xr:uid="{00000000-0005-0000-0000-00007C910000}"/>
    <cellStyle name="표준 5 3 4 3 6 3" xfId="8829" xr:uid="{00000000-0005-0000-0000-00007D910000}"/>
    <cellStyle name="표준 5 3 4 3 6 3 2" xfId="29535" xr:uid="{00000000-0005-0000-0000-00007E910000}"/>
    <cellStyle name="표준 5 3 4 3 6 3 3" xfId="37746" xr:uid="{00000000-0005-0000-0000-00007F910000}"/>
    <cellStyle name="표준 5 3 4 3 6 3 4" xfId="45939" xr:uid="{00000000-0005-0000-0000-000080910000}"/>
    <cellStyle name="표준 5 3 4 3 6 4" xfId="12941" xr:uid="{00000000-0005-0000-0000-000081910000}"/>
    <cellStyle name="표준 5 3 4 3 6 5" xfId="17181" xr:uid="{00000000-0005-0000-0000-000082910000}"/>
    <cellStyle name="표준 5 3 4 3 6 6" xfId="21343" xr:uid="{00000000-0005-0000-0000-000083910000}"/>
    <cellStyle name="표준 5 3 4 3 6 7" xfId="25439" xr:uid="{00000000-0005-0000-0000-000084910000}"/>
    <cellStyle name="표준 5 3 4 3 6 8" xfId="33650" xr:uid="{00000000-0005-0000-0000-000085910000}"/>
    <cellStyle name="표준 5 3 4 3 6 9" xfId="41843" xr:uid="{00000000-0005-0000-0000-000086910000}"/>
    <cellStyle name="표준 5 3 4 3 7" xfId="9341" xr:uid="{00000000-0005-0000-0000-000087910000}"/>
    <cellStyle name="표준 5 3 4 3 7 2" xfId="13453" xr:uid="{00000000-0005-0000-0000-000088910000}"/>
    <cellStyle name="표준 5 3 4 3 7 2 2" xfId="30047" xr:uid="{00000000-0005-0000-0000-000089910000}"/>
    <cellStyle name="표준 5 3 4 3 7 2 3" xfId="38258" xr:uid="{00000000-0005-0000-0000-00008A910000}"/>
    <cellStyle name="표준 5 3 4 3 7 2 4" xfId="46451" xr:uid="{00000000-0005-0000-0000-00008B910000}"/>
    <cellStyle name="표준 5 3 4 3 7 3" xfId="17693" xr:uid="{00000000-0005-0000-0000-00008C910000}"/>
    <cellStyle name="표준 5 3 4 3 7 4" xfId="21855" xr:uid="{00000000-0005-0000-0000-00008D910000}"/>
    <cellStyle name="표준 5 3 4 3 7 5" xfId="25951" xr:uid="{00000000-0005-0000-0000-00008E910000}"/>
    <cellStyle name="표준 5 3 4 3 7 6" xfId="34162" xr:uid="{00000000-0005-0000-0000-00008F910000}"/>
    <cellStyle name="표준 5 3 4 3 7 7" xfId="42355" xr:uid="{00000000-0005-0000-0000-000090910000}"/>
    <cellStyle name="표준 5 3 4 3 8" xfId="7293" xr:uid="{00000000-0005-0000-0000-000091910000}"/>
    <cellStyle name="표준 5 3 4 3 8 2" xfId="27999" xr:uid="{00000000-0005-0000-0000-000092910000}"/>
    <cellStyle name="표준 5 3 4 3 8 3" xfId="36210" xr:uid="{00000000-0005-0000-0000-000093910000}"/>
    <cellStyle name="표준 5 3 4 3 8 4" xfId="44403" xr:uid="{00000000-0005-0000-0000-000094910000}"/>
    <cellStyle name="표준 5 3 4 3 9" xfId="11405" xr:uid="{00000000-0005-0000-0000-000095910000}"/>
    <cellStyle name="표준 5 3 4 4" xfId="502" xr:uid="{00000000-0005-0000-0000-000096910000}"/>
    <cellStyle name="표준 5 3 4 4 10" xfId="19871" xr:uid="{00000000-0005-0000-0000-000097910000}"/>
    <cellStyle name="표준 5 3 4 4 11" xfId="23967" xr:uid="{00000000-0005-0000-0000-000098910000}"/>
    <cellStyle name="표준 5 3 4 4 12" xfId="32178" xr:uid="{00000000-0005-0000-0000-000099910000}"/>
    <cellStyle name="표준 5 3 4 4 13" xfId="40371" xr:uid="{00000000-0005-0000-0000-00009A910000}"/>
    <cellStyle name="표준 5 3 4 4 2" xfId="758" xr:uid="{00000000-0005-0000-0000-00009B910000}"/>
    <cellStyle name="표준 5 3 4 4 2 10" xfId="24223" xr:uid="{00000000-0005-0000-0000-00009C910000}"/>
    <cellStyle name="표준 5 3 4 4 2 11" xfId="32434" xr:uid="{00000000-0005-0000-0000-00009D910000}"/>
    <cellStyle name="표준 5 3 4 4 2 12" xfId="40627" xr:uid="{00000000-0005-0000-0000-00009E910000}"/>
    <cellStyle name="표준 5 3 4 4 2 2" xfId="1270" xr:uid="{00000000-0005-0000-0000-00009F910000}"/>
    <cellStyle name="표준 5 3 4 4 2 2 2" xfId="10173" xr:uid="{00000000-0005-0000-0000-0000A0910000}"/>
    <cellStyle name="표준 5 3 4 4 2 2 2 2" xfId="14285" xr:uid="{00000000-0005-0000-0000-0000A1910000}"/>
    <cellStyle name="표준 5 3 4 4 2 2 2 2 2" xfId="30879" xr:uid="{00000000-0005-0000-0000-0000A2910000}"/>
    <cellStyle name="표준 5 3 4 4 2 2 2 2 3" xfId="39090" xr:uid="{00000000-0005-0000-0000-0000A3910000}"/>
    <cellStyle name="표준 5 3 4 4 2 2 2 2 4" xfId="47283" xr:uid="{00000000-0005-0000-0000-0000A4910000}"/>
    <cellStyle name="표준 5 3 4 4 2 2 2 3" xfId="18525" xr:uid="{00000000-0005-0000-0000-0000A5910000}"/>
    <cellStyle name="표준 5 3 4 4 2 2 2 4" xfId="22687" xr:uid="{00000000-0005-0000-0000-0000A6910000}"/>
    <cellStyle name="표준 5 3 4 4 2 2 2 5" xfId="26783" xr:uid="{00000000-0005-0000-0000-0000A7910000}"/>
    <cellStyle name="표준 5 3 4 4 2 2 2 6" xfId="34994" xr:uid="{00000000-0005-0000-0000-0000A8910000}"/>
    <cellStyle name="표준 5 3 4 4 2 2 2 7" xfId="43187" xr:uid="{00000000-0005-0000-0000-0000A9910000}"/>
    <cellStyle name="표준 5 3 4 4 2 2 3" xfId="8125" xr:uid="{00000000-0005-0000-0000-0000AA910000}"/>
    <cellStyle name="표준 5 3 4 4 2 2 3 2" xfId="28831" xr:uid="{00000000-0005-0000-0000-0000AB910000}"/>
    <cellStyle name="표준 5 3 4 4 2 2 3 3" xfId="37042" xr:uid="{00000000-0005-0000-0000-0000AC910000}"/>
    <cellStyle name="표준 5 3 4 4 2 2 3 4" xfId="45235" xr:uid="{00000000-0005-0000-0000-0000AD910000}"/>
    <cellStyle name="표준 5 3 4 4 2 2 4" xfId="12237" xr:uid="{00000000-0005-0000-0000-0000AE910000}"/>
    <cellStyle name="표준 5 3 4 4 2 2 5" xfId="16477" xr:uid="{00000000-0005-0000-0000-0000AF910000}"/>
    <cellStyle name="표준 5 3 4 4 2 2 6" xfId="20639" xr:uid="{00000000-0005-0000-0000-0000B0910000}"/>
    <cellStyle name="표준 5 3 4 4 2 2 7" xfId="24735" xr:uid="{00000000-0005-0000-0000-0000B1910000}"/>
    <cellStyle name="표준 5 3 4 4 2 2 8" xfId="32946" xr:uid="{00000000-0005-0000-0000-0000B2910000}"/>
    <cellStyle name="표준 5 3 4 4 2 2 9" xfId="41139" xr:uid="{00000000-0005-0000-0000-0000B3910000}"/>
    <cellStyle name="표준 5 3 4 4 2 3" xfId="1782" xr:uid="{00000000-0005-0000-0000-0000B4910000}"/>
    <cellStyle name="표준 5 3 4 4 2 3 2" xfId="10685" xr:uid="{00000000-0005-0000-0000-0000B5910000}"/>
    <cellStyle name="표준 5 3 4 4 2 3 2 2" xfId="14797" xr:uid="{00000000-0005-0000-0000-0000B6910000}"/>
    <cellStyle name="표준 5 3 4 4 2 3 2 2 2" xfId="31391" xr:uid="{00000000-0005-0000-0000-0000B7910000}"/>
    <cellStyle name="표준 5 3 4 4 2 3 2 2 3" xfId="39602" xr:uid="{00000000-0005-0000-0000-0000B8910000}"/>
    <cellStyle name="표준 5 3 4 4 2 3 2 2 4" xfId="47795" xr:uid="{00000000-0005-0000-0000-0000B9910000}"/>
    <cellStyle name="표준 5 3 4 4 2 3 2 3" xfId="19037" xr:uid="{00000000-0005-0000-0000-0000BA910000}"/>
    <cellStyle name="표준 5 3 4 4 2 3 2 4" xfId="23199" xr:uid="{00000000-0005-0000-0000-0000BB910000}"/>
    <cellStyle name="표준 5 3 4 4 2 3 2 5" xfId="27295" xr:uid="{00000000-0005-0000-0000-0000BC910000}"/>
    <cellStyle name="표준 5 3 4 4 2 3 2 6" xfId="35506" xr:uid="{00000000-0005-0000-0000-0000BD910000}"/>
    <cellStyle name="표준 5 3 4 4 2 3 2 7" xfId="43699" xr:uid="{00000000-0005-0000-0000-0000BE910000}"/>
    <cellStyle name="표준 5 3 4 4 2 3 3" xfId="8637" xr:uid="{00000000-0005-0000-0000-0000BF910000}"/>
    <cellStyle name="표준 5 3 4 4 2 3 3 2" xfId="29343" xr:uid="{00000000-0005-0000-0000-0000C0910000}"/>
    <cellStyle name="표준 5 3 4 4 2 3 3 3" xfId="37554" xr:uid="{00000000-0005-0000-0000-0000C1910000}"/>
    <cellStyle name="표준 5 3 4 4 2 3 3 4" xfId="45747" xr:uid="{00000000-0005-0000-0000-0000C2910000}"/>
    <cellStyle name="표준 5 3 4 4 2 3 4" xfId="12749" xr:uid="{00000000-0005-0000-0000-0000C3910000}"/>
    <cellStyle name="표준 5 3 4 4 2 3 5" xfId="16989" xr:uid="{00000000-0005-0000-0000-0000C4910000}"/>
    <cellStyle name="표준 5 3 4 4 2 3 6" xfId="21151" xr:uid="{00000000-0005-0000-0000-0000C5910000}"/>
    <cellStyle name="표준 5 3 4 4 2 3 7" xfId="25247" xr:uid="{00000000-0005-0000-0000-0000C6910000}"/>
    <cellStyle name="표준 5 3 4 4 2 3 8" xfId="33458" xr:uid="{00000000-0005-0000-0000-0000C7910000}"/>
    <cellStyle name="표준 5 3 4 4 2 3 9" xfId="41651" xr:uid="{00000000-0005-0000-0000-0000C8910000}"/>
    <cellStyle name="표준 5 3 4 4 2 4" xfId="2294" xr:uid="{00000000-0005-0000-0000-0000C9910000}"/>
    <cellStyle name="표준 5 3 4 4 2 4 2" xfId="11197" xr:uid="{00000000-0005-0000-0000-0000CA910000}"/>
    <cellStyle name="표준 5 3 4 4 2 4 2 2" xfId="15309" xr:uid="{00000000-0005-0000-0000-0000CB910000}"/>
    <cellStyle name="표준 5 3 4 4 2 4 2 2 2" xfId="31903" xr:uid="{00000000-0005-0000-0000-0000CC910000}"/>
    <cellStyle name="표준 5 3 4 4 2 4 2 2 3" xfId="40114" xr:uid="{00000000-0005-0000-0000-0000CD910000}"/>
    <cellStyle name="표준 5 3 4 4 2 4 2 2 4" xfId="48307" xr:uid="{00000000-0005-0000-0000-0000CE910000}"/>
    <cellStyle name="표준 5 3 4 4 2 4 2 3" xfId="19549" xr:uid="{00000000-0005-0000-0000-0000CF910000}"/>
    <cellStyle name="표준 5 3 4 4 2 4 2 4" xfId="23711" xr:uid="{00000000-0005-0000-0000-0000D0910000}"/>
    <cellStyle name="표준 5 3 4 4 2 4 2 5" xfId="27807" xr:uid="{00000000-0005-0000-0000-0000D1910000}"/>
    <cellStyle name="표준 5 3 4 4 2 4 2 6" xfId="36018" xr:uid="{00000000-0005-0000-0000-0000D2910000}"/>
    <cellStyle name="표준 5 3 4 4 2 4 2 7" xfId="44211" xr:uid="{00000000-0005-0000-0000-0000D3910000}"/>
    <cellStyle name="표준 5 3 4 4 2 4 3" xfId="9149" xr:uid="{00000000-0005-0000-0000-0000D4910000}"/>
    <cellStyle name="표준 5 3 4 4 2 4 3 2" xfId="29855" xr:uid="{00000000-0005-0000-0000-0000D5910000}"/>
    <cellStyle name="표준 5 3 4 4 2 4 3 3" xfId="38066" xr:uid="{00000000-0005-0000-0000-0000D6910000}"/>
    <cellStyle name="표준 5 3 4 4 2 4 3 4" xfId="46259" xr:uid="{00000000-0005-0000-0000-0000D7910000}"/>
    <cellStyle name="표준 5 3 4 4 2 4 4" xfId="13261" xr:uid="{00000000-0005-0000-0000-0000D8910000}"/>
    <cellStyle name="표준 5 3 4 4 2 4 5" xfId="17501" xr:uid="{00000000-0005-0000-0000-0000D9910000}"/>
    <cellStyle name="표준 5 3 4 4 2 4 6" xfId="21663" xr:uid="{00000000-0005-0000-0000-0000DA910000}"/>
    <cellStyle name="표준 5 3 4 4 2 4 7" xfId="25759" xr:uid="{00000000-0005-0000-0000-0000DB910000}"/>
    <cellStyle name="표준 5 3 4 4 2 4 8" xfId="33970" xr:uid="{00000000-0005-0000-0000-0000DC910000}"/>
    <cellStyle name="표준 5 3 4 4 2 4 9" xfId="42163" xr:uid="{00000000-0005-0000-0000-0000DD910000}"/>
    <cellStyle name="표준 5 3 4 4 2 5" xfId="9661" xr:uid="{00000000-0005-0000-0000-0000DE910000}"/>
    <cellStyle name="표준 5 3 4 4 2 5 2" xfId="13773" xr:uid="{00000000-0005-0000-0000-0000DF910000}"/>
    <cellStyle name="표준 5 3 4 4 2 5 2 2" xfId="30367" xr:uid="{00000000-0005-0000-0000-0000E0910000}"/>
    <cellStyle name="표준 5 3 4 4 2 5 2 3" xfId="38578" xr:uid="{00000000-0005-0000-0000-0000E1910000}"/>
    <cellStyle name="표준 5 3 4 4 2 5 2 4" xfId="46771" xr:uid="{00000000-0005-0000-0000-0000E2910000}"/>
    <cellStyle name="표준 5 3 4 4 2 5 3" xfId="18013" xr:uid="{00000000-0005-0000-0000-0000E3910000}"/>
    <cellStyle name="표준 5 3 4 4 2 5 4" xfId="22175" xr:uid="{00000000-0005-0000-0000-0000E4910000}"/>
    <cellStyle name="표준 5 3 4 4 2 5 5" xfId="26271" xr:uid="{00000000-0005-0000-0000-0000E5910000}"/>
    <cellStyle name="표준 5 3 4 4 2 5 6" xfId="34482" xr:uid="{00000000-0005-0000-0000-0000E6910000}"/>
    <cellStyle name="표준 5 3 4 4 2 5 7" xfId="42675" xr:uid="{00000000-0005-0000-0000-0000E7910000}"/>
    <cellStyle name="표준 5 3 4 4 2 6" xfId="7613" xr:uid="{00000000-0005-0000-0000-0000E8910000}"/>
    <cellStyle name="표준 5 3 4 4 2 6 2" xfId="28319" xr:uid="{00000000-0005-0000-0000-0000E9910000}"/>
    <cellStyle name="표준 5 3 4 4 2 6 3" xfId="36530" xr:uid="{00000000-0005-0000-0000-0000EA910000}"/>
    <cellStyle name="표준 5 3 4 4 2 6 4" xfId="44723" xr:uid="{00000000-0005-0000-0000-0000EB910000}"/>
    <cellStyle name="표준 5 3 4 4 2 7" xfId="11725" xr:uid="{00000000-0005-0000-0000-0000EC910000}"/>
    <cellStyle name="표준 5 3 4 4 2 8" xfId="15965" xr:uid="{00000000-0005-0000-0000-0000ED910000}"/>
    <cellStyle name="표준 5 3 4 4 2 9" xfId="20127" xr:uid="{00000000-0005-0000-0000-0000EE910000}"/>
    <cellStyle name="표준 5 3 4 4 3" xfId="1014" xr:uid="{00000000-0005-0000-0000-0000EF910000}"/>
    <cellStyle name="표준 5 3 4 4 3 2" xfId="9917" xr:uid="{00000000-0005-0000-0000-0000F0910000}"/>
    <cellStyle name="표준 5 3 4 4 3 2 2" xfId="14029" xr:uid="{00000000-0005-0000-0000-0000F1910000}"/>
    <cellStyle name="표준 5 3 4 4 3 2 2 2" xfId="30623" xr:uid="{00000000-0005-0000-0000-0000F2910000}"/>
    <cellStyle name="표준 5 3 4 4 3 2 2 3" xfId="38834" xr:uid="{00000000-0005-0000-0000-0000F3910000}"/>
    <cellStyle name="표준 5 3 4 4 3 2 2 4" xfId="47027" xr:uid="{00000000-0005-0000-0000-0000F4910000}"/>
    <cellStyle name="표준 5 3 4 4 3 2 3" xfId="18269" xr:uid="{00000000-0005-0000-0000-0000F5910000}"/>
    <cellStyle name="표준 5 3 4 4 3 2 4" xfId="22431" xr:uid="{00000000-0005-0000-0000-0000F6910000}"/>
    <cellStyle name="표준 5 3 4 4 3 2 5" xfId="26527" xr:uid="{00000000-0005-0000-0000-0000F7910000}"/>
    <cellStyle name="표준 5 3 4 4 3 2 6" xfId="34738" xr:uid="{00000000-0005-0000-0000-0000F8910000}"/>
    <cellStyle name="표준 5 3 4 4 3 2 7" xfId="42931" xr:uid="{00000000-0005-0000-0000-0000F9910000}"/>
    <cellStyle name="표준 5 3 4 4 3 3" xfId="7869" xr:uid="{00000000-0005-0000-0000-0000FA910000}"/>
    <cellStyle name="표준 5 3 4 4 3 3 2" xfId="28575" xr:uid="{00000000-0005-0000-0000-0000FB910000}"/>
    <cellStyle name="표준 5 3 4 4 3 3 3" xfId="36786" xr:uid="{00000000-0005-0000-0000-0000FC910000}"/>
    <cellStyle name="표준 5 3 4 4 3 3 4" xfId="44979" xr:uid="{00000000-0005-0000-0000-0000FD910000}"/>
    <cellStyle name="표준 5 3 4 4 3 4" xfId="11981" xr:uid="{00000000-0005-0000-0000-0000FE910000}"/>
    <cellStyle name="표준 5 3 4 4 3 5" xfId="16221" xr:uid="{00000000-0005-0000-0000-0000FF910000}"/>
    <cellStyle name="표준 5 3 4 4 3 6" xfId="20383" xr:uid="{00000000-0005-0000-0000-000000920000}"/>
    <cellStyle name="표준 5 3 4 4 3 7" xfId="24479" xr:uid="{00000000-0005-0000-0000-000001920000}"/>
    <cellStyle name="표준 5 3 4 4 3 8" xfId="32690" xr:uid="{00000000-0005-0000-0000-000002920000}"/>
    <cellStyle name="표준 5 3 4 4 3 9" xfId="40883" xr:uid="{00000000-0005-0000-0000-000003920000}"/>
    <cellStyle name="표준 5 3 4 4 4" xfId="1526" xr:uid="{00000000-0005-0000-0000-000004920000}"/>
    <cellStyle name="표준 5 3 4 4 4 2" xfId="10429" xr:uid="{00000000-0005-0000-0000-000005920000}"/>
    <cellStyle name="표준 5 3 4 4 4 2 2" xfId="14541" xr:uid="{00000000-0005-0000-0000-000006920000}"/>
    <cellStyle name="표준 5 3 4 4 4 2 2 2" xfId="31135" xr:uid="{00000000-0005-0000-0000-000007920000}"/>
    <cellStyle name="표준 5 3 4 4 4 2 2 3" xfId="39346" xr:uid="{00000000-0005-0000-0000-000008920000}"/>
    <cellStyle name="표준 5 3 4 4 4 2 2 4" xfId="47539" xr:uid="{00000000-0005-0000-0000-000009920000}"/>
    <cellStyle name="표준 5 3 4 4 4 2 3" xfId="18781" xr:uid="{00000000-0005-0000-0000-00000A920000}"/>
    <cellStyle name="표준 5 3 4 4 4 2 4" xfId="22943" xr:uid="{00000000-0005-0000-0000-00000B920000}"/>
    <cellStyle name="표준 5 3 4 4 4 2 5" xfId="27039" xr:uid="{00000000-0005-0000-0000-00000C920000}"/>
    <cellStyle name="표준 5 3 4 4 4 2 6" xfId="35250" xr:uid="{00000000-0005-0000-0000-00000D920000}"/>
    <cellStyle name="표준 5 3 4 4 4 2 7" xfId="43443" xr:uid="{00000000-0005-0000-0000-00000E920000}"/>
    <cellStyle name="표준 5 3 4 4 4 3" xfId="8381" xr:uid="{00000000-0005-0000-0000-00000F920000}"/>
    <cellStyle name="표준 5 3 4 4 4 3 2" xfId="29087" xr:uid="{00000000-0005-0000-0000-000010920000}"/>
    <cellStyle name="표준 5 3 4 4 4 3 3" xfId="37298" xr:uid="{00000000-0005-0000-0000-000011920000}"/>
    <cellStyle name="표준 5 3 4 4 4 3 4" xfId="45491" xr:uid="{00000000-0005-0000-0000-000012920000}"/>
    <cellStyle name="표준 5 3 4 4 4 4" xfId="12493" xr:uid="{00000000-0005-0000-0000-000013920000}"/>
    <cellStyle name="표준 5 3 4 4 4 5" xfId="16733" xr:uid="{00000000-0005-0000-0000-000014920000}"/>
    <cellStyle name="표준 5 3 4 4 4 6" xfId="20895" xr:uid="{00000000-0005-0000-0000-000015920000}"/>
    <cellStyle name="표준 5 3 4 4 4 7" xfId="24991" xr:uid="{00000000-0005-0000-0000-000016920000}"/>
    <cellStyle name="표준 5 3 4 4 4 8" xfId="33202" xr:uid="{00000000-0005-0000-0000-000017920000}"/>
    <cellStyle name="표준 5 3 4 4 4 9" xfId="41395" xr:uid="{00000000-0005-0000-0000-000018920000}"/>
    <cellStyle name="표준 5 3 4 4 5" xfId="2038" xr:uid="{00000000-0005-0000-0000-000019920000}"/>
    <cellStyle name="표준 5 3 4 4 5 2" xfId="10941" xr:uid="{00000000-0005-0000-0000-00001A920000}"/>
    <cellStyle name="표준 5 3 4 4 5 2 2" xfId="15053" xr:uid="{00000000-0005-0000-0000-00001B920000}"/>
    <cellStyle name="표준 5 3 4 4 5 2 2 2" xfId="31647" xr:uid="{00000000-0005-0000-0000-00001C920000}"/>
    <cellStyle name="표준 5 3 4 4 5 2 2 3" xfId="39858" xr:uid="{00000000-0005-0000-0000-00001D920000}"/>
    <cellStyle name="표준 5 3 4 4 5 2 2 4" xfId="48051" xr:uid="{00000000-0005-0000-0000-00001E920000}"/>
    <cellStyle name="표준 5 3 4 4 5 2 3" xfId="19293" xr:uid="{00000000-0005-0000-0000-00001F920000}"/>
    <cellStyle name="표준 5 3 4 4 5 2 4" xfId="23455" xr:uid="{00000000-0005-0000-0000-000020920000}"/>
    <cellStyle name="표준 5 3 4 4 5 2 5" xfId="27551" xr:uid="{00000000-0005-0000-0000-000021920000}"/>
    <cellStyle name="표준 5 3 4 4 5 2 6" xfId="35762" xr:uid="{00000000-0005-0000-0000-000022920000}"/>
    <cellStyle name="표준 5 3 4 4 5 2 7" xfId="43955" xr:uid="{00000000-0005-0000-0000-000023920000}"/>
    <cellStyle name="표준 5 3 4 4 5 3" xfId="8893" xr:uid="{00000000-0005-0000-0000-000024920000}"/>
    <cellStyle name="표준 5 3 4 4 5 3 2" xfId="29599" xr:uid="{00000000-0005-0000-0000-000025920000}"/>
    <cellStyle name="표준 5 3 4 4 5 3 3" xfId="37810" xr:uid="{00000000-0005-0000-0000-000026920000}"/>
    <cellStyle name="표준 5 3 4 4 5 3 4" xfId="46003" xr:uid="{00000000-0005-0000-0000-000027920000}"/>
    <cellStyle name="표준 5 3 4 4 5 4" xfId="13005" xr:uid="{00000000-0005-0000-0000-000028920000}"/>
    <cellStyle name="표준 5 3 4 4 5 5" xfId="17245" xr:uid="{00000000-0005-0000-0000-000029920000}"/>
    <cellStyle name="표준 5 3 4 4 5 6" xfId="21407" xr:uid="{00000000-0005-0000-0000-00002A920000}"/>
    <cellStyle name="표준 5 3 4 4 5 7" xfId="25503" xr:uid="{00000000-0005-0000-0000-00002B920000}"/>
    <cellStyle name="표준 5 3 4 4 5 8" xfId="33714" xr:uid="{00000000-0005-0000-0000-00002C920000}"/>
    <cellStyle name="표준 5 3 4 4 5 9" xfId="41907" xr:uid="{00000000-0005-0000-0000-00002D920000}"/>
    <cellStyle name="표준 5 3 4 4 6" xfId="9405" xr:uid="{00000000-0005-0000-0000-00002E920000}"/>
    <cellStyle name="표준 5 3 4 4 6 2" xfId="13517" xr:uid="{00000000-0005-0000-0000-00002F920000}"/>
    <cellStyle name="표준 5 3 4 4 6 2 2" xfId="30111" xr:uid="{00000000-0005-0000-0000-000030920000}"/>
    <cellStyle name="표준 5 3 4 4 6 2 3" xfId="38322" xr:uid="{00000000-0005-0000-0000-000031920000}"/>
    <cellStyle name="표준 5 3 4 4 6 2 4" xfId="46515" xr:uid="{00000000-0005-0000-0000-000032920000}"/>
    <cellStyle name="표준 5 3 4 4 6 3" xfId="17757" xr:uid="{00000000-0005-0000-0000-000033920000}"/>
    <cellStyle name="표준 5 3 4 4 6 4" xfId="21919" xr:uid="{00000000-0005-0000-0000-000034920000}"/>
    <cellStyle name="표준 5 3 4 4 6 5" xfId="26015" xr:uid="{00000000-0005-0000-0000-000035920000}"/>
    <cellStyle name="표준 5 3 4 4 6 6" xfId="34226" xr:uid="{00000000-0005-0000-0000-000036920000}"/>
    <cellStyle name="표준 5 3 4 4 6 7" xfId="42419" xr:uid="{00000000-0005-0000-0000-000037920000}"/>
    <cellStyle name="표준 5 3 4 4 7" xfId="7357" xr:uid="{00000000-0005-0000-0000-000038920000}"/>
    <cellStyle name="표준 5 3 4 4 7 2" xfId="28063" xr:uid="{00000000-0005-0000-0000-000039920000}"/>
    <cellStyle name="표준 5 3 4 4 7 3" xfId="36274" xr:uid="{00000000-0005-0000-0000-00003A920000}"/>
    <cellStyle name="표준 5 3 4 4 7 4" xfId="44467" xr:uid="{00000000-0005-0000-0000-00003B920000}"/>
    <cellStyle name="표준 5 3 4 4 8" xfId="11469" xr:uid="{00000000-0005-0000-0000-00003C920000}"/>
    <cellStyle name="표준 5 3 4 4 9" xfId="15709" xr:uid="{00000000-0005-0000-0000-00003D920000}"/>
    <cellStyle name="표준 5 3 4 5" xfId="630" xr:uid="{00000000-0005-0000-0000-00003E920000}"/>
    <cellStyle name="표준 5 3 4 5 10" xfId="24095" xr:uid="{00000000-0005-0000-0000-00003F920000}"/>
    <cellStyle name="표준 5 3 4 5 11" xfId="32306" xr:uid="{00000000-0005-0000-0000-000040920000}"/>
    <cellStyle name="표준 5 3 4 5 12" xfId="40499" xr:uid="{00000000-0005-0000-0000-000041920000}"/>
    <cellStyle name="표준 5 3 4 5 2" xfId="1142" xr:uid="{00000000-0005-0000-0000-000042920000}"/>
    <cellStyle name="표준 5 3 4 5 2 2" xfId="10045" xr:uid="{00000000-0005-0000-0000-000043920000}"/>
    <cellStyle name="표준 5 3 4 5 2 2 2" xfId="14157" xr:uid="{00000000-0005-0000-0000-000044920000}"/>
    <cellStyle name="표준 5 3 4 5 2 2 2 2" xfId="30751" xr:uid="{00000000-0005-0000-0000-000045920000}"/>
    <cellStyle name="표준 5 3 4 5 2 2 2 3" xfId="38962" xr:uid="{00000000-0005-0000-0000-000046920000}"/>
    <cellStyle name="표준 5 3 4 5 2 2 2 4" xfId="47155" xr:uid="{00000000-0005-0000-0000-000047920000}"/>
    <cellStyle name="표준 5 3 4 5 2 2 3" xfId="18397" xr:uid="{00000000-0005-0000-0000-000048920000}"/>
    <cellStyle name="표준 5 3 4 5 2 2 4" xfId="22559" xr:uid="{00000000-0005-0000-0000-000049920000}"/>
    <cellStyle name="표준 5 3 4 5 2 2 5" xfId="26655" xr:uid="{00000000-0005-0000-0000-00004A920000}"/>
    <cellStyle name="표준 5 3 4 5 2 2 6" xfId="34866" xr:uid="{00000000-0005-0000-0000-00004B920000}"/>
    <cellStyle name="표준 5 3 4 5 2 2 7" xfId="43059" xr:uid="{00000000-0005-0000-0000-00004C920000}"/>
    <cellStyle name="표준 5 3 4 5 2 3" xfId="7997" xr:uid="{00000000-0005-0000-0000-00004D920000}"/>
    <cellStyle name="표준 5 3 4 5 2 3 2" xfId="28703" xr:uid="{00000000-0005-0000-0000-00004E920000}"/>
    <cellStyle name="표준 5 3 4 5 2 3 3" xfId="36914" xr:uid="{00000000-0005-0000-0000-00004F920000}"/>
    <cellStyle name="표준 5 3 4 5 2 3 4" xfId="45107" xr:uid="{00000000-0005-0000-0000-000050920000}"/>
    <cellStyle name="표준 5 3 4 5 2 4" xfId="12109" xr:uid="{00000000-0005-0000-0000-000051920000}"/>
    <cellStyle name="표준 5 3 4 5 2 5" xfId="16349" xr:uid="{00000000-0005-0000-0000-000052920000}"/>
    <cellStyle name="표준 5 3 4 5 2 6" xfId="20511" xr:uid="{00000000-0005-0000-0000-000053920000}"/>
    <cellStyle name="표준 5 3 4 5 2 7" xfId="24607" xr:uid="{00000000-0005-0000-0000-000054920000}"/>
    <cellStyle name="표준 5 3 4 5 2 8" xfId="32818" xr:uid="{00000000-0005-0000-0000-000055920000}"/>
    <cellStyle name="표준 5 3 4 5 2 9" xfId="41011" xr:uid="{00000000-0005-0000-0000-000056920000}"/>
    <cellStyle name="표준 5 3 4 5 3" xfId="1654" xr:uid="{00000000-0005-0000-0000-000057920000}"/>
    <cellStyle name="표준 5 3 4 5 3 2" xfId="10557" xr:uid="{00000000-0005-0000-0000-000058920000}"/>
    <cellStyle name="표준 5 3 4 5 3 2 2" xfId="14669" xr:uid="{00000000-0005-0000-0000-000059920000}"/>
    <cellStyle name="표준 5 3 4 5 3 2 2 2" xfId="31263" xr:uid="{00000000-0005-0000-0000-00005A920000}"/>
    <cellStyle name="표준 5 3 4 5 3 2 2 3" xfId="39474" xr:uid="{00000000-0005-0000-0000-00005B920000}"/>
    <cellStyle name="표준 5 3 4 5 3 2 2 4" xfId="47667" xr:uid="{00000000-0005-0000-0000-00005C920000}"/>
    <cellStyle name="표준 5 3 4 5 3 2 3" xfId="18909" xr:uid="{00000000-0005-0000-0000-00005D920000}"/>
    <cellStyle name="표준 5 3 4 5 3 2 4" xfId="23071" xr:uid="{00000000-0005-0000-0000-00005E920000}"/>
    <cellStyle name="표준 5 3 4 5 3 2 5" xfId="27167" xr:uid="{00000000-0005-0000-0000-00005F920000}"/>
    <cellStyle name="표준 5 3 4 5 3 2 6" xfId="35378" xr:uid="{00000000-0005-0000-0000-000060920000}"/>
    <cellStyle name="표준 5 3 4 5 3 2 7" xfId="43571" xr:uid="{00000000-0005-0000-0000-000061920000}"/>
    <cellStyle name="표준 5 3 4 5 3 3" xfId="8509" xr:uid="{00000000-0005-0000-0000-000062920000}"/>
    <cellStyle name="표준 5 3 4 5 3 3 2" xfId="29215" xr:uid="{00000000-0005-0000-0000-000063920000}"/>
    <cellStyle name="표준 5 3 4 5 3 3 3" xfId="37426" xr:uid="{00000000-0005-0000-0000-000064920000}"/>
    <cellStyle name="표준 5 3 4 5 3 3 4" xfId="45619" xr:uid="{00000000-0005-0000-0000-000065920000}"/>
    <cellStyle name="표준 5 3 4 5 3 4" xfId="12621" xr:uid="{00000000-0005-0000-0000-000066920000}"/>
    <cellStyle name="표준 5 3 4 5 3 5" xfId="16861" xr:uid="{00000000-0005-0000-0000-000067920000}"/>
    <cellStyle name="표준 5 3 4 5 3 6" xfId="21023" xr:uid="{00000000-0005-0000-0000-000068920000}"/>
    <cellStyle name="표준 5 3 4 5 3 7" xfId="25119" xr:uid="{00000000-0005-0000-0000-000069920000}"/>
    <cellStyle name="표준 5 3 4 5 3 8" xfId="33330" xr:uid="{00000000-0005-0000-0000-00006A920000}"/>
    <cellStyle name="표준 5 3 4 5 3 9" xfId="41523" xr:uid="{00000000-0005-0000-0000-00006B920000}"/>
    <cellStyle name="표준 5 3 4 5 4" xfId="2166" xr:uid="{00000000-0005-0000-0000-00006C920000}"/>
    <cellStyle name="표준 5 3 4 5 4 2" xfId="11069" xr:uid="{00000000-0005-0000-0000-00006D920000}"/>
    <cellStyle name="표준 5 3 4 5 4 2 2" xfId="15181" xr:uid="{00000000-0005-0000-0000-00006E920000}"/>
    <cellStyle name="표준 5 3 4 5 4 2 2 2" xfId="31775" xr:uid="{00000000-0005-0000-0000-00006F920000}"/>
    <cellStyle name="표준 5 3 4 5 4 2 2 3" xfId="39986" xr:uid="{00000000-0005-0000-0000-000070920000}"/>
    <cellStyle name="표준 5 3 4 5 4 2 2 4" xfId="48179" xr:uid="{00000000-0005-0000-0000-000071920000}"/>
    <cellStyle name="표준 5 3 4 5 4 2 3" xfId="19421" xr:uid="{00000000-0005-0000-0000-000072920000}"/>
    <cellStyle name="표준 5 3 4 5 4 2 4" xfId="23583" xr:uid="{00000000-0005-0000-0000-000073920000}"/>
    <cellStyle name="표준 5 3 4 5 4 2 5" xfId="27679" xr:uid="{00000000-0005-0000-0000-000074920000}"/>
    <cellStyle name="표준 5 3 4 5 4 2 6" xfId="35890" xr:uid="{00000000-0005-0000-0000-000075920000}"/>
    <cellStyle name="표준 5 3 4 5 4 2 7" xfId="44083" xr:uid="{00000000-0005-0000-0000-000076920000}"/>
    <cellStyle name="표준 5 3 4 5 4 3" xfId="9021" xr:uid="{00000000-0005-0000-0000-000077920000}"/>
    <cellStyle name="표준 5 3 4 5 4 3 2" xfId="29727" xr:uid="{00000000-0005-0000-0000-000078920000}"/>
    <cellStyle name="표준 5 3 4 5 4 3 3" xfId="37938" xr:uid="{00000000-0005-0000-0000-000079920000}"/>
    <cellStyle name="표준 5 3 4 5 4 3 4" xfId="46131" xr:uid="{00000000-0005-0000-0000-00007A920000}"/>
    <cellStyle name="표준 5 3 4 5 4 4" xfId="13133" xr:uid="{00000000-0005-0000-0000-00007B920000}"/>
    <cellStyle name="표준 5 3 4 5 4 5" xfId="17373" xr:uid="{00000000-0005-0000-0000-00007C920000}"/>
    <cellStyle name="표준 5 3 4 5 4 6" xfId="21535" xr:uid="{00000000-0005-0000-0000-00007D920000}"/>
    <cellStyle name="표준 5 3 4 5 4 7" xfId="25631" xr:uid="{00000000-0005-0000-0000-00007E920000}"/>
    <cellStyle name="표준 5 3 4 5 4 8" xfId="33842" xr:uid="{00000000-0005-0000-0000-00007F920000}"/>
    <cellStyle name="표준 5 3 4 5 4 9" xfId="42035" xr:uid="{00000000-0005-0000-0000-000080920000}"/>
    <cellStyle name="표준 5 3 4 5 5" xfId="9533" xr:uid="{00000000-0005-0000-0000-000081920000}"/>
    <cellStyle name="표준 5 3 4 5 5 2" xfId="13645" xr:uid="{00000000-0005-0000-0000-000082920000}"/>
    <cellStyle name="표준 5 3 4 5 5 2 2" xfId="30239" xr:uid="{00000000-0005-0000-0000-000083920000}"/>
    <cellStyle name="표준 5 3 4 5 5 2 3" xfId="38450" xr:uid="{00000000-0005-0000-0000-000084920000}"/>
    <cellStyle name="표준 5 3 4 5 5 2 4" xfId="46643" xr:uid="{00000000-0005-0000-0000-000085920000}"/>
    <cellStyle name="표준 5 3 4 5 5 3" xfId="17885" xr:uid="{00000000-0005-0000-0000-000086920000}"/>
    <cellStyle name="표준 5 3 4 5 5 4" xfId="22047" xr:uid="{00000000-0005-0000-0000-000087920000}"/>
    <cellStyle name="표준 5 3 4 5 5 5" xfId="26143" xr:uid="{00000000-0005-0000-0000-000088920000}"/>
    <cellStyle name="표준 5 3 4 5 5 6" xfId="34354" xr:uid="{00000000-0005-0000-0000-000089920000}"/>
    <cellStyle name="표준 5 3 4 5 5 7" xfId="42547" xr:uid="{00000000-0005-0000-0000-00008A920000}"/>
    <cellStyle name="표준 5 3 4 5 6" xfId="7485" xr:uid="{00000000-0005-0000-0000-00008B920000}"/>
    <cellStyle name="표준 5 3 4 5 6 2" xfId="28191" xr:uid="{00000000-0005-0000-0000-00008C920000}"/>
    <cellStyle name="표준 5 3 4 5 6 3" xfId="36402" xr:uid="{00000000-0005-0000-0000-00008D920000}"/>
    <cellStyle name="표준 5 3 4 5 6 4" xfId="44595" xr:uid="{00000000-0005-0000-0000-00008E920000}"/>
    <cellStyle name="표준 5 3 4 5 7" xfId="11597" xr:uid="{00000000-0005-0000-0000-00008F920000}"/>
    <cellStyle name="표준 5 3 4 5 8" xfId="15837" xr:uid="{00000000-0005-0000-0000-000090920000}"/>
    <cellStyle name="표준 5 3 4 5 9" xfId="19999" xr:uid="{00000000-0005-0000-0000-000091920000}"/>
    <cellStyle name="표준 5 3 4 6" xfId="886" xr:uid="{00000000-0005-0000-0000-000092920000}"/>
    <cellStyle name="표준 5 3 4 6 2" xfId="9789" xr:uid="{00000000-0005-0000-0000-000093920000}"/>
    <cellStyle name="표준 5 3 4 6 2 2" xfId="13901" xr:uid="{00000000-0005-0000-0000-000094920000}"/>
    <cellStyle name="표준 5 3 4 6 2 2 2" xfId="30495" xr:uid="{00000000-0005-0000-0000-000095920000}"/>
    <cellStyle name="표준 5 3 4 6 2 2 3" xfId="38706" xr:uid="{00000000-0005-0000-0000-000096920000}"/>
    <cellStyle name="표준 5 3 4 6 2 2 4" xfId="46899" xr:uid="{00000000-0005-0000-0000-000097920000}"/>
    <cellStyle name="표준 5 3 4 6 2 3" xfId="18141" xr:uid="{00000000-0005-0000-0000-000098920000}"/>
    <cellStyle name="표준 5 3 4 6 2 4" xfId="22303" xr:uid="{00000000-0005-0000-0000-000099920000}"/>
    <cellStyle name="표준 5 3 4 6 2 5" xfId="26399" xr:uid="{00000000-0005-0000-0000-00009A920000}"/>
    <cellStyle name="표준 5 3 4 6 2 6" xfId="34610" xr:uid="{00000000-0005-0000-0000-00009B920000}"/>
    <cellStyle name="표준 5 3 4 6 2 7" xfId="42803" xr:uid="{00000000-0005-0000-0000-00009C920000}"/>
    <cellStyle name="표준 5 3 4 6 3" xfId="7741" xr:uid="{00000000-0005-0000-0000-00009D920000}"/>
    <cellStyle name="표준 5 3 4 6 3 2" xfId="28447" xr:uid="{00000000-0005-0000-0000-00009E920000}"/>
    <cellStyle name="표준 5 3 4 6 3 3" xfId="36658" xr:uid="{00000000-0005-0000-0000-00009F920000}"/>
    <cellStyle name="표준 5 3 4 6 3 4" xfId="44851" xr:uid="{00000000-0005-0000-0000-0000A0920000}"/>
    <cellStyle name="표준 5 3 4 6 4" xfId="11853" xr:uid="{00000000-0005-0000-0000-0000A1920000}"/>
    <cellStyle name="표준 5 3 4 6 5" xfId="16093" xr:uid="{00000000-0005-0000-0000-0000A2920000}"/>
    <cellStyle name="표준 5 3 4 6 6" xfId="20255" xr:uid="{00000000-0005-0000-0000-0000A3920000}"/>
    <cellStyle name="표준 5 3 4 6 7" xfId="24351" xr:uid="{00000000-0005-0000-0000-0000A4920000}"/>
    <cellStyle name="표준 5 3 4 6 8" xfId="32562" xr:uid="{00000000-0005-0000-0000-0000A5920000}"/>
    <cellStyle name="표준 5 3 4 6 9" xfId="40755" xr:uid="{00000000-0005-0000-0000-0000A6920000}"/>
    <cellStyle name="표준 5 3 4 7" xfId="1398" xr:uid="{00000000-0005-0000-0000-0000A7920000}"/>
    <cellStyle name="표준 5 3 4 7 2" xfId="10301" xr:uid="{00000000-0005-0000-0000-0000A8920000}"/>
    <cellStyle name="표준 5 3 4 7 2 2" xfId="14413" xr:uid="{00000000-0005-0000-0000-0000A9920000}"/>
    <cellStyle name="표준 5 3 4 7 2 2 2" xfId="31007" xr:uid="{00000000-0005-0000-0000-0000AA920000}"/>
    <cellStyle name="표준 5 3 4 7 2 2 3" xfId="39218" xr:uid="{00000000-0005-0000-0000-0000AB920000}"/>
    <cellStyle name="표준 5 3 4 7 2 2 4" xfId="47411" xr:uid="{00000000-0005-0000-0000-0000AC920000}"/>
    <cellStyle name="표준 5 3 4 7 2 3" xfId="18653" xr:uid="{00000000-0005-0000-0000-0000AD920000}"/>
    <cellStyle name="표준 5 3 4 7 2 4" xfId="22815" xr:uid="{00000000-0005-0000-0000-0000AE920000}"/>
    <cellStyle name="표준 5 3 4 7 2 5" xfId="26911" xr:uid="{00000000-0005-0000-0000-0000AF920000}"/>
    <cellStyle name="표준 5 3 4 7 2 6" xfId="35122" xr:uid="{00000000-0005-0000-0000-0000B0920000}"/>
    <cellStyle name="표준 5 3 4 7 2 7" xfId="43315" xr:uid="{00000000-0005-0000-0000-0000B1920000}"/>
    <cellStyle name="표준 5 3 4 7 3" xfId="8253" xr:uid="{00000000-0005-0000-0000-0000B2920000}"/>
    <cellStyle name="표준 5 3 4 7 3 2" xfId="28959" xr:uid="{00000000-0005-0000-0000-0000B3920000}"/>
    <cellStyle name="표준 5 3 4 7 3 3" xfId="37170" xr:uid="{00000000-0005-0000-0000-0000B4920000}"/>
    <cellStyle name="표준 5 3 4 7 3 4" xfId="45363" xr:uid="{00000000-0005-0000-0000-0000B5920000}"/>
    <cellStyle name="표준 5 3 4 7 4" xfId="12365" xr:uid="{00000000-0005-0000-0000-0000B6920000}"/>
    <cellStyle name="표준 5 3 4 7 5" xfId="16605" xr:uid="{00000000-0005-0000-0000-0000B7920000}"/>
    <cellStyle name="표준 5 3 4 7 6" xfId="20767" xr:uid="{00000000-0005-0000-0000-0000B8920000}"/>
    <cellStyle name="표준 5 3 4 7 7" xfId="24863" xr:uid="{00000000-0005-0000-0000-0000B9920000}"/>
    <cellStyle name="표준 5 3 4 7 8" xfId="33074" xr:uid="{00000000-0005-0000-0000-0000BA920000}"/>
    <cellStyle name="표준 5 3 4 7 9" xfId="41267" xr:uid="{00000000-0005-0000-0000-0000BB920000}"/>
    <cellStyle name="표준 5 3 4 8" xfId="1910" xr:uid="{00000000-0005-0000-0000-0000BC920000}"/>
    <cellStyle name="표준 5 3 4 8 2" xfId="10813" xr:uid="{00000000-0005-0000-0000-0000BD920000}"/>
    <cellStyle name="표준 5 3 4 8 2 2" xfId="14925" xr:uid="{00000000-0005-0000-0000-0000BE920000}"/>
    <cellStyle name="표준 5 3 4 8 2 2 2" xfId="31519" xr:uid="{00000000-0005-0000-0000-0000BF920000}"/>
    <cellStyle name="표준 5 3 4 8 2 2 3" xfId="39730" xr:uid="{00000000-0005-0000-0000-0000C0920000}"/>
    <cellStyle name="표준 5 3 4 8 2 2 4" xfId="47923" xr:uid="{00000000-0005-0000-0000-0000C1920000}"/>
    <cellStyle name="표준 5 3 4 8 2 3" xfId="19165" xr:uid="{00000000-0005-0000-0000-0000C2920000}"/>
    <cellStyle name="표준 5 3 4 8 2 4" xfId="23327" xr:uid="{00000000-0005-0000-0000-0000C3920000}"/>
    <cellStyle name="표준 5 3 4 8 2 5" xfId="27423" xr:uid="{00000000-0005-0000-0000-0000C4920000}"/>
    <cellStyle name="표준 5 3 4 8 2 6" xfId="35634" xr:uid="{00000000-0005-0000-0000-0000C5920000}"/>
    <cellStyle name="표준 5 3 4 8 2 7" xfId="43827" xr:uid="{00000000-0005-0000-0000-0000C6920000}"/>
    <cellStyle name="표준 5 3 4 8 3" xfId="8765" xr:uid="{00000000-0005-0000-0000-0000C7920000}"/>
    <cellStyle name="표준 5 3 4 8 3 2" xfId="29471" xr:uid="{00000000-0005-0000-0000-0000C8920000}"/>
    <cellStyle name="표준 5 3 4 8 3 3" xfId="37682" xr:uid="{00000000-0005-0000-0000-0000C9920000}"/>
    <cellStyle name="표준 5 3 4 8 3 4" xfId="45875" xr:uid="{00000000-0005-0000-0000-0000CA920000}"/>
    <cellStyle name="표준 5 3 4 8 4" xfId="12877" xr:uid="{00000000-0005-0000-0000-0000CB920000}"/>
    <cellStyle name="표준 5 3 4 8 5" xfId="17117" xr:uid="{00000000-0005-0000-0000-0000CC920000}"/>
    <cellStyle name="표준 5 3 4 8 6" xfId="21279" xr:uid="{00000000-0005-0000-0000-0000CD920000}"/>
    <cellStyle name="표준 5 3 4 8 7" xfId="25375" xr:uid="{00000000-0005-0000-0000-0000CE920000}"/>
    <cellStyle name="표준 5 3 4 8 8" xfId="33586" xr:uid="{00000000-0005-0000-0000-0000CF920000}"/>
    <cellStyle name="표준 5 3 4 8 9" xfId="41779" xr:uid="{00000000-0005-0000-0000-0000D0920000}"/>
    <cellStyle name="표준 5 3 4 9" xfId="6966" xr:uid="{00000000-0005-0000-0000-0000D1920000}"/>
    <cellStyle name="표준 5 3 4 9 2" xfId="9277" xr:uid="{00000000-0005-0000-0000-0000D2920000}"/>
    <cellStyle name="표준 5 3 4 9 2 2" xfId="29983" xr:uid="{00000000-0005-0000-0000-0000D3920000}"/>
    <cellStyle name="표준 5 3 4 9 2 3" xfId="38194" xr:uid="{00000000-0005-0000-0000-0000D4920000}"/>
    <cellStyle name="표준 5 3 4 9 2 4" xfId="46387" xr:uid="{00000000-0005-0000-0000-0000D5920000}"/>
    <cellStyle name="표준 5 3 4 9 3" xfId="13389" xr:uid="{00000000-0005-0000-0000-0000D6920000}"/>
    <cellStyle name="표준 5 3 4 9 4" xfId="17629" xr:uid="{00000000-0005-0000-0000-0000D7920000}"/>
    <cellStyle name="표준 5 3 4 9 5" xfId="21791" xr:uid="{00000000-0005-0000-0000-0000D8920000}"/>
    <cellStyle name="표준 5 3 4 9 6" xfId="25887" xr:uid="{00000000-0005-0000-0000-0000D9920000}"/>
    <cellStyle name="표준 5 3 4 9 7" xfId="34098" xr:uid="{00000000-0005-0000-0000-0000DA920000}"/>
    <cellStyle name="표준 5 3 4 9 8" xfId="42291" xr:uid="{00000000-0005-0000-0000-0000DB920000}"/>
    <cellStyle name="표준 5 3 5" xfId="298" xr:uid="{00000000-0005-0000-0000-0000DC920000}"/>
    <cellStyle name="표준 5 3 5 10" xfId="7176" xr:uid="{00000000-0005-0000-0000-0000DD920000}"/>
    <cellStyle name="표준 5 3 5 11" xfId="7245" xr:uid="{00000000-0005-0000-0000-0000DE920000}"/>
    <cellStyle name="표준 5 3 5 12" xfId="11357" xr:uid="{00000000-0005-0000-0000-0000DF920000}"/>
    <cellStyle name="표준 5 3 5 13" xfId="15485" xr:uid="{00000000-0005-0000-0000-0000E0920000}"/>
    <cellStyle name="표준 5 3 5 14" xfId="15597" xr:uid="{00000000-0005-0000-0000-0000E1920000}"/>
    <cellStyle name="표준 5 3 5 15" xfId="19759" xr:uid="{00000000-0005-0000-0000-0000E2920000}"/>
    <cellStyle name="표준 5 3 5 16" xfId="23855" xr:uid="{00000000-0005-0000-0000-0000E3920000}"/>
    <cellStyle name="표준 5 3 5 17" xfId="32066" xr:uid="{00000000-0005-0000-0000-0000E4920000}"/>
    <cellStyle name="표준 5 3 5 18" xfId="40259" xr:uid="{00000000-0005-0000-0000-0000E5920000}"/>
    <cellStyle name="표준 5 3 5 19" xfId="49689" xr:uid="{00000000-0005-0000-0000-0000E6920000}"/>
    <cellStyle name="표준 5 3 5 2" xfId="454" xr:uid="{00000000-0005-0000-0000-0000E7920000}"/>
    <cellStyle name="표준 5 3 5 2 10" xfId="11421" xr:uid="{00000000-0005-0000-0000-0000E8920000}"/>
    <cellStyle name="표준 5 3 5 2 11" xfId="15533" xr:uid="{00000000-0005-0000-0000-0000E9920000}"/>
    <cellStyle name="표준 5 3 5 2 12" xfId="15661" xr:uid="{00000000-0005-0000-0000-0000EA920000}"/>
    <cellStyle name="표준 5 3 5 2 13" xfId="19823" xr:uid="{00000000-0005-0000-0000-0000EB920000}"/>
    <cellStyle name="표준 5 3 5 2 14" xfId="23919" xr:uid="{00000000-0005-0000-0000-0000EC920000}"/>
    <cellStyle name="표준 5 3 5 2 15" xfId="32130" xr:uid="{00000000-0005-0000-0000-0000ED920000}"/>
    <cellStyle name="표준 5 3 5 2 16" xfId="40323" xr:uid="{00000000-0005-0000-0000-0000EE920000}"/>
    <cellStyle name="표준 5 3 5 2 2" xfId="582" xr:uid="{00000000-0005-0000-0000-0000EF920000}"/>
    <cellStyle name="표준 5 3 5 2 2 10" xfId="19951" xr:uid="{00000000-0005-0000-0000-0000F0920000}"/>
    <cellStyle name="표준 5 3 5 2 2 11" xfId="24047" xr:uid="{00000000-0005-0000-0000-0000F1920000}"/>
    <cellStyle name="표준 5 3 5 2 2 12" xfId="32258" xr:uid="{00000000-0005-0000-0000-0000F2920000}"/>
    <cellStyle name="표준 5 3 5 2 2 13" xfId="40451" xr:uid="{00000000-0005-0000-0000-0000F3920000}"/>
    <cellStyle name="표준 5 3 5 2 2 2" xfId="838" xr:uid="{00000000-0005-0000-0000-0000F4920000}"/>
    <cellStyle name="표준 5 3 5 2 2 2 10" xfId="24303" xr:uid="{00000000-0005-0000-0000-0000F5920000}"/>
    <cellStyle name="표준 5 3 5 2 2 2 11" xfId="32514" xr:uid="{00000000-0005-0000-0000-0000F6920000}"/>
    <cellStyle name="표준 5 3 5 2 2 2 12" xfId="40707" xr:uid="{00000000-0005-0000-0000-0000F7920000}"/>
    <cellStyle name="표준 5 3 5 2 2 2 2" xfId="1350" xr:uid="{00000000-0005-0000-0000-0000F8920000}"/>
    <cellStyle name="표준 5 3 5 2 2 2 2 2" xfId="10253" xr:uid="{00000000-0005-0000-0000-0000F9920000}"/>
    <cellStyle name="표준 5 3 5 2 2 2 2 2 2" xfId="14365" xr:uid="{00000000-0005-0000-0000-0000FA920000}"/>
    <cellStyle name="표준 5 3 5 2 2 2 2 2 2 2" xfId="30959" xr:uid="{00000000-0005-0000-0000-0000FB920000}"/>
    <cellStyle name="표준 5 3 5 2 2 2 2 2 2 3" xfId="39170" xr:uid="{00000000-0005-0000-0000-0000FC920000}"/>
    <cellStyle name="표준 5 3 5 2 2 2 2 2 2 4" xfId="47363" xr:uid="{00000000-0005-0000-0000-0000FD920000}"/>
    <cellStyle name="표준 5 3 5 2 2 2 2 2 3" xfId="18605" xr:uid="{00000000-0005-0000-0000-0000FE920000}"/>
    <cellStyle name="표준 5 3 5 2 2 2 2 2 4" xfId="22767" xr:uid="{00000000-0005-0000-0000-0000FF920000}"/>
    <cellStyle name="표준 5 3 5 2 2 2 2 2 5" xfId="26863" xr:uid="{00000000-0005-0000-0000-000000930000}"/>
    <cellStyle name="표준 5 3 5 2 2 2 2 2 6" xfId="35074" xr:uid="{00000000-0005-0000-0000-000001930000}"/>
    <cellStyle name="표준 5 3 5 2 2 2 2 2 7" xfId="43267" xr:uid="{00000000-0005-0000-0000-000002930000}"/>
    <cellStyle name="표준 5 3 5 2 2 2 2 3" xfId="8205" xr:uid="{00000000-0005-0000-0000-000003930000}"/>
    <cellStyle name="표준 5 3 5 2 2 2 2 3 2" xfId="28911" xr:uid="{00000000-0005-0000-0000-000004930000}"/>
    <cellStyle name="표준 5 3 5 2 2 2 2 3 3" xfId="37122" xr:uid="{00000000-0005-0000-0000-000005930000}"/>
    <cellStyle name="표준 5 3 5 2 2 2 2 3 4" xfId="45315" xr:uid="{00000000-0005-0000-0000-000006930000}"/>
    <cellStyle name="표준 5 3 5 2 2 2 2 4" xfId="12317" xr:uid="{00000000-0005-0000-0000-000007930000}"/>
    <cellStyle name="표준 5 3 5 2 2 2 2 5" xfId="16557" xr:uid="{00000000-0005-0000-0000-000008930000}"/>
    <cellStyle name="표준 5 3 5 2 2 2 2 6" xfId="20719" xr:uid="{00000000-0005-0000-0000-000009930000}"/>
    <cellStyle name="표준 5 3 5 2 2 2 2 7" xfId="24815" xr:uid="{00000000-0005-0000-0000-00000A930000}"/>
    <cellStyle name="표준 5 3 5 2 2 2 2 8" xfId="33026" xr:uid="{00000000-0005-0000-0000-00000B930000}"/>
    <cellStyle name="표준 5 3 5 2 2 2 2 9" xfId="41219" xr:uid="{00000000-0005-0000-0000-00000C930000}"/>
    <cellStyle name="표준 5 3 5 2 2 2 3" xfId="1862" xr:uid="{00000000-0005-0000-0000-00000D930000}"/>
    <cellStyle name="표준 5 3 5 2 2 2 3 2" xfId="10765" xr:uid="{00000000-0005-0000-0000-00000E930000}"/>
    <cellStyle name="표준 5 3 5 2 2 2 3 2 2" xfId="14877" xr:uid="{00000000-0005-0000-0000-00000F930000}"/>
    <cellStyle name="표준 5 3 5 2 2 2 3 2 2 2" xfId="31471" xr:uid="{00000000-0005-0000-0000-000010930000}"/>
    <cellStyle name="표준 5 3 5 2 2 2 3 2 2 3" xfId="39682" xr:uid="{00000000-0005-0000-0000-000011930000}"/>
    <cellStyle name="표준 5 3 5 2 2 2 3 2 2 4" xfId="47875" xr:uid="{00000000-0005-0000-0000-000012930000}"/>
    <cellStyle name="표준 5 3 5 2 2 2 3 2 3" xfId="19117" xr:uid="{00000000-0005-0000-0000-000013930000}"/>
    <cellStyle name="표준 5 3 5 2 2 2 3 2 4" xfId="23279" xr:uid="{00000000-0005-0000-0000-000014930000}"/>
    <cellStyle name="표준 5 3 5 2 2 2 3 2 5" xfId="27375" xr:uid="{00000000-0005-0000-0000-000015930000}"/>
    <cellStyle name="표준 5 3 5 2 2 2 3 2 6" xfId="35586" xr:uid="{00000000-0005-0000-0000-000016930000}"/>
    <cellStyle name="표준 5 3 5 2 2 2 3 2 7" xfId="43779" xr:uid="{00000000-0005-0000-0000-000017930000}"/>
    <cellStyle name="표준 5 3 5 2 2 2 3 3" xfId="8717" xr:uid="{00000000-0005-0000-0000-000018930000}"/>
    <cellStyle name="표준 5 3 5 2 2 2 3 3 2" xfId="29423" xr:uid="{00000000-0005-0000-0000-000019930000}"/>
    <cellStyle name="표준 5 3 5 2 2 2 3 3 3" xfId="37634" xr:uid="{00000000-0005-0000-0000-00001A930000}"/>
    <cellStyle name="표준 5 3 5 2 2 2 3 3 4" xfId="45827" xr:uid="{00000000-0005-0000-0000-00001B930000}"/>
    <cellStyle name="표준 5 3 5 2 2 2 3 4" xfId="12829" xr:uid="{00000000-0005-0000-0000-00001C930000}"/>
    <cellStyle name="표준 5 3 5 2 2 2 3 5" xfId="17069" xr:uid="{00000000-0005-0000-0000-00001D930000}"/>
    <cellStyle name="표준 5 3 5 2 2 2 3 6" xfId="21231" xr:uid="{00000000-0005-0000-0000-00001E930000}"/>
    <cellStyle name="표준 5 3 5 2 2 2 3 7" xfId="25327" xr:uid="{00000000-0005-0000-0000-00001F930000}"/>
    <cellStyle name="표준 5 3 5 2 2 2 3 8" xfId="33538" xr:uid="{00000000-0005-0000-0000-000020930000}"/>
    <cellStyle name="표준 5 3 5 2 2 2 3 9" xfId="41731" xr:uid="{00000000-0005-0000-0000-000021930000}"/>
    <cellStyle name="표준 5 3 5 2 2 2 4" xfId="2374" xr:uid="{00000000-0005-0000-0000-000022930000}"/>
    <cellStyle name="표준 5 3 5 2 2 2 4 2" xfId="11277" xr:uid="{00000000-0005-0000-0000-000023930000}"/>
    <cellStyle name="표준 5 3 5 2 2 2 4 2 2" xfId="15389" xr:uid="{00000000-0005-0000-0000-000024930000}"/>
    <cellStyle name="표준 5 3 5 2 2 2 4 2 2 2" xfId="31983" xr:uid="{00000000-0005-0000-0000-000025930000}"/>
    <cellStyle name="표준 5 3 5 2 2 2 4 2 2 3" xfId="40194" xr:uid="{00000000-0005-0000-0000-000026930000}"/>
    <cellStyle name="표준 5 3 5 2 2 2 4 2 2 4" xfId="48387" xr:uid="{00000000-0005-0000-0000-000027930000}"/>
    <cellStyle name="표준 5 3 5 2 2 2 4 2 3" xfId="19629" xr:uid="{00000000-0005-0000-0000-000028930000}"/>
    <cellStyle name="표준 5 3 5 2 2 2 4 2 4" xfId="23791" xr:uid="{00000000-0005-0000-0000-000029930000}"/>
    <cellStyle name="표준 5 3 5 2 2 2 4 2 5" xfId="27887" xr:uid="{00000000-0005-0000-0000-00002A930000}"/>
    <cellStyle name="표준 5 3 5 2 2 2 4 2 6" xfId="36098" xr:uid="{00000000-0005-0000-0000-00002B930000}"/>
    <cellStyle name="표준 5 3 5 2 2 2 4 2 7" xfId="44291" xr:uid="{00000000-0005-0000-0000-00002C930000}"/>
    <cellStyle name="표준 5 3 5 2 2 2 4 3" xfId="9229" xr:uid="{00000000-0005-0000-0000-00002D930000}"/>
    <cellStyle name="표준 5 3 5 2 2 2 4 3 2" xfId="29935" xr:uid="{00000000-0005-0000-0000-00002E930000}"/>
    <cellStyle name="표준 5 3 5 2 2 2 4 3 3" xfId="38146" xr:uid="{00000000-0005-0000-0000-00002F930000}"/>
    <cellStyle name="표준 5 3 5 2 2 2 4 3 4" xfId="46339" xr:uid="{00000000-0005-0000-0000-000030930000}"/>
    <cellStyle name="표준 5 3 5 2 2 2 4 4" xfId="13341" xr:uid="{00000000-0005-0000-0000-000031930000}"/>
    <cellStyle name="표준 5 3 5 2 2 2 4 5" xfId="17581" xr:uid="{00000000-0005-0000-0000-000032930000}"/>
    <cellStyle name="표준 5 3 5 2 2 2 4 6" xfId="21743" xr:uid="{00000000-0005-0000-0000-000033930000}"/>
    <cellStyle name="표준 5 3 5 2 2 2 4 7" xfId="25839" xr:uid="{00000000-0005-0000-0000-000034930000}"/>
    <cellStyle name="표준 5 3 5 2 2 2 4 8" xfId="34050" xr:uid="{00000000-0005-0000-0000-000035930000}"/>
    <cellStyle name="표준 5 3 5 2 2 2 4 9" xfId="42243" xr:uid="{00000000-0005-0000-0000-000036930000}"/>
    <cellStyle name="표준 5 3 5 2 2 2 5" xfId="9741" xr:uid="{00000000-0005-0000-0000-000037930000}"/>
    <cellStyle name="표준 5 3 5 2 2 2 5 2" xfId="13853" xr:uid="{00000000-0005-0000-0000-000038930000}"/>
    <cellStyle name="표준 5 3 5 2 2 2 5 2 2" xfId="30447" xr:uid="{00000000-0005-0000-0000-000039930000}"/>
    <cellStyle name="표준 5 3 5 2 2 2 5 2 3" xfId="38658" xr:uid="{00000000-0005-0000-0000-00003A930000}"/>
    <cellStyle name="표준 5 3 5 2 2 2 5 2 4" xfId="46851" xr:uid="{00000000-0005-0000-0000-00003B930000}"/>
    <cellStyle name="표준 5 3 5 2 2 2 5 3" xfId="18093" xr:uid="{00000000-0005-0000-0000-00003C930000}"/>
    <cellStyle name="표준 5 3 5 2 2 2 5 4" xfId="22255" xr:uid="{00000000-0005-0000-0000-00003D930000}"/>
    <cellStyle name="표준 5 3 5 2 2 2 5 5" xfId="26351" xr:uid="{00000000-0005-0000-0000-00003E930000}"/>
    <cellStyle name="표준 5 3 5 2 2 2 5 6" xfId="34562" xr:uid="{00000000-0005-0000-0000-00003F930000}"/>
    <cellStyle name="표준 5 3 5 2 2 2 5 7" xfId="42755" xr:uid="{00000000-0005-0000-0000-000040930000}"/>
    <cellStyle name="표준 5 3 5 2 2 2 6" xfId="7693" xr:uid="{00000000-0005-0000-0000-000041930000}"/>
    <cellStyle name="표준 5 3 5 2 2 2 6 2" xfId="28399" xr:uid="{00000000-0005-0000-0000-000042930000}"/>
    <cellStyle name="표준 5 3 5 2 2 2 6 3" xfId="36610" xr:uid="{00000000-0005-0000-0000-000043930000}"/>
    <cellStyle name="표준 5 3 5 2 2 2 6 4" xfId="44803" xr:uid="{00000000-0005-0000-0000-000044930000}"/>
    <cellStyle name="표준 5 3 5 2 2 2 7" xfId="11805" xr:uid="{00000000-0005-0000-0000-000045930000}"/>
    <cellStyle name="표준 5 3 5 2 2 2 8" xfId="16045" xr:uid="{00000000-0005-0000-0000-000046930000}"/>
    <cellStyle name="표준 5 3 5 2 2 2 9" xfId="20207" xr:uid="{00000000-0005-0000-0000-000047930000}"/>
    <cellStyle name="표준 5 3 5 2 2 3" xfId="1094" xr:uid="{00000000-0005-0000-0000-000048930000}"/>
    <cellStyle name="표준 5 3 5 2 2 3 2" xfId="9997" xr:uid="{00000000-0005-0000-0000-000049930000}"/>
    <cellStyle name="표준 5 3 5 2 2 3 2 2" xfId="14109" xr:uid="{00000000-0005-0000-0000-00004A930000}"/>
    <cellStyle name="표준 5 3 5 2 2 3 2 2 2" xfId="30703" xr:uid="{00000000-0005-0000-0000-00004B930000}"/>
    <cellStyle name="표준 5 3 5 2 2 3 2 2 3" xfId="38914" xr:uid="{00000000-0005-0000-0000-00004C930000}"/>
    <cellStyle name="표준 5 3 5 2 2 3 2 2 4" xfId="47107" xr:uid="{00000000-0005-0000-0000-00004D930000}"/>
    <cellStyle name="표준 5 3 5 2 2 3 2 3" xfId="18349" xr:uid="{00000000-0005-0000-0000-00004E930000}"/>
    <cellStyle name="표준 5 3 5 2 2 3 2 4" xfId="22511" xr:uid="{00000000-0005-0000-0000-00004F930000}"/>
    <cellStyle name="표준 5 3 5 2 2 3 2 5" xfId="26607" xr:uid="{00000000-0005-0000-0000-000050930000}"/>
    <cellStyle name="표준 5 3 5 2 2 3 2 6" xfId="34818" xr:uid="{00000000-0005-0000-0000-000051930000}"/>
    <cellStyle name="표준 5 3 5 2 2 3 2 7" xfId="43011" xr:uid="{00000000-0005-0000-0000-000052930000}"/>
    <cellStyle name="표준 5 3 5 2 2 3 3" xfId="7949" xr:uid="{00000000-0005-0000-0000-000053930000}"/>
    <cellStyle name="표준 5 3 5 2 2 3 3 2" xfId="28655" xr:uid="{00000000-0005-0000-0000-000054930000}"/>
    <cellStyle name="표준 5 3 5 2 2 3 3 3" xfId="36866" xr:uid="{00000000-0005-0000-0000-000055930000}"/>
    <cellStyle name="표준 5 3 5 2 2 3 3 4" xfId="45059" xr:uid="{00000000-0005-0000-0000-000056930000}"/>
    <cellStyle name="표준 5 3 5 2 2 3 4" xfId="12061" xr:uid="{00000000-0005-0000-0000-000057930000}"/>
    <cellStyle name="표준 5 3 5 2 2 3 5" xfId="16301" xr:uid="{00000000-0005-0000-0000-000058930000}"/>
    <cellStyle name="표준 5 3 5 2 2 3 6" xfId="20463" xr:uid="{00000000-0005-0000-0000-000059930000}"/>
    <cellStyle name="표준 5 3 5 2 2 3 7" xfId="24559" xr:uid="{00000000-0005-0000-0000-00005A930000}"/>
    <cellStyle name="표준 5 3 5 2 2 3 8" xfId="32770" xr:uid="{00000000-0005-0000-0000-00005B930000}"/>
    <cellStyle name="표준 5 3 5 2 2 3 9" xfId="40963" xr:uid="{00000000-0005-0000-0000-00005C930000}"/>
    <cellStyle name="표준 5 3 5 2 2 4" xfId="1606" xr:uid="{00000000-0005-0000-0000-00005D930000}"/>
    <cellStyle name="표준 5 3 5 2 2 4 2" xfId="10509" xr:uid="{00000000-0005-0000-0000-00005E930000}"/>
    <cellStyle name="표준 5 3 5 2 2 4 2 2" xfId="14621" xr:uid="{00000000-0005-0000-0000-00005F930000}"/>
    <cellStyle name="표준 5 3 5 2 2 4 2 2 2" xfId="31215" xr:uid="{00000000-0005-0000-0000-000060930000}"/>
    <cellStyle name="표준 5 3 5 2 2 4 2 2 3" xfId="39426" xr:uid="{00000000-0005-0000-0000-000061930000}"/>
    <cellStyle name="표준 5 3 5 2 2 4 2 2 4" xfId="47619" xr:uid="{00000000-0005-0000-0000-000062930000}"/>
    <cellStyle name="표준 5 3 5 2 2 4 2 3" xfId="18861" xr:uid="{00000000-0005-0000-0000-000063930000}"/>
    <cellStyle name="표준 5 3 5 2 2 4 2 4" xfId="23023" xr:uid="{00000000-0005-0000-0000-000064930000}"/>
    <cellStyle name="표준 5 3 5 2 2 4 2 5" xfId="27119" xr:uid="{00000000-0005-0000-0000-000065930000}"/>
    <cellStyle name="표준 5 3 5 2 2 4 2 6" xfId="35330" xr:uid="{00000000-0005-0000-0000-000066930000}"/>
    <cellStyle name="표준 5 3 5 2 2 4 2 7" xfId="43523" xr:uid="{00000000-0005-0000-0000-000067930000}"/>
    <cellStyle name="표준 5 3 5 2 2 4 3" xfId="8461" xr:uid="{00000000-0005-0000-0000-000068930000}"/>
    <cellStyle name="표준 5 3 5 2 2 4 3 2" xfId="29167" xr:uid="{00000000-0005-0000-0000-000069930000}"/>
    <cellStyle name="표준 5 3 5 2 2 4 3 3" xfId="37378" xr:uid="{00000000-0005-0000-0000-00006A930000}"/>
    <cellStyle name="표준 5 3 5 2 2 4 3 4" xfId="45571" xr:uid="{00000000-0005-0000-0000-00006B930000}"/>
    <cellStyle name="표준 5 3 5 2 2 4 4" xfId="12573" xr:uid="{00000000-0005-0000-0000-00006C930000}"/>
    <cellStyle name="표준 5 3 5 2 2 4 5" xfId="16813" xr:uid="{00000000-0005-0000-0000-00006D930000}"/>
    <cellStyle name="표준 5 3 5 2 2 4 6" xfId="20975" xr:uid="{00000000-0005-0000-0000-00006E930000}"/>
    <cellStyle name="표준 5 3 5 2 2 4 7" xfId="25071" xr:uid="{00000000-0005-0000-0000-00006F930000}"/>
    <cellStyle name="표준 5 3 5 2 2 4 8" xfId="33282" xr:uid="{00000000-0005-0000-0000-000070930000}"/>
    <cellStyle name="표준 5 3 5 2 2 4 9" xfId="41475" xr:uid="{00000000-0005-0000-0000-000071930000}"/>
    <cellStyle name="표준 5 3 5 2 2 5" xfId="2118" xr:uid="{00000000-0005-0000-0000-000072930000}"/>
    <cellStyle name="표준 5 3 5 2 2 5 2" xfId="11021" xr:uid="{00000000-0005-0000-0000-000073930000}"/>
    <cellStyle name="표준 5 3 5 2 2 5 2 2" xfId="15133" xr:uid="{00000000-0005-0000-0000-000074930000}"/>
    <cellStyle name="표준 5 3 5 2 2 5 2 2 2" xfId="31727" xr:uid="{00000000-0005-0000-0000-000075930000}"/>
    <cellStyle name="표준 5 3 5 2 2 5 2 2 3" xfId="39938" xr:uid="{00000000-0005-0000-0000-000076930000}"/>
    <cellStyle name="표준 5 3 5 2 2 5 2 2 4" xfId="48131" xr:uid="{00000000-0005-0000-0000-000077930000}"/>
    <cellStyle name="표준 5 3 5 2 2 5 2 3" xfId="19373" xr:uid="{00000000-0005-0000-0000-000078930000}"/>
    <cellStyle name="표준 5 3 5 2 2 5 2 4" xfId="23535" xr:uid="{00000000-0005-0000-0000-000079930000}"/>
    <cellStyle name="표준 5 3 5 2 2 5 2 5" xfId="27631" xr:uid="{00000000-0005-0000-0000-00007A930000}"/>
    <cellStyle name="표준 5 3 5 2 2 5 2 6" xfId="35842" xr:uid="{00000000-0005-0000-0000-00007B930000}"/>
    <cellStyle name="표준 5 3 5 2 2 5 2 7" xfId="44035" xr:uid="{00000000-0005-0000-0000-00007C930000}"/>
    <cellStyle name="표준 5 3 5 2 2 5 3" xfId="8973" xr:uid="{00000000-0005-0000-0000-00007D930000}"/>
    <cellStyle name="표준 5 3 5 2 2 5 3 2" xfId="29679" xr:uid="{00000000-0005-0000-0000-00007E930000}"/>
    <cellStyle name="표준 5 3 5 2 2 5 3 3" xfId="37890" xr:uid="{00000000-0005-0000-0000-00007F930000}"/>
    <cellStyle name="표준 5 3 5 2 2 5 3 4" xfId="46083" xr:uid="{00000000-0005-0000-0000-000080930000}"/>
    <cellStyle name="표준 5 3 5 2 2 5 4" xfId="13085" xr:uid="{00000000-0005-0000-0000-000081930000}"/>
    <cellStyle name="표준 5 3 5 2 2 5 5" xfId="17325" xr:uid="{00000000-0005-0000-0000-000082930000}"/>
    <cellStyle name="표준 5 3 5 2 2 5 6" xfId="21487" xr:uid="{00000000-0005-0000-0000-000083930000}"/>
    <cellStyle name="표준 5 3 5 2 2 5 7" xfId="25583" xr:uid="{00000000-0005-0000-0000-000084930000}"/>
    <cellStyle name="표준 5 3 5 2 2 5 8" xfId="33794" xr:uid="{00000000-0005-0000-0000-000085930000}"/>
    <cellStyle name="표준 5 3 5 2 2 5 9" xfId="41987" xr:uid="{00000000-0005-0000-0000-000086930000}"/>
    <cellStyle name="표준 5 3 5 2 2 6" xfId="9485" xr:uid="{00000000-0005-0000-0000-000087930000}"/>
    <cellStyle name="표준 5 3 5 2 2 6 2" xfId="13597" xr:uid="{00000000-0005-0000-0000-000088930000}"/>
    <cellStyle name="표준 5 3 5 2 2 6 2 2" xfId="30191" xr:uid="{00000000-0005-0000-0000-000089930000}"/>
    <cellStyle name="표준 5 3 5 2 2 6 2 3" xfId="38402" xr:uid="{00000000-0005-0000-0000-00008A930000}"/>
    <cellStyle name="표준 5 3 5 2 2 6 2 4" xfId="46595" xr:uid="{00000000-0005-0000-0000-00008B930000}"/>
    <cellStyle name="표준 5 3 5 2 2 6 3" xfId="17837" xr:uid="{00000000-0005-0000-0000-00008C930000}"/>
    <cellStyle name="표준 5 3 5 2 2 6 4" xfId="21999" xr:uid="{00000000-0005-0000-0000-00008D930000}"/>
    <cellStyle name="표준 5 3 5 2 2 6 5" xfId="26095" xr:uid="{00000000-0005-0000-0000-00008E930000}"/>
    <cellStyle name="표준 5 3 5 2 2 6 6" xfId="34306" xr:uid="{00000000-0005-0000-0000-00008F930000}"/>
    <cellStyle name="표준 5 3 5 2 2 6 7" xfId="42499" xr:uid="{00000000-0005-0000-0000-000090930000}"/>
    <cellStyle name="표준 5 3 5 2 2 7" xfId="7437" xr:uid="{00000000-0005-0000-0000-000091930000}"/>
    <cellStyle name="표준 5 3 5 2 2 7 2" xfId="28143" xr:uid="{00000000-0005-0000-0000-000092930000}"/>
    <cellStyle name="표준 5 3 5 2 2 7 3" xfId="36354" xr:uid="{00000000-0005-0000-0000-000093930000}"/>
    <cellStyle name="표준 5 3 5 2 2 7 4" xfId="44547" xr:uid="{00000000-0005-0000-0000-000094930000}"/>
    <cellStyle name="표준 5 3 5 2 2 8" xfId="11549" xr:uid="{00000000-0005-0000-0000-000095930000}"/>
    <cellStyle name="표준 5 3 5 2 2 9" xfId="15789" xr:uid="{00000000-0005-0000-0000-000096930000}"/>
    <cellStyle name="표준 5 3 5 2 3" xfId="710" xr:uid="{00000000-0005-0000-0000-000097930000}"/>
    <cellStyle name="표준 5 3 5 2 3 10" xfId="24175" xr:uid="{00000000-0005-0000-0000-000098930000}"/>
    <cellStyle name="표준 5 3 5 2 3 11" xfId="32386" xr:uid="{00000000-0005-0000-0000-000099930000}"/>
    <cellStyle name="표준 5 3 5 2 3 12" xfId="40579" xr:uid="{00000000-0005-0000-0000-00009A930000}"/>
    <cellStyle name="표준 5 3 5 2 3 2" xfId="1222" xr:uid="{00000000-0005-0000-0000-00009B930000}"/>
    <cellStyle name="표준 5 3 5 2 3 2 2" xfId="10125" xr:uid="{00000000-0005-0000-0000-00009C930000}"/>
    <cellStyle name="표준 5 3 5 2 3 2 2 2" xfId="14237" xr:uid="{00000000-0005-0000-0000-00009D930000}"/>
    <cellStyle name="표준 5 3 5 2 3 2 2 2 2" xfId="30831" xr:uid="{00000000-0005-0000-0000-00009E930000}"/>
    <cellStyle name="표준 5 3 5 2 3 2 2 2 3" xfId="39042" xr:uid="{00000000-0005-0000-0000-00009F930000}"/>
    <cellStyle name="표준 5 3 5 2 3 2 2 2 4" xfId="47235" xr:uid="{00000000-0005-0000-0000-0000A0930000}"/>
    <cellStyle name="표준 5 3 5 2 3 2 2 3" xfId="18477" xr:uid="{00000000-0005-0000-0000-0000A1930000}"/>
    <cellStyle name="표준 5 3 5 2 3 2 2 4" xfId="22639" xr:uid="{00000000-0005-0000-0000-0000A2930000}"/>
    <cellStyle name="표준 5 3 5 2 3 2 2 5" xfId="26735" xr:uid="{00000000-0005-0000-0000-0000A3930000}"/>
    <cellStyle name="표준 5 3 5 2 3 2 2 6" xfId="34946" xr:uid="{00000000-0005-0000-0000-0000A4930000}"/>
    <cellStyle name="표준 5 3 5 2 3 2 2 7" xfId="43139" xr:uid="{00000000-0005-0000-0000-0000A5930000}"/>
    <cellStyle name="표준 5 3 5 2 3 2 3" xfId="8077" xr:uid="{00000000-0005-0000-0000-0000A6930000}"/>
    <cellStyle name="표준 5 3 5 2 3 2 3 2" xfId="28783" xr:uid="{00000000-0005-0000-0000-0000A7930000}"/>
    <cellStyle name="표준 5 3 5 2 3 2 3 3" xfId="36994" xr:uid="{00000000-0005-0000-0000-0000A8930000}"/>
    <cellStyle name="표준 5 3 5 2 3 2 3 4" xfId="45187" xr:uid="{00000000-0005-0000-0000-0000A9930000}"/>
    <cellStyle name="표준 5 3 5 2 3 2 4" xfId="12189" xr:uid="{00000000-0005-0000-0000-0000AA930000}"/>
    <cellStyle name="표준 5 3 5 2 3 2 5" xfId="16429" xr:uid="{00000000-0005-0000-0000-0000AB930000}"/>
    <cellStyle name="표준 5 3 5 2 3 2 6" xfId="20591" xr:uid="{00000000-0005-0000-0000-0000AC930000}"/>
    <cellStyle name="표준 5 3 5 2 3 2 7" xfId="24687" xr:uid="{00000000-0005-0000-0000-0000AD930000}"/>
    <cellStyle name="표준 5 3 5 2 3 2 8" xfId="32898" xr:uid="{00000000-0005-0000-0000-0000AE930000}"/>
    <cellStyle name="표준 5 3 5 2 3 2 9" xfId="41091" xr:uid="{00000000-0005-0000-0000-0000AF930000}"/>
    <cellStyle name="표준 5 3 5 2 3 3" xfId="1734" xr:uid="{00000000-0005-0000-0000-0000B0930000}"/>
    <cellStyle name="표준 5 3 5 2 3 3 2" xfId="10637" xr:uid="{00000000-0005-0000-0000-0000B1930000}"/>
    <cellStyle name="표준 5 3 5 2 3 3 2 2" xfId="14749" xr:uid="{00000000-0005-0000-0000-0000B2930000}"/>
    <cellStyle name="표준 5 3 5 2 3 3 2 2 2" xfId="31343" xr:uid="{00000000-0005-0000-0000-0000B3930000}"/>
    <cellStyle name="표준 5 3 5 2 3 3 2 2 3" xfId="39554" xr:uid="{00000000-0005-0000-0000-0000B4930000}"/>
    <cellStyle name="표준 5 3 5 2 3 3 2 2 4" xfId="47747" xr:uid="{00000000-0005-0000-0000-0000B5930000}"/>
    <cellStyle name="표준 5 3 5 2 3 3 2 3" xfId="18989" xr:uid="{00000000-0005-0000-0000-0000B6930000}"/>
    <cellStyle name="표준 5 3 5 2 3 3 2 4" xfId="23151" xr:uid="{00000000-0005-0000-0000-0000B7930000}"/>
    <cellStyle name="표준 5 3 5 2 3 3 2 5" xfId="27247" xr:uid="{00000000-0005-0000-0000-0000B8930000}"/>
    <cellStyle name="표준 5 3 5 2 3 3 2 6" xfId="35458" xr:uid="{00000000-0005-0000-0000-0000B9930000}"/>
    <cellStyle name="표준 5 3 5 2 3 3 2 7" xfId="43651" xr:uid="{00000000-0005-0000-0000-0000BA930000}"/>
    <cellStyle name="표준 5 3 5 2 3 3 3" xfId="8589" xr:uid="{00000000-0005-0000-0000-0000BB930000}"/>
    <cellStyle name="표준 5 3 5 2 3 3 3 2" xfId="29295" xr:uid="{00000000-0005-0000-0000-0000BC930000}"/>
    <cellStyle name="표준 5 3 5 2 3 3 3 3" xfId="37506" xr:uid="{00000000-0005-0000-0000-0000BD930000}"/>
    <cellStyle name="표준 5 3 5 2 3 3 3 4" xfId="45699" xr:uid="{00000000-0005-0000-0000-0000BE930000}"/>
    <cellStyle name="표준 5 3 5 2 3 3 4" xfId="12701" xr:uid="{00000000-0005-0000-0000-0000BF930000}"/>
    <cellStyle name="표준 5 3 5 2 3 3 5" xfId="16941" xr:uid="{00000000-0005-0000-0000-0000C0930000}"/>
    <cellStyle name="표준 5 3 5 2 3 3 6" xfId="21103" xr:uid="{00000000-0005-0000-0000-0000C1930000}"/>
    <cellStyle name="표준 5 3 5 2 3 3 7" xfId="25199" xr:uid="{00000000-0005-0000-0000-0000C2930000}"/>
    <cellStyle name="표준 5 3 5 2 3 3 8" xfId="33410" xr:uid="{00000000-0005-0000-0000-0000C3930000}"/>
    <cellStyle name="표준 5 3 5 2 3 3 9" xfId="41603" xr:uid="{00000000-0005-0000-0000-0000C4930000}"/>
    <cellStyle name="표준 5 3 5 2 3 4" xfId="2246" xr:uid="{00000000-0005-0000-0000-0000C5930000}"/>
    <cellStyle name="표준 5 3 5 2 3 4 2" xfId="11149" xr:uid="{00000000-0005-0000-0000-0000C6930000}"/>
    <cellStyle name="표준 5 3 5 2 3 4 2 2" xfId="15261" xr:uid="{00000000-0005-0000-0000-0000C7930000}"/>
    <cellStyle name="표준 5 3 5 2 3 4 2 2 2" xfId="31855" xr:uid="{00000000-0005-0000-0000-0000C8930000}"/>
    <cellStyle name="표준 5 3 5 2 3 4 2 2 3" xfId="40066" xr:uid="{00000000-0005-0000-0000-0000C9930000}"/>
    <cellStyle name="표준 5 3 5 2 3 4 2 2 4" xfId="48259" xr:uid="{00000000-0005-0000-0000-0000CA930000}"/>
    <cellStyle name="표준 5 3 5 2 3 4 2 3" xfId="19501" xr:uid="{00000000-0005-0000-0000-0000CB930000}"/>
    <cellStyle name="표준 5 3 5 2 3 4 2 4" xfId="23663" xr:uid="{00000000-0005-0000-0000-0000CC930000}"/>
    <cellStyle name="표준 5 3 5 2 3 4 2 5" xfId="27759" xr:uid="{00000000-0005-0000-0000-0000CD930000}"/>
    <cellStyle name="표준 5 3 5 2 3 4 2 6" xfId="35970" xr:uid="{00000000-0005-0000-0000-0000CE930000}"/>
    <cellStyle name="표준 5 3 5 2 3 4 2 7" xfId="44163" xr:uid="{00000000-0005-0000-0000-0000CF930000}"/>
    <cellStyle name="표준 5 3 5 2 3 4 3" xfId="9101" xr:uid="{00000000-0005-0000-0000-0000D0930000}"/>
    <cellStyle name="표준 5 3 5 2 3 4 3 2" xfId="29807" xr:uid="{00000000-0005-0000-0000-0000D1930000}"/>
    <cellStyle name="표준 5 3 5 2 3 4 3 3" xfId="38018" xr:uid="{00000000-0005-0000-0000-0000D2930000}"/>
    <cellStyle name="표준 5 3 5 2 3 4 3 4" xfId="46211" xr:uid="{00000000-0005-0000-0000-0000D3930000}"/>
    <cellStyle name="표준 5 3 5 2 3 4 4" xfId="13213" xr:uid="{00000000-0005-0000-0000-0000D4930000}"/>
    <cellStyle name="표준 5 3 5 2 3 4 5" xfId="17453" xr:uid="{00000000-0005-0000-0000-0000D5930000}"/>
    <cellStyle name="표준 5 3 5 2 3 4 6" xfId="21615" xr:uid="{00000000-0005-0000-0000-0000D6930000}"/>
    <cellStyle name="표준 5 3 5 2 3 4 7" xfId="25711" xr:uid="{00000000-0005-0000-0000-0000D7930000}"/>
    <cellStyle name="표준 5 3 5 2 3 4 8" xfId="33922" xr:uid="{00000000-0005-0000-0000-0000D8930000}"/>
    <cellStyle name="표준 5 3 5 2 3 4 9" xfId="42115" xr:uid="{00000000-0005-0000-0000-0000D9930000}"/>
    <cellStyle name="표준 5 3 5 2 3 5" xfId="9613" xr:uid="{00000000-0005-0000-0000-0000DA930000}"/>
    <cellStyle name="표준 5 3 5 2 3 5 2" xfId="13725" xr:uid="{00000000-0005-0000-0000-0000DB930000}"/>
    <cellStyle name="표준 5 3 5 2 3 5 2 2" xfId="30319" xr:uid="{00000000-0005-0000-0000-0000DC930000}"/>
    <cellStyle name="표준 5 3 5 2 3 5 2 3" xfId="38530" xr:uid="{00000000-0005-0000-0000-0000DD930000}"/>
    <cellStyle name="표준 5 3 5 2 3 5 2 4" xfId="46723" xr:uid="{00000000-0005-0000-0000-0000DE930000}"/>
    <cellStyle name="표준 5 3 5 2 3 5 3" xfId="17965" xr:uid="{00000000-0005-0000-0000-0000DF930000}"/>
    <cellStyle name="표준 5 3 5 2 3 5 4" xfId="22127" xr:uid="{00000000-0005-0000-0000-0000E0930000}"/>
    <cellStyle name="표준 5 3 5 2 3 5 5" xfId="26223" xr:uid="{00000000-0005-0000-0000-0000E1930000}"/>
    <cellStyle name="표준 5 3 5 2 3 5 6" xfId="34434" xr:uid="{00000000-0005-0000-0000-0000E2930000}"/>
    <cellStyle name="표준 5 3 5 2 3 5 7" xfId="42627" xr:uid="{00000000-0005-0000-0000-0000E3930000}"/>
    <cellStyle name="표준 5 3 5 2 3 6" xfId="7565" xr:uid="{00000000-0005-0000-0000-0000E4930000}"/>
    <cellStyle name="표준 5 3 5 2 3 6 2" xfId="28271" xr:uid="{00000000-0005-0000-0000-0000E5930000}"/>
    <cellStyle name="표준 5 3 5 2 3 6 3" xfId="36482" xr:uid="{00000000-0005-0000-0000-0000E6930000}"/>
    <cellStyle name="표준 5 3 5 2 3 6 4" xfId="44675" xr:uid="{00000000-0005-0000-0000-0000E7930000}"/>
    <cellStyle name="표준 5 3 5 2 3 7" xfId="11677" xr:uid="{00000000-0005-0000-0000-0000E8930000}"/>
    <cellStyle name="표준 5 3 5 2 3 8" xfId="15917" xr:uid="{00000000-0005-0000-0000-0000E9930000}"/>
    <cellStyle name="표준 5 3 5 2 3 9" xfId="20079" xr:uid="{00000000-0005-0000-0000-0000EA930000}"/>
    <cellStyle name="표준 5 3 5 2 4" xfId="966" xr:uid="{00000000-0005-0000-0000-0000EB930000}"/>
    <cellStyle name="표준 5 3 5 2 4 2" xfId="9869" xr:uid="{00000000-0005-0000-0000-0000EC930000}"/>
    <cellStyle name="표준 5 3 5 2 4 2 2" xfId="13981" xr:uid="{00000000-0005-0000-0000-0000ED930000}"/>
    <cellStyle name="표준 5 3 5 2 4 2 2 2" xfId="30575" xr:uid="{00000000-0005-0000-0000-0000EE930000}"/>
    <cellStyle name="표준 5 3 5 2 4 2 2 3" xfId="38786" xr:uid="{00000000-0005-0000-0000-0000EF930000}"/>
    <cellStyle name="표준 5 3 5 2 4 2 2 4" xfId="46979" xr:uid="{00000000-0005-0000-0000-0000F0930000}"/>
    <cellStyle name="표준 5 3 5 2 4 2 3" xfId="18221" xr:uid="{00000000-0005-0000-0000-0000F1930000}"/>
    <cellStyle name="표준 5 3 5 2 4 2 4" xfId="22383" xr:uid="{00000000-0005-0000-0000-0000F2930000}"/>
    <cellStyle name="표준 5 3 5 2 4 2 5" xfId="26479" xr:uid="{00000000-0005-0000-0000-0000F3930000}"/>
    <cellStyle name="표준 5 3 5 2 4 2 6" xfId="34690" xr:uid="{00000000-0005-0000-0000-0000F4930000}"/>
    <cellStyle name="표준 5 3 5 2 4 2 7" xfId="42883" xr:uid="{00000000-0005-0000-0000-0000F5930000}"/>
    <cellStyle name="표준 5 3 5 2 4 3" xfId="7821" xr:uid="{00000000-0005-0000-0000-0000F6930000}"/>
    <cellStyle name="표준 5 3 5 2 4 3 2" xfId="28527" xr:uid="{00000000-0005-0000-0000-0000F7930000}"/>
    <cellStyle name="표준 5 3 5 2 4 3 3" xfId="36738" xr:uid="{00000000-0005-0000-0000-0000F8930000}"/>
    <cellStyle name="표준 5 3 5 2 4 3 4" xfId="44931" xr:uid="{00000000-0005-0000-0000-0000F9930000}"/>
    <cellStyle name="표준 5 3 5 2 4 4" xfId="11933" xr:uid="{00000000-0005-0000-0000-0000FA930000}"/>
    <cellStyle name="표준 5 3 5 2 4 5" xfId="16173" xr:uid="{00000000-0005-0000-0000-0000FB930000}"/>
    <cellStyle name="표준 5 3 5 2 4 6" xfId="20335" xr:uid="{00000000-0005-0000-0000-0000FC930000}"/>
    <cellStyle name="표준 5 3 5 2 4 7" xfId="24431" xr:uid="{00000000-0005-0000-0000-0000FD930000}"/>
    <cellStyle name="표준 5 3 5 2 4 8" xfId="32642" xr:uid="{00000000-0005-0000-0000-0000FE930000}"/>
    <cellStyle name="표준 5 3 5 2 4 9" xfId="40835" xr:uid="{00000000-0005-0000-0000-0000FF930000}"/>
    <cellStyle name="표준 5 3 5 2 5" xfId="1478" xr:uid="{00000000-0005-0000-0000-000000940000}"/>
    <cellStyle name="표준 5 3 5 2 5 2" xfId="10381" xr:uid="{00000000-0005-0000-0000-000001940000}"/>
    <cellStyle name="표준 5 3 5 2 5 2 2" xfId="14493" xr:uid="{00000000-0005-0000-0000-000002940000}"/>
    <cellStyle name="표준 5 3 5 2 5 2 2 2" xfId="31087" xr:uid="{00000000-0005-0000-0000-000003940000}"/>
    <cellStyle name="표준 5 3 5 2 5 2 2 3" xfId="39298" xr:uid="{00000000-0005-0000-0000-000004940000}"/>
    <cellStyle name="표준 5 3 5 2 5 2 2 4" xfId="47491" xr:uid="{00000000-0005-0000-0000-000005940000}"/>
    <cellStyle name="표준 5 3 5 2 5 2 3" xfId="18733" xr:uid="{00000000-0005-0000-0000-000006940000}"/>
    <cellStyle name="표준 5 3 5 2 5 2 4" xfId="22895" xr:uid="{00000000-0005-0000-0000-000007940000}"/>
    <cellStyle name="표준 5 3 5 2 5 2 5" xfId="26991" xr:uid="{00000000-0005-0000-0000-000008940000}"/>
    <cellStyle name="표준 5 3 5 2 5 2 6" xfId="35202" xr:uid="{00000000-0005-0000-0000-000009940000}"/>
    <cellStyle name="표준 5 3 5 2 5 2 7" xfId="43395" xr:uid="{00000000-0005-0000-0000-00000A940000}"/>
    <cellStyle name="표준 5 3 5 2 5 3" xfId="8333" xr:uid="{00000000-0005-0000-0000-00000B940000}"/>
    <cellStyle name="표준 5 3 5 2 5 3 2" xfId="29039" xr:uid="{00000000-0005-0000-0000-00000C940000}"/>
    <cellStyle name="표준 5 3 5 2 5 3 3" xfId="37250" xr:uid="{00000000-0005-0000-0000-00000D940000}"/>
    <cellStyle name="표준 5 3 5 2 5 3 4" xfId="45443" xr:uid="{00000000-0005-0000-0000-00000E940000}"/>
    <cellStyle name="표준 5 3 5 2 5 4" xfId="12445" xr:uid="{00000000-0005-0000-0000-00000F940000}"/>
    <cellStyle name="표준 5 3 5 2 5 5" xfId="16685" xr:uid="{00000000-0005-0000-0000-000010940000}"/>
    <cellStyle name="표준 5 3 5 2 5 6" xfId="20847" xr:uid="{00000000-0005-0000-0000-000011940000}"/>
    <cellStyle name="표준 5 3 5 2 5 7" xfId="24943" xr:uid="{00000000-0005-0000-0000-000012940000}"/>
    <cellStyle name="표준 5 3 5 2 5 8" xfId="33154" xr:uid="{00000000-0005-0000-0000-000013940000}"/>
    <cellStyle name="표준 5 3 5 2 5 9" xfId="41347" xr:uid="{00000000-0005-0000-0000-000014940000}"/>
    <cellStyle name="표준 5 3 5 2 6" xfId="1990" xr:uid="{00000000-0005-0000-0000-000015940000}"/>
    <cellStyle name="표준 5 3 5 2 6 2" xfId="10893" xr:uid="{00000000-0005-0000-0000-000016940000}"/>
    <cellStyle name="표준 5 3 5 2 6 2 2" xfId="15005" xr:uid="{00000000-0005-0000-0000-000017940000}"/>
    <cellStyle name="표준 5 3 5 2 6 2 2 2" xfId="31599" xr:uid="{00000000-0005-0000-0000-000018940000}"/>
    <cellStyle name="표준 5 3 5 2 6 2 2 3" xfId="39810" xr:uid="{00000000-0005-0000-0000-000019940000}"/>
    <cellStyle name="표준 5 3 5 2 6 2 2 4" xfId="48003" xr:uid="{00000000-0005-0000-0000-00001A940000}"/>
    <cellStyle name="표준 5 3 5 2 6 2 3" xfId="19245" xr:uid="{00000000-0005-0000-0000-00001B940000}"/>
    <cellStyle name="표준 5 3 5 2 6 2 4" xfId="23407" xr:uid="{00000000-0005-0000-0000-00001C940000}"/>
    <cellStyle name="표준 5 3 5 2 6 2 5" xfId="27503" xr:uid="{00000000-0005-0000-0000-00001D940000}"/>
    <cellStyle name="표준 5 3 5 2 6 2 6" xfId="35714" xr:uid="{00000000-0005-0000-0000-00001E940000}"/>
    <cellStyle name="표준 5 3 5 2 6 2 7" xfId="43907" xr:uid="{00000000-0005-0000-0000-00001F940000}"/>
    <cellStyle name="표준 5 3 5 2 6 3" xfId="8845" xr:uid="{00000000-0005-0000-0000-000020940000}"/>
    <cellStyle name="표준 5 3 5 2 6 3 2" xfId="29551" xr:uid="{00000000-0005-0000-0000-000021940000}"/>
    <cellStyle name="표준 5 3 5 2 6 3 3" xfId="37762" xr:uid="{00000000-0005-0000-0000-000022940000}"/>
    <cellStyle name="표준 5 3 5 2 6 3 4" xfId="45955" xr:uid="{00000000-0005-0000-0000-000023940000}"/>
    <cellStyle name="표준 5 3 5 2 6 4" xfId="12957" xr:uid="{00000000-0005-0000-0000-000024940000}"/>
    <cellStyle name="표준 5 3 5 2 6 5" xfId="17197" xr:uid="{00000000-0005-0000-0000-000025940000}"/>
    <cellStyle name="표준 5 3 5 2 6 6" xfId="21359" xr:uid="{00000000-0005-0000-0000-000026940000}"/>
    <cellStyle name="표준 5 3 5 2 6 7" xfId="25455" xr:uid="{00000000-0005-0000-0000-000027940000}"/>
    <cellStyle name="표준 5 3 5 2 6 8" xfId="33666" xr:uid="{00000000-0005-0000-0000-000028940000}"/>
    <cellStyle name="표준 5 3 5 2 6 9" xfId="41859" xr:uid="{00000000-0005-0000-0000-000029940000}"/>
    <cellStyle name="표준 5 3 5 2 7" xfId="7050" xr:uid="{00000000-0005-0000-0000-00002A940000}"/>
    <cellStyle name="표준 5 3 5 2 7 2" xfId="9357" xr:uid="{00000000-0005-0000-0000-00002B940000}"/>
    <cellStyle name="표준 5 3 5 2 7 2 2" xfId="30063" xr:uid="{00000000-0005-0000-0000-00002C940000}"/>
    <cellStyle name="표준 5 3 5 2 7 2 3" xfId="38274" xr:uid="{00000000-0005-0000-0000-00002D940000}"/>
    <cellStyle name="표준 5 3 5 2 7 2 4" xfId="46467" xr:uid="{00000000-0005-0000-0000-00002E940000}"/>
    <cellStyle name="표준 5 3 5 2 7 3" xfId="13469" xr:uid="{00000000-0005-0000-0000-00002F940000}"/>
    <cellStyle name="표준 5 3 5 2 7 4" xfId="17709" xr:uid="{00000000-0005-0000-0000-000030940000}"/>
    <cellStyle name="표준 5 3 5 2 7 5" xfId="21871" xr:uid="{00000000-0005-0000-0000-000031940000}"/>
    <cellStyle name="표준 5 3 5 2 7 6" xfId="25967" xr:uid="{00000000-0005-0000-0000-000032940000}"/>
    <cellStyle name="표준 5 3 5 2 7 7" xfId="34178" xr:uid="{00000000-0005-0000-0000-000033940000}"/>
    <cellStyle name="표준 5 3 5 2 7 8" xfId="42371" xr:uid="{00000000-0005-0000-0000-000034940000}"/>
    <cellStyle name="표준 5 3 5 2 8" xfId="7128" xr:uid="{00000000-0005-0000-0000-000035940000}"/>
    <cellStyle name="표준 5 3 5 2 8 2" xfId="28015" xr:uid="{00000000-0005-0000-0000-000036940000}"/>
    <cellStyle name="표준 5 3 5 2 8 3" xfId="36226" xr:uid="{00000000-0005-0000-0000-000037940000}"/>
    <cellStyle name="표준 5 3 5 2 8 4" xfId="44419" xr:uid="{00000000-0005-0000-0000-000038940000}"/>
    <cellStyle name="표준 5 3 5 2 9" xfId="7309" xr:uid="{00000000-0005-0000-0000-000039940000}"/>
    <cellStyle name="표준 5 3 5 3" xfId="518" xr:uid="{00000000-0005-0000-0000-00003A940000}"/>
    <cellStyle name="표준 5 3 5 3 10" xfId="19887" xr:uid="{00000000-0005-0000-0000-00003B940000}"/>
    <cellStyle name="표준 5 3 5 3 11" xfId="23983" xr:uid="{00000000-0005-0000-0000-00003C940000}"/>
    <cellStyle name="표준 5 3 5 3 12" xfId="32194" xr:uid="{00000000-0005-0000-0000-00003D940000}"/>
    <cellStyle name="표준 5 3 5 3 13" xfId="40387" xr:uid="{00000000-0005-0000-0000-00003E940000}"/>
    <cellStyle name="표준 5 3 5 3 2" xfId="774" xr:uid="{00000000-0005-0000-0000-00003F940000}"/>
    <cellStyle name="표준 5 3 5 3 2 10" xfId="24239" xr:uid="{00000000-0005-0000-0000-000040940000}"/>
    <cellStyle name="표준 5 3 5 3 2 11" xfId="32450" xr:uid="{00000000-0005-0000-0000-000041940000}"/>
    <cellStyle name="표준 5 3 5 3 2 12" xfId="40643" xr:uid="{00000000-0005-0000-0000-000042940000}"/>
    <cellStyle name="표준 5 3 5 3 2 2" xfId="1286" xr:uid="{00000000-0005-0000-0000-000043940000}"/>
    <cellStyle name="표준 5 3 5 3 2 2 2" xfId="10189" xr:uid="{00000000-0005-0000-0000-000044940000}"/>
    <cellStyle name="표준 5 3 5 3 2 2 2 2" xfId="14301" xr:uid="{00000000-0005-0000-0000-000045940000}"/>
    <cellStyle name="표준 5 3 5 3 2 2 2 2 2" xfId="30895" xr:uid="{00000000-0005-0000-0000-000046940000}"/>
    <cellStyle name="표준 5 3 5 3 2 2 2 2 3" xfId="39106" xr:uid="{00000000-0005-0000-0000-000047940000}"/>
    <cellStyle name="표준 5 3 5 3 2 2 2 2 4" xfId="47299" xr:uid="{00000000-0005-0000-0000-000048940000}"/>
    <cellStyle name="표준 5 3 5 3 2 2 2 3" xfId="18541" xr:uid="{00000000-0005-0000-0000-000049940000}"/>
    <cellStyle name="표준 5 3 5 3 2 2 2 4" xfId="22703" xr:uid="{00000000-0005-0000-0000-00004A940000}"/>
    <cellStyle name="표준 5 3 5 3 2 2 2 5" xfId="26799" xr:uid="{00000000-0005-0000-0000-00004B940000}"/>
    <cellStyle name="표준 5 3 5 3 2 2 2 6" xfId="35010" xr:uid="{00000000-0005-0000-0000-00004C940000}"/>
    <cellStyle name="표준 5 3 5 3 2 2 2 7" xfId="43203" xr:uid="{00000000-0005-0000-0000-00004D940000}"/>
    <cellStyle name="표준 5 3 5 3 2 2 3" xfId="8141" xr:uid="{00000000-0005-0000-0000-00004E940000}"/>
    <cellStyle name="표준 5 3 5 3 2 2 3 2" xfId="28847" xr:uid="{00000000-0005-0000-0000-00004F940000}"/>
    <cellStyle name="표준 5 3 5 3 2 2 3 3" xfId="37058" xr:uid="{00000000-0005-0000-0000-000050940000}"/>
    <cellStyle name="표준 5 3 5 3 2 2 3 4" xfId="45251" xr:uid="{00000000-0005-0000-0000-000051940000}"/>
    <cellStyle name="표준 5 3 5 3 2 2 4" xfId="12253" xr:uid="{00000000-0005-0000-0000-000052940000}"/>
    <cellStyle name="표준 5 3 5 3 2 2 5" xfId="16493" xr:uid="{00000000-0005-0000-0000-000053940000}"/>
    <cellStyle name="표준 5 3 5 3 2 2 6" xfId="20655" xr:uid="{00000000-0005-0000-0000-000054940000}"/>
    <cellStyle name="표준 5 3 5 3 2 2 7" xfId="24751" xr:uid="{00000000-0005-0000-0000-000055940000}"/>
    <cellStyle name="표준 5 3 5 3 2 2 8" xfId="32962" xr:uid="{00000000-0005-0000-0000-000056940000}"/>
    <cellStyle name="표준 5 3 5 3 2 2 9" xfId="41155" xr:uid="{00000000-0005-0000-0000-000057940000}"/>
    <cellStyle name="표준 5 3 5 3 2 3" xfId="1798" xr:uid="{00000000-0005-0000-0000-000058940000}"/>
    <cellStyle name="표준 5 3 5 3 2 3 2" xfId="10701" xr:uid="{00000000-0005-0000-0000-000059940000}"/>
    <cellStyle name="표준 5 3 5 3 2 3 2 2" xfId="14813" xr:uid="{00000000-0005-0000-0000-00005A940000}"/>
    <cellStyle name="표준 5 3 5 3 2 3 2 2 2" xfId="31407" xr:uid="{00000000-0005-0000-0000-00005B940000}"/>
    <cellStyle name="표준 5 3 5 3 2 3 2 2 3" xfId="39618" xr:uid="{00000000-0005-0000-0000-00005C940000}"/>
    <cellStyle name="표준 5 3 5 3 2 3 2 2 4" xfId="47811" xr:uid="{00000000-0005-0000-0000-00005D940000}"/>
    <cellStyle name="표준 5 3 5 3 2 3 2 3" xfId="19053" xr:uid="{00000000-0005-0000-0000-00005E940000}"/>
    <cellStyle name="표준 5 3 5 3 2 3 2 4" xfId="23215" xr:uid="{00000000-0005-0000-0000-00005F940000}"/>
    <cellStyle name="표준 5 3 5 3 2 3 2 5" xfId="27311" xr:uid="{00000000-0005-0000-0000-000060940000}"/>
    <cellStyle name="표준 5 3 5 3 2 3 2 6" xfId="35522" xr:uid="{00000000-0005-0000-0000-000061940000}"/>
    <cellStyle name="표준 5 3 5 3 2 3 2 7" xfId="43715" xr:uid="{00000000-0005-0000-0000-000062940000}"/>
    <cellStyle name="표준 5 3 5 3 2 3 3" xfId="8653" xr:uid="{00000000-0005-0000-0000-000063940000}"/>
    <cellStyle name="표준 5 3 5 3 2 3 3 2" xfId="29359" xr:uid="{00000000-0005-0000-0000-000064940000}"/>
    <cellStyle name="표준 5 3 5 3 2 3 3 3" xfId="37570" xr:uid="{00000000-0005-0000-0000-000065940000}"/>
    <cellStyle name="표준 5 3 5 3 2 3 3 4" xfId="45763" xr:uid="{00000000-0005-0000-0000-000066940000}"/>
    <cellStyle name="표준 5 3 5 3 2 3 4" xfId="12765" xr:uid="{00000000-0005-0000-0000-000067940000}"/>
    <cellStyle name="표준 5 3 5 3 2 3 5" xfId="17005" xr:uid="{00000000-0005-0000-0000-000068940000}"/>
    <cellStyle name="표준 5 3 5 3 2 3 6" xfId="21167" xr:uid="{00000000-0005-0000-0000-000069940000}"/>
    <cellStyle name="표준 5 3 5 3 2 3 7" xfId="25263" xr:uid="{00000000-0005-0000-0000-00006A940000}"/>
    <cellStyle name="표준 5 3 5 3 2 3 8" xfId="33474" xr:uid="{00000000-0005-0000-0000-00006B940000}"/>
    <cellStyle name="표준 5 3 5 3 2 3 9" xfId="41667" xr:uid="{00000000-0005-0000-0000-00006C940000}"/>
    <cellStyle name="표준 5 3 5 3 2 4" xfId="2310" xr:uid="{00000000-0005-0000-0000-00006D940000}"/>
    <cellStyle name="표준 5 3 5 3 2 4 2" xfId="11213" xr:uid="{00000000-0005-0000-0000-00006E940000}"/>
    <cellStyle name="표준 5 3 5 3 2 4 2 2" xfId="15325" xr:uid="{00000000-0005-0000-0000-00006F940000}"/>
    <cellStyle name="표준 5 3 5 3 2 4 2 2 2" xfId="31919" xr:uid="{00000000-0005-0000-0000-000070940000}"/>
    <cellStyle name="표준 5 3 5 3 2 4 2 2 3" xfId="40130" xr:uid="{00000000-0005-0000-0000-000071940000}"/>
    <cellStyle name="표준 5 3 5 3 2 4 2 2 4" xfId="48323" xr:uid="{00000000-0005-0000-0000-000072940000}"/>
    <cellStyle name="표준 5 3 5 3 2 4 2 3" xfId="19565" xr:uid="{00000000-0005-0000-0000-000073940000}"/>
    <cellStyle name="표준 5 3 5 3 2 4 2 4" xfId="23727" xr:uid="{00000000-0005-0000-0000-000074940000}"/>
    <cellStyle name="표준 5 3 5 3 2 4 2 5" xfId="27823" xr:uid="{00000000-0005-0000-0000-000075940000}"/>
    <cellStyle name="표준 5 3 5 3 2 4 2 6" xfId="36034" xr:uid="{00000000-0005-0000-0000-000076940000}"/>
    <cellStyle name="표준 5 3 5 3 2 4 2 7" xfId="44227" xr:uid="{00000000-0005-0000-0000-000077940000}"/>
    <cellStyle name="표준 5 3 5 3 2 4 3" xfId="9165" xr:uid="{00000000-0005-0000-0000-000078940000}"/>
    <cellStyle name="표준 5 3 5 3 2 4 3 2" xfId="29871" xr:uid="{00000000-0005-0000-0000-000079940000}"/>
    <cellStyle name="표준 5 3 5 3 2 4 3 3" xfId="38082" xr:uid="{00000000-0005-0000-0000-00007A940000}"/>
    <cellStyle name="표준 5 3 5 3 2 4 3 4" xfId="46275" xr:uid="{00000000-0005-0000-0000-00007B940000}"/>
    <cellStyle name="표준 5 3 5 3 2 4 4" xfId="13277" xr:uid="{00000000-0005-0000-0000-00007C940000}"/>
    <cellStyle name="표준 5 3 5 3 2 4 5" xfId="17517" xr:uid="{00000000-0005-0000-0000-00007D940000}"/>
    <cellStyle name="표준 5 3 5 3 2 4 6" xfId="21679" xr:uid="{00000000-0005-0000-0000-00007E940000}"/>
    <cellStyle name="표준 5 3 5 3 2 4 7" xfId="25775" xr:uid="{00000000-0005-0000-0000-00007F940000}"/>
    <cellStyle name="표준 5 3 5 3 2 4 8" xfId="33986" xr:uid="{00000000-0005-0000-0000-000080940000}"/>
    <cellStyle name="표준 5 3 5 3 2 4 9" xfId="42179" xr:uid="{00000000-0005-0000-0000-000081940000}"/>
    <cellStyle name="표준 5 3 5 3 2 5" xfId="9677" xr:uid="{00000000-0005-0000-0000-000082940000}"/>
    <cellStyle name="표준 5 3 5 3 2 5 2" xfId="13789" xr:uid="{00000000-0005-0000-0000-000083940000}"/>
    <cellStyle name="표준 5 3 5 3 2 5 2 2" xfId="30383" xr:uid="{00000000-0005-0000-0000-000084940000}"/>
    <cellStyle name="표준 5 3 5 3 2 5 2 3" xfId="38594" xr:uid="{00000000-0005-0000-0000-000085940000}"/>
    <cellStyle name="표준 5 3 5 3 2 5 2 4" xfId="46787" xr:uid="{00000000-0005-0000-0000-000086940000}"/>
    <cellStyle name="표준 5 3 5 3 2 5 3" xfId="18029" xr:uid="{00000000-0005-0000-0000-000087940000}"/>
    <cellStyle name="표준 5 3 5 3 2 5 4" xfId="22191" xr:uid="{00000000-0005-0000-0000-000088940000}"/>
    <cellStyle name="표준 5 3 5 3 2 5 5" xfId="26287" xr:uid="{00000000-0005-0000-0000-000089940000}"/>
    <cellStyle name="표준 5 3 5 3 2 5 6" xfId="34498" xr:uid="{00000000-0005-0000-0000-00008A940000}"/>
    <cellStyle name="표준 5 3 5 3 2 5 7" xfId="42691" xr:uid="{00000000-0005-0000-0000-00008B940000}"/>
    <cellStyle name="표준 5 3 5 3 2 6" xfId="7629" xr:uid="{00000000-0005-0000-0000-00008C940000}"/>
    <cellStyle name="표준 5 3 5 3 2 6 2" xfId="28335" xr:uid="{00000000-0005-0000-0000-00008D940000}"/>
    <cellStyle name="표준 5 3 5 3 2 6 3" xfId="36546" xr:uid="{00000000-0005-0000-0000-00008E940000}"/>
    <cellStyle name="표준 5 3 5 3 2 6 4" xfId="44739" xr:uid="{00000000-0005-0000-0000-00008F940000}"/>
    <cellStyle name="표준 5 3 5 3 2 7" xfId="11741" xr:uid="{00000000-0005-0000-0000-000090940000}"/>
    <cellStyle name="표준 5 3 5 3 2 8" xfId="15981" xr:uid="{00000000-0005-0000-0000-000091940000}"/>
    <cellStyle name="표준 5 3 5 3 2 9" xfId="20143" xr:uid="{00000000-0005-0000-0000-000092940000}"/>
    <cellStyle name="표준 5 3 5 3 3" xfId="1030" xr:uid="{00000000-0005-0000-0000-000093940000}"/>
    <cellStyle name="표준 5 3 5 3 3 2" xfId="9933" xr:uid="{00000000-0005-0000-0000-000094940000}"/>
    <cellStyle name="표준 5 3 5 3 3 2 2" xfId="14045" xr:uid="{00000000-0005-0000-0000-000095940000}"/>
    <cellStyle name="표준 5 3 5 3 3 2 2 2" xfId="30639" xr:uid="{00000000-0005-0000-0000-000096940000}"/>
    <cellStyle name="표준 5 3 5 3 3 2 2 3" xfId="38850" xr:uid="{00000000-0005-0000-0000-000097940000}"/>
    <cellStyle name="표준 5 3 5 3 3 2 2 4" xfId="47043" xr:uid="{00000000-0005-0000-0000-000098940000}"/>
    <cellStyle name="표준 5 3 5 3 3 2 3" xfId="18285" xr:uid="{00000000-0005-0000-0000-000099940000}"/>
    <cellStyle name="표준 5 3 5 3 3 2 4" xfId="22447" xr:uid="{00000000-0005-0000-0000-00009A940000}"/>
    <cellStyle name="표준 5 3 5 3 3 2 5" xfId="26543" xr:uid="{00000000-0005-0000-0000-00009B940000}"/>
    <cellStyle name="표준 5 3 5 3 3 2 6" xfId="34754" xr:uid="{00000000-0005-0000-0000-00009C940000}"/>
    <cellStyle name="표준 5 3 5 3 3 2 7" xfId="42947" xr:uid="{00000000-0005-0000-0000-00009D940000}"/>
    <cellStyle name="표준 5 3 5 3 3 3" xfId="7885" xr:uid="{00000000-0005-0000-0000-00009E940000}"/>
    <cellStyle name="표준 5 3 5 3 3 3 2" xfId="28591" xr:uid="{00000000-0005-0000-0000-00009F940000}"/>
    <cellStyle name="표준 5 3 5 3 3 3 3" xfId="36802" xr:uid="{00000000-0005-0000-0000-0000A0940000}"/>
    <cellStyle name="표준 5 3 5 3 3 3 4" xfId="44995" xr:uid="{00000000-0005-0000-0000-0000A1940000}"/>
    <cellStyle name="표준 5 3 5 3 3 4" xfId="11997" xr:uid="{00000000-0005-0000-0000-0000A2940000}"/>
    <cellStyle name="표준 5 3 5 3 3 5" xfId="16237" xr:uid="{00000000-0005-0000-0000-0000A3940000}"/>
    <cellStyle name="표준 5 3 5 3 3 6" xfId="20399" xr:uid="{00000000-0005-0000-0000-0000A4940000}"/>
    <cellStyle name="표준 5 3 5 3 3 7" xfId="24495" xr:uid="{00000000-0005-0000-0000-0000A5940000}"/>
    <cellStyle name="표준 5 3 5 3 3 8" xfId="32706" xr:uid="{00000000-0005-0000-0000-0000A6940000}"/>
    <cellStyle name="표준 5 3 5 3 3 9" xfId="40899" xr:uid="{00000000-0005-0000-0000-0000A7940000}"/>
    <cellStyle name="표준 5 3 5 3 4" xfId="1542" xr:uid="{00000000-0005-0000-0000-0000A8940000}"/>
    <cellStyle name="표준 5 3 5 3 4 2" xfId="10445" xr:uid="{00000000-0005-0000-0000-0000A9940000}"/>
    <cellStyle name="표준 5 3 5 3 4 2 2" xfId="14557" xr:uid="{00000000-0005-0000-0000-0000AA940000}"/>
    <cellStyle name="표준 5 3 5 3 4 2 2 2" xfId="31151" xr:uid="{00000000-0005-0000-0000-0000AB940000}"/>
    <cellStyle name="표준 5 3 5 3 4 2 2 3" xfId="39362" xr:uid="{00000000-0005-0000-0000-0000AC940000}"/>
    <cellStyle name="표준 5 3 5 3 4 2 2 4" xfId="47555" xr:uid="{00000000-0005-0000-0000-0000AD940000}"/>
    <cellStyle name="표준 5 3 5 3 4 2 3" xfId="18797" xr:uid="{00000000-0005-0000-0000-0000AE940000}"/>
    <cellStyle name="표준 5 3 5 3 4 2 4" xfId="22959" xr:uid="{00000000-0005-0000-0000-0000AF940000}"/>
    <cellStyle name="표준 5 3 5 3 4 2 5" xfId="27055" xr:uid="{00000000-0005-0000-0000-0000B0940000}"/>
    <cellStyle name="표준 5 3 5 3 4 2 6" xfId="35266" xr:uid="{00000000-0005-0000-0000-0000B1940000}"/>
    <cellStyle name="표준 5 3 5 3 4 2 7" xfId="43459" xr:uid="{00000000-0005-0000-0000-0000B2940000}"/>
    <cellStyle name="표준 5 3 5 3 4 3" xfId="8397" xr:uid="{00000000-0005-0000-0000-0000B3940000}"/>
    <cellStyle name="표준 5 3 5 3 4 3 2" xfId="29103" xr:uid="{00000000-0005-0000-0000-0000B4940000}"/>
    <cellStyle name="표준 5 3 5 3 4 3 3" xfId="37314" xr:uid="{00000000-0005-0000-0000-0000B5940000}"/>
    <cellStyle name="표준 5 3 5 3 4 3 4" xfId="45507" xr:uid="{00000000-0005-0000-0000-0000B6940000}"/>
    <cellStyle name="표준 5 3 5 3 4 4" xfId="12509" xr:uid="{00000000-0005-0000-0000-0000B7940000}"/>
    <cellStyle name="표준 5 3 5 3 4 5" xfId="16749" xr:uid="{00000000-0005-0000-0000-0000B8940000}"/>
    <cellStyle name="표준 5 3 5 3 4 6" xfId="20911" xr:uid="{00000000-0005-0000-0000-0000B9940000}"/>
    <cellStyle name="표준 5 3 5 3 4 7" xfId="25007" xr:uid="{00000000-0005-0000-0000-0000BA940000}"/>
    <cellStyle name="표준 5 3 5 3 4 8" xfId="33218" xr:uid="{00000000-0005-0000-0000-0000BB940000}"/>
    <cellStyle name="표준 5 3 5 3 4 9" xfId="41411" xr:uid="{00000000-0005-0000-0000-0000BC940000}"/>
    <cellStyle name="표준 5 3 5 3 5" xfId="2054" xr:uid="{00000000-0005-0000-0000-0000BD940000}"/>
    <cellStyle name="표준 5 3 5 3 5 2" xfId="10957" xr:uid="{00000000-0005-0000-0000-0000BE940000}"/>
    <cellStyle name="표준 5 3 5 3 5 2 2" xfId="15069" xr:uid="{00000000-0005-0000-0000-0000BF940000}"/>
    <cellStyle name="표준 5 3 5 3 5 2 2 2" xfId="31663" xr:uid="{00000000-0005-0000-0000-0000C0940000}"/>
    <cellStyle name="표준 5 3 5 3 5 2 2 3" xfId="39874" xr:uid="{00000000-0005-0000-0000-0000C1940000}"/>
    <cellStyle name="표준 5 3 5 3 5 2 2 4" xfId="48067" xr:uid="{00000000-0005-0000-0000-0000C2940000}"/>
    <cellStyle name="표준 5 3 5 3 5 2 3" xfId="19309" xr:uid="{00000000-0005-0000-0000-0000C3940000}"/>
    <cellStyle name="표준 5 3 5 3 5 2 4" xfId="23471" xr:uid="{00000000-0005-0000-0000-0000C4940000}"/>
    <cellStyle name="표준 5 3 5 3 5 2 5" xfId="27567" xr:uid="{00000000-0005-0000-0000-0000C5940000}"/>
    <cellStyle name="표준 5 3 5 3 5 2 6" xfId="35778" xr:uid="{00000000-0005-0000-0000-0000C6940000}"/>
    <cellStyle name="표준 5 3 5 3 5 2 7" xfId="43971" xr:uid="{00000000-0005-0000-0000-0000C7940000}"/>
    <cellStyle name="표준 5 3 5 3 5 3" xfId="8909" xr:uid="{00000000-0005-0000-0000-0000C8940000}"/>
    <cellStyle name="표준 5 3 5 3 5 3 2" xfId="29615" xr:uid="{00000000-0005-0000-0000-0000C9940000}"/>
    <cellStyle name="표준 5 3 5 3 5 3 3" xfId="37826" xr:uid="{00000000-0005-0000-0000-0000CA940000}"/>
    <cellStyle name="표준 5 3 5 3 5 3 4" xfId="46019" xr:uid="{00000000-0005-0000-0000-0000CB940000}"/>
    <cellStyle name="표준 5 3 5 3 5 4" xfId="13021" xr:uid="{00000000-0005-0000-0000-0000CC940000}"/>
    <cellStyle name="표준 5 3 5 3 5 5" xfId="17261" xr:uid="{00000000-0005-0000-0000-0000CD940000}"/>
    <cellStyle name="표준 5 3 5 3 5 6" xfId="21423" xr:uid="{00000000-0005-0000-0000-0000CE940000}"/>
    <cellStyle name="표준 5 3 5 3 5 7" xfId="25519" xr:uid="{00000000-0005-0000-0000-0000CF940000}"/>
    <cellStyle name="표준 5 3 5 3 5 8" xfId="33730" xr:uid="{00000000-0005-0000-0000-0000D0940000}"/>
    <cellStyle name="표준 5 3 5 3 5 9" xfId="41923" xr:uid="{00000000-0005-0000-0000-0000D1940000}"/>
    <cellStyle name="표준 5 3 5 3 6" xfId="9421" xr:uid="{00000000-0005-0000-0000-0000D2940000}"/>
    <cellStyle name="표준 5 3 5 3 6 2" xfId="13533" xr:uid="{00000000-0005-0000-0000-0000D3940000}"/>
    <cellStyle name="표준 5 3 5 3 6 2 2" xfId="30127" xr:uid="{00000000-0005-0000-0000-0000D4940000}"/>
    <cellStyle name="표준 5 3 5 3 6 2 3" xfId="38338" xr:uid="{00000000-0005-0000-0000-0000D5940000}"/>
    <cellStyle name="표준 5 3 5 3 6 2 4" xfId="46531" xr:uid="{00000000-0005-0000-0000-0000D6940000}"/>
    <cellStyle name="표준 5 3 5 3 6 3" xfId="17773" xr:uid="{00000000-0005-0000-0000-0000D7940000}"/>
    <cellStyle name="표준 5 3 5 3 6 4" xfId="21935" xr:uid="{00000000-0005-0000-0000-0000D8940000}"/>
    <cellStyle name="표준 5 3 5 3 6 5" xfId="26031" xr:uid="{00000000-0005-0000-0000-0000D9940000}"/>
    <cellStyle name="표준 5 3 5 3 6 6" xfId="34242" xr:uid="{00000000-0005-0000-0000-0000DA940000}"/>
    <cellStyle name="표준 5 3 5 3 6 7" xfId="42435" xr:uid="{00000000-0005-0000-0000-0000DB940000}"/>
    <cellStyle name="표준 5 3 5 3 7" xfId="7373" xr:uid="{00000000-0005-0000-0000-0000DC940000}"/>
    <cellStyle name="표준 5 3 5 3 7 2" xfId="28079" xr:uid="{00000000-0005-0000-0000-0000DD940000}"/>
    <cellStyle name="표준 5 3 5 3 7 3" xfId="36290" xr:uid="{00000000-0005-0000-0000-0000DE940000}"/>
    <cellStyle name="표준 5 3 5 3 7 4" xfId="44483" xr:uid="{00000000-0005-0000-0000-0000DF940000}"/>
    <cellStyle name="표준 5 3 5 3 8" xfId="11485" xr:uid="{00000000-0005-0000-0000-0000E0940000}"/>
    <cellStyle name="표준 5 3 5 3 9" xfId="15725" xr:uid="{00000000-0005-0000-0000-0000E1940000}"/>
    <cellStyle name="표준 5 3 5 4" xfId="646" xr:uid="{00000000-0005-0000-0000-0000E2940000}"/>
    <cellStyle name="표준 5 3 5 4 10" xfId="24111" xr:uid="{00000000-0005-0000-0000-0000E3940000}"/>
    <cellStyle name="표준 5 3 5 4 11" xfId="32322" xr:uid="{00000000-0005-0000-0000-0000E4940000}"/>
    <cellStyle name="표준 5 3 5 4 12" xfId="40515" xr:uid="{00000000-0005-0000-0000-0000E5940000}"/>
    <cellStyle name="표준 5 3 5 4 2" xfId="1158" xr:uid="{00000000-0005-0000-0000-0000E6940000}"/>
    <cellStyle name="표준 5 3 5 4 2 2" xfId="10061" xr:uid="{00000000-0005-0000-0000-0000E7940000}"/>
    <cellStyle name="표준 5 3 5 4 2 2 2" xfId="14173" xr:uid="{00000000-0005-0000-0000-0000E8940000}"/>
    <cellStyle name="표준 5 3 5 4 2 2 2 2" xfId="30767" xr:uid="{00000000-0005-0000-0000-0000E9940000}"/>
    <cellStyle name="표준 5 3 5 4 2 2 2 3" xfId="38978" xr:uid="{00000000-0005-0000-0000-0000EA940000}"/>
    <cellStyle name="표준 5 3 5 4 2 2 2 4" xfId="47171" xr:uid="{00000000-0005-0000-0000-0000EB940000}"/>
    <cellStyle name="표준 5 3 5 4 2 2 3" xfId="18413" xr:uid="{00000000-0005-0000-0000-0000EC940000}"/>
    <cellStyle name="표준 5 3 5 4 2 2 4" xfId="22575" xr:uid="{00000000-0005-0000-0000-0000ED940000}"/>
    <cellStyle name="표준 5 3 5 4 2 2 5" xfId="26671" xr:uid="{00000000-0005-0000-0000-0000EE940000}"/>
    <cellStyle name="표준 5 3 5 4 2 2 6" xfId="34882" xr:uid="{00000000-0005-0000-0000-0000EF940000}"/>
    <cellStyle name="표준 5 3 5 4 2 2 7" xfId="43075" xr:uid="{00000000-0005-0000-0000-0000F0940000}"/>
    <cellStyle name="표준 5 3 5 4 2 3" xfId="8013" xr:uid="{00000000-0005-0000-0000-0000F1940000}"/>
    <cellStyle name="표준 5 3 5 4 2 3 2" xfId="28719" xr:uid="{00000000-0005-0000-0000-0000F2940000}"/>
    <cellStyle name="표준 5 3 5 4 2 3 3" xfId="36930" xr:uid="{00000000-0005-0000-0000-0000F3940000}"/>
    <cellStyle name="표준 5 3 5 4 2 3 4" xfId="45123" xr:uid="{00000000-0005-0000-0000-0000F4940000}"/>
    <cellStyle name="표준 5 3 5 4 2 4" xfId="12125" xr:uid="{00000000-0005-0000-0000-0000F5940000}"/>
    <cellStyle name="표준 5 3 5 4 2 5" xfId="16365" xr:uid="{00000000-0005-0000-0000-0000F6940000}"/>
    <cellStyle name="표준 5 3 5 4 2 6" xfId="20527" xr:uid="{00000000-0005-0000-0000-0000F7940000}"/>
    <cellStyle name="표준 5 3 5 4 2 7" xfId="24623" xr:uid="{00000000-0005-0000-0000-0000F8940000}"/>
    <cellStyle name="표준 5 3 5 4 2 8" xfId="32834" xr:uid="{00000000-0005-0000-0000-0000F9940000}"/>
    <cellStyle name="표준 5 3 5 4 2 9" xfId="41027" xr:uid="{00000000-0005-0000-0000-0000FA940000}"/>
    <cellStyle name="표준 5 3 5 4 3" xfId="1670" xr:uid="{00000000-0005-0000-0000-0000FB940000}"/>
    <cellStyle name="표준 5 3 5 4 3 2" xfId="10573" xr:uid="{00000000-0005-0000-0000-0000FC940000}"/>
    <cellStyle name="표준 5 3 5 4 3 2 2" xfId="14685" xr:uid="{00000000-0005-0000-0000-0000FD940000}"/>
    <cellStyle name="표준 5 3 5 4 3 2 2 2" xfId="31279" xr:uid="{00000000-0005-0000-0000-0000FE940000}"/>
    <cellStyle name="표준 5 3 5 4 3 2 2 3" xfId="39490" xr:uid="{00000000-0005-0000-0000-0000FF940000}"/>
    <cellStyle name="표준 5 3 5 4 3 2 2 4" xfId="47683" xr:uid="{00000000-0005-0000-0000-000000950000}"/>
    <cellStyle name="표준 5 3 5 4 3 2 3" xfId="18925" xr:uid="{00000000-0005-0000-0000-000001950000}"/>
    <cellStyle name="표준 5 3 5 4 3 2 4" xfId="23087" xr:uid="{00000000-0005-0000-0000-000002950000}"/>
    <cellStyle name="표준 5 3 5 4 3 2 5" xfId="27183" xr:uid="{00000000-0005-0000-0000-000003950000}"/>
    <cellStyle name="표준 5 3 5 4 3 2 6" xfId="35394" xr:uid="{00000000-0005-0000-0000-000004950000}"/>
    <cellStyle name="표준 5 3 5 4 3 2 7" xfId="43587" xr:uid="{00000000-0005-0000-0000-000005950000}"/>
    <cellStyle name="표준 5 3 5 4 3 3" xfId="8525" xr:uid="{00000000-0005-0000-0000-000006950000}"/>
    <cellStyle name="표준 5 3 5 4 3 3 2" xfId="29231" xr:uid="{00000000-0005-0000-0000-000007950000}"/>
    <cellStyle name="표준 5 3 5 4 3 3 3" xfId="37442" xr:uid="{00000000-0005-0000-0000-000008950000}"/>
    <cellStyle name="표준 5 3 5 4 3 3 4" xfId="45635" xr:uid="{00000000-0005-0000-0000-000009950000}"/>
    <cellStyle name="표준 5 3 5 4 3 4" xfId="12637" xr:uid="{00000000-0005-0000-0000-00000A950000}"/>
    <cellStyle name="표준 5 3 5 4 3 5" xfId="16877" xr:uid="{00000000-0005-0000-0000-00000B950000}"/>
    <cellStyle name="표준 5 3 5 4 3 6" xfId="21039" xr:uid="{00000000-0005-0000-0000-00000C950000}"/>
    <cellStyle name="표준 5 3 5 4 3 7" xfId="25135" xr:uid="{00000000-0005-0000-0000-00000D950000}"/>
    <cellStyle name="표준 5 3 5 4 3 8" xfId="33346" xr:uid="{00000000-0005-0000-0000-00000E950000}"/>
    <cellStyle name="표준 5 3 5 4 3 9" xfId="41539" xr:uid="{00000000-0005-0000-0000-00000F950000}"/>
    <cellStyle name="표준 5 3 5 4 4" xfId="2182" xr:uid="{00000000-0005-0000-0000-000010950000}"/>
    <cellStyle name="표준 5 3 5 4 4 2" xfId="11085" xr:uid="{00000000-0005-0000-0000-000011950000}"/>
    <cellStyle name="표준 5 3 5 4 4 2 2" xfId="15197" xr:uid="{00000000-0005-0000-0000-000012950000}"/>
    <cellStyle name="표준 5 3 5 4 4 2 2 2" xfId="31791" xr:uid="{00000000-0005-0000-0000-000013950000}"/>
    <cellStyle name="표준 5 3 5 4 4 2 2 3" xfId="40002" xr:uid="{00000000-0005-0000-0000-000014950000}"/>
    <cellStyle name="표준 5 3 5 4 4 2 2 4" xfId="48195" xr:uid="{00000000-0005-0000-0000-000015950000}"/>
    <cellStyle name="표준 5 3 5 4 4 2 3" xfId="19437" xr:uid="{00000000-0005-0000-0000-000016950000}"/>
    <cellStyle name="표준 5 3 5 4 4 2 4" xfId="23599" xr:uid="{00000000-0005-0000-0000-000017950000}"/>
    <cellStyle name="표준 5 3 5 4 4 2 5" xfId="27695" xr:uid="{00000000-0005-0000-0000-000018950000}"/>
    <cellStyle name="표준 5 3 5 4 4 2 6" xfId="35906" xr:uid="{00000000-0005-0000-0000-000019950000}"/>
    <cellStyle name="표준 5 3 5 4 4 2 7" xfId="44099" xr:uid="{00000000-0005-0000-0000-00001A950000}"/>
    <cellStyle name="표준 5 3 5 4 4 3" xfId="9037" xr:uid="{00000000-0005-0000-0000-00001B950000}"/>
    <cellStyle name="표준 5 3 5 4 4 3 2" xfId="29743" xr:uid="{00000000-0005-0000-0000-00001C950000}"/>
    <cellStyle name="표준 5 3 5 4 4 3 3" xfId="37954" xr:uid="{00000000-0005-0000-0000-00001D950000}"/>
    <cellStyle name="표준 5 3 5 4 4 3 4" xfId="46147" xr:uid="{00000000-0005-0000-0000-00001E950000}"/>
    <cellStyle name="표준 5 3 5 4 4 4" xfId="13149" xr:uid="{00000000-0005-0000-0000-00001F950000}"/>
    <cellStyle name="표준 5 3 5 4 4 5" xfId="17389" xr:uid="{00000000-0005-0000-0000-000020950000}"/>
    <cellStyle name="표준 5 3 5 4 4 6" xfId="21551" xr:uid="{00000000-0005-0000-0000-000021950000}"/>
    <cellStyle name="표준 5 3 5 4 4 7" xfId="25647" xr:uid="{00000000-0005-0000-0000-000022950000}"/>
    <cellStyle name="표준 5 3 5 4 4 8" xfId="33858" xr:uid="{00000000-0005-0000-0000-000023950000}"/>
    <cellStyle name="표준 5 3 5 4 4 9" xfId="42051" xr:uid="{00000000-0005-0000-0000-000024950000}"/>
    <cellStyle name="표준 5 3 5 4 5" xfId="9549" xr:uid="{00000000-0005-0000-0000-000025950000}"/>
    <cellStyle name="표준 5 3 5 4 5 2" xfId="13661" xr:uid="{00000000-0005-0000-0000-000026950000}"/>
    <cellStyle name="표준 5 3 5 4 5 2 2" xfId="30255" xr:uid="{00000000-0005-0000-0000-000027950000}"/>
    <cellStyle name="표준 5 3 5 4 5 2 3" xfId="38466" xr:uid="{00000000-0005-0000-0000-000028950000}"/>
    <cellStyle name="표준 5 3 5 4 5 2 4" xfId="46659" xr:uid="{00000000-0005-0000-0000-000029950000}"/>
    <cellStyle name="표준 5 3 5 4 5 3" xfId="17901" xr:uid="{00000000-0005-0000-0000-00002A950000}"/>
    <cellStyle name="표준 5 3 5 4 5 4" xfId="22063" xr:uid="{00000000-0005-0000-0000-00002B950000}"/>
    <cellStyle name="표준 5 3 5 4 5 5" xfId="26159" xr:uid="{00000000-0005-0000-0000-00002C950000}"/>
    <cellStyle name="표준 5 3 5 4 5 6" xfId="34370" xr:uid="{00000000-0005-0000-0000-00002D950000}"/>
    <cellStyle name="표준 5 3 5 4 5 7" xfId="42563" xr:uid="{00000000-0005-0000-0000-00002E950000}"/>
    <cellStyle name="표준 5 3 5 4 6" xfId="7501" xr:uid="{00000000-0005-0000-0000-00002F950000}"/>
    <cellStyle name="표준 5 3 5 4 6 2" xfId="28207" xr:uid="{00000000-0005-0000-0000-000030950000}"/>
    <cellStyle name="표준 5 3 5 4 6 3" xfId="36418" xr:uid="{00000000-0005-0000-0000-000031950000}"/>
    <cellStyle name="표준 5 3 5 4 6 4" xfId="44611" xr:uid="{00000000-0005-0000-0000-000032950000}"/>
    <cellStyle name="표준 5 3 5 4 7" xfId="11613" xr:uid="{00000000-0005-0000-0000-000033950000}"/>
    <cellStyle name="표준 5 3 5 4 8" xfId="15853" xr:uid="{00000000-0005-0000-0000-000034950000}"/>
    <cellStyle name="표준 5 3 5 4 9" xfId="20015" xr:uid="{00000000-0005-0000-0000-000035950000}"/>
    <cellStyle name="표준 5 3 5 5" xfId="902" xr:uid="{00000000-0005-0000-0000-000036950000}"/>
    <cellStyle name="표준 5 3 5 5 2" xfId="9805" xr:uid="{00000000-0005-0000-0000-000037950000}"/>
    <cellStyle name="표준 5 3 5 5 2 2" xfId="13917" xr:uid="{00000000-0005-0000-0000-000038950000}"/>
    <cellStyle name="표준 5 3 5 5 2 2 2" xfId="30511" xr:uid="{00000000-0005-0000-0000-000039950000}"/>
    <cellStyle name="표준 5 3 5 5 2 2 3" xfId="38722" xr:uid="{00000000-0005-0000-0000-00003A950000}"/>
    <cellStyle name="표준 5 3 5 5 2 2 4" xfId="46915" xr:uid="{00000000-0005-0000-0000-00003B950000}"/>
    <cellStyle name="표준 5 3 5 5 2 3" xfId="18157" xr:uid="{00000000-0005-0000-0000-00003C950000}"/>
    <cellStyle name="표준 5 3 5 5 2 4" xfId="22319" xr:uid="{00000000-0005-0000-0000-00003D950000}"/>
    <cellStyle name="표준 5 3 5 5 2 5" xfId="26415" xr:uid="{00000000-0005-0000-0000-00003E950000}"/>
    <cellStyle name="표준 5 3 5 5 2 6" xfId="34626" xr:uid="{00000000-0005-0000-0000-00003F950000}"/>
    <cellStyle name="표준 5 3 5 5 2 7" xfId="42819" xr:uid="{00000000-0005-0000-0000-000040950000}"/>
    <cellStyle name="표준 5 3 5 5 3" xfId="7757" xr:uid="{00000000-0005-0000-0000-000041950000}"/>
    <cellStyle name="표준 5 3 5 5 3 2" xfId="28463" xr:uid="{00000000-0005-0000-0000-000042950000}"/>
    <cellStyle name="표준 5 3 5 5 3 3" xfId="36674" xr:uid="{00000000-0005-0000-0000-000043950000}"/>
    <cellStyle name="표준 5 3 5 5 3 4" xfId="44867" xr:uid="{00000000-0005-0000-0000-000044950000}"/>
    <cellStyle name="표준 5 3 5 5 4" xfId="11869" xr:uid="{00000000-0005-0000-0000-000045950000}"/>
    <cellStyle name="표준 5 3 5 5 5" xfId="16109" xr:uid="{00000000-0005-0000-0000-000046950000}"/>
    <cellStyle name="표준 5 3 5 5 6" xfId="20271" xr:uid="{00000000-0005-0000-0000-000047950000}"/>
    <cellStyle name="표준 5 3 5 5 7" xfId="24367" xr:uid="{00000000-0005-0000-0000-000048950000}"/>
    <cellStyle name="표준 5 3 5 5 8" xfId="32578" xr:uid="{00000000-0005-0000-0000-000049950000}"/>
    <cellStyle name="표준 5 3 5 5 9" xfId="40771" xr:uid="{00000000-0005-0000-0000-00004A950000}"/>
    <cellStyle name="표준 5 3 5 6" xfId="1414" xr:uid="{00000000-0005-0000-0000-00004B950000}"/>
    <cellStyle name="표준 5 3 5 6 2" xfId="10317" xr:uid="{00000000-0005-0000-0000-00004C950000}"/>
    <cellStyle name="표준 5 3 5 6 2 2" xfId="14429" xr:uid="{00000000-0005-0000-0000-00004D950000}"/>
    <cellStyle name="표준 5 3 5 6 2 2 2" xfId="31023" xr:uid="{00000000-0005-0000-0000-00004E950000}"/>
    <cellStyle name="표준 5 3 5 6 2 2 3" xfId="39234" xr:uid="{00000000-0005-0000-0000-00004F950000}"/>
    <cellStyle name="표준 5 3 5 6 2 2 4" xfId="47427" xr:uid="{00000000-0005-0000-0000-000050950000}"/>
    <cellStyle name="표준 5 3 5 6 2 3" xfId="18669" xr:uid="{00000000-0005-0000-0000-000051950000}"/>
    <cellStyle name="표준 5 3 5 6 2 4" xfId="22831" xr:uid="{00000000-0005-0000-0000-000052950000}"/>
    <cellStyle name="표준 5 3 5 6 2 5" xfId="26927" xr:uid="{00000000-0005-0000-0000-000053950000}"/>
    <cellStyle name="표준 5 3 5 6 2 6" xfId="35138" xr:uid="{00000000-0005-0000-0000-000054950000}"/>
    <cellStyle name="표준 5 3 5 6 2 7" xfId="43331" xr:uid="{00000000-0005-0000-0000-000055950000}"/>
    <cellStyle name="표준 5 3 5 6 3" xfId="8269" xr:uid="{00000000-0005-0000-0000-000056950000}"/>
    <cellStyle name="표준 5 3 5 6 3 2" xfId="28975" xr:uid="{00000000-0005-0000-0000-000057950000}"/>
    <cellStyle name="표준 5 3 5 6 3 3" xfId="37186" xr:uid="{00000000-0005-0000-0000-000058950000}"/>
    <cellStyle name="표준 5 3 5 6 3 4" xfId="45379" xr:uid="{00000000-0005-0000-0000-000059950000}"/>
    <cellStyle name="표준 5 3 5 6 4" xfId="12381" xr:uid="{00000000-0005-0000-0000-00005A950000}"/>
    <cellStyle name="표준 5 3 5 6 5" xfId="16621" xr:uid="{00000000-0005-0000-0000-00005B950000}"/>
    <cellStyle name="표준 5 3 5 6 6" xfId="20783" xr:uid="{00000000-0005-0000-0000-00005C950000}"/>
    <cellStyle name="표준 5 3 5 6 7" xfId="24879" xr:uid="{00000000-0005-0000-0000-00005D950000}"/>
    <cellStyle name="표준 5 3 5 6 8" xfId="33090" xr:uid="{00000000-0005-0000-0000-00005E950000}"/>
    <cellStyle name="표준 5 3 5 6 9" xfId="41283" xr:uid="{00000000-0005-0000-0000-00005F950000}"/>
    <cellStyle name="표준 5 3 5 7" xfId="1926" xr:uid="{00000000-0005-0000-0000-000060950000}"/>
    <cellStyle name="표준 5 3 5 7 2" xfId="10829" xr:uid="{00000000-0005-0000-0000-000061950000}"/>
    <cellStyle name="표준 5 3 5 7 2 2" xfId="14941" xr:uid="{00000000-0005-0000-0000-000062950000}"/>
    <cellStyle name="표준 5 3 5 7 2 2 2" xfId="31535" xr:uid="{00000000-0005-0000-0000-000063950000}"/>
    <cellStyle name="표준 5 3 5 7 2 2 3" xfId="39746" xr:uid="{00000000-0005-0000-0000-000064950000}"/>
    <cellStyle name="표준 5 3 5 7 2 2 4" xfId="47939" xr:uid="{00000000-0005-0000-0000-000065950000}"/>
    <cellStyle name="표준 5 3 5 7 2 3" xfId="19181" xr:uid="{00000000-0005-0000-0000-000066950000}"/>
    <cellStyle name="표준 5 3 5 7 2 4" xfId="23343" xr:uid="{00000000-0005-0000-0000-000067950000}"/>
    <cellStyle name="표준 5 3 5 7 2 5" xfId="27439" xr:uid="{00000000-0005-0000-0000-000068950000}"/>
    <cellStyle name="표준 5 3 5 7 2 6" xfId="35650" xr:uid="{00000000-0005-0000-0000-000069950000}"/>
    <cellStyle name="표준 5 3 5 7 2 7" xfId="43843" xr:uid="{00000000-0005-0000-0000-00006A950000}"/>
    <cellStyle name="표준 5 3 5 7 3" xfId="8781" xr:uid="{00000000-0005-0000-0000-00006B950000}"/>
    <cellStyle name="표준 5 3 5 7 3 2" xfId="29487" xr:uid="{00000000-0005-0000-0000-00006C950000}"/>
    <cellStyle name="표준 5 3 5 7 3 3" xfId="37698" xr:uid="{00000000-0005-0000-0000-00006D950000}"/>
    <cellStyle name="표준 5 3 5 7 3 4" xfId="45891" xr:uid="{00000000-0005-0000-0000-00006E950000}"/>
    <cellStyle name="표준 5 3 5 7 4" xfId="12893" xr:uid="{00000000-0005-0000-0000-00006F950000}"/>
    <cellStyle name="표준 5 3 5 7 5" xfId="17133" xr:uid="{00000000-0005-0000-0000-000070950000}"/>
    <cellStyle name="표준 5 3 5 7 6" xfId="21295" xr:uid="{00000000-0005-0000-0000-000071950000}"/>
    <cellStyle name="표준 5 3 5 7 7" xfId="25391" xr:uid="{00000000-0005-0000-0000-000072950000}"/>
    <cellStyle name="표준 5 3 5 7 8" xfId="33602" xr:uid="{00000000-0005-0000-0000-000073950000}"/>
    <cellStyle name="표준 5 3 5 7 9" xfId="41795" xr:uid="{00000000-0005-0000-0000-000074950000}"/>
    <cellStyle name="표준 5 3 5 8" xfId="390" xr:uid="{00000000-0005-0000-0000-000075950000}"/>
    <cellStyle name="표준 5 3 5 8 2" xfId="9293" xr:uid="{00000000-0005-0000-0000-000076950000}"/>
    <cellStyle name="표준 5 3 5 8 2 2" xfId="29999" xr:uid="{00000000-0005-0000-0000-000077950000}"/>
    <cellStyle name="표준 5 3 5 8 2 3" xfId="38210" xr:uid="{00000000-0005-0000-0000-000078950000}"/>
    <cellStyle name="표준 5 3 5 8 2 4" xfId="46403" xr:uid="{00000000-0005-0000-0000-000079950000}"/>
    <cellStyle name="표준 5 3 5 8 3" xfId="13405" xr:uid="{00000000-0005-0000-0000-00007A950000}"/>
    <cellStyle name="표준 5 3 5 8 4" xfId="17645" xr:uid="{00000000-0005-0000-0000-00007B950000}"/>
    <cellStyle name="표준 5 3 5 8 5" xfId="21807" xr:uid="{00000000-0005-0000-0000-00007C950000}"/>
    <cellStyle name="표준 5 3 5 8 6" xfId="25903" xr:uid="{00000000-0005-0000-0000-00007D950000}"/>
    <cellStyle name="표준 5 3 5 8 7" xfId="34114" xr:uid="{00000000-0005-0000-0000-00007E950000}"/>
    <cellStyle name="표준 5 3 5 8 8" xfId="42307" xr:uid="{00000000-0005-0000-0000-00007F950000}"/>
    <cellStyle name="표준 5 3 5 9" xfId="6992" xr:uid="{00000000-0005-0000-0000-000080950000}"/>
    <cellStyle name="표준 5 3 5 9 2" xfId="27951" xr:uid="{00000000-0005-0000-0000-000081950000}"/>
    <cellStyle name="표준 5 3 5 9 3" xfId="36162" xr:uid="{00000000-0005-0000-0000-000082950000}"/>
    <cellStyle name="표준 5 3 5 9 4" xfId="44355" xr:uid="{00000000-0005-0000-0000-000083950000}"/>
    <cellStyle name="표준 5 3 6" xfId="422" xr:uid="{00000000-0005-0000-0000-000084950000}"/>
    <cellStyle name="표준 5 3 6 10" xfId="11389" xr:uid="{00000000-0005-0000-0000-000085950000}"/>
    <cellStyle name="표준 5 3 6 11" xfId="15501" xr:uid="{00000000-0005-0000-0000-000086950000}"/>
    <cellStyle name="표준 5 3 6 12" xfId="15629" xr:uid="{00000000-0005-0000-0000-000087950000}"/>
    <cellStyle name="표준 5 3 6 13" xfId="19791" xr:uid="{00000000-0005-0000-0000-000088950000}"/>
    <cellStyle name="표준 5 3 6 14" xfId="23887" xr:uid="{00000000-0005-0000-0000-000089950000}"/>
    <cellStyle name="표준 5 3 6 15" xfId="32098" xr:uid="{00000000-0005-0000-0000-00008A950000}"/>
    <cellStyle name="표준 5 3 6 16" xfId="40291" xr:uid="{00000000-0005-0000-0000-00008B950000}"/>
    <cellStyle name="표준 5 3 6 2" xfId="550" xr:uid="{00000000-0005-0000-0000-00008C950000}"/>
    <cellStyle name="표준 5 3 6 2 10" xfId="19919" xr:uid="{00000000-0005-0000-0000-00008D950000}"/>
    <cellStyle name="표준 5 3 6 2 11" xfId="24015" xr:uid="{00000000-0005-0000-0000-00008E950000}"/>
    <cellStyle name="표준 5 3 6 2 12" xfId="32226" xr:uid="{00000000-0005-0000-0000-00008F950000}"/>
    <cellStyle name="표준 5 3 6 2 13" xfId="40419" xr:uid="{00000000-0005-0000-0000-000090950000}"/>
    <cellStyle name="표준 5 3 6 2 2" xfId="806" xr:uid="{00000000-0005-0000-0000-000091950000}"/>
    <cellStyle name="표준 5 3 6 2 2 10" xfId="24271" xr:uid="{00000000-0005-0000-0000-000092950000}"/>
    <cellStyle name="표준 5 3 6 2 2 11" xfId="32482" xr:uid="{00000000-0005-0000-0000-000093950000}"/>
    <cellStyle name="표준 5 3 6 2 2 12" xfId="40675" xr:uid="{00000000-0005-0000-0000-000094950000}"/>
    <cellStyle name="표준 5 3 6 2 2 2" xfId="1318" xr:uid="{00000000-0005-0000-0000-000095950000}"/>
    <cellStyle name="표준 5 3 6 2 2 2 2" xfId="10221" xr:uid="{00000000-0005-0000-0000-000096950000}"/>
    <cellStyle name="표준 5 3 6 2 2 2 2 2" xfId="14333" xr:uid="{00000000-0005-0000-0000-000097950000}"/>
    <cellStyle name="표준 5 3 6 2 2 2 2 2 2" xfId="30927" xr:uid="{00000000-0005-0000-0000-000098950000}"/>
    <cellStyle name="표준 5 3 6 2 2 2 2 2 3" xfId="39138" xr:uid="{00000000-0005-0000-0000-000099950000}"/>
    <cellStyle name="표준 5 3 6 2 2 2 2 2 4" xfId="47331" xr:uid="{00000000-0005-0000-0000-00009A950000}"/>
    <cellStyle name="표준 5 3 6 2 2 2 2 3" xfId="18573" xr:uid="{00000000-0005-0000-0000-00009B950000}"/>
    <cellStyle name="표준 5 3 6 2 2 2 2 4" xfId="22735" xr:uid="{00000000-0005-0000-0000-00009C950000}"/>
    <cellStyle name="표준 5 3 6 2 2 2 2 5" xfId="26831" xr:uid="{00000000-0005-0000-0000-00009D950000}"/>
    <cellStyle name="표준 5 3 6 2 2 2 2 6" xfId="35042" xr:uid="{00000000-0005-0000-0000-00009E950000}"/>
    <cellStyle name="표준 5 3 6 2 2 2 2 7" xfId="43235" xr:uid="{00000000-0005-0000-0000-00009F950000}"/>
    <cellStyle name="표준 5 3 6 2 2 2 3" xfId="8173" xr:uid="{00000000-0005-0000-0000-0000A0950000}"/>
    <cellStyle name="표준 5 3 6 2 2 2 3 2" xfId="28879" xr:uid="{00000000-0005-0000-0000-0000A1950000}"/>
    <cellStyle name="표준 5 3 6 2 2 2 3 3" xfId="37090" xr:uid="{00000000-0005-0000-0000-0000A2950000}"/>
    <cellStyle name="표준 5 3 6 2 2 2 3 4" xfId="45283" xr:uid="{00000000-0005-0000-0000-0000A3950000}"/>
    <cellStyle name="표준 5 3 6 2 2 2 4" xfId="12285" xr:uid="{00000000-0005-0000-0000-0000A4950000}"/>
    <cellStyle name="표준 5 3 6 2 2 2 5" xfId="16525" xr:uid="{00000000-0005-0000-0000-0000A5950000}"/>
    <cellStyle name="표준 5 3 6 2 2 2 6" xfId="20687" xr:uid="{00000000-0005-0000-0000-0000A6950000}"/>
    <cellStyle name="표준 5 3 6 2 2 2 7" xfId="24783" xr:uid="{00000000-0005-0000-0000-0000A7950000}"/>
    <cellStyle name="표준 5 3 6 2 2 2 8" xfId="32994" xr:uid="{00000000-0005-0000-0000-0000A8950000}"/>
    <cellStyle name="표준 5 3 6 2 2 2 9" xfId="41187" xr:uid="{00000000-0005-0000-0000-0000A9950000}"/>
    <cellStyle name="표준 5 3 6 2 2 3" xfId="1830" xr:uid="{00000000-0005-0000-0000-0000AA950000}"/>
    <cellStyle name="표준 5 3 6 2 2 3 2" xfId="10733" xr:uid="{00000000-0005-0000-0000-0000AB950000}"/>
    <cellStyle name="표준 5 3 6 2 2 3 2 2" xfId="14845" xr:uid="{00000000-0005-0000-0000-0000AC950000}"/>
    <cellStyle name="표준 5 3 6 2 2 3 2 2 2" xfId="31439" xr:uid="{00000000-0005-0000-0000-0000AD950000}"/>
    <cellStyle name="표준 5 3 6 2 2 3 2 2 3" xfId="39650" xr:uid="{00000000-0005-0000-0000-0000AE950000}"/>
    <cellStyle name="표준 5 3 6 2 2 3 2 2 4" xfId="47843" xr:uid="{00000000-0005-0000-0000-0000AF950000}"/>
    <cellStyle name="표준 5 3 6 2 2 3 2 3" xfId="19085" xr:uid="{00000000-0005-0000-0000-0000B0950000}"/>
    <cellStyle name="표준 5 3 6 2 2 3 2 4" xfId="23247" xr:uid="{00000000-0005-0000-0000-0000B1950000}"/>
    <cellStyle name="표준 5 3 6 2 2 3 2 5" xfId="27343" xr:uid="{00000000-0005-0000-0000-0000B2950000}"/>
    <cellStyle name="표준 5 3 6 2 2 3 2 6" xfId="35554" xr:uid="{00000000-0005-0000-0000-0000B3950000}"/>
    <cellStyle name="표준 5 3 6 2 2 3 2 7" xfId="43747" xr:uid="{00000000-0005-0000-0000-0000B4950000}"/>
    <cellStyle name="표준 5 3 6 2 2 3 3" xfId="8685" xr:uid="{00000000-0005-0000-0000-0000B5950000}"/>
    <cellStyle name="표준 5 3 6 2 2 3 3 2" xfId="29391" xr:uid="{00000000-0005-0000-0000-0000B6950000}"/>
    <cellStyle name="표준 5 3 6 2 2 3 3 3" xfId="37602" xr:uid="{00000000-0005-0000-0000-0000B7950000}"/>
    <cellStyle name="표준 5 3 6 2 2 3 3 4" xfId="45795" xr:uid="{00000000-0005-0000-0000-0000B8950000}"/>
    <cellStyle name="표준 5 3 6 2 2 3 4" xfId="12797" xr:uid="{00000000-0005-0000-0000-0000B9950000}"/>
    <cellStyle name="표준 5 3 6 2 2 3 5" xfId="17037" xr:uid="{00000000-0005-0000-0000-0000BA950000}"/>
    <cellStyle name="표준 5 3 6 2 2 3 6" xfId="21199" xr:uid="{00000000-0005-0000-0000-0000BB950000}"/>
    <cellStyle name="표준 5 3 6 2 2 3 7" xfId="25295" xr:uid="{00000000-0005-0000-0000-0000BC950000}"/>
    <cellStyle name="표준 5 3 6 2 2 3 8" xfId="33506" xr:uid="{00000000-0005-0000-0000-0000BD950000}"/>
    <cellStyle name="표준 5 3 6 2 2 3 9" xfId="41699" xr:uid="{00000000-0005-0000-0000-0000BE950000}"/>
    <cellStyle name="표준 5 3 6 2 2 4" xfId="2342" xr:uid="{00000000-0005-0000-0000-0000BF950000}"/>
    <cellStyle name="표준 5 3 6 2 2 4 2" xfId="11245" xr:uid="{00000000-0005-0000-0000-0000C0950000}"/>
    <cellStyle name="표준 5 3 6 2 2 4 2 2" xfId="15357" xr:uid="{00000000-0005-0000-0000-0000C1950000}"/>
    <cellStyle name="표준 5 3 6 2 2 4 2 2 2" xfId="31951" xr:uid="{00000000-0005-0000-0000-0000C2950000}"/>
    <cellStyle name="표준 5 3 6 2 2 4 2 2 3" xfId="40162" xr:uid="{00000000-0005-0000-0000-0000C3950000}"/>
    <cellStyle name="표준 5 3 6 2 2 4 2 2 4" xfId="48355" xr:uid="{00000000-0005-0000-0000-0000C4950000}"/>
    <cellStyle name="표준 5 3 6 2 2 4 2 3" xfId="19597" xr:uid="{00000000-0005-0000-0000-0000C5950000}"/>
    <cellStyle name="표준 5 3 6 2 2 4 2 4" xfId="23759" xr:uid="{00000000-0005-0000-0000-0000C6950000}"/>
    <cellStyle name="표준 5 3 6 2 2 4 2 5" xfId="27855" xr:uid="{00000000-0005-0000-0000-0000C7950000}"/>
    <cellStyle name="표준 5 3 6 2 2 4 2 6" xfId="36066" xr:uid="{00000000-0005-0000-0000-0000C8950000}"/>
    <cellStyle name="표준 5 3 6 2 2 4 2 7" xfId="44259" xr:uid="{00000000-0005-0000-0000-0000C9950000}"/>
    <cellStyle name="표준 5 3 6 2 2 4 3" xfId="9197" xr:uid="{00000000-0005-0000-0000-0000CA950000}"/>
    <cellStyle name="표준 5 3 6 2 2 4 3 2" xfId="29903" xr:uid="{00000000-0005-0000-0000-0000CB950000}"/>
    <cellStyle name="표준 5 3 6 2 2 4 3 3" xfId="38114" xr:uid="{00000000-0005-0000-0000-0000CC950000}"/>
    <cellStyle name="표준 5 3 6 2 2 4 3 4" xfId="46307" xr:uid="{00000000-0005-0000-0000-0000CD950000}"/>
    <cellStyle name="표준 5 3 6 2 2 4 4" xfId="13309" xr:uid="{00000000-0005-0000-0000-0000CE950000}"/>
    <cellStyle name="표준 5 3 6 2 2 4 5" xfId="17549" xr:uid="{00000000-0005-0000-0000-0000CF950000}"/>
    <cellStyle name="표준 5 3 6 2 2 4 6" xfId="21711" xr:uid="{00000000-0005-0000-0000-0000D0950000}"/>
    <cellStyle name="표준 5 3 6 2 2 4 7" xfId="25807" xr:uid="{00000000-0005-0000-0000-0000D1950000}"/>
    <cellStyle name="표준 5 3 6 2 2 4 8" xfId="34018" xr:uid="{00000000-0005-0000-0000-0000D2950000}"/>
    <cellStyle name="표준 5 3 6 2 2 4 9" xfId="42211" xr:uid="{00000000-0005-0000-0000-0000D3950000}"/>
    <cellStyle name="표준 5 3 6 2 2 5" xfId="9709" xr:uid="{00000000-0005-0000-0000-0000D4950000}"/>
    <cellStyle name="표준 5 3 6 2 2 5 2" xfId="13821" xr:uid="{00000000-0005-0000-0000-0000D5950000}"/>
    <cellStyle name="표준 5 3 6 2 2 5 2 2" xfId="30415" xr:uid="{00000000-0005-0000-0000-0000D6950000}"/>
    <cellStyle name="표준 5 3 6 2 2 5 2 3" xfId="38626" xr:uid="{00000000-0005-0000-0000-0000D7950000}"/>
    <cellStyle name="표준 5 3 6 2 2 5 2 4" xfId="46819" xr:uid="{00000000-0005-0000-0000-0000D8950000}"/>
    <cellStyle name="표준 5 3 6 2 2 5 3" xfId="18061" xr:uid="{00000000-0005-0000-0000-0000D9950000}"/>
    <cellStyle name="표준 5 3 6 2 2 5 4" xfId="22223" xr:uid="{00000000-0005-0000-0000-0000DA950000}"/>
    <cellStyle name="표준 5 3 6 2 2 5 5" xfId="26319" xr:uid="{00000000-0005-0000-0000-0000DB950000}"/>
    <cellStyle name="표준 5 3 6 2 2 5 6" xfId="34530" xr:uid="{00000000-0005-0000-0000-0000DC950000}"/>
    <cellStyle name="표준 5 3 6 2 2 5 7" xfId="42723" xr:uid="{00000000-0005-0000-0000-0000DD950000}"/>
    <cellStyle name="표준 5 3 6 2 2 6" xfId="7661" xr:uid="{00000000-0005-0000-0000-0000DE950000}"/>
    <cellStyle name="표준 5 3 6 2 2 6 2" xfId="28367" xr:uid="{00000000-0005-0000-0000-0000DF950000}"/>
    <cellStyle name="표준 5 3 6 2 2 6 3" xfId="36578" xr:uid="{00000000-0005-0000-0000-0000E0950000}"/>
    <cellStyle name="표준 5 3 6 2 2 6 4" xfId="44771" xr:uid="{00000000-0005-0000-0000-0000E1950000}"/>
    <cellStyle name="표준 5 3 6 2 2 7" xfId="11773" xr:uid="{00000000-0005-0000-0000-0000E2950000}"/>
    <cellStyle name="표준 5 3 6 2 2 8" xfId="16013" xr:uid="{00000000-0005-0000-0000-0000E3950000}"/>
    <cellStyle name="표준 5 3 6 2 2 9" xfId="20175" xr:uid="{00000000-0005-0000-0000-0000E4950000}"/>
    <cellStyle name="표준 5 3 6 2 3" xfId="1062" xr:uid="{00000000-0005-0000-0000-0000E5950000}"/>
    <cellStyle name="표준 5 3 6 2 3 2" xfId="9965" xr:uid="{00000000-0005-0000-0000-0000E6950000}"/>
    <cellStyle name="표준 5 3 6 2 3 2 2" xfId="14077" xr:uid="{00000000-0005-0000-0000-0000E7950000}"/>
    <cellStyle name="표준 5 3 6 2 3 2 2 2" xfId="30671" xr:uid="{00000000-0005-0000-0000-0000E8950000}"/>
    <cellStyle name="표준 5 3 6 2 3 2 2 3" xfId="38882" xr:uid="{00000000-0005-0000-0000-0000E9950000}"/>
    <cellStyle name="표준 5 3 6 2 3 2 2 4" xfId="47075" xr:uid="{00000000-0005-0000-0000-0000EA950000}"/>
    <cellStyle name="표준 5 3 6 2 3 2 3" xfId="18317" xr:uid="{00000000-0005-0000-0000-0000EB950000}"/>
    <cellStyle name="표준 5 3 6 2 3 2 4" xfId="22479" xr:uid="{00000000-0005-0000-0000-0000EC950000}"/>
    <cellStyle name="표준 5 3 6 2 3 2 5" xfId="26575" xr:uid="{00000000-0005-0000-0000-0000ED950000}"/>
    <cellStyle name="표준 5 3 6 2 3 2 6" xfId="34786" xr:uid="{00000000-0005-0000-0000-0000EE950000}"/>
    <cellStyle name="표준 5 3 6 2 3 2 7" xfId="42979" xr:uid="{00000000-0005-0000-0000-0000EF950000}"/>
    <cellStyle name="표준 5 3 6 2 3 3" xfId="7917" xr:uid="{00000000-0005-0000-0000-0000F0950000}"/>
    <cellStyle name="표준 5 3 6 2 3 3 2" xfId="28623" xr:uid="{00000000-0005-0000-0000-0000F1950000}"/>
    <cellStyle name="표준 5 3 6 2 3 3 3" xfId="36834" xr:uid="{00000000-0005-0000-0000-0000F2950000}"/>
    <cellStyle name="표준 5 3 6 2 3 3 4" xfId="45027" xr:uid="{00000000-0005-0000-0000-0000F3950000}"/>
    <cellStyle name="표준 5 3 6 2 3 4" xfId="12029" xr:uid="{00000000-0005-0000-0000-0000F4950000}"/>
    <cellStyle name="표준 5 3 6 2 3 5" xfId="16269" xr:uid="{00000000-0005-0000-0000-0000F5950000}"/>
    <cellStyle name="표준 5 3 6 2 3 6" xfId="20431" xr:uid="{00000000-0005-0000-0000-0000F6950000}"/>
    <cellStyle name="표준 5 3 6 2 3 7" xfId="24527" xr:uid="{00000000-0005-0000-0000-0000F7950000}"/>
    <cellStyle name="표준 5 3 6 2 3 8" xfId="32738" xr:uid="{00000000-0005-0000-0000-0000F8950000}"/>
    <cellStyle name="표준 5 3 6 2 3 9" xfId="40931" xr:uid="{00000000-0005-0000-0000-0000F9950000}"/>
    <cellStyle name="표준 5 3 6 2 4" xfId="1574" xr:uid="{00000000-0005-0000-0000-0000FA950000}"/>
    <cellStyle name="표준 5 3 6 2 4 2" xfId="10477" xr:uid="{00000000-0005-0000-0000-0000FB950000}"/>
    <cellStyle name="표준 5 3 6 2 4 2 2" xfId="14589" xr:uid="{00000000-0005-0000-0000-0000FC950000}"/>
    <cellStyle name="표준 5 3 6 2 4 2 2 2" xfId="31183" xr:uid="{00000000-0005-0000-0000-0000FD950000}"/>
    <cellStyle name="표준 5 3 6 2 4 2 2 3" xfId="39394" xr:uid="{00000000-0005-0000-0000-0000FE950000}"/>
    <cellStyle name="표준 5 3 6 2 4 2 2 4" xfId="47587" xr:uid="{00000000-0005-0000-0000-0000FF950000}"/>
    <cellStyle name="표준 5 3 6 2 4 2 3" xfId="18829" xr:uid="{00000000-0005-0000-0000-000000960000}"/>
    <cellStyle name="표준 5 3 6 2 4 2 4" xfId="22991" xr:uid="{00000000-0005-0000-0000-000001960000}"/>
    <cellStyle name="표준 5 3 6 2 4 2 5" xfId="27087" xr:uid="{00000000-0005-0000-0000-000002960000}"/>
    <cellStyle name="표준 5 3 6 2 4 2 6" xfId="35298" xr:uid="{00000000-0005-0000-0000-000003960000}"/>
    <cellStyle name="표준 5 3 6 2 4 2 7" xfId="43491" xr:uid="{00000000-0005-0000-0000-000004960000}"/>
    <cellStyle name="표준 5 3 6 2 4 3" xfId="8429" xr:uid="{00000000-0005-0000-0000-000005960000}"/>
    <cellStyle name="표준 5 3 6 2 4 3 2" xfId="29135" xr:uid="{00000000-0005-0000-0000-000006960000}"/>
    <cellStyle name="표준 5 3 6 2 4 3 3" xfId="37346" xr:uid="{00000000-0005-0000-0000-000007960000}"/>
    <cellStyle name="표준 5 3 6 2 4 3 4" xfId="45539" xr:uid="{00000000-0005-0000-0000-000008960000}"/>
    <cellStyle name="표준 5 3 6 2 4 4" xfId="12541" xr:uid="{00000000-0005-0000-0000-000009960000}"/>
    <cellStyle name="표준 5 3 6 2 4 5" xfId="16781" xr:uid="{00000000-0005-0000-0000-00000A960000}"/>
    <cellStyle name="표준 5 3 6 2 4 6" xfId="20943" xr:uid="{00000000-0005-0000-0000-00000B960000}"/>
    <cellStyle name="표준 5 3 6 2 4 7" xfId="25039" xr:uid="{00000000-0005-0000-0000-00000C960000}"/>
    <cellStyle name="표준 5 3 6 2 4 8" xfId="33250" xr:uid="{00000000-0005-0000-0000-00000D960000}"/>
    <cellStyle name="표준 5 3 6 2 4 9" xfId="41443" xr:uid="{00000000-0005-0000-0000-00000E960000}"/>
    <cellStyle name="표준 5 3 6 2 5" xfId="2086" xr:uid="{00000000-0005-0000-0000-00000F960000}"/>
    <cellStyle name="표준 5 3 6 2 5 2" xfId="10989" xr:uid="{00000000-0005-0000-0000-000010960000}"/>
    <cellStyle name="표준 5 3 6 2 5 2 2" xfId="15101" xr:uid="{00000000-0005-0000-0000-000011960000}"/>
    <cellStyle name="표준 5 3 6 2 5 2 2 2" xfId="31695" xr:uid="{00000000-0005-0000-0000-000012960000}"/>
    <cellStyle name="표준 5 3 6 2 5 2 2 3" xfId="39906" xr:uid="{00000000-0005-0000-0000-000013960000}"/>
    <cellStyle name="표준 5 3 6 2 5 2 2 4" xfId="48099" xr:uid="{00000000-0005-0000-0000-000014960000}"/>
    <cellStyle name="표준 5 3 6 2 5 2 3" xfId="19341" xr:uid="{00000000-0005-0000-0000-000015960000}"/>
    <cellStyle name="표준 5 3 6 2 5 2 4" xfId="23503" xr:uid="{00000000-0005-0000-0000-000016960000}"/>
    <cellStyle name="표준 5 3 6 2 5 2 5" xfId="27599" xr:uid="{00000000-0005-0000-0000-000017960000}"/>
    <cellStyle name="표준 5 3 6 2 5 2 6" xfId="35810" xr:uid="{00000000-0005-0000-0000-000018960000}"/>
    <cellStyle name="표준 5 3 6 2 5 2 7" xfId="44003" xr:uid="{00000000-0005-0000-0000-000019960000}"/>
    <cellStyle name="표준 5 3 6 2 5 3" xfId="8941" xr:uid="{00000000-0005-0000-0000-00001A960000}"/>
    <cellStyle name="표준 5 3 6 2 5 3 2" xfId="29647" xr:uid="{00000000-0005-0000-0000-00001B960000}"/>
    <cellStyle name="표준 5 3 6 2 5 3 3" xfId="37858" xr:uid="{00000000-0005-0000-0000-00001C960000}"/>
    <cellStyle name="표준 5 3 6 2 5 3 4" xfId="46051" xr:uid="{00000000-0005-0000-0000-00001D960000}"/>
    <cellStyle name="표준 5 3 6 2 5 4" xfId="13053" xr:uid="{00000000-0005-0000-0000-00001E960000}"/>
    <cellStyle name="표준 5 3 6 2 5 5" xfId="17293" xr:uid="{00000000-0005-0000-0000-00001F960000}"/>
    <cellStyle name="표준 5 3 6 2 5 6" xfId="21455" xr:uid="{00000000-0005-0000-0000-000020960000}"/>
    <cellStyle name="표준 5 3 6 2 5 7" xfId="25551" xr:uid="{00000000-0005-0000-0000-000021960000}"/>
    <cellStyle name="표준 5 3 6 2 5 8" xfId="33762" xr:uid="{00000000-0005-0000-0000-000022960000}"/>
    <cellStyle name="표준 5 3 6 2 5 9" xfId="41955" xr:uid="{00000000-0005-0000-0000-000023960000}"/>
    <cellStyle name="표준 5 3 6 2 6" xfId="9453" xr:uid="{00000000-0005-0000-0000-000024960000}"/>
    <cellStyle name="표준 5 3 6 2 6 2" xfId="13565" xr:uid="{00000000-0005-0000-0000-000025960000}"/>
    <cellStyle name="표준 5 3 6 2 6 2 2" xfId="30159" xr:uid="{00000000-0005-0000-0000-000026960000}"/>
    <cellStyle name="표준 5 3 6 2 6 2 3" xfId="38370" xr:uid="{00000000-0005-0000-0000-000027960000}"/>
    <cellStyle name="표준 5 3 6 2 6 2 4" xfId="46563" xr:uid="{00000000-0005-0000-0000-000028960000}"/>
    <cellStyle name="표준 5 3 6 2 6 3" xfId="17805" xr:uid="{00000000-0005-0000-0000-000029960000}"/>
    <cellStyle name="표준 5 3 6 2 6 4" xfId="21967" xr:uid="{00000000-0005-0000-0000-00002A960000}"/>
    <cellStyle name="표준 5 3 6 2 6 5" xfId="26063" xr:uid="{00000000-0005-0000-0000-00002B960000}"/>
    <cellStyle name="표준 5 3 6 2 6 6" xfId="34274" xr:uid="{00000000-0005-0000-0000-00002C960000}"/>
    <cellStyle name="표준 5 3 6 2 6 7" xfId="42467" xr:uid="{00000000-0005-0000-0000-00002D960000}"/>
    <cellStyle name="표준 5 3 6 2 7" xfId="7405" xr:uid="{00000000-0005-0000-0000-00002E960000}"/>
    <cellStyle name="표준 5 3 6 2 7 2" xfId="28111" xr:uid="{00000000-0005-0000-0000-00002F960000}"/>
    <cellStyle name="표준 5 3 6 2 7 3" xfId="36322" xr:uid="{00000000-0005-0000-0000-000030960000}"/>
    <cellStyle name="표준 5 3 6 2 7 4" xfId="44515" xr:uid="{00000000-0005-0000-0000-000031960000}"/>
    <cellStyle name="표준 5 3 6 2 8" xfId="11517" xr:uid="{00000000-0005-0000-0000-000032960000}"/>
    <cellStyle name="표준 5 3 6 2 9" xfId="15757" xr:uid="{00000000-0005-0000-0000-000033960000}"/>
    <cellStyle name="표준 5 3 6 3" xfId="678" xr:uid="{00000000-0005-0000-0000-000034960000}"/>
    <cellStyle name="표준 5 3 6 3 10" xfId="24143" xr:uid="{00000000-0005-0000-0000-000035960000}"/>
    <cellStyle name="표준 5 3 6 3 11" xfId="32354" xr:uid="{00000000-0005-0000-0000-000036960000}"/>
    <cellStyle name="표준 5 3 6 3 12" xfId="40547" xr:uid="{00000000-0005-0000-0000-000037960000}"/>
    <cellStyle name="표준 5 3 6 3 2" xfId="1190" xr:uid="{00000000-0005-0000-0000-000038960000}"/>
    <cellStyle name="표준 5 3 6 3 2 2" xfId="10093" xr:uid="{00000000-0005-0000-0000-000039960000}"/>
    <cellStyle name="표준 5 3 6 3 2 2 2" xfId="14205" xr:uid="{00000000-0005-0000-0000-00003A960000}"/>
    <cellStyle name="표준 5 3 6 3 2 2 2 2" xfId="30799" xr:uid="{00000000-0005-0000-0000-00003B960000}"/>
    <cellStyle name="표준 5 3 6 3 2 2 2 3" xfId="39010" xr:uid="{00000000-0005-0000-0000-00003C960000}"/>
    <cellStyle name="표준 5 3 6 3 2 2 2 4" xfId="47203" xr:uid="{00000000-0005-0000-0000-00003D960000}"/>
    <cellStyle name="표준 5 3 6 3 2 2 3" xfId="18445" xr:uid="{00000000-0005-0000-0000-00003E960000}"/>
    <cellStyle name="표준 5 3 6 3 2 2 4" xfId="22607" xr:uid="{00000000-0005-0000-0000-00003F960000}"/>
    <cellStyle name="표준 5 3 6 3 2 2 5" xfId="26703" xr:uid="{00000000-0005-0000-0000-000040960000}"/>
    <cellStyle name="표준 5 3 6 3 2 2 6" xfId="34914" xr:uid="{00000000-0005-0000-0000-000041960000}"/>
    <cellStyle name="표준 5 3 6 3 2 2 7" xfId="43107" xr:uid="{00000000-0005-0000-0000-000042960000}"/>
    <cellStyle name="표준 5 3 6 3 2 3" xfId="8045" xr:uid="{00000000-0005-0000-0000-000043960000}"/>
    <cellStyle name="표준 5 3 6 3 2 3 2" xfId="28751" xr:uid="{00000000-0005-0000-0000-000044960000}"/>
    <cellStyle name="표준 5 3 6 3 2 3 3" xfId="36962" xr:uid="{00000000-0005-0000-0000-000045960000}"/>
    <cellStyle name="표준 5 3 6 3 2 3 4" xfId="45155" xr:uid="{00000000-0005-0000-0000-000046960000}"/>
    <cellStyle name="표준 5 3 6 3 2 4" xfId="12157" xr:uid="{00000000-0005-0000-0000-000047960000}"/>
    <cellStyle name="표준 5 3 6 3 2 5" xfId="16397" xr:uid="{00000000-0005-0000-0000-000048960000}"/>
    <cellStyle name="표준 5 3 6 3 2 6" xfId="20559" xr:uid="{00000000-0005-0000-0000-000049960000}"/>
    <cellStyle name="표준 5 3 6 3 2 7" xfId="24655" xr:uid="{00000000-0005-0000-0000-00004A960000}"/>
    <cellStyle name="표준 5 3 6 3 2 8" xfId="32866" xr:uid="{00000000-0005-0000-0000-00004B960000}"/>
    <cellStyle name="표준 5 3 6 3 2 9" xfId="41059" xr:uid="{00000000-0005-0000-0000-00004C960000}"/>
    <cellStyle name="표준 5 3 6 3 3" xfId="1702" xr:uid="{00000000-0005-0000-0000-00004D960000}"/>
    <cellStyle name="표준 5 3 6 3 3 2" xfId="10605" xr:uid="{00000000-0005-0000-0000-00004E960000}"/>
    <cellStyle name="표준 5 3 6 3 3 2 2" xfId="14717" xr:uid="{00000000-0005-0000-0000-00004F960000}"/>
    <cellStyle name="표준 5 3 6 3 3 2 2 2" xfId="31311" xr:uid="{00000000-0005-0000-0000-000050960000}"/>
    <cellStyle name="표준 5 3 6 3 3 2 2 3" xfId="39522" xr:uid="{00000000-0005-0000-0000-000051960000}"/>
    <cellStyle name="표준 5 3 6 3 3 2 2 4" xfId="47715" xr:uid="{00000000-0005-0000-0000-000052960000}"/>
    <cellStyle name="표준 5 3 6 3 3 2 3" xfId="18957" xr:uid="{00000000-0005-0000-0000-000053960000}"/>
    <cellStyle name="표준 5 3 6 3 3 2 4" xfId="23119" xr:uid="{00000000-0005-0000-0000-000054960000}"/>
    <cellStyle name="표준 5 3 6 3 3 2 5" xfId="27215" xr:uid="{00000000-0005-0000-0000-000055960000}"/>
    <cellStyle name="표준 5 3 6 3 3 2 6" xfId="35426" xr:uid="{00000000-0005-0000-0000-000056960000}"/>
    <cellStyle name="표준 5 3 6 3 3 2 7" xfId="43619" xr:uid="{00000000-0005-0000-0000-000057960000}"/>
    <cellStyle name="표준 5 3 6 3 3 3" xfId="8557" xr:uid="{00000000-0005-0000-0000-000058960000}"/>
    <cellStyle name="표준 5 3 6 3 3 3 2" xfId="29263" xr:uid="{00000000-0005-0000-0000-000059960000}"/>
    <cellStyle name="표준 5 3 6 3 3 3 3" xfId="37474" xr:uid="{00000000-0005-0000-0000-00005A960000}"/>
    <cellStyle name="표준 5 3 6 3 3 3 4" xfId="45667" xr:uid="{00000000-0005-0000-0000-00005B960000}"/>
    <cellStyle name="표준 5 3 6 3 3 4" xfId="12669" xr:uid="{00000000-0005-0000-0000-00005C960000}"/>
    <cellStyle name="표준 5 3 6 3 3 5" xfId="16909" xr:uid="{00000000-0005-0000-0000-00005D960000}"/>
    <cellStyle name="표준 5 3 6 3 3 6" xfId="21071" xr:uid="{00000000-0005-0000-0000-00005E960000}"/>
    <cellStyle name="표준 5 3 6 3 3 7" xfId="25167" xr:uid="{00000000-0005-0000-0000-00005F960000}"/>
    <cellStyle name="표준 5 3 6 3 3 8" xfId="33378" xr:uid="{00000000-0005-0000-0000-000060960000}"/>
    <cellStyle name="표준 5 3 6 3 3 9" xfId="41571" xr:uid="{00000000-0005-0000-0000-000061960000}"/>
    <cellStyle name="표준 5 3 6 3 4" xfId="2214" xr:uid="{00000000-0005-0000-0000-000062960000}"/>
    <cellStyle name="표준 5 3 6 3 4 2" xfId="11117" xr:uid="{00000000-0005-0000-0000-000063960000}"/>
    <cellStyle name="표준 5 3 6 3 4 2 2" xfId="15229" xr:uid="{00000000-0005-0000-0000-000064960000}"/>
    <cellStyle name="표준 5 3 6 3 4 2 2 2" xfId="31823" xr:uid="{00000000-0005-0000-0000-000065960000}"/>
    <cellStyle name="표준 5 3 6 3 4 2 2 3" xfId="40034" xr:uid="{00000000-0005-0000-0000-000066960000}"/>
    <cellStyle name="표준 5 3 6 3 4 2 2 4" xfId="48227" xr:uid="{00000000-0005-0000-0000-000067960000}"/>
    <cellStyle name="표준 5 3 6 3 4 2 3" xfId="19469" xr:uid="{00000000-0005-0000-0000-000068960000}"/>
    <cellStyle name="표준 5 3 6 3 4 2 4" xfId="23631" xr:uid="{00000000-0005-0000-0000-000069960000}"/>
    <cellStyle name="표준 5 3 6 3 4 2 5" xfId="27727" xr:uid="{00000000-0005-0000-0000-00006A960000}"/>
    <cellStyle name="표준 5 3 6 3 4 2 6" xfId="35938" xr:uid="{00000000-0005-0000-0000-00006B960000}"/>
    <cellStyle name="표준 5 3 6 3 4 2 7" xfId="44131" xr:uid="{00000000-0005-0000-0000-00006C960000}"/>
    <cellStyle name="표준 5 3 6 3 4 3" xfId="9069" xr:uid="{00000000-0005-0000-0000-00006D960000}"/>
    <cellStyle name="표준 5 3 6 3 4 3 2" xfId="29775" xr:uid="{00000000-0005-0000-0000-00006E960000}"/>
    <cellStyle name="표준 5 3 6 3 4 3 3" xfId="37986" xr:uid="{00000000-0005-0000-0000-00006F960000}"/>
    <cellStyle name="표준 5 3 6 3 4 3 4" xfId="46179" xr:uid="{00000000-0005-0000-0000-000070960000}"/>
    <cellStyle name="표준 5 3 6 3 4 4" xfId="13181" xr:uid="{00000000-0005-0000-0000-000071960000}"/>
    <cellStyle name="표준 5 3 6 3 4 5" xfId="17421" xr:uid="{00000000-0005-0000-0000-000072960000}"/>
    <cellStyle name="표준 5 3 6 3 4 6" xfId="21583" xr:uid="{00000000-0005-0000-0000-000073960000}"/>
    <cellStyle name="표준 5 3 6 3 4 7" xfId="25679" xr:uid="{00000000-0005-0000-0000-000074960000}"/>
    <cellStyle name="표준 5 3 6 3 4 8" xfId="33890" xr:uid="{00000000-0005-0000-0000-000075960000}"/>
    <cellStyle name="표준 5 3 6 3 4 9" xfId="42083" xr:uid="{00000000-0005-0000-0000-000076960000}"/>
    <cellStyle name="표준 5 3 6 3 5" xfId="9581" xr:uid="{00000000-0005-0000-0000-000077960000}"/>
    <cellStyle name="표준 5 3 6 3 5 2" xfId="13693" xr:uid="{00000000-0005-0000-0000-000078960000}"/>
    <cellStyle name="표준 5 3 6 3 5 2 2" xfId="30287" xr:uid="{00000000-0005-0000-0000-000079960000}"/>
    <cellStyle name="표준 5 3 6 3 5 2 3" xfId="38498" xr:uid="{00000000-0005-0000-0000-00007A960000}"/>
    <cellStyle name="표준 5 3 6 3 5 2 4" xfId="46691" xr:uid="{00000000-0005-0000-0000-00007B960000}"/>
    <cellStyle name="표준 5 3 6 3 5 3" xfId="17933" xr:uid="{00000000-0005-0000-0000-00007C960000}"/>
    <cellStyle name="표준 5 3 6 3 5 4" xfId="22095" xr:uid="{00000000-0005-0000-0000-00007D960000}"/>
    <cellStyle name="표준 5 3 6 3 5 5" xfId="26191" xr:uid="{00000000-0005-0000-0000-00007E960000}"/>
    <cellStyle name="표준 5 3 6 3 5 6" xfId="34402" xr:uid="{00000000-0005-0000-0000-00007F960000}"/>
    <cellStyle name="표준 5 3 6 3 5 7" xfId="42595" xr:uid="{00000000-0005-0000-0000-000080960000}"/>
    <cellStyle name="표준 5 3 6 3 6" xfId="7533" xr:uid="{00000000-0005-0000-0000-000081960000}"/>
    <cellStyle name="표준 5 3 6 3 6 2" xfId="28239" xr:uid="{00000000-0005-0000-0000-000082960000}"/>
    <cellStyle name="표준 5 3 6 3 6 3" xfId="36450" xr:uid="{00000000-0005-0000-0000-000083960000}"/>
    <cellStyle name="표준 5 3 6 3 6 4" xfId="44643" xr:uid="{00000000-0005-0000-0000-000084960000}"/>
    <cellStyle name="표준 5 3 6 3 7" xfId="11645" xr:uid="{00000000-0005-0000-0000-000085960000}"/>
    <cellStyle name="표준 5 3 6 3 8" xfId="15885" xr:uid="{00000000-0005-0000-0000-000086960000}"/>
    <cellStyle name="표준 5 3 6 3 9" xfId="20047" xr:uid="{00000000-0005-0000-0000-000087960000}"/>
    <cellStyle name="표준 5 3 6 4" xfId="934" xr:uid="{00000000-0005-0000-0000-000088960000}"/>
    <cellStyle name="표준 5 3 6 4 2" xfId="9837" xr:uid="{00000000-0005-0000-0000-000089960000}"/>
    <cellStyle name="표준 5 3 6 4 2 2" xfId="13949" xr:uid="{00000000-0005-0000-0000-00008A960000}"/>
    <cellStyle name="표준 5 3 6 4 2 2 2" xfId="30543" xr:uid="{00000000-0005-0000-0000-00008B960000}"/>
    <cellStyle name="표준 5 3 6 4 2 2 3" xfId="38754" xr:uid="{00000000-0005-0000-0000-00008C960000}"/>
    <cellStyle name="표준 5 3 6 4 2 2 4" xfId="46947" xr:uid="{00000000-0005-0000-0000-00008D960000}"/>
    <cellStyle name="표준 5 3 6 4 2 3" xfId="18189" xr:uid="{00000000-0005-0000-0000-00008E960000}"/>
    <cellStyle name="표준 5 3 6 4 2 4" xfId="22351" xr:uid="{00000000-0005-0000-0000-00008F960000}"/>
    <cellStyle name="표준 5 3 6 4 2 5" xfId="26447" xr:uid="{00000000-0005-0000-0000-000090960000}"/>
    <cellStyle name="표준 5 3 6 4 2 6" xfId="34658" xr:uid="{00000000-0005-0000-0000-000091960000}"/>
    <cellStyle name="표준 5 3 6 4 2 7" xfId="42851" xr:uid="{00000000-0005-0000-0000-000092960000}"/>
    <cellStyle name="표준 5 3 6 4 3" xfId="7789" xr:uid="{00000000-0005-0000-0000-000093960000}"/>
    <cellStyle name="표준 5 3 6 4 3 2" xfId="28495" xr:uid="{00000000-0005-0000-0000-000094960000}"/>
    <cellStyle name="표준 5 3 6 4 3 3" xfId="36706" xr:uid="{00000000-0005-0000-0000-000095960000}"/>
    <cellStyle name="표준 5 3 6 4 3 4" xfId="44899" xr:uid="{00000000-0005-0000-0000-000096960000}"/>
    <cellStyle name="표준 5 3 6 4 4" xfId="11901" xr:uid="{00000000-0005-0000-0000-000097960000}"/>
    <cellStyle name="표준 5 3 6 4 5" xfId="16141" xr:uid="{00000000-0005-0000-0000-000098960000}"/>
    <cellStyle name="표준 5 3 6 4 6" xfId="20303" xr:uid="{00000000-0005-0000-0000-000099960000}"/>
    <cellStyle name="표준 5 3 6 4 7" xfId="24399" xr:uid="{00000000-0005-0000-0000-00009A960000}"/>
    <cellStyle name="표준 5 3 6 4 8" xfId="32610" xr:uid="{00000000-0005-0000-0000-00009B960000}"/>
    <cellStyle name="표준 5 3 6 4 9" xfId="40803" xr:uid="{00000000-0005-0000-0000-00009C960000}"/>
    <cellStyle name="표준 5 3 6 5" xfId="1446" xr:uid="{00000000-0005-0000-0000-00009D960000}"/>
    <cellStyle name="표준 5 3 6 5 2" xfId="10349" xr:uid="{00000000-0005-0000-0000-00009E960000}"/>
    <cellStyle name="표준 5 3 6 5 2 2" xfId="14461" xr:uid="{00000000-0005-0000-0000-00009F960000}"/>
    <cellStyle name="표준 5 3 6 5 2 2 2" xfId="31055" xr:uid="{00000000-0005-0000-0000-0000A0960000}"/>
    <cellStyle name="표준 5 3 6 5 2 2 3" xfId="39266" xr:uid="{00000000-0005-0000-0000-0000A1960000}"/>
    <cellStyle name="표준 5 3 6 5 2 2 4" xfId="47459" xr:uid="{00000000-0005-0000-0000-0000A2960000}"/>
    <cellStyle name="표준 5 3 6 5 2 3" xfId="18701" xr:uid="{00000000-0005-0000-0000-0000A3960000}"/>
    <cellStyle name="표준 5 3 6 5 2 4" xfId="22863" xr:uid="{00000000-0005-0000-0000-0000A4960000}"/>
    <cellStyle name="표준 5 3 6 5 2 5" xfId="26959" xr:uid="{00000000-0005-0000-0000-0000A5960000}"/>
    <cellStyle name="표준 5 3 6 5 2 6" xfId="35170" xr:uid="{00000000-0005-0000-0000-0000A6960000}"/>
    <cellStyle name="표준 5 3 6 5 2 7" xfId="43363" xr:uid="{00000000-0005-0000-0000-0000A7960000}"/>
    <cellStyle name="표준 5 3 6 5 3" xfId="8301" xr:uid="{00000000-0005-0000-0000-0000A8960000}"/>
    <cellStyle name="표준 5 3 6 5 3 2" xfId="29007" xr:uid="{00000000-0005-0000-0000-0000A9960000}"/>
    <cellStyle name="표준 5 3 6 5 3 3" xfId="37218" xr:uid="{00000000-0005-0000-0000-0000AA960000}"/>
    <cellStyle name="표준 5 3 6 5 3 4" xfId="45411" xr:uid="{00000000-0005-0000-0000-0000AB960000}"/>
    <cellStyle name="표준 5 3 6 5 4" xfId="12413" xr:uid="{00000000-0005-0000-0000-0000AC960000}"/>
    <cellStyle name="표준 5 3 6 5 5" xfId="16653" xr:uid="{00000000-0005-0000-0000-0000AD960000}"/>
    <cellStyle name="표준 5 3 6 5 6" xfId="20815" xr:uid="{00000000-0005-0000-0000-0000AE960000}"/>
    <cellStyle name="표준 5 3 6 5 7" xfId="24911" xr:uid="{00000000-0005-0000-0000-0000AF960000}"/>
    <cellStyle name="표준 5 3 6 5 8" xfId="33122" xr:uid="{00000000-0005-0000-0000-0000B0960000}"/>
    <cellStyle name="표준 5 3 6 5 9" xfId="41315" xr:uid="{00000000-0005-0000-0000-0000B1960000}"/>
    <cellStyle name="표준 5 3 6 6" xfId="1958" xr:uid="{00000000-0005-0000-0000-0000B2960000}"/>
    <cellStyle name="표준 5 3 6 6 2" xfId="10861" xr:uid="{00000000-0005-0000-0000-0000B3960000}"/>
    <cellStyle name="표준 5 3 6 6 2 2" xfId="14973" xr:uid="{00000000-0005-0000-0000-0000B4960000}"/>
    <cellStyle name="표준 5 3 6 6 2 2 2" xfId="31567" xr:uid="{00000000-0005-0000-0000-0000B5960000}"/>
    <cellStyle name="표준 5 3 6 6 2 2 3" xfId="39778" xr:uid="{00000000-0005-0000-0000-0000B6960000}"/>
    <cellStyle name="표준 5 3 6 6 2 2 4" xfId="47971" xr:uid="{00000000-0005-0000-0000-0000B7960000}"/>
    <cellStyle name="표준 5 3 6 6 2 3" xfId="19213" xr:uid="{00000000-0005-0000-0000-0000B8960000}"/>
    <cellStyle name="표준 5 3 6 6 2 4" xfId="23375" xr:uid="{00000000-0005-0000-0000-0000B9960000}"/>
    <cellStyle name="표준 5 3 6 6 2 5" xfId="27471" xr:uid="{00000000-0005-0000-0000-0000BA960000}"/>
    <cellStyle name="표준 5 3 6 6 2 6" xfId="35682" xr:uid="{00000000-0005-0000-0000-0000BB960000}"/>
    <cellStyle name="표준 5 3 6 6 2 7" xfId="43875" xr:uid="{00000000-0005-0000-0000-0000BC960000}"/>
    <cellStyle name="표준 5 3 6 6 3" xfId="8813" xr:uid="{00000000-0005-0000-0000-0000BD960000}"/>
    <cellStyle name="표준 5 3 6 6 3 2" xfId="29519" xr:uid="{00000000-0005-0000-0000-0000BE960000}"/>
    <cellStyle name="표준 5 3 6 6 3 3" xfId="37730" xr:uid="{00000000-0005-0000-0000-0000BF960000}"/>
    <cellStyle name="표준 5 3 6 6 3 4" xfId="45923" xr:uid="{00000000-0005-0000-0000-0000C0960000}"/>
    <cellStyle name="표준 5 3 6 6 4" xfId="12925" xr:uid="{00000000-0005-0000-0000-0000C1960000}"/>
    <cellStyle name="표준 5 3 6 6 5" xfId="17165" xr:uid="{00000000-0005-0000-0000-0000C2960000}"/>
    <cellStyle name="표준 5 3 6 6 6" xfId="21327" xr:uid="{00000000-0005-0000-0000-0000C3960000}"/>
    <cellStyle name="표준 5 3 6 6 7" xfId="25423" xr:uid="{00000000-0005-0000-0000-0000C4960000}"/>
    <cellStyle name="표준 5 3 6 6 8" xfId="33634" xr:uid="{00000000-0005-0000-0000-0000C5960000}"/>
    <cellStyle name="표준 5 3 6 6 9" xfId="41827" xr:uid="{00000000-0005-0000-0000-0000C6960000}"/>
    <cellStyle name="표준 5 3 6 7" xfId="7018" xr:uid="{00000000-0005-0000-0000-0000C7960000}"/>
    <cellStyle name="표준 5 3 6 7 2" xfId="9325" xr:uid="{00000000-0005-0000-0000-0000C8960000}"/>
    <cellStyle name="표준 5 3 6 7 2 2" xfId="30031" xr:uid="{00000000-0005-0000-0000-0000C9960000}"/>
    <cellStyle name="표준 5 3 6 7 2 3" xfId="38242" xr:uid="{00000000-0005-0000-0000-0000CA960000}"/>
    <cellStyle name="표준 5 3 6 7 2 4" xfId="46435" xr:uid="{00000000-0005-0000-0000-0000CB960000}"/>
    <cellStyle name="표준 5 3 6 7 3" xfId="13437" xr:uid="{00000000-0005-0000-0000-0000CC960000}"/>
    <cellStyle name="표준 5 3 6 7 4" xfId="17677" xr:uid="{00000000-0005-0000-0000-0000CD960000}"/>
    <cellStyle name="표준 5 3 6 7 5" xfId="21839" xr:uid="{00000000-0005-0000-0000-0000CE960000}"/>
    <cellStyle name="표준 5 3 6 7 6" xfId="25935" xr:uid="{00000000-0005-0000-0000-0000CF960000}"/>
    <cellStyle name="표준 5 3 6 7 7" xfId="34146" xr:uid="{00000000-0005-0000-0000-0000D0960000}"/>
    <cellStyle name="표준 5 3 6 7 8" xfId="42339" xr:uid="{00000000-0005-0000-0000-0000D1960000}"/>
    <cellStyle name="표준 5 3 6 8" xfId="7160" xr:uid="{00000000-0005-0000-0000-0000D2960000}"/>
    <cellStyle name="표준 5 3 6 8 2" xfId="27983" xr:uid="{00000000-0005-0000-0000-0000D3960000}"/>
    <cellStyle name="표준 5 3 6 8 3" xfId="36194" xr:uid="{00000000-0005-0000-0000-0000D4960000}"/>
    <cellStyle name="표준 5 3 6 8 4" xfId="44387" xr:uid="{00000000-0005-0000-0000-0000D5960000}"/>
    <cellStyle name="표준 5 3 6 9" xfId="7277" xr:uid="{00000000-0005-0000-0000-0000D6960000}"/>
    <cellStyle name="표준 5 3 7" xfId="486" xr:uid="{00000000-0005-0000-0000-0000D7960000}"/>
    <cellStyle name="표준 5 3 7 10" xfId="19855" xr:uid="{00000000-0005-0000-0000-0000D8960000}"/>
    <cellStyle name="표준 5 3 7 11" xfId="23951" xr:uid="{00000000-0005-0000-0000-0000D9960000}"/>
    <cellStyle name="표준 5 3 7 12" xfId="32162" xr:uid="{00000000-0005-0000-0000-0000DA960000}"/>
    <cellStyle name="표준 5 3 7 13" xfId="40355" xr:uid="{00000000-0005-0000-0000-0000DB960000}"/>
    <cellStyle name="표준 5 3 7 2" xfId="742" xr:uid="{00000000-0005-0000-0000-0000DC960000}"/>
    <cellStyle name="표준 5 3 7 2 10" xfId="24207" xr:uid="{00000000-0005-0000-0000-0000DD960000}"/>
    <cellStyle name="표준 5 3 7 2 11" xfId="32418" xr:uid="{00000000-0005-0000-0000-0000DE960000}"/>
    <cellStyle name="표준 5 3 7 2 12" xfId="40611" xr:uid="{00000000-0005-0000-0000-0000DF960000}"/>
    <cellStyle name="표준 5 3 7 2 2" xfId="1254" xr:uid="{00000000-0005-0000-0000-0000E0960000}"/>
    <cellStyle name="표준 5 3 7 2 2 2" xfId="10157" xr:uid="{00000000-0005-0000-0000-0000E1960000}"/>
    <cellStyle name="표준 5 3 7 2 2 2 2" xfId="14269" xr:uid="{00000000-0005-0000-0000-0000E2960000}"/>
    <cellStyle name="표준 5 3 7 2 2 2 2 2" xfId="30863" xr:uid="{00000000-0005-0000-0000-0000E3960000}"/>
    <cellStyle name="표준 5 3 7 2 2 2 2 3" xfId="39074" xr:uid="{00000000-0005-0000-0000-0000E4960000}"/>
    <cellStyle name="표준 5 3 7 2 2 2 2 4" xfId="47267" xr:uid="{00000000-0005-0000-0000-0000E5960000}"/>
    <cellStyle name="표준 5 3 7 2 2 2 3" xfId="18509" xr:uid="{00000000-0005-0000-0000-0000E6960000}"/>
    <cellStyle name="표준 5 3 7 2 2 2 4" xfId="22671" xr:uid="{00000000-0005-0000-0000-0000E7960000}"/>
    <cellStyle name="표준 5 3 7 2 2 2 5" xfId="26767" xr:uid="{00000000-0005-0000-0000-0000E8960000}"/>
    <cellStyle name="표준 5 3 7 2 2 2 6" xfId="34978" xr:uid="{00000000-0005-0000-0000-0000E9960000}"/>
    <cellStyle name="표준 5 3 7 2 2 2 7" xfId="43171" xr:uid="{00000000-0005-0000-0000-0000EA960000}"/>
    <cellStyle name="표준 5 3 7 2 2 3" xfId="8109" xr:uid="{00000000-0005-0000-0000-0000EB960000}"/>
    <cellStyle name="표준 5 3 7 2 2 3 2" xfId="28815" xr:uid="{00000000-0005-0000-0000-0000EC960000}"/>
    <cellStyle name="표준 5 3 7 2 2 3 3" xfId="37026" xr:uid="{00000000-0005-0000-0000-0000ED960000}"/>
    <cellStyle name="표준 5 3 7 2 2 3 4" xfId="45219" xr:uid="{00000000-0005-0000-0000-0000EE960000}"/>
    <cellStyle name="표준 5 3 7 2 2 4" xfId="12221" xr:uid="{00000000-0005-0000-0000-0000EF960000}"/>
    <cellStyle name="표준 5 3 7 2 2 5" xfId="16461" xr:uid="{00000000-0005-0000-0000-0000F0960000}"/>
    <cellStyle name="표준 5 3 7 2 2 6" xfId="20623" xr:uid="{00000000-0005-0000-0000-0000F1960000}"/>
    <cellStyle name="표준 5 3 7 2 2 7" xfId="24719" xr:uid="{00000000-0005-0000-0000-0000F2960000}"/>
    <cellStyle name="표준 5 3 7 2 2 8" xfId="32930" xr:uid="{00000000-0005-0000-0000-0000F3960000}"/>
    <cellStyle name="표준 5 3 7 2 2 9" xfId="41123" xr:uid="{00000000-0005-0000-0000-0000F4960000}"/>
    <cellStyle name="표준 5 3 7 2 3" xfId="1766" xr:uid="{00000000-0005-0000-0000-0000F5960000}"/>
    <cellStyle name="표준 5 3 7 2 3 2" xfId="10669" xr:uid="{00000000-0005-0000-0000-0000F6960000}"/>
    <cellStyle name="표준 5 3 7 2 3 2 2" xfId="14781" xr:uid="{00000000-0005-0000-0000-0000F7960000}"/>
    <cellStyle name="표준 5 3 7 2 3 2 2 2" xfId="31375" xr:uid="{00000000-0005-0000-0000-0000F8960000}"/>
    <cellStyle name="표준 5 3 7 2 3 2 2 3" xfId="39586" xr:uid="{00000000-0005-0000-0000-0000F9960000}"/>
    <cellStyle name="표준 5 3 7 2 3 2 2 4" xfId="47779" xr:uid="{00000000-0005-0000-0000-0000FA960000}"/>
    <cellStyle name="표준 5 3 7 2 3 2 3" xfId="19021" xr:uid="{00000000-0005-0000-0000-0000FB960000}"/>
    <cellStyle name="표준 5 3 7 2 3 2 4" xfId="23183" xr:uid="{00000000-0005-0000-0000-0000FC960000}"/>
    <cellStyle name="표준 5 3 7 2 3 2 5" xfId="27279" xr:uid="{00000000-0005-0000-0000-0000FD960000}"/>
    <cellStyle name="표준 5 3 7 2 3 2 6" xfId="35490" xr:uid="{00000000-0005-0000-0000-0000FE960000}"/>
    <cellStyle name="표준 5 3 7 2 3 2 7" xfId="43683" xr:uid="{00000000-0005-0000-0000-0000FF960000}"/>
    <cellStyle name="표준 5 3 7 2 3 3" xfId="8621" xr:uid="{00000000-0005-0000-0000-000000970000}"/>
    <cellStyle name="표준 5 3 7 2 3 3 2" xfId="29327" xr:uid="{00000000-0005-0000-0000-000001970000}"/>
    <cellStyle name="표준 5 3 7 2 3 3 3" xfId="37538" xr:uid="{00000000-0005-0000-0000-000002970000}"/>
    <cellStyle name="표준 5 3 7 2 3 3 4" xfId="45731" xr:uid="{00000000-0005-0000-0000-000003970000}"/>
    <cellStyle name="표준 5 3 7 2 3 4" xfId="12733" xr:uid="{00000000-0005-0000-0000-000004970000}"/>
    <cellStyle name="표준 5 3 7 2 3 5" xfId="16973" xr:uid="{00000000-0005-0000-0000-000005970000}"/>
    <cellStyle name="표준 5 3 7 2 3 6" xfId="21135" xr:uid="{00000000-0005-0000-0000-000006970000}"/>
    <cellStyle name="표준 5 3 7 2 3 7" xfId="25231" xr:uid="{00000000-0005-0000-0000-000007970000}"/>
    <cellStyle name="표준 5 3 7 2 3 8" xfId="33442" xr:uid="{00000000-0005-0000-0000-000008970000}"/>
    <cellStyle name="표준 5 3 7 2 3 9" xfId="41635" xr:uid="{00000000-0005-0000-0000-000009970000}"/>
    <cellStyle name="표준 5 3 7 2 4" xfId="2278" xr:uid="{00000000-0005-0000-0000-00000A970000}"/>
    <cellStyle name="표준 5 3 7 2 4 2" xfId="11181" xr:uid="{00000000-0005-0000-0000-00000B970000}"/>
    <cellStyle name="표준 5 3 7 2 4 2 2" xfId="15293" xr:uid="{00000000-0005-0000-0000-00000C970000}"/>
    <cellStyle name="표준 5 3 7 2 4 2 2 2" xfId="31887" xr:uid="{00000000-0005-0000-0000-00000D970000}"/>
    <cellStyle name="표준 5 3 7 2 4 2 2 3" xfId="40098" xr:uid="{00000000-0005-0000-0000-00000E970000}"/>
    <cellStyle name="표준 5 3 7 2 4 2 2 4" xfId="48291" xr:uid="{00000000-0005-0000-0000-00000F970000}"/>
    <cellStyle name="표준 5 3 7 2 4 2 3" xfId="19533" xr:uid="{00000000-0005-0000-0000-000010970000}"/>
    <cellStyle name="표준 5 3 7 2 4 2 4" xfId="23695" xr:uid="{00000000-0005-0000-0000-000011970000}"/>
    <cellStyle name="표준 5 3 7 2 4 2 5" xfId="27791" xr:uid="{00000000-0005-0000-0000-000012970000}"/>
    <cellStyle name="표준 5 3 7 2 4 2 6" xfId="36002" xr:uid="{00000000-0005-0000-0000-000013970000}"/>
    <cellStyle name="표준 5 3 7 2 4 2 7" xfId="44195" xr:uid="{00000000-0005-0000-0000-000014970000}"/>
    <cellStyle name="표준 5 3 7 2 4 3" xfId="9133" xr:uid="{00000000-0005-0000-0000-000015970000}"/>
    <cellStyle name="표준 5 3 7 2 4 3 2" xfId="29839" xr:uid="{00000000-0005-0000-0000-000016970000}"/>
    <cellStyle name="표준 5 3 7 2 4 3 3" xfId="38050" xr:uid="{00000000-0005-0000-0000-000017970000}"/>
    <cellStyle name="표준 5 3 7 2 4 3 4" xfId="46243" xr:uid="{00000000-0005-0000-0000-000018970000}"/>
    <cellStyle name="표준 5 3 7 2 4 4" xfId="13245" xr:uid="{00000000-0005-0000-0000-000019970000}"/>
    <cellStyle name="표준 5 3 7 2 4 5" xfId="17485" xr:uid="{00000000-0005-0000-0000-00001A970000}"/>
    <cellStyle name="표준 5 3 7 2 4 6" xfId="21647" xr:uid="{00000000-0005-0000-0000-00001B970000}"/>
    <cellStyle name="표준 5 3 7 2 4 7" xfId="25743" xr:uid="{00000000-0005-0000-0000-00001C970000}"/>
    <cellStyle name="표준 5 3 7 2 4 8" xfId="33954" xr:uid="{00000000-0005-0000-0000-00001D970000}"/>
    <cellStyle name="표준 5 3 7 2 4 9" xfId="42147" xr:uid="{00000000-0005-0000-0000-00001E970000}"/>
    <cellStyle name="표준 5 3 7 2 5" xfId="9645" xr:uid="{00000000-0005-0000-0000-00001F970000}"/>
    <cellStyle name="표준 5 3 7 2 5 2" xfId="13757" xr:uid="{00000000-0005-0000-0000-000020970000}"/>
    <cellStyle name="표준 5 3 7 2 5 2 2" xfId="30351" xr:uid="{00000000-0005-0000-0000-000021970000}"/>
    <cellStyle name="표준 5 3 7 2 5 2 3" xfId="38562" xr:uid="{00000000-0005-0000-0000-000022970000}"/>
    <cellStyle name="표준 5 3 7 2 5 2 4" xfId="46755" xr:uid="{00000000-0005-0000-0000-000023970000}"/>
    <cellStyle name="표준 5 3 7 2 5 3" xfId="17997" xr:uid="{00000000-0005-0000-0000-000024970000}"/>
    <cellStyle name="표준 5 3 7 2 5 4" xfId="22159" xr:uid="{00000000-0005-0000-0000-000025970000}"/>
    <cellStyle name="표준 5 3 7 2 5 5" xfId="26255" xr:uid="{00000000-0005-0000-0000-000026970000}"/>
    <cellStyle name="표준 5 3 7 2 5 6" xfId="34466" xr:uid="{00000000-0005-0000-0000-000027970000}"/>
    <cellStyle name="표준 5 3 7 2 5 7" xfId="42659" xr:uid="{00000000-0005-0000-0000-000028970000}"/>
    <cellStyle name="표준 5 3 7 2 6" xfId="7597" xr:uid="{00000000-0005-0000-0000-000029970000}"/>
    <cellStyle name="표준 5 3 7 2 6 2" xfId="28303" xr:uid="{00000000-0005-0000-0000-00002A970000}"/>
    <cellStyle name="표준 5 3 7 2 6 3" xfId="36514" xr:uid="{00000000-0005-0000-0000-00002B970000}"/>
    <cellStyle name="표준 5 3 7 2 6 4" xfId="44707" xr:uid="{00000000-0005-0000-0000-00002C970000}"/>
    <cellStyle name="표준 5 3 7 2 7" xfId="11709" xr:uid="{00000000-0005-0000-0000-00002D970000}"/>
    <cellStyle name="표준 5 3 7 2 8" xfId="15949" xr:uid="{00000000-0005-0000-0000-00002E970000}"/>
    <cellStyle name="표준 5 3 7 2 9" xfId="20111" xr:uid="{00000000-0005-0000-0000-00002F970000}"/>
    <cellStyle name="표준 5 3 7 3" xfId="998" xr:uid="{00000000-0005-0000-0000-000030970000}"/>
    <cellStyle name="표준 5 3 7 3 2" xfId="9901" xr:uid="{00000000-0005-0000-0000-000031970000}"/>
    <cellStyle name="표준 5 3 7 3 2 2" xfId="14013" xr:uid="{00000000-0005-0000-0000-000032970000}"/>
    <cellStyle name="표준 5 3 7 3 2 2 2" xfId="30607" xr:uid="{00000000-0005-0000-0000-000033970000}"/>
    <cellStyle name="표준 5 3 7 3 2 2 3" xfId="38818" xr:uid="{00000000-0005-0000-0000-000034970000}"/>
    <cellStyle name="표준 5 3 7 3 2 2 4" xfId="47011" xr:uid="{00000000-0005-0000-0000-000035970000}"/>
    <cellStyle name="표준 5 3 7 3 2 3" xfId="18253" xr:uid="{00000000-0005-0000-0000-000036970000}"/>
    <cellStyle name="표준 5 3 7 3 2 4" xfId="22415" xr:uid="{00000000-0005-0000-0000-000037970000}"/>
    <cellStyle name="표준 5 3 7 3 2 5" xfId="26511" xr:uid="{00000000-0005-0000-0000-000038970000}"/>
    <cellStyle name="표준 5 3 7 3 2 6" xfId="34722" xr:uid="{00000000-0005-0000-0000-000039970000}"/>
    <cellStyle name="표준 5 3 7 3 2 7" xfId="42915" xr:uid="{00000000-0005-0000-0000-00003A970000}"/>
    <cellStyle name="표준 5 3 7 3 3" xfId="7853" xr:uid="{00000000-0005-0000-0000-00003B970000}"/>
    <cellStyle name="표준 5 3 7 3 3 2" xfId="28559" xr:uid="{00000000-0005-0000-0000-00003C970000}"/>
    <cellStyle name="표준 5 3 7 3 3 3" xfId="36770" xr:uid="{00000000-0005-0000-0000-00003D970000}"/>
    <cellStyle name="표준 5 3 7 3 3 4" xfId="44963" xr:uid="{00000000-0005-0000-0000-00003E970000}"/>
    <cellStyle name="표준 5 3 7 3 4" xfId="11965" xr:uid="{00000000-0005-0000-0000-00003F970000}"/>
    <cellStyle name="표준 5 3 7 3 5" xfId="16205" xr:uid="{00000000-0005-0000-0000-000040970000}"/>
    <cellStyle name="표준 5 3 7 3 6" xfId="20367" xr:uid="{00000000-0005-0000-0000-000041970000}"/>
    <cellStyle name="표준 5 3 7 3 7" xfId="24463" xr:uid="{00000000-0005-0000-0000-000042970000}"/>
    <cellStyle name="표준 5 3 7 3 8" xfId="32674" xr:uid="{00000000-0005-0000-0000-000043970000}"/>
    <cellStyle name="표준 5 3 7 3 9" xfId="40867" xr:uid="{00000000-0005-0000-0000-000044970000}"/>
    <cellStyle name="표준 5 3 7 4" xfId="1510" xr:uid="{00000000-0005-0000-0000-000045970000}"/>
    <cellStyle name="표준 5 3 7 4 2" xfId="10413" xr:uid="{00000000-0005-0000-0000-000046970000}"/>
    <cellStyle name="표준 5 3 7 4 2 2" xfId="14525" xr:uid="{00000000-0005-0000-0000-000047970000}"/>
    <cellStyle name="표준 5 3 7 4 2 2 2" xfId="31119" xr:uid="{00000000-0005-0000-0000-000048970000}"/>
    <cellStyle name="표준 5 3 7 4 2 2 3" xfId="39330" xr:uid="{00000000-0005-0000-0000-000049970000}"/>
    <cellStyle name="표준 5 3 7 4 2 2 4" xfId="47523" xr:uid="{00000000-0005-0000-0000-00004A970000}"/>
    <cellStyle name="표준 5 3 7 4 2 3" xfId="18765" xr:uid="{00000000-0005-0000-0000-00004B970000}"/>
    <cellStyle name="표준 5 3 7 4 2 4" xfId="22927" xr:uid="{00000000-0005-0000-0000-00004C970000}"/>
    <cellStyle name="표준 5 3 7 4 2 5" xfId="27023" xr:uid="{00000000-0005-0000-0000-00004D970000}"/>
    <cellStyle name="표준 5 3 7 4 2 6" xfId="35234" xr:uid="{00000000-0005-0000-0000-00004E970000}"/>
    <cellStyle name="표준 5 3 7 4 2 7" xfId="43427" xr:uid="{00000000-0005-0000-0000-00004F970000}"/>
    <cellStyle name="표준 5 3 7 4 3" xfId="8365" xr:uid="{00000000-0005-0000-0000-000050970000}"/>
    <cellStyle name="표준 5 3 7 4 3 2" xfId="29071" xr:uid="{00000000-0005-0000-0000-000051970000}"/>
    <cellStyle name="표준 5 3 7 4 3 3" xfId="37282" xr:uid="{00000000-0005-0000-0000-000052970000}"/>
    <cellStyle name="표준 5 3 7 4 3 4" xfId="45475" xr:uid="{00000000-0005-0000-0000-000053970000}"/>
    <cellStyle name="표준 5 3 7 4 4" xfId="12477" xr:uid="{00000000-0005-0000-0000-000054970000}"/>
    <cellStyle name="표준 5 3 7 4 5" xfId="16717" xr:uid="{00000000-0005-0000-0000-000055970000}"/>
    <cellStyle name="표준 5 3 7 4 6" xfId="20879" xr:uid="{00000000-0005-0000-0000-000056970000}"/>
    <cellStyle name="표준 5 3 7 4 7" xfId="24975" xr:uid="{00000000-0005-0000-0000-000057970000}"/>
    <cellStyle name="표준 5 3 7 4 8" xfId="33186" xr:uid="{00000000-0005-0000-0000-000058970000}"/>
    <cellStyle name="표준 5 3 7 4 9" xfId="41379" xr:uid="{00000000-0005-0000-0000-000059970000}"/>
    <cellStyle name="표준 5 3 7 5" xfId="2022" xr:uid="{00000000-0005-0000-0000-00005A970000}"/>
    <cellStyle name="표준 5 3 7 5 2" xfId="10925" xr:uid="{00000000-0005-0000-0000-00005B970000}"/>
    <cellStyle name="표준 5 3 7 5 2 2" xfId="15037" xr:uid="{00000000-0005-0000-0000-00005C970000}"/>
    <cellStyle name="표준 5 3 7 5 2 2 2" xfId="31631" xr:uid="{00000000-0005-0000-0000-00005D970000}"/>
    <cellStyle name="표준 5 3 7 5 2 2 3" xfId="39842" xr:uid="{00000000-0005-0000-0000-00005E970000}"/>
    <cellStyle name="표준 5 3 7 5 2 2 4" xfId="48035" xr:uid="{00000000-0005-0000-0000-00005F970000}"/>
    <cellStyle name="표준 5 3 7 5 2 3" xfId="19277" xr:uid="{00000000-0005-0000-0000-000060970000}"/>
    <cellStyle name="표준 5 3 7 5 2 4" xfId="23439" xr:uid="{00000000-0005-0000-0000-000061970000}"/>
    <cellStyle name="표준 5 3 7 5 2 5" xfId="27535" xr:uid="{00000000-0005-0000-0000-000062970000}"/>
    <cellStyle name="표준 5 3 7 5 2 6" xfId="35746" xr:uid="{00000000-0005-0000-0000-000063970000}"/>
    <cellStyle name="표준 5 3 7 5 2 7" xfId="43939" xr:uid="{00000000-0005-0000-0000-000064970000}"/>
    <cellStyle name="표준 5 3 7 5 3" xfId="8877" xr:uid="{00000000-0005-0000-0000-000065970000}"/>
    <cellStyle name="표준 5 3 7 5 3 2" xfId="29583" xr:uid="{00000000-0005-0000-0000-000066970000}"/>
    <cellStyle name="표준 5 3 7 5 3 3" xfId="37794" xr:uid="{00000000-0005-0000-0000-000067970000}"/>
    <cellStyle name="표준 5 3 7 5 3 4" xfId="45987" xr:uid="{00000000-0005-0000-0000-000068970000}"/>
    <cellStyle name="표준 5 3 7 5 4" xfId="12989" xr:uid="{00000000-0005-0000-0000-000069970000}"/>
    <cellStyle name="표준 5 3 7 5 5" xfId="17229" xr:uid="{00000000-0005-0000-0000-00006A970000}"/>
    <cellStyle name="표준 5 3 7 5 6" xfId="21391" xr:uid="{00000000-0005-0000-0000-00006B970000}"/>
    <cellStyle name="표준 5 3 7 5 7" xfId="25487" xr:uid="{00000000-0005-0000-0000-00006C970000}"/>
    <cellStyle name="표준 5 3 7 5 8" xfId="33698" xr:uid="{00000000-0005-0000-0000-00006D970000}"/>
    <cellStyle name="표준 5 3 7 5 9" xfId="41891" xr:uid="{00000000-0005-0000-0000-00006E970000}"/>
    <cellStyle name="표준 5 3 7 6" xfId="9389" xr:uid="{00000000-0005-0000-0000-00006F970000}"/>
    <cellStyle name="표준 5 3 7 6 2" xfId="13501" xr:uid="{00000000-0005-0000-0000-000070970000}"/>
    <cellStyle name="표준 5 3 7 6 2 2" xfId="30095" xr:uid="{00000000-0005-0000-0000-000071970000}"/>
    <cellStyle name="표준 5 3 7 6 2 3" xfId="38306" xr:uid="{00000000-0005-0000-0000-000072970000}"/>
    <cellStyle name="표준 5 3 7 6 2 4" xfId="46499" xr:uid="{00000000-0005-0000-0000-000073970000}"/>
    <cellStyle name="표준 5 3 7 6 3" xfId="17741" xr:uid="{00000000-0005-0000-0000-000074970000}"/>
    <cellStyle name="표준 5 3 7 6 4" xfId="21903" xr:uid="{00000000-0005-0000-0000-000075970000}"/>
    <cellStyle name="표준 5 3 7 6 5" xfId="25999" xr:uid="{00000000-0005-0000-0000-000076970000}"/>
    <cellStyle name="표준 5 3 7 6 6" xfId="34210" xr:uid="{00000000-0005-0000-0000-000077970000}"/>
    <cellStyle name="표준 5 3 7 6 7" xfId="42403" xr:uid="{00000000-0005-0000-0000-000078970000}"/>
    <cellStyle name="표준 5 3 7 7" xfId="7341" xr:uid="{00000000-0005-0000-0000-000079970000}"/>
    <cellStyle name="표준 5 3 7 7 2" xfId="28047" xr:uid="{00000000-0005-0000-0000-00007A970000}"/>
    <cellStyle name="표준 5 3 7 7 3" xfId="36258" xr:uid="{00000000-0005-0000-0000-00007B970000}"/>
    <cellStyle name="표준 5 3 7 7 4" xfId="44451" xr:uid="{00000000-0005-0000-0000-00007C970000}"/>
    <cellStyle name="표준 5 3 7 8" xfId="11453" xr:uid="{00000000-0005-0000-0000-00007D970000}"/>
    <cellStyle name="표준 5 3 7 9" xfId="15693" xr:uid="{00000000-0005-0000-0000-00007E970000}"/>
    <cellStyle name="표준 5 3 8" xfId="614" xr:uid="{00000000-0005-0000-0000-00007F970000}"/>
    <cellStyle name="표준 5 3 8 10" xfId="24079" xr:uid="{00000000-0005-0000-0000-000080970000}"/>
    <cellStyle name="표준 5 3 8 11" xfId="32290" xr:uid="{00000000-0005-0000-0000-000081970000}"/>
    <cellStyle name="표준 5 3 8 12" xfId="40483" xr:uid="{00000000-0005-0000-0000-000082970000}"/>
    <cellStyle name="표준 5 3 8 2" xfId="1126" xr:uid="{00000000-0005-0000-0000-000083970000}"/>
    <cellStyle name="표준 5 3 8 2 2" xfId="10029" xr:uid="{00000000-0005-0000-0000-000084970000}"/>
    <cellStyle name="표준 5 3 8 2 2 2" xfId="14141" xr:uid="{00000000-0005-0000-0000-000085970000}"/>
    <cellStyle name="표준 5 3 8 2 2 2 2" xfId="30735" xr:uid="{00000000-0005-0000-0000-000086970000}"/>
    <cellStyle name="표준 5 3 8 2 2 2 3" xfId="38946" xr:uid="{00000000-0005-0000-0000-000087970000}"/>
    <cellStyle name="표준 5 3 8 2 2 2 4" xfId="47139" xr:uid="{00000000-0005-0000-0000-000088970000}"/>
    <cellStyle name="표준 5 3 8 2 2 3" xfId="18381" xr:uid="{00000000-0005-0000-0000-000089970000}"/>
    <cellStyle name="표준 5 3 8 2 2 4" xfId="22543" xr:uid="{00000000-0005-0000-0000-00008A970000}"/>
    <cellStyle name="표준 5 3 8 2 2 5" xfId="26639" xr:uid="{00000000-0005-0000-0000-00008B970000}"/>
    <cellStyle name="표준 5 3 8 2 2 6" xfId="34850" xr:uid="{00000000-0005-0000-0000-00008C970000}"/>
    <cellStyle name="표준 5 3 8 2 2 7" xfId="43043" xr:uid="{00000000-0005-0000-0000-00008D970000}"/>
    <cellStyle name="표준 5 3 8 2 3" xfId="7981" xr:uid="{00000000-0005-0000-0000-00008E970000}"/>
    <cellStyle name="표준 5 3 8 2 3 2" xfId="28687" xr:uid="{00000000-0005-0000-0000-00008F970000}"/>
    <cellStyle name="표준 5 3 8 2 3 3" xfId="36898" xr:uid="{00000000-0005-0000-0000-000090970000}"/>
    <cellStyle name="표준 5 3 8 2 3 4" xfId="45091" xr:uid="{00000000-0005-0000-0000-000091970000}"/>
    <cellStyle name="표준 5 3 8 2 4" xfId="12093" xr:uid="{00000000-0005-0000-0000-000092970000}"/>
    <cellStyle name="표준 5 3 8 2 5" xfId="16333" xr:uid="{00000000-0005-0000-0000-000093970000}"/>
    <cellStyle name="표준 5 3 8 2 6" xfId="20495" xr:uid="{00000000-0005-0000-0000-000094970000}"/>
    <cellStyle name="표준 5 3 8 2 7" xfId="24591" xr:uid="{00000000-0005-0000-0000-000095970000}"/>
    <cellStyle name="표준 5 3 8 2 8" xfId="32802" xr:uid="{00000000-0005-0000-0000-000096970000}"/>
    <cellStyle name="표준 5 3 8 2 9" xfId="40995" xr:uid="{00000000-0005-0000-0000-000097970000}"/>
    <cellStyle name="표준 5 3 8 3" xfId="1638" xr:uid="{00000000-0005-0000-0000-000098970000}"/>
    <cellStyle name="표준 5 3 8 3 2" xfId="10541" xr:uid="{00000000-0005-0000-0000-000099970000}"/>
    <cellStyle name="표준 5 3 8 3 2 2" xfId="14653" xr:uid="{00000000-0005-0000-0000-00009A970000}"/>
    <cellStyle name="표준 5 3 8 3 2 2 2" xfId="31247" xr:uid="{00000000-0005-0000-0000-00009B970000}"/>
    <cellStyle name="표준 5 3 8 3 2 2 3" xfId="39458" xr:uid="{00000000-0005-0000-0000-00009C970000}"/>
    <cellStyle name="표준 5 3 8 3 2 2 4" xfId="47651" xr:uid="{00000000-0005-0000-0000-00009D970000}"/>
    <cellStyle name="표준 5 3 8 3 2 3" xfId="18893" xr:uid="{00000000-0005-0000-0000-00009E970000}"/>
    <cellStyle name="표준 5 3 8 3 2 4" xfId="23055" xr:uid="{00000000-0005-0000-0000-00009F970000}"/>
    <cellStyle name="표준 5 3 8 3 2 5" xfId="27151" xr:uid="{00000000-0005-0000-0000-0000A0970000}"/>
    <cellStyle name="표준 5 3 8 3 2 6" xfId="35362" xr:uid="{00000000-0005-0000-0000-0000A1970000}"/>
    <cellStyle name="표준 5 3 8 3 2 7" xfId="43555" xr:uid="{00000000-0005-0000-0000-0000A2970000}"/>
    <cellStyle name="표준 5 3 8 3 3" xfId="8493" xr:uid="{00000000-0005-0000-0000-0000A3970000}"/>
    <cellStyle name="표준 5 3 8 3 3 2" xfId="29199" xr:uid="{00000000-0005-0000-0000-0000A4970000}"/>
    <cellStyle name="표준 5 3 8 3 3 3" xfId="37410" xr:uid="{00000000-0005-0000-0000-0000A5970000}"/>
    <cellStyle name="표준 5 3 8 3 3 4" xfId="45603" xr:uid="{00000000-0005-0000-0000-0000A6970000}"/>
    <cellStyle name="표준 5 3 8 3 4" xfId="12605" xr:uid="{00000000-0005-0000-0000-0000A7970000}"/>
    <cellStyle name="표준 5 3 8 3 5" xfId="16845" xr:uid="{00000000-0005-0000-0000-0000A8970000}"/>
    <cellStyle name="표준 5 3 8 3 6" xfId="21007" xr:uid="{00000000-0005-0000-0000-0000A9970000}"/>
    <cellStyle name="표준 5 3 8 3 7" xfId="25103" xr:uid="{00000000-0005-0000-0000-0000AA970000}"/>
    <cellStyle name="표준 5 3 8 3 8" xfId="33314" xr:uid="{00000000-0005-0000-0000-0000AB970000}"/>
    <cellStyle name="표준 5 3 8 3 9" xfId="41507" xr:uid="{00000000-0005-0000-0000-0000AC970000}"/>
    <cellStyle name="표준 5 3 8 4" xfId="2150" xr:uid="{00000000-0005-0000-0000-0000AD970000}"/>
    <cellStyle name="표준 5 3 8 4 2" xfId="11053" xr:uid="{00000000-0005-0000-0000-0000AE970000}"/>
    <cellStyle name="표준 5 3 8 4 2 2" xfId="15165" xr:uid="{00000000-0005-0000-0000-0000AF970000}"/>
    <cellStyle name="표준 5 3 8 4 2 2 2" xfId="31759" xr:uid="{00000000-0005-0000-0000-0000B0970000}"/>
    <cellStyle name="표준 5 3 8 4 2 2 3" xfId="39970" xr:uid="{00000000-0005-0000-0000-0000B1970000}"/>
    <cellStyle name="표준 5 3 8 4 2 2 4" xfId="48163" xr:uid="{00000000-0005-0000-0000-0000B2970000}"/>
    <cellStyle name="표준 5 3 8 4 2 3" xfId="19405" xr:uid="{00000000-0005-0000-0000-0000B3970000}"/>
    <cellStyle name="표준 5 3 8 4 2 4" xfId="23567" xr:uid="{00000000-0005-0000-0000-0000B4970000}"/>
    <cellStyle name="표준 5 3 8 4 2 5" xfId="27663" xr:uid="{00000000-0005-0000-0000-0000B5970000}"/>
    <cellStyle name="표준 5 3 8 4 2 6" xfId="35874" xr:uid="{00000000-0005-0000-0000-0000B6970000}"/>
    <cellStyle name="표준 5 3 8 4 2 7" xfId="44067" xr:uid="{00000000-0005-0000-0000-0000B7970000}"/>
    <cellStyle name="표준 5 3 8 4 3" xfId="9005" xr:uid="{00000000-0005-0000-0000-0000B8970000}"/>
    <cellStyle name="표준 5 3 8 4 3 2" xfId="29711" xr:uid="{00000000-0005-0000-0000-0000B9970000}"/>
    <cellStyle name="표준 5 3 8 4 3 3" xfId="37922" xr:uid="{00000000-0005-0000-0000-0000BA970000}"/>
    <cellStyle name="표준 5 3 8 4 3 4" xfId="46115" xr:uid="{00000000-0005-0000-0000-0000BB970000}"/>
    <cellStyle name="표준 5 3 8 4 4" xfId="13117" xr:uid="{00000000-0005-0000-0000-0000BC970000}"/>
    <cellStyle name="표준 5 3 8 4 5" xfId="17357" xr:uid="{00000000-0005-0000-0000-0000BD970000}"/>
    <cellStyle name="표준 5 3 8 4 6" xfId="21519" xr:uid="{00000000-0005-0000-0000-0000BE970000}"/>
    <cellStyle name="표준 5 3 8 4 7" xfId="25615" xr:uid="{00000000-0005-0000-0000-0000BF970000}"/>
    <cellStyle name="표준 5 3 8 4 8" xfId="33826" xr:uid="{00000000-0005-0000-0000-0000C0970000}"/>
    <cellStyle name="표준 5 3 8 4 9" xfId="42019" xr:uid="{00000000-0005-0000-0000-0000C1970000}"/>
    <cellStyle name="표준 5 3 8 5" xfId="9517" xr:uid="{00000000-0005-0000-0000-0000C2970000}"/>
    <cellStyle name="표준 5 3 8 5 2" xfId="13629" xr:uid="{00000000-0005-0000-0000-0000C3970000}"/>
    <cellStyle name="표준 5 3 8 5 2 2" xfId="30223" xr:uid="{00000000-0005-0000-0000-0000C4970000}"/>
    <cellStyle name="표준 5 3 8 5 2 3" xfId="38434" xr:uid="{00000000-0005-0000-0000-0000C5970000}"/>
    <cellStyle name="표준 5 3 8 5 2 4" xfId="46627" xr:uid="{00000000-0005-0000-0000-0000C6970000}"/>
    <cellStyle name="표준 5 3 8 5 3" xfId="17869" xr:uid="{00000000-0005-0000-0000-0000C7970000}"/>
    <cellStyle name="표준 5 3 8 5 4" xfId="22031" xr:uid="{00000000-0005-0000-0000-0000C8970000}"/>
    <cellStyle name="표준 5 3 8 5 5" xfId="26127" xr:uid="{00000000-0005-0000-0000-0000C9970000}"/>
    <cellStyle name="표준 5 3 8 5 6" xfId="34338" xr:uid="{00000000-0005-0000-0000-0000CA970000}"/>
    <cellStyle name="표준 5 3 8 5 7" xfId="42531" xr:uid="{00000000-0005-0000-0000-0000CB970000}"/>
    <cellStyle name="표준 5 3 8 6" xfId="7469" xr:uid="{00000000-0005-0000-0000-0000CC970000}"/>
    <cellStyle name="표준 5 3 8 6 2" xfId="28175" xr:uid="{00000000-0005-0000-0000-0000CD970000}"/>
    <cellStyle name="표준 5 3 8 6 3" xfId="36386" xr:uid="{00000000-0005-0000-0000-0000CE970000}"/>
    <cellStyle name="표준 5 3 8 6 4" xfId="44579" xr:uid="{00000000-0005-0000-0000-0000CF970000}"/>
    <cellStyle name="표준 5 3 8 7" xfId="11581" xr:uid="{00000000-0005-0000-0000-0000D0970000}"/>
    <cellStyle name="표준 5 3 8 8" xfId="15821" xr:uid="{00000000-0005-0000-0000-0000D1970000}"/>
    <cellStyle name="표준 5 3 8 9" xfId="19983" xr:uid="{00000000-0005-0000-0000-0000D2970000}"/>
    <cellStyle name="표준 5 3 9" xfId="870" xr:uid="{00000000-0005-0000-0000-0000D3970000}"/>
    <cellStyle name="표준 5 3 9 2" xfId="9773" xr:uid="{00000000-0005-0000-0000-0000D4970000}"/>
    <cellStyle name="표준 5 3 9 2 2" xfId="13885" xr:uid="{00000000-0005-0000-0000-0000D5970000}"/>
    <cellStyle name="표준 5 3 9 2 2 2" xfId="30479" xr:uid="{00000000-0005-0000-0000-0000D6970000}"/>
    <cellStyle name="표준 5 3 9 2 2 3" xfId="38690" xr:uid="{00000000-0005-0000-0000-0000D7970000}"/>
    <cellStyle name="표준 5 3 9 2 2 4" xfId="46883" xr:uid="{00000000-0005-0000-0000-0000D8970000}"/>
    <cellStyle name="표준 5 3 9 2 3" xfId="18125" xr:uid="{00000000-0005-0000-0000-0000D9970000}"/>
    <cellStyle name="표준 5 3 9 2 4" xfId="22287" xr:uid="{00000000-0005-0000-0000-0000DA970000}"/>
    <cellStyle name="표준 5 3 9 2 5" xfId="26383" xr:uid="{00000000-0005-0000-0000-0000DB970000}"/>
    <cellStyle name="표준 5 3 9 2 6" xfId="34594" xr:uid="{00000000-0005-0000-0000-0000DC970000}"/>
    <cellStyle name="표준 5 3 9 2 7" xfId="42787" xr:uid="{00000000-0005-0000-0000-0000DD970000}"/>
    <cellStyle name="표준 5 3 9 3" xfId="7725" xr:uid="{00000000-0005-0000-0000-0000DE970000}"/>
    <cellStyle name="표준 5 3 9 3 2" xfId="28431" xr:uid="{00000000-0005-0000-0000-0000DF970000}"/>
    <cellStyle name="표준 5 3 9 3 3" xfId="36642" xr:uid="{00000000-0005-0000-0000-0000E0970000}"/>
    <cellStyle name="표준 5 3 9 3 4" xfId="44835" xr:uid="{00000000-0005-0000-0000-0000E1970000}"/>
    <cellStyle name="표준 5 3 9 4" xfId="11837" xr:uid="{00000000-0005-0000-0000-0000E2970000}"/>
    <cellStyle name="표준 5 3 9 5" xfId="16077" xr:uid="{00000000-0005-0000-0000-0000E3970000}"/>
    <cellStyle name="표준 5 3 9 6" xfId="20239" xr:uid="{00000000-0005-0000-0000-0000E4970000}"/>
    <cellStyle name="표준 5 3 9 7" xfId="24335" xr:uid="{00000000-0005-0000-0000-0000E5970000}"/>
    <cellStyle name="표준 5 3 9 8" xfId="32546" xr:uid="{00000000-0005-0000-0000-0000E6970000}"/>
    <cellStyle name="표준 5 3 9 9" xfId="40739" xr:uid="{00000000-0005-0000-0000-0000E7970000}"/>
    <cellStyle name="표준 5 30" xfId="19659" xr:uid="{00000000-0005-0000-0000-0000E8970000}"/>
    <cellStyle name="표준 5 31" xfId="19675" xr:uid="{00000000-0005-0000-0000-0000E9970000}"/>
    <cellStyle name="표준 5 32" xfId="19691" xr:uid="{00000000-0005-0000-0000-0000EA970000}"/>
    <cellStyle name="표준 5 33" xfId="19707" xr:uid="{00000000-0005-0000-0000-0000EB970000}"/>
    <cellStyle name="표준 5 34" xfId="19737" xr:uid="{00000000-0005-0000-0000-0000EC970000}"/>
    <cellStyle name="표준 5 35" xfId="23821" xr:uid="{00000000-0005-0000-0000-0000ED970000}"/>
    <cellStyle name="표준 5 36" xfId="32015" xr:uid="{00000000-0005-0000-0000-0000EE970000}"/>
    <cellStyle name="표준 5 37" xfId="32032" xr:uid="{00000000-0005-0000-0000-0000EF970000}"/>
    <cellStyle name="표준 5 38" xfId="40226" xr:uid="{00000000-0005-0000-0000-0000F0970000}"/>
    <cellStyle name="표준 5 39" xfId="48427" xr:uid="{00000000-0005-0000-0000-0000F1970000}"/>
    <cellStyle name="표준 5 4" xfId="49" xr:uid="{00000000-0005-0000-0000-0000F2970000}"/>
    <cellStyle name="표준 5 4 10" xfId="1896" xr:uid="{00000000-0005-0000-0000-0000F3970000}"/>
    <cellStyle name="표준 5 4 10 2" xfId="10799" xr:uid="{00000000-0005-0000-0000-0000F4970000}"/>
    <cellStyle name="표준 5 4 10 2 2" xfId="14911" xr:uid="{00000000-0005-0000-0000-0000F5970000}"/>
    <cellStyle name="표준 5 4 10 2 2 2" xfId="31505" xr:uid="{00000000-0005-0000-0000-0000F6970000}"/>
    <cellStyle name="표준 5 4 10 2 2 3" xfId="39716" xr:uid="{00000000-0005-0000-0000-0000F7970000}"/>
    <cellStyle name="표준 5 4 10 2 2 4" xfId="47909" xr:uid="{00000000-0005-0000-0000-0000F8970000}"/>
    <cellStyle name="표준 5 4 10 2 3" xfId="19151" xr:uid="{00000000-0005-0000-0000-0000F9970000}"/>
    <cellStyle name="표준 5 4 10 2 4" xfId="23313" xr:uid="{00000000-0005-0000-0000-0000FA970000}"/>
    <cellStyle name="표준 5 4 10 2 5" xfId="27409" xr:uid="{00000000-0005-0000-0000-0000FB970000}"/>
    <cellStyle name="표준 5 4 10 2 6" xfId="35620" xr:uid="{00000000-0005-0000-0000-0000FC970000}"/>
    <cellStyle name="표준 5 4 10 2 7" xfId="43813" xr:uid="{00000000-0005-0000-0000-0000FD970000}"/>
    <cellStyle name="표준 5 4 10 3" xfId="8751" xr:uid="{00000000-0005-0000-0000-0000FE970000}"/>
    <cellStyle name="표준 5 4 10 3 2" xfId="29457" xr:uid="{00000000-0005-0000-0000-0000FF970000}"/>
    <cellStyle name="표준 5 4 10 3 3" xfId="37668" xr:uid="{00000000-0005-0000-0000-000000980000}"/>
    <cellStyle name="표준 5 4 10 3 4" xfId="45861" xr:uid="{00000000-0005-0000-0000-000001980000}"/>
    <cellStyle name="표준 5 4 10 4" xfId="12863" xr:uid="{00000000-0005-0000-0000-000002980000}"/>
    <cellStyle name="표준 5 4 10 5" xfId="17103" xr:uid="{00000000-0005-0000-0000-000003980000}"/>
    <cellStyle name="표준 5 4 10 6" xfId="21265" xr:uid="{00000000-0005-0000-0000-000004980000}"/>
    <cellStyle name="표준 5 4 10 7" xfId="25361" xr:uid="{00000000-0005-0000-0000-000005980000}"/>
    <cellStyle name="표준 5 4 10 8" xfId="33572" xr:uid="{00000000-0005-0000-0000-000006980000}"/>
    <cellStyle name="표준 5 4 10 9" xfId="41765" xr:uid="{00000000-0005-0000-0000-000007980000}"/>
    <cellStyle name="표준 5 4 11" xfId="4339" xr:uid="{00000000-0005-0000-0000-000008980000}"/>
    <cellStyle name="표준 5 4 11 2" xfId="9263" xr:uid="{00000000-0005-0000-0000-000009980000}"/>
    <cellStyle name="표준 5 4 11 2 2" xfId="29969" xr:uid="{00000000-0005-0000-0000-00000A980000}"/>
    <cellStyle name="표준 5 4 11 2 3" xfId="38180" xr:uid="{00000000-0005-0000-0000-00000B980000}"/>
    <cellStyle name="표준 5 4 11 2 4" xfId="46373" xr:uid="{00000000-0005-0000-0000-00000C980000}"/>
    <cellStyle name="표준 5 4 11 3" xfId="13375" xr:uid="{00000000-0005-0000-0000-00000D980000}"/>
    <cellStyle name="표준 5 4 11 4" xfId="17615" xr:uid="{00000000-0005-0000-0000-00000E980000}"/>
    <cellStyle name="표준 5 4 11 5" xfId="21777" xr:uid="{00000000-0005-0000-0000-00000F980000}"/>
    <cellStyle name="표준 5 4 11 6" xfId="25873" xr:uid="{00000000-0005-0000-0000-000010980000}"/>
    <cellStyle name="표준 5 4 11 7" xfId="34084" xr:uid="{00000000-0005-0000-0000-000011980000}"/>
    <cellStyle name="표준 5 4 11 8" xfId="42277" xr:uid="{00000000-0005-0000-0000-000012980000}"/>
    <cellStyle name="표준 5 4 12" xfId="4393" xr:uid="{00000000-0005-0000-0000-000013980000}"/>
    <cellStyle name="표준 5 4 12 2" xfId="27921" xr:uid="{00000000-0005-0000-0000-000014980000}"/>
    <cellStyle name="표준 5 4 12 3" xfId="36132" xr:uid="{00000000-0005-0000-0000-000015980000}"/>
    <cellStyle name="표준 5 4 12 4" xfId="44325" xr:uid="{00000000-0005-0000-0000-000016980000}"/>
    <cellStyle name="표준 5 4 13" xfId="6950" xr:uid="{00000000-0005-0000-0000-000017980000}"/>
    <cellStyle name="표준 5 4 14" xfId="7068" xr:uid="{00000000-0005-0000-0000-000018980000}"/>
    <cellStyle name="표준 5 4 15" xfId="7084" xr:uid="{00000000-0005-0000-0000-000019980000}"/>
    <cellStyle name="표준 5 4 16" xfId="7100" xr:uid="{00000000-0005-0000-0000-00001A980000}"/>
    <cellStyle name="표준 5 4 17" xfId="7206" xr:uid="{00000000-0005-0000-0000-00001B980000}"/>
    <cellStyle name="표준 5 4 18" xfId="7215" xr:uid="{00000000-0005-0000-0000-00001C980000}"/>
    <cellStyle name="표준 5 4 19" xfId="11311" xr:uid="{00000000-0005-0000-0000-00001D980000}"/>
    <cellStyle name="표준 5 4 2" xfId="75" xr:uid="{00000000-0005-0000-0000-00001E980000}"/>
    <cellStyle name="표준 5 4 2 10" xfId="4401" xr:uid="{00000000-0005-0000-0000-00001F980000}"/>
    <cellStyle name="표준 5 4 2 10 2" xfId="9271" xr:uid="{00000000-0005-0000-0000-000020980000}"/>
    <cellStyle name="표준 5 4 2 10 2 2" xfId="29977" xr:uid="{00000000-0005-0000-0000-000021980000}"/>
    <cellStyle name="표준 5 4 2 10 2 3" xfId="38188" xr:uid="{00000000-0005-0000-0000-000022980000}"/>
    <cellStyle name="표준 5 4 2 10 2 4" xfId="46381" xr:uid="{00000000-0005-0000-0000-000023980000}"/>
    <cellStyle name="표준 5 4 2 10 3" xfId="13383" xr:uid="{00000000-0005-0000-0000-000024980000}"/>
    <cellStyle name="표준 5 4 2 10 4" xfId="17623" xr:uid="{00000000-0005-0000-0000-000025980000}"/>
    <cellStyle name="표준 5 4 2 10 5" xfId="21785" xr:uid="{00000000-0005-0000-0000-000026980000}"/>
    <cellStyle name="표준 5 4 2 10 6" xfId="25881" xr:uid="{00000000-0005-0000-0000-000027980000}"/>
    <cellStyle name="표준 5 4 2 10 7" xfId="34092" xr:uid="{00000000-0005-0000-0000-000028980000}"/>
    <cellStyle name="표준 5 4 2 10 8" xfId="42285" xr:uid="{00000000-0005-0000-0000-000029980000}"/>
    <cellStyle name="표준 5 4 2 11" xfId="6958" xr:uid="{00000000-0005-0000-0000-00002A980000}"/>
    <cellStyle name="표준 5 4 2 11 2" xfId="27929" xr:uid="{00000000-0005-0000-0000-00002B980000}"/>
    <cellStyle name="표준 5 4 2 11 3" xfId="36140" xr:uid="{00000000-0005-0000-0000-00002C980000}"/>
    <cellStyle name="표준 5 4 2 11 4" xfId="44333" xr:uid="{00000000-0005-0000-0000-00002D980000}"/>
    <cellStyle name="표준 5 4 2 12" xfId="7076" xr:uid="{00000000-0005-0000-0000-00002E980000}"/>
    <cellStyle name="표준 5 4 2 13" xfId="7092" xr:uid="{00000000-0005-0000-0000-00002F980000}"/>
    <cellStyle name="표준 5 4 2 14" xfId="7108" xr:uid="{00000000-0005-0000-0000-000030980000}"/>
    <cellStyle name="표준 5 4 2 15" xfId="7198" xr:uid="{00000000-0005-0000-0000-000031980000}"/>
    <cellStyle name="표준 5 4 2 16" xfId="7223" xr:uid="{00000000-0005-0000-0000-000032980000}"/>
    <cellStyle name="표준 5 4 2 17" xfId="11319" xr:uid="{00000000-0005-0000-0000-000033980000}"/>
    <cellStyle name="표준 5 4 2 18" xfId="11335" xr:uid="{00000000-0005-0000-0000-000034980000}"/>
    <cellStyle name="표준 5 4 2 19" xfId="15431" xr:uid="{00000000-0005-0000-0000-000035980000}"/>
    <cellStyle name="표준 5 4 2 2" xfId="169" xr:uid="{00000000-0005-0000-0000-000036980000}"/>
    <cellStyle name="표준 5 4 2 2 10" xfId="7182" xr:uid="{00000000-0005-0000-0000-000037980000}"/>
    <cellStyle name="표준 5 4 2 2 10 2" xfId="27945" xr:uid="{00000000-0005-0000-0000-000038980000}"/>
    <cellStyle name="표준 5 4 2 2 10 3" xfId="36156" xr:uid="{00000000-0005-0000-0000-000039980000}"/>
    <cellStyle name="표준 5 4 2 2 10 4" xfId="44349" xr:uid="{00000000-0005-0000-0000-00003A980000}"/>
    <cellStyle name="표준 5 4 2 2 11" xfId="7239" xr:uid="{00000000-0005-0000-0000-00003B980000}"/>
    <cellStyle name="표준 5 4 2 2 12" xfId="11351" xr:uid="{00000000-0005-0000-0000-00003C980000}"/>
    <cellStyle name="표준 5 4 2 2 13" xfId="15479" xr:uid="{00000000-0005-0000-0000-00003D980000}"/>
    <cellStyle name="표준 5 4 2 2 14" xfId="15591" xr:uid="{00000000-0005-0000-0000-00003E980000}"/>
    <cellStyle name="표준 5 4 2 2 15" xfId="19753" xr:uid="{00000000-0005-0000-0000-00003F980000}"/>
    <cellStyle name="표준 5 4 2 2 16" xfId="23849" xr:uid="{00000000-0005-0000-0000-000040980000}"/>
    <cellStyle name="표준 5 4 2 2 17" xfId="32060" xr:uid="{00000000-0005-0000-0000-000041980000}"/>
    <cellStyle name="표준 5 4 2 2 18" xfId="40253" xr:uid="{00000000-0005-0000-0000-000042980000}"/>
    <cellStyle name="표준 5 4 2 2 19" xfId="49640" xr:uid="{00000000-0005-0000-0000-000043980000}"/>
    <cellStyle name="표준 5 4 2 2 2" xfId="416" xr:uid="{00000000-0005-0000-0000-000044980000}"/>
    <cellStyle name="표준 5 4 2 2 2 10" xfId="7271" xr:uid="{00000000-0005-0000-0000-000045980000}"/>
    <cellStyle name="표준 5 4 2 2 2 11" xfId="11383" xr:uid="{00000000-0005-0000-0000-000046980000}"/>
    <cellStyle name="표준 5 4 2 2 2 12" xfId="15527" xr:uid="{00000000-0005-0000-0000-000047980000}"/>
    <cellStyle name="표준 5 4 2 2 2 13" xfId="15623" xr:uid="{00000000-0005-0000-0000-000048980000}"/>
    <cellStyle name="표준 5 4 2 2 2 14" xfId="19785" xr:uid="{00000000-0005-0000-0000-000049980000}"/>
    <cellStyle name="표준 5 4 2 2 2 15" xfId="23881" xr:uid="{00000000-0005-0000-0000-00004A980000}"/>
    <cellStyle name="표준 5 4 2 2 2 16" xfId="32092" xr:uid="{00000000-0005-0000-0000-00004B980000}"/>
    <cellStyle name="표준 5 4 2 2 2 17" xfId="40285" xr:uid="{00000000-0005-0000-0000-00004C980000}"/>
    <cellStyle name="표준 5 4 2 2 2 18" xfId="49706" xr:uid="{00000000-0005-0000-0000-00004D980000}"/>
    <cellStyle name="표준 5 4 2 2 2 2" xfId="480" xr:uid="{00000000-0005-0000-0000-00004E980000}"/>
    <cellStyle name="표준 5 4 2 2 2 2 10" xfId="15687" xr:uid="{00000000-0005-0000-0000-00004F980000}"/>
    <cellStyle name="표준 5 4 2 2 2 2 11" xfId="19849" xr:uid="{00000000-0005-0000-0000-000050980000}"/>
    <cellStyle name="표준 5 4 2 2 2 2 12" xfId="23945" xr:uid="{00000000-0005-0000-0000-000051980000}"/>
    <cellStyle name="표준 5 4 2 2 2 2 13" xfId="32156" xr:uid="{00000000-0005-0000-0000-000052980000}"/>
    <cellStyle name="표준 5 4 2 2 2 2 14" xfId="40349" xr:uid="{00000000-0005-0000-0000-000053980000}"/>
    <cellStyle name="표준 5 4 2 2 2 2 2" xfId="608" xr:uid="{00000000-0005-0000-0000-000054980000}"/>
    <cellStyle name="표준 5 4 2 2 2 2 2 10" xfId="19977" xr:uid="{00000000-0005-0000-0000-000055980000}"/>
    <cellStyle name="표준 5 4 2 2 2 2 2 11" xfId="24073" xr:uid="{00000000-0005-0000-0000-000056980000}"/>
    <cellStyle name="표준 5 4 2 2 2 2 2 12" xfId="32284" xr:uid="{00000000-0005-0000-0000-000057980000}"/>
    <cellStyle name="표준 5 4 2 2 2 2 2 13" xfId="40477" xr:uid="{00000000-0005-0000-0000-000058980000}"/>
    <cellStyle name="표준 5 4 2 2 2 2 2 2" xfId="864" xr:uid="{00000000-0005-0000-0000-000059980000}"/>
    <cellStyle name="표준 5 4 2 2 2 2 2 2 10" xfId="24329" xr:uid="{00000000-0005-0000-0000-00005A980000}"/>
    <cellStyle name="표준 5 4 2 2 2 2 2 2 11" xfId="32540" xr:uid="{00000000-0005-0000-0000-00005B980000}"/>
    <cellStyle name="표준 5 4 2 2 2 2 2 2 12" xfId="40733" xr:uid="{00000000-0005-0000-0000-00005C980000}"/>
    <cellStyle name="표준 5 4 2 2 2 2 2 2 2" xfId="1376" xr:uid="{00000000-0005-0000-0000-00005D980000}"/>
    <cellStyle name="표준 5 4 2 2 2 2 2 2 2 2" xfId="10279" xr:uid="{00000000-0005-0000-0000-00005E980000}"/>
    <cellStyle name="표준 5 4 2 2 2 2 2 2 2 2 2" xfId="14391" xr:uid="{00000000-0005-0000-0000-00005F980000}"/>
    <cellStyle name="표준 5 4 2 2 2 2 2 2 2 2 2 2" xfId="30985" xr:uid="{00000000-0005-0000-0000-000060980000}"/>
    <cellStyle name="표준 5 4 2 2 2 2 2 2 2 2 2 3" xfId="39196" xr:uid="{00000000-0005-0000-0000-000061980000}"/>
    <cellStyle name="표준 5 4 2 2 2 2 2 2 2 2 2 4" xfId="47389" xr:uid="{00000000-0005-0000-0000-000062980000}"/>
    <cellStyle name="표준 5 4 2 2 2 2 2 2 2 2 3" xfId="18631" xr:uid="{00000000-0005-0000-0000-000063980000}"/>
    <cellStyle name="표준 5 4 2 2 2 2 2 2 2 2 4" xfId="22793" xr:uid="{00000000-0005-0000-0000-000064980000}"/>
    <cellStyle name="표준 5 4 2 2 2 2 2 2 2 2 5" xfId="26889" xr:uid="{00000000-0005-0000-0000-000065980000}"/>
    <cellStyle name="표준 5 4 2 2 2 2 2 2 2 2 6" xfId="35100" xr:uid="{00000000-0005-0000-0000-000066980000}"/>
    <cellStyle name="표준 5 4 2 2 2 2 2 2 2 2 7" xfId="43293" xr:uid="{00000000-0005-0000-0000-000067980000}"/>
    <cellStyle name="표준 5 4 2 2 2 2 2 2 2 3" xfId="8231" xr:uid="{00000000-0005-0000-0000-000068980000}"/>
    <cellStyle name="표준 5 4 2 2 2 2 2 2 2 3 2" xfId="28937" xr:uid="{00000000-0005-0000-0000-000069980000}"/>
    <cellStyle name="표준 5 4 2 2 2 2 2 2 2 3 3" xfId="37148" xr:uid="{00000000-0005-0000-0000-00006A980000}"/>
    <cellStyle name="표준 5 4 2 2 2 2 2 2 2 3 4" xfId="45341" xr:uid="{00000000-0005-0000-0000-00006B980000}"/>
    <cellStyle name="표준 5 4 2 2 2 2 2 2 2 4" xfId="12343" xr:uid="{00000000-0005-0000-0000-00006C980000}"/>
    <cellStyle name="표준 5 4 2 2 2 2 2 2 2 5" xfId="16583" xr:uid="{00000000-0005-0000-0000-00006D980000}"/>
    <cellStyle name="표준 5 4 2 2 2 2 2 2 2 6" xfId="20745" xr:uid="{00000000-0005-0000-0000-00006E980000}"/>
    <cellStyle name="표준 5 4 2 2 2 2 2 2 2 7" xfId="24841" xr:uid="{00000000-0005-0000-0000-00006F980000}"/>
    <cellStyle name="표준 5 4 2 2 2 2 2 2 2 8" xfId="33052" xr:uid="{00000000-0005-0000-0000-000070980000}"/>
    <cellStyle name="표준 5 4 2 2 2 2 2 2 2 9" xfId="41245" xr:uid="{00000000-0005-0000-0000-000071980000}"/>
    <cellStyle name="표준 5 4 2 2 2 2 2 2 3" xfId="1888" xr:uid="{00000000-0005-0000-0000-000072980000}"/>
    <cellStyle name="표준 5 4 2 2 2 2 2 2 3 2" xfId="10791" xr:uid="{00000000-0005-0000-0000-000073980000}"/>
    <cellStyle name="표준 5 4 2 2 2 2 2 2 3 2 2" xfId="14903" xr:uid="{00000000-0005-0000-0000-000074980000}"/>
    <cellStyle name="표준 5 4 2 2 2 2 2 2 3 2 2 2" xfId="31497" xr:uid="{00000000-0005-0000-0000-000075980000}"/>
    <cellStyle name="표준 5 4 2 2 2 2 2 2 3 2 2 3" xfId="39708" xr:uid="{00000000-0005-0000-0000-000076980000}"/>
    <cellStyle name="표준 5 4 2 2 2 2 2 2 3 2 2 4" xfId="47901" xr:uid="{00000000-0005-0000-0000-000077980000}"/>
    <cellStyle name="표준 5 4 2 2 2 2 2 2 3 2 3" xfId="19143" xr:uid="{00000000-0005-0000-0000-000078980000}"/>
    <cellStyle name="표준 5 4 2 2 2 2 2 2 3 2 4" xfId="23305" xr:uid="{00000000-0005-0000-0000-000079980000}"/>
    <cellStyle name="표준 5 4 2 2 2 2 2 2 3 2 5" xfId="27401" xr:uid="{00000000-0005-0000-0000-00007A980000}"/>
    <cellStyle name="표준 5 4 2 2 2 2 2 2 3 2 6" xfId="35612" xr:uid="{00000000-0005-0000-0000-00007B980000}"/>
    <cellStyle name="표준 5 4 2 2 2 2 2 2 3 2 7" xfId="43805" xr:uid="{00000000-0005-0000-0000-00007C980000}"/>
    <cellStyle name="표준 5 4 2 2 2 2 2 2 3 3" xfId="8743" xr:uid="{00000000-0005-0000-0000-00007D980000}"/>
    <cellStyle name="표준 5 4 2 2 2 2 2 2 3 3 2" xfId="29449" xr:uid="{00000000-0005-0000-0000-00007E980000}"/>
    <cellStyle name="표준 5 4 2 2 2 2 2 2 3 3 3" xfId="37660" xr:uid="{00000000-0005-0000-0000-00007F980000}"/>
    <cellStyle name="표준 5 4 2 2 2 2 2 2 3 3 4" xfId="45853" xr:uid="{00000000-0005-0000-0000-000080980000}"/>
    <cellStyle name="표준 5 4 2 2 2 2 2 2 3 4" xfId="12855" xr:uid="{00000000-0005-0000-0000-000081980000}"/>
    <cellStyle name="표준 5 4 2 2 2 2 2 2 3 5" xfId="17095" xr:uid="{00000000-0005-0000-0000-000082980000}"/>
    <cellStyle name="표준 5 4 2 2 2 2 2 2 3 6" xfId="21257" xr:uid="{00000000-0005-0000-0000-000083980000}"/>
    <cellStyle name="표준 5 4 2 2 2 2 2 2 3 7" xfId="25353" xr:uid="{00000000-0005-0000-0000-000084980000}"/>
    <cellStyle name="표준 5 4 2 2 2 2 2 2 3 8" xfId="33564" xr:uid="{00000000-0005-0000-0000-000085980000}"/>
    <cellStyle name="표준 5 4 2 2 2 2 2 2 3 9" xfId="41757" xr:uid="{00000000-0005-0000-0000-000086980000}"/>
    <cellStyle name="표준 5 4 2 2 2 2 2 2 4" xfId="2400" xr:uid="{00000000-0005-0000-0000-000087980000}"/>
    <cellStyle name="표준 5 4 2 2 2 2 2 2 4 2" xfId="11303" xr:uid="{00000000-0005-0000-0000-000088980000}"/>
    <cellStyle name="표준 5 4 2 2 2 2 2 2 4 2 2" xfId="15415" xr:uid="{00000000-0005-0000-0000-000089980000}"/>
    <cellStyle name="표준 5 4 2 2 2 2 2 2 4 2 2 2" xfId="32009" xr:uid="{00000000-0005-0000-0000-00008A980000}"/>
    <cellStyle name="표준 5 4 2 2 2 2 2 2 4 2 2 3" xfId="40220" xr:uid="{00000000-0005-0000-0000-00008B980000}"/>
    <cellStyle name="표준 5 4 2 2 2 2 2 2 4 2 2 4" xfId="48413" xr:uid="{00000000-0005-0000-0000-00008C980000}"/>
    <cellStyle name="표준 5 4 2 2 2 2 2 2 4 2 3" xfId="19655" xr:uid="{00000000-0005-0000-0000-00008D980000}"/>
    <cellStyle name="표준 5 4 2 2 2 2 2 2 4 2 4" xfId="23817" xr:uid="{00000000-0005-0000-0000-00008E980000}"/>
    <cellStyle name="표준 5 4 2 2 2 2 2 2 4 2 5" xfId="27913" xr:uid="{00000000-0005-0000-0000-00008F980000}"/>
    <cellStyle name="표준 5 4 2 2 2 2 2 2 4 2 6" xfId="36124" xr:uid="{00000000-0005-0000-0000-000090980000}"/>
    <cellStyle name="표준 5 4 2 2 2 2 2 2 4 2 7" xfId="44317" xr:uid="{00000000-0005-0000-0000-000091980000}"/>
    <cellStyle name="표준 5 4 2 2 2 2 2 2 4 3" xfId="9255" xr:uid="{00000000-0005-0000-0000-000092980000}"/>
    <cellStyle name="표준 5 4 2 2 2 2 2 2 4 3 2" xfId="29961" xr:uid="{00000000-0005-0000-0000-000093980000}"/>
    <cellStyle name="표준 5 4 2 2 2 2 2 2 4 3 3" xfId="38172" xr:uid="{00000000-0005-0000-0000-000094980000}"/>
    <cellStyle name="표준 5 4 2 2 2 2 2 2 4 3 4" xfId="46365" xr:uid="{00000000-0005-0000-0000-000095980000}"/>
    <cellStyle name="표준 5 4 2 2 2 2 2 2 4 4" xfId="13367" xr:uid="{00000000-0005-0000-0000-000096980000}"/>
    <cellStyle name="표준 5 4 2 2 2 2 2 2 4 5" xfId="17607" xr:uid="{00000000-0005-0000-0000-000097980000}"/>
    <cellStyle name="표준 5 4 2 2 2 2 2 2 4 6" xfId="21769" xr:uid="{00000000-0005-0000-0000-000098980000}"/>
    <cellStyle name="표준 5 4 2 2 2 2 2 2 4 7" xfId="25865" xr:uid="{00000000-0005-0000-0000-000099980000}"/>
    <cellStyle name="표준 5 4 2 2 2 2 2 2 4 8" xfId="34076" xr:uid="{00000000-0005-0000-0000-00009A980000}"/>
    <cellStyle name="표준 5 4 2 2 2 2 2 2 4 9" xfId="42269" xr:uid="{00000000-0005-0000-0000-00009B980000}"/>
    <cellStyle name="표준 5 4 2 2 2 2 2 2 5" xfId="9767" xr:uid="{00000000-0005-0000-0000-00009C980000}"/>
    <cellStyle name="표준 5 4 2 2 2 2 2 2 5 2" xfId="13879" xr:uid="{00000000-0005-0000-0000-00009D980000}"/>
    <cellStyle name="표준 5 4 2 2 2 2 2 2 5 2 2" xfId="30473" xr:uid="{00000000-0005-0000-0000-00009E980000}"/>
    <cellStyle name="표준 5 4 2 2 2 2 2 2 5 2 3" xfId="38684" xr:uid="{00000000-0005-0000-0000-00009F980000}"/>
    <cellStyle name="표준 5 4 2 2 2 2 2 2 5 2 4" xfId="46877" xr:uid="{00000000-0005-0000-0000-0000A0980000}"/>
    <cellStyle name="표준 5 4 2 2 2 2 2 2 5 3" xfId="18119" xr:uid="{00000000-0005-0000-0000-0000A1980000}"/>
    <cellStyle name="표준 5 4 2 2 2 2 2 2 5 4" xfId="22281" xr:uid="{00000000-0005-0000-0000-0000A2980000}"/>
    <cellStyle name="표준 5 4 2 2 2 2 2 2 5 5" xfId="26377" xr:uid="{00000000-0005-0000-0000-0000A3980000}"/>
    <cellStyle name="표준 5 4 2 2 2 2 2 2 5 6" xfId="34588" xr:uid="{00000000-0005-0000-0000-0000A4980000}"/>
    <cellStyle name="표준 5 4 2 2 2 2 2 2 5 7" xfId="42781" xr:uid="{00000000-0005-0000-0000-0000A5980000}"/>
    <cellStyle name="표준 5 4 2 2 2 2 2 2 6" xfId="7719" xr:uid="{00000000-0005-0000-0000-0000A6980000}"/>
    <cellStyle name="표준 5 4 2 2 2 2 2 2 6 2" xfId="28425" xr:uid="{00000000-0005-0000-0000-0000A7980000}"/>
    <cellStyle name="표준 5 4 2 2 2 2 2 2 6 3" xfId="36636" xr:uid="{00000000-0005-0000-0000-0000A8980000}"/>
    <cellStyle name="표준 5 4 2 2 2 2 2 2 6 4" xfId="44829" xr:uid="{00000000-0005-0000-0000-0000A9980000}"/>
    <cellStyle name="표준 5 4 2 2 2 2 2 2 7" xfId="11831" xr:uid="{00000000-0005-0000-0000-0000AA980000}"/>
    <cellStyle name="표준 5 4 2 2 2 2 2 2 8" xfId="16071" xr:uid="{00000000-0005-0000-0000-0000AB980000}"/>
    <cellStyle name="표준 5 4 2 2 2 2 2 2 9" xfId="20233" xr:uid="{00000000-0005-0000-0000-0000AC980000}"/>
    <cellStyle name="표준 5 4 2 2 2 2 2 3" xfId="1120" xr:uid="{00000000-0005-0000-0000-0000AD980000}"/>
    <cellStyle name="표준 5 4 2 2 2 2 2 3 2" xfId="10023" xr:uid="{00000000-0005-0000-0000-0000AE980000}"/>
    <cellStyle name="표준 5 4 2 2 2 2 2 3 2 2" xfId="14135" xr:uid="{00000000-0005-0000-0000-0000AF980000}"/>
    <cellStyle name="표준 5 4 2 2 2 2 2 3 2 2 2" xfId="30729" xr:uid="{00000000-0005-0000-0000-0000B0980000}"/>
    <cellStyle name="표준 5 4 2 2 2 2 2 3 2 2 3" xfId="38940" xr:uid="{00000000-0005-0000-0000-0000B1980000}"/>
    <cellStyle name="표준 5 4 2 2 2 2 2 3 2 2 4" xfId="47133" xr:uid="{00000000-0005-0000-0000-0000B2980000}"/>
    <cellStyle name="표준 5 4 2 2 2 2 2 3 2 3" xfId="18375" xr:uid="{00000000-0005-0000-0000-0000B3980000}"/>
    <cellStyle name="표준 5 4 2 2 2 2 2 3 2 4" xfId="22537" xr:uid="{00000000-0005-0000-0000-0000B4980000}"/>
    <cellStyle name="표준 5 4 2 2 2 2 2 3 2 5" xfId="26633" xr:uid="{00000000-0005-0000-0000-0000B5980000}"/>
    <cellStyle name="표준 5 4 2 2 2 2 2 3 2 6" xfId="34844" xr:uid="{00000000-0005-0000-0000-0000B6980000}"/>
    <cellStyle name="표준 5 4 2 2 2 2 2 3 2 7" xfId="43037" xr:uid="{00000000-0005-0000-0000-0000B7980000}"/>
    <cellStyle name="표준 5 4 2 2 2 2 2 3 3" xfId="7975" xr:uid="{00000000-0005-0000-0000-0000B8980000}"/>
    <cellStyle name="표준 5 4 2 2 2 2 2 3 3 2" xfId="28681" xr:uid="{00000000-0005-0000-0000-0000B9980000}"/>
    <cellStyle name="표준 5 4 2 2 2 2 2 3 3 3" xfId="36892" xr:uid="{00000000-0005-0000-0000-0000BA980000}"/>
    <cellStyle name="표준 5 4 2 2 2 2 2 3 3 4" xfId="45085" xr:uid="{00000000-0005-0000-0000-0000BB980000}"/>
    <cellStyle name="표준 5 4 2 2 2 2 2 3 4" xfId="12087" xr:uid="{00000000-0005-0000-0000-0000BC980000}"/>
    <cellStyle name="표준 5 4 2 2 2 2 2 3 5" xfId="16327" xr:uid="{00000000-0005-0000-0000-0000BD980000}"/>
    <cellStyle name="표준 5 4 2 2 2 2 2 3 6" xfId="20489" xr:uid="{00000000-0005-0000-0000-0000BE980000}"/>
    <cellStyle name="표준 5 4 2 2 2 2 2 3 7" xfId="24585" xr:uid="{00000000-0005-0000-0000-0000BF980000}"/>
    <cellStyle name="표준 5 4 2 2 2 2 2 3 8" xfId="32796" xr:uid="{00000000-0005-0000-0000-0000C0980000}"/>
    <cellStyle name="표준 5 4 2 2 2 2 2 3 9" xfId="40989" xr:uid="{00000000-0005-0000-0000-0000C1980000}"/>
    <cellStyle name="표준 5 4 2 2 2 2 2 4" xfId="1632" xr:uid="{00000000-0005-0000-0000-0000C2980000}"/>
    <cellStyle name="표준 5 4 2 2 2 2 2 4 2" xfId="10535" xr:uid="{00000000-0005-0000-0000-0000C3980000}"/>
    <cellStyle name="표준 5 4 2 2 2 2 2 4 2 2" xfId="14647" xr:uid="{00000000-0005-0000-0000-0000C4980000}"/>
    <cellStyle name="표준 5 4 2 2 2 2 2 4 2 2 2" xfId="31241" xr:uid="{00000000-0005-0000-0000-0000C5980000}"/>
    <cellStyle name="표준 5 4 2 2 2 2 2 4 2 2 3" xfId="39452" xr:uid="{00000000-0005-0000-0000-0000C6980000}"/>
    <cellStyle name="표준 5 4 2 2 2 2 2 4 2 2 4" xfId="47645" xr:uid="{00000000-0005-0000-0000-0000C7980000}"/>
    <cellStyle name="표준 5 4 2 2 2 2 2 4 2 3" xfId="18887" xr:uid="{00000000-0005-0000-0000-0000C8980000}"/>
    <cellStyle name="표준 5 4 2 2 2 2 2 4 2 4" xfId="23049" xr:uid="{00000000-0005-0000-0000-0000C9980000}"/>
    <cellStyle name="표준 5 4 2 2 2 2 2 4 2 5" xfId="27145" xr:uid="{00000000-0005-0000-0000-0000CA980000}"/>
    <cellStyle name="표준 5 4 2 2 2 2 2 4 2 6" xfId="35356" xr:uid="{00000000-0005-0000-0000-0000CB980000}"/>
    <cellStyle name="표준 5 4 2 2 2 2 2 4 2 7" xfId="43549" xr:uid="{00000000-0005-0000-0000-0000CC980000}"/>
    <cellStyle name="표준 5 4 2 2 2 2 2 4 3" xfId="8487" xr:uid="{00000000-0005-0000-0000-0000CD980000}"/>
    <cellStyle name="표준 5 4 2 2 2 2 2 4 3 2" xfId="29193" xr:uid="{00000000-0005-0000-0000-0000CE980000}"/>
    <cellStyle name="표준 5 4 2 2 2 2 2 4 3 3" xfId="37404" xr:uid="{00000000-0005-0000-0000-0000CF980000}"/>
    <cellStyle name="표준 5 4 2 2 2 2 2 4 3 4" xfId="45597" xr:uid="{00000000-0005-0000-0000-0000D0980000}"/>
    <cellStyle name="표준 5 4 2 2 2 2 2 4 4" xfId="12599" xr:uid="{00000000-0005-0000-0000-0000D1980000}"/>
    <cellStyle name="표준 5 4 2 2 2 2 2 4 5" xfId="16839" xr:uid="{00000000-0005-0000-0000-0000D2980000}"/>
    <cellStyle name="표준 5 4 2 2 2 2 2 4 6" xfId="21001" xr:uid="{00000000-0005-0000-0000-0000D3980000}"/>
    <cellStyle name="표준 5 4 2 2 2 2 2 4 7" xfId="25097" xr:uid="{00000000-0005-0000-0000-0000D4980000}"/>
    <cellStyle name="표준 5 4 2 2 2 2 2 4 8" xfId="33308" xr:uid="{00000000-0005-0000-0000-0000D5980000}"/>
    <cellStyle name="표준 5 4 2 2 2 2 2 4 9" xfId="41501" xr:uid="{00000000-0005-0000-0000-0000D6980000}"/>
    <cellStyle name="표준 5 4 2 2 2 2 2 5" xfId="2144" xr:uid="{00000000-0005-0000-0000-0000D7980000}"/>
    <cellStyle name="표준 5 4 2 2 2 2 2 5 2" xfId="11047" xr:uid="{00000000-0005-0000-0000-0000D8980000}"/>
    <cellStyle name="표준 5 4 2 2 2 2 2 5 2 2" xfId="15159" xr:uid="{00000000-0005-0000-0000-0000D9980000}"/>
    <cellStyle name="표준 5 4 2 2 2 2 2 5 2 2 2" xfId="31753" xr:uid="{00000000-0005-0000-0000-0000DA980000}"/>
    <cellStyle name="표준 5 4 2 2 2 2 2 5 2 2 3" xfId="39964" xr:uid="{00000000-0005-0000-0000-0000DB980000}"/>
    <cellStyle name="표준 5 4 2 2 2 2 2 5 2 2 4" xfId="48157" xr:uid="{00000000-0005-0000-0000-0000DC980000}"/>
    <cellStyle name="표준 5 4 2 2 2 2 2 5 2 3" xfId="19399" xr:uid="{00000000-0005-0000-0000-0000DD980000}"/>
    <cellStyle name="표준 5 4 2 2 2 2 2 5 2 4" xfId="23561" xr:uid="{00000000-0005-0000-0000-0000DE980000}"/>
    <cellStyle name="표준 5 4 2 2 2 2 2 5 2 5" xfId="27657" xr:uid="{00000000-0005-0000-0000-0000DF980000}"/>
    <cellStyle name="표준 5 4 2 2 2 2 2 5 2 6" xfId="35868" xr:uid="{00000000-0005-0000-0000-0000E0980000}"/>
    <cellStyle name="표준 5 4 2 2 2 2 2 5 2 7" xfId="44061" xr:uid="{00000000-0005-0000-0000-0000E1980000}"/>
    <cellStyle name="표준 5 4 2 2 2 2 2 5 3" xfId="8999" xr:uid="{00000000-0005-0000-0000-0000E2980000}"/>
    <cellStyle name="표준 5 4 2 2 2 2 2 5 3 2" xfId="29705" xr:uid="{00000000-0005-0000-0000-0000E3980000}"/>
    <cellStyle name="표준 5 4 2 2 2 2 2 5 3 3" xfId="37916" xr:uid="{00000000-0005-0000-0000-0000E4980000}"/>
    <cellStyle name="표준 5 4 2 2 2 2 2 5 3 4" xfId="46109" xr:uid="{00000000-0005-0000-0000-0000E5980000}"/>
    <cellStyle name="표준 5 4 2 2 2 2 2 5 4" xfId="13111" xr:uid="{00000000-0005-0000-0000-0000E6980000}"/>
    <cellStyle name="표준 5 4 2 2 2 2 2 5 5" xfId="17351" xr:uid="{00000000-0005-0000-0000-0000E7980000}"/>
    <cellStyle name="표준 5 4 2 2 2 2 2 5 6" xfId="21513" xr:uid="{00000000-0005-0000-0000-0000E8980000}"/>
    <cellStyle name="표준 5 4 2 2 2 2 2 5 7" xfId="25609" xr:uid="{00000000-0005-0000-0000-0000E9980000}"/>
    <cellStyle name="표준 5 4 2 2 2 2 2 5 8" xfId="33820" xr:uid="{00000000-0005-0000-0000-0000EA980000}"/>
    <cellStyle name="표준 5 4 2 2 2 2 2 5 9" xfId="42013" xr:uid="{00000000-0005-0000-0000-0000EB980000}"/>
    <cellStyle name="표준 5 4 2 2 2 2 2 6" xfId="9511" xr:uid="{00000000-0005-0000-0000-0000EC980000}"/>
    <cellStyle name="표준 5 4 2 2 2 2 2 6 2" xfId="13623" xr:uid="{00000000-0005-0000-0000-0000ED980000}"/>
    <cellStyle name="표준 5 4 2 2 2 2 2 6 2 2" xfId="30217" xr:uid="{00000000-0005-0000-0000-0000EE980000}"/>
    <cellStyle name="표준 5 4 2 2 2 2 2 6 2 3" xfId="38428" xr:uid="{00000000-0005-0000-0000-0000EF980000}"/>
    <cellStyle name="표준 5 4 2 2 2 2 2 6 2 4" xfId="46621" xr:uid="{00000000-0005-0000-0000-0000F0980000}"/>
    <cellStyle name="표준 5 4 2 2 2 2 2 6 3" xfId="17863" xr:uid="{00000000-0005-0000-0000-0000F1980000}"/>
    <cellStyle name="표준 5 4 2 2 2 2 2 6 4" xfId="22025" xr:uid="{00000000-0005-0000-0000-0000F2980000}"/>
    <cellStyle name="표준 5 4 2 2 2 2 2 6 5" xfId="26121" xr:uid="{00000000-0005-0000-0000-0000F3980000}"/>
    <cellStyle name="표준 5 4 2 2 2 2 2 6 6" xfId="34332" xr:uid="{00000000-0005-0000-0000-0000F4980000}"/>
    <cellStyle name="표준 5 4 2 2 2 2 2 6 7" xfId="42525" xr:uid="{00000000-0005-0000-0000-0000F5980000}"/>
    <cellStyle name="표준 5 4 2 2 2 2 2 7" xfId="7463" xr:uid="{00000000-0005-0000-0000-0000F6980000}"/>
    <cellStyle name="표준 5 4 2 2 2 2 2 7 2" xfId="28169" xr:uid="{00000000-0005-0000-0000-0000F7980000}"/>
    <cellStyle name="표준 5 4 2 2 2 2 2 7 3" xfId="36380" xr:uid="{00000000-0005-0000-0000-0000F8980000}"/>
    <cellStyle name="표준 5 4 2 2 2 2 2 7 4" xfId="44573" xr:uid="{00000000-0005-0000-0000-0000F9980000}"/>
    <cellStyle name="표준 5 4 2 2 2 2 2 8" xfId="11575" xr:uid="{00000000-0005-0000-0000-0000FA980000}"/>
    <cellStyle name="표준 5 4 2 2 2 2 2 9" xfId="15815" xr:uid="{00000000-0005-0000-0000-0000FB980000}"/>
    <cellStyle name="표준 5 4 2 2 2 2 3" xfId="736" xr:uid="{00000000-0005-0000-0000-0000FC980000}"/>
    <cellStyle name="표준 5 4 2 2 2 2 3 10" xfId="24201" xr:uid="{00000000-0005-0000-0000-0000FD980000}"/>
    <cellStyle name="표준 5 4 2 2 2 2 3 11" xfId="32412" xr:uid="{00000000-0005-0000-0000-0000FE980000}"/>
    <cellStyle name="표준 5 4 2 2 2 2 3 12" xfId="40605" xr:uid="{00000000-0005-0000-0000-0000FF980000}"/>
    <cellStyle name="표준 5 4 2 2 2 2 3 2" xfId="1248" xr:uid="{00000000-0005-0000-0000-000000990000}"/>
    <cellStyle name="표준 5 4 2 2 2 2 3 2 2" xfId="10151" xr:uid="{00000000-0005-0000-0000-000001990000}"/>
    <cellStyle name="표준 5 4 2 2 2 2 3 2 2 2" xfId="14263" xr:uid="{00000000-0005-0000-0000-000002990000}"/>
    <cellStyle name="표준 5 4 2 2 2 2 3 2 2 2 2" xfId="30857" xr:uid="{00000000-0005-0000-0000-000003990000}"/>
    <cellStyle name="표준 5 4 2 2 2 2 3 2 2 2 3" xfId="39068" xr:uid="{00000000-0005-0000-0000-000004990000}"/>
    <cellStyle name="표준 5 4 2 2 2 2 3 2 2 2 4" xfId="47261" xr:uid="{00000000-0005-0000-0000-000005990000}"/>
    <cellStyle name="표준 5 4 2 2 2 2 3 2 2 3" xfId="18503" xr:uid="{00000000-0005-0000-0000-000006990000}"/>
    <cellStyle name="표준 5 4 2 2 2 2 3 2 2 4" xfId="22665" xr:uid="{00000000-0005-0000-0000-000007990000}"/>
    <cellStyle name="표준 5 4 2 2 2 2 3 2 2 5" xfId="26761" xr:uid="{00000000-0005-0000-0000-000008990000}"/>
    <cellStyle name="표준 5 4 2 2 2 2 3 2 2 6" xfId="34972" xr:uid="{00000000-0005-0000-0000-000009990000}"/>
    <cellStyle name="표준 5 4 2 2 2 2 3 2 2 7" xfId="43165" xr:uid="{00000000-0005-0000-0000-00000A990000}"/>
    <cellStyle name="표준 5 4 2 2 2 2 3 2 3" xfId="8103" xr:uid="{00000000-0005-0000-0000-00000B990000}"/>
    <cellStyle name="표준 5 4 2 2 2 2 3 2 3 2" xfId="28809" xr:uid="{00000000-0005-0000-0000-00000C990000}"/>
    <cellStyle name="표준 5 4 2 2 2 2 3 2 3 3" xfId="37020" xr:uid="{00000000-0005-0000-0000-00000D990000}"/>
    <cellStyle name="표준 5 4 2 2 2 2 3 2 3 4" xfId="45213" xr:uid="{00000000-0005-0000-0000-00000E990000}"/>
    <cellStyle name="표준 5 4 2 2 2 2 3 2 4" xfId="12215" xr:uid="{00000000-0005-0000-0000-00000F990000}"/>
    <cellStyle name="표준 5 4 2 2 2 2 3 2 5" xfId="16455" xr:uid="{00000000-0005-0000-0000-000010990000}"/>
    <cellStyle name="표준 5 4 2 2 2 2 3 2 6" xfId="20617" xr:uid="{00000000-0005-0000-0000-000011990000}"/>
    <cellStyle name="표준 5 4 2 2 2 2 3 2 7" xfId="24713" xr:uid="{00000000-0005-0000-0000-000012990000}"/>
    <cellStyle name="표준 5 4 2 2 2 2 3 2 8" xfId="32924" xr:uid="{00000000-0005-0000-0000-000013990000}"/>
    <cellStyle name="표준 5 4 2 2 2 2 3 2 9" xfId="41117" xr:uid="{00000000-0005-0000-0000-000014990000}"/>
    <cellStyle name="표준 5 4 2 2 2 2 3 3" xfId="1760" xr:uid="{00000000-0005-0000-0000-000015990000}"/>
    <cellStyle name="표준 5 4 2 2 2 2 3 3 2" xfId="10663" xr:uid="{00000000-0005-0000-0000-000016990000}"/>
    <cellStyle name="표준 5 4 2 2 2 2 3 3 2 2" xfId="14775" xr:uid="{00000000-0005-0000-0000-000017990000}"/>
    <cellStyle name="표준 5 4 2 2 2 2 3 3 2 2 2" xfId="31369" xr:uid="{00000000-0005-0000-0000-000018990000}"/>
    <cellStyle name="표준 5 4 2 2 2 2 3 3 2 2 3" xfId="39580" xr:uid="{00000000-0005-0000-0000-000019990000}"/>
    <cellStyle name="표준 5 4 2 2 2 2 3 3 2 2 4" xfId="47773" xr:uid="{00000000-0005-0000-0000-00001A990000}"/>
    <cellStyle name="표준 5 4 2 2 2 2 3 3 2 3" xfId="19015" xr:uid="{00000000-0005-0000-0000-00001B990000}"/>
    <cellStyle name="표준 5 4 2 2 2 2 3 3 2 4" xfId="23177" xr:uid="{00000000-0005-0000-0000-00001C990000}"/>
    <cellStyle name="표준 5 4 2 2 2 2 3 3 2 5" xfId="27273" xr:uid="{00000000-0005-0000-0000-00001D990000}"/>
    <cellStyle name="표준 5 4 2 2 2 2 3 3 2 6" xfId="35484" xr:uid="{00000000-0005-0000-0000-00001E990000}"/>
    <cellStyle name="표준 5 4 2 2 2 2 3 3 2 7" xfId="43677" xr:uid="{00000000-0005-0000-0000-00001F990000}"/>
    <cellStyle name="표준 5 4 2 2 2 2 3 3 3" xfId="8615" xr:uid="{00000000-0005-0000-0000-000020990000}"/>
    <cellStyle name="표준 5 4 2 2 2 2 3 3 3 2" xfId="29321" xr:uid="{00000000-0005-0000-0000-000021990000}"/>
    <cellStyle name="표준 5 4 2 2 2 2 3 3 3 3" xfId="37532" xr:uid="{00000000-0005-0000-0000-000022990000}"/>
    <cellStyle name="표준 5 4 2 2 2 2 3 3 3 4" xfId="45725" xr:uid="{00000000-0005-0000-0000-000023990000}"/>
    <cellStyle name="표준 5 4 2 2 2 2 3 3 4" xfId="12727" xr:uid="{00000000-0005-0000-0000-000024990000}"/>
    <cellStyle name="표준 5 4 2 2 2 2 3 3 5" xfId="16967" xr:uid="{00000000-0005-0000-0000-000025990000}"/>
    <cellStyle name="표준 5 4 2 2 2 2 3 3 6" xfId="21129" xr:uid="{00000000-0005-0000-0000-000026990000}"/>
    <cellStyle name="표준 5 4 2 2 2 2 3 3 7" xfId="25225" xr:uid="{00000000-0005-0000-0000-000027990000}"/>
    <cellStyle name="표준 5 4 2 2 2 2 3 3 8" xfId="33436" xr:uid="{00000000-0005-0000-0000-000028990000}"/>
    <cellStyle name="표준 5 4 2 2 2 2 3 3 9" xfId="41629" xr:uid="{00000000-0005-0000-0000-000029990000}"/>
    <cellStyle name="표준 5 4 2 2 2 2 3 4" xfId="2272" xr:uid="{00000000-0005-0000-0000-00002A990000}"/>
    <cellStyle name="표준 5 4 2 2 2 2 3 4 2" xfId="11175" xr:uid="{00000000-0005-0000-0000-00002B990000}"/>
    <cellStyle name="표준 5 4 2 2 2 2 3 4 2 2" xfId="15287" xr:uid="{00000000-0005-0000-0000-00002C990000}"/>
    <cellStyle name="표준 5 4 2 2 2 2 3 4 2 2 2" xfId="31881" xr:uid="{00000000-0005-0000-0000-00002D990000}"/>
    <cellStyle name="표준 5 4 2 2 2 2 3 4 2 2 3" xfId="40092" xr:uid="{00000000-0005-0000-0000-00002E990000}"/>
    <cellStyle name="표준 5 4 2 2 2 2 3 4 2 2 4" xfId="48285" xr:uid="{00000000-0005-0000-0000-00002F990000}"/>
    <cellStyle name="표준 5 4 2 2 2 2 3 4 2 3" xfId="19527" xr:uid="{00000000-0005-0000-0000-000030990000}"/>
    <cellStyle name="표준 5 4 2 2 2 2 3 4 2 4" xfId="23689" xr:uid="{00000000-0005-0000-0000-000031990000}"/>
    <cellStyle name="표준 5 4 2 2 2 2 3 4 2 5" xfId="27785" xr:uid="{00000000-0005-0000-0000-000032990000}"/>
    <cellStyle name="표준 5 4 2 2 2 2 3 4 2 6" xfId="35996" xr:uid="{00000000-0005-0000-0000-000033990000}"/>
    <cellStyle name="표준 5 4 2 2 2 2 3 4 2 7" xfId="44189" xr:uid="{00000000-0005-0000-0000-000034990000}"/>
    <cellStyle name="표준 5 4 2 2 2 2 3 4 3" xfId="9127" xr:uid="{00000000-0005-0000-0000-000035990000}"/>
    <cellStyle name="표준 5 4 2 2 2 2 3 4 3 2" xfId="29833" xr:uid="{00000000-0005-0000-0000-000036990000}"/>
    <cellStyle name="표준 5 4 2 2 2 2 3 4 3 3" xfId="38044" xr:uid="{00000000-0005-0000-0000-000037990000}"/>
    <cellStyle name="표준 5 4 2 2 2 2 3 4 3 4" xfId="46237" xr:uid="{00000000-0005-0000-0000-000038990000}"/>
    <cellStyle name="표준 5 4 2 2 2 2 3 4 4" xfId="13239" xr:uid="{00000000-0005-0000-0000-000039990000}"/>
    <cellStyle name="표준 5 4 2 2 2 2 3 4 5" xfId="17479" xr:uid="{00000000-0005-0000-0000-00003A990000}"/>
    <cellStyle name="표준 5 4 2 2 2 2 3 4 6" xfId="21641" xr:uid="{00000000-0005-0000-0000-00003B990000}"/>
    <cellStyle name="표준 5 4 2 2 2 2 3 4 7" xfId="25737" xr:uid="{00000000-0005-0000-0000-00003C990000}"/>
    <cellStyle name="표준 5 4 2 2 2 2 3 4 8" xfId="33948" xr:uid="{00000000-0005-0000-0000-00003D990000}"/>
    <cellStyle name="표준 5 4 2 2 2 2 3 4 9" xfId="42141" xr:uid="{00000000-0005-0000-0000-00003E990000}"/>
    <cellStyle name="표준 5 4 2 2 2 2 3 5" xfId="9639" xr:uid="{00000000-0005-0000-0000-00003F990000}"/>
    <cellStyle name="표준 5 4 2 2 2 2 3 5 2" xfId="13751" xr:uid="{00000000-0005-0000-0000-000040990000}"/>
    <cellStyle name="표준 5 4 2 2 2 2 3 5 2 2" xfId="30345" xr:uid="{00000000-0005-0000-0000-000041990000}"/>
    <cellStyle name="표준 5 4 2 2 2 2 3 5 2 3" xfId="38556" xr:uid="{00000000-0005-0000-0000-000042990000}"/>
    <cellStyle name="표준 5 4 2 2 2 2 3 5 2 4" xfId="46749" xr:uid="{00000000-0005-0000-0000-000043990000}"/>
    <cellStyle name="표준 5 4 2 2 2 2 3 5 3" xfId="17991" xr:uid="{00000000-0005-0000-0000-000044990000}"/>
    <cellStyle name="표준 5 4 2 2 2 2 3 5 4" xfId="22153" xr:uid="{00000000-0005-0000-0000-000045990000}"/>
    <cellStyle name="표준 5 4 2 2 2 2 3 5 5" xfId="26249" xr:uid="{00000000-0005-0000-0000-000046990000}"/>
    <cellStyle name="표준 5 4 2 2 2 2 3 5 6" xfId="34460" xr:uid="{00000000-0005-0000-0000-000047990000}"/>
    <cellStyle name="표준 5 4 2 2 2 2 3 5 7" xfId="42653" xr:uid="{00000000-0005-0000-0000-000048990000}"/>
    <cellStyle name="표준 5 4 2 2 2 2 3 6" xfId="7591" xr:uid="{00000000-0005-0000-0000-000049990000}"/>
    <cellStyle name="표준 5 4 2 2 2 2 3 6 2" xfId="28297" xr:uid="{00000000-0005-0000-0000-00004A990000}"/>
    <cellStyle name="표준 5 4 2 2 2 2 3 6 3" xfId="36508" xr:uid="{00000000-0005-0000-0000-00004B990000}"/>
    <cellStyle name="표준 5 4 2 2 2 2 3 6 4" xfId="44701" xr:uid="{00000000-0005-0000-0000-00004C990000}"/>
    <cellStyle name="표준 5 4 2 2 2 2 3 7" xfId="11703" xr:uid="{00000000-0005-0000-0000-00004D990000}"/>
    <cellStyle name="표준 5 4 2 2 2 2 3 8" xfId="15943" xr:uid="{00000000-0005-0000-0000-00004E990000}"/>
    <cellStyle name="표준 5 4 2 2 2 2 3 9" xfId="20105" xr:uid="{00000000-0005-0000-0000-00004F990000}"/>
    <cellStyle name="표준 5 4 2 2 2 2 4" xfId="992" xr:uid="{00000000-0005-0000-0000-000050990000}"/>
    <cellStyle name="표준 5 4 2 2 2 2 4 2" xfId="9895" xr:uid="{00000000-0005-0000-0000-000051990000}"/>
    <cellStyle name="표준 5 4 2 2 2 2 4 2 2" xfId="14007" xr:uid="{00000000-0005-0000-0000-000052990000}"/>
    <cellStyle name="표준 5 4 2 2 2 2 4 2 2 2" xfId="30601" xr:uid="{00000000-0005-0000-0000-000053990000}"/>
    <cellStyle name="표준 5 4 2 2 2 2 4 2 2 3" xfId="38812" xr:uid="{00000000-0005-0000-0000-000054990000}"/>
    <cellStyle name="표준 5 4 2 2 2 2 4 2 2 4" xfId="47005" xr:uid="{00000000-0005-0000-0000-000055990000}"/>
    <cellStyle name="표준 5 4 2 2 2 2 4 2 3" xfId="18247" xr:uid="{00000000-0005-0000-0000-000056990000}"/>
    <cellStyle name="표준 5 4 2 2 2 2 4 2 4" xfId="22409" xr:uid="{00000000-0005-0000-0000-000057990000}"/>
    <cellStyle name="표준 5 4 2 2 2 2 4 2 5" xfId="26505" xr:uid="{00000000-0005-0000-0000-000058990000}"/>
    <cellStyle name="표준 5 4 2 2 2 2 4 2 6" xfId="34716" xr:uid="{00000000-0005-0000-0000-000059990000}"/>
    <cellStyle name="표준 5 4 2 2 2 2 4 2 7" xfId="42909" xr:uid="{00000000-0005-0000-0000-00005A990000}"/>
    <cellStyle name="표준 5 4 2 2 2 2 4 3" xfId="7847" xr:uid="{00000000-0005-0000-0000-00005B990000}"/>
    <cellStyle name="표준 5 4 2 2 2 2 4 3 2" xfId="28553" xr:uid="{00000000-0005-0000-0000-00005C990000}"/>
    <cellStyle name="표준 5 4 2 2 2 2 4 3 3" xfId="36764" xr:uid="{00000000-0005-0000-0000-00005D990000}"/>
    <cellStyle name="표준 5 4 2 2 2 2 4 3 4" xfId="44957" xr:uid="{00000000-0005-0000-0000-00005E990000}"/>
    <cellStyle name="표준 5 4 2 2 2 2 4 4" xfId="11959" xr:uid="{00000000-0005-0000-0000-00005F990000}"/>
    <cellStyle name="표준 5 4 2 2 2 2 4 5" xfId="16199" xr:uid="{00000000-0005-0000-0000-000060990000}"/>
    <cellStyle name="표준 5 4 2 2 2 2 4 6" xfId="20361" xr:uid="{00000000-0005-0000-0000-000061990000}"/>
    <cellStyle name="표준 5 4 2 2 2 2 4 7" xfId="24457" xr:uid="{00000000-0005-0000-0000-000062990000}"/>
    <cellStyle name="표준 5 4 2 2 2 2 4 8" xfId="32668" xr:uid="{00000000-0005-0000-0000-000063990000}"/>
    <cellStyle name="표준 5 4 2 2 2 2 4 9" xfId="40861" xr:uid="{00000000-0005-0000-0000-000064990000}"/>
    <cellStyle name="표준 5 4 2 2 2 2 5" xfId="1504" xr:uid="{00000000-0005-0000-0000-000065990000}"/>
    <cellStyle name="표준 5 4 2 2 2 2 5 2" xfId="10407" xr:uid="{00000000-0005-0000-0000-000066990000}"/>
    <cellStyle name="표준 5 4 2 2 2 2 5 2 2" xfId="14519" xr:uid="{00000000-0005-0000-0000-000067990000}"/>
    <cellStyle name="표준 5 4 2 2 2 2 5 2 2 2" xfId="31113" xr:uid="{00000000-0005-0000-0000-000068990000}"/>
    <cellStyle name="표준 5 4 2 2 2 2 5 2 2 3" xfId="39324" xr:uid="{00000000-0005-0000-0000-000069990000}"/>
    <cellStyle name="표준 5 4 2 2 2 2 5 2 2 4" xfId="47517" xr:uid="{00000000-0005-0000-0000-00006A990000}"/>
    <cellStyle name="표준 5 4 2 2 2 2 5 2 3" xfId="18759" xr:uid="{00000000-0005-0000-0000-00006B990000}"/>
    <cellStyle name="표준 5 4 2 2 2 2 5 2 4" xfId="22921" xr:uid="{00000000-0005-0000-0000-00006C990000}"/>
    <cellStyle name="표준 5 4 2 2 2 2 5 2 5" xfId="27017" xr:uid="{00000000-0005-0000-0000-00006D990000}"/>
    <cellStyle name="표준 5 4 2 2 2 2 5 2 6" xfId="35228" xr:uid="{00000000-0005-0000-0000-00006E990000}"/>
    <cellStyle name="표준 5 4 2 2 2 2 5 2 7" xfId="43421" xr:uid="{00000000-0005-0000-0000-00006F990000}"/>
    <cellStyle name="표준 5 4 2 2 2 2 5 3" xfId="8359" xr:uid="{00000000-0005-0000-0000-000070990000}"/>
    <cellStyle name="표준 5 4 2 2 2 2 5 3 2" xfId="29065" xr:uid="{00000000-0005-0000-0000-000071990000}"/>
    <cellStyle name="표준 5 4 2 2 2 2 5 3 3" xfId="37276" xr:uid="{00000000-0005-0000-0000-000072990000}"/>
    <cellStyle name="표준 5 4 2 2 2 2 5 3 4" xfId="45469" xr:uid="{00000000-0005-0000-0000-000073990000}"/>
    <cellStyle name="표준 5 4 2 2 2 2 5 4" xfId="12471" xr:uid="{00000000-0005-0000-0000-000074990000}"/>
    <cellStyle name="표준 5 4 2 2 2 2 5 5" xfId="16711" xr:uid="{00000000-0005-0000-0000-000075990000}"/>
    <cellStyle name="표준 5 4 2 2 2 2 5 6" xfId="20873" xr:uid="{00000000-0005-0000-0000-000076990000}"/>
    <cellStyle name="표준 5 4 2 2 2 2 5 7" xfId="24969" xr:uid="{00000000-0005-0000-0000-000077990000}"/>
    <cellStyle name="표준 5 4 2 2 2 2 5 8" xfId="33180" xr:uid="{00000000-0005-0000-0000-000078990000}"/>
    <cellStyle name="표준 5 4 2 2 2 2 5 9" xfId="41373" xr:uid="{00000000-0005-0000-0000-000079990000}"/>
    <cellStyle name="표준 5 4 2 2 2 2 6" xfId="2016" xr:uid="{00000000-0005-0000-0000-00007A990000}"/>
    <cellStyle name="표준 5 4 2 2 2 2 6 2" xfId="10919" xr:uid="{00000000-0005-0000-0000-00007B990000}"/>
    <cellStyle name="표준 5 4 2 2 2 2 6 2 2" xfId="15031" xr:uid="{00000000-0005-0000-0000-00007C990000}"/>
    <cellStyle name="표준 5 4 2 2 2 2 6 2 2 2" xfId="31625" xr:uid="{00000000-0005-0000-0000-00007D990000}"/>
    <cellStyle name="표준 5 4 2 2 2 2 6 2 2 3" xfId="39836" xr:uid="{00000000-0005-0000-0000-00007E990000}"/>
    <cellStyle name="표준 5 4 2 2 2 2 6 2 2 4" xfId="48029" xr:uid="{00000000-0005-0000-0000-00007F990000}"/>
    <cellStyle name="표준 5 4 2 2 2 2 6 2 3" xfId="19271" xr:uid="{00000000-0005-0000-0000-000080990000}"/>
    <cellStyle name="표준 5 4 2 2 2 2 6 2 4" xfId="23433" xr:uid="{00000000-0005-0000-0000-000081990000}"/>
    <cellStyle name="표준 5 4 2 2 2 2 6 2 5" xfId="27529" xr:uid="{00000000-0005-0000-0000-000082990000}"/>
    <cellStyle name="표준 5 4 2 2 2 2 6 2 6" xfId="35740" xr:uid="{00000000-0005-0000-0000-000083990000}"/>
    <cellStyle name="표준 5 4 2 2 2 2 6 2 7" xfId="43933" xr:uid="{00000000-0005-0000-0000-000084990000}"/>
    <cellStyle name="표준 5 4 2 2 2 2 6 3" xfId="8871" xr:uid="{00000000-0005-0000-0000-000085990000}"/>
    <cellStyle name="표준 5 4 2 2 2 2 6 3 2" xfId="29577" xr:uid="{00000000-0005-0000-0000-000086990000}"/>
    <cellStyle name="표준 5 4 2 2 2 2 6 3 3" xfId="37788" xr:uid="{00000000-0005-0000-0000-000087990000}"/>
    <cellStyle name="표준 5 4 2 2 2 2 6 3 4" xfId="45981" xr:uid="{00000000-0005-0000-0000-000088990000}"/>
    <cellStyle name="표준 5 4 2 2 2 2 6 4" xfId="12983" xr:uid="{00000000-0005-0000-0000-000089990000}"/>
    <cellStyle name="표준 5 4 2 2 2 2 6 5" xfId="17223" xr:uid="{00000000-0005-0000-0000-00008A990000}"/>
    <cellStyle name="표준 5 4 2 2 2 2 6 6" xfId="21385" xr:uid="{00000000-0005-0000-0000-00008B990000}"/>
    <cellStyle name="표준 5 4 2 2 2 2 6 7" xfId="25481" xr:uid="{00000000-0005-0000-0000-00008C990000}"/>
    <cellStyle name="표준 5 4 2 2 2 2 6 8" xfId="33692" xr:uid="{00000000-0005-0000-0000-00008D990000}"/>
    <cellStyle name="표준 5 4 2 2 2 2 6 9" xfId="41885" xr:uid="{00000000-0005-0000-0000-00008E990000}"/>
    <cellStyle name="표준 5 4 2 2 2 2 7" xfId="9383" xr:uid="{00000000-0005-0000-0000-00008F990000}"/>
    <cellStyle name="표준 5 4 2 2 2 2 7 2" xfId="13495" xr:uid="{00000000-0005-0000-0000-000090990000}"/>
    <cellStyle name="표준 5 4 2 2 2 2 7 2 2" xfId="30089" xr:uid="{00000000-0005-0000-0000-000091990000}"/>
    <cellStyle name="표준 5 4 2 2 2 2 7 2 3" xfId="38300" xr:uid="{00000000-0005-0000-0000-000092990000}"/>
    <cellStyle name="표준 5 4 2 2 2 2 7 2 4" xfId="46493" xr:uid="{00000000-0005-0000-0000-000093990000}"/>
    <cellStyle name="표준 5 4 2 2 2 2 7 3" xfId="17735" xr:uid="{00000000-0005-0000-0000-000094990000}"/>
    <cellStyle name="표준 5 4 2 2 2 2 7 4" xfId="21897" xr:uid="{00000000-0005-0000-0000-000095990000}"/>
    <cellStyle name="표준 5 4 2 2 2 2 7 5" xfId="25993" xr:uid="{00000000-0005-0000-0000-000096990000}"/>
    <cellStyle name="표준 5 4 2 2 2 2 7 6" xfId="34204" xr:uid="{00000000-0005-0000-0000-000097990000}"/>
    <cellStyle name="표준 5 4 2 2 2 2 7 7" xfId="42397" xr:uid="{00000000-0005-0000-0000-000098990000}"/>
    <cellStyle name="표준 5 4 2 2 2 2 8" xfId="7335" xr:uid="{00000000-0005-0000-0000-000099990000}"/>
    <cellStyle name="표준 5 4 2 2 2 2 8 2" xfId="28041" xr:uid="{00000000-0005-0000-0000-00009A990000}"/>
    <cellStyle name="표준 5 4 2 2 2 2 8 3" xfId="36252" xr:uid="{00000000-0005-0000-0000-00009B990000}"/>
    <cellStyle name="표준 5 4 2 2 2 2 8 4" xfId="44445" xr:uid="{00000000-0005-0000-0000-00009C990000}"/>
    <cellStyle name="표준 5 4 2 2 2 2 9" xfId="11447" xr:uid="{00000000-0005-0000-0000-00009D990000}"/>
    <cellStyle name="표준 5 4 2 2 2 3" xfId="544" xr:uid="{00000000-0005-0000-0000-00009E990000}"/>
    <cellStyle name="표준 5 4 2 2 2 3 10" xfId="19913" xr:uid="{00000000-0005-0000-0000-00009F990000}"/>
    <cellStyle name="표준 5 4 2 2 2 3 11" xfId="24009" xr:uid="{00000000-0005-0000-0000-0000A0990000}"/>
    <cellStyle name="표준 5 4 2 2 2 3 12" xfId="32220" xr:uid="{00000000-0005-0000-0000-0000A1990000}"/>
    <cellStyle name="표준 5 4 2 2 2 3 13" xfId="40413" xr:uid="{00000000-0005-0000-0000-0000A2990000}"/>
    <cellStyle name="표준 5 4 2 2 2 3 2" xfId="800" xr:uid="{00000000-0005-0000-0000-0000A3990000}"/>
    <cellStyle name="표준 5 4 2 2 2 3 2 10" xfId="24265" xr:uid="{00000000-0005-0000-0000-0000A4990000}"/>
    <cellStyle name="표준 5 4 2 2 2 3 2 11" xfId="32476" xr:uid="{00000000-0005-0000-0000-0000A5990000}"/>
    <cellStyle name="표준 5 4 2 2 2 3 2 12" xfId="40669" xr:uid="{00000000-0005-0000-0000-0000A6990000}"/>
    <cellStyle name="표준 5 4 2 2 2 3 2 2" xfId="1312" xr:uid="{00000000-0005-0000-0000-0000A7990000}"/>
    <cellStyle name="표준 5 4 2 2 2 3 2 2 2" xfId="10215" xr:uid="{00000000-0005-0000-0000-0000A8990000}"/>
    <cellStyle name="표준 5 4 2 2 2 3 2 2 2 2" xfId="14327" xr:uid="{00000000-0005-0000-0000-0000A9990000}"/>
    <cellStyle name="표준 5 4 2 2 2 3 2 2 2 2 2" xfId="30921" xr:uid="{00000000-0005-0000-0000-0000AA990000}"/>
    <cellStyle name="표준 5 4 2 2 2 3 2 2 2 2 3" xfId="39132" xr:uid="{00000000-0005-0000-0000-0000AB990000}"/>
    <cellStyle name="표준 5 4 2 2 2 3 2 2 2 2 4" xfId="47325" xr:uid="{00000000-0005-0000-0000-0000AC990000}"/>
    <cellStyle name="표준 5 4 2 2 2 3 2 2 2 3" xfId="18567" xr:uid="{00000000-0005-0000-0000-0000AD990000}"/>
    <cellStyle name="표준 5 4 2 2 2 3 2 2 2 4" xfId="22729" xr:uid="{00000000-0005-0000-0000-0000AE990000}"/>
    <cellStyle name="표준 5 4 2 2 2 3 2 2 2 5" xfId="26825" xr:uid="{00000000-0005-0000-0000-0000AF990000}"/>
    <cellStyle name="표준 5 4 2 2 2 3 2 2 2 6" xfId="35036" xr:uid="{00000000-0005-0000-0000-0000B0990000}"/>
    <cellStyle name="표준 5 4 2 2 2 3 2 2 2 7" xfId="43229" xr:uid="{00000000-0005-0000-0000-0000B1990000}"/>
    <cellStyle name="표준 5 4 2 2 2 3 2 2 3" xfId="8167" xr:uid="{00000000-0005-0000-0000-0000B2990000}"/>
    <cellStyle name="표준 5 4 2 2 2 3 2 2 3 2" xfId="28873" xr:uid="{00000000-0005-0000-0000-0000B3990000}"/>
    <cellStyle name="표준 5 4 2 2 2 3 2 2 3 3" xfId="37084" xr:uid="{00000000-0005-0000-0000-0000B4990000}"/>
    <cellStyle name="표준 5 4 2 2 2 3 2 2 3 4" xfId="45277" xr:uid="{00000000-0005-0000-0000-0000B5990000}"/>
    <cellStyle name="표준 5 4 2 2 2 3 2 2 4" xfId="12279" xr:uid="{00000000-0005-0000-0000-0000B6990000}"/>
    <cellStyle name="표준 5 4 2 2 2 3 2 2 5" xfId="16519" xr:uid="{00000000-0005-0000-0000-0000B7990000}"/>
    <cellStyle name="표준 5 4 2 2 2 3 2 2 6" xfId="20681" xr:uid="{00000000-0005-0000-0000-0000B8990000}"/>
    <cellStyle name="표준 5 4 2 2 2 3 2 2 7" xfId="24777" xr:uid="{00000000-0005-0000-0000-0000B9990000}"/>
    <cellStyle name="표준 5 4 2 2 2 3 2 2 8" xfId="32988" xr:uid="{00000000-0005-0000-0000-0000BA990000}"/>
    <cellStyle name="표준 5 4 2 2 2 3 2 2 9" xfId="41181" xr:uid="{00000000-0005-0000-0000-0000BB990000}"/>
    <cellStyle name="표준 5 4 2 2 2 3 2 3" xfId="1824" xr:uid="{00000000-0005-0000-0000-0000BC990000}"/>
    <cellStyle name="표준 5 4 2 2 2 3 2 3 2" xfId="10727" xr:uid="{00000000-0005-0000-0000-0000BD990000}"/>
    <cellStyle name="표준 5 4 2 2 2 3 2 3 2 2" xfId="14839" xr:uid="{00000000-0005-0000-0000-0000BE990000}"/>
    <cellStyle name="표준 5 4 2 2 2 3 2 3 2 2 2" xfId="31433" xr:uid="{00000000-0005-0000-0000-0000BF990000}"/>
    <cellStyle name="표준 5 4 2 2 2 3 2 3 2 2 3" xfId="39644" xr:uid="{00000000-0005-0000-0000-0000C0990000}"/>
    <cellStyle name="표준 5 4 2 2 2 3 2 3 2 2 4" xfId="47837" xr:uid="{00000000-0005-0000-0000-0000C1990000}"/>
    <cellStyle name="표준 5 4 2 2 2 3 2 3 2 3" xfId="19079" xr:uid="{00000000-0005-0000-0000-0000C2990000}"/>
    <cellStyle name="표준 5 4 2 2 2 3 2 3 2 4" xfId="23241" xr:uid="{00000000-0005-0000-0000-0000C3990000}"/>
    <cellStyle name="표준 5 4 2 2 2 3 2 3 2 5" xfId="27337" xr:uid="{00000000-0005-0000-0000-0000C4990000}"/>
    <cellStyle name="표준 5 4 2 2 2 3 2 3 2 6" xfId="35548" xr:uid="{00000000-0005-0000-0000-0000C5990000}"/>
    <cellStyle name="표준 5 4 2 2 2 3 2 3 2 7" xfId="43741" xr:uid="{00000000-0005-0000-0000-0000C6990000}"/>
    <cellStyle name="표준 5 4 2 2 2 3 2 3 3" xfId="8679" xr:uid="{00000000-0005-0000-0000-0000C7990000}"/>
    <cellStyle name="표준 5 4 2 2 2 3 2 3 3 2" xfId="29385" xr:uid="{00000000-0005-0000-0000-0000C8990000}"/>
    <cellStyle name="표준 5 4 2 2 2 3 2 3 3 3" xfId="37596" xr:uid="{00000000-0005-0000-0000-0000C9990000}"/>
    <cellStyle name="표준 5 4 2 2 2 3 2 3 3 4" xfId="45789" xr:uid="{00000000-0005-0000-0000-0000CA990000}"/>
    <cellStyle name="표준 5 4 2 2 2 3 2 3 4" xfId="12791" xr:uid="{00000000-0005-0000-0000-0000CB990000}"/>
    <cellStyle name="표준 5 4 2 2 2 3 2 3 5" xfId="17031" xr:uid="{00000000-0005-0000-0000-0000CC990000}"/>
    <cellStyle name="표준 5 4 2 2 2 3 2 3 6" xfId="21193" xr:uid="{00000000-0005-0000-0000-0000CD990000}"/>
    <cellStyle name="표준 5 4 2 2 2 3 2 3 7" xfId="25289" xr:uid="{00000000-0005-0000-0000-0000CE990000}"/>
    <cellStyle name="표준 5 4 2 2 2 3 2 3 8" xfId="33500" xr:uid="{00000000-0005-0000-0000-0000CF990000}"/>
    <cellStyle name="표준 5 4 2 2 2 3 2 3 9" xfId="41693" xr:uid="{00000000-0005-0000-0000-0000D0990000}"/>
    <cellStyle name="표준 5 4 2 2 2 3 2 4" xfId="2336" xr:uid="{00000000-0005-0000-0000-0000D1990000}"/>
    <cellStyle name="표준 5 4 2 2 2 3 2 4 2" xfId="11239" xr:uid="{00000000-0005-0000-0000-0000D2990000}"/>
    <cellStyle name="표준 5 4 2 2 2 3 2 4 2 2" xfId="15351" xr:uid="{00000000-0005-0000-0000-0000D3990000}"/>
    <cellStyle name="표준 5 4 2 2 2 3 2 4 2 2 2" xfId="31945" xr:uid="{00000000-0005-0000-0000-0000D4990000}"/>
    <cellStyle name="표준 5 4 2 2 2 3 2 4 2 2 3" xfId="40156" xr:uid="{00000000-0005-0000-0000-0000D5990000}"/>
    <cellStyle name="표준 5 4 2 2 2 3 2 4 2 2 4" xfId="48349" xr:uid="{00000000-0005-0000-0000-0000D6990000}"/>
    <cellStyle name="표준 5 4 2 2 2 3 2 4 2 3" xfId="19591" xr:uid="{00000000-0005-0000-0000-0000D7990000}"/>
    <cellStyle name="표준 5 4 2 2 2 3 2 4 2 4" xfId="23753" xr:uid="{00000000-0005-0000-0000-0000D8990000}"/>
    <cellStyle name="표준 5 4 2 2 2 3 2 4 2 5" xfId="27849" xr:uid="{00000000-0005-0000-0000-0000D9990000}"/>
    <cellStyle name="표준 5 4 2 2 2 3 2 4 2 6" xfId="36060" xr:uid="{00000000-0005-0000-0000-0000DA990000}"/>
    <cellStyle name="표준 5 4 2 2 2 3 2 4 2 7" xfId="44253" xr:uid="{00000000-0005-0000-0000-0000DB990000}"/>
    <cellStyle name="표준 5 4 2 2 2 3 2 4 3" xfId="9191" xr:uid="{00000000-0005-0000-0000-0000DC990000}"/>
    <cellStyle name="표준 5 4 2 2 2 3 2 4 3 2" xfId="29897" xr:uid="{00000000-0005-0000-0000-0000DD990000}"/>
    <cellStyle name="표준 5 4 2 2 2 3 2 4 3 3" xfId="38108" xr:uid="{00000000-0005-0000-0000-0000DE990000}"/>
    <cellStyle name="표준 5 4 2 2 2 3 2 4 3 4" xfId="46301" xr:uid="{00000000-0005-0000-0000-0000DF990000}"/>
    <cellStyle name="표준 5 4 2 2 2 3 2 4 4" xfId="13303" xr:uid="{00000000-0005-0000-0000-0000E0990000}"/>
    <cellStyle name="표준 5 4 2 2 2 3 2 4 5" xfId="17543" xr:uid="{00000000-0005-0000-0000-0000E1990000}"/>
    <cellStyle name="표준 5 4 2 2 2 3 2 4 6" xfId="21705" xr:uid="{00000000-0005-0000-0000-0000E2990000}"/>
    <cellStyle name="표준 5 4 2 2 2 3 2 4 7" xfId="25801" xr:uid="{00000000-0005-0000-0000-0000E3990000}"/>
    <cellStyle name="표준 5 4 2 2 2 3 2 4 8" xfId="34012" xr:uid="{00000000-0005-0000-0000-0000E4990000}"/>
    <cellStyle name="표준 5 4 2 2 2 3 2 4 9" xfId="42205" xr:uid="{00000000-0005-0000-0000-0000E5990000}"/>
    <cellStyle name="표준 5 4 2 2 2 3 2 5" xfId="9703" xr:uid="{00000000-0005-0000-0000-0000E6990000}"/>
    <cellStyle name="표준 5 4 2 2 2 3 2 5 2" xfId="13815" xr:uid="{00000000-0005-0000-0000-0000E7990000}"/>
    <cellStyle name="표준 5 4 2 2 2 3 2 5 2 2" xfId="30409" xr:uid="{00000000-0005-0000-0000-0000E8990000}"/>
    <cellStyle name="표준 5 4 2 2 2 3 2 5 2 3" xfId="38620" xr:uid="{00000000-0005-0000-0000-0000E9990000}"/>
    <cellStyle name="표준 5 4 2 2 2 3 2 5 2 4" xfId="46813" xr:uid="{00000000-0005-0000-0000-0000EA990000}"/>
    <cellStyle name="표준 5 4 2 2 2 3 2 5 3" xfId="18055" xr:uid="{00000000-0005-0000-0000-0000EB990000}"/>
    <cellStyle name="표준 5 4 2 2 2 3 2 5 4" xfId="22217" xr:uid="{00000000-0005-0000-0000-0000EC990000}"/>
    <cellStyle name="표준 5 4 2 2 2 3 2 5 5" xfId="26313" xr:uid="{00000000-0005-0000-0000-0000ED990000}"/>
    <cellStyle name="표준 5 4 2 2 2 3 2 5 6" xfId="34524" xr:uid="{00000000-0005-0000-0000-0000EE990000}"/>
    <cellStyle name="표준 5 4 2 2 2 3 2 5 7" xfId="42717" xr:uid="{00000000-0005-0000-0000-0000EF990000}"/>
    <cellStyle name="표준 5 4 2 2 2 3 2 6" xfId="7655" xr:uid="{00000000-0005-0000-0000-0000F0990000}"/>
    <cellStyle name="표준 5 4 2 2 2 3 2 6 2" xfId="28361" xr:uid="{00000000-0005-0000-0000-0000F1990000}"/>
    <cellStyle name="표준 5 4 2 2 2 3 2 6 3" xfId="36572" xr:uid="{00000000-0005-0000-0000-0000F2990000}"/>
    <cellStyle name="표준 5 4 2 2 2 3 2 6 4" xfId="44765" xr:uid="{00000000-0005-0000-0000-0000F3990000}"/>
    <cellStyle name="표준 5 4 2 2 2 3 2 7" xfId="11767" xr:uid="{00000000-0005-0000-0000-0000F4990000}"/>
    <cellStyle name="표준 5 4 2 2 2 3 2 8" xfId="16007" xr:uid="{00000000-0005-0000-0000-0000F5990000}"/>
    <cellStyle name="표준 5 4 2 2 2 3 2 9" xfId="20169" xr:uid="{00000000-0005-0000-0000-0000F6990000}"/>
    <cellStyle name="표준 5 4 2 2 2 3 3" xfId="1056" xr:uid="{00000000-0005-0000-0000-0000F7990000}"/>
    <cellStyle name="표준 5 4 2 2 2 3 3 2" xfId="9959" xr:uid="{00000000-0005-0000-0000-0000F8990000}"/>
    <cellStyle name="표준 5 4 2 2 2 3 3 2 2" xfId="14071" xr:uid="{00000000-0005-0000-0000-0000F9990000}"/>
    <cellStyle name="표준 5 4 2 2 2 3 3 2 2 2" xfId="30665" xr:uid="{00000000-0005-0000-0000-0000FA990000}"/>
    <cellStyle name="표준 5 4 2 2 2 3 3 2 2 3" xfId="38876" xr:uid="{00000000-0005-0000-0000-0000FB990000}"/>
    <cellStyle name="표준 5 4 2 2 2 3 3 2 2 4" xfId="47069" xr:uid="{00000000-0005-0000-0000-0000FC990000}"/>
    <cellStyle name="표준 5 4 2 2 2 3 3 2 3" xfId="18311" xr:uid="{00000000-0005-0000-0000-0000FD990000}"/>
    <cellStyle name="표준 5 4 2 2 2 3 3 2 4" xfId="22473" xr:uid="{00000000-0005-0000-0000-0000FE990000}"/>
    <cellStyle name="표준 5 4 2 2 2 3 3 2 5" xfId="26569" xr:uid="{00000000-0005-0000-0000-0000FF990000}"/>
    <cellStyle name="표준 5 4 2 2 2 3 3 2 6" xfId="34780" xr:uid="{00000000-0005-0000-0000-0000009A0000}"/>
    <cellStyle name="표준 5 4 2 2 2 3 3 2 7" xfId="42973" xr:uid="{00000000-0005-0000-0000-0000019A0000}"/>
    <cellStyle name="표준 5 4 2 2 2 3 3 3" xfId="7911" xr:uid="{00000000-0005-0000-0000-0000029A0000}"/>
    <cellStyle name="표준 5 4 2 2 2 3 3 3 2" xfId="28617" xr:uid="{00000000-0005-0000-0000-0000039A0000}"/>
    <cellStyle name="표준 5 4 2 2 2 3 3 3 3" xfId="36828" xr:uid="{00000000-0005-0000-0000-0000049A0000}"/>
    <cellStyle name="표준 5 4 2 2 2 3 3 3 4" xfId="45021" xr:uid="{00000000-0005-0000-0000-0000059A0000}"/>
    <cellStyle name="표준 5 4 2 2 2 3 3 4" xfId="12023" xr:uid="{00000000-0005-0000-0000-0000069A0000}"/>
    <cellStyle name="표준 5 4 2 2 2 3 3 5" xfId="16263" xr:uid="{00000000-0005-0000-0000-0000079A0000}"/>
    <cellStyle name="표준 5 4 2 2 2 3 3 6" xfId="20425" xr:uid="{00000000-0005-0000-0000-0000089A0000}"/>
    <cellStyle name="표준 5 4 2 2 2 3 3 7" xfId="24521" xr:uid="{00000000-0005-0000-0000-0000099A0000}"/>
    <cellStyle name="표준 5 4 2 2 2 3 3 8" xfId="32732" xr:uid="{00000000-0005-0000-0000-00000A9A0000}"/>
    <cellStyle name="표준 5 4 2 2 2 3 3 9" xfId="40925" xr:uid="{00000000-0005-0000-0000-00000B9A0000}"/>
    <cellStyle name="표준 5 4 2 2 2 3 4" xfId="1568" xr:uid="{00000000-0005-0000-0000-00000C9A0000}"/>
    <cellStyle name="표준 5 4 2 2 2 3 4 2" xfId="10471" xr:uid="{00000000-0005-0000-0000-00000D9A0000}"/>
    <cellStyle name="표준 5 4 2 2 2 3 4 2 2" xfId="14583" xr:uid="{00000000-0005-0000-0000-00000E9A0000}"/>
    <cellStyle name="표준 5 4 2 2 2 3 4 2 2 2" xfId="31177" xr:uid="{00000000-0005-0000-0000-00000F9A0000}"/>
    <cellStyle name="표준 5 4 2 2 2 3 4 2 2 3" xfId="39388" xr:uid="{00000000-0005-0000-0000-0000109A0000}"/>
    <cellStyle name="표준 5 4 2 2 2 3 4 2 2 4" xfId="47581" xr:uid="{00000000-0005-0000-0000-0000119A0000}"/>
    <cellStyle name="표준 5 4 2 2 2 3 4 2 3" xfId="18823" xr:uid="{00000000-0005-0000-0000-0000129A0000}"/>
    <cellStyle name="표준 5 4 2 2 2 3 4 2 4" xfId="22985" xr:uid="{00000000-0005-0000-0000-0000139A0000}"/>
    <cellStyle name="표준 5 4 2 2 2 3 4 2 5" xfId="27081" xr:uid="{00000000-0005-0000-0000-0000149A0000}"/>
    <cellStyle name="표준 5 4 2 2 2 3 4 2 6" xfId="35292" xr:uid="{00000000-0005-0000-0000-0000159A0000}"/>
    <cellStyle name="표준 5 4 2 2 2 3 4 2 7" xfId="43485" xr:uid="{00000000-0005-0000-0000-0000169A0000}"/>
    <cellStyle name="표준 5 4 2 2 2 3 4 3" xfId="8423" xr:uid="{00000000-0005-0000-0000-0000179A0000}"/>
    <cellStyle name="표준 5 4 2 2 2 3 4 3 2" xfId="29129" xr:uid="{00000000-0005-0000-0000-0000189A0000}"/>
    <cellStyle name="표준 5 4 2 2 2 3 4 3 3" xfId="37340" xr:uid="{00000000-0005-0000-0000-0000199A0000}"/>
    <cellStyle name="표준 5 4 2 2 2 3 4 3 4" xfId="45533" xr:uid="{00000000-0005-0000-0000-00001A9A0000}"/>
    <cellStyle name="표준 5 4 2 2 2 3 4 4" xfId="12535" xr:uid="{00000000-0005-0000-0000-00001B9A0000}"/>
    <cellStyle name="표준 5 4 2 2 2 3 4 5" xfId="16775" xr:uid="{00000000-0005-0000-0000-00001C9A0000}"/>
    <cellStyle name="표준 5 4 2 2 2 3 4 6" xfId="20937" xr:uid="{00000000-0005-0000-0000-00001D9A0000}"/>
    <cellStyle name="표준 5 4 2 2 2 3 4 7" xfId="25033" xr:uid="{00000000-0005-0000-0000-00001E9A0000}"/>
    <cellStyle name="표준 5 4 2 2 2 3 4 8" xfId="33244" xr:uid="{00000000-0005-0000-0000-00001F9A0000}"/>
    <cellStyle name="표준 5 4 2 2 2 3 4 9" xfId="41437" xr:uid="{00000000-0005-0000-0000-0000209A0000}"/>
    <cellStyle name="표준 5 4 2 2 2 3 5" xfId="2080" xr:uid="{00000000-0005-0000-0000-0000219A0000}"/>
    <cellStyle name="표준 5 4 2 2 2 3 5 2" xfId="10983" xr:uid="{00000000-0005-0000-0000-0000229A0000}"/>
    <cellStyle name="표준 5 4 2 2 2 3 5 2 2" xfId="15095" xr:uid="{00000000-0005-0000-0000-0000239A0000}"/>
    <cellStyle name="표준 5 4 2 2 2 3 5 2 2 2" xfId="31689" xr:uid="{00000000-0005-0000-0000-0000249A0000}"/>
    <cellStyle name="표준 5 4 2 2 2 3 5 2 2 3" xfId="39900" xr:uid="{00000000-0005-0000-0000-0000259A0000}"/>
    <cellStyle name="표준 5 4 2 2 2 3 5 2 2 4" xfId="48093" xr:uid="{00000000-0005-0000-0000-0000269A0000}"/>
    <cellStyle name="표준 5 4 2 2 2 3 5 2 3" xfId="19335" xr:uid="{00000000-0005-0000-0000-0000279A0000}"/>
    <cellStyle name="표준 5 4 2 2 2 3 5 2 4" xfId="23497" xr:uid="{00000000-0005-0000-0000-0000289A0000}"/>
    <cellStyle name="표준 5 4 2 2 2 3 5 2 5" xfId="27593" xr:uid="{00000000-0005-0000-0000-0000299A0000}"/>
    <cellStyle name="표준 5 4 2 2 2 3 5 2 6" xfId="35804" xr:uid="{00000000-0005-0000-0000-00002A9A0000}"/>
    <cellStyle name="표준 5 4 2 2 2 3 5 2 7" xfId="43997" xr:uid="{00000000-0005-0000-0000-00002B9A0000}"/>
    <cellStyle name="표준 5 4 2 2 2 3 5 3" xfId="8935" xr:uid="{00000000-0005-0000-0000-00002C9A0000}"/>
    <cellStyle name="표준 5 4 2 2 2 3 5 3 2" xfId="29641" xr:uid="{00000000-0005-0000-0000-00002D9A0000}"/>
    <cellStyle name="표준 5 4 2 2 2 3 5 3 3" xfId="37852" xr:uid="{00000000-0005-0000-0000-00002E9A0000}"/>
    <cellStyle name="표준 5 4 2 2 2 3 5 3 4" xfId="46045" xr:uid="{00000000-0005-0000-0000-00002F9A0000}"/>
    <cellStyle name="표준 5 4 2 2 2 3 5 4" xfId="13047" xr:uid="{00000000-0005-0000-0000-0000309A0000}"/>
    <cellStyle name="표준 5 4 2 2 2 3 5 5" xfId="17287" xr:uid="{00000000-0005-0000-0000-0000319A0000}"/>
    <cellStyle name="표준 5 4 2 2 2 3 5 6" xfId="21449" xr:uid="{00000000-0005-0000-0000-0000329A0000}"/>
    <cellStyle name="표준 5 4 2 2 2 3 5 7" xfId="25545" xr:uid="{00000000-0005-0000-0000-0000339A0000}"/>
    <cellStyle name="표준 5 4 2 2 2 3 5 8" xfId="33756" xr:uid="{00000000-0005-0000-0000-0000349A0000}"/>
    <cellStyle name="표준 5 4 2 2 2 3 5 9" xfId="41949" xr:uid="{00000000-0005-0000-0000-0000359A0000}"/>
    <cellStyle name="표준 5 4 2 2 2 3 6" xfId="9447" xr:uid="{00000000-0005-0000-0000-0000369A0000}"/>
    <cellStyle name="표준 5 4 2 2 2 3 6 2" xfId="13559" xr:uid="{00000000-0005-0000-0000-0000379A0000}"/>
    <cellStyle name="표준 5 4 2 2 2 3 6 2 2" xfId="30153" xr:uid="{00000000-0005-0000-0000-0000389A0000}"/>
    <cellStyle name="표준 5 4 2 2 2 3 6 2 3" xfId="38364" xr:uid="{00000000-0005-0000-0000-0000399A0000}"/>
    <cellStyle name="표준 5 4 2 2 2 3 6 2 4" xfId="46557" xr:uid="{00000000-0005-0000-0000-00003A9A0000}"/>
    <cellStyle name="표준 5 4 2 2 2 3 6 3" xfId="17799" xr:uid="{00000000-0005-0000-0000-00003B9A0000}"/>
    <cellStyle name="표준 5 4 2 2 2 3 6 4" xfId="21961" xr:uid="{00000000-0005-0000-0000-00003C9A0000}"/>
    <cellStyle name="표준 5 4 2 2 2 3 6 5" xfId="26057" xr:uid="{00000000-0005-0000-0000-00003D9A0000}"/>
    <cellStyle name="표준 5 4 2 2 2 3 6 6" xfId="34268" xr:uid="{00000000-0005-0000-0000-00003E9A0000}"/>
    <cellStyle name="표준 5 4 2 2 2 3 6 7" xfId="42461" xr:uid="{00000000-0005-0000-0000-00003F9A0000}"/>
    <cellStyle name="표준 5 4 2 2 2 3 7" xfId="7399" xr:uid="{00000000-0005-0000-0000-0000409A0000}"/>
    <cellStyle name="표준 5 4 2 2 2 3 7 2" xfId="28105" xr:uid="{00000000-0005-0000-0000-0000419A0000}"/>
    <cellStyle name="표준 5 4 2 2 2 3 7 3" xfId="36316" xr:uid="{00000000-0005-0000-0000-0000429A0000}"/>
    <cellStyle name="표준 5 4 2 2 2 3 7 4" xfId="44509" xr:uid="{00000000-0005-0000-0000-0000439A0000}"/>
    <cellStyle name="표준 5 4 2 2 2 3 8" xfId="11511" xr:uid="{00000000-0005-0000-0000-0000449A0000}"/>
    <cellStyle name="표준 5 4 2 2 2 3 9" xfId="15751" xr:uid="{00000000-0005-0000-0000-0000459A0000}"/>
    <cellStyle name="표준 5 4 2 2 2 4" xfId="672" xr:uid="{00000000-0005-0000-0000-0000469A0000}"/>
    <cellStyle name="표준 5 4 2 2 2 4 10" xfId="24137" xr:uid="{00000000-0005-0000-0000-0000479A0000}"/>
    <cellStyle name="표준 5 4 2 2 2 4 11" xfId="32348" xr:uid="{00000000-0005-0000-0000-0000489A0000}"/>
    <cellStyle name="표준 5 4 2 2 2 4 12" xfId="40541" xr:uid="{00000000-0005-0000-0000-0000499A0000}"/>
    <cellStyle name="표준 5 4 2 2 2 4 2" xfId="1184" xr:uid="{00000000-0005-0000-0000-00004A9A0000}"/>
    <cellStyle name="표준 5 4 2 2 2 4 2 2" xfId="10087" xr:uid="{00000000-0005-0000-0000-00004B9A0000}"/>
    <cellStyle name="표준 5 4 2 2 2 4 2 2 2" xfId="14199" xr:uid="{00000000-0005-0000-0000-00004C9A0000}"/>
    <cellStyle name="표준 5 4 2 2 2 4 2 2 2 2" xfId="30793" xr:uid="{00000000-0005-0000-0000-00004D9A0000}"/>
    <cellStyle name="표준 5 4 2 2 2 4 2 2 2 3" xfId="39004" xr:uid="{00000000-0005-0000-0000-00004E9A0000}"/>
    <cellStyle name="표준 5 4 2 2 2 4 2 2 2 4" xfId="47197" xr:uid="{00000000-0005-0000-0000-00004F9A0000}"/>
    <cellStyle name="표준 5 4 2 2 2 4 2 2 3" xfId="18439" xr:uid="{00000000-0005-0000-0000-0000509A0000}"/>
    <cellStyle name="표준 5 4 2 2 2 4 2 2 4" xfId="22601" xr:uid="{00000000-0005-0000-0000-0000519A0000}"/>
    <cellStyle name="표준 5 4 2 2 2 4 2 2 5" xfId="26697" xr:uid="{00000000-0005-0000-0000-0000529A0000}"/>
    <cellStyle name="표준 5 4 2 2 2 4 2 2 6" xfId="34908" xr:uid="{00000000-0005-0000-0000-0000539A0000}"/>
    <cellStyle name="표준 5 4 2 2 2 4 2 2 7" xfId="43101" xr:uid="{00000000-0005-0000-0000-0000549A0000}"/>
    <cellStyle name="표준 5 4 2 2 2 4 2 3" xfId="8039" xr:uid="{00000000-0005-0000-0000-0000559A0000}"/>
    <cellStyle name="표준 5 4 2 2 2 4 2 3 2" xfId="28745" xr:uid="{00000000-0005-0000-0000-0000569A0000}"/>
    <cellStyle name="표준 5 4 2 2 2 4 2 3 3" xfId="36956" xr:uid="{00000000-0005-0000-0000-0000579A0000}"/>
    <cellStyle name="표준 5 4 2 2 2 4 2 3 4" xfId="45149" xr:uid="{00000000-0005-0000-0000-0000589A0000}"/>
    <cellStyle name="표준 5 4 2 2 2 4 2 4" xfId="12151" xr:uid="{00000000-0005-0000-0000-0000599A0000}"/>
    <cellStyle name="표준 5 4 2 2 2 4 2 5" xfId="16391" xr:uid="{00000000-0005-0000-0000-00005A9A0000}"/>
    <cellStyle name="표준 5 4 2 2 2 4 2 6" xfId="20553" xr:uid="{00000000-0005-0000-0000-00005B9A0000}"/>
    <cellStyle name="표준 5 4 2 2 2 4 2 7" xfId="24649" xr:uid="{00000000-0005-0000-0000-00005C9A0000}"/>
    <cellStyle name="표준 5 4 2 2 2 4 2 8" xfId="32860" xr:uid="{00000000-0005-0000-0000-00005D9A0000}"/>
    <cellStyle name="표준 5 4 2 2 2 4 2 9" xfId="41053" xr:uid="{00000000-0005-0000-0000-00005E9A0000}"/>
    <cellStyle name="표준 5 4 2 2 2 4 3" xfId="1696" xr:uid="{00000000-0005-0000-0000-00005F9A0000}"/>
    <cellStyle name="표준 5 4 2 2 2 4 3 2" xfId="10599" xr:uid="{00000000-0005-0000-0000-0000609A0000}"/>
    <cellStyle name="표준 5 4 2 2 2 4 3 2 2" xfId="14711" xr:uid="{00000000-0005-0000-0000-0000619A0000}"/>
    <cellStyle name="표준 5 4 2 2 2 4 3 2 2 2" xfId="31305" xr:uid="{00000000-0005-0000-0000-0000629A0000}"/>
    <cellStyle name="표준 5 4 2 2 2 4 3 2 2 3" xfId="39516" xr:uid="{00000000-0005-0000-0000-0000639A0000}"/>
    <cellStyle name="표준 5 4 2 2 2 4 3 2 2 4" xfId="47709" xr:uid="{00000000-0005-0000-0000-0000649A0000}"/>
    <cellStyle name="표준 5 4 2 2 2 4 3 2 3" xfId="18951" xr:uid="{00000000-0005-0000-0000-0000659A0000}"/>
    <cellStyle name="표준 5 4 2 2 2 4 3 2 4" xfId="23113" xr:uid="{00000000-0005-0000-0000-0000669A0000}"/>
    <cellStyle name="표준 5 4 2 2 2 4 3 2 5" xfId="27209" xr:uid="{00000000-0005-0000-0000-0000679A0000}"/>
    <cellStyle name="표준 5 4 2 2 2 4 3 2 6" xfId="35420" xr:uid="{00000000-0005-0000-0000-0000689A0000}"/>
    <cellStyle name="표준 5 4 2 2 2 4 3 2 7" xfId="43613" xr:uid="{00000000-0005-0000-0000-0000699A0000}"/>
    <cellStyle name="표준 5 4 2 2 2 4 3 3" xfId="8551" xr:uid="{00000000-0005-0000-0000-00006A9A0000}"/>
    <cellStyle name="표준 5 4 2 2 2 4 3 3 2" xfId="29257" xr:uid="{00000000-0005-0000-0000-00006B9A0000}"/>
    <cellStyle name="표준 5 4 2 2 2 4 3 3 3" xfId="37468" xr:uid="{00000000-0005-0000-0000-00006C9A0000}"/>
    <cellStyle name="표준 5 4 2 2 2 4 3 3 4" xfId="45661" xr:uid="{00000000-0005-0000-0000-00006D9A0000}"/>
    <cellStyle name="표준 5 4 2 2 2 4 3 4" xfId="12663" xr:uid="{00000000-0005-0000-0000-00006E9A0000}"/>
    <cellStyle name="표준 5 4 2 2 2 4 3 5" xfId="16903" xr:uid="{00000000-0005-0000-0000-00006F9A0000}"/>
    <cellStyle name="표준 5 4 2 2 2 4 3 6" xfId="21065" xr:uid="{00000000-0005-0000-0000-0000709A0000}"/>
    <cellStyle name="표준 5 4 2 2 2 4 3 7" xfId="25161" xr:uid="{00000000-0005-0000-0000-0000719A0000}"/>
    <cellStyle name="표준 5 4 2 2 2 4 3 8" xfId="33372" xr:uid="{00000000-0005-0000-0000-0000729A0000}"/>
    <cellStyle name="표준 5 4 2 2 2 4 3 9" xfId="41565" xr:uid="{00000000-0005-0000-0000-0000739A0000}"/>
    <cellStyle name="표준 5 4 2 2 2 4 4" xfId="2208" xr:uid="{00000000-0005-0000-0000-0000749A0000}"/>
    <cellStyle name="표준 5 4 2 2 2 4 4 2" xfId="11111" xr:uid="{00000000-0005-0000-0000-0000759A0000}"/>
    <cellStyle name="표준 5 4 2 2 2 4 4 2 2" xfId="15223" xr:uid="{00000000-0005-0000-0000-0000769A0000}"/>
    <cellStyle name="표준 5 4 2 2 2 4 4 2 2 2" xfId="31817" xr:uid="{00000000-0005-0000-0000-0000779A0000}"/>
    <cellStyle name="표준 5 4 2 2 2 4 4 2 2 3" xfId="40028" xr:uid="{00000000-0005-0000-0000-0000789A0000}"/>
    <cellStyle name="표준 5 4 2 2 2 4 4 2 2 4" xfId="48221" xr:uid="{00000000-0005-0000-0000-0000799A0000}"/>
    <cellStyle name="표준 5 4 2 2 2 4 4 2 3" xfId="19463" xr:uid="{00000000-0005-0000-0000-00007A9A0000}"/>
    <cellStyle name="표준 5 4 2 2 2 4 4 2 4" xfId="23625" xr:uid="{00000000-0005-0000-0000-00007B9A0000}"/>
    <cellStyle name="표준 5 4 2 2 2 4 4 2 5" xfId="27721" xr:uid="{00000000-0005-0000-0000-00007C9A0000}"/>
    <cellStyle name="표준 5 4 2 2 2 4 4 2 6" xfId="35932" xr:uid="{00000000-0005-0000-0000-00007D9A0000}"/>
    <cellStyle name="표준 5 4 2 2 2 4 4 2 7" xfId="44125" xr:uid="{00000000-0005-0000-0000-00007E9A0000}"/>
    <cellStyle name="표준 5 4 2 2 2 4 4 3" xfId="9063" xr:uid="{00000000-0005-0000-0000-00007F9A0000}"/>
    <cellStyle name="표준 5 4 2 2 2 4 4 3 2" xfId="29769" xr:uid="{00000000-0005-0000-0000-0000809A0000}"/>
    <cellStyle name="표준 5 4 2 2 2 4 4 3 3" xfId="37980" xr:uid="{00000000-0005-0000-0000-0000819A0000}"/>
    <cellStyle name="표준 5 4 2 2 2 4 4 3 4" xfId="46173" xr:uid="{00000000-0005-0000-0000-0000829A0000}"/>
    <cellStyle name="표준 5 4 2 2 2 4 4 4" xfId="13175" xr:uid="{00000000-0005-0000-0000-0000839A0000}"/>
    <cellStyle name="표준 5 4 2 2 2 4 4 5" xfId="17415" xr:uid="{00000000-0005-0000-0000-0000849A0000}"/>
    <cellStyle name="표준 5 4 2 2 2 4 4 6" xfId="21577" xr:uid="{00000000-0005-0000-0000-0000859A0000}"/>
    <cellStyle name="표준 5 4 2 2 2 4 4 7" xfId="25673" xr:uid="{00000000-0005-0000-0000-0000869A0000}"/>
    <cellStyle name="표준 5 4 2 2 2 4 4 8" xfId="33884" xr:uid="{00000000-0005-0000-0000-0000879A0000}"/>
    <cellStyle name="표준 5 4 2 2 2 4 4 9" xfId="42077" xr:uid="{00000000-0005-0000-0000-0000889A0000}"/>
    <cellStyle name="표준 5 4 2 2 2 4 5" xfId="9575" xr:uid="{00000000-0005-0000-0000-0000899A0000}"/>
    <cellStyle name="표준 5 4 2 2 2 4 5 2" xfId="13687" xr:uid="{00000000-0005-0000-0000-00008A9A0000}"/>
    <cellStyle name="표준 5 4 2 2 2 4 5 2 2" xfId="30281" xr:uid="{00000000-0005-0000-0000-00008B9A0000}"/>
    <cellStyle name="표준 5 4 2 2 2 4 5 2 3" xfId="38492" xr:uid="{00000000-0005-0000-0000-00008C9A0000}"/>
    <cellStyle name="표준 5 4 2 2 2 4 5 2 4" xfId="46685" xr:uid="{00000000-0005-0000-0000-00008D9A0000}"/>
    <cellStyle name="표준 5 4 2 2 2 4 5 3" xfId="17927" xr:uid="{00000000-0005-0000-0000-00008E9A0000}"/>
    <cellStyle name="표준 5 4 2 2 2 4 5 4" xfId="22089" xr:uid="{00000000-0005-0000-0000-00008F9A0000}"/>
    <cellStyle name="표준 5 4 2 2 2 4 5 5" xfId="26185" xr:uid="{00000000-0005-0000-0000-0000909A0000}"/>
    <cellStyle name="표준 5 4 2 2 2 4 5 6" xfId="34396" xr:uid="{00000000-0005-0000-0000-0000919A0000}"/>
    <cellStyle name="표준 5 4 2 2 2 4 5 7" xfId="42589" xr:uid="{00000000-0005-0000-0000-0000929A0000}"/>
    <cellStyle name="표준 5 4 2 2 2 4 6" xfId="7527" xr:uid="{00000000-0005-0000-0000-0000939A0000}"/>
    <cellStyle name="표준 5 4 2 2 2 4 6 2" xfId="28233" xr:uid="{00000000-0005-0000-0000-0000949A0000}"/>
    <cellStyle name="표준 5 4 2 2 2 4 6 3" xfId="36444" xr:uid="{00000000-0005-0000-0000-0000959A0000}"/>
    <cellStyle name="표준 5 4 2 2 2 4 6 4" xfId="44637" xr:uid="{00000000-0005-0000-0000-0000969A0000}"/>
    <cellStyle name="표준 5 4 2 2 2 4 7" xfId="11639" xr:uid="{00000000-0005-0000-0000-0000979A0000}"/>
    <cellStyle name="표준 5 4 2 2 2 4 8" xfId="15879" xr:uid="{00000000-0005-0000-0000-0000989A0000}"/>
    <cellStyle name="표준 5 4 2 2 2 4 9" xfId="20041" xr:uid="{00000000-0005-0000-0000-0000999A0000}"/>
    <cellStyle name="표준 5 4 2 2 2 5" xfId="928" xr:uid="{00000000-0005-0000-0000-00009A9A0000}"/>
    <cellStyle name="표준 5 4 2 2 2 5 2" xfId="9831" xr:uid="{00000000-0005-0000-0000-00009B9A0000}"/>
    <cellStyle name="표준 5 4 2 2 2 5 2 2" xfId="13943" xr:uid="{00000000-0005-0000-0000-00009C9A0000}"/>
    <cellStyle name="표준 5 4 2 2 2 5 2 2 2" xfId="30537" xr:uid="{00000000-0005-0000-0000-00009D9A0000}"/>
    <cellStyle name="표준 5 4 2 2 2 5 2 2 3" xfId="38748" xr:uid="{00000000-0005-0000-0000-00009E9A0000}"/>
    <cellStyle name="표준 5 4 2 2 2 5 2 2 4" xfId="46941" xr:uid="{00000000-0005-0000-0000-00009F9A0000}"/>
    <cellStyle name="표준 5 4 2 2 2 5 2 3" xfId="18183" xr:uid="{00000000-0005-0000-0000-0000A09A0000}"/>
    <cellStyle name="표준 5 4 2 2 2 5 2 4" xfId="22345" xr:uid="{00000000-0005-0000-0000-0000A19A0000}"/>
    <cellStyle name="표준 5 4 2 2 2 5 2 5" xfId="26441" xr:uid="{00000000-0005-0000-0000-0000A29A0000}"/>
    <cellStyle name="표준 5 4 2 2 2 5 2 6" xfId="34652" xr:uid="{00000000-0005-0000-0000-0000A39A0000}"/>
    <cellStyle name="표준 5 4 2 2 2 5 2 7" xfId="42845" xr:uid="{00000000-0005-0000-0000-0000A49A0000}"/>
    <cellStyle name="표준 5 4 2 2 2 5 3" xfId="7783" xr:uid="{00000000-0005-0000-0000-0000A59A0000}"/>
    <cellStyle name="표준 5 4 2 2 2 5 3 2" xfId="28489" xr:uid="{00000000-0005-0000-0000-0000A69A0000}"/>
    <cellStyle name="표준 5 4 2 2 2 5 3 3" xfId="36700" xr:uid="{00000000-0005-0000-0000-0000A79A0000}"/>
    <cellStyle name="표준 5 4 2 2 2 5 3 4" xfId="44893" xr:uid="{00000000-0005-0000-0000-0000A89A0000}"/>
    <cellStyle name="표준 5 4 2 2 2 5 4" xfId="11895" xr:uid="{00000000-0005-0000-0000-0000A99A0000}"/>
    <cellStyle name="표준 5 4 2 2 2 5 5" xfId="16135" xr:uid="{00000000-0005-0000-0000-0000AA9A0000}"/>
    <cellStyle name="표준 5 4 2 2 2 5 6" xfId="20297" xr:uid="{00000000-0005-0000-0000-0000AB9A0000}"/>
    <cellStyle name="표준 5 4 2 2 2 5 7" xfId="24393" xr:uid="{00000000-0005-0000-0000-0000AC9A0000}"/>
    <cellStyle name="표준 5 4 2 2 2 5 8" xfId="32604" xr:uid="{00000000-0005-0000-0000-0000AD9A0000}"/>
    <cellStyle name="표준 5 4 2 2 2 5 9" xfId="40797" xr:uid="{00000000-0005-0000-0000-0000AE9A0000}"/>
    <cellStyle name="표준 5 4 2 2 2 6" xfId="1440" xr:uid="{00000000-0005-0000-0000-0000AF9A0000}"/>
    <cellStyle name="표준 5 4 2 2 2 6 2" xfId="10343" xr:uid="{00000000-0005-0000-0000-0000B09A0000}"/>
    <cellStyle name="표준 5 4 2 2 2 6 2 2" xfId="14455" xr:uid="{00000000-0005-0000-0000-0000B19A0000}"/>
    <cellStyle name="표준 5 4 2 2 2 6 2 2 2" xfId="31049" xr:uid="{00000000-0005-0000-0000-0000B29A0000}"/>
    <cellStyle name="표준 5 4 2 2 2 6 2 2 3" xfId="39260" xr:uid="{00000000-0005-0000-0000-0000B39A0000}"/>
    <cellStyle name="표준 5 4 2 2 2 6 2 2 4" xfId="47453" xr:uid="{00000000-0005-0000-0000-0000B49A0000}"/>
    <cellStyle name="표준 5 4 2 2 2 6 2 3" xfId="18695" xr:uid="{00000000-0005-0000-0000-0000B59A0000}"/>
    <cellStyle name="표준 5 4 2 2 2 6 2 4" xfId="22857" xr:uid="{00000000-0005-0000-0000-0000B69A0000}"/>
    <cellStyle name="표준 5 4 2 2 2 6 2 5" xfId="26953" xr:uid="{00000000-0005-0000-0000-0000B79A0000}"/>
    <cellStyle name="표준 5 4 2 2 2 6 2 6" xfId="35164" xr:uid="{00000000-0005-0000-0000-0000B89A0000}"/>
    <cellStyle name="표준 5 4 2 2 2 6 2 7" xfId="43357" xr:uid="{00000000-0005-0000-0000-0000B99A0000}"/>
    <cellStyle name="표준 5 4 2 2 2 6 3" xfId="8295" xr:uid="{00000000-0005-0000-0000-0000BA9A0000}"/>
    <cellStyle name="표준 5 4 2 2 2 6 3 2" xfId="29001" xr:uid="{00000000-0005-0000-0000-0000BB9A0000}"/>
    <cellStyle name="표준 5 4 2 2 2 6 3 3" xfId="37212" xr:uid="{00000000-0005-0000-0000-0000BC9A0000}"/>
    <cellStyle name="표준 5 4 2 2 2 6 3 4" xfId="45405" xr:uid="{00000000-0005-0000-0000-0000BD9A0000}"/>
    <cellStyle name="표준 5 4 2 2 2 6 4" xfId="12407" xr:uid="{00000000-0005-0000-0000-0000BE9A0000}"/>
    <cellStyle name="표준 5 4 2 2 2 6 5" xfId="16647" xr:uid="{00000000-0005-0000-0000-0000BF9A0000}"/>
    <cellStyle name="표준 5 4 2 2 2 6 6" xfId="20809" xr:uid="{00000000-0005-0000-0000-0000C09A0000}"/>
    <cellStyle name="표준 5 4 2 2 2 6 7" xfId="24905" xr:uid="{00000000-0005-0000-0000-0000C19A0000}"/>
    <cellStyle name="표준 5 4 2 2 2 6 8" xfId="33116" xr:uid="{00000000-0005-0000-0000-0000C29A0000}"/>
    <cellStyle name="표준 5 4 2 2 2 6 9" xfId="41309" xr:uid="{00000000-0005-0000-0000-0000C39A0000}"/>
    <cellStyle name="표준 5 4 2 2 2 7" xfId="1952" xr:uid="{00000000-0005-0000-0000-0000C49A0000}"/>
    <cellStyle name="표준 5 4 2 2 2 7 2" xfId="10855" xr:uid="{00000000-0005-0000-0000-0000C59A0000}"/>
    <cellStyle name="표준 5 4 2 2 2 7 2 2" xfId="14967" xr:uid="{00000000-0005-0000-0000-0000C69A0000}"/>
    <cellStyle name="표준 5 4 2 2 2 7 2 2 2" xfId="31561" xr:uid="{00000000-0005-0000-0000-0000C79A0000}"/>
    <cellStyle name="표준 5 4 2 2 2 7 2 2 3" xfId="39772" xr:uid="{00000000-0005-0000-0000-0000C89A0000}"/>
    <cellStyle name="표준 5 4 2 2 2 7 2 2 4" xfId="47965" xr:uid="{00000000-0005-0000-0000-0000C99A0000}"/>
    <cellStyle name="표준 5 4 2 2 2 7 2 3" xfId="19207" xr:uid="{00000000-0005-0000-0000-0000CA9A0000}"/>
    <cellStyle name="표준 5 4 2 2 2 7 2 4" xfId="23369" xr:uid="{00000000-0005-0000-0000-0000CB9A0000}"/>
    <cellStyle name="표준 5 4 2 2 2 7 2 5" xfId="27465" xr:uid="{00000000-0005-0000-0000-0000CC9A0000}"/>
    <cellStyle name="표준 5 4 2 2 2 7 2 6" xfId="35676" xr:uid="{00000000-0005-0000-0000-0000CD9A0000}"/>
    <cellStyle name="표준 5 4 2 2 2 7 2 7" xfId="43869" xr:uid="{00000000-0005-0000-0000-0000CE9A0000}"/>
    <cellStyle name="표준 5 4 2 2 2 7 3" xfId="8807" xr:uid="{00000000-0005-0000-0000-0000CF9A0000}"/>
    <cellStyle name="표준 5 4 2 2 2 7 3 2" xfId="29513" xr:uid="{00000000-0005-0000-0000-0000D09A0000}"/>
    <cellStyle name="표준 5 4 2 2 2 7 3 3" xfId="37724" xr:uid="{00000000-0005-0000-0000-0000D19A0000}"/>
    <cellStyle name="표준 5 4 2 2 2 7 3 4" xfId="45917" xr:uid="{00000000-0005-0000-0000-0000D29A0000}"/>
    <cellStyle name="표준 5 4 2 2 2 7 4" xfId="12919" xr:uid="{00000000-0005-0000-0000-0000D39A0000}"/>
    <cellStyle name="표준 5 4 2 2 2 7 5" xfId="17159" xr:uid="{00000000-0005-0000-0000-0000D49A0000}"/>
    <cellStyle name="표준 5 4 2 2 2 7 6" xfId="21321" xr:uid="{00000000-0005-0000-0000-0000D59A0000}"/>
    <cellStyle name="표준 5 4 2 2 2 7 7" xfId="25417" xr:uid="{00000000-0005-0000-0000-0000D69A0000}"/>
    <cellStyle name="표준 5 4 2 2 2 7 8" xfId="33628" xr:uid="{00000000-0005-0000-0000-0000D79A0000}"/>
    <cellStyle name="표준 5 4 2 2 2 7 9" xfId="41821" xr:uid="{00000000-0005-0000-0000-0000D89A0000}"/>
    <cellStyle name="표준 5 4 2 2 2 8" xfId="7044" xr:uid="{00000000-0005-0000-0000-0000D99A0000}"/>
    <cellStyle name="표준 5 4 2 2 2 8 2" xfId="9319" xr:uid="{00000000-0005-0000-0000-0000DA9A0000}"/>
    <cellStyle name="표준 5 4 2 2 2 8 2 2" xfId="30025" xr:uid="{00000000-0005-0000-0000-0000DB9A0000}"/>
    <cellStyle name="표준 5 4 2 2 2 8 2 3" xfId="38236" xr:uid="{00000000-0005-0000-0000-0000DC9A0000}"/>
    <cellStyle name="표준 5 4 2 2 2 8 2 4" xfId="46429" xr:uid="{00000000-0005-0000-0000-0000DD9A0000}"/>
    <cellStyle name="표준 5 4 2 2 2 8 3" xfId="13431" xr:uid="{00000000-0005-0000-0000-0000DE9A0000}"/>
    <cellStyle name="표준 5 4 2 2 2 8 4" xfId="17671" xr:uid="{00000000-0005-0000-0000-0000DF9A0000}"/>
    <cellStyle name="표준 5 4 2 2 2 8 5" xfId="21833" xr:uid="{00000000-0005-0000-0000-0000E09A0000}"/>
    <cellStyle name="표준 5 4 2 2 2 8 6" xfId="25929" xr:uid="{00000000-0005-0000-0000-0000E19A0000}"/>
    <cellStyle name="표준 5 4 2 2 2 8 7" xfId="34140" xr:uid="{00000000-0005-0000-0000-0000E29A0000}"/>
    <cellStyle name="표준 5 4 2 2 2 8 8" xfId="42333" xr:uid="{00000000-0005-0000-0000-0000E39A0000}"/>
    <cellStyle name="표준 5 4 2 2 2 9" xfId="7134" xr:uid="{00000000-0005-0000-0000-0000E49A0000}"/>
    <cellStyle name="표준 5 4 2 2 2 9 2" xfId="27977" xr:uid="{00000000-0005-0000-0000-0000E59A0000}"/>
    <cellStyle name="표준 5 4 2 2 2 9 3" xfId="36188" xr:uid="{00000000-0005-0000-0000-0000E69A0000}"/>
    <cellStyle name="표준 5 4 2 2 2 9 4" xfId="44381" xr:uid="{00000000-0005-0000-0000-0000E79A0000}"/>
    <cellStyle name="표준 5 4 2 2 3" xfId="448" xr:uid="{00000000-0005-0000-0000-0000E89A0000}"/>
    <cellStyle name="표준 5 4 2 2 3 10" xfId="15655" xr:uid="{00000000-0005-0000-0000-0000E99A0000}"/>
    <cellStyle name="표준 5 4 2 2 3 11" xfId="19817" xr:uid="{00000000-0005-0000-0000-0000EA9A0000}"/>
    <cellStyle name="표준 5 4 2 2 3 12" xfId="23913" xr:uid="{00000000-0005-0000-0000-0000EB9A0000}"/>
    <cellStyle name="표준 5 4 2 2 3 13" xfId="32124" xr:uid="{00000000-0005-0000-0000-0000EC9A0000}"/>
    <cellStyle name="표준 5 4 2 2 3 14" xfId="40317" xr:uid="{00000000-0005-0000-0000-0000ED9A0000}"/>
    <cellStyle name="표준 5 4 2 2 3 2" xfId="576" xr:uid="{00000000-0005-0000-0000-0000EE9A0000}"/>
    <cellStyle name="표준 5 4 2 2 3 2 10" xfId="19945" xr:uid="{00000000-0005-0000-0000-0000EF9A0000}"/>
    <cellStyle name="표준 5 4 2 2 3 2 11" xfId="24041" xr:uid="{00000000-0005-0000-0000-0000F09A0000}"/>
    <cellStyle name="표준 5 4 2 2 3 2 12" xfId="32252" xr:uid="{00000000-0005-0000-0000-0000F19A0000}"/>
    <cellStyle name="표준 5 4 2 2 3 2 13" xfId="40445" xr:uid="{00000000-0005-0000-0000-0000F29A0000}"/>
    <cellStyle name="표준 5 4 2 2 3 2 2" xfId="832" xr:uid="{00000000-0005-0000-0000-0000F39A0000}"/>
    <cellStyle name="표준 5 4 2 2 3 2 2 10" xfId="24297" xr:uid="{00000000-0005-0000-0000-0000F49A0000}"/>
    <cellStyle name="표준 5 4 2 2 3 2 2 11" xfId="32508" xr:uid="{00000000-0005-0000-0000-0000F59A0000}"/>
    <cellStyle name="표준 5 4 2 2 3 2 2 12" xfId="40701" xr:uid="{00000000-0005-0000-0000-0000F69A0000}"/>
    <cellStyle name="표준 5 4 2 2 3 2 2 2" xfId="1344" xr:uid="{00000000-0005-0000-0000-0000F79A0000}"/>
    <cellStyle name="표준 5 4 2 2 3 2 2 2 2" xfId="10247" xr:uid="{00000000-0005-0000-0000-0000F89A0000}"/>
    <cellStyle name="표준 5 4 2 2 3 2 2 2 2 2" xfId="14359" xr:uid="{00000000-0005-0000-0000-0000F99A0000}"/>
    <cellStyle name="표준 5 4 2 2 3 2 2 2 2 2 2" xfId="30953" xr:uid="{00000000-0005-0000-0000-0000FA9A0000}"/>
    <cellStyle name="표준 5 4 2 2 3 2 2 2 2 2 3" xfId="39164" xr:uid="{00000000-0005-0000-0000-0000FB9A0000}"/>
    <cellStyle name="표준 5 4 2 2 3 2 2 2 2 2 4" xfId="47357" xr:uid="{00000000-0005-0000-0000-0000FC9A0000}"/>
    <cellStyle name="표준 5 4 2 2 3 2 2 2 2 3" xfId="18599" xr:uid="{00000000-0005-0000-0000-0000FD9A0000}"/>
    <cellStyle name="표준 5 4 2 2 3 2 2 2 2 4" xfId="22761" xr:uid="{00000000-0005-0000-0000-0000FE9A0000}"/>
    <cellStyle name="표준 5 4 2 2 3 2 2 2 2 5" xfId="26857" xr:uid="{00000000-0005-0000-0000-0000FF9A0000}"/>
    <cellStyle name="표준 5 4 2 2 3 2 2 2 2 6" xfId="35068" xr:uid="{00000000-0005-0000-0000-0000009B0000}"/>
    <cellStyle name="표준 5 4 2 2 3 2 2 2 2 7" xfId="43261" xr:uid="{00000000-0005-0000-0000-0000019B0000}"/>
    <cellStyle name="표준 5 4 2 2 3 2 2 2 3" xfId="8199" xr:uid="{00000000-0005-0000-0000-0000029B0000}"/>
    <cellStyle name="표준 5 4 2 2 3 2 2 2 3 2" xfId="28905" xr:uid="{00000000-0005-0000-0000-0000039B0000}"/>
    <cellStyle name="표준 5 4 2 2 3 2 2 2 3 3" xfId="37116" xr:uid="{00000000-0005-0000-0000-0000049B0000}"/>
    <cellStyle name="표준 5 4 2 2 3 2 2 2 3 4" xfId="45309" xr:uid="{00000000-0005-0000-0000-0000059B0000}"/>
    <cellStyle name="표준 5 4 2 2 3 2 2 2 4" xfId="12311" xr:uid="{00000000-0005-0000-0000-0000069B0000}"/>
    <cellStyle name="표준 5 4 2 2 3 2 2 2 5" xfId="16551" xr:uid="{00000000-0005-0000-0000-0000079B0000}"/>
    <cellStyle name="표준 5 4 2 2 3 2 2 2 6" xfId="20713" xr:uid="{00000000-0005-0000-0000-0000089B0000}"/>
    <cellStyle name="표준 5 4 2 2 3 2 2 2 7" xfId="24809" xr:uid="{00000000-0005-0000-0000-0000099B0000}"/>
    <cellStyle name="표준 5 4 2 2 3 2 2 2 8" xfId="33020" xr:uid="{00000000-0005-0000-0000-00000A9B0000}"/>
    <cellStyle name="표준 5 4 2 2 3 2 2 2 9" xfId="41213" xr:uid="{00000000-0005-0000-0000-00000B9B0000}"/>
    <cellStyle name="표준 5 4 2 2 3 2 2 3" xfId="1856" xr:uid="{00000000-0005-0000-0000-00000C9B0000}"/>
    <cellStyle name="표준 5 4 2 2 3 2 2 3 2" xfId="10759" xr:uid="{00000000-0005-0000-0000-00000D9B0000}"/>
    <cellStyle name="표준 5 4 2 2 3 2 2 3 2 2" xfId="14871" xr:uid="{00000000-0005-0000-0000-00000E9B0000}"/>
    <cellStyle name="표준 5 4 2 2 3 2 2 3 2 2 2" xfId="31465" xr:uid="{00000000-0005-0000-0000-00000F9B0000}"/>
    <cellStyle name="표준 5 4 2 2 3 2 2 3 2 2 3" xfId="39676" xr:uid="{00000000-0005-0000-0000-0000109B0000}"/>
    <cellStyle name="표준 5 4 2 2 3 2 2 3 2 2 4" xfId="47869" xr:uid="{00000000-0005-0000-0000-0000119B0000}"/>
    <cellStyle name="표준 5 4 2 2 3 2 2 3 2 3" xfId="19111" xr:uid="{00000000-0005-0000-0000-0000129B0000}"/>
    <cellStyle name="표준 5 4 2 2 3 2 2 3 2 4" xfId="23273" xr:uid="{00000000-0005-0000-0000-0000139B0000}"/>
    <cellStyle name="표준 5 4 2 2 3 2 2 3 2 5" xfId="27369" xr:uid="{00000000-0005-0000-0000-0000149B0000}"/>
    <cellStyle name="표준 5 4 2 2 3 2 2 3 2 6" xfId="35580" xr:uid="{00000000-0005-0000-0000-0000159B0000}"/>
    <cellStyle name="표준 5 4 2 2 3 2 2 3 2 7" xfId="43773" xr:uid="{00000000-0005-0000-0000-0000169B0000}"/>
    <cellStyle name="표준 5 4 2 2 3 2 2 3 3" xfId="8711" xr:uid="{00000000-0005-0000-0000-0000179B0000}"/>
    <cellStyle name="표준 5 4 2 2 3 2 2 3 3 2" xfId="29417" xr:uid="{00000000-0005-0000-0000-0000189B0000}"/>
    <cellStyle name="표준 5 4 2 2 3 2 2 3 3 3" xfId="37628" xr:uid="{00000000-0005-0000-0000-0000199B0000}"/>
    <cellStyle name="표준 5 4 2 2 3 2 2 3 3 4" xfId="45821" xr:uid="{00000000-0005-0000-0000-00001A9B0000}"/>
    <cellStyle name="표준 5 4 2 2 3 2 2 3 4" xfId="12823" xr:uid="{00000000-0005-0000-0000-00001B9B0000}"/>
    <cellStyle name="표준 5 4 2 2 3 2 2 3 5" xfId="17063" xr:uid="{00000000-0005-0000-0000-00001C9B0000}"/>
    <cellStyle name="표준 5 4 2 2 3 2 2 3 6" xfId="21225" xr:uid="{00000000-0005-0000-0000-00001D9B0000}"/>
    <cellStyle name="표준 5 4 2 2 3 2 2 3 7" xfId="25321" xr:uid="{00000000-0005-0000-0000-00001E9B0000}"/>
    <cellStyle name="표준 5 4 2 2 3 2 2 3 8" xfId="33532" xr:uid="{00000000-0005-0000-0000-00001F9B0000}"/>
    <cellStyle name="표준 5 4 2 2 3 2 2 3 9" xfId="41725" xr:uid="{00000000-0005-0000-0000-0000209B0000}"/>
    <cellStyle name="표준 5 4 2 2 3 2 2 4" xfId="2368" xr:uid="{00000000-0005-0000-0000-0000219B0000}"/>
    <cellStyle name="표준 5 4 2 2 3 2 2 4 2" xfId="11271" xr:uid="{00000000-0005-0000-0000-0000229B0000}"/>
    <cellStyle name="표준 5 4 2 2 3 2 2 4 2 2" xfId="15383" xr:uid="{00000000-0005-0000-0000-0000239B0000}"/>
    <cellStyle name="표준 5 4 2 2 3 2 2 4 2 2 2" xfId="31977" xr:uid="{00000000-0005-0000-0000-0000249B0000}"/>
    <cellStyle name="표준 5 4 2 2 3 2 2 4 2 2 3" xfId="40188" xr:uid="{00000000-0005-0000-0000-0000259B0000}"/>
    <cellStyle name="표준 5 4 2 2 3 2 2 4 2 2 4" xfId="48381" xr:uid="{00000000-0005-0000-0000-0000269B0000}"/>
    <cellStyle name="표준 5 4 2 2 3 2 2 4 2 3" xfId="19623" xr:uid="{00000000-0005-0000-0000-0000279B0000}"/>
    <cellStyle name="표준 5 4 2 2 3 2 2 4 2 4" xfId="23785" xr:uid="{00000000-0005-0000-0000-0000289B0000}"/>
    <cellStyle name="표준 5 4 2 2 3 2 2 4 2 5" xfId="27881" xr:uid="{00000000-0005-0000-0000-0000299B0000}"/>
    <cellStyle name="표준 5 4 2 2 3 2 2 4 2 6" xfId="36092" xr:uid="{00000000-0005-0000-0000-00002A9B0000}"/>
    <cellStyle name="표준 5 4 2 2 3 2 2 4 2 7" xfId="44285" xr:uid="{00000000-0005-0000-0000-00002B9B0000}"/>
    <cellStyle name="표준 5 4 2 2 3 2 2 4 3" xfId="9223" xr:uid="{00000000-0005-0000-0000-00002C9B0000}"/>
    <cellStyle name="표준 5 4 2 2 3 2 2 4 3 2" xfId="29929" xr:uid="{00000000-0005-0000-0000-00002D9B0000}"/>
    <cellStyle name="표준 5 4 2 2 3 2 2 4 3 3" xfId="38140" xr:uid="{00000000-0005-0000-0000-00002E9B0000}"/>
    <cellStyle name="표준 5 4 2 2 3 2 2 4 3 4" xfId="46333" xr:uid="{00000000-0005-0000-0000-00002F9B0000}"/>
    <cellStyle name="표준 5 4 2 2 3 2 2 4 4" xfId="13335" xr:uid="{00000000-0005-0000-0000-0000309B0000}"/>
    <cellStyle name="표준 5 4 2 2 3 2 2 4 5" xfId="17575" xr:uid="{00000000-0005-0000-0000-0000319B0000}"/>
    <cellStyle name="표준 5 4 2 2 3 2 2 4 6" xfId="21737" xr:uid="{00000000-0005-0000-0000-0000329B0000}"/>
    <cellStyle name="표준 5 4 2 2 3 2 2 4 7" xfId="25833" xr:uid="{00000000-0005-0000-0000-0000339B0000}"/>
    <cellStyle name="표준 5 4 2 2 3 2 2 4 8" xfId="34044" xr:uid="{00000000-0005-0000-0000-0000349B0000}"/>
    <cellStyle name="표준 5 4 2 2 3 2 2 4 9" xfId="42237" xr:uid="{00000000-0005-0000-0000-0000359B0000}"/>
    <cellStyle name="표준 5 4 2 2 3 2 2 5" xfId="9735" xr:uid="{00000000-0005-0000-0000-0000369B0000}"/>
    <cellStyle name="표준 5 4 2 2 3 2 2 5 2" xfId="13847" xr:uid="{00000000-0005-0000-0000-0000379B0000}"/>
    <cellStyle name="표준 5 4 2 2 3 2 2 5 2 2" xfId="30441" xr:uid="{00000000-0005-0000-0000-0000389B0000}"/>
    <cellStyle name="표준 5 4 2 2 3 2 2 5 2 3" xfId="38652" xr:uid="{00000000-0005-0000-0000-0000399B0000}"/>
    <cellStyle name="표준 5 4 2 2 3 2 2 5 2 4" xfId="46845" xr:uid="{00000000-0005-0000-0000-00003A9B0000}"/>
    <cellStyle name="표준 5 4 2 2 3 2 2 5 3" xfId="18087" xr:uid="{00000000-0005-0000-0000-00003B9B0000}"/>
    <cellStyle name="표준 5 4 2 2 3 2 2 5 4" xfId="22249" xr:uid="{00000000-0005-0000-0000-00003C9B0000}"/>
    <cellStyle name="표준 5 4 2 2 3 2 2 5 5" xfId="26345" xr:uid="{00000000-0005-0000-0000-00003D9B0000}"/>
    <cellStyle name="표준 5 4 2 2 3 2 2 5 6" xfId="34556" xr:uid="{00000000-0005-0000-0000-00003E9B0000}"/>
    <cellStyle name="표준 5 4 2 2 3 2 2 5 7" xfId="42749" xr:uid="{00000000-0005-0000-0000-00003F9B0000}"/>
    <cellStyle name="표준 5 4 2 2 3 2 2 6" xfId="7687" xr:uid="{00000000-0005-0000-0000-0000409B0000}"/>
    <cellStyle name="표준 5 4 2 2 3 2 2 6 2" xfId="28393" xr:uid="{00000000-0005-0000-0000-0000419B0000}"/>
    <cellStyle name="표준 5 4 2 2 3 2 2 6 3" xfId="36604" xr:uid="{00000000-0005-0000-0000-0000429B0000}"/>
    <cellStyle name="표준 5 4 2 2 3 2 2 6 4" xfId="44797" xr:uid="{00000000-0005-0000-0000-0000439B0000}"/>
    <cellStyle name="표준 5 4 2 2 3 2 2 7" xfId="11799" xr:uid="{00000000-0005-0000-0000-0000449B0000}"/>
    <cellStyle name="표준 5 4 2 2 3 2 2 8" xfId="16039" xr:uid="{00000000-0005-0000-0000-0000459B0000}"/>
    <cellStyle name="표준 5 4 2 2 3 2 2 9" xfId="20201" xr:uid="{00000000-0005-0000-0000-0000469B0000}"/>
    <cellStyle name="표준 5 4 2 2 3 2 3" xfId="1088" xr:uid="{00000000-0005-0000-0000-0000479B0000}"/>
    <cellStyle name="표준 5 4 2 2 3 2 3 2" xfId="9991" xr:uid="{00000000-0005-0000-0000-0000489B0000}"/>
    <cellStyle name="표준 5 4 2 2 3 2 3 2 2" xfId="14103" xr:uid="{00000000-0005-0000-0000-0000499B0000}"/>
    <cellStyle name="표준 5 4 2 2 3 2 3 2 2 2" xfId="30697" xr:uid="{00000000-0005-0000-0000-00004A9B0000}"/>
    <cellStyle name="표준 5 4 2 2 3 2 3 2 2 3" xfId="38908" xr:uid="{00000000-0005-0000-0000-00004B9B0000}"/>
    <cellStyle name="표준 5 4 2 2 3 2 3 2 2 4" xfId="47101" xr:uid="{00000000-0005-0000-0000-00004C9B0000}"/>
    <cellStyle name="표준 5 4 2 2 3 2 3 2 3" xfId="18343" xr:uid="{00000000-0005-0000-0000-00004D9B0000}"/>
    <cellStyle name="표준 5 4 2 2 3 2 3 2 4" xfId="22505" xr:uid="{00000000-0005-0000-0000-00004E9B0000}"/>
    <cellStyle name="표준 5 4 2 2 3 2 3 2 5" xfId="26601" xr:uid="{00000000-0005-0000-0000-00004F9B0000}"/>
    <cellStyle name="표준 5 4 2 2 3 2 3 2 6" xfId="34812" xr:uid="{00000000-0005-0000-0000-0000509B0000}"/>
    <cellStyle name="표준 5 4 2 2 3 2 3 2 7" xfId="43005" xr:uid="{00000000-0005-0000-0000-0000519B0000}"/>
    <cellStyle name="표준 5 4 2 2 3 2 3 3" xfId="7943" xr:uid="{00000000-0005-0000-0000-0000529B0000}"/>
    <cellStyle name="표준 5 4 2 2 3 2 3 3 2" xfId="28649" xr:uid="{00000000-0005-0000-0000-0000539B0000}"/>
    <cellStyle name="표준 5 4 2 2 3 2 3 3 3" xfId="36860" xr:uid="{00000000-0005-0000-0000-0000549B0000}"/>
    <cellStyle name="표준 5 4 2 2 3 2 3 3 4" xfId="45053" xr:uid="{00000000-0005-0000-0000-0000559B0000}"/>
    <cellStyle name="표준 5 4 2 2 3 2 3 4" xfId="12055" xr:uid="{00000000-0005-0000-0000-0000569B0000}"/>
    <cellStyle name="표준 5 4 2 2 3 2 3 5" xfId="16295" xr:uid="{00000000-0005-0000-0000-0000579B0000}"/>
    <cellStyle name="표준 5 4 2 2 3 2 3 6" xfId="20457" xr:uid="{00000000-0005-0000-0000-0000589B0000}"/>
    <cellStyle name="표준 5 4 2 2 3 2 3 7" xfId="24553" xr:uid="{00000000-0005-0000-0000-0000599B0000}"/>
    <cellStyle name="표준 5 4 2 2 3 2 3 8" xfId="32764" xr:uid="{00000000-0005-0000-0000-00005A9B0000}"/>
    <cellStyle name="표준 5 4 2 2 3 2 3 9" xfId="40957" xr:uid="{00000000-0005-0000-0000-00005B9B0000}"/>
    <cellStyle name="표준 5 4 2 2 3 2 4" xfId="1600" xr:uid="{00000000-0005-0000-0000-00005C9B0000}"/>
    <cellStyle name="표준 5 4 2 2 3 2 4 2" xfId="10503" xr:uid="{00000000-0005-0000-0000-00005D9B0000}"/>
    <cellStyle name="표준 5 4 2 2 3 2 4 2 2" xfId="14615" xr:uid="{00000000-0005-0000-0000-00005E9B0000}"/>
    <cellStyle name="표준 5 4 2 2 3 2 4 2 2 2" xfId="31209" xr:uid="{00000000-0005-0000-0000-00005F9B0000}"/>
    <cellStyle name="표준 5 4 2 2 3 2 4 2 2 3" xfId="39420" xr:uid="{00000000-0005-0000-0000-0000609B0000}"/>
    <cellStyle name="표준 5 4 2 2 3 2 4 2 2 4" xfId="47613" xr:uid="{00000000-0005-0000-0000-0000619B0000}"/>
    <cellStyle name="표준 5 4 2 2 3 2 4 2 3" xfId="18855" xr:uid="{00000000-0005-0000-0000-0000629B0000}"/>
    <cellStyle name="표준 5 4 2 2 3 2 4 2 4" xfId="23017" xr:uid="{00000000-0005-0000-0000-0000639B0000}"/>
    <cellStyle name="표준 5 4 2 2 3 2 4 2 5" xfId="27113" xr:uid="{00000000-0005-0000-0000-0000649B0000}"/>
    <cellStyle name="표준 5 4 2 2 3 2 4 2 6" xfId="35324" xr:uid="{00000000-0005-0000-0000-0000659B0000}"/>
    <cellStyle name="표준 5 4 2 2 3 2 4 2 7" xfId="43517" xr:uid="{00000000-0005-0000-0000-0000669B0000}"/>
    <cellStyle name="표준 5 4 2 2 3 2 4 3" xfId="8455" xr:uid="{00000000-0005-0000-0000-0000679B0000}"/>
    <cellStyle name="표준 5 4 2 2 3 2 4 3 2" xfId="29161" xr:uid="{00000000-0005-0000-0000-0000689B0000}"/>
    <cellStyle name="표준 5 4 2 2 3 2 4 3 3" xfId="37372" xr:uid="{00000000-0005-0000-0000-0000699B0000}"/>
    <cellStyle name="표준 5 4 2 2 3 2 4 3 4" xfId="45565" xr:uid="{00000000-0005-0000-0000-00006A9B0000}"/>
    <cellStyle name="표준 5 4 2 2 3 2 4 4" xfId="12567" xr:uid="{00000000-0005-0000-0000-00006B9B0000}"/>
    <cellStyle name="표준 5 4 2 2 3 2 4 5" xfId="16807" xr:uid="{00000000-0005-0000-0000-00006C9B0000}"/>
    <cellStyle name="표준 5 4 2 2 3 2 4 6" xfId="20969" xr:uid="{00000000-0005-0000-0000-00006D9B0000}"/>
    <cellStyle name="표준 5 4 2 2 3 2 4 7" xfId="25065" xr:uid="{00000000-0005-0000-0000-00006E9B0000}"/>
    <cellStyle name="표준 5 4 2 2 3 2 4 8" xfId="33276" xr:uid="{00000000-0005-0000-0000-00006F9B0000}"/>
    <cellStyle name="표준 5 4 2 2 3 2 4 9" xfId="41469" xr:uid="{00000000-0005-0000-0000-0000709B0000}"/>
    <cellStyle name="표준 5 4 2 2 3 2 5" xfId="2112" xr:uid="{00000000-0005-0000-0000-0000719B0000}"/>
    <cellStyle name="표준 5 4 2 2 3 2 5 2" xfId="11015" xr:uid="{00000000-0005-0000-0000-0000729B0000}"/>
    <cellStyle name="표준 5 4 2 2 3 2 5 2 2" xfId="15127" xr:uid="{00000000-0005-0000-0000-0000739B0000}"/>
    <cellStyle name="표준 5 4 2 2 3 2 5 2 2 2" xfId="31721" xr:uid="{00000000-0005-0000-0000-0000749B0000}"/>
    <cellStyle name="표준 5 4 2 2 3 2 5 2 2 3" xfId="39932" xr:uid="{00000000-0005-0000-0000-0000759B0000}"/>
    <cellStyle name="표준 5 4 2 2 3 2 5 2 2 4" xfId="48125" xr:uid="{00000000-0005-0000-0000-0000769B0000}"/>
    <cellStyle name="표준 5 4 2 2 3 2 5 2 3" xfId="19367" xr:uid="{00000000-0005-0000-0000-0000779B0000}"/>
    <cellStyle name="표준 5 4 2 2 3 2 5 2 4" xfId="23529" xr:uid="{00000000-0005-0000-0000-0000789B0000}"/>
    <cellStyle name="표준 5 4 2 2 3 2 5 2 5" xfId="27625" xr:uid="{00000000-0005-0000-0000-0000799B0000}"/>
    <cellStyle name="표준 5 4 2 2 3 2 5 2 6" xfId="35836" xr:uid="{00000000-0005-0000-0000-00007A9B0000}"/>
    <cellStyle name="표준 5 4 2 2 3 2 5 2 7" xfId="44029" xr:uid="{00000000-0005-0000-0000-00007B9B0000}"/>
    <cellStyle name="표준 5 4 2 2 3 2 5 3" xfId="8967" xr:uid="{00000000-0005-0000-0000-00007C9B0000}"/>
    <cellStyle name="표준 5 4 2 2 3 2 5 3 2" xfId="29673" xr:uid="{00000000-0005-0000-0000-00007D9B0000}"/>
    <cellStyle name="표준 5 4 2 2 3 2 5 3 3" xfId="37884" xr:uid="{00000000-0005-0000-0000-00007E9B0000}"/>
    <cellStyle name="표준 5 4 2 2 3 2 5 3 4" xfId="46077" xr:uid="{00000000-0005-0000-0000-00007F9B0000}"/>
    <cellStyle name="표준 5 4 2 2 3 2 5 4" xfId="13079" xr:uid="{00000000-0005-0000-0000-0000809B0000}"/>
    <cellStyle name="표준 5 4 2 2 3 2 5 5" xfId="17319" xr:uid="{00000000-0005-0000-0000-0000819B0000}"/>
    <cellStyle name="표준 5 4 2 2 3 2 5 6" xfId="21481" xr:uid="{00000000-0005-0000-0000-0000829B0000}"/>
    <cellStyle name="표준 5 4 2 2 3 2 5 7" xfId="25577" xr:uid="{00000000-0005-0000-0000-0000839B0000}"/>
    <cellStyle name="표준 5 4 2 2 3 2 5 8" xfId="33788" xr:uid="{00000000-0005-0000-0000-0000849B0000}"/>
    <cellStyle name="표준 5 4 2 2 3 2 5 9" xfId="41981" xr:uid="{00000000-0005-0000-0000-0000859B0000}"/>
    <cellStyle name="표준 5 4 2 2 3 2 6" xfId="9479" xr:uid="{00000000-0005-0000-0000-0000869B0000}"/>
    <cellStyle name="표준 5 4 2 2 3 2 6 2" xfId="13591" xr:uid="{00000000-0005-0000-0000-0000879B0000}"/>
    <cellStyle name="표준 5 4 2 2 3 2 6 2 2" xfId="30185" xr:uid="{00000000-0005-0000-0000-0000889B0000}"/>
    <cellStyle name="표준 5 4 2 2 3 2 6 2 3" xfId="38396" xr:uid="{00000000-0005-0000-0000-0000899B0000}"/>
    <cellStyle name="표준 5 4 2 2 3 2 6 2 4" xfId="46589" xr:uid="{00000000-0005-0000-0000-00008A9B0000}"/>
    <cellStyle name="표준 5 4 2 2 3 2 6 3" xfId="17831" xr:uid="{00000000-0005-0000-0000-00008B9B0000}"/>
    <cellStyle name="표준 5 4 2 2 3 2 6 4" xfId="21993" xr:uid="{00000000-0005-0000-0000-00008C9B0000}"/>
    <cellStyle name="표준 5 4 2 2 3 2 6 5" xfId="26089" xr:uid="{00000000-0005-0000-0000-00008D9B0000}"/>
    <cellStyle name="표준 5 4 2 2 3 2 6 6" xfId="34300" xr:uid="{00000000-0005-0000-0000-00008E9B0000}"/>
    <cellStyle name="표준 5 4 2 2 3 2 6 7" xfId="42493" xr:uid="{00000000-0005-0000-0000-00008F9B0000}"/>
    <cellStyle name="표준 5 4 2 2 3 2 7" xfId="7431" xr:uid="{00000000-0005-0000-0000-0000909B0000}"/>
    <cellStyle name="표준 5 4 2 2 3 2 7 2" xfId="28137" xr:uid="{00000000-0005-0000-0000-0000919B0000}"/>
    <cellStyle name="표준 5 4 2 2 3 2 7 3" xfId="36348" xr:uid="{00000000-0005-0000-0000-0000929B0000}"/>
    <cellStyle name="표준 5 4 2 2 3 2 7 4" xfId="44541" xr:uid="{00000000-0005-0000-0000-0000939B0000}"/>
    <cellStyle name="표준 5 4 2 2 3 2 8" xfId="11543" xr:uid="{00000000-0005-0000-0000-0000949B0000}"/>
    <cellStyle name="표준 5 4 2 2 3 2 9" xfId="15783" xr:uid="{00000000-0005-0000-0000-0000959B0000}"/>
    <cellStyle name="표준 5 4 2 2 3 3" xfId="704" xr:uid="{00000000-0005-0000-0000-0000969B0000}"/>
    <cellStyle name="표준 5 4 2 2 3 3 10" xfId="24169" xr:uid="{00000000-0005-0000-0000-0000979B0000}"/>
    <cellStyle name="표준 5 4 2 2 3 3 11" xfId="32380" xr:uid="{00000000-0005-0000-0000-0000989B0000}"/>
    <cellStyle name="표준 5 4 2 2 3 3 12" xfId="40573" xr:uid="{00000000-0005-0000-0000-0000999B0000}"/>
    <cellStyle name="표준 5 4 2 2 3 3 2" xfId="1216" xr:uid="{00000000-0005-0000-0000-00009A9B0000}"/>
    <cellStyle name="표준 5 4 2 2 3 3 2 2" xfId="10119" xr:uid="{00000000-0005-0000-0000-00009B9B0000}"/>
    <cellStyle name="표준 5 4 2 2 3 3 2 2 2" xfId="14231" xr:uid="{00000000-0005-0000-0000-00009C9B0000}"/>
    <cellStyle name="표준 5 4 2 2 3 3 2 2 2 2" xfId="30825" xr:uid="{00000000-0005-0000-0000-00009D9B0000}"/>
    <cellStyle name="표준 5 4 2 2 3 3 2 2 2 3" xfId="39036" xr:uid="{00000000-0005-0000-0000-00009E9B0000}"/>
    <cellStyle name="표준 5 4 2 2 3 3 2 2 2 4" xfId="47229" xr:uid="{00000000-0005-0000-0000-00009F9B0000}"/>
    <cellStyle name="표준 5 4 2 2 3 3 2 2 3" xfId="18471" xr:uid="{00000000-0005-0000-0000-0000A09B0000}"/>
    <cellStyle name="표준 5 4 2 2 3 3 2 2 4" xfId="22633" xr:uid="{00000000-0005-0000-0000-0000A19B0000}"/>
    <cellStyle name="표준 5 4 2 2 3 3 2 2 5" xfId="26729" xr:uid="{00000000-0005-0000-0000-0000A29B0000}"/>
    <cellStyle name="표준 5 4 2 2 3 3 2 2 6" xfId="34940" xr:uid="{00000000-0005-0000-0000-0000A39B0000}"/>
    <cellStyle name="표준 5 4 2 2 3 3 2 2 7" xfId="43133" xr:uid="{00000000-0005-0000-0000-0000A49B0000}"/>
    <cellStyle name="표준 5 4 2 2 3 3 2 3" xfId="8071" xr:uid="{00000000-0005-0000-0000-0000A59B0000}"/>
    <cellStyle name="표준 5 4 2 2 3 3 2 3 2" xfId="28777" xr:uid="{00000000-0005-0000-0000-0000A69B0000}"/>
    <cellStyle name="표준 5 4 2 2 3 3 2 3 3" xfId="36988" xr:uid="{00000000-0005-0000-0000-0000A79B0000}"/>
    <cellStyle name="표준 5 4 2 2 3 3 2 3 4" xfId="45181" xr:uid="{00000000-0005-0000-0000-0000A89B0000}"/>
    <cellStyle name="표준 5 4 2 2 3 3 2 4" xfId="12183" xr:uid="{00000000-0005-0000-0000-0000A99B0000}"/>
    <cellStyle name="표준 5 4 2 2 3 3 2 5" xfId="16423" xr:uid="{00000000-0005-0000-0000-0000AA9B0000}"/>
    <cellStyle name="표준 5 4 2 2 3 3 2 6" xfId="20585" xr:uid="{00000000-0005-0000-0000-0000AB9B0000}"/>
    <cellStyle name="표준 5 4 2 2 3 3 2 7" xfId="24681" xr:uid="{00000000-0005-0000-0000-0000AC9B0000}"/>
    <cellStyle name="표준 5 4 2 2 3 3 2 8" xfId="32892" xr:uid="{00000000-0005-0000-0000-0000AD9B0000}"/>
    <cellStyle name="표준 5 4 2 2 3 3 2 9" xfId="41085" xr:uid="{00000000-0005-0000-0000-0000AE9B0000}"/>
    <cellStyle name="표준 5 4 2 2 3 3 3" xfId="1728" xr:uid="{00000000-0005-0000-0000-0000AF9B0000}"/>
    <cellStyle name="표준 5 4 2 2 3 3 3 2" xfId="10631" xr:uid="{00000000-0005-0000-0000-0000B09B0000}"/>
    <cellStyle name="표준 5 4 2 2 3 3 3 2 2" xfId="14743" xr:uid="{00000000-0005-0000-0000-0000B19B0000}"/>
    <cellStyle name="표준 5 4 2 2 3 3 3 2 2 2" xfId="31337" xr:uid="{00000000-0005-0000-0000-0000B29B0000}"/>
    <cellStyle name="표준 5 4 2 2 3 3 3 2 2 3" xfId="39548" xr:uid="{00000000-0005-0000-0000-0000B39B0000}"/>
    <cellStyle name="표준 5 4 2 2 3 3 3 2 2 4" xfId="47741" xr:uid="{00000000-0005-0000-0000-0000B49B0000}"/>
    <cellStyle name="표준 5 4 2 2 3 3 3 2 3" xfId="18983" xr:uid="{00000000-0005-0000-0000-0000B59B0000}"/>
    <cellStyle name="표준 5 4 2 2 3 3 3 2 4" xfId="23145" xr:uid="{00000000-0005-0000-0000-0000B69B0000}"/>
    <cellStyle name="표준 5 4 2 2 3 3 3 2 5" xfId="27241" xr:uid="{00000000-0005-0000-0000-0000B79B0000}"/>
    <cellStyle name="표준 5 4 2 2 3 3 3 2 6" xfId="35452" xr:uid="{00000000-0005-0000-0000-0000B89B0000}"/>
    <cellStyle name="표준 5 4 2 2 3 3 3 2 7" xfId="43645" xr:uid="{00000000-0005-0000-0000-0000B99B0000}"/>
    <cellStyle name="표준 5 4 2 2 3 3 3 3" xfId="8583" xr:uid="{00000000-0005-0000-0000-0000BA9B0000}"/>
    <cellStyle name="표준 5 4 2 2 3 3 3 3 2" xfId="29289" xr:uid="{00000000-0005-0000-0000-0000BB9B0000}"/>
    <cellStyle name="표준 5 4 2 2 3 3 3 3 3" xfId="37500" xr:uid="{00000000-0005-0000-0000-0000BC9B0000}"/>
    <cellStyle name="표준 5 4 2 2 3 3 3 3 4" xfId="45693" xr:uid="{00000000-0005-0000-0000-0000BD9B0000}"/>
    <cellStyle name="표준 5 4 2 2 3 3 3 4" xfId="12695" xr:uid="{00000000-0005-0000-0000-0000BE9B0000}"/>
    <cellStyle name="표준 5 4 2 2 3 3 3 5" xfId="16935" xr:uid="{00000000-0005-0000-0000-0000BF9B0000}"/>
    <cellStyle name="표준 5 4 2 2 3 3 3 6" xfId="21097" xr:uid="{00000000-0005-0000-0000-0000C09B0000}"/>
    <cellStyle name="표준 5 4 2 2 3 3 3 7" xfId="25193" xr:uid="{00000000-0005-0000-0000-0000C19B0000}"/>
    <cellStyle name="표준 5 4 2 2 3 3 3 8" xfId="33404" xr:uid="{00000000-0005-0000-0000-0000C29B0000}"/>
    <cellStyle name="표준 5 4 2 2 3 3 3 9" xfId="41597" xr:uid="{00000000-0005-0000-0000-0000C39B0000}"/>
    <cellStyle name="표준 5 4 2 2 3 3 4" xfId="2240" xr:uid="{00000000-0005-0000-0000-0000C49B0000}"/>
    <cellStyle name="표준 5 4 2 2 3 3 4 2" xfId="11143" xr:uid="{00000000-0005-0000-0000-0000C59B0000}"/>
    <cellStyle name="표준 5 4 2 2 3 3 4 2 2" xfId="15255" xr:uid="{00000000-0005-0000-0000-0000C69B0000}"/>
    <cellStyle name="표준 5 4 2 2 3 3 4 2 2 2" xfId="31849" xr:uid="{00000000-0005-0000-0000-0000C79B0000}"/>
    <cellStyle name="표준 5 4 2 2 3 3 4 2 2 3" xfId="40060" xr:uid="{00000000-0005-0000-0000-0000C89B0000}"/>
    <cellStyle name="표준 5 4 2 2 3 3 4 2 2 4" xfId="48253" xr:uid="{00000000-0005-0000-0000-0000C99B0000}"/>
    <cellStyle name="표준 5 4 2 2 3 3 4 2 3" xfId="19495" xr:uid="{00000000-0005-0000-0000-0000CA9B0000}"/>
    <cellStyle name="표준 5 4 2 2 3 3 4 2 4" xfId="23657" xr:uid="{00000000-0005-0000-0000-0000CB9B0000}"/>
    <cellStyle name="표준 5 4 2 2 3 3 4 2 5" xfId="27753" xr:uid="{00000000-0005-0000-0000-0000CC9B0000}"/>
    <cellStyle name="표준 5 4 2 2 3 3 4 2 6" xfId="35964" xr:uid="{00000000-0005-0000-0000-0000CD9B0000}"/>
    <cellStyle name="표준 5 4 2 2 3 3 4 2 7" xfId="44157" xr:uid="{00000000-0005-0000-0000-0000CE9B0000}"/>
    <cellStyle name="표준 5 4 2 2 3 3 4 3" xfId="9095" xr:uid="{00000000-0005-0000-0000-0000CF9B0000}"/>
    <cellStyle name="표준 5 4 2 2 3 3 4 3 2" xfId="29801" xr:uid="{00000000-0005-0000-0000-0000D09B0000}"/>
    <cellStyle name="표준 5 4 2 2 3 3 4 3 3" xfId="38012" xr:uid="{00000000-0005-0000-0000-0000D19B0000}"/>
    <cellStyle name="표준 5 4 2 2 3 3 4 3 4" xfId="46205" xr:uid="{00000000-0005-0000-0000-0000D29B0000}"/>
    <cellStyle name="표준 5 4 2 2 3 3 4 4" xfId="13207" xr:uid="{00000000-0005-0000-0000-0000D39B0000}"/>
    <cellStyle name="표준 5 4 2 2 3 3 4 5" xfId="17447" xr:uid="{00000000-0005-0000-0000-0000D49B0000}"/>
    <cellStyle name="표준 5 4 2 2 3 3 4 6" xfId="21609" xr:uid="{00000000-0005-0000-0000-0000D59B0000}"/>
    <cellStyle name="표준 5 4 2 2 3 3 4 7" xfId="25705" xr:uid="{00000000-0005-0000-0000-0000D69B0000}"/>
    <cellStyle name="표준 5 4 2 2 3 3 4 8" xfId="33916" xr:uid="{00000000-0005-0000-0000-0000D79B0000}"/>
    <cellStyle name="표준 5 4 2 2 3 3 4 9" xfId="42109" xr:uid="{00000000-0005-0000-0000-0000D89B0000}"/>
    <cellStyle name="표준 5 4 2 2 3 3 5" xfId="9607" xr:uid="{00000000-0005-0000-0000-0000D99B0000}"/>
    <cellStyle name="표준 5 4 2 2 3 3 5 2" xfId="13719" xr:uid="{00000000-0005-0000-0000-0000DA9B0000}"/>
    <cellStyle name="표준 5 4 2 2 3 3 5 2 2" xfId="30313" xr:uid="{00000000-0005-0000-0000-0000DB9B0000}"/>
    <cellStyle name="표준 5 4 2 2 3 3 5 2 3" xfId="38524" xr:uid="{00000000-0005-0000-0000-0000DC9B0000}"/>
    <cellStyle name="표준 5 4 2 2 3 3 5 2 4" xfId="46717" xr:uid="{00000000-0005-0000-0000-0000DD9B0000}"/>
    <cellStyle name="표준 5 4 2 2 3 3 5 3" xfId="17959" xr:uid="{00000000-0005-0000-0000-0000DE9B0000}"/>
    <cellStyle name="표준 5 4 2 2 3 3 5 4" xfId="22121" xr:uid="{00000000-0005-0000-0000-0000DF9B0000}"/>
    <cellStyle name="표준 5 4 2 2 3 3 5 5" xfId="26217" xr:uid="{00000000-0005-0000-0000-0000E09B0000}"/>
    <cellStyle name="표준 5 4 2 2 3 3 5 6" xfId="34428" xr:uid="{00000000-0005-0000-0000-0000E19B0000}"/>
    <cellStyle name="표준 5 4 2 2 3 3 5 7" xfId="42621" xr:uid="{00000000-0005-0000-0000-0000E29B0000}"/>
    <cellStyle name="표준 5 4 2 2 3 3 6" xfId="7559" xr:uid="{00000000-0005-0000-0000-0000E39B0000}"/>
    <cellStyle name="표준 5 4 2 2 3 3 6 2" xfId="28265" xr:uid="{00000000-0005-0000-0000-0000E49B0000}"/>
    <cellStyle name="표준 5 4 2 2 3 3 6 3" xfId="36476" xr:uid="{00000000-0005-0000-0000-0000E59B0000}"/>
    <cellStyle name="표준 5 4 2 2 3 3 6 4" xfId="44669" xr:uid="{00000000-0005-0000-0000-0000E69B0000}"/>
    <cellStyle name="표준 5 4 2 2 3 3 7" xfId="11671" xr:uid="{00000000-0005-0000-0000-0000E79B0000}"/>
    <cellStyle name="표준 5 4 2 2 3 3 8" xfId="15911" xr:uid="{00000000-0005-0000-0000-0000E89B0000}"/>
    <cellStyle name="표준 5 4 2 2 3 3 9" xfId="20073" xr:uid="{00000000-0005-0000-0000-0000E99B0000}"/>
    <cellStyle name="표준 5 4 2 2 3 4" xfId="960" xr:uid="{00000000-0005-0000-0000-0000EA9B0000}"/>
    <cellStyle name="표준 5 4 2 2 3 4 2" xfId="9863" xr:uid="{00000000-0005-0000-0000-0000EB9B0000}"/>
    <cellStyle name="표준 5 4 2 2 3 4 2 2" xfId="13975" xr:uid="{00000000-0005-0000-0000-0000EC9B0000}"/>
    <cellStyle name="표준 5 4 2 2 3 4 2 2 2" xfId="30569" xr:uid="{00000000-0005-0000-0000-0000ED9B0000}"/>
    <cellStyle name="표준 5 4 2 2 3 4 2 2 3" xfId="38780" xr:uid="{00000000-0005-0000-0000-0000EE9B0000}"/>
    <cellStyle name="표준 5 4 2 2 3 4 2 2 4" xfId="46973" xr:uid="{00000000-0005-0000-0000-0000EF9B0000}"/>
    <cellStyle name="표준 5 4 2 2 3 4 2 3" xfId="18215" xr:uid="{00000000-0005-0000-0000-0000F09B0000}"/>
    <cellStyle name="표준 5 4 2 2 3 4 2 4" xfId="22377" xr:uid="{00000000-0005-0000-0000-0000F19B0000}"/>
    <cellStyle name="표준 5 4 2 2 3 4 2 5" xfId="26473" xr:uid="{00000000-0005-0000-0000-0000F29B0000}"/>
    <cellStyle name="표준 5 4 2 2 3 4 2 6" xfId="34684" xr:uid="{00000000-0005-0000-0000-0000F39B0000}"/>
    <cellStyle name="표준 5 4 2 2 3 4 2 7" xfId="42877" xr:uid="{00000000-0005-0000-0000-0000F49B0000}"/>
    <cellStyle name="표준 5 4 2 2 3 4 3" xfId="7815" xr:uid="{00000000-0005-0000-0000-0000F59B0000}"/>
    <cellStyle name="표준 5 4 2 2 3 4 3 2" xfId="28521" xr:uid="{00000000-0005-0000-0000-0000F69B0000}"/>
    <cellStyle name="표준 5 4 2 2 3 4 3 3" xfId="36732" xr:uid="{00000000-0005-0000-0000-0000F79B0000}"/>
    <cellStyle name="표준 5 4 2 2 3 4 3 4" xfId="44925" xr:uid="{00000000-0005-0000-0000-0000F89B0000}"/>
    <cellStyle name="표준 5 4 2 2 3 4 4" xfId="11927" xr:uid="{00000000-0005-0000-0000-0000F99B0000}"/>
    <cellStyle name="표준 5 4 2 2 3 4 5" xfId="16167" xr:uid="{00000000-0005-0000-0000-0000FA9B0000}"/>
    <cellStyle name="표준 5 4 2 2 3 4 6" xfId="20329" xr:uid="{00000000-0005-0000-0000-0000FB9B0000}"/>
    <cellStyle name="표준 5 4 2 2 3 4 7" xfId="24425" xr:uid="{00000000-0005-0000-0000-0000FC9B0000}"/>
    <cellStyle name="표준 5 4 2 2 3 4 8" xfId="32636" xr:uid="{00000000-0005-0000-0000-0000FD9B0000}"/>
    <cellStyle name="표준 5 4 2 2 3 4 9" xfId="40829" xr:uid="{00000000-0005-0000-0000-0000FE9B0000}"/>
    <cellStyle name="표준 5 4 2 2 3 5" xfId="1472" xr:uid="{00000000-0005-0000-0000-0000FF9B0000}"/>
    <cellStyle name="표준 5 4 2 2 3 5 2" xfId="10375" xr:uid="{00000000-0005-0000-0000-0000009C0000}"/>
    <cellStyle name="표준 5 4 2 2 3 5 2 2" xfId="14487" xr:uid="{00000000-0005-0000-0000-0000019C0000}"/>
    <cellStyle name="표준 5 4 2 2 3 5 2 2 2" xfId="31081" xr:uid="{00000000-0005-0000-0000-0000029C0000}"/>
    <cellStyle name="표준 5 4 2 2 3 5 2 2 3" xfId="39292" xr:uid="{00000000-0005-0000-0000-0000039C0000}"/>
    <cellStyle name="표준 5 4 2 2 3 5 2 2 4" xfId="47485" xr:uid="{00000000-0005-0000-0000-0000049C0000}"/>
    <cellStyle name="표준 5 4 2 2 3 5 2 3" xfId="18727" xr:uid="{00000000-0005-0000-0000-0000059C0000}"/>
    <cellStyle name="표준 5 4 2 2 3 5 2 4" xfId="22889" xr:uid="{00000000-0005-0000-0000-0000069C0000}"/>
    <cellStyle name="표준 5 4 2 2 3 5 2 5" xfId="26985" xr:uid="{00000000-0005-0000-0000-0000079C0000}"/>
    <cellStyle name="표준 5 4 2 2 3 5 2 6" xfId="35196" xr:uid="{00000000-0005-0000-0000-0000089C0000}"/>
    <cellStyle name="표준 5 4 2 2 3 5 2 7" xfId="43389" xr:uid="{00000000-0005-0000-0000-0000099C0000}"/>
    <cellStyle name="표준 5 4 2 2 3 5 3" xfId="8327" xr:uid="{00000000-0005-0000-0000-00000A9C0000}"/>
    <cellStyle name="표준 5 4 2 2 3 5 3 2" xfId="29033" xr:uid="{00000000-0005-0000-0000-00000B9C0000}"/>
    <cellStyle name="표준 5 4 2 2 3 5 3 3" xfId="37244" xr:uid="{00000000-0005-0000-0000-00000C9C0000}"/>
    <cellStyle name="표준 5 4 2 2 3 5 3 4" xfId="45437" xr:uid="{00000000-0005-0000-0000-00000D9C0000}"/>
    <cellStyle name="표준 5 4 2 2 3 5 4" xfId="12439" xr:uid="{00000000-0005-0000-0000-00000E9C0000}"/>
    <cellStyle name="표준 5 4 2 2 3 5 5" xfId="16679" xr:uid="{00000000-0005-0000-0000-00000F9C0000}"/>
    <cellStyle name="표준 5 4 2 2 3 5 6" xfId="20841" xr:uid="{00000000-0005-0000-0000-0000109C0000}"/>
    <cellStyle name="표준 5 4 2 2 3 5 7" xfId="24937" xr:uid="{00000000-0005-0000-0000-0000119C0000}"/>
    <cellStyle name="표준 5 4 2 2 3 5 8" xfId="33148" xr:uid="{00000000-0005-0000-0000-0000129C0000}"/>
    <cellStyle name="표준 5 4 2 2 3 5 9" xfId="41341" xr:uid="{00000000-0005-0000-0000-0000139C0000}"/>
    <cellStyle name="표준 5 4 2 2 3 6" xfId="1984" xr:uid="{00000000-0005-0000-0000-0000149C0000}"/>
    <cellStyle name="표준 5 4 2 2 3 6 2" xfId="10887" xr:uid="{00000000-0005-0000-0000-0000159C0000}"/>
    <cellStyle name="표준 5 4 2 2 3 6 2 2" xfId="14999" xr:uid="{00000000-0005-0000-0000-0000169C0000}"/>
    <cellStyle name="표준 5 4 2 2 3 6 2 2 2" xfId="31593" xr:uid="{00000000-0005-0000-0000-0000179C0000}"/>
    <cellStyle name="표준 5 4 2 2 3 6 2 2 3" xfId="39804" xr:uid="{00000000-0005-0000-0000-0000189C0000}"/>
    <cellStyle name="표준 5 4 2 2 3 6 2 2 4" xfId="47997" xr:uid="{00000000-0005-0000-0000-0000199C0000}"/>
    <cellStyle name="표준 5 4 2 2 3 6 2 3" xfId="19239" xr:uid="{00000000-0005-0000-0000-00001A9C0000}"/>
    <cellStyle name="표준 5 4 2 2 3 6 2 4" xfId="23401" xr:uid="{00000000-0005-0000-0000-00001B9C0000}"/>
    <cellStyle name="표준 5 4 2 2 3 6 2 5" xfId="27497" xr:uid="{00000000-0005-0000-0000-00001C9C0000}"/>
    <cellStyle name="표준 5 4 2 2 3 6 2 6" xfId="35708" xr:uid="{00000000-0005-0000-0000-00001D9C0000}"/>
    <cellStyle name="표준 5 4 2 2 3 6 2 7" xfId="43901" xr:uid="{00000000-0005-0000-0000-00001E9C0000}"/>
    <cellStyle name="표준 5 4 2 2 3 6 3" xfId="8839" xr:uid="{00000000-0005-0000-0000-00001F9C0000}"/>
    <cellStyle name="표준 5 4 2 2 3 6 3 2" xfId="29545" xr:uid="{00000000-0005-0000-0000-0000209C0000}"/>
    <cellStyle name="표준 5 4 2 2 3 6 3 3" xfId="37756" xr:uid="{00000000-0005-0000-0000-0000219C0000}"/>
    <cellStyle name="표준 5 4 2 2 3 6 3 4" xfId="45949" xr:uid="{00000000-0005-0000-0000-0000229C0000}"/>
    <cellStyle name="표준 5 4 2 2 3 6 4" xfId="12951" xr:uid="{00000000-0005-0000-0000-0000239C0000}"/>
    <cellStyle name="표준 5 4 2 2 3 6 5" xfId="17191" xr:uid="{00000000-0005-0000-0000-0000249C0000}"/>
    <cellStyle name="표준 5 4 2 2 3 6 6" xfId="21353" xr:uid="{00000000-0005-0000-0000-0000259C0000}"/>
    <cellStyle name="표준 5 4 2 2 3 6 7" xfId="25449" xr:uid="{00000000-0005-0000-0000-0000269C0000}"/>
    <cellStyle name="표준 5 4 2 2 3 6 8" xfId="33660" xr:uid="{00000000-0005-0000-0000-0000279C0000}"/>
    <cellStyle name="표준 5 4 2 2 3 6 9" xfId="41853" xr:uid="{00000000-0005-0000-0000-0000289C0000}"/>
    <cellStyle name="표준 5 4 2 2 3 7" xfId="9351" xr:uid="{00000000-0005-0000-0000-0000299C0000}"/>
    <cellStyle name="표준 5 4 2 2 3 7 2" xfId="13463" xr:uid="{00000000-0005-0000-0000-00002A9C0000}"/>
    <cellStyle name="표준 5 4 2 2 3 7 2 2" xfId="30057" xr:uid="{00000000-0005-0000-0000-00002B9C0000}"/>
    <cellStyle name="표준 5 4 2 2 3 7 2 3" xfId="38268" xr:uid="{00000000-0005-0000-0000-00002C9C0000}"/>
    <cellStyle name="표준 5 4 2 2 3 7 2 4" xfId="46461" xr:uid="{00000000-0005-0000-0000-00002D9C0000}"/>
    <cellStyle name="표준 5 4 2 2 3 7 3" xfId="17703" xr:uid="{00000000-0005-0000-0000-00002E9C0000}"/>
    <cellStyle name="표준 5 4 2 2 3 7 4" xfId="21865" xr:uid="{00000000-0005-0000-0000-00002F9C0000}"/>
    <cellStyle name="표준 5 4 2 2 3 7 5" xfId="25961" xr:uid="{00000000-0005-0000-0000-0000309C0000}"/>
    <cellStyle name="표준 5 4 2 2 3 7 6" xfId="34172" xr:uid="{00000000-0005-0000-0000-0000319C0000}"/>
    <cellStyle name="표준 5 4 2 2 3 7 7" xfId="42365" xr:uid="{00000000-0005-0000-0000-0000329C0000}"/>
    <cellStyle name="표준 5 4 2 2 3 8" xfId="7303" xr:uid="{00000000-0005-0000-0000-0000339C0000}"/>
    <cellStyle name="표준 5 4 2 2 3 8 2" xfId="28009" xr:uid="{00000000-0005-0000-0000-0000349C0000}"/>
    <cellStyle name="표준 5 4 2 2 3 8 3" xfId="36220" xr:uid="{00000000-0005-0000-0000-0000359C0000}"/>
    <cellStyle name="표준 5 4 2 2 3 8 4" xfId="44413" xr:uid="{00000000-0005-0000-0000-0000369C0000}"/>
    <cellStyle name="표준 5 4 2 2 3 9" xfId="11415" xr:uid="{00000000-0005-0000-0000-0000379C0000}"/>
    <cellStyle name="표준 5 4 2 2 4" xfId="512" xr:uid="{00000000-0005-0000-0000-0000389C0000}"/>
    <cellStyle name="표준 5 4 2 2 4 10" xfId="19881" xr:uid="{00000000-0005-0000-0000-0000399C0000}"/>
    <cellStyle name="표준 5 4 2 2 4 11" xfId="23977" xr:uid="{00000000-0005-0000-0000-00003A9C0000}"/>
    <cellStyle name="표준 5 4 2 2 4 12" xfId="32188" xr:uid="{00000000-0005-0000-0000-00003B9C0000}"/>
    <cellStyle name="표준 5 4 2 2 4 13" xfId="40381" xr:uid="{00000000-0005-0000-0000-00003C9C0000}"/>
    <cellStyle name="표준 5 4 2 2 4 2" xfId="768" xr:uid="{00000000-0005-0000-0000-00003D9C0000}"/>
    <cellStyle name="표준 5 4 2 2 4 2 10" xfId="24233" xr:uid="{00000000-0005-0000-0000-00003E9C0000}"/>
    <cellStyle name="표준 5 4 2 2 4 2 11" xfId="32444" xr:uid="{00000000-0005-0000-0000-00003F9C0000}"/>
    <cellStyle name="표준 5 4 2 2 4 2 12" xfId="40637" xr:uid="{00000000-0005-0000-0000-0000409C0000}"/>
    <cellStyle name="표준 5 4 2 2 4 2 2" xfId="1280" xr:uid="{00000000-0005-0000-0000-0000419C0000}"/>
    <cellStyle name="표준 5 4 2 2 4 2 2 2" xfId="10183" xr:uid="{00000000-0005-0000-0000-0000429C0000}"/>
    <cellStyle name="표준 5 4 2 2 4 2 2 2 2" xfId="14295" xr:uid="{00000000-0005-0000-0000-0000439C0000}"/>
    <cellStyle name="표준 5 4 2 2 4 2 2 2 2 2" xfId="30889" xr:uid="{00000000-0005-0000-0000-0000449C0000}"/>
    <cellStyle name="표준 5 4 2 2 4 2 2 2 2 3" xfId="39100" xr:uid="{00000000-0005-0000-0000-0000459C0000}"/>
    <cellStyle name="표준 5 4 2 2 4 2 2 2 2 4" xfId="47293" xr:uid="{00000000-0005-0000-0000-0000469C0000}"/>
    <cellStyle name="표준 5 4 2 2 4 2 2 2 3" xfId="18535" xr:uid="{00000000-0005-0000-0000-0000479C0000}"/>
    <cellStyle name="표준 5 4 2 2 4 2 2 2 4" xfId="22697" xr:uid="{00000000-0005-0000-0000-0000489C0000}"/>
    <cellStyle name="표준 5 4 2 2 4 2 2 2 5" xfId="26793" xr:uid="{00000000-0005-0000-0000-0000499C0000}"/>
    <cellStyle name="표준 5 4 2 2 4 2 2 2 6" xfId="35004" xr:uid="{00000000-0005-0000-0000-00004A9C0000}"/>
    <cellStyle name="표준 5 4 2 2 4 2 2 2 7" xfId="43197" xr:uid="{00000000-0005-0000-0000-00004B9C0000}"/>
    <cellStyle name="표준 5 4 2 2 4 2 2 3" xfId="8135" xr:uid="{00000000-0005-0000-0000-00004C9C0000}"/>
    <cellStyle name="표준 5 4 2 2 4 2 2 3 2" xfId="28841" xr:uid="{00000000-0005-0000-0000-00004D9C0000}"/>
    <cellStyle name="표준 5 4 2 2 4 2 2 3 3" xfId="37052" xr:uid="{00000000-0005-0000-0000-00004E9C0000}"/>
    <cellStyle name="표준 5 4 2 2 4 2 2 3 4" xfId="45245" xr:uid="{00000000-0005-0000-0000-00004F9C0000}"/>
    <cellStyle name="표준 5 4 2 2 4 2 2 4" xfId="12247" xr:uid="{00000000-0005-0000-0000-0000509C0000}"/>
    <cellStyle name="표준 5 4 2 2 4 2 2 5" xfId="16487" xr:uid="{00000000-0005-0000-0000-0000519C0000}"/>
    <cellStyle name="표준 5 4 2 2 4 2 2 6" xfId="20649" xr:uid="{00000000-0005-0000-0000-0000529C0000}"/>
    <cellStyle name="표준 5 4 2 2 4 2 2 7" xfId="24745" xr:uid="{00000000-0005-0000-0000-0000539C0000}"/>
    <cellStyle name="표준 5 4 2 2 4 2 2 8" xfId="32956" xr:uid="{00000000-0005-0000-0000-0000549C0000}"/>
    <cellStyle name="표준 5 4 2 2 4 2 2 9" xfId="41149" xr:uid="{00000000-0005-0000-0000-0000559C0000}"/>
    <cellStyle name="표준 5 4 2 2 4 2 3" xfId="1792" xr:uid="{00000000-0005-0000-0000-0000569C0000}"/>
    <cellStyle name="표준 5 4 2 2 4 2 3 2" xfId="10695" xr:uid="{00000000-0005-0000-0000-0000579C0000}"/>
    <cellStyle name="표준 5 4 2 2 4 2 3 2 2" xfId="14807" xr:uid="{00000000-0005-0000-0000-0000589C0000}"/>
    <cellStyle name="표준 5 4 2 2 4 2 3 2 2 2" xfId="31401" xr:uid="{00000000-0005-0000-0000-0000599C0000}"/>
    <cellStyle name="표준 5 4 2 2 4 2 3 2 2 3" xfId="39612" xr:uid="{00000000-0005-0000-0000-00005A9C0000}"/>
    <cellStyle name="표준 5 4 2 2 4 2 3 2 2 4" xfId="47805" xr:uid="{00000000-0005-0000-0000-00005B9C0000}"/>
    <cellStyle name="표준 5 4 2 2 4 2 3 2 3" xfId="19047" xr:uid="{00000000-0005-0000-0000-00005C9C0000}"/>
    <cellStyle name="표준 5 4 2 2 4 2 3 2 4" xfId="23209" xr:uid="{00000000-0005-0000-0000-00005D9C0000}"/>
    <cellStyle name="표준 5 4 2 2 4 2 3 2 5" xfId="27305" xr:uid="{00000000-0005-0000-0000-00005E9C0000}"/>
    <cellStyle name="표준 5 4 2 2 4 2 3 2 6" xfId="35516" xr:uid="{00000000-0005-0000-0000-00005F9C0000}"/>
    <cellStyle name="표준 5 4 2 2 4 2 3 2 7" xfId="43709" xr:uid="{00000000-0005-0000-0000-0000609C0000}"/>
    <cellStyle name="표준 5 4 2 2 4 2 3 3" xfId="8647" xr:uid="{00000000-0005-0000-0000-0000619C0000}"/>
    <cellStyle name="표준 5 4 2 2 4 2 3 3 2" xfId="29353" xr:uid="{00000000-0005-0000-0000-0000629C0000}"/>
    <cellStyle name="표준 5 4 2 2 4 2 3 3 3" xfId="37564" xr:uid="{00000000-0005-0000-0000-0000639C0000}"/>
    <cellStyle name="표준 5 4 2 2 4 2 3 3 4" xfId="45757" xr:uid="{00000000-0005-0000-0000-0000649C0000}"/>
    <cellStyle name="표준 5 4 2 2 4 2 3 4" xfId="12759" xr:uid="{00000000-0005-0000-0000-0000659C0000}"/>
    <cellStyle name="표준 5 4 2 2 4 2 3 5" xfId="16999" xr:uid="{00000000-0005-0000-0000-0000669C0000}"/>
    <cellStyle name="표준 5 4 2 2 4 2 3 6" xfId="21161" xr:uid="{00000000-0005-0000-0000-0000679C0000}"/>
    <cellStyle name="표준 5 4 2 2 4 2 3 7" xfId="25257" xr:uid="{00000000-0005-0000-0000-0000689C0000}"/>
    <cellStyle name="표준 5 4 2 2 4 2 3 8" xfId="33468" xr:uid="{00000000-0005-0000-0000-0000699C0000}"/>
    <cellStyle name="표준 5 4 2 2 4 2 3 9" xfId="41661" xr:uid="{00000000-0005-0000-0000-00006A9C0000}"/>
    <cellStyle name="표준 5 4 2 2 4 2 4" xfId="2304" xr:uid="{00000000-0005-0000-0000-00006B9C0000}"/>
    <cellStyle name="표준 5 4 2 2 4 2 4 2" xfId="11207" xr:uid="{00000000-0005-0000-0000-00006C9C0000}"/>
    <cellStyle name="표준 5 4 2 2 4 2 4 2 2" xfId="15319" xr:uid="{00000000-0005-0000-0000-00006D9C0000}"/>
    <cellStyle name="표준 5 4 2 2 4 2 4 2 2 2" xfId="31913" xr:uid="{00000000-0005-0000-0000-00006E9C0000}"/>
    <cellStyle name="표준 5 4 2 2 4 2 4 2 2 3" xfId="40124" xr:uid="{00000000-0005-0000-0000-00006F9C0000}"/>
    <cellStyle name="표준 5 4 2 2 4 2 4 2 2 4" xfId="48317" xr:uid="{00000000-0005-0000-0000-0000709C0000}"/>
    <cellStyle name="표준 5 4 2 2 4 2 4 2 3" xfId="19559" xr:uid="{00000000-0005-0000-0000-0000719C0000}"/>
    <cellStyle name="표준 5 4 2 2 4 2 4 2 4" xfId="23721" xr:uid="{00000000-0005-0000-0000-0000729C0000}"/>
    <cellStyle name="표준 5 4 2 2 4 2 4 2 5" xfId="27817" xr:uid="{00000000-0005-0000-0000-0000739C0000}"/>
    <cellStyle name="표준 5 4 2 2 4 2 4 2 6" xfId="36028" xr:uid="{00000000-0005-0000-0000-0000749C0000}"/>
    <cellStyle name="표준 5 4 2 2 4 2 4 2 7" xfId="44221" xr:uid="{00000000-0005-0000-0000-0000759C0000}"/>
    <cellStyle name="표준 5 4 2 2 4 2 4 3" xfId="9159" xr:uid="{00000000-0005-0000-0000-0000769C0000}"/>
    <cellStyle name="표준 5 4 2 2 4 2 4 3 2" xfId="29865" xr:uid="{00000000-0005-0000-0000-0000779C0000}"/>
    <cellStyle name="표준 5 4 2 2 4 2 4 3 3" xfId="38076" xr:uid="{00000000-0005-0000-0000-0000789C0000}"/>
    <cellStyle name="표준 5 4 2 2 4 2 4 3 4" xfId="46269" xr:uid="{00000000-0005-0000-0000-0000799C0000}"/>
    <cellStyle name="표준 5 4 2 2 4 2 4 4" xfId="13271" xr:uid="{00000000-0005-0000-0000-00007A9C0000}"/>
    <cellStyle name="표준 5 4 2 2 4 2 4 5" xfId="17511" xr:uid="{00000000-0005-0000-0000-00007B9C0000}"/>
    <cellStyle name="표준 5 4 2 2 4 2 4 6" xfId="21673" xr:uid="{00000000-0005-0000-0000-00007C9C0000}"/>
    <cellStyle name="표준 5 4 2 2 4 2 4 7" xfId="25769" xr:uid="{00000000-0005-0000-0000-00007D9C0000}"/>
    <cellStyle name="표준 5 4 2 2 4 2 4 8" xfId="33980" xr:uid="{00000000-0005-0000-0000-00007E9C0000}"/>
    <cellStyle name="표준 5 4 2 2 4 2 4 9" xfId="42173" xr:uid="{00000000-0005-0000-0000-00007F9C0000}"/>
    <cellStyle name="표준 5 4 2 2 4 2 5" xfId="9671" xr:uid="{00000000-0005-0000-0000-0000809C0000}"/>
    <cellStyle name="표준 5 4 2 2 4 2 5 2" xfId="13783" xr:uid="{00000000-0005-0000-0000-0000819C0000}"/>
    <cellStyle name="표준 5 4 2 2 4 2 5 2 2" xfId="30377" xr:uid="{00000000-0005-0000-0000-0000829C0000}"/>
    <cellStyle name="표준 5 4 2 2 4 2 5 2 3" xfId="38588" xr:uid="{00000000-0005-0000-0000-0000839C0000}"/>
    <cellStyle name="표준 5 4 2 2 4 2 5 2 4" xfId="46781" xr:uid="{00000000-0005-0000-0000-0000849C0000}"/>
    <cellStyle name="표준 5 4 2 2 4 2 5 3" xfId="18023" xr:uid="{00000000-0005-0000-0000-0000859C0000}"/>
    <cellStyle name="표준 5 4 2 2 4 2 5 4" xfId="22185" xr:uid="{00000000-0005-0000-0000-0000869C0000}"/>
    <cellStyle name="표준 5 4 2 2 4 2 5 5" xfId="26281" xr:uid="{00000000-0005-0000-0000-0000879C0000}"/>
    <cellStyle name="표준 5 4 2 2 4 2 5 6" xfId="34492" xr:uid="{00000000-0005-0000-0000-0000889C0000}"/>
    <cellStyle name="표준 5 4 2 2 4 2 5 7" xfId="42685" xr:uid="{00000000-0005-0000-0000-0000899C0000}"/>
    <cellStyle name="표준 5 4 2 2 4 2 6" xfId="7623" xr:uid="{00000000-0005-0000-0000-00008A9C0000}"/>
    <cellStyle name="표준 5 4 2 2 4 2 6 2" xfId="28329" xr:uid="{00000000-0005-0000-0000-00008B9C0000}"/>
    <cellStyle name="표준 5 4 2 2 4 2 6 3" xfId="36540" xr:uid="{00000000-0005-0000-0000-00008C9C0000}"/>
    <cellStyle name="표준 5 4 2 2 4 2 6 4" xfId="44733" xr:uid="{00000000-0005-0000-0000-00008D9C0000}"/>
    <cellStyle name="표준 5 4 2 2 4 2 7" xfId="11735" xr:uid="{00000000-0005-0000-0000-00008E9C0000}"/>
    <cellStyle name="표준 5 4 2 2 4 2 8" xfId="15975" xr:uid="{00000000-0005-0000-0000-00008F9C0000}"/>
    <cellStyle name="표준 5 4 2 2 4 2 9" xfId="20137" xr:uid="{00000000-0005-0000-0000-0000909C0000}"/>
    <cellStyle name="표준 5 4 2 2 4 3" xfId="1024" xr:uid="{00000000-0005-0000-0000-0000919C0000}"/>
    <cellStyle name="표준 5 4 2 2 4 3 2" xfId="9927" xr:uid="{00000000-0005-0000-0000-0000929C0000}"/>
    <cellStyle name="표준 5 4 2 2 4 3 2 2" xfId="14039" xr:uid="{00000000-0005-0000-0000-0000939C0000}"/>
    <cellStyle name="표준 5 4 2 2 4 3 2 2 2" xfId="30633" xr:uid="{00000000-0005-0000-0000-0000949C0000}"/>
    <cellStyle name="표준 5 4 2 2 4 3 2 2 3" xfId="38844" xr:uid="{00000000-0005-0000-0000-0000959C0000}"/>
    <cellStyle name="표준 5 4 2 2 4 3 2 2 4" xfId="47037" xr:uid="{00000000-0005-0000-0000-0000969C0000}"/>
    <cellStyle name="표준 5 4 2 2 4 3 2 3" xfId="18279" xr:uid="{00000000-0005-0000-0000-0000979C0000}"/>
    <cellStyle name="표준 5 4 2 2 4 3 2 4" xfId="22441" xr:uid="{00000000-0005-0000-0000-0000989C0000}"/>
    <cellStyle name="표준 5 4 2 2 4 3 2 5" xfId="26537" xr:uid="{00000000-0005-0000-0000-0000999C0000}"/>
    <cellStyle name="표준 5 4 2 2 4 3 2 6" xfId="34748" xr:uid="{00000000-0005-0000-0000-00009A9C0000}"/>
    <cellStyle name="표준 5 4 2 2 4 3 2 7" xfId="42941" xr:uid="{00000000-0005-0000-0000-00009B9C0000}"/>
    <cellStyle name="표준 5 4 2 2 4 3 3" xfId="7879" xr:uid="{00000000-0005-0000-0000-00009C9C0000}"/>
    <cellStyle name="표준 5 4 2 2 4 3 3 2" xfId="28585" xr:uid="{00000000-0005-0000-0000-00009D9C0000}"/>
    <cellStyle name="표준 5 4 2 2 4 3 3 3" xfId="36796" xr:uid="{00000000-0005-0000-0000-00009E9C0000}"/>
    <cellStyle name="표준 5 4 2 2 4 3 3 4" xfId="44989" xr:uid="{00000000-0005-0000-0000-00009F9C0000}"/>
    <cellStyle name="표준 5 4 2 2 4 3 4" xfId="11991" xr:uid="{00000000-0005-0000-0000-0000A09C0000}"/>
    <cellStyle name="표준 5 4 2 2 4 3 5" xfId="16231" xr:uid="{00000000-0005-0000-0000-0000A19C0000}"/>
    <cellStyle name="표준 5 4 2 2 4 3 6" xfId="20393" xr:uid="{00000000-0005-0000-0000-0000A29C0000}"/>
    <cellStyle name="표준 5 4 2 2 4 3 7" xfId="24489" xr:uid="{00000000-0005-0000-0000-0000A39C0000}"/>
    <cellStyle name="표준 5 4 2 2 4 3 8" xfId="32700" xr:uid="{00000000-0005-0000-0000-0000A49C0000}"/>
    <cellStyle name="표준 5 4 2 2 4 3 9" xfId="40893" xr:uid="{00000000-0005-0000-0000-0000A59C0000}"/>
    <cellStyle name="표준 5 4 2 2 4 4" xfId="1536" xr:uid="{00000000-0005-0000-0000-0000A69C0000}"/>
    <cellStyle name="표준 5 4 2 2 4 4 2" xfId="10439" xr:uid="{00000000-0005-0000-0000-0000A79C0000}"/>
    <cellStyle name="표준 5 4 2 2 4 4 2 2" xfId="14551" xr:uid="{00000000-0005-0000-0000-0000A89C0000}"/>
    <cellStyle name="표준 5 4 2 2 4 4 2 2 2" xfId="31145" xr:uid="{00000000-0005-0000-0000-0000A99C0000}"/>
    <cellStyle name="표준 5 4 2 2 4 4 2 2 3" xfId="39356" xr:uid="{00000000-0005-0000-0000-0000AA9C0000}"/>
    <cellStyle name="표준 5 4 2 2 4 4 2 2 4" xfId="47549" xr:uid="{00000000-0005-0000-0000-0000AB9C0000}"/>
    <cellStyle name="표준 5 4 2 2 4 4 2 3" xfId="18791" xr:uid="{00000000-0005-0000-0000-0000AC9C0000}"/>
    <cellStyle name="표준 5 4 2 2 4 4 2 4" xfId="22953" xr:uid="{00000000-0005-0000-0000-0000AD9C0000}"/>
    <cellStyle name="표준 5 4 2 2 4 4 2 5" xfId="27049" xr:uid="{00000000-0005-0000-0000-0000AE9C0000}"/>
    <cellStyle name="표준 5 4 2 2 4 4 2 6" xfId="35260" xr:uid="{00000000-0005-0000-0000-0000AF9C0000}"/>
    <cellStyle name="표준 5 4 2 2 4 4 2 7" xfId="43453" xr:uid="{00000000-0005-0000-0000-0000B09C0000}"/>
    <cellStyle name="표준 5 4 2 2 4 4 3" xfId="8391" xr:uid="{00000000-0005-0000-0000-0000B19C0000}"/>
    <cellStyle name="표준 5 4 2 2 4 4 3 2" xfId="29097" xr:uid="{00000000-0005-0000-0000-0000B29C0000}"/>
    <cellStyle name="표준 5 4 2 2 4 4 3 3" xfId="37308" xr:uid="{00000000-0005-0000-0000-0000B39C0000}"/>
    <cellStyle name="표준 5 4 2 2 4 4 3 4" xfId="45501" xr:uid="{00000000-0005-0000-0000-0000B49C0000}"/>
    <cellStyle name="표준 5 4 2 2 4 4 4" xfId="12503" xr:uid="{00000000-0005-0000-0000-0000B59C0000}"/>
    <cellStyle name="표준 5 4 2 2 4 4 5" xfId="16743" xr:uid="{00000000-0005-0000-0000-0000B69C0000}"/>
    <cellStyle name="표준 5 4 2 2 4 4 6" xfId="20905" xr:uid="{00000000-0005-0000-0000-0000B79C0000}"/>
    <cellStyle name="표준 5 4 2 2 4 4 7" xfId="25001" xr:uid="{00000000-0005-0000-0000-0000B89C0000}"/>
    <cellStyle name="표준 5 4 2 2 4 4 8" xfId="33212" xr:uid="{00000000-0005-0000-0000-0000B99C0000}"/>
    <cellStyle name="표준 5 4 2 2 4 4 9" xfId="41405" xr:uid="{00000000-0005-0000-0000-0000BA9C0000}"/>
    <cellStyle name="표준 5 4 2 2 4 5" xfId="2048" xr:uid="{00000000-0005-0000-0000-0000BB9C0000}"/>
    <cellStyle name="표준 5 4 2 2 4 5 2" xfId="10951" xr:uid="{00000000-0005-0000-0000-0000BC9C0000}"/>
    <cellStyle name="표준 5 4 2 2 4 5 2 2" xfId="15063" xr:uid="{00000000-0005-0000-0000-0000BD9C0000}"/>
    <cellStyle name="표준 5 4 2 2 4 5 2 2 2" xfId="31657" xr:uid="{00000000-0005-0000-0000-0000BE9C0000}"/>
    <cellStyle name="표준 5 4 2 2 4 5 2 2 3" xfId="39868" xr:uid="{00000000-0005-0000-0000-0000BF9C0000}"/>
    <cellStyle name="표준 5 4 2 2 4 5 2 2 4" xfId="48061" xr:uid="{00000000-0005-0000-0000-0000C09C0000}"/>
    <cellStyle name="표준 5 4 2 2 4 5 2 3" xfId="19303" xr:uid="{00000000-0005-0000-0000-0000C19C0000}"/>
    <cellStyle name="표준 5 4 2 2 4 5 2 4" xfId="23465" xr:uid="{00000000-0005-0000-0000-0000C29C0000}"/>
    <cellStyle name="표준 5 4 2 2 4 5 2 5" xfId="27561" xr:uid="{00000000-0005-0000-0000-0000C39C0000}"/>
    <cellStyle name="표준 5 4 2 2 4 5 2 6" xfId="35772" xr:uid="{00000000-0005-0000-0000-0000C49C0000}"/>
    <cellStyle name="표준 5 4 2 2 4 5 2 7" xfId="43965" xr:uid="{00000000-0005-0000-0000-0000C59C0000}"/>
    <cellStyle name="표준 5 4 2 2 4 5 3" xfId="8903" xr:uid="{00000000-0005-0000-0000-0000C69C0000}"/>
    <cellStyle name="표준 5 4 2 2 4 5 3 2" xfId="29609" xr:uid="{00000000-0005-0000-0000-0000C79C0000}"/>
    <cellStyle name="표준 5 4 2 2 4 5 3 3" xfId="37820" xr:uid="{00000000-0005-0000-0000-0000C89C0000}"/>
    <cellStyle name="표준 5 4 2 2 4 5 3 4" xfId="46013" xr:uid="{00000000-0005-0000-0000-0000C99C0000}"/>
    <cellStyle name="표준 5 4 2 2 4 5 4" xfId="13015" xr:uid="{00000000-0005-0000-0000-0000CA9C0000}"/>
    <cellStyle name="표준 5 4 2 2 4 5 5" xfId="17255" xr:uid="{00000000-0005-0000-0000-0000CB9C0000}"/>
    <cellStyle name="표준 5 4 2 2 4 5 6" xfId="21417" xr:uid="{00000000-0005-0000-0000-0000CC9C0000}"/>
    <cellStyle name="표준 5 4 2 2 4 5 7" xfId="25513" xr:uid="{00000000-0005-0000-0000-0000CD9C0000}"/>
    <cellStyle name="표준 5 4 2 2 4 5 8" xfId="33724" xr:uid="{00000000-0005-0000-0000-0000CE9C0000}"/>
    <cellStyle name="표준 5 4 2 2 4 5 9" xfId="41917" xr:uid="{00000000-0005-0000-0000-0000CF9C0000}"/>
    <cellStyle name="표준 5 4 2 2 4 6" xfId="9415" xr:uid="{00000000-0005-0000-0000-0000D09C0000}"/>
    <cellStyle name="표준 5 4 2 2 4 6 2" xfId="13527" xr:uid="{00000000-0005-0000-0000-0000D19C0000}"/>
    <cellStyle name="표준 5 4 2 2 4 6 2 2" xfId="30121" xr:uid="{00000000-0005-0000-0000-0000D29C0000}"/>
    <cellStyle name="표준 5 4 2 2 4 6 2 3" xfId="38332" xr:uid="{00000000-0005-0000-0000-0000D39C0000}"/>
    <cellStyle name="표준 5 4 2 2 4 6 2 4" xfId="46525" xr:uid="{00000000-0005-0000-0000-0000D49C0000}"/>
    <cellStyle name="표준 5 4 2 2 4 6 3" xfId="17767" xr:uid="{00000000-0005-0000-0000-0000D59C0000}"/>
    <cellStyle name="표준 5 4 2 2 4 6 4" xfId="21929" xr:uid="{00000000-0005-0000-0000-0000D69C0000}"/>
    <cellStyle name="표준 5 4 2 2 4 6 5" xfId="26025" xr:uid="{00000000-0005-0000-0000-0000D79C0000}"/>
    <cellStyle name="표준 5 4 2 2 4 6 6" xfId="34236" xr:uid="{00000000-0005-0000-0000-0000D89C0000}"/>
    <cellStyle name="표준 5 4 2 2 4 6 7" xfId="42429" xr:uid="{00000000-0005-0000-0000-0000D99C0000}"/>
    <cellStyle name="표준 5 4 2 2 4 7" xfId="7367" xr:uid="{00000000-0005-0000-0000-0000DA9C0000}"/>
    <cellStyle name="표준 5 4 2 2 4 7 2" xfId="28073" xr:uid="{00000000-0005-0000-0000-0000DB9C0000}"/>
    <cellStyle name="표준 5 4 2 2 4 7 3" xfId="36284" xr:uid="{00000000-0005-0000-0000-0000DC9C0000}"/>
    <cellStyle name="표준 5 4 2 2 4 7 4" xfId="44477" xr:uid="{00000000-0005-0000-0000-0000DD9C0000}"/>
    <cellStyle name="표준 5 4 2 2 4 8" xfId="11479" xr:uid="{00000000-0005-0000-0000-0000DE9C0000}"/>
    <cellStyle name="표준 5 4 2 2 4 9" xfId="15719" xr:uid="{00000000-0005-0000-0000-0000DF9C0000}"/>
    <cellStyle name="표준 5 4 2 2 5" xfId="640" xr:uid="{00000000-0005-0000-0000-0000E09C0000}"/>
    <cellStyle name="표준 5 4 2 2 5 10" xfId="24105" xr:uid="{00000000-0005-0000-0000-0000E19C0000}"/>
    <cellStyle name="표준 5 4 2 2 5 11" xfId="32316" xr:uid="{00000000-0005-0000-0000-0000E29C0000}"/>
    <cellStyle name="표준 5 4 2 2 5 12" xfId="40509" xr:uid="{00000000-0005-0000-0000-0000E39C0000}"/>
    <cellStyle name="표준 5 4 2 2 5 2" xfId="1152" xr:uid="{00000000-0005-0000-0000-0000E49C0000}"/>
    <cellStyle name="표준 5 4 2 2 5 2 2" xfId="10055" xr:uid="{00000000-0005-0000-0000-0000E59C0000}"/>
    <cellStyle name="표준 5 4 2 2 5 2 2 2" xfId="14167" xr:uid="{00000000-0005-0000-0000-0000E69C0000}"/>
    <cellStyle name="표준 5 4 2 2 5 2 2 2 2" xfId="30761" xr:uid="{00000000-0005-0000-0000-0000E79C0000}"/>
    <cellStyle name="표준 5 4 2 2 5 2 2 2 3" xfId="38972" xr:uid="{00000000-0005-0000-0000-0000E89C0000}"/>
    <cellStyle name="표준 5 4 2 2 5 2 2 2 4" xfId="47165" xr:uid="{00000000-0005-0000-0000-0000E99C0000}"/>
    <cellStyle name="표준 5 4 2 2 5 2 2 3" xfId="18407" xr:uid="{00000000-0005-0000-0000-0000EA9C0000}"/>
    <cellStyle name="표준 5 4 2 2 5 2 2 4" xfId="22569" xr:uid="{00000000-0005-0000-0000-0000EB9C0000}"/>
    <cellStyle name="표준 5 4 2 2 5 2 2 5" xfId="26665" xr:uid="{00000000-0005-0000-0000-0000EC9C0000}"/>
    <cellStyle name="표준 5 4 2 2 5 2 2 6" xfId="34876" xr:uid="{00000000-0005-0000-0000-0000ED9C0000}"/>
    <cellStyle name="표준 5 4 2 2 5 2 2 7" xfId="43069" xr:uid="{00000000-0005-0000-0000-0000EE9C0000}"/>
    <cellStyle name="표준 5 4 2 2 5 2 3" xfId="8007" xr:uid="{00000000-0005-0000-0000-0000EF9C0000}"/>
    <cellStyle name="표준 5 4 2 2 5 2 3 2" xfId="28713" xr:uid="{00000000-0005-0000-0000-0000F09C0000}"/>
    <cellStyle name="표준 5 4 2 2 5 2 3 3" xfId="36924" xr:uid="{00000000-0005-0000-0000-0000F19C0000}"/>
    <cellStyle name="표준 5 4 2 2 5 2 3 4" xfId="45117" xr:uid="{00000000-0005-0000-0000-0000F29C0000}"/>
    <cellStyle name="표준 5 4 2 2 5 2 4" xfId="12119" xr:uid="{00000000-0005-0000-0000-0000F39C0000}"/>
    <cellStyle name="표준 5 4 2 2 5 2 5" xfId="16359" xr:uid="{00000000-0005-0000-0000-0000F49C0000}"/>
    <cellStyle name="표준 5 4 2 2 5 2 6" xfId="20521" xr:uid="{00000000-0005-0000-0000-0000F59C0000}"/>
    <cellStyle name="표준 5 4 2 2 5 2 7" xfId="24617" xr:uid="{00000000-0005-0000-0000-0000F69C0000}"/>
    <cellStyle name="표준 5 4 2 2 5 2 8" xfId="32828" xr:uid="{00000000-0005-0000-0000-0000F79C0000}"/>
    <cellStyle name="표준 5 4 2 2 5 2 9" xfId="41021" xr:uid="{00000000-0005-0000-0000-0000F89C0000}"/>
    <cellStyle name="표준 5 4 2 2 5 3" xfId="1664" xr:uid="{00000000-0005-0000-0000-0000F99C0000}"/>
    <cellStyle name="표준 5 4 2 2 5 3 2" xfId="10567" xr:uid="{00000000-0005-0000-0000-0000FA9C0000}"/>
    <cellStyle name="표준 5 4 2 2 5 3 2 2" xfId="14679" xr:uid="{00000000-0005-0000-0000-0000FB9C0000}"/>
    <cellStyle name="표준 5 4 2 2 5 3 2 2 2" xfId="31273" xr:uid="{00000000-0005-0000-0000-0000FC9C0000}"/>
    <cellStyle name="표준 5 4 2 2 5 3 2 2 3" xfId="39484" xr:uid="{00000000-0005-0000-0000-0000FD9C0000}"/>
    <cellStyle name="표준 5 4 2 2 5 3 2 2 4" xfId="47677" xr:uid="{00000000-0005-0000-0000-0000FE9C0000}"/>
    <cellStyle name="표준 5 4 2 2 5 3 2 3" xfId="18919" xr:uid="{00000000-0005-0000-0000-0000FF9C0000}"/>
    <cellStyle name="표준 5 4 2 2 5 3 2 4" xfId="23081" xr:uid="{00000000-0005-0000-0000-0000009D0000}"/>
    <cellStyle name="표준 5 4 2 2 5 3 2 5" xfId="27177" xr:uid="{00000000-0005-0000-0000-0000019D0000}"/>
    <cellStyle name="표준 5 4 2 2 5 3 2 6" xfId="35388" xr:uid="{00000000-0005-0000-0000-0000029D0000}"/>
    <cellStyle name="표준 5 4 2 2 5 3 2 7" xfId="43581" xr:uid="{00000000-0005-0000-0000-0000039D0000}"/>
    <cellStyle name="표준 5 4 2 2 5 3 3" xfId="8519" xr:uid="{00000000-0005-0000-0000-0000049D0000}"/>
    <cellStyle name="표준 5 4 2 2 5 3 3 2" xfId="29225" xr:uid="{00000000-0005-0000-0000-0000059D0000}"/>
    <cellStyle name="표준 5 4 2 2 5 3 3 3" xfId="37436" xr:uid="{00000000-0005-0000-0000-0000069D0000}"/>
    <cellStyle name="표준 5 4 2 2 5 3 3 4" xfId="45629" xr:uid="{00000000-0005-0000-0000-0000079D0000}"/>
    <cellStyle name="표준 5 4 2 2 5 3 4" xfId="12631" xr:uid="{00000000-0005-0000-0000-0000089D0000}"/>
    <cellStyle name="표준 5 4 2 2 5 3 5" xfId="16871" xr:uid="{00000000-0005-0000-0000-0000099D0000}"/>
    <cellStyle name="표준 5 4 2 2 5 3 6" xfId="21033" xr:uid="{00000000-0005-0000-0000-00000A9D0000}"/>
    <cellStyle name="표준 5 4 2 2 5 3 7" xfId="25129" xr:uid="{00000000-0005-0000-0000-00000B9D0000}"/>
    <cellStyle name="표준 5 4 2 2 5 3 8" xfId="33340" xr:uid="{00000000-0005-0000-0000-00000C9D0000}"/>
    <cellStyle name="표준 5 4 2 2 5 3 9" xfId="41533" xr:uid="{00000000-0005-0000-0000-00000D9D0000}"/>
    <cellStyle name="표준 5 4 2 2 5 4" xfId="2176" xr:uid="{00000000-0005-0000-0000-00000E9D0000}"/>
    <cellStyle name="표준 5 4 2 2 5 4 2" xfId="11079" xr:uid="{00000000-0005-0000-0000-00000F9D0000}"/>
    <cellStyle name="표준 5 4 2 2 5 4 2 2" xfId="15191" xr:uid="{00000000-0005-0000-0000-0000109D0000}"/>
    <cellStyle name="표준 5 4 2 2 5 4 2 2 2" xfId="31785" xr:uid="{00000000-0005-0000-0000-0000119D0000}"/>
    <cellStyle name="표준 5 4 2 2 5 4 2 2 3" xfId="39996" xr:uid="{00000000-0005-0000-0000-0000129D0000}"/>
    <cellStyle name="표준 5 4 2 2 5 4 2 2 4" xfId="48189" xr:uid="{00000000-0005-0000-0000-0000139D0000}"/>
    <cellStyle name="표준 5 4 2 2 5 4 2 3" xfId="19431" xr:uid="{00000000-0005-0000-0000-0000149D0000}"/>
    <cellStyle name="표준 5 4 2 2 5 4 2 4" xfId="23593" xr:uid="{00000000-0005-0000-0000-0000159D0000}"/>
    <cellStyle name="표준 5 4 2 2 5 4 2 5" xfId="27689" xr:uid="{00000000-0005-0000-0000-0000169D0000}"/>
    <cellStyle name="표준 5 4 2 2 5 4 2 6" xfId="35900" xr:uid="{00000000-0005-0000-0000-0000179D0000}"/>
    <cellStyle name="표준 5 4 2 2 5 4 2 7" xfId="44093" xr:uid="{00000000-0005-0000-0000-0000189D0000}"/>
    <cellStyle name="표준 5 4 2 2 5 4 3" xfId="9031" xr:uid="{00000000-0005-0000-0000-0000199D0000}"/>
    <cellStyle name="표준 5 4 2 2 5 4 3 2" xfId="29737" xr:uid="{00000000-0005-0000-0000-00001A9D0000}"/>
    <cellStyle name="표준 5 4 2 2 5 4 3 3" xfId="37948" xr:uid="{00000000-0005-0000-0000-00001B9D0000}"/>
    <cellStyle name="표준 5 4 2 2 5 4 3 4" xfId="46141" xr:uid="{00000000-0005-0000-0000-00001C9D0000}"/>
    <cellStyle name="표준 5 4 2 2 5 4 4" xfId="13143" xr:uid="{00000000-0005-0000-0000-00001D9D0000}"/>
    <cellStyle name="표준 5 4 2 2 5 4 5" xfId="17383" xr:uid="{00000000-0005-0000-0000-00001E9D0000}"/>
    <cellStyle name="표준 5 4 2 2 5 4 6" xfId="21545" xr:uid="{00000000-0005-0000-0000-00001F9D0000}"/>
    <cellStyle name="표준 5 4 2 2 5 4 7" xfId="25641" xr:uid="{00000000-0005-0000-0000-0000209D0000}"/>
    <cellStyle name="표준 5 4 2 2 5 4 8" xfId="33852" xr:uid="{00000000-0005-0000-0000-0000219D0000}"/>
    <cellStyle name="표준 5 4 2 2 5 4 9" xfId="42045" xr:uid="{00000000-0005-0000-0000-0000229D0000}"/>
    <cellStyle name="표준 5 4 2 2 5 5" xfId="9543" xr:uid="{00000000-0005-0000-0000-0000239D0000}"/>
    <cellStyle name="표준 5 4 2 2 5 5 2" xfId="13655" xr:uid="{00000000-0005-0000-0000-0000249D0000}"/>
    <cellStyle name="표준 5 4 2 2 5 5 2 2" xfId="30249" xr:uid="{00000000-0005-0000-0000-0000259D0000}"/>
    <cellStyle name="표준 5 4 2 2 5 5 2 3" xfId="38460" xr:uid="{00000000-0005-0000-0000-0000269D0000}"/>
    <cellStyle name="표준 5 4 2 2 5 5 2 4" xfId="46653" xr:uid="{00000000-0005-0000-0000-0000279D0000}"/>
    <cellStyle name="표준 5 4 2 2 5 5 3" xfId="17895" xr:uid="{00000000-0005-0000-0000-0000289D0000}"/>
    <cellStyle name="표준 5 4 2 2 5 5 4" xfId="22057" xr:uid="{00000000-0005-0000-0000-0000299D0000}"/>
    <cellStyle name="표준 5 4 2 2 5 5 5" xfId="26153" xr:uid="{00000000-0005-0000-0000-00002A9D0000}"/>
    <cellStyle name="표준 5 4 2 2 5 5 6" xfId="34364" xr:uid="{00000000-0005-0000-0000-00002B9D0000}"/>
    <cellStyle name="표준 5 4 2 2 5 5 7" xfId="42557" xr:uid="{00000000-0005-0000-0000-00002C9D0000}"/>
    <cellStyle name="표준 5 4 2 2 5 6" xfId="7495" xr:uid="{00000000-0005-0000-0000-00002D9D0000}"/>
    <cellStyle name="표준 5 4 2 2 5 6 2" xfId="28201" xr:uid="{00000000-0005-0000-0000-00002E9D0000}"/>
    <cellStyle name="표준 5 4 2 2 5 6 3" xfId="36412" xr:uid="{00000000-0005-0000-0000-00002F9D0000}"/>
    <cellStyle name="표준 5 4 2 2 5 6 4" xfId="44605" xr:uid="{00000000-0005-0000-0000-0000309D0000}"/>
    <cellStyle name="표준 5 4 2 2 5 7" xfId="11607" xr:uid="{00000000-0005-0000-0000-0000319D0000}"/>
    <cellStyle name="표준 5 4 2 2 5 8" xfId="15847" xr:uid="{00000000-0005-0000-0000-0000329D0000}"/>
    <cellStyle name="표준 5 4 2 2 5 9" xfId="20009" xr:uid="{00000000-0005-0000-0000-0000339D0000}"/>
    <cellStyle name="표준 5 4 2 2 6" xfId="896" xr:uid="{00000000-0005-0000-0000-0000349D0000}"/>
    <cellStyle name="표준 5 4 2 2 6 2" xfId="9799" xr:uid="{00000000-0005-0000-0000-0000359D0000}"/>
    <cellStyle name="표준 5 4 2 2 6 2 2" xfId="13911" xr:uid="{00000000-0005-0000-0000-0000369D0000}"/>
    <cellStyle name="표준 5 4 2 2 6 2 2 2" xfId="30505" xr:uid="{00000000-0005-0000-0000-0000379D0000}"/>
    <cellStyle name="표준 5 4 2 2 6 2 2 3" xfId="38716" xr:uid="{00000000-0005-0000-0000-0000389D0000}"/>
    <cellStyle name="표준 5 4 2 2 6 2 2 4" xfId="46909" xr:uid="{00000000-0005-0000-0000-0000399D0000}"/>
    <cellStyle name="표준 5 4 2 2 6 2 3" xfId="18151" xr:uid="{00000000-0005-0000-0000-00003A9D0000}"/>
    <cellStyle name="표준 5 4 2 2 6 2 4" xfId="22313" xr:uid="{00000000-0005-0000-0000-00003B9D0000}"/>
    <cellStyle name="표준 5 4 2 2 6 2 5" xfId="26409" xr:uid="{00000000-0005-0000-0000-00003C9D0000}"/>
    <cellStyle name="표준 5 4 2 2 6 2 6" xfId="34620" xr:uid="{00000000-0005-0000-0000-00003D9D0000}"/>
    <cellStyle name="표준 5 4 2 2 6 2 7" xfId="42813" xr:uid="{00000000-0005-0000-0000-00003E9D0000}"/>
    <cellStyle name="표준 5 4 2 2 6 3" xfId="7751" xr:uid="{00000000-0005-0000-0000-00003F9D0000}"/>
    <cellStyle name="표준 5 4 2 2 6 3 2" xfId="28457" xr:uid="{00000000-0005-0000-0000-0000409D0000}"/>
    <cellStyle name="표준 5 4 2 2 6 3 3" xfId="36668" xr:uid="{00000000-0005-0000-0000-0000419D0000}"/>
    <cellStyle name="표준 5 4 2 2 6 3 4" xfId="44861" xr:uid="{00000000-0005-0000-0000-0000429D0000}"/>
    <cellStyle name="표준 5 4 2 2 6 4" xfId="11863" xr:uid="{00000000-0005-0000-0000-0000439D0000}"/>
    <cellStyle name="표준 5 4 2 2 6 5" xfId="16103" xr:uid="{00000000-0005-0000-0000-0000449D0000}"/>
    <cellStyle name="표준 5 4 2 2 6 6" xfId="20265" xr:uid="{00000000-0005-0000-0000-0000459D0000}"/>
    <cellStyle name="표준 5 4 2 2 6 7" xfId="24361" xr:uid="{00000000-0005-0000-0000-0000469D0000}"/>
    <cellStyle name="표준 5 4 2 2 6 8" xfId="32572" xr:uid="{00000000-0005-0000-0000-0000479D0000}"/>
    <cellStyle name="표준 5 4 2 2 6 9" xfId="40765" xr:uid="{00000000-0005-0000-0000-0000489D0000}"/>
    <cellStyle name="표준 5 4 2 2 7" xfId="1408" xr:uid="{00000000-0005-0000-0000-0000499D0000}"/>
    <cellStyle name="표준 5 4 2 2 7 2" xfId="10311" xr:uid="{00000000-0005-0000-0000-00004A9D0000}"/>
    <cellStyle name="표준 5 4 2 2 7 2 2" xfId="14423" xr:uid="{00000000-0005-0000-0000-00004B9D0000}"/>
    <cellStyle name="표준 5 4 2 2 7 2 2 2" xfId="31017" xr:uid="{00000000-0005-0000-0000-00004C9D0000}"/>
    <cellStyle name="표준 5 4 2 2 7 2 2 3" xfId="39228" xr:uid="{00000000-0005-0000-0000-00004D9D0000}"/>
    <cellStyle name="표준 5 4 2 2 7 2 2 4" xfId="47421" xr:uid="{00000000-0005-0000-0000-00004E9D0000}"/>
    <cellStyle name="표준 5 4 2 2 7 2 3" xfId="18663" xr:uid="{00000000-0005-0000-0000-00004F9D0000}"/>
    <cellStyle name="표준 5 4 2 2 7 2 4" xfId="22825" xr:uid="{00000000-0005-0000-0000-0000509D0000}"/>
    <cellStyle name="표준 5 4 2 2 7 2 5" xfId="26921" xr:uid="{00000000-0005-0000-0000-0000519D0000}"/>
    <cellStyle name="표준 5 4 2 2 7 2 6" xfId="35132" xr:uid="{00000000-0005-0000-0000-0000529D0000}"/>
    <cellStyle name="표준 5 4 2 2 7 2 7" xfId="43325" xr:uid="{00000000-0005-0000-0000-0000539D0000}"/>
    <cellStyle name="표준 5 4 2 2 7 3" xfId="8263" xr:uid="{00000000-0005-0000-0000-0000549D0000}"/>
    <cellStyle name="표준 5 4 2 2 7 3 2" xfId="28969" xr:uid="{00000000-0005-0000-0000-0000559D0000}"/>
    <cellStyle name="표준 5 4 2 2 7 3 3" xfId="37180" xr:uid="{00000000-0005-0000-0000-0000569D0000}"/>
    <cellStyle name="표준 5 4 2 2 7 3 4" xfId="45373" xr:uid="{00000000-0005-0000-0000-0000579D0000}"/>
    <cellStyle name="표준 5 4 2 2 7 4" xfId="12375" xr:uid="{00000000-0005-0000-0000-0000589D0000}"/>
    <cellStyle name="표준 5 4 2 2 7 5" xfId="16615" xr:uid="{00000000-0005-0000-0000-0000599D0000}"/>
    <cellStyle name="표준 5 4 2 2 7 6" xfId="20777" xr:uid="{00000000-0005-0000-0000-00005A9D0000}"/>
    <cellStyle name="표준 5 4 2 2 7 7" xfId="24873" xr:uid="{00000000-0005-0000-0000-00005B9D0000}"/>
    <cellStyle name="표준 5 4 2 2 7 8" xfId="33084" xr:uid="{00000000-0005-0000-0000-00005C9D0000}"/>
    <cellStyle name="표준 5 4 2 2 7 9" xfId="41277" xr:uid="{00000000-0005-0000-0000-00005D9D0000}"/>
    <cellStyle name="표준 5 4 2 2 8" xfId="1920" xr:uid="{00000000-0005-0000-0000-00005E9D0000}"/>
    <cellStyle name="표준 5 4 2 2 8 2" xfId="10823" xr:uid="{00000000-0005-0000-0000-00005F9D0000}"/>
    <cellStyle name="표준 5 4 2 2 8 2 2" xfId="14935" xr:uid="{00000000-0005-0000-0000-0000609D0000}"/>
    <cellStyle name="표준 5 4 2 2 8 2 2 2" xfId="31529" xr:uid="{00000000-0005-0000-0000-0000619D0000}"/>
    <cellStyle name="표준 5 4 2 2 8 2 2 3" xfId="39740" xr:uid="{00000000-0005-0000-0000-0000629D0000}"/>
    <cellStyle name="표준 5 4 2 2 8 2 2 4" xfId="47933" xr:uid="{00000000-0005-0000-0000-0000639D0000}"/>
    <cellStyle name="표준 5 4 2 2 8 2 3" xfId="19175" xr:uid="{00000000-0005-0000-0000-0000649D0000}"/>
    <cellStyle name="표준 5 4 2 2 8 2 4" xfId="23337" xr:uid="{00000000-0005-0000-0000-0000659D0000}"/>
    <cellStyle name="표준 5 4 2 2 8 2 5" xfId="27433" xr:uid="{00000000-0005-0000-0000-0000669D0000}"/>
    <cellStyle name="표준 5 4 2 2 8 2 6" xfId="35644" xr:uid="{00000000-0005-0000-0000-0000679D0000}"/>
    <cellStyle name="표준 5 4 2 2 8 2 7" xfId="43837" xr:uid="{00000000-0005-0000-0000-0000689D0000}"/>
    <cellStyle name="표준 5 4 2 2 8 3" xfId="8775" xr:uid="{00000000-0005-0000-0000-0000699D0000}"/>
    <cellStyle name="표준 5 4 2 2 8 3 2" xfId="29481" xr:uid="{00000000-0005-0000-0000-00006A9D0000}"/>
    <cellStyle name="표준 5 4 2 2 8 3 3" xfId="37692" xr:uid="{00000000-0005-0000-0000-00006B9D0000}"/>
    <cellStyle name="표준 5 4 2 2 8 3 4" xfId="45885" xr:uid="{00000000-0005-0000-0000-00006C9D0000}"/>
    <cellStyle name="표준 5 4 2 2 8 4" xfId="12887" xr:uid="{00000000-0005-0000-0000-00006D9D0000}"/>
    <cellStyle name="표준 5 4 2 2 8 5" xfId="17127" xr:uid="{00000000-0005-0000-0000-00006E9D0000}"/>
    <cellStyle name="표준 5 4 2 2 8 6" xfId="21289" xr:uid="{00000000-0005-0000-0000-00006F9D0000}"/>
    <cellStyle name="표준 5 4 2 2 8 7" xfId="25385" xr:uid="{00000000-0005-0000-0000-0000709D0000}"/>
    <cellStyle name="표준 5 4 2 2 8 8" xfId="33596" xr:uid="{00000000-0005-0000-0000-0000719D0000}"/>
    <cellStyle name="표준 5 4 2 2 8 9" xfId="41789" xr:uid="{00000000-0005-0000-0000-0000729D0000}"/>
    <cellStyle name="표준 5 4 2 2 9" xfId="6976" xr:uid="{00000000-0005-0000-0000-0000739D0000}"/>
    <cellStyle name="표준 5 4 2 2 9 2" xfId="9287" xr:uid="{00000000-0005-0000-0000-0000749D0000}"/>
    <cellStyle name="표준 5 4 2 2 9 2 2" xfId="29993" xr:uid="{00000000-0005-0000-0000-0000759D0000}"/>
    <cellStyle name="표준 5 4 2 2 9 2 3" xfId="38204" xr:uid="{00000000-0005-0000-0000-0000769D0000}"/>
    <cellStyle name="표준 5 4 2 2 9 2 4" xfId="46397" xr:uid="{00000000-0005-0000-0000-0000779D0000}"/>
    <cellStyle name="표준 5 4 2 2 9 3" xfId="13399" xr:uid="{00000000-0005-0000-0000-0000789D0000}"/>
    <cellStyle name="표준 5 4 2 2 9 4" xfId="17639" xr:uid="{00000000-0005-0000-0000-0000799D0000}"/>
    <cellStyle name="표준 5 4 2 2 9 5" xfId="21801" xr:uid="{00000000-0005-0000-0000-00007A9D0000}"/>
    <cellStyle name="표준 5 4 2 2 9 6" xfId="25897" xr:uid="{00000000-0005-0000-0000-00007B9D0000}"/>
    <cellStyle name="표준 5 4 2 2 9 7" xfId="34108" xr:uid="{00000000-0005-0000-0000-00007C9D0000}"/>
    <cellStyle name="표준 5 4 2 2 9 8" xfId="42301" xr:uid="{00000000-0005-0000-0000-00007D9D0000}"/>
    <cellStyle name="표준 5 4 2 20" xfId="15447" xr:uid="{00000000-0005-0000-0000-00007E9D0000}"/>
    <cellStyle name="표준 5 4 2 21" xfId="15463" xr:uid="{00000000-0005-0000-0000-00007F9D0000}"/>
    <cellStyle name="표준 5 4 2 22" xfId="15559" xr:uid="{00000000-0005-0000-0000-0000809D0000}"/>
    <cellStyle name="표준 5 4 2 23" xfId="15575" xr:uid="{00000000-0005-0000-0000-0000819D0000}"/>
    <cellStyle name="표준 5 4 2 24" xfId="19671" xr:uid="{00000000-0005-0000-0000-0000829D0000}"/>
    <cellStyle name="표준 5 4 2 25" xfId="19687" xr:uid="{00000000-0005-0000-0000-0000839D0000}"/>
    <cellStyle name="표준 5 4 2 26" xfId="19703" xr:uid="{00000000-0005-0000-0000-0000849D0000}"/>
    <cellStyle name="표준 5 4 2 27" xfId="19719" xr:uid="{00000000-0005-0000-0000-0000859D0000}"/>
    <cellStyle name="표준 5 4 2 28" xfId="19728" xr:uid="{00000000-0005-0000-0000-0000869D0000}"/>
    <cellStyle name="표준 5 4 2 29" xfId="23833" xr:uid="{00000000-0005-0000-0000-0000879D0000}"/>
    <cellStyle name="표준 5 4 2 3" xfId="303" xr:uid="{00000000-0005-0000-0000-0000889D0000}"/>
    <cellStyle name="표준 5 4 2 3 10" xfId="7166" xr:uid="{00000000-0005-0000-0000-0000899D0000}"/>
    <cellStyle name="표준 5 4 2 3 11" xfId="7255" xr:uid="{00000000-0005-0000-0000-00008A9D0000}"/>
    <cellStyle name="표준 5 4 2 3 12" xfId="11367" xr:uid="{00000000-0005-0000-0000-00008B9D0000}"/>
    <cellStyle name="표준 5 4 2 3 13" xfId="15495" xr:uid="{00000000-0005-0000-0000-00008C9D0000}"/>
    <cellStyle name="표준 5 4 2 3 14" xfId="15607" xr:uid="{00000000-0005-0000-0000-00008D9D0000}"/>
    <cellStyle name="표준 5 4 2 3 15" xfId="19769" xr:uid="{00000000-0005-0000-0000-00008E9D0000}"/>
    <cellStyle name="표준 5 4 2 3 16" xfId="23865" xr:uid="{00000000-0005-0000-0000-00008F9D0000}"/>
    <cellStyle name="표준 5 4 2 3 17" xfId="32076" xr:uid="{00000000-0005-0000-0000-0000909D0000}"/>
    <cellStyle name="표준 5 4 2 3 18" xfId="40269" xr:uid="{00000000-0005-0000-0000-0000919D0000}"/>
    <cellStyle name="표준 5 4 2 3 19" xfId="49699" xr:uid="{00000000-0005-0000-0000-0000929D0000}"/>
    <cellStyle name="표준 5 4 2 3 2" xfId="464" xr:uid="{00000000-0005-0000-0000-0000939D0000}"/>
    <cellStyle name="표준 5 4 2 3 2 10" xfId="11431" xr:uid="{00000000-0005-0000-0000-0000949D0000}"/>
    <cellStyle name="표준 5 4 2 3 2 11" xfId="15543" xr:uid="{00000000-0005-0000-0000-0000959D0000}"/>
    <cellStyle name="표준 5 4 2 3 2 12" xfId="15671" xr:uid="{00000000-0005-0000-0000-0000969D0000}"/>
    <cellStyle name="표준 5 4 2 3 2 13" xfId="19833" xr:uid="{00000000-0005-0000-0000-0000979D0000}"/>
    <cellStyle name="표준 5 4 2 3 2 14" xfId="23929" xr:uid="{00000000-0005-0000-0000-0000989D0000}"/>
    <cellStyle name="표준 5 4 2 3 2 15" xfId="32140" xr:uid="{00000000-0005-0000-0000-0000999D0000}"/>
    <cellStyle name="표준 5 4 2 3 2 16" xfId="40333" xr:uid="{00000000-0005-0000-0000-00009A9D0000}"/>
    <cellStyle name="표준 5 4 2 3 2 2" xfId="592" xr:uid="{00000000-0005-0000-0000-00009B9D0000}"/>
    <cellStyle name="표준 5 4 2 3 2 2 10" xfId="19961" xr:uid="{00000000-0005-0000-0000-00009C9D0000}"/>
    <cellStyle name="표준 5 4 2 3 2 2 11" xfId="24057" xr:uid="{00000000-0005-0000-0000-00009D9D0000}"/>
    <cellStyle name="표준 5 4 2 3 2 2 12" xfId="32268" xr:uid="{00000000-0005-0000-0000-00009E9D0000}"/>
    <cellStyle name="표준 5 4 2 3 2 2 13" xfId="40461" xr:uid="{00000000-0005-0000-0000-00009F9D0000}"/>
    <cellStyle name="표준 5 4 2 3 2 2 2" xfId="848" xr:uid="{00000000-0005-0000-0000-0000A09D0000}"/>
    <cellStyle name="표준 5 4 2 3 2 2 2 10" xfId="24313" xr:uid="{00000000-0005-0000-0000-0000A19D0000}"/>
    <cellStyle name="표준 5 4 2 3 2 2 2 11" xfId="32524" xr:uid="{00000000-0005-0000-0000-0000A29D0000}"/>
    <cellStyle name="표준 5 4 2 3 2 2 2 12" xfId="40717" xr:uid="{00000000-0005-0000-0000-0000A39D0000}"/>
    <cellStyle name="표준 5 4 2 3 2 2 2 2" xfId="1360" xr:uid="{00000000-0005-0000-0000-0000A49D0000}"/>
    <cellStyle name="표준 5 4 2 3 2 2 2 2 2" xfId="10263" xr:uid="{00000000-0005-0000-0000-0000A59D0000}"/>
    <cellStyle name="표준 5 4 2 3 2 2 2 2 2 2" xfId="14375" xr:uid="{00000000-0005-0000-0000-0000A69D0000}"/>
    <cellStyle name="표준 5 4 2 3 2 2 2 2 2 2 2" xfId="30969" xr:uid="{00000000-0005-0000-0000-0000A79D0000}"/>
    <cellStyle name="표준 5 4 2 3 2 2 2 2 2 2 3" xfId="39180" xr:uid="{00000000-0005-0000-0000-0000A89D0000}"/>
    <cellStyle name="표준 5 4 2 3 2 2 2 2 2 2 4" xfId="47373" xr:uid="{00000000-0005-0000-0000-0000A99D0000}"/>
    <cellStyle name="표준 5 4 2 3 2 2 2 2 2 3" xfId="18615" xr:uid="{00000000-0005-0000-0000-0000AA9D0000}"/>
    <cellStyle name="표준 5 4 2 3 2 2 2 2 2 4" xfId="22777" xr:uid="{00000000-0005-0000-0000-0000AB9D0000}"/>
    <cellStyle name="표준 5 4 2 3 2 2 2 2 2 5" xfId="26873" xr:uid="{00000000-0005-0000-0000-0000AC9D0000}"/>
    <cellStyle name="표준 5 4 2 3 2 2 2 2 2 6" xfId="35084" xr:uid="{00000000-0005-0000-0000-0000AD9D0000}"/>
    <cellStyle name="표준 5 4 2 3 2 2 2 2 2 7" xfId="43277" xr:uid="{00000000-0005-0000-0000-0000AE9D0000}"/>
    <cellStyle name="표준 5 4 2 3 2 2 2 2 3" xfId="8215" xr:uid="{00000000-0005-0000-0000-0000AF9D0000}"/>
    <cellStyle name="표준 5 4 2 3 2 2 2 2 3 2" xfId="28921" xr:uid="{00000000-0005-0000-0000-0000B09D0000}"/>
    <cellStyle name="표준 5 4 2 3 2 2 2 2 3 3" xfId="37132" xr:uid="{00000000-0005-0000-0000-0000B19D0000}"/>
    <cellStyle name="표준 5 4 2 3 2 2 2 2 3 4" xfId="45325" xr:uid="{00000000-0005-0000-0000-0000B29D0000}"/>
    <cellStyle name="표준 5 4 2 3 2 2 2 2 4" xfId="12327" xr:uid="{00000000-0005-0000-0000-0000B39D0000}"/>
    <cellStyle name="표준 5 4 2 3 2 2 2 2 5" xfId="16567" xr:uid="{00000000-0005-0000-0000-0000B49D0000}"/>
    <cellStyle name="표준 5 4 2 3 2 2 2 2 6" xfId="20729" xr:uid="{00000000-0005-0000-0000-0000B59D0000}"/>
    <cellStyle name="표준 5 4 2 3 2 2 2 2 7" xfId="24825" xr:uid="{00000000-0005-0000-0000-0000B69D0000}"/>
    <cellStyle name="표준 5 4 2 3 2 2 2 2 8" xfId="33036" xr:uid="{00000000-0005-0000-0000-0000B79D0000}"/>
    <cellStyle name="표준 5 4 2 3 2 2 2 2 9" xfId="41229" xr:uid="{00000000-0005-0000-0000-0000B89D0000}"/>
    <cellStyle name="표준 5 4 2 3 2 2 2 3" xfId="1872" xr:uid="{00000000-0005-0000-0000-0000B99D0000}"/>
    <cellStyle name="표준 5 4 2 3 2 2 2 3 2" xfId="10775" xr:uid="{00000000-0005-0000-0000-0000BA9D0000}"/>
    <cellStyle name="표준 5 4 2 3 2 2 2 3 2 2" xfId="14887" xr:uid="{00000000-0005-0000-0000-0000BB9D0000}"/>
    <cellStyle name="표준 5 4 2 3 2 2 2 3 2 2 2" xfId="31481" xr:uid="{00000000-0005-0000-0000-0000BC9D0000}"/>
    <cellStyle name="표준 5 4 2 3 2 2 2 3 2 2 3" xfId="39692" xr:uid="{00000000-0005-0000-0000-0000BD9D0000}"/>
    <cellStyle name="표준 5 4 2 3 2 2 2 3 2 2 4" xfId="47885" xr:uid="{00000000-0005-0000-0000-0000BE9D0000}"/>
    <cellStyle name="표준 5 4 2 3 2 2 2 3 2 3" xfId="19127" xr:uid="{00000000-0005-0000-0000-0000BF9D0000}"/>
    <cellStyle name="표준 5 4 2 3 2 2 2 3 2 4" xfId="23289" xr:uid="{00000000-0005-0000-0000-0000C09D0000}"/>
    <cellStyle name="표준 5 4 2 3 2 2 2 3 2 5" xfId="27385" xr:uid="{00000000-0005-0000-0000-0000C19D0000}"/>
    <cellStyle name="표준 5 4 2 3 2 2 2 3 2 6" xfId="35596" xr:uid="{00000000-0005-0000-0000-0000C29D0000}"/>
    <cellStyle name="표준 5 4 2 3 2 2 2 3 2 7" xfId="43789" xr:uid="{00000000-0005-0000-0000-0000C39D0000}"/>
    <cellStyle name="표준 5 4 2 3 2 2 2 3 3" xfId="8727" xr:uid="{00000000-0005-0000-0000-0000C49D0000}"/>
    <cellStyle name="표준 5 4 2 3 2 2 2 3 3 2" xfId="29433" xr:uid="{00000000-0005-0000-0000-0000C59D0000}"/>
    <cellStyle name="표준 5 4 2 3 2 2 2 3 3 3" xfId="37644" xr:uid="{00000000-0005-0000-0000-0000C69D0000}"/>
    <cellStyle name="표준 5 4 2 3 2 2 2 3 3 4" xfId="45837" xr:uid="{00000000-0005-0000-0000-0000C79D0000}"/>
    <cellStyle name="표준 5 4 2 3 2 2 2 3 4" xfId="12839" xr:uid="{00000000-0005-0000-0000-0000C89D0000}"/>
    <cellStyle name="표준 5 4 2 3 2 2 2 3 5" xfId="17079" xr:uid="{00000000-0005-0000-0000-0000C99D0000}"/>
    <cellStyle name="표준 5 4 2 3 2 2 2 3 6" xfId="21241" xr:uid="{00000000-0005-0000-0000-0000CA9D0000}"/>
    <cellStyle name="표준 5 4 2 3 2 2 2 3 7" xfId="25337" xr:uid="{00000000-0005-0000-0000-0000CB9D0000}"/>
    <cellStyle name="표준 5 4 2 3 2 2 2 3 8" xfId="33548" xr:uid="{00000000-0005-0000-0000-0000CC9D0000}"/>
    <cellStyle name="표준 5 4 2 3 2 2 2 3 9" xfId="41741" xr:uid="{00000000-0005-0000-0000-0000CD9D0000}"/>
    <cellStyle name="표준 5 4 2 3 2 2 2 4" xfId="2384" xr:uid="{00000000-0005-0000-0000-0000CE9D0000}"/>
    <cellStyle name="표준 5 4 2 3 2 2 2 4 2" xfId="11287" xr:uid="{00000000-0005-0000-0000-0000CF9D0000}"/>
    <cellStyle name="표준 5 4 2 3 2 2 2 4 2 2" xfId="15399" xr:uid="{00000000-0005-0000-0000-0000D09D0000}"/>
    <cellStyle name="표준 5 4 2 3 2 2 2 4 2 2 2" xfId="31993" xr:uid="{00000000-0005-0000-0000-0000D19D0000}"/>
    <cellStyle name="표준 5 4 2 3 2 2 2 4 2 2 3" xfId="40204" xr:uid="{00000000-0005-0000-0000-0000D29D0000}"/>
    <cellStyle name="표준 5 4 2 3 2 2 2 4 2 2 4" xfId="48397" xr:uid="{00000000-0005-0000-0000-0000D39D0000}"/>
    <cellStyle name="표준 5 4 2 3 2 2 2 4 2 3" xfId="19639" xr:uid="{00000000-0005-0000-0000-0000D49D0000}"/>
    <cellStyle name="표준 5 4 2 3 2 2 2 4 2 4" xfId="23801" xr:uid="{00000000-0005-0000-0000-0000D59D0000}"/>
    <cellStyle name="표준 5 4 2 3 2 2 2 4 2 5" xfId="27897" xr:uid="{00000000-0005-0000-0000-0000D69D0000}"/>
    <cellStyle name="표준 5 4 2 3 2 2 2 4 2 6" xfId="36108" xr:uid="{00000000-0005-0000-0000-0000D79D0000}"/>
    <cellStyle name="표준 5 4 2 3 2 2 2 4 2 7" xfId="44301" xr:uid="{00000000-0005-0000-0000-0000D89D0000}"/>
    <cellStyle name="표준 5 4 2 3 2 2 2 4 3" xfId="9239" xr:uid="{00000000-0005-0000-0000-0000D99D0000}"/>
    <cellStyle name="표준 5 4 2 3 2 2 2 4 3 2" xfId="29945" xr:uid="{00000000-0005-0000-0000-0000DA9D0000}"/>
    <cellStyle name="표준 5 4 2 3 2 2 2 4 3 3" xfId="38156" xr:uid="{00000000-0005-0000-0000-0000DB9D0000}"/>
    <cellStyle name="표준 5 4 2 3 2 2 2 4 3 4" xfId="46349" xr:uid="{00000000-0005-0000-0000-0000DC9D0000}"/>
    <cellStyle name="표준 5 4 2 3 2 2 2 4 4" xfId="13351" xr:uid="{00000000-0005-0000-0000-0000DD9D0000}"/>
    <cellStyle name="표준 5 4 2 3 2 2 2 4 5" xfId="17591" xr:uid="{00000000-0005-0000-0000-0000DE9D0000}"/>
    <cellStyle name="표준 5 4 2 3 2 2 2 4 6" xfId="21753" xr:uid="{00000000-0005-0000-0000-0000DF9D0000}"/>
    <cellStyle name="표준 5 4 2 3 2 2 2 4 7" xfId="25849" xr:uid="{00000000-0005-0000-0000-0000E09D0000}"/>
    <cellStyle name="표준 5 4 2 3 2 2 2 4 8" xfId="34060" xr:uid="{00000000-0005-0000-0000-0000E19D0000}"/>
    <cellStyle name="표준 5 4 2 3 2 2 2 4 9" xfId="42253" xr:uid="{00000000-0005-0000-0000-0000E29D0000}"/>
    <cellStyle name="표준 5 4 2 3 2 2 2 5" xfId="9751" xr:uid="{00000000-0005-0000-0000-0000E39D0000}"/>
    <cellStyle name="표준 5 4 2 3 2 2 2 5 2" xfId="13863" xr:uid="{00000000-0005-0000-0000-0000E49D0000}"/>
    <cellStyle name="표준 5 4 2 3 2 2 2 5 2 2" xfId="30457" xr:uid="{00000000-0005-0000-0000-0000E59D0000}"/>
    <cellStyle name="표준 5 4 2 3 2 2 2 5 2 3" xfId="38668" xr:uid="{00000000-0005-0000-0000-0000E69D0000}"/>
    <cellStyle name="표준 5 4 2 3 2 2 2 5 2 4" xfId="46861" xr:uid="{00000000-0005-0000-0000-0000E79D0000}"/>
    <cellStyle name="표준 5 4 2 3 2 2 2 5 3" xfId="18103" xr:uid="{00000000-0005-0000-0000-0000E89D0000}"/>
    <cellStyle name="표준 5 4 2 3 2 2 2 5 4" xfId="22265" xr:uid="{00000000-0005-0000-0000-0000E99D0000}"/>
    <cellStyle name="표준 5 4 2 3 2 2 2 5 5" xfId="26361" xr:uid="{00000000-0005-0000-0000-0000EA9D0000}"/>
    <cellStyle name="표준 5 4 2 3 2 2 2 5 6" xfId="34572" xr:uid="{00000000-0005-0000-0000-0000EB9D0000}"/>
    <cellStyle name="표준 5 4 2 3 2 2 2 5 7" xfId="42765" xr:uid="{00000000-0005-0000-0000-0000EC9D0000}"/>
    <cellStyle name="표준 5 4 2 3 2 2 2 6" xfId="7703" xr:uid="{00000000-0005-0000-0000-0000ED9D0000}"/>
    <cellStyle name="표준 5 4 2 3 2 2 2 6 2" xfId="28409" xr:uid="{00000000-0005-0000-0000-0000EE9D0000}"/>
    <cellStyle name="표준 5 4 2 3 2 2 2 6 3" xfId="36620" xr:uid="{00000000-0005-0000-0000-0000EF9D0000}"/>
    <cellStyle name="표준 5 4 2 3 2 2 2 6 4" xfId="44813" xr:uid="{00000000-0005-0000-0000-0000F09D0000}"/>
    <cellStyle name="표준 5 4 2 3 2 2 2 7" xfId="11815" xr:uid="{00000000-0005-0000-0000-0000F19D0000}"/>
    <cellStyle name="표준 5 4 2 3 2 2 2 8" xfId="16055" xr:uid="{00000000-0005-0000-0000-0000F29D0000}"/>
    <cellStyle name="표준 5 4 2 3 2 2 2 9" xfId="20217" xr:uid="{00000000-0005-0000-0000-0000F39D0000}"/>
    <cellStyle name="표준 5 4 2 3 2 2 3" xfId="1104" xr:uid="{00000000-0005-0000-0000-0000F49D0000}"/>
    <cellStyle name="표준 5 4 2 3 2 2 3 2" xfId="10007" xr:uid="{00000000-0005-0000-0000-0000F59D0000}"/>
    <cellStyle name="표준 5 4 2 3 2 2 3 2 2" xfId="14119" xr:uid="{00000000-0005-0000-0000-0000F69D0000}"/>
    <cellStyle name="표준 5 4 2 3 2 2 3 2 2 2" xfId="30713" xr:uid="{00000000-0005-0000-0000-0000F79D0000}"/>
    <cellStyle name="표준 5 4 2 3 2 2 3 2 2 3" xfId="38924" xr:uid="{00000000-0005-0000-0000-0000F89D0000}"/>
    <cellStyle name="표준 5 4 2 3 2 2 3 2 2 4" xfId="47117" xr:uid="{00000000-0005-0000-0000-0000F99D0000}"/>
    <cellStyle name="표준 5 4 2 3 2 2 3 2 3" xfId="18359" xr:uid="{00000000-0005-0000-0000-0000FA9D0000}"/>
    <cellStyle name="표준 5 4 2 3 2 2 3 2 4" xfId="22521" xr:uid="{00000000-0005-0000-0000-0000FB9D0000}"/>
    <cellStyle name="표준 5 4 2 3 2 2 3 2 5" xfId="26617" xr:uid="{00000000-0005-0000-0000-0000FC9D0000}"/>
    <cellStyle name="표준 5 4 2 3 2 2 3 2 6" xfId="34828" xr:uid="{00000000-0005-0000-0000-0000FD9D0000}"/>
    <cellStyle name="표준 5 4 2 3 2 2 3 2 7" xfId="43021" xr:uid="{00000000-0005-0000-0000-0000FE9D0000}"/>
    <cellStyle name="표준 5 4 2 3 2 2 3 3" xfId="7959" xr:uid="{00000000-0005-0000-0000-0000FF9D0000}"/>
    <cellStyle name="표준 5 4 2 3 2 2 3 3 2" xfId="28665" xr:uid="{00000000-0005-0000-0000-0000009E0000}"/>
    <cellStyle name="표준 5 4 2 3 2 2 3 3 3" xfId="36876" xr:uid="{00000000-0005-0000-0000-0000019E0000}"/>
    <cellStyle name="표준 5 4 2 3 2 2 3 3 4" xfId="45069" xr:uid="{00000000-0005-0000-0000-0000029E0000}"/>
    <cellStyle name="표준 5 4 2 3 2 2 3 4" xfId="12071" xr:uid="{00000000-0005-0000-0000-0000039E0000}"/>
    <cellStyle name="표준 5 4 2 3 2 2 3 5" xfId="16311" xr:uid="{00000000-0005-0000-0000-0000049E0000}"/>
    <cellStyle name="표준 5 4 2 3 2 2 3 6" xfId="20473" xr:uid="{00000000-0005-0000-0000-0000059E0000}"/>
    <cellStyle name="표준 5 4 2 3 2 2 3 7" xfId="24569" xr:uid="{00000000-0005-0000-0000-0000069E0000}"/>
    <cellStyle name="표준 5 4 2 3 2 2 3 8" xfId="32780" xr:uid="{00000000-0005-0000-0000-0000079E0000}"/>
    <cellStyle name="표준 5 4 2 3 2 2 3 9" xfId="40973" xr:uid="{00000000-0005-0000-0000-0000089E0000}"/>
    <cellStyle name="표준 5 4 2 3 2 2 4" xfId="1616" xr:uid="{00000000-0005-0000-0000-0000099E0000}"/>
    <cellStyle name="표준 5 4 2 3 2 2 4 2" xfId="10519" xr:uid="{00000000-0005-0000-0000-00000A9E0000}"/>
    <cellStyle name="표준 5 4 2 3 2 2 4 2 2" xfId="14631" xr:uid="{00000000-0005-0000-0000-00000B9E0000}"/>
    <cellStyle name="표준 5 4 2 3 2 2 4 2 2 2" xfId="31225" xr:uid="{00000000-0005-0000-0000-00000C9E0000}"/>
    <cellStyle name="표준 5 4 2 3 2 2 4 2 2 3" xfId="39436" xr:uid="{00000000-0005-0000-0000-00000D9E0000}"/>
    <cellStyle name="표준 5 4 2 3 2 2 4 2 2 4" xfId="47629" xr:uid="{00000000-0005-0000-0000-00000E9E0000}"/>
    <cellStyle name="표준 5 4 2 3 2 2 4 2 3" xfId="18871" xr:uid="{00000000-0005-0000-0000-00000F9E0000}"/>
    <cellStyle name="표준 5 4 2 3 2 2 4 2 4" xfId="23033" xr:uid="{00000000-0005-0000-0000-0000109E0000}"/>
    <cellStyle name="표준 5 4 2 3 2 2 4 2 5" xfId="27129" xr:uid="{00000000-0005-0000-0000-0000119E0000}"/>
    <cellStyle name="표준 5 4 2 3 2 2 4 2 6" xfId="35340" xr:uid="{00000000-0005-0000-0000-0000129E0000}"/>
    <cellStyle name="표준 5 4 2 3 2 2 4 2 7" xfId="43533" xr:uid="{00000000-0005-0000-0000-0000139E0000}"/>
    <cellStyle name="표준 5 4 2 3 2 2 4 3" xfId="8471" xr:uid="{00000000-0005-0000-0000-0000149E0000}"/>
    <cellStyle name="표준 5 4 2 3 2 2 4 3 2" xfId="29177" xr:uid="{00000000-0005-0000-0000-0000159E0000}"/>
    <cellStyle name="표준 5 4 2 3 2 2 4 3 3" xfId="37388" xr:uid="{00000000-0005-0000-0000-0000169E0000}"/>
    <cellStyle name="표준 5 4 2 3 2 2 4 3 4" xfId="45581" xr:uid="{00000000-0005-0000-0000-0000179E0000}"/>
    <cellStyle name="표준 5 4 2 3 2 2 4 4" xfId="12583" xr:uid="{00000000-0005-0000-0000-0000189E0000}"/>
    <cellStyle name="표준 5 4 2 3 2 2 4 5" xfId="16823" xr:uid="{00000000-0005-0000-0000-0000199E0000}"/>
    <cellStyle name="표준 5 4 2 3 2 2 4 6" xfId="20985" xr:uid="{00000000-0005-0000-0000-00001A9E0000}"/>
    <cellStyle name="표준 5 4 2 3 2 2 4 7" xfId="25081" xr:uid="{00000000-0005-0000-0000-00001B9E0000}"/>
    <cellStyle name="표준 5 4 2 3 2 2 4 8" xfId="33292" xr:uid="{00000000-0005-0000-0000-00001C9E0000}"/>
    <cellStyle name="표준 5 4 2 3 2 2 4 9" xfId="41485" xr:uid="{00000000-0005-0000-0000-00001D9E0000}"/>
    <cellStyle name="표준 5 4 2 3 2 2 5" xfId="2128" xr:uid="{00000000-0005-0000-0000-00001E9E0000}"/>
    <cellStyle name="표준 5 4 2 3 2 2 5 2" xfId="11031" xr:uid="{00000000-0005-0000-0000-00001F9E0000}"/>
    <cellStyle name="표준 5 4 2 3 2 2 5 2 2" xfId="15143" xr:uid="{00000000-0005-0000-0000-0000209E0000}"/>
    <cellStyle name="표준 5 4 2 3 2 2 5 2 2 2" xfId="31737" xr:uid="{00000000-0005-0000-0000-0000219E0000}"/>
    <cellStyle name="표준 5 4 2 3 2 2 5 2 2 3" xfId="39948" xr:uid="{00000000-0005-0000-0000-0000229E0000}"/>
    <cellStyle name="표준 5 4 2 3 2 2 5 2 2 4" xfId="48141" xr:uid="{00000000-0005-0000-0000-0000239E0000}"/>
    <cellStyle name="표준 5 4 2 3 2 2 5 2 3" xfId="19383" xr:uid="{00000000-0005-0000-0000-0000249E0000}"/>
    <cellStyle name="표준 5 4 2 3 2 2 5 2 4" xfId="23545" xr:uid="{00000000-0005-0000-0000-0000259E0000}"/>
    <cellStyle name="표준 5 4 2 3 2 2 5 2 5" xfId="27641" xr:uid="{00000000-0005-0000-0000-0000269E0000}"/>
    <cellStyle name="표준 5 4 2 3 2 2 5 2 6" xfId="35852" xr:uid="{00000000-0005-0000-0000-0000279E0000}"/>
    <cellStyle name="표준 5 4 2 3 2 2 5 2 7" xfId="44045" xr:uid="{00000000-0005-0000-0000-0000289E0000}"/>
    <cellStyle name="표준 5 4 2 3 2 2 5 3" xfId="8983" xr:uid="{00000000-0005-0000-0000-0000299E0000}"/>
    <cellStyle name="표준 5 4 2 3 2 2 5 3 2" xfId="29689" xr:uid="{00000000-0005-0000-0000-00002A9E0000}"/>
    <cellStyle name="표준 5 4 2 3 2 2 5 3 3" xfId="37900" xr:uid="{00000000-0005-0000-0000-00002B9E0000}"/>
    <cellStyle name="표준 5 4 2 3 2 2 5 3 4" xfId="46093" xr:uid="{00000000-0005-0000-0000-00002C9E0000}"/>
    <cellStyle name="표준 5 4 2 3 2 2 5 4" xfId="13095" xr:uid="{00000000-0005-0000-0000-00002D9E0000}"/>
    <cellStyle name="표준 5 4 2 3 2 2 5 5" xfId="17335" xr:uid="{00000000-0005-0000-0000-00002E9E0000}"/>
    <cellStyle name="표준 5 4 2 3 2 2 5 6" xfId="21497" xr:uid="{00000000-0005-0000-0000-00002F9E0000}"/>
    <cellStyle name="표준 5 4 2 3 2 2 5 7" xfId="25593" xr:uid="{00000000-0005-0000-0000-0000309E0000}"/>
    <cellStyle name="표준 5 4 2 3 2 2 5 8" xfId="33804" xr:uid="{00000000-0005-0000-0000-0000319E0000}"/>
    <cellStyle name="표준 5 4 2 3 2 2 5 9" xfId="41997" xr:uid="{00000000-0005-0000-0000-0000329E0000}"/>
    <cellStyle name="표준 5 4 2 3 2 2 6" xfId="9495" xr:uid="{00000000-0005-0000-0000-0000339E0000}"/>
    <cellStyle name="표준 5 4 2 3 2 2 6 2" xfId="13607" xr:uid="{00000000-0005-0000-0000-0000349E0000}"/>
    <cellStyle name="표준 5 4 2 3 2 2 6 2 2" xfId="30201" xr:uid="{00000000-0005-0000-0000-0000359E0000}"/>
    <cellStyle name="표준 5 4 2 3 2 2 6 2 3" xfId="38412" xr:uid="{00000000-0005-0000-0000-0000369E0000}"/>
    <cellStyle name="표준 5 4 2 3 2 2 6 2 4" xfId="46605" xr:uid="{00000000-0005-0000-0000-0000379E0000}"/>
    <cellStyle name="표준 5 4 2 3 2 2 6 3" xfId="17847" xr:uid="{00000000-0005-0000-0000-0000389E0000}"/>
    <cellStyle name="표준 5 4 2 3 2 2 6 4" xfId="22009" xr:uid="{00000000-0005-0000-0000-0000399E0000}"/>
    <cellStyle name="표준 5 4 2 3 2 2 6 5" xfId="26105" xr:uid="{00000000-0005-0000-0000-00003A9E0000}"/>
    <cellStyle name="표준 5 4 2 3 2 2 6 6" xfId="34316" xr:uid="{00000000-0005-0000-0000-00003B9E0000}"/>
    <cellStyle name="표준 5 4 2 3 2 2 6 7" xfId="42509" xr:uid="{00000000-0005-0000-0000-00003C9E0000}"/>
    <cellStyle name="표준 5 4 2 3 2 2 7" xfId="7447" xr:uid="{00000000-0005-0000-0000-00003D9E0000}"/>
    <cellStyle name="표준 5 4 2 3 2 2 7 2" xfId="28153" xr:uid="{00000000-0005-0000-0000-00003E9E0000}"/>
    <cellStyle name="표준 5 4 2 3 2 2 7 3" xfId="36364" xr:uid="{00000000-0005-0000-0000-00003F9E0000}"/>
    <cellStyle name="표준 5 4 2 3 2 2 7 4" xfId="44557" xr:uid="{00000000-0005-0000-0000-0000409E0000}"/>
    <cellStyle name="표준 5 4 2 3 2 2 8" xfId="11559" xr:uid="{00000000-0005-0000-0000-0000419E0000}"/>
    <cellStyle name="표준 5 4 2 3 2 2 9" xfId="15799" xr:uid="{00000000-0005-0000-0000-0000429E0000}"/>
    <cellStyle name="표준 5 4 2 3 2 3" xfId="720" xr:uid="{00000000-0005-0000-0000-0000439E0000}"/>
    <cellStyle name="표준 5 4 2 3 2 3 10" xfId="24185" xr:uid="{00000000-0005-0000-0000-0000449E0000}"/>
    <cellStyle name="표준 5 4 2 3 2 3 11" xfId="32396" xr:uid="{00000000-0005-0000-0000-0000459E0000}"/>
    <cellStyle name="표준 5 4 2 3 2 3 12" xfId="40589" xr:uid="{00000000-0005-0000-0000-0000469E0000}"/>
    <cellStyle name="표준 5 4 2 3 2 3 2" xfId="1232" xr:uid="{00000000-0005-0000-0000-0000479E0000}"/>
    <cellStyle name="표준 5 4 2 3 2 3 2 2" xfId="10135" xr:uid="{00000000-0005-0000-0000-0000489E0000}"/>
    <cellStyle name="표준 5 4 2 3 2 3 2 2 2" xfId="14247" xr:uid="{00000000-0005-0000-0000-0000499E0000}"/>
    <cellStyle name="표준 5 4 2 3 2 3 2 2 2 2" xfId="30841" xr:uid="{00000000-0005-0000-0000-00004A9E0000}"/>
    <cellStyle name="표준 5 4 2 3 2 3 2 2 2 3" xfId="39052" xr:uid="{00000000-0005-0000-0000-00004B9E0000}"/>
    <cellStyle name="표준 5 4 2 3 2 3 2 2 2 4" xfId="47245" xr:uid="{00000000-0005-0000-0000-00004C9E0000}"/>
    <cellStyle name="표준 5 4 2 3 2 3 2 2 3" xfId="18487" xr:uid="{00000000-0005-0000-0000-00004D9E0000}"/>
    <cellStyle name="표준 5 4 2 3 2 3 2 2 4" xfId="22649" xr:uid="{00000000-0005-0000-0000-00004E9E0000}"/>
    <cellStyle name="표준 5 4 2 3 2 3 2 2 5" xfId="26745" xr:uid="{00000000-0005-0000-0000-00004F9E0000}"/>
    <cellStyle name="표준 5 4 2 3 2 3 2 2 6" xfId="34956" xr:uid="{00000000-0005-0000-0000-0000509E0000}"/>
    <cellStyle name="표준 5 4 2 3 2 3 2 2 7" xfId="43149" xr:uid="{00000000-0005-0000-0000-0000519E0000}"/>
    <cellStyle name="표준 5 4 2 3 2 3 2 3" xfId="8087" xr:uid="{00000000-0005-0000-0000-0000529E0000}"/>
    <cellStyle name="표준 5 4 2 3 2 3 2 3 2" xfId="28793" xr:uid="{00000000-0005-0000-0000-0000539E0000}"/>
    <cellStyle name="표준 5 4 2 3 2 3 2 3 3" xfId="37004" xr:uid="{00000000-0005-0000-0000-0000549E0000}"/>
    <cellStyle name="표준 5 4 2 3 2 3 2 3 4" xfId="45197" xr:uid="{00000000-0005-0000-0000-0000559E0000}"/>
    <cellStyle name="표준 5 4 2 3 2 3 2 4" xfId="12199" xr:uid="{00000000-0005-0000-0000-0000569E0000}"/>
    <cellStyle name="표준 5 4 2 3 2 3 2 5" xfId="16439" xr:uid="{00000000-0005-0000-0000-0000579E0000}"/>
    <cellStyle name="표준 5 4 2 3 2 3 2 6" xfId="20601" xr:uid="{00000000-0005-0000-0000-0000589E0000}"/>
    <cellStyle name="표준 5 4 2 3 2 3 2 7" xfId="24697" xr:uid="{00000000-0005-0000-0000-0000599E0000}"/>
    <cellStyle name="표준 5 4 2 3 2 3 2 8" xfId="32908" xr:uid="{00000000-0005-0000-0000-00005A9E0000}"/>
    <cellStyle name="표준 5 4 2 3 2 3 2 9" xfId="41101" xr:uid="{00000000-0005-0000-0000-00005B9E0000}"/>
    <cellStyle name="표준 5 4 2 3 2 3 3" xfId="1744" xr:uid="{00000000-0005-0000-0000-00005C9E0000}"/>
    <cellStyle name="표준 5 4 2 3 2 3 3 2" xfId="10647" xr:uid="{00000000-0005-0000-0000-00005D9E0000}"/>
    <cellStyle name="표준 5 4 2 3 2 3 3 2 2" xfId="14759" xr:uid="{00000000-0005-0000-0000-00005E9E0000}"/>
    <cellStyle name="표준 5 4 2 3 2 3 3 2 2 2" xfId="31353" xr:uid="{00000000-0005-0000-0000-00005F9E0000}"/>
    <cellStyle name="표준 5 4 2 3 2 3 3 2 2 3" xfId="39564" xr:uid="{00000000-0005-0000-0000-0000609E0000}"/>
    <cellStyle name="표준 5 4 2 3 2 3 3 2 2 4" xfId="47757" xr:uid="{00000000-0005-0000-0000-0000619E0000}"/>
    <cellStyle name="표준 5 4 2 3 2 3 3 2 3" xfId="18999" xr:uid="{00000000-0005-0000-0000-0000629E0000}"/>
    <cellStyle name="표준 5 4 2 3 2 3 3 2 4" xfId="23161" xr:uid="{00000000-0005-0000-0000-0000639E0000}"/>
    <cellStyle name="표준 5 4 2 3 2 3 3 2 5" xfId="27257" xr:uid="{00000000-0005-0000-0000-0000649E0000}"/>
    <cellStyle name="표준 5 4 2 3 2 3 3 2 6" xfId="35468" xr:uid="{00000000-0005-0000-0000-0000659E0000}"/>
    <cellStyle name="표준 5 4 2 3 2 3 3 2 7" xfId="43661" xr:uid="{00000000-0005-0000-0000-0000669E0000}"/>
    <cellStyle name="표준 5 4 2 3 2 3 3 3" xfId="8599" xr:uid="{00000000-0005-0000-0000-0000679E0000}"/>
    <cellStyle name="표준 5 4 2 3 2 3 3 3 2" xfId="29305" xr:uid="{00000000-0005-0000-0000-0000689E0000}"/>
    <cellStyle name="표준 5 4 2 3 2 3 3 3 3" xfId="37516" xr:uid="{00000000-0005-0000-0000-0000699E0000}"/>
    <cellStyle name="표준 5 4 2 3 2 3 3 3 4" xfId="45709" xr:uid="{00000000-0005-0000-0000-00006A9E0000}"/>
    <cellStyle name="표준 5 4 2 3 2 3 3 4" xfId="12711" xr:uid="{00000000-0005-0000-0000-00006B9E0000}"/>
    <cellStyle name="표준 5 4 2 3 2 3 3 5" xfId="16951" xr:uid="{00000000-0005-0000-0000-00006C9E0000}"/>
    <cellStyle name="표준 5 4 2 3 2 3 3 6" xfId="21113" xr:uid="{00000000-0005-0000-0000-00006D9E0000}"/>
    <cellStyle name="표준 5 4 2 3 2 3 3 7" xfId="25209" xr:uid="{00000000-0005-0000-0000-00006E9E0000}"/>
    <cellStyle name="표준 5 4 2 3 2 3 3 8" xfId="33420" xr:uid="{00000000-0005-0000-0000-00006F9E0000}"/>
    <cellStyle name="표준 5 4 2 3 2 3 3 9" xfId="41613" xr:uid="{00000000-0005-0000-0000-0000709E0000}"/>
    <cellStyle name="표준 5 4 2 3 2 3 4" xfId="2256" xr:uid="{00000000-0005-0000-0000-0000719E0000}"/>
    <cellStyle name="표준 5 4 2 3 2 3 4 2" xfId="11159" xr:uid="{00000000-0005-0000-0000-0000729E0000}"/>
    <cellStyle name="표준 5 4 2 3 2 3 4 2 2" xfId="15271" xr:uid="{00000000-0005-0000-0000-0000739E0000}"/>
    <cellStyle name="표준 5 4 2 3 2 3 4 2 2 2" xfId="31865" xr:uid="{00000000-0005-0000-0000-0000749E0000}"/>
    <cellStyle name="표준 5 4 2 3 2 3 4 2 2 3" xfId="40076" xr:uid="{00000000-0005-0000-0000-0000759E0000}"/>
    <cellStyle name="표준 5 4 2 3 2 3 4 2 2 4" xfId="48269" xr:uid="{00000000-0005-0000-0000-0000769E0000}"/>
    <cellStyle name="표준 5 4 2 3 2 3 4 2 3" xfId="19511" xr:uid="{00000000-0005-0000-0000-0000779E0000}"/>
    <cellStyle name="표준 5 4 2 3 2 3 4 2 4" xfId="23673" xr:uid="{00000000-0005-0000-0000-0000789E0000}"/>
    <cellStyle name="표준 5 4 2 3 2 3 4 2 5" xfId="27769" xr:uid="{00000000-0005-0000-0000-0000799E0000}"/>
    <cellStyle name="표준 5 4 2 3 2 3 4 2 6" xfId="35980" xr:uid="{00000000-0005-0000-0000-00007A9E0000}"/>
    <cellStyle name="표준 5 4 2 3 2 3 4 2 7" xfId="44173" xr:uid="{00000000-0005-0000-0000-00007B9E0000}"/>
    <cellStyle name="표준 5 4 2 3 2 3 4 3" xfId="9111" xr:uid="{00000000-0005-0000-0000-00007C9E0000}"/>
    <cellStyle name="표준 5 4 2 3 2 3 4 3 2" xfId="29817" xr:uid="{00000000-0005-0000-0000-00007D9E0000}"/>
    <cellStyle name="표준 5 4 2 3 2 3 4 3 3" xfId="38028" xr:uid="{00000000-0005-0000-0000-00007E9E0000}"/>
    <cellStyle name="표준 5 4 2 3 2 3 4 3 4" xfId="46221" xr:uid="{00000000-0005-0000-0000-00007F9E0000}"/>
    <cellStyle name="표준 5 4 2 3 2 3 4 4" xfId="13223" xr:uid="{00000000-0005-0000-0000-0000809E0000}"/>
    <cellStyle name="표준 5 4 2 3 2 3 4 5" xfId="17463" xr:uid="{00000000-0005-0000-0000-0000819E0000}"/>
    <cellStyle name="표준 5 4 2 3 2 3 4 6" xfId="21625" xr:uid="{00000000-0005-0000-0000-0000829E0000}"/>
    <cellStyle name="표준 5 4 2 3 2 3 4 7" xfId="25721" xr:uid="{00000000-0005-0000-0000-0000839E0000}"/>
    <cellStyle name="표준 5 4 2 3 2 3 4 8" xfId="33932" xr:uid="{00000000-0005-0000-0000-0000849E0000}"/>
    <cellStyle name="표준 5 4 2 3 2 3 4 9" xfId="42125" xr:uid="{00000000-0005-0000-0000-0000859E0000}"/>
    <cellStyle name="표준 5 4 2 3 2 3 5" xfId="9623" xr:uid="{00000000-0005-0000-0000-0000869E0000}"/>
    <cellStyle name="표준 5 4 2 3 2 3 5 2" xfId="13735" xr:uid="{00000000-0005-0000-0000-0000879E0000}"/>
    <cellStyle name="표준 5 4 2 3 2 3 5 2 2" xfId="30329" xr:uid="{00000000-0005-0000-0000-0000889E0000}"/>
    <cellStyle name="표준 5 4 2 3 2 3 5 2 3" xfId="38540" xr:uid="{00000000-0005-0000-0000-0000899E0000}"/>
    <cellStyle name="표준 5 4 2 3 2 3 5 2 4" xfId="46733" xr:uid="{00000000-0005-0000-0000-00008A9E0000}"/>
    <cellStyle name="표준 5 4 2 3 2 3 5 3" xfId="17975" xr:uid="{00000000-0005-0000-0000-00008B9E0000}"/>
    <cellStyle name="표준 5 4 2 3 2 3 5 4" xfId="22137" xr:uid="{00000000-0005-0000-0000-00008C9E0000}"/>
    <cellStyle name="표준 5 4 2 3 2 3 5 5" xfId="26233" xr:uid="{00000000-0005-0000-0000-00008D9E0000}"/>
    <cellStyle name="표준 5 4 2 3 2 3 5 6" xfId="34444" xr:uid="{00000000-0005-0000-0000-00008E9E0000}"/>
    <cellStyle name="표준 5 4 2 3 2 3 5 7" xfId="42637" xr:uid="{00000000-0005-0000-0000-00008F9E0000}"/>
    <cellStyle name="표준 5 4 2 3 2 3 6" xfId="7575" xr:uid="{00000000-0005-0000-0000-0000909E0000}"/>
    <cellStyle name="표준 5 4 2 3 2 3 6 2" xfId="28281" xr:uid="{00000000-0005-0000-0000-0000919E0000}"/>
    <cellStyle name="표준 5 4 2 3 2 3 6 3" xfId="36492" xr:uid="{00000000-0005-0000-0000-0000929E0000}"/>
    <cellStyle name="표준 5 4 2 3 2 3 6 4" xfId="44685" xr:uid="{00000000-0005-0000-0000-0000939E0000}"/>
    <cellStyle name="표준 5 4 2 3 2 3 7" xfId="11687" xr:uid="{00000000-0005-0000-0000-0000949E0000}"/>
    <cellStyle name="표준 5 4 2 3 2 3 8" xfId="15927" xr:uid="{00000000-0005-0000-0000-0000959E0000}"/>
    <cellStyle name="표준 5 4 2 3 2 3 9" xfId="20089" xr:uid="{00000000-0005-0000-0000-0000969E0000}"/>
    <cellStyle name="표준 5 4 2 3 2 4" xfId="976" xr:uid="{00000000-0005-0000-0000-0000979E0000}"/>
    <cellStyle name="표준 5 4 2 3 2 4 2" xfId="9879" xr:uid="{00000000-0005-0000-0000-0000989E0000}"/>
    <cellStyle name="표준 5 4 2 3 2 4 2 2" xfId="13991" xr:uid="{00000000-0005-0000-0000-0000999E0000}"/>
    <cellStyle name="표준 5 4 2 3 2 4 2 2 2" xfId="30585" xr:uid="{00000000-0005-0000-0000-00009A9E0000}"/>
    <cellStyle name="표준 5 4 2 3 2 4 2 2 3" xfId="38796" xr:uid="{00000000-0005-0000-0000-00009B9E0000}"/>
    <cellStyle name="표준 5 4 2 3 2 4 2 2 4" xfId="46989" xr:uid="{00000000-0005-0000-0000-00009C9E0000}"/>
    <cellStyle name="표준 5 4 2 3 2 4 2 3" xfId="18231" xr:uid="{00000000-0005-0000-0000-00009D9E0000}"/>
    <cellStyle name="표준 5 4 2 3 2 4 2 4" xfId="22393" xr:uid="{00000000-0005-0000-0000-00009E9E0000}"/>
    <cellStyle name="표준 5 4 2 3 2 4 2 5" xfId="26489" xr:uid="{00000000-0005-0000-0000-00009F9E0000}"/>
    <cellStyle name="표준 5 4 2 3 2 4 2 6" xfId="34700" xr:uid="{00000000-0005-0000-0000-0000A09E0000}"/>
    <cellStyle name="표준 5 4 2 3 2 4 2 7" xfId="42893" xr:uid="{00000000-0005-0000-0000-0000A19E0000}"/>
    <cellStyle name="표준 5 4 2 3 2 4 3" xfId="7831" xr:uid="{00000000-0005-0000-0000-0000A29E0000}"/>
    <cellStyle name="표준 5 4 2 3 2 4 3 2" xfId="28537" xr:uid="{00000000-0005-0000-0000-0000A39E0000}"/>
    <cellStyle name="표준 5 4 2 3 2 4 3 3" xfId="36748" xr:uid="{00000000-0005-0000-0000-0000A49E0000}"/>
    <cellStyle name="표준 5 4 2 3 2 4 3 4" xfId="44941" xr:uid="{00000000-0005-0000-0000-0000A59E0000}"/>
    <cellStyle name="표준 5 4 2 3 2 4 4" xfId="11943" xr:uid="{00000000-0005-0000-0000-0000A69E0000}"/>
    <cellStyle name="표준 5 4 2 3 2 4 5" xfId="16183" xr:uid="{00000000-0005-0000-0000-0000A79E0000}"/>
    <cellStyle name="표준 5 4 2 3 2 4 6" xfId="20345" xr:uid="{00000000-0005-0000-0000-0000A89E0000}"/>
    <cellStyle name="표준 5 4 2 3 2 4 7" xfId="24441" xr:uid="{00000000-0005-0000-0000-0000A99E0000}"/>
    <cellStyle name="표준 5 4 2 3 2 4 8" xfId="32652" xr:uid="{00000000-0005-0000-0000-0000AA9E0000}"/>
    <cellStyle name="표준 5 4 2 3 2 4 9" xfId="40845" xr:uid="{00000000-0005-0000-0000-0000AB9E0000}"/>
    <cellStyle name="표준 5 4 2 3 2 5" xfId="1488" xr:uid="{00000000-0005-0000-0000-0000AC9E0000}"/>
    <cellStyle name="표준 5 4 2 3 2 5 2" xfId="10391" xr:uid="{00000000-0005-0000-0000-0000AD9E0000}"/>
    <cellStyle name="표준 5 4 2 3 2 5 2 2" xfId="14503" xr:uid="{00000000-0005-0000-0000-0000AE9E0000}"/>
    <cellStyle name="표준 5 4 2 3 2 5 2 2 2" xfId="31097" xr:uid="{00000000-0005-0000-0000-0000AF9E0000}"/>
    <cellStyle name="표준 5 4 2 3 2 5 2 2 3" xfId="39308" xr:uid="{00000000-0005-0000-0000-0000B09E0000}"/>
    <cellStyle name="표준 5 4 2 3 2 5 2 2 4" xfId="47501" xr:uid="{00000000-0005-0000-0000-0000B19E0000}"/>
    <cellStyle name="표준 5 4 2 3 2 5 2 3" xfId="18743" xr:uid="{00000000-0005-0000-0000-0000B29E0000}"/>
    <cellStyle name="표준 5 4 2 3 2 5 2 4" xfId="22905" xr:uid="{00000000-0005-0000-0000-0000B39E0000}"/>
    <cellStyle name="표준 5 4 2 3 2 5 2 5" xfId="27001" xr:uid="{00000000-0005-0000-0000-0000B49E0000}"/>
    <cellStyle name="표준 5 4 2 3 2 5 2 6" xfId="35212" xr:uid="{00000000-0005-0000-0000-0000B59E0000}"/>
    <cellStyle name="표준 5 4 2 3 2 5 2 7" xfId="43405" xr:uid="{00000000-0005-0000-0000-0000B69E0000}"/>
    <cellStyle name="표준 5 4 2 3 2 5 3" xfId="8343" xr:uid="{00000000-0005-0000-0000-0000B79E0000}"/>
    <cellStyle name="표준 5 4 2 3 2 5 3 2" xfId="29049" xr:uid="{00000000-0005-0000-0000-0000B89E0000}"/>
    <cellStyle name="표준 5 4 2 3 2 5 3 3" xfId="37260" xr:uid="{00000000-0005-0000-0000-0000B99E0000}"/>
    <cellStyle name="표준 5 4 2 3 2 5 3 4" xfId="45453" xr:uid="{00000000-0005-0000-0000-0000BA9E0000}"/>
    <cellStyle name="표준 5 4 2 3 2 5 4" xfId="12455" xr:uid="{00000000-0005-0000-0000-0000BB9E0000}"/>
    <cellStyle name="표준 5 4 2 3 2 5 5" xfId="16695" xr:uid="{00000000-0005-0000-0000-0000BC9E0000}"/>
    <cellStyle name="표준 5 4 2 3 2 5 6" xfId="20857" xr:uid="{00000000-0005-0000-0000-0000BD9E0000}"/>
    <cellStyle name="표준 5 4 2 3 2 5 7" xfId="24953" xr:uid="{00000000-0005-0000-0000-0000BE9E0000}"/>
    <cellStyle name="표준 5 4 2 3 2 5 8" xfId="33164" xr:uid="{00000000-0005-0000-0000-0000BF9E0000}"/>
    <cellStyle name="표준 5 4 2 3 2 5 9" xfId="41357" xr:uid="{00000000-0005-0000-0000-0000C09E0000}"/>
    <cellStyle name="표준 5 4 2 3 2 6" xfId="2000" xr:uid="{00000000-0005-0000-0000-0000C19E0000}"/>
    <cellStyle name="표준 5 4 2 3 2 6 2" xfId="10903" xr:uid="{00000000-0005-0000-0000-0000C29E0000}"/>
    <cellStyle name="표준 5 4 2 3 2 6 2 2" xfId="15015" xr:uid="{00000000-0005-0000-0000-0000C39E0000}"/>
    <cellStyle name="표준 5 4 2 3 2 6 2 2 2" xfId="31609" xr:uid="{00000000-0005-0000-0000-0000C49E0000}"/>
    <cellStyle name="표준 5 4 2 3 2 6 2 2 3" xfId="39820" xr:uid="{00000000-0005-0000-0000-0000C59E0000}"/>
    <cellStyle name="표준 5 4 2 3 2 6 2 2 4" xfId="48013" xr:uid="{00000000-0005-0000-0000-0000C69E0000}"/>
    <cellStyle name="표준 5 4 2 3 2 6 2 3" xfId="19255" xr:uid="{00000000-0005-0000-0000-0000C79E0000}"/>
    <cellStyle name="표준 5 4 2 3 2 6 2 4" xfId="23417" xr:uid="{00000000-0005-0000-0000-0000C89E0000}"/>
    <cellStyle name="표준 5 4 2 3 2 6 2 5" xfId="27513" xr:uid="{00000000-0005-0000-0000-0000C99E0000}"/>
    <cellStyle name="표준 5 4 2 3 2 6 2 6" xfId="35724" xr:uid="{00000000-0005-0000-0000-0000CA9E0000}"/>
    <cellStyle name="표준 5 4 2 3 2 6 2 7" xfId="43917" xr:uid="{00000000-0005-0000-0000-0000CB9E0000}"/>
    <cellStyle name="표준 5 4 2 3 2 6 3" xfId="8855" xr:uid="{00000000-0005-0000-0000-0000CC9E0000}"/>
    <cellStyle name="표준 5 4 2 3 2 6 3 2" xfId="29561" xr:uid="{00000000-0005-0000-0000-0000CD9E0000}"/>
    <cellStyle name="표준 5 4 2 3 2 6 3 3" xfId="37772" xr:uid="{00000000-0005-0000-0000-0000CE9E0000}"/>
    <cellStyle name="표준 5 4 2 3 2 6 3 4" xfId="45965" xr:uid="{00000000-0005-0000-0000-0000CF9E0000}"/>
    <cellStyle name="표준 5 4 2 3 2 6 4" xfId="12967" xr:uid="{00000000-0005-0000-0000-0000D09E0000}"/>
    <cellStyle name="표준 5 4 2 3 2 6 5" xfId="17207" xr:uid="{00000000-0005-0000-0000-0000D19E0000}"/>
    <cellStyle name="표준 5 4 2 3 2 6 6" xfId="21369" xr:uid="{00000000-0005-0000-0000-0000D29E0000}"/>
    <cellStyle name="표준 5 4 2 3 2 6 7" xfId="25465" xr:uid="{00000000-0005-0000-0000-0000D39E0000}"/>
    <cellStyle name="표준 5 4 2 3 2 6 8" xfId="33676" xr:uid="{00000000-0005-0000-0000-0000D49E0000}"/>
    <cellStyle name="표준 5 4 2 3 2 6 9" xfId="41869" xr:uid="{00000000-0005-0000-0000-0000D59E0000}"/>
    <cellStyle name="표준 5 4 2 3 2 7" xfId="7060" xr:uid="{00000000-0005-0000-0000-0000D69E0000}"/>
    <cellStyle name="표준 5 4 2 3 2 7 2" xfId="9367" xr:uid="{00000000-0005-0000-0000-0000D79E0000}"/>
    <cellStyle name="표준 5 4 2 3 2 7 2 2" xfId="30073" xr:uid="{00000000-0005-0000-0000-0000D89E0000}"/>
    <cellStyle name="표준 5 4 2 3 2 7 2 3" xfId="38284" xr:uid="{00000000-0005-0000-0000-0000D99E0000}"/>
    <cellStyle name="표준 5 4 2 3 2 7 2 4" xfId="46477" xr:uid="{00000000-0005-0000-0000-0000DA9E0000}"/>
    <cellStyle name="표준 5 4 2 3 2 7 3" xfId="13479" xr:uid="{00000000-0005-0000-0000-0000DB9E0000}"/>
    <cellStyle name="표준 5 4 2 3 2 7 4" xfId="17719" xr:uid="{00000000-0005-0000-0000-0000DC9E0000}"/>
    <cellStyle name="표준 5 4 2 3 2 7 5" xfId="21881" xr:uid="{00000000-0005-0000-0000-0000DD9E0000}"/>
    <cellStyle name="표준 5 4 2 3 2 7 6" xfId="25977" xr:uid="{00000000-0005-0000-0000-0000DE9E0000}"/>
    <cellStyle name="표준 5 4 2 3 2 7 7" xfId="34188" xr:uid="{00000000-0005-0000-0000-0000DF9E0000}"/>
    <cellStyle name="표준 5 4 2 3 2 7 8" xfId="42381" xr:uid="{00000000-0005-0000-0000-0000E09E0000}"/>
    <cellStyle name="표준 5 4 2 3 2 8" xfId="7118" xr:uid="{00000000-0005-0000-0000-0000E19E0000}"/>
    <cellStyle name="표준 5 4 2 3 2 8 2" xfId="28025" xr:uid="{00000000-0005-0000-0000-0000E29E0000}"/>
    <cellStyle name="표준 5 4 2 3 2 8 3" xfId="36236" xr:uid="{00000000-0005-0000-0000-0000E39E0000}"/>
    <cellStyle name="표준 5 4 2 3 2 8 4" xfId="44429" xr:uid="{00000000-0005-0000-0000-0000E49E0000}"/>
    <cellStyle name="표준 5 4 2 3 2 9" xfId="7319" xr:uid="{00000000-0005-0000-0000-0000E59E0000}"/>
    <cellStyle name="표준 5 4 2 3 3" xfId="528" xr:uid="{00000000-0005-0000-0000-0000E69E0000}"/>
    <cellStyle name="표준 5 4 2 3 3 10" xfId="19897" xr:uid="{00000000-0005-0000-0000-0000E79E0000}"/>
    <cellStyle name="표준 5 4 2 3 3 11" xfId="23993" xr:uid="{00000000-0005-0000-0000-0000E89E0000}"/>
    <cellStyle name="표준 5 4 2 3 3 12" xfId="32204" xr:uid="{00000000-0005-0000-0000-0000E99E0000}"/>
    <cellStyle name="표준 5 4 2 3 3 13" xfId="40397" xr:uid="{00000000-0005-0000-0000-0000EA9E0000}"/>
    <cellStyle name="표준 5 4 2 3 3 2" xfId="784" xr:uid="{00000000-0005-0000-0000-0000EB9E0000}"/>
    <cellStyle name="표준 5 4 2 3 3 2 10" xfId="24249" xr:uid="{00000000-0005-0000-0000-0000EC9E0000}"/>
    <cellStyle name="표준 5 4 2 3 3 2 11" xfId="32460" xr:uid="{00000000-0005-0000-0000-0000ED9E0000}"/>
    <cellStyle name="표준 5 4 2 3 3 2 12" xfId="40653" xr:uid="{00000000-0005-0000-0000-0000EE9E0000}"/>
    <cellStyle name="표준 5 4 2 3 3 2 2" xfId="1296" xr:uid="{00000000-0005-0000-0000-0000EF9E0000}"/>
    <cellStyle name="표준 5 4 2 3 3 2 2 2" xfId="10199" xr:uid="{00000000-0005-0000-0000-0000F09E0000}"/>
    <cellStyle name="표준 5 4 2 3 3 2 2 2 2" xfId="14311" xr:uid="{00000000-0005-0000-0000-0000F19E0000}"/>
    <cellStyle name="표준 5 4 2 3 3 2 2 2 2 2" xfId="30905" xr:uid="{00000000-0005-0000-0000-0000F29E0000}"/>
    <cellStyle name="표준 5 4 2 3 3 2 2 2 2 3" xfId="39116" xr:uid="{00000000-0005-0000-0000-0000F39E0000}"/>
    <cellStyle name="표준 5 4 2 3 3 2 2 2 2 4" xfId="47309" xr:uid="{00000000-0005-0000-0000-0000F49E0000}"/>
    <cellStyle name="표준 5 4 2 3 3 2 2 2 3" xfId="18551" xr:uid="{00000000-0005-0000-0000-0000F59E0000}"/>
    <cellStyle name="표준 5 4 2 3 3 2 2 2 4" xfId="22713" xr:uid="{00000000-0005-0000-0000-0000F69E0000}"/>
    <cellStyle name="표준 5 4 2 3 3 2 2 2 5" xfId="26809" xr:uid="{00000000-0005-0000-0000-0000F79E0000}"/>
    <cellStyle name="표준 5 4 2 3 3 2 2 2 6" xfId="35020" xr:uid="{00000000-0005-0000-0000-0000F89E0000}"/>
    <cellStyle name="표준 5 4 2 3 3 2 2 2 7" xfId="43213" xr:uid="{00000000-0005-0000-0000-0000F99E0000}"/>
    <cellStyle name="표준 5 4 2 3 3 2 2 3" xfId="8151" xr:uid="{00000000-0005-0000-0000-0000FA9E0000}"/>
    <cellStyle name="표준 5 4 2 3 3 2 2 3 2" xfId="28857" xr:uid="{00000000-0005-0000-0000-0000FB9E0000}"/>
    <cellStyle name="표준 5 4 2 3 3 2 2 3 3" xfId="37068" xr:uid="{00000000-0005-0000-0000-0000FC9E0000}"/>
    <cellStyle name="표준 5 4 2 3 3 2 2 3 4" xfId="45261" xr:uid="{00000000-0005-0000-0000-0000FD9E0000}"/>
    <cellStyle name="표준 5 4 2 3 3 2 2 4" xfId="12263" xr:uid="{00000000-0005-0000-0000-0000FE9E0000}"/>
    <cellStyle name="표준 5 4 2 3 3 2 2 5" xfId="16503" xr:uid="{00000000-0005-0000-0000-0000FF9E0000}"/>
    <cellStyle name="표준 5 4 2 3 3 2 2 6" xfId="20665" xr:uid="{00000000-0005-0000-0000-0000009F0000}"/>
    <cellStyle name="표준 5 4 2 3 3 2 2 7" xfId="24761" xr:uid="{00000000-0005-0000-0000-0000019F0000}"/>
    <cellStyle name="표준 5 4 2 3 3 2 2 8" xfId="32972" xr:uid="{00000000-0005-0000-0000-0000029F0000}"/>
    <cellStyle name="표준 5 4 2 3 3 2 2 9" xfId="41165" xr:uid="{00000000-0005-0000-0000-0000039F0000}"/>
    <cellStyle name="표준 5 4 2 3 3 2 3" xfId="1808" xr:uid="{00000000-0005-0000-0000-0000049F0000}"/>
    <cellStyle name="표준 5 4 2 3 3 2 3 2" xfId="10711" xr:uid="{00000000-0005-0000-0000-0000059F0000}"/>
    <cellStyle name="표준 5 4 2 3 3 2 3 2 2" xfId="14823" xr:uid="{00000000-0005-0000-0000-0000069F0000}"/>
    <cellStyle name="표준 5 4 2 3 3 2 3 2 2 2" xfId="31417" xr:uid="{00000000-0005-0000-0000-0000079F0000}"/>
    <cellStyle name="표준 5 4 2 3 3 2 3 2 2 3" xfId="39628" xr:uid="{00000000-0005-0000-0000-0000089F0000}"/>
    <cellStyle name="표준 5 4 2 3 3 2 3 2 2 4" xfId="47821" xr:uid="{00000000-0005-0000-0000-0000099F0000}"/>
    <cellStyle name="표준 5 4 2 3 3 2 3 2 3" xfId="19063" xr:uid="{00000000-0005-0000-0000-00000A9F0000}"/>
    <cellStyle name="표준 5 4 2 3 3 2 3 2 4" xfId="23225" xr:uid="{00000000-0005-0000-0000-00000B9F0000}"/>
    <cellStyle name="표준 5 4 2 3 3 2 3 2 5" xfId="27321" xr:uid="{00000000-0005-0000-0000-00000C9F0000}"/>
    <cellStyle name="표준 5 4 2 3 3 2 3 2 6" xfId="35532" xr:uid="{00000000-0005-0000-0000-00000D9F0000}"/>
    <cellStyle name="표준 5 4 2 3 3 2 3 2 7" xfId="43725" xr:uid="{00000000-0005-0000-0000-00000E9F0000}"/>
    <cellStyle name="표준 5 4 2 3 3 2 3 3" xfId="8663" xr:uid="{00000000-0005-0000-0000-00000F9F0000}"/>
    <cellStyle name="표준 5 4 2 3 3 2 3 3 2" xfId="29369" xr:uid="{00000000-0005-0000-0000-0000109F0000}"/>
    <cellStyle name="표준 5 4 2 3 3 2 3 3 3" xfId="37580" xr:uid="{00000000-0005-0000-0000-0000119F0000}"/>
    <cellStyle name="표준 5 4 2 3 3 2 3 3 4" xfId="45773" xr:uid="{00000000-0005-0000-0000-0000129F0000}"/>
    <cellStyle name="표준 5 4 2 3 3 2 3 4" xfId="12775" xr:uid="{00000000-0005-0000-0000-0000139F0000}"/>
    <cellStyle name="표준 5 4 2 3 3 2 3 5" xfId="17015" xr:uid="{00000000-0005-0000-0000-0000149F0000}"/>
    <cellStyle name="표준 5 4 2 3 3 2 3 6" xfId="21177" xr:uid="{00000000-0005-0000-0000-0000159F0000}"/>
    <cellStyle name="표준 5 4 2 3 3 2 3 7" xfId="25273" xr:uid="{00000000-0005-0000-0000-0000169F0000}"/>
    <cellStyle name="표준 5 4 2 3 3 2 3 8" xfId="33484" xr:uid="{00000000-0005-0000-0000-0000179F0000}"/>
    <cellStyle name="표준 5 4 2 3 3 2 3 9" xfId="41677" xr:uid="{00000000-0005-0000-0000-0000189F0000}"/>
    <cellStyle name="표준 5 4 2 3 3 2 4" xfId="2320" xr:uid="{00000000-0005-0000-0000-0000199F0000}"/>
    <cellStyle name="표준 5 4 2 3 3 2 4 2" xfId="11223" xr:uid="{00000000-0005-0000-0000-00001A9F0000}"/>
    <cellStyle name="표준 5 4 2 3 3 2 4 2 2" xfId="15335" xr:uid="{00000000-0005-0000-0000-00001B9F0000}"/>
    <cellStyle name="표준 5 4 2 3 3 2 4 2 2 2" xfId="31929" xr:uid="{00000000-0005-0000-0000-00001C9F0000}"/>
    <cellStyle name="표준 5 4 2 3 3 2 4 2 2 3" xfId="40140" xr:uid="{00000000-0005-0000-0000-00001D9F0000}"/>
    <cellStyle name="표준 5 4 2 3 3 2 4 2 2 4" xfId="48333" xr:uid="{00000000-0005-0000-0000-00001E9F0000}"/>
    <cellStyle name="표준 5 4 2 3 3 2 4 2 3" xfId="19575" xr:uid="{00000000-0005-0000-0000-00001F9F0000}"/>
    <cellStyle name="표준 5 4 2 3 3 2 4 2 4" xfId="23737" xr:uid="{00000000-0005-0000-0000-0000209F0000}"/>
    <cellStyle name="표준 5 4 2 3 3 2 4 2 5" xfId="27833" xr:uid="{00000000-0005-0000-0000-0000219F0000}"/>
    <cellStyle name="표준 5 4 2 3 3 2 4 2 6" xfId="36044" xr:uid="{00000000-0005-0000-0000-0000229F0000}"/>
    <cellStyle name="표준 5 4 2 3 3 2 4 2 7" xfId="44237" xr:uid="{00000000-0005-0000-0000-0000239F0000}"/>
    <cellStyle name="표준 5 4 2 3 3 2 4 3" xfId="9175" xr:uid="{00000000-0005-0000-0000-0000249F0000}"/>
    <cellStyle name="표준 5 4 2 3 3 2 4 3 2" xfId="29881" xr:uid="{00000000-0005-0000-0000-0000259F0000}"/>
    <cellStyle name="표준 5 4 2 3 3 2 4 3 3" xfId="38092" xr:uid="{00000000-0005-0000-0000-0000269F0000}"/>
    <cellStyle name="표준 5 4 2 3 3 2 4 3 4" xfId="46285" xr:uid="{00000000-0005-0000-0000-0000279F0000}"/>
    <cellStyle name="표준 5 4 2 3 3 2 4 4" xfId="13287" xr:uid="{00000000-0005-0000-0000-0000289F0000}"/>
    <cellStyle name="표준 5 4 2 3 3 2 4 5" xfId="17527" xr:uid="{00000000-0005-0000-0000-0000299F0000}"/>
    <cellStyle name="표준 5 4 2 3 3 2 4 6" xfId="21689" xr:uid="{00000000-0005-0000-0000-00002A9F0000}"/>
    <cellStyle name="표준 5 4 2 3 3 2 4 7" xfId="25785" xr:uid="{00000000-0005-0000-0000-00002B9F0000}"/>
    <cellStyle name="표준 5 4 2 3 3 2 4 8" xfId="33996" xr:uid="{00000000-0005-0000-0000-00002C9F0000}"/>
    <cellStyle name="표준 5 4 2 3 3 2 4 9" xfId="42189" xr:uid="{00000000-0005-0000-0000-00002D9F0000}"/>
    <cellStyle name="표준 5 4 2 3 3 2 5" xfId="9687" xr:uid="{00000000-0005-0000-0000-00002E9F0000}"/>
    <cellStyle name="표준 5 4 2 3 3 2 5 2" xfId="13799" xr:uid="{00000000-0005-0000-0000-00002F9F0000}"/>
    <cellStyle name="표준 5 4 2 3 3 2 5 2 2" xfId="30393" xr:uid="{00000000-0005-0000-0000-0000309F0000}"/>
    <cellStyle name="표준 5 4 2 3 3 2 5 2 3" xfId="38604" xr:uid="{00000000-0005-0000-0000-0000319F0000}"/>
    <cellStyle name="표준 5 4 2 3 3 2 5 2 4" xfId="46797" xr:uid="{00000000-0005-0000-0000-0000329F0000}"/>
    <cellStyle name="표준 5 4 2 3 3 2 5 3" xfId="18039" xr:uid="{00000000-0005-0000-0000-0000339F0000}"/>
    <cellStyle name="표준 5 4 2 3 3 2 5 4" xfId="22201" xr:uid="{00000000-0005-0000-0000-0000349F0000}"/>
    <cellStyle name="표준 5 4 2 3 3 2 5 5" xfId="26297" xr:uid="{00000000-0005-0000-0000-0000359F0000}"/>
    <cellStyle name="표준 5 4 2 3 3 2 5 6" xfId="34508" xr:uid="{00000000-0005-0000-0000-0000369F0000}"/>
    <cellStyle name="표준 5 4 2 3 3 2 5 7" xfId="42701" xr:uid="{00000000-0005-0000-0000-0000379F0000}"/>
    <cellStyle name="표준 5 4 2 3 3 2 6" xfId="7639" xr:uid="{00000000-0005-0000-0000-0000389F0000}"/>
    <cellStyle name="표준 5 4 2 3 3 2 6 2" xfId="28345" xr:uid="{00000000-0005-0000-0000-0000399F0000}"/>
    <cellStyle name="표준 5 4 2 3 3 2 6 3" xfId="36556" xr:uid="{00000000-0005-0000-0000-00003A9F0000}"/>
    <cellStyle name="표준 5 4 2 3 3 2 6 4" xfId="44749" xr:uid="{00000000-0005-0000-0000-00003B9F0000}"/>
    <cellStyle name="표준 5 4 2 3 3 2 7" xfId="11751" xr:uid="{00000000-0005-0000-0000-00003C9F0000}"/>
    <cellStyle name="표준 5 4 2 3 3 2 8" xfId="15991" xr:uid="{00000000-0005-0000-0000-00003D9F0000}"/>
    <cellStyle name="표준 5 4 2 3 3 2 9" xfId="20153" xr:uid="{00000000-0005-0000-0000-00003E9F0000}"/>
    <cellStyle name="표준 5 4 2 3 3 3" xfId="1040" xr:uid="{00000000-0005-0000-0000-00003F9F0000}"/>
    <cellStyle name="표준 5 4 2 3 3 3 2" xfId="9943" xr:uid="{00000000-0005-0000-0000-0000409F0000}"/>
    <cellStyle name="표준 5 4 2 3 3 3 2 2" xfId="14055" xr:uid="{00000000-0005-0000-0000-0000419F0000}"/>
    <cellStyle name="표준 5 4 2 3 3 3 2 2 2" xfId="30649" xr:uid="{00000000-0005-0000-0000-0000429F0000}"/>
    <cellStyle name="표준 5 4 2 3 3 3 2 2 3" xfId="38860" xr:uid="{00000000-0005-0000-0000-0000439F0000}"/>
    <cellStyle name="표준 5 4 2 3 3 3 2 2 4" xfId="47053" xr:uid="{00000000-0005-0000-0000-0000449F0000}"/>
    <cellStyle name="표준 5 4 2 3 3 3 2 3" xfId="18295" xr:uid="{00000000-0005-0000-0000-0000459F0000}"/>
    <cellStyle name="표준 5 4 2 3 3 3 2 4" xfId="22457" xr:uid="{00000000-0005-0000-0000-0000469F0000}"/>
    <cellStyle name="표준 5 4 2 3 3 3 2 5" xfId="26553" xr:uid="{00000000-0005-0000-0000-0000479F0000}"/>
    <cellStyle name="표준 5 4 2 3 3 3 2 6" xfId="34764" xr:uid="{00000000-0005-0000-0000-0000489F0000}"/>
    <cellStyle name="표준 5 4 2 3 3 3 2 7" xfId="42957" xr:uid="{00000000-0005-0000-0000-0000499F0000}"/>
    <cellStyle name="표준 5 4 2 3 3 3 3" xfId="7895" xr:uid="{00000000-0005-0000-0000-00004A9F0000}"/>
    <cellStyle name="표준 5 4 2 3 3 3 3 2" xfId="28601" xr:uid="{00000000-0005-0000-0000-00004B9F0000}"/>
    <cellStyle name="표준 5 4 2 3 3 3 3 3" xfId="36812" xr:uid="{00000000-0005-0000-0000-00004C9F0000}"/>
    <cellStyle name="표준 5 4 2 3 3 3 3 4" xfId="45005" xr:uid="{00000000-0005-0000-0000-00004D9F0000}"/>
    <cellStyle name="표준 5 4 2 3 3 3 4" xfId="12007" xr:uid="{00000000-0005-0000-0000-00004E9F0000}"/>
    <cellStyle name="표준 5 4 2 3 3 3 5" xfId="16247" xr:uid="{00000000-0005-0000-0000-00004F9F0000}"/>
    <cellStyle name="표준 5 4 2 3 3 3 6" xfId="20409" xr:uid="{00000000-0005-0000-0000-0000509F0000}"/>
    <cellStyle name="표준 5 4 2 3 3 3 7" xfId="24505" xr:uid="{00000000-0005-0000-0000-0000519F0000}"/>
    <cellStyle name="표준 5 4 2 3 3 3 8" xfId="32716" xr:uid="{00000000-0005-0000-0000-0000529F0000}"/>
    <cellStyle name="표준 5 4 2 3 3 3 9" xfId="40909" xr:uid="{00000000-0005-0000-0000-0000539F0000}"/>
    <cellStyle name="표준 5 4 2 3 3 4" xfId="1552" xr:uid="{00000000-0005-0000-0000-0000549F0000}"/>
    <cellStyle name="표준 5 4 2 3 3 4 2" xfId="10455" xr:uid="{00000000-0005-0000-0000-0000559F0000}"/>
    <cellStyle name="표준 5 4 2 3 3 4 2 2" xfId="14567" xr:uid="{00000000-0005-0000-0000-0000569F0000}"/>
    <cellStyle name="표준 5 4 2 3 3 4 2 2 2" xfId="31161" xr:uid="{00000000-0005-0000-0000-0000579F0000}"/>
    <cellStyle name="표준 5 4 2 3 3 4 2 2 3" xfId="39372" xr:uid="{00000000-0005-0000-0000-0000589F0000}"/>
    <cellStyle name="표준 5 4 2 3 3 4 2 2 4" xfId="47565" xr:uid="{00000000-0005-0000-0000-0000599F0000}"/>
    <cellStyle name="표준 5 4 2 3 3 4 2 3" xfId="18807" xr:uid="{00000000-0005-0000-0000-00005A9F0000}"/>
    <cellStyle name="표준 5 4 2 3 3 4 2 4" xfId="22969" xr:uid="{00000000-0005-0000-0000-00005B9F0000}"/>
    <cellStyle name="표준 5 4 2 3 3 4 2 5" xfId="27065" xr:uid="{00000000-0005-0000-0000-00005C9F0000}"/>
    <cellStyle name="표준 5 4 2 3 3 4 2 6" xfId="35276" xr:uid="{00000000-0005-0000-0000-00005D9F0000}"/>
    <cellStyle name="표준 5 4 2 3 3 4 2 7" xfId="43469" xr:uid="{00000000-0005-0000-0000-00005E9F0000}"/>
    <cellStyle name="표준 5 4 2 3 3 4 3" xfId="8407" xr:uid="{00000000-0005-0000-0000-00005F9F0000}"/>
    <cellStyle name="표준 5 4 2 3 3 4 3 2" xfId="29113" xr:uid="{00000000-0005-0000-0000-0000609F0000}"/>
    <cellStyle name="표준 5 4 2 3 3 4 3 3" xfId="37324" xr:uid="{00000000-0005-0000-0000-0000619F0000}"/>
    <cellStyle name="표준 5 4 2 3 3 4 3 4" xfId="45517" xr:uid="{00000000-0005-0000-0000-0000629F0000}"/>
    <cellStyle name="표준 5 4 2 3 3 4 4" xfId="12519" xr:uid="{00000000-0005-0000-0000-0000639F0000}"/>
    <cellStyle name="표준 5 4 2 3 3 4 5" xfId="16759" xr:uid="{00000000-0005-0000-0000-0000649F0000}"/>
    <cellStyle name="표준 5 4 2 3 3 4 6" xfId="20921" xr:uid="{00000000-0005-0000-0000-0000659F0000}"/>
    <cellStyle name="표준 5 4 2 3 3 4 7" xfId="25017" xr:uid="{00000000-0005-0000-0000-0000669F0000}"/>
    <cellStyle name="표준 5 4 2 3 3 4 8" xfId="33228" xr:uid="{00000000-0005-0000-0000-0000679F0000}"/>
    <cellStyle name="표준 5 4 2 3 3 4 9" xfId="41421" xr:uid="{00000000-0005-0000-0000-0000689F0000}"/>
    <cellStyle name="표준 5 4 2 3 3 5" xfId="2064" xr:uid="{00000000-0005-0000-0000-0000699F0000}"/>
    <cellStyle name="표준 5 4 2 3 3 5 2" xfId="10967" xr:uid="{00000000-0005-0000-0000-00006A9F0000}"/>
    <cellStyle name="표준 5 4 2 3 3 5 2 2" xfId="15079" xr:uid="{00000000-0005-0000-0000-00006B9F0000}"/>
    <cellStyle name="표준 5 4 2 3 3 5 2 2 2" xfId="31673" xr:uid="{00000000-0005-0000-0000-00006C9F0000}"/>
    <cellStyle name="표준 5 4 2 3 3 5 2 2 3" xfId="39884" xr:uid="{00000000-0005-0000-0000-00006D9F0000}"/>
    <cellStyle name="표준 5 4 2 3 3 5 2 2 4" xfId="48077" xr:uid="{00000000-0005-0000-0000-00006E9F0000}"/>
    <cellStyle name="표준 5 4 2 3 3 5 2 3" xfId="19319" xr:uid="{00000000-0005-0000-0000-00006F9F0000}"/>
    <cellStyle name="표준 5 4 2 3 3 5 2 4" xfId="23481" xr:uid="{00000000-0005-0000-0000-0000709F0000}"/>
    <cellStyle name="표준 5 4 2 3 3 5 2 5" xfId="27577" xr:uid="{00000000-0005-0000-0000-0000719F0000}"/>
    <cellStyle name="표준 5 4 2 3 3 5 2 6" xfId="35788" xr:uid="{00000000-0005-0000-0000-0000729F0000}"/>
    <cellStyle name="표준 5 4 2 3 3 5 2 7" xfId="43981" xr:uid="{00000000-0005-0000-0000-0000739F0000}"/>
    <cellStyle name="표준 5 4 2 3 3 5 3" xfId="8919" xr:uid="{00000000-0005-0000-0000-0000749F0000}"/>
    <cellStyle name="표준 5 4 2 3 3 5 3 2" xfId="29625" xr:uid="{00000000-0005-0000-0000-0000759F0000}"/>
    <cellStyle name="표준 5 4 2 3 3 5 3 3" xfId="37836" xr:uid="{00000000-0005-0000-0000-0000769F0000}"/>
    <cellStyle name="표준 5 4 2 3 3 5 3 4" xfId="46029" xr:uid="{00000000-0005-0000-0000-0000779F0000}"/>
    <cellStyle name="표준 5 4 2 3 3 5 4" xfId="13031" xr:uid="{00000000-0005-0000-0000-0000789F0000}"/>
    <cellStyle name="표준 5 4 2 3 3 5 5" xfId="17271" xr:uid="{00000000-0005-0000-0000-0000799F0000}"/>
    <cellStyle name="표준 5 4 2 3 3 5 6" xfId="21433" xr:uid="{00000000-0005-0000-0000-00007A9F0000}"/>
    <cellStyle name="표준 5 4 2 3 3 5 7" xfId="25529" xr:uid="{00000000-0005-0000-0000-00007B9F0000}"/>
    <cellStyle name="표준 5 4 2 3 3 5 8" xfId="33740" xr:uid="{00000000-0005-0000-0000-00007C9F0000}"/>
    <cellStyle name="표준 5 4 2 3 3 5 9" xfId="41933" xr:uid="{00000000-0005-0000-0000-00007D9F0000}"/>
    <cellStyle name="표준 5 4 2 3 3 6" xfId="9431" xr:uid="{00000000-0005-0000-0000-00007E9F0000}"/>
    <cellStyle name="표준 5 4 2 3 3 6 2" xfId="13543" xr:uid="{00000000-0005-0000-0000-00007F9F0000}"/>
    <cellStyle name="표준 5 4 2 3 3 6 2 2" xfId="30137" xr:uid="{00000000-0005-0000-0000-0000809F0000}"/>
    <cellStyle name="표준 5 4 2 3 3 6 2 3" xfId="38348" xr:uid="{00000000-0005-0000-0000-0000819F0000}"/>
    <cellStyle name="표준 5 4 2 3 3 6 2 4" xfId="46541" xr:uid="{00000000-0005-0000-0000-0000829F0000}"/>
    <cellStyle name="표준 5 4 2 3 3 6 3" xfId="17783" xr:uid="{00000000-0005-0000-0000-0000839F0000}"/>
    <cellStyle name="표준 5 4 2 3 3 6 4" xfId="21945" xr:uid="{00000000-0005-0000-0000-0000849F0000}"/>
    <cellStyle name="표준 5 4 2 3 3 6 5" xfId="26041" xr:uid="{00000000-0005-0000-0000-0000859F0000}"/>
    <cellStyle name="표준 5 4 2 3 3 6 6" xfId="34252" xr:uid="{00000000-0005-0000-0000-0000869F0000}"/>
    <cellStyle name="표준 5 4 2 3 3 6 7" xfId="42445" xr:uid="{00000000-0005-0000-0000-0000879F0000}"/>
    <cellStyle name="표준 5 4 2 3 3 7" xfId="7383" xr:uid="{00000000-0005-0000-0000-0000889F0000}"/>
    <cellStyle name="표준 5 4 2 3 3 7 2" xfId="28089" xr:uid="{00000000-0005-0000-0000-0000899F0000}"/>
    <cellStyle name="표준 5 4 2 3 3 7 3" xfId="36300" xr:uid="{00000000-0005-0000-0000-00008A9F0000}"/>
    <cellStyle name="표준 5 4 2 3 3 7 4" xfId="44493" xr:uid="{00000000-0005-0000-0000-00008B9F0000}"/>
    <cellStyle name="표준 5 4 2 3 3 8" xfId="11495" xr:uid="{00000000-0005-0000-0000-00008C9F0000}"/>
    <cellStyle name="표준 5 4 2 3 3 9" xfId="15735" xr:uid="{00000000-0005-0000-0000-00008D9F0000}"/>
    <cellStyle name="표준 5 4 2 3 4" xfId="656" xr:uid="{00000000-0005-0000-0000-00008E9F0000}"/>
    <cellStyle name="표준 5 4 2 3 4 10" xfId="24121" xr:uid="{00000000-0005-0000-0000-00008F9F0000}"/>
    <cellStyle name="표준 5 4 2 3 4 11" xfId="32332" xr:uid="{00000000-0005-0000-0000-0000909F0000}"/>
    <cellStyle name="표준 5 4 2 3 4 12" xfId="40525" xr:uid="{00000000-0005-0000-0000-0000919F0000}"/>
    <cellStyle name="표준 5 4 2 3 4 2" xfId="1168" xr:uid="{00000000-0005-0000-0000-0000929F0000}"/>
    <cellStyle name="표준 5 4 2 3 4 2 2" xfId="10071" xr:uid="{00000000-0005-0000-0000-0000939F0000}"/>
    <cellStyle name="표준 5 4 2 3 4 2 2 2" xfId="14183" xr:uid="{00000000-0005-0000-0000-0000949F0000}"/>
    <cellStyle name="표준 5 4 2 3 4 2 2 2 2" xfId="30777" xr:uid="{00000000-0005-0000-0000-0000959F0000}"/>
    <cellStyle name="표준 5 4 2 3 4 2 2 2 3" xfId="38988" xr:uid="{00000000-0005-0000-0000-0000969F0000}"/>
    <cellStyle name="표준 5 4 2 3 4 2 2 2 4" xfId="47181" xr:uid="{00000000-0005-0000-0000-0000979F0000}"/>
    <cellStyle name="표준 5 4 2 3 4 2 2 3" xfId="18423" xr:uid="{00000000-0005-0000-0000-0000989F0000}"/>
    <cellStyle name="표준 5 4 2 3 4 2 2 4" xfId="22585" xr:uid="{00000000-0005-0000-0000-0000999F0000}"/>
    <cellStyle name="표준 5 4 2 3 4 2 2 5" xfId="26681" xr:uid="{00000000-0005-0000-0000-00009A9F0000}"/>
    <cellStyle name="표준 5 4 2 3 4 2 2 6" xfId="34892" xr:uid="{00000000-0005-0000-0000-00009B9F0000}"/>
    <cellStyle name="표준 5 4 2 3 4 2 2 7" xfId="43085" xr:uid="{00000000-0005-0000-0000-00009C9F0000}"/>
    <cellStyle name="표준 5 4 2 3 4 2 3" xfId="8023" xr:uid="{00000000-0005-0000-0000-00009D9F0000}"/>
    <cellStyle name="표준 5 4 2 3 4 2 3 2" xfId="28729" xr:uid="{00000000-0005-0000-0000-00009E9F0000}"/>
    <cellStyle name="표준 5 4 2 3 4 2 3 3" xfId="36940" xr:uid="{00000000-0005-0000-0000-00009F9F0000}"/>
    <cellStyle name="표준 5 4 2 3 4 2 3 4" xfId="45133" xr:uid="{00000000-0005-0000-0000-0000A09F0000}"/>
    <cellStyle name="표준 5 4 2 3 4 2 4" xfId="12135" xr:uid="{00000000-0005-0000-0000-0000A19F0000}"/>
    <cellStyle name="표준 5 4 2 3 4 2 5" xfId="16375" xr:uid="{00000000-0005-0000-0000-0000A29F0000}"/>
    <cellStyle name="표준 5 4 2 3 4 2 6" xfId="20537" xr:uid="{00000000-0005-0000-0000-0000A39F0000}"/>
    <cellStyle name="표준 5 4 2 3 4 2 7" xfId="24633" xr:uid="{00000000-0005-0000-0000-0000A49F0000}"/>
    <cellStyle name="표준 5 4 2 3 4 2 8" xfId="32844" xr:uid="{00000000-0005-0000-0000-0000A59F0000}"/>
    <cellStyle name="표준 5 4 2 3 4 2 9" xfId="41037" xr:uid="{00000000-0005-0000-0000-0000A69F0000}"/>
    <cellStyle name="표준 5 4 2 3 4 3" xfId="1680" xr:uid="{00000000-0005-0000-0000-0000A79F0000}"/>
    <cellStyle name="표준 5 4 2 3 4 3 2" xfId="10583" xr:uid="{00000000-0005-0000-0000-0000A89F0000}"/>
    <cellStyle name="표준 5 4 2 3 4 3 2 2" xfId="14695" xr:uid="{00000000-0005-0000-0000-0000A99F0000}"/>
    <cellStyle name="표준 5 4 2 3 4 3 2 2 2" xfId="31289" xr:uid="{00000000-0005-0000-0000-0000AA9F0000}"/>
    <cellStyle name="표준 5 4 2 3 4 3 2 2 3" xfId="39500" xr:uid="{00000000-0005-0000-0000-0000AB9F0000}"/>
    <cellStyle name="표준 5 4 2 3 4 3 2 2 4" xfId="47693" xr:uid="{00000000-0005-0000-0000-0000AC9F0000}"/>
    <cellStyle name="표준 5 4 2 3 4 3 2 3" xfId="18935" xr:uid="{00000000-0005-0000-0000-0000AD9F0000}"/>
    <cellStyle name="표준 5 4 2 3 4 3 2 4" xfId="23097" xr:uid="{00000000-0005-0000-0000-0000AE9F0000}"/>
    <cellStyle name="표준 5 4 2 3 4 3 2 5" xfId="27193" xr:uid="{00000000-0005-0000-0000-0000AF9F0000}"/>
    <cellStyle name="표준 5 4 2 3 4 3 2 6" xfId="35404" xr:uid="{00000000-0005-0000-0000-0000B09F0000}"/>
    <cellStyle name="표준 5 4 2 3 4 3 2 7" xfId="43597" xr:uid="{00000000-0005-0000-0000-0000B19F0000}"/>
    <cellStyle name="표준 5 4 2 3 4 3 3" xfId="8535" xr:uid="{00000000-0005-0000-0000-0000B29F0000}"/>
    <cellStyle name="표준 5 4 2 3 4 3 3 2" xfId="29241" xr:uid="{00000000-0005-0000-0000-0000B39F0000}"/>
    <cellStyle name="표준 5 4 2 3 4 3 3 3" xfId="37452" xr:uid="{00000000-0005-0000-0000-0000B49F0000}"/>
    <cellStyle name="표준 5 4 2 3 4 3 3 4" xfId="45645" xr:uid="{00000000-0005-0000-0000-0000B59F0000}"/>
    <cellStyle name="표준 5 4 2 3 4 3 4" xfId="12647" xr:uid="{00000000-0005-0000-0000-0000B69F0000}"/>
    <cellStyle name="표준 5 4 2 3 4 3 5" xfId="16887" xr:uid="{00000000-0005-0000-0000-0000B79F0000}"/>
    <cellStyle name="표준 5 4 2 3 4 3 6" xfId="21049" xr:uid="{00000000-0005-0000-0000-0000B89F0000}"/>
    <cellStyle name="표준 5 4 2 3 4 3 7" xfId="25145" xr:uid="{00000000-0005-0000-0000-0000B99F0000}"/>
    <cellStyle name="표준 5 4 2 3 4 3 8" xfId="33356" xr:uid="{00000000-0005-0000-0000-0000BA9F0000}"/>
    <cellStyle name="표준 5 4 2 3 4 3 9" xfId="41549" xr:uid="{00000000-0005-0000-0000-0000BB9F0000}"/>
    <cellStyle name="표준 5 4 2 3 4 4" xfId="2192" xr:uid="{00000000-0005-0000-0000-0000BC9F0000}"/>
    <cellStyle name="표준 5 4 2 3 4 4 2" xfId="11095" xr:uid="{00000000-0005-0000-0000-0000BD9F0000}"/>
    <cellStyle name="표준 5 4 2 3 4 4 2 2" xfId="15207" xr:uid="{00000000-0005-0000-0000-0000BE9F0000}"/>
    <cellStyle name="표준 5 4 2 3 4 4 2 2 2" xfId="31801" xr:uid="{00000000-0005-0000-0000-0000BF9F0000}"/>
    <cellStyle name="표준 5 4 2 3 4 4 2 2 3" xfId="40012" xr:uid="{00000000-0005-0000-0000-0000C09F0000}"/>
    <cellStyle name="표준 5 4 2 3 4 4 2 2 4" xfId="48205" xr:uid="{00000000-0005-0000-0000-0000C19F0000}"/>
    <cellStyle name="표준 5 4 2 3 4 4 2 3" xfId="19447" xr:uid="{00000000-0005-0000-0000-0000C29F0000}"/>
    <cellStyle name="표준 5 4 2 3 4 4 2 4" xfId="23609" xr:uid="{00000000-0005-0000-0000-0000C39F0000}"/>
    <cellStyle name="표준 5 4 2 3 4 4 2 5" xfId="27705" xr:uid="{00000000-0005-0000-0000-0000C49F0000}"/>
    <cellStyle name="표준 5 4 2 3 4 4 2 6" xfId="35916" xr:uid="{00000000-0005-0000-0000-0000C59F0000}"/>
    <cellStyle name="표준 5 4 2 3 4 4 2 7" xfId="44109" xr:uid="{00000000-0005-0000-0000-0000C69F0000}"/>
    <cellStyle name="표준 5 4 2 3 4 4 3" xfId="9047" xr:uid="{00000000-0005-0000-0000-0000C79F0000}"/>
    <cellStyle name="표준 5 4 2 3 4 4 3 2" xfId="29753" xr:uid="{00000000-0005-0000-0000-0000C89F0000}"/>
    <cellStyle name="표준 5 4 2 3 4 4 3 3" xfId="37964" xr:uid="{00000000-0005-0000-0000-0000C99F0000}"/>
    <cellStyle name="표준 5 4 2 3 4 4 3 4" xfId="46157" xr:uid="{00000000-0005-0000-0000-0000CA9F0000}"/>
    <cellStyle name="표준 5 4 2 3 4 4 4" xfId="13159" xr:uid="{00000000-0005-0000-0000-0000CB9F0000}"/>
    <cellStyle name="표준 5 4 2 3 4 4 5" xfId="17399" xr:uid="{00000000-0005-0000-0000-0000CC9F0000}"/>
    <cellStyle name="표준 5 4 2 3 4 4 6" xfId="21561" xr:uid="{00000000-0005-0000-0000-0000CD9F0000}"/>
    <cellStyle name="표준 5 4 2 3 4 4 7" xfId="25657" xr:uid="{00000000-0005-0000-0000-0000CE9F0000}"/>
    <cellStyle name="표준 5 4 2 3 4 4 8" xfId="33868" xr:uid="{00000000-0005-0000-0000-0000CF9F0000}"/>
    <cellStyle name="표준 5 4 2 3 4 4 9" xfId="42061" xr:uid="{00000000-0005-0000-0000-0000D09F0000}"/>
    <cellStyle name="표준 5 4 2 3 4 5" xfId="9559" xr:uid="{00000000-0005-0000-0000-0000D19F0000}"/>
    <cellStyle name="표준 5 4 2 3 4 5 2" xfId="13671" xr:uid="{00000000-0005-0000-0000-0000D29F0000}"/>
    <cellStyle name="표준 5 4 2 3 4 5 2 2" xfId="30265" xr:uid="{00000000-0005-0000-0000-0000D39F0000}"/>
    <cellStyle name="표준 5 4 2 3 4 5 2 3" xfId="38476" xr:uid="{00000000-0005-0000-0000-0000D49F0000}"/>
    <cellStyle name="표준 5 4 2 3 4 5 2 4" xfId="46669" xr:uid="{00000000-0005-0000-0000-0000D59F0000}"/>
    <cellStyle name="표준 5 4 2 3 4 5 3" xfId="17911" xr:uid="{00000000-0005-0000-0000-0000D69F0000}"/>
    <cellStyle name="표준 5 4 2 3 4 5 4" xfId="22073" xr:uid="{00000000-0005-0000-0000-0000D79F0000}"/>
    <cellStyle name="표준 5 4 2 3 4 5 5" xfId="26169" xr:uid="{00000000-0005-0000-0000-0000D89F0000}"/>
    <cellStyle name="표준 5 4 2 3 4 5 6" xfId="34380" xr:uid="{00000000-0005-0000-0000-0000D99F0000}"/>
    <cellStyle name="표준 5 4 2 3 4 5 7" xfId="42573" xr:uid="{00000000-0005-0000-0000-0000DA9F0000}"/>
    <cellStyle name="표준 5 4 2 3 4 6" xfId="7511" xr:uid="{00000000-0005-0000-0000-0000DB9F0000}"/>
    <cellStyle name="표준 5 4 2 3 4 6 2" xfId="28217" xr:uid="{00000000-0005-0000-0000-0000DC9F0000}"/>
    <cellStyle name="표준 5 4 2 3 4 6 3" xfId="36428" xr:uid="{00000000-0005-0000-0000-0000DD9F0000}"/>
    <cellStyle name="표준 5 4 2 3 4 6 4" xfId="44621" xr:uid="{00000000-0005-0000-0000-0000DE9F0000}"/>
    <cellStyle name="표준 5 4 2 3 4 7" xfId="11623" xr:uid="{00000000-0005-0000-0000-0000DF9F0000}"/>
    <cellStyle name="표준 5 4 2 3 4 8" xfId="15863" xr:uid="{00000000-0005-0000-0000-0000E09F0000}"/>
    <cellStyle name="표준 5 4 2 3 4 9" xfId="20025" xr:uid="{00000000-0005-0000-0000-0000E19F0000}"/>
    <cellStyle name="표준 5 4 2 3 5" xfId="912" xr:uid="{00000000-0005-0000-0000-0000E29F0000}"/>
    <cellStyle name="표준 5 4 2 3 5 2" xfId="9815" xr:uid="{00000000-0005-0000-0000-0000E39F0000}"/>
    <cellStyle name="표준 5 4 2 3 5 2 2" xfId="13927" xr:uid="{00000000-0005-0000-0000-0000E49F0000}"/>
    <cellStyle name="표준 5 4 2 3 5 2 2 2" xfId="30521" xr:uid="{00000000-0005-0000-0000-0000E59F0000}"/>
    <cellStyle name="표준 5 4 2 3 5 2 2 3" xfId="38732" xr:uid="{00000000-0005-0000-0000-0000E69F0000}"/>
    <cellStyle name="표준 5 4 2 3 5 2 2 4" xfId="46925" xr:uid="{00000000-0005-0000-0000-0000E79F0000}"/>
    <cellStyle name="표준 5 4 2 3 5 2 3" xfId="18167" xr:uid="{00000000-0005-0000-0000-0000E89F0000}"/>
    <cellStyle name="표준 5 4 2 3 5 2 4" xfId="22329" xr:uid="{00000000-0005-0000-0000-0000E99F0000}"/>
    <cellStyle name="표준 5 4 2 3 5 2 5" xfId="26425" xr:uid="{00000000-0005-0000-0000-0000EA9F0000}"/>
    <cellStyle name="표준 5 4 2 3 5 2 6" xfId="34636" xr:uid="{00000000-0005-0000-0000-0000EB9F0000}"/>
    <cellStyle name="표준 5 4 2 3 5 2 7" xfId="42829" xr:uid="{00000000-0005-0000-0000-0000EC9F0000}"/>
    <cellStyle name="표준 5 4 2 3 5 3" xfId="7767" xr:uid="{00000000-0005-0000-0000-0000ED9F0000}"/>
    <cellStyle name="표준 5 4 2 3 5 3 2" xfId="28473" xr:uid="{00000000-0005-0000-0000-0000EE9F0000}"/>
    <cellStyle name="표준 5 4 2 3 5 3 3" xfId="36684" xr:uid="{00000000-0005-0000-0000-0000EF9F0000}"/>
    <cellStyle name="표준 5 4 2 3 5 3 4" xfId="44877" xr:uid="{00000000-0005-0000-0000-0000F09F0000}"/>
    <cellStyle name="표준 5 4 2 3 5 4" xfId="11879" xr:uid="{00000000-0005-0000-0000-0000F19F0000}"/>
    <cellStyle name="표준 5 4 2 3 5 5" xfId="16119" xr:uid="{00000000-0005-0000-0000-0000F29F0000}"/>
    <cellStyle name="표준 5 4 2 3 5 6" xfId="20281" xr:uid="{00000000-0005-0000-0000-0000F39F0000}"/>
    <cellStyle name="표준 5 4 2 3 5 7" xfId="24377" xr:uid="{00000000-0005-0000-0000-0000F49F0000}"/>
    <cellStyle name="표준 5 4 2 3 5 8" xfId="32588" xr:uid="{00000000-0005-0000-0000-0000F59F0000}"/>
    <cellStyle name="표준 5 4 2 3 5 9" xfId="40781" xr:uid="{00000000-0005-0000-0000-0000F69F0000}"/>
    <cellStyle name="표준 5 4 2 3 6" xfId="1424" xr:uid="{00000000-0005-0000-0000-0000F79F0000}"/>
    <cellStyle name="표준 5 4 2 3 6 2" xfId="10327" xr:uid="{00000000-0005-0000-0000-0000F89F0000}"/>
    <cellStyle name="표준 5 4 2 3 6 2 2" xfId="14439" xr:uid="{00000000-0005-0000-0000-0000F99F0000}"/>
    <cellStyle name="표준 5 4 2 3 6 2 2 2" xfId="31033" xr:uid="{00000000-0005-0000-0000-0000FA9F0000}"/>
    <cellStyle name="표준 5 4 2 3 6 2 2 3" xfId="39244" xr:uid="{00000000-0005-0000-0000-0000FB9F0000}"/>
    <cellStyle name="표준 5 4 2 3 6 2 2 4" xfId="47437" xr:uid="{00000000-0005-0000-0000-0000FC9F0000}"/>
    <cellStyle name="표준 5 4 2 3 6 2 3" xfId="18679" xr:uid="{00000000-0005-0000-0000-0000FD9F0000}"/>
    <cellStyle name="표준 5 4 2 3 6 2 4" xfId="22841" xr:uid="{00000000-0005-0000-0000-0000FE9F0000}"/>
    <cellStyle name="표준 5 4 2 3 6 2 5" xfId="26937" xr:uid="{00000000-0005-0000-0000-0000FF9F0000}"/>
    <cellStyle name="표준 5 4 2 3 6 2 6" xfId="35148" xr:uid="{00000000-0005-0000-0000-000000A00000}"/>
    <cellStyle name="표준 5 4 2 3 6 2 7" xfId="43341" xr:uid="{00000000-0005-0000-0000-000001A00000}"/>
    <cellStyle name="표준 5 4 2 3 6 3" xfId="8279" xr:uid="{00000000-0005-0000-0000-000002A00000}"/>
    <cellStyle name="표준 5 4 2 3 6 3 2" xfId="28985" xr:uid="{00000000-0005-0000-0000-000003A00000}"/>
    <cellStyle name="표준 5 4 2 3 6 3 3" xfId="37196" xr:uid="{00000000-0005-0000-0000-000004A00000}"/>
    <cellStyle name="표준 5 4 2 3 6 3 4" xfId="45389" xr:uid="{00000000-0005-0000-0000-000005A00000}"/>
    <cellStyle name="표준 5 4 2 3 6 4" xfId="12391" xr:uid="{00000000-0005-0000-0000-000006A00000}"/>
    <cellStyle name="표준 5 4 2 3 6 5" xfId="16631" xr:uid="{00000000-0005-0000-0000-000007A00000}"/>
    <cellStyle name="표준 5 4 2 3 6 6" xfId="20793" xr:uid="{00000000-0005-0000-0000-000008A00000}"/>
    <cellStyle name="표준 5 4 2 3 6 7" xfId="24889" xr:uid="{00000000-0005-0000-0000-000009A00000}"/>
    <cellStyle name="표준 5 4 2 3 6 8" xfId="33100" xr:uid="{00000000-0005-0000-0000-00000AA00000}"/>
    <cellStyle name="표준 5 4 2 3 6 9" xfId="41293" xr:uid="{00000000-0005-0000-0000-00000BA00000}"/>
    <cellStyle name="표준 5 4 2 3 7" xfId="1936" xr:uid="{00000000-0005-0000-0000-00000CA00000}"/>
    <cellStyle name="표준 5 4 2 3 7 2" xfId="10839" xr:uid="{00000000-0005-0000-0000-00000DA00000}"/>
    <cellStyle name="표준 5 4 2 3 7 2 2" xfId="14951" xr:uid="{00000000-0005-0000-0000-00000EA00000}"/>
    <cellStyle name="표준 5 4 2 3 7 2 2 2" xfId="31545" xr:uid="{00000000-0005-0000-0000-00000FA00000}"/>
    <cellStyle name="표준 5 4 2 3 7 2 2 3" xfId="39756" xr:uid="{00000000-0005-0000-0000-000010A00000}"/>
    <cellStyle name="표준 5 4 2 3 7 2 2 4" xfId="47949" xr:uid="{00000000-0005-0000-0000-000011A00000}"/>
    <cellStyle name="표준 5 4 2 3 7 2 3" xfId="19191" xr:uid="{00000000-0005-0000-0000-000012A00000}"/>
    <cellStyle name="표준 5 4 2 3 7 2 4" xfId="23353" xr:uid="{00000000-0005-0000-0000-000013A00000}"/>
    <cellStyle name="표준 5 4 2 3 7 2 5" xfId="27449" xr:uid="{00000000-0005-0000-0000-000014A00000}"/>
    <cellStyle name="표준 5 4 2 3 7 2 6" xfId="35660" xr:uid="{00000000-0005-0000-0000-000015A00000}"/>
    <cellStyle name="표준 5 4 2 3 7 2 7" xfId="43853" xr:uid="{00000000-0005-0000-0000-000016A00000}"/>
    <cellStyle name="표준 5 4 2 3 7 3" xfId="8791" xr:uid="{00000000-0005-0000-0000-000017A00000}"/>
    <cellStyle name="표준 5 4 2 3 7 3 2" xfId="29497" xr:uid="{00000000-0005-0000-0000-000018A00000}"/>
    <cellStyle name="표준 5 4 2 3 7 3 3" xfId="37708" xr:uid="{00000000-0005-0000-0000-000019A00000}"/>
    <cellStyle name="표준 5 4 2 3 7 3 4" xfId="45901" xr:uid="{00000000-0005-0000-0000-00001AA00000}"/>
    <cellStyle name="표준 5 4 2 3 7 4" xfId="12903" xr:uid="{00000000-0005-0000-0000-00001BA00000}"/>
    <cellStyle name="표준 5 4 2 3 7 5" xfId="17143" xr:uid="{00000000-0005-0000-0000-00001CA00000}"/>
    <cellStyle name="표준 5 4 2 3 7 6" xfId="21305" xr:uid="{00000000-0005-0000-0000-00001DA00000}"/>
    <cellStyle name="표준 5 4 2 3 7 7" xfId="25401" xr:uid="{00000000-0005-0000-0000-00001EA00000}"/>
    <cellStyle name="표준 5 4 2 3 7 8" xfId="33612" xr:uid="{00000000-0005-0000-0000-00001FA00000}"/>
    <cellStyle name="표준 5 4 2 3 7 9" xfId="41805" xr:uid="{00000000-0005-0000-0000-000020A00000}"/>
    <cellStyle name="표준 5 4 2 3 8" xfId="400" xr:uid="{00000000-0005-0000-0000-000021A00000}"/>
    <cellStyle name="표준 5 4 2 3 8 2" xfId="9303" xr:uid="{00000000-0005-0000-0000-000022A00000}"/>
    <cellStyle name="표준 5 4 2 3 8 2 2" xfId="30009" xr:uid="{00000000-0005-0000-0000-000023A00000}"/>
    <cellStyle name="표준 5 4 2 3 8 2 3" xfId="38220" xr:uid="{00000000-0005-0000-0000-000024A00000}"/>
    <cellStyle name="표준 5 4 2 3 8 2 4" xfId="46413" xr:uid="{00000000-0005-0000-0000-000025A00000}"/>
    <cellStyle name="표준 5 4 2 3 8 3" xfId="13415" xr:uid="{00000000-0005-0000-0000-000026A00000}"/>
    <cellStyle name="표준 5 4 2 3 8 4" xfId="17655" xr:uid="{00000000-0005-0000-0000-000027A00000}"/>
    <cellStyle name="표준 5 4 2 3 8 5" xfId="21817" xr:uid="{00000000-0005-0000-0000-000028A00000}"/>
    <cellStyle name="표준 5 4 2 3 8 6" xfId="25913" xr:uid="{00000000-0005-0000-0000-000029A00000}"/>
    <cellStyle name="표준 5 4 2 3 8 7" xfId="34124" xr:uid="{00000000-0005-0000-0000-00002AA00000}"/>
    <cellStyle name="표준 5 4 2 3 8 8" xfId="42317" xr:uid="{00000000-0005-0000-0000-00002BA00000}"/>
    <cellStyle name="표준 5 4 2 3 9" xfId="7002" xr:uid="{00000000-0005-0000-0000-00002CA00000}"/>
    <cellStyle name="표준 5 4 2 3 9 2" xfId="27961" xr:uid="{00000000-0005-0000-0000-00002DA00000}"/>
    <cellStyle name="표준 5 4 2 3 9 3" xfId="36172" xr:uid="{00000000-0005-0000-0000-00002EA00000}"/>
    <cellStyle name="표준 5 4 2 3 9 4" xfId="44365" xr:uid="{00000000-0005-0000-0000-00002FA00000}"/>
    <cellStyle name="표준 5 4 2 30" xfId="32027" xr:uid="{00000000-0005-0000-0000-000030A00000}"/>
    <cellStyle name="표준 5 4 2 31" xfId="32044" xr:uid="{00000000-0005-0000-0000-000031A00000}"/>
    <cellStyle name="표준 5 4 2 32" xfId="40237" xr:uid="{00000000-0005-0000-0000-000032A00000}"/>
    <cellStyle name="표준 5 4 2 33" xfId="48439" xr:uid="{00000000-0005-0000-0000-000033A00000}"/>
    <cellStyle name="표준 5 4 2 4" xfId="432" xr:uid="{00000000-0005-0000-0000-000034A00000}"/>
    <cellStyle name="표준 5 4 2 4 10" xfId="11399" xr:uid="{00000000-0005-0000-0000-000035A00000}"/>
    <cellStyle name="표준 5 4 2 4 11" xfId="15511" xr:uid="{00000000-0005-0000-0000-000036A00000}"/>
    <cellStyle name="표준 5 4 2 4 12" xfId="15639" xr:uid="{00000000-0005-0000-0000-000037A00000}"/>
    <cellStyle name="표준 5 4 2 4 13" xfId="19801" xr:uid="{00000000-0005-0000-0000-000038A00000}"/>
    <cellStyle name="표준 5 4 2 4 14" xfId="23897" xr:uid="{00000000-0005-0000-0000-000039A00000}"/>
    <cellStyle name="표준 5 4 2 4 15" xfId="32108" xr:uid="{00000000-0005-0000-0000-00003AA00000}"/>
    <cellStyle name="표준 5 4 2 4 16" xfId="40301" xr:uid="{00000000-0005-0000-0000-00003BA00000}"/>
    <cellStyle name="표준 5 4 2 4 2" xfId="560" xr:uid="{00000000-0005-0000-0000-00003CA00000}"/>
    <cellStyle name="표준 5 4 2 4 2 10" xfId="19929" xr:uid="{00000000-0005-0000-0000-00003DA00000}"/>
    <cellStyle name="표준 5 4 2 4 2 11" xfId="24025" xr:uid="{00000000-0005-0000-0000-00003EA00000}"/>
    <cellStyle name="표준 5 4 2 4 2 12" xfId="32236" xr:uid="{00000000-0005-0000-0000-00003FA00000}"/>
    <cellStyle name="표준 5 4 2 4 2 13" xfId="40429" xr:uid="{00000000-0005-0000-0000-000040A00000}"/>
    <cellStyle name="표준 5 4 2 4 2 2" xfId="816" xr:uid="{00000000-0005-0000-0000-000041A00000}"/>
    <cellStyle name="표준 5 4 2 4 2 2 10" xfId="24281" xr:uid="{00000000-0005-0000-0000-000042A00000}"/>
    <cellStyle name="표준 5 4 2 4 2 2 11" xfId="32492" xr:uid="{00000000-0005-0000-0000-000043A00000}"/>
    <cellStyle name="표준 5 4 2 4 2 2 12" xfId="40685" xr:uid="{00000000-0005-0000-0000-000044A00000}"/>
    <cellStyle name="표준 5 4 2 4 2 2 2" xfId="1328" xr:uid="{00000000-0005-0000-0000-000045A00000}"/>
    <cellStyle name="표준 5 4 2 4 2 2 2 2" xfId="10231" xr:uid="{00000000-0005-0000-0000-000046A00000}"/>
    <cellStyle name="표준 5 4 2 4 2 2 2 2 2" xfId="14343" xr:uid="{00000000-0005-0000-0000-000047A00000}"/>
    <cellStyle name="표준 5 4 2 4 2 2 2 2 2 2" xfId="30937" xr:uid="{00000000-0005-0000-0000-000048A00000}"/>
    <cellStyle name="표준 5 4 2 4 2 2 2 2 2 3" xfId="39148" xr:uid="{00000000-0005-0000-0000-000049A00000}"/>
    <cellStyle name="표준 5 4 2 4 2 2 2 2 2 4" xfId="47341" xr:uid="{00000000-0005-0000-0000-00004AA00000}"/>
    <cellStyle name="표준 5 4 2 4 2 2 2 2 3" xfId="18583" xr:uid="{00000000-0005-0000-0000-00004BA00000}"/>
    <cellStyle name="표준 5 4 2 4 2 2 2 2 4" xfId="22745" xr:uid="{00000000-0005-0000-0000-00004CA00000}"/>
    <cellStyle name="표준 5 4 2 4 2 2 2 2 5" xfId="26841" xr:uid="{00000000-0005-0000-0000-00004DA00000}"/>
    <cellStyle name="표준 5 4 2 4 2 2 2 2 6" xfId="35052" xr:uid="{00000000-0005-0000-0000-00004EA00000}"/>
    <cellStyle name="표준 5 4 2 4 2 2 2 2 7" xfId="43245" xr:uid="{00000000-0005-0000-0000-00004FA00000}"/>
    <cellStyle name="표준 5 4 2 4 2 2 2 3" xfId="8183" xr:uid="{00000000-0005-0000-0000-000050A00000}"/>
    <cellStyle name="표준 5 4 2 4 2 2 2 3 2" xfId="28889" xr:uid="{00000000-0005-0000-0000-000051A00000}"/>
    <cellStyle name="표준 5 4 2 4 2 2 2 3 3" xfId="37100" xr:uid="{00000000-0005-0000-0000-000052A00000}"/>
    <cellStyle name="표준 5 4 2 4 2 2 2 3 4" xfId="45293" xr:uid="{00000000-0005-0000-0000-000053A00000}"/>
    <cellStyle name="표준 5 4 2 4 2 2 2 4" xfId="12295" xr:uid="{00000000-0005-0000-0000-000054A00000}"/>
    <cellStyle name="표준 5 4 2 4 2 2 2 5" xfId="16535" xr:uid="{00000000-0005-0000-0000-000055A00000}"/>
    <cellStyle name="표준 5 4 2 4 2 2 2 6" xfId="20697" xr:uid="{00000000-0005-0000-0000-000056A00000}"/>
    <cellStyle name="표준 5 4 2 4 2 2 2 7" xfId="24793" xr:uid="{00000000-0005-0000-0000-000057A00000}"/>
    <cellStyle name="표준 5 4 2 4 2 2 2 8" xfId="33004" xr:uid="{00000000-0005-0000-0000-000058A00000}"/>
    <cellStyle name="표준 5 4 2 4 2 2 2 9" xfId="41197" xr:uid="{00000000-0005-0000-0000-000059A00000}"/>
    <cellStyle name="표준 5 4 2 4 2 2 3" xfId="1840" xr:uid="{00000000-0005-0000-0000-00005AA00000}"/>
    <cellStyle name="표준 5 4 2 4 2 2 3 2" xfId="10743" xr:uid="{00000000-0005-0000-0000-00005BA00000}"/>
    <cellStyle name="표준 5 4 2 4 2 2 3 2 2" xfId="14855" xr:uid="{00000000-0005-0000-0000-00005CA00000}"/>
    <cellStyle name="표준 5 4 2 4 2 2 3 2 2 2" xfId="31449" xr:uid="{00000000-0005-0000-0000-00005DA00000}"/>
    <cellStyle name="표준 5 4 2 4 2 2 3 2 2 3" xfId="39660" xr:uid="{00000000-0005-0000-0000-00005EA00000}"/>
    <cellStyle name="표준 5 4 2 4 2 2 3 2 2 4" xfId="47853" xr:uid="{00000000-0005-0000-0000-00005FA00000}"/>
    <cellStyle name="표준 5 4 2 4 2 2 3 2 3" xfId="19095" xr:uid="{00000000-0005-0000-0000-000060A00000}"/>
    <cellStyle name="표준 5 4 2 4 2 2 3 2 4" xfId="23257" xr:uid="{00000000-0005-0000-0000-000061A00000}"/>
    <cellStyle name="표준 5 4 2 4 2 2 3 2 5" xfId="27353" xr:uid="{00000000-0005-0000-0000-000062A00000}"/>
    <cellStyle name="표준 5 4 2 4 2 2 3 2 6" xfId="35564" xr:uid="{00000000-0005-0000-0000-000063A00000}"/>
    <cellStyle name="표준 5 4 2 4 2 2 3 2 7" xfId="43757" xr:uid="{00000000-0005-0000-0000-000064A00000}"/>
    <cellStyle name="표준 5 4 2 4 2 2 3 3" xfId="8695" xr:uid="{00000000-0005-0000-0000-000065A00000}"/>
    <cellStyle name="표준 5 4 2 4 2 2 3 3 2" xfId="29401" xr:uid="{00000000-0005-0000-0000-000066A00000}"/>
    <cellStyle name="표준 5 4 2 4 2 2 3 3 3" xfId="37612" xr:uid="{00000000-0005-0000-0000-000067A00000}"/>
    <cellStyle name="표준 5 4 2 4 2 2 3 3 4" xfId="45805" xr:uid="{00000000-0005-0000-0000-000068A00000}"/>
    <cellStyle name="표준 5 4 2 4 2 2 3 4" xfId="12807" xr:uid="{00000000-0005-0000-0000-000069A00000}"/>
    <cellStyle name="표준 5 4 2 4 2 2 3 5" xfId="17047" xr:uid="{00000000-0005-0000-0000-00006AA00000}"/>
    <cellStyle name="표준 5 4 2 4 2 2 3 6" xfId="21209" xr:uid="{00000000-0005-0000-0000-00006BA00000}"/>
    <cellStyle name="표준 5 4 2 4 2 2 3 7" xfId="25305" xr:uid="{00000000-0005-0000-0000-00006CA00000}"/>
    <cellStyle name="표준 5 4 2 4 2 2 3 8" xfId="33516" xr:uid="{00000000-0005-0000-0000-00006DA00000}"/>
    <cellStyle name="표준 5 4 2 4 2 2 3 9" xfId="41709" xr:uid="{00000000-0005-0000-0000-00006EA00000}"/>
    <cellStyle name="표준 5 4 2 4 2 2 4" xfId="2352" xr:uid="{00000000-0005-0000-0000-00006FA00000}"/>
    <cellStyle name="표준 5 4 2 4 2 2 4 2" xfId="11255" xr:uid="{00000000-0005-0000-0000-000070A00000}"/>
    <cellStyle name="표준 5 4 2 4 2 2 4 2 2" xfId="15367" xr:uid="{00000000-0005-0000-0000-000071A00000}"/>
    <cellStyle name="표준 5 4 2 4 2 2 4 2 2 2" xfId="31961" xr:uid="{00000000-0005-0000-0000-000072A00000}"/>
    <cellStyle name="표준 5 4 2 4 2 2 4 2 2 3" xfId="40172" xr:uid="{00000000-0005-0000-0000-000073A00000}"/>
    <cellStyle name="표준 5 4 2 4 2 2 4 2 2 4" xfId="48365" xr:uid="{00000000-0005-0000-0000-000074A00000}"/>
    <cellStyle name="표준 5 4 2 4 2 2 4 2 3" xfId="19607" xr:uid="{00000000-0005-0000-0000-000075A00000}"/>
    <cellStyle name="표준 5 4 2 4 2 2 4 2 4" xfId="23769" xr:uid="{00000000-0005-0000-0000-000076A00000}"/>
    <cellStyle name="표준 5 4 2 4 2 2 4 2 5" xfId="27865" xr:uid="{00000000-0005-0000-0000-000077A00000}"/>
    <cellStyle name="표준 5 4 2 4 2 2 4 2 6" xfId="36076" xr:uid="{00000000-0005-0000-0000-000078A00000}"/>
    <cellStyle name="표준 5 4 2 4 2 2 4 2 7" xfId="44269" xr:uid="{00000000-0005-0000-0000-000079A00000}"/>
    <cellStyle name="표준 5 4 2 4 2 2 4 3" xfId="9207" xr:uid="{00000000-0005-0000-0000-00007AA00000}"/>
    <cellStyle name="표준 5 4 2 4 2 2 4 3 2" xfId="29913" xr:uid="{00000000-0005-0000-0000-00007BA00000}"/>
    <cellStyle name="표준 5 4 2 4 2 2 4 3 3" xfId="38124" xr:uid="{00000000-0005-0000-0000-00007CA00000}"/>
    <cellStyle name="표준 5 4 2 4 2 2 4 3 4" xfId="46317" xr:uid="{00000000-0005-0000-0000-00007DA00000}"/>
    <cellStyle name="표준 5 4 2 4 2 2 4 4" xfId="13319" xr:uid="{00000000-0005-0000-0000-00007EA00000}"/>
    <cellStyle name="표준 5 4 2 4 2 2 4 5" xfId="17559" xr:uid="{00000000-0005-0000-0000-00007FA00000}"/>
    <cellStyle name="표준 5 4 2 4 2 2 4 6" xfId="21721" xr:uid="{00000000-0005-0000-0000-000080A00000}"/>
    <cellStyle name="표준 5 4 2 4 2 2 4 7" xfId="25817" xr:uid="{00000000-0005-0000-0000-000081A00000}"/>
    <cellStyle name="표준 5 4 2 4 2 2 4 8" xfId="34028" xr:uid="{00000000-0005-0000-0000-000082A00000}"/>
    <cellStyle name="표준 5 4 2 4 2 2 4 9" xfId="42221" xr:uid="{00000000-0005-0000-0000-000083A00000}"/>
    <cellStyle name="표준 5 4 2 4 2 2 5" xfId="9719" xr:uid="{00000000-0005-0000-0000-000084A00000}"/>
    <cellStyle name="표준 5 4 2 4 2 2 5 2" xfId="13831" xr:uid="{00000000-0005-0000-0000-000085A00000}"/>
    <cellStyle name="표준 5 4 2 4 2 2 5 2 2" xfId="30425" xr:uid="{00000000-0005-0000-0000-000086A00000}"/>
    <cellStyle name="표준 5 4 2 4 2 2 5 2 3" xfId="38636" xr:uid="{00000000-0005-0000-0000-000087A00000}"/>
    <cellStyle name="표준 5 4 2 4 2 2 5 2 4" xfId="46829" xr:uid="{00000000-0005-0000-0000-000088A00000}"/>
    <cellStyle name="표준 5 4 2 4 2 2 5 3" xfId="18071" xr:uid="{00000000-0005-0000-0000-000089A00000}"/>
    <cellStyle name="표준 5 4 2 4 2 2 5 4" xfId="22233" xr:uid="{00000000-0005-0000-0000-00008AA00000}"/>
    <cellStyle name="표준 5 4 2 4 2 2 5 5" xfId="26329" xr:uid="{00000000-0005-0000-0000-00008BA00000}"/>
    <cellStyle name="표준 5 4 2 4 2 2 5 6" xfId="34540" xr:uid="{00000000-0005-0000-0000-00008CA00000}"/>
    <cellStyle name="표준 5 4 2 4 2 2 5 7" xfId="42733" xr:uid="{00000000-0005-0000-0000-00008DA00000}"/>
    <cellStyle name="표준 5 4 2 4 2 2 6" xfId="7671" xr:uid="{00000000-0005-0000-0000-00008EA00000}"/>
    <cellStyle name="표준 5 4 2 4 2 2 6 2" xfId="28377" xr:uid="{00000000-0005-0000-0000-00008FA00000}"/>
    <cellStyle name="표준 5 4 2 4 2 2 6 3" xfId="36588" xr:uid="{00000000-0005-0000-0000-000090A00000}"/>
    <cellStyle name="표준 5 4 2 4 2 2 6 4" xfId="44781" xr:uid="{00000000-0005-0000-0000-000091A00000}"/>
    <cellStyle name="표준 5 4 2 4 2 2 7" xfId="11783" xr:uid="{00000000-0005-0000-0000-000092A00000}"/>
    <cellStyle name="표준 5 4 2 4 2 2 8" xfId="16023" xr:uid="{00000000-0005-0000-0000-000093A00000}"/>
    <cellStyle name="표준 5 4 2 4 2 2 9" xfId="20185" xr:uid="{00000000-0005-0000-0000-000094A00000}"/>
    <cellStyle name="표준 5 4 2 4 2 3" xfId="1072" xr:uid="{00000000-0005-0000-0000-000095A00000}"/>
    <cellStyle name="표준 5 4 2 4 2 3 2" xfId="9975" xr:uid="{00000000-0005-0000-0000-000096A00000}"/>
    <cellStyle name="표준 5 4 2 4 2 3 2 2" xfId="14087" xr:uid="{00000000-0005-0000-0000-000097A00000}"/>
    <cellStyle name="표준 5 4 2 4 2 3 2 2 2" xfId="30681" xr:uid="{00000000-0005-0000-0000-000098A00000}"/>
    <cellStyle name="표준 5 4 2 4 2 3 2 2 3" xfId="38892" xr:uid="{00000000-0005-0000-0000-000099A00000}"/>
    <cellStyle name="표준 5 4 2 4 2 3 2 2 4" xfId="47085" xr:uid="{00000000-0005-0000-0000-00009AA00000}"/>
    <cellStyle name="표준 5 4 2 4 2 3 2 3" xfId="18327" xr:uid="{00000000-0005-0000-0000-00009BA00000}"/>
    <cellStyle name="표준 5 4 2 4 2 3 2 4" xfId="22489" xr:uid="{00000000-0005-0000-0000-00009CA00000}"/>
    <cellStyle name="표준 5 4 2 4 2 3 2 5" xfId="26585" xr:uid="{00000000-0005-0000-0000-00009DA00000}"/>
    <cellStyle name="표준 5 4 2 4 2 3 2 6" xfId="34796" xr:uid="{00000000-0005-0000-0000-00009EA00000}"/>
    <cellStyle name="표준 5 4 2 4 2 3 2 7" xfId="42989" xr:uid="{00000000-0005-0000-0000-00009FA00000}"/>
    <cellStyle name="표준 5 4 2 4 2 3 3" xfId="7927" xr:uid="{00000000-0005-0000-0000-0000A0A00000}"/>
    <cellStyle name="표준 5 4 2 4 2 3 3 2" xfId="28633" xr:uid="{00000000-0005-0000-0000-0000A1A00000}"/>
    <cellStyle name="표준 5 4 2 4 2 3 3 3" xfId="36844" xr:uid="{00000000-0005-0000-0000-0000A2A00000}"/>
    <cellStyle name="표준 5 4 2 4 2 3 3 4" xfId="45037" xr:uid="{00000000-0005-0000-0000-0000A3A00000}"/>
    <cellStyle name="표준 5 4 2 4 2 3 4" xfId="12039" xr:uid="{00000000-0005-0000-0000-0000A4A00000}"/>
    <cellStyle name="표준 5 4 2 4 2 3 5" xfId="16279" xr:uid="{00000000-0005-0000-0000-0000A5A00000}"/>
    <cellStyle name="표준 5 4 2 4 2 3 6" xfId="20441" xr:uid="{00000000-0005-0000-0000-0000A6A00000}"/>
    <cellStyle name="표준 5 4 2 4 2 3 7" xfId="24537" xr:uid="{00000000-0005-0000-0000-0000A7A00000}"/>
    <cellStyle name="표준 5 4 2 4 2 3 8" xfId="32748" xr:uid="{00000000-0005-0000-0000-0000A8A00000}"/>
    <cellStyle name="표준 5 4 2 4 2 3 9" xfId="40941" xr:uid="{00000000-0005-0000-0000-0000A9A00000}"/>
    <cellStyle name="표준 5 4 2 4 2 4" xfId="1584" xr:uid="{00000000-0005-0000-0000-0000AAA00000}"/>
    <cellStyle name="표준 5 4 2 4 2 4 2" xfId="10487" xr:uid="{00000000-0005-0000-0000-0000ABA00000}"/>
    <cellStyle name="표준 5 4 2 4 2 4 2 2" xfId="14599" xr:uid="{00000000-0005-0000-0000-0000ACA00000}"/>
    <cellStyle name="표준 5 4 2 4 2 4 2 2 2" xfId="31193" xr:uid="{00000000-0005-0000-0000-0000ADA00000}"/>
    <cellStyle name="표준 5 4 2 4 2 4 2 2 3" xfId="39404" xr:uid="{00000000-0005-0000-0000-0000AEA00000}"/>
    <cellStyle name="표준 5 4 2 4 2 4 2 2 4" xfId="47597" xr:uid="{00000000-0005-0000-0000-0000AFA00000}"/>
    <cellStyle name="표준 5 4 2 4 2 4 2 3" xfId="18839" xr:uid="{00000000-0005-0000-0000-0000B0A00000}"/>
    <cellStyle name="표준 5 4 2 4 2 4 2 4" xfId="23001" xr:uid="{00000000-0005-0000-0000-0000B1A00000}"/>
    <cellStyle name="표준 5 4 2 4 2 4 2 5" xfId="27097" xr:uid="{00000000-0005-0000-0000-0000B2A00000}"/>
    <cellStyle name="표준 5 4 2 4 2 4 2 6" xfId="35308" xr:uid="{00000000-0005-0000-0000-0000B3A00000}"/>
    <cellStyle name="표준 5 4 2 4 2 4 2 7" xfId="43501" xr:uid="{00000000-0005-0000-0000-0000B4A00000}"/>
    <cellStyle name="표준 5 4 2 4 2 4 3" xfId="8439" xr:uid="{00000000-0005-0000-0000-0000B5A00000}"/>
    <cellStyle name="표준 5 4 2 4 2 4 3 2" xfId="29145" xr:uid="{00000000-0005-0000-0000-0000B6A00000}"/>
    <cellStyle name="표준 5 4 2 4 2 4 3 3" xfId="37356" xr:uid="{00000000-0005-0000-0000-0000B7A00000}"/>
    <cellStyle name="표준 5 4 2 4 2 4 3 4" xfId="45549" xr:uid="{00000000-0005-0000-0000-0000B8A00000}"/>
    <cellStyle name="표준 5 4 2 4 2 4 4" xfId="12551" xr:uid="{00000000-0005-0000-0000-0000B9A00000}"/>
    <cellStyle name="표준 5 4 2 4 2 4 5" xfId="16791" xr:uid="{00000000-0005-0000-0000-0000BAA00000}"/>
    <cellStyle name="표준 5 4 2 4 2 4 6" xfId="20953" xr:uid="{00000000-0005-0000-0000-0000BBA00000}"/>
    <cellStyle name="표준 5 4 2 4 2 4 7" xfId="25049" xr:uid="{00000000-0005-0000-0000-0000BCA00000}"/>
    <cellStyle name="표준 5 4 2 4 2 4 8" xfId="33260" xr:uid="{00000000-0005-0000-0000-0000BDA00000}"/>
    <cellStyle name="표준 5 4 2 4 2 4 9" xfId="41453" xr:uid="{00000000-0005-0000-0000-0000BEA00000}"/>
    <cellStyle name="표준 5 4 2 4 2 5" xfId="2096" xr:uid="{00000000-0005-0000-0000-0000BFA00000}"/>
    <cellStyle name="표준 5 4 2 4 2 5 2" xfId="10999" xr:uid="{00000000-0005-0000-0000-0000C0A00000}"/>
    <cellStyle name="표준 5 4 2 4 2 5 2 2" xfId="15111" xr:uid="{00000000-0005-0000-0000-0000C1A00000}"/>
    <cellStyle name="표준 5 4 2 4 2 5 2 2 2" xfId="31705" xr:uid="{00000000-0005-0000-0000-0000C2A00000}"/>
    <cellStyle name="표준 5 4 2 4 2 5 2 2 3" xfId="39916" xr:uid="{00000000-0005-0000-0000-0000C3A00000}"/>
    <cellStyle name="표준 5 4 2 4 2 5 2 2 4" xfId="48109" xr:uid="{00000000-0005-0000-0000-0000C4A00000}"/>
    <cellStyle name="표준 5 4 2 4 2 5 2 3" xfId="19351" xr:uid="{00000000-0005-0000-0000-0000C5A00000}"/>
    <cellStyle name="표준 5 4 2 4 2 5 2 4" xfId="23513" xr:uid="{00000000-0005-0000-0000-0000C6A00000}"/>
    <cellStyle name="표준 5 4 2 4 2 5 2 5" xfId="27609" xr:uid="{00000000-0005-0000-0000-0000C7A00000}"/>
    <cellStyle name="표준 5 4 2 4 2 5 2 6" xfId="35820" xr:uid="{00000000-0005-0000-0000-0000C8A00000}"/>
    <cellStyle name="표준 5 4 2 4 2 5 2 7" xfId="44013" xr:uid="{00000000-0005-0000-0000-0000C9A00000}"/>
    <cellStyle name="표준 5 4 2 4 2 5 3" xfId="8951" xr:uid="{00000000-0005-0000-0000-0000CAA00000}"/>
    <cellStyle name="표준 5 4 2 4 2 5 3 2" xfId="29657" xr:uid="{00000000-0005-0000-0000-0000CBA00000}"/>
    <cellStyle name="표준 5 4 2 4 2 5 3 3" xfId="37868" xr:uid="{00000000-0005-0000-0000-0000CCA00000}"/>
    <cellStyle name="표준 5 4 2 4 2 5 3 4" xfId="46061" xr:uid="{00000000-0005-0000-0000-0000CDA00000}"/>
    <cellStyle name="표준 5 4 2 4 2 5 4" xfId="13063" xr:uid="{00000000-0005-0000-0000-0000CEA00000}"/>
    <cellStyle name="표준 5 4 2 4 2 5 5" xfId="17303" xr:uid="{00000000-0005-0000-0000-0000CFA00000}"/>
    <cellStyle name="표준 5 4 2 4 2 5 6" xfId="21465" xr:uid="{00000000-0005-0000-0000-0000D0A00000}"/>
    <cellStyle name="표준 5 4 2 4 2 5 7" xfId="25561" xr:uid="{00000000-0005-0000-0000-0000D1A00000}"/>
    <cellStyle name="표준 5 4 2 4 2 5 8" xfId="33772" xr:uid="{00000000-0005-0000-0000-0000D2A00000}"/>
    <cellStyle name="표준 5 4 2 4 2 5 9" xfId="41965" xr:uid="{00000000-0005-0000-0000-0000D3A00000}"/>
    <cellStyle name="표준 5 4 2 4 2 6" xfId="9463" xr:uid="{00000000-0005-0000-0000-0000D4A00000}"/>
    <cellStyle name="표준 5 4 2 4 2 6 2" xfId="13575" xr:uid="{00000000-0005-0000-0000-0000D5A00000}"/>
    <cellStyle name="표준 5 4 2 4 2 6 2 2" xfId="30169" xr:uid="{00000000-0005-0000-0000-0000D6A00000}"/>
    <cellStyle name="표준 5 4 2 4 2 6 2 3" xfId="38380" xr:uid="{00000000-0005-0000-0000-0000D7A00000}"/>
    <cellStyle name="표준 5 4 2 4 2 6 2 4" xfId="46573" xr:uid="{00000000-0005-0000-0000-0000D8A00000}"/>
    <cellStyle name="표준 5 4 2 4 2 6 3" xfId="17815" xr:uid="{00000000-0005-0000-0000-0000D9A00000}"/>
    <cellStyle name="표준 5 4 2 4 2 6 4" xfId="21977" xr:uid="{00000000-0005-0000-0000-0000DAA00000}"/>
    <cellStyle name="표준 5 4 2 4 2 6 5" xfId="26073" xr:uid="{00000000-0005-0000-0000-0000DBA00000}"/>
    <cellStyle name="표준 5 4 2 4 2 6 6" xfId="34284" xr:uid="{00000000-0005-0000-0000-0000DCA00000}"/>
    <cellStyle name="표준 5 4 2 4 2 6 7" xfId="42477" xr:uid="{00000000-0005-0000-0000-0000DDA00000}"/>
    <cellStyle name="표준 5 4 2 4 2 7" xfId="7415" xr:uid="{00000000-0005-0000-0000-0000DEA00000}"/>
    <cellStyle name="표준 5 4 2 4 2 7 2" xfId="28121" xr:uid="{00000000-0005-0000-0000-0000DFA00000}"/>
    <cellStyle name="표준 5 4 2 4 2 7 3" xfId="36332" xr:uid="{00000000-0005-0000-0000-0000E0A00000}"/>
    <cellStyle name="표준 5 4 2 4 2 7 4" xfId="44525" xr:uid="{00000000-0005-0000-0000-0000E1A00000}"/>
    <cellStyle name="표준 5 4 2 4 2 8" xfId="11527" xr:uid="{00000000-0005-0000-0000-0000E2A00000}"/>
    <cellStyle name="표준 5 4 2 4 2 9" xfId="15767" xr:uid="{00000000-0005-0000-0000-0000E3A00000}"/>
    <cellStyle name="표준 5 4 2 4 3" xfId="688" xr:uid="{00000000-0005-0000-0000-0000E4A00000}"/>
    <cellStyle name="표준 5 4 2 4 3 10" xfId="24153" xr:uid="{00000000-0005-0000-0000-0000E5A00000}"/>
    <cellStyle name="표준 5 4 2 4 3 11" xfId="32364" xr:uid="{00000000-0005-0000-0000-0000E6A00000}"/>
    <cellStyle name="표준 5 4 2 4 3 12" xfId="40557" xr:uid="{00000000-0005-0000-0000-0000E7A00000}"/>
    <cellStyle name="표준 5 4 2 4 3 2" xfId="1200" xr:uid="{00000000-0005-0000-0000-0000E8A00000}"/>
    <cellStyle name="표준 5 4 2 4 3 2 2" xfId="10103" xr:uid="{00000000-0005-0000-0000-0000E9A00000}"/>
    <cellStyle name="표준 5 4 2 4 3 2 2 2" xfId="14215" xr:uid="{00000000-0005-0000-0000-0000EAA00000}"/>
    <cellStyle name="표준 5 4 2 4 3 2 2 2 2" xfId="30809" xr:uid="{00000000-0005-0000-0000-0000EBA00000}"/>
    <cellStyle name="표준 5 4 2 4 3 2 2 2 3" xfId="39020" xr:uid="{00000000-0005-0000-0000-0000ECA00000}"/>
    <cellStyle name="표준 5 4 2 4 3 2 2 2 4" xfId="47213" xr:uid="{00000000-0005-0000-0000-0000EDA00000}"/>
    <cellStyle name="표준 5 4 2 4 3 2 2 3" xfId="18455" xr:uid="{00000000-0005-0000-0000-0000EEA00000}"/>
    <cellStyle name="표준 5 4 2 4 3 2 2 4" xfId="22617" xr:uid="{00000000-0005-0000-0000-0000EFA00000}"/>
    <cellStyle name="표준 5 4 2 4 3 2 2 5" xfId="26713" xr:uid="{00000000-0005-0000-0000-0000F0A00000}"/>
    <cellStyle name="표준 5 4 2 4 3 2 2 6" xfId="34924" xr:uid="{00000000-0005-0000-0000-0000F1A00000}"/>
    <cellStyle name="표준 5 4 2 4 3 2 2 7" xfId="43117" xr:uid="{00000000-0005-0000-0000-0000F2A00000}"/>
    <cellStyle name="표준 5 4 2 4 3 2 3" xfId="8055" xr:uid="{00000000-0005-0000-0000-0000F3A00000}"/>
    <cellStyle name="표준 5 4 2 4 3 2 3 2" xfId="28761" xr:uid="{00000000-0005-0000-0000-0000F4A00000}"/>
    <cellStyle name="표준 5 4 2 4 3 2 3 3" xfId="36972" xr:uid="{00000000-0005-0000-0000-0000F5A00000}"/>
    <cellStyle name="표준 5 4 2 4 3 2 3 4" xfId="45165" xr:uid="{00000000-0005-0000-0000-0000F6A00000}"/>
    <cellStyle name="표준 5 4 2 4 3 2 4" xfId="12167" xr:uid="{00000000-0005-0000-0000-0000F7A00000}"/>
    <cellStyle name="표준 5 4 2 4 3 2 5" xfId="16407" xr:uid="{00000000-0005-0000-0000-0000F8A00000}"/>
    <cellStyle name="표준 5 4 2 4 3 2 6" xfId="20569" xr:uid="{00000000-0005-0000-0000-0000F9A00000}"/>
    <cellStyle name="표준 5 4 2 4 3 2 7" xfId="24665" xr:uid="{00000000-0005-0000-0000-0000FAA00000}"/>
    <cellStyle name="표준 5 4 2 4 3 2 8" xfId="32876" xr:uid="{00000000-0005-0000-0000-0000FBA00000}"/>
    <cellStyle name="표준 5 4 2 4 3 2 9" xfId="41069" xr:uid="{00000000-0005-0000-0000-0000FCA00000}"/>
    <cellStyle name="표준 5 4 2 4 3 3" xfId="1712" xr:uid="{00000000-0005-0000-0000-0000FDA00000}"/>
    <cellStyle name="표준 5 4 2 4 3 3 2" xfId="10615" xr:uid="{00000000-0005-0000-0000-0000FEA00000}"/>
    <cellStyle name="표준 5 4 2 4 3 3 2 2" xfId="14727" xr:uid="{00000000-0005-0000-0000-0000FFA00000}"/>
    <cellStyle name="표준 5 4 2 4 3 3 2 2 2" xfId="31321" xr:uid="{00000000-0005-0000-0000-000000A10000}"/>
    <cellStyle name="표준 5 4 2 4 3 3 2 2 3" xfId="39532" xr:uid="{00000000-0005-0000-0000-000001A10000}"/>
    <cellStyle name="표준 5 4 2 4 3 3 2 2 4" xfId="47725" xr:uid="{00000000-0005-0000-0000-000002A10000}"/>
    <cellStyle name="표준 5 4 2 4 3 3 2 3" xfId="18967" xr:uid="{00000000-0005-0000-0000-000003A10000}"/>
    <cellStyle name="표준 5 4 2 4 3 3 2 4" xfId="23129" xr:uid="{00000000-0005-0000-0000-000004A10000}"/>
    <cellStyle name="표준 5 4 2 4 3 3 2 5" xfId="27225" xr:uid="{00000000-0005-0000-0000-000005A10000}"/>
    <cellStyle name="표준 5 4 2 4 3 3 2 6" xfId="35436" xr:uid="{00000000-0005-0000-0000-000006A10000}"/>
    <cellStyle name="표준 5 4 2 4 3 3 2 7" xfId="43629" xr:uid="{00000000-0005-0000-0000-000007A10000}"/>
    <cellStyle name="표준 5 4 2 4 3 3 3" xfId="8567" xr:uid="{00000000-0005-0000-0000-000008A10000}"/>
    <cellStyle name="표준 5 4 2 4 3 3 3 2" xfId="29273" xr:uid="{00000000-0005-0000-0000-000009A10000}"/>
    <cellStyle name="표준 5 4 2 4 3 3 3 3" xfId="37484" xr:uid="{00000000-0005-0000-0000-00000AA10000}"/>
    <cellStyle name="표준 5 4 2 4 3 3 3 4" xfId="45677" xr:uid="{00000000-0005-0000-0000-00000BA10000}"/>
    <cellStyle name="표준 5 4 2 4 3 3 4" xfId="12679" xr:uid="{00000000-0005-0000-0000-00000CA10000}"/>
    <cellStyle name="표준 5 4 2 4 3 3 5" xfId="16919" xr:uid="{00000000-0005-0000-0000-00000DA10000}"/>
    <cellStyle name="표준 5 4 2 4 3 3 6" xfId="21081" xr:uid="{00000000-0005-0000-0000-00000EA10000}"/>
    <cellStyle name="표준 5 4 2 4 3 3 7" xfId="25177" xr:uid="{00000000-0005-0000-0000-00000FA10000}"/>
    <cellStyle name="표준 5 4 2 4 3 3 8" xfId="33388" xr:uid="{00000000-0005-0000-0000-000010A10000}"/>
    <cellStyle name="표준 5 4 2 4 3 3 9" xfId="41581" xr:uid="{00000000-0005-0000-0000-000011A10000}"/>
    <cellStyle name="표준 5 4 2 4 3 4" xfId="2224" xr:uid="{00000000-0005-0000-0000-000012A10000}"/>
    <cellStyle name="표준 5 4 2 4 3 4 2" xfId="11127" xr:uid="{00000000-0005-0000-0000-000013A10000}"/>
    <cellStyle name="표준 5 4 2 4 3 4 2 2" xfId="15239" xr:uid="{00000000-0005-0000-0000-000014A10000}"/>
    <cellStyle name="표준 5 4 2 4 3 4 2 2 2" xfId="31833" xr:uid="{00000000-0005-0000-0000-000015A10000}"/>
    <cellStyle name="표준 5 4 2 4 3 4 2 2 3" xfId="40044" xr:uid="{00000000-0005-0000-0000-000016A10000}"/>
    <cellStyle name="표준 5 4 2 4 3 4 2 2 4" xfId="48237" xr:uid="{00000000-0005-0000-0000-000017A10000}"/>
    <cellStyle name="표준 5 4 2 4 3 4 2 3" xfId="19479" xr:uid="{00000000-0005-0000-0000-000018A10000}"/>
    <cellStyle name="표준 5 4 2 4 3 4 2 4" xfId="23641" xr:uid="{00000000-0005-0000-0000-000019A10000}"/>
    <cellStyle name="표준 5 4 2 4 3 4 2 5" xfId="27737" xr:uid="{00000000-0005-0000-0000-00001AA10000}"/>
    <cellStyle name="표준 5 4 2 4 3 4 2 6" xfId="35948" xr:uid="{00000000-0005-0000-0000-00001BA10000}"/>
    <cellStyle name="표준 5 4 2 4 3 4 2 7" xfId="44141" xr:uid="{00000000-0005-0000-0000-00001CA10000}"/>
    <cellStyle name="표준 5 4 2 4 3 4 3" xfId="9079" xr:uid="{00000000-0005-0000-0000-00001DA10000}"/>
    <cellStyle name="표준 5 4 2 4 3 4 3 2" xfId="29785" xr:uid="{00000000-0005-0000-0000-00001EA10000}"/>
    <cellStyle name="표준 5 4 2 4 3 4 3 3" xfId="37996" xr:uid="{00000000-0005-0000-0000-00001FA10000}"/>
    <cellStyle name="표준 5 4 2 4 3 4 3 4" xfId="46189" xr:uid="{00000000-0005-0000-0000-000020A10000}"/>
    <cellStyle name="표준 5 4 2 4 3 4 4" xfId="13191" xr:uid="{00000000-0005-0000-0000-000021A10000}"/>
    <cellStyle name="표준 5 4 2 4 3 4 5" xfId="17431" xr:uid="{00000000-0005-0000-0000-000022A10000}"/>
    <cellStyle name="표준 5 4 2 4 3 4 6" xfId="21593" xr:uid="{00000000-0005-0000-0000-000023A10000}"/>
    <cellStyle name="표준 5 4 2 4 3 4 7" xfId="25689" xr:uid="{00000000-0005-0000-0000-000024A10000}"/>
    <cellStyle name="표준 5 4 2 4 3 4 8" xfId="33900" xr:uid="{00000000-0005-0000-0000-000025A10000}"/>
    <cellStyle name="표준 5 4 2 4 3 4 9" xfId="42093" xr:uid="{00000000-0005-0000-0000-000026A10000}"/>
    <cellStyle name="표준 5 4 2 4 3 5" xfId="9591" xr:uid="{00000000-0005-0000-0000-000027A10000}"/>
    <cellStyle name="표준 5 4 2 4 3 5 2" xfId="13703" xr:uid="{00000000-0005-0000-0000-000028A10000}"/>
    <cellStyle name="표준 5 4 2 4 3 5 2 2" xfId="30297" xr:uid="{00000000-0005-0000-0000-000029A10000}"/>
    <cellStyle name="표준 5 4 2 4 3 5 2 3" xfId="38508" xr:uid="{00000000-0005-0000-0000-00002AA10000}"/>
    <cellStyle name="표준 5 4 2 4 3 5 2 4" xfId="46701" xr:uid="{00000000-0005-0000-0000-00002BA10000}"/>
    <cellStyle name="표준 5 4 2 4 3 5 3" xfId="17943" xr:uid="{00000000-0005-0000-0000-00002CA10000}"/>
    <cellStyle name="표준 5 4 2 4 3 5 4" xfId="22105" xr:uid="{00000000-0005-0000-0000-00002DA10000}"/>
    <cellStyle name="표준 5 4 2 4 3 5 5" xfId="26201" xr:uid="{00000000-0005-0000-0000-00002EA10000}"/>
    <cellStyle name="표준 5 4 2 4 3 5 6" xfId="34412" xr:uid="{00000000-0005-0000-0000-00002FA10000}"/>
    <cellStyle name="표준 5 4 2 4 3 5 7" xfId="42605" xr:uid="{00000000-0005-0000-0000-000030A10000}"/>
    <cellStyle name="표준 5 4 2 4 3 6" xfId="7543" xr:uid="{00000000-0005-0000-0000-000031A10000}"/>
    <cellStyle name="표준 5 4 2 4 3 6 2" xfId="28249" xr:uid="{00000000-0005-0000-0000-000032A10000}"/>
    <cellStyle name="표준 5 4 2 4 3 6 3" xfId="36460" xr:uid="{00000000-0005-0000-0000-000033A10000}"/>
    <cellStyle name="표준 5 4 2 4 3 6 4" xfId="44653" xr:uid="{00000000-0005-0000-0000-000034A10000}"/>
    <cellStyle name="표준 5 4 2 4 3 7" xfId="11655" xr:uid="{00000000-0005-0000-0000-000035A10000}"/>
    <cellStyle name="표준 5 4 2 4 3 8" xfId="15895" xr:uid="{00000000-0005-0000-0000-000036A10000}"/>
    <cellStyle name="표준 5 4 2 4 3 9" xfId="20057" xr:uid="{00000000-0005-0000-0000-000037A10000}"/>
    <cellStyle name="표준 5 4 2 4 4" xfId="944" xr:uid="{00000000-0005-0000-0000-000038A10000}"/>
    <cellStyle name="표준 5 4 2 4 4 2" xfId="9847" xr:uid="{00000000-0005-0000-0000-000039A10000}"/>
    <cellStyle name="표준 5 4 2 4 4 2 2" xfId="13959" xr:uid="{00000000-0005-0000-0000-00003AA10000}"/>
    <cellStyle name="표준 5 4 2 4 4 2 2 2" xfId="30553" xr:uid="{00000000-0005-0000-0000-00003BA10000}"/>
    <cellStyle name="표준 5 4 2 4 4 2 2 3" xfId="38764" xr:uid="{00000000-0005-0000-0000-00003CA10000}"/>
    <cellStyle name="표준 5 4 2 4 4 2 2 4" xfId="46957" xr:uid="{00000000-0005-0000-0000-00003DA10000}"/>
    <cellStyle name="표준 5 4 2 4 4 2 3" xfId="18199" xr:uid="{00000000-0005-0000-0000-00003EA10000}"/>
    <cellStyle name="표준 5 4 2 4 4 2 4" xfId="22361" xr:uid="{00000000-0005-0000-0000-00003FA10000}"/>
    <cellStyle name="표준 5 4 2 4 4 2 5" xfId="26457" xr:uid="{00000000-0005-0000-0000-000040A10000}"/>
    <cellStyle name="표준 5 4 2 4 4 2 6" xfId="34668" xr:uid="{00000000-0005-0000-0000-000041A10000}"/>
    <cellStyle name="표준 5 4 2 4 4 2 7" xfId="42861" xr:uid="{00000000-0005-0000-0000-000042A10000}"/>
    <cellStyle name="표준 5 4 2 4 4 3" xfId="7799" xr:uid="{00000000-0005-0000-0000-000043A10000}"/>
    <cellStyle name="표준 5 4 2 4 4 3 2" xfId="28505" xr:uid="{00000000-0005-0000-0000-000044A10000}"/>
    <cellStyle name="표준 5 4 2 4 4 3 3" xfId="36716" xr:uid="{00000000-0005-0000-0000-000045A10000}"/>
    <cellStyle name="표준 5 4 2 4 4 3 4" xfId="44909" xr:uid="{00000000-0005-0000-0000-000046A10000}"/>
    <cellStyle name="표준 5 4 2 4 4 4" xfId="11911" xr:uid="{00000000-0005-0000-0000-000047A10000}"/>
    <cellStyle name="표준 5 4 2 4 4 5" xfId="16151" xr:uid="{00000000-0005-0000-0000-000048A10000}"/>
    <cellStyle name="표준 5 4 2 4 4 6" xfId="20313" xr:uid="{00000000-0005-0000-0000-000049A10000}"/>
    <cellStyle name="표준 5 4 2 4 4 7" xfId="24409" xr:uid="{00000000-0005-0000-0000-00004AA10000}"/>
    <cellStyle name="표준 5 4 2 4 4 8" xfId="32620" xr:uid="{00000000-0005-0000-0000-00004BA10000}"/>
    <cellStyle name="표준 5 4 2 4 4 9" xfId="40813" xr:uid="{00000000-0005-0000-0000-00004CA10000}"/>
    <cellStyle name="표준 5 4 2 4 5" xfId="1456" xr:uid="{00000000-0005-0000-0000-00004DA10000}"/>
    <cellStyle name="표준 5 4 2 4 5 2" xfId="10359" xr:uid="{00000000-0005-0000-0000-00004EA10000}"/>
    <cellStyle name="표준 5 4 2 4 5 2 2" xfId="14471" xr:uid="{00000000-0005-0000-0000-00004FA10000}"/>
    <cellStyle name="표준 5 4 2 4 5 2 2 2" xfId="31065" xr:uid="{00000000-0005-0000-0000-000050A10000}"/>
    <cellStyle name="표준 5 4 2 4 5 2 2 3" xfId="39276" xr:uid="{00000000-0005-0000-0000-000051A10000}"/>
    <cellStyle name="표준 5 4 2 4 5 2 2 4" xfId="47469" xr:uid="{00000000-0005-0000-0000-000052A10000}"/>
    <cellStyle name="표준 5 4 2 4 5 2 3" xfId="18711" xr:uid="{00000000-0005-0000-0000-000053A10000}"/>
    <cellStyle name="표준 5 4 2 4 5 2 4" xfId="22873" xr:uid="{00000000-0005-0000-0000-000054A10000}"/>
    <cellStyle name="표준 5 4 2 4 5 2 5" xfId="26969" xr:uid="{00000000-0005-0000-0000-000055A10000}"/>
    <cellStyle name="표준 5 4 2 4 5 2 6" xfId="35180" xr:uid="{00000000-0005-0000-0000-000056A10000}"/>
    <cellStyle name="표준 5 4 2 4 5 2 7" xfId="43373" xr:uid="{00000000-0005-0000-0000-000057A10000}"/>
    <cellStyle name="표준 5 4 2 4 5 3" xfId="8311" xr:uid="{00000000-0005-0000-0000-000058A10000}"/>
    <cellStyle name="표준 5 4 2 4 5 3 2" xfId="29017" xr:uid="{00000000-0005-0000-0000-000059A10000}"/>
    <cellStyle name="표준 5 4 2 4 5 3 3" xfId="37228" xr:uid="{00000000-0005-0000-0000-00005AA10000}"/>
    <cellStyle name="표준 5 4 2 4 5 3 4" xfId="45421" xr:uid="{00000000-0005-0000-0000-00005BA10000}"/>
    <cellStyle name="표준 5 4 2 4 5 4" xfId="12423" xr:uid="{00000000-0005-0000-0000-00005CA10000}"/>
    <cellStyle name="표준 5 4 2 4 5 5" xfId="16663" xr:uid="{00000000-0005-0000-0000-00005DA10000}"/>
    <cellStyle name="표준 5 4 2 4 5 6" xfId="20825" xr:uid="{00000000-0005-0000-0000-00005EA10000}"/>
    <cellStyle name="표준 5 4 2 4 5 7" xfId="24921" xr:uid="{00000000-0005-0000-0000-00005FA10000}"/>
    <cellStyle name="표준 5 4 2 4 5 8" xfId="33132" xr:uid="{00000000-0005-0000-0000-000060A10000}"/>
    <cellStyle name="표준 5 4 2 4 5 9" xfId="41325" xr:uid="{00000000-0005-0000-0000-000061A10000}"/>
    <cellStyle name="표준 5 4 2 4 6" xfId="1968" xr:uid="{00000000-0005-0000-0000-000062A10000}"/>
    <cellStyle name="표준 5 4 2 4 6 2" xfId="10871" xr:uid="{00000000-0005-0000-0000-000063A10000}"/>
    <cellStyle name="표준 5 4 2 4 6 2 2" xfId="14983" xr:uid="{00000000-0005-0000-0000-000064A10000}"/>
    <cellStyle name="표준 5 4 2 4 6 2 2 2" xfId="31577" xr:uid="{00000000-0005-0000-0000-000065A10000}"/>
    <cellStyle name="표준 5 4 2 4 6 2 2 3" xfId="39788" xr:uid="{00000000-0005-0000-0000-000066A10000}"/>
    <cellStyle name="표준 5 4 2 4 6 2 2 4" xfId="47981" xr:uid="{00000000-0005-0000-0000-000067A10000}"/>
    <cellStyle name="표준 5 4 2 4 6 2 3" xfId="19223" xr:uid="{00000000-0005-0000-0000-000068A10000}"/>
    <cellStyle name="표준 5 4 2 4 6 2 4" xfId="23385" xr:uid="{00000000-0005-0000-0000-000069A10000}"/>
    <cellStyle name="표준 5 4 2 4 6 2 5" xfId="27481" xr:uid="{00000000-0005-0000-0000-00006AA10000}"/>
    <cellStyle name="표준 5 4 2 4 6 2 6" xfId="35692" xr:uid="{00000000-0005-0000-0000-00006BA10000}"/>
    <cellStyle name="표준 5 4 2 4 6 2 7" xfId="43885" xr:uid="{00000000-0005-0000-0000-00006CA10000}"/>
    <cellStyle name="표준 5 4 2 4 6 3" xfId="8823" xr:uid="{00000000-0005-0000-0000-00006DA10000}"/>
    <cellStyle name="표준 5 4 2 4 6 3 2" xfId="29529" xr:uid="{00000000-0005-0000-0000-00006EA10000}"/>
    <cellStyle name="표준 5 4 2 4 6 3 3" xfId="37740" xr:uid="{00000000-0005-0000-0000-00006FA10000}"/>
    <cellStyle name="표준 5 4 2 4 6 3 4" xfId="45933" xr:uid="{00000000-0005-0000-0000-000070A10000}"/>
    <cellStyle name="표준 5 4 2 4 6 4" xfId="12935" xr:uid="{00000000-0005-0000-0000-000071A10000}"/>
    <cellStyle name="표준 5 4 2 4 6 5" xfId="17175" xr:uid="{00000000-0005-0000-0000-000072A10000}"/>
    <cellStyle name="표준 5 4 2 4 6 6" xfId="21337" xr:uid="{00000000-0005-0000-0000-000073A10000}"/>
    <cellStyle name="표준 5 4 2 4 6 7" xfId="25433" xr:uid="{00000000-0005-0000-0000-000074A10000}"/>
    <cellStyle name="표준 5 4 2 4 6 8" xfId="33644" xr:uid="{00000000-0005-0000-0000-000075A10000}"/>
    <cellStyle name="표준 5 4 2 4 6 9" xfId="41837" xr:uid="{00000000-0005-0000-0000-000076A10000}"/>
    <cellStyle name="표준 5 4 2 4 7" xfId="7028" xr:uid="{00000000-0005-0000-0000-000077A10000}"/>
    <cellStyle name="표준 5 4 2 4 7 2" xfId="9335" xr:uid="{00000000-0005-0000-0000-000078A10000}"/>
    <cellStyle name="표준 5 4 2 4 7 2 2" xfId="30041" xr:uid="{00000000-0005-0000-0000-000079A10000}"/>
    <cellStyle name="표준 5 4 2 4 7 2 3" xfId="38252" xr:uid="{00000000-0005-0000-0000-00007AA10000}"/>
    <cellStyle name="표준 5 4 2 4 7 2 4" xfId="46445" xr:uid="{00000000-0005-0000-0000-00007BA10000}"/>
    <cellStyle name="표준 5 4 2 4 7 3" xfId="13447" xr:uid="{00000000-0005-0000-0000-00007CA10000}"/>
    <cellStyle name="표준 5 4 2 4 7 4" xfId="17687" xr:uid="{00000000-0005-0000-0000-00007DA10000}"/>
    <cellStyle name="표준 5 4 2 4 7 5" xfId="21849" xr:uid="{00000000-0005-0000-0000-00007EA10000}"/>
    <cellStyle name="표준 5 4 2 4 7 6" xfId="25945" xr:uid="{00000000-0005-0000-0000-00007FA10000}"/>
    <cellStyle name="표준 5 4 2 4 7 7" xfId="34156" xr:uid="{00000000-0005-0000-0000-000080A10000}"/>
    <cellStyle name="표준 5 4 2 4 7 8" xfId="42349" xr:uid="{00000000-0005-0000-0000-000081A10000}"/>
    <cellStyle name="표준 5 4 2 4 8" xfId="7150" xr:uid="{00000000-0005-0000-0000-000082A10000}"/>
    <cellStyle name="표준 5 4 2 4 8 2" xfId="27993" xr:uid="{00000000-0005-0000-0000-000083A10000}"/>
    <cellStyle name="표준 5 4 2 4 8 3" xfId="36204" xr:uid="{00000000-0005-0000-0000-000084A10000}"/>
    <cellStyle name="표준 5 4 2 4 8 4" xfId="44397" xr:uid="{00000000-0005-0000-0000-000085A10000}"/>
    <cellStyle name="표준 5 4 2 4 9" xfId="7287" xr:uid="{00000000-0005-0000-0000-000086A10000}"/>
    <cellStyle name="표준 5 4 2 5" xfId="496" xr:uid="{00000000-0005-0000-0000-000087A10000}"/>
    <cellStyle name="표준 5 4 2 5 10" xfId="19865" xr:uid="{00000000-0005-0000-0000-000088A10000}"/>
    <cellStyle name="표준 5 4 2 5 11" xfId="23961" xr:uid="{00000000-0005-0000-0000-000089A10000}"/>
    <cellStyle name="표준 5 4 2 5 12" xfId="32172" xr:uid="{00000000-0005-0000-0000-00008AA10000}"/>
    <cellStyle name="표준 5 4 2 5 13" xfId="40365" xr:uid="{00000000-0005-0000-0000-00008BA10000}"/>
    <cellStyle name="표준 5 4 2 5 2" xfId="752" xr:uid="{00000000-0005-0000-0000-00008CA10000}"/>
    <cellStyle name="표준 5 4 2 5 2 10" xfId="24217" xr:uid="{00000000-0005-0000-0000-00008DA10000}"/>
    <cellStyle name="표준 5 4 2 5 2 11" xfId="32428" xr:uid="{00000000-0005-0000-0000-00008EA10000}"/>
    <cellStyle name="표준 5 4 2 5 2 12" xfId="40621" xr:uid="{00000000-0005-0000-0000-00008FA10000}"/>
    <cellStyle name="표준 5 4 2 5 2 2" xfId="1264" xr:uid="{00000000-0005-0000-0000-000090A10000}"/>
    <cellStyle name="표준 5 4 2 5 2 2 2" xfId="10167" xr:uid="{00000000-0005-0000-0000-000091A10000}"/>
    <cellStyle name="표준 5 4 2 5 2 2 2 2" xfId="14279" xr:uid="{00000000-0005-0000-0000-000092A10000}"/>
    <cellStyle name="표준 5 4 2 5 2 2 2 2 2" xfId="30873" xr:uid="{00000000-0005-0000-0000-000093A10000}"/>
    <cellStyle name="표준 5 4 2 5 2 2 2 2 3" xfId="39084" xr:uid="{00000000-0005-0000-0000-000094A10000}"/>
    <cellStyle name="표준 5 4 2 5 2 2 2 2 4" xfId="47277" xr:uid="{00000000-0005-0000-0000-000095A10000}"/>
    <cellStyle name="표준 5 4 2 5 2 2 2 3" xfId="18519" xr:uid="{00000000-0005-0000-0000-000096A10000}"/>
    <cellStyle name="표준 5 4 2 5 2 2 2 4" xfId="22681" xr:uid="{00000000-0005-0000-0000-000097A10000}"/>
    <cellStyle name="표준 5 4 2 5 2 2 2 5" xfId="26777" xr:uid="{00000000-0005-0000-0000-000098A10000}"/>
    <cellStyle name="표준 5 4 2 5 2 2 2 6" xfId="34988" xr:uid="{00000000-0005-0000-0000-000099A10000}"/>
    <cellStyle name="표준 5 4 2 5 2 2 2 7" xfId="43181" xr:uid="{00000000-0005-0000-0000-00009AA10000}"/>
    <cellStyle name="표준 5 4 2 5 2 2 3" xfId="8119" xr:uid="{00000000-0005-0000-0000-00009BA10000}"/>
    <cellStyle name="표준 5 4 2 5 2 2 3 2" xfId="28825" xr:uid="{00000000-0005-0000-0000-00009CA10000}"/>
    <cellStyle name="표준 5 4 2 5 2 2 3 3" xfId="37036" xr:uid="{00000000-0005-0000-0000-00009DA10000}"/>
    <cellStyle name="표준 5 4 2 5 2 2 3 4" xfId="45229" xr:uid="{00000000-0005-0000-0000-00009EA10000}"/>
    <cellStyle name="표준 5 4 2 5 2 2 4" xfId="12231" xr:uid="{00000000-0005-0000-0000-00009FA10000}"/>
    <cellStyle name="표준 5 4 2 5 2 2 5" xfId="16471" xr:uid="{00000000-0005-0000-0000-0000A0A10000}"/>
    <cellStyle name="표준 5 4 2 5 2 2 6" xfId="20633" xr:uid="{00000000-0005-0000-0000-0000A1A10000}"/>
    <cellStyle name="표준 5 4 2 5 2 2 7" xfId="24729" xr:uid="{00000000-0005-0000-0000-0000A2A10000}"/>
    <cellStyle name="표준 5 4 2 5 2 2 8" xfId="32940" xr:uid="{00000000-0005-0000-0000-0000A3A10000}"/>
    <cellStyle name="표준 5 4 2 5 2 2 9" xfId="41133" xr:uid="{00000000-0005-0000-0000-0000A4A10000}"/>
    <cellStyle name="표준 5 4 2 5 2 3" xfId="1776" xr:uid="{00000000-0005-0000-0000-0000A5A10000}"/>
    <cellStyle name="표준 5 4 2 5 2 3 2" xfId="10679" xr:uid="{00000000-0005-0000-0000-0000A6A10000}"/>
    <cellStyle name="표준 5 4 2 5 2 3 2 2" xfId="14791" xr:uid="{00000000-0005-0000-0000-0000A7A10000}"/>
    <cellStyle name="표준 5 4 2 5 2 3 2 2 2" xfId="31385" xr:uid="{00000000-0005-0000-0000-0000A8A10000}"/>
    <cellStyle name="표준 5 4 2 5 2 3 2 2 3" xfId="39596" xr:uid="{00000000-0005-0000-0000-0000A9A10000}"/>
    <cellStyle name="표준 5 4 2 5 2 3 2 2 4" xfId="47789" xr:uid="{00000000-0005-0000-0000-0000AAA10000}"/>
    <cellStyle name="표준 5 4 2 5 2 3 2 3" xfId="19031" xr:uid="{00000000-0005-0000-0000-0000ABA10000}"/>
    <cellStyle name="표준 5 4 2 5 2 3 2 4" xfId="23193" xr:uid="{00000000-0005-0000-0000-0000ACA10000}"/>
    <cellStyle name="표준 5 4 2 5 2 3 2 5" xfId="27289" xr:uid="{00000000-0005-0000-0000-0000ADA10000}"/>
    <cellStyle name="표준 5 4 2 5 2 3 2 6" xfId="35500" xr:uid="{00000000-0005-0000-0000-0000AEA10000}"/>
    <cellStyle name="표준 5 4 2 5 2 3 2 7" xfId="43693" xr:uid="{00000000-0005-0000-0000-0000AFA10000}"/>
    <cellStyle name="표준 5 4 2 5 2 3 3" xfId="8631" xr:uid="{00000000-0005-0000-0000-0000B0A10000}"/>
    <cellStyle name="표준 5 4 2 5 2 3 3 2" xfId="29337" xr:uid="{00000000-0005-0000-0000-0000B1A10000}"/>
    <cellStyle name="표준 5 4 2 5 2 3 3 3" xfId="37548" xr:uid="{00000000-0005-0000-0000-0000B2A10000}"/>
    <cellStyle name="표준 5 4 2 5 2 3 3 4" xfId="45741" xr:uid="{00000000-0005-0000-0000-0000B3A10000}"/>
    <cellStyle name="표준 5 4 2 5 2 3 4" xfId="12743" xr:uid="{00000000-0005-0000-0000-0000B4A10000}"/>
    <cellStyle name="표준 5 4 2 5 2 3 5" xfId="16983" xr:uid="{00000000-0005-0000-0000-0000B5A10000}"/>
    <cellStyle name="표준 5 4 2 5 2 3 6" xfId="21145" xr:uid="{00000000-0005-0000-0000-0000B6A10000}"/>
    <cellStyle name="표준 5 4 2 5 2 3 7" xfId="25241" xr:uid="{00000000-0005-0000-0000-0000B7A10000}"/>
    <cellStyle name="표준 5 4 2 5 2 3 8" xfId="33452" xr:uid="{00000000-0005-0000-0000-0000B8A10000}"/>
    <cellStyle name="표준 5 4 2 5 2 3 9" xfId="41645" xr:uid="{00000000-0005-0000-0000-0000B9A10000}"/>
    <cellStyle name="표준 5 4 2 5 2 4" xfId="2288" xr:uid="{00000000-0005-0000-0000-0000BAA10000}"/>
    <cellStyle name="표준 5 4 2 5 2 4 2" xfId="11191" xr:uid="{00000000-0005-0000-0000-0000BBA10000}"/>
    <cellStyle name="표준 5 4 2 5 2 4 2 2" xfId="15303" xr:uid="{00000000-0005-0000-0000-0000BCA10000}"/>
    <cellStyle name="표준 5 4 2 5 2 4 2 2 2" xfId="31897" xr:uid="{00000000-0005-0000-0000-0000BDA10000}"/>
    <cellStyle name="표준 5 4 2 5 2 4 2 2 3" xfId="40108" xr:uid="{00000000-0005-0000-0000-0000BEA10000}"/>
    <cellStyle name="표준 5 4 2 5 2 4 2 2 4" xfId="48301" xr:uid="{00000000-0005-0000-0000-0000BFA10000}"/>
    <cellStyle name="표준 5 4 2 5 2 4 2 3" xfId="19543" xr:uid="{00000000-0005-0000-0000-0000C0A10000}"/>
    <cellStyle name="표준 5 4 2 5 2 4 2 4" xfId="23705" xr:uid="{00000000-0005-0000-0000-0000C1A10000}"/>
    <cellStyle name="표준 5 4 2 5 2 4 2 5" xfId="27801" xr:uid="{00000000-0005-0000-0000-0000C2A10000}"/>
    <cellStyle name="표준 5 4 2 5 2 4 2 6" xfId="36012" xr:uid="{00000000-0005-0000-0000-0000C3A10000}"/>
    <cellStyle name="표준 5 4 2 5 2 4 2 7" xfId="44205" xr:uid="{00000000-0005-0000-0000-0000C4A10000}"/>
    <cellStyle name="표준 5 4 2 5 2 4 3" xfId="9143" xr:uid="{00000000-0005-0000-0000-0000C5A10000}"/>
    <cellStyle name="표준 5 4 2 5 2 4 3 2" xfId="29849" xr:uid="{00000000-0005-0000-0000-0000C6A10000}"/>
    <cellStyle name="표준 5 4 2 5 2 4 3 3" xfId="38060" xr:uid="{00000000-0005-0000-0000-0000C7A10000}"/>
    <cellStyle name="표준 5 4 2 5 2 4 3 4" xfId="46253" xr:uid="{00000000-0005-0000-0000-0000C8A10000}"/>
    <cellStyle name="표준 5 4 2 5 2 4 4" xfId="13255" xr:uid="{00000000-0005-0000-0000-0000C9A10000}"/>
    <cellStyle name="표준 5 4 2 5 2 4 5" xfId="17495" xr:uid="{00000000-0005-0000-0000-0000CAA10000}"/>
    <cellStyle name="표준 5 4 2 5 2 4 6" xfId="21657" xr:uid="{00000000-0005-0000-0000-0000CBA10000}"/>
    <cellStyle name="표준 5 4 2 5 2 4 7" xfId="25753" xr:uid="{00000000-0005-0000-0000-0000CCA10000}"/>
    <cellStyle name="표준 5 4 2 5 2 4 8" xfId="33964" xr:uid="{00000000-0005-0000-0000-0000CDA10000}"/>
    <cellStyle name="표준 5 4 2 5 2 4 9" xfId="42157" xr:uid="{00000000-0005-0000-0000-0000CEA10000}"/>
    <cellStyle name="표준 5 4 2 5 2 5" xfId="9655" xr:uid="{00000000-0005-0000-0000-0000CFA10000}"/>
    <cellStyle name="표준 5 4 2 5 2 5 2" xfId="13767" xr:uid="{00000000-0005-0000-0000-0000D0A10000}"/>
    <cellStyle name="표준 5 4 2 5 2 5 2 2" xfId="30361" xr:uid="{00000000-0005-0000-0000-0000D1A10000}"/>
    <cellStyle name="표준 5 4 2 5 2 5 2 3" xfId="38572" xr:uid="{00000000-0005-0000-0000-0000D2A10000}"/>
    <cellStyle name="표준 5 4 2 5 2 5 2 4" xfId="46765" xr:uid="{00000000-0005-0000-0000-0000D3A10000}"/>
    <cellStyle name="표준 5 4 2 5 2 5 3" xfId="18007" xr:uid="{00000000-0005-0000-0000-0000D4A10000}"/>
    <cellStyle name="표준 5 4 2 5 2 5 4" xfId="22169" xr:uid="{00000000-0005-0000-0000-0000D5A10000}"/>
    <cellStyle name="표준 5 4 2 5 2 5 5" xfId="26265" xr:uid="{00000000-0005-0000-0000-0000D6A10000}"/>
    <cellStyle name="표준 5 4 2 5 2 5 6" xfId="34476" xr:uid="{00000000-0005-0000-0000-0000D7A10000}"/>
    <cellStyle name="표준 5 4 2 5 2 5 7" xfId="42669" xr:uid="{00000000-0005-0000-0000-0000D8A10000}"/>
    <cellStyle name="표준 5 4 2 5 2 6" xfId="7607" xr:uid="{00000000-0005-0000-0000-0000D9A10000}"/>
    <cellStyle name="표준 5 4 2 5 2 6 2" xfId="28313" xr:uid="{00000000-0005-0000-0000-0000DAA10000}"/>
    <cellStyle name="표준 5 4 2 5 2 6 3" xfId="36524" xr:uid="{00000000-0005-0000-0000-0000DBA10000}"/>
    <cellStyle name="표준 5 4 2 5 2 6 4" xfId="44717" xr:uid="{00000000-0005-0000-0000-0000DCA10000}"/>
    <cellStyle name="표준 5 4 2 5 2 7" xfId="11719" xr:uid="{00000000-0005-0000-0000-0000DDA10000}"/>
    <cellStyle name="표준 5 4 2 5 2 8" xfId="15959" xr:uid="{00000000-0005-0000-0000-0000DEA10000}"/>
    <cellStyle name="표준 5 4 2 5 2 9" xfId="20121" xr:uid="{00000000-0005-0000-0000-0000DFA10000}"/>
    <cellStyle name="표준 5 4 2 5 3" xfId="1008" xr:uid="{00000000-0005-0000-0000-0000E0A10000}"/>
    <cellStyle name="표준 5 4 2 5 3 2" xfId="9911" xr:uid="{00000000-0005-0000-0000-0000E1A10000}"/>
    <cellStyle name="표준 5 4 2 5 3 2 2" xfId="14023" xr:uid="{00000000-0005-0000-0000-0000E2A10000}"/>
    <cellStyle name="표준 5 4 2 5 3 2 2 2" xfId="30617" xr:uid="{00000000-0005-0000-0000-0000E3A10000}"/>
    <cellStyle name="표준 5 4 2 5 3 2 2 3" xfId="38828" xr:uid="{00000000-0005-0000-0000-0000E4A10000}"/>
    <cellStyle name="표준 5 4 2 5 3 2 2 4" xfId="47021" xr:uid="{00000000-0005-0000-0000-0000E5A10000}"/>
    <cellStyle name="표준 5 4 2 5 3 2 3" xfId="18263" xr:uid="{00000000-0005-0000-0000-0000E6A10000}"/>
    <cellStyle name="표준 5 4 2 5 3 2 4" xfId="22425" xr:uid="{00000000-0005-0000-0000-0000E7A10000}"/>
    <cellStyle name="표준 5 4 2 5 3 2 5" xfId="26521" xr:uid="{00000000-0005-0000-0000-0000E8A10000}"/>
    <cellStyle name="표준 5 4 2 5 3 2 6" xfId="34732" xr:uid="{00000000-0005-0000-0000-0000E9A10000}"/>
    <cellStyle name="표준 5 4 2 5 3 2 7" xfId="42925" xr:uid="{00000000-0005-0000-0000-0000EAA10000}"/>
    <cellStyle name="표준 5 4 2 5 3 3" xfId="7863" xr:uid="{00000000-0005-0000-0000-0000EBA10000}"/>
    <cellStyle name="표준 5 4 2 5 3 3 2" xfId="28569" xr:uid="{00000000-0005-0000-0000-0000ECA10000}"/>
    <cellStyle name="표준 5 4 2 5 3 3 3" xfId="36780" xr:uid="{00000000-0005-0000-0000-0000EDA10000}"/>
    <cellStyle name="표준 5 4 2 5 3 3 4" xfId="44973" xr:uid="{00000000-0005-0000-0000-0000EEA10000}"/>
    <cellStyle name="표준 5 4 2 5 3 4" xfId="11975" xr:uid="{00000000-0005-0000-0000-0000EFA10000}"/>
    <cellStyle name="표준 5 4 2 5 3 5" xfId="16215" xr:uid="{00000000-0005-0000-0000-0000F0A10000}"/>
    <cellStyle name="표준 5 4 2 5 3 6" xfId="20377" xr:uid="{00000000-0005-0000-0000-0000F1A10000}"/>
    <cellStyle name="표준 5 4 2 5 3 7" xfId="24473" xr:uid="{00000000-0005-0000-0000-0000F2A10000}"/>
    <cellStyle name="표준 5 4 2 5 3 8" xfId="32684" xr:uid="{00000000-0005-0000-0000-0000F3A10000}"/>
    <cellStyle name="표준 5 4 2 5 3 9" xfId="40877" xr:uid="{00000000-0005-0000-0000-0000F4A10000}"/>
    <cellStyle name="표준 5 4 2 5 4" xfId="1520" xr:uid="{00000000-0005-0000-0000-0000F5A10000}"/>
    <cellStyle name="표준 5 4 2 5 4 2" xfId="10423" xr:uid="{00000000-0005-0000-0000-0000F6A10000}"/>
    <cellStyle name="표준 5 4 2 5 4 2 2" xfId="14535" xr:uid="{00000000-0005-0000-0000-0000F7A10000}"/>
    <cellStyle name="표준 5 4 2 5 4 2 2 2" xfId="31129" xr:uid="{00000000-0005-0000-0000-0000F8A10000}"/>
    <cellStyle name="표준 5 4 2 5 4 2 2 3" xfId="39340" xr:uid="{00000000-0005-0000-0000-0000F9A10000}"/>
    <cellStyle name="표준 5 4 2 5 4 2 2 4" xfId="47533" xr:uid="{00000000-0005-0000-0000-0000FAA10000}"/>
    <cellStyle name="표준 5 4 2 5 4 2 3" xfId="18775" xr:uid="{00000000-0005-0000-0000-0000FBA10000}"/>
    <cellStyle name="표준 5 4 2 5 4 2 4" xfId="22937" xr:uid="{00000000-0005-0000-0000-0000FCA10000}"/>
    <cellStyle name="표준 5 4 2 5 4 2 5" xfId="27033" xr:uid="{00000000-0005-0000-0000-0000FDA10000}"/>
    <cellStyle name="표준 5 4 2 5 4 2 6" xfId="35244" xr:uid="{00000000-0005-0000-0000-0000FEA10000}"/>
    <cellStyle name="표준 5 4 2 5 4 2 7" xfId="43437" xr:uid="{00000000-0005-0000-0000-0000FFA10000}"/>
    <cellStyle name="표준 5 4 2 5 4 3" xfId="8375" xr:uid="{00000000-0005-0000-0000-000000A20000}"/>
    <cellStyle name="표준 5 4 2 5 4 3 2" xfId="29081" xr:uid="{00000000-0005-0000-0000-000001A20000}"/>
    <cellStyle name="표준 5 4 2 5 4 3 3" xfId="37292" xr:uid="{00000000-0005-0000-0000-000002A20000}"/>
    <cellStyle name="표준 5 4 2 5 4 3 4" xfId="45485" xr:uid="{00000000-0005-0000-0000-000003A20000}"/>
    <cellStyle name="표준 5 4 2 5 4 4" xfId="12487" xr:uid="{00000000-0005-0000-0000-000004A20000}"/>
    <cellStyle name="표준 5 4 2 5 4 5" xfId="16727" xr:uid="{00000000-0005-0000-0000-000005A20000}"/>
    <cellStyle name="표준 5 4 2 5 4 6" xfId="20889" xr:uid="{00000000-0005-0000-0000-000006A20000}"/>
    <cellStyle name="표준 5 4 2 5 4 7" xfId="24985" xr:uid="{00000000-0005-0000-0000-000007A20000}"/>
    <cellStyle name="표준 5 4 2 5 4 8" xfId="33196" xr:uid="{00000000-0005-0000-0000-000008A20000}"/>
    <cellStyle name="표준 5 4 2 5 4 9" xfId="41389" xr:uid="{00000000-0005-0000-0000-000009A20000}"/>
    <cellStyle name="표준 5 4 2 5 5" xfId="2032" xr:uid="{00000000-0005-0000-0000-00000AA20000}"/>
    <cellStyle name="표준 5 4 2 5 5 2" xfId="10935" xr:uid="{00000000-0005-0000-0000-00000BA20000}"/>
    <cellStyle name="표준 5 4 2 5 5 2 2" xfId="15047" xr:uid="{00000000-0005-0000-0000-00000CA20000}"/>
    <cellStyle name="표준 5 4 2 5 5 2 2 2" xfId="31641" xr:uid="{00000000-0005-0000-0000-00000DA20000}"/>
    <cellStyle name="표준 5 4 2 5 5 2 2 3" xfId="39852" xr:uid="{00000000-0005-0000-0000-00000EA20000}"/>
    <cellStyle name="표준 5 4 2 5 5 2 2 4" xfId="48045" xr:uid="{00000000-0005-0000-0000-00000FA20000}"/>
    <cellStyle name="표준 5 4 2 5 5 2 3" xfId="19287" xr:uid="{00000000-0005-0000-0000-000010A20000}"/>
    <cellStyle name="표준 5 4 2 5 5 2 4" xfId="23449" xr:uid="{00000000-0005-0000-0000-000011A20000}"/>
    <cellStyle name="표준 5 4 2 5 5 2 5" xfId="27545" xr:uid="{00000000-0005-0000-0000-000012A20000}"/>
    <cellStyle name="표준 5 4 2 5 5 2 6" xfId="35756" xr:uid="{00000000-0005-0000-0000-000013A20000}"/>
    <cellStyle name="표준 5 4 2 5 5 2 7" xfId="43949" xr:uid="{00000000-0005-0000-0000-000014A20000}"/>
    <cellStyle name="표준 5 4 2 5 5 3" xfId="8887" xr:uid="{00000000-0005-0000-0000-000015A20000}"/>
    <cellStyle name="표준 5 4 2 5 5 3 2" xfId="29593" xr:uid="{00000000-0005-0000-0000-000016A20000}"/>
    <cellStyle name="표준 5 4 2 5 5 3 3" xfId="37804" xr:uid="{00000000-0005-0000-0000-000017A20000}"/>
    <cellStyle name="표준 5 4 2 5 5 3 4" xfId="45997" xr:uid="{00000000-0005-0000-0000-000018A20000}"/>
    <cellStyle name="표준 5 4 2 5 5 4" xfId="12999" xr:uid="{00000000-0005-0000-0000-000019A20000}"/>
    <cellStyle name="표준 5 4 2 5 5 5" xfId="17239" xr:uid="{00000000-0005-0000-0000-00001AA20000}"/>
    <cellStyle name="표준 5 4 2 5 5 6" xfId="21401" xr:uid="{00000000-0005-0000-0000-00001BA20000}"/>
    <cellStyle name="표준 5 4 2 5 5 7" xfId="25497" xr:uid="{00000000-0005-0000-0000-00001CA20000}"/>
    <cellStyle name="표준 5 4 2 5 5 8" xfId="33708" xr:uid="{00000000-0005-0000-0000-00001DA20000}"/>
    <cellStyle name="표준 5 4 2 5 5 9" xfId="41901" xr:uid="{00000000-0005-0000-0000-00001EA20000}"/>
    <cellStyle name="표준 5 4 2 5 6" xfId="9399" xr:uid="{00000000-0005-0000-0000-00001FA20000}"/>
    <cellStyle name="표준 5 4 2 5 6 2" xfId="13511" xr:uid="{00000000-0005-0000-0000-000020A20000}"/>
    <cellStyle name="표준 5 4 2 5 6 2 2" xfId="30105" xr:uid="{00000000-0005-0000-0000-000021A20000}"/>
    <cellStyle name="표준 5 4 2 5 6 2 3" xfId="38316" xr:uid="{00000000-0005-0000-0000-000022A20000}"/>
    <cellStyle name="표준 5 4 2 5 6 2 4" xfId="46509" xr:uid="{00000000-0005-0000-0000-000023A20000}"/>
    <cellStyle name="표준 5 4 2 5 6 3" xfId="17751" xr:uid="{00000000-0005-0000-0000-000024A20000}"/>
    <cellStyle name="표준 5 4 2 5 6 4" xfId="21913" xr:uid="{00000000-0005-0000-0000-000025A20000}"/>
    <cellStyle name="표준 5 4 2 5 6 5" xfId="26009" xr:uid="{00000000-0005-0000-0000-000026A20000}"/>
    <cellStyle name="표준 5 4 2 5 6 6" xfId="34220" xr:uid="{00000000-0005-0000-0000-000027A20000}"/>
    <cellStyle name="표준 5 4 2 5 6 7" xfId="42413" xr:uid="{00000000-0005-0000-0000-000028A20000}"/>
    <cellStyle name="표준 5 4 2 5 7" xfId="7351" xr:uid="{00000000-0005-0000-0000-000029A20000}"/>
    <cellStyle name="표준 5 4 2 5 7 2" xfId="28057" xr:uid="{00000000-0005-0000-0000-00002AA20000}"/>
    <cellStyle name="표준 5 4 2 5 7 3" xfId="36268" xr:uid="{00000000-0005-0000-0000-00002BA20000}"/>
    <cellStyle name="표준 5 4 2 5 7 4" xfId="44461" xr:uid="{00000000-0005-0000-0000-00002CA20000}"/>
    <cellStyle name="표준 5 4 2 5 8" xfId="11463" xr:uid="{00000000-0005-0000-0000-00002DA20000}"/>
    <cellStyle name="표준 5 4 2 5 9" xfId="15703" xr:uid="{00000000-0005-0000-0000-00002EA20000}"/>
    <cellStyle name="표준 5 4 2 6" xfId="624" xr:uid="{00000000-0005-0000-0000-00002FA20000}"/>
    <cellStyle name="표준 5 4 2 6 10" xfId="24089" xr:uid="{00000000-0005-0000-0000-000030A20000}"/>
    <cellStyle name="표준 5 4 2 6 11" xfId="32300" xr:uid="{00000000-0005-0000-0000-000031A20000}"/>
    <cellStyle name="표준 5 4 2 6 12" xfId="40493" xr:uid="{00000000-0005-0000-0000-000032A20000}"/>
    <cellStyle name="표준 5 4 2 6 2" xfId="1136" xr:uid="{00000000-0005-0000-0000-000033A20000}"/>
    <cellStyle name="표준 5 4 2 6 2 2" xfId="10039" xr:uid="{00000000-0005-0000-0000-000034A20000}"/>
    <cellStyle name="표준 5 4 2 6 2 2 2" xfId="14151" xr:uid="{00000000-0005-0000-0000-000035A20000}"/>
    <cellStyle name="표준 5 4 2 6 2 2 2 2" xfId="30745" xr:uid="{00000000-0005-0000-0000-000036A20000}"/>
    <cellStyle name="표준 5 4 2 6 2 2 2 3" xfId="38956" xr:uid="{00000000-0005-0000-0000-000037A20000}"/>
    <cellStyle name="표준 5 4 2 6 2 2 2 4" xfId="47149" xr:uid="{00000000-0005-0000-0000-000038A20000}"/>
    <cellStyle name="표준 5 4 2 6 2 2 3" xfId="18391" xr:uid="{00000000-0005-0000-0000-000039A20000}"/>
    <cellStyle name="표준 5 4 2 6 2 2 4" xfId="22553" xr:uid="{00000000-0005-0000-0000-00003AA20000}"/>
    <cellStyle name="표준 5 4 2 6 2 2 5" xfId="26649" xr:uid="{00000000-0005-0000-0000-00003BA20000}"/>
    <cellStyle name="표준 5 4 2 6 2 2 6" xfId="34860" xr:uid="{00000000-0005-0000-0000-00003CA20000}"/>
    <cellStyle name="표준 5 4 2 6 2 2 7" xfId="43053" xr:uid="{00000000-0005-0000-0000-00003DA20000}"/>
    <cellStyle name="표준 5 4 2 6 2 3" xfId="7991" xr:uid="{00000000-0005-0000-0000-00003EA20000}"/>
    <cellStyle name="표준 5 4 2 6 2 3 2" xfId="28697" xr:uid="{00000000-0005-0000-0000-00003FA20000}"/>
    <cellStyle name="표준 5 4 2 6 2 3 3" xfId="36908" xr:uid="{00000000-0005-0000-0000-000040A20000}"/>
    <cellStyle name="표준 5 4 2 6 2 3 4" xfId="45101" xr:uid="{00000000-0005-0000-0000-000041A20000}"/>
    <cellStyle name="표준 5 4 2 6 2 4" xfId="12103" xr:uid="{00000000-0005-0000-0000-000042A20000}"/>
    <cellStyle name="표준 5 4 2 6 2 5" xfId="16343" xr:uid="{00000000-0005-0000-0000-000043A20000}"/>
    <cellStyle name="표준 5 4 2 6 2 6" xfId="20505" xr:uid="{00000000-0005-0000-0000-000044A20000}"/>
    <cellStyle name="표준 5 4 2 6 2 7" xfId="24601" xr:uid="{00000000-0005-0000-0000-000045A20000}"/>
    <cellStyle name="표준 5 4 2 6 2 8" xfId="32812" xr:uid="{00000000-0005-0000-0000-000046A20000}"/>
    <cellStyle name="표준 5 4 2 6 2 9" xfId="41005" xr:uid="{00000000-0005-0000-0000-000047A20000}"/>
    <cellStyle name="표준 5 4 2 6 3" xfId="1648" xr:uid="{00000000-0005-0000-0000-000048A20000}"/>
    <cellStyle name="표준 5 4 2 6 3 2" xfId="10551" xr:uid="{00000000-0005-0000-0000-000049A20000}"/>
    <cellStyle name="표준 5 4 2 6 3 2 2" xfId="14663" xr:uid="{00000000-0005-0000-0000-00004AA20000}"/>
    <cellStyle name="표준 5 4 2 6 3 2 2 2" xfId="31257" xr:uid="{00000000-0005-0000-0000-00004BA20000}"/>
    <cellStyle name="표준 5 4 2 6 3 2 2 3" xfId="39468" xr:uid="{00000000-0005-0000-0000-00004CA20000}"/>
    <cellStyle name="표준 5 4 2 6 3 2 2 4" xfId="47661" xr:uid="{00000000-0005-0000-0000-00004DA20000}"/>
    <cellStyle name="표준 5 4 2 6 3 2 3" xfId="18903" xr:uid="{00000000-0005-0000-0000-00004EA20000}"/>
    <cellStyle name="표준 5 4 2 6 3 2 4" xfId="23065" xr:uid="{00000000-0005-0000-0000-00004FA20000}"/>
    <cellStyle name="표준 5 4 2 6 3 2 5" xfId="27161" xr:uid="{00000000-0005-0000-0000-000050A20000}"/>
    <cellStyle name="표준 5 4 2 6 3 2 6" xfId="35372" xr:uid="{00000000-0005-0000-0000-000051A20000}"/>
    <cellStyle name="표준 5 4 2 6 3 2 7" xfId="43565" xr:uid="{00000000-0005-0000-0000-000052A20000}"/>
    <cellStyle name="표준 5 4 2 6 3 3" xfId="8503" xr:uid="{00000000-0005-0000-0000-000053A20000}"/>
    <cellStyle name="표준 5 4 2 6 3 3 2" xfId="29209" xr:uid="{00000000-0005-0000-0000-000054A20000}"/>
    <cellStyle name="표준 5 4 2 6 3 3 3" xfId="37420" xr:uid="{00000000-0005-0000-0000-000055A20000}"/>
    <cellStyle name="표준 5 4 2 6 3 3 4" xfId="45613" xr:uid="{00000000-0005-0000-0000-000056A20000}"/>
    <cellStyle name="표준 5 4 2 6 3 4" xfId="12615" xr:uid="{00000000-0005-0000-0000-000057A20000}"/>
    <cellStyle name="표준 5 4 2 6 3 5" xfId="16855" xr:uid="{00000000-0005-0000-0000-000058A20000}"/>
    <cellStyle name="표준 5 4 2 6 3 6" xfId="21017" xr:uid="{00000000-0005-0000-0000-000059A20000}"/>
    <cellStyle name="표준 5 4 2 6 3 7" xfId="25113" xr:uid="{00000000-0005-0000-0000-00005AA20000}"/>
    <cellStyle name="표준 5 4 2 6 3 8" xfId="33324" xr:uid="{00000000-0005-0000-0000-00005BA20000}"/>
    <cellStyle name="표준 5 4 2 6 3 9" xfId="41517" xr:uid="{00000000-0005-0000-0000-00005CA20000}"/>
    <cellStyle name="표준 5 4 2 6 4" xfId="2160" xr:uid="{00000000-0005-0000-0000-00005DA20000}"/>
    <cellStyle name="표준 5 4 2 6 4 2" xfId="11063" xr:uid="{00000000-0005-0000-0000-00005EA20000}"/>
    <cellStyle name="표준 5 4 2 6 4 2 2" xfId="15175" xr:uid="{00000000-0005-0000-0000-00005FA20000}"/>
    <cellStyle name="표준 5 4 2 6 4 2 2 2" xfId="31769" xr:uid="{00000000-0005-0000-0000-000060A20000}"/>
    <cellStyle name="표준 5 4 2 6 4 2 2 3" xfId="39980" xr:uid="{00000000-0005-0000-0000-000061A20000}"/>
    <cellStyle name="표준 5 4 2 6 4 2 2 4" xfId="48173" xr:uid="{00000000-0005-0000-0000-000062A20000}"/>
    <cellStyle name="표준 5 4 2 6 4 2 3" xfId="19415" xr:uid="{00000000-0005-0000-0000-000063A20000}"/>
    <cellStyle name="표준 5 4 2 6 4 2 4" xfId="23577" xr:uid="{00000000-0005-0000-0000-000064A20000}"/>
    <cellStyle name="표준 5 4 2 6 4 2 5" xfId="27673" xr:uid="{00000000-0005-0000-0000-000065A20000}"/>
    <cellStyle name="표준 5 4 2 6 4 2 6" xfId="35884" xr:uid="{00000000-0005-0000-0000-000066A20000}"/>
    <cellStyle name="표준 5 4 2 6 4 2 7" xfId="44077" xr:uid="{00000000-0005-0000-0000-000067A20000}"/>
    <cellStyle name="표준 5 4 2 6 4 3" xfId="9015" xr:uid="{00000000-0005-0000-0000-000068A20000}"/>
    <cellStyle name="표준 5 4 2 6 4 3 2" xfId="29721" xr:uid="{00000000-0005-0000-0000-000069A20000}"/>
    <cellStyle name="표준 5 4 2 6 4 3 3" xfId="37932" xr:uid="{00000000-0005-0000-0000-00006AA20000}"/>
    <cellStyle name="표준 5 4 2 6 4 3 4" xfId="46125" xr:uid="{00000000-0005-0000-0000-00006BA20000}"/>
    <cellStyle name="표준 5 4 2 6 4 4" xfId="13127" xr:uid="{00000000-0005-0000-0000-00006CA20000}"/>
    <cellStyle name="표준 5 4 2 6 4 5" xfId="17367" xr:uid="{00000000-0005-0000-0000-00006DA20000}"/>
    <cellStyle name="표준 5 4 2 6 4 6" xfId="21529" xr:uid="{00000000-0005-0000-0000-00006EA20000}"/>
    <cellStyle name="표준 5 4 2 6 4 7" xfId="25625" xr:uid="{00000000-0005-0000-0000-00006FA20000}"/>
    <cellStyle name="표준 5 4 2 6 4 8" xfId="33836" xr:uid="{00000000-0005-0000-0000-000070A20000}"/>
    <cellStyle name="표준 5 4 2 6 4 9" xfId="42029" xr:uid="{00000000-0005-0000-0000-000071A20000}"/>
    <cellStyle name="표준 5 4 2 6 5" xfId="9527" xr:uid="{00000000-0005-0000-0000-000072A20000}"/>
    <cellStyle name="표준 5 4 2 6 5 2" xfId="13639" xr:uid="{00000000-0005-0000-0000-000073A20000}"/>
    <cellStyle name="표준 5 4 2 6 5 2 2" xfId="30233" xr:uid="{00000000-0005-0000-0000-000074A20000}"/>
    <cellStyle name="표준 5 4 2 6 5 2 3" xfId="38444" xr:uid="{00000000-0005-0000-0000-000075A20000}"/>
    <cellStyle name="표준 5 4 2 6 5 2 4" xfId="46637" xr:uid="{00000000-0005-0000-0000-000076A20000}"/>
    <cellStyle name="표준 5 4 2 6 5 3" xfId="17879" xr:uid="{00000000-0005-0000-0000-000077A20000}"/>
    <cellStyle name="표준 5 4 2 6 5 4" xfId="22041" xr:uid="{00000000-0005-0000-0000-000078A20000}"/>
    <cellStyle name="표준 5 4 2 6 5 5" xfId="26137" xr:uid="{00000000-0005-0000-0000-000079A20000}"/>
    <cellStyle name="표준 5 4 2 6 5 6" xfId="34348" xr:uid="{00000000-0005-0000-0000-00007AA20000}"/>
    <cellStyle name="표준 5 4 2 6 5 7" xfId="42541" xr:uid="{00000000-0005-0000-0000-00007BA20000}"/>
    <cellStyle name="표준 5 4 2 6 6" xfId="7479" xr:uid="{00000000-0005-0000-0000-00007CA20000}"/>
    <cellStyle name="표준 5 4 2 6 6 2" xfId="28185" xr:uid="{00000000-0005-0000-0000-00007DA20000}"/>
    <cellStyle name="표준 5 4 2 6 6 3" xfId="36396" xr:uid="{00000000-0005-0000-0000-00007EA20000}"/>
    <cellStyle name="표준 5 4 2 6 6 4" xfId="44589" xr:uid="{00000000-0005-0000-0000-00007FA20000}"/>
    <cellStyle name="표준 5 4 2 6 7" xfId="11591" xr:uid="{00000000-0005-0000-0000-000080A20000}"/>
    <cellStyle name="표준 5 4 2 6 8" xfId="15831" xr:uid="{00000000-0005-0000-0000-000081A20000}"/>
    <cellStyle name="표준 5 4 2 6 9" xfId="19993" xr:uid="{00000000-0005-0000-0000-000082A20000}"/>
    <cellStyle name="표준 5 4 2 7" xfId="880" xr:uid="{00000000-0005-0000-0000-000083A20000}"/>
    <cellStyle name="표준 5 4 2 7 2" xfId="9783" xr:uid="{00000000-0005-0000-0000-000084A20000}"/>
    <cellStyle name="표준 5 4 2 7 2 2" xfId="13895" xr:uid="{00000000-0005-0000-0000-000085A20000}"/>
    <cellStyle name="표준 5 4 2 7 2 2 2" xfId="30489" xr:uid="{00000000-0005-0000-0000-000086A20000}"/>
    <cellStyle name="표준 5 4 2 7 2 2 3" xfId="38700" xr:uid="{00000000-0005-0000-0000-000087A20000}"/>
    <cellStyle name="표준 5 4 2 7 2 2 4" xfId="46893" xr:uid="{00000000-0005-0000-0000-000088A20000}"/>
    <cellStyle name="표준 5 4 2 7 2 3" xfId="18135" xr:uid="{00000000-0005-0000-0000-000089A20000}"/>
    <cellStyle name="표준 5 4 2 7 2 4" xfId="22297" xr:uid="{00000000-0005-0000-0000-00008AA20000}"/>
    <cellStyle name="표준 5 4 2 7 2 5" xfId="26393" xr:uid="{00000000-0005-0000-0000-00008BA20000}"/>
    <cellStyle name="표준 5 4 2 7 2 6" xfId="34604" xr:uid="{00000000-0005-0000-0000-00008CA20000}"/>
    <cellStyle name="표준 5 4 2 7 2 7" xfId="42797" xr:uid="{00000000-0005-0000-0000-00008DA20000}"/>
    <cellStyle name="표준 5 4 2 7 3" xfId="7735" xr:uid="{00000000-0005-0000-0000-00008EA20000}"/>
    <cellStyle name="표준 5 4 2 7 3 2" xfId="28441" xr:uid="{00000000-0005-0000-0000-00008FA20000}"/>
    <cellStyle name="표준 5 4 2 7 3 3" xfId="36652" xr:uid="{00000000-0005-0000-0000-000090A20000}"/>
    <cellStyle name="표준 5 4 2 7 3 4" xfId="44845" xr:uid="{00000000-0005-0000-0000-000091A20000}"/>
    <cellStyle name="표준 5 4 2 7 4" xfId="11847" xr:uid="{00000000-0005-0000-0000-000092A20000}"/>
    <cellStyle name="표준 5 4 2 7 5" xfId="16087" xr:uid="{00000000-0005-0000-0000-000093A20000}"/>
    <cellStyle name="표준 5 4 2 7 6" xfId="20249" xr:uid="{00000000-0005-0000-0000-000094A20000}"/>
    <cellStyle name="표준 5 4 2 7 7" xfId="24345" xr:uid="{00000000-0005-0000-0000-000095A20000}"/>
    <cellStyle name="표준 5 4 2 7 8" xfId="32556" xr:uid="{00000000-0005-0000-0000-000096A20000}"/>
    <cellStyle name="표준 5 4 2 7 9" xfId="40749" xr:uid="{00000000-0005-0000-0000-000097A20000}"/>
    <cellStyle name="표준 5 4 2 8" xfId="1392" xr:uid="{00000000-0005-0000-0000-000098A20000}"/>
    <cellStyle name="표준 5 4 2 8 2" xfId="10295" xr:uid="{00000000-0005-0000-0000-000099A20000}"/>
    <cellStyle name="표준 5 4 2 8 2 2" xfId="14407" xr:uid="{00000000-0005-0000-0000-00009AA20000}"/>
    <cellStyle name="표준 5 4 2 8 2 2 2" xfId="31001" xr:uid="{00000000-0005-0000-0000-00009BA20000}"/>
    <cellStyle name="표준 5 4 2 8 2 2 3" xfId="39212" xr:uid="{00000000-0005-0000-0000-00009CA20000}"/>
    <cellStyle name="표준 5 4 2 8 2 2 4" xfId="47405" xr:uid="{00000000-0005-0000-0000-00009DA20000}"/>
    <cellStyle name="표준 5 4 2 8 2 3" xfId="18647" xr:uid="{00000000-0005-0000-0000-00009EA20000}"/>
    <cellStyle name="표준 5 4 2 8 2 4" xfId="22809" xr:uid="{00000000-0005-0000-0000-00009FA20000}"/>
    <cellStyle name="표준 5 4 2 8 2 5" xfId="26905" xr:uid="{00000000-0005-0000-0000-0000A0A20000}"/>
    <cellStyle name="표준 5 4 2 8 2 6" xfId="35116" xr:uid="{00000000-0005-0000-0000-0000A1A20000}"/>
    <cellStyle name="표준 5 4 2 8 2 7" xfId="43309" xr:uid="{00000000-0005-0000-0000-0000A2A20000}"/>
    <cellStyle name="표준 5 4 2 8 3" xfId="8247" xr:uid="{00000000-0005-0000-0000-0000A3A20000}"/>
    <cellStyle name="표준 5 4 2 8 3 2" xfId="28953" xr:uid="{00000000-0005-0000-0000-0000A4A20000}"/>
    <cellStyle name="표준 5 4 2 8 3 3" xfId="37164" xr:uid="{00000000-0005-0000-0000-0000A5A20000}"/>
    <cellStyle name="표준 5 4 2 8 3 4" xfId="45357" xr:uid="{00000000-0005-0000-0000-0000A6A20000}"/>
    <cellStyle name="표준 5 4 2 8 4" xfId="12359" xr:uid="{00000000-0005-0000-0000-0000A7A20000}"/>
    <cellStyle name="표준 5 4 2 8 5" xfId="16599" xr:uid="{00000000-0005-0000-0000-0000A8A20000}"/>
    <cellStyle name="표준 5 4 2 8 6" xfId="20761" xr:uid="{00000000-0005-0000-0000-0000A9A20000}"/>
    <cellStyle name="표준 5 4 2 8 7" xfId="24857" xr:uid="{00000000-0005-0000-0000-0000AAA20000}"/>
    <cellStyle name="표준 5 4 2 8 8" xfId="33068" xr:uid="{00000000-0005-0000-0000-0000ABA20000}"/>
    <cellStyle name="표준 5 4 2 8 9" xfId="41261" xr:uid="{00000000-0005-0000-0000-0000ACA20000}"/>
    <cellStyle name="표준 5 4 2 9" xfId="1904" xr:uid="{00000000-0005-0000-0000-0000ADA20000}"/>
    <cellStyle name="표준 5 4 2 9 2" xfId="10807" xr:uid="{00000000-0005-0000-0000-0000AEA20000}"/>
    <cellStyle name="표준 5 4 2 9 2 2" xfId="14919" xr:uid="{00000000-0005-0000-0000-0000AFA20000}"/>
    <cellStyle name="표준 5 4 2 9 2 2 2" xfId="31513" xr:uid="{00000000-0005-0000-0000-0000B0A20000}"/>
    <cellStyle name="표준 5 4 2 9 2 2 3" xfId="39724" xr:uid="{00000000-0005-0000-0000-0000B1A20000}"/>
    <cellStyle name="표준 5 4 2 9 2 2 4" xfId="47917" xr:uid="{00000000-0005-0000-0000-0000B2A20000}"/>
    <cellStyle name="표준 5 4 2 9 2 3" xfId="19159" xr:uid="{00000000-0005-0000-0000-0000B3A20000}"/>
    <cellStyle name="표준 5 4 2 9 2 4" xfId="23321" xr:uid="{00000000-0005-0000-0000-0000B4A20000}"/>
    <cellStyle name="표준 5 4 2 9 2 5" xfId="27417" xr:uid="{00000000-0005-0000-0000-0000B5A20000}"/>
    <cellStyle name="표준 5 4 2 9 2 6" xfId="35628" xr:uid="{00000000-0005-0000-0000-0000B6A20000}"/>
    <cellStyle name="표준 5 4 2 9 2 7" xfId="43821" xr:uid="{00000000-0005-0000-0000-0000B7A20000}"/>
    <cellStyle name="표준 5 4 2 9 3" xfId="8759" xr:uid="{00000000-0005-0000-0000-0000B8A20000}"/>
    <cellStyle name="표준 5 4 2 9 3 2" xfId="29465" xr:uid="{00000000-0005-0000-0000-0000B9A20000}"/>
    <cellStyle name="표준 5 4 2 9 3 3" xfId="37676" xr:uid="{00000000-0005-0000-0000-0000BAA20000}"/>
    <cellStyle name="표준 5 4 2 9 3 4" xfId="45869" xr:uid="{00000000-0005-0000-0000-0000BBA20000}"/>
    <cellStyle name="표준 5 4 2 9 4" xfId="12871" xr:uid="{00000000-0005-0000-0000-0000BCA20000}"/>
    <cellStyle name="표준 5 4 2 9 5" xfId="17111" xr:uid="{00000000-0005-0000-0000-0000BDA20000}"/>
    <cellStyle name="표준 5 4 2 9 6" xfId="21273" xr:uid="{00000000-0005-0000-0000-0000BEA20000}"/>
    <cellStyle name="표준 5 4 2 9 7" xfId="25369" xr:uid="{00000000-0005-0000-0000-0000BFA20000}"/>
    <cellStyle name="표준 5 4 2 9 8" xfId="33580" xr:uid="{00000000-0005-0000-0000-0000C0A20000}"/>
    <cellStyle name="표준 5 4 2 9 9" xfId="41773" xr:uid="{00000000-0005-0000-0000-0000C1A20000}"/>
    <cellStyle name="표준 5 4 20" xfId="11327" xr:uid="{00000000-0005-0000-0000-0000C2A20000}"/>
    <cellStyle name="표준 5 4 21" xfId="15423" xr:uid="{00000000-0005-0000-0000-0000C3A20000}"/>
    <cellStyle name="표준 5 4 22" xfId="15439" xr:uid="{00000000-0005-0000-0000-0000C4A20000}"/>
    <cellStyle name="표준 5 4 23" xfId="15455" xr:uid="{00000000-0005-0000-0000-0000C5A20000}"/>
    <cellStyle name="표준 5 4 24" xfId="15551" xr:uid="{00000000-0005-0000-0000-0000C6A20000}"/>
    <cellStyle name="표준 5 4 25" xfId="15567" xr:uid="{00000000-0005-0000-0000-0000C7A20000}"/>
    <cellStyle name="표준 5 4 26" xfId="19663" xr:uid="{00000000-0005-0000-0000-0000C8A20000}"/>
    <cellStyle name="표준 5 4 27" xfId="19679" xr:uid="{00000000-0005-0000-0000-0000C9A20000}"/>
    <cellStyle name="표준 5 4 28" xfId="19695" xr:uid="{00000000-0005-0000-0000-0000CAA20000}"/>
    <cellStyle name="표준 5 4 29" xfId="19711" xr:uid="{00000000-0005-0000-0000-0000CBA20000}"/>
    <cellStyle name="표준 5 4 3" xfId="143" xr:uid="{00000000-0005-0000-0000-0000CCA20000}"/>
    <cellStyle name="표준 5 4 3 10" xfId="7190" xr:uid="{00000000-0005-0000-0000-0000CDA20000}"/>
    <cellStyle name="표준 5 4 3 10 2" xfId="27937" xr:uid="{00000000-0005-0000-0000-0000CEA20000}"/>
    <cellStyle name="표준 5 4 3 10 3" xfId="36148" xr:uid="{00000000-0005-0000-0000-0000CFA20000}"/>
    <cellStyle name="표준 5 4 3 10 4" xfId="44341" xr:uid="{00000000-0005-0000-0000-0000D0A20000}"/>
    <cellStyle name="표준 5 4 3 11" xfId="7231" xr:uid="{00000000-0005-0000-0000-0000D1A20000}"/>
    <cellStyle name="표준 5 4 3 12" xfId="11343" xr:uid="{00000000-0005-0000-0000-0000D2A20000}"/>
    <cellStyle name="표준 5 4 3 13" xfId="15471" xr:uid="{00000000-0005-0000-0000-0000D3A20000}"/>
    <cellStyle name="표준 5 4 3 14" xfId="15583" xr:uid="{00000000-0005-0000-0000-0000D4A20000}"/>
    <cellStyle name="표준 5 4 3 15" xfId="19745" xr:uid="{00000000-0005-0000-0000-0000D5A20000}"/>
    <cellStyle name="표준 5 4 3 16" xfId="23841" xr:uid="{00000000-0005-0000-0000-0000D6A20000}"/>
    <cellStyle name="표준 5 4 3 17" xfId="32052" xr:uid="{00000000-0005-0000-0000-0000D7A20000}"/>
    <cellStyle name="표준 5 4 3 18" xfId="40245" xr:uid="{00000000-0005-0000-0000-0000D8A20000}"/>
    <cellStyle name="표준 5 4 3 19" xfId="49648" xr:uid="{00000000-0005-0000-0000-0000D9A20000}"/>
    <cellStyle name="표준 5 4 3 2" xfId="408" xr:uid="{00000000-0005-0000-0000-0000DAA20000}"/>
    <cellStyle name="표준 5 4 3 2 10" xfId="7263" xr:uid="{00000000-0005-0000-0000-0000DBA20000}"/>
    <cellStyle name="표준 5 4 3 2 11" xfId="11375" xr:uid="{00000000-0005-0000-0000-0000DCA20000}"/>
    <cellStyle name="표준 5 4 3 2 12" xfId="15519" xr:uid="{00000000-0005-0000-0000-0000DDA20000}"/>
    <cellStyle name="표준 5 4 3 2 13" xfId="15615" xr:uid="{00000000-0005-0000-0000-0000DEA20000}"/>
    <cellStyle name="표준 5 4 3 2 14" xfId="19777" xr:uid="{00000000-0005-0000-0000-0000DFA20000}"/>
    <cellStyle name="표준 5 4 3 2 15" xfId="23873" xr:uid="{00000000-0005-0000-0000-0000E0A20000}"/>
    <cellStyle name="표준 5 4 3 2 16" xfId="32084" xr:uid="{00000000-0005-0000-0000-0000E1A20000}"/>
    <cellStyle name="표준 5 4 3 2 17" xfId="40277" xr:uid="{00000000-0005-0000-0000-0000E2A20000}"/>
    <cellStyle name="표준 5 4 3 2 18" xfId="49714" xr:uid="{00000000-0005-0000-0000-0000E3A20000}"/>
    <cellStyle name="표준 5 4 3 2 2" xfId="472" xr:uid="{00000000-0005-0000-0000-0000E4A20000}"/>
    <cellStyle name="표준 5 4 3 2 2 10" xfId="15679" xr:uid="{00000000-0005-0000-0000-0000E5A20000}"/>
    <cellStyle name="표준 5 4 3 2 2 11" xfId="19841" xr:uid="{00000000-0005-0000-0000-0000E6A20000}"/>
    <cellStyle name="표준 5 4 3 2 2 12" xfId="23937" xr:uid="{00000000-0005-0000-0000-0000E7A20000}"/>
    <cellStyle name="표준 5 4 3 2 2 13" xfId="32148" xr:uid="{00000000-0005-0000-0000-0000E8A20000}"/>
    <cellStyle name="표준 5 4 3 2 2 14" xfId="40341" xr:uid="{00000000-0005-0000-0000-0000E9A20000}"/>
    <cellStyle name="표준 5 4 3 2 2 2" xfId="600" xr:uid="{00000000-0005-0000-0000-0000EAA20000}"/>
    <cellStyle name="표준 5 4 3 2 2 2 10" xfId="19969" xr:uid="{00000000-0005-0000-0000-0000EBA20000}"/>
    <cellStyle name="표준 5 4 3 2 2 2 11" xfId="24065" xr:uid="{00000000-0005-0000-0000-0000ECA20000}"/>
    <cellStyle name="표준 5 4 3 2 2 2 12" xfId="32276" xr:uid="{00000000-0005-0000-0000-0000EDA20000}"/>
    <cellStyle name="표준 5 4 3 2 2 2 13" xfId="40469" xr:uid="{00000000-0005-0000-0000-0000EEA20000}"/>
    <cellStyle name="표준 5 4 3 2 2 2 2" xfId="856" xr:uid="{00000000-0005-0000-0000-0000EFA20000}"/>
    <cellStyle name="표준 5 4 3 2 2 2 2 10" xfId="24321" xr:uid="{00000000-0005-0000-0000-0000F0A20000}"/>
    <cellStyle name="표준 5 4 3 2 2 2 2 11" xfId="32532" xr:uid="{00000000-0005-0000-0000-0000F1A20000}"/>
    <cellStyle name="표준 5 4 3 2 2 2 2 12" xfId="40725" xr:uid="{00000000-0005-0000-0000-0000F2A20000}"/>
    <cellStyle name="표준 5 4 3 2 2 2 2 2" xfId="1368" xr:uid="{00000000-0005-0000-0000-0000F3A20000}"/>
    <cellStyle name="표준 5 4 3 2 2 2 2 2 2" xfId="10271" xr:uid="{00000000-0005-0000-0000-0000F4A20000}"/>
    <cellStyle name="표준 5 4 3 2 2 2 2 2 2 2" xfId="14383" xr:uid="{00000000-0005-0000-0000-0000F5A20000}"/>
    <cellStyle name="표준 5 4 3 2 2 2 2 2 2 2 2" xfId="30977" xr:uid="{00000000-0005-0000-0000-0000F6A20000}"/>
    <cellStyle name="표준 5 4 3 2 2 2 2 2 2 2 3" xfId="39188" xr:uid="{00000000-0005-0000-0000-0000F7A20000}"/>
    <cellStyle name="표준 5 4 3 2 2 2 2 2 2 2 4" xfId="47381" xr:uid="{00000000-0005-0000-0000-0000F8A20000}"/>
    <cellStyle name="표준 5 4 3 2 2 2 2 2 2 3" xfId="18623" xr:uid="{00000000-0005-0000-0000-0000F9A20000}"/>
    <cellStyle name="표준 5 4 3 2 2 2 2 2 2 4" xfId="22785" xr:uid="{00000000-0005-0000-0000-0000FAA20000}"/>
    <cellStyle name="표준 5 4 3 2 2 2 2 2 2 5" xfId="26881" xr:uid="{00000000-0005-0000-0000-0000FBA20000}"/>
    <cellStyle name="표준 5 4 3 2 2 2 2 2 2 6" xfId="35092" xr:uid="{00000000-0005-0000-0000-0000FCA20000}"/>
    <cellStyle name="표준 5 4 3 2 2 2 2 2 2 7" xfId="43285" xr:uid="{00000000-0005-0000-0000-0000FDA20000}"/>
    <cellStyle name="표준 5 4 3 2 2 2 2 2 3" xfId="8223" xr:uid="{00000000-0005-0000-0000-0000FEA20000}"/>
    <cellStyle name="표준 5 4 3 2 2 2 2 2 3 2" xfId="28929" xr:uid="{00000000-0005-0000-0000-0000FFA20000}"/>
    <cellStyle name="표준 5 4 3 2 2 2 2 2 3 3" xfId="37140" xr:uid="{00000000-0005-0000-0000-000000A30000}"/>
    <cellStyle name="표준 5 4 3 2 2 2 2 2 3 4" xfId="45333" xr:uid="{00000000-0005-0000-0000-000001A30000}"/>
    <cellStyle name="표준 5 4 3 2 2 2 2 2 4" xfId="12335" xr:uid="{00000000-0005-0000-0000-000002A30000}"/>
    <cellStyle name="표준 5 4 3 2 2 2 2 2 5" xfId="16575" xr:uid="{00000000-0005-0000-0000-000003A30000}"/>
    <cellStyle name="표준 5 4 3 2 2 2 2 2 6" xfId="20737" xr:uid="{00000000-0005-0000-0000-000004A30000}"/>
    <cellStyle name="표준 5 4 3 2 2 2 2 2 7" xfId="24833" xr:uid="{00000000-0005-0000-0000-000005A30000}"/>
    <cellStyle name="표준 5 4 3 2 2 2 2 2 8" xfId="33044" xr:uid="{00000000-0005-0000-0000-000006A30000}"/>
    <cellStyle name="표준 5 4 3 2 2 2 2 2 9" xfId="41237" xr:uid="{00000000-0005-0000-0000-000007A30000}"/>
    <cellStyle name="표준 5 4 3 2 2 2 2 3" xfId="1880" xr:uid="{00000000-0005-0000-0000-000008A30000}"/>
    <cellStyle name="표준 5 4 3 2 2 2 2 3 2" xfId="10783" xr:uid="{00000000-0005-0000-0000-000009A30000}"/>
    <cellStyle name="표준 5 4 3 2 2 2 2 3 2 2" xfId="14895" xr:uid="{00000000-0005-0000-0000-00000AA30000}"/>
    <cellStyle name="표준 5 4 3 2 2 2 2 3 2 2 2" xfId="31489" xr:uid="{00000000-0005-0000-0000-00000BA30000}"/>
    <cellStyle name="표준 5 4 3 2 2 2 2 3 2 2 3" xfId="39700" xr:uid="{00000000-0005-0000-0000-00000CA30000}"/>
    <cellStyle name="표준 5 4 3 2 2 2 2 3 2 2 4" xfId="47893" xr:uid="{00000000-0005-0000-0000-00000DA30000}"/>
    <cellStyle name="표준 5 4 3 2 2 2 2 3 2 3" xfId="19135" xr:uid="{00000000-0005-0000-0000-00000EA30000}"/>
    <cellStyle name="표준 5 4 3 2 2 2 2 3 2 4" xfId="23297" xr:uid="{00000000-0005-0000-0000-00000FA30000}"/>
    <cellStyle name="표준 5 4 3 2 2 2 2 3 2 5" xfId="27393" xr:uid="{00000000-0005-0000-0000-000010A30000}"/>
    <cellStyle name="표준 5 4 3 2 2 2 2 3 2 6" xfId="35604" xr:uid="{00000000-0005-0000-0000-000011A30000}"/>
    <cellStyle name="표준 5 4 3 2 2 2 2 3 2 7" xfId="43797" xr:uid="{00000000-0005-0000-0000-000012A30000}"/>
    <cellStyle name="표준 5 4 3 2 2 2 2 3 3" xfId="8735" xr:uid="{00000000-0005-0000-0000-000013A30000}"/>
    <cellStyle name="표준 5 4 3 2 2 2 2 3 3 2" xfId="29441" xr:uid="{00000000-0005-0000-0000-000014A30000}"/>
    <cellStyle name="표준 5 4 3 2 2 2 2 3 3 3" xfId="37652" xr:uid="{00000000-0005-0000-0000-000015A30000}"/>
    <cellStyle name="표준 5 4 3 2 2 2 2 3 3 4" xfId="45845" xr:uid="{00000000-0005-0000-0000-000016A30000}"/>
    <cellStyle name="표준 5 4 3 2 2 2 2 3 4" xfId="12847" xr:uid="{00000000-0005-0000-0000-000017A30000}"/>
    <cellStyle name="표준 5 4 3 2 2 2 2 3 5" xfId="17087" xr:uid="{00000000-0005-0000-0000-000018A30000}"/>
    <cellStyle name="표준 5 4 3 2 2 2 2 3 6" xfId="21249" xr:uid="{00000000-0005-0000-0000-000019A30000}"/>
    <cellStyle name="표준 5 4 3 2 2 2 2 3 7" xfId="25345" xr:uid="{00000000-0005-0000-0000-00001AA30000}"/>
    <cellStyle name="표준 5 4 3 2 2 2 2 3 8" xfId="33556" xr:uid="{00000000-0005-0000-0000-00001BA30000}"/>
    <cellStyle name="표준 5 4 3 2 2 2 2 3 9" xfId="41749" xr:uid="{00000000-0005-0000-0000-00001CA30000}"/>
    <cellStyle name="표준 5 4 3 2 2 2 2 4" xfId="2392" xr:uid="{00000000-0005-0000-0000-00001DA30000}"/>
    <cellStyle name="표준 5 4 3 2 2 2 2 4 2" xfId="11295" xr:uid="{00000000-0005-0000-0000-00001EA30000}"/>
    <cellStyle name="표준 5 4 3 2 2 2 2 4 2 2" xfId="15407" xr:uid="{00000000-0005-0000-0000-00001FA30000}"/>
    <cellStyle name="표준 5 4 3 2 2 2 2 4 2 2 2" xfId="32001" xr:uid="{00000000-0005-0000-0000-000020A30000}"/>
    <cellStyle name="표준 5 4 3 2 2 2 2 4 2 2 3" xfId="40212" xr:uid="{00000000-0005-0000-0000-000021A30000}"/>
    <cellStyle name="표준 5 4 3 2 2 2 2 4 2 2 4" xfId="48405" xr:uid="{00000000-0005-0000-0000-000022A30000}"/>
    <cellStyle name="표준 5 4 3 2 2 2 2 4 2 3" xfId="19647" xr:uid="{00000000-0005-0000-0000-000023A30000}"/>
    <cellStyle name="표준 5 4 3 2 2 2 2 4 2 4" xfId="23809" xr:uid="{00000000-0005-0000-0000-000024A30000}"/>
    <cellStyle name="표준 5 4 3 2 2 2 2 4 2 5" xfId="27905" xr:uid="{00000000-0005-0000-0000-000025A30000}"/>
    <cellStyle name="표준 5 4 3 2 2 2 2 4 2 6" xfId="36116" xr:uid="{00000000-0005-0000-0000-000026A30000}"/>
    <cellStyle name="표준 5 4 3 2 2 2 2 4 2 7" xfId="44309" xr:uid="{00000000-0005-0000-0000-000027A30000}"/>
    <cellStyle name="표준 5 4 3 2 2 2 2 4 3" xfId="9247" xr:uid="{00000000-0005-0000-0000-000028A30000}"/>
    <cellStyle name="표준 5 4 3 2 2 2 2 4 3 2" xfId="29953" xr:uid="{00000000-0005-0000-0000-000029A30000}"/>
    <cellStyle name="표준 5 4 3 2 2 2 2 4 3 3" xfId="38164" xr:uid="{00000000-0005-0000-0000-00002AA30000}"/>
    <cellStyle name="표준 5 4 3 2 2 2 2 4 3 4" xfId="46357" xr:uid="{00000000-0005-0000-0000-00002BA30000}"/>
    <cellStyle name="표준 5 4 3 2 2 2 2 4 4" xfId="13359" xr:uid="{00000000-0005-0000-0000-00002CA30000}"/>
    <cellStyle name="표준 5 4 3 2 2 2 2 4 5" xfId="17599" xr:uid="{00000000-0005-0000-0000-00002DA30000}"/>
    <cellStyle name="표준 5 4 3 2 2 2 2 4 6" xfId="21761" xr:uid="{00000000-0005-0000-0000-00002EA30000}"/>
    <cellStyle name="표준 5 4 3 2 2 2 2 4 7" xfId="25857" xr:uid="{00000000-0005-0000-0000-00002FA30000}"/>
    <cellStyle name="표준 5 4 3 2 2 2 2 4 8" xfId="34068" xr:uid="{00000000-0005-0000-0000-000030A30000}"/>
    <cellStyle name="표준 5 4 3 2 2 2 2 4 9" xfId="42261" xr:uid="{00000000-0005-0000-0000-000031A30000}"/>
    <cellStyle name="표준 5 4 3 2 2 2 2 5" xfId="9759" xr:uid="{00000000-0005-0000-0000-000032A30000}"/>
    <cellStyle name="표준 5 4 3 2 2 2 2 5 2" xfId="13871" xr:uid="{00000000-0005-0000-0000-000033A30000}"/>
    <cellStyle name="표준 5 4 3 2 2 2 2 5 2 2" xfId="30465" xr:uid="{00000000-0005-0000-0000-000034A30000}"/>
    <cellStyle name="표준 5 4 3 2 2 2 2 5 2 3" xfId="38676" xr:uid="{00000000-0005-0000-0000-000035A30000}"/>
    <cellStyle name="표준 5 4 3 2 2 2 2 5 2 4" xfId="46869" xr:uid="{00000000-0005-0000-0000-000036A30000}"/>
    <cellStyle name="표준 5 4 3 2 2 2 2 5 3" xfId="18111" xr:uid="{00000000-0005-0000-0000-000037A30000}"/>
    <cellStyle name="표준 5 4 3 2 2 2 2 5 4" xfId="22273" xr:uid="{00000000-0005-0000-0000-000038A30000}"/>
    <cellStyle name="표준 5 4 3 2 2 2 2 5 5" xfId="26369" xr:uid="{00000000-0005-0000-0000-000039A30000}"/>
    <cellStyle name="표준 5 4 3 2 2 2 2 5 6" xfId="34580" xr:uid="{00000000-0005-0000-0000-00003AA30000}"/>
    <cellStyle name="표준 5 4 3 2 2 2 2 5 7" xfId="42773" xr:uid="{00000000-0005-0000-0000-00003BA30000}"/>
    <cellStyle name="표준 5 4 3 2 2 2 2 6" xfId="7711" xr:uid="{00000000-0005-0000-0000-00003CA30000}"/>
    <cellStyle name="표준 5 4 3 2 2 2 2 6 2" xfId="28417" xr:uid="{00000000-0005-0000-0000-00003DA30000}"/>
    <cellStyle name="표준 5 4 3 2 2 2 2 6 3" xfId="36628" xr:uid="{00000000-0005-0000-0000-00003EA30000}"/>
    <cellStyle name="표준 5 4 3 2 2 2 2 6 4" xfId="44821" xr:uid="{00000000-0005-0000-0000-00003FA30000}"/>
    <cellStyle name="표준 5 4 3 2 2 2 2 7" xfId="11823" xr:uid="{00000000-0005-0000-0000-000040A30000}"/>
    <cellStyle name="표준 5 4 3 2 2 2 2 8" xfId="16063" xr:uid="{00000000-0005-0000-0000-000041A30000}"/>
    <cellStyle name="표준 5 4 3 2 2 2 2 9" xfId="20225" xr:uid="{00000000-0005-0000-0000-000042A30000}"/>
    <cellStyle name="표준 5 4 3 2 2 2 3" xfId="1112" xr:uid="{00000000-0005-0000-0000-000043A30000}"/>
    <cellStyle name="표준 5 4 3 2 2 2 3 2" xfId="10015" xr:uid="{00000000-0005-0000-0000-000044A30000}"/>
    <cellStyle name="표준 5 4 3 2 2 2 3 2 2" xfId="14127" xr:uid="{00000000-0005-0000-0000-000045A30000}"/>
    <cellStyle name="표준 5 4 3 2 2 2 3 2 2 2" xfId="30721" xr:uid="{00000000-0005-0000-0000-000046A30000}"/>
    <cellStyle name="표준 5 4 3 2 2 2 3 2 2 3" xfId="38932" xr:uid="{00000000-0005-0000-0000-000047A30000}"/>
    <cellStyle name="표준 5 4 3 2 2 2 3 2 2 4" xfId="47125" xr:uid="{00000000-0005-0000-0000-000048A30000}"/>
    <cellStyle name="표준 5 4 3 2 2 2 3 2 3" xfId="18367" xr:uid="{00000000-0005-0000-0000-000049A30000}"/>
    <cellStyle name="표준 5 4 3 2 2 2 3 2 4" xfId="22529" xr:uid="{00000000-0005-0000-0000-00004AA30000}"/>
    <cellStyle name="표준 5 4 3 2 2 2 3 2 5" xfId="26625" xr:uid="{00000000-0005-0000-0000-00004BA30000}"/>
    <cellStyle name="표준 5 4 3 2 2 2 3 2 6" xfId="34836" xr:uid="{00000000-0005-0000-0000-00004CA30000}"/>
    <cellStyle name="표준 5 4 3 2 2 2 3 2 7" xfId="43029" xr:uid="{00000000-0005-0000-0000-00004DA30000}"/>
    <cellStyle name="표준 5 4 3 2 2 2 3 3" xfId="7967" xr:uid="{00000000-0005-0000-0000-00004EA30000}"/>
    <cellStyle name="표준 5 4 3 2 2 2 3 3 2" xfId="28673" xr:uid="{00000000-0005-0000-0000-00004FA30000}"/>
    <cellStyle name="표준 5 4 3 2 2 2 3 3 3" xfId="36884" xr:uid="{00000000-0005-0000-0000-000050A30000}"/>
    <cellStyle name="표준 5 4 3 2 2 2 3 3 4" xfId="45077" xr:uid="{00000000-0005-0000-0000-000051A30000}"/>
    <cellStyle name="표준 5 4 3 2 2 2 3 4" xfId="12079" xr:uid="{00000000-0005-0000-0000-000052A30000}"/>
    <cellStyle name="표준 5 4 3 2 2 2 3 5" xfId="16319" xr:uid="{00000000-0005-0000-0000-000053A30000}"/>
    <cellStyle name="표준 5 4 3 2 2 2 3 6" xfId="20481" xr:uid="{00000000-0005-0000-0000-000054A30000}"/>
    <cellStyle name="표준 5 4 3 2 2 2 3 7" xfId="24577" xr:uid="{00000000-0005-0000-0000-000055A30000}"/>
    <cellStyle name="표준 5 4 3 2 2 2 3 8" xfId="32788" xr:uid="{00000000-0005-0000-0000-000056A30000}"/>
    <cellStyle name="표준 5 4 3 2 2 2 3 9" xfId="40981" xr:uid="{00000000-0005-0000-0000-000057A30000}"/>
    <cellStyle name="표준 5 4 3 2 2 2 4" xfId="1624" xr:uid="{00000000-0005-0000-0000-000058A30000}"/>
    <cellStyle name="표준 5 4 3 2 2 2 4 2" xfId="10527" xr:uid="{00000000-0005-0000-0000-000059A30000}"/>
    <cellStyle name="표준 5 4 3 2 2 2 4 2 2" xfId="14639" xr:uid="{00000000-0005-0000-0000-00005AA30000}"/>
    <cellStyle name="표준 5 4 3 2 2 2 4 2 2 2" xfId="31233" xr:uid="{00000000-0005-0000-0000-00005BA30000}"/>
    <cellStyle name="표준 5 4 3 2 2 2 4 2 2 3" xfId="39444" xr:uid="{00000000-0005-0000-0000-00005CA30000}"/>
    <cellStyle name="표준 5 4 3 2 2 2 4 2 2 4" xfId="47637" xr:uid="{00000000-0005-0000-0000-00005DA30000}"/>
    <cellStyle name="표준 5 4 3 2 2 2 4 2 3" xfId="18879" xr:uid="{00000000-0005-0000-0000-00005EA30000}"/>
    <cellStyle name="표준 5 4 3 2 2 2 4 2 4" xfId="23041" xr:uid="{00000000-0005-0000-0000-00005FA30000}"/>
    <cellStyle name="표준 5 4 3 2 2 2 4 2 5" xfId="27137" xr:uid="{00000000-0005-0000-0000-000060A30000}"/>
    <cellStyle name="표준 5 4 3 2 2 2 4 2 6" xfId="35348" xr:uid="{00000000-0005-0000-0000-000061A30000}"/>
    <cellStyle name="표준 5 4 3 2 2 2 4 2 7" xfId="43541" xr:uid="{00000000-0005-0000-0000-000062A30000}"/>
    <cellStyle name="표준 5 4 3 2 2 2 4 3" xfId="8479" xr:uid="{00000000-0005-0000-0000-000063A30000}"/>
    <cellStyle name="표준 5 4 3 2 2 2 4 3 2" xfId="29185" xr:uid="{00000000-0005-0000-0000-000064A30000}"/>
    <cellStyle name="표준 5 4 3 2 2 2 4 3 3" xfId="37396" xr:uid="{00000000-0005-0000-0000-000065A30000}"/>
    <cellStyle name="표준 5 4 3 2 2 2 4 3 4" xfId="45589" xr:uid="{00000000-0005-0000-0000-000066A30000}"/>
    <cellStyle name="표준 5 4 3 2 2 2 4 4" xfId="12591" xr:uid="{00000000-0005-0000-0000-000067A30000}"/>
    <cellStyle name="표준 5 4 3 2 2 2 4 5" xfId="16831" xr:uid="{00000000-0005-0000-0000-000068A30000}"/>
    <cellStyle name="표준 5 4 3 2 2 2 4 6" xfId="20993" xr:uid="{00000000-0005-0000-0000-000069A30000}"/>
    <cellStyle name="표준 5 4 3 2 2 2 4 7" xfId="25089" xr:uid="{00000000-0005-0000-0000-00006AA30000}"/>
    <cellStyle name="표준 5 4 3 2 2 2 4 8" xfId="33300" xr:uid="{00000000-0005-0000-0000-00006BA30000}"/>
    <cellStyle name="표준 5 4 3 2 2 2 4 9" xfId="41493" xr:uid="{00000000-0005-0000-0000-00006CA30000}"/>
    <cellStyle name="표준 5 4 3 2 2 2 5" xfId="2136" xr:uid="{00000000-0005-0000-0000-00006DA30000}"/>
    <cellStyle name="표준 5 4 3 2 2 2 5 2" xfId="11039" xr:uid="{00000000-0005-0000-0000-00006EA30000}"/>
    <cellStyle name="표준 5 4 3 2 2 2 5 2 2" xfId="15151" xr:uid="{00000000-0005-0000-0000-00006FA30000}"/>
    <cellStyle name="표준 5 4 3 2 2 2 5 2 2 2" xfId="31745" xr:uid="{00000000-0005-0000-0000-000070A30000}"/>
    <cellStyle name="표준 5 4 3 2 2 2 5 2 2 3" xfId="39956" xr:uid="{00000000-0005-0000-0000-000071A30000}"/>
    <cellStyle name="표준 5 4 3 2 2 2 5 2 2 4" xfId="48149" xr:uid="{00000000-0005-0000-0000-000072A30000}"/>
    <cellStyle name="표준 5 4 3 2 2 2 5 2 3" xfId="19391" xr:uid="{00000000-0005-0000-0000-000073A30000}"/>
    <cellStyle name="표준 5 4 3 2 2 2 5 2 4" xfId="23553" xr:uid="{00000000-0005-0000-0000-000074A30000}"/>
    <cellStyle name="표준 5 4 3 2 2 2 5 2 5" xfId="27649" xr:uid="{00000000-0005-0000-0000-000075A30000}"/>
    <cellStyle name="표준 5 4 3 2 2 2 5 2 6" xfId="35860" xr:uid="{00000000-0005-0000-0000-000076A30000}"/>
    <cellStyle name="표준 5 4 3 2 2 2 5 2 7" xfId="44053" xr:uid="{00000000-0005-0000-0000-000077A30000}"/>
    <cellStyle name="표준 5 4 3 2 2 2 5 3" xfId="8991" xr:uid="{00000000-0005-0000-0000-000078A30000}"/>
    <cellStyle name="표준 5 4 3 2 2 2 5 3 2" xfId="29697" xr:uid="{00000000-0005-0000-0000-000079A30000}"/>
    <cellStyle name="표준 5 4 3 2 2 2 5 3 3" xfId="37908" xr:uid="{00000000-0005-0000-0000-00007AA30000}"/>
    <cellStyle name="표준 5 4 3 2 2 2 5 3 4" xfId="46101" xr:uid="{00000000-0005-0000-0000-00007BA30000}"/>
    <cellStyle name="표준 5 4 3 2 2 2 5 4" xfId="13103" xr:uid="{00000000-0005-0000-0000-00007CA30000}"/>
    <cellStyle name="표준 5 4 3 2 2 2 5 5" xfId="17343" xr:uid="{00000000-0005-0000-0000-00007DA30000}"/>
    <cellStyle name="표준 5 4 3 2 2 2 5 6" xfId="21505" xr:uid="{00000000-0005-0000-0000-00007EA30000}"/>
    <cellStyle name="표준 5 4 3 2 2 2 5 7" xfId="25601" xr:uid="{00000000-0005-0000-0000-00007FA30000}"/>
    <cellStyle name="표준 5 4 3 2 2 2 5 8" xfId="33812" xr:uid="{00000000-0005-0000-0000-000080A30000}"/>
    <cellStyle name="표준 5 4 3 2 2 2 5 9" xfId="42005" xr:uid="{00000000-0005-0000-0000-000081A30000}"/>
    <cellStyle name="표준 5 4 3 2 2 2 6" xfId="9503" xr:uid="{00000000-0005-0000-0000-000082A30000}"/>
    <cellStyle name="표준 5 4 3 2 2 2 6 2" xfId="13615" xr:uid="{00000000-0005-0000-0000-000083A30000}"/>
    <cellStyle name="표준 5 4 3 2 2 2 6 2 2" xfId="30209" xr:uid="{00000000-0005-0000-0000-000084A30000}"/>
    <cellStyle name="표준 5 4 3 2 2 2 6 2 3" xfId="38420" xr:uid="{00000000-0005-0000-0000-000085A30000}"/>
    <cellStyle name="표준 5 4 3 2 2 2 6 2 4" xfId="46613" xr:uid="{00000000-0005-0000-0000-000086A30000}"/>
    <cellStyle name="표준 5 4 3 2 2 2 6 3" xfId="17855" xr:uid="{00000000-0005-0000-0000-000087A30000}"/>
    <cellStyle name="표준 5 4 3 2 2 2 6 4" xfId="22017" xr:uid="{00000000-0005-0000-0000-000088A30000}"/>
    <cellStyle name="표준 5 4 3 2 2 2 6 5" xfId="26113" xr:uid="{00000000-0005-0000-0000-000089A30000}"/>
    <cellStyle name="표준 5 4 3 2 2 2 6 6" xfId="34324" xr:uid="{00000000-0005-0000-0000-00008AA30000}"/>
    <cellStyle name="표준 5 4 3 2 2 2 6 7" xfId="42517" xr:uid="{00000000-0005-0000-0000-00008BA30000}"/>
    <cellStyle name="표준 5 4 3 2 2 2 7" xfId="7455" xr:uid="{00000000-0005-0000-0000-00008CA30000}"/>
    <cellStyle name="표준 5 4 3 2 2 2 7 2" xfId="28161" xr:uid="{00000000-0005-0000-0000-00008DA30000}"/>
    <cellStyle name="표준 5 4 3 2 2 2 7 3" xfId="36372" xr:uid="{00000000-0005-0000-0000-00008EA30000}"/>
    <cellStyle name="표준 5 4 3 2 2 2 7 4" xfId="44565" xr:uid="{00000000-0005-0000-0000-00008FA30000}"/>
    <cellStyle name="표준 5 4 3 2 2 2 8" xfId="11567" xr:uid="{00000000-0005-0000-0000-000090A30000}"/>
    <cellStyle name="표준 5 4 3 2 2 2 9" xfId="15807" xr:uid="{00000000-0005-0000-0000-000091A30000}"/>
    <cellStyle name="표준 5 4 3 2 2 3" xfId="728" xr:uid="{00000000-0005-0000-0000-000092A30000}"/>
    <cellStyle name="표준 5 4 3 2 2 3 10" xfId="24193" xr:uid="{00000000-0005-0000-0000-000093A30000}"/>
    <cellStyle name="표준 5 4 3 2 2 3 11" xfId="32404" xr:uid="{00000000-0005-0000-0000-000094A30000}"/>
    <cellStyle name="표준 5 4 3 2 2 3 12" xfId="40597" xr:uid="{00000000-0005-0000-0000-000095A30000}"/>
    <cellStyle name="표준 5 4 3 2 2 3 2" xfId="1240" xr:uid="{00000000-0005-0000-0000-000096A30000}"/>
    <cellStyle name="표준 5 4 3 2 2 3 2 2" xfId="10143" xr:uid="{00000000-0005-0000-0000-000097A30000}"/>
    <cellStyle name="표준 5 4 3 2 2 3 2 2 2" xfId="14255" xr:uid="{00000000-0005-0000-0000-000098A30000}"/>
    <cellStyle name="표준 5 4 3 2 2 3 2 2 2 2" xfId="30849" xr:uid="{00000000-0005-0000-0000-000099A30000}"/>
    <cellStyle name="표준 5 4 3 2 2 3 2 2 2 3" xfId="39060" xr:uid="{00000000-0005-0000-0000-00009AA30000}"/>
    <cellStyle name="표준 5 4 3 2 2 3 2 2 2 4" xfId="47253" xr:uid="{00000000-0005-0000-0000-00009BA30000}"/>
    <cellStyle name="표준 5 4 3 2 2 3 2 2 3" xfId="18495" xr:uid="{00000000-0005-0000-0000-00009CA30000}"/>
    <cellStyle name="표준 5 4 3 2 2 3 2 2 4" xfId="22657" xr:uid="{00000000-0005-0000-0000-00009DA30000}"/>
    <cellStyle name="표준 5 4 3 2 2 3 2 2 5" xfId="26753" xr:uid="{00000000-0005-0000-0000-00009EA30000}"/>
    <cellStyle name="표준 5 4 3 2 2 3 2 2 6" xfId="34964" xr:uid="{00000000-0005-0000-0000-00009FA30000}"/>
    <cellStyle name="표준 5 4 3 2 2 3 2 2 7" xfId="43157" xr:uid="{00000000-0005-0000-0000-0000A0A30000}"/>
    <cellStyle name="표준 5 4 3 2 2 3 2 3" xfId="8095" xr:uid="{00000000-0005-0000-0000-0000A1A30000}"/>
    <cellStyle name="표준 5 4 3 2 2 3 2 3 2" xfId="28801" xr:uid="{00000000-0005-0000-0000-0000A2A30000}"/>
    <cellStyle name="표준 5 4 3 2 2 3 2 3 3" xfId="37012" xr:uid="{00000000-0005-0000-0000-0000A3A30000}"/>
    <cellStyle name="표준 5 4 3 2 2 3 2 3 4" xfId="45205" xr:uid="{00000000-0005-0000-0000-0000A4A30000}"/>
    <cellStyle name="표준 5 4 3 2 2 3 2 4" xfId="12207" xr:uid="{00000000-0005-0000-0000-0000A5A30000}"/>
    <cellStyle name="표준 5 4 3 2 2 3 2 5" xfId="16447" xr:uid="{00000000-0005-0000-0000-0000A6A30000}"/>
    <cellStyle name="표준 5 4 3 2 2 3 2 6" xfId="20609" xr:uid="{00000000-0005-0000-0000-0000A7A30000}"/>
    <cellStyle name="표준 5 4 3 2 2 3 2 7" xfId="24705" xr:uid="{00000000-0005-0000-0000-0000A8A30000}"/>
    <cellStyle name="표준 5 4 3 2 2 3 2 8" xfId="32916" xr:uid="{00000000-0005-0000-0000-0000A9A30000}"/>
    <cellStyle name="표준 5 4 3 2 2 3 2 9" xfId="41109" xr:uid="{00000000-0005-0000-0000-0000AAA30000}"/>
    <cellStyle name="표준 5 4 3 2 2 3 3" xfId="1752" xr:uid="{00000000-0005-0000-0000-0000ABA30000}"/>
    <cellStyle name="표준 5 4 3 2 2 3 3 2" xfId="10655" xr:uid="{00000000-0005-0000-0000-0000ACA30000}"/>
    <cellStyle name="표준 5 4 3 2 2 3 3 2 2" xfId="14767" xr:uid="{00000000-0005-0000-0000-0000ADA30000}"/>
    <cellStyle name="표준 5 4 3 2 2 3 3 2 2 2" xfId="31361" xr:uid="{00000000-0005-0000-0000-0000AEA30000}"/>
    <cellStyle name="표준 5 4 3 2 2 3 3 2 2 3" xfId="39572" xr:uid="{00000000-0005-0000-0000-0000AFA30000}"/>
    <cellStyle name="표준 5 4 3 2 2 3 3 2 2 4" xfId="47765" xr:uid="{00000000-0005-0000-0000-0000B0A30000}"/>
    <cellStyle name="표준 5 4 3 2 2 3 3 2 3" xfId="19007" xr:uid="{00000000-0005-0000-0000-0000B1A30000}"/>
    <cellStyle name="표준 5 4 3 2 2 3 3 2 4" xfId="23169" xr:uid="{00000000-0005-0000-0000-0000B2A30000}"/>
    <cellStyle name="표준 5 4 3 2 2 3 3 2 5" xfId="27265" xr:uid="{00000000-0005-0000-0000-0000B3A30000}"/>
    <cellStyle name="표준 5 4 3 2 2 3 3 2 6" xfId="35476" xr:uid="{00000000-0005-0000-0000-0000B4A30000}"/>
    <cellStyle name="표준 5 4 3 2 2 3 3 2 7" xfId="43669" xr:uid="{00000000-0005-0000-0000-0000B5A30000}"/>
    <cellStyle name="표준 5 4 3 2 2 3 3 3" xfId="8607" xr:uid="{00000000-0005-0000-0000-0000B6A30000}"/>
    <cellStyle name="표준 5 4 3 2 2 3 3 3 2" xfId="29313" xr:uid="{00000000-0005-0000-0000-0000B7A30000}"/>
    <cellStyle name="표준 5 4 3 2 2 3 3 3 3" xfId="37524" xr:uid="{00000000-0005-0000-0000-0000B8A30000}"/>
    <cellStyle name="표준 5 4 3 2 2 3 3 3 4" xfId="45717" xr:uid="{00000000-0005-0000-0000-0000B9A30000}"/>
    <cellStyle name="표준 5 4 3 2 2 3 3 4" xfId="12719" xr:uid="{00000000-0005-0000-0000-0000BAA30000}"/>
    <cellStyle name="표준 5 4 3 2 2 3 3 5" xfId="16959" xr:uid="{00000000-0005-0000-0000-0000BBA30000}"/>
    <cellStyle name="표준 5 4 3 2 2 3 3 6" xfId="21121" xr:uid="{00000000-0005-0000-0000-0000BCA30000}"/>
    <cellStyle name="표준 5 4 3 2 2 3 3 7" xfId="25217" xr:uid="{00000000-0005-0000-0000-0000BDA30000}"/>
    <cellStyle name="표준 5 4 3 2 2 3 3 8" xfId="33428" xr:uid="{00000000-0005-0000-0000-0000BEA30000}"/>
    <cellStyle name="표준 5 4 3 2 2 3 3 9" xfId="41621" xr:uid="{00000000-0005-0000-0000-0000BFA30000}"/>
    <cellStyle name="표준 5 4 3 2 2 3 4" xfId="2264" xr:uid="{00000000-0005-0000-0000-0000C0A30000}"/>
    <cellStyle name="표준 5 4 3 2 2 3 4 2" xfId="11167" xr:uid="{00000000-0005-0000-0000-0000C1A30000}"/>
    <cellStyle name="표준 5 4 3 2 2 3 4 2 2" xfId="15279" xr:uid="{00000000-0005-0000-0000-0000C2A30000}"/>
    <cellStyle name="표준 5 4 3 2 2 3 4 2 2 2" xfId="31873" xr:uid="{00000000-0005-0000-0000-0000C3A30000}"/>
    <cellStyle name="표준 5 4 3 2 2 3 4 2 2 3" xfId="40084" xr:uid="{00000000-0005-0000-0000-0000C4A30000}"/>
    <cellStyle name="표준 5 4 3 2 2 3 4 2 2 4" xfId="48277" xr:uid="{00000000-0005-0000-0000-0000C5A30000}"/>
    <cellStyle name="표준 5 4 3 2 2 3 4 2 3" xfId="19519" xr:uid="{00000000-0005-0000-0000-0000C6A30000}"/>
    <cellStyle name="표준 5 4 3 2 2 3 4 2 4" xfId="23681" xr:uid="{00000000-0005-0000-0000-0000C7A30000}"/>
    <cellStyle name="표준 5 4 3 2 2 3 4 2 5" xfId="27777" xr:uid="{00000000-0005-0000-0000-0000C8A30000}"/>
    <cellStyle name="표준 5 4 3 2 2 3 4 2 6" xfId="35988" xr:uid="{00000000-0005-0000-0000-0000C9A30000}"/>
    <cellStyle name="표준 5 4 3 2 2 3 4 2 7" xfId="44181" xr:uid="{00000000-0005-0000-0000-0000CAA30000}"/>
    <cellStyle name="표준 5 4 3 2 2 3 4 3" xfId="9119" xr:uid="{00000000-0005-0000-0000-0000CBA30000}"/>
    <cellStyle name="표준 5 4 3 2 2 3 4 3 2" xfId="29825" xr:uid="{00000000-0005-0000-0000-0000CCA30000}"/>
    <cellStyle name="표준 5 4 3 2 2 3 4 3 3" xfId="38036" xr:uid="{00000000-0005-0000-0000-0000CDA30000}"/>
    <cellStyle name="표준 5 4 3 2 2 3 4 3 4" xfId="46229" xr:uid="{00000000-0005-0000-0000-0000CEA30000}"/>
    <cellStyle name="표준 5 4 3 2 2 3 4 4" xfId="13231" xr:uid="{00000000-0005-0000-0000-0000CFA30000}"/>
    <cellStyle name="표준 5 4 3 2 2 3 4 5" xfId="17471" xr:uid="{00000000-0005-0000-0000-0000D0A30000}"/>
    <cellStyle name="표준 5 4 3 2 2 3 4 6" xfId="21633" xr:uid="{00000000-0005-0000-0000-0000D1A30000}"/>
    <cellStyle name="표준 5 4 3 2 2 3 4 7" xfId="25729" xr:uid="{00000000-0005-0000-0000-0000D2A30000}"/>
    <cellStyle name="표준 5 4 3 2 2 3 4 8" xfId="33940" xr:uid="{00000000-0005-0000-0000-0000D3A30000}"/>
    <cellStyle name="표준 5 4 3 2 2 3 4 9" xfId="42133" xr:uid="{00000000-0005-0000-0000-0000D4A30000}"/>
    <cellStyle name="표준 5 4 3 2 2 3 5" xfId="9631" xr:uid="{00000000-0005-0000-0000-0000D5A30000}"/>
    <cellStyle name="표준 5 4 3 2 2 3 5 2" xfId="13743" xr:uid="{00000000-0005-0000-0000-0000D6A30000}"/>
    <cellStyle name="표준 5 4 3 2 2 3 5 2 2" xfId="30337" xr:uid="{00000000-0005-0000-0000-0000D7A30000}"/>
    <cellStyle name="표준 5 4 3 2 2 3 5 2 3" xfId="38548" xr:uid="{00000000-0005-0000-0000-0000D8A30000}"/>
    <cellStyle name="표준 5 4 3 2 2 3 5 2 4" xfId="46741" xr:uid="{00000000-0005-0000-0000-0000D9A30000}"/>
    <cellStyle name="표준 5 4 3 2 2 3 5 3" xfId="17983" xr:uid="{00000000-0005-0000-0000-0000DAA30000}"/>
    <cellStyle name="표준 5 4 3 2 2 3 5 4" xfId="22145" xr:uid="{00000000-0005-0000-0000-0000DBA30000}"/>
    <cellStyle name="표준 5 4 3 2 2 3 5 5" xfId="26241" xr:uid="{00000000-0005-0000-0000-0000DCA30000}"/>
    <cellStyle name="표준 5 4 3 2 2 3 5 6" xfId="34452" xr:uid="{00000000-0005-0000-0000-0000DDA30000}"/>
    <cellStyle name="표준 5 4 3 2 2 3 5 7" xfId="42645" xr:uid="{00000000-0005-0000-0000-0000DEA30000}"/>
    <cellStyle name="표준 5 4 3 2 2 3 6" xfId="7583" xr:uid="{00000000-0005-0000-0000-0000DFA30000}"/>
    <cellStyle name="표준 5 4 3 2 2 3 6 2" xfId="28289" xr:uid="{00000000-0005-0000-0000-0000E0A30000}"/>
    <cellStyle name="표준 5 4 3 2 2 3 6 3" xfId="36500" xr:uid="{00000000-0005-0000-0000-0000E1A30000}"/>
    <cellStyle name="표준 5 4 3 2 2 3 6 4" xfId="44693" xr:uid="{00000000-0005-0000-0000-0000E2A30000}"/>
    <cellStyle name="표준 5 4 3 2 2 3 7" xfId="11695" xr:uid="{00000000-0005-0000-0000-0000E3A30000}"/>
    <cellStyle name="표준 5 4 3 2 2 3 8" xfId="15935" xr:uid="{00000000-0005-0000-0000-0000E4A30000}"/>
    <cellStyle name="표준 5 4 3 2 2 3 9" xfId="20097" xr:uid="{00000000-0005-0000-0000-0000E5A30000}"/>
    <cellStyle name="표준 5 4 3 2 2 4" xfId="984" xr:uid="{00000000-0005-0000-0000-0000E6A30000}"/>
    <cellStyle name="표준 5 4 3 2 2 4 2" xfId="9887" xr:uid="{00000000-0005-0000-0000-0000E7A30000}"/>
    <cellStyle name="표준 5 4 3 2 2 4 2 2" xfId="13999" xr:uid="{00000000-0005-0000-0000-0000E8A30000}"/>
    <cellStyle name="표준 5 4 3 2 2 4 2 2 2" xfId="30593" xr:uid="{00000000-0005-0000-0000-0000E9A30000}"/>
    <cellStyle name="표준 5 4 3 2 2 4 2 2 3" xfId="38804" xr:uid="{00000000-0005-0000-0000-0000EAA30000}"/>
    <cellStyle name="표준 5 4 3 2 2 4 2 2 4" xfId="46997" xr:uid="{00000000-0005-0000-0000-0000EBA30000}"/>
    <cellStyle name="표준 5 4 3 2 2 4 2 3" xfId="18239" xr:uid="{00000000-0005-0000-0000-0000ECA30000}"/>
    <cellStyle name="표준 5 4 3 2 2 4 2 4" xfId="22401" xr:uid="{00000000-0005-0000-0000-0000EDA30000}"/>
    <cellStyle name="표준 5 4 3 2 2 4 2 5" xfId="26497" xr:uid="{00000000-0005-0000-0000-0000EEA30000}"/>
    <cellStyle name="표준 5 4 3 2 2 4 2 6" xfId="34708" xr:uid="{00000000-0005-0000-0000-0000EFA30000}"/>
    <cellStyle name="표준 5 4 3 2 2 4 2 7" xfId="42901" xr:uid="{00000000-0005-0000-0000-0000F0A30000}"/>
    <cellStyle name="표준 5 4 3 2 2 4 3" xfId="7839" xr:uid="{00000000-0005-0000-0000-0000F1A30000}"/>
    <cellStyle name="표준 5 4 3 2 2 4 3 2" xfId="28545" xr:uid="{00000000-0005-0000-0000-0000F2A30000}"/>
    <cellStyle name="표준 5 4 3 2 2 4 3 3" xfId="36756" xr:uid="{00000000-0005-0000-0000-0000F3A30000}"/>
    <cellStyle name="표준 5 4 3 2 2 4 3 4" xfId="44949" xr:uid="{00000000-0005-0000-0000-0000F4A30000}"/>
    <cellStyle name="표준 5 4 3 2 2 4 4" xfId="11951" xr:uid="{00000000-0005-0000-0000-0000F5A30000}"/>
    <cellStyle name="표준 5 4 3 2 2 4 5" xfId="16191" xr:uid="{00000000-0005-0000-0000-0000F6A30000}"/>
    <cellStyle name="표준 5 4 3 2 2 4 6" xfId="20353" xr:uid="{00000000-0005-0000-0000-0000F7A30000}"/>
    <cellStyle name="표준 5 4 3 2 2 4 7" xfId="24449" xr:uid="{00000000-0005-0000-0000-0000F8A30000}"/>
    <cellStyle name="표준 5 4 3 2 2 4 8" xfId="32660" xr:uid="{00000000-0005-0000-0000-0000F9A30000}"/>
    <cellStyle name="표준 5 4 3 2 2 4 9" xfId="40853" xr:uid="{00000000-0005-0000-0000-0000FAA30000}"/>
    <cellStyle name="표준 5 4 3 2 2 5" xfId="1496" xr:uid="{00000000-0005-0000-0000-0000FBA30000}"/>
    <cellStyle name="표준 5 4 3 2 2 5 2" xfId="10399" xr:uid="{00000000-0005-0000-0000-0000FCA30000}"/>
    <cellStyle name="표준 5 4 3 2 2 5 2 2" xfId="14511" xr:uid="{00000000-0005-0000-0000-0000FDA30000}"/>
    <cellStyle name="표준 5 4 3 2 2 5 2 2 2" xfId="31105" xr:uid="{00000000-0005-0000-0000-0000FEA30000}"/>
    <cellStyle name="표준 5 4 3 2 2 5 2 2 3" xfId="39316" xr:uid="{00000000-0005-0000-0000-0000FFA30000}"/>
    <cellStyle name="표준 5 4 3 2 2 5 2 2 4" xfId="47509" xr:uid="{00000000-0005-0000-0000-000000A40000}"/>
    <cellStyle name="표준 5 4 3 2 2 5 2 3" xfId="18751" xr:uid="{00000000-0005-0000-0000-000001A40000}"/>
    <cellStyle name="표준 5 4 3 2 2 5 2 4" xfId="22913" xr:uid="{00000000-0005-0000-0000-000002A40000}"/>
    <cellStyle name="표준 5 4 3 2 2 5 2 5" xfId="27009" xr:uid="{00000000-0005-0000-0000-000003A40000}"/>
    <cellStyle name="표준 5 4 3 2 2 5 2 6" xfId="35220" xr:uid="{00000000-0005-0000-0000-000004A40000}"/>
    <cellStyle name="표준 5 4 3 2 2 5 2 7" xfId="43413" xr:uid="{00000000-0005-0000-0000-000005A40000}"/>
    <cellStyle name="표준 5 4 3 2 2 5 3" xfId="8351" xr:uid="{00000000-0005-0000-0000-000006A40000}"/>
    <cellStyle name="표준 5 4 3 2 2 5 3 2" xfId="29057" xr:uid="{00000000-0005-0000-0000-000007A40000}"/>
    <cellStyle name="표준 5 4 3 2 2 5 3 3" xfId="37268" xr:uid="{00000000-0005-0000-0000-000008A40000}"/>
    <cellStyle name="표준 5 4 3 2 2 5 3 4" xfId="45461" xr:uid="{00000000-0005-0000-0000-000009A40000}"/>
    <cellStyle name="표준 5 4 3 2 2 5 4" xfId="12463" xr:uid="{00000000-0005-0000-0000-00000AA40000}"/>
    <cellStyle name="표준 5 4 3 2 2 5 5" xfId="16703" xr:uid="{00000000-0005-0000-0000-00000BA40000}"/>
    <cellStyle name="표준 5 4 3 2 2 5 6" xfId="20865" xr:uid="{00000000-0005-0000-0000-00000CA40000}"/>
    <cellStyle name="표준 5 4 3 2 2 5 7" xfId="24961" xr:uid="{00000000-0005-0000-0000-00000DA40000}"/>
    <cellStyle name="표준 5 4 3 2 2 5 8" xfId="33172" xr:uid="{00000000-0005-0000-0000-00000EA40000}"/>
    <cellStyle name="표준 5 4 3 2 2 5 9" xfId="41365" xr:uid="{00000000-0005-0000-0000-00000FA40000}"/>
    <cellStyle name="표준 5 4 3 2 2 6" xfId="2008" xr:uid="{00000000-0005-0000-0000-000010A40000}"/>
    <cellStyle name="표준 5 4 3 2 2 6 2" xfId="10911" xr:uid="{00000000-0005-0000-0000-000011A40000}"/>
    <cellStyle name="표준 5 4 3 2 2 6 2 2" xfId="15023" xr:uid="{00000000-0005-0000-0000-000012A40000}"/>
    <cellStyle name="표준 5 4 3 2 2 6 2 2 2" xfId="31617" xr:uid="{00000000-0005-0000-0000-000013A40000}"/>
    <cellStyle name="표준 5 4 3 2 2 6 2 2 3" xfId="39828" xr:uid="{00000000-0005-0000-0000-000014A40000}"/>
    <cellStyle name="표준 5 4 3 2 2 6 2 2 4" xfId="48021" xr:uid="{00000000-0005-0000-0000-000015A40000}"/>
    <cellStyle name="표준 5 4 3 2 2 6 2 3" xfId="19263" xr:uid="{00000000-0005-0000-0000-000016A40000}"/>
    <cellStyle name="표준 5 4 3 2 2 6 2 4" xfId="23425" xr:uid="{00000000-0005-0000-0000-000017A40000}"/>
    <cellStyle name="표준 5 4 3 2 2 6 2 5" xfId="27521" xr:uid="{00000000-0005-0000-0000-000018A40000}"/>
    <cellStyle name="표준 5 4 3 2 2 6 2 6" xfId="35732" xr:uid="{00000000-0005-0000-0000-000019A40000}"/>
    <cellStyle name="표준 5 4 3 2 2 6 2 7" xfId="43925" xr:uid="{00000000-0005-0000-0000-00001AA40000}"/>
    <cellStyle name="표준 5 4 3 2 2 6 3" xfId="8863" xr:uid="{00000000-0005-0000-0000-00001BA40000}"/>
    <cellStyle name="표준 5 4 3 2 2 6 3 2" xfId="29569" xr:uid="{00000000-0005-0000-0000-00001CA40000}"/>
    <cellStyle name="표준 5 4 3 2 2 6 3 3" xfId="37780" xr:uid="{00000000-0005-0000-0000-00001DA40000}"/>
    <cellStyle name="표준 5 4 3 2 2 6 3 4" xfId="45973" xr:uid="{00000000-0005-0000-0000-00001EA40000}"/>
    <cellStyle name="표준 5 4 3 2 2 6 4" xfId="12975" xr:uid="{00000000-0005-0000-0000-00001FA40000}"/>
    <cellStyle name="표준 5 4 3 2 2 6 5" xfId="17215" xr:uid="{00000000-0005-0000-0000-000020A40000}"/>
    <cellStyle name="표준 5 4 3 2 2 6 6" xfId="21377" xr:uid="{00000000-0005-0000-0000-000021A40000}"/>
    <cellStyle name="표준 5 4 3 2 2 6 7" xfId="25473" xr:uid="{00000000-0005-0000-0000-000022A40000}"/>
    <cellStyle name="표준 5 4 3 2 2 6 8" xfId="33684" xr:uid="{00000000-0005-0000-0000-000023A40000}"/>
    <cellStyle name="표준 5 4 3 2 2 6 9" xfId="41877" xr:uid="{00000000-0005-0000-0000-000024A40000}"/>
    <cellStyle name="표준 5 4 3 2 2 7" xfId="9375" xr:uid="{00000000-0005-0000-0000-000025A40000}"/>
    <cellStyle name="표준 5 4 3 2 2 7 2" xfId="13487" xr:uid="{00000000-0005-0000-0000-000026A40000}"/>
    <cellStyle name="표준 5 4 3 2 2 7 2 2" xfId="30081" xr:uid="{00000000-0005-0000-0000-000027A40000}"/>
    <cellStyle name="표준 5 4 3 2 2 7 2 3" xfId="38292" xr:uid="{00000000-0005-0000-0000-000028A40000}"/>
    <cellStyle name="표준 5 4 3 2 2 7 2 4" xfId="46485" xr:uid="{00000000-0005-0000-0000-000029A40000}"/>
    <cellStyle name="표준 5 4 3 2 2 7 3" xfId="17727" xr:uid="{00000000-0005-0000-0000-00002AA40000}"/>
    <cellStyle name="표준 5 4 3 2 2 7 4" xfId="21889" xr:uid="{00000000-0005-0000-0000-00002BA40000}"/>
    <cellStyle name="표준 5 4 3 2 2 7 5" xfId="25985" xr:uid="{00000000-0005-0000-0000-00002CA40000}"/>
    <cellStyle name="표준 5 4 3 2 2 7 6" xfId="34196" xr:uid="{00000000-0005-0000-0000-00002DA40000}"/>
    <cellStyle name="표준 5 4 3 2 2 7 7" xfId="42389" xr:uid="{00000000-0005-0000-0000-00002EA40000}"/>
    <cellStyle name="표준 5 4 3 2 2 8" xfId="7327" xr:uid="{00000000-0005-0000-0000-00002FA40000}"/>
    <cellStyle name="표준 5 4 3 2 2 8 2" xfId="28033" xr:uid="{00000000-0005-0000-0000-000030A40000}"/>
    <cellStyle name="표준 5 4 3 2 2 8 3" xfId="36244" xr:uid="{00000000-0005-0000-0000-000031A40000}"/>
    <cellStyle name="표준 5 4 3 2 2 8 4" xfId="44437" xr:uid="{00000000-0005-0000-0000-000032A40000}"/>
    <cellStyle name="표준 5 4 3 2 2 9" xfId="11439" xr:uid="{00000000-0005-0000-0000-000033A40000}"/>
    <cellStyle name="표준 5 4 3 2 3" xfId="536" xr:uid="{00000000-0005-0000-0000-000034A40000}"/>
    <cellStyle name="표준 5 4 3 2 3 10" xfId="19905" xr:uid="{00000000-0005-0000-0000-000035A40000}"/>
    <cellStyle name="표준 5 4 3 2 3 11" xfId="24001" xr:uid="{00000000-0005-0000-0000-000036A40000}"/>
    <cellStyle name="표준 5 4 3 2 3 12" xfId="32212" xr:uid="{00000000-0005-0000-0000-000037A40000}"/>
    <cellStyle name="표준 5 4 3 2 3 13" xfId="40405" xr:uid="{00000000-0005-0000-0000-000038A40000}"/>
    <cellStyle name="표준 5 4 3 2 3 2" xfId="792" xr:uid="{00000000-0005-0000-0000-000039A40000}"/>
    <cellStyle name="표준 5 4 3 2 3 2 10" xfId="24257" xr:uid="{00000000-0005-0000-0000-00003AA40000}"/>
    <cellStyle name="표준 5 4 3 2 3 2 11" xfId="32468" xr:uid="{00000000-0005-0000-0000-00003BA40000}"/>
    <cellStyle name="표준 5 4 3 2 3 2 12" xfId="40661" xr:uid="{00000000-0005-0000-0000-00003CA40000}"/>
    <cellStyle name="표준 5 4 3 2 3 2 2" xfId="1304" xr:uid="{00000000-0005-0000-0000-00003DA40000}"/>
    <cellStyle name="표준 5 4 3 2 3 2 2 2" xfId="10207" xr:uid="{00000000-0005-0000-0000-00003EA40000}"/>
    <cellStyle name="표준 5 4 3 2 3 2 2 2 2" xfId="14319" xr:uid="{00000000-0005-0000-0000-00003FA40000}"/>
    <cellStyle name="표준 5 4 3 2 3 2 2 2 2 2" xfId="30913" xr:uid="{00000000-0005-0000-0000-000040A40000}"/>
    <cellStyle name="표준 5 4 3 2 3 2 2 2 2 3" xfId="39124" xr:uid="{00000000-0005-0000-0000-000041A40000}"/>
    <cellStyle name="표준 5 4 3 2 3 2 2 2 2 4" xfId="47317" xr:uid="{00000000-0005-0000-0000-000042A40000}"/>
    <cellStyle name="표준 5 4 3 2 3 2 2 2 3" xfId="18559" xr:uid="{00000000-0005-0000-0000-000043A40000}"/>
    <cellStyle name="표준 5 4 3 2 3 2 2 2 4" xfId="22721" xr:uid="{00000000-0005-0000-0000-000044A40000}"/>
    <cellStyle name="표준 5 4 3 2 3 2 2 2 5" xfId="26817" xr:uid="{00000000-0005-0000-0000-000045A40000}"/>
    <cellStyle name="표준 5 4 3 2 3 2 2 2 6" xfId="35028" xr:uid="{00000000-0005-0000-0000-000046A40000}"/>
    <cellStyle name="표준 5 4 3 2 3 2 2 2 7" xfId="43221" xr:uid="{00000000-0005-0000-0000-000047A40000}"/>
    <cellStyle name="표준 5 4 3 2 3 2 2 3" xfId="8159" xr:uid="{00000000-0005-0000-0000-000048A40000}"/>
    <cellStyle name="표준 5 4 3 2 3 2 2 3 2" xfId="28865" xr:uid="{00000000-0005-0000-0000-000049A40000}"/>
    <cellStyle name="표준 5 4 3 2 3 2 2 3 3" xfId="37076" xr:uid="{00000000-0005-0000-0000-00004AA40000}"/>
    <cellStyle name="표준 5 4 3 2 3 2 2 3 4" xfId="45269" xr:uid="{00000000-0005-0000-0000-00004BA40000}"/>
    <cellStyle name="표준 5 4 3 2 3 2 2 4" xfId="12271" xr:uid="{00000000-0005-0000-0000-00004CA40000}"/>
    <cellStyle name="표준 5 4 3 2 3 2 2 5" xfId="16511" xr:uid="{00000000-0005-0000-0000-00004DA40000}"/>
    <cellStyle name="표준 5 4 3 2 3 2 2 6" xfId="20673" xr:uid="{00000000-0005-0000-0000-00004EA40000}"/>
    <cellStyle name="표준 5 4 3 2 3 2 2 7" xfId="24769" xr:uid="{00000000-0005-0000-0000-00004FA40000}"/>
    <cellStyle name="표준 5 4 3 2 3 2 2 8" xfId="32980" xr:uid="{00000000-0005-0000-0000-000050A40000}"/>
    <cellStyle name="표준 5 4 3 2 3 2 2 9" xfId="41173" xr:uid="{00000000-0005-0000-0000-000051A40000}"/>
    <cellStyle name="표준 5 4 3 2 3 2 3" xfId="1816" xr:uid="{00000000-0005-0000-0000-000052A40000}"/>
    <cellStyle name="표준 5 4 3 2 3 2 3 2" xfId="10719" xr:uid="{00000000-0005-0000-0000-000053A40000}"/>
    <cellStyle name="표준 5 4 3 2 3 2 3 2 2" xfId="14831" xr:uid="{00000000-0005-0000-0000-000054A40000}"/>
    <cellStyle name="표준 5 4 3 2 3 2 3 2 2 2" xfId="31425" xr:uid="{00000000-0005-0000-0000-000055A40000}"/>
    <cellStyle name="표준 5 4 3 2 3 2 3 2 2 3" xfId="39636" xr:uid="{00000000-0005-0000-0000-000056A40000}"/>
    <cellStyle name="표준 5 4 3 2 3 2 3 2 2 4" xfId="47829" xr:uid="{00000000-0005-0000-0000-000057A40000}"/>
    <cellStyle name="표준 5 4 3 2 3 2 3 2 3" xfId="19071" xr:uid="{00000000-0005-0000-0000-000058A40000}"/>
    <cellStyle name="표준 5 4 3 2 3 2 3 2 4" xfId="23233" xr:uid="{00000000-0005-0000-0000-000059A40000}"/>
    <cellStyle name="표준 5 4 3 2 3 2 3 2 5" xfId="27329" xr:uid="{00000000-0005-0000-0000-00005AA40000}"/>
    <cellStyle name="표준 5 4 3 2 3 2 3 2 6" xfId="35540" xr:uid="{00000000-0005-0000-0000-00005BA40000}"/>
    <cellStyle name="표준 5 4 3 2 3 2 3 2 7" xfId="43733" xr:uid="{00000000-0005-0000-0000-00005CA40000}"/>
    <cellStyle name="표준 5 4 3 2 3 2 3 3" xfId="8671" xr:uid="{00000000-0005-0000-0000-00005DA40000}"/>
    <cellStyle name="표준 5 4 3 2 3 2 3 3 2" xfId="29377" xr:uid="{00000000-0005-0000-0000-00005EA40000}"/>
    <cellStyle name="표준 5 4 3 2 3 2 3 3 3" xfId="37588" xr:uid="{00000000-0005-0000-0000-00005FA40000}"/>
    <cellStyle name="표준 5 4 3 2 3 2 3 3 4" xfId="45781" xr:uid="{00000000-0005-0000-0000-000060A40000}"/>
    <cellStyle name="표준 5 4 3 2 3 2 3 4" xfId="12783" xr:uid="{00000000-0005-0000-0000-000061A40000}"/>
    <cellStyle name="표준 5 4 3 2 3 2 3 5" xfId="17023" xr:uid="{00000000-0005-0000-0000-000062A40000}"/>
    <cellStyle name="표준 5 4 3 2 3 2 3 6" xfId="21185" xr:uid="{00000000-0005-0000-0000-000063A40000}"/>
    <cellStyle name="표준 5 4 3 2 3 2 3 7" xfId="25281" xr:uid="{00000000-0005-0000-0000-000064A40000}"/>
    <cellStyle name="표준 5 4 3 2 3 2 3 8" xfId="33492" xr:uid="{00000000-0005-0000-0000-000065A40000}"/>
    <cellStyle name="표준 5 4 3 2 3 2 3 9" xfId="41685" xr:uid="{00000000-0005-0000-0000-000066A40000}"/>
    <cellStyle name="표준 5 4 3 2 3 2 4" xfId="2328" xr:uid="{00000000-0005-0000-0000-000067A40000}"/>
    <cellStyle name="표준 5 4 3 2 3 2 4 2" xfId="11231" xr:uid="{00000000-0005-0000-0000-000068A40000}"/>
    <cellStyle name="표준 5 4 3 2 3 2 4 2 2" xfId="15343" xr:uid="{00000000-0005-0000-0000-000069A40000}"/>
    <cellStyle name="표준 5 4 3 2 3 2 4 2 2 2" xfId="31937" xr:uid="{00000000-0005-0000-0000-00006AA40000}"/>
    <cellStyle name="표준 5 4 3 2 3 2 4 2 2 3" xfId="40148" xr:uid="{00000000-0005-0000-0000-00006BA40000}"/>
    <cellStyle name="표준 5 4 3 2 3 2 4 2 2 4" xfId="48341" xr:uid="{00000000-0005-0000-0000-00006CA40000}"/>
    <cellStyle name="표준 5 4 3 2 3 2 4 2 3" xfId="19583" xr:uid="{00000000-0005-0000-0000-00006DA40000}"/>
    <cellStyle name="표준 5 4 3 2 3 2 4 2 4" xfId="23745" xr:uid="{00000000-0005-0000-0000-00006EA40000}"/>
    <cellStyle name="표준 5 4 3 2 3 2 4 2 5" xfId="27841" xr:uid="{00000000-0005-0000-0000-00006FA40000}"/>
    <cellStyle name="표준 5 4 3 2 3 2 4 2 6" xfId="36052" xr:uid="{00000000-0005-0000-0000-000070A40000}"/>
    <cellStyle name="표준 5 4 3 2 3 2 4 2 7" xfId="44245" xr:uid="{00000000-0005-0000-0000-000071A40000}"/>
    <cellStyle name="표준 5 4 3 2 3 2 4 3" xfId="9183" xr:uid="{00000000-0005-0000-0000-000072A40000}"/>
    <cellStyle name="표준 5 4 3 2 3 2 4 3 2" xfId="29889" xr:uid="{00000000-0005-0000-0000-000073A40000}"/>
    <cellStyle name="표준 5 4 3 2 3 2 4 3 3" xfId="38100" xr:uid="{00000000-0005-0000-0000-000074A40000}"/>
    <cellStyle name="표준 5 4 3 2 3 2 4 3 4" xfId="46293" xr:uid="{00000000-0005-0000-0000-000075A40000}"/>
    <cellStyle name="표준 5 4 3 2 3 2 4 4" xfId="13295" xr:uid="{00000000-0005-0000-0000-000076A40000}"/>
    <cellStyle name="표준 5 4 3 2 3 2 4 5" xfId="17535" xr:uid="{00000000-0005-0000-0000-000077A40000}"/>
    <cellStyle name="표준 5 4 3 2 3 2 4 6" xfId="21697" xr:uid="{00000000-0005-0000-0000-000078A40000}"/>
    <cellStyle name="표준 5 4 3 2 3 2 4 7" xfId="25793" xr:uid="{00000000-0005-0000-0000-000079A40000}"/>
    <cellStyle name="표준 5 4 3 2 3 2 4 8" xfId="34004" xr:uid="{00000000-0005-0000-0000-00007AA40000}"/>
    <cellStyle name="표준 5 4 3 2 3 2 4 9" xfId="42197" xr:uid="{00000000-0005-0000-0000-00007BA40000}"/>
    <cellStyle name="표준 5 4 3 2 3 2 5" xfId="9695" xr:uid="{00000000-0005-0000-0000-00007CA40000}"/>
    <cellStyle name="표준 5 4 3 2 3 2 5 2" xfId="13807" xr:uid="{00000000-0005-0000-0000-00007DA40000}"/>
    <cellStyle name="표준 5 4 3 2 3 2 5 2 2" xfId="30401" xr:uid="{00000000-0005-0000-0000-00007EA40000}"/>
    <cellStyle name="표준 5 4 3 2 3 2 5 2 3" xfId="38612" xr:uid="{00000000-0005-0000-0000-00007FA40000}"/>
    <cellStyle name="표준 5 4 3 2 3 2 5 2 4" xfId="46805" xr:uid="{00000000-0005-0000-0000-000080A40000}"/>
    <cellStyle name="표준 5 4 3 2 3 2 5 3" xfId="18047" xr:uid="{00000000-0005-0000-0000-000081A40000}"/>
    <cellStyle name="표준 5 4 3 2 3 2 5 4" xfId="22209" xr:uid="{00000000-0005-0000-0000-000082A40000}"/>
    <cellStyle name="표준 5 4 3 2 3 2 5 5" xfId="26305" xr:uid="{00000000-0005-0000-0000-000083A40000}"/>
    <cellStyle name="표준 5 4 3 2 3 2 5 6" xfId="34516" xr:uid="{00000000-0005-0000-0000-000084A40000}"/>
    <cellStyle name="표준 5 4 3 2 3 2 5 7" xfId="42709" xr:uid="{00000000-0005-0000-0000-000085A40000}"/>
    <cellStyle name="표준 5 4 3 2 3 2 6" xfId="7647" xr:uid="{00000000-0005-0000-0000-000086A40000}"/>
    <cellStyle name="표준 5 4 3 2 3 2 6 2" xfId="28353" xr:uid="{00000000-0005-0000-0000-000087A40000}"/>
    <cellStyle name="표준 5 4 3 2 3 2 6 3" xfId="36564" xr:uid="{00000000-0005-0000-0000-000088A40000}"/>
    <cellStyle name="표준 5 4 3 2 3 2 6 4" xfId="44757" xr:uid="{00000000-0005-0000-0000-000089A40000}"/>
    <cellStyle name="표준 5 4 3 2 3 2 7" xfId="11759" xr:uid="{00000000-0005-0000-0000-00008AA40000}"/>
    <cellStyle name="표준 5 4 3 2 3 2 8" xfId="15999" xr:uid="{00000000-0005-0000-0000-00008BA40000}"/>
    <cellStyle name="표준 5 4 3 2 3 2 9" xfId="20161" xr:uid="{00000000-0005-0000-0000-00008CA40000}"/>
    <cellStyle name="표준 5 4 3 2 3 3" xfId="1048" xr:uid="{00000000-0005-0000-0000-00008DA40000}"/>
    <cellStyle name="표준 5 4 3 2 3 3 2" xfId="9951" xr:uid="{00000000-0005-0000-0000-00008EA40000}"/>
    <cellStyle name="표준 5 4 3 2 3 3 2 2" xfId="14063" xr:uid="{00000000-0005-0000-0000-00008FA40000}"/>
    <cellStyle name="표준 5 4 3 2 3 3 2 2 2" xfId="30657" xr:uid="{00000000-0005-0000-0000-000090A40000}"/>
    <cellStyle name="표준 5 4 3 2 3 3 2 2 3" xfId="38868" xr:uid="{00000000-0005-0000-0000-000091A40000}"/>
    <cellStyle name="표준 5 4 3 2 3 3 2 2 4" xfId="47061" xr:uid="{00000000-0005-0000-0000-000092A40000}"/>
    <cellStyle name="표준 5 4 3 2 3 3 2 3" xfId="18303" xr:uid="{00000000-0005-0000-0000-000093A40000}"/>
    <cellStyle name="표준 5 4 3 2 3 3 2 4" xfId="22465" xr:uid="{00000000-0005-0000-0000-000094A40000}"/>
    <cellStyle name="표준 5 4 3 2 3 3 2 5" xfId="26561" xr:uid="{00000000-0005-0000-0000-000095A40000}"/>
    <cellStyle name="표준 5 4 3 2 3 3 2 6" xfId="34772" xr:uid="{00000000-0005-0000-0000-000096A40000}"/>
    <cellStyle name="표준 5 4 3 2 3 3 2 7" xfId="42965" xr:uid="{00000000-0005-0000-0000-000097A40000}"/>
    <cellStyle name="표준 5 4 3 2 3 3 3" xfId="7903" xr:uid="{00000000-0005-0000-0000-000098A40000}"/>
    <cellStyle name="표준 5 4 3 2 3 3 3 2" xfId="28609" xr:uid="{00000000-0005-0000-0000-000099A40000}"/>
    <cellStyle name="표준 5 4 3 2 3 3 3 3" xfId="36820" xr:uid="{00000000-0005-0000-0000-00009AA40000}"/>
    <cellStyle name="표준 5 4 3 2 3 3 3 4" xfId="45013" xr:uid="{00000000-0005-0000-0000-00009BA40000}"/>
    <cellStyle name="표준 5 4 3 2 3 3 4" xfId="12015" xr:uid="{00000000-0005-0000-0000-00009CA40000}"/>
    <cellStyle name="표준 5 4 3 2 3 3 5" xfId="16255" xr:uid="{00000000-0005-0000-0000-00009DA40000}"/>
    <cellStyle name="표준 5 4 3 2 3 3 6" xfId="20417" xr:uid="{00000000-0005-0000-0000-00009EA40000}"/>
    <cellStyle name="표준 5 4 3 2 3 3 7" xfId="24513" xr:uid="{00000000-0005-0000-0000-00009FA40000}"/>
    <cellStyle name="표준 5 4 3 2 3 3 8" xfId="32724" xr:uid="{00000000-0005-0000-0000-0000A0A40000}"/>
    <cellStyle name="표준 5 4 3 2 3 3 9" xfId="40917" xr:uid="{00000000-0005-0000-0000-0000A1A40000}"/>
    <cellStyle name="표준 5 4 3 2 3 4" xfId="1560" xr:uid="{00000000-0005-0000-0000-0000A2A40000}"/>
    <cellStyle name="표준 5 4 3 2 3 4 2" xfId="10463" xr:uid="{00000000-0005-0000-0000-0000A3A40000}"/>
    <cellStyle name="표준 5 4 3 2 3 4 2 2" xfId="14575" xr:uid="{00000000-0005-0000-0000-0000A4A40000}"/>
    <cellStyle name="표준 5 4 3 2 3 4 2 2 2" xfId="31169" xr:uid="{00000000-0005-0000-0000-0000A5A40000}"/>
    <cellStyle name="표준 5 4 3 2 3 4 2 2 3" xfId="39380" xr:uid="{00000000-0005-0000-0000-0000A6A40000}"/>
    <cellStyle name="표준 5 4 3 2 3 4 2 2 4" xfId="47573" xr:uid="{00000000-0005-0000-0000-0000A7A40000}"/>
    <cellStyle name="표준 5 4 3 2 3 4 2 3" xfId="18815" xr:uid="{00000000-0005-0000-0000-0000A8A40000}"/>
    <cellStyle name="표준 5 4 3 2 3 4 2 4" xfId="22977" xr:uid="{00000000-0005-0000-0000-0000A9A40000}"/>
    <cellStyle name="표준 5 4 3 2 3 4 2 5" xfId="27073" xr:uid="{00000000-0005-0000-0000-0000AAA40000}"/>
    <cellStyle name="표준 5 4 3 2 3 4 2 6" xfId="35284" xr:uid="{00000000-0005-0000-0000-0000ABA40000}"/>
    <cellStyle name="표준 5 4 3 2 3 4 2 7" xfId="43477" xr:uid="{00000000-0005-0000-0000-0000ACA40000}"/>
    <cellStyle name="표준 5 4 3 2 3 4 3" xfId="8415" xr:uid="{00000000-0005-0000-0000-0000ADA40000}"/>
    <cellStyle name="표준 5 4 3 2 3 4 3 2" xfId="29121" xr:uid="{00000000-0005-0000-0000-0000AEA40000}"/>
    <cellStyle name="표준 5 4 3 2 3 4 3 3" xfId="37332" xr:uid="{00000000-0005-0000-0000-0000AFA40000}"/>
    <cellStyle name="표준 5 4 3 2 3 4 3 4" xfId="45525" xr:uid="{00000000-0005-0000-0000-0000B0A40000}"/>
    <cellStyle name="표준 5 4 3 2 3 4 4" xfId="12527" xr:uid="{00000000-0005-0000-0000-0000B1A40000}"/>
    <cellStyle name="표준 5 4 3 2 3 4 5" xfId="16767" xr:uid="{00000000-0005-0000-0000-0000B2A40000}"/>
    <cellStyle name="표준 5 4 3 2 3 4 6" xfId="20929" xr:uid="{00000000-0005-0000-0000-0000B3A40000}"/>
    <cellStyle name="표준 5 4 3 2 3 4 7" xfId="25025" xr:uid="{00000000-0005-0000-0000-0000B4A40000}"/>
    <cellStyle name="표준 5 4 3 2 3 4 8" xfId="33236" xr:uid="{00000000-0005-0000-0000-0000B5A40000}"/>
    <cellStyle name="표준 5 4 3 2 3 4 9" xfId="41429" xr:uid="{00000000-0005-0000-0000-0000B6A40000}"/>
    <cellStyle name="표준 5 4 3 2 3 5" xfId="2072" xr:uid="{00000000-0005-0000-0000-0000B7A40000}"/>
    <cellStyle name="표준 5 4 3 2 3 5 2" xfId="10975" xr:uid="{00000000-0005-0000-0000-0000B8A40000}"/>
    <cellStyle name="표준 5 4 3 2 3 5 2 2" xfId="15087" xr:uid="{00000000-0005-0000-0000-0000B9A40000}"/>
    <cellStyle name="표준 5 4 3 2 3 5 2 2 2" xfId="31681" xr:uid="{00000000-0005-0000-0000-0000BAA40000}"/>
    <cellStyle name="표준 5 4 3 2 3 5 2 2 3" xfId="39892" xr:uid="{00000000-0005-0000-0000-0000BBA40000}"/>
    <cellStyle name="표준 5 4 3 2 3 5 2 2 4" xfId="48085" xr:uid="{00000000-0005-0000-0000-0000BCA40000}"/>
    <cellStyle name="표준 5 4 3 2 3 5 2 3" xfId="19327" xr:uid="{00000000-0005-0000-0000-0000BDA40000}"/>
    <cellStyle name="표준 5 4 3 2 3 5 2 4" xfId="23489" xr:uid="{00000000-0005-0000-0000-0000BEA40000}"/>
    <cellStyle name="표준 5 4 3 2 3 5 2 5" xfId="27585" xr:uid="{00000000-0005-0000-0000-0000BFA40000}"/>
    <cellStyle name="표준 5 4 3 2 3 5 2 6" xfId="35796" xr:uid="{00000000-0005-0000-0000-0000C0A40000}"/>
    <cellStyle name="표준 5 4 3 2 3 5 2 7" xfId="43989" xr:uid="{00000000-0005-0000-0000-0000C1A40000}"/>
    <cellStyle name="표준 5 4 3 2 3 5 3" xfId="8927" xr:uid="{00000000-0005-0000-0000-0000C2A40000}"/>
    <cellStyle name="표준 5 4 3 2 3 5 3 2" xfId="29633" xr:uid="{00000000-0005-0000-0000-0000C3A40000}"/>
    <cellStyle name="표준 5 4 3 2 3 5 3 3" xfId="37844" xr:uid="{00000000-0005-0000-0000-0000C4A40000}"/>
    <cellStyle name="표준 5 4 3 2 3 5 3 4" xfId="46037" xr:uid="{00000000-0005-0000-0000-0000C5A40000}"/>
    <cellStyle name="표준 5 4 3 2 3 5 4" xfId="13039" xr:uid="{00000000-0005-0000-0000-0000C6A40000}"/>
    <cellStyle name="표준 5 4 3 2 3 5 5" xfId="17279" xr:uid="{00000000-0005-0000-0000-0000C7A40000}"/>
    <cellStyle name="표준 5 4 3 2 3 5 6" xfId="21441" xr:uid="{00000000-0005-0000-0000-0000C8A40000}"/>
    <cellStyle name="표준 5 4 3 2 3 5 7" xfId="25537" xr:uid="{00000000-0005-0000-0000-0000C9A40000}"/>
    <cellStyle name="표준 5 4 3 2 3 5 8" xfId="33748" xr:uid="{00000000-0005-0000-0000-0000CAA40000}"/>
    <cellStyle name="표준 5 4 3 2 3 5 9" xfId="41941" xr:uid="{00000000-0005-0000-0000-0000CBA40000}"/>
    <cellStyle name="표준 5 4 3 2 3 6" xfId="9439" xr:uid="{00000000-0005-0000-0000-0000CCA40000}"/>
    <cellStyle name="표준 5 4 3 2 3 6 2" xfId="13551" xr:uid="{00000000-0005-0000-0000-0000CDA40000}"/>
    <cellStyle name="표준 5 4 3 2 3 6 2 2" xfId="30145" xr:uid="{00000000-0005-0000-0000-0000CEA40000}"/>
    <cellStyle name="표준 5 4 3 2 3 6 2 3" xfId="38356" xr:uid="{00000000-0005-0000-0000-0000CFA40000}"/>
    <cellStyle name="표준 5 4 3 2 3 6 2 4" xfId="46549" xr:uid="{00000000-0005-0000-0000-0000D0A40000}"/>
    <cellStyle name="표준 5 4 3 2 3 6 3" xfId="17791" xr:uid="{00000000-0005-0000-0000-0000D1A40000}"/>
    <cellStyle name="표준 5 4 3 2 3 6 4" xfId="21953" xr:uid="{00000000-0005-0000-0000-0000D2A40000}"/>
    <cellStyle name="표준 5 4 3 2 3 6 5" xfId="26049" xr:uid="{00000000-0005-0000-0000-0000D3A40000}"/>
    <cellStyle name="표준 5 4 3 2 3 6 6" xfId="34260" xr:uid="{00000000-0005-0000-0000-0000D4A40000}"/>
    <cellStyle name="표준 5 4 3 2 3 6 7" xfId="42453" xr:uid="{00000000-0005-0000-0000-0000D5A40000}"/>
    <cellStyle name="표준 5 4 3 2 3 7" xfId="7391" xr:uid="{00000000-0005-0000-0000-0000D6A40000}"/>
    <cellStyle name="표준 5 4 3 2 3 7 2" xfId="28097" xr:uid="{00000000-0005-0000-0000-0000D7A40000}"/>
    <cellStyle name="표준 5 4 3 2 3 7 3" xfId="36308" xr:uid="{00000000-0005-0000-0000-0000D8A40000}"/>
    <cellStyle name="표준 5 4 3 2 3 7 4" xfId="44501" xr:uid="{00000000-0005-0000-0000-0000D9A40000}"/>
    <cellStyle name="표준 5 4 3 2 3 8" xfId="11503" xr:uid="{00000000-0005-0000-0000-0000DAA40000}"/>
    <cellStyle name="표준 5 4 3 2 3 9" xfId="15743" xr:uid="{00000000-0005-0000-0000-0000DBA40000}"/>
    <cellStyle name="표준 5 4 3 2 4" xfId="664" xr:uid="{00000000-0005-0000-0000-0000DCA40000}"/>
    <cellStyle name="표준 5 4 3 2 4 10" xfId="24129" xr:uid="{00000000-0005-0000-0000-0000DDA40000}"/>
    <cellStyle name="표준 5 4 3 2 4 11" xfId="32340" xr:uid="{00000000-0005-0000-0000-0000DEA40000}"/>
    <cellStyle name="표준 5 4 3 2 4 12" xfId="40533" xr:uid="{00000000-0005-0000-0000-0000DFA40000}"/>
    <cellStyle name="표준 5 4 3 2 4 2" xfId="1176" xr:uid="{00000000-0005-0000-0000-0000E0A40000}"/>
    <cellStyle name="표준 5 4 3 2 4 2 2" xfId="10079" xr:uid="{00000000-0005-0000-0000-0000E1A40000}"/>
    <cellStyle name="표준 5 4 3 2 4 2 2 2" xfId="14191" xr:uid="{00000000-0005-0000-0000-0000E2A40000}"/>
    <cellStyle name="표준 5 4 3 2 4 2 2 2 2" xfId="30785" xr:uid="{00000000-0005-0000-0000-0000E3A40000}"/>
    <cellStyle name="표준 5 4 3 2 4 2 2 2 3" xfId="38996" xr:uid="{00000000-0005-0000-0000-0000E4A40000}"/>
    <cellStyle name="표준 5 4 3 2 4 2 2 2 4" xfId="47189" xr:uid="{00000000-0005-0000-0000-0000E5A40000}"/>
    <cellStyle name="표준 5 4 3 2 4 2 2 3" xfId="18431" xr:uid="{00000000-0005-0000-0000-0000E6A40000}"/>
    <cellStyle name="표준 5 4 3 2 4 2 2 4" xfId="22593" xr:uid="{00000000-0005-0000-0000-0000E7A40000}"/>
    <cellStyle name="표준 5 4 3 2 4 2 2 5" xfId="26689" xr:uid="{00000000-0005-0000-0000-0000E8A40000}"/>
    <cellStyle name="표준 5 4 3 2 4 2 2 6" xfId="34900" xr:uid="{00000000-0005-0000-0000-0000E9A40000}"/>
    <cellStyle name="표준 5 4 3 2 4 2 2 7" xfId="43093" xr:uid="{00000000-0005-0000-0000-0000EAA40000}"/>
    <cellStyle name="표준 5 4 3 2 4 2 3" xfId="8031" xr:uid="{00000000-0005-0000-0000-0000EBA40000}"/>
    <cellStyle name="표준 5 4 3 2 4 2 3 2" xfId="28737" xr:uid="{00000000-0005-0000-0000-0000ECA40000}"/>
    <cellStyle name="표준 5 4 3 2 4 2 3 3" xfId="36948" xr:uid="{00000000-0005-0000-0000-0000EDA40000}"/>
    <cellStyle name="표준 5 4 3 2 4 2 3 4" xfId="45141" xr:uid="{00000000-0005-0000-0000-0000EEA40000}"/>
    <cellStyle name="표준 5 4 3 2 4 2 4" xfId="12143" xr:uid="{00000000-0005-0000-0000-0000EFA40000}"/>
    <cellStyle name="표준 5 4 3 2 4 2 5" xfId="16383" xr:uid="{00000000-0005-0000-0000-0000F0A40000}"/>
    <cellStyle name="표준 5 4 3 2 4 2 6" xfId="20545" xr:uid="{00000000-0005-0000-0000-0000F1A40000}"/>
    <cellStyle name="표준 5 4 3 2 4 2 7" xfId="24641" xr:uid="{00000000-0005-0000-0000-0000F2A40000}"/>
    <cellStyle name="표준 5 4 3 2 4 2 8" xfId="32852" xr:uid="{00000000-0005-0000-0000-0000F3A40000}"/>
    <cellStyle name="표준 5 4 3 2 4 2 9" xfId="41045" xr:uid="{00000000-0005-0000-0000-0000F4A40000}"/>
    <cellStyle name="표준 5 4 3 2 4 3" xfId="1688" xr:uid="{00000000-0005-0000-0000-0000F5A40000}"/>
    <cellStyle name="표준 5 4 3 2 4 3 2" xfId="10591" xr:uid="{00000000-0005-0000-0000-0000F6A40000}"/>
    <cellStyle name="표준 5 4 3 2 4 3 2 2" xfId="14703" xr:uid="{00000000-0005-0000-0000-0000F7A40000}"/>
    <cellStyle name="표준 5 4 3 2 4 3 2 2 2" xfId="31297" xr:uid="{00000000-0005-0000-0000-0000F8A40000}"/>
    <cellStyle name="표준 5 4 3 2 4 3 2 2 3" xfId="39508" xr:uid="{00000000-0005-0000-0000-0000F9A40000}"/>
    <cellStyle name="표준 5 4 3 2 4 3 2 2 4" xfId="47701" xr:uid="{00000000-0005-0000-0000-0000FAA40000}"/>
    <cellStyle name="표준 5 4 3 2 4 3 2 3" xfId="18943" xr:uid="{00000000-0005-0000-0000-0000FBA40000}"/>
    <cellStyle name="표준 5 4 3 2 4 3 2 4" xfId="23105" xr:uid="{00000000-0005-0000-0000-0000FCA40000}"/>
    <cellStyle name="표준 5 4 3 2 4 3 2 5" xfId="27201" xr:uid="{00000000-0005-0000-0000-0000FDA40000}"/>
    <cellStyle name="표준 5 4 3 2 4 3 2 6" xfId="35412" xr:uid="{00000000-0005-0000-0000-0000FEA40000}"/>
    <cellStyle name="표준 5 4 3 2 4 3 2 7" xfId="43605" xr:uid="{00000000-0005-0000-0000-0000FFA40000}"/>
    <cellStyle name="표준 5 4 3 2 4 3 3" xfId="8543" xr:uid="{00000000-0005-0000-0000-000000A50000}"/>
    <cellStyle name="표준 5 4 3 2 4 3 3 2" xfId="29249" xr:uid="{00000000-0005-0000-0000-000001A50000}"/>
    <cellStyle name="표준 5 4 3 2 4 3 3 3" xfId="37460" xr:uid="{00000000-0005-0000-0000-000002A50000}"/>
    <cellStyle name="표준 5 4 3 2 4 3 3 4" xfId="45653" xr:uid="{00000000-0005-0000-0000-000003A50000}"/>
    <cellStyle name="표준 5 4 3 2 4 3 4" xfId="12655" xr:uid="{00000000-0005-0000-0000-000004A50000}"/>
    <cellStyle name="표준 5 4 3 2 4 3 5" xfId="16895" xr:uid="{00000000-0005-0000-0000-000005A50000}"/>
    <cellStyle name="표준 5 4 3 2 4 3 6" xfId="21057" xr:uid="{00000000-0005-0000-0000-000006A50000}"/>
    <cellStyle name="표준 5 4 3 2 4 3 7" xfId="25153" xr:uid="{00000000-0005-0000-0000-000007A50000}"/>
    <cellStyle name="표준 5 4 3 2 4 3 8" xfId="33364" xr:uid="{00000000-0005-0000-0000-000008A50000}"/>
    <cellStyle name="표준 5 4 3 2 4 3 9" xfId="41557" xr:uid="{00000000-0005-0000-0000-000009A50000}"/>
    <cellStyle name="표준 5 4 3 2 4 4" xfId="2200" xr:uid="{00000000-0005-0000-0000-00000AA50000}"/>
    <cellStyle name="표준 5 4 3 2 4 4 2" xfId="11103" xr:uid="{00000000-0005-0000-0000-00000BA50000}"/>
    <cellStyle name="표준 5 4 3 2 4 4 2 2" xfId="15215" xr:uid="{00000000-0005-0000-0000-00000CA50000}"/>
    <cellStyle name="표준 5 4 3 2 4 4 2 2 2" xfId="31809" xr:uid="{00000000-0005-0000-0000-00000DA50000}"/>
    <cellStyle name="표준 5 4 3 2 4 4 2 2 3" xfId="40020" xr:uid="{00000000-0005-0000-0000-00000EA50000}"/>
    <cellStyle name="표준 5 4 3 2 4 4 2 2 4" xfId="48213" xr:uid="{00000000-0005-0000-0000-00000FA50000}"/>
    <cellStyle name="표준 5 4 3 2 4 4 2 3" xfId="19455" xr:uid="{00000000-0005-0000-0000-000010A50000}"/>
    <cellStyle name="표준 5 4 3 2 4 4 2 4" xfId="23617" xr:uid="{00000000-0005-0000-0000-000011A50000}"/>
    <cellStyle name="표준 5 4 3 2 4 4 2 5" xfId="27713" xr:uid="{00000000-0005-0000-0000-000012A50000}"/>
    <cellStyle name="표준 5 4 3 2 4 4 2 6" xfId="35924" xr:uid="{00000000-0005-0000-0000-000013A50000}"/>
    <cellStyle name="표준 5 4 3 2 4 4 2 7" xfId="44117" xr:uid="{00000000-0005-0000-0000-000014A50000}"/>
    <cellStyle name="표준 5 4 3 2 4 4 3" xfId="9055" xr:uid="{00000000-0005-0000-0000-000015A50000}"/>
    <cellStyle name="표준 5 4 3 2 4 4 3 2" xfId="29761" xr:uid="{00000000-0005-0000-0000-000016A50000}"/>
    <cellStyle name="표준 5 4 3 2 4 4 3 3" xfId="37972" xr:uid="{00000000-0005-0000-0000-000017A50000}"/>
    <cellStyle name="표준 5 4 3 2 4 4 3 4" xfId="46165" xr:uid="{00000000-0005-0000-0000-000018A50000}"/>
    <cellStyle name="표준 5 4 3 2 4 4 4" xfId="13167" xr:uid="{00000000-0005-0000-0000-000019A50000}"/>
    <cellStyle name="표준 5 4 3 2 4 4 5" xfId="17407" xr:uid="{00000000-0005-0000-0000-00001AA50000}"/>
    <cellStyle name="표준 5 4 3 2 4 4 6" xfId="21569" xr:uid="{00000000-0005-0000-0000-00001BA50000}"/>
    <cellStyle name="표준 5 4 3 2 4 4 7" xfId="25665" xr:uid="{00000000-0005-0000-0000-00001CA50000}"/>
    <cellStyle name="표준 5 4 3 2 4 4 8" xfId="33876" xr:uid="{00000000-0005-0000-0000-00001DA50000}"/>
    <cellStyle name="표준 5 4 3 2 4 4 9" xfId="42069" xr:uid="{00000000-0005-0000-0000-00001EA50000}"/>
    <cellStyle name="표준 5 4 3 2 4 5" xfId="9567" xr:uid="{00000000-0005-0000-0000-00001FA50000}"/>
    <cellStyle name="표준 5 4 3 2 4 5 2" xfId="13679" xr:uid="{00000000-0005-0000-0000-000020A50000}"/>
    <cellStyle name="표준 5 4 3 2 4 5 2 2" xfId="30273" xr:uid="{00000000-0005-0000-0000-000021A50000}"/>
    <cellStyle name="표준 5 4 3 2 4 5 2 3" xfId="38484" xr:uid="{00000000-0005-0000-0000-000022A50000}"/>
    <cellStyle name="표준 5 4 3 2 4 5 2 4" xfId="46677" xr:uid="{00000000-0005-0000-0000-000023A50000}"/>
    <cellStyle name="표준 5 4 3 2 4 5 3" xfId="17919" xr:uid="{00000000-0005-0000-0000-000024A50000}"/>
    <cellStyle name="표준 5 4 3 2 4 5 4" xfId="22081" xr:uid="{00000000-0005-0000-0000-000025A50000}"/>
    <cellStyle name="표준 5 4 3 2 4 5 5" xfId="26177" xr:uid="{00000000-0005-0000-0000-000026A50000}"/>
    <cellStyle name="표준 5 4 3 2 4 5 6" xfId="34388" xr:uid="{00000000-0005-0000-0000-000027A50000}"/>
    <cellStyle name="표준 5 4 3 2 4 5 7" xfId="42581" xr:uid="{00000000-0005-0000-0000-000028A50000}"/>
    <cellStyle name="표준 5 4 3 2 4 6" xfId="7519" xr:uid="{00000000-0005-0000-0000-000029A50000}"/>
    <cellStyle name="표준 5 4 3 2 4 6 2" xfId="28225" xr:uid="{00000000-0005-0000-0000-00002AA50000}"/>
    <cellStyle name="표준 5 4 3 2 4 6 3" xfId="36436" xr:uid="{00000000-0005-0000-0000-00002BA50000}"/>
    <cellStyle name="표준 5 4 3 2 4 6 4" xfId="44629" xr:uid="{00000000-0005-0000-0000-00002CA50000}"/>
    <cellStyle name="표준 5 4 3 2 4 7" xfId="11631" xr:uid="{00000000-0005-0000-0000-00002DA50000}"/>
    <cellStyle name="표준 5 4 3 2 4 8" xfId="15871" xr:uid="{00000000-0005-0000-0000-00002EA50000}"/>
    <cellStyle name="표준 5 4 3 2 4 9" xfId="20033" xr:uid="{00000000-0005-0000-0000-00002FA50000}"/>
    <cellStyle name="표준 5 4 3 2 5" xfId="920" xr:uid="{00000000-0005-0000-0000-000030A50000}"/>
    <cellStyle name="표준 5 4 3 2 5 2" xfId="9823" xr:uid="{00000000-0005-0000-0000-000031A50000}"/>
    <cellStyle name="표준 5 4 3 2 5 2 2" xfId="13935" xr:uid="{00000000-0005-0000-0000-000032A50000}"/>
    <cellStyle name="표준 5 4 3 2 5 2 2 2" xfId="30529" xr:uid="{00000000-0005-0000-0000-000033A50000}"/>
    <cellStyle name="표준 5 4 3 2 5 2 2 3" xfId="38740" xr:uid="{00000000-0005-0000-0000-000034A50000}"/>
    <cellStyle name="표준 5 4 3 2 5 2 2 4" xfId="46933" xr:uid="{00000000-0005-0000-0000-000035A50000}"/>
    <cellStyle name="표준 5 4 3 2 5 2 3" xfId="18175" xr:uid="{00000000-0005-0000-0000-000036A50000}"/>
    <cellStyle name="표준 5 4 3 2 5 2 4" xfId="22337" xr:uid="{00000000-0005-0000-0000-000037A50000}"/>
    <cellStyle name="표준 5 4 3 2 5 2 5" xfId="26433" xr:uid="{00000000-0005-0000-0000-000038A50000}"/>
    <cellStyle name="표준 5 4 3 2 5 2 6" xfId="34644" xr:uid="{00000000-0005-0000-0000-000039A50000}"/>
    <cellStyle name="표준 5 4 3 2 5 2 7" xfId="42837" xr:uid="{00000000-0005-0000-0000-00003AA50000}"/>
    <cellStyle name="표준 5 4 3 2 5 3" xfId="7775" xr:uid="{00000000-0005-0000-0000-00003BA50000}"/>
    <cellStyle name="표준 5 4 3 2 5 3 2" xfId="28481" xr:uid="{00000000-0005-0000-0000-00003CA50000}"/>
    <cellStyle name="표준 5 4 3 2 5 3 3" xfId="36692" xr:uid="{00000000-0005-0000-0000-00003DA50000}"/>
    <cellStyle name="표준 5 4 3 2 5 3 4" xfId="44885" xr:uid="{00000000-0005-0000-0000-00003EA50000}"/>
    <cellStyle name="표준 5 4 3 2 5 4" xfId="11887" xr:uid="{00000000-0005-0000-0000-00003FA50000}"/>
    <cellStyle name="표준 5 4 3 2 5 5" xfId="16127" xr:uid="{00000000-0005-0000-0000-000040A50000}"/>
    <cellStyle name="표준 5 4 3 2 5 6" xfId="20289" xr:uid="{00000000-0005-0000-0000-000041A50000}"/>
    <cellStyle name="표준 5 4 3 2 5 7" xfId="24385" xr:uid="{00000000-0005-0000-0000-000042A50000}"/>
    <cellStyle name="표준 5 4 3 2 5 8" xfId="32596" xr:uid="{00000000-0005-0000-0000-000043A50000}"/>
    <cellStyle name="표준 5 4 3 2 5 9" xfId="40789" xr:uid="{00000000-0005-0000-0000-000044A50000}"/>
    <cellStyle name="표준 5 4 3 2 6" xfId="1432" xr:uid="{00000000-0005-0000-0000-000045A50000}"/>
    <cellStyle name="표준 5 4 3 2 6 2" xfId="10335" xr:uid="{00000000-0005-0000-0000-000046A50000}"/>
    <cellStyle name="표준 5 4 3 2 6 2 2" xfId="14447" xr:uid="{00000000-0005-0000-0000-000047A50000}"/>
    <cellStyle name="표준 5 4 3 2 6 2 2 2" xfId="31041" xr:uid="{00000000-0005-0000-0000-000048A50000}"/>
    <cellStyle name="표준 5 4 3 2 6 2 2 3" xfId="39252" xr:uid="{00000000-0005-0000-0000-000049A50000}"/>
    <cellStyle name="표준 5 4 3 2 6 2 2 4" xfId="47445" xr:uid="{00000000-0005-0000-0000-00004AA50000}"/>
    <cellStyle name="표준 5 4 3 2 6 2 3" xfId="18687" xr:uid="{00000000-0005-0000-0000-00004BA50000}"/>
    <cellStyle name="표준 5 4 3 2 6 2 4" xfId="22849" xr:uid="{00000000-0005-0000-0000-00004CA50000}"/>
    <cellStyle name="표준 5 4 3 2 6 2 5" xfId="26945" xr:uid="{00000000-0005-0000-0000-00004DA50000}"/>
    <cellStyle name="표준 5 4 3 2 6 2 6" xfId="35156" xr:uid="{00000000-0005-0000-0000-00004EA50000}"/>
    <cellStyle name="표준 5 4 3 2 6 2 7" xfId="43349" xr:uid="{00000000-0005-0000-0000-00004FA50000}"/>
    <cellStyle name="표준 5 4 3 2 6 3" xfId="8287" xr:uid="{00000000-0005-0000-0000-000050A50000}"/>
    <cellStyle name="표준 5 4 3 2 6 3 2" xfId="28993" xr:uid="{00000000-0005-0000-0000-000051A50000}"/>
    <cellStyle name="표준 5 4 3 2 6 3 3" xfId="37204" xr:uid="{00000000-0005-0000-0000-000052A50000}"/>
    <cellStyle name="표준 5 4 3 2 6 3 4" xfId="45397" xr:uid="{00000000-0005-0000-0000-000053A50000}"/>
    <cellStyle name="표준 5 4 3 2 6 4" xfId="12399" xr:uid="{00000000-0005-0000-0000-000054A50000}"/>
    <cellStyle name="표준 5 4 3 2 6 5" xfId="16639" xr:uid="{00000000-0005-0000-0000-000055A50000}"/>
    <cellStyle name="표준 5 4 3 2 6 6" xfId="20801" xr:uid="{00000000-0005-0000-0000-000056A50000}"/>
    <cellStyle name="표준 5 4 3 2 6 7" xfId="24897" xr:uid="{00000000-0005-0000-0000-000057A50000}"/>
    <cellStyle name="표준 5 4 3 2 6 8" xfId="33108" xr:uid="{00000000-0005-0000-0000-000058A50000}"/>
    <cellStyle name="표준 5 4 3 2 6 9" xfId="41301" xr:uid="{00000000-0005-0000-0000-000059A50000}"/>
    <cellStyle name="표준 5 4 3 2 7" xfId="1944" xr:uid="{00000000-0005-0000-0000-00005AA50000}"/>
    <cellStyle name="표준 5 4 3 2 7 2" xfId="10847" xr:uid="{00000000-0005-0000-0000-00005BA50000}"/>
    <cellStyle name="표준 5 4 3 2 7 2 2" xfId="14959" xr:uid="{00000000-0005-0000-0000-00005CA50000}"/>
    <cellStyle name="표준 5 4 3 2 7 2 2 2" xfId="31553" xr:uid="{00000000-0005-0000-0000-00005DA50000}"/>
    <cellStyle name="표준 5 4 3 2 7 2 2 3" xfId="39764" xr:uid="{00000000-0005-0000-0000-00005EA50000}"/>
    <cellStyle name="표준 5 4 3 2 7 2 2 4" xfId="47957" xr:uid="{00000000-0005-0000-0000-00005FA50000}"/>
    <cellStyle name="표준 5 4 3 2 7 2 3" xfId="19199" xr:uid="{00000000-0005-0000-0000-000060A50000}"/>
    <cellStyle name="표준 5 4 3 2 7 2 4" xfId="23361" xr:uid="{00000000-0005-0000-0000-000061A50000}"/>
    <cellStyle name="표준 5 4 3 2 7 2 5" xfId="27457" xr:uid="{00000000-0005-0000-0000-000062A50000}"/>
    <cellStyle name="표준 5 4 3 2 7 2 6" xfId="35668" xr:uid="{00000000-0005-0000-0000-000063A50000}"/>
    <cellStyle name="표준 5 4 3 2 7 2 7" xfId="43861" xr:uid="{00000000-0005-0000-0000-000064A50000}"/>
    <cellStyle name="표준 5 4 3 2 7 3" xfId="8799" xr:uid="{00000000-0005-0000-0000-000065A50000}"/>
    <cellStyle name="표준 5 4 3 2 7 3 2" xfId="29505" xr:uid="{00000000-0005-0000-0000-000066A50000}"/>
    <cellStyle name="표준 5 4 3 2 7 3 3" xfId="37716" xr:uid="{00000000-0005-0000-0000-000067A50000}"/>
    <cellStyle name="표준 5 4 3 2 7 3 4" xfId="45909" xr:uid="{00000000-0005-0000-0000-000068A50000}"/>
    <cellStyle name="표준 5 4 3 2 7 4" xfId="12911" xr:uid="{00000000-0005-0000-0000-000069A50000}"/>
    <cellStyle name="표준 5 4 3 2 7 5" xfId="17151" xr:uid="{00000000-0005-0000-0000-00006AA50000}"/>
    <cellStyle name="표준 5 4 3 2 7 6" xfId="21313" xr:uid="{00000000-0005-0000-0000-00006BA50000}"/>
    <cellStyle name="표준 5 4 3 2 7 7" xfId="25409" xr:uid="{00000000-0005-0000-0000-00006CA50000}"/>
    <cellStyle name="표준 5 4 3 2 7 8" xfId="33620" xr:uid="{00000000-0005-0000-0000-00006DA50000}"/>
    <cellStyle name="표준 5 4 3 2 7 9" xfId="41813" xr:uid="{00000000-0005-0000-0000-00006EA50000}"/>
    <cellStyle name="표준 5 4 3 2 8" xfId="7036" xr:uid="{00000000-0005-0000-0000-00006FA50000}"/>
    <cellStyle name="표준 5 4 3 2 8 2" xfId="9311" xr:uid="{00000000-0005-0000-0000-000070A50000}"/>
    <cellStyle name="표준 5 4 3 2 8 2 2" xfId="30017" xr:uid="{00000000-0005-0000-0000-000071A50000}"/>
    <cellStyle name="표준 5 4 3 2 8 2 3" xfId="38228" xr:uid="{00000000-0005-0000-0000-000072A50000}"/>
    <cellStyle name="표준 5 4 3 2 8 2 4" xfId="46421" xr:uid="{00000000-0005-0000-0000-000073A50000}"/>
    <cellStyle name="표준 5 4 3 2 8 3" xfId="13423" xr:uid="{00000000-0005-0000-0000-000074A50000}"/>
    <cellStyle name="표준 5 4 3 2 8 4" xfId="17663" xr:uid="{00000000-0005-0000-0000-000075A50000}"/>
    <cellStyle name="표준 5 4 3 2 8 5" xfId="21825" xr:uid="{00000000-0005-0000-0000-000076A50000}"/>
    <cellStyle name="표준 5 4 3 2 8 6" xfId="25921" xr:uid="{00000000-0005-0000-0000-000077A50000}"/>
    <cellStyle name="표준 5 4 3 2 8 7" xfId="34132" xr:uid="{00000000-0005-0000-0000-000078A50000}"/>
    <cellStyle name="표준 5 4 3 2 8 8" xfId="42325" xr:uid="{00000000-0005-0000-0000-000079A50000}"/>
    <cellStyle name="표준 5 4 3 2 9" xfId="7142" xr:uid="{00000000-0005-0000-0000-00007AA50000}"/>
    <cellStyle name="표준 5 4 3 2 9 2" xfId="27969" xr:uid="{00000000-0005-0000-0000-00007BA50000}"/>
    <cellStyle name="표준 5 4 3 2 9 3" xfId="36180" xr:uid="{00000000-0005-0000-0000-00007CA50000}"/>
    <cellStyle name="표준 5 4 3 2 9 4" xfId="44373" xr:uid="{00000000-0005-0000-0000-00007DA50000}"/>
    <cellStyle name="표준 5 4 3 3" xfId="440" xr:uid="{00000000-0005-0000-0000-00007EA50000}"/>
    <cellStyle name="표준 5 4 3 3 10" xfId="15647" xr:uid="{00000000-0005-0000-0000-00007FA50000}"/>
    <cellStyle name="표준 5 4 3 3 11" xfId="19809" xr:uid="{00000000-0005-0000-0000-000080A50000}"/>
    <cellStyle name="표준 5 4 3 3 12" xfId="23905" xr:uid="{00000000-0005-0000-0000-000081A50000}"/>
    <cellStyle name="표준 5 4 3 3 13" xfId="32116" xr:uid="{00000000-0005-0000-0000-000082A50000}"/>
    <cellStyle name="표준 5 4 3 3 14" xfId="40309" xr:uid="{00000000-0005-0000-0000-000083A50000}"/>
    <cellStyle name="표준 5 4 3 3 2" xfId="568" xr:uid="{00000000-0005-0000-0000-000084A50000}"/>
    <cellStyle name="표준 5 4 3 3 2 10" xfId="19937" xr:uid="{00000000-0005-0000-0000-000085A50000}"/>
    <cellStyle name="표준 5 4 3 3 2 11" xfId="24033" xr:uid="{00000000-0005-0000-0000-000086A50000}"/>
    <cellStyle name="표준 5 4 3 3 2 12" xfId="32244" xr:uid="{00000000-0005-0000-0000-000087A50000}"/>
    <cellStyle name="표준 5 4 3 3 2 13" xfId="40437" xr:uid="{00000000-0005-0000-0000-000088A50000}"/>
    <cellStyle name="표준 5 4 3 3 2 2" xfId="824" xr:uid="{00000000-0005-0000-0000-000089A50000}"/>
    <cellStyle name="표준 5 4 3 3 2 2 10" xfId="24289" xr:uid="{00000000-0005-0000-0000-00008AA50000}"/>
    <cellStyle name="표준 5 4 3 3 2 2 11" xfId="32500" xr:uid="{00000000-0005-0000-0000-00008BA50000}"/>
    <cellStyle name="표준 5 4 3 3 2 2 12" xfId="40693" xr:uid="{00000000-0005-0000-0000-00008CA50000}"/>
    <cellStyle name="표준 5 4 3 3 2 2 2" xfId="1336" xr:uid="{00000000-0005-0000-0000-00008DA50000}"/>
    <cellStyle name="표준 5 4 3 3 2 2 2 2" xfId="10239" xr:uid="{00000000-0005-0000-0000-00008EA50000}"/>
    <cellStyle name="표준 5 4 3 3 2 2 2 2 2" xfId="14351" xr:uid="{00000000-0005-0000-0000-00008FA50000}"/>
    <cellStyle name="표준 5 4 3 3 2 2 2 2 2 2" xfId="30945" xr:uid="{00000000-0005-0000-0000-000090A50000}"/>
    <cellStyle name="표준 5 4 3 3 2 2 2 2 2 3" xfId="39156" xr:uid="{00000000-0005-0000-0000-000091A50000}"/>
    <cellStyle name="표준 5 4 3 3 2 2 2 2 2 4" xfId="47349" xr:uid="{00000000-0005-0000-0000-000092A50000}"/>
    <cellStyle name="표준 5 4 3 3 2 2 2 2 3" xfId="18591" xr:uid="{00000000-0005-0000-0000-000093A50000}"/>
    <cellStyle name="표준 5 4 3 3 2 2 2 2 4" xfId="22753" xr:uid="{00000000-0005-0000-0000-000094A50000}"/>
    <cellStyle name="표준 5 4 3 3 2 2 2 2 5" xfId="26849" xr:uid="{00000000-0005-0000-0000-000095A50000}"/>
    <cellStyle name="표준 5 4 3 3 2 2 2 2 6" xfId="35060" xr:uid="{00000000-0005-0000-0000-000096A50000}"/>
    <cellStyle name="표준 5 4 3 3 2 2 2 2 7" xfId="43253" xr:uid="{00000000-0005-0000-0000-000097A50000}"/>
    <cellStyle name="표준 5 4 3 3 2 2 2 3" xfId="8191" xr:uid="{00000000-0005-0000-0000-000098A50000}"/>
    <cellStyle name="표준 5 4 3 3 2 2 2 3 2" xfId="28897" xr:uid="{00000000-0005-0000-0000-000099A50000}"/>
    <cellStyle name="표준 5 4 3 3 2 2 2 3 3" xfId="37108" xr:uid="{00000000-0005-0000-0000-00009AA50000}"/>
    <cellStyle name="표준 5 4 3 3 2 2 2 3 4" xfId="45301" xr:uid="{00000000-0005-0000-0000-00009BA50000}"/>
    <cellStyle name="표준 5 4 3 3 2 2 2 4" xfId="12303" xr:uid="{00000000-0005-0000-0000-00009CA50000}"/>
    <cellStyle name="표준 5 4 3 3 2 2 2 5" xfId="16543" xr:uid="{00000000-0005-0000-0000-00009DA50000}"/>
    <cellStyle name="표준 5 4 3 3 2 2 2 6" xfId="20705" xr:uid="{00000000-0005-0000-0000-00009EA50000}"/>
    <cellStyle name="표준 5 4 3 3 2 2 2 7" xfId="24801" xr:uid="{00000000-0005-0000-0000-00009FA50000}"/>
    <cellStyle name="표준 5 4 3 3 2 2 2 8" xfId="33012" xr:uid="{00000000-0005-0000-0000-0000A0A50000}"/>
    <cellStyle name="표준 5 4 3 3 2 2 2 9" xfId="41205" xr:uid="{00000000-0005-0000-0000-0000A1A50000}"/>
    <cellStyle name="표준 5 4 3 3 2 2 3" xfId="1848" xr:uid="{00000000-0005-0000-0000-0000A2A50000}"/>
    <cellStyle name="표준 5 4 3 3 2 2 3 2" xfId="10751" xr:uid="{00000000-0005-0000-0000-0000A3A50000}"/>
    <cellStyle name="표준 5 4 3 3 2 2 3 2 2" xfId="14863" xr:uid="{00000000-0005-0000-0000-0000A4A50000}"/>
    <cellStyle name="표준 5 4 3 3 2 2 3 2 2 2" xfId="31457" xr:uid="{00000000-0005-0000-0000-0000A5A50000}"/>
    <cellStyle name="표준 5 4 3 3 2 2 3 2 2 3" xfId="39668" xr:uid="{00000000-0005-0000-0000-0000A6A50000}"/>
    <cellStyle name="표준 5 4 3 3 2 2 3 2 2 4" xfId="47861" xr:uid="{00000000-0005-0000-0000-0000A7A50000}"/>
    <cellStyle name="표준 5 4 3 3 2 2 3 2 3" xfId="19103" xr:uid="{00000000-0005-0000-0000-0000A8A50000}"/>
    <cellStyle name="표준 5 4 3 3 2 2 3 2 4" xfId="23265" xr:uid="{00000000-0005-0000-0000-0000A9A50000}"/>
    <cellStyle name="표준 5 4 3 3 2 2 3 2 5" xfId="27361" xr:uid="{00000000-0005-0000-0000-0000AAA50000}"/>
    <cellStyle name="표준 5 4 3 3 2 2 3 2 6" xfId="35572" xr:uid="{00000000-0005-0000-0000-0000ABA50000}"/>
    <cellStyle name="표준 5 4 3 3 2 2 3 2 7" xfId="43765" xr:uid="{00000000-0005-0000-0000-0000ACA50000}"/>
    <cellStyle name="표준 5 4 3 3 2 2 3 3" xfId="8703" xr:uid="{00000000-0005-0000-0000-0000ADA50000}"/>
    <cellStyle name="표준 5 4 3 3 2 2 3 3 2" xfId="29409" xr:uid="{00000000-0005-0000-0000-0000AEA50000}"/>
    <cellStyle name="표준 5 4 3 3 2 2 3 3 3" xfId="37620" xr:uid="{00000000-0005-0000-0000-0000AFA50000}"/>
    <cellStyle name="표준 5 4 3 3 2 2 3 3 4" xfId="45813" xr:uid="{00000000-0005-0000-0000-0000B0A50000}"/>
    <cellStyle name="표준 5 4 3 3 2 2 3 4" xfId="12815" xr:uid="{00000000-0005-0000-0000-0000B1A50000}"/>
    <cellStyle name="표준 5 4 3 3 2 2 3 5" xfId="17055" xr:uid="{00000000-0005-0000-0000-0000B2A50000}"/>
    <cellStyle name="표준 5 4 3 3 2 2 3 6" xfId="21217" xr:uid="{00000000-0005-0000-0000-0000B3A50000}"/>
    <cellStyle name="표준 5 4 3 3 2 2 3 7" xfId="25313" xr:uid="{00000000-0005-0000-0000-0000B4A50000}"/>
    <cellStyle name="표준 5 4 3 3 2 2 3 8" xfId="33524" xr:uid="{00000000-0005-0000-0000-0000B5A50000}"/>
    <cellStyle name="표준 5 4 3 3 2 2 3 9" xfId="41717" xr:uid="{00000000-0005-0000-0000-0000B6A50000}"/>
    <cellStyle name="표준 5 4 3 3 2 2 4" xfId="2360" xr:uid="{00000000-0005-0000-0000-0000B7A50000}"/>
    <cellStyle name="표준 5 4 3 3 2 2 4 2" xfId="11263" xr:uid="{00000000-0005-0000-0000-0000B8A50000}"/>
    <cellStyle name="표준 5 4 3 3 2 2 4 2 2" xfId="15375" xr:uid="{00000000-0005-0000-0000-0000B9A50000}"/>
    <cellStyle name="표준 5 4 3 3 2 2 4 2 2 2" xfId="31969" xr:uid="{00000000-0005-0000-0000-0000BAA50000}"/>
    <cellStyle name="표준 5 4 3 3 2 2 4 2 2 3" xfId="40180" xr:uid="{00000000-0005-0000-0000-0000BBA50000}"/>
    <cellStyle name="표준 5 4 3 3 2 2 4 2 2 4" xfId="48373" xr:uid="{00000000-0005-0000-0000-0000BCA50000}"/>
    <cellStyle name="표준 5 4 3 3 2 2 4 2 3" xfId="19615" xr:uid="{00000000-0005-0000-0000-0000BDA50000}"/>
    <cellStyle name="표준 5 4 3 3 2 2 4 2 4" xfId="23777" xr:uid="{00000000-0005-0000-0000-0000BEA50000}"/>
    <cellStyle name="표준 5 4 3 3 2 2 4 2 5" xfId="27873" xr:uid="{00000000-0005-0000-0000-0000BFA50000}"/>
    <cellStyle name="표준 5 4 3 3 2 2 4 2 6" xfId="36084" xr:uid="{00000000-0005-0000-0000-0000C0A50000}"/>
    <cellStyle name="표준 5 4 3 3 2 2 4 2 7" xfId="44277" xr:uid="{00000000-0005-0000-0000-0000C1A50000}"/>
    <cellStyle name="표준 5 4 3 3 2 2 4 3" xfId="9215" xr:uid="{00000000-0005-0000-0000-0000C2A50000}"/>
    <cellStyle name="표준 5 4 3 3 2 2 4 3 2" xfId="29921" xr:uid="{00000000-0005-0000-0000-0000C3A50000}"/>
    <cellStyle name="표준 5 4 3 3 2 2 4 3 3" xfId="38132" xr:uid="{00000000-0005-0000-0000-0000C4A50000}"/>
    <cellStyle name="표준 5 4 3 3 2 2 4 3 4" xfId="46325" xr:uid="{00000000-0005-0000-0000-0000C5A50000}"/>
    <cellStyle name="표준 5 4 3 3 2 2 4 4" xfId="13327" xr:uid="{00000000-0005-0000-0000-0000C6A50000}"/>
    <cellStyle name="표준 5 4 3 3 2 2 4 5" xfId="17567" xr:uid="{00000000-0005-0000-0000-0000C7A50000}"/>
    <cellStyle name="표준 5 4 3 3 2 2 4 6" xfId="21729" xr:uid="{00000000-0005-0000-0000-0000C8A50000}"/>
    <cellStyle name="표준 5 4 3 3 2 2 4 7" xfId="25825" xr:uid="{00000000-0005-0000-0000-0000C9A50000}"/>
    <cellStyle name="표준 5 4 3 3 2 2 4 8" xfId="34036" xr:uid="{00000000-0005-0000-0000-0000CAA50000}"/>
    <cellStyle name="표준 5 4 3 3 2 2 4 9" xfId="42229" xr:uid="{00000000-0005-0000-0000-0000CBA50000}"/>
    <cellStyle name="표준 5 4 3 3 2 2 5" xfId="9727" xr:uid="{00000000-0005-0000-0000-0000CCA50000}"/>
    <cellStyle name="표준 5 4 3 3 2 2 5 2" xfId="13839" xr:uid="{00000000-0005-0000-0000-0000CDA50000}"/>
    <cellStyle name="표준 5 4 3 3 2 2 5 2 2" xfId="30433" xr:uid="{00000000-0005-0000-0000-0000CEA50000}"/>
    <cellStyle name="표준 5 4 3 3 2 2 5 2 3" xfId="38644" xr:uid="{00000000-0005-0000-0000-0000CFA50000}"/>
    <cellStyle name="표준 5 4 3 3 2 2 5 2 4" xfId="46837" xr:uid="{00000000-0005-0000-0000-0000D0A50000}"/>
    <cellStyle name="표준 5 4 3 3 2 2 5 3" xfId="18079" xr:uid="{00000000-0005-0000-0000-0000D1A50000}"/>
    <cellStyle name="표준 5 4 3 3 2 2 5 4" xfId="22241" xr:uid="{00000000-0005-0000-0000-0000D2A50000}"/>
    <cellStyle name="표준 5 4 3 3 2 2 5 5" xfId="26337" xr:uid="{00000000-0005-0000-0000-0000D3A50000}"/>
    <cellStyle name="표준 5 4 3 3 2 2 5 6" xfId="34548" xr:uid="{00000000-0005-0000-0000-0000D4A50000}"/>
    <cellStyle name="표준 5 4 3 3 2 2 5 7" xfId="42741" xr:uid="{00000000-0005-0000-0000-0000D5A50000}"/>
    <cellStyle name="표준 5 4 3 3 2 2 6" xfId="7679" xr:uid="{00000000-0005-0000-0000-0000D6A50000}"/>
    <cellStyle name="표준 5 4 3 3 2 2 6 2" xfId="28385" xr:uid="{00000000-0005-0000-0000-0000D7A50000}"/>
    <cellStyle name="표준 5 4 3 3 2 2 6 3" xfId="36596" xr:uid="{00000000-0005-0000-0000-0000D8A50000}"/>
    <cellStyle name="표준 5 4 3 3 2 2 6 4" xfId="44789" xr:uid="{00000000-0005-0000-0000-0000D9A50000}"/>
    <cellStyle name="표준 5 4 3 3 2 2 7" xfId="11791" xr:uid="{00000000-0005-0000-0000-0000DAA50000}"/>
    <cellStyle name="표준 5 4 3 3 2 2 8" xfId="16031" xr:uid="{00000000-0005-0000-0000-0000DBA50000}"/>
    <cellStyle name="표준 5 4 3 3 2 2 9" xfId="20193" xr:uid="{00000000-0005-0000-0000-0000DCA50000}"/>
    <cellStyle name="표준 5 4 3 3 2 3" xfId="1080" xr:uid="{00000000-0005-0000-0000-0000DDA50000}"/>
    <cellStyle name="표준 5 4 3 3 2 3 2" xfId="9983" xr:uid="{00000000-0005-0000-0000-0000DEA50000}"/>
    <cellStyle name="표준 5 4 3 3 2 3 2 2" xfId="14095" xr:uid="{00000000-0005-0000-0000-0000DFA50000}"/>
    <cellStyle name="표준 5 4 3 3 2 3 2 2 2" xfId="30689" xr:uid="{00000000-0005-0000-0000-0000E0A50000}"/>
    <cellStyle name="표준 5 4 3 3 2 3 2 2 3" xfId="38900" xr:uid="{00000000-0005-0000-0000-0000E1A50000}"/>
    <cellStyle name="표준 5 4 3 3 2 3 2 2 4" xfId="47093" xr:uid="{00000000-0005-0000-0000-0000E2A50000}"/>
    <cellStyle name="표준 5 4 3 3 2 3 2 3" xfId="18335" xr:uid="{00000000-0005-0000-0000-0000E3A50000}"/>
    <cellStyle name="표준 5 4 3 3 2 3 2 4" xfId="22497" xr:uid="{00000000-0005-0000-0000-0000E4A50000}"/>
    <cellStyle name="표준 5 4 3 3 2 3 2 5" xfId="26593" xr:uid="{00000000-0005-0000-0000-0000E5A50000}"/>
    <cellStyle name="표준 5 4 3 3 2 3 2 6" xfId="34804" xr:uid="{00000000-0005-0000-0000-0000E6A50000}"/>
    <cellStyle name="표준 5 4 3 3 2 3 2 7" xfId="42997" xr:uid="{00000000-0005-0000-0000-0000E7A50000}"/>
    <cellStyle name="표준 5 4 3 3 2 3 3" xfId="7935" xr:uid="{00000000-0005-0000-0000-0000E8A50000}"/>
    <cellStyle name="표준 5 4 3 3 2 3 3 2" xfId="28641" xr:uid="{00000000-0005-0000-0000-0000E9A50000}"/>
    <cellStyle name="표준 5 4 3 3 2 3 3 3" xfId="36852" xr:uid="{00000000-0005-0000-0000-0000EAA50000}"/>
    <cellStyle name="표준 5 4 3 3 2 3 3 4" xfId="45045" xr:uid="{00000000-0005-0000-0000-0000EBA50000}"/>
    <cellStyle name="표준 5 4 3 3 2 3 4" xfId="12047" xr:uid="{00000000-0005-0000-0000-0000ECA50000}"/>
    <cellStyle name="표준 5 4 3 3 2 3 5" xfId="16287" xr:uid="{00000000-0005-0000-0000-0000EDA50000}"/>
    <cellStyle name="표준 5 4 3 3 2 3 6" xfId="20449" xr:uid="{00000000-0005-0000-0000-0000EEA50000}"/>
    <cellStyle name="표준 5 4 3 3 2 3 7" xfId="24545" xr:uid="{00000000-0005-0000-0000-0000EFA50000}"/>
    <cellStyle name="표준 5 4 3 3 2 3 8" xfId="32756" xr:uid="{00000000-0005-0000-0000-0000F0A50000}"/>
    <cellStyle name="표준 5 4 3 3 2 3 9" xfId="40949" xr:uid="{00000000-0005-0000-0000-0000F1A50000}"/>
    <cellStyle name="표준 5 4 3 3 2 4" xfId="1592" xr:uid="{00000000-0005-0000-0000-0000F2A50000}"/>
    <cellStyle name="표준 5 4 3 3 2 4 2" xfId="10495" xr:uid="{00000000-0005-0000-0000-0000F3A50000}"/>
    <cellStyle name="표준 5 4 3 3 2 4 2 2" xfId="14607" xr:uid="{00000000-0005-0000-0000-0000F4A50000}"/>
    <cellStyle name="표준 5 4 3 3 2 4 2 2 2" xfId="31201" xr:uid="{00000000-0005-0000-0000-0000F5A50000}"/>
    <cellStyle name="표준 5 4 3 3 2 4 2 2 3" xfId="39412" xr:uid="{00000000-0005-0000-0000-0000F6A50000}"/>
    <cellStyle name="표준 5 4 3 3 2 4 2 2 4" xfId="47605" xr:uid="{00000000-0005-0000-0000-0000F7A50000}"/>
    <cellStyle name="표준 5 4 3 3 2 4 2 3" xfId="18847" xr:uid="{00000000-0005-0000-0000-0000F8A50000}"/>
    <cellStyle name="표준 5 4 3 3 2 4 2 4" xfId="23009" xr:uid="{00000000-0005-0000-0000-0000F9A50000}"/>
    <cellStyle name="표준 5 4 3 3 2 4 2 5" xfId="27105" xr:uid="{00000000-0005-0000-0000-0000FAA50000}"/>
    <cellStyle name="표준 5 4 3 3 2 4 2 6" xfId="35316" xr:uid="{00000000-0005-0000-0000-0000FBA50000}"/>
    <cellStyle name="표준 5 4 3 3 2 4 2 7" xfId="43509" xr:uid="{00000000-0005-0000-0000-0000FCA50000}"/>
    <cellStyle name="표준 5 4 3 3 2 4 3" xfId="8447" xr:uid="{00000000-0005-0000-0000-0000FDA50000}"/>
    <cellStyle name="표준 5 4 3 3 2 4 3 2" xfId="29153" xr:uid="{00000000-0005-0000-0000-0000FEA50000}"/>
    <cellStyle name="표준 5 4 3 3 2 4 3 3" xfId="37364" xr:uid="{00000000-0005-0000-0000-0000FFA50000}"/>
    <cellStyle name="표준 5 4 3 3 2 4 3 4" xfId="45557" xr:uid="{00000000-0005-0000-0000-000000A60000}"/>
    <cellStyle name="표준 5 4 3 3 2 4 4" xfId="12559" xr:uid="{00000000-0005-0000-0000-000001A60000}"/>
    <cellStyle name="표준 5 4 3 3 2 4 5" xfId="16799" xr:uid="{00000000-0005-0000-0000-000002A60000}"/>
    <cellStyle name="표준 5 4 3 3 2 4 6" xfId="20961" xr:uid="{00000000-0005-0000-0000-000003A60000}"/>
    <cellStyle name="표준 5 4 3 3 2 4 7" xfId="25057" xr:uid="{00000000-0005-0000-0000-000004A60000}"/>
    <cellStyle name="표준 5 4 3 3 2 4 8" xfId="33268" xr:uid="{00000000-0005-0000-0000-000005A60000}"/>
    <cellStyle name="표준 5 4 3 3 2 4 9" xfId="41461" xr:uid="{00000000-0005-0000-0000-000006A60000}"/>
    <cellStyle name="표준 5 4 3 3 2 5" xfId="2104" xr:uid="{00000000-0005-0000-0000-000007A60000}"/>
    <cellStyle name="표준 5 4 3 3 2 5 2" xfId="11007" xr:uid="{00000000-0005-0000-0000-000008A60000}"/>
    <cellStyle name="표준 5 4 3 3 2 5 2 2" xfId="15119" xr:uid="{00000000-0005-0000-0000-000009A60000}"/>
    <cellStyle name="표준 5 4 3 3 2 5 2 2 2" xfId="31713" xr:uid="{00000000-0005-0000-0000-00000AA60000}"/>
    <cellStyle name="표준 5 4 3 3 2 5 2 2 3" xfId="39924" xr:uid="{00000000-0005-0000-0000-00000BA60000}"/>
    <cellStyle name="표준 5 4 3 3 2 5 2 2 4" xfId="48117" xr:uid="{00000000-0005-0000-0000-00000CA60000}"/>
    <cellStyle name="표준 5 4 3 3 2 5 2 3" xfId="19359" xr:uid="{00000000-0005-0000-0000-00000DA60000}"/>
    <cellStyle name="표준 5 4 3 3 2 5 2 4" xfId="23521" xr:uid="{00000000-0005-0000-0000-00000EA60000}"/>
    <cellStyle name="표준 5 4 3 3 2 5 2 5" xfId="27617" xr:uid="{00000000-0005-0000-0000-00000FA60000}"/>
    <cellStyle name="표준 5 4 3 3 2 5 2 6" xfId="35828" xr:uid="{00000000-0005-0000-0000-000010A60000}"/>
    <cellStyle name="표준 5 4 3 3 2 5 2 7" xfId="44021" xr:uid="{00000000-0005-0000-0000-000011A60000}"/>
    <cellStyle name="표준 5 4 3 3 2 5 3" xfId="8959" xr:uid="{00000000-0005-0000-0000-000012A60000}"/>
    <cellStyle name="표준 5 4 3 3 2 5 3 2" xfId="29665" xr:uid="{00000000-0005-0000-0000-000013A60000}"/>
    <cellStyle name="표준 5 4 3 3 2 5 3 3" xfId="37876" xr:uid="{00000000-0005-0000-0000-000014A60000}"/>
    <cellStyle name="표준 5 4 3 3 2 5 3 4" xfId="46069" xr:uid="{00000000-0005-0000-0000-000015A60000}"/>
    <cellStyle name="표준 5 4 3 3 2 5 4" xfId="13071" xr:uid="{00000000-0005-0000-0000-000016A60000}"/>
    <cellStyle name="표준 5 4 3 3 2 5 5" xfId="17311" xr:uid="{00000000-0005-0000-0000-000017A60000}"/>
    <cellStyle name="표준 5 4 3 3 2 5 6" xfId="21473" xr:uid="{00000000-0005-0000-0000-000018A60000}"/>
    <cellStyle name="표준 5 4 3 3 2 5 7" xfId="25569" xr:uid="{00000000-0005-0000-0000-000019A60000}"/>
    <cellStyle name="표준 5 4 3 3 2 5 8" xfId="33780" xr:uid="{00000000-0005-0000-0000-00001AA60000}"/>
    <cellStyle name="표준 5 4 3 3 2 5 9" xfId="41973" xr:uid="{00000000-0005-0000-0000-00001BA60000}"/>
    <cellStyle name="표준 5 4 3 3 2 6" xfId="9471" xr:uid="{00000000-0005-0000-0000-00001CA60000}"/>
    <cellStyle name="표준 5 4 3 3 2 6 2" xfId="13583" xr:uid="{00000000-0005-0000-0000-00001DA60000}"/>
    <cellStyle name="표준 5 4 3 3 2 6 2 2" xfId="30177" xr:uid="{00000000-0005-0000-0000-00001EA60000}"/>
    <cellStyle name="표준 5 4 3 3 2 6 2 3" xfId="38388" xr:uid="{00000000-0005-0000-0000-00001FA60000}"/>
    <cellStyle name="표준 5 4 3 3 2 6 2 4" xfId="46581" xr:uid="{00000000-0005-0000-0000-000020A60000}"/>
    <cellStyle name="표준 5 4 3 3 2 6 3" xfId="17823" xr:uid="{00000000-0005-0000-0000-000021A60000}"/>
    <cellStyle name="표준 5 4 3 3 2 6 4" xfId="21985" xr:uid="{00000000-0005-0000-0000-000022A60000}"/>
    <cellStyle name="표준 5 4 3 3 2 6 5" xfId="26081" xr:uid="{00000000-0005-0000-0000-000023A60000}"/>
    <cellStyle name="표준 5 4 3 3 2 6 6" xfId="34292" xr:uid="{00000000-0005-0000-0000-000024A60000}"/>
    <cellStyle name="표준 5 4 3 3 2 6 7" xfId="42485" xr:uid="{00000000-0005-0000-0000-000025A60000}"/>
    <cellStyle name="표준 5 4 3 3 2 7" xfId="7423" xr:uid="{00000000-0005-0000-0000-000026A60000}"/>
    <cellStyle name="표준 5 4 3 3 2 7 2" xfId="28129" xr:uid="{00000000-0005-0000-0000-000027A60000}"/>
    <cellStyle name="표준 5 4 3 3 2 7 3" xfId="36340" xr:uid="{00000000-0005-0000-0000-000028A60000}"/>
    <cellStyle name="표준 5 4 3 3 2 7 4" xfId="44533" xr:uid="{00000000-0005-0000-0000-000029A60000}"/>
    <cellStyle name="표준 5 4 3 3 2 8" xfId="11535" xr:uid="{00000000-0005-0000-0000-00002AA60000}"/>
    <cellStyle name="표준 5 4 3 3 2 9" xfId="15775" xr:uid="{00000000-0005-0000-0000-00002BA60000}"/>
    <cellStyle name="표준 5 4 3 3 3" xfId="696" xr:uid="{00000000-0005-0000-0000-00002CA60000}"/>
    <cellStyle name="표준 5 4 3 3 3 10" xfId="24161" xr:uid="{00000000-0005-0000-0000-00002DA60000}"/>
    <cellStyle name="표준 5 4 3 3 3 11" xfId="32372" xr:uid="{00000000-0005-0000-0000-00002EA60000}"/>
    <cellStyle name="표준 5 4 3 3 3 12" xfId="40565" xr:uid="{00000000-0005-0000-0000-00002FA60000}"/>
    <cellStyle name="표준 5 4 3 3 3 2" xfId="1208" xr:uid="{00000000-0005-0000-0000-000030A60000}"/>
    <cellStyle name="표준 5 4 3 3 3 2 2" xfId="10111" xr:uid="{00000000-0005-0000-0000-000031A60000}"/>
    <cellStyle name="표준 5 4 3 3 3 2 2 2" xfId="14223" xr:uid="{00000000-0005-0000-0000-000032A60000}"/>
    <cellStyle name="표준 5 4 3 3 3 2 2 2 2" xfId="30817" xr:uid="{00000000-0005-0000-0000-000033A60000}"/>
    <cellStyle name="표준 5 4 3 3 3 2 2 2 3" xfId="39028" xr:uid="{00000000-0005-0000-0000-000034A60000}"/>
    <cellStyle name="표준 5 4 3 3 3 2 2 2 4" xfId="47221" xr:uid="{00000000-0005-0000-0000-000035A60000}"/>
    <cellStyle name="표준 5 4 3 3 3 2 2 3" xfId="18463" xr:uid="{00000000-0005-0000-0000-000036A60000}"/>
    <cellStyle name="표준 5 4 3 3 3 2 2 4" xfId="22625" xr:uid="{00000000-0005-0000-0000-000037A60000}"/>
    <cellStyle name="표준 5 4 3 3 3 2 2 5" xfId="26721" xr:uid="{00000000-0005-0000-0000-000038A60000}"/>
    <cellStyle name="표준 5 4 3 3 3 2 2 6" xfId="34932" xr:uid="{00000000-0005-0000-0000-000039A60000}"/>
    <cellStyle name="표준 5 4 3 3 3 2 2 7" xfId="43125" xr:uid="{00000000-0005-0000-0000-00003AA60000}"/>
    <cellStyle name="표준 5 4 3 3 3 2 3" xfId="8063" xr:uid="{00000000-0005-0000-0000-00003BA60000}"/>
    <cellStyle name="표준 5 4 3 3 3 2 3 2" xfId="28769" xr:uid="{00000000-0005-0000-0000-00003CA60000}"/>
    <cellStyle name="표준 5 4 3 3 3 2 3 3" xfId="36980" xr:uid="{00000000-0005-0000-0000-00003DA60000}"/>
    <cellStyle name="표준 5 4 3 3 3 2 3 4" xfId="45173" xr:uid="{00000000-0005-0000-0000-00003EA60000}"/>
    <cellStyle name="표준 5 4 3 3 3 2 4" xfId="12175" xr:uid="{00000000-0005-0000-0000-00003FA60000}"/>
    <cellStyle name="표준 5 4 3 3 3 2 5" xfId="16415" xr:uid="{00000000-0005-0000-0000-000040A60000}"/>
    <cellStyle name="표준 5 4 3 3 3 2 6" xfId="20577" xr:uid="{00000000-0005-0000-0000-000041A60000}"/>
    <cellStyle name="표준 5 4 3 3 3 2 7" xfId="24673" xr:uid="{00000000-0005-0000-0000-000042A60000}"/>
    <cellStyle name="표준 5 4 3 3 3 2 8" xfId="32884" xr:uid="{00000000-0005-0000-0000-000043A60000}"/>
    <cellStyle name="표준 5 4 3 3 3 2 9" xfId="41077" xr:uid="{00000000-0005-0000-0000-000044A60000}"/>
    <cellStyle name="표준 5 4 3 3 3 3" xfId="1720" xr:uid="{00000000-0005-0000-0000-000045A60000}"/>
    <cellStyle name="표준 5 4 3 3 3 3 2" xfId="10623" xr:uid="{00000000-0005-0000-0000-000046A60000}"/>
    <cellStyle name="표준 5 4 3 3 3 3 2 2" xfId="14735" xr:uid="{00000000-0005-0000-0000-000047A60000}"/>
    <cellStyle name="표준 5 4 3 3 3 3 2 2 2" xfId="31329" xr:uid="{00000000-0005-0000-0000-000048A60000}"/>
    <cellStyle name="표준 5 4 3 3 3 3 2 2 3" xfId="39540" xr:uid="{00000000-0005-0000-0000-000049A60000}"/>
    <cellStyle name="표준 5 4 3 3 3 3 2 2 4" xfId="47733" xr:uid="{00000000-0005-0000-0000-00004AA60000}"/>
    <cellStyle name="표준 5 4 3 3 3 3 2 3" xfId="18975" xr:uid="{00000000-0005-0000-0000-00004BA60000}"/>
    <cellStyle name="표준 5 4 3 3 3 3 2 4" xfId="23137" xr:uid="{00000000-0005-0000-0000-00004CA60000}"/>
    <cellStyle name="표준 5 4 3 3 3 3 2 5" xfId="27233" xr:uid="{00000000-0005-0000-0000-00004DA60000}"/>
    <cellStyle name="표준 5 4 3 3 3 3 2 6" xfId="35444" xr:uid="{00000000-0005-0000-0000-00004EA60000}"/>
    <cellStyle name="표준 5 4 3 3 3 3 2 7" xfId="43637" xr:uid="{00000000-0005-0000-0000-00004FA60000}"/>
    <cellStyle name="표준 5 4 3 3 3 3 3" xfId="8575" xr:uid="{00000000-0005-0000-0000-000050A60000}"/>
    <cellStyle name="표준 5 4 3 3 3 3 3 2" xfId="29281" xr:uid="{00000000-0005-0000-0000-000051A60000}"/>
    <cellStyle name="표준 5 4 3 3 3 3 3 3" xfId="37492" xr:uid="{00000000-0005-0000-0000-000052A60000}"/>
    <cellStyle name="표준 5 4 3 3 3 3 3 4" xfId="45685" xr:uid="{00000000-0005-0000-0000-000053A60000}"/>
    <cellStyle name="표준 5 4 3 3 3 3 4" xfId="12687" xr:uid="{00000000-0005-0000-0000-000054A60000}"/>
    <cellStyle name="표준 5 4 3 3 3 3 5" xfId="16927" xr:uid="{00000000-0005-0000-0000-000055A60000}"/>
    <cellStyle name="표준 5 4 3 3 3 3 6" xfId="21089" xr:uid="{00000000-0005-0000-0000-000056A60000}"/>
    <cellStyle name="표준 5 4 3 3 3 3 7" xfId="25185" xr:uid="{00000000-0005-0000-0000-000057A60000}"/>
    <cellStyle name="표준 5 4 3 3 3 3 8" xfId="33396" xr:uid="{00000000-0005-0000-0000-000058A60000}"/>
    <cellStyle name="표준 5 4 3 3 3 3 9" xfId="41589" xr:uid="{00000000-0005-0000-0000-000059A60000}"/>
    <cellStyle name="표준 5 4 3 3 3 4" xfId="2232" xr:uid="{00000000-0005-0000-0000-00005AA60000}"/>
    <cellStyle name="표준 5 4 3 3 3 4 2" xfId="11135" xr:uid="{00000000-0005-0000-0000-00005BA60000}"/>
    <cellStyle name="표준 5 4 3 3 3 4 2 2" xfId="15247" xr:uid="{00000000-0005-0000-0000-00005CA60000}"/>
    <cellStyle name="표준 5 4 3 3 3 4 2 2 2" xfId="31841" xr:uid="{00000000-0005-0000-0000-00005DA60000}"/>
    <cellStyle name="표준 5 4 3 3 3 4 2 2 3" xfId="40052" xr:uid="{00000000-0005-0000-0000-00005EA60000}"/>
    <cellStyle name="표준 5 4 3 3 3 4 2 2 4" xfId="48245" xr:uid="{00000000-0005-0000-0000-00005FA60000}"/>
    <cellStyle name="표준 5 4 3 3 3 4 2 3" xfId="19487" xr:uid="{00000000-0005-0000-0000-000060A60000}"/>
    <cellStyle name="표준 5 4 3 3 3 4 2 4" xfId="23649" xr:uid="{00000000-0005-0000-0000-000061A60000}"/>
    <cellStyle name="표준 5 4 3 3 3 4 2 5" xfId="27745" xr:uid="{00000000-0005-0000-0000-000062A60000}"/>
    <cellStyle name="표준 5 4 3 3 3 4 2 6" xfId="35956" xr:uid="{00000000-0005-0000-0000-000063A60000}"/>
    <cellStyle name="표준 5 4 3 3 3 4 2 7" xfId="44149" xr:uid="{00000000-0005-0000-0000-000064A60000}"/>
    <cellStyle name="표준 5 4 3 3 3 4 3" xfId="9087" xr:uid="{00000000-0005-0000-0000-000065A60000}"/>
    <cellStyle name="표준 5 4 3 3 3 4 3 2" xfId="29793" xr:uid="{00000000-0005-0000-0000-000066A60000}"/>
    <cellStyle name="표준 5 4 3 3 3 4 3 3" xfId="38004" xr:uid="{00000000-0005-0000-0000-000067A60000}"/>
    <cellStyle name="표준 5 4 3 3 3 4 3 4" xfId="46197" xr:uid="{00000000-0005-0000-0000-000068A60000}"/>
    <cellStyle name="표준 5 4 3 3 3 4 4" xfId="13199" xr:uid="{00000000-0005-0000-0000-000069A60000}"/>
    <cellStyle name="표준 5 4 3 3 3 4 5" xfId="17439" xr:uid="{00000000-0005-0000-0000-00006AA60000}"/>
    <cellStyle name="표준 5 4 3 3 3 4 6" xfId="21601" xr:uid="{00000000-0005-0000-0000-00006BA60000}"/>
    <cellStyle name="표준 5 4 3 3 3 4 7" xfId="25697" xr:uid="{00000000-0005-0000-0000-00006CA60000}"/>
    <cellStyle name="표준 5 4 3 3 3 4 8" xfId="33908" xr:uid="{00000000-0005-0000-0000-00006DA60000}"/>
    <cellStyle name="표준 5 4 3 3 3 4 9" xfId="42101" xr:uid="{00000000-0005-0000-0000-00006EA60000}"/>
    <cellStyle name="표준 5 4 3 3 3 5" xfId="9599" xr:uid="{00000000-0005-0000-0000-00006FA60000}"/>
    <cellStyle name="표준 5 4 3 3 3 5 2" xfId="13711" xr:uid="{00000000-0005-0000-0000-000070A60000}"/>
    <cellStyle name="표준 5 4 3 3 3 5 2 2" xfId="30305" xr:uid="{00000000-0005-0000-0000-000071A60000}"/>
    <cellStyle name="표준 5 4 3 3 3 5 2 3" xfId="38516" xr:uid="{00000000-0005-0000-0000-000072A60000}"/>
    <cellStyle name="표준 5 4 3 3 3 5 2 4" xfId="46709" xr:uid="{00000000-0005-0000-0000-000073A60000}"/>
    <cellStyle name="표준 5 4 3 3 3 5 3" xfId="17951" xr:uid="{00000000-0005-0000-0000-000074A60000}"/>
    <cellStyle name="표준 5 4 3 3 3 5 4" xfId="22113" xr:uid="{00000000-0005-0000-0000-000075A60000}"/>
    <cellStyle name="표준 5 4 3 3 3 5 5" xfId="26209" xr:uid="{00000000-0005-0000-0000-000076A60000}"/>
    <cellStyle name="표준 5 4 3 3 3 5 6" xfId="34420" xr:uid="{00000000-0005-0000-0000-000077A60000}"/>
    <cellStyle name="표준 5 4 3 3 3 5 7" xfId="42613" xr:uid="{00000000-0005-0000-0000-000078A60000}"/>
    <cellStyle name="표준 5 4 3 3 3 6" xfId="7551" xr:uid="{00000000-0005-0000-0000-000079A60000}"/>
    <cellStyle name="표준 5 4 3 3 3 6 2" xfId="28257" xr:uid="{00000000-0005-0000-0000-00007AA60000}"/>
    <cellStyle name="표준 5 4 3 3 3 6 3" xfId="36468" xr:uid="{00000000-0005-0000-0000-00007BA60000}"/>
    <cellStyle name="표준 5 4 3 3 3 6 4" xfId="44661" xr:uid="{00000000-0005-0000-0000-00007CA60000}"/>
    <cellStyle name="표준 5 4 3 3 3 7" xfId="11663" xr:uid="{00000000-0005-0000-0000-00007DA60000}"/>
    <cellStyle name="표준 5 4 3 3 3 8" xfId="15903" xr:uid="{00000000-0005-0000-0000-00007EA60000}"/>
    <cellStyle name="표준 5 4 3 3 3 9" xfId="20065" xr:uid="{00000000-0005-0000-0000-00007FA60000}"/>
    <cellStyle name="표준 5 4 3 3 4" xfId="952" xr:uid="{00000000-0005-0000-0000-000080A60000}"/>
    <cellStyle name="표준 5 4 3 3 4 2" xfId="9855" xr:uid="{00000000-0005-0000-0000-000081A60000}"/>
    <cellStyle name="표준 5 4 3 3 4 2 2" xfId="13967" xr:uid="{00000000-0005-0000-0000-000082A60000}"/>
    <cellStyle name="표준 5 4 3 3 4 2 2 2" xfId="30561" xr:uid="{00000000-0005-0000-0000-000083A60000}"/>
    <cellStyle name="표준 5 4 3 3 4 2 2 3" xfId="38772" xr:uid="{00000000-0005-0000-0000-000084A60000}"/>
    <cellStyle name="표준 5 4 3 3 4 2 2 4" xfId="46965" xr:uid="{00000000-0005-0000-0000-000085A60000}"/>
    <cellStyle name="표준 5 4 3 3 4 2 3" xfId="18207" xr:uid="{00000000-0005-0000-0000-000086A60000}"/>
    <cellStyle name="표준 5 4 3 3 4 2 4" xfId="22369" xr:uid="{00000000-0005-0000-0000-000087A60000}"/>
    <cellStyle name="표준 5 4 3 3 4 2 5" xfId="26465" xr:uid="{00000000-0005-0000-0000-000088A60000}"/>
    <cellStyle name="표준 5 4 3 3 4 2 6" xfId="34676" xr:uid="{00000000-0005-0000-0000-000089A60000}"/>
    <cellStyle name="표준 5 4 3 3 4 2 7" xfId="42869" xr:uid="{00000000-0005-0000-0000-00008AA60000}"/>
    <cellStyle name="표준 5 4 3 3 4 3" xfId="7807" xr:uid="{00000000-0005-0000-0000-00008BA60000}"/>
    <cellStyle name="표준 5 4 3 3 4 3 2" xfId="28513" xr:uid="{00000000-0005-0000-0000-00008CA60000}"/>
    <cellStyle name="표준 5 4 3 3 4 3 3" xfId="36724" xr:uid="{00000000-0005-0000-0000-00008DA60000}"/>
    <cellStyle name="표준 5 4 3 3 4 3 4" xfId="44917" xr:uid="{00000000-0005-0000-0000-00008EA60000}"/>
    <cellStyle name="표준 5 4 3 3 4 4" xfId="11919" xr:uid="{00000000-0005-0000-0000-00008FA60000}"/>
    <cellStyle name="표준 5 4 3 3 4 5" xfId="16159" xr:uid="{00000000-0005-0000-0000-000090A60000}"/>
    <cellStyle name="표준 5 4 3 3 4 6" xfId="20321" xr:uid="{00000000-0005-0000-0000-000091A60000}"/>
    <cellStyle name="표준 5 4 3 3 4 7" xfId="24417" xr:uid="{00000000-0005-0000-0000-000092A60000}"/>
    <cellStyle name="표준 5 4 3 3 4 8" xfId="32628" xr:uid="{00000000-0005-0000-0000-000093A60000}"/>
    <cellStyle name="표준 5 4 3 3 4 9" xfId="40821" xr:uid="{00000000-0005-0000-0000-000094A60000}"/>
    <cellStyle name="표준 5 4 3 3 5" xfId="1464" xr:uid="{00000000-0005-0000-0000-000095A60000}"/>
    <cellStyle name="표준 5 4 3 3 5 2" xfId="10367" xr:uid="{00000000-0005-0000-0000-000096A60000}"/>
    <cellStyle name="표준 5 4 3 3 5 2 2" xfId="14479" xr:uid="{00000000-0005-0000-0000-000097A60000}"/>
    <cellStyle name="표준 5 4 3 3 5 2 2 2" xfId="31073" xr:uid="{00000000-0005-0000-0000-000098A60000}"/>
    <cellStyle name="표준 5 4 3 3 5 2 2 3" xfId="39284" xr:uid="{00000000-0005-0000-0000-000099A60000}"/>
    <cellStyle name="표준 5 4 3 3 5 2 2 4" xfId="47477" xr:uid="{00000000-0005-0000-0000-00009AA60000}"/>
    <cellStyle name="표준 5 4 3 3 5 2 3" xfId="18719" xr:uid="{00000000-0005-0000-0000-00009BA60000}"/>
    <cellStyle name="표준 5 4 3 3 5 2 4" xfId="22881" xr:uid="{00000000-0005-0000-0000-00009CA60000}"/>
    <cellStyle name="표준 5 4 3 3 5 2 5" xfId="26977" xr:uid="{00000000-0005-0000-0000-00009DA60000}"/>
    <cellStyle name="표준 5 4 3 3 5 2 6" xfId="35188" xr:uid="{00000000-0005-0000-0000-00009EA60000}"/>
    <cellStyle name="표준 5 4 3 3 5 2 7" xfId="43381" xr:uid="{00000000-0005-0000-0000-00009FA60000}"/>
    <cellStyle name="표준 5 4 3 3 5 3" xfId="8319" xr:uid="{00000000-0005-0000-0000-0000A0A60000}"/>
    <cellStyle name="표준 5 4 3 3 5 3 2" xfId="29025" xr:uid="{00000000-0005-0000-0000-0000A1A60000}"/>
    <cellStyle name="표준 5 4 3 3 5 3 3" xfId="37236" xr:uid="{00000000-0005-0000-0000-0000A2A60000}"/>
    <cellStyle name="표준 5 4 3 3 5 3 4" xfId="45429" xr:uid="{00000000-0005-0000-0000-0000A3A60000}"/>
    <cellStyle name="표준 5 4 3 3 5 4" xfId="12431" xr:uid="{00000000-0005-0000-0000-0000A4A60000}"/>
    <cellStyle name="표준 5 4 3 3 5 5" xfId="16671" xr:uid="{00000000-0005-0000-0000-0000A5A60000}"/>
    <cellStyle name="표준 5 4 3 3 5 6" xfId="20833" xr:uid="{00000000-0005-0000-0000-0000A6A60000}"/>
    <cellStyle name="표준 5 4 3 3 5 7" xfId="24929" xr:uid="{00000000-0005-0000-0000-0000A7A60000}"/>
    <cellStyle name="표준 5 4 3 3 5 8" xfId="33140" xr:uid="{00000000-0005-0000-0000-0000A8A60000}"/>
    <cellStyle name="표준 5 4 3 3 5 9" xfId="41333" xr:uid="{00000000-0005-0000-0000-0000A9A60000}"/>
    <cellStyle name="표준 5 4 3 3 6" xfId="1976" xr:uid="{00000000-0005-0000-0000-0000AAA60000}"/>
    <cellStyle name="표준 5 4 3 3 6 2" xfId="10879" xr:uid="{00000000-0005-0000-0000-0000ABA60000}"/>
    <cellStyle name="표준 5 4 3 3 6 2 2" xfId="14991" xr:uid="{00000000-0005-0000-0000-0000ACA60000}"/>
    <cellStyle name="표준 5 4 3 3 6 2 2 2" xfId="31585" xr:uid="{00000000-0005-0000-0000-0000ADA60000}"/>
    <cellStyle name="표준 5 4 3 3 6 2 2 3" xfId="39796" xr:uid="{00000000-0005-0000-0000-0000AEA60000}"/>
    <cellStyle name="표준 5 4 3 3 6 2 2 4" xfId="47989" xr:uid="{00000000-0005-0000-0000-0000AFA60000}"/>
    <cellStyle name="표준 5 4 3 3 6 2 3" xfId="19231" xr:uid="{00000000-0005-0000-0000-0000B0A60000}"/>
    <cellStyle name="표준 5 4 3 3 6 2 4" xfId="23393" xr:uid="{00000000-0005-0000-0000-0000B1A60000}"/>
    <cellStyle name="표준 5 4 3 3 6 2 5" xfId="27489" xr:uid="{00000000-0005-0000-0000-0000B2A60000}"/>
    <cellStyle name="표준 5 4 3 3 6 2 6" xfId="35700" xr:uid="{00000000-0005-0000-0000-0000B3A60000}"/>
    <cellStyle name="표준 5 4 3 3 6 2 7" xfId="43893" xr:uid="{00000000-0005-0000-0000-0000B4A60000}"/>
    <cellStyle name="표준 5 4 3 3 6 3" xfId="8831" xr:uid="{00000000-0005-0000-0000-0000B5A60000}"/>
    <cellStyle name="표준 5 4 3 3 6 3 2" xfId="29537" xr:uid="{00000000-0005-0000-0000-0000B6A60000}"/>
    <cellStyle name="표준 5 4 3 3 6 3 3" xfId="37748" xr:uid="{00000000-0005-0000-0000-0000B7A60000}"/>
    <cellStyle name="표준 5 4 3 3 6 3 4" xfId="45941" xr:uid="{00000000-0005-0000-0000-0000B8A60000}"/>
    <cellStyle name="표준 5 4 3 3 6 4" xfId="12943" xr:uid="{00000000-0005-0000-0000-0000B9A60000}"/>
    <cellStyle name="표준 5 4 3 3 6 5" xfId="17183" xr:uid="{00000000-0005-0000-0000-0000BAA60000}"/>
    <cellStyle name="표준 5 4 3 3 6 6" xfId="21345" xr:uid="{00000000-0005-0000-0000-0000BBA60000}"/>
    <cellStyle name="표준 5 4 3 3 6 7" xfId="25441" xr:uid="{00000000-0005-0000-0000-0000BCA60000}"/>
    <cellStyle name="표준 5 4 3 3 6 8" xfId="33652" xr:uid="{00000000-0005-0000-0000-0000BDA60000}"/>
    <cellStyle name="표준 5 4 3 3 6 9" xfId="41845" xr:uid="{00000000-0005-0000-0000-0000BEA60000}"/>
    <cellStyle name="표준 5 4 3 3 7" xfId="9343" xr:uid="{00000000-0005-0000-0000-0000BFA60000}"/>
    <cellStyle name="표준 5 4 3 3 7 2" xfId="13455" xr:uid="{00000000-0005-0000-0000-0000C0A60000}"/>
    <cellStyle name="표준 5 4 3 3 7 2 2" xfId="30049" xr:uid="{00000000-0005-0000-0000-0000C1A60000}"/>
    <cellStyle name="표준 5 4 3 3 7 2 3" xfId="38260" xr:uid="{00000000-0005-0000-0000-0000C2A60000}"/>
    <cellStyle name="표준 5 4 3 3 7 2 4" xfId="46453" xr:uid="{00000000-0005-0000-0000-0000C3A60000}"/>
    <cellStyle name="표준 5 4 3 3 7 3" xfId="17695" xr:uid="{00000000-0005-0000-0000-0000C4A60000}"/>
    <cellStyle name="표준 5 4 3 3 7 4" xfId="21857" xr:uid="{00000000-0005-0000-0000-0000C5A60000}"/>
    <cellStyle name="표준 5 4 3 3 7 5" xfId="25953" xr:uid="{00000000-0005-0000-0000-0000C6A60000}"/>
    <cellStyle name="표준 5 4 3 3 7 6" xfId="34164" xr:uid="{00000000-0005-0000-0000-0000C7A60000}"/>
    <cellStyle name="표준 5 4 3 3 7 7" xfId="42357" xr:uid="{00000000-0005-0000-0000-0000C8A60000}"/>
    <cellStyle name="표준 5 4 3 3 8" xfId="7295" xr:uid="{00000000-0005-0000-0000-0000C9A60000}"/>
    <cellStyle name="표준 5 4 3 3 8 2" xfId="28001" xr:uid="{00000000-0005-0000-0000-0000CAA60000}"/>
    <cellStyle name="표준 5 4 3 3 8 3" xfId="36212" xr:uid="{00000000-0005-0000-0000-0000CBA60000}"/>
    <cellStyle name="표준 5 4 3 3 8 4" xfId="44405" xr:uid="{00000000-0005-0000-0000-0000CCA60000}"/>
    <cellStyle name="표준 5 4 3 3 9" xfId="11407" xr:uid="{00000000-0005-0000-0000-0000CDA60000}"/>
    <cellStyle name="표준 5 4 3 4" xfId="504" xr:uid="{00000000-0005-0000-0000-0000CEA60000}"/>
    <cellStyle name="표준 5 4 3 4 10" xfId="19873" xr:uid="{00000000-0005-0000-0000-0000CFA60000}"/>
    <cellStyle name="표준 5 4 3 4 11" xfId="23969" xr:uid="{00000000-0005-0000-0000-0000D0A60000}"/>
    <cellStyle name="표준 5 4 3 4 12" xfId="32180" xr:uid="{00000000-0005-0000-0000-0000D1A60000}"/>
    <cellStyle name="표준 5 4 3 4 13" xfId="40373" xr:uid="{00000000-0005-0000-0000-0000D2A60000}"/>
    <cellStyle name="표준 5 4 3 4 2" xfId="760" xr:uid="{00000000-0005-0000-0000-0000D3A60000}"/>
    <cellStyle name="표준 5 4 3 4 2 10" xfId="24225" xr:uid="{00000000-0005-0000-0000-0000D4A60000}"/>
    <cellStyle name="표준 5 4 3 4 2 11" xfId="32436" xr:uid="{00000000-0005-0000-0000-0000D5A60000}"/>
    <cellStyle name="표준 5 4 3 4 2 12" xfId="40629" xr:uid="{00000000-0005-0000-0000-0000D6A60000}"/>
    <cellStyle name="표준 5 4 3 4 2 2" xfId="1272" xr:uid="{00000000-0005-0000-0000-0000D7A60000}"/>
    <cellStyle name="표준 5 4 3 4 2 2 2" xfId="10175" xr:uid="{00000000-0005-0000-0000-0000D8A60000}"/>
    <cellStyle name="표준 5 4 3 4 2 2 2 2" xfId="14287" xr:uid="{00000000-0005-0000-0000-0000D9A60000}"/>
    <cellStyle name="표준 5 4 3 4 2 2 2 2 2" xfId="30881" xr:uid="{00000000-0005-0000-0000-0000DAA60000}"/>
    <cellStyle name="표준 5 4 3 4 2 2 2 2 3" xfId="39092" xr:uid="{00000000-0005-0000-0000-0000DBA60000}"/>
    <cellStyle name="표준 5 4 3 4 2 2 2 2 4" xfId="47285" xr:uid="{00000000-0005-0000-0000-0000DCA60000}"/>
    <cellStyle name="표준 5 4 3 4 2 2 2 3" xfId="18527" xr:uid="{00000000-0005-0000-0000-0000DDA60000}"/>
    <cellStyle name="표준 5 4 3 4 2 2 2 4" xfId="22689" xr:uid="{00000000-0005-0000-0000-0000DEA60000}"/>
    <cellStyle name="표준 5 4 3 4 2 2 2 5" xfId="26785" xr:uid="{00000000-0005-0000-0000-0000DFA60000}"/>
    <cellStyle name="표준 5 4 3 4 2 2 2 6" xfId="34996" xr:uid="{00000000-0005-0000-0000-0000E0A60000}"/>
    <cellStyle name="표준 5 4 3 4 2 2 2 7" xfId="43189" xr:uid="{00000000-0005-0000-0000-0000E1A60000}"/>
    <cellStyle name="표준 5 4 3 4 2 2 3" xfId="8127" xr:uid="{00000000-0005-0000-0000-0000E2A60000}"/>
    <cellStyle name="표준 5 4 3 4 2 2 3 2" xfId="28833" xr:uid="{00000000-0005-0000-0000-0000E3A60000}"/>
    <cellStyle name="표준 5 4 3 4 2 2 3 3" xfId="37044" xr:uid="{00000000-0005-0000-0000-0000E4A60000}"/>
    <cellStyle name="표준 5 4 3 4 2 2 3 4" xfId="45237" xr:uid="{00000000-0005-0000-0000-0000E5A60000}"/>
    <cellStyle name="표준 5 4 3 4 2 2 4" xfId="12239" xr:uid="{00000000-0005-0000-0000-0000E6A60000}"/>
    <cellStyle name="표준 5 4 3 4 2 2 5" xfId="16479" xr:uid="{00000000-0005-0000-0000-0000E7A60000}"/>
    <cellStyle name="표준 5 4 3 4 2 2 6" xfId="20641" xr:uid="{00000000-0005-0000-0000-0000E8A60000}"/>
    <cellStyle name="표준 5 4 3 4 2 2 7" xfId="24737" xr:uid="{00000000-0005-0000-0000-0000E9A60000}"/>
    <cellStyle name="표준 5 4 3 4 2 2 8" xfId="32948" xr:uid="{00000000-0005-0000-0000-0000EAA60000}"/>
    <cellStyle name="표준 5 4 3 4 2 2 9" xfId="41141" xr:uid="{00000000-0005-0000-0000-0000EBA60000}"/>
    <cellStyle name="표준 5 4 3 4 2 3" xfId="1784" xr:uid="{00000000-0005-0000-0000-0000ECA60000}"/>
    <cellStyle name="표준 5 4 3 4 2 3 2" xfId="10687" xr:uid="{00000000-0005-0000-0000-0000EDA60000}"/>
    <cellStyle name="표준 5 4 3 4 2 3 2 2" xfId="14799" xr:uid="{00000000-0005-0000-0000-0000EEA60000}"/>
    <cellStyle name="표준 5 4 3 4 2 3 2 2 2" xfId="31393" xr:uid="{00000000-0005-0000-0000-0000EFA60000}"/>
    <cellStyle name="표준 5 4 3 4 2 3 2 2 3" xfId="39604" xr:uid="{00000000-0005-0000-0000-0000F0A60000}"/>
    <cellStyle name="표준 5 4 3 4 2 3 2 2 4" xfId="47797" xr:uid="{00000000-0005-0000-0000-0000F1A60000}"/>
    <cellStyle name="표준 5 4 3 4 2 3 2 3" xfId="19039" xr:uid="{00000000-0005-0000-0000-0000F2A60000}"/>
    <cellStyle name="표준 5 4 3 4 2 3 2 4" xfId="23201" xr:uid="{00000000-0005-0000-0000-0000F3A60000}"/>
    <cellStyle name="표준 5 4 3 4 2 3 2 5" xfId="27297" xr:uid="{00000000-0005-0000-0000-0000F4A60000}"/>
    <cellStyle name="표준 5 4 3 4 2 3 2 6" xfId="35508" xr:uid="{00000000-0005-0000-0000-0000F5A60000}"/>
    <cellStyle name="표준 5 4 3 4 2 3 2 7" xfId="43701" xr:uid="{00000000-0005-0000-0000-0000F6A60000}"/>
    <cellStyle name="표준 5 4 3 4 2 3 3" xfId="8639" xr:uid="{00000000-0005-0000-0000-0000F7A60000}"/>
    <cellStyle name="표준 5 4 3 4 2 3 3 2" xfId="29345" xr:uid="{00000000-0005-0000-0000-0000F8A60000}"/>
    <cellStyle name="표준 5 4 3 4 2 3 3 3" xfId="37556" xr:uid="{00000000-0005-0000-0000-0000F9A60000}"/>
    <cellStyle name="표준 5 4 3 4 2 3 3 4" xfId="45749" xr:uid="{00000000-0005-0000-0000-0000FAA60000}"/>
    <cellStyle name="표준 5 4 3 4 2 3 4" xfId="12751" xr:uid="{00000000-0005-0000-0000-0000FBA60000}"/>
    <cellStyle name="표준 5 4 3 4 2 3 5" xfId="16991" xr:uid="{00000000-0005-0000-0000-0000FCA60000}"/>
    <cellStyle name="표준 5 4 3 4 2 3 6" xfId="21153" xr:uid="{00000000-0005-0000-0000-0000FDA60000}"/>
    <cellStyle name="표준 5 4 3 4 2 3 7" xfId="25249" xr:uid="{00000000-0005-0000-0000-0000FEA60000}"/>
    <cellStyle name="표준 5 4 3 4 2 3 8" xfId="33460" xr:uid="{00000000-0005-0000-0000-0000FFA60000}"/>
    <cellStyle name="표준 5 4 3 4 2 3 9" xfId="41653" xr:uid="{00000000-0005-0000-0000-000000A70000}"/>
    <cellStyle name="표준 5 4 3 4 2 4" xfId="2296" xr:uid="{00000000-0005-0000-0000-000001A70000}"/>
    <cellStyle name="표준 5 4 3 4 2 4 2" xfId="11199" xr:uid="{00000000-0005-0000-0000-000002A70000}"/>
    <cellStyle name="표준 5 4 3 4 2 4 2 2" xfId="15311" xr:uid="{00000000-0005-0000-0000-000003A70000}"/>
    <cellStyle name="표준 5 4 3 4 2 4 2 2 2" xfId="31905" xr:uid="{00000000-0005-0000-0000-000004A70000}"/>
    <cellStyle name="표준 5 4 3 4 2 4 2 2 3" xfId="40116" xr:uid="{00000000-0005-0000-0000-000005A70000}"/>
    <cellStyle name="표준 5 4 3 4 2 4 2 2 4" xfId="48309" xr:uid="{00000000-0005-0000-0000-000006A70000}"/>
    <cellStyle name="표준 5 4 3 4 2 4 2 3" xfId="19551" xr:uid="{00000000-0005-0000-0000-000007A70000}"/>
    <cellStyle name="표준 5 4 3 4 2 4 2 4" xfId="23713" xr:uid="{00000000-0005-0000-0000-000008A70000}"/>
    <cellStyle name="표준 5 4 3 4 2 4 2 5" xfId="27809" xr:uid="{00000000-0005-0000-0000-000009A70000}"/>
    <cellStyle name="표준 5 4 3 4 2 4 2 6" xfId="36020" xr:uid="{00000000-0005-0000-0000-00000AA70000}"/>
    <cellStyle name="표준 5 4 3 4 2 4 2 7" xfId="44213" xr:uid="{00000000-0005-0000-0000-00000BA70000}"/>
    <cellStyle name="표준 5 4 3 4 2 4 3" xfId="9151" xr:uid="{00000000-0005-0000-0000-00000CA70000}"/>
    <cellStyle name="표준 5 4 3 4 2 4 3 2" xfId="29857" xr:uid="{00000000-0005-0000-0000-00000DA70000}"/>
    <cellStyle name="표준 5 4 3 4 2 4 3 3" xfId="38068" xr:uid="{00000000-0005-0000-0000-00000EA70000}"/>
    <cellStyle name="표준 5 4 3 4 2 4 3 4" xfId="46261" xr:uid="{00000000-0005-0000-0000-00000FA70000}"/>
    <cellStyle name="표준 5 4 3 4 2 4 4" xfId="13263" xr:uid="{00000000-0005-0000-0000-000010A70000}"/>
    <cellStyle name="표준 5 4 3 4 2 4 5" xfId="17503" xr:uid="{00000000-0005-0000-0000-000011A70000}"/>
    <cellStyle name="표준 5 4 3 4 2 4 6" xfId="21665" xr:uid="{00000000-0005-0000-0000-000012A70000}"/>
    <cellStyle name="표준 5 4 3 4 2 4 7" xfId="25761" xr:uid="{00000000-0005-0000-0000-000013A70000}"/>
    <cellStyle name="표준 5 4 3 4 2 4 8" xfId="33972" xr:uid="{00000000-0005-0000-0000-000014A70000}"/>
    <cellStyle name="표준 5 4 3 4 2 4 9" xfId="42165" xr:uid="{00000000-0005-0000-0000-000015A70000}"/>
    <cellStyle name="표준 5 4 3 4 2 5" xfId="9663" xr:uid="{00000000-0005-0000-0000-000016A70000}"/>
    <cellStyle name="표준 5 4 3 4 2 5 2" xfId="13775" xr:uid="{00000000-0005-0000-0000-000017A70000}"/>
    <cellStyle name="표준 5 4 3 4 2 5 2 2" xfId="30369" xr:uid="{00000000-0005-0000-0000-000018A70000}"/>
    <cellStyle name="표준 5 4 3 4 2 5 2 3" xfId="38580" xr:uid="{00000000-0005-0000-0000-000019A70000}"/>
    <cellStyle name="표준 5 4 3 4 2 5 2 4" xfId="46773" xr:uid="{00000000-0005-0000-0000-00001AA70000}"/>
    <cellStyle name="표준 5 4 3 4 2 5 3" xfId="18015" xr:uid="{00000000-0005-0000-0000-00001BA70000}"/>
    <cellStyle name="표준 5 4 3 4 2 5 4" xfId="22177" xr:uid="{00000000-0005-0000-0000-00001CA70000}"/>
    <cellStyle name="표준 5 4 3 4 2 5 5" xfId="26273" xr:uid="{00000000-0005-0000-0000-00001DA70000}"/>
    <cellStyle name="표준 5 4 3 4 2 5 6" xfId="34484" xr:uid="{00000000-0005-0000-0000-00001EA70000}"/>
    <cellStyle name="표준 5 4 3 4 2 5 7" xfId="42677" xr:uid="{00000000-0005-0000-0000-00001FA70000}"/>
    <cellStyle name="표준 5 4 3 4 2 6" xfId="7615" xr:uid="{00000000-0005-0000-0000-000020A70000}"/>
    <cellStyle name="표준 5 4 3 4 2 6 2" xfId="28321" xr:uid="{00000000-0005-0000-0000-000021A70000}"/>
    <cellStyle name="표준 5 4 3 4 2 6 3" xfId="36532" xr:uid="{00000000-0005-0000-0000-000022A70000}"/>
    <cellStyle name="표준 5 4 3 4 2 6 4" xfId="44725" xr:uid="{00000000-0005-0000-0000-000023A70000}"/>
    <cellStyle name="표준 5 4 3 4 2 7" xfId="11727" xr:uid="{00000000-0005-0000-0000-000024A70000}"/>
    <cellStyle name="표준 5 4 3 4 2 8" xfId="15967" xr:uid="{00000000-0005-0000-0000-000025A70000}"/>
    <cellStyle name="표준 5 4 3 4 2 9" xfId="20129" xr:uid="{00000000-0005-0000-0000-000026A70000}"/>
    <cellStyle name="표준 5 4 3 4 3" xfId="1016" xr:uid="{00000000-0005-0000-0000-000027A70000}"/>
    <cellStyle name="표준 5 4 3 4 3 2" xfId="9919" xr:uid="{00000000-0005-0000-0000-000028A70000}"/>
    <cellStyle name="표준 5 4 3 4 3 2 2" xfId="14031" xr:uid="{00000000-0005-0000-0000-000029A70000}"/>
    <cellStyle name="표준 5 4 3 4 3 2 2 2" xfId="30625" xr:uid="{00000000-0005-0000-0000-00002AA70000}"/>
    <cellStyle name="표준 5 4 3 4 3 2 2 3" xfId="38836" xr:uid="{00000000-0005-0000-0000-00002BA70000}"/>
    <cellStyle name="표준 5 4 3 4 3 2 2 4" xfId="47029" xr:uid="{00000000-0005-0000-0000-00002CA70000}"/>
    <cellStyle name="표준 5 4 3 4 3 2 3" xfId="18271" xr:uid="{00000000-0005-0000-0000-00002DA70000}"/>
    <cellStyle name="표준 5 4 3 4 3 2 4" xfId="22433" xr:uid="{00000000-0005-0000-0000-00002EA70000}"/>
    <cellStyle name="표준 5 4 3 4 3 2 5" xfId="26529" xr:uid="{00000000-0005-0000-0000-00002FA70000}"/>
    <cellStyle name="표준 5 4 3 4 3 2 6" xfId="34740" xr:uid="{00000000-0005-0000-0000-000030A70000}"/>
    <cellStyle name="표준 5 4 3 4 3 2 7" xfId="42933" xr:uid="{00000000-0005-0000-0000-000031A70000}"/>
    <cellStyle name="표준 5 4 3 4 3 3" xfId="7871" xr:uid="{00000000-0005-0000-0000-000032A70000}"/>
    <cellStyle name="표준 5 4 3 4 3 3 2" xfId="28577" xr:uid="{00000000-0005-0000-0000-000033A70000}"/>
    <cellStyle name="표준 5 4 3 4 3 3 3" xfId="36788" xr:uid="{00000000-0005-0000-0000-000034A70000}"/>
    <cellStyle name="표준 5 4 3 4 3 3 4" xfId="44981" xr:uid="{00000000-0005-0000-0000-000035A70000}"/>
    <cellStyle name="표준 5 4 3 4 3 4" xfId="11983" xr:uid="{00000000-0005-0000-0000-000036A70000}"/>
    <cellStyle name="표준 5 4 3 4 3 5" xfId="16223" xr:uid="{00000000-0005-0000-0000-000037A70000}"/>
    <cellStyle name="표준 5 4 3 4 3 6" xfId="20385" xr:uid="{00000000-0005-0000-0000-000038A70000}"/>
    <cellStyle name="표준 5 4 3 4 3 7" xfId="24481" xr:uid="{00000000-0005-0000-0000-000039A70000}"/>
    <cellStyle name="표준 5 4 3 4 3 8" xfId="32692" xr:uid="{00000000-0005-0000-0000-00003AA70000}"/>
    <cellStyle name="표준 5 4 3 4 3 9" xfId="40885" xr:uid="{00000000-0005-0000-0000-00003BA70000}"/>
    <cellStyle name="표준 5 4 3 4 4" xfId="1528" xr:uid="{00000000-0005-0000-0000-00003CA70000}"/>
    <cellStyle name="표준 5 4 3 4 4 2" xfId="10431" xr:uid="{00000000-0005-0000-0000-00003DA70000}"/>
    <cellStyle name="표준 5 4 3 4 4 2 2" xfId="14543" xr:uid="{00000000-0005-0000-0000-00003EA70000}"/>
    <cellStyle name="표준 5 4 3 4 4 2 2 2" xfId="31137" xr:uid="{00000000-0005-0000-0000-00003FA70000}"/>
    <cellStyle name="표준 5 4 3 4 4 2 2 3" xfId="39348" xr:uid="{00000000-0005-0000-0000-000040A70000}"/>
    <cellStyle name="표준 5 4 3 4 4 2 2 4" xfId="47541" xr:uid="{00000000-0005-0000-0000-000041A70000}"/>
    <cellStyle name="표준 5 4 3 4 4 2 3" xfId="18783" xr:uid="{00000000-0005-0000-0000-000042A70000}"/>
    <cellStyle name="표준 5 4 3 4 4 2 4" xfId="22945" xr:uid="{00000000-0005-0000-0000-000043A70000}"/>
    <cellStyle name="표준 5 4 3 4 4 2 5" xfId="27041" xr:uid="{00000000-0005-0000-0000-000044A70000}"/>
    <cellStyle name="표준 5 4 3 4 4 2 6" xfId="35252" xr:uid="{00000000-0005-0000-0000-000045A70000}"/>
    <cellStyle name="표준 5 4 3 4 4 2 7" xfId="43445" xr:uid="{00000000-0005-0000-0000-000046A70000}"/>
    <cellStyle name="표준 5 4 3 4 4 3" xfId="8383" xr:uid="{00000000-0005-0000-0000-000047A70000}"/>
    <cellStyle name="표준 5 4 3 4 4 3 2" xfId="29089" xr:uid="{00000000-0005-0000-0000-000048A70000}"/>
    <cellStyle name="표준 5 4 3 4 4 3 3" xfId="37300" xr:uid="{00000000-0005-0000-0000-000049A70000}"/>
    <cellStyle name="표준 5 4 3 4 4 3 4" xfId="45493" xr:uid="{00000000-0005-0000-0000-00004AA70000}"/>
    <cellStyle name="표준 5 4 3 4 4 4" xfId="12495" xr:uid="{00000000-0005-0000-0000-00004BA70000}"/>
    <cellStyle name="표준 5 4 3 4 4 5" xfId="16735" xr:uid="{00000000-0005-0000-0000-00004CA70000}"/>
    <cellStyle name="표준 5 4 3 4 4 6" xfId="20897" xr:uid="{00000000-0005-0000-0000-00004DA70000}"/>
    <cellStyle name="표준 5 4 3 4 4 7" xfId="24993" xr:uid="{00000000-0005-0000-0000-00004EA70000}"/>
    <cellStyle name="표준 5 4 3 4 4 8" xfId="33204" xr:uid="{00000000-0005-0000-0000-00004FA70000}"/>
    <cellStyle name="표준 5 4 3 4 4 9" xfId="41397" xr:uid="{00000000-0005-0000-0000-000050A70000}"/>
    <cellStyle name="표준 5 4 3 4 5" xfId="2040" xr:uid="{00000000-0005-0000-0000-000051A70000}"/>
    <cellStyle name="표준 5 4 3 4 5 2" xfId="10943" xr:uid="{00000000-0005-0000-0000-000052A70000}"/>
    <cellStyle name="표준 5 4 3 4 5 2 2" xfId="15055" xr:uid="{00000000-0005-0000-0000-000053A70000}"/>
    <cellStyle name="표준 5 4 3 4 5 2 2 2" xfId="31649" xr:uid="{00000000-0005-0000-0000-000054A70000}"/>
    <cellStyle name="표준 5 4 3 4 5 2 2 3" xfId="39860" xr:uid="{00000000-0005-0000-0000-000055A70000}"/>
    <cellStyle name="표준 5 4 3 4 5 2 2 4" xfId="48053" xr:uid="{00000000-0005-0000-0000-000056A70000}"/>
    <cellStyle name="표준 5 4 3 4 5 2 3" xfId="19295" xr:uid="{00000000-0005-0000-0000-000057A70000}"/>
    <cellStyle name="표준 5 4 3 4 5 2 4" xfId="23457" xr:uid="{00000000-0005-0000-0000-000058A70000}"/>
    <cellStyle name="표준 5 4 3 4 5 2 5" xfId="27553" xr:uid="{00000000-0005-0000-0000-000059A70000}"/>
    <cellStyle name="표준 5 4 3 4 5 2 6" xfId="35764" xr:uid="{00000000-0005-0000-0000-00005AA70000}"/>
    <cellStyle name="표준 5 4 3 4 5 2 7" xfId="43957" xr:uid="{00000000-0005-0000-0000-00005BA70000}"/>
    <cellStyle name="표준 5 4 3 4 5 3" xfId="8895" xr:uid="{00000000-0005-0000-0000-00005CA70000}"/>
    <cellStyle name="표준 5 4 3 4 5 3 2" xfId="29601" xr:uid="{00000000-0005-0000-0000-00005DA70000}"/>
    <cellStyle name="표준 5 4 3 4 5 3 3" xfId="37812" xr:uid="{00000000-0005-0000-0000-00005EA70000}"/>
    <cellStyle name="표준 5 4 3 4 5 3 4" xfId="46005" xr:uid="{00000000-0005-0000-0000-00005FA70000}"/>
    <cellStyle name="표준 5 4 3 4 5 4" xfId="13007" xr:uid="{00000000-0005-0000-0000-000060A70000}"/>
    <cellStyle name="표준 5 4 3 4 5 5" xfId="17247" xr:uid="{00000000-0005-0000-0000-000061A70000}"/>
    <cellStyle name="표준 5 4 3 4 5 6" xfId="21409" xr:uid="{00000000-0005-0000-0000-000062A70000}"/>
    <cellStyle name="표준 5 4 3 4 5 7" xfId="25505" xr:uid="{00000000-0005-0000-0000-000063A70000}"/>
    <cellStyle name="표준 5 4 3 4 5 8" xfId="33716" xr:uid="{00000000-0005-0000-0000-000064A70000}"/>
    <cellStyle name="표준 5 4 3 4 5 9" xfId="41909" xr:uid="{00000000-0005-0000-0000-000065A70000}"/>
    <cellStyle name="표준 5 4 3 4 6" xfId="9407" xr:uid="{00000000-0005-0000-0000-000066A70000}"/>
    <cellStyle name="표준 5 4 3 4 6 2" xfId="13519" xr:uid="{00000000-0005-0000-0000-000067A70000}"/>
    <cellStyle name="표준 5 4 3 4 6 2 2" xfId="30113" xr:uid="{00000000-0005-0000-0000-000068A70000}"/>
    <cellStyle name="표준 5 4 3 4 6 2 3" xfId="38324" xr:uid="{00000000-0005-0000-0000-000069A70000}"/>
    <cellStyle name="표준 5 4 3 4 6 2 4" xfId="46517" xr:uid="{00000000-0005-0000-0000-00006AA70000}"/>
    <cellStyle name="표준 5 4 3 4 6 3" xfId="17759" xr:uid="{00000000-0005-0000-0000-00006BA70000}"/>
    <cellStyle name="표준 5 4 3 4 6 4" xfId="21921" xr:uid="{00000000-0005-0000-0000-00006CA70000}"/>
    <cellStyle name="표준 5 4 3 4 6 5" xfId="26017" xr:uid="{00000000-0005-0000-0000-00006DA70000}"/>
    <cellStyle name="표준 5 4 3 4 6 6" xfId="34228" xr:uid="{00000000-0005-0000-0000-00006EA70000}"/>
    <cellStyle name="표준 5 4 3 4 6 7" xfId="42421" xr:uid="{00000000-0005-0000-0000-00006FA70000}"/>
    <cellStyle name="표준 5 4 3 4 7" xfId="7359" xr:uid="{00000000-0005-0000-0000-000070A70000}"/>
    <cellStyle name="표준 5 4 3 4 7 2" xfId="28065" xr:uid="{00000000-0005-0000-0000-000071A70000}"/>
    <cellStyle name="표준 5 4 3 4 7 3" xfId="36276" xr:uid="{00000000-0005-0000-0000-000072A70000}"/>
    <cellStyle name="표준 5 4 3 4 7 4" xfId="44469" xr:uid="{00000000-0005-0000-0000-000073A70000}"/>
    <cellStyle name="표준 5 4 3 4 8" xfId="11471" xr:uid="{00000000-0005-0000-0000-000074A70000}"/>
    <cellStyle name="표준 5 4 3 4 9" xfId="15711" xr:uid="{00000000-0005-0000-0000-000075A70000}"/>
    <cellStyle name="표준 5 4 3 5" xfId="632" xr:uid="{00000000-0005-0000-0000-000076A70000}"/>
    <cellStyle name="표준 5 4 3 5 10" xfId="24097" xr:uid="{00000000-0005-0000-0000-000077A70000}"/>
    <cellStyle name="표준 5 4 3 5 11" xfId="32308" xr:uid="{00000000-0005-0000-0000-000078A70000}"/>
    <cellStyle name="표준 5 4 3 5 12" xfId="40501" xr:uid="{00000000-0005-0000-0000-000079A70000}"/>
    <cellStyle name="표준 5 4 3 5 2" xfId="1144" xr:uid="{00000000-0005-0000-0000-00007AA70000}"/>
    <cellStyle name="표준 5 4 3 5 2 2" xfId="10047" xr:uid="{00000000-0005-0000-0000-00007BA70000}"/>
    <cellStyle name="표준 5 4 3 5 2 2 2" xfId="14159" xr:uid="{00000000-0005-0000-0000-00007CA70000}"/>
    <cellStyle name="표준 5 4 3 5 2 2 2 2" xfId="30753" xr:uid="{00000000-0005-0000-0000-00007DA70000}"/>
    <cellStyle name="표준 5 4 3 5 2 2 2 3" xfId="38964" xr:uid="{00000000-0005-0000-0000-00007EA70000}"/>
    <cellStyle name="표준 5 4 3 5 2 2 2 4" xfId="47157" xr:uid="{00000000-0005-0000-0000-00007FA70000}"/>
    <cellStyle name="표준 5 4 3 5 2 2 3" xfId="18399" xr:uid="{00000000-0005-0000-0000-000080A70000}"/>
    <cellStyle name="표준 5 4 3 5 2 2 4" xfId="22561" xr:uid="{00000000-0005-0000-0000-000081A70000}"/>
    <cellStyle name="표준 5 4 3 5 2 2 5" xfId="26657" xr:uid="{00000000-0005-0000-0000-000082A70000}"/>
    <cellStyle name="표준 5 4 3 5 2 2 6" xfId="34868" xr:uid="{00000000-0005-0000-0000-000083A70000}"/>
    <cellStyle name="표준 5 4 3 5 2 2 7" xfId="43061" xr:uid="{00000000-0005-0000-0000-000084A70000}"/>
    <cellStyle name="표준 5 4 3 5 2 3" xfId="7999" xr:uid="{00000000-0005-0000-0000-000085A70000}"/>
    <cellStyle name="표준 5 4 3 5 2 3 2" xfId="28705" xr:uid="{00000000-0005-0000-0000-000086A70000}"/>
    <cellStyle name="표준 5 4 3 5 2 3 3" xfId="36916" xr:uid="{00000000-0005-0000-0000-000087A70000}"/>
    <cellStyle name="표준 5 4 3 5 2 3 4" xfId="45109" xr:uid="{00000000-0005-0000-0000-000088A70000}"/>
    <cellStyle name="표준 5 4 3 5 2 4" xfId="12111" xr:uid="{00000000-0005-0000-0000-000089A70000}"/>
    <cellStyle name="표준 5 4 3 5 2 5" xfId="16351" xr:uid="{00000000-0005-0000-0000-00008AA70000}"/>
    <cellStyle name="표준 5 4 3 5 2 6" xfId="20513" xr:uid="{00000000-0005-0000-0000-00008BA70000}"/>
    <cellStyle name="표준 5 4 3 5 2 7" xfId="24609" xr:uid="{00000000-0005-0000-0000-00008CA70000}"/>
    <cellStyle name="표준 5 4 3 5 2 8" xfId="32820" xr:uid="{00000000-0005-0000-0000-00008DA70000}"/>
    <cellStyle name="표준 5 4 3 5 2 9" xfId="41013" xr:uid="{00000000-0005-0000-0000-00008EA70000}"/>
    <cellStyle name="표준 5 4 3 5 3" xfId="1656" xr:uid="{00000000-0005-0000-0000-00008FA70000}"/>
    <cellStyle name="표준 5 4 3 5 3 2" xfId="10559" xr:uid="{00000000-0005-0000-0000-000090A70000}"/>
    <cellStyle name="표준 5 4 3 5 3 2 2" xfId="14671" xr:uid="{00000000-0005-0000-0000-000091A70000}"/>
    <cellStyle name="표준 5 4 3 5 3 2 2 2" xfId="31265" xr:uid="{00000000-0005-0000-0000-000092A70000}"/>
    <cellStyle name="표준 5 4 3 5 3 2 2 3" xfId="39476" xr:uid="{00000000-0005-0000-0000-000093A70000}"/>
    <cellStyle name="표준 5 4 3 5 3 2 2 4" xfId="47669" xr:uid="{00000000-0005-0000-0000-000094A70000}"/>
    <cellStyle name="표준 5 4 3 5 3 2 3" xfId="18911" xr:uid="{00000000-0005-0000-0000-000095A70000}"/>
    <cellStyle name="표준 5 4 3 5 3 2 4" xfId="23073" xr:uid="{00000000-0005-0000-0000-000096A70000}"/>
    <cellStyle name="표준 5 4 3 5 3 2 5" xfId="27169" xr:uid="{00000000-0005-0000-0000-000097A70000}"/>
    <cellStyle name="표준 5 4 3 5 3 2 6" xfId="35380" xr:uid="{00000000-0005-0000-0000-000098A70000}"/>
    <cellStyle name="표준 5 4 3 5 3 2 7" xfId="43573" xr:uid="{00000000-0005-0000-0000-000099A70000}"/>
    <cellStyle name="표준 5 4 3 5 3 3" xfId="8511" xr:uid="{00000000-0005-0000-0000-00009AA70000}"/>
    <cellStyle name="표준 5 4 3 5 3 3 2" xfId="29217" xr:uid="{00000000-0005-0000-0000-00009BA70000}"/>
    <cellStyle name="표준 5 4 3 5 3 3 3" xfId="37428" xr:uid="{00000000-0005-0000-0000-00009CA70000}"/>
    <cellStyle name="표준 5 4 3 5 3 3 4" xfId="45621" xr:uid="{00000000-0005-0000-0000-00009DA70000}"/>
    <cellStyle name="표준 5 4 3 5 3 4" xfId="12623" xr:uid="{00000000-0005-0000-0000-00009EA70000}"/>
    <cellStyle name="표준 5 4 3 5 3 5" xfId="16863" xr:uid="{00000000-0005-0000-0000-00009FA70000}"/>
    <cellStyle name="표준 5 4 3 5 3 6" xfId="21025" xr:uid="{00000000-0005-0000-0000-0000A0A70000}"/>
    <cellStyle name="표준 5 4 3 5 3 7" xfId="25121" xr:uid="{00000000-0005-0000-0000-0000A1A70000}"/>
    <cellStyle name="표준 5 4 3 5 3 8" xfId="33332" xr:uid="{00000000-0005-0000-0000-0000A2A70000}"/>
    <cellStyle name="표준 5 4 3 5 3 9" xfId="41525" xr:uid="{00000000-0005-0000-0000-0000A3A70000}"/>
    <cellStyle name="표준 5 4 3 5 4" xfId="2168" xr:uid="{00000000-0005-0000-0000-0000A4A70000}"/>
    <cellStyle name="표준 5 4 3 5 4 2" xfId="11071" xr:uid="{00000000-0005-0000-0000-0000A5A70000}"/>
    <cellStyle name="표준 5 4 3 5 4 2 2" xfId="15183" xr:uid="{00000000-0005-0000-0000-0000A6A70000}"/>
    <cellStyle name="표준 5 4 3 5 4 2 2 2" xfId="31777" xr:uid="{00000000-0005-0000-0000-0000A7A70000}"/>
    <cellStyle name="표준 5 4 3 5 4 2 2 3" xfId="39988" xr:uid="{00000000-0005-0000-0000-0000A8A70000}"/>
    <cellStyle name="표준 5 4 3 5 4 2 2 4" xfId="48181" xr:uid="{00000000-0005-0000-0000-0000A9A70000}"/>
    <cellStyle name="표준 5 4 3 5 4 2 3" xfId="19423" xr:uid="{00000000-0005-0000-0000-0000AAA70000}"/>
    <cellStyle name="표준 5 4 3 5 4 2 4" xfId="23585" xr:uid="{00000000-0005-0000-0000-0000ABA70000}"/>
    <cellStyle name="표준 5 4 3 5 4 2 5" xfId="27681" xr:uid="{00000000-0005-0000-0000-0000ACA70000}"/>
    <cellStyle name="표준 5 4 3 5 4 2 6" xfId="35892" xr:uid="{00000000-0005-0000-0000-0000ADA70000}"/>
    <cellStyle name="표준 5 4 3 5 4 2 7" xfId="44085" xr:uid="{00000000-0005-0000-0000-0000AEA70000}"/>
    <cellStyle name="표준 5 4 3 5 4 3" xfId="9023" xr:uid="{00000000-0005-0000-0000-0000AFA70000}"/>
    <cellStyle name="표준 5 4 3 5 4 3 2" xfId="29729" xr:uid="{00000000-0005-0000-0000-0000B0A70000}"/>
    <cellStyle name="표준 5 4 3 5 4 3 3" xfId="37940" xr:uid="{00000000-0005-0000-0000-0000B1A70000}"/>
    <cellStyle name="표준 5 4 3 5 4 3 4" xfId="46133" xr:uid="{00000000-0005-0000-0000-0000B2A70000}"/>
    <cellStyle name="표준 5 4 3 5 4 4" xfId="13135" xr:uid="{00000000-0005-0000-0000-0000B3A70000}"/>
    <cellStyle name="표준 5 4 3 5 4 5" xfId="17375" xr:uid="{00000000-0005-0000-0000-0000B4A70000}"/>
    <cellStyle name="표준 5 4 3 5 4 6" xfId="21537" xr:uid="{00000000-0005-0000-0000-0000B5A70000}"/>
    <cellStyle name="표준 5 4 3 5 4 7" xfId="25633" xr:uid="{00000000-0005-0000-0000-0000B6A70000}"/>
    <cellStyle name="표준 5 4 3 5 4 8" xfId="33844" xr:uid="{00000000-0005-0000-0000-0000B7A70000}"/>
    <cellStyle name="표준 5 4 3 5 4 9" xfId="42037" xr:uid="{00000000-0005-0000-0000-0000B8A70000}"/>
    <cellStyle name="표준 5 4 3 5 5" xfId="9535" xr:uid="{00000000-0005-0000-0000-0000B9A70000}"/>
    <cellStyle name="표준 5 4 3 5 5 2" xfId="13647" xr:uid="{00000000-0005-0000-0000-0000BAA70000}"/>
    <cellStyle name="표준 5 4 3 5 5 2 2" xfId="30241" xr:uid="{00000000-0005-0000-0000-0000BBA70000}"/>
    <cellStyle name="표준 5 4 3 5 5 2 3" xfId="38452" xr:uid="{00000000-0005-0000-0000-0000BCA70000}"/>
    <cellStyle name="표준 5 4 3 5 5 2 4" xfId="46645" xr:uid="{00000000-0005-0000-0000-0000BDA70000}"/>
    <cellStyle name="표준 5 4 3 5 5 3" xfId="17887" xr:uid="{00000000-0005-0000-0000-0000BEA70000}"/>
    <cellStyle name="표준 5 4 3 5 5 4" xfId="22049" xr:uid="{00000000-0005-0000-0000-0000BFA70000}"/>
    <cellStyle name="표준 5 4 3 5 5 5" xfId="26145" xr:uid="{00000000-0005-0000-0000-0000C0A70000}"/>
    <cellStyle name="표준 5 4 3 5 5 6" xfId="34356" xr:uid="{00000000-0005-0000-0000-0000C1A70000}"/>
    <cellStyle name="표준 5 4 3 5 5 7" xfId="42549" xr:uid="{00000000-0005-0000-0000-0000C2A70000}"/>
    <cellStyle name="표준 5 4 3 5 6" xfId="7487" xr:uid="{00000000-0005-0000-0000-0000C3A70000}"/>
    <cellStyle name="표준 5 4 3 5 6 2" xfId="28193" xr:uid="{00000000-0005-0000-0000-0000C4A70000}"/>
    <cellStyle name="표준 5 4 3 5 6 3" xfId="36404" xr:uid="{00000000-0005-0000-0000-0000C5A70000}"/>
    <cellStyle name="표준 5 4 3 5 6 4" xfId="44597" xr:uid="{00000000-0005-0000-0000-0000C6A70000}"/>
    <cellStyle name="표준 5 4 3 5 7" xfId="11599" xr:uid="{00000000-0005-0000-0000-0000C7A70000}"/>
    <cellStyle name="표준 5 4 3 5 8" xfId="15839" xr:uid="{00000000-0005-0000-0000-0000C8A70000}"/>
    <cellStyle name="표준 5 4 3 5 9" xfId="20001" xr:uid="{00000000-0005-0000-0000-0000C9A70000}"/>
    <cellStyle name="표준 5 4 3 6" xfId="888" xr:uid="{00000000-0005-0000-0000-0000CAA70000}"/>
    <cellStyle name="표준 5 4 3 6 2" xfId="9791" xr:uid="{00000000-0005-0000-0000-0000CBA70000}"/>
    <cellStyle name="표준 5 4 3 6 2 2" xfId="13903" xr:uid="{00000000-0005-0000-0000-0000CCA70000}"/>
    <cellStyle name="표준 5 4 3 6 2 2 2" xfId="30497" xr:uid="{00000000-0005-0000-0000-0000CDA70000}"/>
    <cellStyle name="표준 5 4 3 6 2 2 3" xfId="38708" xr:uid="{00000000-0005-0000-0000-0000CEA70000}"/>
    <cellStyle name="표준 5 4 3 6 2 2 4" xfId="46901" xr:uid="{00000000-0005-0000-0000-0000CFA70000}"/>
    <cellStyle name="표준 5 4 3 6 2 3" xfId="18143" xr:uid="{00000000-0005-0000-0000-0000D0A70000}"/>
    <cellStyle name="표준 5 4 3 6 2 4" xfId="22305" xr:uid="{00000000-0005-0000-0000-0000D1A70000}"/>
    <cellStyle name="표준 5 4 3 6 2 5" xfId="26401" xr:uid="{00000000-0005-0000-0000-0000D2A70000}"/>
    <cellStyle name="표준 5 4 3 6 2 6" xfId="34612" xr:uid="{00000000-0005-0000-0000-0000D3A70000}"/>
    <cellStyle name="표준 5 4 3 6 2 7" xfId="42805" xr:uid="{00000000-0005-0000-0000-0000D4A70000}"/>
    <cellStyle name="표준 5 4 3 6 3" xfId="7743" xr:uid="{00000000-0005-0000-0000-0000D5A70000}"/>
    <cellStyle name="표준 5 4 3 6 3 2" xfId="28449" xr:uid="{00000000-0005-0000-0000-0000D6A70000}"/>
    <cellStyle name="표준 5 4 3 6 3 3" xfId="36660" xr:uid="{00000000-0005-0000-0000-0000D7A70000}"/>
    <cellStyle name="표준 5 4 3 6 3 4" xfId="44853" xr:uid="{00000000-0005-0000-0000-0000D8A70000}"/>
    <cellStyle name="표준 5 4 3 6 4" xfId="11855" xr:uid="{00000000-0005-0000-0000-0000D9A70000}"/>
    <cellStyle name="표준 5 4 3 6 5" xfId="16095" xr:uid="{00000000-0005-0000-0000-0000DAA70000}"/>
    <cellStyle name="표준 5 4 3 6 6" xfId="20257" xr:uid="{00000000-0005-0000-0000-0000DBA70000}"/>
    <cellStyle name="표준 5 4 3 6 7" xfId="24353" xr:uid="{00000000-0005-0000-0000-0000DCA70000}"/>
    <cellStyle name="표준 5 4 3 6 8" xfId="32564" xr:uid="{00000000-0005-0000-0000-0000DDA70000}"/>
    <cellStyle name="표준 5 4 3 6 9" xfId="40757" xr:uid="{00000000-0005-0000-0000-0000DEA70000}"/>
    <cellStyle name="표준 5 4 3 7" xfId="1400" xr:uid="{00000000-0005-0000-0000-0000DFA70000}"/>
    <cellStyle name="표준 5 4 3 7 2" xfId="10303" xr:uid="{00000000-0005-0000-0000-0000E0A70000}"/>
    <cellStyle name="표준 5 4 3 7 2 2" xfId="14415" xr:uid="{00000000-0005-0000-0000-0000E1A70000}"/>
    <cellStyle name="표준 5 4 3 7 2 2 2" xfId="31009" xr:uid="{00000000-0005-0000-0000-0000E2A70000}"/>
    <cellStyle name="표준 5 4 3 7 2 2 3" xfId="39220" xr:uid="{00000000-0005-0000-0000-0000E3A70000}"/>
    <cellStyle name="표준 5 4 3 7 2 2 4" xfId="47413" xr:uid="{00000000-0005-0000-0000-0000E4A70000}"/>
    <cellStyle name="표준 5 4 3 7 2 3" xfId="18655" xr:uid="{00000000-0005-0000-0000-0000E5A70000}"/>
    <cellStyle name="표준 5 4 3 7 2 4" xfId="22817" xr:uid="{00000000-0005-0000-0000-0000E6A70000}"/>
    <cellStyle name="표준 5 4 3 7 2 5" xfId="26913" xr:uid="{00000000-0005-0000-0000-0000E7A70000}"/>
    <cellStyle name="표준 5 4 3 7 2 6" xfId="35124" xr:uid="{00000000-0005-0000-0000-0000E8A70000}"/>
    <cellStyle name="표준 5 4 3 7 2 7" xfId="43317" xr:uid="{00000000-0005-0000-0000-0000E9A70000}"/>
    <cellStyle name="표준 5 4 3 7 3" xfId="8255" xr:uid="{00000000-0005-0000-0000-0000EAA70000}"/>
    <cellStyle name="표준 5 4 3 7 3 2" xfId="28961" xr:uid="{00000000-0005-0000-0000-0000EBA70000}"/>
    <cellStyle name="표준 5 4 3 7 3 3" xfId="37172" xr:uid="{00000000-0005-0000-0000-0000ECA70000}"/>
    <cellStyle name="표준 5 4 3 7 3 4" xfId="45365" xr:uid="{00000000-0005-0000-0000-0000EDA70000}"/>
    <cellStyle name="표준 5 4 3 7 4" xfId="12367" xr:uid="{00000000-0005-0000-0000-0000EEA70000}"/>
    <cellStyle name="표준 5 4 3 7 5" xfId="16607" xr:uid="{00000000-0005-0000-0000-0000EFA70000}"/>
    <cellStyle name="표준 5 4 3 7 6" xfId="20769" xr:uid="{00000000-0005-0000-0000-0000F0A70000}"/>
    <cellStyle name="표준 5 4 3 7 7" xfId="24865" xr:uid="{00000000-0005-0000-0000-0000F1A70000}"/>
    <cellStyle name="표준 5 4 3 7 8" xfId="33076" xr:uid="{00000000-0005-0000-0000-0000F2A70000}"/>
    <cellStyle name="표준 5 4 3 7 9" xfId="41269" xr:uid="{00000000-0005-0000-0000-0000F3A70000}"/>
    <cellStyle name="표준 5 4 3 8" xfId="1912" xr:uid="{00000000-0005-0000-0000-0000F4A70000}"/>
    <cellStyle name="표준 5 4 3 8 2" xfId="10815" xr:uid="{00000000-0005-0000-0000-0000F5A70000}"/>
    <cellStyle name="표준 5 4 3 8 2 2" xfId="14927" xr:uid="{00000000-0005-0000-0000-0000F6A70000}"/>
    <cellStyle name="표준 5 4 3 8 2 2 2" xfId="31521" xr:uid="{00000000-0005-0000-0000-0000F7A70000}"/>
    <cellStyle name="표준 5 4 3 8 2 2 3" xfId="39732" xr:uid="{00000000-0005-0000-0000-0000F8A70000}"/>
    <cellStyle name="표준 5 4 3 8 2 2 4" xfId="47925" xr:uid="{00000000-0005-0000-0000-0000F9A70000}"/>
    <cellStyle name="표준 5 4 3 8 2 3" xfId="19167" xr:uid="{00000000-0005-0000-0000-0000FAA70000}"/>
    <cellStyle name="표준 5 4 3 8 2 4" xfId="23329" xr:uid="{00000000-0005-0000-0000-0000FBA70000}"/>
    <cellStyle name="표준 5 4 3 8 2 5" xfId="27425" xr:uid="{00000000-0005-0000-0000-0000FCA70000}"/>
    <cellStyle name="표준 5 4 3 8 2 6" xfId="35636" xr:uid="{00000000-0005-0000-0000-0000FDA70000}"/>
    <cellStyle name="표준 5 4 3 8 2 7" xfId="43829" xr:uid="{00000000-0005-0000-0000-0000FEA70000}"/>
    <cellStyle name="표준 5 4 3 8 3" xfId="8767" xr:uid="{00000000-0005-0000-0000-0000FFA70000}"/>
    <cellStyle name="표준 5 4 3 8 3 2" xfId="29473" xr:uid="{00000000-0005-0000-0000-000000A80000}"/>
    <cellStyle name="표준 5 4 3 8 3 3" xfId="37684" xr:uid="{00000000-0005-0000-0000-000001A80000}"/>
    <cellStyle name="표준 5 4 3 8 3 4" xfId="45877" xr:uid="{00000000-0005-0000-0000-000002A80000}"/>
    <cellStyle name="표준 5 4 3 8 4" xfId="12879" xr:uid="{00000000-0005-0000-0000-000003A80000}"/>
    <cellStyle name="표준 5 4 3 8 5" xfId="17119" xr:uid="{00000000-0005-0000-0000-000004A80000}"/>
    <cellStyle name="표준 5 4 3 8 6" xfId="21281" xr:uid="{00000000-0005-0000-0000-000005A80000}"/>
    <cellStyle name="표준 5 4 3 8 7" xfId="25377" xr:uid="{00000000-0005-0000-0000-000006A80000}"/>
    <cellStyle name="표준 5 4 3 8 8" xfId="33588" xr:uid="{00000000-0005-0000-0000-000007A80000}"/>
    <cellStyle name="표준 5 4 3 8 9" xfId="41781" xr:uid="{00000000-0005-0000-0000-000008A80000}"/>
    <cellStyle name="표준 5 4 3 9" xfId="6968" xr:uid="{00000000-0005-0000-0000-000009A80000}"/>
    <cellStyle name="표준 5 4 3 9 2" xfId="9279" xr:uid="{00000000-0005-0000-0000-00000AA80000}"/>
    <cellStyle name="표준 5 4 3 9 2 2" xfId="29985" xr:uid="{00000000-0005-0000-0000-00000BA80000}"/>
    <cellStyle name="표준 5 4 3 9 2 3" xfId="38196" xr:uid="{00000000-0005-0000-0000-00000CA80000}"/>
    <cellStyle name="표준 5 4 3 9 2 4" xfId="46389" xr:uid="{00000000-0005-0000-0000-00000DA80000}"/>
    <cellStyle name="표준 5 4 3 9 3" xfId="13391" xr:uid="{00000000-0005-0000-0000-00000EA80000}"/>
    <cellStyle name="표준 5 4 3 9 4" xfId="17631" xr:uid="{00000000-0005-0000-0000-00000FA80000}"/>
    <cellStyle name="표준 5 4 3 9 5" xfId="21793" xr:uid="{00000000-0005-0000-0000-000010A80000}"/>
    <cellStyle name="표준 5 4 3 9 6" xfId="25889" xr:uid="{00000000-0005-0000-0000-000011A80000}"/>
    <cellStyle name="표준 5 4 3 9 7" xfId="34100" xr:uid="{00000000-0005-0000-0000-000012A80000}"/>
    <cellStyle name="표준 5 4 3 9 8" xfId="42293" xr:uid="{00000000-0005-0000-0000-000013A80000}"/>
    <cellStyle name="표준 5 4 30" xfId="19734" xr:uid="{00000000-0005-0000-0000-000014A80000}"/>
    <cellStyle name="표준 5 4 31" xfId="23825" xr:uid="{00000000-0005-0000-0000-000015A80000}"/>
    <cellStyle name="표준 5 4 32" xfId="32019" xr:uid="{00000000-0005-0000-0000-000016A80000}"/>
    <cellStyle name="표준 5 4 33" xfId="32036" xr:uid="{00000000-0005-0000-0000-000017A80000}"/>
    <cellStyle name="표준 5 4 34" xfId="40229" xr:uid="{00000000-0005-0000-0000-000018A80000}"/>
    <cellStyle name="표준 5 4 35" xfId="48431" xr:uid="{00000000-0005-0000-0000-000019A80000}"/>
    <cellStyle name="표준 5 4 4" xfId="302" xr:uid="{00000000-0005-0000-0000-00001AA80000}"/>
    <cellStyle name="표준 5 4 4 10" xfId="7174" xr:uid="{00000000-0005-0000-0000-00001BA80000}"/>
    <cellStyle name="표준 5 4 4 11" xfId="7247" xr:uid="{00000000-0005-0000-0000-00001CA80000}"/>
    <cellStyle name="표준 5 4 4 12" xfId="11359" xr:uid="{00000000-0005-0000-0000-00001DA80000}"/>
    <cellStyle name="표준 5 4 4 13" xfId="15487" xr:uid="{00000000-0005-0000-0000-00001EA80000}"/>
    <cellStyle name="표준 5 4 4 14" xfId="15599" xr:uid="{00000000-0005-0000-0000-00001FA80000}"/>
    <cellStyle name="표준 5 4 4 15" xfId="19761" xr:uid="{00000000-0005-0000-0000-000020A80000}"/>
    <cellStyle name="표준 5 4 4 16" xfId="23857" xr:uid="{00000000-0005-0000-0000-000021A80000}"/>
    <cellStyle name="표준 5 4 4 17" xfId="32068" xr:uid="{00000000-0005-0000-0000-000022A80000}"/>
    <cellStyle name="표준 5 4 4 18" xfId="40261" xr:uid="{00000000-0005-0000-0000-000023A80000}"/>
    <cellStyle name="표준 5 4 4 19" xfId="49691" xr:uid="{00000000-0005-0000-0000-000024A80000}"/>
    <cellStyle name="표준 5 4 4 2" xfId="456" xr:uid="{00000000-0005-0000-0000-000025A80000}"/>
    <cellStyle name="표준 5 4 4 2 10" xfId="11423" xr:uid="{00000000-0005-0000-0000-000026A80000}"/>
    <cellStyle name="표준 5 4 4 2 11" xfId="15535" xr:uid="{00000000-0005-0000-0000-000027A80000}"/>
    <cellStyle name="표준 5 4 4 2 12" xfId="15663" xr:uid="{00000000-0005-0000-0000-000028A80000}"/>
    <cellStyle name="표준 5 4 4 2 13" xfId="19825" xr:uid="{00000000-0005-0000-0000-000029A80000}"/>
    <cellStyle name="표준 5 4 4 2 14" xfId="23921" xr:uid="{00000000-0005-0000-0000-00002AA80000}"/>
    <cellStyle name="표준 5 4 4 2 15" xfId="32132" xr:uid="{00000000-0005-0000-0000-00002BA80000}"/>
    <cellStyle name="표준 5 4 4 2 16" xfId="40325" xr:uid="{00000000-0005-0000-0000-00002CA80000}"/>
    <cellStyle name="표준 5 4 4 2 2" xfId="584" xr:uid="{00000000-0005-0000-0000-00002DA80000}"/>
    <cellStyle name="표준 5 4 4 2 2 10" xfId="19953" xr:uid="{00000000-0005-0000-0000-00002EA80000}"/>
    <cellStyle name="표준 5 4 4 2 2 11" xfId="24049" xr:uid="{00000000-0005-0000-0000-00002FA80000}"/>
    <cellStyle name="표준 5 4 4 2 2 12" xfId="32260" xr:uid="{00000000-0005-0000-0000-000030A80000}"/>
    <cellStyle name="표준 5 4 4 2 2 13" xfId="40453" xr:uid="{00000000-0005-0000-0000-000031A80000}"/>
    <cellStyle name="표준 5 4 4 2 2 2" xfId="840" xr:uid="{00000000-0005-0000-0000-000032A80000}"/>
    <cellStyle name="표준 5 4 4 2 2 2 10" xfId="24305" xr:uid="{00000000-0005-0000-0000-000033A80000}"/>
    <cellStyle name="표준 5 4 4 2 2 2 11" xfId="32516" xr:uid="{00000000-0005-0000-0000-000034A80000}"/>
    <cellStyle name="표준 5 4 4 2 2 2 12" xfId="40709" xr:uid="{00000000-0005-0000-0000-000035A80000}"/>
    <cellStyle name="표준 5 4 4 2 2 2 2" xfId="1352" xr:uid="{00000000-0005-0000-0000-000036A80000}"/>
    <cellStyle name="표준 5 4 4 2 2 2 2 2" xfId="10255" xr:uid="{00000000-0005-0000-0000-000037A80000}"/>
    <cellStyle name="표준 5 4 4 2 2 2 2 2 2" xfId="14367" xr:uid="{00000000-0005-0000-0000-000038A80000}"/>
    <cellStyle name="표준 5 4 4 2 2 2 2 2 2 2" xfId="30961" xr:uid="{00000000-0005-0000-0000-000039A80000}"/>
    <cellStyle name="표준 5 4 4 2 2 2 2 2 2 3" xfId="39172" xr:uid="{00000000-0005-0000-0000-00003AA80000}"/>
    <cellStyle name="표준 5 4 4 2 2 2 2 2 2 4" xfId="47365" xr:uid="{00000000-0005-0000-0000-00003BA80000}"/>
    <cellStyle name="표준 5 4 4 2 2 2 2 2 3" xfId="18607" xr:uid="{00000000-0005-0000-0000-00003CA80000}"/>
    <cellStyle name="표준 5 4 4 2 2 2 2 2 4" xfId="22769" xr:uid="{00000000-0005-0000-0000-00003DA80000}"/>
    <cellStyle name="표준 5 4 4 2 2 2 2 2 5" xfId="26865" xr:uid="{00000000-0005-0000-0000-00003EA80000}"/>
    <cellStyle name="표준 5 4 4 2 2 2 2 2 6" xfId="35076" xr:uid="{00000000-0005-0000-0000-00003FA80000}"/>
    <cellStyle name="표준 5 4 4 2 2 2 2 2 7" xfId="43269" xr:uid="{00000000-0005-0000-0000-000040A80000}"/>
    <cellStyle name="표준 5 4 4 2 2 2 2 3" xfId="8207" xr:uid="{00000000-0005-0000-0000-000041A80000}"/>
    <cellStyle name="표준 5 4 4 2 2 2 2 3 2" xfId="28913" xr:uid="{00000000-0005-0000-0000-000042A80000}"/>
    <cellStyle name="표준 5 4 4 2 2 2 2 3 3" xfId="37124" xr:uid="{00000000-0005-0000-0000-000043A80000}"/>
    <cellStyle name="표준 5 4 4 2 2 2 2 3 4" xfId="45317" xr:uid="{00000000-0005-0000-0000-000044A80000}"/>
    <cellStyle name="표준 5 4 4 2 2 2 2 4" xfId="12319" xr:uid="{00000000-0005-0000-0000-000045A80000}"/>
    <cellStyle name="표준 5 4 4 2 2 2 2 5" xfId="16559" xr:uid="{00000000-0005-0000-0000-000046A80000}"/>
    <cellStyle name="표준 5 4 4 2 2 2 2 6" xfId="20721" xr:uid="{00000000-0005-0000-0000-000047A80000}"/>
    <cellStyle name="표준 5 4 4 2 2 2 2 7" xfId="24817" xr:uid="{00000000-0005-0000-0000-000048A80000}"/>
    <cellStyle name="표준 5 4 4 2 2 2 2 8" xfId="33028" xr:uid="{00000000-0005-0000-0000-000049A80000}"/>
    <cellStyle name="표준 5 4 4 2 2 2 2 9" xfId="41221" xr:uid="{00000000-0005-0000-0000-00004AA80000}"/>
    <cellStyle name="표준 5 4 4 2 2 2 3" xfId="1864" xr:uid="{00000000-0005-0000-0000-00004BA80000}"/>
    <cellStyle name="표준 5 4 4 2 2 2 3 2" xfId="10767" xr:uid="{00000000-0005-0000-0000-00004CA80000}"/>
    <cellStyle name="표준 5 4 4 2 2 2 3 2 2" xfId="14879" xr:uid="{00000000-0005-0000-0000-00004DA80000}"/>
    <cellStyle name="표준 5 4 4 2 2 2 3 2 2 2" xfId="31473" xr:uid="{00000000-0005-0000-0000-00004EA80000}"/>
    <cellStyle name="표준 5 4 4 2 2 2 3 2 2 3" xfId="39684" xr:uid="{00000000-0005-0000-0000-00004FA80000}"/>
    <cellStyle name="표준 5 4 4 2 2 2 3 2 2 4" xfId="47877" xr:uid="{00000000-0005-0000-0000-000050A80000}"/>
    <cellStyle name="표준 5 4 4 2 2 2 3 2 3" xfId="19119" xr:uid="{00000000-0005-0000-0000-000051A80000}"/>
    <cellStyle name="표준 5 4 4 2 2 2 3 2 4" xfId="23281" xr:uid="{00000000-0005-0000-0000-000052A80000}"/>
    <cellStyle name="표준 5 4 4 2 2 2 3 2 5" xfId="27377" xr:uid="{00000000-0005-0000-0000-000053A80000}"/>
    <cellStyle name="표준 5 4 4 2 2 2 3 2 6" xfId="35588" xr:uid="{00000000-0005-0000-0000-000054A80000}"/>
    <cellStyle name="표준 5 4 4 2 2 2 3 2 7" xfId="43781" xr:uid="{00000000-0005-0000-0000-000055A80000}"/>
    <cellStyle name="표준 5 4 4 2 2 2 3 3" xfId="8719" xr:uid="{00000000-0005-0000-0000-000056A80000}"/>
    <cellStyle name="표준 5 4 4 2 2 2 3 3 2" xfId="29425" xr:uid="{00000000-0005-0000-0000-000057A80000}"/>
    <cellStyle name="표준 5 4 4 2 2 2 3 3 3" xfId="37636" xr:uid="{00000000-0005-0000-0000-000058A80000}"/>
    <cellStyle name="표준 5 4 4 2 2 2 3 3 4" xfId="45829" xr:uid="{00000000-0005-0000-0000-000059A80000}"/>
    <cellStyle name="표준 5 4 4 2 2 2 3 4" xfId="12831" xr:uid="{00000000-0005-0000-0000-00005AA80000}"/>
    <cellStyle name="표준 5 4 4 2 2 2 3 5" xfId="17071" xr:uid="{00000000-0005-0000-0000-00005BA80000}"/>
    <cellStyle name="표준 5 4 4 2 2 2 3 6" xfId="21233" xr:uid="{00000000-0005-0000-0000-00005CA80000}"/>
    <cellStyle name="표준 5 4 4 2 2 2 3 7" xfId="25329" xr:uid="{00000000-0005-0000-0000-00005DA80000}"/>
    <cellStyle name="표준 5 4 4 2 2 2 3 8" xfId="33540" xr:uid="{00000000-0005-0000-0000-00005EA80000}"/>
    <cellStyle name="표준 5 4 4 2 2 2 3 9" xfId="41733" xr:uid="{00000000-0005-0000-0000-00005FA80000}"/>
    <cellStyle name="표준 5 4 4 2 2 2 4" xfId="2376" xr:uid="{00000000-0005-0000-0000-000060A80000}"/>
    <cellStyle name="표준 5 4 4 2 2 2 4 2" xfId="11279" xr:uid="{00000000-0005-0000-0000-000061A80000}"/>
    <cellStyle name="표준 5 4 4 2 2 2 4 2 2" xfId="15391" xr:uid="{00000000-0005-0000-0000-000062A80000}"/>
    <cellStyle name="표준 5 4 4 2 2 2 4 2 2 2" xfId="31985" xr:uid="{00000000-0005-0000-0000-000063A80000}"/>
    <cellStyle name="표준 5 4 4 2 2 2 4 2 2 3" xfId="40196" xr:uid="{00000000-0005-0000-0000-000064A80000}"/>
    <cellStyle name="표준 5 4 4 2 2 2 4 2 2 4" xfId="48389" xr:uid="{00000000-0005-0000-0000-000065A80000}"/>
    <cellStyle name="표준 5 4 4 2 2 2 4 2 3" xfId="19631" xr:uid="{00000000-0005-0000-0000-000066A80000}"/>
    <cellStyle name="표준 5 4 4 2 2 2 4 2 4" xfId="23793" xr:uid="{00000000-0005-0000-0000-000067A80000}"/>
    <cellStyle name="표준 5 4 4 2 2 2 4 2 5" xfId="27889" xr:uid="{00000000-0005-0000-0000-000068A80000}"/>
    <cellStyle name="표준 5 4 4 2 2 2 4 2 6" xfId="36100" xr:uid="{00000000-0005-0000-0000-000069A80000}"/>
    <cellStyle name="표준 5 4 4 2 2 2 4 2 7" xfId="44293" xr:uid="{00000000-0005-0000-0000-00006AA80000}"/>
    <cellStyle name="표준 5 4 4 2 2 2 4 3" xfId="9231" xr:uid="{00000000-0005-0000-0000-00006BA80000}"/>
    <cellStyle name="표준 5 4 4 2 2 2 4 3 2" xfId="29937" xr:uid="{00000000-0005-0000-0000-00006CA80000}"/>
    <cellStyle name="표준 5 4 4 2 2 2 4 3 3" xfId="38148" xr:uid="{00000000-0005-0000-0000-00006DA80000}"/>
    <cellStyle name="표준 5 4 4 2 2 2 4 3 4" xfId="46341" xr:uid="{00000000-0005-0000-0000-00006EA80000}"/>
    <cellStyle name="표준 5 4 4 2 2 2 4 4" xfId="13343" xr:uid="{00000000-0005-0000-0000-00006FA80000}"/>
    <cellStyle name="표준 5 4 4 2 2 2 4 5" xfId="17583" xr:uid="{00000000-0005-0000-0000-000070A80000}"/>
    <cellStyle name="표준 5 4 4 2 2 2 4 6" xfId="21745" xr:uid="{00000000-0005-0000-0000-000071A80000}"/>
    <cellStyle name="표준 5 4 4 2 2 2 4 7" xfId="25841" xr:uid="{00000000-0005-0000-0000-000072A80000}"/>
    <cellStyle name="표준 5 4 4 2 2 2 4 8" xfId="34052" xr:uid="{00000000-0005-0000-0000-000073A80000}"/>
    <cellStyle name="표준 5 4 4 2 2 2 4 9" xfId="42245" xr:uid="{00000000-0005-0000-0000-000074A80000}"/>
    <cellStyle name="표준 5 4 4 2 2 2 5" xfId="9743" xr:uid="{00000000-0005-0000-0000-000075A80000}"/>
    <cellStyle name="표준 5 4 4 2 2 2 5 2" xfId="13855" xr:uid="{00000000-0005-0000-0000-000076A80000}"/>
    <cellStyle name="표준 5 4 4 2 2 2 5 2 2" xfId="30449" xr:uid="{00000000-0005-0000-0000-000077A80000}"/>
    <cellStyle name="표준 5 4 4 2 2 2 5 2 3" xfId="38660" xr:uid="{00000000-0005-0000-0000-000078A80000}"/>
    <cellStyle name="표준 5 4 4 2 2 2 5 2 4" xfId="46853" xr:uid="{00000000-0005-0000-0000-000079A80000}"/>
    <cellStyle name="표준 5 4 4 2 2 2 5 3" xfId="18095" xr:uid="{00000000-0005-0000-0000-00007AA80000}"/>
    <cellStyle name="표준 5 4 4 2 2 2 5 4" xfId="22257" xr:uid="{00000000-0005-0000-0000-00007BA80000}"/>
    <cellStyle name="표준 5 4 4 2 2 2 5 5" xfId="26353" xr:uid="{00000000-0005-0000-0000-00007CA80000}"/>
    <cellStyle name="표준 5 4 4 2 2 2 5 6" xfId="34564" xr:uid="{00000000-0005-0000-0000-00007DA80000}"/>
    <cellStyle name="표준 5 4 4 2 2 2 5 7" xfId="42757" xr:uid="{00000000-0005-0000-0000-00007EA80000}"/>
    <cellStyle name="표준 5 4 4 2 2 2 6" xfId="7695" xr:uid="{00000000-0005-0000-0000-00007FA80000}"/>
    <cellStyle name="표준 5 4 4 2 2 2 6 2" xfId="28401" xr:uid="{00000000-0005-0000-0000-000080A80000}"/>
    <cellStyle name="표준 5 4 4 2 2 2 6 3" xfId="36612" xr:uid="{00000000-0005-0000-0000-000081A80000}"/>
    <cellStyle name="표준 5 4 4 2 2 2 6 4" xfId="44805" xr:uid="{00000000-0005-0000-0000-000082A80000}"/>
    <cellStyle name="표준 5 4 4 2 2 2 7" xfId="11807" xr:uid="{00000000-0005-0000-0000-000083A80000}"/>
    <cellStyle name="표준 5 4 4 2 2 2 8" xfId="16047" xr:uid="{00000000-0005-0000-0000-000084A80000}"/>
    <cellStyle name="표준 5 4 4 2 2 2 9" xfId="20209" xr:uid="{00000000-0005-0000-0000-000085A80000}"/>
    <cellStyle name="표준 5 4 4 2 2 3" xfId="1096" xr:uid="{00000000-0005-0000-0000-000086A80000}"/>
    <cellStyle name="표준 5 4 4 2 2 3 2" xfId="9999" xr:uid="{00000000-0005-0000-0000-000087A80000}"/>
    <cellStyle name="표준 5 4 4 2 2 3 2 2" xfId="14111" xr:uid="{00000000-0005-0000-0000-000088A80000}"/>
    <cellStyle name="표준 5 4 4 2 2 3 2 2 2" xfId="30705" xr:uid="{00000000-0005-0000-0000-000089A80000}"/>
    <cellStyle name="표준 5 4 4 2 2 3 2 2 3" xfId="38916" xr:uid="{00000000-0005-0000-0000-00008AA80000}"/>
    <cellStyle name="표준 5 4 4 2 2 3 2 2 4" xfId="47109" xr:uid="{00000000-0005-0000-0000-00008BA80000}"/>
    <cellStyle name="표준 5 4 4 2 2 3 2 3" xfId="18351" xr:uid="{00000000-0005-0000-0000-00008CA80000}"/>
    <cellStyle name="표준 5 4 4 2 2 3 2 4" xfId="22513" xr:uid="{00000000-0005-0000-0000-00008DA80000}"/>
    <cellStyle name="표준 5 4 4 2 2 3 2 5" xfId="26609" xr:uid="{00000000-0005-0000-0000-00008EA80000}"/>
    <cellStyle name="표준 5 4 4 2 2 3 2 6" xfId="34820" xr:uid="{00000000-0005-0000-0000-00008FA80000}"/>
    <cellStyle name="표준 5 4 4 2 2 3 2 7" xfId="43013" xr:uid="{00000000-0005-0000-0000-000090A80000}"/>
    <cellStyle name="표준 5 4 4 2 2 3 3" xfId="7951" xr:uid="{00000000-0005-0000-0000-000091A80000}"/>
    <cellStyle name="표준 5 4 4 2 2 3 3 2" xfId="28657" xr:uid="{00000000-0005-0000-0000-000092A80000}"/>
    <cellStyle name="표준 5 4 4 2 2 3 3 3" xfId="36868" xr:uid="{00000000-0005-0000-0000-000093A80000}"/>
    <cellStyle name="표준 5 4 4 2 2 3 3 4" xfId="45061" xr:uid="{00000000-0005-0000-0000-000094A80000}"/>
    <cellStyle name="표준 5 4 4 2 2 3 4" xfId="12063" xr:uid="{00000000-0005-0000-0000-000095A80000}"/>
    <cellStyle name="표준 5 4 4 2 2 3 5" xfId="16303" xr:uid="{00000000-0005-0000-0000-000096A80000}"/>
    <cellStyle name="표준 5 4 4 2 2 3 6" xfId="20465" xr:uid="{00000000-0005-0000-0000-000097A80000}"/>
    <cellStyle name="표준 5 4 4 2 2 3 7" xfId="24561" xr:uid="{00000000-0005-0000-0000-000098A80000}"/>
    <cellStyle name="표준 5 4 4 2 2 3 8" xfId="32772" xr:uid="{00000000-0005-0000-0000-000099A80000}"/>
    <cellStyle name="표준 5 4 4 2 2 3 9" xfId="40965" xr:uid="{00000000-0005-0000-0000-00009AA80000}"/>
    <cellStyle name="표준 5 4 4 2 2 4" xfId="1608" xr:uid="{00000000-0005-0000-0000-00009BA80000}"/>
    <cellStyle name="표준 5 4 4 2 2 4 2" xfId="10511" xr:uid="{00000000-0005-0000-0000-00009CA80000}"/>
    <cellStyle name="표준 5 4 4 2 2 4 2 2" xfId="14623" xr:uid="{00000000-0005-0000-0000-00009DA80000}"/>
    <cellStyle name="표준 5 4 4 2 2 4 2 2 2" xfId="31217" xr:uid="{00000000-0005-0000-0000-00009EA80000}"/>
    <cellStyle name="표준 5 4 4 2 2 4 2 2 3" xfId="39428" xr:uid="{00000000-0005-0000-0000-00009FA80000}"/>
    <cellStyle name="표준 5 4 4 2 2 4 2 2 4" xfId="47621" xr:uid="{00000000-0005-0000-0000-0000A0A80000}"/>
    <cellStyle name="표준 5 4 4 2 2 4 2 3" xfId="18863" xr:uid="{00000000-0005-0000-0000-0000A1A80000}"/>
    <cellStyle name="표준 5 4 4 2 2 4 2 4" xfId="23025" xr:uid="{00000000-0005-0000-0000-0000A2A80000}"/>
    <cellStyle name="표준 5 4 4 2 2 4 2 5" xfId="27121" xr:uid="{00000000-0005-0000-0000-0000A3A80000}"/>
    <cellStyle name="표준 5 4 4 2 2 4 2 6" xfId="35332" xr:uid="{00000000-0005-0000-0000-0000A4A80000}"/>
    <cellStyle name="표준 5 4 4 2 2 4 2 7" xfId="43525" xr:uid="{00000000-0005-0000-0000-0000A5A80000}"/>
    <cellStyle name="표준 5 4 4 2 2 4 3" xfId="8463" xr:uid="{00000000-0005-0000-0000-0000A6A80000}"/>
    <cellStyle name="표준 5 4 4 2 2 4 3 2" xfId="29169" xr:uid="{00000000-0005-0000-0000-0000A7A80000}"/>
    <cellStyle name="표준 5 4 4 2 2 4 3 3" xfId="37380" xr:uid="{00000000-0005-0000-0000-0000A8A80000}"/>
    <cellStyle name="표준 5 4 4 2 2 4 3 4" xfId="45573" xr:uid="{00000000-0005-0000-0000-0000A9A80000}"/>
    <cellStyle name="표준 5 4 4 2 2 4 4" xfId="12575" xr:uid="{00000000-0005-0000-0000-0000AAA80000}"/>
    <cellStyle name="표준 5 4 4 2 2 4 5" xfId="16815" xr:uid="{00000000-0005-0000-0000-0000ABA80000}"/>
    <cellStyle name="표준 5 4 4 2 2 4 6" xfId="20977" xr:uid="{00000000-0005-0000-0000-0000ACA80000}"/>
    <cellStyle name="표준 5 4 4 2 2 4 7" xfId="25073" xr:uid="{00000000-0005-0000-0000-0000ADA80000}"/>
    <cellStyle name="표준 5 4 4 2 2 4 8" xfId="33284" xr:uid="{00000000-0005-0000-0000-0000AEA80000}"/>
    <cellStyle name="표준 5 4 4 2 2 4 9" xfId="41477" xr:uid="{00000000-0005-0000-0000-0000AFA80000}"/>
    <cellStyle name="표준 5 4 4 2 2 5" xfId="2120" xr:uid="{00000000-0005-0000-0000-0000B0A80000}"/>
    <cellStyle name="표준 5 4 4 2 2 5 2" xfId="11023" xr:uid="{00000000-0005-0000-0000-0000B1A80000}"/>
    <cellStyle name="표준 5 4 4 2 2 5 2 2" xfId="15135" xr:uid="{00000000-0005-0000-0000-0000B2A80000}"/>
    <cellStyle name="표준 5 4 4 2 2 5 2 2 2" xfId="31729" xr:uid="{00000000-0005-0000-0000-0000B3A80000}"/>
    <cellStyle name="표준 5 4 4 2 2 5 2 2 3" xfId="39940" xr:uid="{00000000-0005-0000-0000-0000B4A80000}"/>
    <cellStyle name="표준 5 4 4 2 2 5 2 2 4" xfId="48133" xr:uid="{00000000-0005-0000-0000-0000B5A80000}"/>
    <cellStyle name="표준 5 4 4 2 2 5 2 3" xfId="19375" xr:uid="{00000000-0005-0000-0000-0000B6A80000}"/>
    <cellStyle name="표준 5 4 4 2 2 5 2 4" xfId="23537" xr:uid="{00000000-0005-0000-0000-0000B7A80000}"/>
    <cellStyle name="표준 5 4 4 2 2 5 2 5" xfId="27633" xr:uid="{00000000-0005-0000-0000-0000B8A80000}"/>
    <cellStyle name="표준 5 4 4 2 2 5 2 6" xfId="35844" xr:uid="{00000000-0005-0000-0000-0000B9A80000}"/>
    <cellStyle name="표준 5 4 4 2 2 5 2 7" xfId="44037" xr:uid="{00000000-0005-0000-0000-0000BAA80000}"/>
    <cellStyle name="표준 5 4 4 2 2 5 3" xfId="8975" xr:uid="{00000000-0005-0000-0000-0000BBA80000}"/>
    <cellStyle name="표준 5 4 4 2 2 5 3 2" xfId="29681" xr:uid="{00000000-0005-0000-0000-0000BCA80000}"/>
    <cellStyle name="표준 5 4 4 2 2 5 3 3" xfId="37892" xr:uid="{00000000-0005-0000-0000-0000BDA80000}"/>
    <cellStyle name="표준 5 4 4 2 2 5 3 4" xfId="46085" xr:uid="{00000000-0005-0000-0000-0000BEA80000}"/>
    <cellStyle name="표준 5 4 4 2 2 5 4" xfId="13087" xr:uid="{00000000-0005-0000-0000-0000BFA80000}"/>
    <cellStyle name="표준 5 4 4 2 2 5 5" xfId="17327" xr:uid="{00000000-0005-0000-0000-0000C0A80000}"/>
    <cellStyle name="표준 5 4 4 2 2 5 6" xfId="21489" xr:uid="{00000000-0005-0000-0000-0000C1A80000}"/>
    <cellStyle name="표준 5 4 4 2 2 5 7" xfId="25585" xr:uid="{00000000-0005-0000-0000-0000C2A80000}"/>
    <cellStyle name="표준 5 4 4 2 2 5 8" xfId="33796" xr:uid="{00000000-0005-0000-0000-0000C3A80000}"/>
    <cellStyle name="표준 5 4 4 2 2 5 9" xfId="41989" xr:uid="{00000000-0005-0000-0000-0000C4A80000}"/>
    <cellStyle name="표준 5 4 4 2 2 6" xfId="9487" xr:uid="{00000000-0005-0000-0000-0000C5A80000}"/>
    <cellStyle name="표준 5 4 4 2 2 6 2" xfId="13599" xr:uid="{00000000-0005-0000-0000-0000C6A80000}"/>
    <cellStyle name="표준 5 4 4 2 2 6 2 2" xfId="30193" xr:uid="{00000000-0005-0000-0000-0000C7A80000}"/>
    <cellStyle name="표준 5 4 4 2 2 6 2 3" xfId="38404" xr:uid="{00000000-0005-0000-0000-0000C8A80000}"/>
    <cellStyle name="표준 5 4 4 2 2 6 2 4" xfId="46597" xr:uid="{00000000-0005-0000-0000-0000C9A80000}"/>
    <cellStyle name="표준 5 4 4 2 2 6 3" xfId="17839" xr:uid="{00000000-0005-0000-0000-0000CAA80000}"/>
    <cellStyle name="표준 5 4 4 2 2 6 4" xfId="22001" xr:uid="{00000000-0005-0000-0000-0000CBA80000}"/>
    <cellStyle name="표준 5 4 4 2 2 6 5" xfId="26097" xr:uid="{00000000-0005-0000-0000-0000CCA80000}"/>
    <cellStyle name="표준 5 4 4 2 2 6 6" xfId="34308" xr:uid="{00000000-0005-0000-0000-0000CDA80000}"/>
    <cellStyle name="표준 5 4 4 2 2 6 7" xfId="42501" xr:uid="{00000000-0005-0000-0000-0000CEA80000}"/>
    <cellStyle name="표준 5 4 4 2 2 7" xfId="7439" xr:uid="{00000000-0005-0000-0000-0000CFA80000}"/>
    <cellStyle name="표준 5 4 4 2 2 7 2" xfId="28145" xr:uid="{00000000-0005-0000-0000-0000D0A80000}"/>
    <cellStyle name="표준 5 4 4 2 2 7 3" xfId="36356" xr:uid="{00000000-0005-0000-0000-0000D1A80000}"/>
    <cellStyle name="표준 5 4 4 2 2 7 4" xfId="44549" xr:uid="{00000000-0005-0000-0000-0000D2A80000}"/>
    <cellStyle name="표준 5 4 4 2 2 8" xfId="11551" xr:uid="{00000000-0005-0000-0000-0000D3A80000}"/>
    <cellStyle name="표준 5 4 4 2 2 9" xfId="15791" xr:uid="{00000000-0005-0000-0000-0000D4A80000}"/>
    <cellStyle name="표준 5 4 4 2 3" xfId="712" xr:uid="{00000000-0005-0000-0000-0000D5A80000}"/>
    <cellStyle name="표준 5 4 4 2 3 10" xfId="24177" xr:uid="{00000000-0005-0000-0000-0000D6A80000}"/>
    <cellStyle name="표준 5 4 4 2 3 11" xfId="32388" xr:uid="{00000000-0005-0000-0000-0000D7A80000}"/>
    <cellStyle name="표준 5 4 4 2 3 12" xfId="40581" xr:uid="{00000000-0005-0000-0000-0000D8A80000}"/>
    <cellStyle name="표준 5 4 4 2 3 2" xfId="1224" xr:uid="{00000000-0005-0000-0000-0000D9A80000}"/>
    <cellStyle name="표준 5 4 4 2 3 2 2" xfId="10127" xr:uid="{00000000-0005-0000-0000-0000DAA80000}"/>
    <cellStyle name="표준 5 4 4 2 3 2 2 2" xfId="14239" xr:uid="{00000000-0005-0000-0000-0000DBA80000}"/>
    <cellStyle name="표준 5 4 4 2 3 2 2 2 2" xfId="30833" xr:uid="{00000000-0005-0000-0000-0000DCA80000}"/>
    <cellStyle name="표준 5 4 4 2 3 2 2 2 3" xfId="39044" xr:uid="{00000000-0005-0000-0000-0000DDA80000}"/>
    <cellStyle name="표준 5 4 4 2 3 2 2 2 4" xfId="47237" xr:uid="{00000000-0005-0000-0000-0000DEA80000}"/>
    <cellStyle name="표준 5 4 4 2 3 2 2 3" xfId="18479" xr:uid="{00000000-0005-0000-0000-0000DFA80000}"/>
    <cellStyle name="표준 5 4 4 2 3 2 2 4" xfId="22641" xr:uid="{00000000-0005-0000-0000-0000E0A80000}"/>
    <cellStyle name="표준 5 4 4 2 3 2 2 5" xfId="26737" xr:uid="{00000000-0005-0000-0000-0000E1A80000}"/>
    <cellStyle name="표준 5 4 4 2 3 2 2 6" xfId="34948" xr:uid="{00000000-0005-0000-0000-0000E2A80000}"/>
    <cellStyle name="표준 5 4 4 2 3 2 2 7" xfId="43141" xr:uid="{00000000-0005-0000-0000-0000E3A80000}"/>
    <cellStyle name="표준 5 4 4 2 3 2 3" xfId="8079" xr:uid="{00000000-0005-0000-0000-0000E4A80000}"/>
    <cellStyle name="표준 5 4 4 2 3 2 3 2" xfId="28785" xr:uid="{00000000-0005-0000-0000-0000E5A80000}"/>
    <cellStyle name="표준 5 4 4 2 3 2 3 3" xfId="36996" xr:uid="{00000000-0005-0000-0000-0000E6A80000}"/>
    <cellStyle name="표준 5 4 4 2 3 2 3 4" xfId="45189" xr:uid="{00000000-0005-0000-0000-0000E7A80000}"/>
    <cellStyle name="표준 5 4 4 2 3 2 4" xfId="12191" xr:uid="{00000000-0005-0000-0000-0000E8A80000}"/>
    <cellStyle name="표준 5 4 4 2 3 2 5" xfId="16431" xr:uid="{00000000-0005-0000-0000-0000E9A80000}"/>
    <cellStyle name="표준 5 4 4 2 3 2 6" xfId="20593" xr:uid="{00000000-0005-0000-0000-0000EAA80000}"/>
    <cellStyle name="표준 5 4 4 2 3 2 7" xfId="24689" xr:uid="{00000000-0005-0000-0000-0000EBA80000}"/>
    <cellStyle name="표준 5 4 4 2 3 2 8" xfId="32900" xr:uid="{00000000-0005-0000-0000-0000ECA80000}"/>
    <cellStyle name="표준 5 4 4 2 3 2 9" xfId="41093" xr:uid="{00000000-0005-0000-0000-0000EDA80000}"/>
    <cellStyle name="표준 5 4 4 2 3 3" xfId="1736" xr:uid="{00000000-0005-0000-0000-0000EEA80000}"/>
    <cellStyle name="표준 5 4 4 2 3 3 2" xfId="10639" xr:uid="{00000000-0005-0000-0000-0000EFA80000}"/>
    <cellStyle name="표준 5 4 4 2 3 3 2 2" xfId="14751" xr:uid="{00000000-0005-0000-0000-0000F0A80000}"/>
    <cellStyle name="표준 5 4 4 2 3 3 2 2 2" xfId="31345" xr:uid="{00000000-0005-0000-0000-0000F1A80000}"/>
    <cellStyle name="표준 5 4 4 2 3 3 2 2 3" xfId="39556" xr:uid="{00000000-0005-0000-0000-0000F2A80000}"/>
    <cellStyle name="표준 5 4 4 2 3 3 2 2 4" xfId="47749" xr:uid="{00000000-0005-0000-0000-0000F3A80000}"/>
    <cellStyle name="표준 5 4 4 2 3 3 2 3" xfId="18991" xr:uid="{00000000-0005-0000-0000-0000F4A80000}"/>
    <cellStyle name="표준 5 4 4 2 3 3 2 4" xfId="23153" xr:uid="{00000000-0005-0000-0000-0000F5A80000}"/>
    <cellStyle name="표준 5 4 4 2 3 3 2 5" xfId="27249" xr:uid="{00000000-0005-0000-0000-0000F6A80000}"/>
    <cellStyle name="표준 5 4 4 2 3 3 2 6" xfId="35460" xr:uid="{00000000-0005-0000-0000-0000F7A80000}"/>
    <cellStyle name="표준 5 4 4 2 3 3 2 7" xfId="43653" xr:uid="{00000000-0005-0000-0000-0000F8A80000}"/>
    <cellStyle name="표준 5 4 4 2 3 3 3" xfId="8591" xr:uid="{00000000-0005-0000-0000-0000F9A80000}"/>
    <cellStyle name="표준 5 4 4 2 3 3 3 2" xfId="29297" xr:uid="{00000000-0005-0000-0000-0000FAA80000}"/>
    <cellStyle name="표준 5 4 4 2 3 3 3 3" xfId="37508" xr:uid="{00000000-0005-0000-0000-0000FBA80000}"/>
    <cellStyle name="표준 5 4 4 2 3 3 3 4" xfId="45701" xr:uid="{00000000-0005-0000-0000-0000FCA80000}"/>
    <cellStyle name="표준 5 4 4 2 3 3 4" xfId="12703" xr:uid="{00000000-0005-0000-0000-0000FDA80000}"/>
    <cellStyle name="표준 5 4 4 2 3 3 5" xfId="16943" xr:uid="{00000000-0005-0000-0000-0000FEA80000}"/>
    <cellStyle name="표준 5 4 4 2 3 3 6" xfId="21105" xr:uid="{00000000-0005-0000-0000-0000FFA80000}"/>
    <cellStyle name="표준 5 4 4 2 3 3 7" xfId="25201" xr:uid="{00000000-0005-0000-0000-000000A90000}"/>
    <cellStyle name="표준 5 4 4 2 3 3 8" xfId="33412" xr:uid="{00000000-0005-0000-0000-000001A90000}"/>
    <cellStyle name="표준 5 4 4 2 3 3 9" xfId="41605" xr:uid="{00000000-0005-0000-0000-000002A90000}"/>
    <cellStyle name="표준 5 4 4 2 3 4" xfId="2248" xr:uid="{00000000-0005-0000-0000-000003A90000}"/>
    <cellStyle name="표준 5 4 4 2 3 4 2" xfId="11151" xr:uid="{00000000-0005-0000-0000-000004A90000}"/>
    <cellStyle name="표준 5 4 4 2 3 4 2 2" xfId="15263" xr:uid="{00000000-0005-0000-0000-000005A90000}"/>
    <cellStyle name="표준 5 4 4 2 3 4 2 2 2" xfId="31857" xr:uid="{00000000-0005-0000-0000-000006A90000}"/>
    <cellStyle name="표준 5 4 4 2 3 4 2 2 3" xfId="40068" xr:uid="{00000000-0005-0000-0000-000007A90000}"/>
    <cellStyle name="표준 5 4 4 2 3 4 2 2 4" xfId="48261" xr:uid="{00000000-0005-0000-0000-000008A90000}"/>
    <cellStyle name="표준 5 4 4 2 3 4 2 3" xfId="19503" xr:uid="{00000000-0005-0000-0000-000009A90000}"/>
    <cellStyle name="표준 5 4 4 2 3 4 2 4" xfId="23665" xr:uid="{00000000-0005-0000-0000-00000AA90000}"/>
    <cellStyle name="표준 5 4 4 2 3 4 2 5" xfId="27761" xr:uid="{00000000-0005-0000-0000-00000BA90000}"/>
    <cellStyle name="표준 5 4 4 2 3 4 2 6" xfId="35972" xr:uid="{00000000-0005-0000-0000-00000CA90000}"/>
    <cellStyle name="표준 5 4 4 2 3 4 2 7" xfId="44165" xr:uid="{00000000-0005-0000-0000-00000DA90000}"/>
    <cellStyle name="표준 5 4 4 2 3 4 3" xfId="9103" xr:uid="{00000000-0005-0000-0000-00000EA90000}"/>
    <cellStyle name="표준 5 4 4 2 3 4 3 2" xfId="29809" xr:uid="{00000000-0005-0000-0000-00000FA90000}"/>
    <cellStyle name="표준 5 4 4 2 3 4 3 3" xfId="38020" xr:uid="{00000000-0005-0000-0000-000010A90000}"/>
    <cellStyle name="표준 5 4 4 2 3 4 3 4" xfId="46213" xr:uid="{00000000-0005-0000-0000-000011A90000}"/>
    <cellStyle name="표준 5 4 4 2 3 4 4" xfId="13215" xr:uid="{00000000-0005-0000-0000-000012A90000}"/>
    <cellStyle name="표준 5 4 4 2 3 4 5" xfId="17455" xr:uid="{00000000-0005-0000-0000-000013A90000}"/>
    <cellStyle name="표준 5 4 4 2 3 4 6" xfId="21617" xr:uid="{00000000-0005-0000-0000-000014A90000}"/>
    <cellStyle name="표준 5 4 4 2 3 4 7" xfId="25713" xr:uid="{00000000-0005-0000-0000-000015A90000}"/>
    <cellStyle name="표준 5 4 4 2 3 4 8" xfId="33924" xr:uid="{00000000-0005-0000-0000-000016A90000}"/>
    <cellStyle name="표준 5 4 4 2 3 4 9" xfId="42117" xr:uid="{00000000-0005-0000-0000-000017A90000}"/>
    <cellStyle name="표준 5 4 4 2 3 5" xfId="9615" xr:uid="{00000000-0005-0000-0000-000018A90000}"/>
    <cellStyle name="표준 5 4 4 2 3 5 2" xfId="13727" xr:uid="{00000000-0005-0000-0000-000019A90000}"/>
    <cellStyle name="표준 5 4 4 2 3 5 2 2" xfId="30321" xr:uid="{00000000-0005-0000-0000-00001AA90000}"/>
    <cellStyle name="표준 5 4 4 2 3 5 2 3" xfId="38532" xr:uid="{00000000-0005-0000-0000-00001BA90000}"/>
    <cellStyle name="표준 5 4 4 2 3 5 2 4" xfId="46725" xr:uid="{00000000-0005-0000-0000-00001CA90000}"/>
    <cellStyle name="표준 5 4 4 2 3 5 3" xfId="17967" xr:uid="{00000000-0005-0000-0000-00001DA90000}"/>
    <cellStyle name="표준 5 4 4 2 3 5 4" xfId="22129" xr:uid="{00000000-0005-0000-0000-00001EA90000}"/>
    <cellStyle name="표준 5 4 4 2 3 5 5" xfId="26225" xr:uid="{00000000-0005-0000-0000-00001FA90000}"/>
    <cellStyle name="표준 5 4 4 2 3 5 6" xfId="34436" xr:uid="{00000000-0005-0000-0000-000020A90000}"/>
    <cellStyle name="표준 5 4 4 2 3 5 7" xfId="42629" xr:uid="{00000000-0005-0000-0000-000021A90000}"/>
    <cellStyle name="표준 5 4 4 2 3 6" xfId="7567" xr:uid="{00000000-0005-0000-0000-000022A90000}"/>
    <cellStyle name="표준 5 4 4 2 3 6 2" xfId="28273" xr:uid="{00000000-0005-0000-0000-000023A90000}"/>
    <cellStyle name="표준 5 4 4 2 3 6 3" xfId="36484" xr:uid="{00000000-0005-0000-0000-000024A90000}"/>
    <cellStyle name="표준 5 4 4 2 3 6 4" xfId="44677" xr:uid="{00000000-0005-0000-0000-000025A90000}"/>
    <cellStyle name="표준 5 4 4 2 3 7" xfId="11679" xr:uid="{00000000-0005-0000-0000-000026A90000}"/>
    <cellStyle name="표준 5 4 4 2 3 8" xfId="15919" xr:uid="{00000000-0005-0000-0000-000027A90000}"/>
    <cellStyle name="표준 5 4 4 2 3 9" xfId="20081" xr:uid="{00000000-0005-0000-0000-000028A90000}"/>
    <cellStyle name="표준 5 4 4 2 4" xfId="968" xr:uid="{00000000-0005-0000-0000-000029A90000}"/>
    <cellStyle name="표준 5 4 4 2 4 2" xfId="9871" xr:uid="{00000000-0005-0000-0000-00002AA90000}"/>
    <cellStyle name="표준 5 4 4 2 4 2 2" xfId="13983" xr:uid="{00000000-0005-0000-0000-00002BA90000}"/>
    <cellStyle name="표준 5 4 4 2 4 2 2 2" xfId="30577" xr:uid="{00000000-0005-0000-0000-00002CA90000}"/>
    <cellStyle name="표준 5 4 4 2 4 2 2 3" xfId="38788" xr:uid="{00000000-0005-0000-0000-00002DA90000}"/>
    <cellStyle name="표준 5 4 4 2 4 2 2 4" xfId="46981" xr:uid="{00000000-0005-0000-0000-00002EA90000}"/>
    <cellStyle name="표준 5 4 4 2 4 2 3" xfId="18223" xr:uid="{00000000-0005-0000-0000-00002FA90000}"/>
    <cellStyle name="표준 5 4 4 2 4 2 4" xfId="22385" xr:uid="{00000000-0005-0000-0000-000030A90000}"/>
    <cellStyle name="표준 5 4 4 2 4 2 5" xfId="26481" xr:uid="{00000000-0005-0000-0000-000031A90000}"/>
    <cellStyle name="표준 5 4 4 2 4 2 6" xfId="34692" xr:uid="{00000000-0005-0000-0000-000032A90000}"/>
    <cellStyle name="표준 5 4 4 2 4 2 7" xfId="42885" xr:uid="{00000000-0005-0000-0000-000033A90000}"/>
    <cellStyle name="표준 5 4 4 2 4 3" xfId="7823" xr:uid="{00000000-0005-0000-0000-000034A90000}"/>
    <cellStyle name="표준 5 4 4 2 4 3 2" xfId="28529" xr:uid="{00000000-0005-0000-0000-000035A90000}"/>
    <cellStyle name="표준 5 4 4 2 4 3 3" xfId="36740" xr:uid="{00000000-0005-0000-0000-000036A90000}"/>
    <cellStyle name="표준 5 4 4 2 4 3 4" xfId="44933" xr:uid="{00000000-0005-0000-0000-000037A90000}"/>
    <cellStyle name="표준 5 4 4 2 4 4" xfId="11935" xr:uid="{00000000-0005-0000-0000-000038A90000}"/>
    <cellStyle name="표준 5 4 4 2 4 5" xfId="16175" xr:uid="{00000000-0005-0000-0000-000039A90000}"/>
    <cellStyle name="표준 5 4 4 2 4 6" xfId="20337" xr:uid="{00000000-0005-0000-0000-00003AA90000}"/>
    <cellStyle name="표준 5 4 4 2 4 7" xfId="24433" xr:uid="{00000000-0005-0000-0000-00003BA90000}"/>
    <cellStyle name="표준 5 4 4 2 4 8" xfId="32644" xr:uid="{00000000-0005-0000-0000-00003CA90000}"/>
    <cellStyle name="표준 5 4 4 2 4 9" xfId="40837" xr:uid="{00000000-0005-0000-0000-00003DA90000}"/>
    <cellStyle name="표준 5 4 4 2 5" xfId="1480" xr:uid="{00000000-0005-0000-0000-00003EA90000}"/>
    <cellStyle name="표준 5 4 4 2 5 2" xfId="10383" xr:uid="{00000000-0005-0000-0000-00003FA90000}"/>
    <cellStyle name="표준 5 4 4 2 5 2 2" xfId="14495" xr:uid="{00000000-0005-0000-0000-000040A90000}"/>
    <cellStyle name="표준 5 4 4 2 5 2 2 2" xfId="31089" xr:uid="{00000000-0005-0000-0000-000041A90000}"/>
    <cellStyle name="표준 5 4 4 2 5 2 2 3" xfId="39300" xr:uid="{00000000-0005-0000-0000-000042A90000}"/>
    <cellStyle name="표준 5 4 4 2 5 2 2 4" xfId="47493" xr:uid="{00000000-0005-0000-0000-000043A90000}"/>
    <cellStyle name="표준 5 4 4 2 5 2 3" xfId="18735" xr:uid="{00000000-0005-0000-0000-000044A90000}"/>
    <cellStyle name="표준 5 4 4 2 5 2 4" xfId="22897" xr:uid="{00000000-0005-0000-0000-000045A90000}"/>
    <cellStyle name="표준 5 4 4 2 5 2 5" xfId="26993" xr:uid="{00000000-0005-0000-0000-000046A90000}"/>
    <cellStyle name="표준 5 4 4 2 5 2 6" xfId="35204" xr:uid="{00000000-0005-0000-0000-000047A90000}"/>
    <cellStyle name="표준 5 4 4 2 5 2 7" xfId="43397" xr:uid="{00000000-0005-0000-0000-000048A90000}"/>
    <cellStyle name="표준 5 4 4 2 5 3" xfId="8335" xr:uid="{00000000-0005-0000-0000-000049A90000}"/>
    <cellStyle name="표준 5 4 4 2 5 3 2" xfId="29041" xr:uid="{00000000-0005-0000-0000-00004AA90000}"/>
    <cellStyle name="표준 5 4 4 2 5 3 3" xfId="37252" xr:uid="{00000000-0005-0000-0000-00004BA90000}"/>
    <cellStyle name="표준 5 4 4 2 5 3 4" xfId="45445" xr:uid="{00000000-0005-0000-0000-00004CA90000}"/>
    <cellStyle name="표준 5 4 4 2 5 4" xfId="12447" xr:uid="{00000000-0005-0000-0000-00004DA90000}"/>
    <cellStyle name="표준 5 4 4 2 5 5" xfId="16687" xr:uid="{00000000-0005-0000-0000-00004EA90000}"/>
    <cellStyle name="표준 5 4 4 2 5 6" xfId="20849" xr:uid="{00000000-0005-0000-0000-00004FA90000}"/>
    <cellStyle name="표준 5 4 4 2 5 7" xfId="24945" xr:uid="{00000000-0005-0000-0000-000050A90000}"/>
    <cellStyle name="표준 5 4 4 2 5 8" xfId="33156" xr:uid="{00000000-0005-0000-0000-000051A90000}"/>
    <cellStyle name="표준 5 4 4 2 5 9" xfId="41349" xr:uid="{00000000-0005-0000-0000-000052A90000}"/>
    <cellStyle name="표준 5 4 4 2 6" xfId="1992" xr:uid="{00000000-0005-0000-0000-000053A90000}"/>
    <cellStyle name="표준 5 4 4 2 6 2" xfId="10895" xr:uid="{00000000-0005-0000-0000-000054A90000}"/>
    <cellStyle name="표준 5 4 4 2 6 2 2" xfId="15007" xr:uid="{00000000-0005-0000-0000-000055A90000}"/>
    <cellStyle name="표준 5 4 4 2 6 2 2 2" xfId="31601" xr:uid="{00000000-0005-0000-0000-000056A90000}"/>
    <cellStyle name="표준 5 4 4 2 6 2 2 3" xfId="39812" xr:uid="{00000000-0005-0000-0000-000057A90000}"/>
    <cellStyle name="표준 5 4 4 2 6 2 2 4" xfId="48005" xr:uid="{00000000-0005-0000-0000-000058A90000}"/>
    <cellStyle name="표준 5 4 4 2 6 2 3" xfId="19247" xr:uid="{00000000-0005-0000-0000-000059A90000}"/>
    <cellStyle name="표준 5 4 4 2 6 2 4" xfId="23409" xr:uid="{00000000-0005-0000-0000-00005AA90000}"/>
    <cellStyle name="표준 5 4 4 2 6 2 5" xfId="27505" xr:uid="{00000000-0005-0000-0000-00005BA90000}"/>
    <cellStyle name="표준 5 4 4 2 6 2 6" xfId="35716" xr:uid="{00000000-0005-0000-0000-00005CA90000}"/>
    <cellStyle name="표준 5 4 4 2 6 2 7" xfId="43909" xr:uid="{00000000-0005-0000-0000-00005DA90000}"/>
    <cellStyle name="표준 5 4 4 2 6 3" xfId="8847" xr:uid="{00000000-0005-0000-0000-00005EA90000}"/>
    <cellStyle name="표준 5 4 4 2 6 3 2" xfId="29553" xr:uid="{00000000-0005-0000-0000-00005FA90000}"/>
    <cellStyle name="표준 5 4 4 2 6 3 3" xfId="37764" xr:uid="{00000000-0005-0000-0000-000060A90000}"/>
    <cellStyle name="표준 5 4 4 2 6 3 4" xfId="45957" xr:uid="{00000000-0005-0000-0000-000061A90000}"/>
    <cellStyle name="표준 5 4 4 2 6 4" xfId="12959" xr:uid="{00000000-0005-0000-0000-000062A90000}"/>
    <cellStyle name="표준 5 4 4 2 6 5" xfId="17199" xr:uid="{00000000-0005-0000-0000-000063A90000}"/>
    <cellStyle name="표준 5 4 4 2 6 6" xfId="21361" xr:uid="{00000000-0005-0000-0000-000064A90000}"/>
    <cellStyle name="표준 5 4 4 2 6 7" xfId="25457" xr:uid="{00000000-0005-0000-0000-000065A90000}"/>
    <cellStyle name="표준 5 4 4 2 6 8" xfId="33668" xr:uid="{00000000-0005-0000-0000-000066A90000}"/>
    <cellStyle name="표준 5 4 4 2 6 9" xfId="41861" xr:uid="{00000000-0005-0000-0000-000067A90000}"/>
    <cellStyle name="표준 5 4 4 2 7" xfId="7052" xr:uid="{00000000-0005-0000-0000-000068A90000}"/>
    <cellStyle name="표준 5 4 4 2 7 2" xfId="9359" xr:uid="{00000000-0005-0000-0000-000069A90000}"/>
    <cellStyle name="표준 5 4 4 2 7 2 2" xfId="30065" xr:uid="{00000000-0005-0000-0000-00006AA90000}"/>
    <cellStyle name="표준 5 4 4 2 7 2 3" xfId="38276" xr:uid="{00000000-0005-0000-0000-00006BA90000}"/>
    <cellStyle name="표준 5 4 4 2 7 2 4" xfId="46469" xr:uid="{00000000-0005-0000-0000-00006CA90000}"/>
    <cellStyle name="표준 5 4 4 2 7 3" xfId="13471" xr:uid="{00000000-0005-0000-0000-00006DA90000}"/>
    <cellStyle name="표준 5 4 4 2 7 4" xfId="17711" xr:uid="{00000000-0005-0000-0000-00006EA90000}"/>
    <cellStyle name="표준 5 4 4 2 7 5" xfId="21873" xr:uid="{00000000-0005-0000-0000-00006FA90000}"/>
    <cellStyle name="표준 5 4 4 2 7 6" xfId="25969" xr:uid="{00000000-0005-0000-0000-000070A90000}"/>
    <cellStyle name="표준 5 4 4 2 7 7" xfId="34180" xr:uid="{00000000-0005-0000-0000-000071A90000}"/>
    <cellStyle name="표준 5 4 4 2 7 8" xfId="42373" xr:uid="{00000000-0005-0000-0000-000072A90000}"/>
    <cellStyle name="표준 5 4 4 2 8" xfId="7126" xr:uid="{00000000-0005-0000-0000-000073A90000}"/>
    <cellStyle name="표준 5 4 4 2 8 2" xfId="28017" xr:uid="{00000000-0005-0000-0000-000074A90000}"/>
    <cellStyle name="표준 5 4 4 2 8 3" xfId="36228" xr:uid="{00000000-0005-0000-0000-000075A90000}"/>
    <cellStyle name="표준 5 4 4 2 8 4" xfId="44421" xr:uid="{00000000-0005-0000-0000-000076A90000}"/>
    <cellStyle name="표준 5 4 4 2 9" xfId="7311" xr:uid="{00000000-0005-0000-0000-000077A90000}"/>
    <cellStyle name="표준 5 4 4 3" xfId="520" xr:uid="{00000000-0005-0000-0000-000078A90000}"/>
    <cellStyle name="표준 5 4 4 3 10" xfId="19889" xr:uid="{00000000-0005-0000-0000-000079A90000}"/>
    <cellStyle name="표준 5 4 4 3 11" xfId="23985" xr:uid="{00000000-0005-0000-0000-00007AA90000}"/>
    <cellStyle name="표준 5 4 4 3 12" xfId="32196" xr:uid="{00000000-0005-0000-0000-00007BA90000}"/>
    <cellStyle name="표준 5 4 4 3 13" xfId="40389" xr:uid="{00000000-0005-0000-0000-00007CA90000}"/>
    <cellStyle name="표준 5 4 4 3 2" xfId="776" xr:uid="{00000000-0005-0000-0000-00007DA90000}"/>
    <cellStyle name="표준 5 4 4 3 2 10" xfId="24241" xr:uid="{00000000-0005-0000-0000-00007EA90000}"/>
    <cellStyle name="표준 5 4 4 3 2 11" xfId="32452" xr:uid="{00000000-0005-0000-0000-00007FA90000}"/>
    <cellStyle name="표준 5 4 4 3 2 12" xfId="40645" xr:uid="{00000000-0005-0000-0000-000080A90000}"/>
    <cellStyle name="표준 5 4 4 3 2 2" xfId="1288" xr:uid="{00000000-0005-0000-0000-000081A90000}"/>
    <cellStyle name="표준 5 4 4 3 2 2 2" xfId="10191" xr:uid="{00000000-0005-0000-0000-000082A90000}"/>
    <cellStyle name="표준 5 4 4 3 2 2 2 2" xfId="14303" xr:uid="{00000000-0005-0000-0000-000083A90000}"/>
    <cellStyle name="표준 5 4 4 3 2 2 2 2 2" xfId="30897" xr:uid="{00000000-0005-0000-0000-000084A90000}"/>
    <cellStyle name="표준 5 4 4 3 2 2 2 2 3" xfId="39108" xr:uid="{00000000-0005-0000-0000-000085A90000}"/>
    <cellStyle name="표준 5 4 4 3 2 2 2 2 4" xfId="47301" xr:uid="{00000000-0005-0000-0000-000086A90000}"/>
    <cellStyle name="표준 5 4 4 3 2 2 2 3" xfId="18543" xr:uid="{00000000-0005-0000-0000-000087A90000}"/>
    <cellStyle name="표준 5 4 4 3 2 2 2 4" xfId="22705" xr:uid="{00000000-0005-0000-0000-000088A90000}"/>
    <cellStyle name="표준 5 4 4 3 2 2 2 5" xfId="26801" xr:uid="{00000000-0005-0000-0000-000089A90000}"/>
    <cellStyle name="표준 5 4 4 3 2 2 2 6" xfId="35012" xr:uid="{00000000-0005-0000-0000-00008AA90000}"/>
    <cellStyle name="표준 5 4 4 3 2 2 2 7" xfId="43205" xr:uid="{00000000-0005-0000-0000-00008BA90000}"/>
    <cellStyle name="표준 5 4 4 3 2 2 3" xfId="8143" xr:uid="{00000000-0005-0000-0000-00008CA90000}"/>
    <cellStyle name="표준 5 4 4 3 2 2 3 2" xfId="28849" xr:uid="{00000000-0005-0000-0000-00008DA90000}"/>
    <cellStyle name="표준 5 4 4 3 2 2 3 3" xfId="37060" xr:uid="{00000000-0005-0000-0000-00008EA90000}"/>
    <cellStyle name="표준 5 4 4 3 2 2 3 4" xfId="45253" xr:uid="{00000000-0005-0000-0000-00008FA90000}"/>
    <cellStyle name="표준 5 4 4 3 2 2 4" xfId="12255" xr:uid="{00000000-0005-0000-0000-000090A90000}"/>
    <cellStyle name="표준 5 4 4 3 2 2 5" xfId="16495" xr:uid="{00000000-0005-0000-0000-000091A90000}"/>
    <cellStyle name="표준 5 4 4 3 2 2 6" xfId="20657" xr:uid="{00000000-0005-0000-0000-000092A90000}"/>
    <cellStyle name="표준 5 4 4 3 2 2 7" xfId="24753" xr:uid="{00000000-0005-0000-0000-000093A90000}"/>
    <cellStyle name="표준 5 4 4 3 2 2 8" xfId="32964" xr:uid="{00000000-0005-0000-0000-000094A90000}"/>
    <cellStyle name="표준 5 4 4 3 2 2 9" xfId="41157" xr:uid="{00000000-0005-0000-0000-000095A90000}"/>
    <cellStyle name="표준 5 4 4 3 2 3" xfId="1800" xr:uid="{00000000-0005-0000-0000-000096A90000}"/>
    <cellStyle name="표준 5 4 4 3 2 3 2" xfId="10703" xr:uid="{00000000-0005-0000-0000-000097A90000}"/>
    <cellStyle name="표준 5 4 4 3 2 3 2 2" xfId="14815" xr:uid="{00000000-0005-0000-0000-000098A90000}"/>
    <cellStyle name="표준 5 4 4 3 2 3 2 2 2" xfId="31409" xr:uid="{00000000-0005-0000-0000-000099A90000}"/>
    <cellStyle name="표준 5 4 4 3 2 3 2 2 3" xfId="39620" xr:uid="{00000000-0005-0000-0000-00009AA90000}"/>
    <cellStyle name="표준 5 4 4 3 2 3 2 2 4" xfId="47813" xr:uid="{00000000-0005-0000-0000-00009BA90000}"/>
    <cellStyle name="표준 5 4 4 3 2 3 2 3" xfId="19055" xr:uid="{00000000-0005-0000-0000-00009CA90000}"/>
    <cellStyle name="표준 5 4 4 3 2 3 2 4" xfId="23217" xr:uid="{00000000-0005-0000-0000-00009DA90000}"/>
    <cellStyle name="표준 5 4 4 3 2 3 2 5" xfId="27313" xr:uid="{00000000-0005-0000-0000-00009EA90000}"/>
    <cellStyle name="표준 5 4 4 3 2 3 2 6" xfId="35524" xr:uid="{00000000-0005-0000-0000-00009FA90000}"/>
    <cellStyle name="표준 5 4 4 3 2 3 2 7" xfId="43717" xr:uid="{00000000-0005-0000-0000-0000A0A90000}"/>
    <cellStyle name="표준 5 4 4 3 2 3 3" xfId="8655" xr:uid="{00000000-0005-0000-0000-0000A1A90000}"/>
    <cellStyle name="표준 5 4 4 3 2 3 3 2" xfId="29361" xr:uid="{00000000-0005-0000-0000-0000A2A90000}"/>
    <cellStyle name="표준 5 4 4 3 2 3 3 3" xfId="37572" xr:uid="{00000000-0005-0000-0000-0000A3A90000}"/>
    <cellStyle name="표준 5 4 4 3 2 3 3 4" xfId="45765" xr:uid="{00000000-0005-0000-0000-0000A4A90000}"/>
    <cellStyle name="표준 5 4 4 3 2 3 4" xfId="12767" xr:uid="{00000000-0005-0000-0000-0000A5A90000}"/>
    <cellStyle name="표준 5 4 4 3 2 3 5" xfId="17007" xr:uid="{00000000-0005-0000-0000-0000A6A90000}"/>
    <cellStyle name="표준 5 4 4 3 2 3 6" xfId="21169" xr:uid="{00000000-0005-0000-0000-0000A7A90000}"/>
    <cellStyle name="표준 5 4 4 3 2 3 7" xfId="25265" xr:uid="{00000000-0005-0000-0000-0000A8A90000}"/>
    <cellStyle name="표준 5 4 4 3 2 3 8" xfId="33476" xr:uid="{00000000-0005-0000-0000-0000A9A90000}"/>
    <cellStyle name="표준 5 4 4 3 2 3 9" xfId="41669" xr:uid="{00000000-0005-0000-0000-0000AAA90000}"/>
    <cellStyle name="표준 5 4 4 3 2 4" xfId="2312" xr:uid="{00000000-0005-0000-0000-0000ABA90000}"/>
    <cellStyle name="표준 5 4 4 3 2 4 2" xfId="11215" xr:uid="{00000000-0005-0000-0000-0000ACA90000}"/>
    <cellStyle name="표준 5 4 4 3 2 4 2 2" xfId="15327" xr:uid="{00000000-0005-0000-0000-0000ADA90000}"/>
    <cellStyle name="표준 5 4 4 3 2 4 2 2 2" xfId="31921" xr:uid="{00000000-0005-0000-0000-0000AEA90000}"/>
    <cellStyle name="표준 5 4 4 3 2 4 2 2 3" xfId="40132" xr:uid="{00000000-0005-0000-0000-0000AFA90000}"/>
    <cellStyle name="표준 5 4 4 3 2 4 2 2 4" xfId="48325" xr:uid="{00000000-0005-0000-0000-0000B0A90000}"/>
    <cellStyle name="표준 5 4 4 3 2 4 2 3" xfId="19567" xr:uid="{00000000-0005-0000-0000-0000B1A90000}"/>
    <cellStyle name="표준 5 4 4 3 2 4 2 4" xfId="23729" xr:uid="{00000000-0005-0000-0000-0000B2A90000}"/>
    <cellStyle name="표준 5 4 4 3 2 4 2 5" xfId="27825" xr:uid="{00000000-0005-0000-0000-0000B3A90000}"/>
    <cellStyle name="표준 5 4 4 3 2 4 2 6" xfId="36036" xr:uid="{00000000-0005-0000-0000-0000B4A90000}"/>
    <cellStyle name="표준 5 4 4 3 2 4 2 7" xfId="44229" xr:uid="{00000000-0005-0000-0000-0000B5A90000}"/>
    <cellStyle name="표준 5 4 4 3 2 4 3" xfId="9167" xr:uid="{00000000-0005-0000-0000-0000B6A90000}"/>
    <cellStyle name="표준 5 4 4 3 2 4 3 2" xfId="29873" xr:uid="{00000000-0005-0000-0000-0000B7A90000}"/>
    <cellStyle name="표준 5 4 4 3 2 4 3 3" xfId="38084" xr:uid="{00000000-0005-0000-0000-0000B8A90000}"/>
    <cellStyle name="표준 5 4 4 3 2 4 3 4" xfId="46277" xr:uid="{00000000-0005-0000-0000-0000B9A90000}"/>
    <cellStyle name="표준 5 4 4 3 2 4 4" xfId="13279" xr:uid="{00000000-0005-0000-0000-0000BAA90000}"/>
    <cellStyle name="표준 5 4 4 3 2 4 5" xfId="17519" xr:uid="{00000000-0005-0000-0000-0000BBA90000}"/>
    <cellStyle name="표준 5 4 4 3 2 4 6" xfId="21681" xr:uid="{00000000-0005-0000-0000-0000BCA90000}"/>
    <cellStyle name="표준 5 4 4 3 2 4 7" xfId="25777" xr:uid="{00000000-0005-0000-0000-0000BDA90000}"/>
    <cellStyle name="표준 5 4 4 3 2 4 8" xfId="33988" xr:uid="{00000000-0005-0000-0000-0000BEA90000}"/>
    <cellStyle name="표준 5 4 4 3 2 4 9" xfId="42181" xr:uid="{00000000-0005-0000-0000-0000BFA90000}"/>
    <cellStyle name="표준 5 4 4 3 2 5" xfId="9679" xr:uid="{00000000-0005-0000-0000-0000C0A90000}"/>
    <cellStyle name="표준 5 4 4 3 2 5 2" xfId="13791" xr:uid="{00000000-0005-0000-0000-0000C1A90000}"/>
    <cellStyle name="표준 5 4 4 3 2 5 2 2" xfId="30385" xr:uid="{00000000-0005-0000-0000-0000C2A90000}"/>
    <cellStyle name="표준 5 4 4 3 2 5 2 3" xfId="38596" xr:uid="{00000000-0005-0000-0000-0000C3A90000}"/>
    <cellStyle name="표준 5 4 4 3 2 5 2 4" xfId="46789" xr:uid="{00000000-0005-0000-0000-0000C4A90000}"/>
    <cellStyle name="표준 5 4 4 3 2 5 3" xfId="18031" xr:uid="{00000000-0005-0000-0000-0000C5A90000}"/>
    <cellStyle name="표준 5 4 4 3 2 5 4" xfId="22193" xr:uid="{00000000-0005-0000-0000-0000C6A90000}"/>
    <cellStyle name="표준 5 4 4 3 2 5 5" xfId="26289" xr:uid="{00000000-0005-0000-0000-0000C7A90000}"/>
    <cellStyle name="표준 5 4 4 3 2 5 6" xfId="34500" xr:uid="{00000000-0005-0000-0000-0000C8A90000}"/>
    <cellStyle name="표준 5 4 4 3 2 5 7" xfId="42693" xr:uid="{00000000-0005-0000-0000-0000C9A90000}"/>
    <cellStyle name="표준 5 4 4 3 2 6" xfId="7631" xr:uid="{00000000-0005-0000-0000-0000CAA90000}"/>
    <cellStyle name="표준 5 4 4 3 2 6 2" xfId="28337" xr:uid="{00000000-0005-0000-0000-0000CBA90000}"/>
    <cellStyle name="표준 5 4 4 3 2 6 3" xfId="36548" xr:uid="{00000000-0005-0000-0000-0000CCA90000}"/>
    <cellStyle name="표준 5 4 4 3 2 6 4" xfId="44741" xr:uid="{00000000-0005-0000-0000-0000CDA90000}"/>
    <cellStyle name="표준 5 4 4 3 2 7" xfId="11743" xr:uid="{00000000-0005-0000-0000-0000CEA90000}"/>
    <cellStyle name="표준 5 4 4 3 2 8" xfId="15983" xr:uid="{00000000-0005-0000-0000-0000CFA90000}"/>
    <cellStyle name="표준 5 4 4 3 2 9" xfId="20145" xr:uid="{00000000-0005-0000-0000-0000D0A90000}"/>
    <cellStyle name="표준 5 4 4 3 3" xfId="1032" xr:uid="{00000000-0005-0000-0000-0000D1A90000}"/>
    <cellStyle name="표준 5 4 4 3 3 2" xfId="9935" xr:uid="{00000000-0005-0000-0000-0000D2A90000}"/>
    <cellStyle name="표준 5 4 4 3 3 2 2" xfId="14047" xr:uid="{00000000-0005-0000-0000-0000D3A90000}"/>
    <cellStyle name="표준 5 4 4 3 3 2 2 2" xfId="30641" xr:uid="{00000000-0005-0000-0000-0000D4A90000}"/>
    <cellStyle name="표준 5 4 4 3 3 2 2 3" xfId="38852" xr:uid="{00000000-0005-0000-0000-0000D5A90000}"/>
    <cellStyle name="표준 5 4 4 3 3 2 2 4" xfId="47045" xr:uid="{00000000-0005-0000-0000-0000D6A90000}"/>
    <cellStyle name="표준 5 4 4 3 3 2 3" xfId="18287" xr:uid="{00000000-0005-0000-0000-0000D7A90000}"/>
    <cellStyle name="표준 5 4 4 3 3 2 4" xfId="22449" xr:uid="{00000000-0005-0000-0000-0000D8A90000}"/>
    <cellStyle name="표준 5 4 4 3 3 2 5" xfId="26545" xr:uid="{00000000-0005-0000-0000-0000D9A90000}"/>
    <cellStyle name="표준 5 4 4 3 3 2 6" xfId="34756" xr:uid="{00000000-0005-0000-0000-0000DAA90000}"/>
    <cellStyle name="표준 5 4 4 3 3 2 7" xfId="42949" xr:uid="{00000000-0005-0000-0000-0000DBA90000}"/>
    <cellStyle name="표준 5 4 4 3 3 3" xfId="7887" xr:uid="{00000000-0005-0000-0000-0000DCA90000}"/>
    <cellStyle name="표준 5 4 4 3 3 3 2" xfId="28593" xr:uid="{00000000-0005-0000-0000-0000DDA90000}"/>
    <cellStyle name="표준 5 4 4 3 3 3 3" xfId="36804" xr:uid="{00000000-0005-0000-0000-0000DEA90000}"/>
    <cellStyle name="표준 5 4 4 3 3 3 4" xfId="44997" xr:uid="{00000000-0005-0000-0000-0000DFA90000}"/>
    <cellStyle name="표준 5 4 4 3 3 4" xfId="11999" xr:uid="{00000000-0005-0000-0000-0000E0A90000}"/>
    <cellStyle name="표준 5 4 4 3 3 5" xfId="16239" xr:uid="{00000000-0005-0000-0000-0000E1A90000}"/>
    <cellStyle name="표준 5 4 4 3 3 6" xfId="20401" xr:uid="{00000000-0005-0000-0000-0000E2A90000}"/>
    <cellStyle name="표준 5 4 4 3 3 7" xfId="24497" xr:uid="{00000000-0005-0000-0000-0000E3A90000}"/>
    <cellStyle name="표준 5 4 4 3 3 8" xfId="32708" xr:uid="{00000000-0005-0000-0000-0000E4A90000}"/>
    <cellStyle name="표준 5 4 4 3 3 9" xfId="40901" xr:uid="{00000000-0005-0000-0000-0000E5A90000}"/>
    <cellStyle name="표준 5 4 4 3 4" xfId="1544" xr:uid="{00000000-0005-0000-0000-0000E6A90000}"/>
    <cellStyle name="표준 5 4 4 3 4 2" xfId="10447" xr:uid="{00000000-0005-0000-0000-0000E7A90000}"/>
    <cellStyle name="표준 5 4 4 3 4 2 2" xfId="14559" xr:uid="{00000000-0005-0000-0000-0000E8A90000}"/>
    <cellStyle name="표준 5 4 4 3 4 2 2 2" xfId="31153" xr:uid="{00000000-0005-0000-0000-0000E9A90000}"/>
    <cellStyle name="표준 5 4 4 3 4 2 2 3" xfId="39364" xr:uid="{00000000-0005-0000-0000-0000EAA90000}"/>
    <cellStyle name="표준 5 4 4 3 4 2 2 4" xfId="47557" xr:uid="{00000000-0005-0000-0000-0000EBA90000}"/>
    <cellStyle name="표준 5 4 4 3 4 2 3" xfId="18799" xr:uid="{00000000-0005-0000-0000-0000ECA90000}"/>
    <cellStyle name="표준 5 4 4 3 4 2 4" xfId="22961" xr:uid="{00000000-0005-0000-0000-0000EDA90000}"/>
    <cellStyle name="표준 5 4 4 3 4 2 5" xfId="27057" xr:uid="{00000000-0005-0000-0000-0000EEA90000}"/>
    <cellStyle name="표준 5 4 4 3 4 2 6" xfId="35268" xr:uid="{00000000-0005-0000-0000-0000EFA90000}"/>
    <cellStyle name="표준 5 4 4 3 4 2 7" xfId="43461" xr:uid="{00000000-0005-0000-0000-0000F0A90000}"/>
    <cellStyle name="표준 5 4 4 3 4 3" xfId="8399" xr:uid="{00000000-0005-0000-0000-0000F1A90000}"/>
    <cellStyle name="표준 5 4 4 3 4 3 2" xfId="29105" xr:uid="{00000000-0005-0000-0000-0000F2A90000}"/>
    <cellStyle name="표준 5 4 4 3 4 3 3" xfId="37316" xr:uid="{00000000-0005-0000-0000-0000F3A90000}"/>
    <cellStyle name="표준 5 4 4 3 4 3 4" xfId="45509" xr:uid="{00000000-0005-0000-0000-0000F4A90000}"/>
    <cellStyle name="표준 5 4 4 3 4 4" xfId="12511" xr:uid="{00000000-0005-0000-0000-0000F5A90000}"/>
    <cellStyle name="표준 5 4 4 3 4 5" xfId="16751" xr:uid="{00000000-0005-0000-0000-0000F6A90000}"/>
    <cellStyle name="표준 5 4 4 3 4 6" xfId="20913" xr:uid="{00000000-0005-0000-0000-0000F7A90000}"/>
    <cellStyle name="표준 5 4 4 3 4 7" xfId="25009" xr:uid="{00000000-0005-0000-0000-0000F8A90000}"/>
    <cellStyle name="표준 5 4 4 3 4 8" xfId="33220" xr:uid="{00000000-0005-0000-0000-0000F9A90000}"/>
    <cellStyle name="표준 5 4 4 3 4 9" xfId="41413" xr:uid="{00000000-0005-0000-0000-0000FAA90000}"/>
    <cellStyle name="표준 5 4 4 3 5" xfId="2056" xr:uid="{00000000-0005-0000-0000-0000FBA90000}"/>
    <cellStyle name="표준 5 4 4 3 5 2" xfId="10959" xr:uid="{00000000-0005-0000-0000-0000FCA90000}"/>
    <cellStyle name="표준 5 4 4 3 5 2 2" xfId="15071" xr:uid="{00000000-0005-0000-0000-0000FDA90000}"/>
    <cellStyle name="표준 5 4 4 3 5 2 2 2" xfId="31665" xr:uid="{00000000-0005-0000-0000-0000FEA90000}"/>
    <cellStyle name="표준 5 4 4 3 5 2 2 3" xfId="39876" xr:uid="{00000000-0005-0000-0000-0000FFA90000}"/>
    <cellStyle name="표준 5 4 4 3 5 2 2 4" xfId="48069" xr:uid="{00000000-0005-0000-0000-000000AA0000}"/>
    <cellStyle name="표준 5 4 4 3 5 2 3" xfId="19311" xr:uid="{00000000-0005-0000-0000-000001AA0000}"/>
    <cellStyle name="표준 5 4 4 3 5 2 4" xfId="23473" xr:uid="{00000000-0005-0000-0000-000002AA0000}"/>
    <cellStyle name="표준 5 4 4 3 5 2 5" xfId="27569" xr:uid="{00000000-0005-0000-0000-000003AA0000}"/>
    <cellStyle name="표준 5 4 4 3 5 2 6" xfId="35780" xr:uid="{00000000-0005-0000-0000-000004AA0000}"/>
    <cellStyle name="표준 5 4 4 3 5 2 7" xfId="43973" xr:uid="{00000000-0005-0000-0000-000005AA0000}"/>
    <cellStyle name="표준 5 4 4 3 5 3" xfId="8911" xr:uid="{00000000-0005-0000-0000-000006AA0000}"/>
    <cellStyle name="표준 5 4 4 3 5 3 2" xfId="29617" xr:uid="{00000000-0005-0000-0000-000007AA0000}"/>
    <cellStyle name="표준 5 4 4 3 5 3 3" xfId="37828" xr:uid="{00000000-0005-0000-0000-000008AA0000}"/>
    <cellStyle name="표준 5 4 4 3 5 3 4" xfId="46021" xr:uid="{00000000-0005-0000-0000-000009AA0000}"/>
    <cellStyle name="표준 5 4 4 3 5 4" xfId="13023" xr:uid="{00000000-0005-0000-0000-00000AAA0000}"/>
    <cellStyle name="표준 5 4 4 3 5 5" xfId="17263" xr:uid="{00000000-0005-0000-0000-00000BAA0000}"/>
    <cellStyle name="표준 5 4 4 3 5 6" xfId="21425" xr:uid="{00000000-0005-0000-0000-00000CAA0000}"/>
    <cellStyle name="표준 5 4 4 3 5 7" xfId="25521" xr:uid="{00000000-0005-0000-0000-00000DAA0000}"/>
    <cellStyle name="표준 5 4 4 3 5 8" xfId="33732" xr:uid="{00000000-0005-0000-0000-00000EAA0000}"/>
    <cellStyle name="표준 5 4 4 3 5 9" xfId="41925" xr:uid="{00000000-0005-0000-0000-00000FAA0000}"/>
    <cellStyle name="표준 5 4 4 3 6" xfId="9423" xr:uid="{00000000-0005-0000-0000-000010AA0000}"/>
    <cellStyle name="표준 5 4 4 3 6 2" xfId="13535" xr:uid="{00000000-0005-0000-0000-000011AA0000}"/>
    <cellStyle name="표준 5 4 4 3 6 2 2" xfId="30129" xr:uid="{00000000-0005-0000-0000-000012AA0000}"/>
    <cellStyle name="표준 5 4 4 3 6 2 3" xfId="38340" xr:uid="{00000000-0005-0000-0000-000013AA0000}"/>
    <cellStyle name="표준 5 4 4 3 6 2 4" xfId="46533" xr:uid="{00000000-0005-0000-0000-000014AA0000}"/>
    <cellStyle name="표준 5 4 4 3 6 3" xfId="17775" xr:uid="{00000000-0005-0000-0000-000015AA0000}"/>
    <cellStyle name="표준 5 4 4 3 6 4" xfId="21937" xr:uid="{00000000-0005-0000-0000-000016AA0000}"/>
    <cellStyle name="표준 5 4 4 3 6 5" xfId="26033" xr:uid="{00000000-0005-0000-0000-000017AA0000}"/>
    <cellStyle name="표준 5 4 4 3 6 6" xfId="34244" xr:uid="{00000000-0005-0000-0000-000018AA0000}"/>
    <cellStyle name="표준 5 4 4 3 6 7" xfId="42437" xr:uid="{00000000-0005-0000-0000-000019AA0000}"/>
    <cellStyle name="표준 5 4 4 3 7" xfId="7375" xr:uid="{00000000-0005-0000-0000-00001AAA0000}"/>
    <cellStyle name="표준 5 4 4 3 7 2" xfId="28081" xr:uid="{00000000-0005-0000-0000-00001BAA0000}"/>
    <cellStyle name="표준 5 4 4 3 7 3" xfId="36292" xr:uid="{00000000-0005-0000-0000-00001CAA0000}"/>
    <cellStyle name="표준 5 4 4 3 7 4" xfId="44485" xr:uid="{00000000-0005-0000-0000-00001DAA0000}"/>
    <cellStyle name="표준 5 4 4 3 8" xfId="11487" xr:uid="{00000000-0005-0000-0000-00001EAA0000}"/>
    <cellStyle name="표준 5 4 4 3 9" xfId="15727" xr:uid="{00000000-0005-0000-0000-00001FAA0000}"/>
    <cellStyle name="표준 5 4 4 4" xfId="648" xr:uid="{00000000-0005-0000-0000-000020AA0000}"/>
    <cellStyle name="표준 5 4 4 4 10" xfId="24113" xr:uid="{00000000-0005-0000-0000-000021AA0000}"/>
    <cellStyle name="표준 5 4 4 4 11" xfId="32324" xr:uid="{00000000-0005-0000-0000-000022AA0000}"/>
    <cellStyle name="표준 5 4 4 4 12" xfId="40517" xr:uid="{00000000-0005-0000-0000-000023AA0000}"/>
    <cellStyle name="표준 5 4 4 4 2" xfId="1160" xr:uid="{00000000-0005-0000-0000-000024AA0000}"/>
    <cellStyle name="표준 5 4 4 4 2 2" xfId="10063" xr:uid="{00000000-0005-0000-0000-000025AA0000}"/>
    <cellStyle name="표준 5 4 4 4 2 2 2" xfId="14175" xr:uid="{00000000-0005-0000-0000-000026AA0000}"/>
    <cellStyle name="표준 5 4 4 4 2 2 2 2" xfId="30769" xr:uid="{00000000-0005-0000-0000-000027AA0000}"/>
    <cellStyle name="표준 5 4 4 4 2 2 2 3" xfId="38980" xr:uid="{00000000-0005-0000-0000-000028AA0000}"/>
    <cellStyle name="표준 5 4 4 4 2 2 2 4" xfId="47173" xr:uid="{00000000-0005-0000-0000-000029AA0000}"/>
    <cellStyle name="표준 5 4 4 4 2 2 3" xfId="18415" xr:uid="{00000000-0005-0000-0000-00002AAA0000}"/>
    <cellStyle name="표준 5 4 4 4 2 2 4" xfId="22577" xr:uid="{00000000-0005-0000-0000-00002BAA0000}"/>
    <cellStyle name="표준 5 4 4 4 2 2 5" xfId="26673" xr:uid="{00000000-0005-0000-0000-00002CAA0000}"/>
    <cellStyle name="표준 5 4 4 4 2 2 6" xfId="34884" xr:uid="{00000000-0005-0000-0000-00002DAA0000}"/>
    <cellStyle name="표준 5 4 4 4 2 2 7" xfId="43077" xr:uid="{00000000-0005-0000-0000-00002EAA0000}"/>
    <cellStyle name="표준 5 4 4 4 2 3" xfId="8015" xr:uid="{00000000-0005-0000-0000-00002FAA0000}"/>
    <cellStyle name="표준 5 4 4 4 2 3 2" xfId="28721" xr:uid="{00000000-0005-0000-0000-000030AA0000}"/>
    <cellStyle name="표준 5 4 4 4 2 3 3" xfId="36932" xr:uid="{00000000-0005-0000-0000-000031AA0000}"/>
    <cellStyle name="표준 5 4 4 4 2 3 4" xfId="45125" xr:uid="{00000000-0005-0000-0000-000032AA0000}"/>
    <cellStyle name="표준 5 4 4 4 2 4" xfId="12127" xr:uid="{00000000-0005-0000-0000-000033AA0000}"/>
    <cellStyle name="표준 5 4 4 4 2 5" xfId="16367" xr:uid="{00000000-0005-0000-0000-000034AA0000}"/>
    <cellStyle name="표준 5 4 4 4 2 6" xfId="20529" xr:uid="{00000000-0005-0000-0000-000035AA0000}"/>
    <cellStyle name="표준 5 4 4 4 2 7" xfId="24625" xr:uid="{00000000-0005-0000-0000-000036AA0000}"/>
    <cellStyle name="표준 5 4 4 4 2 8" xfId="32836" xr:uid="{00000000-0005-0000-0000-000037AA0000}"/>
    <cellStyle name="표준 5 4 4 4 2 9" xfId="41029" xr:uid="{00000000-0005-0000-0000-000038AA0000}"/>
    <cellStyle name="표준 5 4 4 4 3" xfId="1672" xr:uid="{00000000-0005-0000-0000-000039AA0000}"/>
    <cellStyle name="표준 5 4 4 4 3 2" xfId="10575" xr:uid="{00000000-0005-0000-0000-00003AAA0000}"/>
    <cellStyle name="표준 5 4 4 4 3 2 2" xfId="14687" xr:uid="{00000000-0005-0000-0000-00003BAA0000}"/>
    <cellStyle name="표준 5 4 4 4 3 2 2 2" xfId="31281" xr:uid="{00000000-0005-0000-0000-00003CAA0000}"/>
    <cellStyle name="표준 5 4 4 4 3 2 2 3" xfId="39492" xr:uid="{00000000-0005-0000-0000-00003DAA0000}"/>
    <cellStyle name="표준 5 4 4 4 3 2 2 4" xfId="47685" xr:uid="{00000000-0005-0000-0000-00003EAA0000}"/>
    <cellStyle name="표준 5 4 4 4 3 2 3" xfId="18927" xr:uid="{00000000-0005-0000-0000-00003FAA0000}"/>
    <cellStyle name="표준 5 4 4 4 3 2 4" xfId="23089" xr:uid="{00000000-0005-0000-0000-000040AA0000}"/>
    <cellStyle name="표준 5 4 4 4 3 2 5" xfId="27185" xr:uid="{00000000-0005-0000-0000-000041AA0000}"/>
    <cellStyle name="표준 5 4 4 4 3 2 6" xfId="35396" xr:uid="{00000000-0005-0000-0000-000042AA0000}"/>
    <cellStyle name="표준 5 4 4 4 3 2 7" xfId="43589" xr:uid="{00000000-0005-0000-0000-000043AA0000}"/>
    <cellStyle name="표준 5 4 4 4 3 3" xfId="8527" xr:uid="{00000000-0005-0000-0000-000044AA0000}"/>
    <cellStyle name="표준 5 4 4 4 3 3 2" xfId="29233" xr:uid="{00000000-0005-0000-0000-000045AA0000}"/>
    <cellStyle name="표준 5 4 4 4 3 3 3" xfId="37444" xr:uid="{00000000-0005-0000-0000-000046AA0000}"/>
    <cellStyle name="표준 5 4 4 4 3 3 4" xfId="45637" xr:uid="{00000000-0005-0000-0000-000047AA0000}"/>
    <cellStyle name="표준 5 4 4 4 3 4" xfId="12639" xr:uid="{00000000-0005-0000-0000-000048AA0000}"/>
    <cellStyle name="표준 5 4 4 4 3 5" xfId="16879" xr:uid="{00000000-0005-0000-0000-000049AA0000}"/>
    <cellStyle name="표준 5 4 4 4 3 6" xfId="21041" xr:uid="{00000000-0005-0000-0000-00004AAA0000}"/>
    <cellStyle name="표준 5 4 4 4 3 7" xfId="25137" xr:uid="{00000000-0005-0000-0000-00004BAA0000}"/>
    <cellStyle name="표준 5 4 4 4 3 8" xfId="33348" xr:uid="{00000000-0005-0000-0000-00004CAA0000}"/>
    <cellStyle name="표준 5 4 4 4 3 9" xfId="41541" xr:uid="{00000000-0005-0000-0000-00004DAA0000}"/>
    <cellStyle name="표준 5 4 4 4 4" xfId="2184" xr:uid="{00000000-0005-0000-0000-00004EAA0000}"/>
    <cellStyle name="표준 5 4 4 4 4 2" xfId="11087" xr:uid="{00000000-0005-0000-0000-00004FAA0000}"/>
    <cellStyle name="표준 5 4 4 4 4 2 2" xfId="15199" xr:uid="{00000000-0005-0000-0000-000050AA0000}"/>
    <cellStyle name="표준 5 4 4 4 4 2 2 2" xfId="31793" xr:uid="{00000000-0005-0000-0000-000051AA0000}"/>
    <cellStyle name="표준 5 4 4 4 4 2 2 3" xfId="40004" xr:uid="{00000000-0005-0000-0000-000052AA0000}"/>
    <cellStyle name="표준 5 4 4 4 4 2 2 4" xfId="48197" xr:uid="{00000000-0005-0000-0000-000053AA0000}"/>
    <cellStyle name="표준 5 4 4 4 4 2 3" xfId="19439" xr:uid="{00000000-0005-0000-0000-000054AA0000}"/>
    <cellStyle name="표준 5 4 4 4 4 2 4" xfId="23601" xr:uid="{00000000-0005-0000-0000-000055AA0000}"/>
    <cellStyle name="표준 5 4 4 4 4 2 5" xfId="27697" xr:uid="{00000000-0005-0000-0000-000056AA0000}"/>
    <cellStyle name="표준 5 4 4 4 4 2 6" xfId="35908" xr:uid="{00000000-0005-0000-0000-000057AA0000}"/>
    <cellStyle name="표준 5 4 4 4 4 2 7" xfId="44101" xr:uid="{00000000-0005-0000-0000-000058AA0000}"/>
    <cellStyle name="표준 5 4 4 4 4 3" xfId="9039" xr:uid="{00000000-0005-0000-0000-000059AA0000}"/>
    <cellStyle name="표준 5 4 4 4 4 3 2" xfId="29745" xr:uid="{00000000-0005-0000-0000-00005AAA0000}"/>
    <cellStyle name="표준 5 4 4 4 4 3 3" xfId="37956" xr:uid="{00000000-0005-0000-0000-00005BAA0000}"/>
    <cellStyle name="표준 5 4 4 4 4 3 4" xfId="46149" xr:uid="{00000000-0005-0000-0000-00005CAA0000}"/>
    <cellStyle name="표준 5 4 4 4 4 4" xfId="13151" xr:uid="{00000000-0005-0000-0000-00005DAA0000}"/>
    <cellStyle name="표준 5 4 4 4 4 5" xfId="17391" xr:uid="{00000000-0005-0000-0000-00005EAA0000}"/>
    <cellStyle name="표준 5 4 4 4 4 6" xfId="21553" xr:uid="{00000000-0005-0000-0000-00005FAA0000}"/>
    <cellStyle name="표준 5 4 4 4 4 7" xfId="25649" xr:uid="{00000000-0005-0000-0000-000060AA0000}"/>
    <cellStyle name="표준 5 4 4 4 4 8" xfId="33860" xr:uid="{00000000-0005-0000-0000-000061AA0000}"/>
    <cellStyle name="표준 5 4 4 4 4 9" xfId="42053" xr:uid="{00000000-0005-0000-0000-000062AA0000}"/>
    <cellStyle name="표준 5 4 4 4 5" xfId="9551" xr:uid="{00000000-0005-0000-0000-000063AA0000}"/>
    <cellStyle name="표준 5 4 4 4 5 2" xfId="13663" xr:uid="{00000000-0005-0000-0000-000064AA0000}"/>
    <cellStyle name="표준 5 4 4 4 5 2 2" xfId="30257" xr:uid="{00000000-0005-0000-0000-000065AA0000}"/>
    <cellStyle name="표준 5 4 4 4 5 2 3" xfId="38468" xr:uid="{00000000-0005-0000-0000-000066AA0000}"/>
    <cellStyle name="표준 5 4 4 4 5 2 4" xfId="46661" xr:uid="{00000000-0005-0000-0000-000067AA0000}"/>
    <cellStyle name="표준 5 4 4 4 5 3" xfId="17903" xr:uid="{00000000-0005-0000-0000-000068AA0000}"/>
    <cellStyle name="표준 5 4 4 4 5 4" xfId="22065" xr:uid="{00000000-0005-0000-0000-000069AA0000}"/>
    <cellStyle name="표준 5 4 4 4 5 5" xfId="26161" xr:uid="{00000000-0005-0000-0000-00006AAA0000}"/>
    <cellStyle name="표준 5 4 4 4 5 6" xfId="34372" xr:uid="{00000000-0005-0000-0000-00006BAA0000}"/>
    <cellStyle name="표준 5 4 4 4 5 7" xfId="42565" xr:uid="{00000000-0005-0000-0000-00006CAA0000}"/>
    <cellStyle name="표준 5 4 4 4 6" xfId="7503" xr:uid="{00000000-0005-0000-0000-00006DAA0000}"/>
    <cellStyle name="표준 5 4 4 4 6 2" xfId="28209" xr:uid="{00000000-0005-0000-0000-00006EAA0000}"/>
    <cellStyle name="표준 5 4 4 4 6 3" xfId="36420" xr:uid="{00000000-0005-0000-0000-00006FAA0000}"/>
    <cellStyle name="표준 5 4 4 4 6 4" xfId="44613" xr:uid="{00000000-0005-0000-0000-000070AA0000}"/>
    <cellStyle name="표준 5 4 4 4 7" xfId="11615" xr:uid="{00000000-0005-0000-0000-000071AA0000}"/>
    <cellStyle name="표준 5 4 4 4 8" xfId="15855" xr:uid="{00000000-0005-0000-0000-000072AA0000}"/>
    <cellStyle name="표준 5 4 4 4 9" xfId="20017" xr:uid="{00000000-0005-0000-0000-000073AA0000}"/>
    <cellStyle name="표준 5 4 4 5" xfId="904" xr:uid="{00000000-0005-0000-0000-000074AA0000}"/>
    <cellStyle name="표준 5 4 4 5 2" xfId="9807" xr:uid="{00000000-0005-0000-0000-000075AA0000}"/>
    <cellStyle name="표준 5 4 4 5 2 2" xfId="13919" xr:uid="{00000000-0005-0000-0000-000076AA0000}"/>
    <cellStyle name="표준 5 4 4 5 2 2 2" xfId="30513" xr:uid="{00000000-0005-0000-0000-000077AA0000}"/>
    <cellStyle name="표준 5 4 4 5 2 2 3" xfId="38724" xr:uid="{00000000-0005-0000-0000-000078AA0000}"/>
    <cellStyle name="표준 5 4 4 5 2 2 4" xfId="46917" xr:uid="{00000000-0005-0000-0000-000079AA0000}"/>
    <cellStyle name="표준 5 4 4 5 2 3" xfId="18159" xr:uid="{00000000-0005-0000-0000-00007AAA0000}"/>
    <cellStyle name="표준 5 4 4 5 2 4" xfId="22321" xr:uid="{00000000-0005-0000-0000-00007BAA0000}"/>
    <cellStyle name="표준 5 4 4 5 2 5" xfId="26417" xr:uid="{00000000-0005-0000-0000-00007CAA0000}"/>
    <cellStyle name="표준 5 4 4 5 2 6" xfId="34628" xr:uid="{00000000-0005-0000-0000-00007DAA0000}"/>
    <cellStyle name="표준 5 4 4 5 2 7" xfId="42821" xr:uid="{00000000-0005-0000-0000-00007EAA0000}"/>
    <cellStyle name="표준 5 4 4 5 3" xfId="7759" xr:uid="{00000000-0005-0000-0000-00007FAA0000}"/>
    <cellStyle name="표준 5 4 4 5 3 2" xfId="28465" xr:uid="{00000000-0005-0000-0000-000080AA0000}"/>
    <cellStyle name="표준 5 4 4 5 3 3" xfId="36676" xr:uid="{00000000-0005-0000-0000-000081AA0000}"/>
    <cellStyle name="표준 5 4 4 5 3 4" xfId="44869" xr:uid="{00000000-0005-0000-0000-000082AA0000}"/>
    <cellStyle name="표준 5 4 4 5 4" xfId="11871" xr:uid="{00000000-0005-0000-0000-000083AA0000}"/>
    <cellStyle name="표준 5 4 4 5 5" xfId="16111" xr:uid="{00000000-0005-0000-0000-000084AA0000}"/>
    <cellStyle name="표준 5 4 4 5 6" xfId="20273" xr:uid="{00000000-0005-0000-0000-000085AA0000}"/>
    <cellStyle name="표준 5 4 4 5 7" xfId="24369" xr:uid="{00000000-0005-0000-0000-000086AA0000}"/>
    <cellStyle name="표준 5 4 4 5 8" xfId="32580" xr:uid="{00000000-0005-0000-0000-000087AA0000}"/>
    <cellStyle name="표준 5 4 4 5 9" xfId="40773" xr:uid="{00000000-0005-0000-0000-000088AA0000}"/>
    <cellStyle name="표준 5 4 4 6" xfId="1416" xr:uid="{00000000-0005-0000-0000-000089AA0000}"/>
    <cellStyle name="표준 5 4 4 6 2" xfId="10319" xr:uid="{00000000-0005-0000-0000-00008AAA0000}"/>
    <cellStyle name="표준 5 4 4 6 2 2" xfId="14431" xr:uid="{00000000-0005-0000-0000-00008BAA0000}"/>
    <cellStyle name="표준 5 4 4 6 2 2 2" xfId="31025" xr:uid="{00000000-0005-0000-0000-00008CAA0000}"/>
    <cellStyle name="표준 5 4 4 6 2 2 3" xfId="39236" xr:uid="{00000000-0005-0000-0000-00008DAA0000}"/>
    <cellStyle name="표준 5 4 4 6 2 2 4" xfId="47429" xr:uid="{00000000-0005-0000-0000-00008EAA0000}"/>
    <cellStyle name="표준 5 4 4 6 2 3" xfId="18671" xr:uid="{00000000-0005-0000-0000-00008FAA0000}"/>
    <cellStyle name="표준 5 4 4 6 2 4" xfId="22833" xr:uid="{00000000-0005-0000-0000-000090AA0000}"/>
    <cellStyle name="표준 5 4 4 6 2 5" xfId="26929" xr:uid="{00000000-0005-0000-0000-000091AA0000}"/>
    <cellStyle name="표준 5 4 4 6 2 6" xfId="35140" xr:uid="{00000000-0005-0000-0000-000092AA0000}"/>
    <cellStyle name="표준 5 4 4 6 2 7" xfId="43333" xr:uid="{00000000-0005-0000-0000-000093AA0000}"/>
    <cellStyle name="표준 5 4 4 6 3" xfId="8271" xr:uid="{00000000-0005-0000-0000-000094AA0000}"/>
    <cellStyle name="표준 5 4 4 6 3 2" xfId="28977" xr:uid="{00000000-0005-0000-0000-000095AA0000}"/>
    <cellStyle name="표준 5 4 4 6 3 3" xfId="37188" xr:uid="{00000000-0005-0000-0000-000096AA0000}"/>
    <cellStyle name="표준 5 4 4 6 3 4" xfId="45381" xr:uid="{00000000-0005-0000-0000-000097AA0000}"/>
    <cellStyle name="표준 5 4 4 6 4" xfId="12383" xr:uid="{00000000-0005-0000-0000-000098AA0000}"/>
    <cellStyle name="표준 5 4 4 6 5" xfId="16623" xr:uid="{00000000-0005-0000-0000-000099AA0000}"/>
    <cellStyle name="표준 5 4 4 6 6" xfId="20785" xr:uid="{00000000-0005-0000-0000-00009AAA0000}"/>
    <cellStyle name="표준 5 4 4 6 7" xfId="24881" xr:uid="{00000000-0005-0000-0000-00009BAA0000}"/>
    <cellStyle name="표준 5 4 4 6 8" xfId="33092" xr:uid="{00000000-0005-0000-0000-00009CAA0000}"/>
    <cellStyle name="표준 5 4 4 6 9" xfId="41285" xr:uid="{00000000-0005-0000-0000-00009DAA0000}"/>
    <cellStyle name="표준 5 4 4 7" xfId="1928" xr:uid="{00000000-0005-0000-0000-00009EAA0000}"/>
    <cellStyle name="표준 5 4 4 7 2" xfId="10831" xr:uid="{00000000-0005-0000-0000-00009FAA0000}"/>
    <cellStyle name="표준 5 4 4 7 2 2" xfId="14943" xr:uid="{00000000-0005-0000-0000-0000A0AA0000}"/>
    <cellStyle name="표준 5 4 4 7 2 2 2" xfId="31537" xr:uid="{00000000-0005-0000-0000-0000A1AA0000}"/>
    <cellStyle name="표준 5 4 4 7 2 2 3" xfId="39748" xr:uid="{00000000-0005-0000-0000-0000A2AA0000}"/>
    <cellStyle name="표준 5 4 4 7 2 2 4" xfId="47941" xr:uid="{00000000-0005-0000-0000-0000A3AA0000}"/>
    <cellStyle name="표준 5 4 4 7 2 3" xfId="19183" xr:uid="{00000000-0005-0000-0000-0000A4AA0000}"/>
    <cellStyle name="표준 5 4 4 7 2 4" xfId="23345" xr:uid="{00000000-0005-0000-0000-0000A5AA0000}"/>
    <cellStyle name="표준 5 4 4 7 2 5" xfId="27441" xr:uid="{00000000-0005-0000-0000-0000A6AA0000}"/>
    <cellStyle name="표준 5 4 4 7 2 6" xfId="35652" xr:uid="{00000000-0005-0000-0000-0000A7AA0000}"/>
    <cellStyle name="표준 5 4 4 7 2 7" xfId="43845" xr:uid="{00000000-0005-0000-0000-0000A8AA0000}"/>
    <cellStyle name="표준 5 4 4 7 3" xfId="8783" xr:uid="{00000000-0005-0000-0000-0000A9AA0000}"/>
    <cellStyle name="표준 5 4 4 7 3 2" xfId="29489" xr:uid="{00000000-0005-0000-0000-0000AAAA0000}"/>
    <cellStyle name="표준 5 4 4 7 3 3" xfId="37700" xr:uid="{00000000-0005-0000-0000-0000ABAA0000}"/>
    <cellStyle name="표준 5 4 4 7 3 4" xfId="45893" xr:uid="{00000000-0005-0000-0000-0000ACAA0000}"/>
    <cellStyle name="표준 5 4 4 7 4" xfId="12895" xr:uid="{00000000-0005-0000-0000-0000ADAA0000}"/>
    <cellStyle name="표준 5 4 4 7 5" xfId="17135" xr:uid="{00000000-0005-0000-0000-0000AEAA0000}"/>
    <cellStyle name="표준 5 4 4 7 6" xfId="21297" xr:uid="{00000000-0005-0000-0000-0000AFAA0000}"/>
    <cellStyle name="표준 5 4 4 7 7" xfId="25393" xr:uid="{00000000-0005-0000-0000-0000B0AA0000}"/>
    <cellStyle name="표준 5 4 4 7 8" xfId="33604" xr:uid="{00000000-0005-0000-0000-0000B1AA0000}"/>
    <cellStyle name="표준 5 4 4 7 9" xfId="41797" xr:uid="{00000000-0005-0000-0000-0000B2AA0000}"/>
    <cellStyle name="표준 5 4 4 8" xfId="392" xr:uid="{00000000-0005-0000-0000-0000B3AA0000}"/>
    <cellStyle name="표준 5 4 4 8 2" xfId="9295" xr:uid="{00000000-0005-0000-0000-0000B4AA0000}"/>
    <cellStyle name="표준 5 4 4 8 2 2" xfId="30001" xr:uid="{00000000-0005-0000-0000-0000B5AA0000}"/>
    <cellStyle name="표준 5 4 4 8 2 3" xfId="38212" xr:uid="{00000000-0005-0000-0000-0000B6AA0000}"/>
    <cellStyle name="표준 5 4 4 8 2 4" xfId="46405" xr:uid="{00000000-0005-0000-0000-0000B7AA0000}"/>
    <cellStyle name="표준 5 4 4 8 3" xfId="13407" xr:uid="{00000000-0005-0000-0000-0000B8AA0000}"/>
    <cellStyle name="표준 5 4 4 8 4" xfId="17647" xr:uid="{00000000-0005-0000-0000-0000B9AA0000}"/>
    <cellStyle name="표준 5 4 4 8 5" xfId="21809" xr:uid="{00000000-0005-0000-0000-0000BAAA0000}"/>
    <cellStyle name="표준 5 4 4 8 6" xfId="25905" xr:uid="{00000000-0005-0000-0000-0000BBAA0000}"/>
    <cellStyle name="표준 5 4 4 8 7" xfId="34116" xr:uid="{00000000-0005-0000-0000-0000BCAA0000}"/>
    <cellStyle name="표준 5 4 4 8 8" xfId="42309" xr:uid="{00000000-0005-0000-0000-0000BDAA0000}"/>
    <cellStyle name="표준 5 4 4 9" xfId="6994" xr:uid="{00000000-0005-0000-0000-0000BEAA0000}"/>
    <cellStyle name="표준 5 4 4 9 2" xfId="27953" xr:uid="{00000000-0005-0000-0000-0000BFAA0000}"/>
    <cellStyle name="표준 5 4 4 9 3" xfId="36164" xr:uid="{00000000-0005-0000-0000-0000C0AA0000}"/>
    <cellStyle name="표준 5 4 4 9 4" xfId="44357" xr:uid="{00000000-0005-0000-0000-0000C1AA0000}"/>
    <cellStyle name="표준 5 4 5" xfId="424" xr:uid="{00000000-0005-0000-0000-0000C2AA0000}"/>
    <cellStyle name="표준 5 4 5 10" xfId="11391" xr:uid="{00000000-0005-0000-0000-0000C3AA0000}"/>
    <cellStyle name="표준 5 4 5 11" xfId="15503" xr:uid="{00000000-0005-0000-0000-0000C4AA0000}"/>
    <cellStyle name="표준 5 4 5 12" xfId="15631" xr:uid="{00000000-0005-0000-0000-0000C5AA0000}"/>
    <cellStyle name="표준 5 4 5 13" xfId="19793" xr:uid="{00000000-0005-0000-0000-0000C6AA0000}"/>
    <cellStyle name="표준 5 4 5 14" xfId="23889" xr:uid="{00000000-0005-0000-0000-0000C7AA0000}"/>
    <cellStyle name="표준 5 4 5 15" xfId="32100" xr:uid="{00000000-0005-0000-0000-0000C8AA0000}"/>
    <cellStyle name="표준 5 4 5 16" xfId="40293" xr:uid="{00000000-0005-0000-0000-0000C9AA0000}"/>
    <cellStyle name="표준 5 4 5 2" xfId="552" xr:uid="{00000000-0005-0000-0000-0000CAAA0000}"/>
    <cellStyle name="표준 5 4 5 2 10" xfId="19921" xr:uid="{00000000-0005-0000-0000-0000CBAA0000}"/>
    <cellStyle name="표준 5 4 5 2 11" xfId="24017" xr:uid="{00000000-0005-0000-0000-0000CCAA0000}"/>
    <cellStyle name="표준 5 4 5 2 12" xfId="32228" xr:uid="{00000000-0005-0000-0000-0000CDAA0000}"/>
    <cellStyle name="표준 5 4 5 2 13" xfId="40421" xr:uid="{00000000-0005-0000-0000-0000CEAA0000}"/>
    <cellStyle name="표준 5 4 5 2 2" xfId="808" xr:uid="{00000000-0005-0000-0000-0000CFAA0000}"/>
    <cellStyle name="표준 5 4 5 2 2 10" xfId="24273" xr:uid="{00000000-0005-0000-0000-0000D0AA0000}"/>
    <cellStyle name="표준 5 4 5 2 2 11" xfId="32484" xr:uid="{00000000-0005-0000-0000-0000D1AA0000}"/>
    <cellStyle name="표준 5 4 5 2 2 12" xfId="40677" xr:uid="{00000000-0005-0000-0000-0000D2AA0000}"/>
    <cellStyle name="표준 5 4 5 2 2 2" xfId="1320" xr:uid="{00000000-0005-0000-0000-0000D3AA0000}"/>
    <cellStyle name="표준 5 4 5 2 2 2 2" xfId="10223" xr:uid="{00000000-0005-0000-0000-0000D4AA0000}"/>
    <cellStyle name="표준 5 4 5 2 2 2 2 2" xfId="14335" xr:uid="{00000000-0005-0000-0000-0000D5AA0000}"/>
    <cellStyle name="표준 5 4 5 2 2 2 2 2 2" xfId="30929" xr:uid="{00000000-0005-0000-0000-0000D6AA0000}"/>
    <cellStyle name="표준 5 4 5 2 2 2 2 2 3" xfId="39140" xr:uid="{00000000-0005-0000-0000-0000D7AA0000}"/>
    <cellStyle name="표준 5 4 5 2 2 2 2 2 4" xfId="47333" xr:uid="{00000000-0005-0000-0000-0000D8AA0000}"/>
    <cellStyle name="표준 5 4 5 2 2 2 2 3" xfId="18575" xr:uid="{00000000-0005-0000-0000-0000D9AA0000}"/>
    <cellStyle name="표준 5 4 5 2 2 2 2 4" xfId="22737" xr:uid="{00000000-0005-0000-0000-0000DAAA0000}"/>
    <cellStyle name="표준 5 4 5 2 2 2 2 5" xfId="26833" xr:uid="{00000000-0005-0000-0000-0000DBAA0000}"/>
    <cellStyle name="표준 5 4 5 2 2 2 2 6" xfId="35044" xr:uid="{00000000-0005-0000-0000-0000DCAA0000}"/>
    <cellStyle name="표준 5 4 5 2 2 2 2 7" xfId="43237" xr:uid="{00000000-0005-0000-0000-0000DDAA0000}"/>
    <cellStyle name="표준 5 4 5 2 2 2 3" xfId="8175" xr:uid="{00000000-0005-0000-0000-0000DEAA0000}"/>
    <cellStyle name="표준 5 4 5 2 2 2 3 2" xfId="28881" xr:uid="{00000000-0005-0000-0000-0000DFAA0000}"/>
    <cellStyle name="표준 5 4 5 2 2 2 3 3" xfId="37092" xr:uid="{00000000-0005-0000-0000-0000E0AA0000}"/>
    <cellStyle name="표준 5 4 5 2 2 2 3 4" xfId="45285" xr:uid="{00000000-0005-0000-0000-0000E1AA0000}"/>
    <cellStyle name="표준 5 4 5 2 2 2 4" xfId="12287" xr:uid="{00000000-0005-0000-0000-0000E2AA0000}"/>
    <cellStyle name="표준 5 4 5 2 2 2 5" xfId="16527" xr:uid="{00000000-0005-0000-0000-0000E3AA0000}"/>
    <cellStyle name="표준 5 4 5 2 2 2 6" xfId="20689" xr:uid="{00000000-0005-0000-0000-0000E4AA0000}"/>
    <cellStyle name="표준 5 4 5 2 2 2 7" xfId="24785" xr:uid="{00000000-0005-0000-0000-0000E5AA0000}"/>
    <cellStyle name="표준 5 4 5 2 2 2 8" xfId="32996" xr:uid="{00000000-0005-0000-0000-0000E6AA0000}"/>
    <cellStyle name="표준 5 4 5 2 2 2 9" xfId="41189" xr:uid="{00000000-0005-0000-0000-0000E7AA0000}"/>
    <cellStyle name="표준 5 4 5 2 2 3" xfId="1832" xr:uid="{00000000-0005-0000-0000-0000E8AA0000}"/>
    <cellStyle name="표준 5 4 5 2 2 3 2" xfId="10735" xr:uid="{00000000-0005-0000-0000-0000E9AA0000}"/>
    <cellStyle name="표준 5 4 5 2 2 3 2 2" xfId="14847" xr:uid="{00000000-0005-0000-0000-0000EAAA0000}"/>
    <cellStyle name="표준 5 4 5 2 2 3 2 2 2" xfId="31441" xr:uid="{00000000-0005-0000-0000-0000EBAA0000}"/>
    <cellStyle name="표준 5 4 5 2 2 3 2 2 3" xfId="39652" xr:uid="{00000000-0005-0000-0000-0000ECAA0000}"/>
    <cellStyle name="표준 5 4 5 2 2 3 2 2 4" xfId="47845" xr:uid="{00000000-0005-0000-0000-0000EDAA0000}"/>
    <cellStyle name="표준 5 4 5 2 2 3 2 3" xfId="19087" xr:uid="{00000000-0005-0000-0000-0000EEAA0000}"/>
    <cellStyle name="표준 5 4 5 2 2 3 2 4" xfId="23249" xr:uid="{00000000-0005-0000-0000-0000EFAA0000}"/>
    <cellStyle name="표준 5 4 5 2 2 3 2 5" xfId="27345" xr:uid="{00000000-0005-0000-0000-0000F0AA0000}"/>
    <cellStyle name="표준 5 4 5 2 2 3 2 6" xfId="35556" xr:uid="{00000000-0005-0000-0000-0000F1AA0000}"/>
    <cellStyle name="표준 5 4 5 2 2 3 2 7" xfId="43749" xr:uid="{00000000-0005-0000-0000-0000F2AA0000}"/>
    <cellStyle name="표준 5 4 5 2 2 3 3" xfId="8687" xr:uid="{00000000-0005-0000-0000-0000F3AA0000}"/>
    <cellStyle name="표준 5 4 5 2 2 3 3 2" xfId="29393" xr:uid="{00000000-0005-0000-0000-0000F4AA0000}"/>
    <cellStyle name="표준 5 4 5 2 2 3 3 3" xfId="37604" xr:uid="{00000000-0005-0000-0000-0000F5AA0000}"/>
    <cellStyle name="표준 5 4 5 2 2 3 3 4" xfId="45797" xr:uid="{00000000-0005-0000-0000-0000F6AA0000}"/>
    <cellStyle name="표준 5 4 5 2 2 3 4" xfId="12799" xr:uid="{00000000-0005-0000-0000-0000F7AA0000}"/>
    <cellStyle name="표준 5 4 5 2 2 3 5" xfId="17039" xr:uid="{00000000-0005-0000-0000-0000F8AA0000}"/>
    <cellStyle name="표준 5 4 5 2 2 3 6" xfId="21201" xr:uid="{00000000-0005-0000-0000-0000F9AA0000}"/>
    <cellStyle name="표준 5 4 5 2 2 3 7" xfId="25297" xr:uid="{00000000-0005-0000-0000-0000FAAA0000}"/>
    <cellStyle name="표준 5 4 5 2 2 3 8" xfId="33508" xr:uid="{00000000-0005-0000-0000-0000FBAA0000}"/>
    <cellStyle name="표준 5 4 5 2 2 3 9" xfId="41701" xr:uid="{00000000-0005-0000-0000-0000FCAA0000}"/>
    <cellStyle name="표준 5 4 5 2 2 4" xfId="2344" xr:uid="{00000000-0005-0000-0000-0000FDAA0000}"/>
    <cellStyle name="표준 5 4 5 2 2 4 2" xfId="11247" xr:uid="{00000000-0005-0000-0000-0000FEAA0000}"/>
    <cellStyle name="표준 5 4 5 2 2 4 2 2" xfId="15359" xr:uid="{00000000-0005-0000-0000-0000FFAA0000}"/>
    <cellStyle name="표준 5 4 5 2 2 4 2 2 2" xfId="31953" xr:uid="{00000000-0005-0000-0000-000000AB0000}"/>
    <cellStyle name="표준 5 4 5 2 2 4 2 2 3" xfId="40164" xr:uid="{00000000-0005-0000-0000-000001AB0000}"/>
    <cellStyle name="표준 5 4 5 2 2 4 2 2 4" xfId="48357" xr:uid="{00000000-0005-0000-0000-000002AB0000}"/>
    <cellStyle name="표준 5 4 5 2 2 4 2 3" xfId="19599" xr:uid="{00000000-0005-0000-0000-000003AB0000}"/>
    <cellStyle name="표준 5 4 5 2 2 4 2 4" xfId="23761" xr:uid="{00000000-0005-0000-0000-000004AB0000}"/>
    <cellStyle name="표준 5 4 5 2 2 4 2 5" xfId="27857" xr:uid="{00000000-0005-0000-0000-000005AB0000}"/>
    <cellStyle name="표준 5 4 5 2 2 4 2 6" xfId="36068" xr:uid="{00000000-0005-0000-0000-000006AB0000}"/>
    <cellStyle name="표준 5 4 5 2 2 4 2 7" xfId="44261" xr:uid="{00000000-0005-0000-0000-000007AB0000}"/>
    <cellStyle name="표준 5 4 5 2 2 4 3" xfId="9199" xr:uid="{00000000-0005-0000-0000-000008AB0000}"/>
    <cellStyle name="표준 5 4 5 2 2 4 3 2" xfId="29905" xr:uid="{00000000-0005-0000-0000-000009AB0000}"/>
    <cellStyle name="표준 5 4 5 2 2 4 3 3" xfId="38116" xr:uid="{00000000-0005-0000-0000-00000AAB0000}"/>
    <cellStyle name="표준 5 4 5 2 2 4 3 4" xfId="46309" xr:uid="{00000000-0005-0000-0000-00000BAB0000}"/>
    <cellStyle name="표준 5 4 5 2 2 4 4" xfId="13311" xr:uid="{00000000-0005-0000-0000-00000CAB0000}"/>
    <cellStyle name="표준 5 4 5 2 2 4 5" xfId="17551" xr:uid="{00000000-0005-0000-0000-00000DAB0000}"/>
    <cellStyle name="표준 5 4 5 2 2 4 6" xfId="21713" xr:uid="{00000000-0005-0000-0000-00000EAB0000}"/>
    <cellStyle name="표준 5 4 5 2 2 4 7" xfId="25809" xr:uid="{00000000-0005-0000-0000-00000FAB0000}"/>
    <cellStyle name="표준 5 4 5 2 2 4 8" xfId="34020" xr:uid="{00000000-0005-0000-0000-000010AB0000}"/>
    <cellStyle name="표준 5 4 5 2 2 4 9" xfId="42213" xr:uid="{00000000-0005-0000-0000-000011AB0000}"/>
    <cellStyle name="표준 5 4 5 2 2 5" xfId="9711" xr:uid="{00000000-0005-0000-0000-000012AB0000}"/>
    <cellStyle name="표준 5 4 5 2 2 5 2" xfId="13823" xr:uid="{00000000-0005-0000-0000-000013AB0000}"/>
    <cellStyle name="표준 5 4 5 2 2 5 2 2" xfId="30417" xr:uid="{00000000-0005-0000-0000-000014AB0000}"/>
    <cellStyle name="표준 5 4 5 2 2 5 2 3" xfId="38628" xr:uid="{00000000-0005-0000-0000-000015AB0000}"/>
    <cellStyle name="표준 5 4 5 2 2 5 2 4" xfId="46821" xr:uid="{00000000-0005-0000-0000-000016AB0000}"/>
    <cellStyle name="표준 5 4 5 2 2 5 3" xfId="18063" xr:uid="{00000000-0005-0000-0000-000017AB0000}"/>
    <cellStyle name="표준 5 4 5 2 2 5 4" xfId="22225" xr:uid="{00000000-0005-0000-0000-000018AB0000}"/>
    <cellStyle name="표준 5 4 5 2 2 5 5" xfId="26321" xr:uid="{00000000-0005-0000-0000-000019AB0000}"/>
    <cellStyle name="표준 5 4 5 2 2 5 6" xfId="34532" xr:uid="{00000000-0005-0000-0000-00001AAB0000}"/>
    <cellStyle name="표준 5 4 5 2 2 5 7" xfId="42725" xr:uid="{00000000-0005-0000-0000-00001BAB0000}"/>
    <cellStyle name="표준 5 4 5 2 2 6" xfId="7663" xr:uid="{00000000-0005-0000-0000-00001CAB0000}"/>
    <cellStyle name="표준 5 4 5 2 2 6 2" xfId="28369" xr:uid="{00000000-0005-0000-0000-00001DAB0000}"/>
    <cellStyle name="표준 5 4 5 2 2 6 3" xfId="36580" xr:uid="{00000000-0005-0000-0000-00001EAB0000}"/>
    <cellStyle name="표준 5 4 5 2 2 6 4" xfId="44773" xr:uid="{00000000-0005-0000-0000-00001FAB0000}"/>
    <cellStyle name="표준 5 4 5 2 2 7" xfId="11775" xr:uid="{00000000-0005-0000-0000-000020AB0000}"/>
    <cellStyle name="표준 5 4 5 2 2 8" xfId="16015" xr:uid="{00000000-0005-0000-0000-000021AB0000}"/>
    <cellStyle name="표준 5 4 5 2 2 9" xfId="20177" xr:uid="{00000000-0005-0000-0000-000022AB0000}"/>
    <cellStyle name="표준 5 4 5 2 3" xfId="1064" xr:uid="{00000000-0005-0000-0000-000023AB0000}"/>
    <cellStyle name="표준 5 4 5 2 3 2" xfId="9967" xr:uid="{00000000-0005-0000-0000-000024AB0000}"/>
    <cellStyle name="표준 5 4 5 2 3 2 2" xfId="14079" xr:uid="{00000000-0005-0000-0000-000025AB0000}"/>
    <cellStyle name="표준 5 4 5 2 3 2 2 2" xfId="30673" xr:uid="{00000000-0005-0000-0000-000026AB0000}"/>
    <cellStyle name="표준 5 4 5 2 3 2 2 3" xfId="38884" xr:uid="{00000000-0005-0000-0000-000027AB0000}"/>
    <cellStyle name="표준 5 4 5 2 3 2 2 4" xfId="47077" xr:uid="{00000000-0005-0000-0000-000028AB0000}"/>
    <cellStyle name="표준 5 4 5 2 3 2 3" xfId="18319" xr:uid="{00000000-0005-0000-0000-000029AB0000}"/>
    <cellStyle name="표준 5 4 5 2 3 2 4" xfId="22481" xr:uid="{00000000-0005-0000-0000-00002AAB0000}"/>
    <cellStyle name="표준 5 4 5 2 3 2 5" xfId="26577" xr:uid="{00000000-0005-0000-0000-00002BAB0000}"/>
    <cellStyle name="표준 5 4 5 2 3 2 6" xfId="34788" xr:uid="{00000000-0005-0000-0000-00002CAB0000}"/>
    <cellStyle name="표준 5 4 5 2 3 2 7" xfId="42981" xr:uid="{00000000-0005-0000-0000-00002DAB0000}"/>
    <cellStyle name="표준 5 4 5 2 3 3" xfId="7919" xr:uid="{00000000-0005-0000-0000-00002EAB0000}"/>
    <cellStyle name="표준 5 4 5 2 3 3 2" xfId="28625" xr:uid="{00000000-0005-0000-0000-00002FAB0000}"/>
    <cellStyle name="표준 5 4 5 2 3 3 3" xfId="36836" xr:uid="{00000000-0005-0000-0000-000030AB0000}"/>
    <cellStyle name="표준 5 4 5 2 3 3 4" xfId="45029" xr:uid="{00000000-0005-0000-0000-000031AB0000}"/>
    <cellStyle name="표준 5 4 5 2 3 4" xfId="12031" xr:uid="{00000000-0005-0000-0000-000032AB0000}"/>
    <cellStyle name="표준 5 4 5 2 3 5" xfId="16271" xr:uid="{00000000-0005-0000-0000-000033AB0000}"/>
    <cellStyle name="표준 5 4 5 2 3 6" xfId="20433" xr:uid="{00000000-0005-0000-0000-000034AB0000}"/>
    <cellStyle name="표준 5 4 5 2 3 7" xfId="24529" xr:uid="{00000000-0005-0000-0000-000035AB0000}"/>
    <cellStyle name="표준 5 4 5 2 3 8" xfId="32740" xr:uid="{00000000-0005-0000-0000-000036AB0000}"/>
    <cellStyle name="표준 5 4 5 2 3 9" xfId="40933" xr:uid="{00000000-0005-0000-0000-000037AB0000}"/>
    <cellStyle name="표준 5 4 5 2 4" xfId="1576" xr:uid="{00000000-0005-0000-0000-000038AB0000}"/>
    <cellStyle name="표준 5 4 5 2 4 2" xfId="10479" xr:uid="{00000000-0005-0000-0000-000039AB0000}"/>
    <cellStyle name="표준 5 4 5 2 4 2 2" xfId="14591" xr:uid="{00000000-0005-0000-0000-00003AAB0000}"/>
    <cellStyle name="표준 5 4 5 2 4 2 2 2" xfId="31185" xr:uid="{00000000-0005-0000-0000-00003BAB0000}"/>
    <cellStyle name="표준 5 4 5 2 4 2 2 3" xfId="39396" xr:uid="{00000000-0005-0000-0000-00003CAB0000}"/>
    <cellStyle name="표준 5 4 5 2 4 2 2 4" xfId="47589" xr:uid="{00000000-0005-0000-0000-00003DAB0000}"/>
    <cellStyle name="표준 5 4 5 2 4 2 3" xfId="18831" xr:uid="{00000000-0005-0000-0000-00003EAB0000}"/>
    <cellStyle name="표준 5 4 5 2 4 2 4" xfId="22993" xr:uid="{00000000-0005-0000-0000-00003FAB0000}"/>
    <cellStyle name="표준 5 4 5 2 4 2 5" xfId="27089" xr:uid="{00000000-0005-0000-0000-000040AB0000}"/>
    <cellStyle name="표준 5 4 5 2 4 2 6" xfId="35300" xr:uid="{00000000-0005-0000-0000-000041AB0000}"/>
    <cellStyle name="표준 5 4 5 2 4 2 7" xfId="43493" xr:uid="{00000000-0005-0000-0000-000042AB0000}"/>
    <cellStyle name="표준 5 4 5 2 4 3" xfId="8431" xr:uid="{00000000-0005-0000-0000-000043AB0000}"/>
    <cellStyle name="표준 5 4 5 2 4 3 2" xfId="29137" xr:uid="{00000000-0005-0000-0000-000044AB0000}"/>
    <cellStyle name="표준 5 4 5 2 4 3 3" xfId="37348" xr:uid="{00000000-0005-0000-0000-000045AB0000}"/>
    <cellStyle name="표준 5 4 5 2 4 3 4" xfId="45541" xr:uid="{00000000-0005-0000-0000-000046AB0000}"/>
    <cellStyle name="표준 5 4 5 2 4 4" xfId="12543" xr:uid="{00000000-0005-0000-0000-000047AB0000}"/>
    <cellStyle name="표준 5 4 5 2 4 5" xfId="16783" xr:uid="{00000000-0005-0000-0000-000048AB0000}"/>
    <cellStyle name="표준 5 4 5 2 4 6" xfId="20945" xr:uid="{00000000-0005-0000-0000-000049AB0000}"/>
    <cellStyle name="표준 5 4 5 2 4 7" xfId="25041" xr:uid="{00000000-0005-0000-0000-00004AAB0000}"/>
    <cellStyle name="표준 5 4 5 2 4 8" xfId="33252" xr:uid="{00000000-0005-0000-0000-00004BAB0000}"/>
    <cellStyle name="표준 5 4 5 2 4 9" xfId="41445" xr:uid="{00000000-0005-0000-0000-00004CAB0000}"/>
    <cellStyle name="표준 5 4 5 2 5" xfId="2088" xr:uid="{00000000-0005-0000-0000-00004DAB0000}"/>
    <cellStyle name="표준 5 4 5 2 5 2" xfId="10991" xr:uid="{00000000-0005-0000-0000-00004EAB0000}"/>
    <cellStyle name="표준 5 4 5 2 5 2 2" xfId="15103" xr:uid="{00000000-0005-0000-0000-00004FAB0000}"/>
    <cellStyle name="표준 5 4 5 2 5 2 2 2" xfId="31697" xr:uid="{00000000-0005-0000-0000-000050AB0000}"/>
    <cellStyle name="표준 5 4 5 2 5 2 2 3" xfId="39908" xr:uid="{00000000-0005-0000-0000-000051AB0000}"/>
    <cellStyle name="표준 5 4 5 2 5 2 2 4" xfId="48101" xr:uid="{00000000-0005-0000-0000-000052AB0000}"/>
    <cellStyle name="표준 5 4 5 2 5 2 3" xfId="19343" xr:uid="{00000000-0005-0000-0000-000053AB0000}"/>
    <cellStyle name="표준 5 4 5 2 5 2 4" xfId="23505" xr:uid="{00000000-0005-0000-0000-000054AB0000}"/>
    <cellStyle name="표준 5 4 5 2 5 2 5" xfId="27601" xr:uid="{00000000-0005-0000-0000-000055AB0000}"/>
    <cellStyle name="표준 5 4 5 2 5 2 6" xfId="35812" xr:uid="{00000000-0005-0000-0000-000056AB0000}"/>
    <cellStyle name="표준 5 4 5 2 5 2 7" xfId="44005" xr:uid="{00000000-0005-0000-0000-000057AB0000}"/>
    <cellStyle name="표준 5 4 5 2 5 3" xfId="8943" xr:uid="{00000000-0005-0000-0000-000058AB0000}"/>
    <cellStyle name="표준 5 4 5 2 5 3 2" xfId="29649" xr:uid="{00000000-0005-0000-0000-000059AB0000}"/>
    <cellStyle name="표준 5 4 5 2 5 3 3" xfId="37860" xr:uid="{00000000-0005-0000-0000-00005AAB0000}"/>
    <cellStyle name="표준 5 4 5 2 5 3 4" xfId="46053" xr:uid="{00000000-0005-0000-0000-00005BAB0000}"/>
    <cellStyle name="표준 5 4 5 2 5 4" xfId="13055" xr:uid="{00000000-0005-0000-0000-00005CAB0000}"/>
    <cellStyle name="표준 5 4 5 2 5 5" xfId="17295" xr:uid="{00000000-0005-0000-0000-00005DAB0000}"/>
    <cellStyle name="표준 5 4 5 2 5 6" xfId="21457" xr:uid="{00000000-0005-0000-0000-00005EAB0000}"/>
    <cellStyle name="표준 5 4 5 2 5 7" xfId="25553" xr:uid="{00000000-0005-0000-0000-00005FAB0000}"/>
    <cellStyle name="표준 5 4 5 2 5 8" xfId="33764" xr:uid="{00000000-0005-0000-0000-000060AB0000}"/>
    <cellStyle name="표준 5 4 5 2 5 9" xfId="41957" xr:uid="{00000000-0005-0000-0000-000061AB0000}"/>
    <cellStyle name="표준 5 4 5 2 6" xfId="9455" xr:uid="{00000000-0005-0000-0000-000062AB0000}"/>
    <cellStyle name="표준 5 4 5 2 6 2" xfId="13567" xr:uid="{00000000-0005-0000-0000-000063AB0000}"/>
    <cellStyle name="표준 5 4 5 2 6 2 2" xfId="30161" xr:uid="{00000000-0005-0000-0000-000064AB0000}"/>
    <cellStyle name="표준 5 4 5 2 6 2 3" xfId="38372" xr:uid="{00000000-0005-0000-0000-000065AB0000}"/>
    <cellStyle name="표준 5 4 5 2 6 2 4" xfId="46565" xr:uid="{00000000-0005-0000-0000-000066AB0000}"/>
    <cellStyle name="표준 5 4 5 2 6 3" xfId="17807" xr:uid="{00000000-0005-0000-0000-000067AB0000}"/>
    <cellStyle name="표준 5 4 5 2 6 4" xfId="21969" xr:uid="{00000000-0005-0000-0000-000068AB0000}"/>
    <cellStyle name="표준 5 4 5 2 6 5" xfId="26065" xr:uid="{00000000-0005-0000-0000-000069AB0000}"/>
    <cellStyle name="표준 5 4 5 2 6 6" xfId="34276" xr:uid="{00000000-0005-0000-0000-00006AAB0000}"/>
    <cellStyle name="표준 5 4 5 2 6 7" xfId="42469" xr:uid="{00000000-0005-0000-0000-00006BAB0000}"/>
    <cellStyle name="표준 5 4 5 2 7" xfId="7407" xr:uid="{00000000-0005-0000-0000-00006CAB0000}"/>
    <cellStyle name="표준 5 4 5 2 7 2" xfId="28113" xr:uid="{00000000-0005-0000-0000-00006DAB0000}"/>
    <cellStyle name="표준 5 4 5 2 7 3" xfId="36324" xr:uid="{00000000-0005-0000-0000-00006EAB0000}"/>
    <cellStyle name="표준 5 4 5 2 7 4" xfId="44517" xr:uid="{00000000-0005-0000-0000-00006FAB0000}"/>
    <cellStyle name="표준 5 4 5 2 8" xfId="11519" xr:uid="{00000000-0005-0000-0000-000070AB0000}"/>
    <cellStyle name="표준 5 4 5 2 9" xfId="15759" xr:uid="{00000000-0005-0000-0000-000071AB0000}"/>
    <cellStyle name="표준 5 4 5 3" xfId="680" xr:uid="{00000000-0005-0000-0000-000072AB0000}"/>
    <cellStyle name="표준 5 4 5 3 10" xfId="24145" xr:uid="{00000000-0005-0000-0000-000073AB0000}"/>
    <cellStyle name="표준 5 4 5 3 11" xfId="32356" xr:uid="{00000000-0005-0000-0000-000074AB0000}"/>
    <cellStyle name="표준 5 4 5 3 12" xfId="40549" xr:uid="{00000000-0005-0000-0000-000075AB0000}"/>
    <cellStyle name="표준 5 4 5 3 2" xfId="1192" xr:uid="{00000000-0005-0000-0000-000076AB0000}"/>
    <cellStyle name="표준 5 4 5 3 2 2" xfId="10095" xr:uid="{00000000-0005-0000-0000-000077AB0000}"/>
    <cellStyle name="표준 5 4 5 3 2 2 2" xfId="14207" xr:uid="{00000000-0005-0000-0000-000078AB0000}"/>
    <cellStyle name="표준 5 4 5 3 2 2 2 2" xfId="30801" xr:uid="{00000000-0005-0000-0000-000079AB0000}"/>
    <cellStyle name="표준 5 4 5 3 2 2 2 3" xfId="39012" xr:uid="{00000000-0005-0000-0000-00007AAB0000}"/>
    <cellStyle name="표준 5 4 5 3 2 2 2 4" xfId="47205" xr:uid="{00000000-0005-0000-0000-00007BAB0000}"/>
    <cellStyle name="표준 5 4 5 3 2 2 3" xfId="18447" xr:uid="{00000000-0005-0000-0000-00007CAB0000}"/>
    <cellStyle name="표준 5 4 5 3 2 2 4" xfId="22609" xr:uid="{00000000-0005-0000-0000-00007DAB0000}"/>
    <cellStyle name="표준 5 4 5 3 2 2 5" xfId="26705" xr:uid="{00000000-0005-0000-0000-00007EAB0000}"/>
    <cellStyle name="표준 5 4 5 3 2 2 6" xfId="34916" xr:uid="{00000000-0005-0000-0000-00007FAB0000}"/>
    <cellStyle name="표준 5 4 5 3 2 2 7" xfId="43109" xr:uid="{00000000-0005-0000-0000-000080AB0000}"/>
    <cellStyle name="표준 5 4 5 3 2 3" xfId="8047" xr:uid="{00000000-0005-0000-0000-000081AB0000}"/>
    <cellStyle name="표준 5 4 5 3 2 3 2" xfId="28753" xr:uid="{00000000-0005-0000-0000-000082AB0000}"/>
    <cellStyle name="표준 5 4 5 3 2 3 3" xfId="36964" xr:uid="{00000000-0005-0000-0000-000083AB0000}"/>
    <cellStyle name="표준 5 4 5 3 2 3 4" xfId="45157" xr:uid="{00000000-0005-0000-0000-000084AB0000}"/>
    <cellStyle name="표준 5 4 5 3 2 4" xfId="12159" xr:uid="{00000000-0005-0000-0000-000085AB0000}"/>
    <cellStyle name="표준 5 4 5 3 2 5" xfId="16399" xr:uid="{00000000-0005-0000-0000-000086AB0000}"/>
    <cellStyle name="표준 5 4 5 3 2 6" xfId="20561" xr:uid="{00000000-0005-0000-0000-000087AB0000}"/>
    <cellStyle name="표준 5 4 5 3 2 7" xfId="24657" xr:uid="{00000000-0005-0000-0000-000088AB0000}"/>
    <cellStyle name="표준 5 4 5 3 2 8" xfId="32868" xr:uid="{00000000-0005-0000-0000-000089AB0000}"/>
    <cellStyle name="표준 5 4 5 3 2 9" xfId="41061" xr:uid="{00000000-0005-0000-0000-00008AAB0000}"/>
    <cellStyle name="표준 5 4 5 3 3" xfId="1704" xr:uid="{00000000-0005-0000-0000-00008BAB0000}"/>
    <cellStyle name="표준 5 4 5 3 3 2" xfId="10607" xr:uid="{00000000-0005-0000-0000-00008CAB0000}"/>
    <cellStyle name="표준 5 4 5 3 3 2 2" xfId="14719" xr:uid="{00000000-0005-0000-0000-00008DAB0000}"/>
    <cellStyle name="표준 5 4 5 3 3 2 2 2" xfId="31313" xr:uid="{00000000-0005-0000-0000-00008EAB0000}"/>
    <cellStyle name="표준 5 4 5 3 3 2 2 3" xfId="39524" xr:uid="{00000000-0005-0000-0000-00008FAB0000}"/>
    <cellStyle name="표준 5 4 5 3 3 2 2 4" xfId="47717" xr:uid="{00000000-0005-0000-0000-000090AB0000}"/>
    <cellStyle name="표준 5 4 5 3 3 2 3" xfId="18959" xr:uid="{00000000-0005-0000-0000-000091AB0000}"/>
    <cellStyle name="표준 5 4 5 3 3 2 4" xfId="23121" xr:uid="{00000000-0005-0000-0000-000092AB0000}"/>
    <cellStyle name="표준 5 4 5 3 3 2 5" xfId="27217" xr:uid="{00000000-0005-0000-0000-000093AB0000}"/>
    <cellStyle name="표준 5 4 5 3 3 2 6" xfId="35428" xr:uid="{00000000-0005-0000-0000-000094AB0000}"/>
    <cellStyle name="표준 5 4 5 3 3 2 7" xfId="43621" xr:uid="{00000000-0005-0000-0000-000095AB0000}"/>
    <cellStyle name="표준 5 4 5 3 3 3" xfId="8559" xr:uid="{00000000-0005-0000-0000-000096AB0000}"/>
    <cellStyle name="표준 5 4 5 3 3 3 2" xfId="29265" xr:uid="{00000000-0005-0000-0000-000097AB0000}"/>
    <cellStyle name="표준 5 4 5 3 3 3 3" xfId="37476" xr:uid="{00000000-0005-0000-0000-000098AB0000}"/>
    <cellStyle name="표준 5 4 5 3 3 3 4" xfId="45669" xr:uid="{00000000-0005-0000-0000-000099AB0000}"/>
    <cellStyle name="표준 5 4 5 3 3 4" xfId="12671" xr:uid="{00000000-0005-0000-0000-00009AAB0000}"/>
    <cellStyle name="표준 5 4 5 3 3 5" xfId="16911" xr:uid="{00000000-0005-0000-0000-00009BAB0000}"/>
    <cellStyle name="표준 5 4 5 3 3 6" xfId="21073" xr:uid="{00000000-0005-0000-0000-00009CAB0000}"/>
    <cellStyle name="표준 5 4 5 3 3 7" xfId="25169" xr:uid="{00000000-0005-0000-0000-00009DAB0000}"/>
    <cellStyle name="표준 5 4 5 3 3 8" xfId="33380" xr:uid="{00000000-0005-0000-0000-00009EAB0000}"/>
    <cellStyle name="표준 5 4 5 3 3 9" xfId="41573" xr:uid="{00000000-0005-0000-0000-00009FAB0000}"/>
    <cellStyle name="표준 5 4 5 3 4" xfId="2216" xr:uid="{00000000-0005-0000-0000-0000A0AB0000}"/>
    <cellStyle name="표준 5 4 5 3 4 2" xfId="11119" xr:uid="{00000000-0005-0000-0000-0000A1AB0000}"/>
    <cellStyle name="표준 5 4 5 3 4 2 2" xfId="15231" xr:uid="{00000000-0005-0000-0000-0000A2AB0000}"/>
    <cellStyle name="표준 5 4 5 3 4 2 2 2" xfId="31825" xr:uid="{00000000-0005-0000-0000-0000A3AB0000}"/>
    <cellStyle name="표준 5 4 5 3 4 2 2 3" xfId="40036" xr:uid="{00000000-0005-0000-0000-0000A4AB0000}"/>
    <cellStyle name="표준 5 4 5 3 4 2 2 4" xfId="48229" xr:uid="{00000000-0005-0000-0000-0000A5AB0000}"/>
    <cellStyle name="표준 5 4 5 3 4 2 3" xfId="19471" xr:uid="{00000000-0005-0000-0000-0000A6AB0000}"/>
    <cellStyle name="표준 5 4 5 3 4 2 4" xfId="23633" xr:uid="{00000000-0005-0000-0000-0000A7AB0000}"/>
    <cellStyle name="표준 5 4 5 3 4 2 5" xfId="27729" xr:uid="{00000000-0005-0000-0000-0000A8AB0000}"/>
    <cellStyle name="표준 5 4 5 3 4 2 6" xfId="35940" xr:uid="{00000000-0005-0000-0000-0000A9AB0000}"/>
    <cellStyle name="표준 5 4 5 3 4 2 7" xfId="44133" xr:uid="{00000000-0005-0000-0000-0000AAAB0000}"/>
    <cellStyle name="표준 5 4 5 3 4 3" xfId="9071" xr:uid="{00000000-0005-0000-0000-0000ABAB0000}"/>
    <cellStyle name="표준 5 4 5 3 4 3 2" xfId="29777" xr:uid="{00000000-0005-0000-0000-0000ACAB0000}"/>
    <cellStyle name="표준 5 4 5 3 4 3 3" xfId="37988" xr:uid="{00000000-0005-0000-0000-0000ADAB0000}"/>
    <cellStyle name="표준 5 4 5 3 4 3 4" xfId="46181" xr:uid="{00000000-0005-0000-0000-0000AEAB0000}"/>
    <cellStyle name="표준 5 4 5 3 4 4" xfId="13183" xr:uid="{00000000-0005-0000-0000-0000AFAB0000}"/>
    <cellStyle name="표준 5 4 5 3 4 5" xfId="17423" xr:uid="{00000000-0005-0000-0000-0000B0AB0000}"/>
    <cellStyle name="표준 5 4 5 3 4 6" xfId="21585" xr:uid="{00000000-0005-0000-0000-0000B1AB0000}"/>
    <cellStyle name="표준 5 4 5 3 4 7" xfId="25681" xr:uid="{00000000-0005-0000-0000-0000B2AB0000}"/>
    <cellStyle name="표준 5 4 5 3 4 8" xfId="33892" xr:uid="{00000000-0005-0000-0000-0000B3AB0000}"/>
    <cellStyle name="표준 5 4 5 3 4 9" xfId="42085" xr:uid="{00000000-0005-0000-0000-0000B4AB0000}"/>
    <cellStyle name="표준 5 4 5 3 5" xfId="9583" xr:uid="{00000000-0005-0000-0000-0000B5AB0000}"/>
    <cellStyle name="표준 5 4 5 3 5 2" xfId="13695" xr:uid="{00000000-0005-0000-0000-0000B6AB0000}"/>
    <cellStyle name="표준 5 4 5 3 5 2 2" xfId="30289" xr:uid="{00000000-0005-0000-0000-0000B7AB0000}"/>
    <cellStyle name="표준 5 4 5 3 5 2 3" xfId="38500" xr:uid="{00000000-0005-0000-0000-0000B8AB0000}"/>
    <cellStyle name="표준 5 4 5 3 5 2 4" xfId="46693" xr:uid="{00000000-0005-0000-0000-0000B9AB0000}"/>
    <cellStyle name="표준 5 4 5 3 5 3" xfId="17935" xr:uid="{00000000-0005-0000-0000-0000BAAB0000}"/>
    <cellStyle name="표준 5 4 5 3 5 4" xfId="22097" xr:uid="{00000000-0005-0000-0000-0000BBAB0000}"/>
    <cellStyle name="표준 5 4 5 3 5 5" xfId="26193" xr:uid="{00000000-0005-0000-0000-0000BCAB0000}"/>
    <cellStyle name="표준 5 4 5 3 5 6" xfId="34404" xr:uid="{00000000-0005-0000-0000-0000BDAB0000}"/>
    <cellStyle name="표준 5 4 5 3 5 7" xfId="42597" xr:uid="{00000000-0005-0000-0000-0000BEAB0000}"/>
    <cellStyle name="표준 5 4 5 3 6" xfId="7535" xr:uid="{00000000-0005-0000-0000-0000BFAB0000}"/>
    <cellStyle name="표준 5 4 5 3 6 2" xfId="28241" xr:uid="{00000000-0005-0000-0000-0000C0AB0000}"/>
    <cellStyle name="표준 5 4 5 3 6 3" xfId="36452" xr:uid="{00000000-0005-0000-0000-0000C1AB0000}"/>
    <cellStyle name="표준 5 4 5 3 6 4" xfId="44645" xr:uid="{00000000-0005-0000-0000-0000C2AB0000}"/>
    <cellStyle name="표준 5 4 5 3 7" xfId="11647" xr:uid="{00000000-0005-0000-0000-0000C3AB0000}"/>
    <cellStyle name="표준 5 4 5 3 8" xfId="15887" xr:uid="{00000000-0005-0000-0000-0000C4AB0000}"/>
    <cellStyle name="표준 5 4 5 3 9" xfId="20049" xr:uid="{00000000-0005-0000-0000-0000C5AB0000}"/>
    <cellStyle name="표준 5 4 5 4" xfId="936" xr:uid="{00000000-0005-0000-0000-0000C6AB0000}"/>
    <cellStyle name="표준 5 4 5 4 2" xfId="9839" xr:uid="{00000000-0005-0000-0000-0000C7AB0000}"/>
    <cellStyle name="표준 5 4 5 4 2 2" xfId="13951" xr:uid="{00000000-0005-0000-0000-0000C8AB0000}"/>
    <cellStyle name="표준 5 4 5 4 2 2 2" xfId="30545" xr:uid="{00000000-0005-0000-0000-0000C9AB0000}"/>
    <cellStyle name="표준 5 4 5 4 2 2 3" xfId="38756" xr:uid="{00000000-0005-0000-0000-0000CAAB0000}"/>
    <cellStyle name="표준 5 4 5 4 2 2 4" xfId="46949" xr:uid="{00000000-0005-0000-0000-0000CBAB0000}"/>
    <cellStyle name="표준 5 4 5 4 2 3" xfId="18191" xr:uid="{00000000-0005-0000-0000-0000CCAB0000}"/>
    <cellStyle name="표준 5 4 5 4 2 4" xfId="22353" xr:uid="{00000000-0005-0000-0000-0000CDAB0000}"/>
    <cellStyle name="표준 5 4 5 4 2 5" xfId="26449" xr:uid="{00000000-0005-0000-0000-0000CEAB0000}"/>
    <cellStyle name="표준 5 4 5 4 2 6" xfId="34660" xr:uid="{00000000-0005-0000-0000-0000CFAB0000}"/>
    <cellStyle name="표준 5 4 5 4 2 7" xfId="42853" xr:uid="{00000000-0005-0000-0000-0000D0AB0000}"/>
    <cellStyle name="표준 5 4 5 4 3" xfId="7791" xr:uid="{00000000-0005-0000-0000-0000D1AB0000}"/>
    <cellStyle name="표준 5 4 5 4 3 2" xfId="28497" xr:uid="{00000000-0005-0000-0000-0000D2AB0000}"/>
    <cellStyle name="표준 5 4 5 4 3 3" xfId="36708" xr:uid="{00000000-0005-0000-0000-0000D3AB0000}"/>
    <cellStyle name="표준 5 4 5 4 3 4" xfId="44901" xr:uid="{00000000-0005-0000-0000-0000D4AB0000}"/>
    <cellStyle name="표준 5 4 5 4 4" xfId="11903" xr:uid="{00000000-0005-0000-0000-0000D5AB0000}"/>
    <cellStyle name="표준 5 4 5 4 5" xfId="16143" xr:uid="{00000000-0005-0000-0000-0000D6AB0000}"/>
    <cellStyle name="표준 5 4 5 4 6" xfId="20305" xr:uid="{00000000-0005-0000-0000-0000D7AB0000}"/>
    <cellStyle name="표준 5 4 5 4 7" xfId="24401" xr:uid="{00000000-0005-0000-0000-0000D8AB0000}"/>
    <cellStyle name="표준 5 4 5 4 8" xfId="32612" xr:uid="{00000000-0005-0000-0000-0000D9AB0000}"/>
    <cellStyle name="표준 5 4 5 4 9" xfId="40805" xr:uid="{00000000-0005-0000-0000-0000DAAB0000}"/>
    <cellStyle name="표준 5 4 5 5" xfId="1448" xr:uid="{00000000-0005-0000-0000-0000DBAB0000}"/>
    <cellStyle name="표준 5 4 5 5 2" xfId="10351" xr:uid="{00000000-0005-0000-0000-0000DCAB0000}"/>
    <cellStyle name="표준 5 4 5 5 2 2" xfId="14463" xr:uid="{00000000-0005-0000-0000-0000DDAB0000}"/>
    <cellStyle name="표준 5 4 5 5 2 2 2" xfId="31057" xr:uid="{00000000-0005-0000-0000-0000DEAB0000}"/>
    <cellStyle name="표준 5 4 5 5 2 2 3" xfId="39268" xr:uid="{00000000-0005-0000-0000-0000DFAB0000}"/>
    <cellStyle name="표준 5 4 5 5 2 2 4" xfId="47461" xr:uid="{00000000-0005-0000-0000-0000E0AB0000}"/>
    <cellStyle name="표준 5 4 5 5 2 3" xfId="18703" xr:uid="{00000000-0005-0000-0000-0000E1AB0000}"/>
    <cellStyle name="표준 5 4 5 5 2 4" xfId="22865" xr:uid="{00000000-0005-0000-0000-0000E2AB0000}"/>
    <cellStyle name="표준 5 4 5 5 2 5" xfId="26961" xr:uid="{00000000-0005-0000-0000-0000E3AB0000}"/>
    <cellStyle name="표준 5 4 5 5 2 6" xfId="35172" xr:uid="{00000000-0005-0000-0000-0000E4AB0000}"/>
    <cellStyle name="표준 5 4 5 5 2 7" xfId="43365" xr:uid="{00000000-0005-0000-0000-0000E5AB0000}"/>
    <cellStyle name="표준 5 4 5 5 3" xfId="8303" xr:uid="{00000000-0005-0000-0000-0000E6AB0000}"/>
    <cellStyle name="표준 5 4 5 5 3 2" xfId="29009" xr:uid="{00000000-0005-0000-0000-0000E7AB0000}"/>
    <cellStyle name="표준 5 4 5 5 3 3" xfId="37220" xr:uid="{00000000-0005-0000-0000-0000E8AB0000}"/>
    <cellStyle name="표준 5 4 5 5 3 4" xfId="45413" xr:uid="{00000000-0005-0000-0000-0000E9AB0000}"/>
    <cellStyle name="표준 5 4 5 5 4" xfId="12415" xr:uid="{00000000-0005-0000-0000-0000EAAB0000}"/>
    <cellStyle name="표준 5 4 5 5 5" xfId="16655" xr:uid="{00000000-0005-0000-0000-0000EBAB0000}"/>
    <cellStyle name="표준 5 4 5 5 6" xfId="20817" xr:uid="{00000000-0005-0000-0000-0000ECAB0000}"/>
    <cellStyle name="표준 5 4 5 5 7" xfId="24913" xr:uid="{00000000-0005-0000-0000-0000EDAB0000}"/>
    <cellStyle name="표준 5 4 5 5 8" xfId="33124" xr:uid="{00000000-0005-0000-0000-0000EEAB0000}"/>
    <cellStyle name="표준 5 4 5 5 9" xfId="41317" xr:uid="{00000000-0005-0000-0000-0000EFAB0000}"/>
    <cellStyle name="표준 5 4 5 6" xfId="1960" xr:uid="{00000000-0005-0000-0000-0000F0AB0000}"/>
    <cellStyle name="표준 5 4 5 6 2" xfId="10863" xr:uid="{00000000-0005-0000-0000-0000F1AB0000}"/>
    <cellStyle name="표준 5 4 5 6 2 2" xfId="14975" xr:uid="{00000000-0005-0000-0000-0000F2AB0000}"/>
    <cellStyle name="표준 5 4 5 6 2 2 2" xfId="31569" xr:uid="{00000000-0005-0000-0000-0000F3AB0000}"/>
    <cellStyle name="표준 5 4 5 6 2 2 3" xfId="39780" xr:uid="{00000000-0005-0000-0000-0000F4AB0000}"/>
    <cellStyle name="표준 5 4 5 6 2 2 4" xfId="47973" xr:uid="{00000000-0005-0000-0000-0000F5AB0000}"/>
    <cellStyle name="표준 5 4 5 6 2 3" xfId="19215" xr:uid="{00000000-0005-0000-0000-0000F6AB0000}"/>
    <cellStyle name="표준 5 4 5 6 2 4" xfId="23377" xr:uid="{00000000-0005-0000-0000-0000F7AB0000}"/>
    <cellStyle name="표준 5 4 5 6 2 5" xfId="27473" xr:uid="{00000000-0005-0000-0000-0000F8AB0000}"/>
    <cellStyle name="표준 5 4 5 6 2 6" xfId="35684" xr:uid="{00000000-0005-0000-0000-0000F9AB0000}"/>
    <cellStyle name="표준 5 4 5 6 2 7" xfId="43877" xr:uid="{00000000-0005-0000-0000-0000FAAB0000}"/>
    <cellStyle name="표준 5 4 5 6 3" xfId="8815" xr:uid="{00000000-0005-0000-0000-0000FBAB0000}"/>
    <cellStyle name="표준 5 4 5 6 3 2" xfId="29521" xr:uid="{00000000-0005-0000-0000-0000FCAB0000}"/>
    <cellStyle name="표준 5 4 5 6 3 3" xfId="37732" xr:uid="{00000000-0005-0000-0000-0000FDAB0000}"/>
    <cellStyle name="표준 5 4 5 6 3 4" xfId="45925" xr:uid="{00000000-0005-0000-0000-0000FEAB0000}"/>
    <cellStyle name="표준 5 4 5 6 4" xfId="12927" xr:uid="{00000000-0005-0000-0000-0000FFAB0000}"/>
    <cellStyle name="표준 5 4 5 6 5" xfId="17167" xr:uid="{00000000-0005-0000-0000-000000AC0000}"/>
    <cellStyle name="표준 5 4 5 6 6" xfId="21329" xr:uid="{00000000-0005-0000-0000-000001AC0000}"/>
    <cellStyle name="표준 5 4 5 6 7" xfId="25425" xr:uid="{00000000-0005-0000-0000-000002AC0000}"/>
    <cellStyle name="표준 5 4 5 6 8" xfId="33636" xr:uid="{00000000-0005-0000-0000-000003AC0000}"/>
    <cellStyle name="표준 5 4 5 6 9" xfId="41829" xr:uid="{00000000-0005-0000-0000-000004AC0000}"/>
    <cellStyle name="표준 5 4 5 7" xfId="7020" xr:uid="{00000000-0005-0000-0000-000005AC0000}"/>
    <cellStyle name="표준 5 4 5 7 2" xfId="9327" xr:uid="{00000000-0005-0000-0000-000006AC0000}"/>
    <cellStyle name="표준 5 4 5 7 2 2" xfId="30033" xr:uid="{00000000-0005-0000-0000-000007AC0000}"/>
    <cellStyle name="표준 5 4 5 7 2 3" xfId="38244" xr:uid="{00000000-0005-0000-0000-000008AC0000}"/>
    <cellStyle name="표준 5 4 5 7 2 4" xfId="46437" xr:uid="{00000000-0005-0000-0000-000009AC0000}"/>
    <cellStyle name="표준 5 4 5 7 3" xfId="13439" xr:uid="{00000000-0005-0000-0000-00000AAC0000}"/>
    <cellStyle name="표준 5 4 5 7 4" xfId="17679" xr:uid="{00000000-0005-0000-0000-00000BAC0000}"/>
    <cellStyle name="표준 5 4 5 7 5" xfId="21841" xr:uid="{00000000-0005-0000-0000-00000CAC0000}"/>
    <cellStyle name="표준 5 4 5 7 6" xfId="25937" xr:uid="{00000000-0005-0000-0000-00000DAC0000}"/>
    <cellStyle name="표준 5 4 5 7 7" xfId="34148" xr:uid="{00000000-0005-0000-0000-00000EAC0000}"/>
    <cellStyle name="표준 5 4 5 7 8" xfId="42341" xr:uid="{00000000-0005-0000-0000-00000FAC0000}"/>
    <cellStyle name="표준 5 4 5 8" xfId="7158" xr:uid="{00000000-0005-0000-0000-000010AC0000}"/>
    <cellStyle name="표준 5 4 5 8 2" xfId="27985" xr:uid="{00000000-0005-0000-0000-000011AC0000}"/>
    <cellStyle name="표준 5 4 5 8 3" xfId="36196" xr:uid="{00000000-0005-0000-0000-000012AC0000}"/>
    <cellStyle name="표준 5 4 5 8 4" xfId="44389" xr:uid="{00000000-0005-0000-0000-000013AC0000}"/>
    <cellStyle name="표준 5 4 5 9" xfId="7279" xr:uid="{00000000-0005-0000-0000-000014AC0000}"/>
    <cellStyle name="표준 5 4 6" xfId="488" xr:uid="{00000000-0005-0000-0000-000015AC0000}"/>
    <cellStyle name="표준 5 4 6 10" xfId="19857" xr:uid="{00000000-0005-0000-0000-000016AC0000}"/>
    <cellStyle name="표준 5 4 6 11" xfId="23953" xr:uid="{00000000-0005-0000-0000-000017AC0000}"/>
    <cellStyle name="표준 5 4 6 12" xfId="32164" xr:uid="{00000000-0005-0000-0000-000018AC0000}"/>
    <cellStyle name="표준 5 4 6 13" xfId="40357" xr:uid="{00000000-0005-0000-0000-000019AC0000}"/>
    <cellStyle name="표준 5 4 6 2" xfId="744" xr:uid="{00000000-0005-0000-0000-00001AAC0000}"/>
    <cellStyle name="표준 5 4 6 2 10" xfId="24209" xr:uid="{00000000-0005-0000-0000-00001BAC0000}"/>
    <cellStyle name="표준 5 4 6 2 11" xfId="32420" xr:uid="{00000000-0005-0000-0000-00001CAC0000}"/>
    <cellStyle name="표준 5 4 6 2 12" xfId="40613" xr:uid="{00000000-0005-0000-0000-00001DAC0000}"/>
    <cellStyle name="표준 5 4 6 2 2" xfId="1256" xr:uid="{00000000-0005-0000-0000-00001EAC0000}"/>
    <cellStyle name="표준 5 4 6 2 2 2" xfId="10159" xr:uid="{00000000-0005-0000-0000-00001FAC0000}"/>
    <cellStyle name="표준 5 4 6 2 2 2 2" xfId="14271" xr:uid="{00000000-0005-0000-0000-000020AC0000}"/>
    <cellStyle name="표준 5 4 6 2 2 2 2 2" xfId="30865" xr:uid="{00000000-0005-0000-0000-000021AC0000}"/>
    <cellStyle name="표준 5 4 6 2 2 2 2 3" xfId="39076" xr:uid="{00000000-0005-0000-0000-000022AC0000}"/>
    <cellStyle name="표준 5 4 6 2 2 2 2 4" xfId="47269" xr:uid="{00000000-0005-0000-0000-000023AC0000}"/>
    <cellStyle name="표준 5 4 6 2 2 2 3" xfId="18511" xr:uid="{00000000-0005-0000-0000-000024AC0000}"/>
    <cellStyle name="표준 5 4 6 2 2 2 4" xfId="22673" xr:uid="{00000000-0005-0000-0000-000025AC0000}"/>
    <cellStyle name="표준 5 4 6 2 2 2 5" xfId="26769" xr:uid="{00000000-0005-0000-0000-000026AC0000}"/>
    <cellStyle name="표준 5 4 6 2 2 2 6" xfId="34980" xr:uid="{00000000-0005-0000-0000-000027AC0000}"/>
    <cellStyle name="표준 5 4 6 2 2 2 7" xfId="43173" xr:uid="{00000000-0005-0000-0000-000028AC0000}"/>
    <cellStyle name="표준 5 4 6 2 2 3" xfId="8111" xr:uid="{00000000-0005-0000-0000-000029AC0000}"/>
    <cellStyle name="표준 5 4 6 2 2 3 2" xfId="28817" xr:uid="{00000000-0005-0000-0000-00002AAC0000}"/>
    <cellStyle name="표준 5 4 6 2 2 3 3" xfId="37028" xr:uid="{00000000-0005-0000-0000-00002BAC0000}"/>
    <cellStyle name="표준 5 4 6 2 2 3 4" xfId="45221" xr:uid="{00000000-0005-0000-0000-00002CAC0000}"/>
    <cellStyle name="표준 5 4 6 2 2 4" xfId="12223" xr:uid="{00000000-0005-0000-0000-00002DAC0000}"/>
    <cellStyle name="표준 5 4 6 2 2 5" xfId="16463" xr:uid="{00000000-0005-0000-0000-00002EAC0000}"/>
    <cellStyle name="표준 5 4 6 2 2 6" xfId="20625" xr:uid="{00000000-0005-0000-0000-00002FAC0000}"/>
    <cellStyle name="표준 5 4 6 2 2 7" xfId="24721" xr:uid="{00000000-0005-0000-0000-000030AC0000}"/>
    <cellStyle name="표준 5 4 6 2 2 8" xfId="32932" xr:uid="{00000000-0005-0000-0000-000031AC0000}"/>
    <cellStyle name="표준 5 4 6 2 2 9" xfId="41125" xr:uid="{00000000-0005-0000-0000-000032AC0000}"/>
    <cellStyle name="표준 5 4 6 2 3" xfId="1768" xr:uid="{00000000-0005-0000-0000-000033AC0000}"/>
    <cellStyle name="표준 5 4 6 2 3 2" xfId="10671" xr:uid="{00000000-0005-0000-0000-000034AC0000}"/>
    <cellStyle name="표준 5 4 6 2 3 2 2" xfId="14783" xr:uid="{00000000-0005-0000-0000-000035AC0000}"/>
    <cellStyle name="표준 5 4 6 2 3 2 2 2" xfId="31377" xr:uid="{00000000-0005-0000-0000-000036AC0000}"/>
    <cellStyle name="표준 5 4 6 2 3 2 2 3" xfId="39588" xr:uid="{00000000-0005-0000-0000-000037AC0000}"/>
    <cellStyle name="표준 5 4 6 2 3 2 2 4" xfId="47781" xr:uid="{00000000-0005-0000-0000-000038AC0000}"/>
    <cellStyle name="표준 5 4 6 2 3 2 3" xfId="19023" xr:uid="{00000000-0005-0000-0000-000039AC0000}"/>
    <cellStyle name="표준 5 4 6 2 3 2 4" xfId="23185" xr:uid="{00000000-0005-0000-0000-00003AAC0000}"/>
    <cellStyle name="표준 5 4 6 2 3 2 5" xfId="27281" xr:uid="{00000000-0005-0000-0000-00003BAC0000}"/>
    <cellStyle name="표준 5 4 6 2 3 2 6" xfId="35492" xr:uid="{00000000-0005-0000-0000-00003CAC0000}"/>
    <cellStyle name="표준 5 4 6 2 3 2 7" xfId="43685" xr:uid="{00000000-0005-0000-0000-00003DAC0000}"/>
    <cellStyle name="표준 5 4 6 2 3 3" xfId="8623" xr:uid="{00000000-0005-0000-0000-00003EAC0000}"/>
    <cellStyle name="표준 5 4 6 2 3 3 2" xfId="29329" xr:uid="{00000000-0005-0000-0000-00003FAC0000}"/>
    <cellStyle name="표준 5 4 6 2 3 3 3" xfId="37540" xr:uid="{00000000-0005-0000-0000-000040AC0000}"/>
    <cellStyle name="표준 5 4 6 2 3 3 4" xfId="45733" xr:uid="{00000000-0005-0000-0000-000041AC0000}"/>
    <cellStyle name="표준 5 4 6 2 3 4" xfId="12735" xr:uid="{00000000-0005-0000-0000-000042AC0000}"/>
    <cellStyle name="표준 5 4 6 2 3 5" xfId="16975" xr:uid="{00000000-0005-0000-0000-000043AC0000}"/>
    <cellStyle name="표준 5 4 6 2 3 6" xfId="21137" xr:uid="{00000000-0005-0000-0000-000044AC0000}"/>
    <cellStyle name="표준 5 4 6 2 3 7" xfId="25233" xr:uid="{00000000-0005-0000-0000-000045AC0000}"/>
    <cellStyle name="표준 5 4 6 2 3 8" xfId="33444" xr:uid="{00000000-0005-0000-0000-000046AC0000}"/>
    <cellStyle name="표준 5 4 6 2 3 9" xfId="41637" xr:uid="{00000000-0005-0000-0000-000047AC0000}"/>
    <cellStyle name="표준 5 4 6 2 4" xfId="2280" xr:uid="{00000000-0005-0000-0000-000048AC0000}"/>
    <cellStyle name="표준 5 4 6 2 4 2" xfId="11183" xr:uid="{00000000-0005-0000-0000-000049AC0000}"/>
    <cellStyle name="표준 5 4 6 2 4 2 2" xfId="15295" xr:uid="{00000000-0005-0000-0000-00004AAC0000}"/>
    <cellStyle name="표준 5 4 6 2 4 2 2 2" xfId="31889" xr:uid="{00000000-0005-0000-0000-00004BAC0000}"/>
    <cellStyle name="표준 5 4 6 2 4 2 2 3" xfId="40100" xr:uid="{00000000-0005-0000-0000-00004CAC0000}"/>
    <cellStyle name="표준 5 4 6 2 4 2 2 4" xfId="48293" xr:uid="{00000000-0005-0000-0000-00004DAC0000}"/>
    <cellStyle name="표준 5 4 6 2 4 2 3" xfId="19535" xr:uid="{00000000-0005-0000-0000-00004EAC0000}"/>
    <cellStyle name="표준 5 4 6 2 4 2 4" xfId="23697" xr:uid="{00000000-0005-0000-0000-00004FAC0000}"/>
    <cellStyle name="표준 5 4 6 2 4 2 5" xfId="27793" xr:uid="{00000000-0005-0000-0000-000050AC0000}"/>
    <cellStyle name="표준 5 4 6 2 4 2 6" xfId="36004" xr:uid="{00000000-0005-0000-0000-000051AC0000}"/>
    <cellStyle name="표준 5 4 6 2 4 2 7" xfId="44197" xr:uid="{00000000-0005-0000-0000-000052AC0000}"/>
    <cellStyle name="표준 5 4 6 2 4 3" xfId="9135" xr:uid="{00000000-0005-0000-0000-000053AC0000}"/>
    <cellStyle name="표준 5 4 6 2 4 3 2" xfId="29841" xr:uid="{00000000-0005-0000-0000-000054AC0000}"/>
    <cellStyle name="표준 5 4 6 2 4 3 3" xfId="38052" xr:uid="{00000000-0005-0000-0000-000055AC0000}"/>
    <cellStyle name="표준 5 4 6 2 4 3 4" xfId="46245" xr:uid="{00000000-0005-0000-0000-000056AC0000}"/>
    <cellStyle name="표준 5 4 6 2 4 4" xfId="13247" xr:uid="{00000000-0005-0000-0000-000057AC0000}"/>
    <cellStyle name="표준 5 4 6 2 4 5" xfId="17487" xr:uid="{00000000-0005-0000-0000-000058AC0000}"/>
    <cellStyle name="표준 5 4 6 2 4 6" xfId="21649" xr:uid="{00000000-0005-0000-0000-000059AC0000}"/>
    <cellStyle name="표준 5 4 6 2 4 7" xfId="25745" xr:uid="{00000000-0005-0000-0000-00005AAC0000}"/>
    <cellStyle name="표준 5 4 6 2 4 8" xfId="33956" xr:uid="{00000000-0005-0000-0000-00005BAC0000}"/>
    <cellStyle name="표준 5 4 6 2 4 9" xfId="42149" xr:uid="{00000000-0005-0000-0000-00005CAC0000}"/>
    <cellStyle name="표준 5 4 6 2 5" xfId="9647" xr:uid="{00000000-0005-0000-0000-00005DAC0000}"/>
    <cellStyle name="표준 5 4 6 2 5 2" xfId="13759" xr:uid="{00000000-0005-0000-0000-00005EAC0000}"/>
    <cellStyle name="표준 5 4 6 2 5 2 2" xfId="30353" xr:uid="{00000000-0005-0000-0000-00005FAC0000}"/>
    <cellStyle name="표준 5 4 6 2 5 2 3" xfId="38564" xr:uid="{00000000-0005-0000-0000-000060AC0000}"/>
    <cellStyle name="표준 5 4 6 2 5 2 4" xfId="46757" xr:uid="{00000000-0005-0000-0000-000061AC0000}"/>
    <cellStyle name="표준 5 4 6 2 5 3" xfId="17999" xr:uid="{00000000-0005-0000-0000-000062AC0000}"/>
    <cellStyle name="표준 5 4 6 2 5 4" xfId="22161" xr:uid="{00000000-0005-0000-0000-000063AC0000}"/>
    <cellStyle name="표준 5 4 6 2 5 5" xfId="26257" xr:uid="{00000000-0005-0000-0000-000064AC0000}"/>
    <cellStyle name="표준 5 4 6 2 5 6" xfId="34468" xr:uid="{00000000-0005-0000-0000-000065AC0000}"/>
    <cellStyle name="표준 5 4 6 2 5 7" xfId="42661" xr:uid="{00000000-0005-0000-0000-000066AC0000}"/>
    <cellStyle name="표준 5 4 6 2 6" xfId="7599" xr:uid="{00000000-0005-0000-0000-000067AC0000}"/>
    <cellStyle name="표준 5 4 6 2 6 2" xfId="28305" xr:uid="{00000000-0005-0000-0000-000068AC0000}"/>
    <cellStyle name="표준 5 4 6 2 6 3" xfId="36516" xr:uid="{00000000-0005-0000-0000-000069AC0000}"/>
    <cellStyle name="표준 5 4 6 2 6 4" xfId="44709" xr:uid="{00000000-0005-0000-0000-00006AAC0000}"/>
    <cellStyle name="표준 5 4 6 2 7" xfId="11711" xr:uid="{00000000-0005-0000-0000-00006BAC0000}"/>
    <cellStyle name="표준 5 4 6 2 8" xfId="15951" xr:uid="{00000000-0005-0000-0000-00006CAC0000}"/>
    <cellStyle name="표준 5 4 6 2 9" xfId="20113" xr:uid="{00000000-0005-0000-0000-00006DAC0000}"/>
    <cellStyle name="표준 5 4 6 3" xfId="1000" xr:uid="{00000000-0005-0000-0000-00006EAC0000}"/>
    <cellStyle name="표준 5 4 6 3 2" xfId="9903" xr:uid="{00000000-0005-0000-0000-00006FAC0000}"/>
    <cellStyle name="표준 5 4 6 3 2 2" xfId="14015" xr:uid="{00000000-0005-0000-0000-000070AC0000}"/>
    <cellStyle name="표준 5 4 6 3 2 2 2" xfId="30609" xr:uid="{00000000-0005-0000-0000-000071AC0000}"/>
    <cellStyle name="표준 5 4 6 3 2 2 3" xfId="38820" xr:uid="{00000000-0005-0000-0000-000072AC0000}"/>
    <cellStyle name="표준 5 4 6 3 2 2 4" xfId="47013" xr:uid="{00000000-0005-0000-0000-000073AC0000}"/>
    <cellStyle name="표준 5 4 6 3 2 3" xfId="18255" xr:uid="{00000000-0005-0000-0000-000074AC0000}"/>
    <cellStyle name="표준 5 4 6 3 2 4" xfId="22417" xr:uid="{00000000-0005-0000-0000-000075AC0000}"/>
    <cellStyle name="표준 5 4 6 3 2 5" xfId="26513" xr:uid="{00000000-0005-0000-0000-000076AC0000}"/>
    <cellStyle name="표준 5 4 6 3 2 6" xfId="34724" xr:uid="{00000000-0005-0000-0000-000077AC0000}"/>
    <cellStyle name="표준 5 4 6 3 2 7" xfId="42917" xr:uid="{00000000-0005-0000-0000-000078AC0000}"/>
    <cellStyle name="표준 5 4 6 3 3" xfId="7855" xr:uid="{00000000-0005-0000-0000-000079AC0000}"/>
    <cellStyle name="표준 5 4 6 3 3 2" xfId="28561" xr:uid="{00000000-0005-0000-0000-00007AAC0000}"/>
    <cellStyle name="표준 5 4 6 3 3 3" xfId="36772" xr:uid="{00000000-0005-0000-0000-00007BAC0000}"/>
    <cellStyle name="표준 5 4 6 3 3 4" xfId="44965" xr:uid="{00000000-0005-0000-0000-00007CAC0000}"/>
    <cellStyle name="표준 5 4 6 3 4" xfId="11967" xr:uid="{00000000-0005-0000-0000-00007DAC0000}"/>
    <cellStyle name="표준 5 4 6 3 5" xfId="16207" xr:uid="{00000000-0005-0000-0000-00007EAC0000}"/>
    <cellStyle name="표준 5 4 6 3 6" xfId="20369" xr:uid="{00000000-0005-0000-0000-00007FAC0000}"/>
    <cellStyle name="표준 5 4 6 3 7" xfId="24465" xr:uid="{00000000-0005-0000-0000-000080AC0000}"/>
    <cellStyle name="표준 5 4 6 3 8" xfId="32676" xr:uid="{00000000-0005-0000-0000-000081AC0000}"/>
    <cellStyle name="표준 5 4 6 3 9" xfId="40869" xr:uid="{00000000-0005-0000-0000-000082AC0000}"/>
    <cellStyle name="표준 5 4 6 4" xfId="1512" xr:uid="{00000000-0005-0000-0000-000083AC0000}"/>
    <cellStyle name="표준 5 4 6 4 2" xfId="10415" xr:uid="{00000000-0005-0000-0000-000084AC0000}"/>
    <cellStyle name="표준 5 4 6 4 2 2" xfId="14527" xr:uid="{00000000-0005-0000-0000-000085AC0000}"/>
    <cellStyle name="표준 5 4 6 4 2 2 2" xfId="31121" xr:uid="{00000000-0005-0000-0000-000086AC0000}"/>
    <cellStyle name="표준 5 4 6 4 2 2 3" xfId="39332" xr:uid="{00000000-0005-0000-0000-000087AC0000}"/>
    <cellStyle name="표준 5 4 6 4 2 2 4" xfId="47525" xr:uid="{00000000-0005-0000-0000-000088AC0000}"/>
    <cellStyle name="표준 5 4 6 4 2 3" xfId="18767" xr:uid="{00000000-0005-0000-0000-000089AC0000}"/>
    <cellStyle name="표준 5 4 6 4 2 4" xfId="22929" xr:uid="{00000000-0005-0000-0000-00008AAC0000}"/>
    <cellStyle name="표준 5 4 6 4 2 5" xfId="27025" xr:uid="{00000000-0005-0000-0000-00008BAC0000}"/>
    <cellStyle name="표준 5 4 6 4 2 6" xfId="35236" xr:uid="{00000000-0005-0000-0000-00008CAC0000}"/>
    <cellStyle name="표준 5 4 6 4 2 7" xfId="43429" xr:uid="{00000000-0005-0000-0000-00008DAC0000}"/>
    <cellStyle name="표준 5 4 6 4 3" xfId="8367" xr:uid="{00000000-0005-0000-0000-00008EAC0000}"/>
    <cellStyle name="표준 5 4 6 4 3 2" xfId="29073" xr:uid="{00000000-0005-0000-0000-00008FAC0000}"/>
    <cellStyle name="표준 5 4 6 4 3 3" xfId="37284" xr:uid="{00000000-0005-0000-0000-000090AC0000}"/>
    <cellStyle name="표준 5 4 6 4 3 4" xfId="45477" xr:uid="{00000000-0005-0000-0000-000091AC0000}"/>
    <cellStyle name="표준 5 4 6 4 4" xfId="12479" xr:uid="{00000000-0005-0000-0000-000092AC0000}"/>
    <cellStyle name="표준 5 4 6 4 5" xfId="16719" xr:uid="{00000000-0005-0000-0000-000093AC0000}"/>
    <cellStyle name="표준 5 4 6 4 6" xfId="20881" xr:uid="{00000000-0005-0000-0000-000094AC0000}"/>
    <cellStyle name="표준 5 4 6 4 7" xfId="24977" xr:uid="{00000000-0005-0000-0000-000095AC0000}"/>
    <cellStyle name="표준 5 4 6 4 8" xfId="33188" xr:uid="{00000000-0005-0000-0000-000096AC0000}"/>
    <cellStyle name="표준 5 4 6 4 9" xfId="41381" xr:uid="{00000000-0005-0000-0000-000097AC0000}"/>
    <cellStyle name="표준 5 4 6 5" xfId="2024" xr:uid="{00000000-0005-0000-0000-000098AC0000}"/>
    <cellStyle name="표준 5 4 6 5 2" xfId="10927" xr:uid="{00000000-0005-0000-0000-000099AC0000}"/>
    <cellStyle name="표준 5 4 6 5 2 2" xfId="15039" xr:uid="{00000000-0005-0000-0000-00009AAC0000}"/>
    <cellStyle name="표준 5 4 6 5 2 2 2" xfId="31633" xr:uid="{00000000-0005-0000-0000-00009BAC0000}"/>
    <cellStyle name="표준 5 4 6 5 2 2 3" xfId="39844" xr:uid="{00000000-0005-0000-0000-00009CAC0000}"/>
    <cellStyle name="표준 5 4 6 5 2 2 4" xfId="48037" xr:uid="{00000000-0005-0000-0000-00009DAC0000}"/>
    <cellStyle name="표준 5 4 6 5 2 3" xfId="19279" xr:uid="{00000000-0005-0000-0000-00009EAC0000}"/>
    <cellStyle name="표준 5 4 6 5 2 4" xfId="23441" xr:uid="{00000000-0005-0000-0000-00009FAC0000}"/>
    <cellStyle name="표준 5 4 6 5 2 5" xfId="27537" xr:uid="{00000000-0005-0000-0000-0000A0AC0000}"/>
    <cellStyle name="표준 5 4 6 5 2 6" xfId="35748" xr:uid="{00000000-0005-0000-0000-0000A1AC0000}"/>
    <cellStyle name="표준 5 4 6 5 2 7" xfId="43941" xr:uid="{00000000-0005-0000-0000-0000A2AC0000}"/>
    <cellStyle name="표준 5 4 6 5 3" xfId="8879" xr:uid="{00000000-0005-0000-0000-0000A3AC0000}"/>
    <cellStyle name="표준 5 4 6 5 3 2" xfId="29585" xr:uid="{00000000-0005-0000-0000-0000A4AC0000}"/>
    <cellStyle name="표준 5 4 6 5 3 3" xfId="37796" xr:uid="{00000000-0005-0000-0000-0000A5AC0000}"/>
    <cellStyle name="표준 5 4 6 5 3 4" xfId="45989" xr:uid="{00000000-0005-0000-0000-0000A6AC0000}"/>
    <cellStyle name="표준 5 4 6 5 4" xfId="12991" xr:uid="{00000000-0005-0000-0000-0000A7AC0000}"/>
    <cellStyle name="표준 5 4 6 5 5" xfId="17231" xr:uid="{00000000-0005-0000-0000-0000A8AC0000}"/>
    <cellStyle name="표준 5 4 6 5 6" xfId="21393" xr:uid="{00000000-0005-0000-0000-0000A9AC0000}"/>
    <cellStyle name="표준 5 4 6 5 7" xfId="25489" xr:uid="{00000000-0005-0000-0000-0000AAAC0000}"/>
    <cellStyle name="표준 5 4 6 5 8" xfId="33700" xr:uid="{00000000-0005-0000-0000-0000ABAC0000}"/>
    <cellStyle name="표준 5 4 6 5 9" xfId="41893" xr:uid="{00000000-0005-0000-0000-0000ACAC0000}"/>
    <cellStyle name="표준 5 4 6 6" xfId="9391" xr:uid="{00000000-0005-0000-0000-0000ADAC0000}"/>
    <cellStyle name="표준 5 4 6 6 2" xfId="13503" xr:uid="{00000000-0005-0000-0000-0000AEAC0000}"/>
    <cellStyle name="표준 5 4 6 6 2 2" xfId="30097" xr:uid="{00000000-0005-0000-0000-0000AFAC0000}"/>
    <cellStyle name="표준 5 4 6 6 2 3" xfId="38308" xr:uid="{00000000-0005-0000-0000-0000B0AC0000}"/>
    <cellStyle name="표준 5 4 6 6 2 4" xfId="46501" xr:uid="{00000000-0005-0000-0000-0000B1AC0000}"/>
    <cellStyle name="표준 5 4 6 6 3" xfId="17743" xr:uid="{00000000-0005-0000-0000-0000B2AC0000}"/>
    <cellStyle name="표준 5 4 6 6 4" xfId="21905" xr:uid="{00000000-0005-0000-0000-0000B3AC0000}"/>
    <cellStyle name="표준 5 4 6 6 5" xfId="26001" xr:uid="{00000000-0005-0000-0000-0000B4AC0000}"/>
    <cellStyle name="표준 5 4 6 6 6" xfId="34212" xr:uid="{00000000-0005-0000-0000-0000B5AC0000}"/>
    <cellStyle name="표준 5 4 6 6 7" xfId="42405" xr:uid="{00000000-0005-0000-0000-0000B6AC0000}"/>
    <cellStyle name="표준 5 4 6 7" xfId="7343" xr:uid="{00000000-0005-0000-0000-0000B7AC0000}"/>
    <cellStyle name="표준 5 4 6 7 2" xfId="28049" xr:uid="{00000000-0005-0000-0000-0000B8AC0000}"/>
    <cellStyle name="표준 5 4 6 7 3" xfId="36260" xr:uid="{00000000-0005-0000-0000-0000B9AC0000}"/>
    <cellStyle name="표준 5 4 6 7 4" xfId="44453" xr:uid="{00000000-0005-0000-0000-0000BAAC0000}"/>
    <cellStyle name="표준 5 4 6 8" xfId="11455" xr:uid="{00000000-0005-0000-0000-0000BBAC0000}"/>
    <cellStyle name="표준 5 4 6 9" xfId="15695" xr:uid="{00000000-0005-0000-0000-0000BCAC0000}"/>
    <cellStyle name="표준 5 4 7" xfId="616" xr:uid="{00000000-0005-0000-0000-0000BDAC0000}"/>
    <cellStyle name="표준 5 4 7 10" xfId="24081" xr:uid="{00000000-0005-0000-0000-0000BEAC0000}"/>
    <cellStyle name="표준 5 4 7 11" xfId="32292" xr:uid="{00000000-0005-0000-0000-0000BFAC0000}"/>
    <cellStyle name="표준 5 4 7 12" xfId="40485" xr:uid="{00000000-0005-0000-0000-0000C0AC0000}"/>
    <cellStyle name="표준 5 4 7 2" xfId="1128" xr:uid="{00000000-0005-0000-0000-0000C1AC0000}"/>
    <cellStyle name="표준 5 4 7 2 2" xfId="10031" xr:uid="{00000000-0005-0000-0000-0000C2AC0000}"/>
    <cellStyle name="표준 5 4 7 2 2 2" xfId="14143" xr:uid="{00000000-0005-0000-0000-0000C3AC0000}"/>
    <cellStyle name="표준 5 4 7 2 2 2 2" xfId="30737" xr:uid="{00000000-0005-0000-0000-0000C4AC0000}"/>
    <cellStyle name="표준 5 4 7 2 2 2 3" xfId="38948" xr:uid="{00000000-0005-0000-0000-0000C5AC0000}"/>
    <cellStyle name="표준 5 4 7 2 2 2 4" xfId="47141" xr:uid="{00000000-0005-0000-0000-0000C6AC0000}"/>
    <cellStyle name="표준 5 4 7 2 2 3" xfId="18383" xr:uid="{00000000-0005-0000-0000-0000C7AC0000}"/>
    <cellStyle name="표준 5 4 7 2 2 4" xfId="22545" xr:uid="{00000000-0005-0000-0000-0000C8AC0000}"/>
    <cellStyle name="표준 5 4 7 2 2 5" xfId="26641" xr:uid="{00000000-0005-0000-0000-0000C9AC0000}"/>
    <cellStyle name="표준 5 4 7 2 2 6" xfId="34852" xr:uid="{00000000-0005-0000-0000-0000CAAC0000}"/>
    <cellStyle name="표준 5 4 7 2 2 7" xfId="43045" xr:uid="{00000000-0005-0000-0000-0000CBAC0000}"/>
    <cellStyle name="표준 5 4 7 2 3" xfId="7983" xr:uid="{00000000-0005-0000-0000-0000CCAC0000}"/>
    <cellStyle name="표준 5 4 7 2 3 2" xfId="28689" xr:uid="{00000000-0005-0000-0000-0000CDAC0000}"/>
    <cellStyle name="표준 5 4 7 2 3 3" xfId="36900" xr:uid="{00000000-0005-0000-0000-0000CEAC0000}"/>
    <cellStyle name="표준 5 4 7 2 3 4" xfId="45093" xr:uid="{00000000-0005-0000-0000-0000CFAC0000}"/>
    <cellStyle name="표준 5 4 7 2 4" xfId="12095" xr:uid="{00000000-0005-0000-0000-0000D0AC0000}"/>
    <cellStyle name="표준 5 4 7 2 5" xfId="16335" xr:uid="{00000000-0005-0000-0000-0000D1AC0000}"/>
    <cellStyle name="표준 5 4 7 2 6" xfId="20497" xr:uid="{00000000-0005-0000-0000-0000D2AC0000}"/>
    <cellStyle name="표준 5 4 7 2 7" xfId="24593" xr:uid="{00000000-0005-0000-0000-0000D3AC0000}"/>
    <cellStyle name="표준 5 4 7 2 8" xfId="32804" xr:uid="{00000000-0005-0000-0000-0000D4AC0000}"/>
    <cellStyle name="표준 5 4 7 2 9" xfId="40997" xr:uid="{00000000-0005-0000-0000-0000D5AC0000}"/>
    <cellStyle name="표준 5 4 7 3" xfId="1640" xr:uid="{00000000-0005-0000-0000-0000D6AC0000}"/>
    <cellStyle name="표준 5 4 7 3 2" xfId="10543" xr:uid="{00000000-0005-0000-0000-0000D7AC0000}"/>
    <cellStyle name="표준 5 4 7 3 2 2" xfId="14655" xr:uid="{00000000-0005-0000-0000-0000D8AC0000}"/>
    <cellStyle name="표준 5 4 7 3 2 2 2" xfId="31249" xr:uid="{00000000-0005-0000-0000-0000D9AC0000}"/>
    <cellStyle name="표준 5 4 7 3 2 2 3" xfId="39460" xr:uid="{00000000-0005-0000-0000-0000DAAC0000}"/>
    <cellStyle name="표준 5 4 7 3 2 2 4" xfId="47653" xr:uid="{00000000-0005-0000-0000-0000DBAC0000}"/>
    <cellStyle name="표준 5 4 7 3 2 3" xfId="18895" xr:uid="{00000000-0005-0000-0000-0000DCAC0000}"/>
    <cellStyle name="표준 5 4 7 3 2 4" xfId="23057" xr:uid="{00000000-0005-0000-0000-0000DDAC0000}"/>
    <cellStyle name="표준 5 4 7 3 2 5" xfId="27153" xr:uid="{00000000-0005-0000-0000-0000DEAC0000}"/>
    <cellStyle name="표준 5 4 7 3 2 6" xfId="35364" xr:uid="{00000000-0005-0000-0000-0000DFAC0000}"/>
    <cellStyle name="표준 5 4 7 3 2 7" xfId="43557" xr:uid="{00000000-0005-0000-0000-0000E0AC0000}"/>
    <cellStyle name="표준 5 4 7 3 3" xfId="8495" xr:uid="{00000000-0005-0000-0000-0000E1AC0000}"/>
    <cellStyle name="표준 5 4 7 3 3 2" xfId="29201" xr:uid="{00000000-0005-0000-0000-0000E2AC0000}"/>
    <cellStyle name="표준 5 4 7 3 3 3" xfId="37412" xr:uid="{00000000-0005-0000-0000-0000E3AC0000}"/>
    <cellStyle name="표준 5 4 7 3 3 4" xfId="45605" xr:uid="{00000000-0005-0000-0000-0000E4AC0000}"/>
    <cellStyle name="표준 5 4 7 3 4" xfId="12607" xr:uid="{00000000-0005-0000-0000-0000E5AC0000}"/>
    <cellStyle name="표준 5 4 7 3 5" xfId="16847" xr:uid="{00000000-0005-0000-0000-0000E6AC0000}"/>
    <cellStyle name="표준 5 4 7 3 6" xfId="21009" xr:uid="{00000000-0005-0000-0000-0000E7AC0000}"/>
    <cellStyle name="표준 5 4 7 3 7" xfId="25105" xr:uid="{00000000-0005-0000-0000-0000E8AC0000}"/>
    <cellStyle name="표준 5 4 7 3 8" xfId="33316" xr:uid="{00000000-0005-0000-0000-0000E9AC0000}"/>
    <cellStyle name="표준 5 4 7 3 9" xfId="41509" xr:uid="{00000000-0005-0000-0000-0000EAAC0000}"/>
    <cellStyle name="표준 5 4 7 4" xfId="2152" xr:uid="{00000000-0005-0000-0000-0000EBAC0000}"/>
    <cellStyle name="표준 5 4 7 4 2" xfId="11055" xr:uid="{00000000-0005-0000-0000-0000ECAC0000}"/>
    <cellStyle name="표준 5 4 7 4 2 2" xfId="15167" xr:uid="{00000000-0005-0000-0000-0000EDAC0000}"/>
    <cellStyle name="표준 5 4 7 4 2 2 2" xfId="31761" xr:uid="{00000000-0005-0000-0000-0000EEAC0000}"/>
    <cellStyle name="표준 5 4 7 4 2 2 3" xfId="39972" xr:uid="{00000000-0005-0000-0000-0000EFAC0000}"/>
    <cellStyle name="표준 5 4 7 4 2 2 4" xfId="48165" xr:uid="{00000000-0005-0000-0000-0000F0AC0000}"/>
    <cellStyle name="표준 5 4 7 4 2 3" xfId="19407" xr:uid="{00000000-0005-0000-0000-0000F1AC0000}"/>
    <cellStyle name="표준 5 4 7 4 2 4" xfId="23569" xr:uid="{00000000-0005-0000-0000-0000F2AC0000}"/>
    <cellStyle name="표준 5 4 7 4 2 5" xfId="27665" xr:uid="{00000000-0005-0000-0000-0000F3AC0000}"/>
    <cellStyle name="표준 5 4 7 4 2 6" xfId="35876" xr:uid="{00000000-0005-0000-0000-0000F4AC0000}"/>
    <cellStyle name="표준 5 4 7 4 2 7" xfId="44069" xr:uid="{00000000-0005-0000-0000-0000F5AC0000}"/>
    <cellStyle name="표준 5 4 7 4 3" xfId="9007" xr:uid="{00000000-0005-0000-0000-0000F6AC0000}"/>
    <cellStyle name="표준 5 4 7 4 3 2" xfId="29713" xr:uid="{00000000-0005-0000-0000-0000F7AC0000}"/>
    <cellStyle name="표준 5 4 7 4 3 3" xfId="37924" xr:uid="{00000000-0005-0000-0000-0000F8AC0000}"/>
    <cellStyle name="표준 5 4 7 4 3 4" xfId="46117" xr:uid="{00000000-0005-0000-0000-0000F9AC0000}"/>
    <cellStyle name="표준 5 4 7 4 4" xfId="13119" xr:uid="{00000000-0005-0000-0000-0000FAAC0000}"/>
    <cellStyle name="표준 5 4 7 4 5" xfId="17359" xr:uid="{00000000-0005-0000-0000-0000FBAC0000}"/>
    <cellStyle name="표준 5 4 7 4 6" xfId="21521" xr:uid="{00000000-0005-0000-0000-0000FCAC0000}"/>
    <cellStyle name="표준 5 4 7 4 7" xfId="25617" xr:uid="{00000000-0005-0000-0000-0000FDAC0000}"/>
    <cellStyle name="표준 5 4 7 4 8" xfId="33828" xr:uid="{00000000-0005-0000-0000-0000FEAC0000}"/>
    <cellStyle name="표준 5 4 7 4 9" xfId="42021" xr:uid="{00000000-0005-0000-0000-0000FFAC0000}"/>
    <cellStyle name="표준 5 4 7 5" xfId="9519" xr:uid="{00000000-0005-0000-0000-000000AD0000}"/>
    <cellStyle name="표준 5 4 7 5 2" xfId="13631" xr:uid="{00000000-0005-0000-0000-000001AD0000}"/>
    <cellStyle name="표준 5 4 7 5 2 2" xfId="30225" xr:uid="{00000000-0005-0000-0000-000002AD0000}"/>
    <cellStyle name="표준 5 4 7 5 2 3" xfId="38436" xr:uid="{00000000-0005-0000-0000-000003AD0000}"/>
    <cellStyle name="표준 5 4 7 5 2 4" xfId="46629" xr:uid="{00000000-0005-0000-0000-000004AD0000}"/>
    <cellStyle name="표준 5 4 7 5 3" xfId="17871" xr:uid="{00000000-0005-0000-0000-000005AD0000}"/>
    <cellStyle name="표준 5 4 7 5 4" xfId="22033" xr:uid="{00000000-0005-0000-0000-000006AD0000}"/>
    <cellStyle name="표준 5 4 7 5 5" xfId="26129" xr:uid="{00000000-0005-0000-0000-000007AD0000}"/>
    <cellStyle name="표준 5 4 7 5 6" xfId="34340" xr:uid="{00000000-0005-0000-0000-000008AD0000}"/>
    <cellStyle name="표준 5 4 7 5 7" xfId="42533" xr:uid="{00000000-0005-0000-0000-000009AD0000}"/>
    <cellStyle name="표준 5 4 7 6" xfId="7471" xr:uid="{00000000-0005-0000-0000-00000AAD0000}"/>
    <cellStyle name="표준 5 4 7 6 2" xfId="28177" xr:uid="{00000000-0005-0000-0000-00000BAD0000}"/>
    <cellStyle name="표준 5 4 7 6 3" xfId="36388" xr:uid="{00000000-0005-0000-0000-00000CAD0000}"/>
    <cellStyle name="표준 5 4 7 6 4" xfId="44581" xr:uid="{00000000-0005-0000-0000-00000DAD0000}"/>
    <cellStyle name="표준 5 4 7 7" xfId="11583" xr:uid="{00000000-0005-0000-0000-00000EAD0000}"/>
    <cellStyle name="표준 5 4 7 8" xfId="15823" xr:uid="{00000000-0005-0000-0000-00000FAD0000}"/>
    <cellStyle name="표준 5 4 7 9" xfId="19985" xr:uid="{00000000-0005-0000-0000-000010AD0000}"/>
    <cellStyle name="표준 5 4 8" xfId="872" xr:uid="{00000000-0005-0000-0000-000011AD0000}"/>
    <cellStyle name="표준 5 4 8 2" xfId="9775" xr:uid="{00000000-0005-0000-0000-000012AD0000}"/>
    <cellStyle name="표준 5 4 8 2 2" xfId="13887" xr:uid="{00000000-0005-0000-0000-000013AD0000}"/>
    <cellStyle name="표준 5 4 8 2 2 2" xfId="30481" xr:uid="{00000000-0005-0000-0000-000014AD0000}"/>
    <cellStyle name="표준 5 4 8 2 2 3" xfId="38692" xr:uid="{00000000-0005-0000-0000-000015AD0000}"/>
    <cellStyle name="표준 5 4 8 2 2 4" xfId="46885" xr:uid="{00000000-0005-0000-0000-000016AD0000}"/>
    <cellStyle name="표준 5 4 8 2 3" xfId="18127" xr:uid="{00000000-0005-0000-0000-000017AD0000}"/>
    <cellStyle name="표준 5 4 8 2 4" xfId="22289" xr:uid="{00000000-0005-0000-0000-000018AD0000}"/>
    <cellStyle name="표준 5 4 8 2 5" xfId="26385" xr:uid="{00000000-0005-0000-0000-000019AD0000}"/>
    <cellStyle name="표준 5 4 8 2 6" xfId="34596" xr:uid="{00000000-0005-0000-0000-00001AAD0000}"/>
    <cellStyle name="표준 5 4 8 2 7" xfId="42789" xr:uid="{00000000-0005-0000-0000-00001BAD0000}"/>
    <cellStyle name="표준 5 4 8 3" xfId="7727" xr:uid="{00000000-0005-0000-0000-00001CAD0000}"/>
    <cellStyle name="표준 5 4 8 3 2" xfId="28433" xr:uid="{00000000-0005-0000-0000-00001DAD0000}"/>
    <cellStyle name="표준 5 4 8 3 3" xfId="36644" xr:uid="{00000000-0005-0000-0000-00001EAD0000}"/>
    <cellStyle name="표준 5 4 8 3 4" xfId="44837" xr:uid="{00000000-0005-0000-0000-00001FAD0000}"/>
    <cellStyle name="표준 5 4 8 4" xfId="11839" xr:uid="{00000000-0005-0000-0000-000020AD0000}"/>
    <cellStyle name="표준 5 4 8 5" xfId="16079" xr:uid="{00000000-0005-0000-0000-000021AD0000}"/>
    <cellStyle name="표준 5 4 8 6" xfId="20241" xr:uid="{00000000-0005-0000-0000-000022AD0000}"/>
    <cellStyle name="표준 5 4 8 7" xfId="24337" xr:uid="{00000000-0005-0000-0000-000023AD0000}"/>
    <cellStyle name="표준 5 4 8 8" xfId="32548" xr:uid="{00000000-0005-0000-0000-000024AD0000}"/>
    <cellStyle name="표준 5 4 8 9" xfId="40741" xr:uid="{00000000-0005-0000-0000-000025AD0000}"/>
    <cellStyle name="표준 5 4 9" xfId="1384" xr:uid="{00000000-0005-0000-0000-000026AD0000}"/>
    <cellStyle name="표준 5 4 9 2" xfId="10287" xr:uid="{00000000-0005-0000-0000-000027AD0000}"/>
    <cellStyle name="표준 5 4 9 2 2" xfId="14399" xr:uid="{00000000-0005-0000-0000-000028AD0000}"/>
    <cellStyle name="표준 5 4 9 2 2 2" xfId="30993" xr:uid="{00000000-0005-0000-0000-000029AD0000}"/>
    <cellStyle name="표준 5 4 9 2 2 3" xfId="39204" xr:uid="{00000000-0005-0000-0000-00002AAD0000}"/>
    <cellStyle name="표준 5 4 9 2 2 4" xfId="47397" xr:uid="{00000000-0005-0000-0000-00002BAD0000}"/>
    <cellStyle name="표준 5 4 9 2 3" xfId="18639" xr:uid="{00000000-0005-0000-0000-00002CAD0000}"/>
    <cellStyle name="표준 5 4 9 2 4" xfId="22801" xr:uid="{00000000-0005-0000-0000-00002DAD0000}"/>
    <cellStyle name="표준 5 4 9 2 5" xfId="26897" xr:uid="{00000000-0005-0000-0000-00002EAD0000}"/>
    <cellStyle name="표준 5 4 9 2 6" xfId="35108" xr:uid="{00000000-0005-0000-0000-00002FAD0000}"/>
    <cellStyle name="표준 5 4 9 2 7" xfId="43301" xr:uid="{00000000-0005-0000-0000-000030AD0000}"/>
    <cellStyle name="표준 5 4 9 3" xfId="8239" xr:uid="{00000000-0005-0000-0000-000031AD0000}"/>
    <cellStyle name="표준 5 4 9 3 2" xfId="28945" xr:uid="{00000000-0005-0000-0000-000032AD0000}"/>
    <cellStyle name="표준 5 4 9 3 3" xfId="37156" xr:uid="{00000000-0005-0000-0000-000033AD0000}"/>
    <cellStyle name="표준 5 4 9 3 4" xfId="45349" xr:uid="{00000000-0005-0000-0000-000034AD0000}"/>
    <cellStyle name="표준 5 4 9 4" xfId="12351" xr:uid="{00000000-0005-0000-0000-000035AD0000}"/>
    <cellStyle name="표준 5 4 9 5" xfId="16591" xr:uid="{00000000-0005-0000-0000-000036AD0000}"/>
    <cellStyle name="표준 5 4 9 6" xfId="20753" xr:uid="{00000000-0005-0000-0000-000037AD0000}"/>
    <cellStyle name="표준 5 4 9 7" xfId="24849" xr:uid="{00000000-0005-0000-0000-000038AD0000}"/>
    <cellStyle name="표준 5 4 9 8" xfId="33060" xr:uid="{00000000-0005-0000-0000-000039AD0000}"/>
    <cellStyle name="표준 5 4 9 9" xfId="41253" xr:uid="{00000000-0005-0000-0000-00003AAD0000}"/>
    <cellStyle name="표준 5 5" xfId="63" xr:uid="{00000000-0005-0000-0000-00003BAD0000}"/>
    <cellStyle name="표준 5 5 10" xfId="4340" xr:uid="{00000000-0005-0000-0000-00003CAD0000}"/>
    <cellStyle name="표준 5 5 10 2" xfId="9267" xr:uid="{00000000-0005-0000-0000-00003DAD0000}"/>
    <cellStyle name="표준 5 5 10 2 2" xfId="29973" xr:uid="{00000000-0005-0000-0000-00003EAD0000}"/>
    <cellStyle name="표준 5 5 10 2 3" xfId="38184" xr:uid="{00000000-0005-0000-0000-00003FAD0000}"/>
    <cellStyle name="표준 5 5 10 2 4" xfId="46377" xr:uid="{00000000-0005-0000-0000-000040AD0000}"/>
    <cellStyle name="표준 5 5 10 3" xfId="13379" xr:uid="{00000000-0005-0000-0000-000041AD0000}"/>
    <cellStyle name="표준 5 5 10 4" xfId="17619" xr:uid="{00000000-0005-0000-0000-000042AD0000}"/>
    <cellStyle name="표준 5 5 10 5" xfId="21781" xr:uid="{00000000-0005-0000-0000-000043AD0000}"/>
    <cellStyle name="표준 5 5 10 6" xfId="25877" xr:uid="{00000000-0005-0000-0000-000044AD0000}"/>
    <cellStyle name="표준 5 5 10 7" xfId="34088" xr:uid="{00000000-0005-0000-0000-000045AD0000}"/>
    <cellStyle name="표준 5 5 10 8" xfId="42281" xr:uid="{00000000-0005-0000-0000-000046AD0000}"/>
    <cellStyle name="표준 5 5 11" xfId="4397" xr:uid="{00000000-0005-0000-0000-000047AD0000}"/>
    <cellStyle name="표준 5 5 11 2" xfId="27925" xr:uid="{00000000-0005-0000-0000-000048AD0000}"/>
    <cellStyle name="표준 5 5 11 3" xfId="36136" xr:uid="{00000000-0005-0000-0000-000049AD0000}"/>
    <cellStyle name="표준 5 5 11 4" xfId="44329" xr:uid="{00000000-0005-0000-0000-00004AAD0000}"/>
    <cellStyle name="표준 5 5 12" xfId="6954" xr:uid="{00000000-0005-0000-0000-00004BAD0000}"/>
    <cellStyle name="표준 5 5 13" xfId="7072" xr:uid="{00000000-0005-0000-0000-00004CAD0000}"/>
    <cellStyle name="표준 5 5 14" xfId="7088" xr:uid="{00000000-0005-0000-0000-00004DAD0000}"/>
    <cellStyle name="표준 5 5 15" xfId="7104" xr:uid="{00000000-0005-0000-0000-00004EAD0000}"/>
    <cellStyle name="표준 5 5 16" xfId="7202" xr:uid="{00000000-0005-0000-0000-00004FAD0000}"/>
    <cellStyle name="표준 5 5 17" xfId="7219" xr:uid="{00000000-0005-0000-0000-000050AD0000}"/>
    <cellStyle name="표준 5 5 18" xfId="11315" xr:uid="{00000000-0005-0000-0000-000051AD0000}"/>
    <cellStyle name="표준 5 5 19" xfId="11331" xr:uid="{00000000-0005-0000-0000-000052AD0000}"/>
    <cellStyle name="표준 5 5 2" xfId="157" xr:uid="{00000000-0005-0000-0000-000053AD0000}"/>
    <cellStyle name="표준 5 5 2 10" xfId="7186" xr:uid="{00000000-0005-0000-0000-000054AD0000}"/>
    <cellStyle name="표준 5 5 2 10 2" xfId="27941" xr:uid="{00000000-0005-0000-0000-000055AD0000}"/>
    <cellStyle name="표준 5 5 2 10 3" xfId="36152" xr:uid="{00000000-0005-0000-0000-000056AD0000}"/>
    <cellStyle name="표준 5 5 2 10 4" xfId="44345" xr:uid="{00000000-0005-0000-0000-000057AD0000}"/>
    <cellStyle name="표준 5 5 2 11" xfId="7235" xr:uid="{00000000-0005-0000-0000-000058AD0000}"/>
    <cellStyle name="표준 5 5 2 12" xfId="11347" xr:uid="{00000000-0005-0000-0000-000059AD0000}"/>
    <cellStyle name="표준 5 5 2 13" xfId="15475" xr:uid="{00000000-0005-0000-0000-00005AAD0000}"/>
    <cellStyle name="표준 5 5 2 14" xfId="15587" xr:uid="{00000000-0005-0000-0000-00005BAD0000}"/>
    <cellStyle name="표준 5 5 2 15" xfId="19749" xr:uid="{00000000-0005-0000-0000-00005CAD0000}"/>
    <cellStyle name="표준 5 5 2 16" xfId="23845" xr:uid="{00000000-0005-0000-0000-00005DAD0000}"/>
    <cellStyle name="표준 5 5 2 17" xfId="32056" xr:uid="{00000000-0005-0000-0000-00005EAD0000}"/>
    <cellStyle name="표준 5 5 2 18" xfId="40249" xr:uid="{00000000-0005-0000-0000-00005FAD0000}"/>
    <cellStyle name="표준 5 5 2 19" xfId="49644" xr:uid="{00000000-0005-0000-0000-000060AD0000}"/>
    <cellStyle name="표준 5 5 2 2" xfId="412" xr:uid="{00000000-0005-0000-0000-000061AD0000}"/>
    <cellStyle name="표준 5 5 2 2 10" xfId="7267" xr:uid="{00000000-0005-0000-0000-000062AD0000}"/>
    <cellStyle name="표준 5 5 2 2 11" xfId="11379" xr:uid="{00000000-0005-0000-0000-000063AD0000}"/>
    <cellStyle name="표준 5 5 2 2 12" xfId="15523" xr:uid="{00000000-0005-0000-0000-000064AD0000}"/>
    <cellStyle name="표준 5 5 2 2 13" xfId="15619" xr:uid="{00000000-0005-0000-0000-000065AD0000}"/>
    <cellStyle name="표준 5 5 2 2 14" xfId="19781" xr:uid="{00000000-0005-0000-0000-000066AD0000}"/>
    <cellStyle name="표준 5 5 2 2 15" xfId="23877" xr:uid="{00000000-0005-0000-0000-000067AD0000}"/>
    <cellStyle name="표준 5 5 2 2 16" xfId="32088" xr:uid="{00000000-0005-0000-0000-000068AD0000}"/>
    <cellStyle name="표준 5 5 2 2 17" xfId="40281" xr:uid="{00000000-0005-0000-0000-000069AD0000}"/>
    <cellStyle name="표준 5 5 2 2 18" xfId="49710" xr:uid="{00000000-0005-0000-0000-00006AAD0000}"/>
    <cellStyle name="표준 5 5 2 2 2" xfId="476" xr:uid="{00000000-0005-0000-0000-00006BAD0000}"/>
    <cellStyle name="표준 5 5 2 2 2 10" xfId="15683" xr:uid="{00000000-0005-0000-0000-00006CAD0000}"/>
    <cellStyle name="표준 5 5 2 2 2 11" xfId="19845" xr:uid="{00000000-0005-0000-0000-00006DAD0000}"/>
    <cellStyle name="표준 5 5 2 2 2 12" xfId="23941" xr:uid="{00000000-0005-0000-0000-00006EAD0000}"/>
    <cellStyle name="표준 5 5 2 2 2 13" xfId="32152" xr:uid="{00000000-0005-0000-0000-00006FAD0000}"/>
    <cellStyle name="표준 5 5 2 2 2 14" xfId="40345" xr:uid="{00000000-0005-0000-0000-000070AD0000}"/>
    <cellStyle name="표준 5 5 2 2 2 2" xfId="604" xr:uid="{00000000-0005-0000-0000-000071AD0000}"/>
    <cellStyle name="표준 5 5 2 2 2 2 10" xfId="19973" xr:uid="{00000000-0005-0000-0000-000072AD0000}"/>
    <cellStyle name="표준 5 5 2 2 2 2 11" xfId="24069" xr:uid="{00000000-0005-0000-0000-000073AD0000}"/>
    <cellStyle name="표준 5 5 2 2 2 2 12" xfId="32280" xr:uid="{00000000-0005-0000-0000-000074AD0000}"/>
    <cellStyle name="표준 5 5 2 2 2 2 13" xfId="40473" xr:uid="{00000000-0005-0000-0000-000075AD0000}"/>
    <cellStyle name="표준 5 5 2 2 2 2 2" xfId="860" xr:uid="{00000000-0005-0000-0000-000076AD0000}"/>
    <cellStyle name="표준 5 5 2 2 2 2 2 10" xfId="24325" xr:uid="{00000000-0005-0000-0000-000077AD0000}"/>
    <cellStyle name="표준 5 5 2 2 2 2 2 11" xfId="32536" xr:uid="{00000000-0005-0000-0000-000078AD0000}"/>
    <cellStyle name="표준 5 5 2 2 2 2 2 12" xfId="40729" xr:uid="{00000000-0005-0000-0000-000079AD0000}"/>
    <cellStyle name="표준 5 5 2 2 2 2 2 2" xfId="1372" xr:uid="{00000000-0005-0000-0000-00007AAD0000}"/>
    <cellStyle name="표준 5 5 2 2 2 2 2 2 2" xfId="10275" xr:uid="{00000000-0005-0000-0000-00007BAD0000}"/>
    <cellStyle name="표준 5 5 2 2 2 2 2 2 2 2" xfId="14387" xr:uid="{00000000-0005-0000-0000-00007CAD0000}"/>
    <cellStyle name="표준 5 5 2 2 2 2 2 2 2 2 2" xfId="30981" xr:uid="{00000000-0005-0000-0000-00007DAD0000}"/>
    <cellStyle name="표준 5 5 2 2 2 2 2 2 2 2 3" xfId="39192" xr:uid="{00000000-0005-0000-0000-00007EAD0000}"/>
    <cellStyle name="표준 5 5 2 2 2 2 2 2 2 2 4" xfId="47385" xr:uid="{00000000-0005-0000-0000-00007FAD0000}"/>
    <cellStyle name="표준 5 5 2 2 2 2 2 2 2 3" xfId="18627" xr:uid="{00000000-0005-0000-0000-000080AD0000}"/>
    <cellStyle name="표준 5 5 2 2 2 2 2 2 2 4" xfId="22789" xr:uid="{00000000-0005-0000-0000-000081AD0000}"/>
    <cellStyle name="표준 5 5 2 2 2 2 2 2 2 5" xfId="26885" xr:uid="{00000000-0005-0000-0000-000082AD0000}"/>
    <cellStyle name="표준 5 5 2 2 2 2 2 2 2 6" xfId="35096" xr:uid="{00000000-0005-0000-0000-000083AD0000}"/>
    <cellStyle name="표준 5 5 2 2 2 2 2 2 2 7" xfId="43289" xr:uid="{00000000-0005-0000-0000-000084AD0000}"/>
    <cellStyle name="표준 5 5 2 2 2 2 2 2 3" xfId="8227" xr:uid="{00000000-0005-0000-0000-000085AD0000}"/>
    <cellStyle name="표준 5 5 2 2 2 2 2 2 3 2" xfId="28933" xr:uid="{00000000-0005-0000-0000-000086AD0000}"/>
    <cellStyle name="표준 5 5 2 2 2 2 2 2 3 3" xfId="37144" xr:uid="{00000000-0005-0000-0000-000087AD0000}"/>
    <cellStyle name="표준 5 5 2 2 2 2 2 2 3 4" xfId="45337" xr:uid="{00000000-0005-0000-0000-000088AD0000}"/>
    <cellStyle name="표준 5 5 2 2 2 2 2 2 4" xfId="12339" xr:uid="{00000000-0005-0000-0000-000089AD0000}"/>
    <cellStyle name="표준 5 5 2 2 2 2 2 2 5" xfId="16579" xr:uid="{00000000-0005-0000-0000-00008AAD0000}"/>
    <cellStyle name="표준 5 5 2 2 2 2 2 2 6" xfId="20741" xr:uid="{00000000-0005-0000-0000-00008BAD0000}"/>
    <cellStyle name="표준 5 5 2 2 2 2 2 2 7" xfId="24837" xr:uid="{00000000-0005-0000-0000-00008CAD0000}"/>
    <cellStyle name="표준 5 5 2 2 2 2 2 2 8" xfId="33048" xr:uid="{00000000-0005-0000-0000-00008DAD0000}"/>
    <cellStyle name="표준 5 5 2 2 2 2 2 2 9" xfId="41241" xr:uid="{00000000-0005-0000-0000-00008EAD0000}"/>
    <cellStyle name="표준 5 5 2 2 2 2 2 3" xfId="1884" xr:uid="{00000000-0005-0000-0000-00008FAD0000}"/>
    <cellStyle name="표준 5 5 2 2 2 2 2 3 2" xfId="10787" xr:uid="{00000000-0005-0000-0000-000090AD0000}"/>
    <cellStyle name="표준 5 5 2 2 2 2 2 3 2 2" xfId="14899" xr:uid="{00000000-0005-0000-0000-000091AD0000}"/>
    <cellStyle name="표준 5 5 2 2 2 2 2 3 2 2 2" xfId="31493" xr:uid="{00000000-0005-0000-0000-000092AD0000}"/>
    <cellStyle name="표준 5 5 2 2 2 2 2 3 2 2 3" xfId="39704" xr:uid="{00000000-0005-0000-0000-000093AD0000}"/>
    <cellStyle name="표준 5 5 2 2 2 2 2 3 2 2 4" xfId="47897" xr:uid="{00000000-0005-0000-0000-000094AD0000}"/>
    <cellStyle name="표준 5 5 2 2 2 2 2 3 2 3" xfId="19139" xr:uid="{00000000-0005-0000-0000-000095AD0000}"/>
    <cellStyle name="표준 5 5 2 2 2 2 2 3 2 4" xfId="23301" xr:uid="{00000000-0005-0000-0000-000096AD0000}"/>
    <cellStyle name="표준 5 5 2 2 2 2 2 3 2 5" xfId="27397" xr:uid="{00000000-0005-0000-0000-000097AD0000}"/>
    <cellStyle name="표준 5 5 2 2 2 2 2 3 2 6" xfId="35608" xr:uid="{00000000-0005-0000-0000-000098AD0000}"/>
    <cellStyle name="표준 5 5 2 2 2 2 2 3 2 7" xfId="43801" xr:uid="{00000000-0005-0000-0000-000099AD0000}"/>
    <cellStyle name="표준 5 5 2 2 2 2 2 3 3" xfId="8739" xr:uid="{00000000-0005-0000-0000-00009AAD0000}"/>
    <cellStyle name="표준 5 5 2 2 2 2 2 3 3 2" xfId="29445" xr:uid="{00000000-0005-0000-0000-00009BAD0000}"/>
    <cellStyle name="표준 5 5 2 2 2 2 2 3 3 3" xfId="37656" xr:uid="{00000000-0005-0000-0000-00009CAD0000}"/>
    <cellStyle name="표준 5 5 2 2 2 2 2 3 3 4" xfId="45849" xr:uid="{00000000-0005-0000-0000-00009DAD0000}"/>
    <cellStyle name="표준 5 5 2 2 2 2 2 3 4" xfId="12851" xr:uid="{00000000-0005-0000-0000-00009EAD0000}"/>
    <cellStyle name="표준 5 5 2 2 2 2 2 3 5" xfId="17091" xr:uid="{00000000-0005-0000-0000-00009FAD0000}"/>
    <cellStyle name="표준 5 5 2 2 2 2 2 3 6" xfId="21253" xr:uid="{00000000-0005-0000-0000-0000A0AD0000}"/>
    <cellStyle name="표준 5 5 2 2 2 2 2 3 7" xfId="25349" xr:uid="{00000000-0005-0000-0000-0000A1AD0000}"/>
    <cellStyle name="표준 5 5 2 2 2 2 2 3 8" xfId="33560" xr:uid="{00000000-0005-0000-0000-0000A2AD0000}"/>
    <cellStyle name="표준 5 5 2 2 2 2 2 3 9" xfId="41753" xr:uid="{00000000-0005-0000-0000-0000A3AD0000}"/>
    <cellStyle name="표준 5 5 2 2 2 2 2 4" xfId="2396" xr:uid="{00000000-0005-0000-0000-0000A4AD0000}"/>
    <cellStyle name="표준 5 5 2 2 2 2 2 4 2" xfId="11299" xr:uid="{00000000-0005-0000-0000-0000A5AD0000}"/>
    <cellStyle name="표준 5 5 2 2 2 2 2 4 2 2" xfId="15411" xr:uid="{00000000-0005-0000-0000-0000A6AD0000}"/>
    <cellStyle name="표준 5 5 2 2 2 2 2 4 2 2 2" xfId="32005" xr:uid="{00000000-0005-0000-0000-0000A7AD0000}"/>
    <cellStyle name="표준 5 5 2 2 2 2 2 4 2 2 3" xfId="40216" xr:uid="{00000000-0005-0000-0000-0000A8AD0000}"/>
    <cellStyle name="표준 5 5 2 2 2 2 2 4 2 2 4" xfId="48409" xr:uid="{00000000-0005-0000-0000-0000A9AD0000}"/>
    <cellStyle name="표준 5 5 2 2 2 2 2 4 2 3" xfId="19651" xr:uid="{00000000-0005-0000-0000-0000AAAD0000}"/>
    <cellStyle name="표준 5 5 2 2 2 2 2 4 2 4" xfId="23813" xr:uid="{00000000-0005-0000-0000-0000ABAD0000}"/>
    <cellStyle name="표준 5 5 2 2 2 2 2 4 2 5" xfId="27909" xr:uid="{00000000-0005-0000-0000-0000ACAD0000}"/>
    <cellStyle name="표준 5 5 2 2 2 2 2 4 2 6" xfId="36120" xr:uid="{00000000-0005-0000-0000-0000ADAD0000}"/>
    <cellStyle name="표준 5 5 2 2 2 2 2 4 2 7" xfId="44313" xr:uid="{00000000-0005-0000-0000-0000AEAD0000}"/>
    <cellStyle name="표준 5 5 2 2 2 2 2 4 3" xfId="9251" xr:uid="{00000000-0005-0000-0000-0000AFAD0000}"/>
    <cellStyle name="표준 5 5 2 2 2 2 2 4 3 2" xfId="29957" xr:uid="{00000000-0005-0000-0000-0000B0AD0000}"/>
    <cellStyle name="표준 5 5 2 2 2 2 2 4 3 3" xfId="38168" xr:uid="{00000000-0005-0000-0000-0000B1AD0000}"/>
    <cellStyle name="표준 5 5 2 2 2 2 2 4 3 4" xfId="46361" xr:uid="{00000000-0005-0000-0000-0000B2AD0000}"/>
    <cellStyle name="표준 5 5 2 2 2 2 2 4 4" xfId="13363" xr:uid="{00000000-0005-0000-0000-0000B3AD0000}"/>
    <cellStyle name="표준 5 5 2 2 2 2 2 4 5" xfId="17603" xr:uid="{00000000-0005-0000-0000-0000B4AD0000}"/>
    <cellStyle name="표준 5 5 2 2 2 2 2 4 6" xfId="21765" xr:uid="{00000000-0005-0000-0000-0000B5AD0000}"/>
    <cellStyle name="표준 5 5 2 2 2 2 2 4 7" xfId="25861" xr:uid="{00000000-0005-0000-0000-0000B6AD0000}"/>
    <cellStyle name="표준 5 5 2 2 2 2 2 4 8" xfId="34072" xr:uid="{00000000-0005-0000-0000-0000B7AD0000}"/>
    <cellStyle name="표준 5 5 2 2 2 2 2 4 9" xfId="42265" xr:uid="{00000000-0005-0000-0000-0000B8AD0000}"/>
    <cellStyle name="표준 5 5 2 2 2 2 2 5" xfId="9763" xr:uid="{00000000-0005-0000-0000-0000B9AD0000}"/>
    <cellStyle name="표준 5 5 2 2 2 2 2 5 2" xfId="13875" xr:uid="{00000000-0005-0000-0000-0000BAAD0000}"/>
    <cellStyle name="표준 5 5 2 2 2 2 2 5 2 2" xfId="30469" xr:uid="{00000000-0005-0000-0000-0000BBAD0000}"/>
    <cellStyle name="표준 5 5 2 2 2 2 2 5 2 3" xfId="38680" xr:uid="{00000000-0005-0000-0000-0000BCAD0000}"/>
    <cellStyle name="표준 5 5 2 2 2 2 2 5 2 4" xfId="46873" xr:uid="{00000000-0005-0000-0000-0000BDAD0000}"/>
    <cellStyle name="표준 5 5 2 2 2 2 2 5 3" xfId="18115" xr:uid="{00000000-0005-0000-0000-0000BEAD0000}"/>
    <cellStyle name="표준 5 5 2 2 2 2 2 5 4" xfId="22277" xr:uid="{00000000-0005-0000-0000-0000BFAD0000}"/>
    <cellStyle name="표준 5 5 2 2 2 2 2 5 5" xfId="26373" xr:uid="{00000000-0005-0000-0000-0000C0AD0000}"/>
    <cellStyle name="표준 5 5 2 2 2 2 2 5 6" xfId="34584" xr:uid="{00000000-0005-0000-0000-0000C1AD0000}"/>
    <cellStyle name="표준 5 5 2 2 2 2 2 5 7" xfId="42777" xr:uid="{00000000-0005-0000-0000-0000C2AD0000}"/>
    <cellStyle name="표준 5 5 2 2 2 2 2 6" xfId="7715" xr:uid="{00000000-0005-0000-0000-0000C3AD0000}"/>
    <cellStyle name="표준 5 5 2 2 2 2 2 6 2" xfId="28421" xr:uid="{00000000-0005-0000-0000-0000C4AD0000}"/>
    <cellStyle name="표준 5 5 2 2 2 2 2 6 3" xfId="36632" xr:uid="{00000000-0005-0000-0000-0000C5AD0000}"/>
    <cellStyle name="표준 5 5 2 2 2 2 2 6 4" xfId="44825" xr:uid="{00000000-0005-0000-0000-0000C6AD0000}"/>
    <cellStyle name="표준 5 5 2 2 2 2 2 7" xfId="11827" xr:uid="{00000000-0005-0000-0000-0000C7AD0000}"/>
    <cellStyle name="표준 5 5 2 2 2 2 2 8" xfId="16067" xr:uid="{00000000-0005-0000-0000-0000C8AD0000}"/>
    <cellStyle name="표준 5 5 2 2 2 2 2 9" xfId="20229" xr:uid="{00000000-0005-0000-0000-0000C9AD0000}"/>
    <cellStyle name="표준 5 5 2 2 2 2 3" xfId="1116" xr:uid="{00000000-0005-0000-0000-0000CAAD0000}"/>
    <cellStyle name="표준 5 5 2 2 2 2 3 2" xfId="10019" xr:uid="{00000000-0005-0000-0000-0000CBAD0000}"/>
    <cellStyle name="표준 5 5 2 2 2 2 3 2 2" xfId="14131" xr:uid="{00000000-0005-0000-0000-0000CCAD0000}"/>
    <cellStyle name="표준 5 5 2 2 2 2 3 2 2 2" xfId="30725" xr:uid="{00000000-0005-0000-0000-0000CDAD0000}"/>
    <cellStyle name="표준 5 5 2 2 2 2 3 2 2 3" xfId="38936" xr:uid="{00000000-0005-0000-0000-0000CEAD0000}"/>
    <cellStyle name="표준 5 5 2 2 2 2 3 2 2 4" xfId="47129" xr:uid="{00000000-0005-0000-0000-0000CFAD0000}"/>
    <cellStyle name="표준 5 5 2 2 2 2 3 2 3" xfId="18371" xr:uid="{00000000-0005-0000-0000-0000D0AD0000}"/>
    <cellStyle name="표준 5 5 2 2 2 2 3 2 4" xfId="22533" xr:uid="{00000000-0005-0000-0000-0000D1AD0000}"/>
    <cellStyle name="표준 5 5 2 2 2 2 3 2 5" xfId="26629" xr:uid="{00000000-0005-0000-0000-0000D2AD0000}"/>
    <cellStyle name="표준 5 5 2 2 2 2 3 2 6" xfId="34840" xr:uid="{00000000-0005-0000-0000-0000D3AD0000}"/>
    <cellStyle name="표준 5 5 2 2 2 2 3 2 7" xfId="43033" xr:uid="{00000000-0005-0000-0000-0000D4AD0000}"/>
    <cellStyle name="표준 5 5 2 2 2 2 3 3" xfId="7971" xr:uid="{00000000-0005-0000-0000-0000D5AD0000}"/>
    <cellStyle name="표준 5 5 2 2 2 2 3 3 2" xfId="28677" xr:uid="{00000000-0005-0000-0000-0000D6AD0000}"/>
    <cellStyle name="표준 5 5 2 2 2 2 3 3 3" xfId="36888" xr:uid="{00000000-0005-0000-0000-0000D7AD0000}"/>
    <cellStyle name="표준 5 5 2 2 2 2 3 3 4" xfId="45081" xr:uid="{00000000-0005-0000-0000-0000D8AD0000}"/>
    <cellStyle name="표준 5 5 2 2 2 2 3 4" xfId="12083" xr:uid="{00000000-0005-0000-0000-0000D9AD0000}"/>
    <cellStyle name="표준 5 5 2 2 2 2 3 5" xfId="16323" xr:uid="{00000000-0005-0000-0000-0000DAAD0000}"/>
    <cellStyle name="표준 5 5 2 2 2 2 3 6" xfId="20485" xr:uid="{00000000-0005-0000-0000-0000DBAD0000}"/>
    <cellStyle name="표준 5 5 2 2 2 2 3 7" xfId="24581" xr:uid="{00000000-0005-0000-0000-0000DCAD0000}"/>
    <cellStyle name="표준 5 5 2 2 2 2 3 8" xfId="32792" xr:uid="{00000000-0005-0000-0000-0000DDAD0000}"/>
    <cellStyle name="표준 5 5 2 2 2 2 3 9" xfId="40985" xr:uid="{00000000-0005-0000-0000-0000DEAD0000}"/>
    <cellStyle name="표준 5 5 2 2 2 2 4" xfId="1628" xr:uid="{00000000-0005-0000-0000-0000DFAD0000}"/>
    <cellStyle name="표준 5 5 2 2 2 2 4 2" xfId="10531" xr:uid="{00000000-0005-0000-0000-0000E0AD0000}"/>
    <cellStyle name="표준 5 5 2 2 2 2 4 2 2" xfId="14643" xr:uid="{00000000-0005-0000-0000-0000E1AD0000}"/>
    <cellStyle name="표준 5 5 2 2 2 2 4 2 2 2" xfId="31237" xr:uid="{00000000-0005-0000-0000-0000E2AD0000}"/>
    <cellStyle name="표준 5 5 2 2 2 2 4 2 2 3" xfId="39448" xr:uid="{00000000-0005-0000-0000-0000E3AD0000}"/>
    <cellStyle name="표준 5 5 2 2 2 2 4 2 2 4" xfId="47641" xr:uid="{00000000-0005-0000-0000-0000E4AD0000}"/>
    <cellStyle name="표준 5 5 2 2 2 2 4 2 3" xfId="18883" xr:uid="{00000000-0005-0000-0000-0000E5AD0000}"/>
    <cellStyle name="표준 5 5 2 2 2 2 4 2 4" xfId="23045" xr:uid="{00000000-0005-0000-0000-0000E6AD0000}"/>
    <cellStyle name="표준 5 5 2 2 2 2 4 2 5" xfId="27141" xr:uid="{00000000-0005-0000-0000-0000E7AD0000}"/>
    <cellStyle name="표준 5 5 2 2 2 2 4 2 6" xfId="35352" xr:uid="{00000000-0005-0000-0000-0000E8AD0000}"/>
    <cellStyle name="표준 5 5 2 2 2 2 4 2 7" xfId="43545" xr:uid="{00000000-0005-0000-0000-0000E9AD0000}"/>
    <cellStyle name="표준 5 5 2 2 2 2 4 3" xfId="8483" xr:uid="{00000000-0005-0000-0000-0000EAAD0000}"/>
    <cellStyle name="표준 5 5 2 2 2 2 4 3 2" xfId="29189" xr:uid="{00000000-0005-0000-0000-0000EBAD0000}"/>
    <cellStyle name="표준 5 5 2 2 2 2 4 3 3" xfId="37400" xr:uid="{00000000-0005-0000-0000-0000ECAD0000}"/>
    <cellStyle name="표준 5 5 2 2 2 2 4 3 4" xfId="45593" xr:uid="{00000000-0005-0000-0000-0000EDAD0000}"/>
    <cellStyle name="표준 5 5 2 2 2 2 4 4" xfId="12595" xr:uid="{00000000-0005-0000-0000-0000EEAD0000}"/>
    <cellStyle name="표준 5 5 2 2 2 2 4 5" xfId="16835" xr:uid="{00000000-0005-0000-0000-0000EFAD0000}"/>
    <cellStyle name="표준 5 5 2 2 2 2 4 6" xfId="20997" xr:uid="{00000000-0005-0000-0000-0000F0AD0000}"/>
    <cellStyle name="표준 5 5 2 2 2 2 4 7" xfId="25093" xr:uid="{00000000-0005-0000-0000-0000F1AD0000}"/>
    <cellStyle name="표준 5 5 2 2 2 2 4 8" xfId="33304" xr:uid="{00000000-0005-0000-0000-0000F2AD0000}"/>
    <cellStyle name="표준 5 5 2 2 2 2 4 9" xfId="41497" xr:uid="{00000000-0005-0000-0000-0000F3AD0000}"/>
    <cellStyle name="표준 5 5 2 2 2 2 5" xfId="2140" xr:uid="{00000000-0005-0000-0000-0000F4AD0000}"/>
    <cellStyle name="표준 5 5 2 2 2 2 5 2" xfId="11043" xr:uid="{00000000-0005-0000-0000-0000F5AD0000}"/>
    <cellStyle name="표준 5 5 2 2 2 2 5 2 2" xfId="15155" xr:uid="{00000000-0005-0000-0000-0000F6AD0000}"/>
    <cellStyle name="표준 5 5 2 2 2 2 5 2 2 2" xfId="31749" xr:uid="{00000000-0005-0000-0000-0000F7AD0000}"/>
    <cellStyle name="표준 5 5 2 2 2 2 5 2 2 3" xfId="39960" xr:uid="{00000000-0005-0000-0000-0000F8AD0000}"/>
    <cellStyle name="표준 5 5 2 2 2 2 5 2 2 4" xfId="48153" xr:uid="{00000000-0005-0000-0000-0000F9AD0000}"/>
    <cellStyle name="표준 5 5 2 2 2 2 5 2 3" xfId="19395" xr:uid="{00000000-0005-0000-0000-0000FAAD0000}"/>
    <cellStyle name="표준 5 5 2 2 2 2 5 2 4" xfId="23557" xr:uid="{00000000-0005-0000-0000-0000FBAD0000}"/>
    <cellStyle name="표준 5 5 2 2 2 2 5 2 5" xfId="27653" xr:uid="{00000000-0005-0000-0000-0000FCAD0000}"/>
    <cellStyle name="표준 5 5 2 2 2 2 5 2 6" xfId="35864" xr:uid="{00000000-0005-0000-0000-0000FDAD0000}"/>
    <cellStyle name="표준 5 5 2 2 2 2 5 2 7" xfId="44057" xr:uid="{00000000-0005-0000-0000-0000FEAD0000}"/>
    <cellStyle name="표준 5 5 2 2 2 2 5 3" xfId="8995" xr:uid="{00000000-0005-0000-0000-0000FFAD0000}"/>
    <cellStyle name="표준 5 5 2 2 2 2 5 3 2" xfId="29701" xr:uid="{00000000-0005-0000-0000-000000AE0000}"/>
    <cellStyle name="표준 5 5 2 2 2 2 5 3 3" xfId="37912" xr:uid="{00000000-0005-0000-0000-000001AE0000}"/>
    <cellStyle name="표준 5 5 2 2 2 2 5 3 4" xfId="46105" xr:uid="{00000000-0005-0000-0000-000002AE0000}"/>
    <cellStyle name="표준 5 5 2 2 2 2 5 4" xfId="13107" xr:uid="{00000000-0005-0000-0000-000003AE0000}"/>
    <cellStyle name="표준 5 5 2 2 2 2 5 5" xfId="17347" xr:uid="{00000000-0005-0000-0000-000004AE0000}"/>
    <cellStyle name="표준 5 5 2 2 2 2 5 6" xfId="21509" xr:uid="{00000000-0005-0000-0000-000005AE0000}"/>
    <cellStyle name="표준 5 5 2 2 2 2 5 7" xfId="25605" xr:uid="{00000000-0005-0000-0000-000006AE0000}"/>
    <cellStyle name="표준 5 5 2 2 2 2 5 8" xfId="33816" xr:uid="{00000000-0005-0000-0000-000007AE0000}"/>
    <cellStyle name="표준 5 5 2 2 2 2 5 9" xfId="42009" xr:uid="{00000000-0005-0000-0000-000008AE0000}"/>
    <cellStyle name="표준 5 5 2 2 2 2 6" xfId="9507" xr:uid="{00000000-0005-0000-0000-000009AE0000}"/>
    <cellStyle name="표준 5 5 2 2 2 2 6 2" xfId="13619" xr:uid="{00000000-0005-0000-0000-00000AAE0000}"/>
    <cellStyle name="표준 5 5 2 2 2 2 6 2 2" xfId="30213" xr:uid="{00000000-0005-0000-0000-00000BAE0000}"/>
    <cellStyle name="표준 5 5 2 2 2 2 6 2 3" xfId="38424" xr:uid="{00000000-0005-0000-0000-00000CAE0000}"/>
    <cellStyle name="표준 5 5 2 2 2 2 6 2 4" xfId="46617" xr:uid="{00000000-0005-0000-0000-00000DAE0000}"/>
    <cellStyle name="표준 5 5 2 2 2 2 6 3" xfId="17859" xr:uid="{00000000-0005-0000-0000-00000EAE0000}"/>
    <cellStyle name="표준 5 5 2 2 2 2 6 4" xfId="22021" xr:uid="{00000000-0005-0000-0000-00000FAE0000}"/>
    <cellStyle name="표준 5 5 2 2 2 2 6 5" xfId="26117" xr:uid="{00000000-0005-0000-0000-000010AE0000}"/>
    <cellStyle name="표준 5 5 2 2 2 2 6 6" xfId="34328" xr:uid="{00000000-0005-0000-0000-000011AE0000}"/>
    <cellStyle name="표준 5 5 2 2 2 2 6 7" xfId="42521" xr:uid="{00000000-0005-0000-0000-000012AE0000}"/>
    <cellStyle name="표준 5 5 2 2 2 2 7" xfId="7459" xr:uid="{00000000-0005-0000-0000-000013AE0000}"/>
    <cellStyle name="표준 5 5 2 2 2 2 7 2" xfId="28165" xr:uid="{00000000-0005-0000-0000-000014AE0000}"/>
    <cellStyle name="표준 5 5 2 2 2 2 7 3" xfId="36376" xr:uid="{00000000-0005-0000-0000-000015AE0000}"/>
    <cellStyle name="표준 5 5 2 2 2 2 7 4" xfId="44569" xr:uid="{00000000-0005-0000-0000-000016AE0000}"/>
    <cellStyle name="표준 5 5 2 2 2 2 8" xfId="11571" xr:uid="{00000000-0005-0000-0000-000017AE0000}"/>
    <cellStyle name="표준 5 5 2 2 2 2 9" xfId="15811" xr:uid="{00000000-0005-0000-0000-000018AE0000}"/>
    <cellStyle name="표준 5 5 2 2 2 3" xfId="732" xr:uid="{00000000-0005-0000-0000-000019AE0000}"/>
    <cellStyle name="표준 5 5 2 2 2 3 10" xfId="24197" xr:uid="{00000000-0005-0000-0000-00001AAE0000}"/>
    <cellStyle name="표준 5 5 2 2 2 3 11" xfId="32408" xr:uid="{00000000-0005-0000-0000-00001BAE0000}"/>
    <cellStyle name="표준 5 5 2 2 2 3 12" xfId="40601" xr:uid="{00000000-0005-0000-0000-00001CAE0000}"/>
    <cellStyle name="표준 5 5 2 2 2 3 2" xfId="1244" xr:uid="{00000000-0005-0000-0000-00001DAE0000}"/>
    <cellStyle name="표준 5 5 2 2 2 3 2 2" xfId="10147" xr:uid="{00000000-0005-0000-0000-00001EAE0000}"/>
    <cellStyle name="표준 5 5 2 2 2 3 2 2 2" xfId="14259" xr:uid="{00000000-0005-0000-0000-00001FAE0000}"/>
    <cellStyle name="표준 5 5 2 2 2 3 2 2 2 2" xfId="30853" xr:uid="{00000000-0005-0000-0000-000020AE0000}"/>
    <cellStyle name="표준 5 5 2 2 2 3 2 2 2 3" xfId="39064" xr:uid="{00000000-0005-0000-0000-000021AE0000}"/>
    <cellStyle name="표준 5 5 2 2 2 3 2 2 2 4" xfId="47257" xr:uid="{00000000-0005-0000-0000-000022AE0000}"/>
    <cellStyle name="표준 5 5 2 2 2 3 2 2 3" xfId="18499" xr:uid="{00000000-0005-0000-0000-000023AE0000}"/>
    <cellStyle name="표준 5 5 2 2 2 3 2 2 4" xfId="22661" xr:uid="{00000000-0005-0000-0000-000024AE0000}"/>
    <cellStyle name="표준 5 5 2 2 2 3 2 2 5" xfId="26757" xr:uid="{00000000-0005-0000-0000-000025AE0000}"/>
    <cellStyle name="표준 5 5 2 2 2 3 2 2 6" xfId="34968" xr:uid="{00000000-0005-0000-0000-000026AE0000}"/>
    <cellStyle name="표준 5 5 2 2 2 3 2 2 7" xfId="43161" xr:uid="{00000000-0005-0000-0000-000027AE0000}"/>
    <cellStyle name="표준 5 5 2 2 2 3 2 3" xfId="8099" xr:uid="{00000000-0005-0000-0000-000028AE0000}"/>
    <cellStyle name="표준 5 5 2 2 2 3 2 3 2" xfId="28805" xr:uid="{00000000-0005-0000-0000-000029AE0000}"/>
    <cellStyle name="표준 5 5 2 2 2 3 2 3 3" xfId="37016" xr:uid="{00000000-0005-0000-0000-00002AAE0000}"/>
    <cellStyle name="표준 5 5 2 2 2 3 2 3 4" xfId="45209" xr:uid="{00000000-0005-0000-0000-00002BAE0000}"/>
    <cellStyle name="표준 5 5 2 2 2 3 2 4" xfId="12211" xr:uid="{00000000-0005-0000-0000-00002CAE0000}"/>
    <cellStyle name="표준 5 5 2 2 2 3 2 5" xfId="16451" xr:uid="{00000000-0005-0000-0000-00002DAE0000}"/>
    <cellStyle name="표준 5 5 2 2 2 3 2 6" xfId="20613" xr:uid="{00000000-0005-0000-0000-00002EAE0000}"/>
    <cellStyle name="표준 5 5 2 2 2 3 2 7" xfId="24709" xr:uid="{00000000-0005-0000-0000-00002FAE0000}"/>
    <cellStyle name="표준 5 5 2 2 2 3 2 8" xfId="32920" xr:uid="{00000000-0005-0000-0000-000030AE0000}"/>
    <cellStyle name="표준 5 5 2 2 2 3 2 9" xfId="41113" xr:uid="{00000000-0005-0000-0000-000031AE0000}"/>
    <cellStyle name="표준 5 5 2 2 2 3 3" xfId="1756" xr:uid="{00000000-0005-0000-0000-000032AE0000}"/>
    <cellStyle name="표준 5 5 2 2 2 3 3 2" xfId="10659" xr:uid="{00000000-0005-0000-0000-000033AE0000}"/>
    <cellStyle name="표준 5 5 2 2 2 3 3 2 2" xfId="14771" xr:uid="{00000000-0005-0000-0000-000034AE0000}"/>
    <cellStyle name="표준 5 5 2 2 2 3 3 2 2 2" xfId="31365" xr:uid="{00000000-0005-0000-0000-000035AE0000}"/>
    <cellStyle name="표준 5 5 2 2 2 3 3 2 2 3" xfId="39576" xr:uid="{00000000-0005-0000-0000-000036AE0000}"/>
    <cellStyle name="표준 5 5 2 2 2 3 3 2 2 4" xfId="47769" xr:uid="{00000000-0005-0000-0000-000037AE0000}"/>
    <cellStyle name="표준 5 5 2 2 2 3 3 2 3" xfId="19011" xr:uid="{00000000-0005-0000-0000-000038AE0000}"/>
    <cellStyle name="표준 5 5 2 2 2 3 3 2 4" xfId="23173" xr:uid="{00000000-0005-0000-0000-000039AE0000}"/>
    <cellStyle name="표준 5 5 2 2 2 3 3 2 5" xfId="27269" xr:uid="{00000000-0005-0000-0000-00003AAE0000}"/>
    <cellStyle name="표준 5 5 2 2 2 3 3 2 6" xfId="35480" xr:uid="{00000000-0005-0000-0000-00003BAE0000}"/>
    <cellStyle name="표준 5 5 2 2 2 3 3 2 7" xfId="43673" xr:uid="{00000000-0005-0000-0000-00003CAE0000}"/>
    <cellStyle name="표준 5 5 2 2 2 3 3 3" xfId="8611" xr:uid="{00000000-0005-0000-0000-00003DAE0000}"/>
    <cellStyle name="표준 5 5 2 2 2 3 3 3 2" xfId="29317" xr:uid="{00000000-0005-0000-0000-00003EAE0000}"/>
    <cellStyle name="표준 5 5 2 2 2 3 3 3 3" xfId="37528" xr:uid="{00000000-0005-0000-0000-00003FAE0000}"/>
    <cellStyle name="표준 5 5 2 2 2 3 3 3 4" xfId="45721" xr:uid="{00000000-0005-0000-0000-000040AE0000}"/>
    <cellStyle name="표준 5 5 2 2 2 3 3 4" xfId="12723" xr:uid="{00000000-0005-0000-0000-000041AE0000}"/>
    <cellStyle name="표준 5 5 2 2 2 3 3 5" xfId="16963" xr:uid="{00000000-0005-0000-0000-000042AE0000}"/>
    <cellStyle name="표준 5 5 2 2 2 3 3 6" xfId="21125" xr:uid="{00000000-0005-0000-0000-000043AE0000}"/>
    <cellStyle name="표준 5 5 2 2 2 3 3 7" xfId="25221" xr:uid="{00000000-0005-0000-0000-000044AE0000}"/>
    <cellStyle name="표준 5 5 2 2 2 3 3 8" xfId="33432" xr:uid="{00000000-0005-0000-0000-000045AE0000}"/>
    <cellStyle name="표준 5 5 2 2 2 3 3 9" xfId="41625" xr:uid="{00000000-0005-0000-0000-000046AE0000}"/>
    <cellStyle name="표준 5 5 2 2 2 3 4" xfId="2268" xr:uid="{00000000-0005-0000-0000-000047AE0000}"/>
    <cellStyle name="표준 5 5 2 2 2 3 4 2" xfId="11171" xr:uid="{00000000-0005-0000-0000-000048AE0000}"/>
    <cellStyle name="표준 5 5 2 2 2 3 4 2 2" xfId="15283" xr:uid="{00000000-0005-0000-0000-000049AE0000}"/>
    <cellStyle name="표준 5 5 2 2 2 3 4 2 2 2" xfId="31877" xr:uid="{00000000-0005-0000-0000-00004AAE0000}"/>
    <cellStyle name="표준 5 5 2 2 2 3 4 2 2 3" xfId="40088" xr:uid="{00000000-0005-0000-0000-00004BAE0000}"/>
    <cellStyle name="표준 5 5 2 2 2 3 4 2 2 4" xfId="48281" xr:uid="{00000000-0005-0000-0000-00004CAE0000}"/>
    <cellStyle name="표준 5 5 2 2 2 3 4 2 3" xfId="19523" xr:uid="{00000000-0005-0000-0000-00004DAE0000}"/>
    <cellStyle name="표준 5 5 2 2 2 3 4 2 4" xfId="23685" xr:uid="{00000000-0005-0000-0000-00004EAE0000}"/>
    <cellStyle name="표준 5 5 2 2 2 3 4 2 5" xfId="27781" xr:uid="{00000000-0005-0000-0000-00004FAE0000}"/>
    <cellStyle name="표준 5 5 2 2 2 3 4 2 6" xfId="35992" xr:uid="{00000000-0005-0000-0000-000050AE0000}"/>
    <cellStyle name="표준 5 5 2 2 2 3 4 2 7" xfId="44185" xr:uid="{00000000-0005-0000-0000-000051AE0000}"/>
    <cellStyle name="표준 5 5 2 2 2 3 4 3" xfId="9123" xr:uid="{00000000-0005-0000-0000-000052AE0000}"/>
    <cellStyle name="표준 5 5 2 2 2 3 4 3 2" xfId="29829" xr:uid="{00000000-0005-0000-0000-000053AE0000}"/>
    <cellStyle name="표준 5 5 2 2 2 3 4 3 3" xfId="38040" xr:uid="{00000000-0005-0000-0000-000054AE0000}"/>
    <cellStyle name="표준 5 5 2 2 2 3 4 3 4" xfId="46233" xr:uid="{00000000-0005-0000-0000-000055AE0000}"/>
    <cellStyle name="표준 5 5 2 2 2 3 4 4" xfId="13235" xr:uid="{00000000-0005-0000-0000-000056AE0000}"/>
    <cellStyle name="표준 5 5 2 2 2 3 4 5" xfId="17475" xr:uid="{00000000-0005-0000-0000-000057AE0000}"/>
    <cellStyle name="표준 5 5 2 2 2 3 4 6" xfId="21637" xr:uid="{00000000-0005-0000-0000-000058AE0000}"/>
    <cellStyle name="표준 5 5 2 2 2 3 4 7" xfId="25733" xr:uid="{00000000-0005-0000-0000-000059AE0000}"/>
    <cellStyle name="표준 5 5 2 2 2 3 4 8" xfId="33944" xr:uid="{00000000-0005-0000-0000-00005AAE0000}"/>
    <cellStyle name="표준 5 5 2 2 2 3 4 9" xfId="42137" xr:uid="{00000000-0005-0000-0000-00005BAE0000}"/>
    <cellStyle name="표준 5 5 2 2 2 3 5" xfId="9635" xr:uid="{00000000-0005-0000-0000-00005CAE0000}"/>
    <cellStyle name="표준 5 5 2 2 2 3 5 2" xfId="13747" xr:uid="{00000000-0005-0000-0000-00005DAE0000}"/>
    <cellStyle name="표준 5 5 2 2 2 3 5 2 2" xfId="30341" xr:uid="{00000000-0005-0000-0000-00005EAE0000}"/>
    <cellStyle name="표준 5 5 2 2 2 3 5 2 3" xfId="38552" xr:uid="{00000000-0005-0000-0000-00005FAE0000}"/>
    <cellStyle name="표준 5 5 2 2 2 3 5 2 4" xfId="46745" xr:uid="{00000000-0005-0000-0000-000060AE0000}"/>
    <cellStyle name="표준 5 5 2 2 2 3 5 3" xfId="17987" xr:uid="{00000000-0005-0000-0000-000061AE0000}"/>
    <cellStyle name="표준 5 5 2 2 2 3 5 4" xfId="22149" xr:uid="{00000000-0005-0000-0000-000062AE0000}"/>
    <cellStyle name="표준 5 5 2 2 2 3 5 5" xfId="26245" xr:uid="{00000000-0005-0000-0000-000063AE0000}"/>
    <cellStyle name="표준 5 5 2 2 2 3 5 6" xfId="34456" xr:uid="{00000000-0005-0000-0000-000064AE0000}"/>
    <cellStyle name="표준 5 5 2 2 2 3 5 7" xfId="42649" xr:uid="{00000000-0005-0000-0000-000065AE0000}"/>
    <cellStyle name="표준 5 5 2 2 2 3 6" xfId="7587" xr:uid="{00000000-0005-0000-0000-000066AE0000}"/>
    <cellStyle name="표준 5 5 2 2 2 3 6 2" xfId="28293" xr:uid="{00000000-0005-0000-0000-000067AE0000}"/>
    <cellStyle name="표준 5 5 2 2 2 3 6 3" xfId="36504" xr:uid="{00000000-0005-0000-0000-000068AE0000}"/>
    <cellStyle name="표준 5 5 2 2 2 3 6 4" xfId="44697" xr:uid="{00000000-0005-0000-0000-000069AE0000}"/>
    <cellStyle name="표준 5 5 2 2 2 3 7" xfId="11699" xr:uid="{00000000-0005-0000-0000-00006AAE0000}"/>
    <cellStyle name="표준 5 5 2 2 2 3 8" xfId="15939" xr:uid="{00000000-0005-0000-0000-00006BAE0000}"/>
    <cellStyle name="표준 5 5 2 2 2 3 9" xfId="20101" xr:uid="{00000000-0005-0000-0000-00006CAE0000}"/>
    <cellStyle name="표준 5 5 2 2 2 4" xfId="988" xr:uid="{00000000-0005-0000-0000-00006DAE0000}"/>
    <cellStyle name="표준 5 5 2 2 2 4 2" xfId="9891" xr:uid="{00000000-0005-0000-0000-00006EAE0000}"/>
    <cellStyle name="표준 5 5 2 2 2 4 2 2" xfId="14003" xr:uid="{00000000-0005-0000-0000-00006FAE0000}"/>
    <cellStyle name="표준 5 5 2 2 2 4 2 2 2" xfId="30597" xr:uid="{00000000-0005-0000-0000-000070AE0000}"/>
    <cellStyle name="표준 5 5 2 2 2 4 2 2 3" xfId="38808" xr:uid="{00000000-0005-0000-0000-000071AE0000}"/>
    <cellStyle name="표준 5 5 2 2 2 4 2 2 4" xfId="47001" xr:uid="{00000000-0005-0000-0000-000072AE0000}"/>
    <cellStyle name="표준 5 5 2 2 2 4 2 3" xfId="18243" xr:uid="{00000000-0005-0000-0000-000073AE0000}"/>
    <cellStyle name="표준 5 5 2 2 2 4 2 4" xfId="22405" xr:uid="{00000000-0005-0000-0000-000074AE0000}"/>
    <cellStyle name="표준 5 5 2 2 2 4 2 5" xfId="26501" xr:uid="{00000000-0005-0000-0000-000075AE0000}"/>
    <cellStyle name="표준 5 5 2 2 2 4 2 6" xfId="34712" xr:uid="{00000000-0005-0000-0000-000076AE0000}"/>
    <cellStyle name="표준 5 5 2 2 2 4 2 7" xfId="42905" xr:uid="{00000000-0005-0000-0000-000077AE0000}"/>
    <cellStyle name="표준 5 5 2 2 2 4 3" xfId="7843" xr:uid="{00000000-0005-0000-0000-000078AE0000}"/>
    <cellStyle name="표준 5 5 2 2 2 4 3 2" xfId="28549" xr:uid="{00000000-0005-0000-0000-000079AE0000}"/>
    <cellStyle name="표준 5 5 2 2 2 4 3 3" xfId="36760" xr:uid="{00000000-0005-0000-0000-00007AAE0000}"/>
    <cellStyle name="표준 5 5 2 2 2 4 3 4" xfId="44953" xr:uid="{00000000-0005-0000-0000-00007BAE0000}"/>
    <cellStyle name="표준 5 5 2 2 2 4 4" xfId="11955" xr:uid="{00000000-0005-0000-0000-00007CAE0000}"/>
    <cellStyle name="표준 5 5 2 2 2 4 5" xfId="16195" xr:uid="{00000000-0005-0000-0000-00007DAE0000}"/>
    <cellStyle name="표준 5 5 2 2 2 4 6" xfId="20357" xr:uid="{00000000-0005-0000-0000-00007EAE0000}"/>
    <cellStyle name="표준 5 5 2 2 2 4 7" xfId="24453" xr:uid="{00000000-0005-0000-0000-00007FAE0000}"/>
    <cellStyle name="표준 5 5 2 2 2 4 8" xfId="32664" xr:uid="{00000000-0005-0000-0000-000080AE0000}"/>
    <cellStyle name="표준 5 5 2 2 2 4 9" xfId="40857" xr:uid="{00000000-0005-0000-0000-000081AE0000}"/>
    <cellStyle name="표준 5 5 2 2 2 5" xfId="1500" xr:uid="{00000000-0005-0000-0000-000082AE0000}"/>
    <cellStyle name="표준 5 5 2 2 2 5 2" xfId="10403" xr:uid="{00000000-0005-0000-0000-000083AE0000}"/>
    <cellStyle name="표준 5 5 2 2 2 5 2 2" xfId="14515" xr:uid="{00000000-0005-0000-0000-000084AE0000}"/>
    <cellStyle name="표준 5 5 2 2 2 5 2 2 2" xfId="31109" xr:uid="{00000000-0005-0000-0000-000085AE0000}"/>
    <cellStyle name="표준 5 5 2 2 2 5 2 2 3" xfId="39320" xr:uid="{00000000-0005-0000-0000-000086AE0000}"/>
    <cellStyle name="표준 5 5 2 2 2 5 2 2 4" xfId="47513" xr:uid="{00000000-0005-0000-0000-000087AE0000}"/>
    <cellStyle name="표준 5 5 2 2 2 5 2 3" xfId="18755" xr:uid="{00000000-0005-0000-0000-000088AE0000}"/>
    <cellStyle name="표준 5 5 2 2 2 5 2 4" xfId="22917" xr:uid="{00000000-0005-0000-0000-000089AE0000}"/>
    <cellStyle name="표준 5 5 2 2 2 5 2 5" xfId="27013" xr:uid="{00000000-0005-0000-0000-00008AAE0000}"/>
    <cellStyle name="표준 5 5 2 2 2 5 2 6" xfId="35224" xr:uid="{00000000-0005-0000-0000-00008BAE0000}"/>
    <cellStyle name="표준 5 5 2 2 2 5 2 7" xfId="43417" xr:uid="{00000000-0005-0000-0000-00008CAE0000}"/>
    <cellStyle name="표준 5 5 2 2 2 5 3" xfId="8355" xr:uid="{00000000-0005-0000-0000-00008DAE0000}"/>
    <cellStyle name="표준 5 5 2 2 2 5 3 2" xfId="29061" xr:uid="{00000000-0005-0000-0000-00008EAE0000}"/>
    <cellStyle name="표준 5 5 2 2 2 5 3 3" xfId="37272" xr:uid="{00000000-0005-0000-0000-00008FAE0000}"/>
    <cellStyle name="표준 5 5 2 2 2 5 3 4" xfId="45465" xr:uid="{00000000-0005-0000-0000-000090AE0000}"/>
    <cellStyle name="표준 5 5 2 2 2 5 4" xfId="12467" xr:uid="{00000000-0005-0000-0000-000091AE0000}"/>
    <cellStyle name="표준 5 5 2 2 2 5 5" xfId="16707" xr:uid="{00000000-0005-0000-0000-000092AE0000}"/>
    <cellStyle name="표준 5 5 2 2 2 5 6" xfId="20869" xr:uid="{00000000-0005-0000-0000-000093AE0000}"/>
    <cellStyle name="표준 5 5 2 2 2 5 7" xfId="24965" xr:uid="{00000000-0005-0000-0000-000094AE0000}"/>
    <cellStyle name="표준 5 5 2 2 2 5 8" xfId="33176" xr:uid="{00000000-0005-0000-0000-000095AE0000}"/>
    <cellStyle name="표준 5 5 2 2 2 5 9" xfId="41369" xr:uid="{00000000-0005-0000-0000-000096AE0000}"/>
    <cellStyle name="표준 5 5 2 2 2 6" xfId="2012" xr:uid="{00000000-0005-0000-0000-000097AE0000}"/>
    <cellStyle name="표준 5 5 2 2 2 6 2" xfId="10915" xr:uid="{00000000-0005-0000-0000-000098AE0000}"/>
    <cellStyle name="표준 5 5 2 2 2 6 2 2" xfId="15027" xr:uid="{00000000-0005-0000-0000-000099AE0000}"/>
    <cellStyle name="표준 5 5 2 2 2 6 2 2 2" xfId="31621" xr:uid="{00000000-0005-0000-0000-00009AAE0000}"/>
    <cellStyle name="표준 5 5 2 2 2 6 2 2 3" xfId="39832" xr:uid="{00000000-0005-0000-0000-00009BAE0000}"/>
    <cellStyle name="표준 5 5 2 2 2 6 2 2 4" xfId="48025" xr:uid="{00000000-0005-0000-0000-00009CAE0000}"/>
    <cellStyle name="표준 5 5 2 2 2 6 2 3" xfId="19267" xr:uid="{00000000-0005-0000-0000-00009DAE0000}"/>
    <cellStyle name="표준 5 5 2 2 2 6 2 4" xfId="23429" xr:uid="{00000000-0005-0000-0000-00009EAE0000}"/>
    <cellStyle name="표준 5 5 2 2 2 6 2 5" xfId="27525" xr:uid="{00000000-0005-0000-0000-00009FAE0000}"/>
    <cellStyle name="표준 5 5 2 2 2 6 2 6" xfId="35736" xr:uid="{00000000-0005-0000-0000-0000A0AE0000}"/>
    <cellStyle name="표준 5 5 2 2 2 6 2 7" xfId="43929" xr:uid="{00000000-0005-0000-0000-0000A1AE0000}"/>
    <cellStyle name="표준 5 5 2 2 2 6 3" xfId="8867" xr:uid="{00000000-0005-0000-0000-0000A2AE0000}"/>
    <cellStyle name="표준 5 5 2 2 2 6 3 2" xfId="29573" xr:uid="{00000000-0005-0000-0000-0000A3AE0000}"/>
    <cellStyle name="표준 5 5 2 2 2 6 3 3" xfId="37784" xr:uid="{00000000-0005-0000-0000-0000A4AE0000}"/>
    <cellStyle name="표준 5 5 2 2 2 6 3 4" xfId="45977" xr:uid="{00000000-0005-0000-0000-0000A5AE0000}"/>
    <cellStyle name="표준 5 5 2 2 2 6 4" xfId="12979" xr:uid="{00000000-0005-0000-0000-0000A6AE0000}"/>
    <cellStyle name="표준 5 5 2 2 2 6 5" xfId="17219" xr:uid="{00000000-0005-0000-0000-0000A7AE0000}"/>
    <cellStyle name="표준 5 5 2 2 2 6 6" xfId="21381" xr:uid="{00000000-0005-0000-0000-0000A8AE0000}"/>
    <cellStyle name="표준 5 5 2 2 2 6 7" xfId="25477" xr:uid="{00000000-0005-0000-0000-0000A9AE0000}"/>
    <cellStyle name="표준 5 5 2 2 2 6 8" xfId="33688" xr:uid="{00000000-0005-0000-0000-0000AAAE0000}"/>
    <cellStyle name="표준 5 5 2 2 2 6 9" xfId="41881" xr:uid="{00000000-0005-0000-0000-0000ABAE0000}"/>
    <cellStyle name="표준 5 5 2 2 2 7" xfId="9379" xr:uid="{00000000-0005-0000-0000-0000ACAE0000}"/>
    <cellStyle name="표준 5 5 2 2 2 7 2" xfId="13491" xr:uid="{00000000-0005-0000-0000-0000ADAE0000}"/>
    <cellStyle name="표준 5 5 2 2 2 7 2 2" xfId="30085" xr:uid="{00000000-0005-0000-0000-0000AEAE0000}"/>
    <cellStyle name="표준 5 5 2 2 2 7 2 3" xfId="38296" xr:uid="{00000000-0005-0000-0000-0000AFAE0000}"/>
    <cellStyle name="표준 5 5 2 2 2 7 2 4" xfId="46489" xr:uid="{00000000-0005-0000-0000-0000B0AE0000}"/>
    <cellStyle name="표준 5 5 2 2 2 7 3" xfId="17731" xr:uid="{00000000-0005-0000-0000-0000B1AE0000}"/>
    <cellStyle name="표준 5 5 2 2 2 7 4" xfId="21893" xr:uid="{00000000-0005-0000-0000-0000B2AE0000}"/>
    <cellStyle name="표준 5 5 2 2 2 7 5" xfId="25989" xr:uid="{00000000-0005-0000-0000-0000B3AE0000}"/>
    <cellStyle name="표준 5 5 2 2 2 7 6" xfId="34200" xr:uid="{00000000-0005-0000-0000-0000B4AE0000}"/>
    <cellStyle name="표준 5 5 2 2 2 7 7" xfId="42393" xr:uid="{00000000-0005-0000-0000-0000B5AE0000}"/>
    <cellStyle name="표준 5 5 2 2 2 8" xfId="7331" xr:uid="{00000000-0005-0000-0000-0000B6AE0000}"/>
    <cellStyle name="표준 5 5 2 2 2 8 2" xfId="28037" xr:uid="{00000000-0005-0000-0000-0000B7AE0000}"/>
    <cellStyle name="표준 5 5 2 2 2 8 3" xfId="36248" xr:uid="{00000000-0005-0000-0000-0000B8AE0000}"/>
    <cellStyle name="표준 5 5 2 2 2 8 4" xfId="44441" xr:uid="{00000000-0005-0000-0000-0000B9AE0000}"/>
    <cellStyle name="표준 5 5 2 2 2 9" xfId="11443" xr:uid="{00000000-0005-0000-0000-0000BAAE0000}"/>
    <cellStyle name="표준 5 5 2 2 3" xfId="540" xr:uid="{00000000-0005-0000-0000-0000BBAE0000}"/>
    <cellStyle name="표준 5 5 2 2 3 10" xfId="19909" xr:uid="{00000000-0005-0000-0000-0000BCAE0000}"/>
    <cellStyle name="표준 5 5 2 2 3 11" xfId="24005" xr:uid="{00000000-0005-0000-0000-0000BDAE0000}"/>
    <cellStyle name="표준 5 5 2 2 3 12" xfId="32216" xr:uid="{00000000-0005-0000-0000-0000BEAE0000}"/>
    <cellStyle name="표준 5 5 2 2 3 13" xfId="40409" xr:uid="{00000000-0005-0000-0000-0000BFAE0000}"/>
    <cellStyle name="표준 5 5 2 2 3 2" xfId="796" xr:uid="{00000000-0005-0000-0000-0000C0AE0000}"/>
    <cellStyle name="표준 5 5 2 2 3 2 10" xfId="24261" xr:uid="{00000000-0005-0000-0000-0000C1AE0000}"/>
    <cellStyle name="표준 5 5 2 2 3 2 11" xfId="32472" xr:uid="{00000000-0005-0000-0000-0000C2AE0000}"/>
    <cellStyle name="표준 5 5 2 2 3 2 12" xfId="40665" xr:uid="{00000000-0005-0000-0000-0000C3AE0000}"/>
    <cellStyle name="표준 5 5 2 2 3 2 2" xfId="1308" xr:uid="{00000000-0005-0000-0000-0000C4AE0000}"/>
    <cellStyle name="표준 5 5 2 2 3 2 2 2" xfId="10211" xr:uid="{00000000-0005-0000-0000-0000C5AE0000}"/>
    <cellStyle name="표준 5 5 2 2 3 2 2 2 2" xfId="14323" xr:uid="{00000000-0005-0000-0000-0000C6AE0000}"/>
    <cellStyle name="표준 5 5 2 2 3 2 2 2 2 2" xfId="30917" xr:uid="{00000000-0005-0000-0000-0000C7AE0000}"/>
    <cellStyle name="표준 5 5 2 2 3 2 2 2 2 3" xfId="39128" xr:uid="{00000000-0005-0000-0000-0000C8AE0000}"/>
    <cellStyle name="표준 5 5 2 2 3 2 2 2 2 4" xfId="47321" xr:uid="{00000000-0005-0000-0000-0000C9AE0000}"/>
    <cellStyle name="표준 5 5 2 2 3 2 2 2 3" xfId="18563" xr:uid="{00000000-0005-0000-0000-0000CAAE0000}"/>
    <cellStyle name="표준 5 5 2 2 3 2 2 2 4" xfId="22725" xr:uid="{00000000-0005-0000-0000-0000CBAE0000}"/>
    <cellStyle name="표준 5 5 2 2 3 2 2 2 5" xfId="26821" xr:uid="{00000000-0005-0000-0000-0000CCAE0000}"/>
    <cellStyle name="표준 5 5 2 2 3 2 2 2 6" xfId="35032" xr:uid="{00000000-0005-0000-0000-0000CDAE0000}"/>
    <cellStyle name="표준 5 5 2 2 3 2 2 2 7" xfId="43225" xr:uid="{00000000-0005-0000-0000-0000CEAE0000}"/>
    <cellStyle name="표준 5 5 2 2 3 2 2 3" xfId="8163" xr:uid="{00000000-0005-0000-0000-0000CFAE0000}"/>
    <cellStyle name="표준 5 5 2 2 3 2 2 3 2" xfId="28869" xr:uid="{00000000-0005-0000-0000-0000D0AE0000}"/>
    <cellStyle name="표준 5 5 2 2 3 2 2 3 3" xfId="37080" xr:uid="{00000000-0005-0000-0000-0000D1AE0000}"/>
    <cellStyle name="표준 5 5 2 2 3 2 2 3 4" xfId="45273" xr:uid="{00000000-0005-0000-0000-0000D2AE0000}"/>
    <cellStyle name="표준 5 5 2 2 3 2 2 4" xfId="12275" xr:uid="{00000000-0005-0000-0000-0000D3AE0000}"/>
    <cellStyle name="표준 5 5 2 2 3 2 2 5" xfId="16515" xr:uid="{00000000-0005-0000-0000-0000D4AE0000}"/>
    <cellStyle name="표준 5 5 2 2 3 2 2 6" xfId="20677" xr:uid="{00000000-0005-0000-0000-0000D5AE0000}"/>
    <cellStyle name="표준 5 5 2 2 3 2 2 7" xfId="24773" xr:uid="{00000000-0005-0000-0000-0000D6AE0000}"/>
    <cellStyle name="표준 5 5 2 2 3 2 2 8" xfId="32984" xr:uid="{00000000-0005-0000-0000-0000D7AE0000}"/>
    <cellStyle name="표준 5 5 2 2 3 2 2 9" xfId="41177" xr:uid="{00000000-0005-0000-0000-0000D8AE0000}"/>
    <cellStyle name="표준 5 5 2 2 3 2 3" xfId="1820" xr:uid="{00000000-0005-0000-0000-0000D9AE0000}"/>
    <cellStyle name="표준 5 5 2 2 3 2 3 2" xfId="10723" xr:uid="{00000000-0005-0000-0000-0000DAAE0000}"/>
    <cellStyle name="표준 5 5 2 2 3 2 3 2 2" xfId="14835" xr:uid="{00000000-0005-0000-0000-0000DBAE0000}"/>
    <cellStyle name="표준 5 5 2 2 3 2 3 2 2 2" xfId="31429" xr:uid="{00000000-0005-0000-0000-0000DCAE0000}"/>
    <cellStyle name="표준 5 5 2 2 3 2 3 2 2 3" xfId="39640" xr:uid="{00000000-0005-0000-0000-0000DDAE0000}"/>
    <cellStyle name="표준 5 5 2 2 3 2 3 2 2 4" xfId="47833" xr:uid="{00000000-0005-0000-0000-0000DEAE0000}"/>
    <cellStyle name="표준 5 5 2 2 3 2 3 2 3" xfId="19075" xr:uid="{00000000-0005-0000-0000-0000DFAE0000}"/>
    <cellStyle name="표준 5 5 2 2 3 2 3 2 4" xfId="23237" xr:uid="{00000000-0005-0000-0000-0000E0AE0000}"/>
    <cellStyle name="표준 5 5 2 2 3 2 3 2 5" xfId="27333" xr:uid="{00000000-0005-0000-0000-0000E1AE0000}"/>
    <cellStyle name="표준 5 5 2 2 3 2 3 2 6" xfId="35544" xr:uid="{00000000-0005-0000-0000-0000E2AE0000}"/>
    <cellStyle name="표준 5 5 2 2 3 2 3 2 7" xfId="43737" xr:uid="{00000000-0005-0000-0000-0000E3AE0000}"/>
    <cellStyle name="표준 5 5 2 2 3 2 3 3" xfId="8675" xr:uid="{00000000-0005-0000-0000-0000E4AE0000}"/>
    <cellStyle name="표준 5 5 2 2 3 2 3 3 2" xfId="29381" xr:uid="{00000000-0005-0000-0000-0000E5AE0000}"/>
    <cellStyle name="표준 5 5 2 2 3 2 3 3 3" xfId="37592" xr:uid="{00000000-0005-0000-0000-0000E6AE0000}"/>
    <cellStyle name="표준 5 5 2 2 3 2 3 3 4" xfId="45785" xr:uid="{00000000-0005-0000-0000-0000E7AE0000}"/>
    <cellStyle name="표준 5 5 2 2 3 2 3 4" xfId="12787" xr:uid="{00000000-0005-0000-0000-0000E8AE0000}"/>
    <cellStyle name="표준 5 5 2 2 3 2 3 5" xfId="17027" xr:uid="{00000000-0005-0000-0000-0000E9AE0000}"/>
    <cellStyle name="표준 5 5 2 2 3 2 3 6" xfId="21189" xr:uid="{00000000-0005-0000-0000-0000EAAE0000}"/>
    <cellStyle name="표준 5 5 2 2 3 2 3 7" xfId="25285" xr:uid="{00000000-0005-0000-0000-0000EBAE0000}"/>
    <cellStyle name="표준 5 5 2 2 3 2 3 8" xfId="33496" xr:uid="{00000000-0005-0000-0000-0000ECAE0000}"/>
    <cellStyle name="표준 5 5 2 2 3 2 3 9" xfId="41689" xr:uid="{00000000-0005-0000-0000-0000EDAE0000}"/>
    <cellStyle name="표준 5 5 2 2 3 2 4" xfId="2332" xr:uid="{00000000-0005-0000-0000-0000EEAE0000}"/>
    <cellStyle name="표준 5 5 2 2 3 2 4 2" xfId="11235" xr:uid="{00000000-0005-0000-0000-0000EFAE0000}"/>
    <cellStyle name="표준 5 5 2 2 3 2 4 2 2" xfId="15347" xr:uid="{00000000-0005-0000-0000-0000F0AE0000}"/>
    <cellStyle name="표준 5 5 2 2 3 2 4 2 2 2" xfId="31941" xr:uid="{00000000-0005-0000-0000-0000F1AE0000}"/>
    <cellStyle name="표준 5 5 2 2 3 2 4 2 2 3" xfId="40152" xr:uid="{00000000-0005-0000-0000-0000F2AE0000}"/>
    <cellStyle name="표준 5 5 2 2 3 2 4 2 2 4" xfId="48345" xr:uid="{00000000-0005-0000-0000-0000F3AE0000}"/>
    <cellStyle name="표준 5 5 2 2 3 2 4 2 3" xfId="19587" xr:uid="{00000000-0005-0000-0000-0000F4AE0000}"/>
    <cellStyle name="표준 5 5 2 2 3 2 4 2 4" xfId="23749" xr:uid="{00000000-0005-0000-0000-0000F5AE0000}"/>
    <cellStyle name="표준 5 5 2 2 3 2 4 2 5" xfId="27845" xr:uid="{00000000-0005-0000-0000-0000F6AE0000}"/>
    <cellStyle name="표준 5 5 2 2 3 2 4 2 6" xfId="36056" xr:uid="{00000000-0005-0000-0000-0000F7AE0000}"/>
    <cellStyle name="표준 5 5 2 2 3 2 4 2 7" xfId="44249" xr:uid="{00000000-0005-0000-0000-0000F8AE0000}"/>
    <cellStyle name="표준 5 5 2 2 3 2 4 3" xfId="9187" xr:uid="{00000000-0005-0000-0000-0000F9AE0000}"/>
    <cellStyle name="표준 5 5 2 2 3 2 4 3 2" xfId="29893" xr:uid="{00000000-0005-0000-0000-0000FAAE0000}"/>
    <cellStyle name="표준 5 5 2 2 3 2 4 3 3" xfId="38104" xr:uid="{00000000-0005-0000-0000-0000FBAE0000}"/>
    <cellStyle name="표준 5 5 2 2 3 2 4 3 4" xfId="46297" xr:uid="{00000000-0005-0000-0000-0000FCAE0000}"/>
    <cellStyle name="표준 5 5 2 2 3 2 4 4" xfId="13299" xr:uid="{00000000-0005-0000-0000-0000FDAE0000}"/>
    <cellStyle name="표준 5 5 2 2 3 2 4 5" xfId="17539" xr:uid="{00000000-0005-0000-0000-0000FEAE0000}"/>
    <cellStyle name="표준 5 5 2 2 3 2 4 6" xfId="21701" xr:uid="{00000000-0005-0000-0000-0000FFAE0000}"/>
    <cellStyle name="표준 5 5 2 2 3 2 4 7" xfId="25797" xr:uid="{00000000-0005-0000-0000-000000AF0000}"/>
    <cellStyle name="표준 5 5 2 2 3 2 4 8" xfId="34008" xr:uid="{00000000-0005-0000-0000-000001AF0000}"/>
    <cellStyle name="표준 5 5 2 2 3 2 4 9" xfId="42201" xr:uid="{00000000-0005-0000-0000-000002AF0000}"/>
    <cellStyle name="표준 5 5 2 2 3 2 5" xfId="9699" xr:uid="{00000000-0005-0000-0000-000003AF0000}"/>
    <cellStyle name="표준 5 5 2 2 3 2 5 2" xfId="13811" xr:uid="{00000000-0005-0000-0000-000004AF0000}"/>
    <cellStyle name="표준 5 5 2 2 3 2 5 2 2" xfId="30405" xr:uid="{00000000-0005-0000-0000-000005AF0000}"/>
    <cellStyle name="표준 5 5 2 2 3 2 5 2 3" xfId="38616" xr:uid="{00000000-0005-0000-0000-000006AF0000}"/>
    <cellStyle name="표준 5 5 2 2 3 2 5 2 4" xfId="46809" xr:uid="{00000000-0005-0000-0000-000007AF0000}"/>
    <cellStyle name="표준 5 5 2 2 3 2 5 3" xfId="18051" xr:uid="{00000000-0005-0000-0000-000008AF0000}"/>
    <cellStyle name="표준 5 5 2 2 3 2 5 4" xfId="22213" xr:uid="{00000000-0005-0000-0000-000009AF0000}"/>
    <cellStyle name="표준 5 5 2 2 3 2 5 5" xfId="26309" xr:uid="{00000000-0005-0000-0000-00000AAF0000}"/>
    <cellStyle name="표준 5 5 2 2 3 2 5 6" xfId="34520" xr:uid="{00000000-0005-0000-0000-00000BAF0000}"/>
    <cellStyle name="표준 5 5 2 2 3 2 5 7" xfId="42713" xr:uid="{00000000-0005-0000-0000-00000CAF0000}"/>
    <cellStyle name="표준 5 5 2 2 3 2 6" xfId="7651" xr:uid="{00000000-0005-0000-0000-00000DAF0000}"/>
    <cellStyle name="표준 5 5 2 2 3 2 6 2" xfId="28357" xr:uid="{00000000-0005-0000-0000-00000EAF0000}"/>
    <cellStyle name="표준 5 5 2 2 3 2 6 3" xfId="36568" xr:uid="{00000000-0005-0000-0000-00000FAF0000}"/>
    <cellStyle name="표준 5 5 2 2 3 2 6 4" xfId="44761" xr:uid="{00000000-0005-0000-0000-000010AF0000}"/>
    <cellStyle name="표준 5 5 2 2 3 2 7" xfId="11763" xr:uid="{00000000-0005-0000-0000-000011AF0000}"/>
    <cellStyle name="표준 5 5 2 2 3 2 8" xfId="16003" xr:uid="{00000000-0005-0000-0000-000012AF0000}"/>
    <cellStyle name="표준 5 5 2 2 3 2 9" xfId="20165" xr:uid="{00000000-0005-0000-0000-000013AF0000}"/>
    <cellStyle name="표준 5 5 2 2 3 3" xfId="1052" xr:uid="{00000000-0005-0000-0000-000014AF0000}"/>
    <cellStyle name="표준 5 5 2 2 3 3 2" xfId="9955" xr:uid="{00000000-0005-0000-0000-000015AF0000}"/>
    <cellStyle name="표준 5 5 2 2 3 3 2 2" xfId="14067" xr:uid="{00000000-0005-0000-0000-000016AF0000}"/>
    <cellStyle name="표준 5 5 2 2 3 3 2 2 2" xfId="30661" xr:uid="{00000000-0005-0000-0000-000017AF0000}"/>
    <cellStyle name="표준 5 5 2 2 3 3 2 2 3" xfId="38872" xr:uid="{00000000-0005-0000-0000-000018AF0000}"/>
    <cellStyle name="표준 5 5 2 2 3 3 2 2 4" xfId="47065" xr:uid="{00000000-0005-0000-0000-000019AF0000}"/>
    <cellStyle name="표준 5 5 2 2 3 3 2 3" xfId="18307" xr:uid="{00000000-0005-0000-0000-00001AAF0000}"/>
    <cellStyle name="표준 5 5 2 2 3 3 2 4" xfId="22469" xr:uid="{00000000-0005-0000-0000-00001BAF0000}"/>
    <cellStyle name="표준 5 5 2 2 3 3 2 5" xfId="26565" xr:uid="{00000000-0005-0000-0000-00001CAF0000}"/>
    <cellStyle name="표준 5 5 2 2 3 3 2 6" xfId="34776" xr:uid="{00000000-0005-0000-0000-00001DAF0000}"/>
    <cellStyle name="표준 5 5 2 2 3 3 2 7" xfId="42969" xr:uid="{00000000-0005-0000-0000-00001EAF0000}"/>
    <cellStyle name="표준 5 5 2 2 3 3 3" xfId="7907" xr:uid="{00000000-0005-0000-0000-00001FAF0000}"/>
    <cellStyle name="표준 5 5 2 2 3 3 3 2" xfId="28613" xr:uid="{00000000-0005-0000-0000-000020AF0000}"/>
    <cellStyle name="표준 5 5 2 2 3 3 3 3" xfId="36824" xr:uid="{00000000-0005-0000-0000-000021AF0000}"/>
    <cellStyle name="표준 5 5 2 2 3 3 3 4" xfId="45017" xr:uid="{00000000-0005-0000-0000-000022AF0000}"/>
    <cellStyle name="표준 5 5 2 2 3 3 4" xfId="12019" xr:uid="{00000000-0005-0000-0000-000023AF0000}"/>
    <cellStyle name="표준 5 5 2 2 3 3 5" xfId="16259" xr:uid="{00000000-0005-0000-0000-000024AF0000}"/>
    <cellStyle name="표준 5 5 2 2 3 3 6" xfId="20421" xr:uid="{00000000-0005-0000-0000-000025AF0000}"/>
    <cellStyle name="표준 5 5 2 2 3 3 7" xfId="24517" xr:uid="{00000000-0005-0000-0000-000026AF0000}"/>
    <cellStyle name="표준 5 5 2 2 3 3 8" xfId="32728" xr:uid="{00000000-0005-0000-0000-000027AF0000}"/>
    <cellStyle name="표준 5 5 2 2 3 3 9" xfId="40921" xr:uid="{00000000-0005-0000-0000-000028AF0000}"/>
    <cellStyle name="표준 5 5 2 2 3 4" xfId="1564" xr:uid="{00000000-0005-0000-0000-000029AF0000}"/>
    <cellStyle name="표준 5 5 2 2 3 4 2" xfId="10467" xr:uid="{00000000-0005-0000-0000-00002AAF0000}"/>
    <cellStyle name="표준 5 5 2 2 3 4 2 2" xfId="14579" xr:uid="{00000000-0005-0000-0000-00002BAF0000}"/>
    <cellStyle name="표준 5 5 2 2 3 4 2 2 2" xfId="31173" xr:uid="{00000000-0005-0000-0000-00002CAF0000}"/>
    <cellStyle name="표준 5 5 2 2 3 4 2 2 3" xfId="39384" xr:uid="{00000000-0005-0000-0000-00002DAF0000}"/>
    <cellStyle name="표준 5 5 2 2 3 4 2 2 4" xfId="47577" xr:uid="{00000000-0005-0000-0000-00002EAF0000}"/>
    <cellStyle name="표준 5 5 2 2 3 4 2 3" xfId="18819" xr:uid="{00000000-0005-0000-0000-00002FAF0000}"/>
    <cellStyle name="표준 5 5 2 2 3 4 2 4" xfId="22981" xr:uid="{00000000-0005-0000-0000-000030AF0000}"/>
    <cellStyle name="표준 5 5 2 2 3 4 2 5" xfId="27077" xr:uid="{00000000-0005-0000-0000-000031AF0000}"/>
    <cellStyle name="표준 5 5 2 2 3 4 2 6" xfId="35288" xr:uid="{00000000-0005-0000-0000-000032AF0000}"/>
    <cellStyle name="표준 5 5 2 2 3 4 2 7" xfId="43481" xr:uid="{00000000-0005-0000-0000-000033AF0000}"/>
    <cellStyle name="표준 5 5 2 2 3 4 3" xfId="8419" xr:uid="{00000000-0005-0000-0000-000034AF0000}"/>
    <cellStyle name="표준 5 5 2 2 3 4 3 2" xfId="29125" xr:uid="{00000000-0005-0000-0000-000035AF0000}"/>
    <cellStyle name="표준 5 5 2 2 3 4 3 3" xfId="37336" xr:uid="{00000000-0005-0000-0000-000036AF0000}"/>
    <cellStyle name="표준 5 5 2 2 3 4 3 4" xfId="45529" xr:uid="{00000000-0005-0000-0000-000037AF0000}"/>
    <cellStyle name="표준 5 5 2 2 3 4 4" xfId="12531" xr:uid="{00000000-0005-0000-0000-000038AF0000}"/>
    <cellStyle name="표준 5 5 2 2 3 4 5" xfId="16771" xr:uid="{00000000-0005-0000-0000-000039AF0000}"/>
    <cellStyle name="표준 5 5 2 2 3 4 6" xfId="20933" xr:uid="{00000000-0005-0000-0000-00003AAF0000}"/>
    <cellStyle name="표준 5 5 2 2 3 4 7" xfId="25029" xr:uid="{00000000-0005-0000-0000-00003BAF0000}"/>
    <cellStyle name="표준 5 5 2 2 3 4 8" xfId="33240" xr:uid="{00000000-0005-0000-0000-00003CAF0000}"/>
    <cellStyle name="표준 5 5 2 2 3 4 9" xfId="41433" xr:uid="{00000000-0005-0000-0000-00003DAF0000}"/>
    <cellStyle name="표준 5 5 2 2 3 5" xfId="2076" xr:uid="{00000000-0005-0000-0000-00003EAF0000}"/>
    <cellStyle name="표준 5 5 2 2 3 5 2" xfId="10979" xr:uid="{00000000-0005-0000-0000-00003FAF0000}"/>
    <cellStyle name="표준 5 5 2 2 3 5 2 2" xfId="15091" xr:uid="{00000000-0005-0000-0000-000040AF0000}"/>
    <cellStyle name="표준 5 5 2 2 3 5 2 2 2" xfId="31685" xr:uid="{00000000-0005-0000-0000-000041AF0000}"/>
    <cellStyle name="표준 5 5 2 2 3 5 2 2 3" xfId="39896" xr:uid="{00000000-0005-0000-0000-000042AF0000}"/>
    <cellStyle name="표준 5 5 2 2 3 5 2 2 4" xfId="48089" xr:uid="{00000000-0005-0000-0000-000043AF0000}"/>
    <cellStyle name="표준 5 5 2 2 3 5 2 3" xfId="19331" xr:uid="{00000000-0005-0000-0000-000044AF0000}"/>
    <cellStyle name="표준 5 5 2 2 3 5 2 4" xfId="23493" xr:uid="{00000000-0005-0000-0000-000045AF0000}"/>
    <cellStyle name="표준 5 5 2 2 3 5 2 5" xfId="27589" xr:uid="{00000000-0005-0000-0000-000046AF0000}"/>
    <cellStyle name="표준 5 5 2 2 3 5 2 6" xfId="35800" xr:uid="{00000000-0005-0000-0000-000047AF0000}"/>
    <cellStyle name="표준 5 5 2 2 3 5 2 7" xfId="43993" xr:uid="{00000000-0005-0000-0000-000048AF0000}"/>
    <cellStyle name="표준 5 5 2 2 3 5 3" xfId="8931" xr:uid="{00000000-0005-0000-0000-000049AF0000}"/>
    <cellStyle name="표준 5 5 2 2 3 5 3 2" xfId="29637" xr:uid="{00000000-0005-0000-0000-00004AAF0000}"/>
    <cellStyle name="표준 5 5 2 2 3 5 3 3" xfId="37848" xr:uid="{00000000-0005-0000-0000-00004BAF0000}"/>
    <cellStyle name="표준 5 5 2 2 3 5 3 4" xfId="46041" xr:uid="{00000000-0005-0000-0000-00004CAF0000}"/>
    <cellStyle name="표준 5 5 2 2 3 5 4" xfId="13043" xr:uid="{00000000-0005-0000-0000-00004DAF0000}"/>
    <cellStyle name="표준 5 5 2 2 3 5 5" xfId="17283" xr:uid="{00000000-0005-0000-0000-00004EAF0000}"/>
    <cellStyle name="표준 5 5 2 2 3 5 6" xfId="21445" xr:uid="{00000000-0005-0000-0000-00004FAF0000}"/>
    <cellStyle name="표준 5 5 2 2 3 5 7" xfId="25541" xr:uid="{00000000-0005-0000-0000-000050AF0000}"/>
    <cellStyle name="표준 5 5 2 2 3 5 8" xfId="33752" xr:uid="{00000000-0005-0000-0000-000051AF0000}"/>
    <cellStyle name="표준 5 5 2 2 3 5 9" xfId="41945" xr:uid="{00000000-0005-0000-0000-000052AF0000}"/>
    <cellStyle name="표준 5 5 2 2 3 6" xfId="9443" xr:uid="{00000000-0005-0000-0000-000053AF0000}"/>
    <cellStyle name="표준 5 5 2 2 3 6 2" xfId="13555" xr:uid="{00000000-0005-0000-0000-000054AF0000}"/>
    <cellStyle name="표준 5 5 2 2 3 6 2 2" xfId="30149" xr:uid="{00000000-0005-0000-0000-000055AF0000}"/>
    <cellStyle name="표준 5 5 2 2 3 6 2 3" xfId="38360" xr:uid="{00000000-0005-0000-0000-000056AF0000}"/>
    <cellStyle name="표준 5 5 2 2 3 6 2 4" xfId="46553" xr:uid="{00000000-0005-0000-0000-000057AF0000}"/>
    <cellStyle name="표준 5 5 2 2 3 6 3" xfId="17795" xr:uid="{00000000-0005-0000-0000-000058AF0000}"/>
    <cellStyle name="표준 5 5 2 2 3 6 4" xfId="21957" xr:uid="{00000000-0005-0000-0000-000059AF0000}"/>
    <cellStyle name="표준 5 5 2 2 3 6 5" xfId="26053" xr:uid="{00000000-0005-0000-0000-00005AAF0000}"/>
    <cellStyle name="표준 5 5 2 2 3 6 6" xfId="34264" xr:uid="{00000000-0005-0000-0000-00005BAF0000}"/>
    <cellStyle name="표준 5 5 2 2 3 6 7" xfId="42457" xr:uid="{00000000-0005-0000-0000-00005CAF0000}"/>
    <cellStyle name="표준 5 5 2 2 3 7" xfId="7395" xr:uid="{00000000-0005-0000-0000-00005DAF0000}"/>
    <cellStyle name="표준 5 5 2 2 3 7 2" xfId="28101" xr:uid="{00000000-0005-0000-0000-00005EAF0000}"/>
    <cellStyle name="표준 5 5 2 2 3 7 3" xfId="36312" xr:uid="{00000000-0005-0000-0000-00005FAF0000}"/>
    <cellStyle name="표준 5 5 2 2 3 7 4" xfId="44505" xr:uid="{00000000-0005-0000-0000-000060AF0000}"/>
    <cellStyle name="표준 5 5 2 2 3 8" xfId="11507" xr:uid="{00000000-0005-0000-0000-000061AF0000}"/>
    <cellStyle name="표준 5 5 2 2 3 9" xfId="15747" xr:uid="{00000000-0005-0000-0000-000062AF0000}"/>
    <cellStyle name="표준 5 5 2 2 4" xfId="668" xr:uid="{00000000-0005-0000-0000-000063AF0000}"/>
    <cellStyle name="표준 5 5 2 2 4 10" xfId="24133" xr:uid="{00000000-0005-0000-0000-000064AF0000}"/>
    <cellStyle name="표준 5 5 2 2 4 11" xfId="32344" xr:uid="{00000000-0005-0000-0000-000065AF0000}"/>
    <cellStyle name="표준 5 5 2 2 4 12" xfId="40537" xr:uid="{00000000-0005-0000-0000-000066AF0000}"/>
    <cellStyle name="표준 5 5 2 2 4 2" xfId="1180" xr:uid="{00000000-0005-0000-0000-000067AF0000}"/>
    <cellStyle name="표준 5 5 2 2 4 2 2" xfId="10083" xr:uid="{00000000-0005-0000-0000-000068AF0000}"/>
    <cellStyle name="표준 5 5 2 2 4 2 2 2" xfId="14195" xr:uid="{00000000-0005-0000-0000-000069AF0000}"/>
    <cellStyle name="표준 5 5 2 2 4 2 2 2 2" xfId="30789" xr:uid="{00000000-0005-0000-0000-00006AAF0000}"/>
    <cellStyle name="표준 5 5 2 2 4 2 2 2 3" xfId="39000" xr:uid="{00000000-0005-0000-0000-00006BAF0000}"/>
    <cellStyle name="표준 5 5 2 2 4 2 2 2 4" xfId="47193" xr:uid="{00000000-0005-0000-0000-00006CAF0000}"/>
    <cellStyle name="표준 5 5 2 2 4 2 2 3" xfId="18435" xr:uid="{00000000-0005-0000-0000-00006DAF0000}"/>
    <cellStyle name="표준 5 5 2 2 4 2 2 4" xfId="22597" xr:uid="{00000000-0005-0000-0000-00006EAF0000}"/>
    <cellStyle name="표준 5 5 2 2 4 2 2 5" xfId="26693" xr:uid="{00000000-0005-0000-0000-00006FAF0000}"/>
    <cellStyle name="표준 5 5 2 2 4 2 2 6" xfId="34904" xr:uid="{00000000-0005-0000-0000-000070AF0000}"/>
    <cellStyle name="표준 5 5 2 2 4 2 2 7" xfId="43097" xr:uid="{00000000-0005-0000-0000-000071AF0000}"/>
    <cellStyle name="표준 5 5 2 2 4 2 3" xfId="8035" xr:uid="{00000000-0005-0000-0000-000072AF0000}"/>
    <cellStyle name="표준 5 5 2 2 4 2 3 2" xfId="28741" xr:uid="{00000000-0005-0000-0000-000073AF0000}"/>
    <cellStyle name="표준 5 5 2 2 4 2 3 3" xfId="36952" xr:uid="{00000000-0005-0000-0000-000074AF0000}"/>
    <cellStyle name="표준 5 5 2 2 4 2 3 4" xfId="45145" xr:uid="{00000000-0005-0000-0000-000075AF0000}"/>
    <cellStyle name="표준 5 5 2 2 4 2 4" xfId="12147" xr:uid="{00000000-0005-0000-0000-000076AF0000}"/>
    <cellStyle name="표준 5 5 2 2 4 2 5" xfId="16387" xr:uid="{00000000-0005-0000-0000-000077AF0000}"/>
    <cellStyle name="표준 5 5 2 2 4 2 6" xfId="20549" xr:uid="{00000000-0005-0000-0000-000078AF0000}"/>
    <cellStyle name="표준 5 5 2 2 4 2 7" xfId="24645" xr:uid="{00000000-0005-0000-0000-000079AF0000}"/>
    <cellStyle name="표준 5 5 2 2 4 2 8" xfId="32856" xr:uid="{00000000-0005-0000-0000-00007AAF0000}"/>
    <cellStyle name="표준 5 5 2 2 4 2 9" xfId="41049" xr:uid="{00000000-0005-0000-0000-00007BAF0000}"/>
    <cellStyle name="표준 5 5 2 2 4 3" xfId="1692" xr:uid="{00000000-0005-0000-0000-00007CAF0000}"/>
    <cellStyle name="표준 5 5 2 2 4 3 2" xfId="10595" xr:uid="{00000000-0005-0000-0000-00007DAF0000}"/>
    <cellStyle name="표준 5 5 2 2 4 3 2 2" xfId="14707" xr:uid="{00000000-0005-0000-0000-00007EAF0000}"/>
    <cellStyle name="표준 5 5 2 2 4 3 2 2 2" xfId="31301" xr:uid="{00000000-0005-0000-0000-00007FAF0000}"/>
    <cellStyle name="표준 5 5 2 2 4 3 2 2 3" xfId="39512" xr:uid="{00000000-0005-0000-0000-000080AF0000}"/>
    <cellStyle name="표준 5 5 2 2 4 3 2 2 4" xfId="47705" xr:uid="{00000000-0005-0000-0000-000081AF0000}"/>
    <cellStyle name="표준 5 5 2 2 4 3 2 3" xfId="18947" xr:uid="{00000000-0005-0000-0000-000082AF0000}"/>
    <cellStyle name="표준 5 5 2 2 4 3 2 4" xfId="23109" xr:uid="{00000000-0005-0000-0000-000083AF0000}"/>
    <cellStyle name="표준 5 5 2 2 4 3 2 5" xfId="27205" xr:uid="{00000000-0005-0000-0000-000084AF0000}"/>
    <cellStyle name="표준 5 5 2 2 4 3 2 6" xfId="35416" xr:uid="{00000000-0005-0000-0000-000085AF0000}"/>
    <cellStyle name="표준 5 5 2 2 4 3 2 7" xfId="43609" xr:uid="{00000000-0005-0000-0000-000086AF0000}"/>
    <cellStyle name="표준 5 5 2 2 4 3 3" xfId="8547" xr:uid="{00000000-0005-0000-0000-000087AF0000}"/>
    <cellStyle name="표준 5 5 2 2 4 3 3 2" xfId="29253" xr:uid="{00000000-0005-0000-0000-000088AF0000}"/>
    <cellStyle name="표준 5 5 2 2 4 3 3 3" xfId="37464" xr:uid="{00000000-0005-0000-0000-000089AF0000}"/>
    <cellStyle name="표준 5 5 2 2 4 3 3 4" xfId="45657" xr:uid="{00000000-0005-0000-0000-00008AAF0000}"/>
    <cellStyle name="표준 5 5 2 2 4 3 4" xfId="12659" xr:uid="{00000000-0005-0000-0000-00008BAF0000}"/>
    <cellStyle name="표준 5 5 2 2 4 3 5" xfId="16899" xr:uid="{00000000-0005-0000-0000-00008CAF0000}"/>
    <cellStyle name="표준 5 5 2 2 4 3 6" xfId="21061" xr:uid="{00000000-0005-0000-0000-00008DAF0000}"/>
    <cellStyle name="표준 5 5 2 2 4 3 7" xfId="25157" xr:uid="{00000000-0005-0000-0000-00008EAF0000}"/>
    <cellStyle name="표준 5 5 2 2 4 3 8" xfId="33368" xr:uid="{00000000-0005-0000-0000-00008FAF0000}"/>
    <cellStyle name="표준 5 5 2 2 4 3 9" xfId="41561" xr:uid="{00000000-0005-0000-0000-000090AF0000}"/>
    <cellStyle name="표준 5 5 2 2 4 4" xfId="2204" xr:uid="{00000000-0005-0000-0000-000091AF0000}"/>
    <cellStyle name="표준 5 5 2 2 4 4 2" xfId="11107" xr:uid="{00000000-0005-0000-0000-000092AF0000}"/>
    <cellStyle name="표준 5 5 2 2 4 4 2 2" xfId="15219" xr:uid="{00000000-0005-0000-0000-000093AF0000}"/>
    <cellStyle name="표준 5 5 2 2 4 4 2 2 2" xfId="31813" xr:uid="{00000000-0005-0000-0000-000094AF0000}"/>
    <cellStyle name="표준 5 5 2 2 4 4 2 2 3" xfId="40024" xr:uid="{00000000-0005-0000-0000-000095AF0000}"/>
    <cellStyle name="표준 5 5 2 2 4 4 2 2 4" xfId="48217" xr:uid="{00000000-0005-0000-0000-000096AF0000}"/>
    <cellStyle name="표준 5 5 2 2 4 4 2 3" xfId="19459" xr:uid="{00000000-0005-0000-0000-000097AF0000}"/>
    <cellStyle name="표준 5 5 2 2 4 4 2 4" xfId="23621" xr:uid="{00000000-0005-0000-0000-000098AF0000}"/>
    <cellStyle name="표준 5 5 2 2 4 4 2 5" xfId="27717" xr:uid="{00000000-0005-0000-0000-000099AF0000}"/>
    <cellStyle name="표준 5 5 2 2 4 4 2 6" xfId="35928" xr:uid="{00000000-0005-0000-0000-00009AAF0000}"/>
    <cellStyle name="표준 5 5 2 2 4 4 2 7" xfId="44121" xr:uid="{00000000-0005-0000-0000-00009BAF0000}"/>
    <cellStyle name="표준 5 5 2 2 4 4 3" xfId="9059" xr:uid="{00000000-0005-0000-0000-00009CAF0000}"/>
    <cellStyle name="표준 5 5 2 2 4 4 3 2" xfId="29765" xr:uid="{00000000-0005-0000-0000-00009DAF0000}"/>
    <cellStyle name="표준 5 5 2 2 4 4 3 3" xfId="37976" xr:uid="{00000000-0005-0000-0000-00009EAF0000}"/>
    <cellStyle name="표준 5 5 2 2 4 4 3 4" xfId="46169" xr:uid="{00000000-0005-0000-0000-00009FAF0000}"/>
    <cellStyle name="표준 5 5 2 2 4 4 4" xfId="13171" xr:uid="{00000000-0005-0000-0000-0000A0AF0000}"/>
    <cellStyle name="표준 5 5 2 2 4 4 5" xfId="17411" xr:uid="{00000000-0005-0000-0000-0000A1AF0000}"/>
    <cellStyle name="표준 5 5 2 2 4 4 6" xfId="21573" xr:uid="{00000000-0005-0000-0000-0000A2AF0000}"/>
    <cellStyle name="표준 5 5 2 2 4 4 7" xfId="25669" xr:uid="{00000000-0005-0000-0000-0000A3AF0000}"/>
    <cellStyle name="표준 5 5 2 2 4 4 8" xfId="33880" xr:uid="{00000000-0005-0000-0000-0000A4AF0000}"/>
    <cellStyle name="표준 5 5 2 2 4 4 9" xfId="42073" xr:uid="{00000000-0005-0000-0000-0000A5AF0000}"/>
    <cellStyle name="표준 5 5 2 2 4 5" xfId="9571" xr:uid="{00000000-0005-0000-0000-0000A6AF0000}"/>
    <cellStyle name="표준 5 5 2 2 4 5 2" xfId="13683" xr:uid="{00000000-0005-0000-0000-0000A7AF0000}"/>
    <cellStyle name="표준 5 5 2 2 4 5 2 2" xfId="30277" xr:uid="{00000000-0005-0000-0000-0000A8AF0000}"/>
    <cellStyle name="표준 5 5 2 2 4 5 2 3" xfId="38488" xr:uid="{00000000-0005-0000-0000-0000A9AF0000}"/>
    <cellStyle name="표준 5 5 2 2 4 5 2 4" xfId="46681" xr:uid="{00000000-0005-0000-0000-0000AAAF0000}"/>
    <cellStyle name="표준 5 5 2 2 4 5 3" xfId="17923" xr:uid="{00000000-0005-0000-0000-0000ABAF0000}"/>
    <cellStyle name="표준 5 5 2 2 4 5 4" xfId="22085" xr:uid="{00000000-0005-0000-0000-0000ACAF0000}"/>
    <cellStyle name="표준 5 5 2 2 4 5 5" xfId="26181" xr:uid="{00000000-0005-0000-0000-0000ADAF0000}"/>
    <cellStyle name="표준 5 5 2 2 4 5 6" xfId="34392" xr:uid="{00000000-0005-0000-0000-0000AEAF0000}"/>
    <cellStyle name="표준 5 5 2 2 4 5 7" xfId="42585" xr:uid="{00000000-0005-0000-0000-0000AFAF0000}"/>
    <cellStyle name="표준 5 5 2 2 4 6" xfId="7523" xr:uid="{00000000-0005-0000-0000-0000B0AF0000}"/>
    <cellStyle name="표준 5 5 2 2 4 6 2" xfId="28229" xr:uid="{00000000-0005-0000-0000-0000B1AF0000}"/>
    <cellStyle name="표준 5 5 2 2 4 6 3" xfId="36440" xr:uid="{00000000-0005-0000-0000-0000B2AF0000}"/>
    <cellStyle name="표준 5 5 2 2 4 6 4" xfId="44633" xr:uid="{00000000-0005-0000-0000-0000B3AF0000}"/>
    <cellStyle name="표준 5 5 2 2 4 7" xfId="11635" xr:uid="{00000000-0005-0000-0000-0000B4AF0000}"/>
    <cellStyle name="표준 5 5 2 2 4 8" xfId="15875" xr:uid="{00000000-0005-0000-0000-0000B5AF0000}"/>
    <cellStyle name="표준 5 5 2 2 4 9" xfId="20037" xr:uid="{00000000-0005-0000-0000-0000B6AF0000}"/>
    <cellStyle name="표준 5 5 2 2 5" xfId="924" xr:uid="{00000000-0005-0000-0000-0000B7AF0000}"/>
    <cellStyle name="표준 5 5 2 2 5 2" xfId="9827" xr:uid="{00000000-0005-0000-0000-0000B8AF0000}"/>
    <cellStyle name="표준 5 5 2 2 5 2 2" xfId="13939" xr:uid="{00000000-0005-0000-0000-0000B9AF0000}"/>
    <cellStyle name="표준 5 5 2 2 5 2 2 2" xfId="30533" xr:uid="{00000000-0005-0000-0000-0000BAAF0000}"/>
    <cellStyle name="표준 5 5 2 2 5 2 2 3" xfId="38744" xr:uid="{00000000-0005-0000-0000-0000BBAF0000}"/>
    <cellStyle name="표준 5 5 2 2 5 2 2 4" xfId="46937" xr:uid="{00000000-0005-0000-0000-0000BCAF0000}"/>
    <cellStyle name="표준 5 5 2 2 5 2 3" xfId="18179" xr:uid="{00000000-0005-0000-0000-0000BDAF0000}"/>
    <cellStyle name="표준 5 5 2 2 5 2 4" xfId="22341" xr:uid="{00000000-0005-0000-0000-0000BEAF0000}"/>
    <cellStyle name="표준 5 5 2 2 5 2 5" xfId="26437" xr:uid="{00000000-0005-0000-0000-0000BFAF0000}"/>
    <cellStyle name="표준 5 5 2 2 5 2 6" xfId="34648" xr:uid="{00000000-0005-0000-0000-0000C0AF0000}"/>
    <cellStyle name="표준 5 5 2 2 5 2 7" xfId="42841" xr:uid="{00000000-0005-0000-0000-0000C1AF0000}"/>
    <cellStyle name="표준 5 5 2 2 5 3" xfId="7779" xr:uid="{00000000-0005-0000-0000-0000C2AF0000}"/>
    <cellStyle name="표준 5 5 2 2 5 3 2" xfId="28485" xr:uid="{00000000-0005-0000-0000-0000C3AF0000}"/>
    <cellStyle name="표준 5 5 2 2 5 3 3" xfId="36696" xr:uid="{00000000-0005-0000-0000-0000C4AF0000}"/>
    <cellStyle name="표준 5 5 2 2 5 3 4" xfId="44889" xr:uid="{00000000-0005-0000-0000-0000C5AF0000}"/>
    <cellStyle name="표준 5 5 2 2 5 4" xfId="11891" xr:uid="{00000000-0005-0000-0000-0000C6AF0000}"/>
    <cellStyle name="표준 5 5 2 2 5 5" xfId="16131" xr:uid="{00000000-0005-0000-0000-0000C7AF0000}"/>
    <cellStyle name="표준 5 5 2 2 5 6" xfId="20293" xr:uid="{00000000-0005-0000-0000-0000C8AF0000}"/>
    <cellStyle name="표준 5 5 2 2 5 7" xfId="24389" xr:uid="{00000000-0005-0000-0000-0000C9AF0000}"/>
    <cellStyle name="표준 5 5 2 2 5 8" xfId="32600" xr:uid="{00000000-0005-0000-0000-0000CAAF0000}"/>
    <cellStyle name="표준 5 5 2 2 5 9" xfId="40793" xr:uid="{00000000-0005-0000-0000-0000CBAF0000}"/>
    <cellStyle name="표준 5 5 2 2 6" xfId="1436" xr:uid="{00000000-0005-0000-0000-0000CCAF0000}"/>
    <cellStyle name="표준 5 5 2 2 6 2" xfId="10339" xr:uid="{00000000-0005-0000-0000-0000CDAF0000}"/>
    <cellStyle name="표준 5 5 2 2 6 2 2" xfId="14451" xr:uid="{00000000-0005-0000-0000-0000CEAF0000}"/>
    <cellStyle name="표준 5 5 2 2 6 2 2 2" xfId="31045" xr:uid="{00000000-0005-0000-0000-0000CFAF0000}"/>
    <cellStyle name="표준 5 5 2 2 6 2 2 3" xfId="39256" xr:uid="{00000000-0005-0000-0000-0000D0AF0000}"/>
    <cellStyle name="표준 5 5 2 2 6 2 2 4" xfId="47449" xr:uid="{00000000-0005-0000-0000-0000D1AF0000}"/>
    <cellStyle name="표준 5 5 2 2 6 2 3" xfId="18691" xr:uid="{00000000-0005-0000-0000-0000D2AF0000}"/>
    <cellStyle name="표준 5 5 2 2 6 2 4" xfId="22853" xr:uid="{00000000-0005-0000-0000-0000D3AF0000}"/>
    <cellStyle name="표준 5 5 2 2 6 2 5" xfId="26949" xr:uid="{00000000-0005-0000-0000-0000D4AF0000}"/>
    <cellStyle name="표준 5 5 2 2 6 2 6" xfId="35160" xr:uid="{00000000-0005-0000-0000-0000D5AF0000}"/>
    <cellStyle name="표준 5 5 2 2 6 2 7" xfId="43353" xr:uid="{00000000-0005-0000-0000-0000D6AF0000}"/>
    <cellStyle name="표준 5 5 2 2 6 3" xfId="8291" xr:uid="{00000000-0005-0000-0000-0000D7AF0000}"/>
    <cellStyle name="표준 5 5 2 2 6 3 2" xfId="28997" xr:uid="{00000000-0005-0000-0000-0000D8AF0000}"/>
    <cellStyle name="표준 5 5 2 2 6 3 3" xfId="37208" xr:uid="{00000000-0005-0000-0000-0000D9AF0000}"/>
    <cellStyle name="표준 5 5 2 2 6 3 4" xfId="45401" xr:uid="{00000000-0005-0000-0000-0000DAAF0000}"/>
    <cellStyle name="표준 5 5 2 2 6 4" xfId="12403" xr:uid="{00000000-0005-0000-0000-0000DBAF0000}"/>
    <cellStyle name="표준 5 5 2 2 6 5" xfId="16643" xr:uid="{00000000-0005-0000-0000-0000DCAF0000}"/>
    <cellStyle name="표준 5 5 2 2 6 6" xfId="20805" xr:uid="{00000000-0005-0000-0000-0000DDAF0000}"/>
    <cellStyle name="표준 5 5 2 2 6 7" xfId="24901" xr:uid="{00000000-0005-0000-0000-0000DEAF0000}"/>
    <cellStyle name="표준 5 5 2 2 6 8" xfId="33112" xr:uid="{00000000-0005-0000-0000-0000DFAF0000}"/>
    <cellStyle name="표준 5 5 2 2 6 9" xfId="41305" xr:uid="{00000000-0005-0000-0000-0000E0AF0000}"/>
    <cellStyle name="표준 5 5 2 2 7" xfId="1948" xr:uid="{00000000-0005-0000-0000-0000E1AF0000}"/>
    <cellStyle name="표준 5 5 2 2 7 2" xfId="10851" xr:uid="{00000000-0005-0000-0000-0000E2AF0000}"/>
    <cellStyle name="표준 5 5 2 2 7 2 2" xfId="14963" xr:uid="{00000000-0005-0000-0000-0000E3AF0000}"/>
    <cellStyle name="표준 5 5 2 2 7 2 2 2" xfId="31557" xr:uid="{00000000-0005-0000-0000-0000E4AF0000}"/>
    <cellStyle name="표준 5 5 2 2 7 2 2 3" xfId="39768" xr:uid="{00000000-0005-0000-0000-0000E5AF0000}"/>
    <cellStyle name="표준 5 5 2 2 7 2 2 4" xfId="47961" xr:uid="{00000000-0005-0000-0000-0000E6AF0000}"/>
    <cellStyle name="표준 5 5 2 2 7 2 3" xfId="19203" xr:uid="{00000000-0005-0000-0000-0000E7AF0000}"/>
    <cellStyle name="표준 5 5 2 2 7 2 4" xfId="23365" xr:uid="{00000000-0005-0000-0000-0000E8AF0000}"/>
    <cellStyle name="표준 5 5 2 2 7 2 5" xfId="27461" xr:uid="{00000000-0005-0000-0000-0000E9AF0000}"/>
    <cellStyle name="표준 5 5 2 2 7 2 6" xfId="35672" xr:uid="{00000000-0005-0000-0000-0000EAAF0000}"/>
    <cellStyle name="표준 5 5 2 2 7 2 7" xfId="43865" xr:uid="{00000000-0005-0000-0000-0000EBAF0000}"/>
    <cellStyle name="표준 5 5 2 2 7 3" xfId="8803" xr:uid="{00000000-0005-0000-0000-0000ECAF0000}"/>
    <cellStyle name="표준 5 5 2 2 7 3 2" xfId="29509" xr:uid="{00000000-0005-0000-0000-0000EDAF0000}"/>
    <cellStyle name="표준 5 5 2 2 7 3 3" xfId="37720" xr:uid="{00000000-0005-0000-0000-0000EEAF0000}"/>
    <cellStyle name="표준 5 5 2 2 7 3 4" xfId="45913" xr:uid="{00000000-0005-0000-0000-0000EFAF0000}"/>
    <cellStyle name="표준 5 5 2 2 7 4" xfId="12915" xr:uid="{00000000-0005-0000-0000-0000F0AF0000}"/>
    <cellStyle name="표준 5 5 2 2 7 5" xfId="17155" xr:uid="{00000000-0005-0000-0000-0000F1AF0000}"/>
    <cellStyle name="표준 5 5 2 2 7 6" xfId="21317" xr:uid="{00000000-0005-0000-0000-0000F2AF0000}"/>
    <cellStyle name="표준 5 5 2 2 7 7" xfId="25413" xr:uid="{00000000-0005-0000-0000-0000F3AF0000}"/>
    <cellStyle name="표준 5 5 2 2 7 8" xfId="33624" xr:uid="{00000000-0005-0000-0000-0000F4AF0000}"/>
    <cellStyle name="표준 5 5 2 2 7 9" xfId="41817" xr:uid="{00000000-0005-0000-0000-0000F5AF0000}"/>
    <cellStyle name="표준 5 5 2 2 8" xfId="7040" xr:uid="{00000000-0005-0000-0000-0000F6AF0000}"/>
    <cellStyle name="표준 5 5 2 2 8 2" xfId="9315" xr:uid="{00000000-0005-0000-0000-0000F7AF0000}"/>
    <cellStyle name="표준 5 5 2 2 8 2 2" xfId="30021" xr:uid="{00000000-0005-0000-0000-0000F8AF0000}"/>
    <cellStyle name="표준 5 5 2 2 8 2 3" xfId="38232" xr:uid="{00000000-0005-0000-0000-0000F9AF0000}"/>
    <cellStyle name="표준 5 5 2 2 8 2 4" xfId="46425" xr:uid="{00000000-0005-0000-0000-0000FAAF0000}"/>
    <cellStyle name="표준 5 5 2 2 8 3" xfId="13427" xr:uid="{00000000-0005-0000-0000-0000FBAF0000}"/>
    <cellStyle name="표준 5 5 2 2 8 4" xfId="17667" xr:uid="{00000000-0005-0000-0000-0000FCAF0000}"/>
    <cellStyle name="표준 5 5 2 2 8 5" xfId="21829" xr:uid="{00000000-0005-0000-0000-0000FDAF0000}"/>
    <cellStyle name="표준 5 5 2 2 8 6" xfId="25925" xr:uid="{00000000-0005-0000-0000-0000FEAF0000}"/>
    <cellStyle name="표준 5 5 2 2 8 7" xfId="34136" xr:uid="{00000000-0005-0000-0000-0000FFAF0000}"/>
    <cellStyle name="표준 5 5 2 2 8 8" xfId="42329" xr:uid="{00000000-0005-0000-0000-000000B00000}"/>
    <cellStyle name="표준 5 5 2 2 9" xfId="7138" xr:uid="{00000000-0005-0000-0000-000001B00000}"/>
    <cellStyle name="표준 5 5 2 2 9 2" xfId="27973" xr:uid="{00000000-0005-0000-0000-000002B00000}"/>
    <cellStyle name="표준 5 5 2 2 9 3" xfId="36184" xr:uid="{00000000-0005-0000-0000-000003B00000}"/>
    <cellStyle name="표준 5 5 2 2 9 4" xfId="44377" xr:uid="{00000000-0005-0000-0000-000004B00000}"/>
    <cellStyle name="표준 5 5 2 3" xfId="444" xr:uid="{00000000-0005-0000-0000-000005B00000}"/>
    <cellStyle name="표준 5 5 2 3 10" xfId="15651" xr:uid="{00000000-0005-0000-0000-000006B00000}"/>
    <cellStyle name="표준 5 5 2 3 11" xfId="19813" xr:uid="{00000000-0005-0000-0000-000007B00000}"/>
    <cellStyle name="표준 5 5 2 3 12" xfId="23909" xr:uid="{00000000-0005-0000-0000-000008B00000}"/>
    <cellStyle name="표준 5 5 2 3 13" xfId="32120" xr:uid="{00000000-0005-0000-0000-000009B00000}"/>
    <cellStyle name="표준 5 5 2 3 14" xfId="40313" xr:uid="{00000000-0005-0000-0000-00000AB00000}"/>
    <cellStyle name="표준 5 5 2 3 2" xfId="572" xr:uid="{00000000-0005-0000-0000-00000BB00000}"/>
    <cellStyle name="표준 5 5 2 3 2 10" xfId="19941" xr:uid="{00000000-0005-0000-0000-00000CB00000}"/>
    <cellStyle name="표준 5 5 2 3 2 11" xfId="24037" xr:uid="{00000000-0005-0000-0000-00000DB00000}"/>
    <cellStyle name="표준 5 5 2 3 2 12" xfId="32248" xr:uid="{00000000-0005-0000-0000-00000EB00000}"/>
    <cellStyle name="표준 5 5 2 3 2 13" xfId="40441" xr:uid="{00000000-0005-0000-0000-00000FB00000}"/>
    <cellStyle name="표준 5 5 2 3 2 2" xfId="828" xr:uid="{00000000-0005-0000-0000-000010B00000}"/>
    <cellStyle name="표준 5 5 2 3 2 2 10" xfId="24293" xr:uid="{00000000-0005-0000-0000-000011B00000}"/>
    <cellStyle name="표준 5 5 2 3 2 2 11" xfId="32504" xr:uid="{00000000-0005-0000-0000-000012B00000}"/>
    <cellStyle name="표준 5 5 2 3 2 2 12" xfId="40697" xr:uid="{00000000-0005-0000-0000-000013B00000}"/>
    <cellStyle name="표준 5 5 2 3 2 2 2" xfId="1340" xr:uid="{00000000-0005-0000-0000-000014B00000}"/>
    <cellStyle name="표준 5 5 2 3 2 2 2 2" xfId="10243" xr:uid="{00000000-0005-0000-0000-000015B00000}"/>
    <cellStyle name="표준 5 5 2 3 2 2 2 2 2" xfId="14355" xr:uid="{00000000-0005-0000-0000-000016B00000}"/>
    <cellStyle name="표준 5 5 2 3 2 2 2 2 2 2" xfId="30949" xr:uid="{00000000-0005-0000-0000-000017B00000}"/>
    <cellStyle name="표준 5 5 2 3 2 2 2 2 2 3" xfId="39160" xr:uid="{00000000-0005-0000-0000-000018B00000}"/>
    <cellStyle name="표준 5 5 2 3 2 2 2 2 2 4" xfId="47353" xr:uid="{00000000-0005-0000-0000-000019B00000}"/>
    <cellStyle name="표준 5 5 2 3 2 2 2 2 3" xfId="18595" xr:uid="{00000000-0005-0000-0000-00001AB00000}"/>
    <cellStyle name="표준 5 5 2 3 2 2 2 2 4" xfId="22757" xr:uid="{00000000-0005-0000-0000-00001BB00000}"/>
    <cellStyle name="표준 5 5 2 3 2 2 2 2 5" xfId="26853" xr:uid="{00000000-0005-0000-0000-00001CB00000}"/>
    <cellStyle name="표준 5 5 2 3 2 2 2 2 6" xfId="35064" xr:uid="{00000000-0005-0000-0000-00001DB00000}"/>
    <cellStyle name="표준 5 5 2 3 2 2 2 2 7" xfId="43257" xr:uid="{00000000-0005-0000-0000-00001EB00000}"/>
    <cellStyle name="표준 5 5 2 3 2 2 2 3" xfId="8195" xr:uid="{00000000-0005-0000-0000-00001FB00000}"/>
    <cellStyle name="표준 5 5 2 3 2 2 2 3 2" xfId="28901" xr:uid="{00000000-0005-0000-0000-000020B00000}"/>
    <cellStyle name="표준 5 5 2 3 2 2 2 3 3" xfId="37112" xr:uid="{00000000-0005-0000-0000-000021B00000}"/>
    <cellStyle name="표준 5 5 2 3 2 2 2 3 4" xfId="45305" xr:uid="{00000000-0005-0000-0000-000022B00000}"/>
    <cellStyle name="표준 5 5 2 3 2 2 2 4" xfId="12307" xr:uid="{00000000-0005-0000-0000-000023B00000}"/>
    <cellStyle name="표준 5 5 2 3 2 2 2 5" xfId="16547" xr:uid="{00000000-0005-0000-0000-000024B00000}"/>
    <cellStyle name="표준 5 5 2 3 2 2 2 6" xfId="20709" xr:uid="{00000000-0005-0000-0000-000025B00000}"/>
    <cellStyle name="표준 5 5 2 3 2 2 2 7" xfId="24805" xr:uid="{00000000-0005-0000-0000-000026B00000}"/>
    <cellStyle name="표준 5 5 2 3 2 2 2 8" xfId="33016" xr:uid="{00000000-0005-0000-0000-000027B00000}"/>
    <cellStyle name="표준 5 5 2 3 2 2 2 9" xfId="41209" xr:uid="{00000000-0005-0000-0000-000028B00000}"/>
    <cellStyle name="표준 5 5 2 3 2 2 3" xfId="1852" xr:uid="{00000000-0005-0000-0000-000029B00000}"/>
    <cellStyle name="표준 5 5 2 3 2 2 3 2" xfId="10755" xr:uid="{00000000-0005-0000-0000-00002AB00000}"/>
    <cellStyle name="표준 5 5 2 3 2 2 3 2 2" xfId="14867" xr:uid="{00000000-0005-0000-0000-00002BB00000}"/>
    <cellStyle name="표준 5 5 2 3 2 2 3 2 2 2" xfId="31461" xr:uid="{00000000-0005-0000-0000-00002CB00000}"/>
    <cellStyle name="표준 5 5 2 3 2 2 3 2 2 3" xfId="39672" xr:uid="{00000000-0005-0000-0000-00002DB00000}"/>
    <cellStyle name="표준 5 5 2 3 2 2 3 2 2 4" xfId="47865" xr:uid="{00000000-0005-0000-0000-00002EB00000}"/>
    <cellStyle name="표준 5 5 2 3 2 2 3 2 3" xfId="19107" xr:uid="{00000000-0005-0000-0000-00002FB00000}"/>
    <cellStyle name="표준 5 5 2 3 2 2 3 2 4" xfId="23269" xr:uid="{00000000-0005-0000-0000-000030B00000}"/>
    <cellStyle name="표준 5 5 2 3 2 2 3 2 5" xfId="27365" xr:uid="{00000000-0005-0000-0000-000031B00000}"/>
    <cellStyle name="표준 5 5 2 3 2 2 3 2 6" xfId="35576" xr:uid="{00000000-0005-0000-0000-000032B00000}"/>
    <cellStyle name="표준 5 5 2 3 2 2 3 2 7" xfId="43769" xr:uid="{00000000-0005-0000-0000-000033B00000}"/>
    <cellStyle name="표준 5 5 2 3 2 2 3 3" xfId="8707" xr:uid="{00000000-0005-0000-0000-000034B00000}"/>
    <cellStyle name="표준 5 5 2 3 2 2 3 3 2" xfId="29413" xr:uid="{00000000-0005-0000-0000-000035B00000}"/>
    <cellStyle name="표준 5 5 2 3 2 2 3 3 3" xfId="37624" xr:uid="{00000000-0005-0000-0000-000036B00000}"/>
    <cellStyle name="표준 5 5 2 3 2 2 3 3 4" xfId="45817" xr:uid="{00000000-0005-0000-0000-000037B00000}"/>
    <cellStyle name="표준 5 5 2 3 2 2 3 4" xfId="12819" xr:uid="{00000000-0005-0000-0000-000038B00000}"/>
    <cellStyle name="표준 5 5 2 3 2 2 3 5" xfId="17059" xr:uid="{00000000-0005-0000-0000-000039B00000}"/>
    <cellStyle name="표준 5 5 2 3 2 2 3 6" xfId="21221" xr:uid="{00000000-0005-0000-0000-00003AB00000}"/>
    <cellStyle name="표준 5 5 2 3 2 2 3 7" xfId="25317" xr:uid="{00000000-0005-0000-0000-00003BB00000}"/>
    <cellStyle name="표준 5 5 2 3 2 2 3 8" xfId="33528" xr:uid="{00000000-0005-0000-0000-00003CB00000}"/>
    <cellStyle name="표준 5 5 2 3 2 2 3 9" xfId="41721" xr:uid="{00000000-0005-0000-0000-00003DB00000}"/>
    <cellStyle name="표준 5 5 2 3 2 2 4" xfId="2364" xr:uid="{00000000-0005-0000-0000-00003EB00000}"/>
    <cellStyle name="표준 5 5 2 3 2 2 4 2" xfId="11267" xr:uid="{00000000-0005-0000-0000-00003FB00000}"/>
    <cellStyle name="표준 5 5 2 3 2 2 4 2 2" xfId="15379" xr:uid="{00000000-0005-0000-0000-000040B00000}"/>
    <cellStyle name="표준 5 5 2 3 2 2 4 2 2 2" xfId="31973" xr:uid="{00000000-0005-0000-0000-000041B00000}"/>
    <cellStyle name="표준 5 5 2 3 2 2 4 2 2 3" xfId="40184" xr:uid="{00000000-0005-0000-0000-000042B00000}"/>
    <cellStyle name="표준 5 5 2 3 2 2 4 2 2 4" xfId="48377" xr:uid="{00000000-0005-0000-0000-000043B00000}"/>
    <cellStyle name="표준 5 5 2 3 2 2 4 2 3" xfId="19619" xr:uid="{00000000-0005-0000-0000-000044B00000}"/>
    <cellStyle name="표준 5 5 2 3 2 2 4 2 4" xfId="23781" xr:uid="{00000000-0005-0000-0000-000045B00000}"/>
    <cellStyle name="표준 5 5 2 3 2 2 4 2 5" xfId="27877" xr:uid="{00000000-0005-0000-0000-000046B00000}"/>
    <cellStyle name="표준 5 5 2 3 2 2 4 2 6" xfId="36088" xr:uid="{00000000-0005-0000-0000-000047B00000}"/>
    <cellStyle name="표준 5 5 2 3 2 2 4 2 7" xfId="44281" xr:uid="{00000000-0005-0000-0000-000048B00000}"/>
    <cellStyle name="표준 5 5 2 3 2 2 4 3" xfId="9219" xr:uid="{00000000-0005-0000-0000-000049B00000}"/>
    <cellStyle name="표준 5 5 2 3 2 2 4 3 2" xfId="29925" xr:uid="{00000000-0005-0000-0000-00004AB00000}"/>
    <cellStyle name="표준 5 5 2 3 2 2 4 3 3" xfId="38136" xr:uid="{00000000-0005-0000-0000-00004BB00000}"/>
    <cellStyle name="표준 5 5 2 3 2 2 4 3 4" xfId="46329" xr:uid="{00000000-0005-0000-0000-00004CB00000}"/>
    <cellStyle name="표준 5 5 2 3 2 2 4 4" xfId="13331" xr:uid="{00000000-0005-0000-0000-00004DB00000}"/>
    <cellStyle name="표준 5 5 2 3 2 2 4 5" xfId="17571" xr:uid="{00000000-0005-0000-0000-00004EB00000}"/>
    <cellStyle name="표준 5 5 2 3 2 2 4 6" xfId="21733" xr:uid="{00000000-0005-0000-0000-00004FB00000}"/>
    <cellStyle name="표준 5 5 2 3 2 2 4 7" xfId="25829" xr:uid="{00000000-0005-0000-0000-000050B00000}"/>
    <cellStyle name="표준 5 5 2 3 2 2 4 8" xfId="34040" xr:uid="{00000000-0005-0000-0000-000051B00000}"/>
    <cellStyle name="표준 5 5 2 3 2 2 4 9" xfId="42233" xr:uid="{00000000-0005-0000-0000-000052B00000}"/>
    <cellStyle name="표준 5 5 2 3 2 2 5" xfId="9731" xr:uid="{00000000-0005-0000-0000-000053B00000}"/>
    <cellStyle name="표준 5 5 2 3 2 2 5 2" xfId="13843" xr:uid="{00000000-0005-0000-0000-000054B00000}"/>
    <cellStyle name="표준 5 5 2 3 2 2 5 2 2" xfId="30437" xr:uid="{00000000-0005-0000-0000-000055B00000}"/>
    <cellStyle name="표준 5 5 2 3 2 2 5 2 3" xfId="38648" xr:uid="{00000000-0005-0000-0000-000056B00000}"/>
    <cellStyle name="표준 5 5 2 3 2 2 5 2 4" xfId="46841" xr:uid="{00000000-0005-0000-0000-000057B00000}"/>
    <cellStyle name="표준 5 5 2 3 2 2 5 3" xfId="18083" xr:uid="{00000000-0005-0000-0000-000058B00000}"/>
    <cellStyle name="표준 5 5 2 3 2 2 5 4" xfId="22245" xr:uid="{00000000-0005-0000-0000-000059B00000}"/>
    <cellStyle name="표준 5 5 2 3 2 2 5 5" xfId="26341" xr:uid="{00000000-0005-0000-0000-00005AB00000}"/>
    <cellStyle name="표준 5 5 2 3 2 2 5 6" xfId="34552" xr:uid="{00000000-0005-0000-0000-00005BB00000}"/>
    <cellStyle name="표준 5 5 2 3 2 2 5 7" xfId="42745" xr:uid="{00000000-0005-0000-0000-00005CB00000}"/>
    <cellStyle name="표준 5 5 2 3 2 2 6" xfId="7683" xr:uid="{00000000-0005-0000-0000-00005DB00000}"/>
    <cellStyle name="표준 5 5 2 3 2 2 6 2" xfId="28389" xr:uid="{00000000-0005-0000-0000-00005EB00000}"/>
    <cellStyle name="표준 5 5 2 3 2 2 6 3" xfId="36600" xr:uid="{00000000-0005-0000-0000-00005FB00000}"/>
    <cellStyle name="표준 5 5 2 3 2 2 6 4" xfId="44793" xr:uid="{00000000-0005-0000-0000-000060B00000}"/>
    <cellStyle name="표준 5 5 2 3 2 2 7" xfId="11795" xr:uid="{00000000-0005-0000-0000-000061B00000}"/>
    <cellStyle name="표준 5 5 2 3 2 2 8" xfId="16035" xr:uid="{00000000-0005-0000-0000-000062B00000}"/>
    <cellStyle name="표준 5 5 2 3 2 2 9" xfId="20197" xr:uid="{00000000-0005-0000-0000-000063B00000}"/>
    <cellStyle name="표준 5 5 2 3 2 3" xfId="1084" xr:uid="{00000000-0005-0000-0000-000064B00000}"/>
    <cellStyle name="표준 5 5 2 3 2 3 2" xfId="9987" xr:uid="{00000000-0005-0000-0000-000065B00000}"/>
    <cellStyle name="표준 5 5 2 3 2 3 2 2" xfId="14099" xr:uid="{00000000-0005-0000-0000-000066B00000}"/>
    <cellStyle name="표준 5 5 2 3 2 3 2 2 2" xfId="30693" xr:uid="{00000000-0005-0000-0000-000067B00000}"/>
    <cellStyle name="표준 5 5 2 3 2 3 2 2 3" xfId="38904" xr:uid="{00000000-0005-0000-0000-000068B00000}"/>
    <cellStyle name="표준 5 5 2 3 2 3 2 2 4" xfId="47097" xr:uid="{00000000-0005-0000-0000-000069B00000}"/>
    <cellStyle name="표준 5 5 2 3 2 3 2 3" xfId="18339" xr:uid="{00000000-0005-0000-0000-00006AB00000}"/>
    <cellStyle name="표준 5 5 2 3 2 3 2 4" xfId="22501" xr:uid="{00000000-0005-0000-0000-00006BB00000}"/>
    <cellStyle name="표준 5 5 2 3 2 3 2 5" xfId="26597" xr:uid="{00000000-0005-0000-0000-00006CB00000}"/>
    <cellStyle name="표준 5 5 2 3 2 3 2 6" xfId="34808" xr:uid="{00000000-0005-0000-0000-00006DB00000}"/>
    <cellStyle name="표준 5 5 2 3 2 3 2 7" xfId="43001" xr:uid="{00000000-0005-0000-0000-00006EB00000}"/>
    <cellStyle name="표준 5 5 2 3 2 3 3" xfId="7939" xr:uid="{00000000-0005-0000-0000-00006FB00000}"/>
    <cellStyle name="표준 5 5 2 3 2 3 3 2" xfId="28645" xr:uid="{00000000-0005-0000-0000-000070B00000}"/>
    <cellStyle name="표준 5 5 2 3 2 3 3 3" xfId="36856" xr:uid="{00000000-0005-0000-0000-000071B00000}"/>
    <cellStyle name="표준 5 5 2 3 2 3 3 4" xfId="45049" xr:uid="{00000000-0005-0000-0000-000072B00000}"/>
    <cellStyle name="표준 5 5 2 3 2 3 4" xfId="12051" xr:uid="{00000000-0005-0000-0000-000073B00000}"/>
    <cellStyle name="표준 5 5 2 3 2 3 5" xfId="16291" xr:uid="{00000000-0005-0000-0000-000074B00000}"/>
    <cellStyle name="표준 5 5 2 3 2 3 6" xfId="20453" xr:uid="{00000000-0005-0000-0000-000075B00000}"/>
    <cellStyle name="표준 5 5 2 3 2 3 7" xfId="24549" xr:uid="{00000000-0005-0000-0000-000076B00000}"/>
    <cellStyle name="표준 5 5 2 3 2 3 8" xfId="32760" xr:uid="{00000000-0005-0000-0000-000077B00000}"/>
    <cellStyle name="표준 5 5 2 3 2 3 9" xfId="40953" xr:uid="{00000000-0005-0000-0000-000078B00000}"/>
    <cellStyle name="표준 5 5 2 3 2 4" xfId="1596" xr:uid="{00000000-0005-0000-0000-000079B00000}"/>
    <cellStyle name="표준 5 5 2 3 2 4 2" xfId="10499" xr:uid="{00000000-0005-0000-0000-00007AB00000}"/>
    <cellStyle name="표준 5 5 2 3 2 4 2 2" xfId="14611" xr:uid="{00000000-0005-0000-0000-00007BB00000}"/>
    <cellStyle name="표준 5 5 2 3 2 4 2 2 2" xfId="31205" xr:uid="{00000000-0005-0000-0000-00007CB00000}"/>
    <cellStyle name="표준 5 5 2 3 2 4 2 2 3" xfId="39416" xr:uid="{00000000-0005-0000-0000-00007DB00000}"/>
    <cellStyle name="표준 5 5 2 3 2 4 2 2 4" xfId="47609" xr:uid="{00000000-0005-0000-0000-00007EB00000}"/>
    <cellStyle name="표준 5 5 2 3 2 4 2 3" xfId="18851" xr:uid="{00000000-0005-0000-0000-00007FB00000}"/>
    <cellStyle name="표준 5 5 2 3 2 4 2 4" xfId="23013" xr:uid="{00000000-0005-0000-0000-000080B00000}"/>
    <cellStyle name="표준 5 5 2 3 2 4 2 5" xfId="27109" xr:uid="{00000000-0005-0000-0000-000081B00000}"/>
    <cellStyle name="표준 5 5 2 3 2 4 2 6" xfId="35320" xr:uid="{00000000-0005-0000-0000-000082B00000}"/>
    <cellStyle name="표준 5 5 2 3 2 4 2 7" xfId="43513" xr:uid="{00000000-0005-0000-0000-000083B00000}"/>
    <cellStyle name="표준 5 5 2 3 2 4 3" xfId="8451" xr:uid="{00000000-0005-0000-0000-000084B00000}"/>
    <cellStyle name="표준 5 5 2 3 2 4 3 2" xfId="29157" xr:uid="{00000000-0005-0000-0000-000085B00000}"/>
    <cellStyle name="표준 5 5 2 3 2 4 3 3" xfId="37368" xr:uid="{00000000-0005-0000-0000-000086B00000}"/>
    <cellStyle name="표준 5 5 2 3 2 4 3 4" xfId="45561" xr:uid="{00000000-0005-0000-0000-000087B00000}"/>
    <cellStyle name="표준 5 5 2 3 2 4 4" xfId="12563" xr:uid="{00000000-0005-0000-0000-000088B00000}"/>
    <cellStyle name="표준 5 5 2 3 2 4 5" xfId="16803" xr:uid="{00000000-0005-0000-0000-000089B00000}"/>
    <cellStyle name="표준 5 5 2 3 2 4 6" xfId="20965" xr:uid="{00000000-0005-0000-0000-00008AB00000}"/>
    <cellStyle name="표준 5 5 2 3 2 4 7" xfId="25061" xr:uid="{00000000-0005-0000-0000-00008BB00000}"/>
    <cellStyle name="표준 5 5 2 3 2 4 8" xfId="33272" xr:uid="{00000000-0005-0000-0000-00008CB00000}"/>
    <cellStyle name="표준 5 5 2 3 2 4 9" xfId="41465" xr:uid="{00000000-0005-0000-0000-00008DB00000}"/>
    <cellStyle name="표준 5 5 2 3 2 5" xfId="2108" xr:uid="{00000000-0005-0000-0000-00008EB00000}"/>
    <cellStyle name="표준 5 5 2 3 2 5 2" xfId="11011" xr:uid="{00000000-0005-0000-0000-00008FB00000}"/>
    <cellStyle name="표준 5 5 2 3 2 5 2 2" xfId="15123" xr:uid="{00000000-0005-0000-0000-000090B00000}"/>
    <cellStyle name="표준 5 5 2 3 2 5 2 2 2" xfId="31717" xr:uid="{00000000-0005-0000-0000-000091B00000}"/>
    <cellStyle name="표준 5 5 2 3 2 5 2 2 3" xfId="39928" xr:uid="{00000000-0005-0000-0000-000092B00000}"/>
    <cellStyle name="표준 5 5 2 3 2 5 2 2 4" xfId="48121" xr:uid="{00000000-0005-0000-0000-000093B00000}"/>
    <cellStyle name="표준 5 5 2 3 2 5 2 3" xfId="19363" xr:uid="{00000000-0005-0000-0000-000094B00000}"/>
    <cellStyle name="표준 5 5 2 3 2 5 2 4" xfId="23525" xr:uid="{00000000-0005-0000-0000-000095B00000}"/>
    <cellStyle name="표준 5 5 2 3 2 5 2 5" xfId="27621" xr:uid="{00000000-0005-0000-0000-000096B00000}"/>
    <cellStyle name="표준 5 5 2 3 2 5 2 6" xfId="35832" xr:uid="{00000000-0005-0000-0000-000097B00000}"/>
    <cellStyle name="표준 5 5 2 3 2 5 2 7" xfId="44025" xr:uid="{00000000-0005-0000-0000-000098B00000}"/>
    <cellStyle name="표준 5 5 2 3 2 5 3" xfId="8963" xr:uid="{00000000-0005-0000-0000-000099B00000}"/>
    <cellStyle name="표준 5 5 2 3 2 5 3 2" xfId="29669" xr:uid="{00000000-0005-0000-0000-00009AB00000}"/>
    <cellStyle name="표준 5 5 2 3 2 5 3 3" xfId="37880" xr:uid="{00000000-0005-0000-0000-00009BB00000}"/>
    <cellStyle name="표준 5 5 2 3 2 5 3 4" xfId="46073" xr:uid="{00000000-0005-0000-0000-00009CB00000}"/>
    <cellStyle name="표준 5 5 2 3 2 5 4" xfId="13075" xr:uid="{00000000-0005-0000-0000-00009DB00000}"/>
    <cellStyle name="표준 5 5 2 3 2 5 5" xfId="17315" xr:uid="{00000000-0005-0000-0000-00009EB00000}"/>
    <cellStyle name="표준 5 5 2 3 2 5 6" xfId="21477" xr:uid="{00000000-0005-0000-0000-00009FB00000}"/>
    <cellStyle name="표준 5 5 2 3 2 5 7" xfId="25573" xr:uid="{00000000-0005-0000-0000-0000A0B00000}"/>
    <cellStyle name="표준 5 5 2 3 2 5 8" xfId="33784" xr:uid="{00000000-0005-0000-0000-0000A1B00000}"/>
    <cellStyle name="표준 5 5 2 3 2 5 9" xfId="41977" xr:uid="{00000000-0005-0000-0000-0000A2B00000}"/>
    <cellStyle name="표준 5 5 2 3 2 6" xfId="9475" xr:uid="{00000000-0005-0000-0000-0000A3B00000}"/>
    <cellStyle name="표준 5 5 2 3 2 6 2" xfId="13587" xr:uid="{00000000-0005-0000-0000-0000A4B00000}"/>
    <cellStyle name="표준 5 5 2 3 2 6 2 2" xfId="30181" xr:uid="{00000000-0005-0000-0000-0000A5B00000}"/>
    <cellStyle name="표준 5 5 2 3 2 6 2 3" xfId="38392" xr:uid="{00000000-0005-0000-0000-0000A6B00000}"/>
    <cellStyle name="표준 5 5 2 3 2 6 2 4" xfId="46585" xr:uid="{00000000-0005-0000-0000-0000A7B00000}"/>
    <cellStyle name="표준 5 5 2 3 2 6 3" xfId="17827" xr:uid="{00000000-0005-0000-0000-0000A8B00000}"/>
    <cellStyle name="표준 5 5 2 3 2 6 4" xfId="21989" xr:uid="{00000000-0005-0000-0000-0000A9B00000}"/>
    <cellStyle name="표준 5 5 2 3 2 6 5" xfId="26085" xr:uid="{00000000-0005-0000-0000-0000AAB00000}"/>
    <cellStyle name="표준 5 5 2 3 2 6 6" xfId="34296" xr:uid="{00000000-0005-0000-0000-0000ABB00000}"/>
    <cellStyle name="표준 5 5 2 3 2 6 7" xfId="42489" xr:uid="{00000000-0005-0000-0000-0000ACB00000}"/>
    <cellStyle name="표준 5 5 2 3 2 7" xfId="7427" xr:uid="{00000000-0005-0000-0000-0000ADB00000}"/>
    <cellStyle name="표준 5 5 2 3 2 7 2" xfId="28133" xr:uid="{00000000-0005-0000-0000-0000AEB00000}"/>
    <cellStyle name="표준 5 5 2 3 2 7 3" xfId="36344" xr:uid="{00000000-0005-0000-0000-0000AFB00000}"/>
    <cellStyle name="표준 5 5 2 3 2 7 4" xfId="44537" xr:uid="{00000000-0005-0000-0000-0000B0B00000}"/>
    <cellStyle name="표준 5 5 2 3 2 8" xfId="11539" xr:uid="{00000000-0005-0000-0000-0000B1B00000}"/>
    <cellStyle name="표준 5 5 2 3 2 9" xfId="15779" xr:uid="{00000000-0005-0000-0000-0000B2B00000}"/>
    <cellStyle name="표준 5 5 2 3 3" xfId="700" xr:uid="{00000000-0005-0000-0000-0000B3B00000}"/>
    <cellStyle name="표준 5 5 2 3 3 10" xfId="24165" xr:uid="{00000000-0005-0000-0000-0000B4B00000}"/>
    <cellStyle name="표준 5 5 2 3 3 11" xfId="32376" xr:uid="{00000000-0005-0000-0000-0000B5B00000}"/>
    <cellStyle name="표준 5 5 2 3 3 12" xfId="40569" xr:uid="{00000000-0005-0000-0000-0000B6B00000}"/>
    <cellStyle name="표준 5 5 2 3 3 2" xfId="1212" xr:uid="{00000000-0005-0000-0000-0000B7B00000}"/>
    <cellStyle name="표준 5 5 2 3 3 2 2" xfId="10115" xr:uid="{00000000-0005-0000-0000-0000B8B00000}"/>
    <cellStyle name="표준 5 5 2 3 3 2 2 2" xfId="14227" xr:uid="{00000000-0005-0000-0000-0000B9B00000}"/>
    <cellStyle name="표준 5 5 2 3 3 2 2 2 2" xfId="30821" xr:uid="{00000000-0005-0000-0000-0000BAB00000}"/>
    <cellStyle name="표준 5 5 2 3 3 2 2 2 3" xfId="39032" xr:uid="{00000000-0005-0000-0000-0000BBB00000}"/>
    <cellStyle name="표준 5 5 2 3 3 2 2 2 4" xfId="47225" xr:uid="{00000000-0005-0000-0000-0000BCB00000}"/>
    <cellStyle name="표준 5 5 2 3 3 2 2 3" xfId="18467" xr:uid="{00000000-0005-0000-0000-0000BDB00000}"/>
    <cellStyle name="표준 5 5 2 3 3 2 2 4" xfId="22629" xr:uid="{00000000-0005-0000-0000-0000BEB00000}"/>
    <cellStyle name="표준 5 5 2 3 3 2 2 5" xfId="26725" xr:uid="{00000000-0005-0000-0000-0000BFB00000}"/>
    <cellStyle name="표준 5 5 2 3 3 2 2 6" xfId="34936" xr:uid="{00000000-0005-0000-0000-0000C0B00000}"/>
    <cellStyle name="표준 5 5 2 3 3 2 2 7" xfId="43129" xr:uid="{00000000-0005-0000-0000-0000C1B00000}"/>
    <cellStyle name="표준 5 5 2 3 3 2 3" xfId="8067" xr:uid="{00000000-0005-0000-0000-0000C2B00000}"/>
    <cellStyle name="표준 5 5 2 3 3 2 3 2" xfId="28773" xr:uid="{00000000-0005-0000-0000-0000C3B00000}"/>
    <cellStyle name="표준 5 5 2 3 3 2 3 3" xfId="36984" xr:uid="{00000000-0005-0000-0000-0000C4B00000}"/>
    <cellStyle name="표준 5 5 2 3 3 2 3 4" xfId="45177" xr:uid="{00000000-0005-0000-0000-0000C5B00000}"/>
    <cellStyle name="표준 5 5 2 3 3 2 4" xfId="12179" xr:uid="{00000000-0005-0000-0000-0000C6B00000}"/>
    <cellStyle name="표준 5 5 2 3 3 2 5" xfId="16419" xr:uid="{00000000-0005-0000-0000-0000C7B00000}"/>
    <cellStyle name="표준 5 5 2 3 3 2 6" xfId="20581" xr:uid="{00000000-0005-0000-0000-0000C8B00000}"/>
    <cellStyle name="표준 5 5 2 3 3 2 7" xfId="24677" xr:uid="{00000000-0005-0000-0000-0000C9B00000}"/>
    <cellStyle name="표준 5 5 2 3 3 2 8" xfId="32888" xr:uid="{00000000-0005-0000-0000-0000CAB00000}"/>
    <cellStyle name="표준 5 5 2 3 3 2 9" xfId="41081" xr:uid="{00000000-0005-0000-0000-0000CBB00000}"/>
    <cellStyle name="표준 5 5 2 3 3 3" xfId="1724" xr:uid="{00000000-0005-0000-0000-0000CCB00000}"/>
    <cellStyle name="표준 5 5 2 3 3 3 2" xfId="10627" xr:uid="{00000000-0005-0000-0000-0000CDB00000}"/>
    <cellStyle name="표준 5 5 2 3 3 3 2 2" xfId="14739" xr:uid="{00000000-0005-0000-0000-0000CEB00000}"/>
    <cellStyle name="표준 5 5 2 3 3 3 2 2 2" xfId="31333" xr:uid="{00000000-0005-0000-0000-0000CFB00000}"/>
    <cellStyle name="표준 5 5 2 3 3 3 2 2 3" xfId="39544" xr:uid="{00000000-0005-0000-0000-0000D0B00000}"/>
    <cellStyle name="표준 5 5 2 3 3 3 2 2 4" xfId="47737" xr:uid="{00000000-0005-0000-0000-0000D1B00000}"/>
    <cellStyle name="표준 5 5 2 3 3 3 2 3" xfId="18979" xr:uid="{00000000-0005-0000-0000-0000D2B00000}"/>
    <cellStyle name="표준 5 5 2 3 3 3 2 4" xfId="23141" xr:uid="{00000000-0005-0000-0000-0000D3B00000}"/>
    <cellStyle name="표준 5 5 2 3 3 3 2 5" xfId="27237" xr:uid="{00000000-0005-0000-0000-0000D4B00000}"/>
    <cellStyle name="표준 5 5 2 3 3 3 2 6" xfId="35448" xr:uid="{00000000-0005-0000-0000-0000D5B00000}"/>
    <cellStyle name="표준 5 5 2 3 3 3 2 7" xfId="43641" xr:uid="{00000000-0005-0000-0000-0000D6B00000}"/>
    <cellStyle name="표준 5 5 2 3 3 3 3" xfId="8579" xr:uid="{00000000-0005-0000-0000-0000D7B00000}"/>
    <cellStyle name="표준 5 5 2 3 3 3 3 2" xfId="29285" xr:uid="{00000000-0005-0000-0000-0000D8B00000}"/>
    <cellStyle name="표준 5 5 2 3 3 3 3 3" xfId="37496" xr:uid="{00000000-0005-0000-0000-0000D9B00000}"/>
    <cellStyle name="표준 5 5 2 3 3 3 3 4" xfId="45689" xr:uid="{00000000-0005-0000-0000-0000DAB00000}"/>
    <cellStyle name="표준 5 5 2 3 3 3 4" xfId="12691" xr:uid="{00000000-0005-0000-0000-0000DBB00000}"/>
    <cellStyle name="표준 5 5 2 3 3 3 5" xfId="16931" xr:uid="{00000000-0005-0000-0000-0000DCB00000}"/>
    <cellStyle name="표준 5 5 2 3 3 3 6" xfId="21093" xr:uid="{00000000-0005-0000-0000-0000DDB00000}"/>
    <cellStyle name="표준 5 5 2 3 3 3 7" xfId="25189" xr:uid="{00000000-0005-0000-0000-0000DEB00000}"/>
    <cellStyle name="표준 5 5 2 3 3 3 8" xfId="33400" xr:uid="{00000000-0005-0000-0000-0000DFB00000}"/>
    <cellStyle name="표준 5 5 2 3 3 3 9" xfId="41593" xr:uid="{00000000-0005-0000-0000-0000E0B00000}"/>
    <cellStyle name="표준 5 5 2 3 3 4" xfId="2236" xr:uid="{00000000-0005-0000-0000-0000E1B00000}"/>
    <cellStyle name="표준 5 5 2 3 3 4 2" xfId="11139" xr:uid="{00000000-0005-0000-0000-0000E2B00000}"/>
    <cellStyle name="표준 5 5 2 3 3 4 2 2" xfId="15251" xr:uid="{00000000-0005-0000-0000-0000E3B00000}"/>
    <cellStyle name="표준 5 5 2 3 3 4 2 2 2" xfId="31845" xr:uid="{00000000-0005-0000-0000-0000E4B00000}"/>
    <cellStyle name="표준 5 5 2 3 3 4 2 2 3" xfId="40056" xr:uid="{00000000-0005-0000-0000-0000E5B00000}"/>
    <cellStyle name="표준 5 5 2 3 3 4 2 2 4" xfId="48249" xr:uid="{00000000-0005-0000-0000-0000E6B00000}"/>
    <cellStyle name="표준 5 5 2 3 3 4 2 3" xfId="19491" xr:uid="{00000000-0005-0000-0000-0000E7B00000}"/>
    <cellStyle name="표준 5 5 2 3 3 4 2 4" xfId="23653" xr:uid="{00000000-0005-0000-0000-0000E8B00000}"/>
    <cellStyle name="표준 5 5 2 3 3 4 2 5" xfId="27749" xr:uid="{00000000-0005-0000-0000-0000E9B00000}"/>
    <cellStyle name="표준 5 5 2 3 3 4 2 6" xfId="35960" xr:uid="{00000000-0005-0000-0000-0000EAB00000}"/>
    <cellStyle name="표준 5 5 2 3 3 4 2 7" xfId="44153" xr:uid="{00000000-0005-0000-0000-0000EBB00000}"/>
    <cellStyle name="표준 5 5 2 3 3 4 3" xfId="9091" xr:uid="{00000000-0005-0000-0000-0000ECB00000}"/>
    <cellStyle name="표준 5 5 2 3 3 4 3 2" xfId="29797" xr:uid="{00000000-0005-0000-0000-0000EDB00000}"/>
    <cellStyle name="표준 5 5 2 3 3 4 3 3" xfId="38008" xr:uid="{00000000-0005-0000-0000-0000EEB00000}"/>
    <cellStyle name="표준 5 5 2 3 3 4 3 4" xfId="46201" xr:uid="{00000000-0005-0000-0000-0000EFB00000}"/>
    <cellStyle name="표준 5 5 2 3 3 4 4" xfId="13203" xr:uid="{00000000-0005-0000-0000-0000F0B00000}"/>
    <cellStyle name="표준 5 5 2 3 3 4 5" xfId="17443" xr:uid="{00000000-0005-0000-0000-0000F1B00000}"/>
    <cellStyle name="표준 5 5 2 3 3 4 6" xfId="21605" xr:uid="{00000000-0005-0000-0000-0000F2B00000}"/>
    <cellStyle name="표준 5 5 2 3 3 4 7" xfId="25701" xr:uid="{00000000-0005-0000-0000-0000F3B00000}"/>
    <cellStyle name="표준 5 5 2 3 3 4 8" xfId="33912" xr:uid="{00000000-0005-0000-0000-0000F4B00000}"/>
    <cellStyle name="표준 5 5 2 3 3 4 9" xfId="42105" xr:uid="{00000000-0005-0000-0000-0000F5B00000}"/>
    <cellStyle name="표준 5 5 2 3 3 5" xfId="9603" xr:uid="{00000000-0005-0000-0000-0000F6B00000}"/>
    <cellStyle name="표준 5 5 2 3 3 5 2" xfId="13715" xr:uid="{00000000-0005-0000-0000-0000F7B00000}"/>
    <cellStyle name="표준 5 5 2 3 3 5 2 2" xfId="30309" xr:uid="{00000000-0005-0000-0000-0000F8B00000}"/>
    <cellStyle name="표준 5 5 2 3 3 5 2 3" xfId="38520" xr:uid="{00000000-0005-0000-0000-0000F9B00000}"/>
    <cellStyle name="표준 5 5 2 3 3 5 2 4" xfId="46713" xr:uid="{00000000-0005-0000-0000-0000FAB00000}"/>
    <cellStyle name="표준 5 5 2 3 3 5 3" xfId="17955" xr:uid="{00000000-0005-0000-0000-0000FBB00000}"/>
    <cellStyle name="표준 5 5 2 3 3 5 4" xfId="22117" xr:uid="{00000000-0005-0000-0000-0000FCB00000}"/>
    <cellStyle name="표준 5 5 2 3 3 5 5" xfId="26213" xr:uid="{00000000-0005-0000-0000-0000FDB00000}"/>
    <cellStyle name="표준 5 5 2 3 3 5 6" xfId="34424" xr:uid="{00000000-0005-0000-0000-0000FEB00000}"/>
    <cellStyle name="표준 5 5 2 3 3 5 7" xfId="42617" xr:uid="{00000000-0005-0000-0000-0000FFB00000}"/>
    <cellStyle name="표준 5 5 2 3 3 6" xfId="7555" xr:uid="{00000000-0005-0000-0000-000000B10000}"/>
    <cellStyle name="표준 5 5 2 3 3 6 2" xfId="28261" xr:uid="{00000000-0005-0000-0000-000001B10000}"/>
    <cellStyle name="표준 5 5 2 3 3 6 3" xfId="36472" xr:uid="{00000000-0005-0000-0000-000002B10000}"/>
    <cellStyle name="표준 5 5 2 3 3 6 4" xfId="44665" xr:uid="{00000000-0005-0000-0000-000003B10000}"/>
    <cellStyle name="표준 5 5 2 3 3 7" xfId="11667" xr:uid="{00000000-0005-0000-0000-000004B10000}"/>
    <cellStyle name="표준 5 5 2 3 3 8" xfId="15907" xr:uid="{00000000-0005-0000-0000-000005B10000}"/>
    <cellStyle name="표준 5 5 2 3 3 9" xfId="20069" xr:uid="{00000000-0005-0000-0000-000006B10000}"/>
    <cellStyle name="표준 5 5 2 3 4" xfId="956" xr:uid="{00000000-0005-0000-0000-000007B10000}"/>
    <cellStyle name="표준 5 5 2 3 4 2" xfId="9859" xr:uid="{00000000-0005-0000-0000-000008B10000}"/>
    <cellStyle name="표준 5 5 2 3 4 2 2" xfId="13971" xr:uid="{00000000-0005-0000-0000-000009B10000}"/>
    <cellStyle name="표준 5 5 2 3 4 2 2 2" xfId="30565" xr:uid="{00000000-0005-0000-0000-00000AB10000}"/>
    <cellStyle name="표준 5 5 2 3 4 2 2 3" xfId="38776" xr:uid="{00000000-0005-0000-0000-00000BB10000}"/>
    <cellStyle name="표준 5 5 2 3 4 2 2 4" xfId="46969" xr:uid="{00000000-0005-0000-0000-00000CB10000}"/>
    <cellStyle name="표준 5 5 2 3 4 2 3" xfId="18211" xr:uid="{00000000-0005-0000-0000-00000DB10000}"/>
    <cellStyle name="표준 5 5 2 3 4 2 4" xfId="22373" xr:uid="{00000000-0005-0000-0000-00000EB10000}"/>
    <cellStyle name="표준 5 5 2 3 4 2 5" xfId="26469" xr:uid="{00000000-0005-0000-0000-00000FB10000}"/>
    <cellStyle name="표준 5 5 2 3 4 2 6" xfId="34680" xr:uid="{00000000-0005-0000-0000-000010B10000}"/>
    <cellStyle name="표준 5 5 2 3 4 2 7" xfId="42873" xr:uid="{00000000-0005-0000-0000-000011B10000}"/>
    <cellStyle name="표준 5 5 2 3 4 3" xfId="7811" xr:uid="{00000000-0005-0000-0000-000012B10000}"/>
    <cellStyle name="표준 5 5 2 3 4 3 2" xfId="28517" xr:uid="{00000000-0005-0000-0000-000013B10000}"/>
    <cellStyle name="표준 5 5 2 3 4 3 3" xfId="36728" xr:uid="{00000000-0005-0000-0000-000014B10000}"/>
    <cellStyle name="표준 5 5 2 3 4 3 4" xfId="44921" xr:uid="{00000000-0005-0000-0000-000015B10000}"/>
    <cellStyle name="표준 5 5 2 3 4 4" xfId="11923" xr:uid="{00000000-0005-0000-0000-000016B10000}"/>
    <cellStyle name="표준 5 5 2 3 4 5" xfId="16163" xr:uid="{00000000-0005-0000-0000-000017B10000}"/>
    <cellStyle name="표준 5 5 2 3 4 6" xfId="20325" xr:uid="{00000000-0005-0000-0000-000018B10000}"/>
    <cellStyle name="표준 5 5 2 3 4 7" xfId="24421" xr:uid="{00000000-0005-0000-0000-000019B10000}"/>
    <cellStyle name="표준 5 5 2 3 4 8" xfId="32632" xr:uid="{00000000-0005-0000-0000-00001AB10000}"/>
    <cellStyle name="표준 5 5 2 3 4 9" xfId="40825" xr:uid="{00000000-0005-0000-0000-00001BB10000}"/>
    <cellStyle name="표준 5 5 2 3 5" xfId="1468" xr:uid="{00000000-0005-0000-0000-00001CB10000}"/>
    <cellStyle name="표준 5 5 2 3 5 2" xfId="10371" xr:uid="{00000000-0005-0000-0000-00001DB10000}"/>
    <cellStyle name="표준 5 5 2 3 5 2 2" xfId="14483" xr:uid="{00000000-0005-0000-0000-00001EB10000}"/>
    <cellStyle name="표준 5 5 2 3 5 2 2 2" xfId="31077" xr:uid="{00000000-0005-0000-0000-00001FB10000}"/>
    <cellStyle name="표준 5 5 2 3 5 2 2 3" xfId="39288" xr:uid="{00000000-0005-0000-0000-000020B10000}"/>
    <cellStyle name="표준 5 5 2 3 5 2 2 4" xfId="47481" xr:uid="{00000000-0005-0000-0000-000021B10000}"/>
    <cellStyle name="표준 5 5 2 3 5 2 3" xfId="18723" xr:uid="{00000000-0005-0000-0000-000022B10000}"/>
    <cellStyle name="표준 5 5 2 3 5 2 4" xfId="22885" xr:uid="{00000000-0005-0000-0000-000023B10000}"/>
    <cellStyle name="표준 5 5 2 3 5 2 5" xfId="26981" xr:uid="{00000000-0005-0000-0000-000024B10000}"/>
    <cellStyle name="표준 5 5 2 3 5 2 6" xfId="35192" xr:uid="{00000000-0005-0000-0000-000025B10000}"/>
    <cellStyle name="표준 5 5 2 3 5 2 7" xfId="43385" xr:uid="{00000000-0005-0000-0000-000026B10000}"/>
    <cellStyle name="표준 5 5 2 3 5 3" xfId="8323" xr:uid="{00000000-0005-0000-0000-000027B10000}"/>
    <cellStyle name="표준 5 5 2 3 5 3 2" xfId="29029" xr:uid="{00000000-0005-0000-0000-000028B10000}"/>
    <cellStyle name="표준 5 5 2 3 5 3 3" xfId="37240" xr:uid="{00000000-0005-0000-0000-000029B10000}"/>
    <cellStyle name="표준 5 5 2 3 5 3 4" xfId="45433" xr:uid="{00000000-0005-0000-0000-00002AB10000}"/>
    <cellStyle name="표준 5 5 2 3 5 4" xfId="12435" xr:uid="{00000000-0005-0000-0000-00002BB10000}"/>
    <cellStyle name="표준 5 5 2 3 5 5" xfId="16675" xr:uid="{00000000-0005-0000-0000-00002CB10000}"/>
    <cellStyle name="표준 5 5 2 3 5 6" xfId="20837" xr:uid="{00000000-0005-0000-0000-00002DB10000}"/>
    <cellStyle name="표준 5 5 2 3 5 7" xfId="24933" xr:uid="{00000000-0005-0000-0000-00002EB10000}"/>
    <cellStyle name="표준 5 5 2 3 5 8" xfId="33144" xr:uid="{00000000-0005-0000-0000-00002FB10000}"/>
    <cellStyle name="표준 5 5 2 3 5 9" xfId="41337" xr:uid="{00000000-0005-0000-0000-000030B10000}"/>
    <cellStyle name="표준 5 5 2 3 6" xfId="1980" xr:uid="{00000000-0005-0000-0000-000031B10000}"/>
    <cellStyle name="표준 5 5 2 3 6 2" xfId="10883" xr:uid="{00000000-0005-0000-0000-000032B10000}"/>
    <cellStyle name="표준 5 5 2 3 6 2 2" xfId="14995" xr:uid="{00000000-0005-0000-0000-000033B10000}"/>
    <cellStyle name="표준 5 5 2 3 6 2 2 2" xfId="31589" xr:uid="{00000000-0005-0000-0000-000034B10000}"/>
    <cellStyle name="표준 5 5 2 3 6 2 2 3" xfId="39800" xr:uid="{00000000-0005-0000-0000-000035B10000}"/>
    <cellStyle name="표준 5 5 2 3 6 2 2 4" xfId="47993" xr:uid="{00000000-0005-0000-0000-000036B10000}"/>
    <cellStyle name="표준 5 5 2 3 6 2 3" xfId="19235" xr:uid="{00000000-0005-0000-0000-000037B10000}"/>
    <cellStyle name="표준 5 5 2 3 6 2 4" xfId="23397" xr:uid="{00000000-0005-0000-0000-000038B10000}"/>
    <cellStyle name="표준 5 5 2 3 6 2 5" xfId="27493" xr:uid="{00000000-0005-0000-0000-000039B10000}"/>
    <cellStyle name="표준 5 5 2 3 6 2 6" xfId="35704" xr:uid="{00000000-0005-0000-0000-00003AB10000}"/>
    <cellStyle name="표준 5 5 2 3 6 2 7" xfId="43897" xr:uid="{00000000-0005-0000-0000-00003BB10000}"/>
    <cellStyle name="표준 5 5 2 3 6 3" xfId="8835" xr:uid="{00000000-0005-0000-0000-00003CB10000}"/>
    <cellStyle name="표준 5 5 2 3 6 3 2" xfId="29541" xr:uid="{00000000-0005-0000-0000-00003DB10000}"/>
    <cellStyle name="표준 5 5 2 3 6 3 3" xfId="37752" xr:uid="{00000000-0005-0000-0000-00003EB10000}"/>
    <cellStyle name="표준 5 5 2 3 6 3 4" xfId="45945" xr:uid="{00000000-0005-0000-0000-00003FB10000}"/>
    <cellStyle name="표준 5 5 2 3 6 4" xfId="12947" xr:uid="{00000000-0005-0000-0000-000040B10000}"/>
    <cellStyle name="표준 5 5 2 3 6 5" xfId="17187" xr:uid="{00000000-0005-0000-0000-000041B10000}"/>
    <cellStyle name="표준 5 5 2 3 6 6" xfId="21349" xr:uid="{00000000-0005-0000-0000-000042B10000}"/>
    <cellStyle name="표준 5 5 2 3 6 7" xfId="25445" xr:uid="{00000000-0005-0000-0000-000043B10000}"/>
    <cellStyle name="표준 5 5 2 3 6 8" xfId="33656" xr:uid="{00000000-0005-0000-0000-000044B10000}"/>
    <cellStyle name="표준 5 5 2 3 6 9" xfId="41849" xr:uid="{00000000-0005-0000-0000-000045B10000}"/>
    <cellStyle name="표준 5 5 2 3 7" xfId="9347" xr:uid="{00000000-0005-0000-0000-000046B10000}"/>
    <cellStyle name="표준 5 5 2 3 7 2" xfId="13459" xr:uid="{00000000-0005-0000-0000-000047B10000}"/>
    <cellStyle name="표준 5 5 2 3 7 2 2" xfId="30053" xr:uid="{00000000-0005-0000-0000-000048B10000}"/>
    <cellStyle name="표준 5 5 2 3 7 2 3" xfId="38264" xr:uid="{00000000-0005-0000-0000-000049B10000}"/>
    <cellStyle name="표준 5 5 2 3 7 2 4" xfId="46457" xr:uid="{00000000-0005-0000-0000-00004AB10000}"/>
    <cellStyle name="표준 5 5 2 3 7 3" xfId="17699" xr:uid="{00000000-0005-0000-0000-00004BB10000}"/>
    <cellStyle name="표준 5 5 2 3 7 4" xfId="21861" xr:uid="{00000000-0005-0000-0000-00004CB10000}"/>
    <cellStyle name="표준 5 5 2 3 7 5" xfId="25957" xr:uid="{00000000-0005-0000-0000-00004DB10000}"/>
    <cellStyle name="표준 5 5 2 3 7 6" xfId="34168" xr:uid="{00000000-0005-0000-0000-00004EB10000}"/>
    <cellStyle name="표준 5 5 2 3 7 7" xfId="42361" xr:uid="{00000000-0005-0000-0000-00004FB10000}"/>
    <cellStyle name="표준 5 5 2 3 8" xfId="7299" xr:uid="{00000000-0005-0000-0000-000050B10000}"/>
    <cellStyle name="표준 5 5 2 3 8 2" xfId="28005" xr:uid="{00000000-0005-0000-0000-000051B10000}"/>
    <cellStyle name="표준 5 5 2 3 8 3" xfId="36216" xr:uid="{00000000-0005-0000-0000-000052B10000}"/>
    <cellStyle name="표준 5 5 2 3 8 4" xfId="44409" xr:uid="{00000000-0005-0000-0000-000053B10000}"/>
    <cellStyle name="표준 5 5 2 3 9" xfId="11411" xr:uid="{00000000-0005-0000-0000-000054B10000}"/>
    <cellStyle name="표준 5 5 2 4" xfId="508" xr:uid="{00000000-0005-0000-0000-000055B10000}"/>
    <cellStyle name="표준 5 5 2 4 10" xfId="19877" xr:uid="{00000000-0005-0000-0000-000056B10000}"/>
    <cellStyle name="표준 5 5 2 4 11" xfId="23973" xr:uid="{00000000-0005-0000-0000-000057B10000}"/>
    <cellStyle name="표준 5 5 2 4 12" xfId="32184" xr:uid="{00000000-0005-0000-0000-000058B10000}"/>
    <cellStyle name="표준 5 5 2 4 13" xfId="40377" xr:uid="{00000000-0005-0000-0000-000059B10000}"/>
    <cellStyle name="표준 5 5 2 4 2" xfId="764" xr:uid="{00000000-0005-0000-0000-00005AB10000}"/>
    <cellStyle name="표준 5 5 2 4 2 10" xfId="24229" xr:uid="{00000000-0005-0000-0000-00005BB10000}"/>
    <cellStyle name="표준 5 5 2 4 2 11" xfId="32440" xr:uid="{00000000-0005-0000-0000-00005CB10000}"/>
    <cellStyle name="표준 5 5 2 4 2 12" xfId="40633" xr:uid="{00000000-0005-0000-0000-00005DB10000}"/>
    <cellStyle name="표준 5 5 2 4 2 2" xfId="1276" xr:uid="{00000000-0005-0000-0000-00005EB10000}"/>
    <cellStyle name="표준 5 5 2 4 2 2 2" xfId="10179" xr:uid="{00000000-0005-0000-0000-00005FB10000}"/>
    <cellStyle name="표준 5 5 2 4 2 2 2 2" xfId="14291" xr:uid="{00000000-0005-0000-0000-000060B10000}"/>
    <cellStyle name="표준 5 5 2 4 2 2 2 2 2" xfId="30885" xr:uid="{00000000-0005-0000-0000-000061B10000}"/>
    <cellStyle name="표준 5 5 2 4 2 2 2 2 3" xfId="39096" xr:uid="{00000000-0005-0000-0000-000062B10000}"/>
    <cellStyle name="표준 5 5 2 4 2 2 2 2 4" xfId="47289" xr:uid="{00000000-0005-0000-0000-000063B10000}"/>
    <cellStyle name="표준 5 5 2 4 2 2 2 3" xfId="18531" xr:uid="{00000000-0005-0000-0000-000064B10000}"/>
    <cellStyle name="표준 5 5 2 4 2 2 2 4" xfId="22693" xr:uid="{00000000-0005-0000-0000-000065B10000}"/>
    <cellStyle name="표준 5 5 2 4 2 2 2 5" xfId="26789" xr:uid="{00000000-0005-0000-0000-000066B10000}"/>
    <cellStyle name="표준 5 5 2 4 2 2 2 6" xfId="35000" xr:uid="{00000000-0005-0000-0000-000067B10000}"/>
    <cellStyle name="표준 5 5 2 4 2 2 2 7" xfId="43193" xr:uid="{00000000-0005-0000-0000-000068B10000}"/>
    <cellStyle name="표준 5 5 2 4 2 2 3" xfId="8131" xr:uid="{00000000-0005-0000-0000-000069B10000}"/>
    <cellStyle name="표준 5 5 2 4 2 2 3 2" xfId="28837" xr:uid="{00000000-0005-0000-0000-00006AB10000}"/>
    <cellStyle name="표준 5 5 2 4 2 2 3 3" xfId="37048" xr:uid="{00000000-0005-0000-0000-00006BB10000}"/>
    <cellStyle name="표준 5 5 2 4 2 2 3 4" xfId="45241" xr:uid="{00000000-0005-0000-0000-00006CB10000}"/>
    <cellStyle name="표준 5 5 2 4 2 2 4" xfId="12243" xr:uid="{00000000-0005-0000-0000-00006DB10000}"/>
    <cellStyle name="표준 5 5 2 4 2 2 5" xfId="16483" xr:uid="{00000000-0005-0000-0000-00006EB10000}"/>
    <cellStyle name="표준 5 5 2 4 2 2 6" xfId="20645" xr:uid="{00000000-0005-0000-0000-00006FB10000}"/>
    <cellStyle name="표준 5 5 2 4 2 2 7" xfId="24741" xr:uid="{00000000-0005-0000-0000-000070B10000}"/>
    <cellStyle name="표준 5 5 2 4 2 2 8" xfId="32952" xr:uid="{00000000-0005-0000-0000-000071B10000}"/>
    <cellStyle name="표준 5 5 2 4 2 2 9" xfId="41145" xr:uid="{00000000-0005-0000-0000-000072B10000}"/>
    <cellStyle name="표준 5 5 2 4 2 3" xfId="1788" xr:uid="{00000000-0005-0000-0000-000073B10000}"/>
    <cellStyle name="표준 5 5 2 4 2 3 2" xfId="10691" xr:uid="{00000000-0005-0000-0000-000074B10000}"/>
    <cellStyle name="표준 5 5 2 4 2 3 2 2" xfId="14803" xr:uid="{00000000-0005-0000-0000-000075B10000}"/>
    <cellStyle name="표준 5 5 2 4 2 3 2 2 2" xfId="31397" xr:uid="{00000000-0005-0000-0000-000076B10000}"/>
    <cellStyle name="표준 5 5 2 4 2 3 2 2 3" xfId="39608" xr:uid="{00000000-0005-0000-0000-000077B10000}"/>
    <cellStyle name="표준 5 5 2 4 2 3 2 2 4" xfId="47801" xr:uid="{00000000-0005-0000-0000-000078B10000}"/>
    <cellStyle name="표준 5 5 2 4 2 3 2 3" xfId="19043" xr:uid="{00000000-0005-0000-0000-000079B10000}"/>
    <cellStyle name="표준 5 5 2 4 2 3 2 4" xfId="23205" xr:uid="{00000000-0005-0000-0000-00007AB10000}"/>
    <cellStyle name="표준 5 5 2 4 2 3 2 5" xfId="27301" xr:uid="{00000000-0005-0000-0000-00007BB10000}"/>
    <cellStyle name="표준 5 5 2 4 2 3 2 6" xfId="35512" xr:uid="{00000000-0005-0000-0000-00007CB10000}"/>
    <cellStyle name="표준 5 5 2 4 2 3 2 7" xfId="43705" xr:uid="{00000000-0005-0000-0000-00007DB10000}"/>
    <cellStyle name="표준 5 5 2 4 2 3 3" xfId="8643" xr:uid="{00000000-0005-0000-0000-00007EB10000}"/>
    <cellStyle name="표준 5 5 2 4 2 3 3 2" xfId="29349" xr:uid="{00000000-0005-0000-0000-00007FB10000}"/>
    <cellStyle name="표준 5 5 2 4 2 3 3 3" xfId="37560" xr:uid="{00000000-0005-0000-0000-000080B10000}"/>
    <cellStyle name="표준 5 5 2 4 2 3 3 4" xfId="45753" xr:uid="{00000000-0005-0000-0000-000081B10000}"/>
    <cellStyle name="표준 5 5 2 4 2 3 4" xfId="12755" xr:uid="{00000000-0005-0000-0000-000082B10000}"/>
    <cellStyle name="표준 5 5 2 4 2 3 5" xfId="16995" xr:uid="{00000000-0005-0000-0000-000083B10000}"/>
    <cellStyle name="표준 5 5 2 4 2 3 6" xfId="21157" xr:uid="{00000000-0005-0000-0000-000084B10000}"/>
    <cellStyle name="표준 5 5 2 4 2 3 7" xfId="25253" xr:uid="{00000000-0005-0000-0000-000085B10000}"/>
    <cellStyle name="표준 5 5 2 4 2 3 8" xfId="33464" xr:uid="{00000000-0005-0000-0000-000086B10000}"/>
    <cellStyle name="표준 5 5 2 4 2 3 9" xfId="41657" xr:uid="{00000000-0005-0000-0000-000087B10000}"/>
    <cellStyle name="표준 5 5 2 4 2 4" xfId="2300" xr:uid="{00000000-0005-0000-0000-000088B10000}"/>
    <cellStyle name="표준 5 5 2 4 2 4 2" xfId="11203" xr:uid="{00000000-0005-0000-0000-000089B10000}"/>
    <cellStyle name="표준 5 5 2 4 2 4 2 2" xfId="15315" xr:uid="{00000000-0005-0000-0000-00008AB10000}"/>
    <cellStyle name="표준 5 5 2 4 2 4 2 2 2" xfId="31909" xr:uid="{00000000-0005-0000-0000-00008BB10000}"/>
    <cellStyle name="표준 5 5 2 4 2 4 2 2 3" xfId="40120" xr:uid="{00000000-0005-0000-0000-00008CB10000}"/>
    <cellStyle name="표준 5 5 2 4 2 4 2 2 4" xfId="48313" xr:uid="{00000000-0005-0000-0000-00008DB10000}"/>
    <cellStyle name="표준 5 5 2 4 2 4 2 3" xfId="19555" xr:uid="{00000000-0005-0000-0000-00008EB10000}"/>
    <cellStyle name="표준 5 5 2 4 2 4 2 4" xfId="23717" xr:uid="{00000000-0005-0000-0000-00008FB10000}"/>
    <cellStyle name="표준 5 5 2 4 2 4 2 5" xfId="27813" xr:uid="{00000000-0005-0000-0000-000090B10000}"/>
    <cellStyle name="표준 5 5 2 4 2 4 2 6" xfId="36024" xr:uid="{00000000-0005-0000-0000-000091B10000}"/>
    <cellStyle name="표준 5 5 2 4 2 4 2 7" xfId="44217" xr:uid="{00000000-0005-0000-0000-000092B10000}"/>
    <cellStyle name="표준 5 5 2 4 2 4 3" xfId="9155" xr:uid="{00000000-0005-0000-0000-000093B10000}"/>
    <cellStyle name="표준 5 5 2 4 2 4 3 2" xfId="29861" xr:uid="{00000000-0005-0000-0000-000094B10000}"/>
    <cellStyle name="표준 5 5 2 4 2 4 3 3" xfId="38072" xr:uid="{00000000-0005-0000-0000-000095B10000}"/>
    <cellStyle name="표준 5 5 2 4 2 4 3 4" xfId="46265" xr:uid="{00000000-0005-0000-0000-000096B10000}"/>
    <cellStyle name="표준 5 5 2 4 2 4 4" xfId="13267" xr:uid="{00000000-0005-0000-0000-000097B10000}"/>
    <cellStyle name="표준 5 5 2 4 2 4 5" xfId="17507" xr:uid="{00000000-0005-0000-0000-000098B10000}"/>
    <cellStyle name="표준 5 5 2 4 2 4 6" xfId="21669" xr:uid="{00000000-0005-0000-0000-000099B10000}"/>
    <cellStyle name="표준 5 5 2 4 2 4 7" xfId="25765" xr:uid="{00000000-0005-0000-0000-00009AB10000}"/>
    <cellStyle name="표준 5 5 2 4 2 4 8" xfId="33976" xr:uid="{00000000-0005-0000-0000-00009BB10000}"/>
    <cellStyle name="표준 5 5 2 4 2 4 9" xfId="42169" xr:uid="{00000000-0005-0000-0000-00009CB10000}"/>
    <cellStyle name="표준 5 5 2 4 2 5" xfId="9667" xr:uid="{00000000-0005-0000-0000-00009DB10000}"/>
    <cellStyle name="표준 5 5 2 4 2 5 2" xfId="13779" xr:uid="{00000000-0005-0000-0000-00009EB10000}"/>
    <cellStyle name="표준 5 5 2 4 2 5 2 2" xfId="30373" xr:uid="{00000000-0005-0000-0000-00009FB10000}"/>
    <cellStyle name="표준 5 5 2 4 2 5 2 3" xfId="38584" xr:uid="{00000000-0005-0000-0000-0000A0B10000}"/>
    <cellStyle name="표준 5 5 2 4 2 5 2 4" xfId="46777" xr:uid="{00000000-0005-0000-0000-0000A1B10000}"/>
    <cellStyle name="표준 5 5 2 4 2 5 3" xfId="18019" xr:uid="{00000000-0005-0000-0000-0000A2B10000}"/>
    <cellStyle name="표준 5 5 2 4 2 5 4" xfId="22181" xr:uid="{00000000-0005-0000-0000-0000A3B10000}"/>
    <cellStyle name="표준 5 5 2 4 2 5 5" xfId="26277" xr:uid="{00000000-0005-0000-0000-0000A4B10000}"/>
    <cellStyle name="표준 5 5 2 4 2 5 6" xfId="34488" xr:uid="{00000000-0005-0000-0000-0000A5B10000}"/>
    <cellStyle name="표준 5 5 2 4 2 5 7" xfId="42681" xr:uid="{00000000-0005-0000-0000-0000A6B10000}"/>
    <cellStyle name="표준 5 5 2 4 2 6" xfId="7619" xr:uid="{00000000-0005-0000-0000-0000A7B10000}"/>
    <cellStyle name="표준 5 5 2 4 2 6 2" xfId="28325" xr:uid="{00000000-0005-0000-0000-0000A8B10000}"/>
    <cellStyle name="표준 5 5 2 4 2 6 3" xfId="36536" xr:uid="{00000000-0005-0000-0000-0000A9B10000}"/>
    <cellStyle name="표준 5 5 2 4 2 6 4" xfId="44729" xr:uid="{00000000-0005-0000-0000-0000AAB10000}"/>
    <cellStyle name="표준 5 5 2 4 2 7" xfId="11731" xr:uid="{00000000-0005-0000-0000-0000ABB10000}"/>
    <cellStyle name="표준 5 5 2 4 2 8" xfId="15971" xr:uid="{00000000-0005-0000-0000-0000ACB10000}"/>
    <cellStyle name="표준 5 5 2 4 2 9" xfId="20133" xr:uid="{00000000-0005-0000-0000-0000ADB10000}"/>
    <cellStyle name="표준 5 5 2 4 3" xfId="1020" xr:uid="{00000000-0005-0000-0000-0000AEB10000}"/>
    <cellStyle name="표준 5 5 2 4 3 2" xfId="9923" xr:uid="{00000000-0005-0000-0000-0000AFB10000}"/>
    <cellStyle name="표준 5 5 2 4 3 2 2" xfId="14035" xr:uid="{00000000-0005-0000-0000-0000B0B10000}"/>
    <cellStyle name="표준 5 5 2 4 3 2 2 2" xfId="30629" xr:uid="{00000000-0005-0000-0000-0000B1B10000}"/>
    <cellStyle name="표준 5 5 2 4 3 2 2 3" xfId="38840" xr:uid="{00000000-0005-0000-0000-0000B2B10000}"/>
    <cellStyle name="표준 5 5 2 4 3 2 2 4" xfId="47033" xr:uid="{00000000-0005-0000-0000-0000B3B10000}"/>
    <cellStyle name="표준 5 5 2 4 3 2 3" xfId="18275" xr:uid="{00000000-0005-0000-0000-0000B4B10000}"/>
    <cellStyle name="표준 5 5 2 4 3 2 4" xfId="22437" xr:uid="{00000000-0005-0000-0000-0000B5B10000}"/>
    <cellStyle name="표준 5 5 2 4 3 2 5" xfId="26533" xr:uid="{00000000-0005-0000-0000-0000B6B10000}"/>
    <cellStyle name="표준 5 5 2 4 3 2 6" xfId="34744" xr:uid="{00000000-0005-0000-0000-0000B7B10000}"/>
    <cellStyle name="표준 5 5 2 4 3 2 7" xfId="42937" xr:uid="{00000000-0005-0000-0000-0000B8B10000}"/>
    <cellStyle name="표준 5 5 2 4 3 3" xfId="7875" xr:uid="{00000000-0005-0000-0000-0000B9B10000}"/>
    <cellStyle name="표준 5 5 2 4 3 3 2" xfId="28581" xr:uid="{00000000-0005-0000-0000-0000BAB10000}"/>
    <cellStyle name="표준 5 5 2 4 3 3 3" xfId="36792" xr:uid="{00000000-0005-0000-0000-0000BBB10000}"/>
    <cellStyle name="표준 5 5 2 4 3 3 4" xfId="44985" xr:uid="{00000000-0005-0000-0000-0000BCB10000}"/>
    <cellStyle name="표준 5 5 2 4 3 4" xfId="11987" xr:uid="{00000000-0005-0000-0000-0000BDB10000}"/>
    <cellStyle name="표준 5 5 2 4 3 5" xfId="16227" xr:uid="{00000000-0005-0000-0000-0000BEB10000}"/>
    <cellStyle name="표준 5 5 2 4 3 6" xfId="20389" xr:uid="{00000000-0005-0000-0000-0000BFB10000}"/>
    <cellStyle name="표준 5 5 2 4 3 7" xfId="24485" xr:uid="{00000000-0005-0000-0000-0000C0B10000}"/>
    <cellStyle name="표준 5 5 2 4 3 8" xfId="32696" xr:uid="{00000000-0005-0000-0000-0000C1B10000}"/>
    <cellStyle name="표준 5 5 2 4 3 9" xfId="40889" xr:uid="{00000000-0005-0000-0000-0000C2B10000}"/>
    <cellStyle name="표준 5 5 2 4 4" xfId="1532" xr:uid="{00000000-0005-0000-0000-0000C3B10000}"/>
    <cellStyle name="표준 5 5 2 4 4 2" xfId="10435" xr:uid="{00000000-0005-0000-0000-0000C4B10000}"/>
    <cellStyle name="표준 5 5 2 4 4 2 2" xfId="14547" xr:uid="{00000000-0005-0000-0000-0000C5B10000}"/>
    <cellStyle name="표준 5 5 2 4 4 2 2 2" xfId="31141" xr:uid="{00000000-0005-0000-0000-0000C6B10000}"/>
    <cellStyle name="표준 5 5 2 4 4 2 2 3" xfId="39352" xr:uid="{00000000-0005-0000-0000-0000C7B10000}"/>
    <cellStyle name="표준 5 5 2 4 4 2 2 4" xfId="47545" xr:uid="{00000000-0005-0000-0000-0000C8B10000}"/>
    <cellStyle name="표준 5 5 2 4 4 2 3" xfId="18787" xr:uid="{00000000-0005-0000-0000-0000C9B10000}"/>
    <cellStyle name="표준 5 5 2 4 4 2 4" xfId="22949" xr:uid="{00000000-0005-0000-0000-0000CAB10000}"/>
    <cellStyle name="표준 5 5 2 4 4 2 5" xfId="27045" xr:uid="{00000000-0005-0000-0000-0000CBB10000}"/>
    <cellStyle name="표준 5 5 2 4 4 2 6" xfId="35256" xr:uid="{00000000-0005-0000-0000-0000CCB10000}"/>
    <cellStyle name="표준 5 5 2 4 4 2 7" xfId="43449" xr:uid="{00000000-0005-0000-0000-0000CDB10000}"/>
    <cellStyle name="표준 5 5 2 4 4 3" xfId="8387" xr:uid="{00000000-0005-0000-0000-0000CEB10000}"/>
    <cellStyle name="표준 5 5 2 4 4 3 2" xfId="29093" xr:uid="{00000000-0005-0000-0000-0000CFB10000}"/>
    <cellStyle name="표준 5 5 2 4 4 3 3" xfId="37304" xr:uid="{00000000-0005-0000-0000-0000D0B10000}"/>
    <cellStyle name="표준 5 5 2 4 4 3 4" xfId="45497" xr:uid="{00000000-0005-0000-0000-0000D1B10000}"/>
    <cellStyle name="표준 5 5 2 4 4 4" xfId="12499" xr:uid="{00000000-0005-0000-0000-0000D2B10000}"/>
    <cellStyle name="표준 5 5 2 4 4 5" xfId="16739" xr:uid="{00000000-0005-0000-0000-0000D3B10000}"/>
    <cellStyle name="표준 5 5 2 4 4 6" xfId="20901" xr:uid="{00000000-0005-0000-0000-0000D4B10000}"/>
    <cellStyle name="표준 5 5 2 4 4 7" xfId="24997" xr:uid="{00000000-0005-0000-0000-0000D5B10000}"/>
    <cellStyle name="표준 5 5 2 4 4 8" xfId="33208" xr:uid="{00000000-0005-0000-0000-0000D6B10000}"/>
    <cellStyle name="표준 5 5 2 4 4 9" xfId="41401" xr:uid="{00000000-0005-0000-0000-0000D7B10000}"/>
    <cellStyle name="표준 5 5 2 4 5" xfId="2044" xr:uid="{00000000-0005-0000-0000-0000D8B10000}"/>
    <cellStyle name="표준 5 5 2 4 5 2" xfId="10947" xr:uid="{00000000-0005-0000-0000-0000D9B10000}"/>
    <cellStyle name="표준 5 5 2 4 5 2 2" xfId="15059" xr:uid="{00000000-0005-0000-0000-0000DAB10000}"/>
    <cellStyle name="표준 5 5 2 4 5 2 2 2" xfId="31653" xr:uid="{00000000-0005-0000-0000-0000DBB10000}"/>
    <cellStyle name="표준 5 5 2 4 5 2 2 3" xfId="39864" xr:uid="{00000000-0005-0000-0000-0000DCB10000}"/>
    <cellStyle name="표준 5 5 2 4 5 2 2 4" xfId="48057" xr:uid="{00000000-0005-0000-0000-0000DDB10000}"/>
    <cellStyle name="표준 5 5 2 4 5 2 3" xfId="19299" xr:uid="{00000000-0005-0000-0000-0000DEB10000}"/>
    <cellStyle name="표준 5 5 2 4 5 2 4" xfId="23461" xr:uid="{00000000-0005-0000-0000-0000DFB10000}"/>
    <cellStyle name="표준 5 5 2 4 5 2 5" xfId="27557" xr:uid="{00000000-0005-0000-0000-0000E0B10000}"/>
    <cellStyle name="표준 5 5 2 4 5 2 6" xfId="35768" xr:uid="{00000000-0005-0000-0000-0000E1B10000}"/>
    <cellStyle name="표준 5 5 2 4 5 2 7" xfId="43961" xr:uid="{00000000-0005-0000-0000-0000E2B10000}"/>
    <cellStyle name="표준 5 5 2 4 5 3" xfId="8899" xr:uid="{00000000-0005-0000-0000-0000E3B10000}"/>
    <cellStyle name="표준 5 5 2 4 5 3 2" xfId="29605" xr:uid="{00000000-0005-0000-0000-0000E4B10000}"/>
    <cellStyle name="표준 5 5 2 4 5 3 3" xfId="37816" xr:uid="{00000000-0005-0000-0000-0000E5B10000}"/>
    <cellStyle name="표준 5 5 2 4 5 3 4" xfId="46009" xr:uid="{00000000-0005-0000-0000-0000E6B10000}"/>
    <cellStyle name="표준 5 5 2 4 5 4" xfId="13011" xr:uid="{00000000-0005-0000-0000-0000E7B10000}"/>
    <cellStyle name="표준 5 5 2 4 5 5" xfId="17251" xr:uid="{00000000-0005-0000-0000-0000E8B10000}"/>
    <cellStyle name="표준 5 5 2 4 5 6" xfId="21413" xr:uid="{00000000-0005-0000-0000-0000E9B10000}"/>
    <cellStyle name="표준 5 5 2 4 5 7" xfId="25509" xr:uid="{00000000-0005-0000-0000-0000EAB10000}"/>
    <cellStyle name="표준 5 5 2 4 5 8" xfId="33720" xr:uid="{00000000-0005-0000-0000-0000EBB10000}"/>
    <cellStyle name="표준 5 5 2 4 5 9" xfId="41913" xr:uid="{00000000-0005-0000-0000-0000ECB10000}"/>
    <cellStyle name="표준 5 5 2 4 6" xfId="9411" xr:uid="{00000000-0005-0000-0000-0000EDB10000}"/>
    <cellStyle name="표준 5 5 2 4 6 2" xfId="13523" xr:uid="{00000000-0005-0000-0000-0000EEB10000}"/>
    <cellStyle name="표준 5 5 2 4 6 2 2" xfId="30117" xr:uid="{00000000-0005-0000-0000-0000EFB10000}"/>
    <cellStyle name="표준 5 5 2 4 6 2 3" xfId="38328" xr:uid="{00000000-0005-0000-0000-0000F0B10000}"/>
    <cellStyle name="표준 5 5 2 4 6 2 4" xfId="46521" xr:uid="{00000000-0005-0000-0000-0000F1B10000}"/>
    <cellStyle name="표준 5 5 2 4 6 3" xfId="17763" xr:uid="{00000000-0005-0000-0000-0000F2B10000}"/>
    <cellStyle name="표준 5 5 2 4 6 4" xfId="21925" xr:uid="{00000000-0005-0000-0000-0000F3B10000}"/>
    <cellStyle name="표준 5 5 2 4 6 5" xfId="26021" xr:uid="{00000000-0005-0000-0000-0000F4B10000}"/>
    <cellStyle name="표준 5 5 2 4 6 6" xfId="34232" xr:uid="{00000000-0005-0000-0000-0000F5B10000}"/>
    <cellStyle name="표준 5 5 2 4 6 7" xfId="42425" xr:uid="{00000000-0005-0000-0000-0000F6B10000}"/>
    <cellStyle name="표준 5 5 2 4 7" xfId="7363" xr:uid="{00000000-0005-0000-0000-0000F7B10000}"/>
    <cellStyle name="표준 5 5 2 4 7 2" xfId="28069" xr:uid="{00000000-0005-0000-0000-0000F8B10000}"/>
    <cellStyle name="표준 5 5 2 4 7 3" xfId="36280" xr:uid="{00000000-0005-0000-0000-0000F9B10000}"/>
    <cellStyle name="표준 5 5 2 4 7 4" xfId="44473" xr:uid="{00000000-0005-0000-0000-0000FAB10000}"/>
    <cellStyle name="표준 5 5 2 4 8" xfId="11475" xr:uid="{00000000-0005-0000-0000-0000FBB10000}"/>
    <cellStyle name="표준 5 5 2 4 9" xfId="15715" xr:uid="{00000000-0005-0000-0000-0000FCB10000}"/>
    <cellStyle name="표준 5 5 2 5" xfId="636" xr:uid="{00000000-0005-0000-0000-0000FDB10000}"/>
    <cellStyle name="표준 5 5 2 5 10" xfId="24101" xr:uid="{00000000-0005-0000-0000-0000FEB10000}"/>
    <cellStyle name="표준 5 5 2 5 11" xfId="32312" xr:uid="{00000000-0005-0000-0000-0000FFB10000}"/>
    <cellStyle name="표준 5 5 2 5 12" xfId="40505" xr:uid="{00000000-0005-0000-0000-000000B20000}"/>
    <cellStyle name="표준 5 5 2 5 2" xfId="1148" xr:uid="{00000000-0005-0000-0000-000001B20000}"/>
    <cellStyle name="표준 5 5 2 5 2 2" xfId="10051" xr:uid="{00000000-0005-0000-0000-000002B20000}"/>
    <cellStyle name="표준 5 5 2 5 2 2 2" xfId="14163" xr:uid="{00000000-0005-0000-0000-000003B20000}"/>
    <cellStyle name="표준 5 5 2 5 2 2 2 2" xfId="30757" xr:uid="{00000000-0005-0000-0000-000004B20000}"/>
    <cellStyle name="표준 5 5 2 5 2 2 2 3" xfId="38968" xr:uid="{00000000-0005-0000-0000-000005B20000}"/>
    <cellStyle name="표준 5 5 2 5 2 2 2 4" xfId="47161" xr:uid="{00000000-0005-0000-0000-000006B20000}"/>
    <cellStyle name="표준 5 5 2 5 2 2 3" xfId="18403" xr:uid="{00000000-0005-0000-0000-000007B20000}"/>
    <cellStyle name="표준 5 5 2 5 2 2 4" xfId="22565" xr:uid="{00000000-0005-0000-0000-000008B20000}"/>
    <cellStyle name="표준 5 5 2 5 2 2 5" xfId="26661" xr:uid="{00000000-0005-0000-0000-000009B20000}"/>
    <cellStyle name="표준 5 5 2 5 2 2 6" xfId="34872" xr:uid="{00000000-0005-0000-0000-00000AB20000}"/>
    <cellStyle name="표준 5 5 2 5 2 2 7" xfId="43065" xr:uid="{00000000-0005-0000-0000-00000BB20000}"/>
    <cellStyle name="표준 5 5 2 5 2 3" xfId="8003" xr:uid="{00000000-0005-0000-0000-00000CB20000}"/>
    <cellStyle name="표준 5 5 2 5 2 3 2" xfId="28709" xr:uid="{00000000-0005-0000-0000-00000DB20000}"/>
    <cellStyle name="표준 5 5 2 5 2 3 3" xfId="36920" xr:uid="{00000000-0005-0000-0000-00000EB20000}"/>
    <cellStyle name="표준 5 5 2 5 2 3 4" xfId="45113" xr:uid="{00000000-0005-0000-0000-00000FB20000}"/>
    <cellStyle name="표준 5 5 2 5 2 4" xfId="12115" xr:uid="{00000000-0005-0000-0000-000010B20000}"/>
    <cellStyle name="표준 5 5 2 5 2 5" xfId="16355" xr:uid="{00000000-0005-0000-0000-000011B20000}"/>
    <cellStyle name="표준 5 5 2 5 2 6" xfId="20517" xr:uid="{00000000-0005-0000-0000-000012B20000}"/>
    <cellStyle name="표준 5 5 2 5 2 7" xfId="24613" xr:uid="{00000000-0005-0000-0000-000013B20000}"/>
    <cellStyle name="표준 5 5 2 5 2 8" xfId="32824" xr:uid="{00000000-0005-0000-0000-000014B20000}"/>
    <cellStyle name="표준 5 5 2 5 2 9" xfId="41017" xr:uid="{00000000-0005-0000-0000-000015B20000}"/>
    <cellStyle name="표준 5 5 2 5 3" xfId="1660" xr:uid="{00000000-0005-0000-0000-000016B20000}"/>
    <cellStyle name="표준 5 5 2 5 3 2" xfId="10563" xr:uid="{00000000-0005-0000-0000-000017B20000}"/>
    <cellStyle name="표준 5 5 2 5 3 2 2" xfId="14675" xr:uid="{00000000-0005-0000-0000-000018B20000}"/>
    <cellStyle name="표준 5 5 2 5 3 2 2 2" xfId="31269" xr:uid="{00000000-0005-0000-0000-000019B20000}"/>
    <cellStyle name="표준 5 5 2 5 3 2 2 3" xfId="39480" xr:uid="{00000000-0005-0000-0000-00001AB20000}"/>
    <cellStyle name="표준 5 5 2 5 3 2 2 4" xfId="47673" xr:uid="{00000000-0005-0000-0000-00001BB20000}"/>
    <cellStyle name="표준 5 5 2 5 3 2 3" xfId="18915" xr:uid="{00000000-0005-0000-0000-00001CB20000}"/>
    <cellStyle name="표준 5 5 2 5 3 2 4" xfId="23077" xr:uid="{00000000-0005-0000-0000-00001DB20000}"/>
    <cellStyle name="표준 5 5 2 5 3 2 5" xfId="27173" xr:uid="{00000000-0005-0000-0000-00001EB20000}"/>
    <cellStyle name="표준 5 5 2 5 3 2 6" xfId="35384" xr:uid="{00000000-0005-0000-0000-00001FB20000}"/>
    <cellStyle name="표준 5 5 2 5 3 2 7" xfId="43577" xr:uid="{00000000-0005-0000-0000-000020B20000}"/>
    <cellStyle name="표준 5 5 2 5 3 3" xfId="8515" xr:uid="{00000000-0005-0000-0000-000021B20000}"/>
    <cellStyle name="표준 5 5 2 5 3 3 2" xfId="29221" xr:uid="{00000000-0005-0000-0000-000022B20000}"/>
    <cellStyle name="표준 5 5 2 5 3 3 3" xfId="37432" xr:uid="{00000000-0005-0000-0000-000023B20000}"/>
    <cellStyle name="표준 5 5 2 5 3 3 4" xfId="45625" xr:uid="{00000000-0005-0000-0000-000024B20000}"/>
    <cellStyle name="표준 5 5 2 5 3 4" xfId="12627" xr:uid="{00000000-0005-0000-0000-000025B20000}"/>
    <cellStyle name="표준 5 5 2 5 3 5" xfId="16867" xr:uid="{00000000-0005-0000-0000-000026B20000}"/>
    <cellStyle name="표준 5 5 2 5 3 6" xfId="21029" xr:uid="{00000000-0005-0000-0000-000027B20000}"/>
    <cellStyle name="표준 5 5 2 5 3 7" xfId="25125" xr:uid="{00000000-0005-0000-0000-000028B20000}"/>
    <cellStyle name="표준 5 5 2 5 3 8" xfId="33336" xr:uid="{00000000-0005-0000-0000-000029B20000}"/>
    <cellStyle name="표준 5 5 2 5 3 9" xfId="41529" xr:uid="{00000000-0005-0000-0000-00002AB20000}"/>
    <cellStyle name="표준 5 5 2 5 4" xfId="2172" xr:uid="{00000000-0005-0000-0000-00002BB20000}"/>
    <cellStyle name="표준 5 5 2 5 4 2" xfId="11075" xr:uid="{00000000-0005-0000-0000-00002CB20000}"/>
    <cellStyle name="표준 5 5 2 5 4 2 2" xfId="15187" xr:uid="{00000000-0005-0000-0000-00002DB20000}"/>
    <cellStyle name="표준 5 5 2 5 4 2 2 2" xfId="31781" xr:uid="{00000000-0005-0000-0000-00002EB20000}"/>
    <cellStyle name="표준 5 5 2 5 4 2 2 3" xfId="39992" xr:uid="{00000000-0005-0000-0000-00002FB20000}"/>
    <cellStyle name="표준 5 5 2 5 4 2 2 4" xfId="48185" xr:uid="{00000000-0005-0000-0000-000030B20000}"/>
    <cellStyle name="표준 5 5 2 5 4 2 3" xfId="19427" xr:uid="{00000000-0005-0000-0000-000031B20000}"/>
    <cellStyle name="표준 5 5 2 5 4 2 4" xfId="23589" xr:uid="{00000000-0005-0000-0000-000032B20000}"/>
    <cellStyle name="표준 5 5 2 5 4 2 5" xfId="27685" xr:uid="{00000000-0005-0000-0000-000033B20000}"/>
    <cellStyle name="표준 5 5 2 5 4 2 6" xfId="35896" xr:uid="{00000000-0005-0000-0000-000034B20000}"/>
    <cellStyle name="표준 5 5 2 5 4 2 7" xfId="44089" xr:uid="{00000000-0005-0000-0000-000035B20000}"/>
    <cellStyle name="표준 5 5 2 5 4 3" xfId="9027" xr:uid="{00000000-0005-0000-0000-000036B20000}"/>
    <cellStyle name="표준 5 5 2 5 4 3 2" xfId="29733" xr:uid="{00000000-0005-0000-0000-000037B20000}"/>
    <cellStyle name="표준 5 5 2 5 4 3 3" xfId="37944" xr:uid="{00000000-0005-0000-0000-000038B20000}"/>
    <cellStyle name="표준 5 5 2 5 4 3 4" xfId="46137" xr:uid="{00000000-0005-0000-0000-000039B20000}"/>
    <cellStyle name="표준 5 5 2 5 4 4" xfId="13139" xr:uid="{00000000-0005-0000-0000-00003AB20000}"/>
    <cellStyle name="표준 5 5 2 5 4 5" xfId="17379" xr:uid="{00000000-0005-0000-0000-00003BB20000}"/>
    <cellStyle name="표준 5 5 2 5 4 6" xfId="21541" xr:uid="{00000000-0005-0000-0000-00003CB20000}"/>
    <cellStyle name="표준 5 5 2 5 4 7" xfId="25637" xr:uid="{00000000-0005-0000-0000-00003DB20000}"/>
    <cellStyle name="표준 5 5 2 5 4 8" xfId="33848" xr:uid="{00000000-0005-0000-0000-00003EB20000}"/>
    <cellStyle name="표준 5 5 2 5 4 9" xfId="42041" xr:uid="{00000000-0005-0000-0000-00003FB20000}"/>
    <cellStyle name="표준 5 5 2 5 5" xfId="9539" xr:uid="{00000000-0005-0000-0000-000040B20000}"/>
    <cellStyle name="표준 5 5 2 5 5 2" xfId="13651" xr:uid="{00000000-0005-0000-0000-000041B20000}"/>
    <cellStyle name="표준 5 5 2 5 5 2 2" xfId="30245" xr:uid="{00000000-0005-0000-0000-000042B20000}"/>
    <cellStyle name="표준 5 5 2 5 5 2 3" xfId="38456" xr:uid="{00000000-0005-0000-0000-000043B20000}"/>
    <cellStyle name="표준 5 5 2 5 5 2 4" xfId="46649" xr:uid="{00000000-0005-0000-0000-000044B20000}"/>
    <cellStyle name="표준 5 5 2 5 5 3" xfId="17891" xr:uid="{00000000-0005-0000-0000-000045B20000}"/>
    <cellStyle name="표준 5 5 2 5 5 4" xfId="22053" xr:uid="{00000000-0005-0000-0000-000046B20000}"/>
    <cellStyle name="표준 5 5 2 5 5 5" xfId="26149" xr:uid="{00000000-0005-0000-0000-000047B20000}"/>
    <cellStyle name="표준 5 5 2 5 5 6" xfId="34360" xr:uid="{00000000-0005-0000-0000-000048B20000}"/>
    <cellStyle name="표준 5 5 2 5 5 7" xfId="42553" xr:uid="{00000000-0005-0000-0000-000049B20000}"/>
    <cellStyle name="표준 5 5 2 5 6" xfId="7491" xr:uid="{00000000-0005-0000-0000-00004AB20000}"/>
    <cellStyle name="표준 5 5 2 5 6 2" xfId="28197" xr:uid="{00000000-0005-0000-0000-00004BB20000}"/>
    <cellStyle name="표준 5 5 2 5 6 3" xfId="36408" xr:uid="{00000000-0005-0000-0000-00004CB20000}"/>
    <cellStyle name="표준 5 5 2 5 6 4" xfId="44601" xr:uid="{00000000-0005-0000-0000-00004DB20000}"/>
    <cellStyle name="표준 5 5 2 5 7" xfId="11603" xr:uid="{00000000-0005-0000-0000-00004EB20000}"/>
    <cellStyle name="표준 5 5 2 5 8" xfId="15843" xr:uid="{00000000-0005-0000-0000-00004FB20000}"/>
    <cellStyle name="표준 5 5 2 5 9" xfId="20005" xr:uid="{00000000-0005-0000-0000-000050B20000}"/>
    <cellStyle name="표준 5 5 2 6" xfId="892" xr:uid="{00000000-0005-0000-0000-000051B20000}"/>
    <cellStyle name="표준 5 5 2 6 2" xfId="9795" xr:uid="{00000000-0005-0000-0000-000052B20000}"/>
    <cellStyle name="표준 5 5 2 6 2 2" xfId="13907" xr:uid="{00000000-0005-0000-0000-000053B20000}"/>
    <cellStyle name="표준 5 5 2 6 2 2 2" xfId="30501" xr:uid="{00000000-0005-0000-0000-000054B20000}"/>
    <cellStyle name="표준 5 5 2 6 2 2 3" xfId="38712" xr:uid="{00000000-0005-0000-0000-000055B20000}"/>
    <cellStyle name="표준 5 5 2 6 2 2 4" xfId="46905" xr:uid="{00000000-0005-0000-0000-000056B20000}"/>
    <cellStyle name="표준 5 5 2 6 2 3" xfId="18147" xr:uid="{00000000-0005-0000-0000-000057B20000}"/>
    <cellStyle name="표준 5 5 2 6 2 4" xfId="22309" xr:uid="{00000000-0005-0000-0000-000058B20000}"/>
    <cellStyle name="표준 5 5 2 6 2 5" xfId="26405" xr:uid="{00000000-0005-0000-0000-000059B20000}"/>
    <cellStyle name="표준 5 5 2 6 2 6" xfId="34616" xr:uid="{00000000-0005-0000-0000-00005AB20000}"/>
    <cellStyle name="표준 5 5 2 6 2 7" xfId="42809" xr:uid="{00000000-0005-0000-0000-00005BB20000}"/>
    <cellStyle name="표준 5 5 2 6 3" xfId="7747" xr:uid="{00000000-0005-0000-0000-00005CB20000}"/>
    <cellStyle name="표준 5 5 2 6 3 2" xfId="28453" xr:uid="{00000000-0005-0000-0000-00005DB20000}"/>
    <cellStyle name="표준 5 5 2 6 3 3" xfId="36664" xr:uid="{00000000-0005-0000-0000-00005EB20000}"/>
    <cellStyle name="표준 5 5 2 6 3 4" xfId="44857" xr:uid="{00000000-0005-0000-0000-00005FB20000}"/>
    <cellStyle name="표준 5 5 2 6 4" xfId="11859" xr:uid="{00000000-0005-0000-0000-000060B20000}"/>
    <cellStyle name="표준 5 5 2 6 5" xfId="16099" xr:uid="{00000000-0005-0000-0000-000061B20000}"/>
    <cellStyle name="표준 5 5 2 6 6" xfId="20261" xr:uid="{00000000-0005-0000-0000-000062B20000}"/>
    <cellStyle name="표준 5 5 2 6 7" xfId="24357" xr:uid="{00000000-0005-0000-0000-000063B20000}"/>
    <cellStyle name="표준 5 5 2 6 8" xfId="32568" xr:uid="{00000000-0005-0000-0000-000064B20000}"/>
    <cellStyle name="표준 5 5 2 6 9" xfId="40761" xr:uid="{00000000-0005-0000-0000-000065B20000}"/>
    <cellStyle name="표준 5 5 2 7" xfId="1404" xr:uid="{00000000-0005-0000-0000-000066B20000}"/>
    <cellStyle name="표준 5 5 2 7 2" xfId="10307" xr:uid="{00000000-0005-0000-0000-000067B20000}"/>
    <cellStyle name="표준 5 5 2 7 2 2" xfId="14419" xr:uid="{00000000-0005-0000-0000-000068B20000}"/>
    <cellStyle name="표준 5 5 2 7 2 2 2" xfId="31013" xr:uid="{00000000-0005-0000-0000-000069B20000}"/>
    <cellStyle name="표준 5 5 2 7 2 2 3" xfId="39224" xr:uid="{00000000-0005-0000-0000-00006AB20000}"/>
    <cellStyle name="표준 5 5 2 7 2 2 4" xfId="47417" xr:uid="{00000000-0005-0000-0000-00006BB20000}"/>
    <cellStyle name="표준 5 5 2 7 2 3" xfId="18659" xr:uid="{00000000-0005-0000-0000-00006CB20000}"/>
    <cellStyle name="표준 5 5 2 7 2 4" xfId="22821" xr:uid="{00000000-0005-0000-0000-00006DB20000}"/>
    <cellStyle name="표준 5 5 2 7 2 5" xfId="26917" xr:uid="{00000000-0005-0000-0000-00006EB20000}"/>
    <cellStyle name="표준 5 5 2 7 2 6" xfId="35128" xr:uid="{00000000-0005-0000-0000-00006FB20000}"/>
    <cellStyle name="표준 5 5 2 7 2 7" xfId="43321" xr:uid="{00000000-0005-0000-0000-000070B20000}"/>
    <cellStyle name="표준 5 5 2 7 3" xfId="8259" xr:uid="{00000000-0005-0000-0000-000071B20000}"/>
    <cellStyle name="표준 5 5 2 7 3 2" xfId="28965" xr:uid="{00000000-0005-0000-0000-000072B20000}"/>
    <cellStyle name="표준 5 5 2 7 3 3" xfId="37176" xr:uid="{00000000-0005-0000-0000-000073B20000}"/>
    <cellStyle name="표준 5 5 2 7 3 4" xfId="45369" xr:uid="{00000000-0005-0000-0000-000074B20000}"/>
    <cellStyle name="표준 5 5 2 7 4" xfId="12371" xr:uid="{00000000-0005-0000-0000-000075B20000}"/>
    <cellStyle name="표준 5 5 2 7 5" xfId="16611" xr:uid="{00000000-0005-0000-0000-000076B20000}"/>
    <cellStyle name="표준 5 5 2 7 6" xfId="20773" xr:uid="{00000000-0005-0000-0000-000077B20000}"/>
    <cellStyle name="표준 5 5 2 7 7" xfId="24869" xr:uid="{00000000-0005-0000-0000-000078B20000}"/>
    <cellStyle name="표준 5 5 2 7 8" xfId="33080" xr:uid="{00000000-0005-0000-0000-000079B20000}"/>
    <cellStyle name="표준 5 5 2 7 9" xfId="41273" xr:uid="{00000000-0005-0000-0000-00007AB20000}"/>
    <cellStyle name="표준 5 5 2 8" xfId="1916" xr:uid="{00000000-0005-0000-0000-00007BB20000}"/>
    <cellStyle name="표준 5 5 2 8 2" xfId="10819" xr:uid="{00000000-0005-0000-0000-00007CB20000}"/>
    <cellStyle name="표준 5 5 2 8 2 2" xfId="14931" xr:uid="{00000000-0005-0000-0000-00007DB20000}"/>
    <cellStyle name="표준 5 5 2 8 2 2 2" xfId="31525" xr:uid="{00000000-0005-0000-0000-00007EB20000}"/>
    <cellStyle name="표준 5 5 2 8 2 2 3" xfId="39736" xr:uid="{00000000-0005-0000-0000-00007FB20000}"/>
    <cellStyle name="표준 5 5 2 8 2 2 4" xfId="47929" xr:uid="{00000000-0005-0000-0000-000080B20000}"/>
    <cellStyle name="표준 5 5 2 8 2 3" xfId="19171" xr:uid="{00000000-0005-0000-0000-000081B20000}"/>
    <cellStyle name="표준 5 5 2 8 2 4" xfId="23333" xr:uid="{00000000-0005-0000-0000-000082B20000}"/>
    <cellStyle name="표준 5 5 2 8 2 5" xfId="27429" xr:uid="{00000000-0005-0000-0000-000083B20000}"/>
    <cellStyle name="표준 5 5 2 8 2 6" xfId="35640" xr:uid="{00000000-0005-0000-0000-000084B20000}"/>
    <cellStyle name="표준 5 5 2 8 2 7" xfId="43833" xr:uid="{00000000-0005-0000-0000-000085B20000}"/>
    <cellStyle name="표준 5 5 2 8 3" xfId="8771" xr:uid="{00000000-0005-0000-0000-000086B20000}"/>
    <cellStyle name="표준 5 5 2 8 3 2" xfId="29477" xr:uid="{00000000-0005-0000-0000-000087B20000}"/>
    <cellStyle name="표준 5 5 2 8 3 3" xfId="37688" xr:uid="{00000000-0005-0000-0000-000088B20000}"/>
    <cellStyle name="표준 5 5 2 8 3 4" xfId="45881" xr:uid="{00000000-0005-0000-0000-000089B20000}"/>
    <cellStyle name="표준 5 5 2 8 4" xfId="12883" xr:uid="{00000000-0005-0000-0000-00008AB20000}"/>
    <cellStyle name="표준 5 5 2 8 5" xfId="17123" xr:uid="{00000000-0005-0000-0000-00008BB20000}"/>
    <cellStyle name="표준 5 5 2 8 6" xfId="21285" xr:uid="{00000000-0005-0000-0000-00008CB20000}"/>
    <cellStyle name="표준 5 5 2 8 7" xfId="25381" xr:uid="{00000000-0005-0000-0000-00008DB20000}"/>
    <cellStyle name="표준 5 5 2 8 8" xfId="33592" xr:uid="{00000000-0005-0000-0000-00008EB20000}"/>
    <cellStyle name="표준 5 5 2 8 9" xfId="41785" xr:uid="{00000000-0005-0000-0000-00008FB20000}"/>
    <cellStyle name="표준 5 5 2 9" xfId="6972" xr:uid="{00000000-0005-0000-0000-000090B20000}"/>
    <cellStyle name="표준 5 5 2 9 2" xfId="9283" xr:uid="{00000000-0005-0000-0000-000091B20000}"/>
    <cellStyle name="표준 5 5 2 9 2 2" xfId="29989" xr:uid="{00000000-0005-0000-0000-000092B20000}"/>
    <cellStyle name="표준 5 5 2 9 2 3" xfId="38200" xr:uid="{00000000-0005-0000-0000-000093B20000}"/>
    <cellStyle name="표준 5 5 2 9 2 4" xfId="46393" xr:uid="{00000000-0005-0000-0000-000094B20000}"/>
    <cellStyle name="표준 5 5 2 9 3" xfId="13395" xr:uid="{00000000-0005-0000-0000-000095B20000}"/>
    <cellStyle name="표준 5 5 2 9 4" xfId="17635" xr:uid="{00000000-0005-0000-0000-000096B20000}"/>
    <cellStyle name="표준 5 5 2 9 5" xfId="21797" xr:uid="{00000000-0005-0000-0000-000097B20000}"/>
    <cellStyle name="표준 5 5 2 9 6" xfId="25893" xr:uid="{00000000-0005-0000-0000-000098B20000}"/>
    <cellStyle name="표준 5 5 2 9 7" xfId="34104" xr:uid="{00000000-0005-0000-0000-000099B20000}"/>
    <cellStyle name="표준 5 5 2 9 8" xfId="42297" xr:uid="{00000000-0005-0000-0000-00009AB20000}"/>
    <cellStyle name="표준 5 5 20" xfId="15427" xr:uid="{00000000-0005-0000-0000-00009BB20000}"/>
    <cellStyle name="표준 5 5 21" xfId="15443" xr:uid="{00000000-0005-0000-0000-00009CB20000}"/>
    <cellStyle name="표준 5 5 22" xfId="15459" xr:uid="{00000000-0005-0000-0000-00009DB20000}"/>
    <cellStyle name="표준 5 5 23" xfId="15555" xr:uid="{00000000-0005-0000-0000-00009EB20000}"/>
    <cellStyle name="표준 5 5 24" xfId="15571" xr:uid="{00000000-0005-0000-0000-00009FB20000}"/>
    <cellStyle name="표준 5 5 25" xfId="19667" xr:uid="{00000000-0005-0000-0000-0000A0B20000}"/>
    <cellStyle name="표준 5 5 26" xfId="19683" xr:uid="{00000000-0005-0000-0000-0000A1B20000}"/>
    <cellStyle name="표준 5 5 27" xfId="19699" xr:uid="{00000000-0005-0000-0000-0000A2B20000}"/>
    <cellStyle name="표준 5 5 28" xfId="19715" xr:uid="{00000000-0005-0000-0000-0000A3B20000}"/>
    <cellStyle name="표준 5 5 29" xfId="19731" xr:uid="{00000000-0005-0000-0000-0000A4B20000}"/>
    <cellStyle name="표준 5 5 3" xfId="304" xr:uid="{00000000-0005-0000-0000-0000A5B20000}"/>
    <cellStyle name="표준 5 5 3 10" xfId="7170" xr:uid="{00000000-0005-0000-0000-0000A6B20000}"/>
    <cellStyle name="표준 5 5 3 11" xfId="7251" xr:uid="{00000000-0005-0000-0000-0000A7B20000}"/>
    <cellStyle name="표준 5 5 3 12" xfId="11363" xr:uid="{00000000-0005-0000-0000-0000A8B20000}"/>
    <cellStyle name="표준 5 5 3 13" xfId="15491" xr:uid="{00000000-0005-0000-0000-0000A9B20000}"/>
    <cellStyle name="표준 5 5 3 14" xfId="15603" xr:uid="{00000000-0005-0000-0000-0000AAB20000}"/>
    <cellStyle name="표준 5 5 3 15" xfId="19765" xr:uid="{00000000-0005-0000-0000-0000ABB20000}"/>
    <cellStyle name="표준 5 5 3 16" xfId="23861" xr:uid="{00000000-0005-0000-0000-0000ACB20000}"/>
    <cellStyle name="표준 5 5 3 17" xfId="32072" xr:uid="{00000000-0005-0000-0000-0000ADB20000}"/>
    <cellStyle name="표준 5 5 3 18" xfId="40265" xr:uid="{00000000-0005-0000-0000-0000AEB20000}"/>
    <cellStyle name="표준 5 5 3 19" xfId="49695" xr:uid="{00000000-0005-0000-0000-0000AFB20000}"/>
    <cellStyle name="표준 5 5 3 2" xfId="460" xr:uid="{00000000-0005-0000-0000-0000B0B20000}"/>
    <cellStyle name="표준 5 5 3 2 10" xfId="11427" xr:uid="{00000000-0005-0000-0000-0000B1B20000}"/>
    <cellStyle name="표준 5 5 3 2 11" xfId="15539" xr:uid="{00000000-0005-0000-0000-0000B2B20000}"/>
    <cellStyle name="표준 5 5 3 2 12" xfId="15667" xr:uid="{00000000-0005-0000-0000-0000B3B20000}"/>
    <cellStyle name="표준 5 5 3 2 13" xfId="19829" xr:uid="{00000000-0005-0000-0000-0000B4B20000}"/>
    <cellStyle name="표준 5 5 3 2 14" xfId="23925" xr:uid="{00000000-0005-0000-0000-0000B5B20000}"/>
    <cellStyle name="표준 5 5 3 2 15" xfId="32136" xr:uid="{00000000-0005-0000-0000-0000B6B20000}"/>
    <cellStyle name="표준 5 5 3 2 16" xfId="40329" xr:uid="{00000000-0005-0000-0000-0000B7B20000}"/>
    <cellStyle name="표준 5 5 3 2 2" xfId="588" xr:uid="{00000000-0005-0000-0000-0000B8B20000}"/>
    <cellStyle name="표준 5 5 3 2 2 10" xfId="19957" xr:uid="{00000000-0005-0000-0000-0000B9B20000}"/>
    <cellStyle name="표준 5 5 3 2 2 11" xfId="24053" xr:uid="{00000000-0005-0000-0000-0000BAB20000}"/>
    <cellStyle name="표준 5 5 3 2 2 12" xfId="32264" xr:uid="{00000000-0005-0000-0000-0000BBB20000}"/>
    <cellStyle name="표준 5 5 3 2 2 13" xfId="40457" xr:uid="{00000000-0005-0000-0000-0000BCB20000}"/>
    <cellStyle name="표준 5 5 3 2 2 2" xfId="844" xr:uid="{00000000-0005-0000-0000-0000BDB20000}"/>
    <cellStyle name="표준 5 5 3 2 2 2 10" xfId="24309" xr:uid="{00000000-0005-0000-0000-0000BEB20000}"/>
    <cellStyle name="표준 5 5 3 2 2 2 11" xfId="32520" xr:uid="{00000000-0005-0000-0000-0000BFB20000}"/>
    <cellStyle name="표준 5 5 3 2 2 2 12" xfId="40713" xr:uid="{00000000-0005-0000-0000-0000C0B20000}"/>
    <cellStyle name="표준 5 5 3 2 2 2 2" xfId="1356" xr:uid="{00000000-0005-0000-0000-0000C1B20000}"/>
    <cellStyle name="표준 5 5 3 2 2 2 2 2" xfId="10259" xr:uid="{00000000-0005-0000-0000-0000C2B20000}"/>
    <cellStyle name="표준 5 5 3 2 2 2 2 2 2" xfId="14371" xr:uid="{00000000-0005-0000-0000-0000C3B20000}"/>
    <cellStyle name="표준 5 5 3 2 2 2 2 2 2 2" xfId="30965" xr:uid="{00000000-0005-0000-0000-0000C4B20000}"/>
    <cellStyle name="표준 5 5 3 2 2 2 2 2 2 3" xfId="39176" xr:uid="{00000000-0005-0000-0000-0000C5B20000}"/>
    <cellStyle name="표준 5 5 3 2 2 2 2 2 2 4" xfId="47369" xr:uid="{00000000-0005-0000-0000-0000C6B20000}"/>
    <cellStyle name="표준 5 5 3 2 2 2 2 2 3" xfId="18611" xr:uid="{00000000-0005-0000-0000-0000C7B20000}"/>
    <cellStyle name="표준 5 5 3 2 2 2 2 2 4" xfId="22773" xr:uid="{00000000-0005-0000-0000-0000C8B20000}"/>
    <cellStyle name="표준 5 5 3 2 2 2 2 2 5" xfId="26869" xr:uid="{00000000-0005-0000-0000-0000C9B20000}"/>
    <cellStyle name="표준 5 5 3 2 2 2 2 2 6" xfId="35080" xr:uid="{00000000-0005-0000-0000-0000CAB20000}"/>
    <cellStyle name="표준 5 5 3 2 2 2 2 2 7" xfId="43273" xr:uid="{00000000-0005-0000-0000-0000CBB20000}"/>
    <cellStyle name="표준 5 5 3 2 2 2 2 3" xfId="8211" xr:uid="{00000000-0005-0000-0000-0000CCB20000}"/>
    <cellStyle name="표준 5 5 3 2 2 2 2 3 2" xfId="28917" xr:uid="{00000000-0005-0000-0000-0000CDB20000}"/>
    <cellStyle name="표준 5 5 3 2 2 2 2 3 3" xfId="37128" xr:uid="{00000000-0005-0000-0000-0000CEB20000}"/>
    <cellStyle name="표준 5 5 3 2 2 2 2 3 4" xfId="45321" xr:uid="{00000000-0005-0000-0000-0000CFB20000}"/>
    <cellStyle name="표준 5 5 3 2 2 2 2 4" xfId="12323" xr:uid="{00000000-0005-0000-0000-0000D0B20000}"/>
    <cellStyle name="표준 5 5 3 2 2 2 2 5" xfId="16563" xr:uid="{00000000-0005-0000-0000-0000D1B20000}"/>
    <cellStyle name="표준 5 5 3 2 2 2 2 6" xfId="20725" xr:uid="{00000000-0005-0000-0000-0000D2B20000}"/>
    <cellStyle name="표준 5 5 3 2 2 2 2 7" xfId="24821" xr:uid="{00000000-0005-0000-0000-0000D3B20000}"/>
    <cellStyle name="표준 5 5 3 2 2 2 2 8" xfId="33032" xr:uid="{00000000-0005-0000-0000-0000D4B20000}"/>
    <cellStyle name="표준 5 5 3 2 2 2 2 9" xfId="41225" xr:uid="{00000000-0005-0000-0000-0000D5B20000}"/>
    <cellStyle name="표준 5 5 3 2 2 2 3" xfId="1868" xr:uid="{00000000-0005-0000-0000-0000D6B20000}"/>
    <cellStyle name="표준 5 5 3 2 2 2 3 2" xfId="10771" xr:uid="{00000000-0005-0000-0000-0000D7B20000}"/>
    <cellStyle name="표준 5 5 3 2 2 2 3 2 2" xfId="14883" xr:uid="{00000000-0005-0000-0000-0000D8B20000}"/>
    <cellStyle name="표준 5 5 3 2 2 2 3 2 2 2" xfId="31477" xr:uid="{00000000-0005-0000-0000-0000D9B20000}"/>
    <cellStyle name="표준 5 5 3 2 2 2 3 2 2 3" xfId="39688" xr:uid="{00000000-0005-0000-0000-0000DAB20000}"/>
    <cellStyle name="표준 5 5 3 2 2 2 3 2 2 4" xfId="47881" xr:uid="{00000000-0005-0000-0000-0000DBB20000}"/>
    <cellStyle name="표준 5 5 3 2 2 2 3 2 3" xfId="19123" xr:uid="{00000000-0005-0000-0000-0000DCB20000}"/>
    <cellStyle name="표준 5 5 3 2 2 2 3 2 4" xfId="23285" xr:uid="{00000000-0005-0000-0000-0000DDB20000}"/>
    <cellStyle name="표준 5 5 3 2 2 2 3 2 5" xfId="27381" xr:uid="{00000000-0005-0000-0000-0000DEB20000}"/>
    <cellStyle name="표준 5 5 3 2 2 2 3 2 6" xfId="35592" xr:uid="{00000000-0005-0000-0000-0000DFB20000}"/>
    <cellStyle name="표준 5 5 3 2 2 2 3 2 7" xfId="43785" xr:uid="{00000000-0005-0000-0000-0000E0B20000}"/>
    <cellStyle name="표준 5 5 3 2 2 2 3 3" xfId="8723" xr:uid="{00000000-0005-0000-0000-0000E1B20000}"/>
    <cellStyle name="표준 5 5 3 2 2 2 3 3 2" xfId="29429" xr:uid="{00000000-0005-0000-0000-0000E2B20000}"/>
    <cellStyle name="표준 5 5 3 2 2 2 3 3 3" xfId="37640" xr:uid="{00000000-0005-0000-0000-0000E3B20000}"/>
    <cellStyle name="표준 5 5 3 2 2 2 3 3 4" xfId="45833" xr:uid="{00000000-0005-0000-0000-0000E4B20000}"/>
    <cellStyle name="표준 5 5 3 2 2 2 3 4" xfId="12835" xr:uid="{00000000-0005-0000-0000-0000E5B20000}"/>
    <cellStyle name="표준 5 5 3 2 2 2 3 5" xfId="17075" xr:uid="{00000000-0005-0000-0000-0000E6B20000}"/>
    <cellStyle name="표준 5 5 3 2 2 2 3 6" xfId="21237" xr:uid="{00000000-0005-0000-0000-0000E7B20000}"/>
    <cellStyle name="표준 5 5 3 2 2 2 3 7" xfId="25333" xr:uid="{00000000-0005-0000-0000-0000E8B20000}"/>
    <cellStyle name="표준 5 5 3 2 2 2 3 8" xfId="33544" xr:uid="{00000000-0005-0000-0000-0000E9B20000}"/>
    <cellStyle name="표준 5 5 3 2 2 2 3 9" xfId="41737" xr:uid="{00000000-0005-0000-0000-0000EAB20000}"/>
    <cellStyle name="표준 5 5 3 2 2 2 4" xfId="2380" xr:uid="{00000000-0005-0000-0000-0000EBB20000}"/>
    <cellStyle name="표준 5 5 3 2 2 2 4 2" xfId="11283" xr:uid="{00000000-0005-0000-0000-0000ECB20000}"/>
    <cellStyle name="표준 5 5 3 2 2 2 4 2 2" xfId="15395" xr:uid="{00000000-0005-0000-0000-0000EDB20000}"/>
    <cellStyle name="표준 5 5 3 2 2 2 4 2 2 2" xfId="31989" xr:uid="{00000000-0005-0000-0000-0000EEB20000}"/>
    <cellStyle name="표준 5 5 3 2 2 2 4 2 2 3" xfId="40200" xr:uid="{00000000-0005-0000-0000-0000EFB20000}"/>
    <cellStyle name="표준 5 5 3 2 2 2 4 2 2 4" xfId="48393" xr:uid="{00000000-0005-0000-0000-0000F0B20000}"/>
    <cellStyle name="표준 5 5 3 2 2 2 4 2 3" xfId="19635" xr:uid="{00000000-0005-0000-0000-0000F1B20000}"/>
    <cellStyle name="표준 5 5 3 2 2 2 4 2 4" xfId="23797" xr:uid="{00000000-0005-0000-0000-0000F2B20000}"/>
    <cellStyle name="표준 5 5 3 2 2 2 4 2 5" xfId="27893" xr:uid="{00000000-0005-0000-0000-0000F3B20000}"/>
    <cellStyle name="표준 5 5 3 2 2 2 4 2 6" xfId="36104" xr:uid="{00000000-0005-0000-0000-0000F4B20000}"/>
    <cellStyle name="표준 5 5 3 2 2 2 4 2 7" xfId="44297" xr:uid="{00000000-0005-0000-0000-0000F5B20000}"/>
    <cellStyle name="표준 5 5 3 2 2 2 4 3" xfId="9235" xr:uid="{00000000-0005-0000-0000-0000F6B20000}"/>
    <cellStyle name="표준 5 5 3 2 2 2 4 3 2" xfId="29941" xr:uid="{00000000-0005-0000-0000-0000F7B20000}"/>
    <cellStyle name="표준 5 5 3 2 2 2 4 3 3" xfId="38152" xr:uid="{00000000-0005-0000-0000-0000F8B20000}"/>
    <cellStyle name="표준 5 5 3 2 2 2 4 3 4" xfId="46345" xr:uid="{00000000-0005-0000-0000-0000F9B20000}"/>
    <cellStyle name="표준 5 5 3 2 2 2 4 4" xfId="13347" xr:uid="{00000000-0005-0000-0000-0000FAB20000}"/>
    <cellStyle name="표준 5 5 3 2 2 2 4 5" xfId="17587" xr:uid="{00000000-0005-0000-0000-0000FBB20000}"/>
    <cellStyle name="표준 5 5 3 2 2 2 4 6" xfId="21749" xr:uid="{00000000-0005-0000-0000-0000FCB20000}"/>
    <cellStyle name="표준 5 5 3 2 2 2 4 7" xfId="25845" xr:uid="{00000000-0005-0000-0000-0000FDB20000}"/>
    <cellStyle name="표준 5 5 3 2 2 2 4 8" xfId="34056" xr:uid="{00000000-0005-0000-0000-0000FEB20000}"/>
    <cellStyle name="표준 5 5 3 2 2 2 4 9" xfId="42249" xr:uid="{00000000-0005-0000-0000-0000FFB20000}"/>
    <cellStyle name="표준 5 5 3 2 2 2 5" xfId="9747" xr:uid="{00000000-0005-0000-0000-000000B30000}"/>
    <cellStyle name="표준 5 5 3 2 2 2 5 2" xfId="13859" xr:uid="{00000000-0005-0000-0000-000001B30000}"/>
    <cellStyle name="표준 5 5 3 2 2 2 5 2 2" xfId="30453" xr:uid="{00000000-0005-0000-0000-000002B30000}"/>
    <cellStyle name="표준 5 5 3 2 2 2 5 2 3" xfId="38664" xr:uid="{00000000-0005-0000-0000-000003B30000}"/>
    <cellStyle name="표준 5 5 3 2 2 2 5 2 4" xfId="46857" xr:uid="{00000000-0005-0000-0000-000004B30000}"/>
    <cellStyle name="표준 5 5 3 2 2 2 5 3" xfId="18099" xr:uid="{00000000-0005-0000-0000-000005B30000}"/>
    <cellStyle name="표준 5 5 3 2 2 2 5 4" xfId="22261" xr:uid="{00000000-0005-0000-0000-000006B30000}"/>
    <cellStyle name="표준 5 5 3 2 2 2 5 5" xfId="26357" xr:uid="{00000000-0005-0000-0000-000007B30000}"/>
    <cellStyle name="표준 5 5 3 2 2 2 5 6" xfId="34568" xr:uid="{00000000-0005-0000-0000-000008B30000}"/>
    <cellStyle name="표준 5 5 3 2 2 2 5 7" xfId="42761" xr:uid="{00000000-0005-0000-0000-000009B30000}"/>
    <cellStyle name="표준 5 5 3 2 2 2 6" xfId="7699" xr:uid="{00000000-0005-0000-0000-00000AB30000}"/>
    <cellStyle name="표준 5 5 3 2 2 2 6 2" xfId="28405" xr:uid="{00000000-0005-0000-0000-00000BB30000}"/>
    <cellStyle name="표준 5 5 3 2 2 2 6 3" xfId="36616" xr:uid="{00000000-0005-0000-0000-00000CB30000}"/>
    <cellStyle name="표준 5 5 3 2 2 2 6 4" xfId="44809" xr:uid="{00000000-0005-0000-0000-00000DB30000}"/>
    <cellStyle name="표준 5 5 3 2 2 2 7" xfId="11811" xr:uid="{00000000-0005-0000-0000-00000EB30000}"/>
    <cellStyle name="표준 5 5 3 2 2 2 8" xfId="16051" xr:uid="{00000000-0005-0000-0000-00000FB30000}"/>
    <cellStyle name="표준 5 5 3 2 2 2 9" xfId="20213" xr:uid="{00000000-0005-0000-0000-000010B30000}"/>
    <cellStyle name="표준 5 5 3 2 2 3" xfId="1100" xr:uid="{00000000-0005-0000-0000-000011B30000}"/>
    <cellStyle name="표준 5 5 3 2 2 3 2" xfId="10003" xr:uid="{00000000-0005-0000-0000-000012B30000}"/>
    <cellStyle name="표준 5 5 3 2 2 3 2 2" xfId="14115" xr:uid="{00000000-0005-0000-0000-000013B30000}"/>
    <cellStyle name="표준 5 5 3 2 2 3 2 2 2" xfId="30709" xr:uid="{00000000-0005-0000-0000-000014B30000}"/>
    <cellStyle name="표준 5 5 3 2 2 3 2 2 3" xfId="38920" xr:uid="{00000000-0005-0000-0000-000015B30000}"/>
    <cellStyle name="표준 5 5 3 2 2 3 2 2 4" xfId="47113" xr:uid="{00000000-0005-0000-0000-000016B30000}"/>
    <cellStyle name="표준 5 5 3 2 2 3 2 3" xfId="18355" xr:uid="{00000000-0005-0000-0000-000017B30000}"/>
    <cellStyle name="표준 5 5 3 2 2 3 2 4" xfId="22517" xr:uid="{00000000-0005-0000-0000-000018B30000}"/>
    <cellStyle name="표준 5 5 3 2 2 3 2 5" xfId="26613" xr:uid="{00000000-0005-0000-0000-000019B30000}"/>
    <cellStyle name="표준 5 5 3 2 2 3 2 6" xfId="34824" xr:uid="{00000000-0005-0000-0000-00001AB30000}"/>
    <cellStyle name="표준 5 5 3 2 2 3 2 7" xfId="43017" xr:uid="{00000000-0005-0000-0000-00001BB30000}"/>
    <cellStyle name="표준 5 5 3 2 2 3 3" xfId="7955" xr:uid="{00000000-0005-0000-0000-00001CB30000}"/>
    <cellStyle name="표준 5 5 3 2 2 3 3 2" xfId="28661" xr:uid="{00000000-0005-0000-0000-00001DB30000}"/>
    <cellStyle name="표준 5 5 3 2 2 3 3 3" xfId="36872" xr:uid="{00000000-0005-0000-0000-00001EB30000}"/>
    <cellStyle name="표준 5 5 3 2 2 3 3 4" xfId="45065" xr:uid="{00000000-0005-0000-0000-00001FB30000}"/>
    <cellStyle name="표준 5 5 3 2 2 3 4" xfId="12067" xr:uid="{00000000-0005-0000-0000-000020B30000}"/>
    <cellStyle name="표준 5 5 3 2 2 3 5" xfId="16307" xr:uid="{00000000-0005-0000-0000-000021B30000}"/>
    <cellStyle name="표준 5 5 3 2 2 3 6" xfId="20469" xr:uid="{00000000-0005-0000-0000-000022B30000}"/>
    <cellStyle name="표준 5 5 3 2 2 3 7" xfId="24565" xr:uid="{00000000-0005-0000-0000-000023B30000}"/>
    <cellStyle name="표준 5 5 3 2 2 3 8" xfId="32776" xr:uid="{00000000-0005-0000-0000-000024B30000}"/>
    <cellStyle name="표준 5 5 3 2 2 3 9" xfId="40969" xr:uid="{00000000-0005-0000-0000-000025B30000}"/>
    <cellStyle name="표준 5 5 3 2 2 4" xfId="1612" xr:uid="{00000000-0005-0000-0000-000026B30000}"/>
    <cellStyle name="표준 5 5 3 2 2 4 2" xfId="10515" xr:uid="{00000000-0005-0000-0000-000027B30000}"/>
    <cellStyle name="표준 5 5 3 2 2 4 2 2" xfId="14627" xr:uid="{00000000-0005-0000-0000-000028B30000}"/>
    <cellStyle name="표준 5 5 3 2 2 4 2 2 2" xfId="31221" xr:uid="{00000000-0005-0000-0000-000029B30000}"/>
    <cellStyle name="표준 5 5 3 2 2 4 2 2 3" xfId="39432" xr:uid="{00000000-0005-0000-0000-00002AB30000}"/>
    <cellStyle name="표준 5 5 3 2 2 4 2 2 4" xfId="47625" xr:uid="{00000000-0005-0000-0000-00002BB30000}"/>
    <cellStyle name="표준 5 5 3 2 2 4 2 3" xfId="18867" xr:uid="{00000000-0005-0000-0000-00002CB30000}"/>
    <cellStyle name="표준 5 5 3 2 2 4 2 4" xfId="23029" xr:uid="{00000000-0005-0000-0000-00002DB30000}"/>
    <cellStyle name="표준 5 5 3 2 2 4 2 5" xfId="27125" xr:uid="{00000000-0005-0000-0000-00002EB30000}"/>
    <cellStyle name="표준 5 5 3 2 2 4 2 6" xfId="35336" xr:uid="{00000000-0005-0000-0000-00002FB30000}"/>
    <cellStyle name="표준 5 5 3 2 2 4 2 7" xfId="43529" xr:uid="{00000000-0005-0000-0000-000030B30000}"/>
    <cellStyle name="표준 5 5 3 2 2 4 3" xfId="8467" xr:uid="{00000000-0005-0000-0000-000031B30000}"/>
    <cellStyle name="표준 5 5 3 2 2 4 3 2" xfId="29173" xr:uid="{00000000-0005-0000-0000-000032B30000}"/>
    <cellStyle name="표준 5 5 3 2 2 4 3 3" xfId="37384" xr:uid="{00000000-0005-0000-0000-000033B30000}"/>
    <cellStyle name="표준 5 5 3 2 2 4 3 4" xfId="45577" xr:uid="{00000000-0005-0000-0000-000034B30000}"/>
    <cellStyle name="표준 5 5 3 2 2 4 4" xfId="12579" xr:uid="{00000000-0005-0000-0000-000035B30000}"/>
    <cellStyle name="표준 5 5 3 2 2 4 5" xfId="16819" xr:uid="{00000000-0005-0000-0000-000036B30000}"/>
    <cellStyle name="표준 5 5 3 2 2 4 6" xfId="20981" xr:uid="{00000000-0005-0000-0000-000037B30000}"/>
    <cellStyle name="표준 5 5 3 2 2 4 7" xfId="25077" xr:uid="{00000000-0005-0000-0000-000038B30000}"/>
    <cellStyle name="표준 5 5 3 2 2 4 8" xfId="33288" xr:uid="{00000000-0005-0000-0000-000039B30000}"/>
    <cellStyle name="표준 5 5 3 2 2 4 9" xfId="41481" xr:uid="{00000000-0005-0000-0000-00003AB30000}"/>
    <cellStyle name="표준 5 5 3 2 2 5" xfId="2124" xr:uid="{00000000-0005-0000-0000-00003BB30000}"/>
    <cellStyle name="표준 5 5 3 2 2 5 2" xfId="11027" xr:uid="{00000000-0005-0000-0000-00003CB30000}"/>
    <cellStyle name="표준 5 5 3 2 2 5 2 2" xfId="15139" xr:uid="{00000000-0005-0000-0000-00003DB30000}"/>
    <cellStyle name="표준 5 5 3 2 2 5 2 2 2" xfId="31733" xr:uid="{00000000-0005-0000-0000-00003EB30000}"/>
    <cellStyle name="표준 5 5 3 2 2 5 2 2 3" xfId="39944" xr:uid="{00000000-0005-0000-0000-00003FB30000}"/>
    <cellStyle name="표준 5 5 3 2 2 5 2 2 4" xfId="48137" xr:uid="{00000000-0005-0000-0000-000040B30000}"/>
    <cellStyle name="표준 5 5 3 2 2 5 2 3" xfId="19379" xr:uid="{00000000-0005-0000-0000-000041B30000}"/>
    <cellStyle name="표준 5 5 3 2 2 5 2 4" xfId="23541" xr:uid="{00000000-0005-0000-0000-000042B30000}"/>
    <cellStyle name="표준 5 5 3 2 2 5 2 5" xfId="27637" xr:uid="{00000000-0005-0000-0000-000043B30000}"/>
    <cellStyle name="표준 5 5 3 2 2 5 2 6" xfId="35848" xr:uid="{00000000-0005-0000-0000-000044B30000}"/>
    <cellStyle name="표준 5 5 3 2 2 5 2 7" xfId="44041" xr:uid="{00000000-0005-0000-0000-000045B30000}"/>
    <cellStyle name="표준 5 5 3 2 2 5 3" xfId="8979" xr:uid="{00000000-0005-0000-0000-000046B30000}"/>
    <cellStyle name="표준 5 5 3 2 2 5 3 2" xfId="29685" xr:uid="{00000000-0005-0000-0000-000047B30000}"/>
    <cellStyle name="표준 5 5 3 2 2 5 3 3" xfId="37896" xr:uid="{00000000-0005-0000-0000-000048B30000}"/>
    <cellStyle name="표준 5 5 3 2 2 5 3 4" xfId="46089" xr:uid="{00000000-0005-0000-0000-000049B30000}"/>
    <cellStyle name="표준 5 5 3 2 2 5 4" xfId="13091" xr:uid="{00000000-0005-0000-0000-00004AB30000}"/>
    <cellStyle name="표준 5 5 3 2 2 5 5" xfId="17331" xr:uid="{00000000-0005-0000-0000-00004BB30000}"/>
    <cellStyle name="표준 5 5 3 2 2 5 6" xfId="21493" xr:uid="{00000000-0005-0000-0000-00004CB30000}"/>
    <cellStyle name="표준 5 5 3 2 2 5 7" xfId="25589" xr:uid="{00000000-0005-0000-0000-00004DB30000}"/>
    <cellStyle name="표준 5 5 3 2 2 5 8" xfId="33800" xr:uid="{00000000-0005-0000-0000-00004EB30000}"/>
    <cellStyle name="표준 5 5 3 2 2 5 9" xfId="41993" xr:uid="{00000000-0005-0000-0000-00004FB30000}"/>
    <cellStyle name="표준 5 5 3 2 2 6" xfId="9491" xr:uid="{00000000-0005-0000-0000-000050B30000}"/>
    <cellStyle name="표준 5 5 3 2 2 6 2" xfId="13603" xr:uid="{00000000-0005-0000-0000-000051B30000}"/>
    <cellStyle name="표준 5 5 3 2 2 6 2 2" xfId="30197" xr:uid="{00000000-0005-0000-0000-000052B30000}"/>
    <cellStyle name="표준 5 5 3 2 2 6 2 3" xfId="38408" xr:uid="{00000000-0005-0000-0000-000053B30000}"/>
    <cellStyle name="표준 5 5 3 2 2 6 2 4" xfId="46601" xr:uid="{00000000-0005-0000-0000-000054B30000}"/>
    <cellStyle name="표준 5 5 3 2 2 6 3" xfId="17843" xr:uid="{00000000-0005-0000-0000-000055B30000}"/>
    <cellStyle name="표준 5 5 3 2 2 6 4" xfId="22005" xr:uid="{00000000-0005-0000-0000-000056B30000}"/>
    <cellStyle name="표준 5 5 3 2 2 6 5" xfId="26101" xr:uid="{00000000-0005-0000-0000-000057B30000}"/>
    <cellStyle name="표준 5 5 3 2 2 6 6" xfId="34312" xr:uid="{00000000-0005-0000-0000-000058B30000}"/>
    <cellStyle name="표준 5 5 3 2 2 6 7" xfId="42505" xr:uid="{00000000-0005-0000-0000-000059B30000}"/>
    <cellStyle name="표준 5 5 3 2 2 7" xfId="7443" xr:uid="{00000000-0005-0000-0000-00005AB30000}"/>
    <cellStyle name="표준 5 5 3 2 2 7 2" xfId="28149" xr:uid="{00000000-0005-0000-0000-00005BB30000}"/>
    <cellStyle name="표준 5 5 3 2 2 7 3" xfId="36360" xr:uid="{00000000-0005-0000-0000-00005CB30000}"/>
    <cellStyle name="표준 5 5 3 2 2 7 4" xfId="44553" xr:uid="{00000000-0005-0000-0000-00005DB30000}"/>
    <cellStyle name="표준 5 5 3 2 2 8" xfId="11555" xr:uid="{00000000-0005-0000-0000-00005EB30000}"/>
    <cellStyle name="표준 5 5 3 2 2 9" xfId="15795" xr:uid="{00000000-0005-0000-0000-00005FB30000}"/>
    <cellStyle name="표준 5 5 3 2 3" xfId="716" xr:uid="{00000000-0005-0000-0000-000060B30000}"/>
    <cellStyle name="표준 5 5 3 2 3 10" xfId="24181" xr:uid="{00000000-0005-0000-0000-000061B30000}"/>
    <cellStyle name="표준 5 5 3 2 3 11" xfId="32392" xr:uid="{00000000-0005-0000-0000-000062B30000}"/>
    <cellStyle name="표준 5 5 3 2 3 12" xfId="40585" xr:uid="{00000000-0005-0000-0000-000063B30000}"/>
    <cellStyle name="표준 5 5 3 2 3 2" xfId="1228" xr:uid="{00000000-0005-0000-0000-000064B30000}"/>
    <cellStyle name="표준 5 5 3 2 3 2 2" xfId="10131" xr:uid="{00000000-0005-0000-0000-000065B30000}"/>
    <cellStyle name="표준 5 5 3 2 3 2 2 2" xfId="14243" xr:uid="{00000000-0005-0000-0000-000066B30000}"/>
    <cellStyle name="표준 5 5 3 2 3 2 2 2 2" xfId="30837" xr:uid="{00000000-0005-0000-0000-000067B30000}"/>
    <cellStyle name="표준 5 5 3 2 3 2 2 2 3" xfId="39048" xr:uid="{00000000-0005-0000-0000-000068B30000}"/>
    <cellStyle name="표준 5 5 3 2 3 2 2 2 4" xfId="47241" xr:uid="{00000000-0005-0000-0000-000069B30000}"/>
    <cellStyle name="표준 5 5 3 2 3 2 2 3" xfId="18483" xr:uid="{00000000-0005-0000-0000-00006AB30000}"/>
    <cellStyle name="표준 5 5 3 2 3 2 2 4" xfId="22645" xr:uid="{00000000-0005-0000-0000-00006BB30000}"/>
    <cellStyle name="표준 5 5 3 2 3 2 2 5" xfId="26741" xr:uid="{00000000-0005-0000-0000-00006CB30000}"/>
    <cellStyle name="표준 5 5 3 2 3 2 2 6" xfId="34952" xr:uid="{00000000-0005-0000-0000-00006DB30000}"/>
    <cellStyle name="표준 5 5 3 2 3 2 2 7" xfId="43145" xr:uid="{00000000-0005-0000-0000-00006EB30000}"/>
    <cellStyle name="표준 5 5 3 2 3 2 3" xfId="8083" xr:uid="{00000000-0005-0000-0000-00006FB30000}"/>
    <cellStyle name="표준 5 5 3 2 3 2 3 2" xfId="28789" xr:uid="{00000000-0005-0000-0000-000070B30000}"/>
    <cellStyle name="표준 5 5 3 2 3 2 3 3" xfId="37000" xr:uid="{00000000-0005-0000-0000-000071B30000}"/>
    <cellStyle name="표준 5 5 3 2 3 2 3 4" xfId="45193" xr:uid="{00000000-0005-0000-0000-000072B30000}"/>
    <cellStyle name="표준 5 5 3 2 3 2 4" xfId="12195" xr:uid="{00000000-0005-0000-0000-000073B30000}"/>
    <cellStyle name="표준 5 5 3 2 3 2 5" xfId="16435" xr:uid="{00000000-0005-0000-0000-000074B30000}"/>
    <cellStyle name="표준 5 5 3 2 3 2 6" xfId="20597" xr:uid="{00000000-0005-0000-0000-000075B30000}"/>
    <cellStyle name="표준 5 5 3 2 3 2 7" xfId="24693" xr:uid="{00000000-0005-0000-0000-000076B30000}"/>
    <cellStyle name="표준 5 5 3 2 3 2 8" xfId="32904" xr:uid="{00000000-0005-0000-0000-000077B30000}"/>
    <cellStyle name="표준 5 5 3 2 3 2 9" xfId="41097" xr:uid="{00000000-0005-0000-0000-000078B30000}"/>
    <cellStyle name="표준 5 5 3 2 3 3" xfId="1740" xr:uid="{00000000-0005-0000-0000-000079B30000}"/>
    <cellStyle name="표준 5 5 3 2 3 3 2" xfId="10643" xr:uid="{00000000-0005-0000-0000-00007AB30000}"/>
    <cellStyle name="표준 5 5 3 2 3 3 2 2" xfId="14755" xr:uid="{00000000-0005-0000-0000-00007BB30000}"/>
    <cellStyle name="표준 5 5 3 2 3 3 2 2 2" xfId="31349" xr:uid="{00000000-0005-0000-0000-00007CB30000}"/>
    <cellStyle name="표준 5 5 3 2 3 3 2 2 3" xfId="39560" xr:uid="{00000000-0005-0000-0000-00007DB30000}"/>
    <cellStyle name="표준 5 5 3 2 3 3 2 2 4" xfId="47753" xr:uid="{00000000-0005-0000-0000-00007EB30000}"/>
    <cellStyle name="표준 5 5 3 2 3 3 2 3" xfId="18995" xr:uid="{00000000-0005-0000-0000-00007FB30000}"/>
    <cellStyle name="표준 5 5 3 2 3 3 2 4" xfId="23157" xr:uid="{00000000-0005-0000-0000-000080B30000}"/>
    <cellStyle name="표준 5 5 3 2 3 3 2 5" xfId="27253" xr:uid="{00000000-0005-0000-0000-000081B30000}"/>
    <cellStyle name="표준 5 5 3 2 3 3 2 6" xfId="35464" xr:uid="{00000000-0005-0000-0000-000082B30000}"/>
    <cellStyle name="표준 5 5 3 2 3 3 2 7" xfId="43657" xr:uid="{00000000-0005-0000-0000-000083B30000}"/>
    <cellStyle name="표준 5 5 3 2 3 3 3" xfId="8595" xr:uid="{00000000-0005-0000-0000-000084B30000}"/>
    <cellStyle name="표준 5 5 3 2 3 3 3 2" xfId="29301" xr:uid="{00000000-0005-0000-0000-000085B30000}"/>
    <cellStyle name="표준 5 5 3 2 3 3 3 3" xfId="37512" xr:uid="{00000000-0005-0000-0000-000086B30000}"/>
    <cellStyle name="표준 5 5 3 2 3 3 3 4" xfId="45705" xr:uid="{00000000-0005-0000-0000-000087B30000}"/>
    <cellStyle name="표준 5 5 3 2 3 3 4" xfId="12707" xr:uid="{00000000-0005-0000-0000-000088B30000}"/>
    <cellStyle name="표준 5 5 3 2 3 3 5" xfId="16947" xr:uid="{00000000-0005-0000-0000-000089B30000}"/>
    <cellStyle name="표준 5 5 3 2 3 3 6" xfId="21109" xr:uid="{00000000-0005-0000-0000-00008AB30000}"/>
    <cellStyle name="표준 5 5 3 2 3 3 7" xfId="25205" xr:uid="{00000000-0005-0000-0000-00008BB30000}"/>
    <cellStyle name="표준 5 5 3 2 3 3 8" xfId="33416" xr:uid="{00000000-0005-0000-0000-00008CB30000}"/>
    <cellStyle name="표준 5 5 3 2 3 3 9" xfId="41609" xr:uid="{00000000-0005-0000-0000-00008DB30000}"/>
    <cellStyle name="표준 5 5 3 2 3 4" xfId="2252" xr:uid="{00000000-0005-0000-0000-00008EB30000}"/>
    <cellStyle name="표준 5 5 3 2 3 4 2" xfId="11155" xr:uid="{00000000-0005-0000-0000-00008FB30000}"/>
    <cellStyle name="표준 5 5 3 2 3 4 2 2" xfId="15267" xr:uid="{00000000-0005-0000-0000-000090B30000}"/>
    <cellStyle name="표준 5 5 3 2 3 4 2 2 2" xfId="31861" xr:uid="{00000000-0005-0000-0000-000091B30000}"/>
    <cellStyle name="표준 5 5 3 2 3 4 2 2 3" xfId="40072" xr:uid="{00000000-0005-0000-0000-000092B30000}"/>
    <cellStyle name="표준 5 5 3 2 3 4 2 2 4" xfId="48265" xr:uid="{00000000-0005-0000-0000-000093B30000}"/>
    <cellStyle name="표준 5 5 3 2 3 4 2 3" xfId="19507" xr:uid="{00000000-0005-0000-0000-000094B30000}"/>
    <cellStyle name="표준 5 5 3 2 3 4 2 4" xfId="23669" xr:uid="{00000000-0005-0000-0000-000095B30000}"/>
    <cellStyle name="표준 5 5 3 2 3 4 2 5" xfId="27765" xr:uid="{00000000-0005-0000-0000-000096B30000}"/>
    <cellStyle name="표준 5 5 3 2 3 4 2 6" xfId="35976" xr:uid="{00000000-0005-0000-0000-000097B30000}"/>
    <cellStyle name="표준 5 5 3 2 3 4 2 7" xfId="44169" xr:uid="{00000000-0005-0000-0000-000098B30000}"/>
    <cellStyle name="표준 5 5 3 2 3 4 3" xfId="9107" xr:uid="{00000000-0005-0000-0000-000099B30000}"/>
    <cellStyle name="표준 5 5 3 2 3 4 3 2" xfId="29813" xr:uid="{00000000-0005-0000-0000-00009AB30000}"/>
    <cellStyle name="표준 5 5 3 2 3 4 3 3" xfId="38024" xr:uid="{00000000-0005-0000-0000-00009BB30000}"/>
    <cellStyle name="표준 5 5 3 2 3 4 3 4" xfId="46217" xr:uid="{00000000-0005-0000-0000-00009CB30000}"/>
    <cellStyle name="표준 5 5 3 2 3 4 4" xfId="13219" xr:uid="{00000000-0005-0000-0000-00009DB30000}"/>
    <cellStyle name="표준 5 5 3 2 3 4 5" xfId="17459" xr:uid="{00000000-0005-0000-0000-00009EB30000}"/>
    <cellStyle name="표준 5 5 3 2 3 4 6" xfId="21621" xr:uid="{00000000-0005-0000-0000-00009FB30000}"/>
    <cellStyle name="표준 5 5 3 2 3 4 7" xfId="25717" xr:uid="{00000000-0005-0000-0000-0000A0B30000}"/>
    <cellStyle name="표준 5 5 3 2 3 4 8" xfId="33928" xr:uid="{00000000-0005-0000-0000-0000A1B30000}"/>
    <cellStyle name="표준 5 5 3 2 3 4 9" xfId="42121" xr:uid="{00000000-0005-0000-0000-0000A2B30000}"/>
    <cellStyle name="표준 5 5 3 2 3 5" xfId="9619" xr:uid="{00000000-0005-0000-0000-0000A3B30000}"/>
    <cellStyle name="표준 5 5 3 2 3 5 2" xfId="13731" xr:uid="{00000000-0005-0000-0000-0000A4B30000}"/>
    <cellStyle name="표준 5 5 3 2 3 5 2 2" xfId="30325" xr:uid="{00000000-0005-0000-0000-0000A5B30000}"/>
    <cellStyle name="표준 5 5 3 2 3 5 2 3" xfId="38536" xr:uid="{00000000-0005-0000-0000-0000A6B30000}"/>
    <cellStyle name="표준 5 5 3 2 3 5 2 4" xfId="46729" xr:uid="{00000000-0005-0000-0000-0000A7B30000}"/>
    <cellStyle name="표준 5 5 3 2 3 5 3" xfId="17971" xr:uid="{00000000-0005-0000-0000-0000A8B30000}"/>
    <cellStyle name="표준 5 5 3 2 3 5 4" xfId="22133" xr:uid="{00000000-0005-0000-0000-0000A9B30000}"/>
    <cellStyle name="표준 5 5 3 2 3 5 5" xfId="26229" xr:uid="{00000000-0005-0000-0000-0000AAB30000}"/>
    <cellStyle name="표준 5 5 3 2 3 5 6" xfId="34440" xr:uid="{00000000-0005-0000-0000-0000ABB30000}"/>
    <cellStyle name="표준 5 5 3 2 3 5 7" xfId="42633" xr:uid="{00000000-0005-0000-0000-0000ACB30000}"/>
    <cellStyle name="표준 5 5 3 2 3 6" xfId="7571" xr:uid="{00000000-0005-0000-0000-0000ADB30000}"/>
    <cellStyle name="표준 5 5 3 2 3 6 2" xfId="28277" xr:uid="{00000000-0005-0000-0000-0000AEB30000}"/>
    <cellStyle name="표준 5 5 3 2 3 6 3" xfId="36488" xr:uid="{00000000-0005-0000-0000-0000AFB30000}"/>
    <cellStyle name="표준 5 5 3 2 3 6 4" xfId="44681" xr:uid="{00000000-0005-0000-0000-0000B0B30000}"/>
    <cellStyle name="표준 5 5 3 2 3 7" xfId="11683" xr:uid="{00000000-0005-0000-0000-0000B1B30000}"/>
    <cellStyle name="표준 5 5 3 2 3 8" xfId="15923" xr:uid="{00000000-0005-0000-0000-0000B2B30000}"/>
    <cellStyle name="표준 5 5 3 2 3 9" xfId="20085" xr:uid="{00000000-0005-0000-0000-0000B3B30000}"/>
    <cellStyle name="표준 5 5 3 2 4" xfId="972" xr:uid="{00000000-0005-0000-0000-0000B4B30000}"/>
    <cellStyle name="표준 5 5 3 2 4 2" xfId="9875" xr:uid="{00000000-0005-0000-0000-0000B5B30000}"/>
    <cellStyle name="표준 5 5 3 2 4 2 2" xfId="13987" xr:uid="{00000000-0005-0000-0000-0000B6B30000}"/>
    <cellStyle name="표준 5 5 3 2 4 2 2 2" xfId="30581" xr:uid="{00000000-0005-0000-0000-0000B7B30000}"/>
    <cellStyle name="표준 5 5 3 2 4 2 2 3" xfId="38792" xr:uid="{00000000-0005-0000-0000-0000B8B30000}"/>
    <cellStyle name="표준 5 5 3 2 4 2 2 4" xfId="46985" xr:uid="{00000000-0005-0000-0000-0000B9B30000}"/>
    <cellStyle name="표준 5 5 3 2 4 2 3" xfId="18227" xr:uid="{00000000-0005-0000-0000-0000BAB30000}"/>
    <cellStyle name="표준 5 5 3 2 4 2 4" xfId="22389" xr:uid="{00000000-0005-0000-0000-0000BBB30000}"/>
    <cellStyle name="표준 5 5 3 2 4 2 5" xfId="26485" xr:uid="{00000000-0005-0000-0000-0000BCB30000}"/>
    <cellStyle name="표준 5 5 3 2 4 2 6" xfId="34696" xr:uid="{00000000-0005-0000-0000-0000BDB30000}"/>
    <cellStyle name="표준 5 5 3 2 4 2 7" xfId="42889" xr:uid="{00000000-0005-0000-0000-0000BEB30000}"/>
    <cellStyle name="표준 5 5 3 2 4 3" xfId="7827" xr:uid="{00000000-0005-0000-0000-0000BFB30000}"/>
    <cellStyle name="표준 5 5 3 2 4 3 2" xfId="28533" xr:uid="{00000000-0005-0000-0000-0000C0B30000}"/>
    <cellStyle name="표준 5 5 3 2 4 3 3" xfId="36744" xr:uid="{00000000-0005-0000-0000-0000C1B30000}"/>
    <cellStyle name="표준 5 5 3 2 4 3 4" xfId="44937" xr:uid="{00000000-0005-0000-0000-0000C2B30000}"/>
    <cellStyle name="표준 5 5 3 2 4 4" xfId="11939" xr:uid="{00000000-0005-0000-0000-0000C3B30000}"/>
    <cellStyle name="표준 5 5 3 2 4 5" xfId="16179" xr:uid="{00000000-0005-0000-0000-0000C4B30000}"/>
    <cellStyle name="표준 5 5 3 2 4 6" xfId="20341" xr:uid="{00000000-0005-0000-0000-0000C5B30000}"/>
    <cellStyle name="표준 5 5 3 2 4 7" xfId="24437" xr:uid="{00000000-0005-0000-0000-0000C6B30000}"/>
    <cellStyle name="표준 5 5 3 2 4 8" xfId="32648" xr:uid="{00000000-0005-0000-0000-0000C7B30000}"/>
    <cellStyle name="표준 5 5 3 2 4 9" xfId="40841" xr:uid="{00000000-0005-0000-0000-0000C8B30000}"/>
    <cellStyle name="표준 5 5 3 2 5" xfId="1484" xr:uid="{00000000-0005-0000-0000-0000C9B30000}"/>
    <cellStyle name="표준 5 5 3 2 5 2" xfId="10387" xr:uid="{00000000-0005-0000-0000-0000CAB30000}"/>
    <cellStyle name="표준 5 5 3 2 5 2 2" xfId="14499" xr:uid="{00000000-0005-0000-0000-0000CBB30000}"/>
    <cellStyle name="표준 5 5 3 2 5 2 2 2" xfId="31093" xr:uid="{00000000-0005-0000-0000-0000CCB30000}"/>
    <cellStyle name="표준 5 5 3 2 5 2 2 3" xfId="39304" xr:uid="{00000000-0005-0000-0000-0000CDB30000}"/>
    <cellStyle name="표준 5 5 3 2 5 2 2 4" xfId="47497" xr:uid="{00000000-0005-0000-0000-0000CEB30000}"/>
    <cellStyle name="표준 5 5 3 2 5 2 3" xfId="18739" xr:uid="{00000000-0005-0000-0000-0000CFB30000}"/>
    <cellStyle name="표준 5 5 3 2 5 2 4" xfId="22901" xr:uid="{00000000-0005-0000-0000-0000D0B30000}"/>
    <cellStyle name="표준 5 5 3 2 5 2 5" xfId="26997" xr:uid="{00000000-0005-0000-0000-0000D1B30000}"/>
    <cellStyle name="표준 5 5 3 2 5 2 6" xfId="35208" xr:uid="{00000000-0005-0000-0000-0000D2B30000}"/>
    <cellStyle name="표준 5 5 3 2 5 2 7" xfId="43401" xr:uid="{00000000-0005-0000-0000-0000D3B30000}"/>
    <cellStyle name="표준 5 5 3 2 5 3" xfId="8339" xr:uid="{00000000-0005-0000-0000-0000D4B30000}"/>
    <cellStyle name="표준 5 5 3 2 5 3 2" xfId="29045" xr:uid="{00000000-0005-0000-0000-0000D5B30000}"/>
    <cellStyle name="표준 5 5 3 2 5 3 3" xfId="37256" xr:uid="{00000000-0005-0000-0000-0000D6B30000}"/>
    <cellStyle name="표준 5 5 3 2 5 3 4" xfId="45449" xr:uid="{00000000-0005-0000-0000-0000D7B30000}"/>
    <cellStyle name="표준 5 5 3 2 5 4" xfId="12451" xr:uid="{00000000-0005-0000-0000-0000D8B30000}"/>
    <cellStyle name="표준 5 5 3 2 5 5" xfId="16691" xr:uid="{00000000-0005-0000-0000-0000D9B30000}"/>
    <cellStyle name="표준 5 5 3 2 5 6" xfId="20853" xr:uid="{00000000-0005-0000-0000-0000DAB30000}"/>
    <cellStyle name="표준 5 5 3 2 5 7" xfId="24949" xr:uid="{00000000-0005-0000-0000-0000DBB30000}"/>
    <cellStyle name="표준 5 5 3 2 5 8" xfId="33160" xr:uid="{00000000-0005-0000-0000-0000DCB30000}"/>
    <cellStyle name="표준 5 5 3 2 5 9" xfId="41353" xr:uid="{00000000-0005-0000-0000-0000DDB30000}"/>
    <cellStyle name="표준 5 5 3 2 6" xfId="1996" xr:uid="{00000000-0005-0000-0000-0000DEB30000}"/>
    <cellStyle name="표준 5 5 3 2 6 2" xfId="10899" xr:uid="{00000000-0005-0000-0000-0000DFB30000}"/>
    <cellStyle name="표준 5 5 3 2 6 2 2" xfId="15011" xr:uid="{00000000-0005-0000-0000-0000E0B30000}"/>
    <cellStyle name="표준 5 5 3 2 6 2 2 2" xfId="31605" xr:uid="{00000000-0005-0000-0000-0000E1B30000}"/>
    <cellStyle name="표준 5 5 3 2 6 2 2 3" xfId="39816" xr:uid="{00000000-0005-0000-0000-0000E2B30000}"/>
    <cellStyle name="표준 5 5 3 2 6 2 2 4" xfId="48009" xr:uid="{00000000-0005-0000-0000-0000E3B30000}"/>
    <cellStyle name="표준 5 5 3 2 6 2 3" xfId="19251" xr:uid="{00000000-0005-0000-0000-0000E4B30000}"/>
    <cellStyle name="표준 5 5 3 2 6 2 4" xfId="23413" xr:uid="{00000000-0005-0000-0000-0000E5B30000}"/>
    <cellStyle name="표준 5 5 3 2 6 2 5" xfId="27509" xr:uid="{00000000-0005-0000-0000-0000E6B30000}"/>
    <cellStyle name="표준 5 5 3 2 6 2 6" xfId="35720" xr:uid="{00000000-0005-0000-0000-0000E7B30000}"/>
    <cellStyle name="표준 5 5 3 2 6 2 7" xfId="43913" xr:uid="{00000000-0005-0000-0000-0000E8B30000}"/>
    <cellStyle name="표준 5 5 3 2 6 3" xfId="8851" xr:uid="{00000000-0005-0000-0000-0000E9B30000}"/>
    <cellStyle name="표준 5 5 3 2 6 3 2" xfId="29557" xr:uid="{00000000-0005-0000-0000-0000EAB30000}"/>
    <cellStyle name="표준 5 5 3 2 6 3 3" xfId="37768" xr:uid="{00000000-0005-0000-0000-0000EBB30000}"/>
    <cellStyle name="표준 5 5 3 2 6 3 4" xfId="45961" xr:uid="{00000000-0005-0000-0000-0000ECB30000}"/>
    <cellStyle name="표준 5 5 3 2 6 4" xfId="12963" xr:uid="{00000000-0005-0000-0000-0000EDB30000}"/>
    <cellStyle name="표준 5 5 3 2 6 5" xfId="17203" xr:uid="{00000000-0005-0000-0000-0000EEB30000}"/>
    <cellStyle name="표준 5 5 3 2 6 6" xfId="21365" xr:uid="{00000000-0005-0000-0000-0000EFB30000}"/>
    <cellStyle name="표준 5 5 3 2 6 7" xfId="25461" xr:uid="{00000000-0005-0000-0000-0000F0B30000}"/>
    <cellStyle name="표준 5 5 3 2 6 8" xfId="33672" xr:uid="{00000000-0005-0000-0000-0000F1B30000}"/>
    <cellStyle name="표준 5 5 3 2 6 9" xfId="41865" xr:uid="{00000000-0005-0000-0000-0000F2B30000}"/>
    <cellStyle name="표준 5 5 3 2 7" xfId="7056" xr:uid="{00000000-0005-0000-0000-0000F3B30000}"/>
    <cellStyle name="표준 5 5 3 2 7 2" xfId="9363" xr:uid="{00000000-0005-0000-0000-0000F4B30000}"/>
    <cellStyle name="표준 5 5 3 2 7 2 2" xfId="30069" xr:uid="{00000000-0005-0000-0000-0000F5B30000}"/>
    <cellStyle name="표준 5 5 3 2 7 2 3" xfId="38280" xr:uid="{00000000-0005-0000-0000-0000F6B30000}"/>
    <cellStyle name="표준 5 5 3 2 7 2 4" xfId="46473" xr:uid="{00000000-0005-0000-0000-0000F7B30000}"/>
    <cellStyle name="표준 5 5 3 2 7 3" xfId="13475" xr:uid="{00000000-0005-0000-0000-0000F8B30000}"/>
    <cellStyle name="표준 5 5 3 2 7 4" xfId="17715" xr:uid="{00000000-0005-0000-0000-0000F9B30000}"/>
    <cellStyle name="표준 5 5 3 2 7 5" xfId="21877" xr:uid="{00000000-0005-0000-0000-0000FAB30000}"/>
    <cellStyle name="표준 5 5 3 2 7 6" xfId="25973" xr:uid="{00000000-0005-0000-0000-0000FBB30000}"/>
    <cellStyle name="표준 5 5 3 2 7 7" xfId="34184" xr:uid="{00000000-0005-0000-0000-0000FCB30000}"/>
    <cellStyle name="표준 5 5 3 2 7 8" xfId="42377" xr:uid="{00000000-0005-0000-0000-0000FDB30000}"/>
    <cellStyle name="표준 5 5 3 2 8" xfId="7122" xr:uid="{00000000-0005-0000-0000-0000FEB30000}"/>
    <cellStyle name="표준 5 5 3 2 8 2" xfId="28021" xr:uid="{00000000-0005-0000-0000-0000FFB30000}"/>
    <cellStyle name="표준 5 5 3 2 8 3" xfId="36232" xr:uid="{00000000-0005-0000-0000-000000B40000}"/>
    <cellStyle name="표준 5 5 3 2 8 4" xfId="44425" xr:uid="{00000000-0005-0000-0000-000001B40000}"/>
    <cellStyle name="표준 5 5 3 2 9" xfId="7315" xr:uid="{00000000-0005-0000-0000-000002B40000}"/>
    <cellStyle name="표준 5 5 3 3" xfId="524" xr:uid="{00000000-0005-0000-0000-000003B40000}"/>
    <cellStyle name="표준 5 5 3 3 10" xfId="19893" xr:uid="{00000000-0005-0000-0000-000004B40000}"/>
    <cellStyle name="표준 5 5 3 3 11" xfId="23989" xr:uid="{00000000-0005-0000-0000-000005B40000}"/>
    <cellStyle name="표준 5 5 3 3 12" xfId="32200" xr:uid="{00000000-0005-0000-0000-000006B40000}"/>
    <cellStyle name="표준 5 5 3 3 13" xfId="40393" xr:uid="{00000000-0005-0000-0000-000007B40000}"/>
    <cellStyle name="표준 5 5 3 3 2" xfId="780" xr:uid="{00000000-0005-0000-0000-000008B40000}"/>
    <cellStyle name="표준 5 5 3 3 2 10" xfId="24245" xr:uid="{00000000-0005-0000-0000-000009B40000}"/>
    <cellStyle name="표준 5 5 3 3 2 11" xfId="32456" xr:uid="{00000000-0005-0000-0000-00000AB40000}"/>
    <cellStyle name="표준 5 5 3 3 2 12" xfId="40649" xr:uid="{00000000-0005-0000-0000-00000BB40000}"/>
    <cellStyle name="표준 5 5 3 3 2 2" xfId="1292" xr:uid="{00000000-0005-0000-0000-00000CB40000}"/>
    <cellStyle name="표준 5 5 3 3 2 2 2" xfId="10195" xr:uid="{00000000-0005-0000-0000-00000DB40000}"/>
    <cellStyle name="표준 5 5 3 3 2 2 2 2" xfId="14307" xr:uid="{00000000-0005-0000-0000-00000EB40000}"/>
    <cellStyle name="표준 5 5 3 3 2 2 2 2 2" xfId="30901" xr:uid="{00000000-0005-0000-0000-00000FB40000}"/>
    <cellStyle name="표준 5 5 3 3 2 2 2 2 3" xfId="39112" xr:uid="{00000000-0005-0000-0000-000010B40000}"/>
    <cellStyle name="표준 5 5 3 3 2 2 2 2 4" xfId="47305" xr:uid="{00000000-0005-0000-0000-000011B40000}"/>
    <cellStyle name="표준 5 5 3 3 2 2 2 3" xfId="18547" xr:uid="{00000000-0005-0000-0000-000012B40000}"/>
    <cellStyle name="표준 5 5 3 3 2 2 2 4" xfId="22709" xr:uid="{00000000-0005-0000-0000-000013B40000}"/>
    <cellStyle name="표준 5 5 3 3 2 2 2 5" xfId="26805" xr:uid="{00000000-0005-0000-0000-000014B40000}"/>
    <cellStyle name="표준 5 5 3 3 2 2 2 6" xfId="35016" xr:uid="{00000000-0005-0000-0000-000015B40000}"/>
    <cellStyle name="표준 5 5 3 3 2 2 2 7" xfId="43209" xr:uid="{00000000-0005-0000-0000-000016B40000}"/>
    <cellStyle name="표준 5 5 3 3 2 2 3" xfId="8147" xr:uid="{00000000-0005-0000-0000-000017B40000}"/>
    <cellStyle name="표준 5 5 3 3 2 2 3 2" xfId="28853" xr:uid="{00000000-0005-0000-0000-000018B40000}"/>
    <cellStyle name="표준 5 5 3 3 2 2 3 3" xfId="37064" xr:uid="{00000000-0005-0000-0000-000019B40000}"/>
    <cellStyle name="표준 5 5 3 3 2 2 3 4" xfId="45257" xr:uid="{00000000-0005-0000-0000-00001AB40000}"/>
    <cellStyle name="표준 5 5 3 3 2 2 4" xfId="12259" xr:uid="{00000000-0005-0000-0000-00001BB40000}"/>
    <cellStyle name="표준 5 5 3 3 2 2 5" xfId="16499" xr:uid="{00000000-0005-0000-0000-00001CB40000}"/>
    <cellStyle name="표준 5 5 3 3 2 2 6" xfId="20661" xr:uid="{00000000-0005-0000-0000-00001DB40000}"/>
    <cellStyle name="표준 5 5 3 3 2 2 7" xfId="24757" xr:uid="{00000000-0005-0000-0000-00001EB40000}"/>
    <cellStyle name="표준 5 5 3 3 2 2 8" xfId="32968" xr:uid="{00000000-0005-0000-0000-00001FB40000}"/>
    <cellStyle name="표준 5 5 3 3 2 2 9" xfId="41161" xr:uid="{00000000-0005-0000-0000-000020B40000}"/>
    <cellStyle name="표준 5 5 3 3 2 3" xfId="1804" xr:uid="{00000000-0005-0000-0000-000021B40000}"/>
    <cellStyle name="표준 5 5 3 3 2 3 2" xfId="10707" xr:uid="{00000000-0005-0000-0000-000022B40000}"/>
    <cellStyle name="표준 5 5 3 3 2 3 2 2" xfId="14819" xr:uid="{00000000-0005-0000-0000-000023B40000}"/>
    <cellStyle name="표준 5 5 3 3 2 3 2 2 2" xfId="31413" xr:uid="{00000000-0005-0000-0000-000024B40000}"/>
    <cellStyle name="표준 5 5 3 3 2 3 2 2 3" xfId="39624" xr:uid="{00000000-0005-0000-0000-000025B40000}"/>
    <cellStyle name="표준 5 5 3 3 2 3 2 2 4" xfId="47817" xr:uid="{00000000-0005-0000-0000-000026B40000}"/>
    <cellStyle name="표준 5 5 3 3 2 3 2 3" xfId="19059" xr:uid="{00000000-0005-0000-0000-000027B40000}"/>
    <cellStyle name="표준 5 5 3 3 2 3 2 4" xfId="23221" xr:uid="{00000000-0005-0000-0000-000028B40000}"/>
    <cellStyle name="표준 5 5 3 3 2 3 2 5" xfId="27317" xr:uid="{00000000-0005-0000-0000-000029B40000}"/>
    <cellStyle name="표준 5 5 3 3 2 3 2 6" xfId="35528" xr:uid="{00000000-0005-0000-0000-00002AB40000}"/>
    <cellStyle name="표준 5 5 3 3 2 3 2 7" xfId="43721" xr:uid="{00000000-0005-0000-0000-00002BB40000}"/>
    <cellStyle name="표준 5 5 3 3 2 3 3" xfId="8659" xr:uid="{00000000-0005-0000-0000-00002CB40000}"/>
    <cellStyle name="표준 5 5 3 3 2 3 3 2" xfId="29365" xr:uid="{00000000-0005-0000-0000-00002DB40000}"/>
    <cellStyle name="표준 5 5 3 3 2 3 3 3" xfId="37576" xr:uid="{00000000-0005-0000-0000-00002EB40000}"/>
    <cellStyle name="표준 5 5 3 3 2 3 3 4" xfId="45769" xr:uid="{00000000-0005-0000-0000-00002FB40000}"/>
    <cellStyle name="표준 5 5 3 3 2 3 4" xfId="12771" xr:uid="{00000000-0005-0000-0000-000030B40000}"/>
    <cellStyle name="표준 5 5 3 3 2 3 5" xfId="17011" xr:uid="{00000000-0005-0000-0000-000031B40000}"/>
    <cellStyle name="표준 5 5 3 3 2 3 6" xfId="21173" xr:uid="{00000000-0005-0000-0000-000032B40000}"/>
    <cellStyle name="표준 5 5 3 3 2 3 7" xfId="25269" xr:uid="{00000000-0005-0000-0000-000033B40000}"/>
    <cellStyle name="표준 5 5 3 3 2 3 8" xfId="33480" xr:uid="{00000000-0005-0000-0000-000034B40000}"/>
    <cellStyle name="표준 5 5 3 3 2 3 9" xfId="41673" xr:uid="{00000000-0005-0000-0000-000035B40000}"/>
    <cellStyle name="표준 5 5 3 3 2 4" xfId="2316" xr:uid="{00000000-0005-0000-0000-000036B40000}"/>
    <cellStyle name="표준 5 5 3 3 2 4 2" xfId="11219" xr:uid="{00000000-0005-0000-0000-000037B40000}"/>
    <cellStyle name="표준 5 5 3 3 2 4 2 2" xfId="15331" xr:uid="{00000000-0005-0000-0000-000038B40000}"/>
    <cellStyle name="표준 5 5 3 3 2 4 2 2 2" xfId="31925" xr:uid="{00000000-0005-0000-0000-000039B40000}"/>
    <cellStyle name="표준 5 5 3 3 2 4 2 2 3" xfId="40136" xr:uid="{00000000-0005-0000-0000-00003AB40000}"/>
    <cellStyle name="표준 5 5 3 3 2 4 2 2 4" xfId="48329" xr:uid="{00000000-0005-0000-0000-00003BB40000}"/>
    <cellStyle name="표준 5 5 3 3 2 4 2 3" xfId="19571" xr:uid="{00000000-0005-0000-0000-00003CB40000}"/>
    <cellStyle name="표준 5 5 3 3 2 4 2 4" xfId="23733" xr:uid="{00000000-0005-0000-0000-00003DB40000}"/>
    <cellStyle name="표준 5 5 3 3 2 4 2 5" xfId="27829" xr:uid="{00000000-0005-0000-0000-00003EB40000}"/>
    <cellStyle name="표준 5 5 3 3 2 4 2 6" xfId="36040" xr:uid="{00000000-0005-0000-0000-00003FB40000}"/>
    <cellStyle name="표준 5 5 3 3 2 4 2 7" xfId="44233" xr:uid="{00000000-0005-0000-0000-000040B40000}"/>
    <cellStyle name="표준 5 5 3 3 2 4 3" xfId="9171" xr:uid="{00000000-0005-0000-0000-000041B40000}"/>
    <cellStyle name="표준 5 5 3 3 2 4 3 2" xfId="29877" xr:uid="{00000000-0005-0000-0000-000042B40000}"/>
    <cellStyle name="표준 5 5 3 3 2 4 3 3" xfId="38088" xr:uid="{00000000-0005-0000-0000-000043B40000}"/>
    <cellStyle name="표준 5 5 3 3 2 4 3 4" xfId="46281" xr:uid="{00000000-0005-0000-0000-000044B40000}"/>
    <cellStyle name="표준 5 5 3 3 2 4 4" xfId="13283" xr:uid="{00000000-0005-0000-0000-000045B40000}"/>
    <cellStyle name="표준 5 5 3 3 2 4 5" xfId="17523" xr:uid="{00000000-0005-0000-0000-000046B40000}"/>
    <cellStyle name="표준 5 5 3 3 2 4 6" xfId="21685" xr:uid="{00000000-0005-0000-0000-000047B40000}"/>
    <cellStyle name="표준 5 5 3 3 2 4 7" xfId="25781" xr:uid="{00000000-0005-0000-0000-000048B40000}"/>
    <cellStyle name="표준 5 5 3 3 2 4 8" xfId="33992" xr:uid="{00000000-0005-0000-0000-000049B40000}"/>
    <cellStyle name="표준 5 5 3 3 2 4 9" xfId="42185" xr:uid="{00000000-0005-0000-0000-00004AB40000}"/>
    <cellStyle name="표준 5 5 3 3 2 5" xfId="9683" xr:uid="{00000000-0005-0000-0000-00004BB40000}"/>
    <cellStyle name="표준 5 5 3 3 2 5 2" xfId="13795" xr:uid="{00000000-0005-0000-0000-00004CB40000}"/>
    <cellStyle name="표준 5 5 3 3 2 5 2 2" xfId="30389" xr:uid="{00000000-0005-0000-0000-00004DB40000}"/>
    <cellStyle name="표준 5 5 3 3 2 5 2 3" xfId="38600" xr:uid="{00000000-0005-0000-0000-00004EB40000}"/>
    <cellStyle name="표준 5 5 3 3 2 5 2 4" xfId="46793" xr:uid="{00000000-0005-0000-0000-00004FB40000}"/>
    <cellStyle name="표준 5 5 3 3 2 5 3" xfId="18035" xr:uid="{00000000-0005-0000-0000-000050B40000}"/>
    <cellStyle name="표준 5 5 3 3 2 5 4" xfId="22197" xr:uid="{00000000-0005-0000-0000-000051B40000}"/>
    <cellStyle name="표준 5 5 3 3 2 5 5" xfId="26293" xr:uid="{00000000-0005-0000-0000-000052B40000}"/>
    <cellStyle name="표준 5 5 3 3 2 5 6" xfId="34504" xr:uid="{00000000-0005-0000-0000-000053B40000}"/>
    <cellStyle name="표준 5 5 3 3 2 5 7" xfId="42697" xr:uid="{00000000-0005-0000-0000-000054B40000}"/>
    <cellStyle name="표준 5 5 3 3 2 6" xfId="7635" xr:uid="{00000000-0005-0000-0000-000055B40000}"/>
    <cellStyle name="표준 5 5 3 3 2 6 2" xfId="28341" xr:uid="{00000000-0005-0000-0000-000056B40000}"/>
    <cellStyle name="표준 5 5 3 3 2 6 3" xfId="36552" xr:uid="{00000000-0005-0000-0000-000057B40000}"/>
    <cellStyle name="표준 5 5 3 3 2 6 4" xfId="44745" xr:uid="{00000000-0005-0000-0000-000058B40000}"/>
    <cellStyle name="표준 5 5 3 3 2 7" xfId="11747" xr:uid="{00000000-0005-0000-0000-000059B40000}"/>
    <cellStyle name="표준 5 5 3 3 2 8" xfId="15987" xr:uid="{00000000-0005-0000-0000-00005AB40000}"/>
    <cellStyle name="표준 5 5 3 3 2 9" xfId="20149" xr:uid="{00000000-0005-0000-0000-00005BB40000}"/>
    <cellStyle name="표준 5 5 3 3 3" xfId="1036" xr:uid="{00000000-0005-0000-0000-00005CB40000}"/>
    <cellStyle name="표준 5 5 3 3 3 2" xfId="9939" xr:uid="{00000000-0005-0000-0000-00005DB40000}"/>
    <cellStyle name="표준 5 5 3 3 3 2 2" xfId="14051" xr:uid="{00000000-0005-0000-0000-00005EB40000}"/>
    <cellStyle name="표준 5 5 3 3 3 2 2 2" xfId="30645" xr:uid="{00000000-0005-0000-0000-00005FB40000}"/>
    <cellStyle name="표준 5 5 3 3 3 2 2 3" xfId="38856" xr:uid="{00000000-0005-0000-0000-000060B40000}"/>
    <cellStyle name="표준 5 5 3 3 3 2 2 4" xfId="47049" xr:uid="{00000000-0005-0000-0000-000061B40000}"/>
    <cellStyle name="표준 5 5 3 3 3 2 3" xfId="18291" xr:uid="{00000000-0005-0000-0000-000062B40000}"/>
    <cellStyle name="표준 5 5 3 3 3 2 4" xfId="22453" xr:uid="{00000000-0005-0000-0000-000063B40000}"/>
    <cellStyle name="표준 5 5 3 3 3 2 5" xfId="26549" xr:uid="{00000000-0005-0000-0000-000064B40000}"/>
    <cellStyle name="표준 5 5 3 3 3 2 6" xfId="34760" xr:uid="{00000000-0005-0000-0000-000065B40000}"/>
    <cellStyle name="표준 5 5 3 3 3 2 7" xfId="42953" xr:uid="{00000000-0005-0000-0000-000066B40000}"/>
    <cellStyle name="표준 5 5 3 3 3 3" xfId="7891" xr:uid="{00000000-0005-0000-0000-000067B40000}"/>
    <cellStyle name="표준 5 5 3 3 3 3 2" xfId="28597" xr:uid="{00000000-0005-0000-0000-000068B40000}"/>
    <cellStyle name="표준 5 5 3 3 3 3 3" xfId="36808" xr:uid="{00000000-0005-0000-0000-000069B40000}"/>
    <cellStyle name="표준 5 5 3 3 3 3 4" xfId="45001" xr:uid="{00000000-0005-0000-0000-00006AB40000}"/>
    <cellStyle name="표준 5 5 3 3 3 4" xfId="12003" xr:uid="{00000000-0005-0000-0000-00006BB40000}"/>
    <cellStyle name="표준 5 5 3 3 3 5" xfId="16243" xr:uid="{00000000-0005-0000-0000-00006CB40000}"/>
    <cellStyle name="표준 5 5 3 3 3 6" xfId="20405" xr:uid="{00000000-0005-0000-0000-00006DB40000}"/>
    <cellStyle name="표준 5 5 3 3 3 7" xfId="24501" xr:uid="{00000000-0005-0000-0000-00006EB40000}"/>
    <cellStyle name="표준 5 5 3 3 3 8" xfId="32712" xr:uid="{00000000-0005-0000-0000-00006FB40000}"/>
    <cellStyle name="표준 5 5 3 3 3 9" xfId="40905" xr:uid="{00000000-0005-0000-0000-000070B40000}"/>
    <cellStyle name="표준 5 5 3 3 4" xfId="1548" xr:uid="{00000000-0005-0000-0000-000071B40000}"/>
    <cellStyle name="표준 5 5 3 3 4 2" xfId="10451" xr:uid="{00000000-0005-0000-0000-000072B40000}"/>
    <cellStyle name="표준 5 5 3 3 4 2 2" xfId="14563" xr:uid="{00000000-0005-0000-0000-000073B40000}"/>
    <cellStyle name="표준 5 5 3 3 4 2 2 2" xfId="31157" xr:uid="{00000000-0005-0000-0000-000074B40000}"/>
    <cellStyle name="표준 5 5 3 3 4 2 2 3" xfId="39368" xr:uid="{00000000-0005-0000-0000-000075B40000}"/>
    <cellStyle name="표준 5 5 3 3 4 2 2 4" xfId="47561" xr:uid="{00000000-0005-0000-0000-000076B40000}"/>
    <cellStyle name="표준 5 5 3 3 4 2 3" xfId="18803" xr:uid="{00000000-0005-0000-0000-000077B40000}"/>
    <cellStyle name="표준 5 5 3 3 4 2 4" xfId="22965" xr:uid="{00000000-0005-0000-0000-000078B40000}"/>
    <cellStyle name="표준 5 5 3 3 4 2 5" xfId="27061" xr:uid="{00000000-0005-0000-0000-000079B40000}"/>
    <cellStyle name="표준 5 5 3 3 4 2 6" xfId="35272" xr:uid="{00000000-0005-0000-0000-00007AB40000}"/>
    <cellStyle name="표준 5 5 3 3 4 2 7" xfId="43465" xr:uid="{00000000-0005-0000-0000-00007BB40000}"/>
    <cellStyle name="표준 5 5 3 3 4 3" xfId="8403" xr:uid="{00000000-0005-0000-0000-00007CB40000}"/>
    <cellStyle name="표준 5 5 3 3 4 3 2" xfId="29109" xr:uid="{00000000-0005-0000-0000-00007DB40000}"/>
    <cellStyle name="표준 5 5 3 3 4 3 3" xfId="37320" xr:uid="{00000000-0005-0000-0000-00007EB40000}"/>
    <cellStyle name="표준 5 5 3 3 4 3 4" xfId="45513" xr:uid="{00000000-0005-0000-0000-00007FB40000}"/>
    <cellStyle name="표준 5 5 3 3 4 4" xfId="12515" xr:uid="{00000000-0005-0000-0000-000080B40000}"/>
    <cellStyle name="표준 5 5 3 3 4 5" xfId="16755" xr:uid="{00000000-0005-0000-0000-000081B40000}"/>
    <cellStyle name="표준 5 5 3 3 4 6" xfId="20917" xr:uid="{00000000-0005-0000-0000-000082B40000}"/>
    <cellStyle name="표준 5 5 3 3 4 7" xfId="25013" xr:uid="{00000000-0005-0000-0000-000083B40000}"/>
    <cellStyle name="표준 5 5 3 3 4 8" xfId="33224" xr:uid="{00000000-0005-0000-0000-000084B40000}"/>
    <cellStyle name="표준 5 5 3 3 4 9" xfId="41417" xr:uid="{00000000-0005-0000-0000-000085B40000}"/>
    <cellStyle name="표준 5 5 3 3 5" xfId="2060" xr:uid="{00000000-0005-0000-0000-000086B40000}"/>
    <cellStyle name="표준 5 5 3 3 5 2" xfId="10963" xr:uid="{00000000-0005-0000-0000-000087B40000}"/>
    <cellStyle name="표준 5 5 3 3 5 2 2" xfId="15075" xr:uid="{00000000-0005-0000-0000-000088B40000}"/>
    <cellStyle name="표준 5 5 3 3 5 2 2 2" xfId="31669" xr:uid="{00000000-0005-0000-0000-000089B40000}"/>
    <cellStyle name="표준 5 5 3 3 5 2 2 3" xfId="39880" xr:uid="{00000000-0005-0000-0000-00008AB40000}"/>
    <cellStyle name="표준 5 5 3 3 5 2 2 4" xfId="48073" xr:uid="{00000000-0005-0000-0000-00008BB40000}"/>
    <cellStyle name="표준 5 5 3 3 5 2 3" xfId="19315" xr:uid="{00000000-0005-0000-0000-00008CB40000}"/>
    <cellStyle name="표준 5 5 3 3 5 2 4" xfId="23477" xr:uid="{00000000-0005-0000-0000-00008DB40000}"/>
    <cellStyle name="표준 5 5 3 3 5 2 5" xfId="27573" xr:uid="{00000000-0005-0000-0000-00008EB40000}"/>
    <cellStyle name="표준 5 5 3 3 5 2 6" xfId="35784" xr:uid="{00000000-0005-0000-0000-00008FB40000}"/>
    <cellStyle name="표준 5 5 3 3 5 2 7" xfId="43977" xr:uid="{00000000-0005-0000-0000-000090B40000}"/>
    <cellStyle name="표준 5 5 3 3 5 3" xfId="8915" xr:uid="{00000000-0005-0000-0000-000091B40000}"/>
    <cellStyle name="표준 5 5 3 3 5 3 2" xfId="29621" xr:uid="{00000000-0005-0000-0000-000092B40000}"/>
    <cellStyle name="표준 5 5 3 3 5 3 3" xfId="37832" xr:uid="{00000000-0005-0000-0000-000093B40000}"/>
    <cellStyle name="표준 5 5 3 3 5 3 4" xfId="46025" xr:uid="{00000000-0005-0000-0000-000094B40000}"/>
    <cellStyle name="표준 5 5 3 3 5 4" xfId="13027" xr:uid="{00000000-0005-0000-0000-000095B40000}"/>
    <cellStyle name="표준 5 5 3 3 5 5" xfId="17267" xr:uid="{00000000-0005-0000-0000-000096B40000}"/>
    <cellStyle name="표준 5 5 3 3 5 6" xfId="21429" xr:uid="{00000000-0005-0000-0000-000097B40000}"/>
    <cellStyle name="표준 5 5 3 3 5 7" xfId="25525" xr:uid="{00000000-0005-0000-0000-000098B40000}"/>
    <cellStyle name="표준 5 5 3 3 5 8" xfId="33736" xr:uid="{00000000-0005-0000-0000-000099B40000}"/>
    <cellStyle name="표준 5 5 3 3 5 9" xfId="41929" xr:uid="{00000000-0005-0000-0000-00009AB40000}"/>
    <cellStyle name="표준 5 5 3 3 6" xfId="9427" xr:uid="{00000000-0005-0000-0000-00009BB40000}"/>
    <cellStyle name="표준 5 5 3 3 6 2" xfId="13539" xr:uid="{00000000-0005-0000-0000-00009CB40000}"/>
    <cellStyle name="표준 5 5 3 3 6 2 2" xfId="30133" xr:uid="{00000000-0005-0000-0000-00009DB40000}"/>
    <cellStyle name="표준 5 5 3 3 6 2 3" xfId="38344" xr:uid="{00000000-0005-0000-0000-00009EB40000}"/>
    <cellStyle name="표준 5 5 3 3 6 2 4" xfId="46537" xr:uid="{00000000-0005-0000-0000-00009FB40000}"/>
    <cellStyle name="표준 5 5 3 3 6 3" xfId="17779" xr:uid="{00000000-0005-0000-0000-0000A0B40000}"/>
    <cellStyle name="표준 5 5 3 3 6 4" xfId="21941" xr:uid="{00000000-0005-0000-0000-0000A1B40000}"/>
    <cellStyle name="표준 5 5 3 3 6 5" xfId="26037" xr:uid="{00000000-0005-0000-0000-0000A2B40000}"/>
    <cellStyle name="표준 5 5 3 3 6 6" xfId="34248" xr:uid="{00000000-0005-0000-0000-0000A3B40000}"/>
    <cellStyle name="표준 5 5 3 3 6 7" xfId="42441" xr:uid="{00000000-0005-0000-0000-0000A4B40000}"/>
    <cellStyle name="표준 5 5 3 3 7" xfId="7379" xr:uid="{00000000-0005-0000-0000-0000A5B40000}"/>
    <cellStyle name="표준 5 5 3 3 7 2" xfId="28085" xr:uid="{00000000-0005-0000-0000-0000A6B40000}"/>
    <cellStyle name="표준 5 5 3 3 7 3" xfId="36296" xr:uid="{00000000-0005-0000-0000-0000A7B40000}"/>
    <cellStyle name="표준 5 5 3 3 7 4" xfId="44489" xr:uid="{00000000-0005-0000-0000-0000A8B40000}"/>
    <cellStyle name="표준 5 5 3 3 8" xfId="11491" xr:uid="{00000000-0005-0000-0000-0000A9B40000}"/>
    <cellStyle name="표준 5 5 3 3 9" xfId="15731" xr:uid="{00000000-0005-0000-0000-0000AAB40000}"/>
    <cellStyle name="표준 5 5 3 4" xfId="652" xr:uid="{00000000-0005-0000-0000-0000ABB40000}"/>
    <cellStyle name="표준 5 5 3 4 10" xfId="24117" xr:uid="{00000000-0005-0000-0000-0000ACB40000}"/>
    <cellStyle name="표준 5 5 3 4 11" xfId="32328" xr:uid="{00000000-0005-0000-0000-0000ADB40000}"/>
    <cellStyle name="표준 5 5 3 4 12" xfId="40521" xr:uid="{00000000-0005-0000-0000-0000AEB40000}"/>
    <cellStyle name="표준 5 5 3 4 2" xfId="1164" xr:uid="{00000000-0005-0000-0000-0000AFB40000}"/>
    <cellStyle name="표준 5 5 3 4 2 2" xfId="10067" xr:uid="{00000000-0005-0000-0000-0000B0B40000}"/>
    <cellStyle name="표준 5 5 3 4 2 2 2" xfId="14179" xr:uid="{00000000-0005-0000-0000-0000B1B40000}"/>
    <cellStyle name="표준 5 5 3 4 2 2 2 2" xfId="30773" xr:uid="{00000000-0005-0000-0000-0000B2B40000}"/>
    <cellStyle name="표준 5 5 3 4 2 2 2 3" xfId="38984" xr:uid="{00000000-0005-0000-0000-0000B3B40000}"/>
    <cellStyle name="표준 5 5 3 4 2 2 2 4" xfId="47177" xr:uid="{00000000-0005-0000-0000-0000B4B40000}"/>
    <cellStyle name="표준 5 5 3 4 2 2 3" xfId="18419" xr:uid="{00000000-0005-0000-0000-0000B5B40000}"/>
    <cellStyle name="표준 5 5 3 4 2 2 4" xfId="22581" xr:uid="{00000000-0005-0000-0000-0000B6B40000}"/>
    <cellStyle name="표준 5 5 3 4 2 2 5" xfId="26677" xr:uid="{00000000-0005-0000-0000-0000B7B40000}"/>
    <cellStyle name="표준 5 5 3 4 2 2 6" xfId="34888" xr:uid="{00000000-0005-0000-0000-0000B8B40000}"/>
    <cellStyle name="표준 5 5 3 4 2 2 7" xfId="43081" xr:uid="{00000000-0005-0000-0000-0000B9B40000}"/>
    <cellStyle name="표준 5 5 3 4 2 3" xfId="8019" xr:uid="{00000000-0005-0000-0000-0000BAB40000}"/>
    <cellStyle name="표준 5 5 3 4 2 3 2" xfId="28725" xr:uid="{00000000-0005-0000-0000-0000BBB40000}"/>
    <cellStyle name="표준 5 5 3 4 2 3 3" xfId="36936" xr:uid="{00000000-0005-0000-0000-0000BCB40000}"/>
    <cellStyle name="표준 5 5 3 4 2 3 4" xfId="45129" xr:uid="{00000000-0005-0000-0000-0000BDB40000}"/>
    <cellStyle name="표준 5 5 3 4 2 4" xfId="12131" xr:uid="{00000000-0005-0000-0000-0000BEB40000}"/>
    <cellStyle name="표준 5 5 3 4 2 5" xfId="16371" xr:uid="{00000000-0005-0000-0000-0000BFB40000}"/>
    <cellStyle name="표준 5 5 3 4 2 6" xfId="20533" xr:uid="{00000000-0005-0000-0000-0000C0B40000}"/>
    <cellStyle name="표준 5 5 3 4 2 7" xfId="24629" xr:uid="{00000000-0005-0000-0000-0000C1B40000}"/>
    <cellStyle name="표준 5 5 3 4 2 8" xfId="32840" xr:uid="{00000000-0005-0000-0000-0000C2B40000}"/>
    <cellStyle name="표준 5 5 3 4 2 9" xfId="41033" xr:uid="{00000000-0005-0000-0000-0000C3B40000}"/>
    <cellStyle name="표준 5 5 3 4 3" xfId="1676" xr:uid="{00000000-0005-0000-0000-0000C4B40000}"/>
    <cellStyle name="표준 5 5 3 4 3 2" xfId="10579" xr:uid="{00000000-0005-0000-0000-0000C5B40000}"/>
    <cellStyle name="표준 5 5 3 4 3 2 2" xfId="14691" xr:uid="{00000000-0005-0000-0000-0000C6B40000}"/>
    <cellStyle name="표준 5 5 3 4 3 2 2 2" xfId="31285" xr:uid="{00000000-0005-0000-0000-0000C7B40000}"/>
    <cellStyle name="표준 5 5 3 4 3 2 2 3" xfId="39496" xr:uid="{00000000-0005-0000-0000-0000C8B40000}"/>
    <cellStyle name="표준 5 5 3 4 3 2 2 4" xfId="47689" xr:uid="{00000000-0005-0000-0000-0000C9B40000}"/>
    <cellStyle name="표준 5 5 3 4 3 2 3" xfId="18931" xr:uid="{00000000-0005-0000-0000-0000CAB40000}"/>
    <cellStyle name="표준 5 5 3 4 3 2 4" xfId="23093" xr:uid="{00000000-0005-0000-0000-0000CBB40000}"/>
    <cellStyle name="표준 5 5 3 4 3 2 5" xfId="27189" xr:uid="{00000000-0005-0000-0000-0000CCB40000}"/>
    <cellStyle name="표준 5 5 3 4 3 2 6" xfId="35400" xr:uid="{00000000-0005-0000-0000-0000CDB40000}"/>
    <cellStyle name="표준 5 5 3 4 3 2 7" xfId="43593" xr:uid="{00000000-0005-0000-0000-0000CEB40000}"/>
    <cellStyle name="표준 5 5 3 4 3 3" xfId="8531" xr:uid="{00000000-0005-0000-0000-0000CFB40000}"/>
    <cellStyle name="표준 5 5 3 4 3 3 2" xfId="29237" xr:uid="{00000000-0005-0000-0000-0000D0B40000}"/>
    <cellStyle name="표준 5 5 3 4 3 3 3" xfId="37448" xr:uid="{00000000-0005-0000-0000-0000D1B40000}"/>
    <cellStyle name="표준 5 5 3 4 3 3 4" xfId="45641" xr:uid="{00000000-0005-0000-0000-0000D2B40000}"/>
    <cellStyle name="표준 5 5 3 4 3 4" xfId="12643" xr:uid="{00000000-0005-0000-0000-0000D3B40000}"/>
    <cellStyle name="표준 5 5 3 4 3 5" xfId="16883" xr:uid="{00000000-0005-0000-0000-0000D4B40000}"/>
    <cellStyle name="표준 5 5 3 4 3 6" xfId="21045" xr:uid="{00000000-0005-0000-0000-0000D5B40000}"/>
    <cellStyle name="표준 5 5 3 4 3 7" xfId="25141" xr:uid="{00000000-0005-0000-0000-0000D6B40000}"/>
    <cellStyle name="표준 5 5 3 4 3 8" xfId="33352" xr:uid="{00000000-0005-0000-0000-0000D7B40000}"/>
    <cellStyle name="표준 5 5 3 4 3 9" xfId="41545" xr:uid="{00000000-0005-0000-0000-0000D8B40000}"/>
    <cellStyle name="표준 5 5 3 4 4" xfId="2188" xr:uid="{00000000-0005-0000-0000-0000D9B40000}"/>
    <cellStyle name="표준 5 5 3 4 4 2" xfId="11091" xr:uid="{00000000-0005-0000-0000-0000DAB40000}"/>
    <cellStyle name="표준 5 5 3 4 4 2 2" xfId="15203" xr:uid="{00000000-0005-0000-0000-0000DBB40000}"/>
    <cellStyle name="표준 5 5 3 4 4 2 2 2" xfId="31797" xr:uid="{00000000-0005-0000-0000-0000DCB40000}"/>
    <cellStyle name="표준 5 5 3 4 4 2 2 3" xfId="40008" xr:uid="{00000000-0005-0000-0000-0000DDB40000}"/>
    <cellStyle name="표준 5 5 3 4 4 2 2 4" xfId="48201" xr:uid="{00000000-0005-0000-0000-0000DEB40000}"/>
    <cellStyle name="표준 5 5 3 4 4 2 3" xfId="19443" xr:uid="{00000000-0005-0000-0000-0000DFB40000}"/>
    <cellStyle name="표준 5 5 3 4 4 2 4" xfId="23605" xr:uid="{00000000-0005-0000-0000-0000E0B40000}"/>
    <cellStyle name="표준 5 5 3 4 4 2 5" xfId="27701" xr:uid="{00000000-0005-0000-0000-0000E1B40000}"/>
    <cellStyle name="표준 5 5 3 4 4 2 6" xfId="35912" xr:uid="{00000000-0005-0000-0000-0000E2B40000}"/>
    <cellStyle name="표준 5 5 3 4 4 2 7" xfId="44105" xr:uid="{00000000-0005-0000-0000-0000E3B40000}"/>
    <cellStyle name="표준 5 5 3 4 4 3" xfId="9043" xr:uid="{00000000-0005-0000-0000-0000E4B40000}"/>
    <cellStyle name="표준 5 5 3 4 4 3 2" xfId="29749" xr:uid="{00000000-0005-0000-0000-0000E5B40000}"/>
    <cellStyle name="표준 5 5 3 4 4 3 3" xfId="37960" xr:uid="{00000000-0005-0000-0000-0000E6B40000}"/>
    <cellStyle name="표준 5 5 3 4 4 3 4" xfId="46153" xr:uid="{00000000-0005-0000-0000-0000E7B40000}"/>
    <cellStyle name="표준 5 5 3 4 4 4" xfId="13155" xr:uid="{00000000-0005-0000-0000-0000E8B40000}"/>
    <cellStyle name="표준 5 5 3 4 4 5" xfId="17395" xr:uid="{00000000-0005-0000-0000-0000E9B40000}"/>
    <cellStyle name="표준 5 5 3 4 4 6" xfId="21557" xr:uid="{00000000-0005-0000-0000-0000EAB40000}"/>
    <cellStyle name="표준 5 5 3 4 4 7" xfId="25653" xr:uid="{00000000-0005-0000-0000-0000EBB40000}"/>
    <cellStyle name="표준 5 5 3 4 4 8" xfId="33864" xr:uid="{00000000-0005-0000-0000-0000ECB40000}"/>
    <cellStyle name="표준 5 5 3 4 4 9" xfId="42057" xr:uid="{00000000-0005-0000-0000-0000EDB40000}"/>
    <cellStyle name="표준 5 5 3 4 5" xfId="9555" xr:uid="{00000000-0005-0000-0000-0000EEB40000}"/>
    <cellStyle name="표준 5 5 3 4 5 2" xfId="13667" xr:uid="{00000000-0005-0000-0000-0000EFB40000}"/>
    <cellStyle name="표준 5 5 3 4 5 2 2" xfId="30261" xr:uid="{00000000-0005-0000-0000-0000F0B40000}"/>
    <cellStyle name="표준 5 5 3 4 5 2 3" xfId="38472" xr:uid="{00000000-0005-0000-0000-0000F1B40000}"/>
    <cellStyle name="표준 5 5 3 4 5 2 4" xfId="46665" xr:uid="{00000000-0005-0000-0000-0000F2B40000}"/>
    <cellStyle name="표준 5 5 3 4 5 3" xfId="17907" xr:uid="{00000000-0005-0000-0000-0000F3B40000}"/>
    <cellStyle name="표준 5 5 3 4 5 4" xfId="22069" xr:uid="{00000000-0005-0000-0000-0000F4B40000}"/>
    <cellStyle name="표준 5 5 3 4 5 5" xfId="26165" xr:uid="{00000000-0005-0000-0000-0000F5B40000}"/>
    <cellStyle name="표준 5 5 3 4 5 6" xfId="34376" xr:uid="{00000000-0005-0000-0000-0000F6B40000}"/>
    <cellStyle name="표준 5 5 3 4 5 7" xfId="42569" xr:uid="{00000000-0005-0000-0000-0000F7B40000}"/>
    <cellStyle name="표준 5 5 3 4 6" xfId="7507" xr:uid="{00000000-0005-0000-0000-0000F8B40000}"/>
    <cellStyle name="표준 5 5 3 4 6 2" xfId="28213" xr:uid="{00000000-0005-0000-0000-0000F9B40000}"/>
    <cellStyle name="표준 5 5 3 4 6 3" xfId="36424" xr:uid="{00000000-0005-0000-0000-0000FAB40000}"/>
    <cellStyle name="표준 5 5 3 4 6 4" xfId="44617" xr:uid="{00000000-0005-0000-0000-0000FBB40000}"/>
    <cellStyle name="표준 5 5 3 4 7" xfId="11619" xr:uid="{00000000-0005-0000-0000-0000FCB40000}"/>
    <cellStyle name="표준 5 5 3 4 8" xfId="15859" xr:uid="{00000000-0005-0000-0000-0000FDB40000}"/>
    <cellStyle name="표준 5 5 3 4 9" xfId="20021" xr:uid="{00000000-0005-0000-0000-0000FEB40000}"/>
    <cellStyle name="표준 5 5 3 5" xfId="908" xr:uid="{00000000-0005-0000-0000-0000FFB40000}"/>
    <cellStyle name="표준 5 5 3 5 2" xfId="9811" xr:uid="{00000000-0005-0000-0000-000000B50000}"/>
    <cellStyle name="표준 5 5 3 5 2 2" xfId="13923" xr:uid="{00000000-0005-0000-0000-000001B50000}"/>
    <cellStyle name="표준 5 5 3 5 2 2 2" xfId="30517" xr:uid="{00000000-0005-0000-0000-000002B50000}"/>
    <cellStyle name="표준 5 5 3 5 2 2 3" xfId="38728" xr:uid="{00000000-0005-0000-0000-000003B50000}"/>
    <cellStyle name="표준 5 5 3 5 2 2 4" xfId="46921" xr:uid="{00000000-0005-0000-0000-000004B50000}"/>
    <cellStyle name="표준 5 5 3 5 2 3" xfId="18163" xr:uid="{00000000-0005-0000-0000-000005B50000}"/>
    <cellStyle name="표준 5 5 3 5 2 4" xfId="22325" xr:uid="{00000000-0005-0000-0000-000006B50000}"/>
    <cellStyle name="표준 5 5 3 5 2 5" xfId="26421" xr:uid="{00000000-0005-0000-0000-000007B50000}"/>
    <cellStyle name="표준 5 5 3 5 2 6" xfId="34632" xr:uid="{00000000-0005-0000-0000-000008B50000}"/>
    <cellStyle name="표준 5 5 3 5 2 7" xfId="42825" xr:uid="{00000000-0005-0000-0000-000009B50000}"/>
    <cellStyle name="표준 5 5 3 5 3" xfId="7763" xr:uid="{00000000-0005-0000-0000-00000AB50000}"/>
    <cellStyle name="표준 5 5 3 5 3 2" xfId="28469" xr:uid="{00000000-0005-0000-0000-00000BB50000}"/>
    <cellStyle name="표준 5 5 3 5 3 3" xfId="36680" xr:uid="{00000000-0005-0000-0000-00000CB50000}"/>
    <cellStyle name="표준 5 5 3 5 3 4" xfId="44873" xr:uid="{00000000-0005-0000-0000-00000DB50000}"/>
    <cellStyle name="표준 5 5 3 5 4" xfId="11875" xr:uid="{00000000-0005-0000-0000-00000EB50000}"/>
    <cellStyle name="표준 5 5 3 5 5" xfId="16115" xr:uid="{00000000-0005-0000-0000-00000FB50000}"/>
    <cellStyle name="표준 5 5 3 5 6" xfId="20277" xr:uid="{00000000-0005-0000-0000-000010B50000}"/>
    <cellStyle name="표준 5 5 3 5 7" xfId="24373" xr:uid="{00000000-0005-0000-0000-000011B50000}"/>
    <cellStyle name="표준 5 5 3 5 8" xfId="32584" xr:uid="{00000000-0005-0000-0000-000012B50000}"/>
    <cellStyle name="표준 5 5 3 5 9" xfId="40777" xr:uid="{00000000-0005-0000-0000-000013B50000}"/>
    <cellStyle name="표준 5 5 3 6" xfId="1420" xr:uid="{00000000-0005-0000-0000-000014B50000}"/>
    <cellStyle name="표준 5 5 3 6 2" xfId="10323" xr:uid="{00000000-0005-0000-0000-000015B50000}"/>
    <cellStyle name="표준 5 5 3 6 2 2" xfId="14435" xr:uid="{00000000-0005-0000-0000-000016B50000}"/>
    <cellStyle name="표준 5 5 3 6 2 2 2" xfId="31029" xr:uid="{00000000-0005-0000-0000-000017B50000}"/>
    <cellStyle name="표준 5 5 3 6 2 2 3" xfId="39240" xr:uid="{00000000-0005-0000-0000-000018B50000}"/>
    <cellStyle name="표준 5 5 3 6 2 2 4" xfId="47433" xr:uid="{00000000-0005-0000-0000-000019B50000}"/>
    <cellStyle name="표준 5 5 3 6 2 3" xfId="18675" xr:uid="{00000000-0005-0000-0000-00001AB50000}"/>
    <cellStyle name="표준 5 5 3 6 2 4" xfId="22837" xr:uid="{00000000-0005-0000-0000-00001BB50000}"/>
    <cellStyle name="표준 5 5 3 6 2 5" xfId="26933" xr:uid="{00000000-0005-0000-0000-00001CB50000}"/>
    <cellStyle name="표준 5 5 3 6 2 6" xfId="35144" xr:uid="{00000000-0005-0000-0000-00001DB50000}"/>
    <cellStyle name="표준 5 5 3 6 2 7" xfId="43337" xr:uid="{00000000-0005-0000-0000-00001EB50000}"/>
    <cellStyle name="표준 5 5 3 6 3" xfId="8275" xr:uid="{00000000-0005-0000-0000-00001FB50000}"/>
    <cellStyle name="표준 5 5 3 6 3 2" xfId="28981" xr:uid="{00000000-0005-0000-0000-000020B50000}"/>
    <cellStyle name="표준 5 5 3 6 3 3" xfId="37192" xr:uid="{00000000-0005-0000-0000-000021B50000}"/>
    <cellStyle name="표준 5 5 3 6 3 4" xfId="45385" xr:uid="{00000000-0005-0000-0000-000022B50000}"/>
    <cellStyle name="표준 5 5 3 6 4" xfId="12387" xr:uid="{00000000-0005-0000-0000-000023B50000}"/>
    <cellStyle name="표준 5 5 3 6 5" xfId="16627" xr:uid="{00000000-0005-0000-0000-000024B50000}"/>
    <cellStyle name="표준 5 5 3 6 6" xfId="20789" xr:uid="{00000000-0005-0000-0000-000025B50000}"/>
    <cellStyle name="표준 5 5 3 6 7" xfId="24885" xr:uid="{00000000-0005-0000-0000-000026B50000}"/>
    <cellStyle name="표준 5 5 3 6 8" xfId="33096" xr:uid="{00000000-0005-0000-0000-000027B50000}"/>
    <cellStyle name="표준 5 5 3 6 9" xfId="41289" xr:uid="{00000000-0005-0000-0000-000028B50000}"/>
    <cellStyle name="표준 5 5 3 7" xfId="1932" xr:uid="{00000000-0005-0000-0000-000029B50000}"/>
    <cellStyle name="표준 5 5 3 7 2" xfId="10835" xr:uid="{00000000-0005-0000-0000-00002AB50000}"/>
    <cellStyle name="표준 5 5 3 7 2 2" xfId="14947" xr:uid="{00000000-0005-0000-0000-00002BB50000}"/>
    <cellStyle name="표준 5 5 3 7 2 2 2" xfId="31541" xr:uid="{00000000-0005-0000-0000-00002CB50000}"/>
    <cellStyle name="표준 5 5 3 7 2 2 3" xfId="39752" xr:uid="{00000000-0005-0000-0000-00002DB50000}"/>
    <cellStyle name="표준 5 5 3 7 2 2 4" xfId="47945" xr:uid="{00000000-0005-0000-0000-00002EB50000}"/>
    <cellStyle name="표준 5 5 3 7 2 3" xfId="19187" xr:uid="{00000000-0005-0000-0000-00002FB50000}"/>
    <cellStyle name="표준 5 5 3 7 2 4" xfId="23349" xr:uid="{00000000-0005-0000-0000-000030B50000}"/>
    <cellStyle name="표준 5 5 3 7 2 5" xfId="27445" xr:uid="{00000000-0005-0000-0000-000031B50000}"/>
    <cellStyle name="표준 5 5 3 7 2 6" xfId="35656" xr:uid="{00000000-0005-0000-0000-000032B50000}"/>
    <cellStyle name="표준 5 5 3 7 2 7" xfId="43849" xr:uid="{00000000-0005-0000-0000-000033B50000}"/>
    <cellStyle name="표준 5 5 3 7 3" xfId="8787" xr:uid="{00000000-0005-0000-0000-000034B50000}"/>
    <cellStyle name="표준 5 5 3 7 3 2" xfId="29493" xr:uid="{00000000-0005-0000-0000-000035B50000}"/>
    <cellStyle name="표준 5 5 3 7 3 3" xfId="37704" xr:uid="{00000000-0005-0000-0000-000036B50000}"/>
    <cellStyle name="표준 5 5 3 7 3 4" xfId="45897" xr:uid="{00000000-0005-0000-0000-000037B50000}"/>
    <cellStyle name="표준 5 5 3 7 4" xfId="12899" xr:uid="{00000000-0005-0000-0000-000038B50000}"/>
    <cellStyle name="표준 5 5 3 7 5" xfId="17139" xr:uid="{00000000-0005-0000-0000-000039B50000}"/>
    <cellStyle name="표준 5 5 3 7 6" xfId="21301" xr:uid="{00000000-0005-0000-0000-00003AB50000}"/>
    <cellStyle name="표준 5 5 3 7 7" xfId="25397" xr:uid="{00000000-0005-0000-0000-00003BB50000}"/>
    <cellStyle name="표준 5 5 3 7 8" xfId="33608" xr:uid="{00000000-0005-0000-0000-00003CB50000}"/>
    <cellStyle name="표준 5 5 3 7 9" xfId="41801" xr:uid="{00000000-0005-0000-0000-00003DB50000}"/>
    <cellStyle name="표준 5 5 3 8" xfId="396" xr:uid="{00000000-0005-0000-0000-00003EB50000}"/>
    <cellStyle name="표준 5 5 3 8 2" xfId="9299" xr:uid="{00000000-0005-0000-0000-00003FB50000}"/>
    <cellStyle name="표준 5 5 3 8 2 2" xfId="30005" xr:uid="{00000000-0005-0000-0000-000040B50000}"/>
    <cellStyle name="표준 5 5 3 8 2 3" xfId="38216" xr:uid="{00000000-0005-0000-0000-000041B50000}"/>
    <cellStyle name="표준 5 5 3 8 2 4" xfId="46409" xr:uid="{00000000-0005-0000-0000-000042B50000}"/>
    <cellStyle name="표준 5 5 3 8 3" xfId="13411" xr:uid="{00000000-0005-0000-0000-000043B50000}"/>
    <cellStyle name="표준 5 5 3 8 4" xfId="17651" xr:uid="{00000000-0005-0000-0000-000044B50000}"/>
    <cellStyle name="표준 5 5 3 8 5" xfId="21813" xr:uid="{00000000-0005-0000-0000-000045B50000}"/>
    <cellStyle name="표준 5 5 3 8 6" xfId="25909" xr:uid="{00000000-0005-0000-0000-000046B50000}"/>
    <cellStyle name="표준 5 5 3 8 7" xfId="34120" xr:uid="{00000000-0005-0000-0000-000047B50000}"/>
    <cellStyle name="표준 5 5 3 8 8" xfId="42313" xr:uid="{00000000-0005-0000-0000-000048B50000}"/>
    <cellStyle name="표준 5 5 3 9" xfId="6998" xr:uid="{00000000-0005-0000-0000-000049B50000}"/>
    <cellStyle name="표준 5 5 3 9 2" xfId="27957" xr:uid="{00000000-0005-0000-0000-00004AB50000}"/>
    <cellStyle name="표준 5 5 3 9 3" xfId="36168" xr:uid="{00000000-0005-0000-0000-00004BB50000}"/>
    <cellStyle name="표준 5 5 3 9 4" xfId="44361" xr:uid="{00000000-0005-0000-0000-00004CB50000}"/>
    <cellStyle name="표준 5 5 30" xfId="23829" xr:uid="{00000000-0005-0000-0000-00004DB50000}"/>
    <cellStyle name="표준 5 5 31" xfId="32023" xr:uid="{00000000-0005-0000-0000-00004EB50000}"/>
    <cellStyle name="표준 5 5 32" xfId="32040" xr:uid="{00000000-0005-0000-0000-00004FB50000}"/>
    <cellStyle name="표준 5 5 33" xfId="40233" xr:uid="{00000000-0005-0000-0000-000050B50000}"/>
    <cellStyle name="표준 5 5 34" xfId="48435" xr:uid="{00000000-0005-0000-0000-000051B50000}"/>
    <cellStyle name="표준 5 5 4" xfId="428" xr:uid="{00000000-0005-0000-0000-000052B50000}"/>
    <cellStyle name="표준 5 5 4 10" xfId="11395" xr:uid="{00000000-0005-0000-0000-000053B50000}"/>
    <cellStyle name="표준 5 5 4 11" xfId="15507" xr:uid="{00000000-0005-0000-0000-000054B50000}"/>
    <cellStyle name="표준 5 5 4 12" xfId="15635" xr:uid="{00000000-0005-0000-0000-000055B50000}"/>
    <cellStyle name="표준 5 5 4 13" xfId="19797" xr:uid="{00000000-0005-0000-0000-000056B50000}"/>
    <cellStyle name="표준 5 5 4 14" xfId="23893" xr:uid="{00000000-0005-0000-0000-000057B50000}"/>
    <cellStyle name="표준 5 5 4 15" xfId="32104" xr:uid="{00000000-0005-0000-0000-000058B50000}"/>
    <cellStyle name="표준 5 5 4 16" xfId="40297" xr:uid="{00000000-0005-0000-0000-000059B50000}"/>
    <cellStyle name="표준 5 5 4 2" xfId="556" xr:uid="{00000000-0005-0000-0000-00005AB50000}"/>
    <cellStyle name="표준 5 5 4 2 10" xfId="19925" xr:uid="{00000000-0005-0000-0000-00005BB50000}"/>
    <cellStyle name="표준 5 5 4 2 11" xfId="24021" xr:uid="{00000000-0005-0000-0000-00005CB50000}"/>
    <cellStyle name="표준 5 5 4 2 12" xfId="32232" xr:uid="{00000000-0005-0000-0000-00005DB50000}"/>
    <cellStyle name="표준 5 5 4 2 13" xfId="40425" xr:uid="{00000000-0005-0000-0000-00005EB50000}"/>
    <cellStyle name="표준 5 5 4 2 2" xfId="812" xr:uid="{00000000-0005-0000-0000-00005FB50000}"/>
    <cellStyle name="표준 5 5 4 2 2 10" xfId="24277" xr:uid="{00000000-0005-0000-0000-000060B50000}"/>
    <cellStyle name="표준 5 5 4 2 2 11" xfId="32488" xr:uid="{00000000-0005-0000-0000-000061B50000}"/>
    <cellStyle name="표준 5 5 4 2 2 12" xfId="40681" xr:uid="{00000000-0005-0000-0000-000062B50000}"/>
    <cellStyle name="표준 5 5 4 2 2 2" xfId="1324" xr:uid="{00000000-0005-0000-0000-000063B50000}"/>
    <cellStyle name="표준 5 5 4 2 2 2 2" xfId="10227" xr:uid="{00000000-0005-0000-0000-000064B50000}"/>
    <cellStyle name="표준 5 5 4 2 2 2 2 2" xfId="14339" xr:uid="{00000000-0005-0000-0000-000065B50000}"/>
    <cellStyle name="표준 5 5 4 2 2 2 2 2 2" xfId="30933" xr:uid="{00000000-0005-0000-0000-000066B50000}"/>
    <cellStyle name="표준 5 5 4 2 2 2 2 2 3" xfId="39144" xr:uid="{00000000-0005-0000-0000-000067B50000}"/>
    <cellStyle name="표준 5 5 4 2 2 2 2 2 4" xfId="47337" xr:uid="{00000000-0005-0000-0000-000068B50000}"/>
    <cellStyle name="표준 5 5 4 2 2 2 2 3" xfId="18579" xr:uid="{00000000-0005-0000-0000-000069B50000}"/>
    <cellStyle name="표준 5 5 4 2 2 2 2 4" xfId="22741" xr:uid="{00000000-0005-0000-0000-00006AB50000}"/>
    <cellStyle name="표준 5 5 4 2 2 2 2 5" xfId="26837" xr:uid="{00000000-0005-0000-0000-00006BB50000}"/>
    <cellStyle name="표준 5 5 4 2 2 2 2 6" xfId="35048" xr:uid="{00000000-0005-0000-0000-00006CB50000}"/>
    <cellStyle name="표준 5 5 4 2 2 2 2 7" xfId="43241" xr:uid="{00000000-0005-0000-0000-00006DB50000}"/>
    <cellStyle name="표준 5 5 4 2 2 2 3" xfId="8179" xr:uid="{00000000-0005-0000-0000-00006EB50000}"/>
    <cellStyle name="표준 5 5 4 2 2 2 3 2" xfId="28885" xr:uid="{00000000-0005-0000-0000-00006FB50000}"/>
    <cellStyle name="표준 5 5 4 2 2 2 3 3" xfId="37096" xr:uid="{00000000-0005-0000-0000-000070B50000}"/>
    <cellStyle name="표준 5 5 4 2 2 2 3 4" xfId="45289" xr:uid="{00000000-0005-0000-0000-000071B50000}"/>
    <cellStyle name="표준 5 5 4 2 2 2 4" xfId="12291" xr:uid="{00000000-0005-0000-0000-000072B50000}"/>
    <cellStyle name="표준 5 5 4 2 2 2 5" xfId="16531" xr:uid="{00000000-0005-0000-0000-000073B50000}"/>
    <cellStyle name="표준 5 5 4 2 2 2 6" xfId="20693" xr:uid="{00000000-0005-0000-0000-000074B50000}"/>
    <cellStyle name="표준 5 5 4 2 2 2 7" xfId="24789" xr:uid="{00000000-0005-0000-0000-000075B50000}"/>
    <cellStyle name="표준 5 5 4 2 2 2 8" xfId="33000" xr:uid="{00000000-0005-0000-0000-000076B50000}"/>
    <cellStyle name="표준 5 5 4 2 2 2 9" xfId="41193" xr:uid="{00000000-0005-0000-0000-000077B50000}"/>
    <cellStyle name="표준 5 5 4 2 2 3" xfId="1836" xr:uid="{00000000-0005-0000-0000-000078B50000}"/>
    <cellStyle name="표준 5 5 4 2 2 3 2" xfId="10739" xr:uid="{00000000-0005-0000-0000-000079B50000}"/>
    <cellStyle name="표준 5 5 4 2 2 3 2 2" xfId="14851" xr:uid="{00000000-0005-0000-0000-00007AB50000}"/>
    <cellStyle name="표준 5 5 4 2 2 3 2 2 2" xfId="31445" xr:uid="{00000000-0005-0000-0000-00007BB50000}"/>
    <cellStyle name="표준 5 5 4 2 2 3 2 2 3" xfId="39656" xr:uid="{00000000-0005-0000-0000-00007CB50000}"/>
    <cellStyle name="표준 5 5 4 2 2 3 2 2 4" xfId="47849" xr:uid="{00000000-0005-0000-0000-00007DB50000}"/>
    <cellStyle name="표준 5 5 4 2 2 3 2 3" xfId="19091" xr:uid="{00000000-0005-0000-0000-00007EB50000}"/>
    <cellStyle name="표준 5 5 4 2 2 3 2 4" xfId="23253" xr:uid="{00000000-0005-0000-0000-00007FB50000}"/>
    <cellStyle name="표준 5 5 4 2 2 3 2 5" xfId="27349" xr:uid="{00000000-0005-0000-0000-000080B50000}"/>
    <cellStyle name="표준 5 5 4 2 2 3 2 6" xfId="35560" xr:uid="{00000000-0005-0000-0000-000081B50000}"/>
    <cellStyle name="표준 5 5 4 2 2 3 2 7" xfId="43753" xr:uid="{00000000-0005-0000-0000-000082B50000}"/>
    <cellStyle name="표준 5 5 4 2 2 3 3" xfId="8691" xr:uid="{00000000-0005-0000-0000-000083B50000}"/>
    <cellStyle name="표준 5 5 4 2 2 3 3 2" xfId="29397" xr:uid="{00000000-0005-0000-0000-000084B50000}"/>
    <cellStyle name="표준 5 5 4 2 2 3 3 3" xfId="37608" xr:uid="{00000000-0005-0000-0000-000085B50000}"/>
    <cellStyle name="표준 5 5 4 2 2 3 3 4" xfId="45801" xr:uid="{00000000-0005-0000-0000-000086B50000}"/>
    <cellStyle name="표준 5 5 4 2 2 3 4" xfId="12803" xr:uid="{00000000-0005-0000-0000-000087B50000}"/>
    <cellStyle name="표준 5 5 4 2 2 3 5" xfId="17043" xr:uid="{00000000-0005-0000-0000-000088B50000}"/>
    <cellStyle name="표준 5 5 4 2 2 3 6" xfId="21205" xr:uid="{00000000-0005-0000-0000-000089B50000}"/>
    <cellStyle name="표준 5 5 4 2 2 3 7" xfId="25301" xr:uid="{00000000-0005-0000-0000-00008AB50000}"/>
    <cellStyle name="표준 5 5 4 2 2 3 8" xfId="33512" xr:uid="{00000000-0005-0000-0000-00008BB50000}"/>
    <cellStyle name="표준 5 5 4 2 2 3 9" xfId="41705" xr:uid="{00000000-0005-0000-0000-00008CB50000}"/>
    <cellStyle name="표준 5 5 4 2 2 4" xfId="2348" xr:uid="{00000000-0005-0000-0000-00008DB50000}"/>
    <cellStyle name="표준 5 5 4 2 2 4 2" xfId="11251" xr:uid="{00000000-0005-0000-0000-00008EB50000}"/>
    <cellStyle name="표준 5 5 4 2 2 4 2 2" xfId="15363" xr:uid="{00000000-0005-0000-0000-00008FB50000}"/>
    <cellStyle name="표준 5 5 4 2 2 4 2 2 2" xfId="31957" xr:uid="{00000000-0005-0000-0000-000090B50000}"/>
    <cellStyle name="표준 5 5 4 2 2 4 2 2 3" xfId="40168" xr:uid="{00000000-0005-0000-0000-000091B50000}"/>
    <cellStyle name="표준 5 5 4 2 2 4 2 2 4" xfId="48361" xr:uid="{00000000-0005-0000-0000-000092B50000}"/>
    <cellStyle name="표준 5 5 4 2 2 4 2 3" xfId="19603" xr:uid="{00000000-0005-0000-0000-000093B50000}"/>
    <cellStyle name="표준 5 5 4 2 2 4 2 4" xfId="23765" xr:uid="{00000000-0005-0000-0000-000094B50000}"/>
    <cellStyle name="표준 5 5 4 2 2 4 2 5" xfId="27861" xr:uid="{00000000-0005-0000-0000-000095B50000}"/>
    <cellStyle name="표준 5 5 4 2 2 4 2 6" xfId="36072" xr:uid="{00000000-0005-0000-0000-000096B50000}"/>
    <cellStyle name="표준 5 5 4 2 2 4 2 7" xfId="44265" xr:uid="{00000000-0005-0000-0000-000097B50000}"/>
    <cellStyle name="표준 5 5 4 2 2 4 3" xfId="9203" xr:uid="{00000000-0005-0000-0000-000098B50000}"/>
    <cellStyle name="표준 5 5 4 2 2 4 3 2" xfId="29909" xr:uid="{00000000-0005-0000-0000-000099B50000}"/>
    <cellStyle name="표준 5 5 4 2 2 4 3 3" xfId="38120" xr:uid="{00000000-0005-0000-0000-00009AB50000}"/>
    <cellStyle name="표준 5 5 4 2 2 4 3 4" xfId="46313" xr:uid="{00000000-0005-0000-0000-00009BB50000}"/>
    <cellStyle name="표준 5 5 4 2 2 4 4" xfId="13315" xr:uid="{00000000-0005-0000-0000-00009CB50000}"/>
    <cellStyle name="표준 5 5 4 2 2 4 5" xfId="17555" xr:uid="{00000000-0005-0000-0000-00009DB50000}"/>
    <cellStyle name="표준 5 5 4 2 2 4 6" xfId="21717" xr:uid="{00000000-0005-0000-0000-00009EB50000}"/>
    <cellStyle name="표준 5 5 4 2 2 4 7" xfId="25813" xr:uid="{00000000-0005-0000-0000-00009FB50000}"/>
    <cellStyle name="표준 5 5 4 2 2 4 8" xfId="34024" xr:uid="{00000000-0005-0000-0000-0000A0B50000}"/>
    <cellStyle name="표준 5 5 4 2 2 4 9" xfId="42217" xr:uid="{00000000-0005-0000-0000-0000A1B50000}"/>
    <cellStyle name="표준 5 5 4 2 2 5" xfId="9715" xr:uid="{00000000-0005-0000-0000-0000A2B50000}"/>
    <cellStyle name="표준 5 5 4 2 2 5 2" xfId="13827" xr:uid="{00000000-0005-0000-0000-0000A3B50000}"/>
    <cellStyle name="표준 5 5 4 2 2 5 2 2" xfId="30421" xr:uid="{00000000-0005-0000-0000-0000A4B50000}"/>
    <cellStyle name="표준 5 5 4 2 2 5 2 3" xfId="38632" xr:uid="{00000000-0005-0000-0000-0000A5B50000}"/>
    <cellStyle name="표준 5 5 4 2 2 5 2 4" xfId="46825" xr:uid="{00000000-0005-0000-0000-0000A6B50000}"/>
    <cellStyle name="표준 5 5 4 2 2 5 3" xfId="18067" xr:uid="{00000000-0005-0000-0000-0000A7B50000}"/>
    <cellStyle name="표준 5 5 4 2 2 5 4" xfId="22229" xr:uid="{00000000-0005-0000-0000-0000A8B50000}"/>
    <cellStyle name="표준 5 5 4 2 2 5 5" xfId="26325" xr:uid="{00000000-0005-0000-0000-0000A9B50000}"/>
    <cellStyle name="표준 5 5 4 2 2 5 6" xfId="34536" xr:uid="{00000000-0005-0000-0000-0000AAB50000}"/>
    <cellStyle name="표준 5 5 4 2 2 5 7" xfId="42729" xr:uid="{00000000-0005-0000-0000-0000ABB50000}"/>
    <cellStyle name="표준 5 5 4 2 2 6" xfId="7667" xr:uid="{00000000-0005-0000-0000-0000ACB50000}"/>
    <cellStyle name="표준 5 5 4 2 2 6 2" xfId="28373" xr:uid="{00000000-0005-0000-0000-0000ADB50000}"/>
    <cellStyle name="표준 5 5 4 2 2 6 3" xfId="36584" xr:uid="{00000000-0005-0000-0000-0000AEB50000}"/>
    <cellStyle name="표준 5 5 4 2 2 6 4" xfId="44777" xr:uid="{00000000-0005-0000-0000-0000AFB50000}"/>
    <cellStyle name="표준 5 5 4 2 2 7" xfId="11779" xr:uid="{00000000-0005-0000-0000-0000B0B50000}"/>
    <cellStyle name="표준 5 5 4 2 2 8" xfId="16019" xr:uid="{00000000-0005-0000-0000-0000B1B50000}"/>
    <cellStyle name="표준 5 5 4 2 2 9" xfId="20181" xr:uid="{00000000-0005-0000-0000-0000B2B50000}"/>
    <cellStyle name="표준 5 5 4 2 3" xfId="1068" xr:uid="{00000000-0005-0000-0000-0000B3B50000}"/>
    <cellStyle name="표준 5 5 4 2 3 2" xfId="9971" xr:uid="{00000000-0005-0000-0000-0000B4B50000}"/>
    <cellStyle name="표준 5 5 4 2 3 2 2" xfId="14083" xr:uid="{00000000-0005-0000-0000-0000B5B50000}"/>
    <cellStyle name="표준 5 5 4 2 3 2 2 2" xfId="30677" xr:uid="{00000000-0005-0000-0000-0000B6B50000}"/>
    <cellStyle name="표준 5 5 4 2 3 2 2 3" xfId="38888" xr:uid="{00000000-0005-0000-0000-0000B7B50000}"/>
    <cellStyle name="표준 5 5 4 2 3 2 2 4" xfId="47081" xr:uid="{00000000-0005-0000-0000-0000B8B50000}"/>
    <cellStyle name="표준 5 5 4 2 3 2 3" xfId="18323" xr:uid="{00000000-0005-0000-0000-0000B9B50000}"/>
    <cellStyle name="표준 5 5 4 2 3 2 4" xfId="22485" xr:uid="{00000000-0005-0000-0000-0000BAB50000}"/>
    <cellStyle name="표준 5 5 4 2 3 2 5" xfId="26581" xr:uid="{00000000-0005-0000-0000-0000BBB50000}"/>
    <cellStyle name="표준 5 5 4 2 3 2 6" xfId="34792" xr:uid="{00000000-0005-0000-0000-0000BCB50000}"/>
    <cellStyle name="표준 5 5 4 2 3 2 7" xfId="42985" xr:uid="{00000000-0005-0000-0000-0000BDB50000}"/>
    <cellStyle name="표준 5 5 4 2 3 3" xfId="7923" xr:uid="{00000000-0005-0000-0000-0000BEB50000}"/>
    <cellStyle name="표준 5 5 4 2 3 3 2" xfId="28629" xr:uid="{00000000-0005-0000-0000-0000BFB50000}"/>
    <cellStyle name="표준 5 5 4 2 3 3 3" xfId="36840" xr:uid="{00000000-0005-0000-0000-0000C0B50000}"/>
    <cellStyle name="표준 5 5 4 2 3 3 4" xfId="45033" xr:uid="{00000000-0005-0000-0000-0000C1B50000}"/>
    <cellStyle name="표준 5 5 4 2 3 4" xfId="12035" xr:uid="{00000000-0005-0000-0000-0000C2B50000}"/>
    <cellStyle name="표준 5 5 4 2 3 5" xfId="16275" xr:uid="{00000000-0005-0000-0000-0000C3B50000}"/>
    <cellStyle name="표준 5 5 4 2 3 6" xfId="20437" xr:uid="{00000000-0005-0000-0000-0000C4B50000}"/>
    <cellStyle name="표준 5 5 4 2 3 7" xfId="24533" xr:uid="{00000000-0005-0000-0000-0000C5B50000}"/>
    <cellStyle name="표준 5 5 4 2 3 8" xfId="32744" xr:uid="{00000000-0005-0000-0000-0000C6B50000}"/>
    <cellStyle name="표준 5 5 4 2 3 9" xfId="40937" xr:uid="{00000000-0005-0000-0000-0000C7B50000}"/>
    <cellStyle name="표준 5 5 4 2 4" xfId="1580" xr:uid="{00000000-0005-0000-0000-0000C8B50000}"/>
    <cellStyle name="표준 5 5 4 2 4 2" xfId="10483" xr:uid="{00000000-0005-0000-0000-0000C9B50000}"/>
    <cellStyle name="표준 5 5 4 2 4 2 2" xfId="14595" xr:uid="{00000000-0005-0000-0000-0000CAB50000}"/>
    <cellStyle name="표준 5 5 4 2 4 2 2 2" xfId="31189" xr:uid="{00000000-0005-0000-0000-0000CBB50000}"/>
    <cellStyle name="표준 5 5 4 2 4 2 2 3" xfId="39400" xr:uid="{00000000-0005-0000-0000-0000CCB50000}"/>
    <cellStyle name="표준 5 5 4 2 4 2 2 4" xfId="47593" xr:uid="{00000000-0005-0000-0000-0000CDB50000}"/>
    <cellStyle name="표준 5 5 4 2 4 2 3" xfId="18835" xr:uid="{00000000-0005-0000-0000-0000CEB50000}"/>
    <cellStyle name="표준 5 5 4 2 4 2 4" xfId="22997" xr:uid="{00000000-0005-0000-0000-0000CFB50000}"/>
    <cellStyle name="표준 5 5 4 2 4 2 5" xfId="27093" xr:uid="{00000000-0005-0000-0000-0000D0B50000}"/>
    <cellStyle name="표준 5 5 4 2 4 2 6" xfId="35304" xr:uid="{00000000-0005-0000-0000-0000D1B50000}"/>
    <cellStyle name="표준 5 5 4 2 4 2 7" xfId="43497" xr:uid="{00000000-0005-0000-0000-0000D2B50000}"/>
    <cellStyle name="표준 5 5 4 2 4 3" xfId="8435" xr:uid="{00000000-0005-0000-0000-0000D3B50000}"/>
    <cellStyle name="표준 5 5 4 2 4 3 2" xfId="29141" xr:uid="{00000000-0005-0000-0000-0000D4B50000}"/>
    <cellStyle name="표준 5 5 4 2 4 3 3" xfId="37352" xr:uid="{00000000-0005-0000-0000-0000D5B50000}"/>
    <cellStyle name="표준 5 5 4 2 4 3 4" xfId="45545" xr:uid="{00000000-0005-0000-0000-0000D6B50000}"/>
    <cellStyle name="표준 5 5 4 2 4 4" xfId="12547" xr:uid="{00000000-0005-0000-0000-0000D7B50000}"/>
    <cellStyle name="표준 5 5 4 2 4 5" xfId="16787" xr:uid="{00000000-0005-0000-0000-0000D8B50000}"/>
    <cellStyle name="표준 5 5 4 2 4 6" xfId="20949" xr:uid="{00000000-0005-0000-0000-0000D9B50000}"/>
    <cellStyle name="표준 5 5 4 2 4 7" xfId="25045" xr:uid="{00000000-0005-0000-0000-0000DAB50000}"/>
    <cellStyle name="표준 5 5 4 2 4 8" xfId="33256" xr:uid="{00000000-0005-0000-0000-0000DBB50000}"/>
    <cellStyle name="표준 5 5 4 2 4 9" xfId="41449" xr:uid="{00000000-0005-0000-0000-0000DCB50000}"/>
    <cellStyle name="표준 5 5 4 2 5" xfId="2092" xr:uid="{00000000-0005-0000-0000-0000DDB50000}"/>
    <cellStyle name="표준 5 5 4 2 5 2" xfId="10995" xr:uid="{00000000-0005-0000-0000-0000DEB50000}"/>
    <cellStyle name="표준 5 5 4 2 5 2 2" xfId="15107" xr:uid="{00000000-0005-0000-0000-0000DFB50000}"/>
    <cellStyle name="표준 5 5 4 2 5 2 2 2" xfId="31701" xr:uid="{00000000-0005-0000-0000-0000E0B50000}"/>
    <cellStyle name="표준 5 5 4 2 5 2 2 3" xfId="39912" xr:uid="{00000000-0005-0000-0000-0000E1B50000}"/>
    <cellStyle name="표준 5 5 4 2 5 2 2 4" xfId="48105" xr:uid="{00000000-0005-0000-0000-0000E2B50000}"/>
    <cellStyle name="표준 5 5 4 2 5 2 3" xfId="19347" xr:uid="{00000000-0005-0000-0000-0000E3B50000}"/>
    <cellStyle name="표준 5 5 4 2 5 2 4" xfId="23509" xr:uid="{00000000-0005-0000-0000-0000E4B50000}"/>
    <cellStyle name="표준 5 5 4 2 5 2 5" xfId="27605" xr:uid="{00000000-0005-0000-0000-0000E5B50000}"/>
    <cellStyle name="표준 5 5 4 2 5 2 6" xfId="35816" xr:uid="{00000000-0005-0000-0000-0000E6B50000}"/>
    <cellStyle name="표준 5 5 4 2 5 2 7" xfId="44009" xr:uid="{00000000-0005-0000-0000-0000E7B50000}"/>
    <cellStyle name="표준 5 5 4 2 5 3" xfId="8947" xr:uid="{00000000-0005-0000-0000-0000E8B50000}"/>
    <cellStyle name="표준 5 5 4 2 5 3 2" xfId="29653" xr:uid="{00000000-0005-0000-0000-0000E9B50000}"/>
    <cellStyle name="표준 5 5 4 2 5 3 3" xfId="37864" xr:uid="{00000000-0005-0000-0000-0000EAB50000}"/>
    <cellStyle name="표준 5 5 4 2 5 3 4" xfId="46057" xr:uid="{00000000-0005-0000-0000-0000EBB50000}"/>
    <cellStyle name="표준 5 5 4 2 5 4" xfId="13059" xr:uid="{00000000-0005-0000-0000-0000ECB50000}"/>
    <cellStyle name="표준 5 5 4 2 5 5" xfId="17299" xr:uid="{00000000-0005-0000-0000-0000EDB50000}"/>
    <cellStyle name="표준 5 5 4 2 5 6" xfId="21461" xr:uid="{00000000-0005-0000-0000-0000EEB50000}"/>
    <cellStyle name="표준 5 5 4 2 5 7" xfId="25557" xr:uid="{00000000-0005-0000-0000-0000EFB50000}"/>
    <cellStyle name="표준 5 5 4 2 5 8" xfId="33768" xr:uid="{00000000-0005-0000-0000-0000F0B50000}"/>
    <cellStyle name="표준 5 5 4 2 5 9" xfId="41961" xr:uid="{00000000-0005-0000-0000-0000F1B50000}"/>
    <cellStyle name="표준 5 5 4 2 6" xfId="9459" xr:uid="{00000000-0005-0000-0000-0000F2B50000}"/>
    <cellStyle name="표준 5 5 4 2 6 2" xfId="13571" xr:uid="{00000000-0005-0000-0000-0000F3B50000}"/>
    <cellStyle name="표준 5 5 4 2 6 2 2" xfId="30165" xr:uid="{00000000-0005-0000-0000-0000F4B50000}"/>
    <cellStyle name="표준 5 5 4 2 6 2 3" xfId="38376" xr:uid="{00000000-0005-0000-0000-0000F5B50000}"/>
    <cellStyle name="표준 5 5 4 2 6 2 4" xfId="46569" xr:uid="{00000000-0005-0000-0000-0000F6B50000}"/>
    <cellStyle name="표준 5 5 4 2 6 3" xfId="17811" xr:uid="{00000000-0005-0000-0000-0000F7B50000}"/>
    <cellStyle name="표준 5 5 4 2 6 4" xfId="21973" xr:uid="{00000000-0005-0000-0000-0000F8B50000}"/>
    <cellStyle name="표준 5 5 4 2 6 5" xfId="26069" xr:uid="{00000000-0005-0000-0000-0000F9B50000}"/>
    <cellStyle name="표준 5 5 4 2 6 6" xfId="34280" xr:uid="{00000000-0005-0000-0000-0000FAB50000}"/>
    <cellStyle name="표준 5 5 4 2 6 7" xfId="42473" xr:uid="{00000000-0005-0000-0000-0000FBB50000}"/>
    <cellStyle name="표준 5 5 4 2 7" xfId="7411" xr:uid="{00000000-0005-0000-0000-0000FCB50000}"/>
    <cellStyle name="표준 5 5 4 2 7 2" xfId="28117" xr:uid="{00000000-0005-0000-0000-0000FDB50000}"/>
    <cellStyle name="표준 5 5 4 2 7 3" xfId="36328" xr:uid="{00000000-0005-0000-0000-0000FEB50000}"/>
    <cellStyle name="표준 5 5 4 2 7 4" xfId="44521" xr:uid="{00000000-0005-0000-0000-0000FFB50000}"/>
    <cellStyle name="표준 5 5 4 2 8" xfId="11523" xr:uid="{00000000-0005-0000-0000-000000B60000}"/>
    <cellStyle name="표준 5 5 4 2 9" xfId="15763" xr:uid="{00000000-0005-0000-0000-000001B60000}"/>
    <cellStyle name="표준 5 5 4 3" xfId="684" xr:uid="{00000000-0005-0000-0000-000002B60000}"/>
    <cellStyle name="표준 5 5 4 3 10" xfId="24149" xr:uid="{00000000-0005-0000-0000-000003B60000}"/>
    <cellStyle name="표준 5 5 4 3 11" xfId="32360" xr:uid="{00000000-0005-0000-0000-000004B60000}"/>
    <cellStyle name="표준 5 5 4 3 12" xfId="40553" xr:uid="{00000000-0005-0000-0000-000005B60000}"/>
    <cellStyle name="표준 5 5 4 3 2" xfId="1196" xr:uid="{00000000-0005-0000-0000-000006B60000}"/>
    <cellStyle name="표준 5 5 4 3 2 2" xfId="10099" xr:uid="{00000000-0005-0000-0000-000007B60000}"/>
    <cellStyle name="표준 5 5 4 3 2 2 2" xfId="14211" xr:uid="{00000000-0005-0000-0000-000008B60000}"/>
    <cellStyle name="표준 5 5 4 3 2 2 2 2" xfId="30805" xr:uid="{00000000-0005-0000-0000-000009B60000}"/>
    <cellStyle name="표준 5 5 4 3 2 2 2 3" xfId="39016" xr:uid="{00000000-0005-0000-0000-00000AB60000}"/>
    <cellStyle name="표준 5 5 4 3 2 2 2 4" xfId="47209" xr:uid="{00000000-0005-0000-0000-00000BB60000}"/>
    <cellStyle name="표준 5 5 4 3 2 2 3" xfId="18451" xr:uid="{00000000-0005-0000-0000-00000CB60000}"/>
    <cellStyle name="표준 5 5 4 3 2 2 4" xfId="22613" xr:uid="{00000000-0005-0000-0000-00000DB60000}"/>
    <cellStyle name="표준 5 5 4 3 2 2 5" xfId="26709" xr:uid="{00000000-0005-0000-0000-00000EB60000}"/>
    <cellStyle name="표준 5 5 4 3 2 2 6" xfId="34920" xr:uid="{00000000-0005-0000-0000-00000FB60000}"/>
    <cellStyle name="표준 5 5 4 3 2 2 7" xfId="43113" xr:uid="{00000000-0005-0000-0000-000010B60000}"/>
    <cellStyle name="표준 5 5 4 3 2 3" xfId="8051" xr:uid="{00000000-0005-0000-0000-000011B60000}"/>
    <cellStyle name="표준 5 5 4 3 2 3 2" xfId="28757" xr:uid="{00000000-0005-0000-0000-000012B60000}"/>
    <cellStyle name="표준 5 5 4 3 2 3 3" xfId="36968" xr:uid="{00000000-0005-0000-0000-000013B60000}"/>
    <cellStyle name="표준 5 5 4 3 2 3 4" xfId="45161" xr:uid="{00000000-0005-0000-0000-000014B60000}"/>
    <cellStyle name="표준 5 5 4 3 2 4" xfId="12163" xr:uid="{00000000-0005-0000-0000-000015B60000}"/>
    <cellStyle name="표준 5 5 4 3 2 5" xfId="16403" xr:uid="{00000000-0005-0000-0000-000016B60000}"/>
    <cellStyle name="표준 5 5 4 3 2 6" xfId="20565" xr:uid="{00000000-0005-0000-0000-000017B60000}"/>
    <cellStyle name="표준 5 5 4 3 2 7" xfId="24661" xr:uid="{00000000-0005-0000-0000-000018B60000}"/>
    <cellStyle name="표준 5 5 4 3 2 8" xfId="32872" xr:uid="{00000000-0005-0000-0000-000019B60000}"/>
    <cellStyle name="표준 5 5 4 3 2 9" xfId="41065" xr:uid="{00000000-0005-0000-0000-00001AB60000}"/>
    <cellStyle name="표준 5 5 4 3 3" xfId="1708" xr:uid="{00000000-0005-0000-0000-00001BB60000}"/>
    <cellStyle name="표준 5 5 4 3 3 2" xfId="10611" xr:uid="{00000000-0005-0000-0000-00001CB60000}"/>
    <cellStyle name="표준 5 5 4 3 3 2 2" xfId="14723" xr:uid="{00000000-0005-0000-0000-00001DB60000}"/>
    <cellStyle name="표준 5 5 4 3 3 2 2 2" xfId="31317" xr:uid="{00000000-0005-0000-0000-00001EB60000}"/>
    <cellStyle name="표준 5 5 4 3 3 2 2 3" xfId="39528" xr:uid="{00000000-0005-0000-0000-00001FB60000}"/>
    <cellStyle name="표준 5 5 4 3 3 2 2 4" xfId="47721" xr:uid="{00000000-0005-0000-0000-000020B60000}"/>
    <cellStyle name="표준 5 5 4 3 3 2 3" xfId="18963" xr:uid="{00000000-0005-0000-0000-000021B60000}"/>
    <cellStyle name="표준 5 5 4 3 3 2 4" xfId="23125" xr:uid="{00000000-0005-0000-0000-000022B60000}"/>
    <cellStyle name="표준 5 5 4 3 3 2 5" xfId="27221" xr:uid="{00000000-0005-0000-0000-000023B60000}"/>
    <cellStyle name="표준 5 5 4 3 3 2 6" xfId="35432" xr:uid="{00000000-0005-0000-0000-000024B60000}"/>
    <cellStyle name="표준 5 5 4 3 3 2 7" xfId="43625" xr:uid="{00000000-0005-0000-0000-000025B60000}"/>
    <cellStyle name="표준 5 5 4 3 3 3" xfId="8563" xr:uid="{00000000-0005-0000-0000-000026B60000}"/>
    <cellStyle name="표준 5 5 4 3 3 3 2" xfId="29269" xr:uid="{00000000-0005-0000-0000-000027B60000}"/>
    <cellStyle name="표준 5 5 4 3 3 3 3" xfId="37480" xr:uid="{00000000-0005-0000-0000-000028B60000}"/>
    <cellStyle name="표준 5 5 4 3 3 3 4" xfId="45673" xr:uid="{00000000-0005-0000-0000-000029B60000}"/>
    <cellStyle name="표준 5 5 4 3 3 4" xfId="12675" xr:uid="{00000000-0005-0000-0000-00002AB60000}"/>
    <cellStyle name="표준 5 5 4 3 3 5" xfId="16915" xr:uid="{00000000-0005-0000-0000-00002BB60000}"/>
    <cellStyle name="표준 5 5 4 3 3 6" xfId="21077" xr:uid="{00000000-0005-0000-0000-00002CB60000}"/>
    <cellStyle name="표준 5 5 4 3 3 7" xfId="25173" xr:uid="{00000000-0005-0000-0000-00002DB60000}"/>
    <cellStyle name="표준 5 5 4 3 3 8" xfId="33384" xr:uid="{00000000-0005-0000-0000-00002EB60000}"/>
    <cellStyle name="표준 5 5 4 3 3 9" xfId="41577" xr:uid="{00000000-0005-0000-0000-00002FB60000}"/>
    <cellStyle name="표준 5 5 4 3 4" xfId="2220" xr:uid="{00000000-0005-0000-0000-000030B60000}"/>
    <cellStyle name="표준 5 5 4 3 4 2" xfId="11123" xr:uid="{00000000-0005-0000-0000-000031B60000}"/>
    <cellStyle name="표준 5 5 4 3 4 2 2" xfId="15235" xr:uid="{00000000-0005-0000-0000-000032B60000}"/>
    <cellStyle name="표준 5 5 4 3 4 2 2 2" xfId="31829" xr:uid="{00000000-0005-0000-0000-000033B60000}"/>
    <cellStyle name="표준 5 5 4 3 4 2 2 3" xfId="40040" xr:uid="{00000000-0005-0000-0000-000034B60000}"/>
    <cellStyle name="표준 5 5 4 3 4 2 2 4" xfId="48233" xr:uid="{00000000-0005-0000-0000-000035B60000}"/>
    <cellStyle name="표준 5 5 4 3 4 2 3" xfId="19475" xr:uid="{00000000-0005-0000-0000-000036B60000}"/>
    <cellStyle name="표준 5 5 4 3 4 2 4" xfId="23637" xr:uid="{00000000-0005-0000-0000-000037B60000}"/>
    <cellStyle name="표준 5 5 4 3 4 2 5" xfId="27733" xr:uid="{00000000-0005-0000-0000-000038B60000}"/>
    <cellStyle name="표준 5 5 4 3 4 2 6" xfId="35944" xr:uid="{00000000-0005-0000-0000-000039B60000}"/>
    <cellStyle name="표준 5 5 4 3 4 2 7" xfId="44137" xr:uid="{00000000-0005-0000-0000-00003AB60000}"/>
    <cellStyle name="표준 5 5 4 3 4 3" xfId="9075" xr:uid="{00000000-0005-0000-0000-00003BB60000}"/>
    <cellStyle name="표준 5 5 4 3 4 3 2" xfId="29781" xr:uid="{00000000-0005-0000-0000-00003CB60000}"/>
    <cellStyle name="표준 5 5 4 3 4 3 3" xfId="37992" xr:uid="{00000000-0005-0000-0000-00003DB60000}"/>
    <cellStyle name="표준 5 5 4 3 4 3 4" xfId="46185" xr:uid="{00000000-0005-0000-0000-00003EB60000}"/>
    <cellStyle name="표준 5 5 4 3 4 4" xfId="13187" xr:uid="{00000000-0005-0000-0000-00003FB60000}"/>
    <cellStyle name="표준 5 5 4 3 4 5" xfId="17427" xr:uid="{00000000-0005-0000-0000-000040B60000}"/>
    <cellStyle name="표준 5 5 4 3 4 6" xfId="21589" xr:uid="{00000000-0005-0000-0000-000041B60000}"/>
    <cellStyle name="표준 5 5 4 3 4 7" xfId="25685" xr:uid="{00000000-0005-0000-0000-000042B60000}"/>
    <cellStyle name="표준 5 5 4 3 4 8" xfId="33896" xr:uid="{00000000-0005-0000-0000-000043B60000}"/>
    <cellStyle name="표준 5 5 4 3 4 9" xfId="42089" xr:uid="{00000000-0005-0000-0000-000044B60000}"/>
    <cellStyle name="표준 5 5 4 3 5" xfId="9587" xr:uid="{00000000-0005-0000-0000-000045B60000}"/>
    <cellStyle name="표준 5 5 4 3 5 2" xfId="13699" xr:uid="{00000000-0005-0000-0000-000046B60000}"/>
    <cellStyle name="표준 5 5 4 3 5 2 2" xfId="30293" xr:uid="{00000000-0005-0000-0000-000047B60000}"/>
    <cellStyle name="표준 5 5 4 3 5 2 3" xfId="38504" xr:uid="{00000000-0005-0000-0000-000048B60000}"/>
    <cellStyle name="표준 5 5 4 3 5 2 4" xfId="46697" xr:uid="{00000000-0005-0000-0000-000049B60000}"/>
    <cellStyle name="표준 5 5 4 3 5 3" xfId="17939" xr:uid="{00000000-0005-0000-0000-00004AB60000}"/>
    <cellStyle name="표준 5 5 4 3 5 4" xfId="22101" xr:uid="{00000000-0005-0000-0000-00004BB60000}"/>
    <cellStyle name="표준 5 5 4 3 5 5" xfId="26197" xr:uid="{00000000-0005-0000-0000-00004CB60000}"/>
    <cellStyle name="표준 5 5 4 3 5 6" xfId="34408" xr:uid="{00000000-0005-0000-0000-00004DB60000}"/>
    <cellStyle name="표준 5 5 4 3 5 7" xfId="42601" xr:uid="{00000000-0005-0000-0000-00004EB60000}"/>
    <cellStyle name="표준 5 5 4 3 6" xfId="7539" xr:uid="{00000000-0005-0000-0000-00004FB60000}"/>
    <cellStyle name="표준 5 5 4 3 6 2" xfId="28245" xr:uid="{00000000-0005-0000-0000-000050B60000}"/>
    <cellStyle name="표준 5 5 4 3 6 3" xfId="36456" xr:uid="{00000000-0005-0000-0000-000051B60000}"/>
    <cellStyle name="표준 5 5 4 3 6 4" xfId="44649" xr:uid="{00000000-0005-0000-0000-000052B60000}"/>
    <cellStyle name="표준 5 5 4 3 7" xfId="11651" xr:uid="{00000000-0005-0000-0000-000053B60000}"/>
    <cellStyle name="표준 5 5 4 3 8" xfId="15891" xr:uid="{00000000-0005-0000-0000-000054B60000}"/>
    <cellStyle name="표준 5 5 4 3 9" xfId="20053" xr:uid="{00000000-0005-0000-0000-000055B60000}"/>
    <cellStyle name="표준 5 5 4 4" xfId="940" xr:uid="{00000000-0005-0000-0000-000056B60000}"/>
    <cellStyle name="표준 5 5 4 4 2" xfId="9843" xr:uid="{00000000-0005-0000-0000-000057B60000}"/>
    <cellStyle name="표준 5 5 4 4 2 2" xfId="13955" xr:uid="{00000000-0005-0000-0000-000058B60000}"/>
    <cellStyle name="표준 5 5 4 4 2 2 2" xfId="30549" xr:uid="{00000000-0005-0000-0000-000059B60000}"/>
    <cellStyle name="표준 5 5 4 4 2 2 3" xfId="38760" xr:uid="{00000000-0005-0000-0000-00005AB60000}"/>
    <cellStyle name="표준 5 5 4 4 2 2 4" xfId="46953" xr:uid="{00000000-0005-0000-0000-00005BB60000}"/>
    <cellStyle name="표준 5 5 4 4 2 3" xfId="18195" xr:uid="{00000000-0005-0000-0000-00005CB60000}"/>
    <cellStyle name="표준 5 5 4 4 2 4" xfId="22357" xr:uid="{00000000-0005-0000-0000-00005DB60000}"/>
    <cellStyle name="표준 5 5 4 4 2 5" xfId="26453" xr:uid="{00000000-0005-0000-0000-00005EB60000}"/>
    <cellStyle name="표준 5 5 4 4 2 6" xfId="34664" xr:uid="{00000000-0005-0000-0000-00005FB60000}"/>
    <cellStyle name="표준 5 5 4 4 2 7" xfId="42857" xr:uid="{00000000-0005-0000-0000-000060B60000}"/>
    <cellStyle name="표준 5 5 4 4 3" xfId="7795" xr:uid="{00000000-0005-0000-0000-000061B60000}"/>
    <cellStyle name="표준 5 5 4 4 3 2" xfId="28501" xr:uid="{00000000-0005-0000-0000-000062B60000}"/>
    <cellStyle name="표준 5 5 4 4 3 3" xfId="36712" xr:uid="{00000000-0005-0000-0000-000063B60000}"/>
    <cellStyle name="표준 5 5 4 4 3 4" xfId="44905" xr:uid="{00000000-0005-0000-0000-000064B60000}"/>
    <cellStyle name="표준 5 5 4 4 4" xfId="11907" xr:uid="{00000000-0005-0000-0000-000065B60000}"/>
    <cellStyle name="표준 5 5 4 4 5" xfId="16147" xr:uid="{00000000-0005-0000-0000-000066B60000}"/>
    <cellStyle name="표준 5 5 4 4 6" xfId="20309" xr:uid="{00000000-0005-0000-0000-000067B60000}"/>
    <cellStyle name="표준 5 5 4 4 7" xfId="24405" xr:uid="{00000000-0005-0000-0000-000068B60000}"/>
    <cellStyle name="표준 5 5 4 4 8" xfId="32616" xr:uid="{00000000-0005-0000-0000-000069B60000}"/>
    <cellStyle name="표준 5 5 4 4 9" xfId="40809" xr:uid="{00000000-0005-0000-0000-00006AB60000}"/>
    <cellStyle name="표준 5 5 4 5" xfId="1452" xr:uid="{00000000-0005-0000-0000-00006BB60000}"/>
    <cellStyle name="표준 5 5 4 5 2" xfId="10355" xr:uid="{00000000-0005-0000-0000-00006CB60000}"/>
    <cellStyle name="표준 5 5 4 5 2 2" xfId="14467" xr:uid="{00000000-0005-0000-0000-00006DB60000}"/>
    <cellStyle name="표준 5 5 4 5 2 2 2" xfId="31061" xr:uid="{00000000-0005-0000-0000-00006EB60000}"/>
    <cellStyle name="표준 5 5 4 5 2 2 3" xfId="39272" xr:uid="{00000000-0005-0000-0000-00006FB60000}"/>
    <cellStyle name="표준 5 5 4 5 2 2 4" xfId="47465" xr:uid="{00000000-0005-0000-0000-000070B60000}"/>
    <cellStyle name="표준 5 5 4 5 2 3" xfId="18707" xr:uid="{00000000-0005-0000-0000-000071B60000}"/>
    <cellStyle name="표준 5 5 4 5 2 4" xfId="22869" xr:uid="{00000000-0005-0000-0000-000072B60000}"/>
    <cellStyle name="표준 5 5 4 5 2 5" xfId="26965" xr:uid="{00000000-0005-0000-0000-000073B60000}"/>
    <cellStyle name="표준 5 5 4 5 2 6" xfId="35176" xr:uid="{00000000-0005-0000-0000-000074B60000}"/>
    <cellStyle name="표준 5 5 4 5 2 7" xfId="43369" xr:uid="{00000000-0005-0000-0000-000075B60000}"/>
    <cellStyle name="표준 5 5 4 5 3" xfId="8307" xr:uid="{00000000-0005-0000-0000-000076B60000}"/>
    <cellStyle name="표준 5 5 4 5 3 2" xfId="29013" xr:uid="{00000000-0005-0000-0000-000077B60000}"/>
    <cellStyle name="표준 5 5 4 5 3 3" xfId="37224" xr:uid="{00000000-0005-0000-0000-000078B60000}"/>
    <cellStyle name="표준 5 5 4 5 3 4" xfId="45417" xr:uid="{00000000-0005-0000-0000-000079B60000}"/>
    <cellStyle name="표준 5 5 4 5 4" xfId="12419" xr:uid="{00000000-0005-0000-0000-00007AB60000}"/>
    <cellStyle name="표준 5 5 4 5 5" xfId="16659" xr:uid="{00000000-0005-0000-0000-00007BB60000}"/>
    <cellStyle name="표준 5 5 4 5 6" xfId="20821" xr:uid="{00000000-0005-0000-0000-00007CB60000}"/>
    <cellStyle name="표준 5 5 4 5 7" xfId="24917" xr:uid="{00000000-0005-0000-0000-00007DB60000}"/>
    <cellStyle name="표준 5 5 4 5 8" xfId="33128" xr:uid="{00000000-0005-0000-0000-00007EB60000}"/>
    <cellStyle name="표준 5 5 4 5 9" xfId="41321" xr:uid="{00000000-0005-0000-0000-00007FB60000}"/>
    <cellStyle name="표준 5 5 4 6" xfId="1964" xr:uid="{00000000-0005-0000-0000-000080B60000}"/>
    <cellStyle name="표준 5 5 4 6 2" xfId="10867" xr:uid="{00000000-0005-0000-0000-000081B60000}"/>
    <cellStyle name="표준 5 5 4 6 2 2" xfId="14979" xr:uid="{00000000-0005-0000-0000-000082B60000}"/>
    <cellStyle name="표준 5 5 4 6 2 2 2" xfId="31573" xr:uid="{00000000-0005-0000-0000-000083B60000}"/>
    <cellStyle name="표준 5 5 4 6 2 2 3" xfId="39784" xr:uid="{00000000-0005-0000-0000-000084B60000}"/>
    <cellStyle name="표준 5 5 4 6 2 2 4" xfId="47977" xr:uid="{00000000-0005-0000-0000-000085B60000}"/>
    <cellStyle name="표준 5 5 4 6 2 3" xfId="19219" xr:uid="{00000000-0005-0000-0000-000086B60000}"/>
    <cellStyle name="표준 5 5 4 6 2 4" xfId="23381" xr:uid="{00000000-0005-0000-0000-000087B60000}"/>
    <cellStyle name="표준 5 5 4 6 2 5" xfId="27477" xr:uid="{00000000-0005-0000-0000-000088B60000}"/>
    <cellStyle name="표준 5 5 4 6 2 6" xfId="35688" xr:uid="{00000000-0005-0000-0000-000089B60000}"/>
    <cellStyle name="표준 5 5 4 6 2 7" xfId="43881" xr:uid="{00000000-0005-0000-0000-00008AB60000}"/>
    <cellStyle name="표준 5 5 4 6 3" xfId="8819" xr:uid="{00000000-0005-0000-0000-00008BB60000}"/>
    <cellStyle name="표준 5 5 4 6 3 2" xfId="29525" xr:uid="{00000000-0005-0000-0000-00008CB60000}"/>
    <cellStyle name="표준 5 5 4 6 3 3" xfId="37736" xr:uid="{00000000-0005-0000-0000-00008DB60000}"/>
    <cellStyle name="표준 5 5 4 6 3 4" xfId="45929" xr:uid="{00000000-0005-0000-0000-00008EB60000}"/>
    <cellStyle name="표준 5 5 4 6 4" xfId="12931" xr:uid="{00000000-0005-0000-0000-00008FB60000}"/>
    <cellStyle name="표준 5 5 4 6 5" xfId="17171" xr:uid="{00000000-0005-0000-0000-000090B60000}"/>
    <cellStyle name="표준 5 5 4 6 6" xfId="21333" xr:uid="{00000000-0005-0000-0000-000091B60000}"/>
    <cellStyle name="표준 5 5 4 6 7" xfId="25429" xr:uid="{00000000-0005-0000-0000-000092B60000}"/>
    <cellStyle name="표준 5 5 4 6 8" xfId="33640" xr:uid="{00000000-0005-0000-0000-000093B60000}"/>
    <cellStyle name="표준 5 5 4 6 9" xfId="41833" xr:uid="{00000000-0005-0000-0000-000094B60000}"/>
    <cellStyle name="표준 5 5 4 7" xfId="7024" xr:uid="{00000000-0005-0000-0000-000095B60000}"/>
    <cellStyle name="표준 5 5 4 7 2" xfId="9331" xr:uid="{00000000-0005-0000-0000-000096B60000}"/>
    <cellStyle name="표준 5 5 4 7 2 2" xfId="30037" xr:uid="{00000000-0005-0000-0000-000097B60000}"/>
    <cellStyle name="표준 5 5 4 7 2 3" xfId="38248" xr:uid="{00000000-0005-0000-0000-000098B60000}"/>
    <cellStyle name="표준 5 5 4 7 2 4" xfId="46441" xr:uid="{00000000-0005-0000-0000-000099B60000}"/>
    <cellStyle name="표준 5 5 4 7 3" xfId="13443" xr:uid="{00000000-0005-0000-0000-00009AB60000}"/>
    <cellStyle name="표준 5 5 4 7 4" xfId="17683" xr:uid="{00000000-0005-0000-0000-00009BB60000}"/>
    <cellStyle name="표준 5 5 4 7 5" xfId="21845" xr:uid="{00000000-0005-0000-0000-00009CB60000}"/>
    <cellStyle name="표준 5 5 4 7 6" xfId="25941" xr:uid="{00000000-0005-0000-0000-00009DB60000}"/>
    <cellStyle name="표준 5 5 4 7 7" xfId="34152" xr:uid="{00000000-0005-0000-0000-00009EB60000}"/>
    <cellStyle name="표준 5 5 4 7 8" xfId="42345" xr:uid="{00000000-0005-0000-0000-00009FB60000}"/>
    <cellStyle name="표준 5 5 4 8" xfId="7154" xr:uid="{00000000-0005-0000-0000-0000A0B60000}"/>
    <cellStyle name="표준 5 5 4 8 2" xfId="27989" xr:uid="{00000000-0005-0000-0000-0000A1B60000}"/>
    <cellStyle name="표준 5 5 4 8 3" xfId="36200" xr:uid="{00000000-0005-0000-0000-0000A2B60000}"/>
    <cellStyle name="표준 5 5 4 8 4" xfId="44393" xr:uid="{00000000-0005-0000-0000-0000A3B60000}"/>
    <cellStyle name="표준 5 5 4 9" xfId="7283" xr:uid="{00000000-0005-0000-0000-0000A4B60000}"/>
    <cellStyle name="표준 5 5 5" xfId="492" xr:uid="{00000000-0005-0000-0000-0000A5B60000}"/>
    <cellStyle name="표준 5 5 5 10" xfId="19861" xr:uid="{00000000-0005-0000-0000-0000A6B60000}"/>
    <cellStyle name="표준 5 5 5 11" xfId="23957" xr:uid="{00000000-0005-0000-0000-0000A7B60000}"/>
    <cellStyle name="표준 5 5 5 12" xfId="32168" xr:uid="{00000000-0005-0000-0000-0000A8B60000}"/>
    <cellStyle name="표준 5 5 5 13" xfId="40361" xr:uid="{00000000-0005-0000-0000-0000A9B60000}"/>
    <cellStyle name="표준 5 5 5 2" xfId="748" xr:uid="{00000000-0005-0000-0000-0000AAB60000}"/>
    <cellStyle name="표준 5 5 5 2 10" xfId="24213" xr:uid="{00000000-0005-0000-0000-0000ABB60000}"/>
    <cellStyle name="표준 5 5 5 2 11" xfId="32424" xr:uid="{00000000-0005-0000-0000-0000ACB60000}"/>
    <cellStyle name="표준 5 5 5 2 12" xfId="40617" xr:uid="{00000000-0005-0000-0000-0000ADB60000}"/>
    <cellStyle name="표준 5 5 5 2 2" xfId="1260" xr:uid="{00000000-0005-0000-0000-0000AEB60000}"/>
    <cellStyle name="표준 5 5 5 2 2 2" xfId="10163" xr:uid="{00000000-0005-0000-0000-0000AFB60000}"/>
    <cellStyle name="표준 5 5 5 2 2 2 2" xfId="14275" xr:uid="{00000000-0005-0000-0000-0000B0B60000}"/>
    <cellStyle name="표준 5 5 5 2 2 2 2 2" xfId="30869" xr:uid="{00000000-0005-0000-0000-0000B1B60000}"/>
    <cellStyle name="표준 5 5 5 2 2 2 2 3" xfId="39080" xr:uid="{00000000-0005-0000-0000-0000B2B60000}"/>
    <cellStyle name="표준 5 5 5 2 2 2 2 4" xfId="47273" xr:uid="{00000000-0005-0000-0000-0000B3B60000}"/>
    <cellStyle name="표준 5 5 5 2 2 2 3" xfId="18515" xr:uid="{00000000-0005-0000-0000-0000B4B60000}"/>
    <cellStyle name="표준 5 5 5 2 2 2 4" xfId="22677" xr:uid="{00000000-0005-0000-0000-0000B5B60000}"/>
    <cellStyle name="표준 5 5 5 2 2 2 5" xfId="26773" xr:uid="{00000000-0005-0000-0000-0000B6B60000}"/>
    <cellStyle name="표준 5 5 5 2 2 2 6" xfId="34984" xr:uid="{00000000-0005-0000-0000-0000B7B60000}"/>
    <cellStyle name="표준 5 5 5 2 2 2 7" xfId="43177" xr:uid="{00000000-0005-0000-0000-0000B8B60000}"/>
    <cellStyle name="표준 5 5 5 2 2 3" xfId="8115" xr:uid="{00000000-0005-0000-0000-0000B9B60000}"/>
    <cellStyle name="표준 5 5 5 2 2 3 2" xfId="28821" xr:uid="{00000000-0005-0000-0000-0000BAB60000}"/>
    <cellStyle name="표준 5 5 5 2 2 3 3" xfId="37032" xr:uid="{00000000-0005-0000-0000-0000BBB60000}"/>
    <cellStyle name="표준 5 5 5 2 2 3 4" xfId="45225" xr:uid="{00000000-0005-0000-0000-0000BCB60000}"/>
    <cellStyle name="표준 5 5 5 2 2 4" xfId="12227" xr:uid="{00000000-0005-0000-0000-0000BDB60000}"/>
    <cellStyle name="표준 5 5 5 2 2 5" xfId="16467" xr:uid="{00000000-0005-0000-0000-0000BEB60000}"/>
    <cellStyle name="표준 5 5 5 2 2 6" xfId="20629" xr:uid="{00000000-0005-0000-0000-0000BFB60000}"/>
    <cellStyle name="표준 5 5 5 2 2 7" xfId="24725" xr:uid="{00000000-0005-0000-0000-0000C0B60000}"/>
    <cellStyle name="표준 5 5 5 2 2 8" xfId="32936" xr:uid="{00000000-0005-0000-0000-0000C1B60000}"/>
    <cellStyle name="표준 5 5 5 2 2 9" xfId="41129" xr:uid="{00000000-0005-0000-0000-0000C2B60000}"/>
    <cellStyle name="표준 5 5 5 2 3" xfId="1772" xr:uid="{00000000-0005-0000-0000-0000C3B60000}"/>
    <cellStyle name="표준 5 5 5 2 3 2" xfId="10675" xr:uid="{00000000-0005-0000-0000-0000C4B60000}"/>
    <cellStyle name="표준 5 5 5 2 3 2 2" xfId="14787" xr:uid="{00000000-0005-0000-0000-0000C5B60000}"/>
    <cellStyle name="표준 5 5 5 2 3 2 2 2" xfId="31381" xr:uid="{00000000-0005-0000-0000-0000C6B60000}"/>
    <cellStyle name="표준 5 5 5 2 3 2 2 3" xfId="39592" xr:uid="{00000000-0005-0000-0000-0000C7B60000}"/>
    <cellStyle name="표준 5 5 5 2 3 2 2 4" xfId="47785" xr:uid="{00000000-0005-0000-0000-0000C8B60000}"/>
    <cellStyle name="표준 5 5 5 2 3 2 3" xfId="19027" xr:uid="{00000000-0005-0000-0000-0000C9B60000}"/>
    <cellStyle name="표준 5 5 5 2 3 2 4" xfId="23189" xr:uid="{00000000-0005-0000-0000-0000CAB60000}"/>
    <cellStyle name="표준 5 5 5 2 3 2 5" xfId="27285" xr:uid="{00000000-0005-0000-0000-0000CBB60000}"/>
    <cellStyle name="표준 5 5 5 2 3 2 6" xfId="35496" xr:uid="{00000000-0005-0000-0000-0000CCB60000}"/>
    <cellStyle name="표준 5 5 5 2 3 2 7" xfId="43689" xr:uid="{00000000-0005-0000-0000-0000CDB60000}"/>
    <cellStyle name="표준 5 5 5 2 3 3" xfId="8627" xr:uid="{00000000-0005-0000-0000-0000CEB60000}"/>
    <cellStyle name="표준 5 5 5 2 3 3 2" xfId="29333" xr:uid="{00000000-0005-0000-0000-0000CFB60000}"/>
    <cellStyle name="표준 5 5 5 2 3 3 3" xfId="37544" xr:uid="{00000000-0005-0000-0000-0000D0B60000}"/>
    <cellStyle name="표준 5 5 5 2 3 3 4" xfId="45737" xr:uid="{00000000-0005-0000-0000-0000D1B60000}"/>
    <cellStyle name="표준 5 5 5 2 3 4" xfId="12739" xr:uid="{00000000-0005-0000-0000-0000D2B60000}"/>
    <cellStyle name="표준 5 5 5 2 3 5" xfId="16979" xr:uid="{00000000-0005-0000-0000-0000D3B60000}"/>
    <cellStyle name="표준 5 5 5 2 3 6" xfId="21141" xr:uid="{00000000-0005-0000-0000-0000D4B60000}"/>
    <cellStyle name="표준 5 5 5 2 3 7" xfId="25237" xr:uid="{00000000-0005-0000-0000-0000D5B60000}"/>
    <cellStyle name="표준 5 5 5 2 3 8" xfId="33448" xr:uid="{00000000-0005-0000-0000-0000D6B60000}"/>
    <cellStyle name="표준 5 5 5 2 3 9" xfId="41641" xr:uid="{00000000-0005-0000-0000-0000D7B60000}"/>
    <cellStyle name="표준 5 5 5 2 4" xfId="2284" xr:uid="{00000000-0005-0000-0000-0000D8B60000}"/>
    <cellStyle name="표준 5 5 5 2 4 2" xfId="11187" xr:uid="{00000000-0005-0000-0000-0000D9B60000}"/>
    <cellStyle name="표준 5 5 5 2 4 2 2" xfId="15299" xr:uid="{00000000-0005-0000-0000-0000DAB60000}"/>
    <cellStyle name="표준 5 5 5 2 4 2 2 2" xfId="31893" xr:uid="{00000000-0005-0000-0000-0000DBB60000}"/>
    <cellStyle name="표준 5 5 5 2 4 2 2 3" xfId="40104" xr:uid="{00000000-0005-0000-0000-0000DCB60000}"/>
    <cellStyle name="표준 5 5 5 2 4 2 2 4" xfId="48297" xr:uid="{00000000-0005-0000-0000-0000DDB60000}"/>
    <cellStyle name="표준 5 5 5 2 4 2 3" xfId="19539" xr:uid="{00000000-0005-0000-0000-0000DEB60000}"/>
    <cellStyle name="표준 5 5 5 2 4 2 4" xfId="23701" xr:uid="{00000000-0005-0000-0000-0000DFB60000}"/>
    <cellStyle name="표준 5 5 5 2 4 2 5" xfId="27797" xr:uid="{00000000-0005-0000-0000-0000E0B60000}"/>
    <cellStyle name="표준 5 5 5 2 4 2 6" xfId="36008" xr:uid="{00000000-0005-0000-0000-0000E1B60000}"/>
    <cellStyle name="표준 5 5 5 2 4 2 7" xfId="44201" xr:uid="{00000000-0005-0000-0000-0000E2B60000}"/>
    <cellStyle name="표준 5 5 5 2 4 3" xfId="9139" xr:uid="{00000000-0005-0000-0000-0000E3B60000}"/>
    <cellStyle name="표준 5 5 5 2 4 3 2" xfId="29845" xr:uid="{00000000-0005-0000-0000-0000E4B60000}"/>
    <cellStyle name="표준 5 5 5 2 4 3 3" xfId="38056" xr:uid="{00000000-0005-0000-0000-0000E5B60000}"/>
    <cellStyle name="표준 5 5 5 2 4 3 4" xfId="46249" xr:uid="{00000000-0005-0000-0000-0000E6B60000}"/>
    <cellStyle name="표준 5 5 5 2 4 4" xfId="13251" xr:uid="{00000000-0005-0000-0000-0000E7B60000}"/>
    <cellStyle name="표준 5 5 5 2 4 5" xfId="17491" xr:uid="{00000000-0005-0000-0000-0000E8B60000}"/>
    <cellStyle name="표준 5 5 5 2 4 6" xfId="21653" xr:uid="{00000000-0005-0000-0000-0000E9B60000}"/>
    <cellStyle name="표준 5 5 5 2 4 7" xfId="25749" xr:uid="{00000000-0005-0000-0000-0000EAB60000}"/>
    <cellStyle name="표준 5 5 5 2 4 8" xfId="33960" xr:uid="{00000000-0005-0000-0000-0000EBB60000}"/>
    <cellStyle name="표준 5 5 5 2 4 9" xfId="42153" xr:uid="{00000000-0005-0000-0000-0000ECB60000}"/>
    <cellStyle name="표준 5 5 5 2 5" xfId="9651" xr:uid="{00000000-0005-0000-0000-0000EDB60000}"/>
    <cellStyle name="표준 5 5 5 2 5 2" xfId="13763" xr:uid="{00000000-0005-0000-0000-0000EEB60000}"/>
    <cellStyle name="표준 5 5 5 2 5 2 2" xfId="30357" xr:uid="{00000000-0005-0000-0000-0000EFB60000}"/>
    <cellStyle name="표준 5 5 5 2 5 2 3" xfId="38568" xr:uid="{00000000-0005-0000-0000-0000F0B60000}"/>
    <cellStyle name="표준 5 5 5 2 5 2 4" xfId="46761" xr:uid="{00000000-0005-0000-0000-0000F1B60000}"/>
    <cellStyle name="표준 5 5 5 2 5 3" xfId="18003" xr:uid="{00000000-0005-0000-0000-0000F2B60000}"/>
    <cellStyle name="표준 5 5 5 2 5 4" xfId="22165" xr:uid="{00000000-0005-0000-0000-0000F3B60000}"/>
    <cellStyle name="표준 5 5 5 2 5 5" xfId="26261" xr:uid="{00000000-0005-0000-0000-0000F4B60000}"/>
    <cellStyle name="표준 5 5 5 2 5 6" xfId="34472" xr:uid="{00000000-0005-0000-0000-0000F5B60000}"/>
    <cellStyle name="표준 5 5 5 2 5 7" xfId="42665" xr:uid="{00000000-0005-0000-0000-0000F6B60000}"/>
    <cellStyle name="표준 5 5 5 2 6" xfId="7603" xr:uid="{00000000-0005-0000-0000-0000F7B60000}"/>
    <cellStyle name="표준 5 5 5 2 6 2" xfId="28309" xr:uid="{00000000-0005-0000-0000-0000F8B60000}"/>
    <cellStyle name="표준 5 5 5 2 6 3" xfId="36520" xr:uid="{00000000-0005-0000-0000-0000F9B60000}"/>
    <cellStyle name="표준 5 5 5 2 6 4" xfId="44713" xr:uid="{00000000-0005-0000-0000-0000FAB60000}"/>
    <cellStyle name="표준 5 5 5 2 7" xfId="11715" xr:uid="{00000000-0005-0000-0000-0000FBB60000}"/>
    <cellStyle name="표준 5 5 5 2 8" xfId="15955" xr:uid="{00000000-0005-0000-0000-0000FCB60000}"/>
    <cellStyle name="표준 5 5 5 2 9" xfId="20117" xr:uid="{00000000-0005-0000-0000-0000FDB60000}"/>
    <cellStyle name="표준 5 5 5 3" xfId="1004" xr:uid="{00000000-0005-0000-0000-0000FEB60000}"/>
    <cellStyle name="표준 5 5 5 3 2" xfId="9907" xr:uid="{00000000-0005-0000-0000-0000FFB60000}"/>
    <cellStyle name="표준 5 5 5 3 2 2" xfId="14019" xr:uid="{00000000-0005-0000-0000-000000B70000}"/>
    <cellStyle name="표준 5 5 5 3 2 2 2" xfId="30613" xr:uid="{00000000-0005-0000-0000-000001B70000}"/>
    <cellStyle name="표준 5 5 5 3 2 2 3" xfId="38824" xr:uid="{00000000-0005-0000-0000-000002B70000}"/>
    <cellStyle name="표준 5 5 5 3 2 2 4" xfId="47017" xr:uid="{00000000-0005-0000-0000-000003B70000}"/>
    <cellStyle name="표준 5 5 5 3 2 3" xfId="18259" xr:uid="{00000000-0005-0000-0000-000004B70000}"/>
    <cellStyle name="표준 5 5 5 3 2 4" xfId="22421" xr:uid="{00000000-0005-0000-0000-000005B70000}"/>
    <cellStyle name="표준 5 5 5 3 2 5" xfId="26517" xr:uid="{00000000-0005-0000-0000-000006B70000}"/>
    <cellStyle name="표준 5 5 5 3 2 6" xfId="34728" xr:uid="{00000000-0005-0000-0000-000007B70000}"/>
    <cellStyle name="표준 5 5 5 3 2 7" xfId="42921" xr:uid="{00000000-0005-0000-0000-000008B70000}"/>
    <cellStyle name="표준 5 5 5 3 3" xfId="7859" xr:uid="{00000000-0005-0000-0000-000009B70000}"/>
    <cellStyle name="표준 5 5 5 3 3 2" xfId="28565" xr:uid="{00000000-0005-0000-0000-00000AB70000}"/>
    <cellStyle name="표준 5 5 5 3 3 3" xfId="36776" xr:uid="{00000000-0005-0000-0000-00000BB70000}"/>
    <cellStyle name="표준 5 5 5 3 3 4" xfId="44969" xr:uid="{00000000-0005-0000-0000-00000CB70000}"/>
    <cellStyle name="표준 5 5 5 3 4" xfId="11971" xr:uid="{00000000-0005-0000-0000-00000DB70000}"/>
    <cellStyle name="표준 5 5 5 3 5" xfId="16211" xr:uid="{00000000-0005-0000-0000-00000EB70000}"/>
    <cellStyle name="표준 5 5 5 3 6" xfId="20373" xr:uid="{00000000-0005-0000-0000-00000FB70000}"/>
    <cellStyle name="표준 5 5 5 3 7" xfId="24469" xr:uid="{00000000-0005-0000-0000-000010B70000}"/>
    <cellStyle name="표준 5 5 5 3 8" xfId="32680" xr:uid="{00000000-0005-0000-0000-000011B70000}"/>
    <cellStyle name="표준 5 5 5 3 9" xfId="40873" xr:uid="{00000000-0005-0000-0000-000012B70000}"/>
    <cellStyle name="표준 5 5 5 4" xfId="1516" xr:uid="{00000000-0005-0000-0000-000013B70000}"/>
    <cellStyle name="표준 5 5 5 4 2" xfId="10419" xr:uid="{00000000-0005-0000-0000-000014B70000}"/>
    <cellStyle name="표준 5 5 5 4 2 2" xfId="14531" xr:uid="{00000000-0005-0000-0000-000015B70000}"/>
    <cellStyle name="표준 5 5 5 4 2 2 2" xfId="31125" xr:uid="{00000000-0005-0000-0000-000016B70000}"/>
    <cellStyle name="표준 5 5 5 4 2 2 3" xfId="39336" xr:uid="{00000000-0005-0000-0000-000017B70000}"/>
    <cellStyle name="표준 5 5 5 4 2 2 4" xfId="47529" xr:uid="{00000000-0005-0000-0000-000018B70000}"/>
    <cellStyle name="표준 5 5 5 4 2 3" xfId="18771" xr:uid="{00000000-0005-0000-0000-000019B70000}"/>
    <cellStyle name="표준 5 5 5 4 2 4" xfId="22933" xr:uid="{00000000-0005-0000-0000-00001AB70000}"/>
    <cellStyle name="표준 5 5 5 4 2 5" xfId="27029" xr:uid="{00000000-0005-0000-0000-00001BB70000}"/>
    <cellStyle name="표준 5 5 5 4 2 6" xfId="35240" xr:uid="{00000000-0005-0000-0000-00001CB70000}"/>
    <cellStyle name="표준 5 5 5 4 2 7" xfId="43433" xr:uid="{00000000-0005-0000-0000-00001DB70000}"/>
    <cellStyle name="표준 5 5 5 4 3" xfId="8371" xr:uid="{00000000-0005-0000-0000-00001EB70000}"/>
    <cellStyle name="표준 5 5 5 4 3 2" xfId="29077" xr:uid="{00000000-0005-0000-0000-00001FB70000}"/>
    <cellStyle name="표준 5 5 5 4 3 3" xfId="37288" xr:uid="{00000000-0005-0000-0000-000020B70000}"/>
    <cellStyle name="표준 5 5 5 4 3 4" xfId="45481" xr:uid="{00000000-0005-0000-0000-000021B70000}"/>
    <cellStyle name="표준 5 5 5 4 4" xfId="12483" xr:uid="{00000000-0005-0000-0000-000022B70000}"/>
    <cellStyle name="표준 5 5 5 4 5" xfId="16723" xr:uid="{00000000-0005-0000-0000-000023B70000}"/>
    <cellStyle name="표준 5 5 5 4 6" xfId="20885" xr:uid="{00000000-0005-0000-0000-000024B70000}"/>
    <cellStyle name="표준 5 5 5 4 7" xfId="24981" xr:uid="{00000000-0005-0000-0000-000025B70000}"/>
    <cellStyle name="표준 5 5 5 4 8" xfId="33192" xr:uid="{00000000-0005-0000-0000-000026B70000}"/>
    <cellStyle name="표준 5 5 5 4 9" xfId="41385" xr:uid="{00000000-0005-0000-0000-000027B70000}"/>
    <cellStyle name="표준 5 5 5 5" xfId="2028" xr:uid="{00000000-0005-0000-0000-000028B70000}"/>
    <cellStyle name="표준 5 5 5 5 2" xfId="10931" xr:uid="{00000000-0005-0000-0000-000029B70000}"/>
    <cellStyle name="표준 5 5 5 5 2 2" xfId="15043" xr:uid="{00000000-0005-0000-0000-00002AB70000}"/>
    <cellStyle name="표준 5 5 5 5 2 2 2" xfId="31637" xr:uid="{00000000-0005-0000-0000-00002BB70000}"/>
    <cellStyle name="표준 5 5 5 5 2 2 3" xfId="39848" xr:uid="{00000000-0005-0000-0000-00002CB70000}"/>
    <cellStyle name="표준 5 5 5 5 2 2 4" xfId="48041" xr:uid="{00000000-0005-0000-0000-00002DB70000}"/>
    <cellStyle name="표준 5 5 5 5 2 3" xfId="19283" xr:uid="{00000000-0005-0000-0000-00002EB70000}"/>
    <cellStyle name="표준 5 5 5 5 2 4" xfId="23445" xr:uid="{00000000-0005-0000-0000-00002FB70000}"/>
    <cellStyle name="표준 5 5 5 5 2 5" xfId="27541" xr:uid="{00000000-0005-0000-0000-000030B70000}"/>
    <cellStyle name="표준 5 5 5 5 2 6" xfId="35752" xr:uid="{00000000-0005-0000-0000-000031B70000}"/>
    <cellStyle name="표준 5 5 5 5 2 7" xfId="43945" xr:uid="{00000000-0005-0000-0000-000032B70000}"/>
    <cellStyle name="표준 5 5 5 5 3" xfId="8883" xr:uid="{00000000-0005-0000-0000-000033B70000}"/>
    <cellStyle name="표준 5 5 5 5 3 2" xfId="29589" xr:uid="{00000000-0005-0000-0000-000034B70000}"/>
    <cellStyle name="표준 5 5 5 5 3 3" xfId="37800" xr:uid="{00000000-0005-0000-0000-000035B70000}"/>
    <cellStyle name="표준 5 5 5 5 3 4" xfId="45993" xr:uid="{00000000-0005-0000-0000-000036B70000}"/>
    <cellStyle name="표준 5 5 5 5 4" xfId="12995" xr:uid="{00000000-0005-0000-0000-000037B70000}"/>
    <cellStyle name="표준 5 5 5 5 5" xfId="17235" xr:uid="{00000000-0005-0000-0000-000038B70000}"/>
    <cellStyle name="표준 5 5 5 5 6" xfId="21397" xr:uid="{00000000-0005-0000-0000-000039B70000}"/>
    <cellStyle name="표준 5 5 5 5 7" xfId="25493" xr:uid="{00000000-0005-0000-0000-00003AB70000}"/>
    <cellStyle name="표준 5 5 5 5 8" xfId="33704" xr:uid="{00000000-0005-0000-0000-00003BB70000}"/>
    <cellStyle name="표준 5 5 5 5 9" xfId="41897" xr:uid="{00000000-0005-0000-0000-00003CB70000}"/>
    <cellStyle name="표준 5 5 5 6" xfId="9395" xr:uid="{00000000-0005-0000-0000-00003DB70000}"/>
    <cellStyle name="표준 5 5 5 6 2" xfId="13507" xr:uid="{00000000-0005-0000-0000-00003EB70000}"/>
    <cellStyle name="표준 5 5 5 6 2 2" xfId="30101" xr:uid="{00000000-0005-0000-0000-00003FB70000}"/>
    <cellStyle name="표준 5 5 5 6 2 3" xfId="38312" xr:uid="{00000000-0005-0000-0000-000040B70000}"/>
    <cellStyle name="표준 5 5 5 6 2 4" xfId="46505" xr:uid="{00000000-0005-0000-0000-000041B70000}"/>
    <cellStyle name="표준 5 5 5 6 3" xfId="17747" xr:uid="{00000000-0005-0000-0000-000042B70000}"/>
    <cellStyle name="표준 5 5 5 6 4" xfId="21909" xr:uid="{00000000-0005-0000-0000-000043B70000}"/>
    <cellStyle name="표준 5 5 5 6 5" xfId="26005" xr:uid="{00000000-0005-0000-0000-000044B70000}"/>
    <cellStyle name="표준 5 5 5 6 6" xfId="34216" xr:uid="{00000000-0005-0000-0000-000045B70000}"/>
    <cellStyle name="표준 5 5 5 6 7" xfId="42409" xr:uid="{00000000-0005-0000-0000-000046B70000}"/>
    <cellStyle name="표준 5 5 5 7" xfId="7347" xr:uid="{00000000-0005-0000-0000-000047B70000}"/>
    <cellStyle name="표준 5 5 5 7 2" xfId="28053" xr:uid="{00000000-0005-0000-0000-000048B70000}"/>
    <cellStyle name="표준 5 5 5 7 3" xfId="36264" xr:uid="{00000000-0005-0000-0000-000049B70000}"/>
    <cellStyle name="표준 5 5 5 7 4" xfId="44457" xr:uid="{00000000-0005-0000-0000-00004AB70000}"/>
    <cellStyle name="표준 5 5 5 8" xfId="11459" xr:uid="{00000000-0005-0000-0000-00004BB70000}"/>
    <cellStyle name="표준 5 5 5 9" xfId="15699" xr:uid="{00000000-0005-0000-0000-00004CB70000}"/>
    <cellStyle name="표준 5 5 6" xfId="620" xr:uid="{00000000-0005-0000-0000-00004DB70000}"/>
    <cellStyle name="표준 5 5 6 10" xfId="24085" xr:uid="{00000000-0005-0000-0000-00004EB70000}"/>
    <cellStyle name="표준 5 5 6 11" xfId="32296" xr:uid="{00000000-0005-0000-0000-00004FB70000}"/>
    <cellStyle name="표준 5 5 6 12" xfId="40489" xr:uid="{00000000-0005-0000-0000-000050B70000}"/>
    <cellStyle name="표준 5 5 6 2" xfId="1132" xr:uid="{00000000-0005-0000-0000-000051B70000}"/>
    <cellStyle name="표준 5 5 6 2 2" xfId="10035" xr:uid="{00000000-0005-0000-0000-000052B70000}"/>
    <cellStyle name="표준 5 5 6 2 2 2" xfId="14147" xr:uid="{00000000-0005-0000-0000-000053B70000}"/>
    <cellStyle name="표준 5 5 6 2 2 2 2" xfId="30741" xr:uid="{00000000-0005-0000-0000-000054B70000}"/>
    <cellStyle name="표준 5 5 6 2 2 2 3" xfId="38952" xr:uid="{00000000-0005-0000-0000-000055B70000}"/>
    <cellStyle name="표준 5 5 6 2 2 2 4" xfId="47145" xr:uid="{00000000-0005-0000-0000-000056B70000}"/>
    <cellStyle name="표준 5 5 6 2 2 3" xfId="18387" xr:uid="{00000000-0005-0000-0000-000057B70000}"/>
    <cellStyle name="표준 5 5 6 2 2 4" xfId="22549" xr:uid="{00000000-0005-0000-0000-000058B70000}"/>
    <cellStyle name="표준 5 5 6 2 2 5" xfId="26645" xr:uid="{00000000-0005-0000-0000-000059B70000}"/>
    <cellStyle name="표준 5 5 6 2 2 6" xfId="34856" xr:uid="{00000000-0005-0000-0000-00005AB70000}"/>
    <cellStyle name="표준 5 5 6 2 2 7" xfId="43049" xr:uid="{00000000-0005-0000-0000-00005BB70000}"/>
    <cellStyle name="표준 5 5 6 2 3" xfId="7987" xr:uid="{00000000-0005-0000-0000-00005CB70000}"/>
    <cellStyle name="표준 5 5 6 2 3 2" xfId="28693" xr:uid="{00000000-0005-0000-0000-00005DB70000}"/>
    <cellStyle name="표준 5 5 6 2 3 3" xfId="36904" xr:uid="{00000000-0005-0000-0000-00005EB70000}"/>
    <cellStyle name="표준 5 5 6 2 3 4" xfId="45097" xr:uid="{00000000-0005-0000-0000-00005FB70000}"/>
    <cellStyle name="표준 5 5 6 2 4" xfId="12099" xr:uid="{00000000-0005-0000-0000-000060B70000}"/>
    <cellStyle name="표준 5 5 6 2 5" xfId="16339" xr:uid="{00000000-0005-0000-0000-000061B70000}"/>
    <cellStyle name="표준 5 5 6 2 6" xfId="20501" xr:uid="{00000000-0005-0000-0000-000062B70000}"/>
    <cellStyle name="표준 5 5 6 2 7" xfId="24597" xr:uid="{00000000-0005-0000-0000-000063B70000}"/>
    <cellStyle name="표준 5 5 6 2 8" xfId="32808" xr:uid="{00000000-0005-0000-0000-000064B70000}"/>
    <cellStyle name="표준 5 5 6 2 9" xfId="41001" xr:uid="{00000000-0005-0000-0000-000065B70000}"/>
    <cellStyle name="표준 5 5 6 3" xfId="1644" xr:uid="{00000000-0005-0000-0000-000066B70000}"/>
    <cellStyle name="표준 5 5 6 3 2" xfId="10547" xr:uid="{00000000-0005-0000-0000-000067B70000}"/>
    <cellStyle name="표준 5 5 6 3 2 2" xfId="14659" xr:uid="{00000000-0005-0000-0000-000068B70000}"/>
    <cellStyle name="표준 5 5 6 3 2 2 2" xfId="31253" xr:uid="{00000000-0005-0000-0000-000069B70000}"/>
    <cellStyle name="표준 5 5 6 3 2 2 3" xfId="39464" xr:uid="{00000000-0005-0000-0000-00006AB70000}"/>
    <cellStyle name="표준 5 5 6 3 2 2 4" xfId="47657" xr:uid="{00000000-0005-0000-0000-00006BB70000}"/>
    <cellStyle name="표준 5 5 6 3 2 3" xfId="18899" xr:uid="{00000000-0005-0000-0000-00006CB70000}"/>
    <cellStyle name="표준 5 5 6 3 2 4" xfId="23061" xr:uid="{00000000-0005-0000-0000-00006DB70000}"/>
    <cellStyle name="표준 5 5 6 3 2 5" xfId="27157" xr:uid="{00000000-0005-0000-0000-00006EB70000}"/>
    <cellStyle name="표준 5 5 6 3 2 6" xfId="35368" xr:uid="{00000000-0005-0000-0000-00006FB70000}"/>
    <cellStyle name="표준 5 5 6 3 2 7" xfId="43561" xr:uid="{00000000-0005-0000-0000-000070B70000}"/>
    <cellStyle name="표준 5 5 6 3 3" xfId="8499" xr:uid="{00000000-0005-0000-0000-000071B70000}"/>
    <cellStyle name="표준 5 5 6 3 3 2" xfId="29205" xr:uid="{00000000-0005-0000-0000-000072B70000}"/>
    <cellStyle name="표준 5 5 6 3 3 3" xfId="37416" xr:uid="{00000000-0005-0000-0000-000073B70000}"/>
    <cellStyle name="표준 5 5 6 3 3 4" xfId="45609" xr:uid="{00000000-0005-0000-0000-000074B70000}"/>
    <cellStyle name="표준 5 5 6 3 4" xfId="12611" xr:uid="{00000000-0005-0000-0000-000075B70000}"/>
    <cellStyle name="표준 5 5 6 3 5" xfId="16851" xr:uid="{00000000-0005-0000-0000-000076B70000}"/>
    <cellStyle name="표준 5 5 6 3 6" xfId="21013" xr:uid="{00000000-0005-0000-0000-000077B70000}"/>
    <cellStyle name="표준 5 5 6 3 7" xfId="25109" xr:uid="{00000000-0005-0000-0000-000078B70000}"/>
    <cellStyle name="표준 5 5 6 3 8" xfId="33320" xr:uid="{00000000-0005-0000-0000-000079B70000}"/>
    <cellStyle name="표준 5 5 6 3 9" xfId="41513" xr:uid="{00000000-0005-0000-0000-00007AB70000}"/>
    <cellStyle name="표준 5 5 6 4" xfId="2156" xr:uid="{00000000-0005-0000-0000-00007BB70000}"/>
    <cellStyle name="표준 5 5 6 4 2" xfId="11059" xr:uid="{00000000-0005-0000-0000-00007CB70000}"/>
    <cellStyle name="표준 5 5 6 4 2 2" xfId="15171" xr:uid="{00000000-0005-0000-0000-00007DB70000}"/>
    <cellStyle name="표준 5 5 6 4 2 2 2" xfId="31765" xr:uid="{00000000-0005-0000-0000-00007EB70000}"/>
    <cellStyle name="표준 5 5 6 4 2 2 3" xfId="39976" xr:uid="{00000000-0005-0000-0000-00007FB70000}"/>
    <cellStyle name="표준 5 5 6 4 2 2 4" xfId="48169" xr:uid="{00000000-0005-0000-0000-000080B70000}"/>
    <cellStyle name="표준 5 5 6 4 2 3" xfId="19411" xr:uid="{00000000-0005-0000-0000-000081B70000}"/>
    <cellStyle name="표준 5 5 6 4 2 4" xfId="23573" xr:uid="{00000000-0005-0000-0000-000082B70000}"/>
    <cellStyle name="표준 5 5 6 4 2 5" xfId="27669" xr:uid="{00000000-0005-0000-0000-000083B70000}"/>
    <cellStyle name="표준 5 5 6 4 2 6" xfId="35880" xr:uid="{00000000-0005-0000-0000-000084B70000}"/>
    <cellStyle name="표준 5 5 6 4 2 7" xfId="44073" xr:uid="{00000000-0005-0000-0000-000085B70000}"/>
    <cellStyle name="표준 5 5 6 4 3" xfId="9011" xr:uid="{00000000-0005-0000-0000-000086B70000}"/>
    <cellStyle name="표준 5 5 6 4 3 2" xfId="29717" xr:uid="{00000000-0005-0000-0000-000087B70000}"/>
    <cellStyle name="표준 5 5 6 4 3 3" xfId="37928" xr:uid="{00000000-0005-0000-0000-000088B70000}"/>
    <cellStyle name="표준 5 5 6 4 3 4" xfId="46121" xr:uid="{00000000-0005-0000-0000-000089B70000}"/>
    <cellStyle name="표준 5 5 6 4 4" xfId="13123" xr:uid="{00000000-0005-0000-0000-00008AB70000}"/>
    <cellStyle name="표준 5 5 6 4 5" xfId="17363" xr:uid="{00000000-0005-0000-0000-00008BB70000}"/>
    <cellStyle name="표준 5 5 6 4 6" xfId="21525" xr:uid="{00000000-0005-0000-0000-00008CB70000}"/>
    <cellStyle name="표준 5 5 6 4 7" xfId="25621" xr:uid="{00000000-0005-0000-0000-00008DB70000}"/>
    <cellStyle name="표준 5 5 6 4 8" xfId="33832" xr:uid="{00000000-0005-0000-0000-00008EB70000}"/>
    <cellStyle name="표준 5 5 6 4 9" xfId="42025" xr:uid="{00000000-0005-0000-0000-00008FB70000}"/>
    <cellStyle name="표준 5 5 6 5" xfId="9523" xr:uid="{00000000-0005-0000-0000-000090B70000}"/>
    <cellStyle name="표준 5 5 6 5 2" xfId="13635" xr:uid="{00000000-0005-0000-0000-000091B70000}"/>
    <cellStyle name="표준 5 5 6 5 2 2" xfId="30229" xr:uid="{00000000-0005-0000-0000-000092B70000}"/>
    <cellStyle name="표준 5 5 6 5 2 3" xfId="38440" xr:uid="{00000000-0005-0000-0000-000093B70000}"/>
    <cellStyle name="표준 5 5 6 5 2 4" xfId="46633" xr:uid="{00000000-0005-0000-0000-000094B70000}"/>
    <cellStyle name="표준 5 5 6 5 3" xfId="17875" xr:uid="{00000000-0005-0000-0000-000095B70000}"/>
    <cellStyle name="표준 5 5 6 5 4" xfId="22037" xr:uid="{00000000-0005-0000-0000-000096B70000}"/>
    <cellStyle name="표준 5 5 6 5 5" xfId="26133" xr:uid="{00000000-0005-0000-0000-000097B70000}"/>
    <cellStyle name="표준 5 5 6 5 6" xfId="34344" xr:uid="{00000000-0005-0000-0000-000098B70000}"/>
    <cellStyle name="표준 5 5 6 5 7" xfId="42537" xr:uid="{00000000-0005-0000-0000-000099B70000}"/>
    <cellStyle name="표준 5 5 6 6" xfId="7475" xr:uid="{00000000-0005-0000-0000-00009AB70000}"/>
    <cellStyle name="표준 5 5 6 6 2" xfId="28181" xr:uid="{00000000-0005-0000-0000-00009BB70000}"/>
    <cellStyle name="표준 5 5 6 6 3" xfId="36392" xr:uid="{00000000-0005-0000-0000-00009CB70000}"/>
    <cellStyle name="표준 5 5 6 6 4" xfId="44585" xr:uid="{00000000-0005-0000-0000-00009DB70000}"/>
    <cellStyle name="표준 5 5 6 7" xfId="11587" xr:uid="{00000000-0005-0000-0000-00009EB70000}"/>
    <cellStyle name="표준 5 5 6 8" xfId="15827" xr:uid="{00000000-0005-0000-0000-00009FB70000}"/>
    <cellStyle name="표준 5 5 6 9" xfId="19989" xr:uid="{00000000-0005-0000-0000-0000A0B70000}"/>
    <cellStyle name="표준 5 5 7" xfId="876" xr:uid="{00000000-0005-0000-0000-0000A1B70000}"/>
    <cellStyle name="표준 5 5 7 2" xfId="9779" xr:uid="{00000000-0005-0000-0000-0000A2B70000}"/>
    <cellStyle name="표준 5 5 7 2 2" xfId="13891" xr:uid="{00000000-0005-0000-0000-0000A3B70000}"/>
    <cellStyle name="표준 5 5 7 2 2 2" xfId="30485" xr:uid="{00000000-0005-0000-0000-0000A4B70000}"/>
    <cellStyle name="표준 5 5 7 2 2 3" xfId="38696" xr:uid="{00000000-0005-0000-0000-0000A5B70000}"/>
    <cellStyle name="표준 5 5 7 2 2 4" xfId="46889" xr:uid="{00000000-0005-0000-0000-0000A6B70000}"/>
    <cellStyle name="표준 5 5 7 2 3" xfId="18131" xr:uid="{00000000-0005-0000-0000-0000A7B70000}"/>
    <cellStyle name="표준 5 5 7 2 4" xfId="22293" xr:uid="{00000000-0005-0000-0000-0000A8B70000}"/>
    <cellStyle name="표준 5 5 7 2 5" xfId="26389" xr:uid="{00000000-0005-0000-0000-0000A9B70000}"/>
    <cellStyle name="표준 5 5 7 2 6" xfId="34600" xr:uid="{00000000-0005-0000-0000-0000AAB70000}"/>
    <cellStyle name="표준 5 5 7 2 7" xfId="42793" xr:uid="{00000000-0005-0000-0000-0000ABB70000}"/>
    <cellStyle name="표준 5 5 7 3" xfId="7731" xr:uid="{00000000-0005-0000-0000-0000ACB70000}"/>
    <cellStyle name="표준 5 5 7 3 2" xfId="28437" xr:uid="{00000000-0005-0000-0000-0000ADB70000}"/>
    <cellStyle name="표준 5 5 7 3 3" xfId="36648" xr:uid="{00000000-0005-0000-0000-0000AEB70000}"/>
    <cellStyle name="표준 5 5 7 3 4" xfId="44841" xr:uid="{00000000-0005-0000-0000-0000AFB70000}"/>
    <cellStyle name="표준 5 5 7 4" xfId="11843" xr:uid="{00000000-0005-0000-0000-0000B0B70000}"/>
    <cellStyle name="표준 5 5 7 5" xfId="16083" xr:uid="{00000000-0005-0000-0000-0000B1B70000}"/>
    <cellStyle name="표준 5 5 7 6" xfId="20245" xr:uid="{00000000-0005-0000-0000-0000B2B70000}"/>
    <cellStyle name="표준 5 5 7 7" xfId="24341" xr:uid="{00000000-0005-0000-0000-0000B3B70000}"/>
    <cellStyle name="표준 5 5 7 8" xfId="32552" xr:uid="{00000000-0005-0000-0000-0000B4B70000}"/>
    <cellStyle name="표준 5 5 7 9" xfId="40745" xr:uid="{00000000-0005-0000-0000-0000B5B70000}"/>
    <cellStyle name="표준 5 5 8" xfId="1388" xr:uid="{00000000-0005-0000-0000-0000B6B70000}"/>
    <cellStyle name="표준 5 5 8 2" xfId="10291" xr:uid="{00000000-0005-0000-0000-0000B7B70000}"/>
    <cellStyle name="표준 5 5 8 2 2" xfId="14403" xr:uid="{00000000-0005-0000-0000-0000B8B70000}"/>
    <cellStyle name="표준 5 5 8 2 2 2" xfId="30997" xr:uid="{00000000-0005-0000-0000-0000B9B70000}"/>
    <cellStyle name="표준 5 5 8 2 2 3" xfId="39208" xr:uid="{00000000-0005-0000-0000-0000BAB70000}"/>
    <cellStyle name="표준 5 5 8 2 2 4" xfId="47401" xr:uid="{00000000-0005-0000-0000-0000BBB70000}"/>
    <cellStyle name="표준 5 5 8 2 3" xfId="18643" xr:uid="{00000000-0005-0000-0000-0000BCB70000}"/>
    <cellStyle name="표준 5 5 8 2 4" xfId="22805" xr:uid="{00000000-0005-0000-0000-0000BDB70000}"/>
    <cellStyle name="표준 5 5 8 2 5" xfId="26901" xr:uid="{00000000-0005-0000-0000-0000BEB70000}"/>
    <cellStyle name="표준 5 5 8 2 6" xfId="35112" xr:uid="{00000000-0005-0000-0000-0000BFB70000}"/>
    <cellStyle name="표준 5 5 8 2 7" xfId="43305" xr:uid="{00000000-0005-0000-0000-0000C0B70000}"/>
    <cellStyle name="표준 5 5 8 3" xfId="8243" xr:uid="{00000000-0005-0000-0000-0000C1B70000}"/>
    <cellStyle name="표준 5 5 8 3 2" xfId="28949" xr:uid="{00000000-0005-0000-0000-0000C2B70000}"/>
    <cellStyle name="표준 5 5 8 3 3" xfId="37160" xr:uid="{00000000-0005-0000-0000-0000C3B70000}"/>
    <cellStyle name="표준 5 5 8 3 4" xfId="45353" xr:uid="{00000000-0005-0000-0000-0000C4B70000}"/>
    <cellStyle name="표준 5 5 8 4" xfId="12355" xr:uid="{00000000-0005-0000-0000-0000C5B70000}"/>
    <cellStyle name="표준 5 5 8 5" xfId="16595" xr:uid="{00000000-0005-0000-0000-0000C6B70000}"/>
    <cellStyle name="표준 5 5 8 6" xfId="20757" xr:uid="{00000000-0005-0000-0000-0000C7B70000}"/>
    <cellStyle name="표준 5 5 8 7" xfId="24853" xr:uid="{00000000-0005-0000-0000-0000C8B70000}"/>
    <cellStyle name="표준 5 5 8 8" xfId="33064" xr:uid="{00000000-0005-0000-0000-0000C9B70000}"/>
    <cellStyle name="표준 5 5 8 9" xfId="41257" xr:uid="{00000000-0005-0000-0000-0000CAB70000}"/>
    <cellStyle name="표준 5 5 9" xfId="1900" xr:uid="{00000000-0005-0000-0000-0000CBB70000}"/>
    <cellStyle name="표준 5 5 9 2" xfId="10803" xr:uid="{00000000-0005-0000-0000-0000CCB70000}"/>
    <cellStyle name="표준 5 5 9 2 2" xfId="14915" xr:uid="{00000000-0005-0000-0000-0000CDB70000}"/>
    <cellStyle name="표준 5 5 9 2 2 2" xfId="31509" xr:uid="{00000000-0005-0000-0000-0000CEB70000}"/>
    <cellStyle name="표준 5 5 9 2 2 3" xfId="39720" xr:uid="{00000000-0005-0000-0000-0000CFB70000}"/>
    <cellStyle name="표준 5 5 9 2 2 4" xfId="47913" xr:uid="{00000000-0005-0000-0000-0000D0B70000}"/>
    <cellStyle name="표준 5 5 9 2 3" xfId="19155" xr:uid="{00000000-0005-0000-0000-0000D1B70000}"/>
    <cellStyle name="표준 5 5 9 2 4" xfId="23317" xr:uid="{00000000-0005-0000-0000-0000D2B70000}"/>
    <cellStyle name="표준 5 5 9 2 5" xfId="27413" xr:uid="{00000000-0005-0000-0000-0000D3B70000}"/>
    <cellStyle name="표준 5 5 9 2 6" xfId="35624" xr:uid="{00000000-0005-0000-0000-0000D4B70000}"/>
    <cellStyle name="표준 5 5 9 2 7" xfId="43817" xr:uid="{00000000-0005-0000-0000-0000D5B70000}"/>
    <cellStyle name="표준 5 5 9 3" xfId="8755" xr:uid="{00000000-0005-0000-0000-0000D6B70000}"/>
    <cellStyle name="표준 5 5 9 3 2" xfId="29461" xr:uid="{00000000-0005-0000-0000-0000D7B70000}"/>
    <cellStyle name="표준 5 5 9 3 3" xfId="37672" xr:uid="{00000000-0005-0000-0000-0000D8B70000}"/>
    <cellStyle name="표준 5 5 9 3 4" xfId="45865" xr:uid="{00000000-0005-0000-0000-0000D9B70000}"/>
    <cellStyle name="표준 5 5 9 4" xfId="12867" xr:uid="{00000000-0005-0000-0000-0000DAB70000}"/>
    <cellStyle name="표준 5 5 9 5" xfId="17107" xr:uid="{00000000-0005-0000-0000-0000DBB70000}"/>
    <cellStyle name="표준 5 5 9 6" xfId="21269" xr:uid="{00000000-0005-0000-0000-0000DCB70000}"/>
    <cellStyle name="표준 5 5 9 7" xfId="25365" xr:uid="{00000000-0005-0000-0000-0000DDB70000}"/>
    <cellStyle name="표준 5 5 9 8" xfId="33576" xr:uid="{00000000-0005-0000-0000-0000DEB70000}"/>
    <cellStyle name="표준 5 5 9 9" xfId="41769" xr:uid="{00000000-0005-0000-0000-0000DFB70000}"/>
    <cellStyle name="표준 5 6" xfId="105" xr:uid="{00000000-0005-0000-0000-0000E0B70000}"/>
    <cellStyle name="표준 5 6 10" xfId="6225" xr:uid="{00000000-0005-0000-0000-0000E1B70000}"/>
    <cellStyle name="표준 5 6 10 2" xfId="27933" xr:uid="{00000000-0005-0000-0000-0000E2B70000}"/>
    <cellStyle name="표준 5 6 10 3" xfId="36144" xr:uid="{00000000-0005-0000-0000-0000E3B70000}"/>
    <cellStyle name="표준 5 6 10 4" xfId="44337" xr:uid="{00000000-0005-0000-0000-0000E4B70000}"/>
    <cellStyle name="표준 5 6 11" xfId="6964" xr:uid="{00000000-0005-0000-0000-0000E5B70000}"/>
    <cellStyle name="표준 5 6 12" xfId="7194" xr:uid="{00000000-0005-0000-0000-0000E6B70000}"/>
    <cellStyle name="표준 5 6 13" xfId="7227" xr:uid="{00000000-0005-0000-0000-0000E7B70000}"/>
    <cellStyle name="표준 5 6 14" xfId="11339" xr:uid="{00000000-0005-0000-0000-0000E8B70000}"/>
    <cellStyle name="표준 5 6 15" xfId="15467" xr:uid="{00000000-0005-0000-0000-0000E9B70000}"/>
    <cellStyle name="표준 5 6 16" xfId="15579" xr:uid="{00000000-0005-0000-0000-0000EAB70000}"/>
    <cellStyle name="표준 5 6 17" xfId="19741" xr:uid="{00000000-0005-0000-0000-0000EBB70000}"/>
    <cellStyle name="표준 5 6 18" xfId="23837" xr:uid="{00000000-0005-0000-0000-0000ECB70000}"/>
    <cellStyle name="표준 5 6 19" xfId="32048" xr:uid="{00000000-0005-0000-0000-0000EDB70000}"/>
    <cellStyle name="표준 5 6 2" xfId="404" xr:uid="{00000000-0005-0000-0000-0000EEB70000}"/>
    <cellStyle name="표준 5 6 2 10" xfId="7259" xr:uid="{00000000-0005-0000-0000-0000EFB70000}"/>
    <cellStyle name="표준 5 6 2 11" xfId="11371" xr:uid="{00000000-0005-0000-0000-0000F0B70000}"/>
    <cellStyle name="표준 5 6 2 12" xfId="15515" xr:uid="{00000000-0005-0000-0000-0000F1B70000}"/>
    <cellStyle name="표준 5 6 2 13" xfId="15611" xr:uid="{00000000-0005-0000-0000-0000F2B70000}"/>
    <cellStyle name="표준 5 6 2 14" xfId="19773" xr:uid="{00000000-0005-0000-0000-0000F3B70000}"/>
    <cellStyle name="표준 5 6 2 15" xfId="23869" xr:uid="{00000000-0005-0000-0000-0000F4B70000}"/>
    <cellStyle name="표준 5 6 2 16" xfId="32080" xr:uid="{00000000-0005-0000-0000-0000F5B70000}"/>
    <cellStyle name="표준 5 6 2 17" xfId="40273" xr:uid="{00000000-0005-0000-0000-0000F6B70000}"/>
    <cellStyle name="표준 5 6 2 2" xfId="468" xr:uid="{00000000-0005-0000-0000-0000F7B70000}"/>
    <cellStyle name="표준 5 6 2 2 10" xfId="15675" xr:uid="{00000000-0005-0000-0000-0000F8B70000}"/>
    <cellStyle name="표준 5 6 2 2 11" xfId="19837" xr:uid="{00000000-0005-0000-0000-0000F9B70000}"/>
    <cellStyle name="표준 5 6 2 2 12" xfId="23933" xr:uid="{00000000-0005-0000-0000-0000FAB70000}"/>
    <cellStyle name="표준 5 6 2 2 13" xfId="32144" xr:uid="{00000000-0005-0000-0000-0000FBB70000}"/>
    <cellStyle name="표준 5 6 2 2 14" xfId="40337" xr:uid="{00000000-0005-0000-0000-0000FCB70000}"/>
    <cellStyle name="표준 5 6 2 2 2" xfId="596" xr:uid="{00000000-0005-0000-0000-0000FDB70000}"/>
    <cellStyle name="표준 5 6 2 2 2 10" xfId="19965" xr:uid="{00000000-0005-0000-0000-0000FEB70000}"/>
    <cellStyle name="표준 5 6 2 2 2 11" xfId="24061" xr:uid="{00000000-0005-0000-0000-0000FFB70000}"/>
    <cellStyle name="표준 5 6 2 2 2 12" xfId="32272" xr:uid="{00000000-0005-0000-0000-000000B80000}"/>
    <cellStyle name="표준 5 6 2 2 2 13" xfId="40465" xr:uid="{00000000-0005-0000-0000-000001B80000}"/>
    <cellStyle name="표준 5 6 2 2 2 2" xfId="852" xr:uid="{00000000-0005-0000-0000-000002B80000}"/>
    <cellStyle name="표준 5 6 2 2 2 2 10" xfId="24317" xr:uid="{00000000-0005-0000-0000-000003B80000}"/>
    <cellStyle name="표준 5 6 2 2 2 2 11" xfId="32528" xr:uid="{00000000-0005-0000-0000-000004B80000}"/>
    <cellStyle name="표준 5 6 2 2 2 2 12" xfId="40721" xr:uid="{00000000-0005-0000-0000-000005B80000}"/>
    <cellStyle name="표준 5 6 2 2 2 2 2" xfId="1364" xr:uid="{00000000-0005-0000-0000-000006B80000}"/>
    <cellStyle name="표준 5 6 2 2 2 2 2 2" xfId="10267" xr:uid="{00000000-0005-0000-0000-000007B80000}"/>
    <cellStyle name="표준 5 6 2 2 2 2 2 2 2" xfId="14379" xr:uid="{00000000-0005-0000-0000-000008B80000}"/>
    <cellStyle name="표준 5 6 2 2 2 2 2 2 2 2" xfId="30973" xr:uid="{00000000-0005-0000-0000-000009B80000}"/>
    <cellStyle name="표준 5 6 2 2 2 2 2 2 2 3" xfId="39184" xr:uid="{00000000-0005-0000-0000-00000AB80000}"/>
    <cellStyle name="표준 5 6 2 2 2 2 2 2 2 4" xfId="47377" xr:uid="{00000000-0005-0000-0000-00000BB80000}"/>
    <cellStyle name="표준 5 6 2 2 2 2 2 2 3" xfId="18619" xr:uid="{00000000-0005-0000-0000-00000CB80000}"/>
    <cellStyle name="표준 5 6 2 2 2 2 2 2 4" xfId="22781" xr:uid="{00000000-0005-0000-0000-00000DB80000}"/>
    <cellStyle name="표준 5 6 2 2 2 2 2 2 5" xfId="26877" xr:uid="{00000000-0005-0000-0000-00000EB80000}"/>
    <cellStyle name="표준 5 6 2 2 2 2 2 2 6" xfId="35088" xr:uid="{00000000-0005-0000-0000-00000FB80000}"/>
    <cellStyle name="표준 5 6 2 2 2 2 2 2 7" xfId="43281" xr:uid="{00000000-0005-0000-0000-000010B80000}"/>
    <cellStyle name="표준 5 6 2 2 2 2 2 3" xfId="8219" xr:uid="{00000000-0005-0000-0000-000011B80000}"/>
    <cellStyle name="표준 5 6 2 2 2 2 2 3 2" xfId="28925" xr:uid="{00000000-0005-0000-0000-000012B80000}"/>
    <cellStyle name="표준 5 6 2 2 2 2 2 3 3" xfId="37136" xr:uid="{00000000-0005-0000-0000-000013B80000}"/>
    <cellStyle name="표준 5 6 2 2 2 2 2 3 4" xfId="45329" xr:uid="{00000000-0005-0000-0000-000014B80000}"/>
    <cellStyle name="표준 5 6 2 2 2 2 2 4" xfId="12331" xr:uid="{00000000-0005-0000-0000-000015B80000}"/>
    <cellStyle name="표준 5 6 2 2 2 2 2 5" xfId="16571" xr:uid="{00000000-0005-0000-0000-000016B80000}"/>
    <cellStyle name="표준 5 6 2 2 2 2 2 6" xfId="20733" xr:uid="{00000000-0005-0000-0000-000017B80000}"/>
    <cellStyle name="표준 5 6 2 2 2 2 2 7" xfId="24829" xr:uid="{00000000-0005-0000-0000-000018B80000}"/>
    <cellStyle name="표준 5 6 2 2 2 2 2 8" xfId="33040" xr:uid="{00000000-0005-0000-0000-000019B80000}"/>
    <cellStyle name="표준 5 6 2 2 2 2 2 9" xfId="41233" xr:uid="{00000000-0005-0000-0000-00001AB80000}"/>
    <cellStyle name="표준 5 6 2 2 2 2 3" xfId="1876" xr:uid="{00000000-0005-0000-0000-00001BB80000}"/>
    <cellStyle name="표준 5 6 2 2 2 2 3 2" xfId="10779" xr:uid="{00000000-0005-0000-0000-00001CB80000}"/>
    <cellStyle name="표준 5 6 2 2 2 2 3 2 2" xfId="14891" xr:uid="{00000000-0005-0000-0000-00001DB80000}"/>
    <cellStyle name="표준 5 6 2 2 2 2 3 2 2 2" xfId="31485" xr:uid="{00000000-0005-0000-0000-00001EB80000}"/>
    <cellStyle name="표준 5 6 2 2 2 2 3 2 2 3" xfId="39696" xr:uid="{00000000-0005-0000-0000-00001FB80000}"/>
    <cellStyle name="표준 5 6 2 2 2 2 3 2 2 4" xfId="47889" xr:uid="{00000000-0005-0000-0000-000020B80000}"/>
    <cellStyle name="표준 5 6 2 2 2 2 3 2 3" xfId="19131" xr:uid="{00000000-0005-0000-0000-000021B80000}"/>
    <cellStyle name="표준 5 6 2 2 2 2 3 2 4" xfId="23293" xr:uid="{00000000-0005-0000-0000-000022B80000}"/>
    <cellStyle name="표준 5 6 2 2 2 2 3 2 5" xfId="27389" xr:uid="{00000000-0005-0000-0000-000023B80000}"/>
    <cellStyle name="표준 5 6 2 2 2 2 3 2 6" xfId="35600" xr:uid="{00000000-0005-0000-0000-000024B80000}"/>
    <cellStyle name="표준 5 6 2 2 2 2 3 2 7" xfId="43793" xr:uid="{00000000-0005-0000-0000-000025B80000}"/>
    <cellStyle name="표준 5 6 2 2 2 2 3 3" xfId="8731" xr:uid="{00000000-0005-0000-0000-000026B80000}"/>
    <cellStyle name="표준 5 6 2 2 2 2 3 3 2" xfId="29437" xr:uid="{00000000-0005-0000-0000-000027B80000}"/>
    <cellStyle name="표준 5 6 2 2 2 2 3 3 3" xfId="37648" xr:uid="{00000000-0005-0000-0000-000028B80000}"/>
    <cellStyle name="표준 5 6 2 2 2 2 3 3 4" xfId="45841" xr:uid="{00000000-0005-0000-0000-000029B80000}"/>
    <cellStyle name="표준 5 6 2 2 2 2 3 4" xfId="12843" xr:uid="{00000000-0005-0000-0000-00002AB80000}"/>
    <cellStyle name="표준 5 6 2 2 2 2 3 5" xfId="17083" xr:uid="{00000000-0005-0000-0000-00002BB80000}"/>
    <cellStyle name="표준 5 6 2 2 2 2 3 6" xfId="21245" xr:uid="{00000000-0005-0000-0000-00002CB80000}"/>
    <cellStyle name="표준 5 6 2 2 2 2 3 7" xfId="25341" xr:uid="{00000000-0005-0000-0000-00002DB80000}"/>
    <cellStyle name="표준 5 6 2 2 2 2 3 8" xfId="33552" xr:uid="{00000000-0005-0000-0000-00002EB80000}"/>
    <cellStyle name="표준 5 6 2 2 2 2 3 9" xfId="41745" xr:uid="{00000000-0005-0000-0000-00002FB80000}"/>
    <cellStyle name="표준 5 6 2 2 2 2 4" xfId="2388" xr:uid="{00000000-0005-0000-0000-000030B80000}"/>
    <cellStyle name="표준 5 6 2 2 2 2 4 2" xfId="11291" xr:uid="{00000000-0005-0000-0000-000031B80000}"/>
    <cellStyle name="표준 5 6 2 2 2 2 4 2 2" xfId="15403" xr:uid="{00000000-0005-0000-0000-000032B80000}"/>
    <cellStyle name="표준 5 6 2 2 2 2 4 2 2 2" xfId="31997" xr:uid="{00000000-0005-0000-0000-000033B80000}"/>
    <cellStyle name="표준 5 6 2 2 2 2 4 2 2 3" xfId="40208" xr:uid="{00000000-0005-0000-0000-000034B80000}"/>
    <cellStyle name="표준 5 6 2 2 2 2 4 2 2 4" xfId="48401" xr:uid="{00000000-0005-0000-0000-000035B80000}"/>
    <cellStyle name="표준 5 6 2 2 2 2 4 2 3" xfId="19643" xr:uid="{00000000-0005-0000-0000-000036B80000}"/>
    <cellStyle name="표준 5 6 2 2 2 2 4 2 4" xfId="23805" xr:uid="{00000000-0005-0000-0000-000037B80000}"/>
    <cellStyle name="표준 5 6 2 2 2 2 4 2 5" xfId="27901" xr:uid="{00000000-0005-0000-0000-000038B80000}"/>
    <cellStyle name="표준 5 6 2 2 2 2 4 2 6" xfId="36112" xr:uid="{00000000-0005-0000-0000-000039B80000}"/>
    <cellStyle name="표준 5 6 2 2 2 2 4 2 7" xfId="44305" xr:uid="{00000000-0005-0000-0000-00003AB80000}"/>
    <cellStyle name="표준 5 6 2 2 2 2 4 3" xfId="9243" xr:uid="{00000000-0005-0000-0000-00003BB80000}"/>
    <cellStyle name="표준 5 6 2 2 2 2 4 3 2" xfId="29949" xr:uid="{00000000-0005-0000-0000-00003CB80000}"/>
    <cellStyle name="표준 5 6 2 2 2 2 4 3 3" xfId="38160" xr:uid="{00000000-0005-0000-0000-00003DB80000}"/>
    <cellStyle name="표준 5 6 2 2 2 2 4 3 4" xfId="46353" xr:uid="{00000000-0005-0000-0000-00003EB80000}"/>
    <cellStyle name="표준 5 6 2 2 2 2 4 4" xfId="13355" xr:uid="{00000000-0005-0000-0000-00003FB80000}"/>
    <cellStyle name="표준 5 6 2 2 2 2 4 5" xfId="17595" xr:uid="{00000000-0005-0000-0000-000040B80000}"/>
    <cellStyle name="표준 5 6 2 2 2 2 4 6" xfId="21757" xr:uid="{00000000-0005-0000-0000-000041B80000}"/>
    <cellStyle name="표준 5 6 2 2 2 2 4 7" xfId="25853" xr:uid="{00000000-0005-0000-0000-000042B80000}"/>
    <cellStyle name="표준 5 6 2 2 2 2 4 8" xfId="34064" xr:uid="{00000000-0005-0000-0000-000043B80000}"/>
    <cellStyle name="표준 5 6 2 2 2 2 4 9" xfId="42257" xr:uid="{00000000-0005-0000-0000-000044B80000}"/>
    <cellStyle name="표준 5 6 2 2 2 2 5" xfId="9755" xr:uid="{00000000-0005-0000-0000-000045B80000}"/>
    <cellStyle name="표준 5 6 2 2 2 2 5 2" xfId="13867" xr:uid="{00000000-0005-0000-0000-000046B80000}"/>
    <cellStyle name="표준 5 6 2 2 2 2 5 2 2" xfId="30461" xr:uid="{00000000-0005-0000-0000-000047B80000}"/>
    <cellStyle name="표준 5 6 2 2 2 2 5 2 3" xfId="38672" xr:uid="{00000000-0005-0000-0000-000048B80000}"/>
    <cellStyle name="표준 5 6 2 2 2 2 5 2 4" xfId="46865" xr:uid="{00000000-0005-0000-0000-000049B80000}"/>
    <cellStyle name="표준 5 6 2 2 2 2 5 3" xfId="18107" xr:uid="{00000000-0005-0000-0000-00004AB80000}"/>
    <cellStyle name="표준 5 6 2 2 2 2 5 4" xfId="22269" xr:uid="{00000000-0005-0000-0000-00004BB80000}"/>
    <cellStyle name="표준 5 6 2 2 2 2 5 5" xfId="26365" xr:uid="{00000000-0005-0000-0000-00004CB80000}"/>
    <cellStyle name="표준 5 6 2 2 2 2 5 6" xfId="34576" xr:uid="{00000000-0005-0000-0000-00004DB80000}"/>
    <cellStyle name="표준 5 6 2 2 2 2 5 7" xfId="42769" xr:uid="{00000000-0005-0000-0000-00004EB80000}"/>
    <cellStyle name="표준 5 6 2 2 2 2 6" xfId="7707" xr:uid="{00000000-0005-0000-0000-00004FB80000}"/>
    <cellStyle name="표준 5 6 2 2 2 2 6 2" xfId="28413" xr:uid="{00000000-0005-0000-0000-000050B80000}"/>
    <cellStyle name="표준 5 6 2 2 2 2 6 3" xfId="36624" xr:uid="{00000000-0005-0000-0000-000051B80000}"/>
    <cellStyle name="표준 5 6 2 2 2 2 6 4" xfId="44817" xr:uid="{00000000-0005-0000-0000-000052B80000}"/>
    <cellStyle name="표준 5 6 2 2 2 2 7" xfId="11819" xr:uid="{00000000-0005-0000-0000-000053B80000}"/>
    <cellStyle name="표준 5 6 2 2 2 2 8" xfId="16059" xr:uid="{00000000-0005-0000-0000-000054B80000}"/>
    <cellStyle name="표준 5 6 2 2 2 2 9" xfId="20221" xr:uid="{00000000-0005-0000-0000-000055B80000}"/>
    <cellStyle name="표준 5 6 2 2 2 3" xfId="1108" xr:uid="{00000000-0005-0000-0000-000056B80000}"/>
    <cellStyle name="표준 5 6 2 2 2 3 2" xfId="10011" xr:uid="{00000000-0005-0000-0000-000057B80000}"/>
    <cellStyle name="표준 5 6 2 2 2 3 2 2" xfId="14123" xr:uid="{00000000-0005-0000-0000-000058B80000}"/>
    <cellStyle name="표준 5 6 2 2 2 3 2 2 2" xfId="30717" xr:uid="{00000000-0005-0000-0000-000059B80000}"/>
    <cellStyle name="표준 5 6 2 2 2 3 2 2 3" xfId="38928" xr:uid="{00000000-0005-0000-0000-00005AB80000}"/>
    <cellStyle name="표준 5 6 2 2 2 3 2 2 4" xfId="47121" xr:uid="{00000000-0005-0000-0000-00005BB80000}"/>
    <cellStyle name="표준 5 6 2 2 2 3 2 3" xfId="18363" xr:uid="{00000000-0005-0000-0000-00005CB80000}"/>
    <cellStyle name="표준 5 6 2 2 2 3 2 4" xfId="22525" xr:uid="{00000000-0005-0000-0000-00005DB80000}"/>
    <cellStyle name="표준 5 6 2 2 2 3 2 5" xfId="26621" xr:uid="{00000000-0005-0000-0000-00005EB80000}"/>
    <cellStyle name="표준 5 6 2 2 2 3 2 6" xfId="34832" xr:uid="{00000000-0005-0000-0000-00005FB80000}"/>
    <cellStyle name="표준 5 6 2 2 2 3 2 7" xfId="43025" xr:uid="{00000000-0005-0000-0000-000060B80000}"/>
    <cellStyle name="표준 5 6 2 2 2 3 3" xfId="7963" xr:uid="{00000000-0005-0000-0000-000061B80000}"/>
    <cellStyle name="표준 5 6 2 2 2 3 3 2" xfId="28669" xr:uid="{00000000-0005-0000-0000-000062B80000}"/>
    <cellStyle name="표준 5 6 2 2 2 3 3 3" xfId="36880" xr:uid="{00000000-0005-0000-0000-000063B80000}"/>
    <cellStyle name="표준 5 6 2 2 2 3 3 4" xfId="45073" xr:uid="{00000000-0005-0000-0000-000064B80000}"/>
    <cellStyle name="표준 5 6 2 2 2 3 4" xfId="12075" xr:uid="{00000000-0005-0000-0000-000065B80000}"/>
    <cellStyle name="표준 5 6 2 2 2 3 5" xfId="16315" xr:uid="{00000000-0005-0000-0000-000066B80000}"/>
    <cellStyle name="표준 5 6 2 2 2 3 6" xfId="20477" xr:uid="{00000000-0005-0000-0000-000067B80000}"/>
    <cellStyle name="표준 5 6 2 2 2 3 7" xfId="24573" xr:uid="{00000000-0005-0000-0000-000068B80000}"/>
    <cellStyle name="표준 5 6 2 2 2 3 8" xfId="32784" xr:uid="{00000000-0005-0000-0000-000069B80000}"/>
    <cellStyle name="표준 5 6 2 2 2 3 9" xfId="40977" xr:uid="{00000000-0005-0000-0000-00006AB80000}"/>
    <cellStyle name="표준 5 6 2 2 2 4" xfId="1620" xr:uid="{00000000-0005-0000-0000-00006BB80000}"/>
    <cellStyle name="표준 5 6 2 2 2 4 2" xfId="10523" xr:uid="{00000000-0005-0000-0000-00006CB80000}"/>
    <cellStyle name="표준 5 6 2 2 2 4 2 2" xfId="14635" xr:uid="{00000000-0005-0000-0000-00006DB80000}"/>
    <cellStyle name="표준 5 6 2 2 2 4 2 2 2" xfId="31229" xr:uid="{00000000-0005-0000-0000-00006EB80000}"/>
    <cellStyle name="표준 5 6 2 2 2 4 2 2 3" xfId="39440" xr:uid="{00000000-0005-0000-0000-00006FB80000}"/>
    <cellStyle name="표준 5 6 2 2 2 4 2 2 4" xfId="47633" xr:uid="{00000000-0005-0000-0000-000070B80000}"/>
    <cellStyle name="표준 5 6 2 2 2 4 2 3" xfId="18875" xr:uid="{00000000-0005-0000-0000-000071B80000}"/>
    <cellStyle name="표준 5 6 2 2 2 4 2 4" xfId="23037" xr:uid="{00000000-0005-0000-0000-000072B80000}"/>
    <cellStyle name="표준 5 6 2 2 2 4 2 5" xfId="27133" xr:uid="{00000000-0005-0000-0000-000073B80000}"/>
    <cellStyle name="표준 5 6 2 2 2 4 2 6" xfId="35344" xr:uid="{00000000-0005-0000-0000-000074B80000}"/>
    <cellStyle name="표준 5 6 2 2 2 4 2 7" xfId="43537" xr:uid="{00000000-0005-0000-0000-000075B80000}"/>
    <cellStyle name="표준 5 6 2 2 2 4 3" xfId="8475" xr:uid="{00000000-0005-0000-0000-000076B80000}"/>
    <cellStyle name="표준 5 6 2 2 2 4 3 2" xfId="29181" xr:uid="{00000000-0005-0000-0000-000077B80000}"/>
    <cellStyle name="표준 5 6 2 2 2 4 3 3" xfId="37392" xr:uid="{00000000-0005-0000-0000-000078B80000}"/>
    <cellStyle name="표준 5 6 2 2 2 4 3 4" xfId="45585" xr:uid="{00000000-0005-0000-0000-000079B80000}"/>
    <cellStyle name="표준 5 6 2 2 2 4 4" xfId="12587" xr:uid="{00000000-0005-0000-0000-00007AB80000}"/>
    <cellStyle name="표준 5 6 2 2 2 4 5" xfId="16827" xr:uid="{00000000-0005-0000-0000-00007BB80000}"/>
    <cellStyle name="표준 5 6 2 2 2 4 6" xfId="20989" xr:uid="{00000000-0005-0000-0000-00007CB80000}"/>
    <cellStyle name="표준 5 6 2 2 2 4 7" xfId="25085" xr:uid="{00000000-0005-0000-0000-00007DB80000}"/>
    <cellStyle name="표준 5 6 2 2 2 4 8" xfId="33296" xr:uid="{00000000-0005-0000-0000-00007EB80000}"/>
    <cellStyle name="표준 5 6 2 2 2 4 9" xfId="41489" xr:uid="{00000000-0005-0000-0000-00007FB80000}"/>
    <cellStyle name="표준 5 6 2 2 2 5" xfId="2132" xr:uid="{00000000-0005-0000-0000-000080B80000}"/>
    <cellStyle name="표준 5 6 2 2 2 5 2" xfId="11035" xr:uid="{00000000-0005-0000-0000-000081B80000}"/>
    <cellStyle name="표준 5 6 2 2 2 5 2 2" xfId="15147" xr:uid="{00000000-0005-0000-0000-000082B80000}"/>
    <cellStyle name="표준 5 6 2 2 2 5 2 2 2" xfId="31741" xr:uid="{00000000-0005-0000-0000-000083B80000}"/>
    <cellStyle name="표준 5 6 2 2 2 5 2 2 3" xfId="39952" xr:uid="{00000000-0005-0000-0000-000084B80000}"/>
    <cellStyle name="표준 5 6 2 2 2 5 2 2 4" xfId="48145" xr:uid="{00000000-0005-0000-0000-000085B80000}"/>
    <cellStyle name="표준 5 6 2 2 2 5 2 3" xfId="19387" xr:uid="{00000000-0005-0000-0000-000086B80000}"/>
    <cellStyle name="표준 5 6 2 2 2 5 2 4" xfId="23549" xr:uid="{00000000-0005-0000-0000-000087B80000}"/>
    <cellStyle name="표준 5 6 2 2 2 5 2 5" xfId="27645" xr:uid="{00000000-0005-0000-0000-000088B80000}"/>
    <cellStyle name="표준 5 6 2 2 2 5 2 6" xfId="35856" xr:uid="{00000000-0005-0000-0000-000089B80000}"/>
    <cellStyle name="표준 5 6 2 2 2 5 2 7" xfId="44049" xr:uid="{00000000-0005-0000-0000-00008AB80000}"/>
    <cellStyle name="표준 5 6 2 2 2 5 3" xfId="8987" xr:uid="{00000000-0005-0000-0000-00008BB80000}"/>
    <cellStyle name="표준 5 6 2 2 2 5 3 2" xfId="29693" xr:uid="{00000000-0005-0000-0000-00008CB80000}"/>
    <cellStyle name="표준 5 6 2 2 2 5 3 3" xfId="37904" xr:uid="{00000000-0005-0000-0000-00008DB80000}"/>
    <cellStyle name="표준 5 6 2 2 2 5 3 4" xfId="46097" xr:uid="{00000000-0005-0000-0000-00008EB80000}"/>
    <cellStyle name="표준 5 6 2 2 2 5 4" xfId="13099" xr:uid="{00000000-0005-0000-0000-00008FB80000}"/>
    <cellStyle name="표준 5 6 2 2 2 5 5" xfId="17339" xr:uid="{00000000-0005-0000-0000-000090B80000}"/>
    <cellStyle name="표준 5 6 2 2 2 5 6" xfId="21501" xr:uid="{00000000-0005-0000-0000-000091B80000}"/>
    <cellStyle name="표준 5 6 2 2 2 5 7" xfId="25597" xr:uid="{00000000-0005-0000-0000-000092B80000}"/>
    <cellStyle name="표준 5 6 2 2 2 5 8" xfId="33808" xr:uid="{00000000-0005-0000-0000-000093B80000}"/>
    <cellStyle name="표준 5 6 2 2 2 5 9" xfId="42001" xr:uid="{00000000-0005-0000-0000-000094B80000}"/>
    <cellStyle name="표준 5 6 2 2 2 6" xfId="9499" xr:uid="{00000000-0005-0000-0000-000095B80000}"/>
    <cellStyle name="표준 5 6 2 2 2 6 2" xfId="13611" xr:uid="{00000000-0005-0000-0000-000096B80000}"/>
    <cellStyle name="표준 5 6 2 2 2 6 2 2" xfId="30205" xr:uid="{00000000-0005-0000-0000-000097B80000}"/>
    <cellStyle name="표준 5 6 2 2 2 6 2 3" xfId="38416" xr:uid="{00000000-0005-0000-0000-000098B80000}"/>
    <cellStyle name="표준 5 6 2 2 2 6 2 4" xfId="46609" xr:uid="{00000000-0005-0000-0000-000099B80000}"/>
    <cellStyle name="표준 5 6 2 2 2 6 3" xfId="17851" xr:uid="{00000000-0005-0000-0000-00009AB80000}"/>
    <cellStyle name="표준 5 6 2 2 2 6 4" xfId="22013" xr:uid="{00000000-0005-0000-0000-00009BB80000}"/>
    <cellStyle name="표준 5 6 2 2 2 6 5" xfId="26109" xr:uid="{00000000-0005-0000-0000-00009CB80000}"/>
    <cellStyle name="표준 5 6 2 2 2 6 6" xfId="34320" xr:uid="{00000000-0005-0000-0000-00009DB80000}"/>
    <cellStyle name="표준 5 6 2 2 2 6 7" xfId="42513" xr:uid="{00000000-0005-0000-0000-00009EB80000}"/>
    <cellStyle name="표준 5 6 2 2 2 7" xfId="7451" xr:uid="{00000000-0005-0000-0000-00009FB80000}"/>
    <cellStyle name="표준 5 6 2 2 2 7 2" xfId="28157" xr:uid="{00000000-0005-0000-0000-0000A0B80000}"/>
    <cellStyle name="표준 5 6 2 2 2 7 3" xfId="36368" xr:uid="{00000000-0005-0000-0000-0000A1B80000}"/>
    <cellStyle name="표준 5 6 2 2 2 7 4" xfId="44561" xr:uid="{00000000-0005-0000-0000-0000A2B80000}"/>
    <cellStyle name="표준 5 6 2 2 2 8" xfId="11563" xr:uid="{00000000-0005-0000-0000-0000A3B80000}"/>
    <cellStyle name="표준 5 6 2 2 2 9" xfId="15803" xr:uid="{00000000-0005-0000-0000-0000A4B80000}"/>
    <cellStyle name="표준 5 6 2 2 3" xfId="724" xr:uid="{00000000-0005-0000-0000-0000A5B80000}"/>
    <cellStyle name="표준 5 6 2 2 3 10" xfId="24189" xr:uid="{00000000-0005-0000-0000-0000A6B80000}"/>
    <cellStyle name="표준 5 6 2 2 3 11" xfId="32400" xr:uid="{00000000-0005-0000-0000-0000A7B80000}"/>
    <cellStyle name="표준 5 6 2 2 3 12" xfId="40593" xr:uid="{00000000-0005-0000-0000-0000A8B80000}"/>
    <cellStyle name="표준 5 6 2 2 3 2" xfId="1236" xr:uid="{00000000-0005-0000-0000-0000A9B80000}"/>
    <cellStyle name="표준 5 6 2 2 3 2 2" xfId="10139" xr:uid="{00000000-0005-0000-0000-0000AAB80000}"/>
    <cellStyle name="표준 5 6 2 2 3 2 2 2" xfId="14251" xr:uid="{00000000-0005-0000-0000-0000ABB80000}"/>
    <cellStyle name="표준 5 6 2 2 3 2 2 2 2" xfId="30845" xr:uid="{00000000-0005-0000-0000-0000ACB80000}"/>
    <cellStyle name="표준 5 6 2 2 3 2 2 2 3" xfId="39056" xr:uid="{00000000-0005-0000-0000-0000ADB80000}"/>
    <cellStyle name="표준 5 6 2 2 3 2 2 2 4" xfId="47249" xr:uid="{00000000-0005-0000-0000-0000AEB80000}"/>
    <cellStyle name="표준 5 6 2 2 3 2 2 3" xfId="18491" xr:uid="{00000000-0005-0000-0000-0000AFB80000}"/>
    <cellStyle name="표준 5 6 2 2 3 2 2 4" xfId="22653" xr:uid="{00000000-0005-0000-0000-0000B0B80000}"/>
    <cellStyle name="표준 5 6 2 2 3 2 2 5" xfId="26749" xr:uid="{00000000-0005-0000-0000-0000B1B80000}"/>
    <cellStyle name="표준 5 6 2 2 3 2 2 6" xfId="34960" xr:uid="{00000000-0005-0000-0000-0000B2B80000}"/>
    <cellStyle name="표준 5 6 2 2 3 2 2 7" xfId="43153" xr:uid="{00000000-0005-0000-0000-0000B3B80000}"/>
    <cellStyle name="표준 5 6 2 2 3 2 3" xfId="8091" xr:uid="{00000000-0005-0000-0000-0000B4B80000}"/>
    <cellStyle name="표준 5 6 2 2 3 2 3 2" xfId="28797" xr:uid="{00000000-0005-0000-0000-0000B5B80000}"/>
    <cellStyle name="표준 5 6 2 2 3 2 3 3" xfId="37008" xr:uid="{00000000-0005-0000-0000-0000B6B80000}"/>
    <cellStyle name="표준 5 6 2 2 3 2 3 4" xfId="45201" xr:uid="{00000000-0005-0000-0000-0000B7B80000}"/>
    <cellStyle name="표준 5 6 2 2 3 2 4" xfId="12203" xr:uid="{00000000-0005-0000-0000-0000B8B80000}"/>
    <cellStyle name="표준 5 6 2 2 3 2 5" xfId="16443" xr:uid="{00000000-0005-0000-0000-0000B9B80000}"/>
    <cellStyle name="표준 5 6 2 2 3 2 6" xfId="20605" xr:uid="{00000000-0005-0000-0000-0000BAB80000}"/>
    <cellStyle name="표준 5 6 2 2 3 2 7" xfId="24701" xr:uid="{00000000-0005-0000-0000-0000BBB80000}"/>
    <cellStyle name="표준 5 6 2 2 3 2 8" xfId="32912" xr:uid="{00000000-0005-0000-0000-0000BCB80000}"/>
    <cellStyle name="표준 5 6 2 2 3 2 9" xfId="41105" xr:uid="{00000000-0005-0000-0000-0000BDB80000}"/>
    <cellStyle name="표준 5 6 2 2 3 3" xfId="1748" xr:uid="{00000000-0005-0000-0000-0000BEB80000}"/>
    <cellStyle name="표준 5 6 2 2 3 3 2" xfId="10651" xr:uid="{00000000-0005-0000-0000-0000BFB80000}"/>
    <cellStyle name="표준 5 6 2 2 3 3 2 2" xfId="14763" xr:uid="{00000000-0005-0000-0000-0000C0B80000}"/>
    <cellStyle name="표준 5 6 2 2 3 3 2 2 2" xfId="31357" xr:uid="{00000000-0005-0000-0000-0000C1B80000}"/>
    <cellStyle name="표준 5 6 2 2 3 3 2 2 3" xfId="39568" xr:uid="{00000000-0005-0000-0000-0000C2B80000}"/>
    <cellStyle name="표준 5 6 2 2 3 3 2 2 4" xfId="47761" xr:uid="{00000000-0005-0000-0000-0000C3B80000}"/>
    <cellStyle name="표준 5 6 2 2 3 3 2 3" xfId="19003" xr:uid="{00000000-0005-0000-0000-0000C4B80000}"/>
    <cellStyle name="표준 5 6 2 2 3 3 2 4" xfId="23165" xr:uid="{00000000-0005-0000-0000-0000C5B80000}"/>
    <cellStyle name="표준 5 6 2 2 3 3 2 5" xfId="27261" xr:uid="{00000000-0005-0000-0000-0000C6B80000}"/>
    <cellStyle name="표준 5 6 2 2 3 3 2 6" xfId="35472" xr:uid="{00000000-0005-0000-0000-0000C7B80000}"/>
    <cellStyle name="표준 5 6 2 2 3 3 2 7" xfId="43665" xr:uid="{00000000-0005-0000-0000-0000C8B80000}"/>
    <cellStyle name="표준 5 6 2 2 3 3 3" xfId="8603" xr:uid="{00000000-0005-0000-0000-0000C9B80000}"/>
    <cellStyle name="표준 5 6 2 2 3 3 3 2" xfId="29309" xr:uid="{00000000-0005-0000-0000-0000CAB80000}"/>
    <cellStyle name="표준 5 6 2 2 3 3 3 3" xfId="37520" xr:uid="{00000000-0005-0000-0000-0000CBB80000}"/>
    <cellStyle name="표준 5 6 2 2 3 3 3 4" xfId="45713" xr:uid="{00000000-0005-0000-0000-0000CCB80000}"/>
    <cellStyle name="표준 5 6 2 2 3 3 4" xfId="12715" xr:uid="{00000000-0005-0000-0000-0000CDB80000}"/>
    <cellStyle name="표준 5 6 2 2 3 3 5" xfId="16955" xr:uid="{00000000-0005-0000-0000-0000CEB80000}"/>
    <cellStyle name="표준 5 6 2 2 3 3 6" xfId="21117" xr:uid="{00000000-0005-0000-0000-0000CFB80000}"/>
    <cellStyle name="표준 5 6 2 2 3 3 7" xfId="25213" xr:uid="{00000000-0005-0000-0000-0000D0B80000}"/>
    <cellStyle name="표준 5 6 2 2 3 3 8" xfId="33424" xr:uid="{00000000-0005-0000-0000-0000D1B80000}"/>
    <cellStyle name="표준 5 6 2 2 3 3 9" xfId="41617" xr:uid="{00000000-0005-0000-0000-0000D2B80000}"/>
    <cellStyle name="표준 5 6 2 2 3 4" xfId="2260" xr:uid="{00000000-0005-0000-0000-0000D3B80000}"/>
    <cellStyle name="표준 5 6 2 2 3 4 2" xfId="11163" xr:uid="{00000000-0005-0000-0000-0000D4B80000}"/>
    <cellStyle name="표준 5 6 2 2 3 4 2 2" xfId="15275" xr:uid="{00000000-0005-0000-0000-0000D5B80000}"/>
    <cellStyle name="표준 5 6 2 2 3 4 2 2 2" xfId="31869" xr:uid="{00000000-0005-0000-0000-0000D6B80000}"/>
    <cellStyle name="표준 5 6 2 2 3 4 2 2 3" xfId="40080" xr:uid="{00000000-0005-0000-0000-0000D7B80000}"/>
    <cellStyle name="표준 5 6 2 2 3 4 2 2 4" xfId="48273" xr:uid="{00000000-0005-0000-0000-0000D8B80000}"/>
    <cellStyle name="표준 5 6 2 2 3 4 2 3" xfId="19515" xr:uid="{00000000-0005-0000-0000-0000D9B80000}"/>
    <cellStyle name="표준 5 6 2 2 3 4 2 4" xfId="23677" xr:uid="{00000000-0005-0000-0000-0000DAB80000}"/>
    <cellStyle name="표준 5 6 2 2 3 4 2 5" xfId="27773" xr:uid="{00000000-0005-0000-0000-0000DBB80000}"/>
    <cellStyle name="표준 5 6 2 2 3 4 2 6" xfId="35984" xr:uid="{00000000-0005-0000-0000-0000DCB80000}"/>
    <cellStyle name="표준 5 6 2 2 3 4 2 7" xfId="44177" xr:uid="{00000000-0005-0000-0000-0000DDB80000}"/>
    <cellStyle name="표준 5 6 2 2 3 4 3" xfId="9115" xr:uid="{00000000-0005-0000-0000-0000DEB80000}"/>
    <cellStyle name="표준 5 6 2 2 3 4 3 2" xfId="29821" xr:uid="{00000000-0005-0000-0000-0000DFB80000}"/>
    <cellStyle name="표준 5 6 2 2 3 4 3 3" xfId="38032" xr:uid="{00000000-0005-0000-0000-0000E0B80000}"/>
    <cellStyle name="표준 5 6 2 2 3 4 3 4" xfId="46225" xr:uid="{00000000-0005-0000-0000-0000E1B80000}"/>
    <cellStyle name="표준 5 6 2 2 3 4 4" xfId="13227" xr:uid="{00000000-0005-0000-0000-0000E2B80000}"/>
    <cellStyle name="표준 5 6 2 2 3 4 5" xfId="17467" xr:uid="{00000000-0005-0000-0000-0000E3B80000}"/>
    <cellStyle name="표준 5 6 2 2 3 4 6" xfId="21629" xr:uid="{00000000-0005-0000-0000-0000E4B80000}"/>
    <cellStyle name="표준 5 6 2 2 3 4 7" xfId="25725" xr:uid="{00000000-0005-0000-0000-0000E5B80000}"/>
    <cellStyle name="표준 5 6 2 2 3 4 8" xfId="33936" xr:uid="{00000000-0005-0000-0000-0000E6B80000}"/>
    <cellStyle name="표준 5 6 2 2 3 4 9" xfId="42129" xr:uid="{00000000-0005-0000-0000-0000E7B80000}"/>
    <cellStyle name="표준 5 6 2 2 3 5" xfId="9627" xr:uid="{00000000-0005-0000-0000-0000E8B80000}"/>
    <cellStyle name="표준 5 6 2 2 3 5 2" xfId="13739" xr:uid="{00000000-0005-0000-0000-0000E9B80000}"/>
    <cellStyle name="표준 5 6 2 2 3 5 2 2" xfId="30333" xr:uid="{00000000-0005-0000-0000-0000EAB80000}"/>
    <cellStyle name="표준 5 6 2 2 3 5 2 3" xfId="38544" xr:uid="{00000000-0005-0000-0000-0000EBB80000}"/>
    <cellStyle name="표준 5 6 2 2 3 5 2 4" xfId="46737" xr:uid="{00000000-0005-0000-0000-0000ECB80000}"/>
    <cellStyle name="표준 5 6 2 2 3 5 3" xfId="17979" xr:uid="{00000000-0005-0000-0000-0000EDB80000}"/>
    <cellStyle name="표준 5 6 2 2 3 5 4" xfId="22141" xr:uid="{00000000-0005-0000-0000-0000EEB80000}"/>
    <cellStyle name="표준 5 6 2 2 3 5 5" xfId="26237" xr:uid="{00000000-0005-0000-0000-0000EFB80000}"/>
    <cellStyle name="표준 5 6 2 2 3 5 6" xfId="34448" xr:uid="{00000000-0005-0000-0000-0000F0B80000}"/>
    <cellStyle name="표준 5 6 2 2 3 5 7" xfId="42641" xr:uid="{00000000-0005-0000-0000-0000F1B80000}"/>
    <cellStyle name="표준 5 6 2 2 3 6" xfId="7579" xr:uid="{00000000-0005-0000-0000-0000F2B80000}"/>
    <cellStyle name="표준 5 6 2 2 3 6 2" xfId="28285" xr:uid="{00000000-0005-0000-0000-0000F3B80000}"/>
    <cellStyle name="표준 5 6 2 2 3 6 3" xfId="36496" xr:uid="{00000000-0005-0000-0000-0000F4B80000}"/>
    <cellStyle name="표준 5 6 2 2 3 6 4" xfId="44689" xr:uid="{00000000-0005-0000-0000-0000F5B80000}"/>
    <cellStyle name="표준 5 6 2 2 3 7" xfId="11691" xr:uid="{00000000-0005-0000-0000-0000F6B80000}"/>
    <cellStyle name="표준 5 6 2 2 3 8" xfId="15931" xr:uid="{00000000-0005-0000-0000-0000F7B80000}"/>
    <cellStyle name="표준 5 6 2 2 3 9" xfId="20093" xr:uid="{00000000-0005-0000-0000-0000F8B80000}"/>
    <cellStyle name="표준 5 6 2 2 4" xfId="980" xr:uid="{00000000-0005-0000-0000-0000F9B80000}"/>
    <cellStyle name="표준 5 6 2 2 4 2" xfId="9883" xr:uid="{00000000-0005-0000-0000-0000FAB80000}"/>
    <cellStyle name="표준 5 6 2 2 4 2 2" xfId="13995" xr:uid="{00000000-0005-0000-0000-0000FBB80000}"/>
    <cellStyle name="표준 5 6 2 2 4 2 2 2" xfId="30589" xr:uid="{00000000-0005-0000-0000-0000FCB80000}"/>
    <cellStyle name="표준 5 6 2 2 4 2 2 3" xfId="38800" xr:uid="{00000000-0005-0000-0000-0000FDB80000}"/>
    <cellStyle name="표준 5 6 2 2 4 2 2 4" xfId="46993" xr:uid="{00000000-0005-0000-0000-0000FEB80000}"/>
    <cellStyle name="표준 5 6 2 2 4 2 3" xfId="18235" xr:uid="{00000000-0005-0000-0000-0000FFB80000}"/>
    <cellStyle name="표준 5 6 2 2 4 2 4" xfId="22397" xr:uid="{00000000-0005-0000-0000-000000B90000}"/>
    <cellStyle name="표준 5 6 2 2 4 2 5" xfId="26493" xr:uid="{00000000-0005-0000-0000-000001B90000}"/>
    <cellStyle name="표준 5 6 2 2 4 2 6" xfId="34704" xr:uid="{00000000-0005-0000-0000-000002B90000}"/>
    <cellStyle name="표준 5 6 2 2 4 2 7" xfId="42897" xr:uid="{00000000-0005-0000-0000-000003B90000}"/>
    <cellStyle name="표준 5 6 2 2 4 3" xfId="7835" xr:uid="{00000000-0005-0000-0000-000004B90000}"/>
    <cellStyle name="표준 5 6 2 2 4 3 2" xfId="28541" xr:uid="{00000000-0005-0000-0000-000005B90000}"/>
    <cellStyle name="표준 5 6 2 2 4 3 3" xfId="36752" xr:uid="{00000000-0005-0000-0000-000006B90000}"/>
    <cellStyle name="표준 5 6 2 2 4 3 4" xfId="44945" xr:uid="{00000000-0005-0000-0000-000007B90000}"/>
    <cellStyle name="표준 5 6 2 2 4 4" xfId="11947" xr:uid="{00000000-0005-0000-0000-000008B90000}"/>
    <cellStyle name="표준 5 6 2 2 4 5" xfId="16187" xr:uid="{00000000-0005-0000-0000-000009B90000}"/>
    <cellStyle name="표준 5 6 2 2 4 6" xfId="20349" xr:uid="{00000000-0005-0000-0000-00000AB90000}"/>
    <cellStyle name="표준 5 6 2 2 4 7" xfId="24445" xr:uid="{00000000-0005-0000-0000-00000BB90000}"/>
    <cellStyle name="표준 5 6 2 2 4 8" xfId="32656" xr:uid="{00000000-0005-0000-0000-00000CB90000}"/>
    <cellStyle name="표준 5 6 2 2 4 9" xfId="40849" xr:uid="{00000000-0005-0000-0000-00000DB90000}"/>
    <cellStyle name="표준 5 6 2 2 5" xfId="1492" xr:uid="{00000000-0005-0000-0000-00000EB90000}"/>
    <cellStyle name="표준 5 6 2 2 5 2" xfId="10395" xr:uid="{00000000-0005-0000-0000-00000FB90000}"/>
    <cellStyle name="표준 5 6 2 2 5 2 2" xfId="14507" xr:uid="{00000000-0005-0000-0000-000010B90000}"/>
    <cellStyle name="표준 5 6 2 2 5 2 2 2" xfId="31101" xr:uid="{00000000-0005-0000-0000-000011B90000}"/>
    <cellStyle name="표준 5 6 2 2 5 2 2 3" xfId="39312" xr:uid="{00000000-0005-0000-0000-000012B90000}"/>
    <cellStyle name="표준 5 6 2 2 5 2 2 4" xfId="47505" xr:uid="{00000000-0005-0000-0000-000013B90000}"/>
    <cellStyle name="표준 5 6 2 2 5 2 3" xfId="18747" xr:uid="{00000000-0005-0000-0000-000014B90000}"/>
    <cellStyle name="표준 5 6 2 2 5 2 4" xfId="22909" xr:uid="{00000000-0005-0000-0000-000015B90000}"/>
    <cellStyle name="표준 5 6 2 2 5 2 5" xfId="27005" xr:uid="{00000000-0005-0000-0000-000016B90000}"/>
    <cellStyle name="표준 5 6 2 2 5 2 6" xfId="35216" xr:uid="{00000000-0005-0000-0000-000017B90000}"/>
    <cellStyle name="표준 5 6 2 2 5 2 7" xfId="43409" xr:uid="{00000000-0005-0000-0000-000018B90000}"/>
    <cellStyle name="표준 5 6 2 2 5 3" xfId="8347" xr:uid="{00000000-0005-0000-0000-000019B90000}"/>
    <cellStyle name="표준 5 6 2 2 5 3 2" xfId="29053" xr:uid="{00000000-0005-0000-0000-00001AB90000}"/>
    <cellStyle name="표준 5 6 2 2 5 3 3" xfId="37264" xr:uid="{00000000-0005-0000-0000-00001BB90000}"/>
    <cellStyle name="표준 5 6 2 2 5 3 4" xfId="45457" xr:uid="{00000000-0005-0000-0000-00001CB90000}"/>
    <cellStyle name="표준 5 6 2 2 5 4" xfId="12459" xr:uid="{00000000-0005-0000-0000-00001DB90000}"/>
    <cellStyle name="표준 5 6 2 2 5 5" xfId="16699" xr:uid="{00000000-0005-0000-0000-00001EB90000}"/>
    <cellStyle name="표준 5 6 2 2 5 6" xfId="20861" xr:uid="{00000000-0005-0000-0000-00001FB90000}"/>
    <cellStyle name="표준 5 6 2 2 5 7" xfId="24957" xr:uid="{00000000-0005-0000-0000-000020B90000}"/>
    <cellStyle name="표준 5 6 2 2 5 8" xfId="33168" xr:uid="{00000000-0005-0000-0000-000021B90000}"/>
    <cellStyle name="표준 5 6 2 2 5 9" xfId="41361" xr:uid="{00000000-0005-0000-0000-000022B90000}"/>
    <cellStyle name="표준 5 6 2 2 6" xfId="2004" xr:uid="{00000000-0005-0000-0000-000023B90000}"/>
    <cellStyle name="표준 5 6 2 2 6 2" xfId="10907" xr:uid="{00000000-0005-0000-0000-000024B90000}"/>
    <cellStyle name="표준 5 6 2 2 6 2 2" xfId="15019" xr:uid="{00000000-0005-0000-0000-000025B90000}"/>
    <cellStyle name="표준 5 6 2 2 6 2 2 2" xfId="31613" xr:uid="{00000000-0005-0000-0000-000026B90000}"/>
    <cellStyle name="표준 5 6 2 2 6 2 2 3" xfId="39824" xr:uid="{00000000-0005-0000-0000-000027B90000}"/>
    <cellStyle name="표준 5 6 2 2 6 2 2 4" xfId="48017" xr:uid="{00000000-0005-0000-0000-000028B90000}"/>
    <cellStyle name="표준 5 6 2 2 6 2 3" xfId="19259" xr:uid="{00000000-0005-0000-0000-000029B90000}"/>
    <cellStyle name="표준 5 6 2 2 6 2 4" xfId="23421" xr:uid="{00000000-0005-0000-0000-00002AB90000}"/>
    <cellStyle name="표준 5 6 2 2 6 2 5" xfId="27517" xr:uid="{00000000-0005-0000-0000-00002BB90000}"/>
    <cellStyle name="표준 5 6 2 2 6 2 6" xfId="35728" xr:uid="{00000000-0005-0000-0000-00002CB90000}"/>
    <cellStyle name="표준 5 6 2 2 6 2 7" xfId="43921" xr:uid="{00000000-0005-0000-0000-00002DB90000}"/>
    <cellStyle name="표준 5 6 2 2 6 3" xfId="8859" xr:uid="{00000000-0005-0000-0000-00002EB90000}"/>
    <cellStyle name="표준 5 6 2 2 6 3 2" xfId="29565" xr:uid="{00000000-0005-0000-0000-00002FB90000}"/>
    <cellStyle name="표준 5 6 2 2 6 3 3" xfId="37776" xr:uid="{00000000-0005-0000-0000-000030B90000}"/>
    <cellStyle name="표준 5 6 2 2 6 3 4" xfId="45969" xr:uid="{00000000-0005-0000-0000-000031B90000}"/>
    <cellStyle name="표준 5 6 2 2 6 4" xfId="12971" xr:uid="{00000000-0005-0000-0000-000032B90000}"/>
    <cellStyle name="표준 5 6 2 2 6 5" xfId="17211" xr:uid="{00000000-0005-0000-0000-000033B90000}"/>
    <cellStyle name="표준 5 6 2 2 6 6" xfId="21373" xr:uid="{00000000-0005-0000-0000-000034B90000}"/>
    <cellStyle name="표준 5 6 2 2 6 7" xfId="25469" xr:uid="{00000000-0005-0000-0000-000035B90000}"/>
    <cellStyle name="표준 5 6 2 2 6 8" xfId="33680" xr:uid="{00000000-0005-0000-0000-000036B90000}"/>
    <cellStyle name="표준 5 6 2 2 6 9" xfId="41873" xr:uid="{00000000-0005-0000-0000-000037B90000}"/>
    <cellStyle name="표준 5 6 2 2 7" xfId="9371" xr:uid="{00000000-0005-0000-0000-000038B90000}"/>
    <cellStyle name="표준 5 6 2 2 7 2" xfId="13483" xr:uid="{00000000-0005-0000-0000-000039B90000}"/>
    <cellStyle name="표준 5 6 2 2 7 2 2" xfId="30077" xr:uid="{00000000-0005-0000-0000-00003AB90000}"/>
    <cellStyle name="표준 5 6 2 2 7 2 3" xfId="38288" xr:uid="{00000000-0005-0000-0000-00003BB90000}"/>
    <cellStyle name="표준 5 6 2 2 7 2 4" xfId="46481" xr:uid="{00000000-0005-0000-0000-00003CB90000}"/>
    <cellStyle name="표준 5 6 2 2 7 3" xfId="17723" xr:uid="{00000000-0005-0000-0000-00003DB90000}"/>
    <cellStyle name="표준 5 6 2 2 7 4" xfId="21885" xr:uid="{00000000-0005-0000-0000-00003EB90000}"/>
    <cellStyle name="표준 5 6 2 2 7 5" xfId="25981" xr:uid="{00000000-0005-0000-0000-00003FB90000}"/>
    <cellStyle name="표준 5 6 2 2 7 6" xfId="34192" xr:uid="{00000000-0005-0000-0000-000040B90000}"/>
    <cellStyle name="표준 5 6 2 2 7 7" xfId="42385" xr:uid="{00000000-0005-0000-0000-000041B90000}"/>
    <cellStyle name="표준 5 6 2 2 8" xfId="7323" xr:uid="{00000000-0005-0000-0000-000042B90000}"/>
    <cellStyle name="표준 5 6 2 2 8 2" xfId="28029" xr:uid="{00000000-0005-0000-0000-000043B90000}"/>
    <cellStyle name="표준 5 6 2 2 8 3" xfId="36240" xr:uid="{00000000-0005-0000-0000-000044B90000}"/>
    <cellStyle name="표준 5 6 2 2 8 4" xfId="44433" xr:uid="{00000000-0005-0000-0000-000045B90000}"/>
    <cellStyle name="표준 5 6 2 2 9" xfId="11435" xr:uid="{00000000-0005-0000-0000-000046B90000}"/>
    <cellStyle name="표준 5 6 2 3" xfId="532" xr:uid="{00000000-0005-0000-0000-000047B90000}"/>
    <cellStyle name="표준 5 6 2 3 10" xfId="19901" xr:uid="{00000000-0005-0000-0000-000048B90000}"/>
    <cellStyle name="표준 5 6 2 3 11" xfId="23997" xr:uid="{00000000-0005-0000-0000-000049B90000}"/>
    <cellStyle name="표준 5 6 2 3 12" xfId="32208" xr:uid="{00000000-0005-0000-0000-00004AB90000}"/>
    <cellStyle name="표준 5 6 2 3 13" xfId="40401" xr:uid="{00000000-0005-0000-0000-00004BB90000}"/>
    <cellStyle name="표준 5 6 2 3 2" xfId="788" xr:uid="{00000000-0005-0000-0000-00004CB90000}"/>
    <cellStyle name="표준 5 6 2 3 2 10" xfId="24253" xr:uid="{00000000-0005-0000-0000-00004DB90000}"/>
    <cellStyle name="표준 5 6 2 3 2 11" xfId="32464" xr:uid="{00000000-0005-0000-0000-00004EB90000}"/>
    <cellStyle name="표준 5 6 2 3 2 12" xfId="40657" xr:uid="{00000000-0005-0000-0000-00004FB90000}"/>
    <cellStyle name="표준 5 6 2 3 2 2" xfId="1300" xr:uid="{00000000-0005-0000-0000-000050B90000}"/>
    <cellStyle name="표준 5 6 2 3 2 2 2" xfId="10203" xr:uid="{00000000-0005-0000-0000-000051B90000}"/>
    <cellStyle name="표준 5 6 2 3 2 2 2 2" xfId="14315" xr:uid="{00000000-0005-0000-0000-000052B90000}"/>
    <cellStyle name="표준 5 6 2 3 2 2 2 2 2" xfId="30909" xr:uid="{00000000-0005-0000-0000-000053B90000}"/>
    <cellStyle name="표준 5 6 2 3 2 2 2 2 3" xfId="39120" xr:uid="{00000000-0005-0000-0000-000054B90000}"/>
    <cellStyle name="표준 5 6 2 3 2 2 2 2 4" xfId="47313" xr:uid="{00000000-0005-0000-0000-000055B90000}"/>
    <cellStyle name="표준 5 6 2 3 2 2 2 3" xfId="18555" xr:uid="{00000000-0005-0000-0000-000056B90000}"/>
    <cellStyle name="표준 5 6 2 3 2 2 2 4" xfId="22717" xr:uid="{00000000-0005-0000-0000-000057B90000}"/>
    <cellStyle name="표준 5 6 2 3 2 2 2 5" xfId="26813" xr:uid="{00000000-0005-0000-0000-000058B90000}"/>
    <cellStyle name="표준 5 6 2 3 2 2 2 6" xfId="35024" xr:uid="{00000000-0005-0000-0000-000059B90000}"/>
    <cellStyle name="표준 5 6 2 3 2 2 2 7" xfId="43217" xr:uid="{00000000-0005-0000-0000-00005AB90000}"/>
    <cellStyle name="표준 5 6 2 3 2 2 3" xfId="8155" xr:uid="{00000000-0005-0000-0000-00005BB90000}"/>
    <cellStyle name="표준 5 6 2 3 2 2 3 2" xfId="28861" xr:uid="{00000000-0005-0000-0000-00005CB90000}"/>
    <cellStyle name="표준 5 6 2 3 2 2 3 3" xfId="37072" xr:uid="{00000000-0005-0000-0000-00005DB90000}"/>
    <cellStyle name="표준 5 6 2 3 2 2 3 4" xfId="45265" xr:uid="{00000000-0005-0000-0000-00005EB90000}"/>
    <cellStyle name="표준 5 6 2 3 2 2 4" xfId="12267" xr:uid="{00000000-0005-0000-0000-00005FB90000}"/>
    <cellStyle name="표준 5 6 2 3 2 2 5" xfId="16507" xr:uid="{00000000-0005-0000-0000-000060B90000}"/>
    <cellStyle name="표준 5 6 2 3 2 2 6" xfId="20669" xr:uid="{00000000-0005-0000-0000-000061B90000}"/>
    <cellStyle name="표준 5 6 2 3 2 2 7" xfId="24765" xr:uid="{00000000-0005-0000-0000-000062B90000}"/>
    <cellStyle name="표준 5 6 2 3 2 2 8" xfId="32976" xr:uid="{00000000-0005-0000-0000-000063B90000}"/>
    <cellStyle name="표준 5 6 2 3 2 2 9" xfId="41169" xr:uid="{00000000-0005-0000-0000-000064B90000}"/>
    <cellStyle name="표준 5 6 2 3 2 3" xfId="1812" xr:uid="{00000000-0005-0000-0000-000065B90000}"/>
    <cellStyle name="표준 5 6 2 3 2 3 2" xfId="10715" xr:uid="{00000000-0005-0000-0000-000066B90000}"/>
    <cellStyle name="표준 5 6 2 3 2 3 2 2" xfId="14827" xr:uid="{00000000-0005-0000-0000-000067B90000}"/>
    <cellStyle name="표준 5 6 2 3 2 3 2 2 2" xfId="31421" xr:uid="{00000000-0005-0000-0000-000068B90000}"/>
    <cellStyle name="표준 5 6 2 3 2 3 2 2 3" xfId="39632" xr:uid="{00000000-0005-0000-0000-000069B90000}"/>
    <cellStyle name="표준 5 6 2 3 2 3 2 2 4" xfId="47825" xr:uid="{00000000-0005-0000-0000-00006AB90000}"/>
    <cellStyle name="표준 5 6 2 3 2 3 2 3" xfId="19067" xr:uid="{00000000-0005-0000-0000-00006BB90000}"/>
    <cellStyle name="표준 5 6 2 3 2 3 2 4" xfId="23229" xr:uid="{00000000-0005-0000-0000-00006CB90000}"/>
    <cellStyle name="표준 5 6 2 3 2 3 2 5" xfId="27325" xr:uid="{00000000-0005-0000-0000-00006DB90000}"/>
    <cellStyle name="표준 5 6 2 3 2 3 2 6" xfId="35536" xr:uid="{00000000-0005-0000-0000-00006EB90000}"/>
    <cellStyle name="표준 5 6 2 3 2 3 2 7" xfId="43729" xr:uid="{00000000-0005-0000-0000-00006FB90000}"/>
    <cellStyle name="표준 5 6 2 3 2 3 3" xfId="8667" xr:uid="{00000000-0005-0000-0000-000070B90000}"/>
    <cellStyle name="표준 5 6 2 3 2 3 3 2" xfId="29373" xr:uid="{00000000-0005-0000-0000-000071B90000}"/>
    <cellStyle name="표준 5 6 2 3 2 3 3 3" xfId="37584" xr:uid="{00000000-0005-0000-0000-000072B90000}"/>
    <cellStyle name="표준 5 6 2 3 2 3 3 4" xfId="45777" xr:uid="{00000000-0005-0000-0000-000073B90000}"/>
    <cellStyle name="표준 5 6 2 3 2 3 4" xfId="12779" xr:uid="{00000000-0005-0000-0000-000074B90000}"/>
    <cellStyle name="표준 5 6 2 3 2 3 5" xfId="17019" xr:uid="{00000000-0005-0000-0000-000075B90000}"/>
    <cellStyle name="표준 5 6 2 3 2 3 6" xfId="21181" xr:uid="{00000000-0005-0000-0000-000076B90000}"/>
    <cellStyle name="표준 5 6 2 3 2 3 7" xfId="25277" xr:uid="{00000000-0005-0000-0000-000077B90000}"/>
    <cellStyle name="표준 5 6 2 3 2 3 8" xfId="33488" xr:uid="{00000000-0005-0000-0000-000078B90000}"/>
    <cellStyle name="표준 5 6 2 3 2 3 9" xfId="41681" xr:uid="{00000000-0005-0000-0000-000079B90000}"/>
    <cellStyle name="표준 5 6 2 3 2 4" xfId="2324" xr:uid="{00000000-0005-0000-0000-00007AB90000}"/>
    <cellStyle name="표준 5 6 2 3 2 4 2" xfId="11227" xr:uid="{00000000-0005-0000-0000-00007BB90000}"/>
    <cellStyle name="표준 5 6 2 3 2 4 2 2" xfId="15339" xr:uid="{00000000-0005-0000-0000-00007CB90000}"/>
    <cellStyle name="표준 5 6 2 3 2 4 2 2 2" xfId="31933" xr:uid="{00000000-0005-0000-0000-00007DB90000}"/>
    <cellStyle name="표준 5 6 2 3 2 4 2 2 3" xfId="40144" xr:uid="{00000000-0005-0000-0000-00007EB90000}"/>
    <cellStyle name="표준 5 6 2 3 2 4 2 2 4" xfId="48337" xr:uid="{00000000-0005-0000-0000-00007FB90000}"/>
    <cellStyle name="표준 5 6 2 3 2 4 2 3" xfId="19579" xr:uid="{00000000-0005-0000-0000-000080B90000}"/>
    <cellStyle name="표준 5 6 2 3 2 4 2 4" xfId="23741" xr:uid="{00000000-0005-0000-0000-000081B90000}"/>
    <cellStyle name="표준 5 6 2 3 2 4 2 5" xfId="27837" xr:uid="{00000000-0005-0000-0000-000082B90000}"/>
    <cellStyle name="표준 5 6 2 3 2 4 2 6" xfId="36048" xr:uid="{00000000-0005-0000-0000-000083B90000}"/>
    <cellStyle name="표준 5 6 2 3 2 4 2 7" xfId="44241" xr:uid="{00000000-0005-0000-0000-000084B90000}"/>
    <cellStyle name="표준 5 6 2 3 2 4 3" xfId="9179" xr:uid="{00000000-0005-0000-0000-000085B90000}"/>
    <cellStyle name="표준 5 6 2 3 2 4 3 2" xfId="29885" xr:uid="{00000000-0005-0000-0000-000086B90000}"/>
    <cellStyle name="표준 5 6 2 3 2 4 3 3" xfId="38096" xr:uid="{00000000-0005-0000-0000-000087B90000}"/>
    <cellStyle name="표준 5 6 2 3 2 4 3 4" xfId="46289" xr:uid="{00000000-0005-0000-0000-000088B90000}"/>
    <cellStyle name="표준 5 6 2 3 2 4 4" xfId="13291" xr:uid="{00000000-0005-0000-0000-000089B90000}"/>
    <cellStyle name="표준 5 6 2 3 2 4 5" xfId="17531" xr:uid="{00000000-0005-0000-0000-00008AB90000}"/>
    <cellStyle name="표준 5 6 2 3 2 4 6" xfId="21693" xr:uid="{00000000-0005-0000-0000-00008BB90000}"/>
    <cellStyle name="표준 5 6 2 3 2 4 7" xfId="25789" xr:uid="{00000000-0005-0000-0000-00008CB90000}"/>
    <cellStyle name="표준 5 6 2 3 2 4 8" xfId="34000" xr:uid="{00000000-0005-0000-0000-00008DB90000}"/>
    <cellStyle name="표준 5 6 2 3 2 4 9" xfId="42193" xr:uid="{00000000-0005-0000-0000-00008EB90000}"/>
    <cellStyle name="표준 5 6 2 3 2 5" xfId="9691" xr:uid="{00000000-0005-0000-0000-00008FB90000}"/>
    <cellStyle name="표준 5 6 2 3 2 5 2" xfId="13803" xr:uid="{00000000-0005-0000-0000-000090B90000}"/>
    <cellStyle name="표준 5 6 2 3 2 5 2 2" xfId="30397" xr:uid="{00000000-0005-0000-0000-000091B90000}"/>
    <cellStyle name="표준 5 6 2 3 2 5 2 3" xfId="38608" xr:uid="{00000000-0005-0000-0000-000092B90000}"/>
    <cellStyle name="표준 5 6 2 3 2 5 2 4" xfId="46801" xr:uid="{00000000-0005-0000-0000-000093B90000}"/>
    <cellStyle name="표준 5 6 2 3 2 5 3" xfId="18043" xr:uid="{00000000-0005-0000-0000-000094B90000}"/>
    <cellStyle name="표준 5 6 2 3 2 5 4" xfId="22205" xr:uid="{00000000-0005-0000-0000-000095B90000}"/>
    <cellStyle name="표준 5 6 2 3 2 5 5" xfId="26301" xr:uid="{00000000-0005-0000-0000-000096B90000}"/>
    <cellStyle name="표준 5 6 2 3 2 5 6" xfId="34512" xr:uid="{00000000-0005-0000-0000-000097B90000}"/>
    <cellStyle name="표준 5 6 2 3 2 5 7" xfId="42705" xr:uid="{00000000-0005-0000-0000-000098B90000}"/>
    <cellStyle name="표준 5 6 2 3 2 6" xfId="7643" xr:uid="{00000000-0005-0000-0000-000099B90000}"/>
    <cellStyle name="표준 5 6 2 3 2 6 2" xfId="28349" xr:uid="{00000000-0005-0000-0000-00009AB90000}"/>
    <cellStyle name="표준 5 6 2 3 2 6 3" xfId="36560" xr:uid="{00000000-0005-0000-0000-00009BB90000}"/>
    <cellStyle name="표준 5 6 2 3 2 6 4" xfId="44753" xr:uid="{00000000-0005-0000-0000-00009CB90000}"/>
    <cellStyle name="표준 5 6 2 3 2 7" xfId="11755" xr:uid="{00000000-0005-0000-0000-00009DB90000}"/>
    <cellStyle name="표준 5 6 2 3 2 8" xfId="15995" xr:uid="{00000000-0005-0000-0000-00009EB90000}"/>
    <cellStyle name="표준 5 6 2 3 2 9" xfId="20157" xr:uid="{00000000-0005-0000-0000-00009FB90000}"/>
    <cellStyle name="표준 5 6 2 3 3" xfId="1044" xr:uid="{00000000-0005-0000-0000-0000A0B90000}"/>
    <cellStyle name="표준 5 6 2 3 3 2" xfId="9947" xr:uid="{00000000-0005-0000-0000-0000A1B90000}"/>
    <cellStyle name="표준 5 6 2 3 3 2 2" xfId="14059" xr:uid="{00000000-0005-0000-0000-0000A2B90000}"/>
    <cellStyle name="표준 5 6 2 3 3 2 2 2" xfId="30653" xr:uid="{00000000-0005-0000-0000-0000A3B90000}"/>
    <cellStyle name="표준 5 6 2 3 3 2 2 3" xfId="38864" xr:uid="{00000000-0005-0000-0000-0000A4B90000}"/>
    <cellStyle name="표준 5 6 2 3 3 2 2 4" xfId="47057" xr:uid="{00000000-0005-0000-0000-0000A5B90000}"/>
    <cellStyle name="표준 5 6 2 3 3 2 3" xfId="18299" xr:uid="{00000000-0005-0000-0000-0000A6B90000}"/>
    <cellStyle name="표준 5 6 2 3 3 2 4" xfId="22461" xr:uid="{00000000-0005-0000-0000-0000A7B90000}"/>
    <cellStyle name="표준 5 6 2 3 3 2 5" xfId="26557" xr:uid="{00000000-0005-0000-0000-0000A8B90000}"/>
    <cellStyle name="표준 5 6 2 3 3 2 6" xfId="34768" xr:uid="{00000000-0005-0000-0000-0000A9B90000}"/>
    <cellStyle name="표준 5 6 2 3 3 2 7" xfId="42961" xr:uid="{00000000-0005-0000-0000-0000AAB90000}"/>
    <cellStyle name="표준 5 6 2 3 3 3" xfId="7899" xr:uid="{00000000-0005-0000-0000-0000ABB90000}"/>
    <cellStyle name="표준 5 6 2 3 3 3 2" xfId="28605" xr:uid="{00000000-0005-0000-0000-0000ACB90000}"/>
    <cellStyle name="표준 5 6 2 3 3 3 3" xfId="36816" xr:uid="{00000000-0005-0000-0000-0000ADB90000}"/>
    <cellStyle name="표준 5 6 2 3 3 3 4" xfId="45009" xr:uid="{00000000-0005-0000-0000-0000AEB90000}"/>
    <cellStyle name="표준 5 6 2 3 3 4" xfId="12011" xr:uid="{00000000-0005-0000-0000-0000AFB90000}"/>
    <cellStyle name="표준 5 6 2 3 3 5" xfId="16251" xr:uid="{00000000-0005-0000-0000-0000B0B90000}"/>
    <cellStyle name="표준 5 6 2 3 3 6" xfId="20413" xr:uid="{00000000-0005-0000-0000-0000B1B90000}"/>
    <cellStyle name="표준 5 6 2 3 3 7" xfId="24509" xr:uid="{00000000-0005-0000-0000-0000B2B90000}"/>
    <cellStyle name="표준 5 6 2 3 3 8" xfId="32720" xr:uid="{00000000-0005-0000-0000-0000B3B90000}"/>
    <cellStyle name="표준 5 6 2 3 3 9" xfId="40913" xr:uid="{00000000-0005-0000-0000-0000B4B90000}"/>
    <cellStyle name="표준 5 6 2 3 4" xfId="1556" xr:uid="{00000000-0005-0000-0000-0000B5B90000}"/>
    <cellStyle name="표준 5 6 2 3 4 2" xfId="10459" xr:uid="{00000000-0005-0000-0000-0000B6B90000}"/>
    <cellStyle name="표준 5 6 2 3 4 2 2" xfId="14571" xr:uid="{00000000-0005-0000-0000-0000B7B90000}"/>
    <cellStyle name="표준 5 6 2 3 4 2 2 2" xfId="31165" xr:uid="{00000000-0005-0000-0000-0000B8B90000}"/>
    <cellStyle name="표준 5 6 2 3 4 2 2 3" xfId="39376" xr:uid="{00000000-0005-0000-0000-0000B9B90000}"/>
    <cellStyle name="표준 5 6 2 3 4 2 2 4" xfId="47569" xr:uid="{00000000-0005-0000-0000-0000BAB90000}"/>
    <cellStyle name="표준 5 6 2 3 4 2 3" xfId="18811" xr:uid="{00000000-0005-0000-0000-0000BBB90000}"/>
    <cellStyle name="표준 5 6 2 3 4 2 4" xfId="22973" xr:uid="{00000000-0005-0000-0000-0000BCB90000}"/>
    <cellStyle name="표준 5 6 2 3 4 2 5" xfId="27069" xr:uid="{00000000-0005-0000-0000-0000BDB90000}"/>
    <cellStyle name="표준 5 6 2 3 4 2 6" xfId="35280" xr:uid="{00000000-0005-0000-0000-0000BEB90000}"/>
    <cellStyle name="표준 5 6 2 3 4 2 7" xfId="43473" xr:uid="{00000000-0005-0000-0000-0000BFB90000}"/>
    <cellStyle name="표준 5 6 2 3 4 3" xfId="8411" xr:uid="{00000000-0005-0000-0000-0000C0B90000}"/>
    <cellStyle name="표준 5 6 2 3 4 3 2" xfId="29117" xr:uid="{00000000-0005-0000-0000-0000C1B90000}"/>
    <cellStyle name="표준 5 6 2 3 4 3 3" xfId="37328" xr:uid="{00000000-0005-0000-0000-0000C2B90000}"/>
    <cellStyle name="표준 5 6 2 3 4 3 4" xfId="45521" xr:uid="{00000000-0005-0000-0000-0000C3B90000}"/>
    <cellStyle name="표준 5 6 2 3 4 4" xfId="12523" xr:uid="{00000000-0005-0000-0000-0000C4B90000}"/>
    <cellStyle name="표준 5 6 2 3 4 5" xfId="16763" xr:uid="{00000000-0005-0000-0000-0000C5B90000}"/>
    <cellStyle name="표준 5 6 2 3 4 6" xfId="20925" xr:uid="{00000000-0005-0000-0000-0000C6B90000}"/>
    <cellStyle name="표준 5 6 2 3 4 7" xfId="25021" xr:uid="{00000000-0005-0000-0000-0000C7B90000}"/>
    <cellStyle name="표준 5 6 2 3 4 8" xfId="33232" xr:uid="{00000000-0005-0000-0000-0000C8B90000}"/>
    <cellStyle name="표준 5 6 2 3 4 9" xfId="41425" xr:uid="{00000000-0005-0000-0000-0000C9B90000}"/>
    <cellStyle name="표준 5 6 2 3 5" xfId="2068" xr:uid="{00000000-0005-0000-0000-0000CAB90000}"/>
    <cellStyle name="표준 5 6 2 3 5 2" xfId="10971" xr:uid="{00000000-0005-0000-0000-0000CBB90000}"/>
    <cellStyle name="표준 5 6 2 3 5 2 2" xfId="15083" xr:uid="{00000000-0005-0000-0000-0000CCB90000}"/>
    <cellStyle name="표준 5 6 2 3 5 2 2 2" xfId="31677" xr:uid="{00000000-0005-0000-0000-0000CDB90000}"/>
    <cellStyle name="표준 5 6 2 3 5 2 2 3" xfId="39888" xr:uid="{00000000-0005-0000-0000-0000CEB90000}"/>
    <cellStyle name="표준 5 6 2 3 5 2 2 4" xfId="48081" xr:uid="{00000000-0005-0000-0000-0000CFB90000}"/>
    <cellStyle name="표준 5 6 2 3 5 2 3" xfId="19323" xr:uid="{00000000-0005-0000-0000-0000D0B90000}"/>
    <cellStyle name="표준 5 6 2 3 5 2 4" xfId="23485" xr:uid="{00000000-0005-0000-0000-0000D1B90000}"/>
    <cellStyle name="표준 5 6 2 3 5 2 5" xfId="27581" xr:uid="{00000000-0005-0000-0000-0000D2B90000}"/>
    <cellStyle name="표준 5 6 2 3 5 2 6" xfId="35792" xr:uid="{00000000-0005-0000-0000-0000D3B90000}"/>
    <cellStyle name="표준 5 6 2 3 5 2 7" xfId="43985" xr:uid="{00000000-0005-0000-0000-0000D4B90000}"/>
    <cellStyle name="표준 5 6 2 3 5 3" xfId="8923" xr:uid="{00000000-0005-0000-0000-0000D5B90000}"/>
    <cellStyle name="표준 5 6 2 3 5 3 2" xfId="29629" xr:uid="{00000000-0005-0000-0000-0000D6B90000}"/>
    <cellStyle name="표준 5 6 2 3 5 3 3" xfId="37840" xr:uid="{00000000-0005-0000-0000-0000D7B90000}"/>
    <cellStyle name="표준 5 6 2 3 5 3 4" xfId="46033" xr:uid="{00000000-0005-0000-0000-0000D8B90000}"/>
    <cellStyle name="표준 5 6 2 3 5 4" xfId="13035" xr:uid="{00000000-0005-0000-0000-0000D9B90000}"/>
    <cellStyle name="표준 5 6 2 3 5 5" xfId="17275" xr:uid="{00000000-0005-0000-0000-0000DAB90000}"/>
    <cellStyle name="표준 5 6 2 3 5 6" xfId="21437" xr:uid="{00000000-0005-0000-0000-0000DBB90000}"/>
    <cellStyle name="표준 5 6 2 3 5 7" xfId="25533" xr:uid="{00000000-0005-0000-0000-0000DCB90000}"/>
    <cellStyle name="표준 5 6 2 3 5 8" xfId="33744" xr:uid="{00000000-0005-0000-0000-0000DDB90000}"/>
    <cellStyle name="표준 5 6 2 3 5 9" xfId="41937" xr:uid="{00000000-0005-0000-0000-0000DEB90000}"/>
    <cellStyle name="표준 5 6 2 3 6" xfId="9435" xr:uid="{00000000-0005-0000-0000-0000DFB90000}"/>
    <cellStyle name="표준 5 6 2 3 6 2" xfId="13547" xr:uid="{00000000-0005-0000-0000-0000E0B90000}"/>
    <cellStyle name="표준 5 6 2 3 6 2 2" xfId="30141" xr:uid="{00000000-0005-0000-0000-0000E1B90000}"/>
    <cellStyle name="표준 5 6 2 3 6 2 3" xfId="38352" xr:uid="{00000000-0005-0000-0000-0000E2B90000}"/>
    <cellStyle name="표준 5 6 2 3 6 2 4" xfId="46545" xr:uid="{00000000-0005-0000-0000-0000E3B90000}"/>
    <cellStyle name="표준 5 6 2 3 6 3" xfId="17787" xr:uid="{00000000-0005-0000-0000-0000E4B90000}"/>
    <cellStyle name="표준 5 6 2 3 6 4" xfId="21949" xr:uid="{00000000-0005-0000-0000-0000E5B90000}"/>
    <cellStyle name="표준 5 6 2 3 6 5" xfId="26045" xr:uid="{00000000-0005-0000-0000-0000E6B90000}"/>
    <cellStyle name="표준 5 6 2 3 6 6" xfId="34256" xr:uid="{00000000-0005-0000-0000-0000E7B90000}"/>
    <cellStyle name="표준 5 6 2 3 6 7" xfId="42449" xr:uid="{00000000-0005-0000-0000-0000E8B90000}"/>
    <cellStyle name="표준 5 6 2 3 7" xfId="7387" xr:uid="{00000000-0005-0000-0000-0000E9B90000}"/>
    <cellStyle name="표준 5 6 2 3 7 2" xfId="28093" xr:uid="{00000000-0005-0000-0000-0000EAB90000}"/>
    <cellStyle name="표준 5 6 2 3 7 3" xfId="36304" xr:uid="{00000000-0005-0000-0000-0000EBB90000}"/>
    <cellStyle name="표준 5 6 2 3 7 4" xfId="44497" xr:uid="{00000000-0005-0000-0000-0000ECB90000}"/>
    <cellStyle name="표준 5 6 2 3 8" xfId="11499" xr:uid="{00000000-0005-0000-0000-0000EDB90000}"/>
    <cellStyle name="표준 5 6 2 3 9" xfId="15739" xr:uid="{00000000-0005-0000-0000-0000EEB90000}"/>
    <cellStyle name="표준 5 6 2 4" xfId="660" xr:uid="{00000000-0005-0000-0000-0000EFB90000}"/>
    <cellStyle name="표준 5 6 2 4 10" xfId="24125" xr:uid="{00000000-0005-0000-0000-0000F0B90000}"/>
    <cellStyle name="표준 5 6 2 4 11" xfId="32336" xr:uid="{00000000-0005-0000-0000-0000F1B90000}"/>
    <cellStyle name="표준 5 6 2 4 12" xfId="40529" xr:uid="{00000000-0005-0000-0000-0000F2B90000}"/>
    <cellStyle name="표준 5 6 2 4 2" xfId="1172" xr:uid="{00000000-0005-0000-0000-0000F3B90000}"/>
    <cellStyle name="표준 5 6 2 4 2 2" xfId="10075" xr:uid="{00000000-0005-0000-0000-0000F4B90000}"/>
    <cellStyle name="표준 5 6 2 4 2 2 2" xfId="14187" xr:uid="{00000000-0005-0000-0000-0000F5B90000}"/>
    <cellStyle name="표준 5 6 2 4 2 2 2 2" xfId="30781" xr:uid="{00000000-0005-0000-0000-0000F6B90000}"/>
    <cellStyle name="표준 5 6 2 4 2 2 2 3" xfId="38992" xr:uid="{00000000-0005-0000-0000-0000F7B90000}"/>
    <cellStyle name="표준 5 6 2 4 2 2 2 4" xfId="47185" xr:uid="{00000000-0005-0000-0000-0000F8B90000}"/>
    <cellStyle name="표준 5 6 2 4 2 2 3" xfId="18427" xr:uid="{00000000-0005-0000-0000-0000F9B90000}"/>
    <cellStyle name="표준 5 6 2 4 2 2 4" xfId="22589" xr:uid="{00000000-0005-0000-0000-0000FAB90000}"/>
    <cellStyle name="표준 5 6 2 4 2 2 5" xfId="26685" xr:uid="{00000000-0005-0000-0000-0000FBB90000}"/>
    <cellStyle name="표준 5 6 2 4 2 2 6" xfId="34896" xr:uid="{00000000-0005-0000-0000-0000FCB90000}"/>
    <cellStyle name="표준 5 6 2 4 2 2 7" xfId="43089" xr:uid="{00000000-0005-0000-0000-0000FDB90000}"/>
    <cellStyle name="표준 5 6 2 4 2 3" xfId="8027" xr:uid="{00000000-0005-0000-0000-0000FEB90000}"/>
    <cellStyle name="표준 5 6 2 4 2 3 2" xfId="28733" xr:uid="{00000000-0005-0000-0000-0000FFB90000}"/>
    <cellStyle name="표준 5 6 2 4 2 3 3" xfId="36944" xr:uid="{00000000-0005-0000-0000-000000BA0000}"/>
    <cellStyle name="표준 5 6 2 4 2 3 4" xfId="45137" xr:uid="{00000000-0005-0000-0000-000001BA0000}"/>
    <cellStyle name="표준 5 6 2 4 2 4" xfId="12139" xr:uid="{00000000-0005-0000-0000-000002BA0000}"/>
    <cellStyle name="표준 5 6 2 4 2 5" xfId="16379" xr:uid="{00000000-0005-0000-0000-000003BA0000}"/>
    <cellStyle name="표준 5 6 2 4 2 6" xfId="20541" xr:uid="{00000000-0005-0000-0000-000004BA0000}"/>
    <cellStyle name="표준 5 6 2 4 2 7" xfId="24637" xr:uid="{00000000-0005-0000-0000-000005BA0000}"/>
    <cellStyle name="표준 5 6 2 4 2 8" xfId="32848" xr:uid="{00000000-0005-0000-0000-000006BA0000}"/>
    <cellStyle name="표준 5 6 2 4 2 9" xfId="41041" xr:uid="{00000000-0005-0000-0000-000007BA0000}"/>
    <cellStyle name="표준 5 6 2 4 3" xfId="1684" xr:uid="{00000000-0005-0000-0000-000008BA0000}"/>
    <cellStyle name="표준 5 6 2 4 3 2" xfId="10587" xr:uid="{00000000-0005-0000-0000-000009BA0000}"/>
    <cellStyle name="표준 5 6 2 4 3 2 2" xfId="14699" xr:uid="{00000000-0005-0000-0000-00000ABA0000}"/>
    <cellStyle name="표준 5 6 2 4 3 2 2 2" xfId="31293" xr:uid="{00000000-0005-0000-0000-00000BBA0000}"/>
    <cellStyle name="표준 5 6 2 4 3 2 2 3" xfId="39504" xr:uid="{00000000-0005-0000-0000-00000CBA0000}"/>
    <cellStyle name="표준 5 6 2 4 3 2 2 4" xfId="47697" xr:uid="{00000000-0005-0000-0000-00000DBA0000}"/>
    <cellStyle name="표준 5 6 2 4 3 2 3" xfId="18939" xr:uid="{00000000-0005-0000-0000-00000EBA0000}"/>
    <cellStyle name="표준 5 6 2 4 3 2 4" xfId="23101" xr:uid="{00000000-0005-0000-0000-00000FBA0000}"/>
    <cellStyle name="표준 5 6 2 4 3 2 5" xfId="27197" xr:uid="{00000000-0005-0000-0000-000010BA0000}"/>
    <cellStyle name="표준 5 6 2 4 3 2 6" xfId="35408" xr:uid="{00000000-0005-0000-0000-000011BA0000}"/>
    <cellStyle name="표준 5 6 2 4 3 2 7" xfId="43601" xr:uid="{00000000-0005-0000-0000-000012BA0000}"/>
    <cellStyle name="표준 5 6 2 4 3 3" xfId="8539" xr:uid="{00000000-0005-0000-0000-000013BA0000}"/>
    <cellStyle name="표준 5 6 2 4 3 3 2" xfId="29245" xr:uid="{00000000-0005-0000-0000-000014BA0000}"/>
    <cellStyle name="표준 5 6 2 4 3 3 3" xfId="37456" xr:uid="{00000000-0005-0000-0000-000015BA0000}"/>
    <cellStyle name="표준 5 6 2 4 3 3 4" xfId="45649" xr:uid="{00000000-0005-0000-0000-000016BA0000}"/>
    <cellStyle name="표준 5 6 2 4 3 4" xfId="12651" xr:uid="{00000000-0005-0000-0000-000017BA0000}"/>
    <cellStyle name="표준 5 6 2 4 3 5" xfId="16891" xr:uid="{00000000-0005-0000-0000-000018BA0000}"/>
    <cellStyle name="표준 5 6 2 4 3 6" xfId="21053" xr:uid="{00000000-0005-0000-0000-000019BA0000}"/>
    <cellStyle name="표준 5 6 2 4 3 7" xfId="25149" xr:uid="{00000000-0005-0000-0000-00001ABA0000}"/>
    <cellStyle name="표준 5 6 2 4 3 8" xfId="33360" xr:uid="{00000000-0005-0000-0000-00001BBA0000}"/>
    <cellStyle name="표준 5 6 2 4 3 9" xfId="41553" xr:uid="{00000000-0005-0000-0000-00001CBA0000}"/>
    <cellStyle name="표준 5 6 2 4 4" xfId="2196" xr:uid="{00000000-0005-0000-0000-00001DBA0000}"/>
    <cellStyle name="표준 5 6 2 4 4 2" xfId="11099" xr:uid="{00000000-0005-0000-0000-00001EBA0000}"/>
    <cellStyle name="표준 5 6 2 4 4 2 2" xfId="15211" xr:uid="{00000000-0005-0000-0000-00001FBA0000}"/>
    <cellStyle name="표준 5 6 2 4 4 2 2 2" xfId="31805" xr:uid="{00000000-0005-0000-0000-000020BA0000}"/>
    <cellStyle name="표준 5 6 2 4 4 2 2 3" xfId="40016" xr:uid="{00000000-0005-0000-0000-000021BA0000}"/>
    <cellStyle name="표준 5 6 2 4 4 2 2 4" xfId="48209" xr:uid="{00000000-0005-0000-0000-000022BA0000}"/>
    <cellStyle name="표준 5 6 2 4 4 2 3" xfId="19451" xr:uid="{00000000-0005-0000-0000-000023BA0000}"/>
    <cellStyle name="표준 5 6 2 4 4 2 4" xfId="23613" xr:uid="{00000000-0005-0000-0000-000024BA0000}"/>
    <cellStyle name="표준 5 6 2 4 4 2 5" xfId="27709" xr:uid="{00000000-0005-0000-0000-000025BA0000}"/>
    <cellStyle name="표준 5 6 2 4 4 2 6" xfId="35920" xr:uid="{00000000-0005-0000-0000-000026BA0000}"/>
    <cellStyle name="표준 5 6 2 4 4 2 7" xfId="44113" xr:uid="{00000000-0005-0000-0000-000027BA0000}"/>
    <cellStyle name="표준 5 6 2 4 4 3" xfId="9051" xr:uid="{00000000-0005-0000-0000-000028BA0000}"/>
    <cellStyle name="표준 5 6 2 4 4 3 2" xfId="29757" xr:uid="{00000000-0005-0000-0000-000029BA0000}"/>
    <cellStyle name="표준 5 6 2 4 4 3 3" xfId="37968" xr:uid="{00000000-0005-0000-0000-00002ABA0000}"/>
    <cellStyle name="표준 5 6 2 4 4 3 4" xfId="46161" xr:uid="{00000000-0005-0000-0000-00002BBA0000}"/>
    <cellStyle name="표준 5 6 2 4 4 4" xfId="13163" xr:uid="{00000000-0005-0000-0000-00002CBA0000}"/>
    <cellStyle name="표준 5 6 2 4 4 5" xfId="17403" xr:uid="{00000000-0005-0000-0000-00002DBA0000}"/>
    <cellStyle name="표준 5 6 2 4 4 6" xfId="21565" xr:uid="{00000000-0005-0000-0000-00002EBA0000}"/>
    <cellStyle name="표준 5 6 2 4 4 7" xfId="25661" xr:uid="{00000000-0005-0000-0000-00002FBA0000}"/>
    <cellStyle name="표준 5 6 2 4 4 8" xfId="33872" xr:uid="{00000000-0005-0000-0000-000030BA0000}"/>
    <cellStyle name="표준 5 6 2 4 4 9" xfId="42065" xr:uid="{00000000-0005-0000-0000-000031BA0000}"/>
    <cellStyle name="표준 5 6 2 4 5" xfId="9563" xr:uid="{00000000-0005-0000-0000-000032BA0000}"/>
    <cellStyle name="표준 5 6 2 4 5 2" xfId="13675" xr:uid="{00000000-0005-0000-0000-000033BA0000}"/>
    <cellStyle name="표준 5 6 2 4 5 2 2" xfId="30269" xr:uid="{00000000-0005-0000-0000-000034BA0000}"/>
    <cellStyle name="표준 5 6 2 4 5 2 3" xfId="38480" xr:uid="{00000000-0005-0000-0000-000035BA0000}"/>
    <cellStyle name="표준 5 6 2 4 5 2 4" xfId="46673" xr:uid="{00000000-0005-0000-0000-000036BA0000}"/>
    <cellStyle name="표준 5 6 2 4 5 3" xfId="17915" xr:uid="{00000000-0005-0000-0000-000037BA0000}"/>
    <cellStyle name="표준 5 6 2 4 5 4" xfId="22077" xr:uid="{00000000-0005-0000-0000-000038BA0000}"/>
    <cellStyle name="표준 5 6 2 4 5 5" xfId="26173" xr:uid="{00000000-0005-0000-0000-000039BA0000}"/>
    <cellStyle name="표준 5 6 2 4 5 6" xfId="34384" xr:uid="{00000000-0005-0000-0000-00003ABA0000}"/>
    <cellStyle name="표준 5 6 2 4 5 7" xfId="42577" xr:uid="{00000000-0005-0000-0000-00003BBA0000}"/>
    <cellStyle name="표준 5 6 2 4 6" xfId="7515" xr:uid="{00000000-0005-0000-0000-00003CBA0000}"/>
    <cellStyle name="표준 5 6 2 4 6 2" xfId="28221" xr:uid="{00000000-0005-0000-0000-00003DBA0000}"/>
    <cellStyle name="표준 5 6 2 4 6 3" xfId="36432" xr:uid="{00000000-0005-0000-0000-00003EBA0000}"/>
    <cellStyle name="표준 5 6 2 4 6 4" xfId="44625" xr:uid="{00000000-0005-0000-0000-00003FBA0000}"/>
    <cellStyle name="표준 5 6 2 4 7" xfId="11627" xr:uid="{00000000-0005-0000-0000-000040BA0000}"/>
    <cellStyle name="표준 5 6 2 4 8" xfId="15867" xr:uid="{00000000-0005-0000-0000-000041BA0000}"/>
    <cellStyle name="표준 5 6 2 4 9" xfId="20029" xr:uid="{00000000-0005-0000-0000-000042BA0000}"/>
    <cellStyle name="표준 5 6 2 5" xfId="916" xr:uid="{00000000-0005-0000-0000-000043BA0000}"/>
    <cellStyle name="표준 5 6 2 5 2" xfId="9819" xr:uid="{00000000-0005-0000-0000-000044BA0000}"/>
    <cellStyle name="표준 5 6 2 5 2 2" xfId="13931" xr:uid="{00000000-0005-0000-0000-000045BA0000}"/>
    <cellStyle name="표준 5 6 2 5 2 2 2" xfId="30525" xr:uid="{00000000-0005-0000-0000-000046BA0000}"/>
    <cellStyle name="표준 5 6 2 5 2 2 3" xfId="38736" xr:uid="{00000000-0005-0000-0000-000047BA0000}"/>
    <cellStyle name="표준 5 6 2 5 2 2 4" xfId="46929" xr:uid="{00000000-0005-0000-0000-000048BA0000}"/>
    <cellStyle name="표준 5 6 2 5 2 3" xfId="18171" xr:uid="{00000000-0005-0000-0000-000049BA0000}"/>
    <cellStyle name="표준 5 6 2 5 2 4" xfId="22333" xr:uid="{00000000-0005-0000-0000-00004ABA0000}"/>
    <cellStyle name="표준 5 6 2 5 2 5" xfId="26429" xr:uid="{00000000-0005-0000-0000-00004BBA0000}"/>
    <cellStyle name="표준 5 6 2 5 2 6" xfId="34640" xr:uid="{00000000-0005-0000-0000-00004CBA0000}"/>
    <cellStyle name="표준 5 6 2 5 2 7" xfId="42833" xr:uid="{00000000-0005-0000-0000-00004DBA0000}"/>
    <cellStyle name="표준 5 6 2 5 3" xfId="7771" xr:uid="{00000000-0005-0000-0000-00004EBA0000}"/>
    <cellStyle name="표준 5 6 2 5 3 2" xfId="28477" xr:uid="{00000000-0005-0000-0000-00004FBA0000}"/>
    <cellStyle name="표준 5 6 2 5 3 3" xfId="36688" xr:uid="{00000000-0005-0000-0000-000050BA0000}"/>
    <cellStyle name="표준 5 6 2 5 3 4" xfId="44881" xr:uid="{00000000-0005-0000-0000-000051BA0000}"/>
    <cellStyle name="표준 5 6 2 5 4" xfId="11883" xr:uid="{00000000-0005-0000-0000-000052BA0000}"/>
    <cellStyle name="표준 5 6 2 5 5" xfId="16123" xr:uid="{00000000-0005-0000-0000-000053BA0000}"/>
    <cellStyle name="표준 5 6 2 5 6" xfId="20285" xr:uid="{00000000-0005-0000-0000-000054BA0000}"/>
    <cellStyle name="표준 5 6 2 5 7" xfId="24381" xr:uid="{00000000-0005-0000-0000-000055BA0000}"/>
    <cellStyle name="표준 5 6 2 5 8" xfId="32592" xr:uid="{00000000-0005-0000-0000-000056BA0000}"/>
    <cellStyle name="표준 5 6 2 5 9" xfId="40785" xr:uid="{00000000-0005-0000-0000-000057BA0000}"/>
    <cellStyle name="표준 5 6 2 6" xfId="1428" xr:uid="{00000000-0005-0000-0000-000058BA0000}"/>
    <cellStyle name="표준 5 6 2 6 2" xfId="10331" xr:uid="{00000000-0005-0000-0000-000059BA0000}"/>
    <cellStyle name="표준 5 6 2 6 2 2" xfId="14443" xr:uid="{00000000-0005-0000-0000-00005ABA0000}"/>
    <cellStyle name="표준 5 6 2 6 2 2 2" xfId="31037" xr:uid="{00000000-0005-0000-0000-00005BBA0000}"/>
    <cellStyle name="표준 5 6 2 6 2 2 3" xfId="39248" xr:uid="{00000000-0005-0000-0000-00005CBA0000}"/>
    <cellStyle name="표준 5 6 2 6 2 2 4" xfId="47441" xr:uid="{00000000-0005-0000-0000-00005DBA0000}"/>
    <cellStyle name="표준 5 6 2 6 2 3" xfId="18683" xr:uid="{00000000-0005-0000-0000-00005EBA0000}"/>
    <cellStyle name="표준 5 6 2 6 2 4" xfId="22845" xr:uid="{00000000-0005-0000-0000-00005FBA0000}"/>
    <cellStyle name="표준 5 6 2 6 2 5" xfId="26941" xr:uid="{00000000-0005-0000-0000-000060BA0000}"/>
    <cellStyle name="표준 5 6 2 6 2 6" xfId="35152" xr:uid="{00000000-0005-0000-0000-000061BA0000}"/>
    <cellStyle name="표준 5 6 2 6 2 7" xfId="43345" xr:uid="{00000000-0005-0000-0000-000062BA0000}"/>
    <cellStyle name="표준 5 6 2 6 3" xfId="8283" xr:uid="{00000000-0005-0000-0000-000063BA0000}"/>
    <cellStyle name="표준 5 6 2 6 3 2" xfId="28989" xr:uid="{00000000-0005-0000-0000-000064BA0000}"/>
    <cellStyle name="표준 5 6 2 6 3 3" xfId="37200" xr:uid="{00000000-0005-0000-0000-000065BA0000}"/>
    <cellStyle name="표준 5 6 2 6 3 4" xfId="45393" xr:uid="{00000000-0005-0000-0000-000066BA0000}"/>
    <cellStyle name="표준 5 6 2 6 4" xfId="12395" xr:uid="{00000000-0005-0000-0000-000067BA0000}"/>
    <cellStyle name="표준 5 6 2 6 5" xfId="16635" xr:uid="{00000000-0005-0000-0000-000068BA0000}"/>
    <cellStyle name="표준 5 6 2 6 6" xfId="20797" xr:uid="{00000000-0005-0000-0000-000069BA0000}"/>
    <cellStyle name="표준 5 6 2 6 7" xfId="24893" xr:uid="{00000000-0005-0000-0000-00006ABA0000}"/>
    <cellStyle name="표준 5 6 2 6 8" xfId="33104" xr:uid="{00000000-0005-0000-0000-00006BBA0000}"/>
    <cellStyle name="표준 5 6 2 6 9" xfId="41297" xr:uid="{00000000-0005-0000-0000-00006CBA0000}"/>
    <cellStyle name="표준 5 6 2 7" xfId="1940" xr:uid="{00000000-0005-0000-0000-00006DBA0000}"/>
    <cellStyle name="표준 5 6 2 7 2" xfId="10843" xr:uid="{00000000-0005-0000-0000-00006EBA0000}"/>
    <cellStyle name="표준 5 6 2 7 2 2" xfId="14955" xr:uid="{00000000-0005-0000-0000-00006FBA0000}"/>
    <cellStyle name="표준 5 6 2 7 2 2 2" xfId="31549" xr:uid="{00000000-0005-0000-0000-000070BA0000}"/>
    <cellStyle name="표준 5 6 2 7 2 2 3" xfId="39760" xr:uid="{00000000-0005-0000-0000-000071BA0000}"/>
    <cellStyle name="표준 5 6 2 7 2 2 4" xfId="47953" xr:uid="{00000000-0005-0000-0000-000072BA0000}"/>
    <cellStyle name="표준 5 6 2 7 2 3" xfId="19195" xr:uid="{00000000-0005-0000-0000-000073BA0000}"/>
    <cellStyle name="표준 5 6 2 7 2 4" xfId="23357" xr:uid="{00000000-0005-0000-0000-000074BA0000}"/>
    <cellStyle name="표준 5 6 2 7 2 5" xfId="27453" xr:uid="{00000000-0005-0000-0000-000075BA0000}"/>
    <cellStyle name="표준 5 6 2 7 2 6" xfId="35664" xr:uid="{00000000-0005-0000-0000-000076BA0000}"/>
    <cellStyle name="표준 5 6 2 7 2 7" xfId="43857" xr:uid="{00000000-0005-0000-0000-000077BA0000}"/>
    <cellStyle name="표준 5 6 2 7 3" xfId="8795" xr:uid="{00000000-0005-0000-0000-000078BA0000}"/>
    <cellStyle name="표준 5 6 2 7 3 2" xfId="29501" xr:uid="{00000000-0005-0000-0000-000079BA0000}"/>
    <cellStyle name="표준 5 6 2 7 3 3" xfId="37712" xr:uid="{00000000-0005-0000-0000-00007ABA0000}"/>
    <cellStyle name="표준 5 6 2 7 3 4" xfId="45905" xr:uid="{00000000-0005-0000-0000-00007BBA0000}"/>
    <cellStyle name="표준 5 6 2 7 4" xfId="12907" xr:uid="{00000000-0005-0000-0000-00007CBA0000}"/>
    <cellStyle name="표준 5 6 2 7 5" xfId="17147" xr:uid="{00000000-0005-0000-0000-00007DBA0000}"/>
    <cellStyle name="표준 5 6 2 7 6" xfId="21309" xr:uid="{00000000-0005-0000-0000-00007EBA0000}"/>
    <cellStyle name="표준 5 6 2 7 7" xfId="25405" xr:uid="{00000000-0005-0000-0000-00007FBA0000}"/>
    <cellStyle name="표준 5 6 2 7 8" xfId="33616" xr:uid="{00000000-0005-0000-0000-000080BA0000}"/>
    <cellStyle name="표준 5 6 2 7 9" xfId="41809" xr:uid="{00000000-0005-0000-0000-000081BA0000}"/>
    <cellStyle name="표준 5 6 2 8" xfId="7032" xr:uid="{00000000-0005-0000-0000-000082BA0000}"/>
    <cellStyle name="표준 5 6 2 8 2" xfId="9307" xr:uid="{00000000-0005-0000-0000-000083BA0000}"/>
    <cellStyle name="표준 5 6 2 8 2 2" xfId="30013" xr:uid="{00000000-0005-0000-0000-000084BA0000}"/>
    <cellStyle name="표준 5 6 2 8 2 3" xfId="38224" xr:uid="{00000000-0005-0000-0000-000085BA0000}"/>
    <cellStyle name="표준 5 6 2 8 2 4" xfId="46417" xr:uid="{00000000-0005-0000-0000-000086BA0000}"/>
    <cellStyle name="표준 5 6 2 8 3" xfId="13419" xr:uid="{00000000-0005-0000-0000-000087BA0000}"/>
    <cellStyle name="표준 5 6 2 8 4" xfId="17659" xr:uid="{00000000-0005-0000-0000-000088BA0000}"/>
    <cellStyle name="표준 5 6 2 8 5" xfId="21821" xr:uid="{00000000-0005-0000-0000-000089BA0000}"/>
    <cellStyle name="표준 5 6 2 8 6" xfId="25917" xr:uid="{00000000-0005-0000-0000-00008ABA0000}"/>
    <cellStyle name="표준 5 6 2 8 7" xfId="34128" xr:uid="{00000000-0005-0000-0000-00008BBA0000}"/>
    <cellStyle name="표준 5 6 2 8 8" xfId="42321" xr:uid="{00000000-0005-0000-0000-00008CBA0000}"/>
    <cellStyle name="표준 5 6 2 9" xfId="7146" xr:uid="{00000000-0005-0000-0000-00008DBA0000}"/>
    <cellStyle name="표준 5 6 2 9 2" xfId="27965" xr:uid="{00000000-0005-0000-0000-00008EBA0000}"/>
    <cellStyle name="표준 5 6 2 9 3" xfId="36176" xr:uid="{00000000-0005-0000-0000-00008FBA0000}"/>
    <cellStyle name="표준 5 6 2 9 4" xfId="44369" xr:uid="{00000000-0005-0000-0000-000090BA0000}"/>
    <cellStyle name="표준 5 6 20" xfId="40241" xr:uid="{00000000-0005-0000-0000-000091BA0000}"/>
    <cellStyle name="표준 5 6 21" xfId="49657" xr:uid="{00000000-0005-0000-0000-000092BA0000}"/>
    <cellStyle name="표준 5 6 3" xfId="436" xr:uid="{00000000-0005-0000-0000-000093BA0000}"/>
    <cellStyle name="표준 5 6 3 10" xfId="15643" xr:uid="{00000000-0005-0000-0000-000094BA0000}"/>
    <cellStyle name="표준 5 6 3 11" xfId="19805" xr:uid="{00000000-0005-0000-0000-000095BA0000}"/>
    <cellStyle name="표준 5 6 3 12" xfId="23901" xr:uid="{00000000-0005-0000-0000-000096BA0000}"/>
    <cellStyle name="표준 5 6 3 13" xfId="32112" xr:uid="{00000000-0005-0000-0000-000097BA0000}"/>
    <cellStyle name="표준 5 6 3 14" xfId="40305" xr:uid="{00000000-0005-0000-0000-000098BA0000}"/>
    <cellStyle name="표준 5 6 3 2" xfId="564" xr:uid="{00000000-0005-0000-0000-000099BA0000}"/>
    <cellStyle name="표준 5 6 3 2 10" xfId="19933" xr:uid="{00000000-0005-0000-0000-00009ABA0000}"/>
    <cellStyle name="표준 5 6 3 2 11" xfId="24029" xr:uid="{00000000-0005-0000-0000-00009BBA0000}"/>
    <cellStyle name="표준 5 6 3 2 12" xfId="32240" xr:uid="{00000000-0005-0000-0000-00009CBA0000}"/>
    <cellStyle name="표준 5 6 3 2 13" xfId="40433" xr:uid="{00000000-0005-0000-0000-00009DBA0000}"/>
    <cellStyle name="표준 5 6 3 2 2" xfId="820" xr:uid="{00000000-0005-0000-0000-00009EBA0000}"/>
    <cellStyle name="표준 5 6 3 2 2 10" xfId="24285" xr:uid="{00000000-0005-0000-0000-00009FBA0000}"/>
    <cellStyle name="표준 5 6 3 2 2 11" xfId="32496" xr:uid="{00000000-0005-0000-0000-0000A0BA0000}"/>
    <cellStyle name="표준 5 6 3 2 2 12" xfId="40689" xr:uid="{00000000-0005-0000-0000-0000A1BA0000}"/>
    <cellStyle name="표준 5 6 3 2 2 2" xfId="1332" xr:uid="{00000000-0005-0000-0000-0000A2BA0000}"/>
    <cellStyle name="표준 5 6 3 2 2 2 2" xfId="10235" xr:uid="{00000000-0005-0000-0000-0000A3BA0000}"/>
    <cellStyle name="표준 5 6 3 2 2 2 2 2" xfId="14347" xr:uid="{00000000-0005-0000-0000-0000A4BA0000}"/>
    <cellStyle name="표준 5 6 3 2 2 2 2 2 2" xfId="30941" xr:uid="{00000000-0005-0000-0000-0000A5BA0000}"/>
    <cellStyle name="표준 5 6 3 2 2 2 2 2 3" xfId="39152" xr:uid="{00000000-0005-0000-0000-0000A6BA0000}"/>
    <cellStyle name="표준 5 6 3 2 2 2 2 2 4" xfId="47345" xr:uid="{00000000-0005-0000-0000-0000A7BA0000}"/>
    <cellStyle name="표준 5 6 3 2 2 2 2 3" xfId="18587" xr:uid="{00000000-0005-0000-0000-0000A8BA0000}"/>
    <cellStyle name="표준 5 6 3 2 2 2 2 4" xfId="22749" xr:uid="{00000000-0005-0000-0000-0000A9BA0000}"/>
    <cellStyle name="표준 5 6 3 2 2 2 2 5" xfId="26845" xr:uid="{00000000-0005-0000-0000-0000AABA0000}"/>
    <cellStyle name="표준 5 6 3 2 2 2 2 6" xfId="35056" xr:uid="{00000000-0005-0000-0000-0000ABBA0000}"/>
    <cellStyle name="표준 5 6 3 2 2 2 2 7" xfId="43249" xr:uid="{00000000-0005-0000-0000-0000ACBA0000}"/>
    <cellStyle name="표준 5 6 3 2 2 2 3" xfId="8187" xr:uid="{00000000-0005-0000-0000-0000ADBA0000}"/>
    <cellStyle name="표준 5 6 3 2 2 2 3 2" xfId="28893" xr:uid="{00000000-0005-0000-0000-0000AEBA0000}"/>
    <cellStyle name="표준 5 6 3 2 2 2 3 3" xfId="37104" xr:uid="{00000000-0005-0000-0000-0000AFBA0000}"/>
    <cellStyle name="표준 5 6 3 2 2 2 3 4" xfId="45297" xr:uid="{00000000-0005-0000-0000-0000B0BA0000}"/>
    <cellStyle name="표준 5 6 3 2 2 2 4" xfId="12299" xr:uid="{00000000-0005-0000-0000-0000B1BA0000}"/>
    <cellStyle name="표준 5 6 3 2 2 2 5" xfId="16539" xr:uid="{00000000-0005-0000-0000-0000B2BA0000}"/>
    <cellStyle name="표준 5 6 3 2 2 2 6" xfId="20701" xr:uid="{00000000-0005-0000-0000-0000B3BA0000}"/>
    <cellStyle name="표준 5 6 3 2 2 2 7" xfId="24797" xr:uid="{00000000-0005-0000-0000-0000B4BA0000}"/>
    <cellStyle name="표준 5 6 3 2 2 2 8" xfId="33008" xr:uid="{00000000-0005-0000-0000-0000B5BA0000}"/>
    <cellStyle name="표준 5 6 3 2 2 2 9" xfId="41201" xr:uid="{00000000-0005-0000-0000-0000B6BA0000}"/>
    <cellStyle name="표준 5 6 3 2 2 3" xfId="1844" xr:uid="{00000000-0005-0000-0000-0000B7BA0000}"/>
    <cellStyle name="표준 5 6 3 2 2 3 2" xfId="10747" xr:uid="{00000000-0005-0000-0000-0000B8BA0000}"/>
    <cellStyle name="표준 5 6 3 2 2 3 2 2" xfId="14859" xr:uid="{00000000-0005-0000-0000-0000B9BA0000}"/>
    <cellStyle name="표준 5 6 3 2 2 3 2 2 2" xfId="31453" xr:uid="{00000000-0005-0000-0000-0000BABA0000}"/>
    <cellStyle name="표준 5 6 3 2 2 3 2 2 3" xfId="39664" xr:uid="{00000000-0005-0000-0000-0000BBBA0000}"/>
    <cellStyle name="표준 5 6 3 2 2 3 2 2 4" xfId="47857" xr:uid="{00000000-0005-0000-0000-0000BCBA0000}"/>
    <cellStyle name="표준 5 6 3 2 2 3 2 3" xfId="19099" xr:uid="{00000000-0005-0000-0000-0000BDBA0000}"/>
    <cellStyle name="표준 5 6 3 2 2 3 2 4" xfId="23261" xr:uid="{00000000-0005-0000-0000-0000BEBA0000}"/>
    <cellStyle name="표준 5 6 3 2 2 3 2 5" xfId="27357" xr:uid="{00000000-0005-0000-0000-0000BFBA0000}"/>
    <cellStyle name="표준 5 6 3 2 2 3 2 6" xfId="35568" xr:uid="{00000000-0005-0000-0000-0000C0BA0000}"/>
    <cellStyle name="표준 5 6 3 2 2 3 2 7" xfId="43761" xr:uid="{00000000-0005-0000-0000-0000C1BA0000}"/>
    <cellStyle name="표준 5 6 3 2 2 3 3" xfId="8699" xr:uid="{00000000-0005-0000-0000-0000C2BA0000}"/>
    <cellStyle name="표준 5 6 3 2 2 3 3 2" xfId="29405" xr:uid="{00000000-0005-0000-0000-0000C3BA0000}"/>
    <cellStyle name="표준 5 6 3 2 2 3 3 3" xfId="37616" xr:uid="{00000000-0005-0000-0000-0000C4BA0000}"/>
    <cellStyle name="표준 5 6 3 2 2 3 3 4" xfId="45809" xr:uid="{00000000-0005-0000-0000-0000C5BA0000}"/>
    <cellStyle name="표준 5 6 3 2 2 3 4" xfId="12811" xr:uid="{00000000-0005-0000-0000-0000C6BA0000}"/>
    <cellStyle name="표준 5 6 3 2 2 3 5" xfId="17051" xr:uid="{00000000-0005-0000-0000-0000C7BA0000}"/>
    <cellStyle name="표준 5 6 3 2 2 3 6" xfId="21213" xr:uid="{00000000-0005-0000-0000-0000C8BA0000}"/>
    <cellStyle name="표준 5 6 3 2 2 3 7" xfId="25309" xr:uid="{00000000-0005-0000-0000-0000C9BA0000}"/>
    <cellStyle name="표준 5 6 3 2 2 3 8" xfId="33520" xr:uid="{00000000-0005-0000-0000-0000CABA0000}"/>
    <cellStyle name="표준 5 6 3 2 2 3 9" xfId="41713" xr:uid="{00000000-0005-0000-0000-0000CBBA0000}"/>
    <cellStyle name="표준 5 6 3 2 2 4" xfId="2356" xr:uid="{00000000-0005-0000-0000-0000CCBA0000}"/>
    <cellStyle name="표준 5 6 3 2 2 4 2" xfId="11259" xr:uid="{00000000-0005-0000-0000-0000CDBA0000}"/>
    <cellStyle name="표준 5 6 3 2 2 4 2 2" xfId="15371" xr:uid="{00000000-0005-0000-0000-0000CEBA0000}"/>
    <cellStyle name="표준 5 6 3 2 2 4 2 2 2" xfId="31965" xr:uid="{00000000-0005-0000-0000-0000CFBA0000}"/>
    <cellStyle name="표준 5 6 3 2 2 4 2 2 3" xfId="40176" xr:uid="{00000000-0005-0000-0000-0000D0BA0000}"/>
    <cellStyle name="표준 5 6 3 2 2 4 2 2 4" xfId="48369" xr:uid="{00000000-0005-0000-0000-0000D1BA0000}"/>
    <cellStyle name="표준 5 6 3 2 2 4 2 3" xfId="19611" xr:uid="{00000000-0005-0000-0000-0000D2BA0000}"/>
    <cellStyle name="표준 5 6 3 2 2 4 2 4" xfId="23773" xr:uid="{00000000-0005-0000-0000-0000D3BA0000}"/>
    <cellStyle name="표준 5 6 3 2 2 4 2 5" xfId="27869" xr:uid="{00000000-0005-0000-0000-0000D4BA0000}"/>
    <cellStyle name="표준 5 6 3 2 2 4 2 6" xfId="36080" xr:uid="{00000000-0005-0000-0000-0000D5BA0000}"/>
    <cellStyle name="표준 5 6 3 2 2 4 2 7" xfId="44273" xr:uid="{00000000-0005-0000-0000-0000D6BA0000}"/>
    <cellStyle name="표준 5 6 3 2 2 4 3" xfId="9211" xr:uid="{00000000-0005-0000-0000-0000D7BA0000}"/>
    <cellStyle name="표준 5 6 3 2 2 4 3 2" xfId="29917" xr:uid="{00000000-0005-0000-0000-0000D8BA0000}"/>
    <cellStyle name="표준 5 6 3 2 2 4 3 3" xfId="38128" xr:uid="{00000000-0005-0000-0000-0000D9BA0000}"/>
    <cellStyle name="표준 5 6 3 2 2 4 3 4" xfId="46321" xr:uid="{00000000-0005-0000-0000-0000DABA0000}"/>
    <cellStyle name="표준 5 6 3 2 2 4 4" xfId="13323" xr:uid="{00000000-0005-0000-0000-0000DBBA0000}"/>
    <cellStyle name="표준 5 6 3 2 2 4 5" xfId="17563" xr:uid="{00000000-0005-0000-0000-0000DCBA0000}"/>
    <cellStyle name="표준 5 6 3 2 2 4 6" xfId="21725" xr:uid="{00000000-0005-0000-0000-0000DDBA0000}"/>
    <cellStyle name="표준 5 6 3 2 2 4 7" xfId="25821" xr:uid="{00000000-0005-0000-0000-0000DEBA0000}"/>
    <cellStyle name="표준 5 6 3 2 2 4 8" xfId="34032" xr:uid="{00000000-0005-0000-0000-0000DFBA0000}"/>
    <cellStyle name="표준 5 6 3 2 2 4 9" xfId="42225" xr:uid="{00000000-0005-0000-0000-0000E0BA0000}"/>
    <cellStyle name="표준 5 6 3 2 2 5" xfId="9723" xr:uid="{00000000-0005-0000-0000-0000E1BA0000}"/>
    <cellStyle name="표준 5 6 3 2 2 5 2" xfId="13835" xr:uid="{00000000-0005-0000-0000-0000E2BA0000}"/>
    <cellStyle name="표준 5 6 3 2 2 5 2 2" xfId="30429" xr:uid="{00000000-0005-0000-0000-0000E3BA0000}"/>
    <cellStyle name="표준 5 6 3 2 2 5 2 3" xfId="38640" xr:uid="{00000000-0005-0000-0000-0000E4BA0000}"/>
    <cellStyle name="표준 5 6 3 2 2 5 2 4" xfId="46833" xr:uid="{00000000-0005-0000-0000-0000E5BA0000}"/>
    <cellStyle name="표준 5 6 3 2 2 5 3" xfId="18075" xr:uid="{00000000-0005-0000-0000-0000E6BA0000}"/>
    <cellStyle name="표준 5 6 3 2 2 5 4" xfId="22237" xr:uid="{00000000-0005-0000-0000-0000E7BA0000}"/>
    <cellStyle name="표준 5 6 3 2 2 5 5" xfId="26333" xr:uid="{00000000-0005-0000-0000-0000E8BA0000}"/>
    <cellStyle name="표준 5 6 3 2 2 5 6" xfId="34544" xr:uid="{00000000-0005-0000-0000-0000E9BA0000}"/>
    <cellStyle name="표준 5 6 3 2 2 5 7" xfId="42737" xr:uid="{00000000-0005-0000-0000-0000EABA0000}"/>
    <cellStyle name="표준 5 6 3 2 2 6" xfId="7675" xr:uid="{00000000-0005-0000-0000-0000EBBA0000}"/>
    <cellStyle name="표준 5 6 3 2 2 6 2" xfId="28381" xr:uid="{00000000-0005-0000-0000-0000ECBA0000}"/>
    <cellStyle name="표준 5 6 3 2 2 6 3" xfId="36592" xr:uid="{00000000-0005-0000-0000-0000EDBA0000}"/>
    <cellStyle name="표준 5 6 3 2 2 6 4" xfId="44785" xr:uid="{00000000-0005-0000-0000-0000EEBA0000}"/>
    <cellStyle name="표준 5 6 3 2 2 7" xfId="11787" xr:uid="{00000000-0005-0000-0000-0000EFBA0000}"/>
    <cellStyle name="표준 5 6 3 2 2 8" xfId="16027" xr:uid="{00000000-0005-0000-0000-0000F0BA0000}"/>
    <cellStyle name="표준 5 6 3 2 2 9" xfId="20189" xr:uid="{00000000-0005-0000-0000-0000F1BA0000}"/>
    <cellStyle name="표준 5 6 3 2 3" xfId="1076" xr:uid="{00000000-0005-0000-0000-0000F2BA0000}"/>
    <cellStyle name="표준 5 6 3 2 3 2" xfId="9979" xr:uid="{00000000-0005-0000-0000-0000F3BA0000}"/>
    <cellStyle name="표준 5 6 3 2 3 2 2" xfId="14091" xr:uid="{00000000-0005-0000-0000-0000F4BA0000}"/>
    <cellStyle name="표준 5 6 3 2 3 2 2 2" xfId="30685" xr:uid="{00000000-0005-0000-0000-0000F5BA0000}"/>
    <cellStyle name="표준 5 6 3 2 3 2 2 3" xfId="38896" xr:uid="{00000000-0005-0000-0000-0000F6BA0000}"/>
    <cellStyle name="표준 5 6 3 2 3 2 2 4" xfId="47089" xr:uid="{00000000-0005-0000-0000-0000F7BA0000}"/>
    <cellStyle name="표준 5 6 3 2 3 2 3" xfId="18331" xr:uid="{00000000-0005-0000-0000-0000F8BA0000}"/>
    <cellStyle name="표준 5 6 3 2 3 2 4" xfId="22493" xr:uid="{00000000-0005-0000-0000-0000F9BA0000}"/>
    <cellStyle name="표준 5 6 3 2 3 2 5" xfId="26589" xr:uid="{00000000-0005-0000-0000-0000FABA0000}"/>
    <cellStyle name="표준 5 6 3 2 3 2 6" xfId="34800" xr:uid="{00000000-0005-0000-0000-0000FBBA0000}"/>
    <cellStyle name="표준 5 6 3 2 3 2 7" xfId="42993" xr:uid="{00000000-0005-0000-0000-0000FCBA0000}"/>
    <cellStyle name="표준 5 6 3 2 3 3" xfId="7931" xr:uid="{00000000-0005-0000-0000-0000FDBA0000}"/>
    <cellStyle name="표준 5 6 3 2 3 3 2" xfId="28637" xr:uid="{00000000-0005-0000-0000-0000FEBA0000}"/>
    <cellStyle name="표준 5 6 3 2 3 3 3" xfId="36848" xr:uid="{00000000-0005-0000-0000-0000FFBA0000}"/>
    <cellStyle name="표준 5 6 3 2 3 3 4" xfId="45041" xr:uid="{00000000-0005-0000-0000-000000BB0000}"/>
    <cellStyle name="표준 5 6 3 2 3 4" xfId="12043" xr:uid="{00000000-0005-0000-0000-000001BB0000}"/>
    <cellStyle name="표준 5 6 3 2 3 5" xfId="16283" xr:uid="{00000000-0005-0000-0000-000002BB0000}"/>
    <cellStyle name="표준 5 6 3 2 3 6" xfId="20445" xr:uid="{00000000-0005-0000-0000-000003BB0000}"/>
    <cellStyle name="표준 5 6 3 2 3 7" xfId="24541" xr:uid="{00000000-0005-0000-0000-000004BB0000}"/>
    <cellStyle name="표준 5 6 3 2 3 8" xfId="32752" xr:uid="{00000000-0005-0000-0000-000005BB0000}"/>
    <cellStyle name="표준 5 6 3 2 3 9" xfId="40945" xr:uid="{00000000-0005-0000-0000-000006BB0000}"/>
    <cellStyle name="표준 5 6 3 2 4" xfId="1588" xr:uid="{00000000-0005-0000-0000-000007BB0000}"/>
    <cellStyle name="표준 5 6 3 2 4 2" xfId="10491" xr:uid="{00000000-0005-0000-0000-000008BB0000}"/>
    <cellStyle name="표준 5 6 3 2 4 2 2" xfId="14603" xr:uid="{00000000-0005-0000-0000-000009BB0000}"/>
    <cellStyle name="표준 5 6 3 2 4 2 2 2" xfId="31197" xr:uid="{00000000-0005-0000-0000-00000ABB0000}"/>
    <cellStyle name="표준 5 6 3 2 4 2 2 3" xfId="39408" xr:uid="{00000000-0005-0000-0000-00000BBB0000}"/>
    <cellStyle name="표준 5 6 3 2 4 2 2 4" xfId="47601" xr:uid="{00000000-0005-0000-0000-00000CBB0000}"/>
    <cellStyle name="표준 5 6 3 2 4 2 3" xfId="18843" xr:uid="{00000000-0005-0000-0000-00000DBB0000}"/>
    <cellStyle name="표준 5 6 3 2 4 2 4" xfId="23005" xr:uid="{00000000-0005-0000-0000-00000EBB0000}"/>
    <cellStyle name="표준 5 6 3 2 4 2 5" xfId="27101" xr:uid="{00000000-0005-0000-0000-00000FBB0000}"/>
    <cellStyle name="표준 5 6 3 2 4 2 6" xfId="35312" xr:uid="{00000000-0005-0000-0000-000010BB0000}"/>
    <cellStyle name="표준 5 6 3 2 4 2 7" xfId="43505" xr:uid="{00000000-0005-0000-0000-000011BB0000}"/>
    <cellStyle name="표준 5 6 3 2 4 3" xfId="8443" xr:uid="{00000000-0005-0000-0000-000012BB0000}"/>
    <cellStyle name="표준 5 6 3 2 4 3 2" xfId="29149" xr:uid="{00000000-0005-0000-0000-000013BB0000}"/>
    <cellStyle name="표준 5 6 3 2 4 3 3" xfId="37360" xr:uid="{00000000-0005-0000-0000-000014BB0000}"/>
    <cellStyle name="표준 5 6 3 2 4 3 4" xfId="45553" xr:uid="{00000000-0005-0000-0000-000015BB0000}"/>
    <cellStyle name="표준 5 6 3 2 4 4" xfId="12555" xr:uid="{00000000-0005-0000-0000-000016BB0000}"/>
    <cellStyle name="표준 5 6 3 2 4 5" xfId="16795" xr:uid="{00000000-0005-0000-0000-000017BB0000}"/>
    <cellStyle name="표준 5 6 3 2 4 6" xfId="20957" xr:uid="{00000000-0005-0000-0000-000018BB0000}"/>
    <cellStyle name="표준 5 6 3 2 4 7" xfId="25053" xr:uid="{00000000-0005-0000-0000-000019BB0000}"/>
    <cellStyle name="표준 5 6 3 2 4 8" xfId="33264" xr:uid="{00000000-0005-0000-0000-00001ABB0000}"/>
    <cellStyle name="표준 5 6 3 2 4 9" xfId="41457" xr:uid="{00000000-0005-0000-0000-00001BBB0000}"/>
    <cellStyle name="표준 5 6 3 2 5" xfId="2100" xr:uid="{00000000-0005-0000-0000-00001CBB0000}"/>
    <cellStyle name="표준 5 6 3 2 5 2" xfId="11003" xr:uid="{00000000-0005-0000-0000-00001DBB0000}"/>
    <cellStyle name="표준 5 6 3 2 5 2 2" xfId="15115" xr:uid="{00000000-0005-0000-0000-00001EBB0000}"/>
    <cellStyle name="표준 5 6 3 2 5 2 2 2" xfId="31709" xr:uid="{00000000-0005-0000-0000-00001FBB0000}"/>
    <cellStyle name="표준 5 6 3 2 5 2 2 3" xfId="39920" xr:uid="{00000000-0005-0000-0000-000020BB0000}"/>
    <cellStyle name="표준 5 6 3 2 5 2 2 4" xfId="48113" xr:uid="{00000000-0005-0000-0000-000021BB0000}"/>
    <cellStyle name="표준 5 6 3 2 5 2 3" xfId="19355" xr:uid="{00000000-0005-0000-0000-000022BB0000}"/>
    <cellStyle name="표준 5 6 3 2 5 2 4" xfId="23517" xr:uid="{00000000-0005-0000-0000-000023BB0000}"/>
    <cellStyle name="표준 5 6 3 2 5 2 5" xfId="27613" xr:uid="{00000000-0005-0000-0000-000024BB0000}"/>
    <cellStyle name="표준 5 6 3 2 5 2 6" xfId="35824" xr:uid="{00000000-0005-0000-0000-000025BB0000}"/>
    <cellStyle name="표준 5 6 3 2 5 2 7" xfId="44017" xr:uid="{00000000-0005-0000-0000-000026BB0000}"/>
    <cellStyle name="표준 5 6 3 2 5 3" xfId="8955" xr:uid="{00000000-0005-0000-0000-000027BB0000}"/>
    <cellStyle name="표준 5 6 3 2 5 3 2" xfId="29661" xr:uid="{00000000-0005-0000-0000-000028BB0000}"/>
    <cellStyle name="표준 5 6 3 2 5 3 3" xfId="37872" xr:uid="{00000000-0005-0000-0000-000029BB0000}"/>
    <cellStyle name="표준 5 6 3 2 5 3 4" xfId="46065" xr:uid="{00000000-0005-0000-0000-00002ABB0000}"/>
    <cellStyle name="표준 5 6 3 2 5 4" xfId="13067" xr:uid="{00000000-0005-0000-0000-00002BBB0000}"/>
    <cellStyle name="표준 5 6 3 2 5 5" xfId="17307" xr:uid="{00000000-0005-0000-0000-00002CBB0000}"/>
    <cellStyle name="표준 5 6 3 2 5 6" xfId="21469" xr:uid="{00000000-0005-0000-0000-00002DBB0000}"/>
    <cellStyle name="표준 5 6 3 2 5 7" xfId="25565" xr:uid="{00000000-0005-0000-0000-00002EBB0000}"/>
    <cellStyle name="표준 5 6 3 2 5 8" xfId="33776" xr:uid="{00000000-0005-0000-0000-00002FBB0000}"/>
    <cellStyle name="표준 5 6 3 2 5 9" xfId="41969" xr:uid="{00000000-0005-0000-0000-000030BB0000}"/>
    <cellStyle name="표준 5 6 3 2 6" xfId="9467" xr:uid="{00000000-0005-0000-0000-000031BB0000}"/>
    <cellStyle name="표준 5 6 3 2 6 2" xfId="13579" xr:uid="{00000000-0005-0000-0000-000032BB0000}"/>
    <cellStyle name="표준 5 6 3 2 6 2 2" xfId="30173" xr:uid="{00000000-0005-0000-0000-000033BB0000}"/>
    <cellStyle name="표준 5 6 3 2 6 2 3" xfId="38384" xr:uid="{00000000-0005-0000-0000-000034BB0000}"/>
    <cellStyle name="표준 5 6 3 2 6 2 4" xfId="46577" xr:uid="{00000000-0005-0000-0000-000035BB0000}"/>
    <cellStyle name="표준 5 6 3 2 6 3" xfId="17819" xr:uid="{00000000-0005-0000-0000-000036BB0000}"/>
    <cellStyle name="표준 5 6 3 2 6 4" xfId="21981" xr:uid="{00000000-0005-0000-0000-000037BB0000}"/>
    <cellStyle name="표준 5 6 3 2 6 5" xfId="26077" xr:uid="{00000000-0005-0000-0000-000038BB0000}"/>
    <cellStyle name="표준 5 6 3 2 6 6" xfId="34288" xr:uid="{00000000-0005-0000-0000-000039BB0000}"/>
    <cellStyle name="표준 5 6 3 2 6 7" xfId="42481" xr:uid="{00000000-0005-0000-0000-00003ABB0000}"/>
    <cellStyle name="표준 5 6 3 2 7" xfId="7419" xr:uid="{00000000-0005-0000-0000-00003BBB0000}"/>
    <cellStyle name="표준 5 6 3 2 7 2" xfId="28125" xr:uid="{00000000-0005-0000-0000-00003CBB0000}"/>
    <cellStyle name="표준 5 6 3 2 7 3" xfId="36336" xr:uid="{00000000-0005-0000-0000-00003DBB0000}"/>
    <cellStyle name="표준 5 6 3 2 7 4" xfId="44529" xr:uid="{00000000-0005-0000-0000-00003EBB0000}"/>
    <cellStyle name="표준 5 6 3 2 8" xfId="11531" xr:uid="{00000000-0005-0000-0000-00003FBB0000}"/>
    <cellStyle name="표준 5 6 3 2 9" xfId="15771" xr:uid="{00000000-0005-0000-0000-000040BB0000}"/>
    <cellStyle name="표준 5 6 3 3" xfId="692" xr:uid="{00000000-0005-0000-0000-000041BB0000}"/>
    <cellStyle name="표준 5 6 3 3 10" xfId="24157" xr:uid="{00000000-0005-0000-0000-000042BB0000}"/>
    <cellStyle name="표준 5 6 3 3 11" xfId="32368" xr:uid="{00000000-0005-0000-0000-000043BB0000}"/>
    <cellStyle name="표준 5 6 3 3 12" xfId="40561" xr:uid="{00000000-0005-0000-0000-000044BB0000}"/>
    <cellStyle name="표준 5 6 3 3 2" xfId="1204" xr:uid="{00000000-0005-0000-0000-000045BB0000}"/>
    <cellStyle name="표준 5 6 3 3 2 2" xfId="10107" xr:uid="{00000000-0005-0000-0000-000046BB0000}"/>
    <cellStyle name="표준 5 6 3 3 2 2 2" xfId="14219" xr:uid="{00000000-0005-0000-0000-000047BB0000}"/>
    <cellStyle name="표준 5 6 3 3 2 2 2 2" xfId="30813" xr:uid="{00000000-0005-0000-0000-000048BB0000}"/>
    <cellStyle name="표준 5 6 3 3 2 2 2 3" xfId="39024" xr:uid="{00000000-0005-0000-0000-000049BB0000}"/>
    <cellStyle name="표준 5 6 3 3 2 2 2 4" xfId="47217" xr:uid="{00000000-0005-0000-0000-00004ABB0000}"/>
    <cellStyle name="표준 5 6 3 3 2 2 3" xfId="18459" xr:uid="{00000000-0005-0000-0000-00004BBB0000}"/>
    <cellStyle name="표준 5 6 3 3 2 2 4" xfId="22621" xr:uid="{00000000-0005-0000-0000-00004CBB0000}"/>
    <cellStyle name="표준 5 6 3 3 2 2 5" xfId="26717" xr:uid="{00000000-0005-0000-0000-00004DBB0000}"/>
    <cellStyle name="표준 5 6 3 3 2 2 6" xfId="34928" xr:uid="{00000000-0005-0000-0000-00004EBB0000}"/>
    <cellStyle name="표준 5 6 3 3 2 2 7" xfId="43121" xr:uid="{00000000-0005-0000-0000-00004FBB0000}"/>
    <cellStyle name="표준 5 6 3 3 2 3" xfId="8059" xr:uid="{00000000-0005-0000-0000-000050BB0000}"/>
    <cellStyle name="표준 5 6 3 3 2 3 2" xfId="28765" xr:uid="{00000000-0005-0000-0000-000051BB0000}"/>
    <cellStyle name="표준 5 6 3 3 2 3 3" xfId="36976" xr:uid="{00000000-0005-0000-0000-000052BB0000}"/>
    <cellStyle name="표준 5 6 3 3 2 3 4" xfId="45169" xr:uid="{00000000-0005-0000-0000-000053BB0000}"/>
    <cellStyle name="표준 5 6 3 3 2 4" xfId="12171" xr:uid="{00000000-0005-0000-0000-000054BB0000}"/>
    <cellStyle name="표준 5 6 3 3 2 5" xfId="16411" xr:uid="{00000000-0005-0000-0000-000055BB0000}"/>
    <cellStyle name="표준 5 6 3 3 2 6" xfId="20573" xr:uid="{00000000-0005-0000-0000-000056BB0000}"/>
    <cellStyle name="표준 5 6 3 3 2 7" xfId="24669" xr:uid="{00000000-0005-0000-0000-000057BB0000}"/>
    <cellStyle name="표준 5 6 3 3 2 8" xfId="32880" xr:uid="{00000000-0005-0000-0000-000058BB0000}"/>
    <cellStyle name="표준 5 6 3 3 2 9" xfId="41073" xr:uid="{00000000-0005-0000-0000-000059BB0000}"/>
    <cellStyle name="표준 5 6 3 3 3" xfId="1716" xr:uid="{00000000-0005-0000-0000-00005ABB0000}"/>
    <cellStyle name="표준 5 6 3 3 3 2" xfId="10619" xr:uid="{00000000-0005-0000-0000-00005BBB0000}"/>
    <cellStyle name="표준 5 6 3 3 3 2 2" xfId="14731" xr:uid="{00000000-0005-0000-0000-00005CBB0000}"/>
    <cellStyle name="표준 5 6 3 3 3 2 2 2" xfId="31325" xr:uid="{00000000-0005-0000-0000-00005DBB0000}"/>
    <cellStyle name="표준 5 6 3 3 3 2 2 3" xfId="39536" xr:uid="{00000000-0005-0000-0000-00005EBB0000}"/>
    <cellStyle name="표준 5 6 3 3 3 2 2 4" xfId="47729" xr:uid="{00000000-0005-0000-0000-00005FBB0000}"/>
    <cellStyle name="표준 5 6 3 3 3 2 3" xfId="18971" xr:uid="{00000000-0005-0000-0000-000060BB0000}"/>
    <cellStyle name="표준 5 6 3 3 3 2 4" xfId="23133" xr:uid="{00000000-0005-0000-0000-000061BB0000}"/>
    <cellStyle name="표준 5 6 3 3 3 2 5" xfId="27229" xr:uid="{00000000-0005-0000-0000-000062BB0000}"/>
    <cellStyle name="표준 5 6 3 3 3 2 6" xfId="35440" xr:uid="{00000000-0005-0000-0000-000063BB0000}"/>
    <cellStyle name="표준 5 6 3 3 3 2 7" xfId="43633" xr:uid="{00000000-0005-0000-0000-000064BB0000}"/>
    <cellStyle name="표준 5 6 3 3 3 3" xfId="8571" xr:uid="{00000000-0005-0000-0000-000065BB0000}"/>
    <cellStyle name="표준 5 6 3 3 3 3 2" xfId="29277" xr:uid="{00000000-0005-0000-0000-000066BB0000}"/>
    <cellStyle name="표준 5 6 3 3 3 3 3" xfId="37488" xr:uid="{00000000-0005-0000-0000-000067BB0000}"/>
    <cellStyle name="표준 5 6 3 3 3 3 4" xfId="45681" xr:uid="{00000000-0005-0000-0000-000068BB0000}"/>
    <cellStyle name="표준 5 6 3 3 3 4" xfId="12683" xr:uid="{00000000-0005-0000-0000-000069BB0000}"/>
    <cellStyle name="표준 5 6 3 3 3 5" xfId="16923" xr:uid="{00000000-0005-0000-0000-00006ABB0000}"/>
    <cellStyle name="표준 5 6 3 3 3 6" xfId="21085" xr:uid="{00000000-0005-0000-0000-00006BBB0000}"/>
    <cellStyle name="표준 5 6 3 3 3 7" xfId="25181" xr:uid="{00000000-0005-0000-0000-00006CBB0000}"/>
    <cellStyle name="표준 5 6 3 3 3 8" xfId="33392" xr:uid="{00000000-0005-0000-0000-00006DBB0000}"/>
    <cellStyle name="표준 5 6 3 3 3 9" xfId="41585" xr:uid="{00000000-0005-0000-0000-00006EBB0000}"/>
    <cellStyle name="표준 5 6 3 3 4" xfId="2228" xr:uid="{00000000-0005-0000-0000-00006FBB0000}"/>
    <cellStyle name="표준 5 6 3 3 4 2" xfId="11131" xr:uid="{00000000-0005-0000-0000-000070BB0000}"/>
    <cellStyle name="표준 5 6 3 3 4 2 2" xfId="15243" xr:uid="{00000000-0005-0000-0000-000071BB0000}"/>
    <cellStyle name="표준 5 6 3 3 4 2 2 2" xfId="31837" xr:uid="{00000000-0005-0000-0000-000072BB0000}"/>
    <cellStyle name="표준 5 6 3 3 4 2 2 3" xfId="40048" xr:uid="{00000000-0005-0000-0000-000073BB0000}"/>
    <cellStyle name="표준 5 6 3 3 4 2 2 4" xfId="48241" xr:uid="{00000000-0005-0000-0000-000074BB0000}"/>
    <cellStyle name="표준 5 6 3 3 4 2 3" xfId="19483" xr:uid="{00000000-0005-0000-0000-000075BB0000}"/>
    <cellStyle name="표준 5 6 3 3 4 2 4" xfId="23645" xr:uid="{00000000-0005-0000-0000-000076BB0000}"/>
    <cellStyle name="표준 5 6 3 3 4 2 5" xfId="27741" xr:uid="{00000000-0005-0000-0000-000077BB0000}"/>
    <cellStyle name="표준 5 6 3 3 4 2 6" xfId="35952" xr:uid="{00000000-0005-0000-0000-000078BB0000}"/>
    <cellStyle name="표준 5 6 3 3 4 2 7" xfId="44145" xr:uid="{00000000-0005-0000-0000-000079BB0000}"/>
    <cellStyle name="표준 5 6 3 3 4 3" xfId="9083" xr:uid="{00000000-0005-0000-0000-00007ABB0000}"/>
    <cellStyle name="표준 5 6 3 3 4 3 2" xfId="29789" xr:uid="{00000000-0005-0000-0000-00007BBB0000}"/>
    <cellStyle name="표준 5 6 3 3 4 3 3" xfId="38000" xr:uid="{00000000-0005-0000-0000-00007CBB0000}"/>
    <cellStyle name="표준 5 6 3 3 4 3 4" xfId="46193" xr:uid="{00000000-0005-0000-0000-00007DBB0000}"/>
    <cellStyle name="표준 5 6 3 3 4 4" xfId="13195" xr:uid="{00000000-0005-0000-0000-00007EBB0000}"/>
    <cellStyle name="표준 5 6 3 3 4 5" xfId="17435" xr:uid="{00000000-0005-0000-0000-00007FBB0000}"/>
    <cellStyle name="표준 5 6 3 3 4 6" xfId="21597" xr:uid="{00000000-0005-0000-0000-000080BB0000}"/>
    <cellStyle name="표준 5 6 3 3 4 7" xfId="25693" xr:uid="{00000000-0005-0000-0000-000081BB0000}"/>
    <cellStyle name="표준 5 6 3 3 4 8" xfId="33904" xr:uid="{00000000-0005-0000-0000-000082BB0000}"/>
    <cellStyle name="표준 5 6 3 3 4 9" xfId="42097" xr:uid="{00000000-0005-0000-0000-000083BB0000}"/>
    <cellStyle name="표준 5 6 3 3 5" xfId="9595" xr:uid="{00000000-0005-0000-0000-000084BB0000}"/>
    <cellStyle name="표준 5 6 3 3 5 2" xfId="13707" xr:uid="{00000000-0005-0000-0000-000085BB0000}"/>
    <cellStyle name="표준 5 6 3 3 5 2 2" xfId="30301" xr:uid="{00000000-0005-0000-0000-000086BB0000}"/>
    <cellStyle name="표준 5 6 3 3 5 2 3" xfId="38512" xr:uid="{00000000-0005-0000-0000-000087BB0000}"/>
    <cellStyle name="표준 5 6 3 3 5 2 4" xfId="46705" xr:uid="{00000000-0005-0000-0000-000088BB0000}"/>
    <cellStyle name="표준 5 6 3 3 5 3" xfId="17947" xr:uid="{00000000-0005-0000-0000-000089BB0000}"/>
    <cellStyle name="표준 5 6 3 3 5 4" xfId="22109" xr:uid="{00000000-0005-0000-0000-00008ABB0000}"/>
    <cellStyle name="표준 5 6 3 3 5 5" xfId="26205" xr:uid="{00000000-0005-0000-0000-00008BBB0000}"/>
    <cellStyle name="표준 5 6 3 3 5 6" xfId="34416" xr:uid="{00000000-0005-0000-0000-00008CBB0000}"/>
    <cellStyle name="표준 5 6 3 3 5 7" xfId="42609" xr:uid="{00000000-0005-0000-0000-00008DBB0000}"/>
    <cellStyle name="표준 5 6 3 3 6" xfId="7547" xr:uid="{00000000-0005-0000-0000-00008EBB0000}"/>
    <cellStyle name="표준 5 6 3 3 6 2" xfId="28253" xr:uid="{00000000-0005-0000-0000-00008FBB0000}"/>
    <cellStyle name="표준 5 6 3 3 6 3" xfId="36464" xr:uid="{00000000-0005-0000-0000-000090BB0000}"/>
    <cellStyle name="표준 5 6 3 3 6 4" xfId="44657" xr:uid="{00000000-0005-0000-0000-000091BB0000}"/>
    <cellStyle name="표준 5 6 3 3 7" xfId="11659" xr:uid="{00000000-0005-0000-0000-000092BB0000}"/>
    <cellStyle name="표준 5 6 3 3 8" xfId="15899" xr:uid="{00000000-0005-0000-0000-000093BB0000}"/>
    <cellStyle name="표준 5 6 3 3 9" xfId="20061" xr:uid="{00000000-0005-0000-0000-000094BB0000}"/>
    <cellStyle name="표준 5 6 3 4" xfId="948" xr:uid="{00000000-0005-0000-0000-000095BB0000}"/>
    <cellStyle name="표준 5 6 3 4 2" xfId="9851" xr:uid="{00000000-0005-0000-0000-000096BB0000}"/>
    <cellStyle name="표준 5 6 3 4 2 2" xfId="13963" xr:uid="{00000000-0005-0000-0000-000097BB0000}"/>
    <cellStyle name="표준 5 6 3 4 2 2 2" xfId="30557" xr:uid="{00000000-0005-0000-0000-000098BB0000}"/>
    <cellStyle name="표준 5 6 3 4 2 2 3" xfId="38768" xr:uid="{00000000-0005-0000-0000-000099BB0000}"/>
    <cellStyle name="표준 5 6 3 4 2 2 4" xfId="46961" xr:uid="{00000000-0005-0000-0000-00009ABB0000}"/>
    <cellStyle name="표준 5 6 3 4 2 3" xfId="18203" xr:uid="{00000000-0005-0000-0000-00009BBB0000}"/>
    <cellStyle name="표준 5 6 3 4 2 4" xfId="22365" xr:uid="{00000000-0005-0000-0000-00009CBB0000}"/>
    <cellStyle name="표준 5 6 3 4 2 5" xfId="26461" xr:uid="{00000000-0005-0000-0000-00009DBB0000}"/>
    <cellStyle name="표준 5 6 3 4 2 6" xfId="34672" xr:uid="{00000000-0005-0000-0000-00009EBB0000}"/>
    <cellStyle name="표준 5 6 3 4 2 7" xfId="42865" xr:uid="{00000000-0005-0000-0000-00009FBB0000}"/>
    <cellStyle name="표준 5 6 3 4 3" xfId="7803" xr:uid="{00000000-0005-0000-0000-0000A0BB0000}"/>
    <cellStyle name="표준 5 6 3 4 3 2" xfId="28509" xr:uid="{00000000-0005-0000-0000-0000A1BB0000}"/>
    <cellStyle name="표준 5 6 3 4 3 3" xfId="36720" xr:uid="{00000000-0005-0000-0000-0000A2BB0000}"/>
    <cellStyle name="표준 5 6 3 4 3 4" xfId="44913" xr:uid="{00000000-0005-0000-0000-0000A3BB0000}"/>
    <cellStyle name="표준 5 6 3 4 4" xfId="11915" xr:uid="{00000000-0005-0000-0000-0000A4BB0000}"/>
    <cellStyle name="표준 5 6 3 4 5" xfId="16155" xr:uid="{00000000-0005-0000-0000-0000A5BB0000}"/>
    <cellStyle name="표준 5 6 3 4 6" xfId="20317" xr:uid="{00000000-0005-0000-0000-0000A6BB0000}"/>
    <cellStyle name="표준 5 6 3 4 7" xfId="24413" xr:uid="{00000000-0005-0000-0000-0000A7BB0000}"/>
    <cellStyle name="표준 5 6 3 4 8" xfId="32624" xr:uid="{00000000-0005-0000-0000-0000A8BB0000}"/>
    <cellStyle name="표준 5 6 3 4 9" xfId="40817" xr:uid="{00000000-0005-0000-0000-0000A9BB0000}"/>
    <cellStyle name="표준 5 6 3 5" xfId="1460" xr:uid="{00000000-0005-0000-0000-0000AABB0000}"/>
    <cellStyle name="표준 5 6 3 5 2" xfId="10363" xr:uid="{00000000-0005-0000-0000-0000ABBB0000}"/>
    <cellStyle name="표준 5 6 3 5 2 2" xfId="14475" xr:uid="{00000000-0005-0000-0000-0000ACBB0000}"/>
    <cellStyle name="표준 5 6 3 5 2 2 2" xfId="31069" xr:uid="{00000000-0005-0000-0000-0000ADBB0000}"/>
    <cellStyle name="표준 5 6 3 5 2 2 3" xfId="39280" xr:uid="{00000000-0005-0000-0000-0000AEBB0000}"/>
    <cellStyle name="표준 5 6 3 5 2 2 4" xfId="47473" xr:uid="{00000000-0005-0000-0000-0000AFBB0000}"/>
    <cellStyle name="표준 5 6 3 5 2 3" xfId="18715" xr:uid="{00000000-0005-0000-0000-0000B0BB0000}"/>
    <cellStyle name="표준 5 6 3 5 2 4" xfId="22877" xr:uid="{00000000-0005-0000-0000-0000B1BB0000}"/>
    <cellStyle name="표준 5 6 3 5 2 5" xfId="26973" xr:uid="{00000000-0005-0000-0000-0000B2BB0000}"/>
    <cellStyle name="표준 5 6 3 5 2 6" xfId="35184" xr:uid="{00000000-0005-0000-0000-0000B3BB0000}"/>
    <cellStyle name="표준 5 6 3 5 2 7" xfId="43377" xr:uid="{00000000-0005-0000-0000-0000B4BB0000}"/>
    <cellStyle name="표준 5 6 3 5 3" xfId="8315" xr:uid="{00000000-0005-0000-0000-0000B5BB0000}"/>
    <cellStyle name="표준 5 6 3 5 3 2" xfId="29021" xr:uid="{00000000-0005-0000-0000-0000B6BB0000}"/>
    <cellStyle name="표준 5 6 3 5 3 3" xfId="37232" xr:uid="{00000000-0005-0000-0000-0000B7BB0000}"/>
    <cellStyle name="표준 5 6 3 5 3 4" xfId="45425" xr:uid="{00000000-0005-0000-0000-0000B8BB0000}"/>
    <cellStyle name="표준 5 6 3 5 4" xfId="12427" xr:uid="{00000000-0005-0000-0000-0000B9BB0000}"/>
    <cellStyle name="표준 5 6 3 5 5" xfId="16667" xr:uid="{00000000-0005-0000-0000-0000BABB0000}"/>
    <cellStyle name="표준 5 6 3 5 6" xfId="20829" xr:uid="{00000000-0005-0000-0000-0000BBBB0000}"/>
    <cellStyle name="표준 5 6 3 5 7" xfId="24925" xr:uid="{00000000-0005-0000-0000-0000BCBB0000}"/>
    <cellStyle name="표준 5 6 3 5 8" xfId="33136" xr:uid="{00000000-0005-0000-0000-0000BDBB0000}"/>
    <cellStyle name="표준 5 6 3 5 9" xfId="41329" xr:uid="{00000000-0005-0000-0000-0000BEBB0000}"/>
    <cellStyle name="표준 5 6 3 6" xfId="1972" xr:uid="{00000000-0005-0000-0000-0000BFBB0000}"/>
    <cellStyle name="표준 5 6 3 6 2" xfId="10875" xr:uid="{00000000-0005-0000-0000-0000C0BB0000}"/>
    <cellStyle name="표준 5 6 3 6 2 2" xfId="14987" xr:uid="{00000000-0005-0000-0000-0000C1BB0000}"/>
    <cellStyle name="표준 5 6 3 6 2 2 2" xfId="31581" xr:uid="{00000000-0005-0000-0000-0000C2BB0000}"/>
    <cellStyle name="표준 5 6 3 6 2 2 3" xfId="39792" xr:uid="{00000000-0005-0000-0000-0000C3BB0000}"/>
    <cellStyle name="표준 5 6 3 6 2 2 4" xfId="47985" xr:uid="{00000000-0005-0000-0000-0000C4BB0000}"/>
    <cellStyle name="표준 5 6 3 6 2 3" xfId="19227" xr:uid="{00000000-0005-0000-0000-0000C5BB0000}"/>
    <cellStyle name="표준 5 6 3 6 2 4" xfId="23389" xr:uid="{00000000-0005-0000-0000-0000C6BB0000}"/>
    <cellStyle name="표준 5 6 3 6 2 5" xfId="27485" xr:uid="{00000000-0005-0000-0000-0000C7BB0000}"/>
    <cellStyle name="표준 5 6 3 6 2 6" xfId="35696" xr:uid="{00000000-0005-0000-0000-0000C8BB0000}"/>
    <cellStyle name="표준 5 6 3 6 2 7" xfId="43889" xr:uid="{00000000-0005-0000-0000-0000C9BB0000}"/>
    <cellStyle name="표준 5 6 3 6 3" xfId="8827" xr:uid="{00000000-0005-0000-0000-0000CABB0000}"/>
    <cellStyle name="표준 5 6 3 6 3 2" xfId="29533" xr:uid="{00000000-0005-0000-0000-0000CBBB0000}"/>
    <cellStyle name="표준 5 6 3 6 3 3" xfId="37744" xr:uid="{00000000-0005-0000-0000-0000CCBB0000}"/>
    <cellStyle name="표준 5 6 3 6 3 4" xfId="45937" xr:uid="{00000000-0005-0000-0000-0000CDBB0000}"/>
    <cellStyle name="표준 5 6 3 6 4" xfId="12939" xr:uid="{00000000-0005-0000-0000-0000CEBB0000}"/>
    <cellStyle name="표준 5 6 3 6 5" xfId="17179" xr:uid="{00000000-0005-0000-0000-0000CFBB0000}"/>
    <cellStyle name="표준 5 6 3 6 6" xfId="21341" xr:uid="{00000000-0005-0000-0000-0000D0BB0000}"/>
    <cellStyle name="표준 5 6 3 6 7" xfId="25437" xr:uid="{00000000-0005-0000-0000-0000D1BB0000}"/>
    <cellStyle name="표준 5 6 3 6 8" xfId="33648" xr:uid="{00000000-0005-0000-0000-0000D2BB0000}"/>
    <cellStyle name="표준 5 6 3 6 9" xfId="41841" xr:uid="{00000000-0005-0000-0000-0000D3BB0000}"/>
    <cellStyle name="표준 5 6 3 7" xfId="9339" xr:uid="{00000000-0005-0000-0000-0000D4BB0000}"/>
    <cellStyle name="표준 5 6 3 7 2" xfId="13451" xr:uid="{00000000-0005-0000-0000-0000D5BB0000}"/>
    <cellStyle name="표준 5 6 3 7 2 2" xfId="30045" xr:uid="{00000000-0005-0000-0000-0000D6BB0000}"/>
    <cellStyle name="표준 5 6 3 7 2 3" xfId="38256" xr:uid="{00000000-0005-0000-0000-0000D7BB0000}"/>
    <cellStyle name="표준 5 6 3 7 2 4" xfId="46449" xr:uid="{00000000-0005-0000-0000-0000D8BB0000}"/>
    <cellStyle name="표준 5 6 3 7 3" xfId="17691" xr:uid="{00000000-0005-0000-0000-0000D9BB0000}"/>
    <cellStyle name="표준 5 6 3 7 4" xfId="21853" xr:uid="{00000000-0005-0000-0000-0000DABB0000}"/>
    <cellStyle name="표준 5 6 3 7 5" xfId="25949" xr:uid="{00000000-0005-0000-0000-0000DBBB0000}"/>
    <cellStyle name="표준 5 6 3 7 6" xfId="34160" xr:uid="{00000000-0005-0000-0000-0000DCBB0000}"/>
    <cellStyle name="표준 5 6 3 7 7" xfId="42353" xr:uid="{00000000-0005-0000-0000-0000DDBB0000}"/>
    <cellStyle name="표준 5 6 3 8" xfId="7291" xr:uid="{00000000-0005-0000-0000-0000DEBB0000}"/>
    <cellStyle name="표준 5 6 3 8 2" xfId="27997" xr:uid="{00000000-0005-0000-0000-0000DFBB0000}"/>
    <cellStyle name="표준 5 6 3 8 3" xfId="36208" xr:uid="{00000000-0005-0000-0000-0000E0BB0000}"/>
    <cellStyle name="표준 5 6 3 8 4" xfId="44401" xr:uid="{00000000-0005-0000-0000-0000E1BB0000}"/>
    <cellStyle name="표준 5 6 3 9" xfId="11403" xr:uid="{00000000-0005-0000-0000-0000E2BB0000}"/>
    <cellStyle name="표준 5 6 4" xfId="500" xr:uid="{00000000-0005-0000-0000-0000E3BB0000}"/>
    <cellStyle name="표준 5 6 4 10" xfId="19869" xr:uid="{00000000-0005-0000-0000-0000E4BB0000}"/>
    <cellStyle name="표준 5 6 4 11" xfId="23965" xr:uid="{00000000-0005-0000-0000-0000E5BB0000}"/>
    <cellStyle name="표준 5 6 4 12" xfId="32176" xr:uid="{00000000-0005-0000-0000-0000E6BB0000}"/>
    <cellStyle name="표준 5 6 4 13" xfId="40369" xr:uid="{00000000-0005-0000-0000-0000E7BB0000}"/>
    <cellStyle name="표준 5 6 4 2" xfId="756" xr:uid="{00000000-0005-0000-0000-0000E8BB0000}"/>
    <cellStyle name="표준 5 6 4 2 10" xfId="24221" xr:uid="{00000000-0005-0000-0000-0000E9BB0000}"/>
    <cellStyle name="표준 5 6 4 2 11" xfId="32432" xr:uid="{00000000-0005-0000-0000-0000EABB0000}"/>
    <cellStyle name="표준 5 6 4 2 12" xfId="40625" xr:uid="{00000000-0005-0000-0000-0000EBBB0000}"/>
    <cellStyle name="표준 5 6 4 2 2" xfId="1268" xr:uid="{00000000-0005-0000-0000-0000ECBB0000}"/>
    <cellStyle name="표준 5 6 4 2 2 2" xfId="10171" xr:uid="{00000000-0005-0000-0000-0000EDBB0000}"/>
    <cellStyle name="표준 5 6 4 2 2 2 2" xfId="14283" xr:uid="{00000000-0005-0000-0000-0000EEBB0000}"/>
    <cellStyle name="표준 5 6 4 2 2 2 2 2" xfId="30877" xr:uid="{00000000-0005-0000-0000-0000EFBB0000}"/>
    <cellStyle name="표준 5 6 4 2 2 2 2 3" xfId="39088" xr:uid="{00000000-0005-0000-0000-0000F0BB0000}"/>
    <cellStyle name="표준 5 6 4 2 2 2 2 4" xfId="47281" xr:uid="{00000000-0005-0000-0000-0000F1BB0000}"/>
    <cellStyle name="표준 5 6 4 2 2 2 3" xfId="18523" xr:uid="{00000000-0005-0000-0000-0000F2BB0000}"/>
    <cellStyle name="표준 5 6 4 2 2 2 4" xfId="22685" xr:uid="{00000000-0005-0000-0000-0000F3BB0000}"/>
    <cellStyle name="표준 5 6 4 2 2 2 5" xfId="26781" xr:uid="{00000000-0005-0000-0000-0000F4BB0000}"/>
    <cellStyle name="표준 5 6 4 2 2 2 6" xfId="34992" xr:uid="{00000000-0005-0000-0000-0000F5BB0000}"/>
    <cellStyle name="표준 5 6 4 2 2 2 7" xfId="43185" xr:uid="{00000000-0005-0000-0000-0000F6BB0000}"/>
    <cellStyle name="표준 5 6 4 2 2 3" xfId="8123" xr:uid="{00000000-0005-0000-0000-0000F7BB0000}"/>
    <cellStyle name="표준 5 6 4 2 2 3 2" xfId="28829" xr:uid="{00000000-0005-0000-0000-0000F8BB0000}"/>
    <cellStyle name="표준 5 6 4 2 2 3 3" xfId="37040" xr:uid="{00000000-0005-0000-0000-0000F9BB0000}"/>
    <cellStyle name="표준 5 6 4 2 2 3 4" xfId="45233" xr:uid="{00000000-0005-0000-0000-0000FABB0000}"/>
    <cellStyle name="표준 5 6 4 2 2 4" xfId="12235" xr:uid="{00000000-0005-0000-0000-0000FBBB0000}"/>
    <cellStyle name="표준 5 6 4 2 2 5" xfId="16475" xr:uid="{00000000-0005-0000-0000-0000FCBB0000}"/>
    <cellStyle name="표준 5 6 4 2 2 6" xfId="20637" xr:uid="{00000000-0005-0000-0000-0000FDBB0000}"/>
    <cellStyle name="표준 5 6 4 2 2 7" xfId="24733" xr:uid="{00000000-0005-0000-0000-0000FEBB0000}"/>
    <cellStyle name="표준 5 6 4 2 2 8" xfId="32944" xr:uid="{00000000-0005-0000-0000-0000FFBB0000}"/>
    <cellStyle name="표준 5 6 4 2 2 9" xfId="41137" xr:uid="{00000000-0005-0000-0000-000000BC0000}"/>
    <cellStyle name="표준 5 6 4 2 3" xfId="1780" xr:uid="{00000000-0005-0000-0000-000001BC0000}"/>
    <cellStyle name="표준 5 6 4 2 3 2" xfId="10683" xr:uid="{00000000-0005-0000-0000-000002BC0000}"/>
    <cellStyle name="표준 5 6 4 2 3 2 2" xfId="14795" xr:uid="{00000000-0005-0000-0000-000003BC0000}"/>
    <cellStyle name="표준 5 6 4 2 3 2 2 2" xfId="31389" xr:uid="{00000000-0005-0000-0000-000004BC0000}"/>
    <cellStyle name="표준 5 6 4 2 3 2 2 3" xfId="39600" xr:uid="{00000000-0005-0000-0000-000005BC0000}"/>
    <cellStyle name="표준 5 6 4 2 3 2 2 4" xfId="47793" xr:uid="{00000000-0005-0000-0000-000006BC0000}"/>
    <cellStyle name="표준 5 6 4 2 3 2 3" xfId="19035" xr:uid="{00000000-0005-0000-0000-000007BC0000}"/>
    <cellStyle name="표준 5 6 4 2 3 2 4" xfId="23197" xr:uid="{00000000-0005-0000-0000-000008BC0000}"/>
    <cellStyle name="표준 5 6 4 2 3 2 5" xfId="27293" xr:uid="{00000000-0005-0000-0000-000009BC0000}"/>
    <cellStyle name="표준 5 6 4 2 3 2 6" xfId="35504" xr:uid="{00000000-0005-0000-0000-00000ABC0000}"/>
    <cellStyle name="표준 5 6 4 2 3 2 7" xfId="43697" xr:uid="{00000000-0005-0000-0000-00000BBC0000}"/>
    <cellStyle name="표준 5 6 4 2 3 3" xfId="8635" xr:uid="{00000000-0005-0000-0000-00000CBC0000}"/>
    <cellStyle name="표준 5 6 4 2 3 3 2" xfId="29341" xr:uid="{00000000-0005-0000-0000-00000DBC0000}"/>
    <cellStyle name="표준 5 6 4 2 3 3 3" xfId="37552" xr:uid="{00000000-0005-0000-0000-00000EBC0000}"/>
    <cellStyle name="표준 5 6 4 2 3 3 4" xfId="45745" xr:uid="{00000000-0005-0000-0000-00000FBC0000}"/>
    <cellStyle name="표준 5 6 4 2 3 4" xfId="12747" xr:uid="{00000000-0005-0000-0000-000010BC0000}"/>
    <cellStyle name="표준 5 6 4 2 3 5" xfId="16987" xr:uid="{00000000-0005-0000-0000-000011BC0000}"/>
    <cellStyle name="표준 5 6 4 2 3 6" xfId="21149" xr:uid="{00000000-0005-0000-0000-000012BC0000}"/>
    <cellStyle name="표준 5 6 4 2 3 7" xfId="25245" xr:uid="{00000000-0005-0000-0000-000013BC0000}"/>
    <cellStyle name="표준 5 6 4 2 3 8" xfId="33456" xr:uid="{00000000-0005-0000-0000-000014BC0000}"/>
    <cellStyle name="표준 5 6 4 2 3 9" xfId="41649" xr:uid="{00000000-0005-0000-0000-000015BC0000}"/>
    <cellStyle name="표준 5 6 4 2 4" xfId="2292" xr:uid="{00000000-0005-0000-0000-000016BC0000}"/>
    <cellStyle name="표준 5 6 4 2 4 2" xfId="11195" xr:uid="{00000000-0005-0000-0000-000017BC0000}"/>
    <cellStyle name="표준 5 6 4 2 4 2 2" xfId="15307" xr:uid="{00000000-0005-0000-0000-000018BC0000}"/>
    <cellStyle name="표준 5 6 4 2 4 2 2 2" xfId="31901" xr:uid="{00000000-0005-0000-0000-000019BC0000}"/>
    <cellStyle name="표준 5 6 4 2 4 2 2 3" xfId="40112" xr:uid="{00000000-0005-0000-0000-00001ABC0000}"/>
    <cellStyle name="표준 5 6 4 2 4 2 2 4" xfId="48305" xr:uid="{00000000-0005-0000-0000-00001BBC0000}"/>
    <cellStyle name="표준 5 6 4 2 4 2 3" xfId="19547" xr:uid="{00000000-0005-0000-0000-00001CBC0000}"/>
    <cellStyle name="표준 5 6 4 2 4 2 4" xfId="23709" xr:uid="{00000000-0005-0000-0000-00001DBC0000}"/>
    <cellStyle name="표준 5 6 4 2 4 2 5" xfId="27805" xr:uid="{00000000-0005-0000-0000-00001EBC0000}"/>
    <cellStyle name="표준 5 6 4 2 4 2 6" xfId="36016" xr:uid="{00000000-0005-0000-0000-00001FBC0000}"/>
    <cellStyle name="표준 5 6 4 2 4 2 7" xfId="44209" xr:uid="{00000000-0005-0000-0000-000020BC0000}"/>
    <cellStyle name="표준 5 6 4 2 4 3" xfId="9147" xr:uid="{00000000-0005-0000-0000-000021BC0000}"/>
    <cellStyle name="표준 5 6 4 2 4 3 2" xfId="29853" xr:uid="{00000000-0005-0000-0000-000022BC0000}"/>
    <cellStyle name="표준 5 6 4 2 4 3 3" xfId="38064" xr:uid="{00000000-0005-0000-0000-000023BC0000}"/>
    <cellStyle name="표준 5 6 4 2 4 3 4" xfId="46257" xr:uid="{00000000-0005-0000-0000-000024BC0000}"/>
    <cellStyle name="표준 5 6 4 2 4 4" xfId="13259" xr:uid="{00000000-0005-0000-0000-000025BC0000}"/>
    <cellStyle name="표준 5 6 4 2 4 5" xfId="17499" xr:uid="{00000000-0005-0000-0000-000026BC0000}"/>
    <cellStyle name="표준 5 6 4 2 4 6" xfId="21661" xr:uid="{00000000-0005-0000-0000-000027BC0000}"/>
    <cellStyle name="표준 5 6 4 2 4 7" xfId="25757" xr:uid="{00000000-0005-0000-0000-000028BC0000}"/>
    <cellStyle name="표준 5 6 4 2 4 8" xfId="33968" xr:uid="{00000000-0005-0000-0000-000029BC0000}"/>
    <cellStyle name="표준 5 6 4 2 4 9" xfId="42161" xr:uid="{00000000-0005-0000-0000-00002ABC0000}"/>
    <cellStyle name="표준 5 6 4 2 5" xfId="9659" xr:uid="{00000000-0005-0000-0000-00002BBC0000}"/>
    <cellStyle name="표준 5 6 4 2 5 2" xfId="13771" xr:uid="{00000000-0005-0000-0000-00002CBC0000}"/>
    <cellStyle name="표준 5 6 4 2 5 2 2" xfId="30365" xr:uid="{00000000-0005-0000-0000-00002DBC0000}"/>
    <cellStyle name="표준 5 6 4 2 5 2 3" xfId="38576" xr:uid="{00000000-0005-0000-0000-00002EBC0000}"/>
    <cellStyle name="표준 5 6 4 2 5 2 4" xfId="46769" xr:uid="{00000000-0005-0000-0000-00002FBC0000}"/>
    <cellStyle name="표준 5 6 4 2 5 3" xfId="18011" xr:uid="{00000000-0005-0000-0000-000030BC0000}"/>
    <cellStyle name="표준 5 6 4 2 5 4" xfId="22173" xr:uid="{00000000-0005-0000-0000-000031BC0000}"/>
    <cellStyle name="표준 5 6 4 2 5 5" xfId="26269" xr:uid="{00000000-0005-0000-0000-000032BC0000}"/>
    <cellStyle name="표준 5 6 4 2 5 6" xfId="34480" xr:uid="{00000000-0005-0000-0000-000033BC0000}"/>
    <cellStyle name="표준 5 6 4 2 5 7" xfId="42673" xr:uid="{00000000-0005-0000-0000-000034BC0000}"/>
    <cellStyle name="표준 5 6 4 2 6" xfId="7611" xr:uid="{00000000-0005-0000-0000-000035BC0000}"/>
    <cellStyle name="표준 5 6 4 2 6 2" xfId="28317" xr:uid="{00000000-0005-0000-0000-000036BC0000}"/>
    <cellStyle name="표준 5 6 4 2 6 3" xfId="36528" xr:uid="{00000000-0005-0000-0000-000037BC0000}"/>
    <cellStyle name="표준 5 6 4 2 6 4" xfId="44721" xr:uid="{00000000-0005-0000-0000-000038BC0000}"/>
    <cellStyle name="표준 5 6 4 2 7" xfId="11723" xr:uid="{00000000-0005-0000-0000-000039BC0000}"/>
    <cellStyle name="표준 5 6 4 2 8" xfId="15963" xr:uid="{00000000-0005-0000-0000-00003ABC0000}"/>
    <cellStyle name="표준 5 6 4 2 9" xfId="20125" xr:uid="{00000000-0005-0000-0000-00003BBC0000}"/>
    <cellStyle name="표준 5 6 4 3" xfId="1012" xr:uid="{00000000-0005-0000-0000-00003CBC0000}"/>
    <cellStyle name="표준 5 6 4 3 2" xfId="9915" xr:uid="{00000000-0005-0000-0000-00003DBC0000}"/>
    <cellStyle name="표준 5 6 4 3 2 2" xfId="14027" xr:uid="{00000000-0005-0000-0000-00003EBC0000}"/>
    <cellStyle name="표준 5 6 4 3 2 2 2" xfId="30621" xr:uid="{00000000-0005-0000-0000-00003FBC0000}"/>
    <cellStyle name="표준 5 6 4 3 2 2 3" xfId="38832" xr:uid="{00000000-0005-0000-0000-000040BC0000}"/>
    <cellStyle name="표준 5 6 4 3 2 2 4" xfId="47025" xr:uid="{00000000-0005-0000-0000-000041BC0000}"/>
    <cellStyle name="표준 5 6 4 3 2 3" xfId="18267" xr:uid="{00000000-0005-0000-0000-000042BC0000}"/>
    <cellStyle name="표준 5 6 4 3 2 4" xfId="22429" xr:uid="{00000000-0005-0000-0000-000043BC0000}"/>
    <cellStyle name="표준 5 6 4 3 2 5" xfId="26525" xr:uid="{00000000-0005-0000-0000-000044BC0000}"/>
    <cellStyle name="표준 5 6 4 3 2 6" xfId="34736" xr:uid="{00000000-0005-0000-0000-000045BC0000}"/>
    <cellStyle name="표준 5 6 4 3 2 7" xfId="42929" xr:uid="{00000000-0005-0000-0000-000046BC0000}"/>
    <cellStyle name="표준 5 6 4 3 3" xfId="7867" xr:uid="{00000000-0005-0000-0000-000047BC0000}"/>
    <cellStyle name="표준 5 6 4 3 3 2" xfId="28573" xr:uid="{00000000-0005-0000-0000-000048BC0000}"/>
    <cellStyle name="표준 5 6 4 3 3 3" xfId="36784" xr:uid="{00000000-0005-0000-0000-000049BC0000}"/>
    <cellStyle name="표준 5 6 4 3 3 4" xfId="44977" xr:uid="{00000000-0005-0000-0000-00004ABC0000}"/>
    <cellStyle name="표준 5 6 4 3 4" xfId="11979" xr:uid="{00000000-0005-0000-0000-00004BBC0000}"/>
    <cellStyle name="표준 5 6 4 3 5" xfId="16219" xr:uid="{00000000-0005-0000-0000-00004CBC0000}"/>
    <cellStyle name="표준 5 6 4 3 6" xfId="20381" xr:uid="{00000000-0005-0000-0000-00004DBC0000}"/>
    <cellStyle name="표준 5 6 4 3 7" xfId="24477" xr:uid="{00000000-0005-0000-0000-00004EBC0000}"/>
    <cellStyle name="표준 5 6 4 3 8" xfId="32688" xr:uid="{00000000-0005-0000-0000-00004FBC0000}"/>
    <cellStyle name="표준 5 6 4 3 9" xfId="40881" xr:uid="{00000000-0005-0000-0000-000050BC0000}"/>
    <cellStyle name="표준 5 6 4 4" xfId="1524" xr:uid="{00000000-0005-0000-0000-000051BC0000}"/>
    <cellStyle name="표준 5 6 4 4 2" xfId="10427" xr:uid="{00000000-0005-0000-0000-000052BC0000}"/>
    <cellStyle name="표준 5 6 4 4 2 2" xfId="14539" xr:uid="{00000000-0005-0000-0000-000053BC0000}"/>
    <cellStyle name="표준 5 6 4 4 2 2 2" xfId="31133" xr:uid="{00000000-0005-0000-0000-000054BC0000}"/>
    <cellStyle name="표준 5 6 4 4 2 2 3" xfId="39344" xr:uid="{00000000-0005-0000-0000-000055BC0000}"/>
    <cellStyle name="표준 5 6 4 4 2 2 4" xfId="47537" xr:uid="{00000000-0005-0000-0000-000056BC0000}"/>
    <cellStyle name="표준 5 6 4 4 2 3" xfId="18779" xr:uid="{00000000-0005-0000-0000-000057BC0000}"/>
    <cellStyle name="표준 5 6 4 4 2 4" xfId="22941" xr:uid="{00000000-0005-0000-0000-000058BC0000}"/>
    <cellStyle name="표준 5 6 4 4 2 5" xfId="27037" xr:uid="{00000000-0005-0000-0000-000059BC0000}"/>
    <cellStyle name="표준 5 6 4 4 2 6" xfId="35248" xr:uid="{00000000-0005-0000-0000-00005ABC0000}"/>
    <cellStyle name="표준 5 6 4 4 2 7" xfId="43441" xr:uid="{00000000-0005-0000-0000-00005BBC0000}"/>
    <cellStyle name="표준 5 6 4 4 3" xfId="8379" xr:uid="{00000000-0005-0000-0000-00005CBC0000}"/>
    <cellStyle name="표준 5 6 4 4 3 2" xfId="29085" xr:uid="{00000000-0005-0000-0000-00005DBC0000}"/>
    <cellStyle name="표준 5 6 4 4 3 3" xfId="37296" xr:uid="{00000000-0005-0000-0000-00005EBC0000}"/>
    <cellStyle name="표준 5 6 4 4 3 4" xfId="45489" xr:uid="{00000000-0005-0000-0000-00005FBC0000}"/>
    <cellStyle name="표준 5 6 4 4 4" xfId="12491" xr:uid="{00000000-0005-0000-0000-000060BC0000}"/>
    <cellStyle name="표준 5 6 4 4 5" xfId="16731" xr:uid="{00000000-0005-0000-0000-000061BC0000}"/>
    <cellStyle name="표준 5 6 4 4 6" xfId="20893" xr:uid="{00000000-0005-0000-0000-000062BC0000}"/>
    <cellStyle name="표준 5 6 4 4 7" xfId="24989" xr:uid="{00000000-0005-0000-0000-000063BC0000}"/>
    <cellStyle name="표준 5 6 4 4 8" xfId="33200" xr:uid="{00000000-0005-0000-0000-000064BC0000}"/>
    <cellStyle name="표준 5 6 4 4 9" xfId="41393" xr:uid="{00000000-0005-0000-0000-000065BC0000}"/>
    <cellStyle name="표준 5 6 4 5" xfId="2036" xr:uid="{00000000-0005-0000-0000-000066BC0000}"/>
    <cellStyle name="표준 5 6 4 5 2" xfId="10939" xr:uid="{00000000-0005-0000-0000-000067BC0000}"/>
    <cellStyle name="표준 5 6 4 5 2 2" xfId="15051" xr:uid="{00000000-0005-0000-0000-000068BC0000}"/>
    <cellStyle name="표준 5 6 4 5 2 2 2" xfId="31645" xr:uid="{00000000-0005-0000-0000-000069BC0000}"/>
    <cellStyle name="표준 5 6 4 5 2 2 3" xfId="39856" xr:uid="{00000000-0005-0000-0000-00006ABC0000}"/>
    <cellStyle name="표준 5 6 4 5 2 2 4" xfId="48049" xr:uid="{00000000-0005-0000-0000-00006BBC0000}"/>
    <cellStyle name="표준 5 6 4 5 2 3" xfId="19291" xr:uid="{00000000-0005-0000-0000-00006CBC0000}"/>
    <cellStyle name="표준 5 6 4 5 2 4" xfId="23453" xr:uid="{00000000-0005-0000-0000-00006DBC0000}"/>
    <cellStyle name="표준 5 6 4 5 2 5" xfId="27549" xr:uid="{00000000-0005-0000-0000-00006EBC0000}"/>
    <cellStyle name="표준 5 6 4 5 2 6" xfId="35760" xr:uid="{00000000-0005-0000-0000-00006FBC0000}"/>
    <cellStyle name="표준 5 6 4 5 2 7" xfId="43953" xr:uid="{00000000-0005-0000-0000-000070BC0000}"/>
    <cellStyle name="표준 5 6 4 5 3" xfId="8891" xr:uid="{00000000-0005-0000-0000-000071BC0000}"/>
    <cellStyle name="표준 5 6 4 5 3 2" xfId="29597" xr:uid="{00000000-0005-0000-0000-000072BC0000}"/>
    <cellStyle name="표준 5 6 4 5 3 3" xfId="37808" xr:uid="{00000000-0005-0000-0000-000073BC0000}"/>
    <cellStyle name="표준 5 6 4 5 3 4" xfId="46001" xr:uid="{00000000-0005-0000-0000-000074BC0000}"/>
    <cellStyle name="표준 5 6 4 5 4" xfId="13003" xr:uid="{00000000-0005-0000-0000-000075BC0000}"/>
    <cellStyle name="표준 5 6 4 5 5" xfId="17243" xr:uid="{00000000-0005-0000-0000-000076BC0000}"/>
    <cellStyle name="표준 5 6 4 5 6" xfId="21405" xr:uid="{00000000-0005-0000-0000-000077BC0000}"/>
    <cellStyle name="표준 5 6 4 5 7" xfId="25501" xr:uid="{00000000-0005-0000-0000-000078BC0000}"/>
    <cellStyle name="표준 5 6 4 5 8" xfId="33712" xr:uid="{00000000-0005-0000-0000-000079BC0000}"/>
    <cellStyle name="표준 5 6 4 5 9" xfId="41905" xr:uid="{00000000-0005-0000-0000-00007ABC0000}"/>
    <cellStyle name="표준 5 6 4 6" xfId="9403" xr:uid="{00000000-0005-0000-0000-00007BBC0000}"/>
    <cellStyle name="표준 5 6 4 6 2" xfId="13515" xr:uid="{00000000-0005-0000-0000-00007CBC0000}"/>
    <cellStyle name="표준 5 6 4 6 2 2" xfId="30109" xr:uid="{00000000-0005-0000-0000-00007DBC0000}"/>
    <cellStyle name="표준 5 6 4 6 2 3" xfId="38320" xr:uid="{00000000-0005-0000-0000-00007EBC0000}"/>
    <cellStyle name="표준 5 6 4 6 2 4" xfId="46513" xr:uid="{00000000-0005-0000-0000-00007FBC0000}"/>
    <cellStyle name="표준 5 6 4 6 3" xfId="17755" xr:uid="{00000000-0005-0000-0000-000080BC0000}"/>
    <cellStyle name="표준 5 6 4 6 4" xfId="21917" xr:uid="{00000000-0005-0000-0000-000081BC0000}"/>
    <cellStyle name="표준 5 6 4 6 5" xfId="26013" xr:uid="{00000000-0005-0000-0000-000082BC0000}"/>
    <cellStyle name="표준 5 6 4 6 6" xfId="34224" xr:uid="{00000000-0005-0000-0000-000083BC0000}"/>
    <cellStyle name="표준 5 6 4 6 7" xfId="42417" xr:uid="{00000000-0005-0000-0000-000084BC0000}"/>
    <cellStyle name="표준 5 6 4 7" xfId="7355" xr:uid="{00000000-0005-0000-0000-000085BC0000}"/>
    <cellStyle name="표준 5 6 4 7 2" xfId="28061" xr:uid="{00000000-0005-0000-0000-000086BC0000}"/>
    <cellStyle name="표준 5 6 4 7 3" xfId="36272" xr:uid="{00000000-0005-0000-0000-000087BC0000}"/>
    <cellStyle name="표준 5 6 4 7 4" xfId="44465" xr:uid="{00000000-0005-0000-0000-000088BC0000}"/>
    <cellStyle name="표준 5 6 4 8" xfId="11467" xr:uid="{00000000-0005-0000-0000-000089BC0000}"/>
    <cellStyle name="표준 5 6 4 9" xfId="15707" xr:uid="{00000000-0005-0000-0000-00008ABC0000}"/>
    <cellStyle name="표준 5 6 5" xfId="628" xr:uid="{00000000-0005-0000-0000-00008BBC0000}"/>
    <cellStyle name="표준 5 6 5 10" xfId="24093" xr:uid="{00000000-0005-0000-0000-00008CBC0000}"/>
    <cellStyle name="표준 5 6 5 11" xfId="32304" xr:uid="{00000000-0005-0000-0000-00008DBC0000}"/>
    <cellStyle name="표준 5 6 5 12" xfId="40497" xr:uid="{00000000-0005-0000-0000-00008EBC0000}"/>
    <cellStyle name="표준 5 6 5 2" xfId="1140" xr:uid="{00000000-0005-0000-0000-00008FBC0000}"/>
    <cellStyle name="표준 5 6 5 2 2" xfId="10043" xr:uid="{00000000-0005-0000-0000-000090BC0000}"/>
    <cellStyle name="표준 5 6 5 2 2 2" xfId="14155" xr:uid="{00000000-0005-0000-0000-000091BC0000}"/>
    <cellStyle name="표준 5 6 5 2 2 2 2" xfId="30749" xr:uid="{00000000-0005-0000-0000-000092BC0000}"/>
    <cellStyle name="표준 5 6 5 2 2 2 3" xfId="38960" xr:uid="{00000000-0005-0000-0000-000093BC0000}"/>
    <cellStyle name="표준 5 6 5 2 2 2 4" xfId="47153" xr:uid="{00000000-0005-0000-0000-000094BC0000}"/>
    <cellStyle name="표준 5 6 5 2 2 3" xfId="18395" xr:uid="{00000000-0005-0000-0000-000095BC0000}"/>
    <cellStyle name="표준 5 6 5 2 2 4" xfId="22557" xr:uid="{00000000-0005-0000-0000-000096BC0000}"/>
    <cellStyle name="표준 5 6 5 2 2 5" xfId="26653" xr:uid="{00000000-0005-0000-0000-000097BC0000}"/>
    <cellStyle name="표준 5 6 5 2 2 6" xfId="34864" xr:uid="{00000000-0005-0000-0000-000098BC0000}"/>
    <cellStyle name="표준 5 6 5 2 2 7" xfId="43057" xr:uid="{00000000-0005-0000-0000-000099BC0000}"/>
    <cellStyle name="표준 5 6 5 2 3" xfId="7995" xr:uid="{00000000-0005-0000-0000-00009ABC0000}"/>
    <cellStyle name="표준 5 6 5 2 3 2" xfId="28701" xr:uid="{00000000-0005-0000-0000-00009BBC0000}"/>
    <cellStyle name="표준 5 6 5 2 3 3" xfId="36912" xr:uid="{00000000-0005-0000-0000-00009CBC0000}"/>
    <cellStyle name="표준 5 6 5 2 3 4" xfId="45105" xr:uid="{00000000-0005-0000-0000-00009DBC0000}"/>
    <cellStyle name="표준 5 6 5 2 4" xfId="12107" xr:uid="{00000000-0005-0000-0000-00009EBC0000}"/>
    <cellStyle name="표준 5 6 5 2 5" xfId="16347" xr:uid="{00000000-0005-0000-0000-00009FBC0000}"/>
    <cellStyle name="표준 5 6 5 2 6" xfId="20509" xr:uid="{00000000-0005-0000-0000-0000A0BC0000}"/>
    <cellStyle name="표준 5 6 5 2 7" xfId="24605" xr:uid="{00000000-0005-0000-0000-0000A1BC0000}"/>
    <cellStyle name="표준 5 6 5 2 8" xfId="32816" xr:uid="{00000000-0005-0000-0000-0000A2BC0000}"/>
    <cellStyle name="표준 5 6 5 2 9" xfId="41009" xr:uid="{00000000-0005-0000-0000-0000A3BC0000}"/>
    <cellStyle name="표준 5 6 5 3" xfId="1652" xr:uid="{00000000-0005-0000-0000-0000A4BC0000}"/>
    <cellStyle name="표준 5 6 5 3 2" xfId="10555" xr:uid="{00000000-0005-0000-0000-0000A5BC0000}"/>
    <cellStyle name="표준 5 6 5 3 2 2" xfId="14667" xr:uid="{00000000-0005-0000-0000-0000A6BC0000}"/>
    <cellStyle name="표준 5 6 5 3 2 2 2" xfId="31261" xr:uid="{00000000-0005-0000-0000-0000A7BC0000}"/>
    <cellStyle name="표준 5 6 5 3 2 2 3" xfId="39472" xr:uid="{00000000-0005-0000-0000-0000A8BC0000}"/>
    <cellStyle name="표준 5 6 5 3 2 2 4" xfId="47665" xr:uid="{00000000-0005-0000-0000-0000A9BC0000}"/>
    <cellStyle name="표준 5 6 5 3 2 3" xfId="18907" xr:uid="{00000000-0005-0000-0000-0000AABC0000}"/>
    <cellStyle name="표준 5 6 5 3 2 4" xfId="23069" xr:uid="{00000000-0005-0000-0000-0000ABBC0000}"/>
    <cellStyle name="표준 5 6 5 3 2 5" xfId="27165" xr:uid="{00000000-0005-0000-0000-0000ACBC0000}"/>
    <cellStyle name="표준 5 6 5 3 2 6" xfId="35376" xr:uid="{00000000-0005-0000-0000-0000ADBC0000}"/>
    <cellStyle name="표준 5 6 5 3 2 7" xfId="43569" xr:uid="{00000000-0005-0000-0000-0000AEBC0000}"/>
    <cellStyle name="표준 5 6 5 3 3" xfId="8507" xr:uid="{00000000-0005-0000-0000-0000AFBC0000}"/>
    <cellStyle name="표준 5 6 5 3 3 2" xfId="29213" xr:uid="{00000000-0005-0000-0000-0000B0BC0000}"/>
    <cellStyle name="표준 5 6 5 3 3 3" xfId="37424" xr:uid="{00000000-0005-0000-0000-0000B1BC0000}"/>
    <cellStyle name="표준 5 6 5 3 3 4" xfId="45617" xr:uid="{00000000-0005-0000-0000-0000B2BC0000}"/>
    <cellStyle name="표준 5 6 5 3 4" xfId="12619" xr:uid="{00000000-0005-0000-0000-0000B3BC0000}"/>
    <cellStyle name="표준 5 6 5 3 5" xfId="16859" xr:uid="{00000000-0005-0000-0000-0000B4BC0000}"/>
    <cellStyle name="표준 5 6 5 3 6" xfId="21021" xr:uid="{00000000-0005-0000-0000-0000B5BC0000}"/>
    <cellStyle name="표준 5 6 5 3 7" xfId="25117" xr:uid="{00000000-0005-0000-0000-0000B6BC0000}"/>
    <cellStyle name="표준 5 6 5 3 8" xfId="33328" xr:uid="{00000000-0005-0000-0000-0000B7BC0000}"/>
    <cellStyle name="표준 5 6 5 3 9" xfId="41521" xr:uid="{00000000-0005-0000-0000-0000B8BC0000}"/>
    <cellStyle name="표준 5 6 5 4" xfId="2164" xr:uid="{00000000-0005-0000-0000-0000B9BC0000}"/>
    <cellStyle name="표준 5 6 5 4 2" xfId="11067" xr:uid="{00000000-0005-0000-0000-0000BABC0000}"/>
    <cellStyle name="표준 5 6 5 4 2 2" xfId="15179" xr:uid="{00000000-0005-0000-0000-0000BBBC0000}"/>
    <cellStyle name="표준 5 6 5 4 2 2 2" xfId="31773" xr:uid="{00000000-0005-0000-0000-0000BCBC0000}"/>
    <cellStyle name="표준 5 6 5 4 2 2 3" xfId="39984" xr:uid="{00000000-0005-0000-0000-0000BDBC0000}"/>
    <cellStyle name="표준 5 6 5 4 2 2 4" xfId="48177" xr:uid="{00000000-0005-0000-0000-0000BEBC0000}"/>
    <cellStyle name="표준 5 6 5 4 2 3" xfId="19419" xr:uid="{00000000-0005-0000-0000-0000BFBC0000}"/>
    <cellStyle name="표준 5 6 5 4 2 4" xfId="23581" xr:uid="{00000000-0005-0000-0000-0000C0BC0000}"/>
    <cellStyle name="표준 5 6 5 4 2 5" xfId="27677" xr:uid="{00000000-0005-0000-0000-0000C1BC0000}"/>
    <cellStyle name="표준 5 6 5 4 2 6" xfId="35888" xr:uid="{00000000-0005-0000-0000-0000C2BC0000}"/>
    <cellStyle name="표준 5 6 5 4 2 7" xfId="44081" xr:uid="{00000000-0005-0000-0000-0000C3BC0000}"/>
    <cellStyle name="표준 5 6 5 4 3" xfId="9019" xr:uid="{00000000-0005-0000-0000-0000C4BC0000}"/>
    <cellStyle name="표준 5 6 5 4 3 2" xfId="29725" xr:uid="{00000000-0005-0000-0000-0000C5BC0000}"/>
    <cellStyle name="표준 5 6 5 4 3 3" xfId="37936" xr:uid="{00000000-0005-0000-0000-0000C6BC0000}"/>
    <cellStyle name="표준 5 6 5 4 3 4" xfId="46129" xr:uid="{00000000-0005-0000-0000-0000C7BC0000}"/>
    <cellStyle name="표준 5 6 5 4 4" xfId="13131" xr:uid="{00000000-0005-0000-0000-0000C8BC0000}"/>
    <cellStyle name="표준 5 6 5 4 5" xfId="17371" xr:uid="{00000000-0005-0000-0000-0000C9BC0000}"/>
    <cellStyle name="표준 5 6 5 4 6" xfId="21533" xr:uid="{00000000-0005-0000-0000-0000CABC0000}"/>
    <cellStyle name="표준 5 6 5 4 7" xfId="25629" xr:uid="{00000000-0005-0000-0000-0000CBBC0000}"/>
    <cellStyle name="표준 5 6 5 4 8" xfId="33840" xr:uid="{00000000-0005-0000-0000-0000CCBC0000}"/>
    <cellStyle name="표준 5 6 5 4 9" xfId="42033" xr:uid="{00000000-0005-0000-0000-0000CDBC0000}"/>
    <cellStyle name="표준 5 6 5 5" xfId="9531" xr:uid="{00000000-0005-0000-0000-0000CEBC0000}"/>
    <cellStyle name="표준 5 6 5 5 2" xfId="13643" xr:uid="{00000000-0005-0000-0000-0000CFBC0000}"/>
    <cellStyle name="표준 5 6 5 5 2 2" xfId="30237" xr:uid="{00000000-0005-0000-0000-0000D0BC0000}"/>
    <cellStyle name="표준 5 6 5 5 2 3" xfId="38448" xr:uid="{00000000-0005-0000-0000-0000D1BC0000}"/>
    <cellStyle name="표준 5 6 5 5 2 4" xfId="46641" xr:uid="{00000000-0005-0000-0000-0000D2BC0000}"/>
    <cellStyle name="표준 5 6 5 5 3" xfId="17883" xr:uid="{00000000-0005-0000-0000-0000D3BC0000}"/>
    <cellStyle name="표준 5 6 5 5 4" xfId="22045" xr:uid="{00000000-0005-0000-0000-0000D4BC0000}"/>
    <cellStyle name="표준 5 6 5 5 5" xfId="26141" xr:uid="{00000000-0005-0000-0000-0000D5BC0000}"/>
    <cellStyle name="표준 5 6 5 5 6" xfId="34352" xr:uid="{00000000-0005-0000-0000-0000D6BC0000}"/>
    <cellStyle name="표준 5 6 5 5 7" xfId="42545" xr:uid="{00000000-0005-0000-0000-0000D7BC0000}"/>
    <cellStyle name="표준 5 6 5 6" xfId="7483" xr:uid="{00000000-0005-0000-0000-0000D8BC0000}"/>
    <cellStyle name="표준 5 6 5 6 2" xfId="28189" xr:uid="{00000000-0005-0000-0000-0000D9BC0000}"/>
    <cellStyle name="표준 5 6 5 6 3" xfId="36400" xr:uid="{00000000-0005-0000-0000-0000DABC0000}"/>
    <cellStyle name="표준 5 6 5 6 4" xfId="44593" xr:uid="{00000000-0005-0000-0000-0000DBBC0000}"/>
    <cellStyle name="표준 5 6 5 7" xfId="11595" xr:uid="{00000000-0005-0000-0000-0000DCBC0000}"/>
    <cellStyle name="표준 5 6 5 8" xfId="15835" xr:uid="{00000000-0005-0000-0000-0000DDBC0000}"/>
    <cellStyle name="표준 5 6 5 9" xfId="19997" xr:uid="{00000000-0005-0000-0000-0000DEBC0000}"/>
    <cellStyle name="표준 5 6 6" xfId="884" xr:uid="{00000000-0005-0000-0000-0000DFBC0000}"/>
    <cellStyle name="표준 5 6 6 2" xfId="9787" xr:uid="{00000000-0005-0000-0000-0000E0BC0000}"/>
    <cellStyle name="표준 5 6 6 2 2" xfId="13899" xr:uid="{00000000-0005-0000-0000-0000E1BC0000}"/>
    <cellStyle name="표준 5 6 6 2 2 2" xfId="30493" xr:uid="{00000000-0005-0000-0000-0000E2BC0000}"/>
    <cellStyle name="표준 5 6 6 2 2 3" xfId="38704" xr:uid="{00000000-0005-0000-0000-0000E3BC0000}"/>
    <cellStyle name="표준 5 6 6 2 2 4" xfId="46897" xr:uid="{00000000-0005-0000-0000-0000E4BC0000}"/>
    <cellStyle name="표준 5 6 6 2 3" xfId="18139" xr:uid="{00000000-0005-0000-0000-0000E5BC0000}"/>
    <cellStyle name="표준 5 6 6 2 4" xfId="22301" xr:uid="{00000000-0005-0000-0000-0000E6BC0000}"/>
    <cellStyle name="표준 5 6 6 2 5" xfId="26397" xr:uid="{00000000-0005-0000-0000-0000E7BC0000}"/>
    <cellStyle name="표준 5 6 6 2 6" xfId="34608" xr:uid="{00000000-0005-0000-0000-0000E8BC0000}"/>
    <cellStyle name="표준 5 6 6 2 7" xfId="42801" xr:uid="{00000000-0005-0000-0000-0000E9BC0000}"/>
    <cellStyle name="표준 5 6 6 3" xfId="7739" xr:uid="{00000000-0005-0000-0000-0000EABC0000}"/>
    <cellStyle name="표준 5 6 6 3 2" xfId="28445" xr:uid="{00000000-0005-0000-0000-0000EBBC0000}"/>
    <cellStyle name="표준 5 6 6 3 3" xfId="36656" xr:uid="{00000000-0005-0000-0000-0000ECBC0000}"/>
    <cellStyle name="표준 5 6 6 3 4" xfId="44849" xr:uid="{00000000-0005-0000-0000-0000EDBC0000}"/>
    <cellStyle name="표준 5 6 6 4" xfId="11851" xr:uid="{00000000-0005-0000-0000-0000EEBC0000}"/>
    <cellStyle name="표준 5 6 6 5" xfId="16091" xr:uid="{00000000-0005-0000-0000-0000EFBC0000}"/>
    <cellStyle name="표준 5 6 6 6" xfId="20253" xr:uid="{00000000-0005-0000-0000-0000F0BC0000}"/>
    <cellStyle name="표준 5 6 6 7" xfId="24349" xr:uid="{00000000-0005-0000-0000-0000F1BC0000}"/>
    <cellStyle name="표준 5 6 6 8" xfId="32560" xr:uid="{00000000-0005-0000-0000-0000F2BC0000}"/>
    <cellStyle name="표준 5 6 6 9" xfId="40753" xr:uid="{00000000-0005-0000-0000-0000F3BC0000}"/>
    <cellStyle name="표준 5 6 7" xfId="1396" xr:uid="{00000000-0005-0000-0000-0000F4BC0000}"/>
    <cellStyle name="표준 5 6 7 2" xfId="10299" xr:uid="{00000000-0005-0000-0000-0000F5BC0000}"/>
    <cellStyle name="표준 5 6 7 2 2" xfId="14411" xr:uid="{00000000-0005-0000-0000-0000F6BC0000}"/>
    <cellStyle name="표준 5 6 7 2 2 2" xfId="31005" xr:uid="{00000000-0005-0000-0000-0000F7BC0000}"/>
    <cellStyle name="표준 5 6 7 2 2 3" xfId="39216" xr:uid="{00000000-0005-0000-0000-0000F8BC0000}"/>
    <cellStyle name="표준 5 6 7 2 2 4" xfId="47409" xr:uid="{00000000-0005-0000-0000-0000F9BC0000}"/>
    <cellStyle name="표준 5 6 7 2 3" xfId="18651" xr:uid="{00000000-0005-0000-0000-0000FABC0000}"/>
    <cellStyle name="표준 5 6 7 2 4" xfId="22813" xr:uid="{00000000-0005-0000-0000-0000FBBC0000}"/>
    <cellStyle name="표준 5 6 7 2 5" xfId="26909" xr:uid="{00000000-0005-0000-0000-0000FCBC0000}"/>
    <cellStyle name="표준 5 6 7 2 6" xfId="35120" xr:uid="{00000000-0005-0000-0000-0000FDBC0000}"/>
    <cellStyle name="표준 5 6 7 2 7" xfId="43313" xr:uid="{00000000-0005-0000-0000-0000FEBC0000}"/>
    <cellStyle name="표준 5 6 7 3" xfId="8251" xr:uid="{00000000-0005-0000-0000-0000FFBC0000}"/>
    <cellStyle name="표준 5 6 7 3 2" xfId="28957" xr:uid="{00000000-0005-0000-0000-000000BD0000}"/>
    <cellStyle name="표준 5 6 7 3 3" xfId="37168" xr:uid="{00000000-0005-0000-0000-000001BD0000}"/>
    <cellStyle name="표준 5 6 7 3 4" xfId="45361" xr:uid="{00000000-0005-0000-0000-000002BD0000}"/>
    <cellStyle name="표준 5 6 7 4" xfId="12363" xr:uid="{00000000-0005-0000-0000-000003BD0000}"/>
    <cellStyle name="표준 5 6 7 5" xfId="16603" xr:uid="{00000000-0005-0000-0000-000004BD0000}"/>
    <cellStyle name="표준 5 6 7 6" xfId="20765" xr:uid="{00000000-0005-0000-0000-000005BD0000}"/>
    <cellStyle name="표준 5 6 7 7" xfId="24861" xr:uid="{00000000-0005-0000-0000-000006BD0000}"/>
    <cellStyle name="표준 5 6 7 8" xfId="33072" xr:uid="{00000000-0005-0000-0000-000007BD0000}"/>
    <cellStyle name="표준 5 6 7 9" xfId="41265" xr:uid="{00000000-0005-0000-0000-000008BD0000}"/>
    <cellStyle name="표준 5 6 8" xfId="1908" xr:uid="{00000000-0005-0000-0000-000009BD0000}"/>
    <cellStyle name="표준 5 6 8 2" xfId="10811" xr:uid="{00000000-0005-0000-0000-00000ABD0000}"/>
    <cellStyle name="표준 5 6 8 2 2" xfId="14923" xr:uid="{00000000-0005-0000-0000-00000BBD0000}"/>
    <cellStyle name="표준 5 6 8 2 2 2" xfId="31517" xr:uid="{00000000-0005-0000-0000-00000CBD0000}"/>
    <cellStyle name="표준 5 6 8 2 2 3" xfId="39728" xr:uid="{00000000-0005-0000-0000-00000DBD0000}"/>
    <cellStyle name="표준 5 6 8 2 2 4" xfId="47921" xr:uid="{00000000-0005-0000-0000-00000EBD0000}"/>
    <cellStyle name="표준 5 6 8 2 3" xfId="19163" xr:uid="{00000000-0005-0000-0000-00000FBD0000}"/>
    <cellStyle name="표준 5 6 8 2 4" xfId="23325" xr:uid="{00000000-0005-0000-0000-000010BD0000}"/>
    <cellStyle name="표준 5 6 8 2 5" xfId="27421" xr:uid="{00000000-0005-0000-0000-000011BD0000}"/>
    <cellStyle name="표준 5 6 8 2 6" xfId="35632" xr:uid="{00000000-0005-0000-0000-000012BD0000}"/>
    <cellStyle name="표준 5 6 8 2 7" xfId="43825" xr:uid="{00000000-0005-0000-0000-000013BD0000}"/>
    <cellStyle name="표준 5 6 8 3" xfId="8763" xr:uid="{00000000-0005-0000-0000-000014BD0000}"/>
    <cellStyle name="표준 5 6 8 3 2" xfId="29469" xr:uid="{00000000-0005-0000-0000-000015BD0000}"/>
    <cellStyle name="표준 5 6 8 3 3" xfId="37680" xr:uid="{00000000-0005-0000-0000-000016BD0000}"/>
    <cellStyle name="표준 5 6 8 3 4" xfId="45873" xr:uid="{00000000-0005-0000-0000-000017BD0000}"/>
    <cellStyle name="표준 5 6 8 4" xfId="12875" xr:uid="{00000000-0005-0000-0000-000018BD0000}"/>
    <cellStyle name="표준 5 6 8 5" xfId="17115" xr:uid="{00000000-0005-0000-0000-000019BD0000}"/>
    <cellStyle name="표준 5 6 8 6" xfId="21277" xr:uid="{00000000-0005-0000-0000-00001ABD0000}"/>
    <cellStyle name="표준 5 6 8 7" xfId="25373" xr:uid="{00000000-0005-0000-0000-00001BBD0000}"/>
    <cellStyle name="표준 5 6 8 8" xfId="33584" xr:uid="{00000000-0005-0000-0000-00001CBD0000}"/>
    <cellStyle name="표준 5 6 8 9" xfId="41777" xr:uid="{00000000-0005-0000-0000-00001DBD0000}"/>
    <cellStyle name="표준 5 6 9" xfId="4341" xr:uid="{00000000-0005-0000-0000-00001EBD0000}"/>
    <cellStyle name="표준 5 6 9 2" xfId="9275" xr:uid="{00000000-0005-0000-0000-00001FBD0000}"/>
    <cellStyle name="표준 5 6 9 2 2" xfId="29981" xr:uid="{00000000-0005-0000-0000-000020BD0000}"/>
    <cellStyle name="표준 5 6 9 2 3" xfId="38192" xr:uid="{00000000-0005-0000-0000-000021BD0000}"/>
    <cellStyle name="표준 5 6 9 2 4" xfId="46385" xr:uid="{00000000-0005-0000-0000-000022BD0000}"/>
    <cellStyle name="표준 5 6 9 3" xfId="13387" xr:uid="{00000000-0005-0000-0000-000023BD0000}"/>
    <cellStyle name="표준 5 6 9 4" xfId="17627" xr:uid="{00000000-0005-0000-0000-000024BD0000}"/>
    <cellStyle name="표준 5 6 9 5" xfId="21789" xr:uid="{00000000-0005-0000-0000-000025BD0000}"/>
    <cellStyle name="표준 5 6 9 6" xfId="25885" xr:uid="{00000000-0005-0000-0000-000026BD0000}"/>
    <cellStyle name="표준 5 6 9 7" xfId="34096" xr:uid="{00000000-0005-0000-0000-000027BD0000}"/>
    <cellStyle name="표준 5 6 9 8" xfId="42289" xr:uid="{00000000-0005-0000-0000-000028BD0000}"/>
    <cellStyle name="표준 5 7" xfId="289" xr:uid="{00000000-0005-0000-0000-000029BD0000}"/>
    <cellStyle name="표준 5 7 10" xfId="6982" xr:uid="{00000000-0005-0000-0000-00002ABD0000}"/>
    <cellStyle name="표준 5 7 11" xfId="7178" xr:uid="{00000000-0005-0000-0000-00002BBD0000}"/>
    <cellStyle name="표준 5 7 12" xfId="7243" xr:uid="{00000000-0005-0000-0000-00002CBD0000}"/>
    <cellStyle name="표준 5 7 13" xfId="11355" xr:uid="{00000000-0005-0000-0000-00002DBD0000}"/>
    <cellStyle name="표준 5 7 14" xfId="15483" xr:uid="{00000000-0005-0000-0000-00002EBD0000}"/>
    <cellStyle name="표준 5 7 15" xfId="15595" xr:uid="{00000000-0005-0000-0000-00002FBD0000}"/>
    <cellStyle name="표준 5 7 16" xfId="19757" xr:uid="{00000000-0005-0000-0000-000030BD0000}"/>
    <cellStyle name="표준 5 7 17" xfId="23853" xr:uid="{00000000-0005-0000-0000-000031BD0000}"/>
    <cellStyle name="표준 5 7 18" xfId="32064" xr:uid="{00000000-0005-0000-0000-000032BD0000}"/>
    <cellStyle name="표준 5 7 19" xfId="40257" xr:uid="{00000000-0005-0000-0000-000033BD0000}"/>
    <cellStyle name="표준 5 7 2" xfId="452" xr:uid="{00000000-0005-0000-0000-000034BD0000}"/>
    <cellStyle name="표준 5 7 2 10" xfId="11419" xr:uid="{00000000-0005-0000-0000-000035BD0000}"/>
    <cellStyle name="표준 5 7 2 11" xfId="15531" xr:uid="{00000000-0005-0000-0000-000036BD0000}"/>
    <cellStyle name="표준 5 7 2 12" xfId="15659" xr:uid="{00000000-0005-0000-0000-000037BD0000}"/>
    <cellStyle name="표준 5 7 2 13" xfId="19821" xr:uid="{00000000-0005-0000-0000-000038BD0000}"/>
    <cellStyle name="표준 5 7 2 14" xfId="23917" xr:uid="{00000000-0005-0000-0000-000039BD0000}"/>
    <cellStyle name="표준 5 7 2 15" xfId="32128" xr:uid="{00000000-0005-0000-0000-00003ABD0000}"/>
    <cellStyle name="표준 5 7 2 16" xfId="40321" xr:uid="{00000000-0005-0000-0000-00003BBD0000}"/>
    <cellStyle name="표준 5 7 2 17" xfId="49718" xr:uid="{00000000-0005-0000-0000-00003CBD0000}"/>
    <cellStyle name="표준 5 7 2 2" xfId="580" xr:uid="{00000000-0005-0000-0000-00003DBD0000}"/>
    <cellStyle name="표준 5 7 2 2 10" xfId="19949" xr:uid="{00000000-0005-0000-0000-00003EBD0000}"/>
    <cellStyle name="표준 5 7 2 2 11" xfId="24045" xr:uid="{00000000-0005-0000-0000-00003FBD0000}"/>
    <cellStyle name="표준 5 7 2 2 12" xfId="32256" xr:uid="{00000000-0005-0000-0000-000040BD0000}"/>
    <cellStyle name="표준 5 7 2 2 13" xfId="40449" xr:uid="{00000000-0005-0000-0000-000041BD0000}"/>
    <cellStyle name="표준 5 7 2 2 2" xfId="836" xr:uid="{00000000-0005-0000-0000-000042BD0000}"/>
    <cellStyle name="표준 5 7 2 2 2 10" xfId="24301" xr:uid="{00000000-0005-0000-0000-000043BD0000}"/>
    <cellStyle name="표준 5 7 2 2 2 11" xfId="32512" xr:uid="{00000000-0005-0000-0000-000044BD0000}"/>
    <cellStyle name="표준 5 7 2 2 2 12" xfId="40705" xr:uid="{00000000-0005-0000-0000-000045BD0000}"/>
    <cellStyle name="표준 5 7 2 2 2 2" xfId="1348" xr:uid="{00000000-0005-0000-0000-000046BD0000}"/>
    <cellStyle name="표준 5 7 2 2 2 2 2" xfId="10251" xr:uid="{00000000-0005-0000-0000-000047BD0000}"/>
    <cellStyle name="표준 5 7 2 2 2 2 2 2" xfId="14363" xr:uid="{00000000-0005-0000-0000-000048BD0000}"/>
    <cellStyle name="표준 5 7 2 2 2 2 2 2 2" xfId="30957" xr:uid="{00000000-0005-0000-0000-000049BD0000}"/>
    <cellStyle name="표준 5 7 2 2 2 2 2 2 3" xfId="39168" xr:uid="{00000000-0005-0000-0000-00004ABD0000}"/>
    <cellStyle name="표준 5 7 2 2 2 2 2 2 4" xfId="47361" xr:uid="{00000000-0005-0000-0000-00004BBD0000}"/>
    <cellStyle name="표준 5 7 2 2 2 2 2 3" xfId="18603" xr:uid="{00000000-0005-0000-0000-00004CBD0000}"/>
    <cellStyle name="표준 5 7 2 2 2 2 2 4" xfId="22765" xr:uid="{00000000-0005-0000-0000-00004DBD0000}"/>
    <cellStyle name="표준 5 7 2 2 2 2 2 5" xfId="26861" xr:uid="{00000000-0005-0000-0000-00004EBD0000}"/>
    <cellStyle name="표준 5 7 2 2 2 2 2 6" xfId="35072" xr:uid="{00000000-0005-0000-0000-00004FBD0000}"/>
    <cellStyle name="표준 5 7 2 2 2 2 2 7" xfId="43265" xr:uid="{00000000-0005-0000-0000-000050BD0000}"/>
    <cellStyle name="표준 5 7 2 2 2 2 3" xfId="8203" xr:uid="{00000000-0005-0000-0000-000051BD0000}"/>
    <cellStyle name="표준 5 7 2 2 2 2 3 2" xfId="28909" xr:uid="{00000000-0005-0000-0000-000052BD0000}"/>
    <cellStyle name="표준 5 7 2 2 2 2 3 3" xfId="37120" xr:uid="{00000000-0005-0000-0000-000053BD0000}"/>
    <cellStyle name="표준 5 7 2 2 2 2 3 4" xfId="45313" xr:uid="{00000000-0005-0000-0000-000054BD0000}"/>
    <cellStyle name="표준 5 7 2 2 2 2 4" xfId="12315" xr:uid="{00000000-0005-0000-0000-000055BD0000}"/>
    <cellStyle name="표준 5 7 2 2 2 2 5" xfId="16555" xr:uid="{00000000-0005-0000-0000-000056BD0000}"/>
    <cellStyle name="표준 5 7 2 2 2 2 6" xfId="20717" xr:uid="{00000000-0005-0000-0000-000057BD0000}"/>
    <cellStyle name="표준 5 7 2 2 2 2 7" xfId="24813" xr:uid="{00000000-0005-0000-0000-000058BD0000}"/>
    <cellStyle name="표준 5 7 2 2 2 2 8" xfId="33024" xr:uid="{00000000-0005-0000-0000-000059BD0000}"/>
    <cellStyle name="표준 5 7 2 2 2 2 9" xfId="41217" xr:uid="{00000000-0005-0000-0000-00005ABD0000}"/>
    <cellStyle name="표준 5 7 2 2 2 3" xfId="1860" xr:uid="{00000000-0005-0000-0000-00005BBD0000}"/>
    <cellStyle name="표준 5 7 2 2 2 3 2" xfId="10763" xr:uid="{00000000-0005-0000-0000-00005CBD0000}"/>
    <cellStyle name="표준 5 7 2 2 2 3 2 2" xfId="14875" xr:uid="{00000000-0005-0000-0000-00005DBD0000}"/>
    <cellStyle name="표준 5 7 2 2 2 3 2 2 2" xfId="31469" xr:uid="{00000000-0005-0000-0000-00005EBD0000}"/>
    <cellStyle name="표준 5 7 2 2 2 3 2 2 3" xfId="39680" xr:uid="{00000000-0005-0000-0000-00005FBD0000}"/>
    <cellStyle name="표준 5 7 2 2 2 3 2 2 4" xfId="47873" xr:uid="{00000000-0005-0000-0000-000060BD0000}"/>
    <cellStyle name="표준 5 7 2 2 2 3 2 3" xfId="19115" xr:uid="{00000000-0005-0000-0000-000061BD0000}"/>
    <cellStyle name="표준 5 7 2 2 2 3 2 4" xfId="23277" xr:uid="{00000000-0005-0000-0000-000062BD0000}"/>
    <cellStyle name="표준 5 7 2 2 2 3 2 5" xfId="27373" xr:uid="{00000000-0005-0000-0000-000063BD0000}"/>
    <cellStyle name="표준 5 7 2 2 2 3 2 6" xfId="35584" xr:uid="{00000000-0005-0000-0000-000064BD0000}"/>
    <cellStyle name="표준 5 7 2 2 2 3 2 7" xfId="43777" xr:uid="{00000000-0005-0000-0000-000065BD0000}"/>
    <cellStyle name="표준 5 7 2 2 2 3 3" xfId="8715" xr:uid="{00000000-0005-0000-0000-000066BD0000}"/>
    <cellStyle name="표준 5 7 2 2 2 3 3 2" xfId="29421" xr:uid="{00000000-0005-0000-0000-000067BD0000}"/>
    <cellStyle name="표준 5 7 2 2 2 3 3 3" xfId="37632" xr:uid="{00000000-0005-0000-0000-000068BD0000}"/>
    <cellStyle name="표준 5 7 2 2 2 3 3 4" xfId="45825" xr:uid="{00000000-0005-0000-0000-000069BD0000}"/>
    <cellStyle name="표준 5 7 2 2 2 3 4" xfId="12827" xr:uid="{00000000-0005-0000-0000-00006ABD0000}"/>
    <cellStyle name="표준 5 7 2 2 2 3 5" xfId="17067" xr:uid="{00000000-0005-0000-0000-00006BBD0000}"/>
    <cellStyle name="표준 5 7 2 2 2 3 6" xfId="21229" xr:uid="{00000000-0005-0000-0000-00006CBD0000}"/>
    <cellStyle name="표준 5 7 2 2 2 3 7" xfId="25325" xr:uid="{00000000-0005-0000-0000-00006DBD0000}"/>
    <cellStyle name="표준 5 7 2 2 2 3 8" xfId="33536" xr:uid="{00000000-0005-0000-0000-00006EBD0000}"/>
    <cellStyle name="표준 5 7 2 2 2 3 9" xfId="41729" xr:uid="{00000000-0005-0000-0000-00006FBD0000}"/>
    <cellStyle name="표준 5 7 2 2 2 4" xfId="2372" xr:uid="{00000000-0005-0000-0000-000070BD0000}"/>
    <cellStyle name="표준 5 7 2 2 2 4 2" xfId="11275" xr:uid="{00000000-0005-0000-0000-000071BD0000}"/>
    <cellStyle name="표준 5 7 2 2 2 4 2 2" xfId="15387" xr:uid="{00000000-0005-0000-0000-000072BD0000}"/>
    <cellStyle name="표준 5 7 2 2 2 4 2 2 2" xfId="31981" xr:uid="{00000000-0005-0000-0000-000073BD0000}"/>
    <cellStyle name="표준 5 7 2 2 2 4 2 2 3" xfId="40192" xr:uid="{00000000-0005-0000-0000-000074BD0000}"/>
    <cellStyle name="표준 5 7 2 2 2 4 2 2 4" xfId="48385" xr:uid="{00000000-0005-0000-0000-000075BD0000}"/>
    <cellStyle name="표준 5 7 2 2 2 4 2 3" xfId="19627" xr:uid="{00000000-0005-0000-0000-000076BD0000}"/>
    <cellStyle name="표준 5 7 2 2 2 4 2 4" xfId="23789" xr:uid="{00000000-0005-0000-0000-000077BD0000}"/>
    <cellStyle name="표준 5 7 2 2 2 4 2 5" xfId="27885" xr:uid="{00000000-0005-0000-0000-000078BD0000}"/>
    <cellStyle name="표준 5 7 2 2 2 4 2 6" xfId="36096" xr:uid="{00000000-0005-0000-0000-000079BD0000}"/>
    <cellStyle name="표준 5 7 2 2 2 4 2 7" xfId="44289" xr:uid="{00000000-0005-0000-0000-00007ABD0000}"/>
    <cellStyle name="표준 5 7 2 2 2 4 3" xfId="9227" xr:uid="{00000000-0005-0000-0000-00007BBD0000}"/>
    <cellStyle name="표준 5 7 2 2 2 4 3 2" xfId="29933" xr:uid="{00000000-0005-0000-0000-00007CBD0000}"/>
    <cellStyle name="표준 5 7 2 2 2 4 3 3" xfId="38144" xr:uid="{00000000-0005-0000-0000-00007DBD0000}"/>
    <cellStyle name="표준 5 7 2 2 2 4 3 4" xfId="46337" xr:uid="{00000000-0005-0000-0000-00007EBD0000}"/>
    <cellStyle name="표준 5 7 2 2 2 4 4" xfId="13339" xr:uid="{00000000-0005-0000-0000-00007FBD0000}"/>
    <cellStyle name="표준 5 7 2 2 2 4 5" xfId="17579" xr:uid="{00000000-0005-0000-0000-000080BD0000}"/>
    <cellStyle name="표준 5 7 2 2 2 4 6" xfId="21741" xr:uid="{00000000-0005-0000-0000-000081BD0000}"/>
    <cellStyle name="표준 5 7 2 2 2 4 7" xfId="25837" xr:uid="{00000000-0005-0000-0000-000082BD0000}"/>
    <cellStyle name="표준 5 7 2 2 2 4 8" xfId="34048" xr:uid="{00000000-0005-0000-0000-000083BD0000}"/>
    <cellStyle name="표준 5 7 2 2 2 4 9" xfId="42241" xr:uid="{00000000-0005-0000-0000-000084BD0000}"/>
    <cellStyle name="표준 5 7 2 2 2 5" xfId="9739" xr:uid="{00000000-0005-0000-0000-000085BD0000}"/>
    <cellStyle name="표준 5 7 2 2 2 5 2" xfId="13851" xr:uid="{00000000-0005-0000-0000-000086BD0000}"/>
    <cellStyle name="표준 5 7 2 2 2 5 2 2" xfId="30445" xr:uid="{00000000-0005-0000-0000-000087BD0000}"/>
    <cellStyle name="표준 5 7 2 2 2 5 2 3" xfId="38656" xr:uid="{00000000-0005-0000-0000-000088BD0000}"/>
    <cellStyle name="표준 5 7 2 2 2 5 2 4" xfId="46849" xr:uid="{00000000-0005-0000-0000-000089BD0000}"/>
    <cellStyle name="표준 5 7 2 2 2 5 3" xfId="18091" xr:uid="{00000000-0005-0000-0000-00008ABD0000}"/>
    <cellStyle name="표준 5 7 2 2 2 5 4" xfId="22253" xr:uid="{00000000-0005-0000-0000-00008BBD0000}"/>
    <cellStyle name="표준 5 7 2 2 2 5 5" xfId="26349" xr:uid="{00000000-0005-0000-0000-00008CBD0000}"/>
    <cellStyle name="표준 5 7 2 2 2 5 6" xfId="34560" xr:uid="{00000000-0005-0000-0000-00008DBD0000}"/>
    <cellStyle name="표준 5 7 2 2 2 5 7" xfId="42753" xr:uid="{00000000-0005-0000-0000-00008EBD0000}"/>
    <cellStyle name="표준 5 7 2 2 2 6" xfId="7691" xr:uid="{00000000-0005-0000-0000-00008FBD0000}"/>
    <cellStyle name="표준 5 7 2 2 2 6 2" xfId="28397" xr:uid="{00000000-0005-0000-0000-000090BD0000}"/>
    <cellStyle name="표준 5 7 2 2 2 6 3" xfId="36608" xr:uid="{00000000-0005-0000-0000-000091BD0000}"/>
    <cellStyle name="표준 5 7 2 2 2 6 4" xfId="44801" xr:uid="{00000000-0005-0000-0000-000092BD0000}"/>
    <cellStyle name="표준 5 7 2 2 2 7" xfId="11803" xr:uid="{00000000-0005-0000-0000-000093BD0000}"/>
    <cellStyle name="표준 5 7 2 2 2 8" xfId="16043" xr:uid="{00000000-0005-0000-0000-000094BD0000}"/>
    <cellStyle name="표준 5 7 2 2 2 9" xfId="20205" xr:uid="{00000000-0005-0000-0000-000095BD0000}"/>
    <cellStyle name="표준 5 7 2 2 3" xfId="1092" xr:uid="{00000000-0005-0000-0000-000096BD0000}"/>
    <cellStyle name="표준 5 7 2 2 3 2" xfId="9995" xr:uid="{00000000-0005-0000-0000-000097BD0000}"/>
    <cellStyle name="표준 5 7 2 2 3 2 2" xfId="14107" xr:uid="{00000000-0005-0000-0000-000098BD0000}"/>
    <cellStyle name="표준 5 7 2 2 3 2 2 2" xfId="30701" xr:uid="{00000000-0005-0000-0000-000099BD0000}"/>
    <cellStyle name="표준 5 7 2 2 3 2 2 3" xfId="38912" xr:uid="{00000000-0005-0000-0000-00009ABD0000}"/>
    <cellStyle name="표준 5 7 2 2 3 2 2 4" xfId="47105" xr:uid="{00000000-0005-0000-0000-00009BBD0000}"/>
    <cellStyle name="표준 5 7 2 2 3 2 3" xfId="18347" xr:uid="{00000000-0005-0000-0000-00009CBD0000}"/>
    <cellStyle name="표준 5 7 2 2 3 2 4" xfId="22509" xr:uid="{00000000-0005-0000-0000-00009DBD0000}"/>
    <cellStyle name="표준 5 7 2 2 3 2 5" xfId="26605" xr:uid="{00000000-0005-0000-0000-00009EBD0000}"/>
    <cellStyle name="표준 5 7 2 2 3 2 6" xfId="34816" xr:uid="{00000000-0005-0000-0000-00009FBD0000}"/>
    <cellStyle name="표준 5 7 2 2 3 2 7" xfId="43009" xr:uid="{00000000-0005-0000-0000-0000A0BD0000}"/>
    <cellStyle name="표준 5 7 2 2 3 3" xfId="7947" xr:uid="{00000000-0005-0000-0000-0000A1BD0000}"/>
    <cellStyle name="표준 5 7 2 2 3 3 2" xfId="28653" xr:uid="{00000000-0005-0000-0000-0000A2BD0000}"/>
    <cellStyle name="표준 5 7 2 2 3 3 3" xfId="36864" xr:uid="{00000000-0005-0000-0000-0000A3BD0000}"/>
    <cellStyle name="표준 5 7 2 2 3 3 4" xfId="45057" xr:uid="{00000000-0005-0000-0000-0000A4BD0000}"/>
    <cellStyle name="표준 5 7 2 2 3 4" xfId="12059" xr:uid="{00000000-0005-0000-0000-0000A5BD0000}"/>
    <cellStyle name="표준 5 7 2 2 3 5" xfId="16299" xr:uid="{00000000-0005-0000-0000-0000A6BD0000}"/>
    <cellStyle name="표준 5 7 2 2 3 6" xfId="20461" xr:uid="{00000000-0005-0000-0000-0000A7BD0000}"/>
    <cellStyle name="표준 5 7 2 2 3 7" xfId="24557" xr:uid="{00000000-0005-0000-0000-0000A8BD0000}"/>
    <cellStyle name="표준 5 7 2 2 3 8" xfId="32768" xr:uid="{00000000-0005-0000-0000-0000A9BD0000}"/>
    <cellStyle name="표준 5 7 2 2 3 9" xfId="40961" xr:uid="{00000000-0005-0000-0000-0000AABD0000}"/>
    <cellStyle name="표준 5 7 2 2 4" xfId="1604" xr:uid="{00000000-0005-0000-0000-0000ABBD0000}"/>
    <cellStyle name="표준 5 7 2 2 4 2" xfId="10507" xr:uid="{00000000-0005-0000-0000-0000ACBD0000}"/>
    <cellStyle name="표준 5 7 2 2 4 2 2" xfId="14619" xr:uid="{00000000-0005-0000-0000-0000ADBD0000}"/>
    <cellStyle name="표준 5 7 2 2 4 2 2 2" xfId="31213" xr:uid="{00000000-0005-0000-0000-0000AEBD0000}"/>
    <cellStyle name="표준 5 7 2 2 4 2 2 3" xfId="39424" xr:uid="{00000000-0005-0000-0000-0000AFBD0000}"/>
    <cellStyle name="표준 5 7 2 2 4 2 2 4" xfId="47617" xr:uid="{00000000-0005-0000-0000-0000B0BD0000}"/>
    <cellStyle name="표준 5 7 2 2 4 2 3" xfId="18859" xr:uid="{00000000-0005-0000-0000-0000B1BD0000}"/>
    <cellStyle name="표준 5 7 2 2 4 2 4" xfId="23021" xr:uid="{00000000-0005-0000-0000-0000B2BD0000}"/>
    <cellStyle name="표준 5 7 2 2 4 2 5" xfId="27117" xr:uid="{00000000-0005-0000-0000-0000B3BD0000}"/>
    <cellStyle name="표준 5 7 2 2 4 2 6" xfId="35328" xr:uid="{00000000-0005-0000-0000-0000B4BD0000}"/>
    <cellStyle name="표준 5 7 2 2 4 2 7" xfId="43521" xr:uid="{00000000-0005-0000-0000-0000B5BD0000}"/>
    <cellStyle name="표준 5 7 2 2 4 3" xfId="8459" xr:uid="{00000000-0005-0000-0000-0000B6BD0000}"/>
    <cellStyle name="표준 5 7 2 2 4 3 2" xfId="29165" xr:uid="{00000000-0005-0000-0000-0000B7BD0000}"/>
    <cellStyle name="표준 5 7 2 2 4 3 3" xfId="37376" xr:uid="{00000000-0005-0000-0000-0000B8BD0000}"/>
    <cellStyle name="표준 5 7 2 2 4 3 4" xfId="45569" xr:uid="{00000000-0005-0000-0000-0000B9BD0000}"/>
    <cellStyle name="표준 5 7 2 2 4 4" xfId="12571" xr:uid="{00000000-0005-0000-0000-0000BABD0000}"/>
    <cellStyle name="표준 5 7 2 2 4 5" xfId="16811" xr:uid="{00000000-0005-0000-0000-0000BBBD0000}"/>
    <cellStyle name="표준 5 7 2 2 4 6" xfId="20973" xr:uid="{00000000-0005-0000-0000-0000BCBD0000}"/>
    <cellStyle name="표준 5 7 2 2 4 7" xfId="25069" xr:uid="{00000000-0005-0000-0000-0000BDBD0000}"/>
    <cellStyle name="표준 5 7 2 2 4 8" xfId="33280" xr:uid="{00000000-0005-0000-0000-0000BEBD0000}"/>
    <cellStyle name="표준 5 7 2 2 4 9" xfId="41473" xr:uid="{00000000-0005-0000-0000-0000BFBD0000}"/>
    <cellStyle name="표준 5 7 2 2 5" xfId="2116" xr:uid="{00000000-0005-0000-0000-0000C0BD0000}"/>
    <cellStyle name="표준 5 7 2 2 5 2" xfId="11019" xr:uid="{00000000-0005-0000-0000-0000C1BD0000}"/>
    <cellStyle name="표준 5 7 2 2 5 2 2" xfId="15131" xr:uid="{00000000-0005-0000-0000-0000C2BD0000}"/>
    <cellStyle name="표준 5 7 2 2 5 2 2 2" xfId="31725" xr:uid="{00000000-0005-0000-0000-0000C3BD0000}"/>
    <cellStyle name="표준 5 7 2 2 5 2 2 3" xfId="39936" xr:uid="{00000000-0005-0000-0000-0000C4BD0000}"/>
    <cellStyle name="표준 5 7 2 2 5 2 2 4" xfId="48129" xr:uid="{00000000-0005-0000-0000-0000C5BD0000}"/>
    <cellStyle name="표준 5 7 2 2 5 2 3" xfId="19371" xr:uid="{00000000-0005-0000-0000-0000C6BD0000}"/>
    <cellStyle name="표준 5 7 2 2 5 2 4" xfId="23533" xr:uid="{00000000-0005-0000-0000-0000C7BD0000}"/>
    <cellStyle name="표준 5 7 2 2 5 2 5" xfId="27629" xr:uid="{00000000-0005-0000-0000-0000C8BD0000}"/>
    <cellStyle name="표준 5 7 2 2 5 2 6" xfId="35840" xr:uid="{00000000-0005-0000-0000-0000C9BD0000}"/>
    <cellStyle name="표준 5 7 2 2 5 2 7" xfId="44033" xr:uid="{00000000-0005-0000-0000-0000CABD0000}"/>
    <cellStyle name="표준 5 7 2 2 5 3" xfId="8971" xr:uid="{00000000-0005-0000-0000-0000CBBD0000}"/>
    <cellStyle name="표준 5 7 2 2 5 3 2" xfId="29677" xr:uid="{00000000-0005-0000-0000-0000CCBD0000}"/>
    <cellStyle name="표준 5 7 2 2 5 3 3" xfId="37888" xr:uid="{00000000-0005-0000-0000-0000CDBD0000}"/>
    <cellStyle name="표준 5 7 2 2 5 3 4" xfId="46081" xr:uid="{00000000-0005-0000-0000-0000CEBD0000}"/>
    <cellStyle name="표준 5 7 2 2 5 4" xfId="13083" xr:uid="{00000000-0005-0000-0000-0000CFBD0000}"/>
    <cellStyle name="표준 5 7 2 2 5 5" xfId="17323" xr:uid="{00000000-0005-0000-0000-0000D0BD0000}"/>
    <cellStyle name="표준 5 7 2 2 5 6" xfId="21485" xr:uid="{00000000-0005-0000-0000-0000D1BD0000}"/>
    <cellStyle name="표준 5 7 2 2 5 7" xfId="25581" xr:uid="{00000000-0005-0000-0000-0000D2BD0000}"/>
    <cellStyle name="표준 5 7 2 2 5 8" xfId="33792" xr:uid="{00000000-0005-0000-0000-0000D3BD0000}"/>
    <cellStyle name="표준 5 7 2 2 5 9" xfId="41985" xr:uid="{00000000-0005-0000-0000-0000D4BD0000}"/>
    <cellStyle name="표준 5 7 2 2 6" xfId="9483" xr:uid="{00000000-0005-0000-0000-0000D5BD0000}"/>
    <cellStyle name="표준 5 7 2 2 6 2" xfId="13595" xr:uid="{00000000-0005-0000-0000-0000D6BD0000}"/>
    <cellStyle name="표준 5 7 2 2 6 2 2" xfId="30189" xr:uid="{00000000-0005-0000-0000-0000D7BD0000}"/>
    <cellStyle name="표준 5 7 2 2 6 2 3" xfId="38400" xr:uid="{00000000-0005-0000-0000-0000D8BD0000}"/>
    <cellStyle name="표준 5 7 2 2 6 2 4" xfId="46593" xr:uid="{00000000-0005-0000-0000-0000D9BD0000}"/>
    <cellStyle name="표준 5 7 2 2 6 3" xfId="17835" xr:uid="{00000000-0005-0000-0000-0000DABD0000}"/>
    <cellStyle name="표준 5 7 2 2 6 4" xfId="21997" xr:uid="{00000000-0005-0000-0000-0000DBBD0000}"/>
    <cellStyle name="표준 5 7 2 2 6 5" xfId="26093" xr:uid="{00000000-0005-0000-0000-0000DCBD0000}"/>
    <cellStyle name="표준 5 7 2 2 6 6" xfId="34304" xr:uid="{00000000-0005-0000-0000-0000DDBD0000}"/>
    <cellStyle name="표준 5 7 2 2 6 7" xfId="42497" xr:uid="{00000000-0005-0000-0000-0000DEBD0000}"/>
    <cellStyle name="표준 5 7 2 2 7" xfId="7435" xr:uid="{00000000-0005-0000-0000-0000DFBD0000}"/>
    <cellStyle name="표준 5 7 2 2 7 2" xfId="28141" xr:uid="{00000000-0005-0000-0000-0000E0BD0000}"/>
    <cellStyle name="표준 5 7 2 2 7 3" xfId="36352" xr:uid="{00000000-0005-0000-0000-0000E1BD0000}"/>
    <cellStyle name="표준 5 7 2 2 7 4" xfId="44545" xr:uid="{00000000-0005-0000-0000-0000E2BD0000}"/>
    <cellStyle name="표준 5 7 2 2 8" xfId="11547" xr:uid="{00000000-0005-0000-0000-0000E3BD0000}"/>
    <cellStyle name="표준 5 7 2 2 9" xfId="15787" xr:uid="{00000000-0005-0000-0000-0000E4BD0000}"/>
    <cellStyle name="표준 5 7 2 3" xfId="708" xr:uid="{00000000-0005-0000-0000-0000E5BD0000}"/>
    <cellStyle name="표준 5 7 2 3 10" xfId="24173" xr:uid="{00000000-0005-0000-0000-0000E6BD0000}"/>
    <cellStyle name="표준 5 7 2 3 11" xfId="32384" xr:uid="{00000000-0005-0000-0000-0000E7BD0000}"/>
    <cellStyle name="표준 5 7 2 3 12" xfId="40577" xr:uid="{00000000-0005-0000-0000-0000E8BD0000}"/>
    <cellStyle name="표준 5 7 2 3 2" xfId="1220" xr:uid="{00000000-0005-0000-0000-0000E9BD0000}"/>
    <cellStyle name="표준 5 7 2 3 2 2" xfId="10123" xr:uid="{00000000-0005-0000-0000-0000EABD0000}"/>
    <cellStyle name="표준 5 7 2 3 2 2 2" xfId="14235" xr:uid="{00000000-0005-0000-0000-0000EBBD0000}"/>
    <cellStyle name="표준 5 7 2 3 2 2 2 2" xfId="30829" xr:uid="{00000000-0005-0000-0000-0000ECBD0000}"/>
    <cellStyle name="표준 5 7 2 3 2 2 2 3" xfId="39040" xr:uid="{00000000-0005-0000-0000-0000EDBD0000}"/>
    <cellStyle name="표준 5 7 2 3 2 2 2 4" xfId="47233" xr:uid="{00000000-0005-0000-0000-0000EEBD0000}"/>
    <cellStyle name="표준 5 7 2 3 2 2 3" xfId="18475" xr:uid="{00000000-0005-0000-0000-0000EFBD0000}"/>
    <cellStyle name="표준 5 7 2 3 2 2 4" xfId="22637" xr:uid="{00000000-0005-0000-0000-0000F0BD0000}"/>
    <cellStyle name="표준 5 7 2 3 2 2 5" xfId="26733" xr:uid="{00000000-0005-0000-0000-0000F1BD0000}"/>
    <cellStyle name="표준 5 7 2 3 2 2 6" xfId="34944" xr:uid="{00000000-0005-0000-0000-0000F2BD0000}"/>
    <cellStyle name="표준 5 7 2 3 2 2 7" xfId="43137" xr:uid="{00000000-0005-0000-0000-0000F3BD0000}"/>
    <cellStyle name="표준 5 7 2 3 2 3" xfId="8075" xr:uid="{00000000-0005-0000-0000-0000F4BD0000}"/>
    <cellStyle name="표준 5 7 2 3 2 3 2" xfId="28781" xr:uid="{00000000-0005-0000-0000-0000F5BD0000}"/>
    <cellStyle name="표준 5 7 2 3 2 3 3" xfId="36992" xr:uid="{00000000-0005-0000-0000-0000F6BD0000}"/>
    <cellStyle name="표준 5 7 2 3 2 3 4" xfId="45185" xr:uid="{00000000-0005-0000-0000-0000F7BD0000}"/>
    <cellStyle name="표준 5 7 2 3 2 4" xfId="12187" xr:uid="{00000000-0005-0000-0000-0000F8BD0000}"/>
    <cellStyle name="표준 5 7 2 3 2 5" xfId="16427" xr:uid="{00000000-0005-0000-0000-0000F9BD0000}"/>
    <cellStyle name="표준 5 7 2 3 2 6" xfId="20589" xr:uid="{00000000-0005-0000-0000-0000FABD0000}"/>
    <cellStyle name="표준 5 7 2 3 2 7" xfId="24685" xr:uid="{00000000-0005-0000-0000-0000FBBD0000}"/>
    <cellStyle name="표준 5 7 2 3 2 8" xfId="32896" xr:uid="{00000000-0005-0000-0000-0000FCBD0000}"/>
    <cellStyle name="표준 5 7 2 3 2 9" xfId="41089" xr:uid="{00000000-0005-0000-0000-0000FDBD0000}"/>
    <cellStyle name="표준 5 7 2 3 3" xfId="1732" xr:uid="{00000000-0005-0000-0000-0000FEBD0000}"/>
    <cellStyle name="표준 5 7 2 3 3 2" xfId="10635" xr:uid="{00000000-0005-0000-0000-0000FFBD0000}"/>
    <cellStyle name="표준 5 7 2 3 3 2 2" xfId="14747" xr:uid="{00000000-0005-0000-0000-000000BE0000}"/>
    <cellStyle name="표준 5 7 2 3 3 2 2 2" xfId="31341" xr:uid="{00000000-0005-0000-0000-000001BE0000}"/>
    <cellStyle name="표준 5 7 2 3 3 2 2 3" xfId="39552" xr:uid="{00000000-0005-0000-0000-000002BE0000}"/>
    <cellStyle name="표준 5 7 2 3 3 2 2 4" xfId="47745" xr:uid="{00000000-0005-0000-0000-000003BE0000}"/>
    <cellStyle name="표준 5 7 2 3 3 2 3" xfId="18987" xr:uid="{00000000-0005-0000-0000-000004BE0000}"/>
    <cellStyle name="표준 5 7 2 3 3 2 4" xfId="23149" xr:uid="{00000000-0005-0000-0000-000005BE0000}"/>
    <cellStyle name="표준 5 7 2 3 3 2 5" xfId="27245" xr:uid="{00000000-0005-0000-0000-000006BE0000}"/>
    <cellStyle name="표준 5 7 2 3 3 2 6" xfId="35456" xr:uid="{00000000-0005-0000-0000-000007BE0000}"/>
    <cellStyle name="표준 5 7 2 3 3 2 7" xfId="43649" xr:uid="{00000000-0005-0000-0000-000008BE0000}"/>
    <cellStyle name="표준 5 7 2 3 3 3" xfId="8587" xr:uid="{00000000-0005-0000-0000-000009BE0000}"/>
    <cellStyle name="표준 5 7 2 3 3 3 2" xfId="29293" xr:uid="{00000000-0005-0000-0000-00000ABE0000}"/>
    <cellStyle name="표준 5 7 2 3 3 3 3" xfId="37504" xr:uid="{00000000-0005-0000-0000-00000BBE0000}"/>
    <cellStyle name="표준 5 7 2 3 3 3 4" xfId="45697" xr:uid="{00000000-0005-0000-0000-00000CBE0000}"/>
    <cellStyle name="표준 5 7 2 3 3 4" xfId="12699" xr:uid="{00000000-0005-0000-0000-00000DBE0000}"/>
    <cellStyle name="표준 5 7 2 3 3 5" xfId="16939" xr:uid="{00000000-0005-0000-0000-00000EBE0000}"/>
    <cellStyle name="표준 5 7 2 3 3 6" xfId="21101" xr:uid="{00000000-0005-0000-0000-00000FBE0000}"/>
    <cellStyle name="표준 5 7 2 3 3 7" xfId="25197" xr:uid="{00000000-0005-0000-0000-000010BE0000}"/>
    <cellStyle name="표준 5 7 2 3 3 8" xfId="33408" xr:uid="{00000000-0005-0000-0000-000011BE0000}"/>
    <cellStyle name="표준 5 7 2 3 3 9" xfId="41601" xr:uid="{00000000-0005-0000-0000-000012BE0000}"/>
    <cellStyle name="표준 5 7 2 3 4" xfId="2244" xr:uid="{00000000-0005-0000-0000-000013BE0000}"/>
    <cellStyle name="표준 5 7 2 3 4 2" xfId="11147" xr:uid="{00000000-0005-0000-0000-000014BE0000}"/>
    <cellStyle name="표준 5 7 2 3 4 2 2" xfId="15259" xr:uid="{00000000-0005-0000-0000-000015BE0000}"/>
    <cellStyle name="표준 5 7 2 3 4 2 2 2" xfId="31853" xr:uid="{00000000-0005-0000-0000-000016BE0000}"/>
    <cellStyle name="표준 5 7 2 3 4 2 2 3" xfId="40064" xr:uid="{00000000-0005-0000-0000-000017BE0000}"/>
    <cellStyle name="표준 5 7 2 3 4 2 2 4" xfId="48257" xr:uid="{00000000-0005-0000-0000-000018BE0000}"/>
    <cellStyle name="표준 5 7 2 3 4 2 3" xfId="19499" xr:uid="{00000000-0005-0000-0000-000019BE0000}"/>
    <cellStyle name="표준 5 7 2 3 4 2 4" xfId="23661" xr:uid="{00000000-0005-0000-0000-00001ABE0000}"/>
    <cellStyle name="표준 5 7 2 3 4 2 5" xfId="27757" xr:uid="{00000000-0005-0000-0000-00001BBE0000}"/>
    <cellStyle name="표준 5 7 2 3 4 2 6" xfId="35968" xr:uid="{00000000-0005-0000-0000-00001CBE0000}"/>
    <cellStyle name="표준 5 7 2 3 4 2 7" xfId="44161" xr:uid="{00000000-0005-0000-0000-00001DBE0000}"/>
    <cellStyle name="표준 5 7 2 3 4 3" xfId="9099" xr:uid="{00000000-0005-0000-0000-00001EBE0000}"/>
    <cellStyle name="표준 5 7 2 3 4 3 2" xfId="29805" xr:uid="{00000000-0005-0000-0000-00001FBE0000}"/>
    <cellStyle name="표준 5 7 2 3 4 3 3" xfId="38016" xr:uid="{00000000-0005-0000-0000-000020BE0000}"/>
    <cellStyle name="표준 5 7 2 3 4 3 4" xfId="46209" xr:uid="{00000000-0005-0000-0000-000021BE0000}"/>
    <cellStyle name="표준 5 7 2 3 4 4" xfId="13211" xr:uid="{00000000-0005-0000-0000-000022BE0000}"/>
    <cellStyle name="표준 5 7 2 3 4 5" xfId="17451" xr:uid="{00000000-0005-0000-0000-000023BE0000}"/>
    <cellStyle name="표준 5 7 2 3 4 6" xfId="21613" xr:uid="{00000000-0005-0000-0000-000024BE0000}"/>
    <cellStyle name="표준 5 7 2 3 4 7" xfId="25709" xr:uid="{00000000-0005-0000-0000-000025BE0000}"/>
    <cellStyle name="표준 5 7 2 3 4 8" xfId="33920" xr:uid="{00000000-0005-0000-0000-000026BE0000}"/>
    <cellStyle name="표준 5 7 2 3 4 9" xfId="42113" xr:uid="{00000000-0005-0000-0000-000027BE0000}"/>
    <cellStyle name="표준 5 7 2 3 5" xfId="9611" xr:uid="{00000000-0005-0000-0000-000028BE0000}"/>
    <cellStyle name="표준 5 7 2 3 5 2" xfId="13723" xr:uid="{00000000-0005-0000-0000-000029BE0000}"/>
    <cellStyle name="표준 5 7 2 3 5 2 2" xfId="30317" xr:uid="{00000000-0005-0000-0000-00002ABE0000}"/>
    <cellStyle name="표준 5 7 2 3 5 2 3" xfId="38528" xr:uid="{00000000-0005-0000-0000-00002BBE0000}"/>
    <cellStyle name="표준 5 7 2 3 5 2 4" xfId="46721" xr:uid="{00000000-0005-0000-0000-00002CBE0000}"/>
    <cellStyle name="표준 5 7 2 3 5 3" xfId="17963" xr:uid="{00000000-0005-0000-0000-00002DBE0000}"/>
    <cellStyle name="표준 5 7 2 3 5 4" xfId="22125" xr:uid="{00000000-0005-0000-0000-00002EBE0000}"/>
    <cellStyle name="표준 5 7 2 3 5 5" xfId="26221" xr:uid="{00000000-0005-0000-0000-00002FBE0000}"/>
    <cellStyle name="표준 5 7 2 3 5 6" xfId="34432" xr:uid="{00000000-0005-0000-0000-000030BE0000}"/>
    <cellStyle name="표준 5 7 2 3 5 7" xfId="42625" xr:uid="{00000000-0005-0000-0000-000031BE0000}"/>
    <cellStyle name="표준 5 7 2 3 6" xfId="7563" xr:uid="{00000000-0005-0000-0000-000032BE0000}"/>
    <cellStyle name="표준 5 7 2 3 6 2" xfId="28269" xr:uid="{00000000-0005-0000-0000-000033BE0000}"/>
    <cellStyle name="표준 5 7 2 3 6 3" xfId="36480" xr:uid="{00000000-0005-0000-0000-000034BE0000}"/>
    <cellStyle name="표준 5 7 2 3 6 4" xfId="44673" xr:uid="{00000000-0005-0000-0000-000035BE0000}"/>
    <cellStyle name="표준 5 7 2 3 7" xfId="11675" xr:uid="{00000000-0005-0000-0000-000036BE0000}"/>
    <cellStyle name="표준 5 7 2 3 8" xfId="15915" xr:uid="{00000000-0005-0000-0000-000037BE0000}"/>
    <cellStyle name="표준 5 7 2 3 9" xfId="20077" xr:uid="{00000000-0005-0000-0000-000038BE0000}"/>
    <cellStyle name="표준 5 7 2 4" xfId="964" xr:uid="{00000000-0005-0000-0000-000039BE0000}"/>
    <cellStyle name="표준 5 7 2 4 2" xfId="9867" xr:uid="{00000000-0005-0000-0000-00003ABE0000}"/>
    <cellStyle name="표준 5 7 2 4 2 2" xfId="13979" xr:uid="{00000000-0005-0000-0000-00003BBE0000}"/>
    <cellStyle name="표준 5 7 2 4 2 2 2" xfId="30573" xr:uid="{00000000-0005-0000-0000-00003CBE0000}"/>
    <cellStyle name="표준 5 7 2 4 2 2 3" xfId="38784" xr:uid="{00000000-0005-0000-0000-00003DBE0000}"/>
    <cellStyle name="표준 5 7 2 4 2 2 4" xfId="46977" xr:uid="{00000000-0005-0000-0000-00003EBE0000}"/>
    <cellStyle name="표준 5 7 2 4 2 3" xfId="18219" xr:uid="{00000000-0005-0000-0000-00003FBE0000}"/>
    <cellStyle name="표준 5 7 2 4 2 4" xfId="22381" xr:uid="{00000000-0005-0000-0000-000040BE0000}"/>
    <cellStyle name="표준 5 7 2 4 2 5" xfId="26477" xr:uid="{00000000-0005-0000-0000-000041BE0000}"/>
    <cellStyle name="표준 5 7 2 4 2 6" xfId="34688" xr:uid="{00000000-0005-0000-0000-000042BE0000}"/>
    <cellStyle name="표준 5 7 2 4 2 7" xfId="42881" xr:uid="{00000000-0005-0000-0000-000043BE0000}"/>
    <cellStyle name="표준 5 7 2 4 3" xfId="7819" xr:uid="{00000000-0005-0000-0000-000044BE0000}"/>
    <cellStyle name="표준 5 7 2 4 3 2" xfId="28525" xr:uid="{00000000-0005-0000-0000-000045BE0000}"/>
    <cellStyle name="표준 5 7 2 4 3 3" xfId="36736" xr:uid="{00000000-0005-0000-0000-000046BE0000}"/>
    <cellStyle name="표준 5 7 2 4 3 4" xfId="44929" xr:uid="{00000000-0005-0000-0000-000047BE0000}"/>
    <cellStyle name="표준 5 7 2 4 4" xfId="11931" xr:uid="{00000000-0005-0000-0000-000048BE0000}"/>
    <cellStyle name="표준 5 7 2 4 5" xfId="16171" xr:uid="{00000000-0005-0000-0000-000049BE0000}"/>
    <cellStyle name="표준 5 7 2 4 6" xfId="20333" xr:uid="{00000000-0005-0000-0000-00004ABE0000}"/>
    <cellStyle name="표준 5 7 2 4 7" xfId="24429" xr:uid="{00000000-0005-0000-0000-00004BBE0000}"/>
    <cellStyle name="표준 5 7 2 4 8" xfId="32640" xr:uid="{00000000-0005-0000-0000-00004CBE0000}"/>
    <cellStyle name="표준 5 7 2 4 9" xfId="40833" xr:uid="{00000000-0005-0000-0000-00004DBE0000}"/>
    <cellStyle name="표준 5 7 2 5" xfId="1476" xr:uid="{00000000-0005-0000-0000-00004EBE0000}"/>
    <cellStyle name="표준 5 7 2 5 2" xfId="10379" xr:uid="{00000000-0005-0000-0000-00004FBE0000}"/>
    <cellStyle name="표준 5 7 2 5 2 2" xfId="14491" xr:uid="{00000000-0005-0000-0000-000050BE0000}"/>
    <cellStyle name="표준 5 7 2 5 2 2 2" xfId="31085" xr:uid="{00000000-0005-0000-0000-000051BE0000}"/>
    <cellStyle name="표준 5 7 2 5 2 2 3" xfId="39296" xr:uid="{00000000-0005-0000-0000-000052BE0000}"/>
    <cellStyle name="표준 5 7 2 5 2 2 4" xfId="47489" xr:uid="{00000000-0005-0000-0000-000053BE0000}"/>
    <cellStyle name="표준 5 7 2 5 2 3" xfId="18731" xr:uid="{00000000-0005-0000-0000-000054BE0000}"/>
    <cellStyle name="표준 5 7 2 5 2 4" xfId="22893" xr:uid="{00000000-0005-0000-0000-000055BE0000}"/>
    <cellStyle name="표준 5 7 2 5 2 5" xfId="26989" xr:uid="{00000000-0005-0000-0000-000056BE0000}"/>
    <cellStyle name="표준 5 7 2 5 2 6" xfId="35200" xr:uid="{00000000-0005-0000-0000-000057BE0000}"/>
    <cellStyle name="표준 5 7 2 5 2 7" xfId="43393" xr:uid="{00000000-0005-0000-0000-000058BE0000}"/>
    <cellStyle name="표준 5 7 2 5 3" xfId="8331" xr:uid="{00000000-0005-0000-0000-000059BE0000}"/>
    <cellStyle name="표준 5 7 2 5 3 2" xfId="29037" xr:uid="{00000000-0005-0000-0000-00005ABE0000}"/>
    <cellStyle name="표준 5 7 2 5 3 3" xfId="37248" xr:uid="{00000000-0005-0000-0000-00005BBE0000}"/>
    <cellStyle name="표준 5 7 2 5 3 4" xfId="45441" xr:uid="{00000000-0005-0000-0000-00005CBE0000}"/>
    <cellStyle name="표준 5 7 2 5 4" xfId="12443" xr:uid="{00000000-0005-0000-0000-00005DBE0000}"/>
    <cellStyle name="표준 5 7 2 5 5" xfId="16683" xr:uid="{00000000-0005-0000-0000-00005EBE0000}"/>
    <cellStyle name="표준 5 7 2 5 6" xfId="20845" xr:uid="{00000000-0005-0000-0000-00005FBE0000}"/>
    <cellStyle name="표준 5 7 2 5 7" xfId="24941" xr:uid="{00000000-0005-0000-0000-000060BE0000}"/>
    <cellStyle name="표준 5 7 2 5 8" xfId="33152" xr:uid="{00000000-0005-0000-0000-000061BE0000}"/>
    <cellStyle name="표준 5 7 2 5 9" xfId="41345" xr:uid="{00000000-0005-0000-0000-000062BE0000}"/>
    <cellStyle name="표준 5 7 2 6" xfId="1988" xr:uid="{00000000-0005-0000-0000-000063BE0000}"/>
    <cellStyle name="표준 5 7 2 6 2" xfId="10891" xr:uid="{00000000-0005-0000-0000-000064BE0000}"/>
    <cellStyle name="표준 5 7 2 6 2 2" xfId="15003" xr:uid="{00000000-0005-0000-0000-000065BE0000}"/>
    <cellStyle name="표준 5 7 2 6 2 2 2" xfId="31597" xr:uid="{00000000-0005-0000-0000-000066BE0000}"/>
    <cellStyle name="표준 5 7 2 6 2 2 3" xfId="39808" xr:uid="{00000000-0005-0000-0000-000067BE0000}"/>
    <cellStyle name="표준 5 7 2 6 2 2 4" xfId="48001" xr:uid="{00000000-0005-0000-0000-000068BE0000}"/>
    <cellStyle name="표준 5 7 2 6 2 3" xfId="19243" xr:uid="{00000000-0005-0000-0000-000069BE0000}"/>
    <cellStyle name="표준 5 7 2 6 2 4" xfId="23405" xr:uid="{00000000-0005-0000-0000-00006ABE0000}"/>
    <cellStyle name="표준 5 7 2 6 2 5" xfId="27501" xr:uid="{00000000-0005-0000-0000-00006BBE0000}"/>
    <cellStyle name="표준 5 7 2 6 2 6" xfId="35712" xr:uid="{00000000-0005-0000-0000-00006CBE0000}"/>
    <cellStyle name="표준 5 7 2 6 2 7" xfId="43905" xr:uid="{00000000-0005-0000-0000-00006DBE0000}"/>
    <cellStyle name="표준 5 7 2 6 3" xfId="8843" xr:uid="{00000000-0005-0000-0000-00006EBE0000}"/>
    <cellStyle name="표준 5 7 2 6 3 2" xfId="29549" xr:uid="{00000000-0005-0000-0000-00006FBE0000}"/>
    <cellStyle name="표준 5 7 2 6 3 3" xfId="37760" xr:uid="{00000000-0005-0000-0000-000070BE0000}"/>
    <cellStyle name="표준 5 7 2 6 3 4" xfId="45953" xr:uid="{00000000-0005-0000-0000-000071BE0000}"/>
    <cellStyle name="표준 5 7 2 6 4" xfId="12955" xr:uid="{00000000-0005-0000-0000-000072BE0000}"/>
    <cellStyle name="표준 5 7 2 6 5" xfId="17195" xr:uid="{00000000-0005-0000-0000-000073BE0000}"/>
    <cellStyle name="표준 5 7 2 6 6" xfId="21357" xr:uid="{00000000-0005-0000-0000-000074BE0000}"/>
    <cellStyle name="표준 5 7 2 6 7" xfId="25453" xr:uid="{00000000-0005-0000-0000-000075BE0000}"/>
    <cellStyle name="표준 5 7 2 6 8" xfId="33664" xr:uid="{00000000-0005-0000-0000-000076BE0000}"/>
    <cellStyle name="표준 5 7 2 6 9" xfId="41857" xr:uid="{00000000-0005-0000-0000-000077BE0000}"/>
    <cellStyle name="표준 5 7 2 7" xfId="7048" xr:uid="{00000000-0005-0000-0000-000078BE0000}"/>
    <cellStyle name="표준 5 7 2 7 2" xfId="9355" xr:uid="{00000000-0005-0000-0000-000079BE0000}"/>
    <cellStyle name="표준 5 7 2 7 2 2" xfId="30061" xr:uid="{00000000-0005-0000-0000-00007ABE0000}"/>
    <cellStyle name="표준 5 7 2 7 2 3" xfId="38272" xr:uid="{00000000-0005-0000-0000-00007BBE0000}"/>
    <cellStyle name="표준 5 7 2 7 2 4" xfId="46465" xr:uid="{00000000-0005-0000-0000-00007CBE0000}"/>
    <cellStyle name="표준 5 7 2 7 3" xfId="13467" xr:uid="{00000000-0005-0000-0000-00007DBE0000}"/>
    <cellStyle name="표준 5 7 2 7 4" xfId="17707" xr:uid="{00000000-0005-0000-0000-00007EBE0000}"/>
    <cellStyle name="표준 5 7 2 7 5" xfId="21869" xr:uid="{00000000-0005-0000-0000-00007FBE0000}"/>
    <cellStyle name="표준 5 7 2 7 6" xfId="25965" xr:uid="{00000000-0005-0000-0000-000080BE0000}"/>
    <cellStyle name="표준 5 7 2 7 7" xfId="34176" xr:uid="{00000000-0005-0000-0000-000081BE0000}"/>
    <cellStyle name="표준 5 7 2 7 8" xfId="42369" xr:uid="{00000000-0005-0000-0000-000082BE0000}"/>
    <cellStyle name="표준 5 7 2 8" xfId="7130" xr:uid="{00000000-0005-0000-0000-000083BE0000}"/>
    <cellStyle name="표준 5 7 2 8 2" xfId="28013" xr:uid="{00000000-0005-0000-0000-000084BE0000}"/>
    <cellStyle name="표준 5 7 2 8 3" xfId="36224" xr:uid="{00000000-0005-0000-0000-000085BE0000}"/>
    <cellStyle name="표준 5 7 2 8 4" xfId="44417" xr:uid="{00000000-0005-0000-0000-000086BE0000}"/>
    <cellStyle name="표준 5 7 2 9" xfId="7307" xr:uid="{00000000-0005-0000-0000-000087BE0000}"/>
    <cellStyle name="표준 5 7 20" xfId="49652" xr:uid="{00000000-0005-0000-0000-000088BE0000}"/>
    <cellStyle name="표준 5 7 3" xfId="516" xr:uid="{00000000-0005-0000-0000-000089BE0000}"/>
    <cellStyle name="표준 5 7 3 10" xfId="19885" xr:uid="{00000000-0005-0000-0000-00008ABE0000}"/>
    <cellStyle name="표준 5 7 3 11" xfId="23981" xr:uid="{00000000-0005-0000-0000-00008BBE0000}"/>
    <cellStyle name="표준 5 7 3 12" xfId="32192" xr:uid="{00000000-0005-0000-0000-00008CBE0000}"/>
    <cellStyle name="표준 5 7 3 13" xfId="40385" xr:uid="{00000000-0005-0000-0000-00008DBE0000}"/>
    <cellStyle name="표준 5 7 3 2" xfId="772" xr:uid="{00000000-0005-0000-0000-00008EBE0000}"/>
    <cellStyle name="표준 5 7 3 2 10" xfId="24237" xr:uid="{00000000-0005-0000-0000-00008FBE0000}"/>
    <cellStyle name="표준 5 7 3 2 11" xfId="32448" xr:uid="{00000000-0005-0000-0000-000090BE0000}"/>
    <cellStyle name="표준 5 7 3 2 12" xfId="40641" xr:uid="{00000000-0005-0000-0000-000091BE0000}"/>
    <cellStyle name="표준 5 7 3 2 2" xfId="1284" xr:uid="{00000000-0005-0000-0000-000092BE0000}"/>
    <cellStyle name="표준 5 7 3 2 2 2" xfId="10187" xr:uid="{00000000-0005-0000-0000-000093BE0000}"/>
    <cellStyle name="표준 5 7 3 2 2 2 2" xfId="14299" xr:uid="{00000000-0005-0000-0000-000094BE0000}"/>
    <cellStyle name="표준 5 7 3 2 2 2 2 2" xfId="30893" xr:uid="{00000000-0005-0000-0000-000095BE0000}"/>
    <cellStyle name="표준 5 7 3 2 2 2 2 3" xfId="39104" xr:uid="{00000000-0005-0000-0000-000096BE0000}"/>
    <cellStyle name="표준 5 7 3 2 2 2 2 4" xfId="47297" xr:uid="{00000000-0005-0000-0000-000097BE0000}"/>
    <cellStyle name="표준 5 7 3 2 2 2 3" xfId="18539" xr:uid="{00000000-0005-0000-0000-000098BE0000}"/>
    <cellStyle name="표준 5 7 3 2 2 2 4" xfId="22701" xr:uid="{00000000-0005-0000-0000-000099BE0000}"/>
    <cellStyle name="표준 5 7 3 2 2 2 5" xfId="26797" xr:uid="{00000000-0005-0000-0000-00009ABE0000}"/>
    <cellStyle name="표준 5 7 3 2 2 2 6" xfId="35008" xr:uid="{00000000-0005-0000-0000-00009BBE0000}"/>
    <cellStyle name="표준 5 7 3 2 2 2 7" xfId="43201" xr:uid="{00000000-0005-0000-0000-00009CBE0000}"/>
    <cellStyle name="표준 5 7 3 2 2 3" xfId="8139" xr:uid="{00000000-0005-0000-0000-00009DBE0000}"/>
    <cellStyle name="표준 5 7 3 2 2 3 2" xfId="28845" xr:uid="{00000000-0005-0000-0000-00009EBE0000}"/>
    <cellStyle name="표준 5 7 3 2 2 3 3" xfId="37056" xr:uid="{00000000-0005-0000-0000-00009FBE0000}"/>
    <cellStyle name="표준 5 7 3 2 2 3 4" xfId="45249" xr:uid="{00000000-0005-0000-0000-0000A0BE0000}"/>
    <cellStyle name="표준 5 7 3 2 2 4" xfId="12251" xr:uid="{00000000-0005-0000-0000-0000A1BE0000}"/>
    <cellStyle name="표준 5 7 3 2 2 5" xfId="16491" xr:uid="{00000000-0005-0000-0000-0000A2BE0000}"/>
    <cellStyle name="표준 5 7 3 2 2 6" xfId="20653" xr:uid="{00000000-0005-0000-0000-0000A3BE0000}"/>
    <cellStyle name="표준 5 7 3 2 2 7" xfId="24749" xr:uid="{00000000-0005-0000-0000-0000A4BE0000}"/>
    <cellStyle name="표준 5 7 3 2 2 8" xfId="32960" xr:uid="{00000000-0005-0000-0000-0000A5BE0000}"/>
    <cellStyle name="표준 5 7 3 2 2 9" xfId="41153" xr:uid="{00000000-0005-0000-0000-0000A6BE0000}"/>
    <cellStyle name="표준 5 7 3 2 3" xfId="1796" xr:uid="{00000000-0005-0000-0000-0000A7BE0000}"/>
    <cellStyle name="표준 5 7 3 2 3 2" xfId="10699" xr:uid="{00000000-0005-0000-0000-0000A8BE0000}"/>
    <cellStyle name="표준 5 7 3 2 3 2 2" xfId="14811" xr:uid="{00000000-0005-0000-0000-0000A9BE0000}"/>
    <cellStyle name="표준 5 7 3 2 3 2 2 2" xfId="31405" xr:uid="{00000000-0005-0000-0000-0000AABE0000}"/>
    <cellStyle name="표준 5 7 3 2 3 2 2 3" xfId="39616" xr:uid="{00000000-0005-0000-0000-0000ABBE0000}"/>
    <cellStyle name="표준 5 7 3 2 3 2 2 4" xfId="47809" xr:uid="{00000000-0005-0000-0000-0000ACBE0000}"/>
    <cellStyle name="표준 5 7 3 2 3 2 3" xfId="19051" xr:uid="{00000000-0005-0000-0000-0000ADBE0000}"/>
    <cellStyle name="표준 5 7 3 2 3 2 4" xfId="23213" xr:uid="{00000000-0005-0000-0000-0000AEBE0000}"/>
    <cellStyle name="표준 5 7 3 2 3 2 5" xfId="27309" xr:uid="{00000000-0005-0000-0000-0000AFBE0000}"/>
    <cellStyle name="표준 5 7 3 2 3 2 6" xfId="35520" xr:uid="{00000000-0005-0000-0000-0000B0BE0000}"/>
    <cellStyle name="표준 5 7 3 2 3 2 7" xfId="43713" xr:uid="{00000000-0005-0000-0000-0000B1BE0000}"/>
    <cellStyle name="표준 5 7 3 2 3 3" xfId="8651" xr:uid="{00000000-0005-0000-0000-0000B2BE0000}"/>
    <cellStyle name="표준 5 7 3 2 3 3 2" xfId="29357" xr:uid="{00000000-0005-0000-0000-0000B3BE0000}"/>
    <cellStyle name="표준 5 7 3 2 3 3 3" xfId="37568" xr:uid="{00000000-0005-0000-0000-0000B4BE0000}"/>
    <cellStyle name="표준 5 7 3 2 3 3 4" xfId="45761" xr:uid="{00000000-0005-0000-0000-0000B5BE0000}"/>
    <cellStyle name="표준 5 7 3 2 3 4" xfId="12763" xr:uid="{00000000-0005-0000-0000-0000B6BE0000}"/>
    <cellStyle name="표준 5 7 3 2 3 5" xfId="17003" xr:uid="{00000000-0005-0000-0000-0000B7BE0000}"/>
    <cellStyle name="표준 5 7 3 2 3 6" xfId="21165" xr:uid="{00000000-0005-0000-0000-0000B8BE0000}"/>
    <cellStyle name="표준 5 7 3 2 3 7" xfId="25261" xr:uid="{00000000-0005-0000-0000-0000B9BE0000}"/>
    <cellStyle name="표준 5 7 3 2 3 8" xfId="33472" xr:uid="{00000000-0005-0000-0000-0000BABE0000}"/>
    <cellStyle name="표준 5 7 3 2 3 9" xfId="41665" xr:uid="{00000000-0005-0000-0000-0000BBBE0000}"/>
    <cellStyle name="표준 5 7 3 2 4" xfId="2308" xr:uid="{00000000-0005-0000-0000-0000BCBE0000}"/>
    <cellStyle name="표준 5 7 3 2 4 2" xfId="11211" xr:uid="{00000000-0005-0000-0000-0000BDBE0000}"/>
    <cellStyle name="표준 5 7 3 2 4 2 2" xfId="15323" xr:uid="{00000000-0005-0000-0000-0000BEBE0000}"/>
    <cellStyle name="표준 5 7 3 2 4 2 2 2" xfId="31917" xr:uid="{00000000-0005-0000-0000-0000BFBE0000}"/>
    <cellStyle name="표준 5 7 3 2 4 2 2 3" xfId="40128" xr:uid="{00000000-0005-0000-0000-0000C0BE0000}"/>
    <cellStyle name="표준 5 7 3 2 4 2 2 4" xfId="48321" xr:uid="{00000000-0005-0000-0000-0000C1BE0000}"/>
    <cellStyle name="표준 5 7 3 2 4 2 3" xfId="19563" xr:uid="{00000000-0005-0000-0000-0000C2BE0000}"/>
    <cellStyle name="표준 5 7 3 2 4 2 4" xfId="23725" xr:uid="{00000000-0005-0000-0000-0000C3BE0000}"/>
    <cellStyle name="표준 5 7 3 2 4 2 5" xfId="27821" xr:uid="{00000000-0005-0000-0000-0000C4BE0000}"/>
    <cellStyle name="표준 5 7 3 2 4 2 6" xfId="36032" xr:uid="{00000000-0005-0000-0000-0000C5BE0000}"/>
    <cellStyle name="표준 5 7 3 2 4 2 7" xfId="44225" xr:uid="{00000000-0005-0000-0000-0000C6BE0000}"/>
    <cellStyle name="표준 5 7 3 2 4 3" xfId="9163" xr:uid="{00000000-0005-0000-0000-0000C7BE0000}"/>
    <cellStyle name="표준 5 7 3 2 4 3 2" xfId="29869" xr:uid="{00000000-0005-0000-0000-0000C8BE0000}"/>
    <cellStyle name="표준 5 7 3 2 4 3 3" xfId="38080" xr:uid="{00000000-0005-0000-0000-0000C9BE0000}"/>
    <cellStyle name="표준 5 7 3 2 4 3 4" xfId="46273" xr:uid="{00000000-0005-0000-0000-0000CABE0000}"/>
    <cellStyle name="표준 5 7 3 2 4 4" xfId="13275" xr:uid="{00000000-0005-0000-0000-0000CBBE0000}"/>
    <cellStyle name="표준 5 7 3 2 4 5" xfId="17515" xr:uid="{00000000-0005-0000-0000-0000CCBE0000}"/>
    <cellStyle name="표준 5 7 3 2 4 6" xfId="21677" xr:uid="{00000000-0005-0000-0000-0000CDBE0000}"/>
    <cellStyle name="표준 5 7 3 2 4 7" xfId="25773" xr:uid="{00000000-0005-0000-0000-0000CEBE0000}"/>
    <cellStyle name="표준 5 7 3 2 4 8" xfId="33984" xr:uid="{00000000-0005-0000-0000-0000CFBE0000}"/>
    <cellStyle name="표준 5 7 3 2 4 9" xfId="42177" xr:uid="{00000000-0005-0000-0000-0000D0BE0000}"/>
    <cellStyle name="표준 5 7 3 2 5" xfId="9675" xr:uid="{00000000-0005-0000-0000-0000D1BE0000}"/>
    <cellStyle name="표준 5 7 3 2 5 2" xfId="13787" xr:uid="{00000000-0005-0000-0000-0000D2BE0000}"/>
    <cellStyle name="표준 5 7 3 2 5 2 2" xfId="30381" xr:uid="{00000000-0005-0000-0000-0000D3BE0000}"/>
    <cellStyle name="표준 5 7 3 2 5 2 3" xfId="38592" xr:uid="{00000000-0005-0000-0000-0000D4BE0000}"/>
    <cellStyle name="표준 5 7 3 2 5 2 4" xfId="46785" xr:uid="{00000000-0005-0000-0000-0000D5BE0000}"/>
    <cellStyle name="표준 5 7 3 2 5 3" xfId="18027" xr:uid="{00000000-0005-0000-0000-0000D6BE0000}"/>
    <cellStyle name="표준 5 7 3 2 5 4" xfId="22189" xr:uid="{00000000-0005-0000-0000-0000D7BE0000}"/>
    <cellStyle name="표준 5 7 3 2 5 5" xfId="26285" xr:uid="{00000000-0005-0000-0000-0000D8BE0000}"/>
    <cellStyle name="표준 5 7 3 2 5 6" xfId="34496" xr:uid="{00000000-0005-0000-0000-0000D9BE0000}"/>
    <cellStyle name="표준 5 7 3 2 5 7" xfId="42689" xr:uid="{00000000-0005-0000-0000-0000DABE0000}"/>
    <cellStyle name="표준 5 7 3 2 6" xfId="7627" xr:uid="{00000000-0005-0000-0000-0000DBBE0000}"/>
    <cellStyle name="표준 5 7 3 2 6 2" xfId="28333" xr:uid="{00000000-0005-0000-0000-0000DCBE0000}"/>
    <cellStyle name="표준 5 7 3 2 6 3" xfId="36544" xr:uid="{00000000-0005-0000-0000-0000DDBE0000}"/>
    <cellStyle name="표준 5 7 3 2 6 4" xfId="44737" xr:uid="{00000000-0005-0000-0000-0000DEBE0000}"/>
    <cellStyle name="표준 5 7 3 2 7" xfId="11739" xr:uid="{00000000-0005-0000-0000-0000DFBE0000}"/>
    <cellStyle name="표준 5 7 3 2 8" xfId="15979" xr:uid="{00000000-0005-0000-0000-0000E0BE0000}"/>
    <cellStyle name="표준 5 7 3 2 9" xfId="20141" xr:uid="{00000000-0005-0000-0000-0000E1BE0000}"/>
    <cellStyle name="표준 5 7 3 3" xfId="1028" xr:uid="{00000000-0005-0000-0000-0000E2BE0000}"/>
    <cellStyle name="표준 5 7 3 3 2" xfId="9931" xr:uid="{00000000-0005-0000-0000-0000E3BE0000}"/>
    <cellStyle name="표준 5 7 3 3 2 2" xfId="14043" xr:uid="{00000000-0005-0000-0000-0000E4BE0000}"/>
    <cellStyle name="표준 5 7 3 3 2 2 2" xfId="30637" xr:uid="{00000000-0005-0000-0000-0000E5BE0000}"/>
    <cellStyle name="표준 5 7 3 3 2 2 3" xfId="38848" xr:uid="{00000000-0005-0000-0000-0000E6BE0000}"/>
    <cellStyle name="표준 5 7 3 3 2 2 4" xfId="47041" xr:uid="{00000000-0005-0000-0000-0000E7BE0000}"/>
    <cellStyle name="표준 5 7 3 3 2 3" xfId="18283" xr:uid="{00000000-0005-0000-0000-0000E8BE0000}"/>
    <cellStyle name="표준 5 7 3 3 2 4" xfId="22445" xr:uid="{00000000-0005-0000-0000-0000E9BE0000}"/>
    <cellStyle name="표준 5 7 3 3 2 5" xfId="26541" xr:uid="{00000000-0005-0000-0000-0000EABE0000}"/>
    <cellStyle name="표준 5 7 3 3 2 6" xfId="34752" xr:uid="{00000000-0005-0000-0000-0000EBBE0000}"/>
    <cellStyle name="표준 5 7 3 3 2 7" xfId="42945" xr:uid="{00000000-0005-0000-0000-0000ECBE0000}"/>
    <cellStyle name="표준 5 7 3 3 3" xfId="7883" xr:uid="{00000000-0005-0000-0000-0000EDBE0000}"/>
    <cellStyle name="표준 5 7 3 3 3 2" xfId="28589" xr:uid="{00000000-0005-0000-0000-0000EEBE0000}"/>
    <cellStyle name="표준 5 7 3 3 3 3" xfId="36800" xr:uid="{00000000-0005-0000-0000-0000EFBE0000}"/>
    <cellStyle name="표준 5 7 3 3 3 4" xfId="44993" xr:uid="{00000000-0005-0000-0000-0000F0BE0000}"/>
    <cellStyle name="표준 5 7 3 3 4" xfId="11995" xr:uid="{00000000-0005-0000-0000-0000F1BE0000}"/>
    <cellStyle name="표준 5 7 3 3 5" xfId="16235" xr:uid="{00000000-0005-0000-0000-0000F2BE0000}"/>
    <cellStyle name="표준 5 7 3 3 6" xfId="20397" xr:uid="{00000000-0005-0000-0000-0000F3BE0000}"/>
    <cellStyle name="표준 5 7 3 3 7" xfId="24493" xr:uid="{00000000-0005-0000-0000-0000F4BE0000}"/>
    <cellStyle name="표준 5 7 3 3 8" xfId="32704" xr:uid="{00000000-0005-0000-0000-0000F5BE0000}"/>
    <cellStyle name="표준 5 7 3 3 9" xfId="40897" xr:uid="{00000000-0005-0000-0000-0000F6BE0000}"/>
    <cellStyle name="표준 5 7 3 4" xfId="1540" xr:uid="{00000000-0005-0000-0000-0000F7BE0000}"/>
    <cellStyle name="표준 5 7 3 4 2" xfId="10443" xr:uid="{00000000-0005-0000-0000-0000F8BE0000}"/>
    <cellStyle name="표준 5 7 3 4 2 2" xfId="14555" xr:uid="{00000000-0005-0000-0000-0000F9BE0000}"/>
    <cellStyle name="표준 5 7 3 4 2 2 2" xfId="31149" xr:uid="{00000000-0005-0000-0000-0000FABE0000}"/>
    <cellStyle name="표준 5 7 3 4 2 2 3" xfId="39360" xr:uid="{00000000-0005-0000-0000-0000FBBE0000}"/>
    <cellStyle name="표준 5 7 3 4 2 2 4" xfId="47553" xr:uid="{00000000-0005-0000-0000-0000FCBE0000}"/>
    <cellStyle name="표준 5 7 3 4 2 3" xfId="18795" xr:uid="{00000000-0005-0000-0000-0000FDBE0000}"/>
    <cellStyle name="표준 5 7 3 4 2 4" xfId="22957" xr:uid="{00000000-0005-0000-0000-0000FEBE0000}"/>
    <cellStyle name="표준 5 7 3 4 2 5" xfId="27053" xr:uid="{00000000-0005-0000-0000-0000FFBE0000}"/>
    <cellStyle name="표준 5 7 3 4 2 6" xfId="35264" xr:uid="{00000000-0005-0000-0000-000000BF0000}"/>
    <cellStyle name="표준 5 7 3 4 2 7" xfId="43457" xr:uid="{00000000-0005-0000-0000-000001BF0000}"/>
    <cellStyle name="표준 5 7 3 4 3" xfId="8395" xr:uid="{00000000-0005-0000-0000-000002BF0000}"/>
    <cellStyle name="표준 5 7 3 4 3 2" xfId="29101" xr:uid="{00000000-0005-0000-0000-000003BF0000}"/>
    <cellStyle name="표준 5 7 3 4 3 3" xfId="37312" xr:uid="{00000000-0005-0000-0000-000004BF0000}"/>
    <cellStyle name="표준 5 7 3 4 3 4" xfId="45505" xr:uid="{00000000-0005-0000-0000-000005BF0000}"/>
    <cellStyle name="표준 5 7 3 4 4" xfId="12507" xr:uid="{00000000-0005-0000-0000-000006BF0000}"/>
    <cellStyle name="표준 5 7 3 4 5" xfId="16747" xr:uid="{00000000-0005-0000-0000-000007BF0000}"/>
    <cellStyle name="표준 5 7 3 4 6" xfId="20909" xr:uid="{00000000-0005-0000-0000-000008BF0000}"/>
    <cellStyle name="표준 5 7 3 4 7" xfId="25005" xr:uid="{00000000-0005-0000-0000-000009BF0000}"/>
    <cellStyle name="표준 5 7 3 4 8" xfId="33216" xr:uid="{00000000-0005-0000-0000-00000ABF0000}"/>
    <cellStyle name="표준 5 7 3 4 9" xfId="41409" xr:uid="{00000000-0005-0000-0000-00000BBF0000}"/>
    <cellStyle name="표준 5 7 3 5" xfId="2052" xr:uid="{00000000-0005-0000-0000-00000CBF0000}"/>
    <cellStyle name="표준 5 7 3 5 2" xfId="10955" xr:uid="{00000000-0005-0000-0000-00000DBF0000}"/>
    <cellStyle name="표준 5 7 3 5 2 2" xfId="15067" xr:uid="{00000000-0005-0000-0000-00000EBF0000}"/>
    <cellStyle name="표준 5 7 3 5 2 2 2" xfId="31661" xr:uid="{00000000-0005-0000-0000-00000FBF0000}"/>
    <cellStyle name="표준 5 7 3 5 2 2 3" xfId="39872" xr:uid="{00000000-0005-0000-0000-000010BF0000}"/>
    <cellStyle name="표준 5 7 3 5 2 2 4" xfId="48065" xr:uid="{00000000-0005-0000-0000-000011BF0000}"/>
    <cellStyle name="표준 5 7 3 5 2 3" xfId="19307" xr:uid="{00000000-0005-0000-0000-000012BF0000}"/>
    <cellStyle name="표준 5 7 3 5 2 4" xfId="23469" xr:uid="{00000000-0005-0000-0000-000013BF0000}"/>
    <cellStyle name="표준 5 7 3 5 2 5" xfId="27565" xr:uid="{00000000-0005-0000-0000-000014BF0000}"/>
    <cellStyle name="표준 5 7 3 5 2 6" xfId="35776" xr:uid="{00000000-0005-0000-0000-000015BF0000}"/>
    <cellStyle name="표준 5 7 3 5 2 7" xfId="43969" xr:uid="{00000000-0005-0000-0000-000016BF0000}"/>
    <cellStyle name="표준 5 7 3 5 3" xfId="8907" xr:uid="{00000000-0005-0000-0000-000017BF0000}"/>
    <cellStyle name="표준 5 7 3 5 3 2" xfId="29613" xr:uid="{00000000-0005-0000-0000-000018BF0000}"/>
    <cellStyle name="표준 5 7 3 5 3 3" xfId="37824" xr:uid="{00000000-0005-0000-0000-000019BF0000}"/>
    <cellStyle name="표준 5 7 3 5 3 4" xfId="46017" xr:uid="{00000000-0005-0000-0000-00001ABF0000}"/>
    <cellStyle name="표준 5 7 3 5 4" xfId="13019" xr:uid="{00000000-0005-0000-0000-00001BBF0000}"/>
    <cellStyle name="표준 5 7 3 5 5" xfId="17259" xr:uid="{00000000-0005-0000-0000-00001CBF0000}"/>
    <cellStyle name="표준 5 7 3 5 6" xfId="21421" xr:uid="{00000000-0005-0000-0000-00001DBF0000}"/>
    <cellStyle name="표준 5 7 3 5 7" xfId="25517" xr:uid="{00000000-0005-0000-0000-00001EBF0000}"/>
    <cellStyle name="표준 5 7 3 5 8" xfId="33728" xr:uid="{00000000-0005-0000-0000-00001FBF0000}"/>
    <cellStyle name="표준 5 7 3 5 9" xfId="41921" xr:uid="{00000000-0005-0000-0000-000020BF0000}"/>
    <cellStyle name="표준 5 7 3 6" xfId="9419" xr:uid="{00000000-0005-0000-0000-000021BF0000}"/>
    <cellStyle name="표준 5 7 3 6 2" xfId="13531" xr:uid="{00000000-0005-0000-0000-000022BF0000}"/>
    <cellStyle name="표준 5 7 3 6 2 2" xfId="30125" xr:uid="{00000000-0005-0000-0000-000023BF0000}"/>
    <cellStyle name="표준 5 7 3 6 2 3" xfId="38336" xr:uid="{00000000-0005-0000-0000-000024BF0000}"/>
    <cellStyle name="표준 5 7 3 6 2 4" xfId="46529" xr:uid="{00000000-0005-0000-0000-000025BF0000}"/>
    <cellStyle name="표준 5 7 3 6 3" xfId="17771" xr:uid="{00000000-0005-0000-0000-000026BF0000}"/>
    <cellStyle name="표준 5 7 3 6 4" xfId="21933" xr:uid="{00000000-0005-0000-0000-000027BF0000}"/>
    <cellStyle name="표준 5 7 3 6 5" xfId="26029" xr:uid="{00000000-0005-0000-0000-000028BF0000}"/>
    <cellStyle name="표준 5 7 3 6 6" xfId="34240" xr:uid="{00000000-0005-0000-0000-000029BF0000}"/>
    <cellStyle name="표준 5 7 3 6 7" xfId="42433" xr:uid="{00000000-0005-0000-0000-00002ABF0000}"/>
    <cellStyle name="표준 5 7 3 7" xfId="7371" xr:uid="{00000000-0005-0000-0000-00002BBF0000}"/>
    <cellStyle name="표준 5 7 3 7 2" xfId="28077" xr:uid="{00000000-0005-0000-0000-00002CBF0000}"/>
    <cellStyle name="표준 5 7 3 7 3" xfId="36288" xr:uid="{00000000-0005-0000-0000-00002DBF0000}"/>
    <cellStyle name="표준 5 7 3 7 4" xfId="44481" xr:uid="{00000000-0005-0000-0000-00002EBF0000}"/>
    <cellStyle name="표준 5 7 3 8" xfId="11483" xr:uid="{00000000-0005-0000-0000-00002FBF0000}"/>
    <cellStyle name="표준 5 7 3 9" xfId="15723" xr:uid="{00000000-0005-0000-0000-000030BF0000}"/>
    <cellStyle name="표준 5 7 4" xfId="644" xr:uid="{00000000-0005-0000-0000-000031BF0000}"/>
    <cellStyle name="표준 5 7 4 10" xfId="24109" xr:uid="{00000000-0005-0000-0000-000032BF0000}"/>
    <cellStyle name="표준 5 7 4 11" xfId="32320" xr:uid="{00000000-0005-0000-0000-000033BF0000}"/>
    <cellStyle name="표준 5 7 4 12" xfId="40513" xr:uid="{00000000-0005-0000-0000-000034BF0000}"/>
    <cellStyle name="표준 5 7 4 2" xfId="1156" xr:uid="{00000000-0005-0000-0000-000035BF0000}"/>
    <cellStyle name="표준 5 7 4 2 2" xfId="10059" xr:uid="{00000000-0005-0000-0000-000036BF0000}"/>
    <cellStyle name="표준 5 7 4 2 2 2" xfId="14171" xr:uid="{00000000-0005-0000-0000-000037BF0000}"/>
    <cellStyle name="표준 5 7 4 2 2 2 2" xfId="30765" xr:uid="{00000000-0005-0000-0000-000038BF0000}"/>
    <cellStyle name="표준 5 7 4 2 2 2 3" xfId="38976" xr:uid="{00000000-0005-0000-0000-000039BF0000}"/>
    <cellStyle name="표준 5 7 4 2 2 2 4" xfId="47169" xr:uid="{00000000-0005-0000-0000-00003ABF0000}"/>
    <cellStyle name="표준 5 7 4 2 2 3" xfId="18411" xr:uid="{00000000-0005-0000-0000-00003BBF0000}"/>
    <cellStyle name="표준 5 7 4 2 2 4" xfId="22573" xr:uid="{00000000-0005-0000-0000-00003CBF0000}"/>
    <cellStyle name="표준 5 7 4 2 2 5" xfId="26669" xr:uid="{00000000-0005-0000-0000-00003DBF0000}"/>
    <cellStyle name="표준 5 7 4 2 2 6" xfId="34880" xr:uid="{00000000-0005-0000-0000-00003EBF0000}"/>
    <cellStyle name="표준 5 7 4 2 2 7" xfId="43073" xr:uid="{00000000-0005-0000-0000-00003FBF0000}"/>
    <cellStyle name="표준 5 7 4 2 3" xfId="8011" xr:uid="{00000000-0005-0000-0000-000040BF0000}"/>
    <cellStyle name="표준 5 7 4 2 3 2" xfId="28717" xr:uid="{00000000-0005-0000-0000-000041BF0000}"/>
    <cellStyle name="표준 5 7 4 2 3 3" xfId="36928" xr:uid="{00000000-0005-0000-0000-000042BF0000}"/>
    <cellStyle name="표준 5 7 4 2 3 4" xfId="45121" xr:uid="{00000000-0005-0000-0000-000043BF0000}"/>
    <cellStyle name="표준 5 7 4 2 4" xfId="12123" xr:uid="{00000000-0005-0000-0000-000044BF0000}"/>
    <cellStyle name="표준 5 7 4 2 5" xfId="16363" xr:uid="{00000000-0005-0000-0000-000045BF0000}"/>
    <cellStyle name="표준 5 7 4 2 6" xfId="20525" xr:uid="{00000000-0005-0000-0000-000046BF0000}"/>
    <cellStyle name="표준 5 7 4 2 7" xfId="24621" xr:uid="{00000000-0005-0000-0000-000047BF0000}"/>
    <cellStyle name="표준 5 7 4 2 8" xfId="32832" xr:uid="{00000000-0005-0000-0000-000048BF0000}"/>
    <cellStyle name="표준 5 7 4 2 9" xfId="41025" xr:uid="{00000000-0005-0000-0000-000049BF0000}"/>
    <cellStyle name="표준 5 7 4 3" xfId="1668" xr:uid="{00000000-0005-0000-0000-00004ABF0000}"/>
    <cellStyle name="표준 5 7 4 3 2" xfId="10571" xr:uid="{00000000-0005-0000-0000-00004BBF0000}"/>
    <cellStyle name="표준 5 7 4 3 2 2" xfId="14683" xr:uid="{00000000-0005-0000-0000-00004CBF0000}"/>
    <cellStyle name="표준 5 7 4 3 2 2 2" xfId="31277" xr:uid="{00000000-0005-0000-0000-00004DBF0000}"/>
    <cellStyle name="표준 5 7 4 3 2 2 3" xfId="39488" xr:uid="{00000000-0005-0000-0000-00004EBF0000}"/>
    <cellStyle name="표준 5 7 4 3 2 2 4" xfId="47681" xr:uid="{00000000-0005-0000-0000-00004FBF0000}"/>
    <cellStyle name="표준 5 7 4 3 2 3" xfId="18923" xr:uid="{00000000-0005-0000-0000-000050BF0000}"/>
    <cellStyle name="표준 5 7 4 3 2 4" xfId="23085" xr:uid="{00000000-0005-0000-0000-000051BF0000}"/>
    <cellStyle name="표준 5 7 4 3 2 5" xfId="27181" xr:uid="{00000000-0005-0000-0000-000052BF0000}"/>
    <cellStyle name="표준 5 7 4 3 2 6" xfId="35392" xr:uid="{00000000-0005-0000-0000-000053BF0000}"/>
    <cellStyle name="표준 5 7 4 3 2 7" xfId="43585" xr:uid="{00000000-0005-0000-0000-000054BF0000}"/>
    <cellStyle name="표준 5 7 4 3 3" xfId="8523" xr:uid="{00000000-0005-0000-0000-000055BF0000}"/>
    <cellStyle name="표준 5 7 4 3 3 2" xfId="29229" xr:uid="{00000000-0005-0000-0000-000056BF0000}"/>
    <cellStyle name="표준 5 7 4 3 3 3" xfId="37440" xr:uid="{00000000-0005-0000-0000-000057BF0000}"/>
    <cellStyle name="표준 5 7 4 3 3 4" xfId="45633" xr:uid="{00000000-0005-0000-0000-000058BF0000}"/>
    <cellStyle name="표준 5 7 4 3 4" xfId="12635" xr:uid="{00000000-0005-0000-0000-000059BF0000}"/>
    <cellStyle name="표준 5 7 4 3 5" xfId="16875" xr:uid="{00000000-0005-0000-0000-00005ABF0000}"/>
    <cellStyle name="표준 5 7 4 3 6" xfId="21037" xr:uid="{00000000-0005-0000-0000-00005BBF0000}"/>
    <cellStyle name="표준 5 7 4 3 7" xfId="25133" xr:uid="{00000000-0005-0000-0000-00005CBF0000}"/>
    <cellStyle name="표준 5 7 4 3 8" xfId="33344" xr:uid="{00000000-0005-0000-0000-00005DBF0000}"/>
    <cellStyle name="표준 5 7 4 3 9" xfId="41537" xr:uid="{00000000-0005-0000-0000-00005EBF0000}"/>
    <cellStyle name="표준 5 7 4 4" xfId="2180" xr:uid="{00000000-0005-0000-0000-00005FBF0000}"/>
    <cellStyle name="표준 5 7 4 4 2" xfId="11083" xr:uid="{00000000-0005-0000-0000-000060BF0000}"/>
    <cellStyle name="표준 5 7 4 4 2 2" xfId="15195" xr:uid="{00000000-0005-0000-0000-000061BF0000}"/>
    <cellStyle name="표준 5 7 4 4 2 2 2" xfId="31789" xr:uid="{00000000-0005-0000-0000-000062BF0000}"/>
    <cellStyle name="표준 5 7 4 4 2 2 3" xfId="40000" xr:uid="{00000000-0005-0000-0000-000063BF0000}"/>
    <cellStyle name="표준 5 7 4 4 2 2 4" xfId="48193" xr:uid="{00000000-0005-0000-0000-000064BF0000}"/>
    <cellStyle name="표준 5 7 4 4 2 3" xfId="19435" xr:uid="{00000000-0005-0000-0000-000065BF0000}"/>
    <cellStyle name="표준 5 7 4 4 2 4" xfId="23597" xr:uid="{00000000-0005-0000-0000-000066BF0000}"/>
    <cellStyle name="표준 5 7 4 4 2 5" xfId="27693" xr:uid="{00000000-0005-0000-0000-000067BF0000}"/>
    <cellStyle name="표준 5 7 4 4 2 6" xfId="35904" xr:uid="{00000000-0005-0000-0000-000068BF0000}"/>
    <cellStyle name="표준 5 7 4 4 2 7" xfId="44097" xr:uid="{00000000-0005-0000-0000-000069BF0000}"/>
    <cellStyle name="표준 5 7 4 4 3" xfId="9035" xr:uid="{00000000-0005-0000-0000-00006ABF0000}"/>
    <cellStyle name="표준 5 7 4 4 3 2" xfId="29741" xr:uid="{00000000-0005-0000-0000-00006BBF0000}"/>
    <cellStyle name="표준 5 7 4 4 3 3" xfId="37952" xr:uid="{00000000-0005-0000-0000-00006CBF0000}"/>
    <cellStyle name="표준 5 7 4 4 3 4" xfId="46145" xr:uid="{00000000-0005-0000-0000-00006DBF0000}"/>
    <cellStyle name="표준 5 7 4 4 4" xfId="13147" xr:uid="{00000000-0005-0000-0000-00006EBF0000}"/>
    <cellStyle name="표준 5 7 4 4 5" xfId="17387" xr:uid="{00000000-0005-0000-0000-00006FBF0000}"/>
    <cellStyle name="표준 5 7 4 4 6" xfId="21549" xr:uid="{00000000-0005-0000-0000-000070BF0000}"/>
    <cellStyle name="표준 5 7 4 4 7" xfId="25645" xr:uid="{00000000-0005-0000-0000-000071BF0000}"/>
    <cellStyle name="표준 5 7 4 4 8" xfId="33856" xr:uid="{00000000-0005-0000-0000-000072BF0000}"/>
    <cellStyle name="표준 5 7 4 4 9" xfId="42049" xr:uid="{00000000-0005-0000-0000-000073BF0000}"/>
    <cellStyle name="표준 5 7 4 5" xfId="9547" xr:uid="{00000000-0005-0000-0000-000074BF0000}"/>
    <cellStyle name="표준 5 7 4 5 2" xfId="13659" xr:uid="{00000000-0005-0000-0000-000075BF0000}"/>
    <cellStyle name="표준 5 7 4 5 2 2" xfId="30253" xr:uid="{00000000-0005-0000-0000-000076BF0000}"/>
    <cellStyle name="표준 5 7 4 5 2 3" xfId="38464" xr:uid="{00000000-0005-0000-0000-000077BF0000}"/>
    <cellStyle name="표준 5 7 4 5 2 4" xfId="46657" xr:uid="{00000000-0005-0000-0000-000078BF0000}"/>
    <cellStyle name="표준 5 7 4 5 3" xfId="17899" xr:uid="{00000000-0005-0000-0000-000079BF0000}"/>
    <cellStyle name="표준 5 7 4 5 4" xfId="22061" xr:uid="{00000000-0005-0000-0000-00007ABF0000}"/>
    <cellStyle name="표준 5 7 4 5 5" xfId="26157" xr:uid="{00000000-0005-0000-0000-00007BBF0000}"/>
    <cellStyle name="표준 5 7 4 5 6" xfId="34368" xr:uid="{00000000-0005-0000-0000-00007CBF0000}"/>
    <cellStyle name="표준 5 7 4 5 7" xfId="42561" xr:uid="{00000000-0005-0000-0000-00007DBF0000}"/>
    <cellStyle name="표준 5 7 4 6" xfId="7499" xr:uid="{00000000-0005-0000-0000-00007EBF0000}"/>
    <cellStyle name="표준 5 7 4 6 2" xfId="28205" xr:uid="{00000000-0005-0000-0000-00007FBF0000}"/>
    <cellStyle name="표준 5 7 4 6 3" xfId="36416" xr:uid="{00000000-0005-0000-0000-000080BF0000}"/>
    <cellStyle name="표준 5 7 4 6 4" xfId="44609" xr:uid="{00000000-0005-0000-0000-000081BF0000}"/>
    <cellStyle name="표준 5 7 4 7" xfId="11611" xr:uid="{00000000-0005-0000-0000-000082BF0000}"/>
    <cellStyle name="표준 5 7 4 8" xfId="15851" xr:uid="{00000000-0005-0000-0000-000083BF0000}"/>
    <cellStyle name="표준 5 7 4 9" xfId="20013" xr:uid="{00000000-0005-0000-0000-000084BF0000}"/>
    <cellStyle name="표준 5 7 5" xfId="900" xr:uid="{00000000-0005-0000-0000-000085BF0000}"/>
    <cellStyle name="표준 5 7 5 2" xfId="9803" xr:uid="{00000000-0005-0000-0000-000086BF0000}"/>
    <cellStyle name="표준 5 7 5 2 2" xfId="13915" xr:uid="{00000000-0005-0000-0000-000087BF0000}"/>
    <cellStyle name="표준 5 7 5 2 2 2" xfId="30509" xr:uid="{00000000-0005-0000-0000-000088BF0000}"/>
    <cellStyle name="표준 5 7 5 2 2 3" xfId="38720" xr:uid="{00000000-0005-0000-0000-000089BF0000}"/>
    <cellStyle name="표준 5 7 5 2 2 4" xfId="46913" xr:uid="{00000000-0005-0000-0000-00008ABF0000}"/>
    <cellStyle name="표준 5 7 5 2 3" xfId="18155" xr:uid="{00000000-0005-0000-0000-00008BBF0000}"/>
    <cellStyle name="표준 5 7 5 2 4" xfId="22317" xr:uid="{00000000-0005-0000-0000-00008CBF0000}"/>
    <cellStyle name="표준 5 7 5 2 5" xfId="26413" xr:uid="{00000000-0005-0000-0000-00008DBF0000}"/>
    <cellStyle name="표준 5 7 5 2 6" xfId="34624" xr:uid="{00000000-0005-0000-0000-00008EBF0000}"/>
    <cellStyle name="표준 5 7 5 2 7" xfId="42817" xr:uid="{00000000-0005-0000-0000-00008FBF0000}"/>
    <cellStyle name="표준 5 7 5 3" xfId="7755" xr:uid="{00000000-0005-0000-0000-000090BF0000}"/>
    <cellStyle name="표준 5 7 5 3 2" xfId="28461" xr:uid="{00000000-0005-0000-0000-000091BF0000}"/>
    <cellStyle name="표준 5 7 5 3 3" xfId="36672" xr:uid="{00000000-0005-0000-0000-000092BF0000}"/>
    <cellStyle name="표준 5 7 5 3 4" xfId="44865" xr:uid="{00000000-0005-0000-0000-000093BF0000}"/>
    <cellStyle name="표준 5 7 5 4" xfId="11867" xr:uid="{00000000-0005-0000-0000-000094BF0000}"/>
    <cellStyle name="표준 5 7 5 5" xfId="16107" xr:uid="{00000000-0005-0000-0000-000095BF0000}"/>
    <cellStyle name="표준 5 7 5 6" xfId="20269" xr:uid="{00000000-0005-0000-0000-000096BF0000}"/>
    <cellStyle name="표준 5 7 5 7" xfId="24365" xr:uid="{00000000-0005-0000-0000-000097BF0000}"/>
    <cellStyle name="표준 5 7 5 8" xfId="32576" xr:uid="{00000000-0005-0000-0000-000098BF0000}"/>
    <cellStyle name="표준 5 7 5 9" xfId="40769" xr:uid="{00000000-0005-0000-0000-000099BF0000}"/>
    <cellStyle name="표준 5 7 6" xfId="1412" xr:uid="{00000000-0005-0000-0000-00009ABF0000}"/>
    <cellStyle name="표준 5 7 6 2" xfId="10315" xr:uid="{00000000-0005-0000-0000-00009BBF0000}"/>
    <cellStyle name="표준 5 7 6 2 2" xfId="14427" xr:uid="{00000000-0005-0000-0000-00009CBF0000}"/>
    <cellStyle name="표준 5 7 6 2 2 2" xfId="31021" xr:uid="{00000000-0005-0000-0000-00009DBF0000}"/>
    <cellStyle name="표준 5 7 6 2 2 3" xfId="39232" xr:uid="{00000000-0005-0000-0000-00009EBF0000}"/>
    <cellStyle name="표준 5 7 6 2 2 4" xfId="47425" xr:uid="{00000000-0005-0000-0000-00009FBF0000}"/>
    <cellStyle name="표준 5 7 6 2 3" xfId="18667" xr:uid="{00000000-0005-0000-0000-0000A0BF0000}"/>
    <cellStyle name="표준 5 7 6 2 4" xfId="22829" xr:uid="{00000000-0005-0000-0000-0000A1BF0000}"/>
    <cellStyle name="표준 5 7 6 2 5" xfId="26925" xr:uid="{00000000-0005-0000-0000-0000A2BF0000}"/>
    <cellStyle name="표준 5 7 6 2 6" xfId="35136" xr:uid="{00000000-0005-0000-0000-0000A3BF0000}"/>
    <cellStyle name="표준 5 7 6 2 7" xfId="43329" xr:uid="{00000000-0005-0000-0000-0000A4BF0000}"/>
    <cellStyle name="표준 5 7 6 3" xfId="8267" xr:uid="{00000000-0005-0000-0000-0000A5BF0000}"/>
    <cellStyle name="표준 5 7 6 3 2" xfId="28973" xr:uid="{00000000-0005-0000-0000-0000A6BF0000}"/>
    <cellStyle name="표준 5 7 6 3 3" xfId="37184" xr:uid="{00000000-0005-0000-0000-0000A7BF0000}"/>
    <cellStyle name="표준 5 7 6 3 4" xfId="45377" xr:uid="{00000000-0005-0000-0000-0000A8BF0000}"/>
    <cellStyle name="표준 5 7 6 4" xfId="12379" xr:uid="{00000000-0005-0000-0000-0000A9BF0000}"/>
    <cellStyle name="표준 5 7 6 5" xfId="16619" xr:uid="{00000000-0005-0000-0000-0000AABF0000}"/>
    <cellStyle name="표준 5 7 6 6" xfId="20781" xr:uid="{00000000-0005-0000-0000-0000ABBF0000}"/>
    <cellStyle name="표준 5 7 6 7" xfId="24877" xr:uid="{00000000-0005-0000-0000-0000ACBF0000}"/>
    <cellStyle name="표준 5 7 6 8" xfId="33088" xr:uid="{00000000-0005-0000-0000-0000ADBF0000}"/>
    <cellStyle name="표준 5 7 6 9" xfId="41281" xr:uid="{00000000-0005-0000-0000-0000AEBF0000}"/>
    <cellStyle name="표준 5 7 7" xfId="1924" xr:uid="{00000000-0005-0000-0000-0000AFBF0000}"/>
    <cellStyle name="표준 5 7 7 2" xfId="10827" xr:uid="{00000000-0005-0000-0000-0000B0BF0000}"/>
    <cellStyle name="표준 5 7 7 2 2" xfId="14939" xr:uid="{00000000-0005-0000-0000-0000B1BF0000}"/>
    <cellStyle name="표준 5 7 7 2 2 2" xfId="31533" xr:uid="{00000000-0005-0000-0000-0000B2BF0000}"/>
    <cellStyle name="표준 5 7 7 2 2 3" xfId="39744" xr:uid="{00000000-0005-0000-0000-0000B3BF0000}"/>
    <cellStyle name="표준 5 7 7 2 2 4" xfId="47937" xr:uid="{00000000-0005-0000-0000-0000B4BF0000}"/>
    <cellStyle name="표준 5 7 7 2 3" xfId="19179" xr:uid="{00000000-0005-0000-0000-0000B5BF0000}"/>
    <cellStyle name="표준 5 7 7 2 4" xfId="23341" xr:uid="{00000000-0005-0000-0000-0000B6BF0000}"/>
    <cellStyle name="표준 5 7 7 2 5" xfId="27437" xr:uid="{00000000-0005-0000-0000-0000B7BF0000}"/>
    <cellStyle name="표준 5 7 7 2 6" xfId="35648" xr:uid="{00000000-0005-0000-0000-0000B8BF0000}"/>
    <cellStyle name="표준 5 7 7 2 7" xfId="43841" xr:uid="{00000000-0005-0000-0000-0000B9BF0000}"/>
    <cellStyle name="표준 5 7 7 3" xfId="8779" xr:uid="{00000000-0005-0000-0000-0000BABF0000}"/>
    <cellStyle name="표준 5 7 7 3 2" xfId="29485" xr:uid="{00000000-0005-0000-0000-0000BBBF0000}"/>
    <cellStyle name="표준 5 7 7 3 3" xfId="37696" xr:uid="{00000000-0005-0000-0000-0000BCBF0000}"/>
    <cellStyle name="표준 5 7 7 3 4" xfId="45889" xr:uid="{00000000-0005-0000-0000-0000BDBF0000}"/>
    <cellStyle name="표준 5 7 7 4" xfId="12891" xr:uid="{00000000-0005-0000-0000-0000BEBF0000}"/>
    <cellStyle name="표준 5 7 7 5" xfId="17131" xr:uid="{00000000-0005-0000-0000-0000BFBF0000}"/>
    <cellStyle name="표준 5 7 7 6" xfId="21293" xr:uid="{00000000-0005-0000-0000-0000C0BF0000}"/>
    <cellStyle name="표준 5 7 7 7" xfId="25389" xr:uid="{00000000-0005-0000-0000-0000C1BF0000}"/>
    <cellStyle name="표준 5 7 7 8" xfId="33600" xr:uid="{00000000-0005-0000-0000-0000C2BF0000}"/>
    <cellStyle name="표준 5 7 7 9" xfId="41793" xr:uid="{00000000-0005-0000-0000-0000C3BF0000}"/>
    <cellStyle name="표준 5 7 8" xfId="388" xr:uid="{00000000-0005-0000-0000-0000C4BF0000}"/>
    <cellStyle name="표준 5 7 8 2" xfId="9291" xr:uid="{00000000-0005-0000-0000-0000C5BF0000}"/>
    <cellStyle name="표준 5 7 8 2 2" xfId="29997" xr:uid="{00000000-0005-0000-0000-0000C6BF0000}"/>
    <cellStyle name="표준 5 7 8 2 3" xfId="38208" xr:uid="{00000000-0005-0000-0000-0000C7BF0000}"/>
    <cellStyle name="표준 5 7 8 2 4" xfId="46401" xr:uid="{00000000-0005-0000-0000-0000C8BF0000}"/>
    <cellStyle name="표준 5 7 8 3" xfId="13403" xr:uid="{00000000-0005-0000-0000-0000C9BF0000}"/>
    <cellStyle name="표준 5 7 8 4" xfId="17643" xr:uid="{00000000-0005-0000-0000-0000CABF0000}"/>
    <cellStyle name="표준 5 7 8 5" xfId="21805" xr:uid="{00000000-0005-0000-0000-0000CBBF0000}"/>
    <cellStyle name="표준 5 7 8 6" xfId="25901" xr:uid="{00000000-0005-0000-0000-0000CCBF0000}"/>
    <cellStyle name="표준 5 7 8 7" xfId="34112" xr:uid="{00000000-0005-0000-0000-0000CDBF0000}"/>
    <cellStyle name="표준 5 7 8 8" xfId="42305" xr:uid="{00000000-0005-0000-0000-0000CEBF0000}"/>
    <cellStyle name="표준 5 7 9" xfId="4342" xr:uid="{00000000-0005-0000-0000-0000CFBF0000}"/>
    <cellStyle name="표준 5 7 9 2" xfId="27949" xr:uid="{00000000-0005-0000-0000-0000D0BF0000}"/>
    <cellStyle name="표준 5 7 9 3" xfId="36160" xr:uid="{00000000-0005-0000-0000-0000D1BF0000}"/>
    <cellStyle name="표준 5 7 9 4" xfId="44353" xr:uid="{00000000-0005-0000-0000-0000D2BF0000}"/>
    <cellStyle name="표준 5 8" xfId="420" xr:uid="{00000000-0005-0000-0000-0000D3BF0000}"/>
    <cellStyle name="표준 5 8 10" xfId="7275" xr:uid="{00000000-0005-0000-0000-0000D4BF0000}"/>
    <cellStyle name="표준 5 8 11" xfId="11387" xr:uid="{00000000-0005-0000-0000-0000D5BF0000}"/>
    <cellStyle name="표준 5 8 12" xfId="15499" xr:uid="{00000000-0005-0000-0000-0000D6BF0000}"/>
    <cellStyle name="표준 5 8 13" xfId="15627" xr:uid="{00000000-0005-0000-0000-0000D7BF0000}"/>
    <cellStyle name="표준 5 8 14" xfId="19789" xr:uid="{00000000-0005-0000-0000-0000D8BF0000}"/>
    <cellStyle name="표준 5 8 15" xfId="23885" xr:uid="{00000000-0005-0000-0000-0000D9BF0000}"/>
    <cellStyle name="표준 5 8 16" xfId="32096" xr:uid="{00000000-0005-0000-0000-0000DABF0000}"/>
    <cellStyle name="표준 5 8 17" xfId="40289" xr:uid="{00000000-0005-0000-0000-0000DBBF0000}"/>
    <cellStyle name="표준 5 8 18" xfId="49687" xr:uid="{00000000-0005-0000-0000-0000DCBF0000}"/>
    <cellStyle name="표준 5 8 2" xfId="548" xr:uid="{00000000-0005-0000-0000-0000DDBF0000}"/>
    <cellStyle name="표준 5 8 2 10" xfId="19917" xr:uid="{00000000-0005-0000-0000-0000DEBF0000}"/>
    <cellStyle name="표준 5 8 2 11" xfId="24013" xr:uid="{00000000-0005-0000-0000-0000DFBF0000}"/>
    <cellStyle name="표준 5 8 2 12" xfId="32224" xr:uid="{00000000-0005-0000-0000-0000E0BF0000}"/>
    <cellStyle name="표준 5 8 2 13" xfId="40417" xr:uid="{00000000-0005-0000-0000-0000E1BF0000}"/>
    <cellStyle name="표준 5 8 2 2" xfId="804" xr:uid="{00000000-0005-0000-0000-0000E2BF0000}"/>
    <cellStyle name="표준 5 8 2 2 10" xfId="24269" xr:uid="{00000000-0005-0000-0000-0000E3BF0000}"/>
    <cellStyle name="표준 5 8 2 2 11" xfId="32480" xr:uid="{00000000-0005-0000-0000-0000E4BF0000}"/>
    <cellStyle name="표준 5 8 2 2 12" xfId="40673" xr:uid="{00000000-0005-0000-0000-0000E5BF0000}"/>
    <cellStyle name="표준 5 8 2 2 2" xfId="1316" xr:uid="{00000000-0005-0000-0000-0000E6BF0000}"/>
    <cellStyle name="표준 5 8 2 2 2 2" xfId="10219" xr:uid="{00000000-0005-0000-0000-0000E7BF0000}"/>
    <cellStyle name="표준 5 8 2 2 2 2 2" xfId="14331" xr:uid="{00000000-0005-0000-0000-0000E8BF0000}"/>
    <cellStyle name="표준 5 8 2 2 2 2 2 2" xfId="30925" xr:uid="{00000000-0005-0000-0000-0000E9BF0000}"/>
    <cellStyle name="표준 5 8 2 2 2 2 2 3" xfId="39136" xr:uid="{00000000-0005-0000-0000-0000EABF0000}"/>
    <cellStyle name="표준 5 8 2 2 2 2 2 4" xfId="47329" xr:uid="{00000000-0005-0000-0000-0000EBBF0000}"/>
    <cellStyle name="표준 5 8 2 2 2 2 3" xfId="18571" xr:uid="{00000000-0005-0000-0000-0000ECBF0000}"/>
    <cellStyle name="표준 5 8 2 2 2 2 4" xfId="22733" xr:uid="{00000000-0005-0000-0000-0000EDBF0000}"/>
    <cellStyle name="표준 5 8 2 2 2 2 5" xfId="26829" xr:uid="{00000000-0005-0000-0000-0000EEBF0000}"/>
    <cellStyle name="표준 5 8 2 2 2 2 6" xfId="35040" xr:uid="{00000000-0005-0000-0000-0000EFBF0000}"/>
    <cellStyle name="표준 5 8 2 2 2 2 7" xfId="43233" xr:uid="{00000000-0005-0000-0000-0000F0BF0000}"/>
    <cellStyle name="표준 5 8 2 2 2 3" xfId="8171" xr:uid="{00000000-0005-0000-0000-0000F1BF0000}"/>
    <cellStyle name="표준 5 8 2 2 2 3 2" xfId="28877" xr:uid="{00000000-0005-0000-0000-0000F2BF0000}"/>
    <cellStyle name="표준 5 8 2 2 2 3 3" xfId="37088" xr:uid="{00000000-0005-0000-0000-0000F3BF0000}"/>
    <cellStyle name="표준 5 8 2 2 2 3 4" xfId="45281" xr:uid="{00000000-0005-0000-0000-0000F4BF0000}"/>
    <cellStyle name="표준 5 8 2 2 2 4" xfId="12283" xr:uid="{00000000-0005-0000-0000-0000F5BF0000}"/>
    <cellStyle name="표준 5 8 2 2 2 5" xfId="16523" xr:uid="{00000000-0005-0000-0000-0000F6BF0000}"/>
    <cellStyle name="표준 5 8 2 2 2 6" xfId="20685" xr:uid="{00000000-0005-0000-0000-0000F7BF0000}"/>
    <cellStyle name="표준 5 8 2 2 2 7" xfId="24781" xr:uid="{00000000-0005-0000-0000-0000F8BF0000}"/>
    <cellStyle name="표준 5 8 2 2 2 8" xfId="32992" xr:uid="{00000000-0005-0000-0000-0000F9BF0000}"/>
    <cellStyle name="표준 5 8 2 2 2 9" xfId="41185" xr:uid="{00000000-0005-0000-0000-0000FABF0000}"/>
    <cellStyle name="표준 5 8 2 2 3" xfId="1828" xr:uid="{00000000-0005-0000-0000-0000FBBF0000}"/>
    <cellStyle name="표준 5 8 2 2 3 2" xfId="10731" xr:uid="{00000000-0005-0000-0000-0000FCBF0000}"/>
    <cellStyle name="표준 5 8 2 2 3 2 2" xfId="14843" xr:uid="{00000000-0005-0000-0000-0000FDBF0000}"/>
    <cellStyle name="표준 5 8 2 2 3 2 2 2" xfId="31437" xr:uid="{00000000-0005-0000-0000-0000FEBF0000}"/>
    <cellStyle name="표준 5 8 2 2 3 2 2 3" xfId="39648" xr:uid="{00000000-0005-0000-0000-0000FFBF0000}"/>
    <cellStyle name="표준 5 8 2 2 3 2 2 4" xfId="47841" xr:uid="{00000000-0005-0000-0000-000000C00000}"/>
    <cellStyle name="표준 5 8 2 2 3 2 3" xfId="19083" xr:uid="{00000000-0005-0000-0000-000001C00000}"/>
    <cellStyle name="표준 5 8 2 2 3 2 4" xfId="23245" xr:uid="{00000000-0005-0000-0000-000002C00000}"/>
    <cellStyle name="표준 5 8 2 2 3 2 5" xfId="27341" xr:uid="{00000000-0005-0000-0000-000003C00000}"/>
    <cellStyle name="표준 5 8 2 2 3 2 6" xfId="35552" xr:uid="{00000000-0005-0000-0000-000004C00000}"/>
    <cellStyle name="표준 5 8 2 2 3 2 7" xfId="43745" xr:uid="{00000000-0005-0000-0000-000005C00000}"/>
    <cellStyle name="표준 5 8 2 2 3 3" xfId="8683" xr:uid="{00000000-0005-0000-0000-000006C00000}"/>
    <cellStyle name="표준 5 8 2 2 3 3 2" xfId="29389" xr:uid="{00000000-0005-0000-0000-000007C00000}"/>
    <cellStyle name="표준 5 8 2 2 3 3 3" xfId="37600" xr:uid="{00000000-0005-0000-0000-000008C00000}"/>
    <cellStyle name="표준 5 8 2 2 3 3 4" xfId="45793" xr:uid="{00000000-0005-0000-0000-000009C00000}"/>
    <cellStyle name="표준 5 8 2 2 3 4" xfId="12795" xr:uid="{00000000-0005-0000-0000-00000AC00000}"/>
    <cellStyle name="표준 5 8 2 2 3 5" xfId="17035" xr:uid="{00000000-0005-0000-0000-00000BC00000}"/>
    <cellStyle name="표준 5 8 2 2 3 6" xfId="21197" xr:uid="{00000000-0005-0000-0000-00000CC00000}"/>
    <cellStyle name="표준 5 8 2 2 3 7" xfId="25293" xr:uid="{00000000-0005-0000-0000-00000DC00000}"/>
    <cellStyle name="표준 5 8 2 2 3 8" xfId="33504" xr:uid="{00000000-0005-0000-0000-00000EC00000}"/>
    <cellStyle name="표준 5 8 2 2 3 9" xfId="41697" xr:uid="{00000000-0005-0000-0000-00000FC00000}"/>
    <cellStyle name="표준 5 8 2 2 4" xfId="2340" xr:uid="{00000000-0005-0000-0000-000010C00000}"/>
    <cellStyle name="표준 5 8 2 2 4 2" xfId="11243" xr:uid="{00000000-0005-0000-0000-000011C00000}"/>
    <cellStyle name="표준 5 8 2 2 4 2 2" xfId="15355" xr:uid="{00000000-0005-0000-0000-000012C00000}"/>
    <cellStyle name="표준 5 8 2 2 4 2 2 2" xfId="31949" xr:uid="{00000000-0005-0000-0000-000013C00000}"/>
    <cellStyle name="표준 5 8 2 2 4 2 2 3" xfId="40160" xr:uid="{00000000-0005-0000-0000-000014C00000}"/>
    <cellStyle name="표준 5 8 2 2 4 2 2 4" xfId="48353" xr:uid="{00000000-0005-0000-0000-000015C00000}"/>
    <cellStyle name="표준 5 8 2 2 4 2 3" xfId="19595" xr:uid="{00000000-0005-0000-0000-000016C00000}"/>
    <cellStyle name="표준 5 8 2 2 4 2 4" xfId="23757" xr:uid="{00000000-0005-0000-0000-000017C00000}"/>
    <cellStyle name="표준 5 8 2 2 4 2 5" xfId="27853" xr:uid="{00000000-0005-0000-0000-000018C00000}"/>
    <cellStyle name="표준 5 8 2 2 4 2 6" xfId="36064" xr:uid="{00000000-0005-0000-0000-000019C00000}"/>
    <cellStyle name="표준 5 8 2 2 4 2 7" xfId="44257" xr:uid="{00000000-0005-0000-0000-00001AC00000}"/>
    <cellStyle name="표준 5 8 2 2 4 3" xfId="9195" xr:uid="{00000000-0005-0000-0000-00001BC00000}"/>
    <cellStyle name="표준 5 8 2 2 4 3 2" xfId="29901" xr:uid="{00000000-0005-0000-0000-00001CC00000}"/>
    <cellStyle name="표준 5 8 2 2 4 3 3" xfId="38112" xr:uid="{00000000-0005-0000-0000-00001DC00000}"/>
    <cellStyle name="표준 5 8 2 2 4 3 4" xfId="46305" xr:uid="{00000000-0005-0000-0000-00001EC00000}"/>
    <cellStyle name="표준 5 8 2 2 4 4" xfId="13307" xr:uid="{00000000-0005-0000-0000-00001FC00000}"/>
    <cellStyle name="표준 5 8 2 2 4 5" xfId="17547" xr:uid="{00000000-0005-0000-0000-000020C00000}"/>
    <cellStyle name="표준 5 8 2 2 4 6" xfId="21709" xr:uid="{00000000-0005-0000-0000-000021C00000}"/>
    <cellStyle name="표준 5 8 2 2 4 7" xfId="25805" xr:uid="{00000000-0005-0000-0000-000022C00000}"/>
    <cellStyle name="표준 5 8 2 2 4 8" xfId="34016" xr:uid="{00000000-0005-0000-0000-000023C00000}"/>
    <cellStyle name="표준 5 8 2 2 4 9" xfId="42209" xr:uid="{00000000-0005-0000-0000-000024C00000}"/>
    <cellStyle name="표준 5 8 2 2 5" xfId="9707" xr:uid="{00000000-0005-0000-0000-000025C00000}"/>
    <cellStyle name="표준 5 8 2 2 5 2" xfId="13819" xr:uid="{00000000-0005-0000-0000-000026C00000}"/>
    <cellStyle name="표준 5 8 2 2 5 2 2" xfId="30413" xr:uid="{00000000-0005-0000-0000-000027C00000}"/>
    <cellStyle name="표준 5 8 2 2 5 2 3" xfId="38624" xr:uid="{00000000-0005-0000-0000-000028C00000}"/>
    <cellStyle name="표준 5 8 2 2 5 2 4" xfId="46817" xr:uid="{00000000-0005-0000-0000-000029C00000}"/>
    <cellStyle name="표준 5 8 2 2 5 3" xfId="18059" xr:uid="{00000000-0005-0000-0000-00002AC00000}"/>
    <cellStyle name="표준 5 8 2 2 5 4" xfId="22221" xr:uid="{00000000-0005-0000-0000-00002BC00000}"/>
    <cellStyle name="표준 5 8 2 2 5 5" xfId="26317" xr:uid="{00000000-0005-0000-0000-00002CC00000}"/>
    <cellStyle name="표준 5 8 2 2 5 6" xfId="34528" xr:uid="{00000000-0005-0000-0000-00002DC00000}"/>
    <cellStyle name="표준 5 8 2 2 5 7" xfId="42721" xr:uid="{00000000-0005-0000-0000-00002EC00000}"/>
    <cellStyle name="표준 5 8 2 2 6" xfId="7659" xr:uid="{00000000-0005-0000-0000-00002FC00000}"/>
    <cellStyle name="표준 5 8 2 2 6 2" xfId="28365" xr:uid="{00000000-0005-0000-0000-000030C00000}"/>
    <cellStyle name="표준 5 8 2 2 6 3" xfId="36576" xr:uid="{00000000-0005-0000-0000-000031C00000}"/>
    <cellStyle name="표준 5 8 2 2 6 4" xfId="44769" xr:uid="{00000000-0005-0000-0000-000032C00000}"/>
    <cellStyle name="표준 5 8 2 2 7" xfId="11771" xr:uid="{00000000-0005-0000-0000-000033C00000}"/>
    <cellStyle name="표준 5 8 2 2 8" xfId="16011" xr:uid="{00000000-0005-0000-0000-000034C00000}"/>
    <cellStyle name="표준 5 8 2 2 9" xfId="20173" xr:uid="{00000000-0005-0000-0000-000035C00000}"/>
    <cellStyle name="표준 5 8 2 3" xfId="1060" xr:uid="{00000000-0005-0000-0000-000036C00000}"/>
    <cellStyle name="표준 5 8 2 3 2" xfId="9963" xr:uid="{00000000-0005-0000-0000-000037C00000}"/>
    <cellStyle name="표준 5 8 2 3 2 2" xfId="14075" xr:uid="{00000000-0005-0000-0000-000038C00000}"/>
    <cellStyle name="표준 5 8 2 3 2 2 2" xfId="30669" xr:uid="{00000000-0005-0000-0000-000039C00000}"/>
    <cellStyle name="표준 5 8 2 3 2 2 3" xfId="38880" xr:uid="{00000000-0005-0000-0000-00003AC00000}"/>
    <cellStyle name="표준 5 8 2 3 2 2 4" xfId="47073" xr:uid="{00000000-0005-0000-0000-00003BC00000}"/>
    <cellStyle name="표준 5 8 2 3 2 3" xfId="18315" xr:uid="{00000000-0005-0000-0000-00003CC00000}"/>
    <cellStyle name="표준 5 8 2 3 2 4" xfId="22477" xr:uid="{00000000-0005-0000-0000-00003DC00000}"/>
    <cellStyle name="표준 5 8 2 3 2 5" xfId="26573" xr:uid="{00000000-0005-0000-0000-00003EC00000}"/>
    <cellStyle name="표준 5 8 2 3 2 6" xfId="34784" xr:uid="{00000000-0005-0000-0000-00003FC00000}"/>
    <cellStyle name="표준 5 8 2 3 2 7" xfId="42977" xr:uid="{00000000-0005-0000-0000-000040C00000}"/>
    <cellStyle name="표준 5 8 2 3 3" xfId="7915" xr:uid="{00000000-0005-0000-0000-000041C00000}"/>
    <cellStyle name="표준 5 8 2 3 3 2" xfId="28621" xr:uid="{00000000-0005-0000-0000-000042C00000}"/>
    <cellStyle name="표준 5 8 2 3 3 3" xfId="36832" xr:uid="{00000000-0005-0000-0000-000043C00000}"/>
    <cellStyle name="표준 5 8 2 3 3 4" xfId="45025" xr:uid="{00000000-0005-0000-0000-000044C00000}"/>
    <cellStyle name="표준 5 8 2 3 4" xfId="12027" xr:uid="{00000000-0005-0000-0000-000045C00000}"/>
    <cellStyle name="표준 5 8 2 3 5" xfId="16267" xr:uid="{00000000-0005-0000-0000-000046C00000}"/>
    <cellStyle name="표준 5 8 2 3 6" xfId="20429" xr:uid="{00000000-0005-0000-0000-000047C00000}"/>
    <cellStyle name="표준 5 8 2 3 7" xfId="24525" xr:uid="{00000000-0005-0000-0000-000048C00000}"/>
    <cellStyle name="표준 5 8 2 3 8" xfId="32736" xr:uid="{00000000-0005-0000-0000-000049C00000}"/>
    <cellStyle name="표준 5 8 2 3 9" xfId="40929" xr:uid="{00000000-0005-0000-0000-00004AC00000}"/>
    <cellStyle name="표준 5 8 2 4" xfId="1572" xr:uid="{00000000-0005-0000-0000-00004BC00000}"/>
    <cellStyle name="표준 5 8 2 4 2" xfId="10475" xr:uid="{00000000-0005-0000-0000-00004CC00000}"/>
    <cellStyle name="표준 5 8 2 4 2 2" xfId="14587" xr:uid="{00000000-0005-0000-0000-00004DC00000}"/>
    <cellStyle name="표준 5 8 2 4 2 2 2" xfId="31181" xr:uid="{00000000-0005-0000-0000-00004EC00000}"/>
    <cellStyle name="표준 5 8 2 4 2 2 3" xfId="39392" xr:uid="{00000000-0005-0000-0000-00004FC00000}"/>
    <cellStyle name="표준 5 8 2 4 2 2 4" xfId="47585" xr:uid="{00000000-0005-0000-0000-000050C00000}"/>
    <cellStyle name="표준 5 8 2 4 2 3" xfId="18827" xr:uid="{00000000-0005-0000-0000-000051C00000}"/>
    <cellStyle name="표준 5 8 2 4 2 4" xfId="22989" xr:uid="{00000000-0005-0000-0000-000052C00000}"/>
    <cellStyle name="표준 5 8 2 4 2 5" xfId="27085" xr:uid="{00000000-0005-0000-0000-000053C00000}"/>
    <cellStyle name="표준 5 8 2 4 2 6" xfId="35296" xr:uid="{00000000-0005-0000-0000-000054C00000}"/>
    <cellStyle name="표준 5 8 2 4 2 7" xfId="43489" xr:uid="{00000000-0005-0000-0000-000055C00000}"/>
    <cellStyle name="표준 5 8 2 4 3" xfId="8427" xr:uid="{00000000-0005-0000-0000-000056C00000}"/>
    <cellStyle name="표준 5 8 2 4 3 2" xfId="29133" xr:uid="{00000000-0005-0000-0000-000057C00000}"/>
    <cellStyle name="표준 5 8 2 4 3 3" xfId="37344" xr:uid="{00000000-0005-0000-0000-000058C00000}"/>
    <cellStyle name="표준 5 8 2 4 3 4" xfId="45537" xr:uid="{00000000-0005-0000-0000-000059C00000}"/>
    <cellStyle name="표준 5 8 2 4 4" xfId="12539" xr:uid="{00000000-0005-0000-0000-00005AC00000}"/>
    <cellStyle name="표준 5 8 2 4 5" xfId="16779" xr:uid="{00000000-0005-0000-0000-00005BC00000}"/>
    <cellStyle name="표준 5 8 2 4 6" xfId="20941" xr:uid="{00000000-0005-0000-0000-00005CC00000}"/>
    <cellStyle name="표준 5 8 2 4 7" xfId="25037" xr:uid="{00000000-0005-0000-0000-00005DC00000}"/>
    <cellStyle name="표준 5 8 2 4 8" xfId="33248" xr:uid="{00000000-0005-0000-0000-00005EC00000}"/>
    <cellStyle name="표준 5 8 2 4 9" xfId="41441" xr:uid="{00000000-0005-0000-0000-00005FC00000}"/>
    <cellStyle name="표준 5 8 2 5" xfId="2084" xr:uid="{00000000-0005-0000-0000-000060C00000}"/>
    <cellStyle name="표준 5 8 2 5 2" xfId="10987" xr:uid="{00000000-0005-0000-0000-000061C00000}"/>
    <cellStyle name="표준 5 8 2 5 2 2" xfId="15099" xr:uid="{00000000-0005-0000-0000-000062C00000}"/>
    <cellStyle name="표준 5 8 2 5 2 2 2" xfId="31693" xr:uid="{00000000-0005-0000-0000-000063C00000}"/>
    <cellStyle name="표준 5 8 2 5 2 2 3" xfId="39904" xr:uid="{00000000-0005-0000-0000-000064C00000}"/>
    <cellStyle name="표준 5 8 2 5 2 2 4" xfId="48097" xr:uid="{00000000-0005-0000-0000-000065C00000}"/>
    <cellStyle name="표준 5 8 2 5 2 3" xfId="19339" xr:uid="{00000000-0005-0000-0000-000066C00000}"/>
    <cellStyle name="표준 5 8 2 5 2 4" xfId="23501" xr:uid="{00000000-0005-0000-0000-000067C00000}"/>
    <cellStyle name="표준 5 8 2 5 2 5" xfId="27597" xr:uid="{00000000-0005-0000-0000-000068C00000}"/>
    <cellStyle name="표준 5 8 2 5 2 6" xfId="35808" xr:uid="{00000000-0005-0000-0000-000069C00000}"/>
    <cellStyle name="표준 5 8 2 5 2 7" xfId="44001" xr:uid="{00000000-0005-0000-0000-00006AC00000}"/>
    <cellStyle name="표준 5 8 2 5 3" xfId="8939" xr:uid="{00000000-0005-0000-0000-00006BC00000}"/>
    <cellStyle name="표준 5 8 2 5 3 2" xfId="29645" xr:uid="{00000000-0005-0000-0000-00006CC00000}"/>
    <cellStyle name="표준 5 8 2 5 3 3" xfId="37856" xr:uid="{00000000-0005-0000-0000-00006DC00000}"/>
    <cellStyle name="표준 5 8 2 5 3 4" xfId="46049" xr:uid="{00000000-0005-0000-0000-00006EC00000}"/>
    <cellStyle name="표준 5 8 2 5 4" xfId="13051" xr:uid="{00000000-0005-0000-0000-00006FC00000}"/>
    <cellStyle name="표준 5 8 2 5 5" xfId="17291" xr:uid="{00000000-0005-0000-0000-000070C00000}"/>
    <cellStyle name="표준 5 8 2 5 6" xfId="21453" xr:uid="{00000000-0005-0000-0000-000071C00000}"/>
    <cellStyle name="표준 5 8 2 5 7" xfId="25549" xr:uid="{00000000-0005-0000-0000-000072C00000}"/>
    <cellStyle name="표준 5 8 2 5 8" xfId="33760" xr:uid="{00000000-0005-0000-0000-000073C00000}"/>
    <cellStyle name="표준 5 8 2 5 9" xfId="41953" xr:uid="{00000000-0005-0000-0000-000074C00000}"/>
    <cellStyle name="표준 5 8 2 6" xfId="9451" xr:uid="{00000000-0005-0000-0000-000075C00000}"/>
    <cellStyle name="표준 5 8 2 6 2" xfId="13563" xr:uid="{00000000-0005-0000-0000-000076C00000}"/>
    <cellStyle name="표준 5 8 2 6 2 2" xfId="30157" xr:uid="{00000000-0005-0000-0000-000077C00000}"/>
    <cellStyle name="표준 5 8 2 6 2 3" xfId="38368" xr:uid="{00000000-0005-0000-0000-000078C00000}"/>
    <cellStyle name="표준 5 8 2 6 2 4" xfId="46561" xr:uid="{00000000-0005-0000-0000-000079C00000}"/>
    <cellStyle name="표준 5 8 2 6 3" xfId="17803" xr:uid="{00000000-0005-0000-0000-00007AC00000}"/>
    <cellStyle name="표준 5 8 2 6 4" xfId="21965" xr:uid="{00000000-0005-0000-0000-00007BC00000}"/>
    <cellStyle name="표준 5 8 2 6 5" xfId="26061" xr:uid="{00000000-0005-0000-0000-00007CC00000}"/>
    <cellStyle name="표준 5 8 2 6 6" xfId="34272" xr:uid="{00000000-0005-0000-0000-00007DC00000}"/>
    <cellStyle name="표준 5 8 2 6 7" xfId="42465" xr:uid="{00000000-0005-0000-0000-00007EC00000}"/>
    <cellStyle name="표준 5 8 2 7" xfId="7403" xr:uid="{00000000-0005-0000-0000-00007FC00000}"/>
    <cellStyle name="표준 5 8 2 7 2" xfId="28109" xr:uid="{00000000-0005-0000-0000-000080C00000}"/>
    <cellStyle name="표준 5 8 2 7 3" xfId="36320" xr:uid="{00000000-0005-0000-0000-000081C00000}"/>
    <cellStyle name="표준 5 8 2 7 4" xfId="44513" xr:uid="{00000000-0005-0000-0000-000082C00000}"/>
    <cellStyle name="표준 5 8 2 8" xfId="11515" xr:uid="{00000000-0005-0000-0000-000083C00000}"/>
    <cellStyle name="표준 5 8 2 9" xfId="15755" xr:uid="{00000000-0005-0000-0000-000084C00000}"/>
    <cellStyle name="표준 5 8 3" xfId="676" xr:uid="{00000000-0005-0000-0000-000085C00000}"/>
    <cellStyle name="표준 5 8 3 10" xfId="24141" xr:uid="{00000000-0005-0000-0000-000086C00000}"/>
    <cellStyle name="표준 5 8 3 11" xfId="32352" xr:uid="{00000000-0005-0000-0000-000087C00000}"/>
    <cellStyle name="표준 5 8 3 12" xfId="40545" xr:uid="{00000000-0005-0000-0000-000088C00000}"/>
    <cellStyle name="표준 5 8 3 2" xfId="1188" xr:uid="{00000000-0005-0000-0000-000089C00000}"/>
    <cellStyle name="표준 5 8 3 2 2" xfId="10091" xr:uid="{00000000-0005-0000-0000-00008AC00000}"/>
    <cellStyle name="표준 5 8 3 2 2 2" xfId="14203" xr:uid="{00000000-0005-0000-0000-00008BC00000}"/>
    <cellStyle name="표준 5 8 3 2 2 2 2" xfId="30797" xr:uid="{00000000-0005-0000-0000-00008CC00000}"/>
    <cellStyle name="표준 5 8 3 2 2 2 3" xfId="39008" xr:uid="{00000000-0005-0000-0000-00008DC00000}"/>
    <cellStyle name="표준 5 8 3 2 2 2 4" xfId="47201" xr:uid="{00000000-0005-0000-0000-00008EC00000}"/>
    <cellStyle name="표준 5 8 3 2 2 3" xfId="18443" xr:uid="{00000000-0005-0000-0000-00008FC00000}"/>
    <cellStyle name="표준 5 8 3 2 2 4" xfId="22605" xr:uid="{00000000-0005-0000-0000-000090C00000}"/>
    <cellStyle name="표준 5 8 3 2 2 5" xfId="26701" xr:uid="{00000000-0005-0000-0000-000091C00000}"/>
    <cellStyle name="표준 5 8 3 2 2 6" xfId="34912" xr:uid="{00000000-0005-0000-0000-000092C00000}"/>
    <cellStyle name="표준 5 8 3 2 2 7" xfId="43105" xr:uid="{00000000-0005-0000-0000-000093C00000}"/>
    <cellStyle name="표준 5 8 3 2 3" xfId="8043" xr:uid="{00000000-0005-0000-0000-000094C00000}"/>
    <cellStyle name="표준 5 8 3 2 3 2" xfId="28749" xr:uid="{00000000-0005-0000-0000-000095C00000}"/>
    <cellStyle name="표준 5 8 3 2 3 3" xfId="36960" xr:uid="{00000000-0005-0000-0000-000096C00000}"/>
    <cellStyle name="표준 5 8 3 2 3 4" xfId="45153" xr:uid="{00000000-0005-0000-0000-000097C00000}"/>
    <cellStyle name="표준 5 8 3 2 4" xfId="12155" xr:uid="{00000000-0005-0000-0000-000098C00000}"/>
    <cellStyle name="표준 5 8 3 2 5" xfId="16395" xr:uid="{00000000-0005-0000-0000-000099C00000}"/>
    <cellStyle name="표준 5 8 3 2 6" xfId="20557" xr:uid="{00000000-0005-0000-0000-00009AC00000}"/>
    <cellStyle name="표준 5 8 3 2 7" xfId="24653" xr:uid="{00000000-0005-0000-0000-00009BC00000}"/>
    <cellStyle name="표준 5 8 3 2 8" xfId="32864" xr:uid="{00000000-0005-0000-0000-00009CC00000}"/>
    <cellStyle name="표준 5 8 3 2 9" xfId="41057" xr:uid="{00000000-0005-0000-0000-00009DC00000}"/>
    <cellStyle name="표준 5 8 3 3" xfId="1700" xr:uid="{00000000-0005-0000-0000-00009EC00000}"/>
    <cellStyle name="표준 5 8 3 3 2" xfId="10603" xr:uid="{00000000-0005-0000-0000-00009FC00000}"/>
    <cellStyle name="표준 5 8 3 3 2 2" xfId="14715" xr:uid="{00000000-0005-0000-0000-0000A0C00000}"/>
    <cellStyle name="표준 5 8 3 3 2 2 2" xfId="31309" xr:uid="{00000000-0005-0000-0000-0000A1C00000}"/>
    <cellStyle name="표준 5 8 3 3 2 2 3" xfId="39520" xr:uid="{00000000-0005-0000-0000-0000A2C00000}"/>
    <cellStyle name="표준 5 8 3 3 2 2 4" xfId="47713" xr:uid="{00000000-0005-0000-0000-0000A3C00000}"/>
    <cellStyle name="표준 5 8 3 3 2 3" xfId="18955" xr:uid="{00000000-0005-0000-0000-0000A4C00000}"/>
    <cellStyle name="표준 5 8 3 3 2 4" xfId="23117" xr:uid="{00000000-0005-0000-0000-0000A5C00000}"/>
    <cellStyle name="표준 5 8 3 3 2 5" xfId="27213" xr:uid="{00000000-0005-0000-0000-0000A6C00000}"/>
    <cellStyle name="표준 5 8 3 3 2 6" xfId="35424" xr:uid="{00000000-0005-0000-0000-0000A7C00000}"/>
    <cellStyle name="표준 5 8 3 3 2 7" xfId="43617" xr:uid="{00000000-0005-0000-0000-0000A8C00000}"/>
    <cellStyle name="표준 5 8 3 3 3" xfId="8555" xr:uid="{00000000-0005-0000-0000-0000A9C00000}"/>
    <cellStyle name="표준 5 8 3 3 3 2" xfId="29261" xr:uid="{00000000-0005-0000-0000-0000AAC00000}"/>
    <cellStyle name="표준 5 8 3 3 3 3" xfId="37472" xr:uid="{00000000-0005-0000-0000-0000ABC00000}"/>
    <cellStyle name="표준 5 8 3 3 3 4" xfId="45665" xr:uid="{00000000-0005-0000-0000-0000ACC00000}"/>
    <cellStyle name="표준 5 8 3 3 4" xfId="12667" xr:uid="{00000000-0005-0000-0000-0000ADC00000}"/>
    <cellStyle name="표준 5 8 3 3 5" xfId="16907" xr:uid="{00000000-0005-0000-0000-0000AEC00000}"/>
    <cellStyle name="표준 5 8 3 3 6" xfId="21069" xr:uid="{00000000-0005-0000-0000-0000AFC00000}"/>
    <cellStyle name="표준 5 8 3 3 7" xfId="25165" xr:uid="{00000000-0005-0000-0000-0000B0C00000}"/>
    <cellStyle name="표준 5 8 3 3 8" xfId="33376" xr:uid="{00000000-0005-0000-0000-0000B1C00000}"/>
    <cellStyle name="표준 5 8 3 3 9" xfId="41569" xr:uid="{00000000-0005-0000-0000-0000B2C00000}"/>
    <cellStyle name="표준 5 8 3 4" xfId="2212" xr:uid="{00000000-0005-0000-0000-0000B3C00000}"/>
    <cellStyle name="표준 5 8 3 4 2" xfId="11115" xr:uid="{00000000-0005-0000-0000-0000B4C00000}"/>
    <cellStyle name="표준 5 8 3 4 2 2" xfId="15227" xr:uid="{00000000-0005-0000-0000-0000B5C00000}"/>
    <cellStyle name="표준 5 8 3 4 2 2 2" xfId="31821" xr:uid="{00000000-0005-0000-0000-0000B6C00000}"/>
    <cellStyle name="표준 5 8 3 4 2 2 3" xfId="40032" xr:uid="{00000000-0005-0000-0000-0000B7C00000}"/>
    <cellStyle name="표준 5 8 3 4 2 2 4" xfId="48225" xr:uid="{00000000-0005-0000-0000-0000B8C00000}"/>
    <cellStyle name="표준 5 8 3 4 2 3" xfId="19467" xr:uid="{00000000-0005-0000-0000-0000B9C00000}"/>
    <cellStyle name="표준 5 8 3 4 2 4" xfId="23629" xr:uid="{00000000-0005-0000-0000-0000BAC00000}"/>
    <cellStyle name="표준 5 8 3 4 2 5" xfId="27725" xr:uid="{00000000-0005-0000-0000-0000BBC00000}"/>
    <cellStyle name="표준 5 8 3 4 2 6" xfId="35936" xr:uid="{00000000-0005-0000-0000-0000BCC00000}"/>
    <cellStyle name="표준 5 8 3 4 2 7" xfId="44129" xr:uid="{00000000-0005-0000-0000-0000BDC00000}"/>
    <cellStyle name="표준 5 8 3 4 3" xfId="9067" xr:uid="{00000000-0005-0000-0000-0000BEC00000}"/>
    <cellStyle name="표준 5 8 3 4 3 2" xfId="29773" xr:uid="{00000000-0005-0000-0000-0000BFC00000}"/>
    <cellStyle name="표준 5 8 3 4 3 3" xfId="37984" xr:uid="{00000000-0005-0000-0000-0000C0C00000}"/>
    <cellStyle name="표준 5 8 3 4 3 4" xfId="46177" xr:uid="{00000000-0005-0000-0000-0000C1C00000}"/>
    <cellStyle name="표준 5 8 3 4 4" xfId="13179" xr:uid="{00000000-0005-0000-0000-0000C2C00000}"/>
    <cellStyle name="표준 5 8 3 4 5" xfId="17419" xr:uid="{00000000-0005-0000-0000-0000C3C00000}"/>
    <cellStyle name="표준 5 8 3 4 6" xfId="21581" xr:uid="{00000000-0005-0000-0000-0000C4C00000}"/>
    <cellStyle name="표준 5 8 3 4 7" xfId="25677" xr:uid="{00000000-0005-0000-0000-0000C5C00000}"/>
    <cellStyle name="표준 5 8 3 4 8" xfId="33888" xr:uid="{00000000-0005-0000-0000-0000C6C00000}"/>
    <cellStyle name="표준 5 8 3 4 9" xfId="42081" xr:uid="{00000000-0005-0000-0000-0000C7C00000}"/>
    <cellStyle name="표준 5 8 3 5" xfId="9579" xr:uid="{00000000-0005-0000-0000-0000C8C00000}"/>
    <cellStyle name="표준 5 8 3 5 2" xfId="13691" xr:uid="{00000000-0005-0000-0000-0000C9C00000}"/>
    <cellStyle name="표준 5 8 3 5 2 2" xfId="30285" xr:uid="{00000000-0005-0000-0000-0000CAC00000}"/>
    <cellStyle name="표준 5 8 3 5 2 3" xfId="38496" xr:uid="{00000000-0005-0000-0000-0000CBC00000}"/>
    <cellStyle name="표준 5 8 3 5 2 4" xfId="46689" xr:uid="{00000000-0005-0000-0000-0000CCC00000}"/>
    <cellStyle name="표준 5 8 3 5 3" xfId="17931" xr:uid="{00000000-0005-0000-0000-0000CDC00000}"/>
    <cellStyle name="표준 5 8 3 5 4" xfId="22093" xr:uid="{00000000-0005-0000-0000-0000CEC00000}"/>
    <cellStyle name="표준 5 8 3 5 5" xfId="26189" xr:uid="{00000000-0005-0000-0000-0000CFC00000}"/>
    <cellStyle name="표준 5 8 3 5 6" xfId="34400" xr:uid="{00000000-0005-0000-0000-0000D0C00000}"/>
    <cellStyle name="표준 5 8 3 5 7" xfId="42593" xr:uid="{00000000-0005-0000-0000-0000D1C00000}"/>
    <cellStyle name="표준 5 8 3 6" xfId="7531" xr:uid="{00000000-0005-0000-0000-0000D2C00000}"/>
    <cellStyle name="표준 5 8 3 6 2" xfId="28237" xr:uid="{00000000-0005-0000-0000-0000D3C00000}"/>
    <cellStyle name="표준 5 8 3 6 3" xfId="36448" xr:uid="{00000000-0005-0000-0000-0000D4C00000}"/>
    <cellStyle name="표준 5 8 3 6 4" xfId="44641" xr:uid="{00000000-0005-0000-0000-0000D5C00000}"/>
    <cellStyle name="표준 5 8 3 7" xfId="11643" xr:uid="{00000000-0005-0000-0000-0000D6C00000}"/>
    <cellStyle name="표준 5 8 3 8" xfId="15883" xr:uid="{00000000-0005-0000-0000-0000D7C00000}"/>
    <cellStyle name="표준 5 8 3 9" xfId="20045" xr:uid="{00000000-0005-0000-0000-0000D8C00000}"/>
    <cellStyle name="표준 5 8 4" xfId="932" xr:uid="{00000000-0005-0000-0000-0000D9C00000}"/>
    <cellStyle name="표준 5 8 4 2" xfId="9835" xr:uid="{00000000-0005-0000-0000-0000DAC00000}"/>
    <cellStyle name="표준 5 8 4 2 2" xfId="13947" xr:uid="{00000000-0005-0000-0000-0000DBC00000}"/>
    <cellStyle name="표준 5 8 4 2 2 2" xfId="30541" xr:uid="{00000000-0005-0000-0000-0000DCC00000}"/>
    <cellStyle name="표준 5 8 4 2 2 3" xfId="38752" xr:uid="{00000000-0005-0000-0000-0000DDC00000}"/>
    <cellStyle name="표준 5 8 4 2 2 4" xfId="46945" xr:uid="{00000000-0005-0000-0000-0000DEC00000}"/>
    <cellStyle name="표준 5 8 4 2 3" xfId="18187" xr:uid="{00000000-0005-0000-0000-0000DFC00000}"/>
    <cellStyle name="표준 5 8 4 2 4" xfId="22349" xr:uid="{00000000-0005-0000-0000-0000E0C00000}"/>
    <cellStyle name="표준 5 8 4 2 5" xfId="26445" xr:uid="{00000000-0005-0000-0000-0000E1C00000}"/>
    <cellStyle name="표준 5 8 4 2 6" xfId="34656" xr:uid="{00000000-0005-0000-0000-0000E2C00000}"/>
    <cellStyle name="표준 5 8 4 2 7" xfId="42849" xr:uid="{00000000-0005-0000-0000-0000E3C00000}"/>
    <cellStyle name="표준 5 8 4 3" xfId="7787" xr:uid="{00000000-0005-0000-0000-0000E4C00000}"/>
    <cellStyle name="표준 5 8 4 3 2" xfId="28493" xr:uid="{00000000-0005-0000-0000-0000E5C00000}"/>
    <cellStyle name="표준 5 8 4 3 3" xfId="36704" xr:uid="{00000000-0005-0000-0000-0000E6C00000}"/>
    <cellStyle name="표준 5 8 4 3 4" xfId="44897" xr:uid="{00000000-0005-0000-0000-0000E7C00000}"/>
    <cellStyle name="표준 5 8 4 4" xfId="11899" xr:uid="{00000000-0005-0000-0000-0000E8C00000}"/>
    <cellStyle name="표준 5 8 4 5" xfId="16139" xr:uid="{00000000-0005-0000-0000-0000E9C00000}"/>
    <cellStyle name="표준 5 8 4 6" xfId="20301" xr:uid="{00000000-0005-0000-0000-0000EAC00000}"/>
    <cellStyle name="표준 5 8 4 7" xfId="24397" xr:uid="{00000000-0005-0000-0000-0000EBC00000}"/>
    <cellStyle name="표준 5 8 4 8" xfId="32608" xr:uid="{00000000-0005-0000-0000-0000ECC00000}"/>
    <cellStyle name="표준 5 8 4 9" xfId="40801" xr:uid="{00000000-0005-0000-0000-0000EDC00000}"/>
    <cellStyle name="표준 5 8 5" xfId="1444" xr:uid="{00000000-0005-0000-0000-0000EEC00000}"/>
    <cellStyle name="표준 5 8 5 2" xfId="10347" xr:uid="{00000000-0005-0000-0000-0000EFC00000}"/>
    <cellStyle name="표준 5 8 5 2 2" xfId="14459" xr:uid="{00000000-0005-0000-0000-0000F0C00000}"/>
    <cellStyle name="표준 5 8 5 2 2 2" xfId="31053" xr:uid="{00000000-0005-0000-0000-0000F1C00000}"/>
    <cellStyle name="표준 5 8 5 2 2 3" xfId="39264" xr:uid="{00000000-0005-0000-0000-0000F2C00000}"/>
    <cellStyle name="표준 5 8 5 2 2 4" xfId="47457" xr:uid="{00000000-0005-0000-0000-0000F3C00000}"/>
    <cellStyle name="표준 5 8 5 2 3" xfId="18699" xr:uid="{00000000-0005-0000-0000-0000F4C00000}"/>
    <cellStyle name="표준 5 8 5 2 4" xfId="22861" xr:uid="{00000000-0005-0000-0000-0000F5C00000}"/>
    <cellStyle name="표준 5 8 5 2 5" xfId="26957" xr:uid="{00000000-0005-0000-0000-0000F6C00000}"/>
    <cellStyle name="표준 5 8 5 2 6" xfId="35168" xr:uid="{00000000-0005-0000-0000-0000F7C00000}"/>
    <cellStyle name="표준 5 8 5 2 7" xfId="43361" xr:uid="{00000000-0005-0000-0000-0000F8C00000}"/>
    <cellStyle name="표준 5 8 5 3" xfId="8299" xr:uid="{00000000-0005-0000-0000-0000F9C00000}"/>
    <cellStyle name="표준 5 8 5 3 2" xfId="29005" xr:uid="{00000000-0005-0000-0000-0000FAC00000}"/>
    <cellStyle name="표준 5 8 5 3 3" xfId="37216" xr:uid="{00000000-0005-0000-0000-0000FBC00000}"/>
    <cellStyle name="표준 5 8 5 3 4" xfId="45409" xr:uid="{00000000-0005-0000-0000-0000FCC00000}"/>
    <cellStyle name="표준 5 8 5 4" xfId="12411" xr:uid="{00000000-0005-0000-0000-0000FDC00000}"/>
    <cellStyle name="표준 5 8 5 5" xfId="16651" xr:uid="{00000000-0005-0000-0000-0000FEC00000}"/>
    <cellStyle name="표준 5 8 5 6" xfId="20813" xr:uid="{00000000-0005-0000-0000-0000FFC00000}"/>
    <cellStyle name="표준 5 8 5 7" xfId="24909" xr:uid="{00000000-0005-0000-0000-000000C10000}"/>
    <cellStyle name="표준 5 8 5 8" xfId="33120" xr:uid="{00000000-0005-0000-0000-000001C10000}"/>
    <cellStyle name="표준 5 8 5 9" xfId="41313" xr:uid="{00000000-0005-0000-0000-000002C10000}"/>
    <cellStyle name="표준 5 8 6" xfId="1956" xr:uid="{00000000-0005-0000-0000-000003C10000}"/>
    <cellStyle name="표준 5 8 6 2" xfId="10859" xr:uid="{00000000-0005-0000-0000-000004C10000}"/>
    <cellStyle name="표준 5 8 6 2 2" xfId="14971" xr:uid="{00000000-0005-0000-0000-000005C10000}"/>
    <cellStyle name="표준 5 8 6 2 2 2" xfId="31565" xr:uid="{00000000-0005-0000-0000-000006C10000}"/>
    <cellStyle name="표준 5 8 6 2 2 3" xfId="39776" xr:uid="{00000000-0005-0000-0000-000007C10000}"/>
    <cellStyle name="표준 5 8 6 2 2 4" xfId="47969" xr:uid="{00000000-0005-0000-0000-000008C10000}"/>
    <cellStyle name="표준 5 8 6 2 3" xfId="19211" xr:uid="{00000000-0005-0000-0000-000009C10000}"/>
    <cellStyle name="표준 5 8 6 2 4" xfId="23373" xr:uid="{00000000-0005-0000-0000-00000AC10000}"/>
    <cellStyle name="표준 5 8 6 2 5" xfId="27469" xr:uid="{00000000-0005-0000-0000-00000BC10000}"/>
    <cellStyle name="표준 5 8 6 2 6" xfId="35680" xr:uid="{00000000-0005-0000-0000-00000CC10000}"/>
    <cellStyle name="표준 5 8 6 2 7" xfId="43873" xr:uid="{00000000-0005-0000-0000-00000DC10000}"/>
    <cellStyle name="표준 5 8 6 3" xfId="8811" xr:uid="{00000000-0005-0000-0000-00000EC10000}"/>
    <cellStyle name="표준 5 8 6 3 2" xfId="29517" xr:uid="{00000000-0005-0000-0000-00000FC10000}"/>
    <cellStyle name="표준 5 8 6 3 3" xfId="37728" xr:uid="{00000000-0005-0000-0000-000010C10000}"/>
    <cellStyle name="표준 5 8 6 3 4" xfId="45921" xr:uid="{00000000-0005-0000-0000-000011C10000}"/>
    <cellStyle name="표준 5 8 6 4" xfId="12923" xr:uid="{00000000-0005-0000-0000-000012C10000}"/>
    <cellStyle name="표준 5 8 6 5" xfId="17163" xr:uid="{00000000-0005-0000-0000-000013C10000}"/>
    <cellStyle name="표준 5 8 6 6" xfId="21325" xr:uid="{00000000-0005-0000-0000-000014C10000}"/>
    <cellStyle name="표준 5 8 6 7" xfId="25421" xr:uid="{00000000-0005-0000-0000-000015C10000}"/>
    <cellStyle name="표준 5 8 6 8" xfId="33632" xr:uid="{00000000-0005-0000-0000-000016C10000}"/>
    <cellStyle name="표준 5 8 6 9" xfId="41825" xr:uid="{00000000-0005-0000-0000-000017C10000}"/>
    <cellStyle name="표준 5 8 7" xfId="4343" xr:uid="{00000000-0005-0000-0000-000018C10000}"/>
    <cellStyle name="표준 5 8 7 2" xfId="9323" xr:uid="{00000000-0005-0000-0000-000019C10000}"/>
    <cellStyle name="표준 5 8 7 2 2" xfId="30029" xr:uid="{00000000-0005-0000-0000-00001AC10000}"/>
    <cellStyle name="표준 5 8 7 2 3" xfId="38240" xr:uid="{00000000-0005-0000-0000-00001BC10000}"/>
    <cellStyle name="표준 5 8 7 2 4" xfId="46433" xr:uid="{00000000-0005-0000-0000-00001CC10000}"/>
    <cellStyle name="표준 5 8 7 3" xfId="13435" xr:uid="{00000000-0005-0000-0000-00001DC10000}"/>
    <cellStyle name="표준 5 8 7 4" xfId="17675" xr:uid="{00000000-0005-0000-0000-00001EC10000}"/>
    <cellStyle name="표준 5 8 7 5" xfId="21837" xr:uid="{00000000-0005-0000-0000-00001FC10000}"/>
    <cellStyle name="표준 5 8 7 6" xfId="25933" xr:uid="{00000000-0005-0000-0000-000020C10000}"/>
    <cellStyle name="표준 5 8 7 7" xfId="34144" xr:uid="{00000000-0005-0000-0000-000021C10000}"/>
    <cellStyle name="표준 5 8 7 8" xfId="42337" xr:uid="{00000000-0005-0000-0000-000022C10000}"/>
    <cellStyle name="표준 5 8 8" xfId="7008" xr:uid="{00000000-0005-0000-0000-000023C10000}"/>
    <cellStyle name="표준 5 8 8 2" xfId="27981" xr:uid="{00000000-0005-0000-0000-000024C10000}"/>
    <cellStyle name="표준 5 8 8 3" xfId="36192" xr:uid="{00000000-0005-0000-0000-000025C10000}"/>
    <cellStyle name="표준 5 8 8 4" xfId="44385" xr:uid="{00000000-0005-0000-0000-000026C10000}"/>
    <cellStyle name="표준 5 8 9" xfId="7162" xr:uid="{00000000-0005-0000-0000-000027C10000}"/>
    <cellStyle name="표준 5 9" xfId="484" xr:uid="{00000000-0005-0000-0000-000028C10000}"/>
    <cellStyle name="표준 5 9 10" xfId="15691" xr:uid="{00000000-0005-0000-0000-000029C10000}"/>
    <cellStyle name="표준 5 9 11" xfId="19853" xr:uid="{00000000-0005-0000-0000-00002AC10000}"/>
    <cellStyle name="표준 5 9 12" xfId="23949" xr:uid="{00000000-0005-0000-0000-00002BC10000}"/>
    <cellStyle name="표준 5 9 13" xfId="32160" xr:uid="{00000000-0005-0000-0000-00002CC10000}"/>
    <cellStyle name="표준 5 9 14" xfId="40353" xr:uid="{00000000-0005-0000-0000-00002DC10000}"/>
    <cellStyle name="표준 5 9 2" xfId="740" xr:uid="{00000000-0005-0000-0000-00002EC10000}"/>
    <cellStyle name="표준 5 9 2 10" xfId="24205" xr:uid="{00000000-0005-0000-0000-00002FC10000}"/>
    <cellStyle name="표준 5 9 2 11" xfId="32416" xr:uid="{00000000-0005-0000-0000-000030C10000}"/>
    <cellStyle name="표준 5 9 2 12" xfId="40609" xr:uid="{00000000-0005-0000-0000-000031C10000}"/>
    <cellStyle name="표준 5 9 2 2" xfId="1252" xr:uid="{00000000-0005-0000-0000-000032C10000}"/>
    <cellStyle name="표준 5 9 2 2 2" xfId="10155" xr:uid="{00000000-0005-0000-0000-000033C10000}"/>
    <cellStyle name="표준 5 9 2 2 2 2" xfId="14267" xr:uid="{00000000-0005-0000-0000-000034C10000}"/>
    <cellStyle name="표준 5 9 2 2 2 2 2" xfId="30861" xr:uid="{00000000-0005-0000-0000-000035C10000}"/>
    <cellStyle name="표준 5 9 2 2 2 2 3" xfId="39072" xr:uid="{00000000-0005-0000-0000-000036C10000}"/>
    <cellStyle name="표준 5 9 2 2 2 2 4" xfId="47265" xr:uid="{00000000-0005-0000-0000-000037C10000}"/>
    <cellStyle name="표준 5 9 2 2 2 3" xfId="18507" xr:uid="{00000000-0005-0000-0000-000038C10000}"/>
    <cellStyle name="표준 5 9 2 2 2 4" xfId="22669" xr:uid="{00000000-0005-0000-0000-000039C10000}"/>
    <cellStyle name="표준 5 9 2 2 2 5" xfId="26765" xr:uid="{00000000-0005-0000-0000-00003AC10000}"/>
    <cellStyle name="표준 5 9 2 2 2 6" xfId="34976" xr:uid="{00000000-0005-0000-0000-00003BC10000}"/>
    <cellStyle name="표준 5 9 2 2 2 7" xfId="43169" xr:uid="{00000000-0005-0000-0000-00003CC10000}"/>
    <cellStyle name="표준 5 9 2 2 3" xfId="8107" xr:uid="{00000000-0005-0000-0000-00003DC10000}"/>
    <cellStyle name="표준 5 9 2 2 3 2" xfId="28813" xr:uid="{00000000-0005-0000-0000-00003EC10000}"/>
    <cellStyle name="표준 5 9 2 2 3 3" xfId="37024" xr:uid="{00000000-0005-0000-0000-00003FC10000}"/>
    <cellStyle name="표준 5 9 2 2 3 4" xfId="45217" xr:uid="{00000000-0005-0000-0000-000040C10000}"/>
    <cellStyle name="표준 5 9 2 2 4" xfId="12219" xr:uid="{00000000-0005-0000-0000-000041C10000}"/>
    <cellStyle name="표준 5 9 2 2 5" xfId="16459" xr:uid="{00000000-0005-0000-0000-000042C10000}"/>
    <cellStyle name="표준 5 9 2 2 6" xfId="20621" xr:uid="{00000000-0005-0000-0000-000043C10000}"/>
    <cellStyle name="표준 5 9 2 2 7" xfId="24717" xr:uid="{00000000-0005-0000-0000-000044C10000}"/>
    <cellStyle name="표준 5 9 2 2 8" xfId="32928" xr:uid="{00000000-0005-0000-0000-000045C10000}"/>
    <cellStyle name="표준 5 9 2 2 9" xfId="41121" xr:uid="{00000000-0005-0000-0000-000046C10000}"/>
    <cellStyle name="표준 5 9 2 3" xfId="1764" xr:uid="{00000000-0005-0000-0000-000047C10000}"/>
    <cellStyle name="표준 5 9 2 3 2" xfId="10667" xr:uid="{00000000-0005-0000-0000-000048C10000}"/>
    <cellStyle name="표준 5 9 2 3 2 2" xfId="14779" xr:uid="{00000000-0005-0000-0000-000049C10000}"/>
    <cellStyle name="표준 5 9 2 3 2 2 2" xfId="31373" xr:uid="{00000000-0005-0000-0000-00004AC10000}"/>
    <cellStyle name="표준 5 9 2 3 2 2 3" xfId="39584" xr:uid="{00000000-0005-0000-0000-00004BC10000}"/>
    <cellStyle name="표준 5 9 2 3 2 2 4" xfId="47777" xr:uid="{00000000-0005-0000-0000-00004CC10000}"/>
    <cellStyle name="표준 5 9 2 3 2 3" xfId="19019" xr:uid="{00000000-0005-0000-0000-00004DC10000}"/>
    <cellStyle name="표준 5 9 2 3 2 4" xfId="23181" xr:uid="{00000000-0005-0000-0000-00004EC10000}"/>
    <cellStyle name="표준 5 9 2 3 2 5" xfId="27277" xr:uid="{00000000-0005-0000-0000-00004FC10000}"/>
    <cellStyle name="표준 5 9 2 3 2 6" xfId="35488" xr:uid="{00000000-0005-0000-0000-000050C10000}"/>
    <cellStyle name="표준 5 9 2 3 2 7" xfId="43681" xr:uid="{00000000-0005-0000-0000-000051C10000}"/>
    <cellStyle name="표준 5 9 2 3 3" xfId="8619" xr:uid="{00000000-0005-0000-0000-000052C10000}"/>
    <cellStyle name="표준 5 9 2 3 3 2" xfId="29325" xr:uid="{00000000-0005-0000-0000-000053C10000}"/>
    <cellStyle name="표준 5 9 2 3 3 3" xfId="37536" xr:uid="{00000000-0005-0000-0000-000054C10000}"/>
    <cellStyle name="표준 5 9 2 3 3 4" xfId="45729" xr:uid="{00000000-0005-0000-0000-000055C10000}"/>
    <cellStyle name="표준 5 9 2 3 4" xfId="12731" xr:uid="{00000000-0005-0000-0000-000056C10000}"/>
    <cellStyle name="표준 5 9 2 3 5" xfId="16971" xr:uid="{00000000-0005-0000-0000-000057C10000}"/>
    <cellStyle name="표준 5 9 2 3 6" xfId="21133" xr:uid="{00000000-0005-0000-0000-000058C10000}"/>
    <cellStyle name="표준 5 9 2 3 7" xfId="25229" xr:uid="{00000000-0005-0000-0000-000059C10000}"/>
    <cellStyle name="표준 5 9 2 3 8" xfId="33440" xr:uid="{00000000-0005-0000-0000-00005AC10000}"/>
    <cellStyle name="표준 5 9 2 3 9" xfId="41633" xr:uid="{00000000-0005-0000-0000-00005BC10000}"/>
    <cellStyle name="표준 5 9 2 4" xfId="2276" xr:uid="{00000000-0005-0000-0000-00005CC10000}"/>
    <cellStyle name="표준 5 9 2 4 2" xfId="11179" xr:uid="{00000000-0005-0000-0000-00005DC10000}"/>
    <cellStyle name="표준 5 9 2 4 2 2" xfId="15291" xr:uid="{00000000-0005-0000-0000-00005EC10000}"/>
    <cellStyle name="표준 5 9 2 4 2 2 2" xfId="31885" xr:uid="{00000000-0005-0000-0000-00005FC10000}"/>
    <cellStyle name="표준 5 9 2 4 2 2 3" xfId="40096" xr:uid="{00000000-0005-0000-0000-000060C10000}"/>
    <cellStyle name="표준 5 9 2 4 2 2 4" xfId="48289" xr:uid="{00000000-0005-0000-0000-000061C10000}"/>
    <cellStyle name="표준 5 9 2 4 2 3" xfId="19531" xr:uid="{00000000-0005-0000-0000-000062C10000}"/>
    <cellStyle name="표준 5 9 2 4 2 4" xfId="23693" xr:uid="{00000000-0005-0000-0000-000063C10000}"/>
    <cellStyle name="표준 5 9 2 4 2 5" xfId="27789" xr:uid="{00000000-0005-0000-0000-000064C10000}"/>
    <cellStyle name="표준 5 9 2 4 2 6" xfId="36000" xr:uid="{00000000-0005-0000-0000-000065C10000}"/>
    <cellStyle name="표준 5 9 2 4 2 7" xfId="44193" xr:uid="{00000000-0005-0000-0000-000066C10000}"/>
    <cellStyle name="표준 5 9 2 4 3" xfId="9131" xr:uid="{00000000-0005-0000-0000-000067C10000}"/>
    <cellStyle name="표준 5 9 2 4 3 2" xfId="29837" xr:uid="{00000000-0005-0000-0000-000068C10000}"/>
    <cellStyle name="표준 5 9 2 4 3 3" xfId="38048" xr:uid="{00000000-0005-0000-0000-000069C10000}"/>
    <cellStyle name="표준 5 9 2 4 3 4" xfId="46241" xr:uid="{00000000-0005-0000-0000-00006AC10000}"/>
    <cellStyle name="표준 5 9 2 4 4" xfId="13243" xr:uid="{00000000-0005-0000-0000-00006BC10000}"/>
    <cellStyle name="표준 5 9 2 4 5" xfId="17483" xr:uid="{00000000-0005-0000-0000-00006CC10000}"/>
    <cellStyle name="표준 5 9 2 4 6" xfId="21645" xr:uid="{00000000-0005-0000-0000-00006DC10000}"/>
    <cellStyle name="표준 5 9 2 4 7" xfId="25741" xr:uid="{00000000-0005-0000-0000-00006EC10000}"/>
    <cellStyle name="표준 5 9 2 4 8" xfId="33952" xr:uid="{00000000-0005-0000-0000-00006FC10000}"/>
    <cellStyle name="표준 5 9 2 4 9" xfId="42145" xr:uid="{00000000-0005-0000-0000-000070C10000}"/>
    <cellStyle name="표준 5 9 2 5" xfId="9643" xr:uid="{00000000-0005-0000-0000-000071C10000}"/>
    <cellStyle name="표준 5 9 2 5 2" xfId="13755" xr:uid="{00000000-0005-0000-0000-000072C10000}"/>
    <cellStyle name="표준 5 9 2 5 2 2" xfId="30349" xr:uid="{00000000-0005-0000-0000-000073C10000}"/>
    <cellStyle name="표준 5 9 2 5 2 3" xfId="38560" xr:uid="{00000000-0005-0000-0000-000074C10000}"/>
    <cellStyle name="표준 5 9 2 5 2 4" xfId="46753" xr:uid="{00000000-0005-0000-0000-000075C10000}"/>
    <cellStyle name="표준 5 9 2 5 3" xfId="17995" xr:uid="{00000000-0005-0000-0000-000076C10000}"/>
    <cellStyle name="표준 5 9 2 5 4" xfId="22157" xr:uid="{00000000-0005-0000-0000-000077C10000}"/>
    <cellStyle name="표준 5 9 2 5 5" xfId="26253" xr:uid="{00000000-0005-0000-0000-000078C10000}"/>
    <cellStyle name="표준 5 9 2 5 6" xfId="34464" xr:uid="{00000000-0005-0000-0000-000079C10000}"/>
    <cellStyle name="표준 5 9 2 5 7" xfId="42657" xr:uid="{00000000-0005-0000-0000-00007AC10000}"/>
    <cellStyle name="표준 5 9 2 6" xfId="7595" xr:uid="{00000000-0005-0000-0000-00007BC10000}"/>
    <cellStyle name="표준 5 9 2 6 2" xfId="28301" xr:uid="{00000000-0005-0000-0000-00007CC10000}"/>
    <cellStyle name="표준 5 9 2 6 3" xfId="36512" xr:uid="{00000000-0005-0000-0000-00007DC10000}"/>
    <cellStyle name="표준 5 9 2 6 4" xfId="44705" xr:uid="{00000000-0005-0000-0000-00007EC10000}"/>
    <cellStyle name="표준 5 9 2 7" xfId="11707" xr:uid="{00000000-0005-0000-0000-00007FC10000}"/>
    <cellStyle name="표준 5 9 2 8" xfId="15947" xr:uid="{00000000-0005-0000-0000-000080C10000}"/>
    <cellStyle name="표준 5 9 2 9" xfId="20109" xr:uid="{00000000-0005-0000-0000-000081C10000}"/>
    <cellStyle name="표준 5 9 3" xfId="996" xr:uid="{00000000-0005-0000-0000-000082C10000}"/>
    <cellStyle name="표준 5 9 3 2" xfId="9899" xr:uid="{00000000-0005-0000-0000-000083C10000}"/>
    <cellStyle name="표준 5 9 3 2 2" xfId="14011" xr:uid="{00000000-0005-0000-0000-000084C10000}"/>
    <cellStyle name="표준 5 9 3 2 2 2" xfId="30605" xr:uid="{00000000-0005-0000-0000-000085C10000}"/>
    <cellStyle name="표준 5 9 3 2 2 3" xfId="38816" xr:uid="{00000000-0005-0000-0000-000086C10000}"/>
    <cellStyle name="표준 5 9 3 2 2 4" xfId="47009" xr:uid="{00000000-0005-0000-0000-000087C10000}"/>
    <cellStyle name="표준 5 9 3 2 3" xfId="18251" xr:uid="{00000000-0005-0000-0000-000088C10000}"/>
    <cellStyle name="표준 5 9 3 2 4" xfId="22413" xr:uid="{00000000-0005-0000-0000-000089C10000}"/>
    <cellStyle name="표준 5 9 3 2 5" xfId="26509" xr:uid="{00000000-0005-0000-0000-00008AC10000}"/>
    <cellStyle name="표준 5 9 3 2 6" xfId="34720" xr:uid="{00000000-0005-0000-0000-00008BC10000}"/>
    <cellStyle name="표준 5 9 3 2 7" xfId="42913" xr:uid="{00000000-0005-0000-0000-00008CC10000}"/>
    <cellStyle name="표준 5 9 3 3" xfId="7851" xr:uid="{00000000-0005-0000-0000-00008DC10000}"/>
    <cellStyle name="표준 5 9 3 3 2" xfId="28557" xr:uid="{00000000-0005-0000-0000-00008EC10000}"/>
    <cellStyle name="표준 5 9 3 3 3" xfId="36768" xr:uid="{00000000-0005-0000-0000-00008FC10000}"/>
    <cellStyle name="표준 5 9 3 3 4" xfId="44961" xr:uid="{00000000-0005-0000-0000-000090C10000}"/>
    <cellStyle name="표준 5 9 3 4" xfId="11963" xr:uid="{00000000-0005-0000-0000-000091C10000}"/>
    <cellStyle name="표준 5 9 3 5" xfId="16203" xr:uid="{00000000-0005-0000-0000-000092C10000}"/>
    <cellStyle name="표준 5 9 3 6" xfId="20365" xr:uid="{00000000-0005-0000-0000-000093C10000}"/>
    <cellStyle name="표준 5 9 3 7" xfId="24461" xr:uid="{00000000-0005-0000-0000-000094C10000}"/>
    <cellStyle name="표준 5 9 3 8" xfId="32672" xr:uid="{00000000-0005-0000-0000-000095C10000}"/>
    <cellStyle name="표준 5 9 3 9" xfId="40865" xr:uid="{00000000-0005-0000-0000-000096C10000}"/>
    <cellStyle name="표준 5 9 4" xfId="1508" xr:uid="{00000000-0005-0000-0000-000097C10000}"/>
    <cellStyle name="표준 5 9 4 2" xfId="10411" xr:uid="{00000000-0005-0000-0000-000098C10000}"/>
    <cellStyle name="표준 5 9 4 2 2" xfId="14523" xr:uid="{00000000-0005-0000-0000-000099C10000}"/>
    <cellStyle name="표준 5 9 4 2 2 2" xfId="31117" xr:uid="{00000000-0005-0000-0000-00009AC10000}"/>
    <cellStyle name="표준 5 9 4 2 2 3" xfId="39328" xr:uid="{00000000-0005-0000-0000-00009BC10000}"/>
    <cellStyle name="표준 5 9 4 2 2 4" xfId="47521" xr:uid="{00000000-0005-0000-0000-00009CC10000}"/>
    <cellStyle name="표준 5 9 4 2 3" xfId="18763" xr:uid="{00000000-0005-0000-0000-00009DC10000}"/>
    <cellStyle name="표준 5 9 4 2 4" xfId="22925" xr:uid="{00000000-0005-0000-0000-00009EC10000}"/>
    <cellStyle name="표준 5 9 4 2 5" xfId="27021" xr:uid="{00000000-0005-0000-0000-00009FC10000}"/>
    <cellStyle name="표준 5 9 4 2 6" xfId="35232" xr:uid="{00000000-0005-0000-0000-0000A0C10000}"/>
    <cellStyle name="표준 5 9 4 2 7" xfId="43425" xr:uid="{00000000-0005-0000-0000-0000A1C10000}"/>
    <cellStyle name="표준 5 9 4 3" xfId="8363" xr:uid="{00000000-0005-0000-0000-0000A2C10000}"/>
    <cellStyle name="표준 5 9 4 3 2" xfId="29069" xr:uid="{00000000-0005-0000-0000-0000A3C10000}"/>
    <cellStyle name="표준 5 9 4 3 3" xfId="37280" xr:uid="{00000000-0005-0000-0000-0000A4C10000}"/>
    <cellStyle name="표준 5 9 4 3 4" xfId="45473" xr:uid="{00000000-0005-0000-0000-0000A5C10000}"/>
    <cellStyle name="표준 5 9 4 4" xfId="12475" xr:uid="{00000000-0005-0000-0000-0000A6C10000}"/>
    <cellStyle name="표준 5 9 4 5" xfId="16715" xr:uid="{00000000-0005-0000-0000-0000A7C10000}"/>
    <cellStyle name="표준 5 9 4 6" xfId="20877" xr:uid="{00000000-0005-0000-0000-0000A8C10000}"/>
    <cellStyle name="표준 5 9 4 7" xfId="24973" xr:uid="{00000000-0005-0000-0000-0000A9C10000}"/>
    <cellStyle name="표준 5 9 4 8" xfId="33184" xr:uid="{00000000-0005-0000-0000-0000AAC10000}"/>
    <cellStyle name="표준 5 9 4 9" xfId="41377" xr:uid="{00000000-0005-0000-0000-0000ABC10000}"/>
    <cellStyle name="표준 5 9 5" xfId="2020" xr:uid="{00000000-0005-0000-0000-0000ACC10000}"/>
    <cellStyle name="표준 5 9 5 2" xfId="10923" xr:uid="{00000000-0005-0000-0000-0000ADC10000}"/>
    <cellStyle name="표준 5 9 5 2 2" xfId="15035" xr:uid="{00000000-0005-0000-0000-0000AEC10000}"/>
    <cellStyle name="표준 5 9 5 2 2 2" xfId="31629" xr:uid="{00000000-0005-0000-0000-0000AFC10000}"/>
    <cellStyle name="표준 5 9 5 2 2 3" xfId="39840" xr:uid="{00000000-0005-0000-0000-0000B0C10000}"/>
    <cellStyle name="표준 5 9 5 2 2 4" xfId="48033" xr:uid="{00000000-0005-0000-0000-0000B1C10000}"/>
    <cellStyle name="표준 5 9 5 2 3" xfId="19275" xr:uid="{00000000-0005-0000-0000-0000B2C10000}"/>
    <cellStyle name="표준 5 9 5 2 4" xfId="23437" xr:uid="{00000000-0005-0000-0000-0000B3C10000}"/>
    <cellStyle name="표준 5 9 5 2 5" xfId="27533" xr:uid="{00000000-0005-0000-0000-0000B4C10000}"/>
    <cellStyle name="표준 5 9 5 2 6" xfId="35744" xr:uid="{00000000-0005-0000-0000-0000B5C10000}"/>
    <cellStyle name="표준 5 9 5 2 7" xfId="43937" xr:uid="{00000000-0005-0000-0000-0000B6C10000}"/>
    <cellStyle name="표준 5 9 5 3" xfId="8875" xr:uid="{00000000-0005-0000-0000-0000B7C10000}"/>
    <cellStyle name="표준 5 9 5 3 2" xfId="29581" xr:uid="{00000000-0005-0000-0000-0000B8C10000}"/>
    <cellStyle name="표준 5 9 5 3 3" xfId="37792" xr:uid="{00000000-0005-0000-0000-0000B9C10000}"/>
    <cellStyle name="표준 5 9 5 3 4" xfId="45985" xr:uid="{00000000-0005-0000-0000-0000BAC10000}"/>
    <cellStyle name="표준 5 9 5 4" xfId="12987" xr:uid="{00000000-0005-0000-0000-0000BBC10000}"/>
    <cellStyle name="표준 5 9 5 5" xfId="17227" xr:uid="{00000000-0005-0000-0000-0000BCC10000}"/>
    <cellStyle name="표준 5 9 5 6" xfId="21389" xr:uid="{00000000-0005-0000-0000-0000BDC10000}"/>
    <cellStyle name="표준 5 9 5 7" xfId="25485" xr:uid="{00000000-0005-0000-0000-0000BEC10000}"/>
    <cellStyle name="표준 5 9 5 8" xfId="33696" xr:uid="{00000000-0005-0000-0000-0000BFC10000}"/>
    <cellStyle name="표준 5 9 5 9" xfId="41889" xr:uid="{00000000-0005-0000-0000-0000C0C10000}"/>
    <cellStyle name="표준 5 9 6" xfId="4344" xr:uid="{00000000-0005-0000-0000-0000C1C10000}"/>
    <cellStyle name="표준 5 9 6 2" xfId="9387" xr:uid="{00000000-0005-0000-0000-0000C2C10000}"/>
    <cellStyle name="표준 5 9 6 2 2" xfId="30093" xr:uid="{00000000-0005-0000-0000-0000C3C10000}"/>
    <cellStyle name="표준 5 9 6 2 3" xfId="38304" xr:uid="{00000000-0005-0000-0000-0000C4C10000}"/>
    <cellStyle name="표준 5 9 6 2 4" xfId="46497" xr:uid="{00000000-0005-0000-0000-0000C5C10000}"/>
    <cellStyle name="표준 5 9 6 3" xfId="13499" xr:uid="{00000000-0005-0000-0000-0000C6C10000}"/>
    <cellStyle name="표준 5 9 6 4" xfId="17739" xr:uid="{00000000-0005-0000-0000-0000C7C10000}"/>
    <cellStyle name="표준 5 9 6 5" xfId="21901" xr:uid="{00000000-0005-0000-0000-0000C8C10000}"/>
    <cellStyle name="표준 5 9 6 6" xfId="25997" xr:uid="{00000000-0005-0000-0000-0000C9C10000}"/>
    <cellStyle name="표준 5 9 6 7" xfId="34208" xr:uid="{00000000-0005-0000-0000-0000CAC10000}"/>
    <cellStyle name="표준 5 9 6 8" xfId="42401" xr:uid="{00000000-0005-0000-0000-0000CBC10000}"/>
    <cellStyle name="표준 5 9 7" xfId="6615" xr:uid="{00000000-0005-0000-0000-0000CCC10000}"/>
    <cellStyle name="표준 5 9 7 2" xfId="28045" xr:uid="{00000000-0005-0000-0000-0000CDC10000}"/>
    <cellStyle name="표준 5 9 7 3" xfId="36256" xr:uid="{00000000-0005-0000-0000-0000CEC10000}"/>
    <cellStyle name="표준 5 9 7 4" xfId="44449" xr:uid="{00000000-0005-0000-0000-0000CFC10000}"/>
    <cellStyle name="표준 5 9 8" xfId="7339" xr:uid="{00000000-0005-0000-0000-0000D0C10000}"/>
    <cellStyle name="표준 5 9 9" xfId="11451" xr:uid="{00000000-0005-0000-0000-0000D1C10000}"/>
    <cellStyle name="표준 5_업체별" xfId="6227" xr:uid="{00000000-0005-0000-0000-0000D2C10000}"/>
    <cellStyle name="표준 50" xfId="4345" xr:uid="{00000000-0005-0000-0000-0000D3C10000}"/>
    <cellStyle name="표준 51" xfId="4346" xr:uid="{00000000-0005-0000-0000-0000D4C10000}"/>
    <cellStyle name="표준 52" xfId="4347" xr:uid="{00000000-0005-0000-0000-0000D5C10000}"/>
    <cellStyle name="표준 53" xfId="84" xr:uid="{00000000-0005-0000-0000-0000D6C10000}"/>
    <cellStyle name="표준 53 2" xfId="4348" xr:uid="{00000000-0005-0000-0000-0000D7C10000}"/>
    <cellStyle name="표준 6" xfId="18" xr:uid="{00000000-0005-0000-0000-0000D8C10000}"/>
    <cellStyle name="표준 6 10" xfId="6667" xr:uid="{00000000-0005-0000-0000-0000D9C10000}"/>
    <cellStyle name="표준 6 11" xfId="6734" xr:uid="{00000000-0005-0000-0000-0000DAC10000}"/>
    <cellStyle name="표준 6 12" xfId="6799" xr:uid="{00000000-0005-0000-0000-0000DBC10000}"/>
    <cellStyle name="표준 6 13" xfId="6862" xr:uid="{00000000-0005-0000-0000-0000DCC10000}"/>
    <cellStyle name="표준 6 14" xfId="6910" xr:uid="{00000000-0005-0000-0000-0000DDC10000}"/>
    <cellStyle name="표준 6 15" xfId="6934" xr:uid="{00000000-0005-0000-0000-0000DEC10000}"/>
    <cellStyle name="표준 6 2" xfId="30" xr:uid="{00000000-0005-0000-0000-0000DFC10000}"/>
    <cellStyle name="표준 6 2 10" xfId="6911" xr:uid="{00000000-0005-0000-0000-0000E0C10000}"/>
    <cellStyle name="표준 6 2 11" xfId="6935" xr:uid="{00000000-0005-0000-0000-0000E1C10000}"/>
    <cellStyle name="표준 6 2 2" xfId="124" xr:uid="{00000000-0005-0000-0000-0000E2C10000}"/>
    <cellStyle name="표준 6 2 2 2" xfId="6228" xr:uid="{00000000-0005-0000-0000-0000E3C10000}"/>
    <cellStyle name="표준 6 2 3" xfId="4350" xr:uid="{00000000-0005-0000-0000-0000E4C10000}"/>
    <cellStyle name="표준 6 2 3 2" xfId="6540" xr:uid="{00000000-0005-0000-0000-0000E5C10000}"/>
    <cellStyle name="표준 6 2 4" xfId="6578" xr:uid="{00000000-0005-0000-0000-0000E6C10000}"/>
    <cellStyle name="표준 6 2 5" xfId="6618" xr:uid="{00000000-0005-0000-0000-0000E7C10000}"/>
    <cellStyle name="표준 6 2 6" xfId="6668" xr:uid="{00000000-0005-0000-0000-0000E8C10000}"/>
    <cellStyle name="표준 6 2 7" xfId="6735" xr:uid="{00000000-0005-0000-0000-0000E9C10000}"/>
    <cellStyle name="표준 6 2 8" xfId="6800" xr:uid="{00000000-0005-0000-0000-0000EAC10000}"/>
    <cellStyle name="표준 6 2 9" xfId="6863" xr:uid="{00000000-0005-0000-0000-0000EBC10000}"/>
    <cellStyle name="표준 6 3" xfId="41" xr:uid="{00000000-0005-0000-0000-0000ECC10000}"/>
    <cellStyle name="표준 6 3 10" xfId="6912" xr:uid="{00000000-0005-0000-0000-0000EDC10000}"/>
    <cellStyle name="표준 6 3 11" xfId="6936" xr:uid="{00000000-0005-0000-0000-0000EEC10000}"/>
    <cellStyle name="표준 6 3 2" xfId="135" xr:uid="{00000000-0005-0000-0000-0000EFC10000}"/>
    <cellStyle name="표준 6 3 2 2" xfId="6229" xr:uid="{00000000-0005-0000-0000-0000F0C10000}"/>
    <cellStyle name="표준 6 3 3" xfId="4351" xr:uid="{00000000-0005-0000-0000-0000F1C10000}"/>
    <cellStyle name="표준 6 3 3 2" xfId="6541" xr:uid="{00000000-0005-0000-0000-0000F2C10000}"/>
    <cellStyle name="표준 6 3 4" xfId="6579" xr:uid="{00000000-0005-0000-0000-0000F3C10000}"/>
    <cellStyle name="표준 6 3 5" xfId="6619" xr:uid="{00000000-0005-0000-0000-0000F4C10000}"/>
    <cellStyle name="표준 6 3 6" xfId="6669" xr:uid="{00000000-0005-0000-0000-0000F5C10000}"/>
    <cellStyle name="표준 6 3 7" xfId="6736" xr:uid="{00000000-0005-0000-0000-0000F6C10000}"/>
    <cellStyle name="표준 6 3 8" xfId="6801" xr:uid="{00000000-0005-0000-0000-0000F7C10000}"/>
    <cellStyle name="표준 6 3 9" xfId="6864" xr:uid="{00000000-0005-0000-0000-0000F8C10000}"/>
    <cellStyle name="표준 6 4" xfId="55" xr:uid="{00000000-0005-0000-0000-0000F9C10000}"/>
    <cellStyle name="표준 6 4 10" xfId="6913" xr:uid="{00000000-0005-0000-0000-0000FAC10000}"/>
    <cellStyle name="표준 6 4 11" xfId="6937" xr:uid="{00000000-0005-0000-0000-0000FBC10000}"/>
    <cellStyle name="표준 6 4 2" xfId="149" xr:uid="{00000000-0005-0000-0000-0000FCC10000}"/>
    <cellStyle name="표준 6 4 2 2" xfId="6230" xr:uid="{00000000-0005-0000-0000-0000FDC10000}"/>
    <cellStyle name="표준 6 4 3" xfId="4352" xr:uid="{00000000-0005-0000-0000-0000FEC10000}"/>
    <cellStyle name="표준 6 4 3 2" xfId="6542" xr:uid="{00000000-0005-0000-0000-0000FFC10000}"/>
    <cellStyle name="표준 6 4 4" xfId="6580" xr:uid="{00000000-0005-0000-0000-000000C20000}"/>
    <cellStyle name="표준 6 4 5" xfId="6620" xr:uid="{00000000-0005-0000-0000-000001C20000}"/>
    <cellStyle name="표준 6 4 6" xfId="6670" xr:uid="{00000000-0005-0000-0000-000002C20000}"/>
    <cellStyle name="표준 6 4 7" xfId="6737" xr:uid="{00000000-0005-0000-0000-000003C20000}"/>
    <cellStyle name="표준 6 4 8" xfId="6802" xr:uid="{00000000-0005-0000-0000-000004C20000}"/>
    <cellStyle name="표준 6 4 9" xfId="6865" xr:uid="{00000000-0005-0000-0000-000005C20000}"/>
    <cellStyle name="표준 6 5" xfId="69" xr:uid="{00000000-0005-0000-0000-000006C20000}"/>
    <cellStyle name="표준 6 5 10" xfId="6914" xr:uid="{00000000-0005-0000-0000-000007C20000}"/>
    <cellStyle name="표준 6 5 11" xfId="6938" xr:uid="{00000000-0005-0000-0000-000008C20000}"/>
    <cellStyle name="표준 6 5 2" xfId="163" xr:uid="{00000000-0005-0000-0000-000009C20000}"/>
    <cellStyle name="표준 6 5 2 2" xfId="6231" xr:uid="{00000000-0005-0000-0000-00000AC20000}"/>
    <cellStyle name="표준 6 5 3" xfId="4353" xr:uid="{00000000-0005-0000-0000-00000BC20000}"/>
    <cellStyle name="표준 6 5 3 2" xfId="6543" xr:uid="{00000000-0005-0000-0000-00000CC20000}"/>
    <cellStyle name="표준 6 5 4" xfId="6581" xr:uid="{00000000-0005-0000-0000-00000DC20000}"/>
    <cellStyle name="표준 6 5 5" xfId="6621" xr:uid="{00000000-0005-0000-0000-00000EC20000}"/>
    <cellStyle name="표준 6 5 6" xfId="6671" xr:uid="{00000000-0005-0000-0000-00000FC20000}"/>
    <cellStyle name="표준 6 5 7" xfId="6738" xr:uid="{00000000-0005-0000-0000-000010C20000}"/>
    <cellStyle name="표준 6 5 8" xfId="6803" xr:uid="{00000000-0005-0000-0000-000011C20000}"/>
    <cellStyle name="표준 6 5 9" xfId="6866" xr:uid="{00000000-0005-0000-0000-000012C20000}"/>
    <cellStyle name="표준 6 6" xfId="112" xr:uid="{00000000-0005-0000-0000-000013C20000}"/>
    <cellStyle name="표준 6 6 2" xfId="4354" xr:uid="{00000000-0005-0000-0000-000014C20000}"/>
    <cellStyle name="표준 6 7" xfId="4355" xr:uid="{00000000-0005-0000-0000-000015C20000}"/>
    <cellStyle name="표준 6 7 2" xfId="6988" xr:uid="{00000000-0005-0000-0000-000016C20000}"/>
    <cellStyle name="표준 6 8" xfId="4349" xr:uid="{00000000-0005-0000-0000-000017C20000}"/>
    <cellStyle name="표준 6 8 2" xfId="7014" xr:uid="{00000000-0005-0000-0000-000018C20000}"/>
    <cellStyle name="표준 6 9" xfId="6617" xr:uid="{00000000-0005-0000-0000-000019C20000}"/>
    <cellStyle name="표준 6_업체별" xfId="6232" xr:uid="{00000000-0005-0000-0000-00001AC20000}"/>
    <cellStyle name="표준 7" xfId="93" xr:uid="{00000000-0005-0000-0000-00001BC20000}"/>
    <cellStyle name="표준 7 10" xfId="4357" xr:uid="{00000000-0005-0000-0000-00001CC20000}"/>
    <cellStyle name="표준 7 10 2" xfId="6915" xr:uid="{00000000-0005-0000-0000-00001DC20000}"/>
    <cellStyle name="표준 7 11" xfId="4358" xr:uid="{00000000-0005-0000-0000-00001EC20000}"/>
    <cellStyle name="표준 7 12" xfId="4359" xr:uid="{00000000-0005-0000-0000-00001FC20000}"/>
    <cellStyle name="표준 7 13" xfId="4356" xr:uid="{00000000-0005-0000-0000-000020C20000}"/>
    <cellStyle name="표준 7 14" xfId="7114" xr:uid="{00000000-0005-0000-0000-000021C20000}"/>
    <cellStyle name="표준 7 15" xfId="48418" xr:uid="{00000000-0005-0000-0000-000022C20000}"/>
    <cellStyle name="표준 7 16" xfId="48443" xr:uid="{00000000-0005-0000-0000-000023C20000}"/>
    <cellStyle name="표준 7 2" xfId="4360" xr:uid="{00000000-0005-0000-0000-000024C20000}"/>
    <cellStyle name="표준 7 3" xfId="4361" xr:uid="{00000000-0005-0000-0000-000025C20000}"/>
    <cellStyle name="표준 7 4" xfId="4362" xr:uid="{00000000-0005-0000-0000-000026C20000}"/>
    <cellStyle name="표준 7 4 2" xfId="6582" xr:uid="{00000000-0005-0000-0000-000027C20000}"/>
    <cellStyle name="표준 7 5" xfId="4363" xr:uid="{00000000-0005-0000-0000-000028C20000}"/>
    <cellStyle name="표준 7 5 2" xfId="6622" xr:uid="{00000000-0005-0000-0000-000029C20000}"/>
    <cellStyle name="표준 7 6" xfId="4364" xr:uid="{00000000-0005-0000-0000-00002AC20000}"/>
    <cellStyle name="표준 7 7" xfId="4365" xr:uid="{00000000-0005-0000-0000-00002BC20000}"/>
    <cellStyle name="표준 7 8" xfId="4366" xr:uid="{00000000-0005-0000-0000-00002CC20000}"/>
    <cellStyle name="표준 7 8 2" xfId="6804" xr:uid="{00000000-0005-0000-0000-00002DC20000}"/>
    <cellStyle name="표준 7 9" xfId="4367" xr:uid="{00000000-0005-0000-0000-00002EC20000}"/>
    <cellStyle name="표준 7 9 2" xfId="6867" xr:uid="{00000000-0005-0000-0000-00002FC20000}"/>
    <cellStyle name="표준 8" xfId="94" xr:uid="{00000000-0005-0000-0000-000030C20000}"/>
    <cellStyle name="표준 8 10" xfId="4369" xr:uid="{00000000-0005-0000-0000-000031C20000}"/>
    <cellStyle name="표준 8 11" xfId="4370" xr:uid="{00000000-0005-0000-0000-000032C20000}"/>
    <cellStyle name="표준 8 12" xfId="4371" xr:uid="{00000000-0005-0000-0000-000033C20000}"/>
    <cellStyle name="표준 8 13" xfId="4372" xr:uid="{00000000-0005-0000-0000-000034C20000}"/>
    <cellStyle name="표준 8 14" xfId="4368" xr:uid="{00000000-0005-0000-0000-000035C20000}"/>
    <cellStyle name="표준 8 15" xfId="49636" xr:uid="{00000000-0005-0000-0000-000036C20000}"/>
    <cellStyle name="표준 8 2" xfId="4373" xr:uid="{00000000-0005-0000-0000-000037C20000}"/>
    <cellStyle name="표준 8 3" xfId="4374" xr:uid="{00000000-0005-0000-0000-000038C20000}"/>
    <cellStyle name="표준 8 4" xfId="4375" xr:uid="{00000000-0005-0000-0000-000039C20000}"/>
    <cellStyle name="표준 8 5" xfId="4376" xr:uid="{00000000-0005-0000-0000-00003AC20000}"/>
    <cellStyle name="표준 8 6" xfId="4377" xr:uid="{00000000-0005-0000-0000-00003BC20000}"/>
    <cellStyle name="표준 8 7" xfId="4378" xr:uid="{00000000-0005-0000-0000-00003CC20000}"/>
    <cellStyle name="표준 8 8" xfId="4379" xr:uid="{00000000-0005-0000-0000-00003DC20000}"/>
    <cellStyle name="표준 8 9" xfId="4380" xr:uid="{00000000-0005-0000-0000-00003EC20000}"/>
    <cellStyle name="표준 9" xfId="212" xr:uid="{00000000-0005-0000-0000-00003FC20000}"/>
    <cellStyle name="표준 9 10" xfId="49658" xr:uid="{00000000-0005-0000-0000-000040C20000}"/>
    <cellStyle name="표준 9 2" xfId="4382" xr:uid="{00000000-0005-0000-0000-000041C20000}"/>
    <cellStyle name="표준 9 3" xfId="4383" xr:uid="{00000000-0005-0000-0000-000042C20000}"/>
    <cellStyle name="표준 9 4" xfId="4384" xr:uid="{00000000-0005-0000-0000-000043C20000}"/>
    <cellStyle name="표준 9 5" xfId="4385" xr:uid="{00000000-0005-0000-0000-000044C20000}"/>
    <cellStyle name="표준 9 6" xfId="4386" xr:uid="{00000000-0005-0000-0000-000045C20000}"/>
    <cellStyle name="표준 9 7" xfId="4387" xr:uid="{00000000-0005-0000-0000-000046C20000}"/>
    <cellStyle name="표준 9 8" xfId="4388" xr:uid="{00000000-0005-0000-0000-000047C20000}"/>
    <cellStyle name="표준 9 9" xfId="4381" xr:uid="{00000000-0005-0000-0000-000048C20000}"/>
    <cellStyle name="표준_Ⅴ.업체별현황 2" xfId="32014" xr:uid="{00000000-0005-0000-0000-000049C20000}"/>
    <cellStyle name="표준_Ⅴ.업체별현황 2 2" xfId="49727" xr:uid="{00000000-0005-0000-0000-00004AC20000}"/>
    <cellStyle name="표준_Sheet1 2 2" xfId="49723" xr:uid="{00000000-0005-0000-0000-00004BC20000}"/>
    <cellStyle name="표준1" xfId="49619" xr:uid="{00000000-0005-0000-0000-00004CC2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CCFFFF"/>
      <color rgb="FFFFD7AF"/>
      <color rgb="FF0000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504D"/>
    <pageSetUpPr fitToPage="1"/>
  </sheetPr>
  <dimension ref="A1:L76"/>
  <sheetViews>
    <sheetView tabSelected="1" zoomScale="70" zoomScaleNormal="70" workbookViewId="0">
      <selection activeCell="E10" sqref="E10"/>
    </sheetView>
  </sheetViews>
  <sheetFormatPr defaultColWidth="7.77734375" defaultRowHeight="14.25"/>
  <cols>
    <col min="1" max="1" width="10.77734375" style="451" customWidth="1"/>
    <col min="2" max="2" width="10.77734375" style="2" customWidth="1"/>
    <col min="3" max="3" width="12.5546875" style="2" customWidth="1"/>
    <col min="4" max="4" width="15" style="2" customWidth="1"/>
    <col min="5" max="5" width="15" style="3" customWidth="1"/>
    <col min="6" max="6" width="14.5546875" style="2" customWidth="1"/>
    <col min="7" max="7" width="15" style="2" customWidth="1"/>
    <col min="8" max="8" width="14" style="2" customWidth="1"/>
    <col min="9" max="9" width="15" style="2" customWidth="1"/>
    <col min="10" max="10" width="15" style="3" customWidth="1"/>
    <col min="11" max="11" width="14.5546875" style="2" customWidth="1"/>
    <col min="12" max="12" width="15" style="2" customWidth="1"/>
    <col min="13" max="16384" width="7.77734375" style="2"/>
  </cols>
  <sheetData>
    <row r="1" spans="1:12" ht="45" customHeight="1" thickBot="1">
      <c r="A1" s="456" t="s">
        <v>866</v>
      </c>
      <c r="B1" s="456"/>
      <c r="C1" s="456"/>
      <c r="D1" s="456"/>
      <c r="E1" s="456"/>
      <c r="F1" s="456"/>
      <c r="G1" s="456"/>
      <c r="H1" s="456"/>
      <c r="I1" s="456"/>
      <c r="J1" s="456"/>
      <c r="K1" s="456"/>
      <c r="L1" s="456"/>
    </row>
    <row r="2" spans="1:12" s="1" customFormat="1" ht="24.95" customHeight="1">
      <c r="A2" s="457" t="s">
        <v>2</v>
      </c>
      <c r="B2" s="459" t="s">
        <v>3</v>
      </c>
      <c r="C2" s="461" t="s">
        <v>1153</v>
      </c>
      <c r="D2" s="461"/>
      <c r="E2" s="461"/>
      <c r="F2" s="461"/>
      <c r="G2" s="461"/>
      <c r="H2" s="462" t="s">
        <v>1134</v>
      </c>
      <c r="I2" s="463"/>
      <c r="J2" s="463"/>
      <c r="K2" s="463"/>
      <c r="L2" s="464"/>
    </row>
    <row r="3" spans="1:12" s="1" customFormat="1" ht="24.95" customHeight="1">
      <c r="A3" s="458"/>
      <c r="B3" s="460"/>
      <c r="C3" s="5" t="s">
        <v>1</v>
      </c>
      <c r="D3" s="4" t="s">
        <v>15</v>
      </c>
      <c r="E3" s="4" t="s">
        <v>16</v>
      </c>
      <c r="F3" s="4" t="s">
        <v>14</v>
      </c>
      <c r="G3" s="4" t="s">
        <v>738</v>
      </c>
      <c r="H3" s="5" t="s">
        <v>1</v>
      </c>
      <c r="I3" s="4" t="s">
        <v>15</v>
      </c>
      <c r="J3" s="4" t="s">
        <v>16</v>
      </c>
      <c r="K3" s="4" t="s">
        <v>14</v>
      </c>
      <c r="L3" s="45" t="s">
        <v>0</v>
      </c>
    </row>
    <row r="4" spans="1:12" s="1" customFormat="1" ht="24.95" customHeight="1">
      <c r="A4" s="113" t="s">
        <v>18</v>
      </c>
      <c r="B4" s="33">
        <f t="shared" ref="B4:B35" si="0">C4-H4</f>
        <v>115</v>
      </c>
      <c r="C4" s="99">
        <f t="shared" ref="C4:L4" si="1">SUM(C5:C35)</f>
        <v>14509</v>
      </c>
      <c r="D4" s="99">
        <f t="shared" si="1"/>
        <v>329</v>
      </c>
      <c r="E4" s="99">
        <f t="shared" si="1"/>
        <v>629</v>
      </c>
      <c r="F4" s="99">
        <f t="shared" si="1"/>
        <v>10804</v>
      </c>
      <c r="G4" s="99">
        <f t="shared" si="1"/>
        <v>2747</v>
      </c>
      <c r="H4" s="99">
        <f>SUM(H5:H35)</f>
        <v>14394</v>
      </c>
      <c r="I4" s="99">
        <f t="shared" si="1"/>
        <v>327</v>
      </c>
      <c r="J4" s="99">
        <f t="shared" si="1"/>
        <v>815</v>
      </c>
      <c r="K4" s="99">
        <f t="shared" si="1"/>
        <v>10710</v>
      </c>
      <c r="L4" s="100">
        <f t="shared" si="1"/>
        <v>2542</v>
      </c>
    </row>
    <row r="5" spans="1:12" ht="24.95" customHeight="1">
      <c r="A5" s="363" t="s">
        <v>25</v>
      </c>
      <c r="B5" s="33">
        <f t="shared" si="0"/>
        <v>-12</v>
      </c>
      <c r="C5" s="97">
        <f t="shared" ref="C5:C35" si="2">SUM(D5:G5)</f>
        <v>43</v>
      </c>
      <c r="D5" s="24">
        <v>0</v>
      </c>
      <c r="E5" s="24">
        <v>0</v>
      </c>
      <c r="F5" s="24">
        <v>43</v>
      </c>
      <c r="G5" s="24">
        <v>0</v>
      </c>
      <c r="H5" s="97">
        <f>SUM(I5:L5)</f>
        <v>55</v>
      </c>
      <c r="I5" s="24">
        <v>0</v>
      </c>
      <c r="J5" s="24">
        <v>0</v>
      </c>
      <c r="K5" s="24">
        <v>55</v>
      </c>
      <c r="L5" s="24">
        <v>0</v>
      </c>
    </row>
    <row r="6" spans="1:12" s="3" customFormat="1" ht="24.95" customHeight="1">
      <c r="A6" s="363" t="s">
        <v>26</v>
      </c>
      <c r="B6" s="423">
        <f t="shared" si="0"/>
        <v>25</v>
      </c>
      <c r="C6" s="97">
        <f t="shared" si="2"/>
        <v>692</v>
      </c>
      <c r="D6" s="30">
        <v>244</v>
      </c>
      <c r="E6" s="30">
        <v>96</v>
      </c>
      <c r="F6" s="30">
        <v>340</v>
      </c>
      <c r="G6" s="30">
        <v>12</v>
      </c>
      <c r="H6" s="97">
        <f t="shared" ref="H6:H35" si="3">SUM(I6:L6)</f>
        <v>667</v>
      </c>
      <c r="I6" s="30">
        <v>244</v>
      </c>
      <c r="J6" s="30">
        <v>83</v>
      </c>
      <c r="K6" s="30">
        <v>328</v>
      </c>
      <c r="L6" s="30">
        <v>12</v>
      </c>
    </row>
    <row r="7" spans="1:12" s="22" customFormat="1" ht="24.95" customHeight="1">
      <c r="A7" s="363" t="s">
        <v>394</v>
      </c>
      <c r="B7" s="33">
        <f t="shared" si="0"/>
        <v>0</v>
      </c>
      <c r="C7" s="97">
        <f t="shared" si="2"/>
        <v>54</v>
      </c>
      <c r="D7" s="24">
        <v>1</v>
      </c>
      <c r="E7" s="24">
        <v>0</v>
      </c>
      <c r="F7" s="24">
        <v>53</v>
      </c>
      <c r="G7" s="24">
        <v>0</v>
      </c>
      <c r="H7" s="97">
        <f t="shared" si="3"/>
        <v>54</v>
      </c>
      <c r="I7" s="24">
        <v>1</v>
      </c>
      <c r="J7" s="24">
        <v>0</v>
      </c>
      <c r="K7" s="24">
        <v>53</v>
      </c>
      <c r="L7" s="24">
        <v>0</v>
      </c>
    </row>
    <row r="8" spans="1:12" s="3" customFormat="1" ht="24.95" customHeight="1">
      <c r="A8" s="363" t="s">
        <v>27</v>
      </c>
      <c r="B8" s="33">
        <f t="shared" si="0"/>
        <v>-8</v>
      </c>
      <c r="C8" s="97">
        <f t="shared" si="2"/>
        <v>24</v>
      </c>
      <c r="D8" s="24">
        <v>2</v>
      </c>
      <c r="E8" s="24">
        <v>21</v>
      </c>
      <c r="F8" s="24">
        <v>1</v>
      </c>
      <c r="G8" s="24">
        <v>0</v>
      </c>
      <c r="H8" s="97">
        <f t="shared" si="3"/>
        <v>32</v>
      </c>
      <c r="I8" s="24">
        <v>0</v>
      </c>
      <c r="J8" s="24">
        <v>32</v>
      </c>
      <c r="K8" s="24">
        <v>0</v>
      </c>
      <c r="L8" s="24">
        <v>0</v>
      </c>
    </row>
    <row r="9" spans="1:12" s="25" customFormat="1" ht="24.95" customHeight="1">
      <c r="A9" s="363" t="s">
        <v>28</v>
      </c>
      <c r="B9" s="33">
        <f t="shared" si="0"/>
        <v>0</v>
      </c>
      <c r="C9" s="97">
        <f t="shared" si="2"/>
        <v>57</v>
      </c>
      <c r="D9" s="39">
        <v>0</v>
      </c>
      <c r="E9" s="39">
        <v>41</v>
      </c>
      <c r="F9" s="39">
        <v>13</v>
      </c>
      <c r="G9" s="39">
        <v>3</v>
      </c>
      <c r="H9" s="97">
        <f t="shared" si="3"/>
        <v>57</v>
      </c>
      <c r="I9" s="39">
        <v>0</v>
      </c>
      <c r="J9" s="39">
        <v>41</v>
      </c>
      <c r="K9" s="39">
        <v>13</v>
      </c>
      <c r="L9" s="39">
        <v>3</v>
      </c>
    </row>
    <row r="10" spans="1:12" s="3" customFormat="1" ht="24.95" customHeight="1">
      <c r="A10" s="363" t="s">
        <v>29</v>
      </c>
      <c r="B10" s="33">
        <f t="shared" si="0"/>
        <v>-266</v>
      </c>
      <c r="C10" s="97">
        <f t="shared" si="2"/>
        <v>79</v>
      </c>
      <c r="D10" s="57">
        <v>0</v>
      </c>
      <c r="E10" s="57">
        <v>40</v>
      </c>
      <c r="F10" s="57">
        <v>39</v>
      </c>
      <c r="G10" s="57">
        <v>0</v>
      </c>
      <c r="H10" s="97">
        <f t="shared" si="3"/>
        <v>345</v>
      </c>
      <c r="I10" s="57">
        <v>0</v>
      </c>
      <c r="J10" s="57">
        <v>163</v>
      </c>
      <c r="K10" s="57">
        <v>182</v>
      </c>
      <c r="L10" s="57">
        <v>0</v>
      </c>
    </row>
    <row r="11" spans="1:12" s="3" customFormat="1" ht="24.95" customHeight="1">
      <c r="A11" s="363" t="s">
        <v>19</v>
      </c>
      <c r="B11" s="33">
        <f t="shared" si="0"/>
        <v>139</v>
      </c>
      <c r="C11" s="97">
        <f t="shared" si="2"/>
        <v>461</v>
      </c>
      <c r="D11" s="24">
        <v>0</v>
      </c>
      <c r="E11" s="24">
        <v>113</v>
      </c>
      <c r="F11" s="24">
        <v>69</v>
      </c>
      <c r="G11" s="24">
        <v>279</v>
      </c>
      <c r="H11" s="97">
        <f t="shared" si="3"/>
        <v>322</v>
      </c>
      <c r="I11" s="24">
        <v>0</v>
      </c>
      <c r="J11" s="24">
        <v>114</v>
      </c>
      <c r="K11" s="24">
        <v>7</v>
      </c>
      <c r="L11" s="24">
        <v>201</v>
      </c>
    </row>
    <row r="12" spans="1:12" s="22" customFormat="1" ht="24.95" customHeight="1">
      <c r="A12" s="363" t="s">
        <v>30</v>
      </c>
      <c r="B12" s="33">
        <f t="shared" si="0"/>
        <v>0</v>
      </c>
      <c r="C12" s="97">
        <f t="shared" si="2"/>
        <v>0</v>
      </c>
      <c r="D12" s="24">
        <v>0</v>
      </c>
      <c r="E12" s="24">
        <v>0</v>
      </c>
      <c r="F12" s="24">
        <v>0</v>
      </c>
      <c r="G12" s="24">
        <v>0</v>
      </c>
      <c r="H12" s="97">
        <f t="shared" si="3"/>
        <v>0</v>
      </c>
      <c r="I12" s="24">
        <v>0</v>
      </c>
      <c r="J12" s="24">
        <v>0</v>
      </c>
      <c r="K12" s="24">
        <v>0</v>
      </c>
      <c r="L12" s="24">
        <v>0</v>
      </c>
    </row>
    <row r="13" spans="1:12" s="22" customFormat="1" ht="24.95" customHeight="1">
      <c r="A13" s="50" t="s">
        <v>310</v>
      </c>
      <c r="B13" s="33">
        <f t="shared" si="0"/>
        <v>97</v>
      </c>
      <c r="C13" s="97">
        <f t="shared" si="2"/>
        <v>3608</v>
      </c>
      <c r="D13" s="37">
        <v>0</v>
      </c>
      <c r="E13" s="37">
        <v>27</v>
      </c>
      <c r="F13" s="37">
        <v>2372</v>
      </c>
      <c r="G13" s="37">
        <v>1209</v>
      </c>
      <c r="H13" s="97">
        <f t="shared" si="3"/>
        <v>3511</v>
      </c>
      <c r="I13" s="37">
        <v>0</v>
      </c>
      <c r="J13" s="37">
        <v>26</v>
      </c>
      <c r="K13" s="37">
        <v>2375</v>
      </c>
      <c r="L13" s="37">
        <v>1110</v>
      </c>
    </row>
    <row r="14" spans="1:12" s="28" customFormat="1" ht="24.95" customHeight="1">
      <c r="A14" s="363" t="s">
        <v>31</v>
      </c>
      <c r="B14" s="33">
        <f t="shared" si="0"/>
        <v>0</v>
      </c>
      <c r="C14" s="97">
        <f t="shared" si="2"/>
        <v>61</v>
      </c>
      <c r="D14" s="27">
        <v>0</v>
      </c>
      <c r="E14" s="27">
        <v>61</v>
      </c>
      <c r="F14" s="27">
        <v>0</v>
      </c>
      <c r="G14" s="27">
        <v>0</v>
      </c>
      <c r="H14" s="97">
        <f t="shared" si="3"/>
        <v>61</v>
      </c>
      <c r="I14" s="27">
        <v>0</v>
      </c>
      <c r="J14" s="27">
        <v>61</v>
      </c>
      <c r="K14" s="27">
        <v>0</v>
      </c>
      <c r="L14" s="27">
        <v>0</v>
      </c>
    </row>
    <row r="15" spans="1:12" s="3" customFormat="1" ht="24.95" customHeight="1">
      <c r="A15" s="363" t="s">
        <v>32</v>
      </c>
      <c r="B15" s="33">
        <f t="shared" si="0"/>
        <v>-135</v>
      </c>
      <c r="C15" s="97">
        <f t="shared" si="2"/>
        <v>400</v>
      </c>
      <c r="D15" s="51">
        <v>0</v>
      </c>
      <c r="E15" s="51">
        <v>3</v>
      </c>
      <c r="F15" s="51">
        <v>371</v>
      </c>
      <c r="G15" s="51">
        <v>26</v>
      </c>
      <c r="H15" s="97">
        <f t="shared" si="3"/>
        <v>535</v>
      </c>
      <c r="I15" s="51">
        <v>0</v>
      </c>
      <c r="J15" s="51">
        <v>6</v>
      </c>
      <c r="K15" s="51">
        <v>496</v>
      </c>
      <c r="L15" s="51">
        <v>33</v>
      </c>
    </row>
    <row r="16" spans="1:12" s="3" customFormat="1" ht="24.95" customHeight="1">
      <c r="A16" s="363" t="s">
        <v>33</v>
      </c>
      <c r="B16" s="33">
        <f t="shared" si="0"/>
        <v>-43</v>
      </c>
      <c r="C16" s="97">
        <f t="shared" si="2"/>
        <v>787</v>
      </c>
      <c r="D16" s="42">
        <v>0</v>
      </c>
      <c r="E16" s="42">
        <v>0</v>
      </c>
      <c r="F16" s="42">
        <v>763</v>
      </c>
      <c r="G16" s="42">
        <v>24</v>
      </c>
      <c r="H16" s="97">
        <f t="shared" si="3"/>
        <v>830</v>
      </c>
      <c r="I16" s="42">
        <v>0</v>
      </c>
      <c r="J16" s="42">
        <v>0</v>
      </c>
      <c r="K16" s="42">
        <v>806</v>
      </c>
      <c r="L16" s="42">
        <v>24</v>
      </c>
    </row>
    <row r="17" spans="1:12" s="3" customFormat="1" ht="24.95" customHeight="1">
      <c r="A17" s="363" t="s">
        <v>34</v>
      </c>
      <c r="B17" s="33">
        <f t="shared" si="0"/>
        <v>0</v>
      </c>
      <c r="C17" s="97">
        <f t="shared" si="2"/>
        <v>1</v>
      </c>
      <c r="D17" s="24">
        <v>0</v>
      </c>
      <c r="E17" s="24">
        <v>0</v>
      </c>
      <c r="F17" s="24">
        <v>0</v>
      </c>
      <c r="G17" s="24">
        <v>1</v>
      </c>
      <c r="H17" s="97">
        <f t="shared" si="3"/>
        <v>1</v>
      </c>
      <c r="I17" s="24">
        <v>0</v>
      </c>
      <c r="J17" s="24">
        <v>0</v>
      </c>
      <c r="K17" s="24">
        <v>0</v>
      </c>
      <c r="L17" s="24">
        <v>1</v>
      </c>
    </row>
    <row r="18" spans="1:12" s="3" customFormat="1" ht="24.95" customHeight="1">
      <c r="A18" s="363" t="s">
        <v>35</v>
      </c>
      <c r="B18" s="33">
        <f t="shared" si="0"/>
        <v>-29</v>
      </c>
      <c r="C18" s="97">
        <f t="shared" si="2"/>
        <v>800</v>
      </c>
      <c r="D18" s="24">
        <v>82</v>
      </c>
      <c r="E18" s="24">
        <v>36</v>
      </c>
      <c r="F18" s="24">
        <v>630</v>
      </c>
      <c r="G18" s="24">
        <v>52</v>
      </c>
      <c r="H18" s="97">
        <f t="shared" si="3"/>
        <v>829</v>
      </c>
      <c r="I18" s="24">
        <v>82</v>
      </c>
      <c r="J18" s="24">
        <v>36</v>
      </c>
      <c r="K18" s="24">
        <v>656</v>
      </c>
      <c r="L18" s="24">
        <v>55</v>
      </c>
    </row>
    <row r="19" spans="1:12" s="3" customFormat="1" ht="24.95" customHeight="1">
      <c r="A19" s="363" t="s">
        <v>36</v>
      </c>
      <c r="B19" s="33">
        <f t="shared" si="0"/>
        <v>-35</v>
      </c>
      <c r="C19" s="97">
        <f t="shared" si="2"/>
        <v>58</v>
      </c>
      <c r="D19" s="24">
        <v>0</v>
      </c>
      <c r="E19" s="27">
        <v>7</v>
      </c>
      <c r="F19" s="27">
        <v>37</v>
      </c>
      <c r="G19" s="24">
        <v>14</v>
      </c>
      <c r="H19" s="97">
        <f t="shared" si="3"/>
        <v>93</v>
      </c>
      <c r="I19" s="24">
        <v>0</v>
      </c>
      <c r="J19" s="27">
        <v>9</v>
      </c>
      <c r="K19" s="27">
        <v>38</v>
      </c>
      <c r="L19" s="24">
        <v>46</v>
      </c>
    </row>
    <row r="20" spans="1:12" s="3" customFormat="1" ht="24.95" customHeight="1">
      <c r="A20" s="450" t="s">
        <v>37</v>
      </c>
      <c r="B20" s="423">
        <f t="shared" si="0"/>
        <v>0</v>
      </c>
      <c r="C20" s="97">
        <f t="shared" si="2"/>
        <v>2</v>
      </c>
      <c r="D20" s="24">
        <v>0</v>
      </c>
      <c r="E20" s="24">
        <v>1</v>
      </c>
      <c r="F20" s="24">
        <v>1</v>
      </c>
      <c r="G20" s="24">
        <v>0</v>
      </c>
      <c r="H20" s="97">
        <f t="shared" si="3"/>
        <v>2</v>
      </c>
      <c r="I20" s="24">
        <v>0</v>
      </c>
      <c r="J20" s="24">
        <v>1</v>
      </c>
      <c r="K20" s="24">
        <v>1</v>
      </c>
      <c r="L20" s="24">
        <v>0</v>
      </c>
    </row>
    <row r="21" spans="1:12" s="3" customFormat="1" ht="24.95" customHeight="1">
      <c r="A21" s="363" t="s">
        <v>38</v>
      </c>
      <c r="B21" s="33">
        <f t="shared" si="0"/>
        <v>0</v>
      </c>
      <c r="C21" s="97">
        <f t="shared" si="2"/>
        <v>3</v>
      </c>
      <c r="D21" s="24">
        <v>0</v>
      </c>
      <c r="E21" s="24">
        <v>0</v>
      </c>
      <c r="F21" s="24">
        <v>0</v>
      </c>
      <c r="G21" s="24">
        <v>3</v>
      </c>
      <c r="H21" s="97">
        <f t="shared" si="3"/>
        <v>3</v>
      </c>
      <c r="I21" s="24">
        <v>0</v>
      </c>
      <c r="J21" s="24">
        <v>0</v>
      </c>
      <c r="K21" s="24">
        <v>0</v>
      </c>
      <c r="L21" s="24">
        <v>3</v>
      </c>
    </row>
    <row r="22" spans="1:12" s="25" customFormat="1" ht="24.95" customHeight="1">
      <c r="A22" s="363" t="s">
        <v>39</v>
      </c>
      <c r="B22" s="33">
        <f t="shared" si="0"/>
        <v>0</v>
      </c>
      <c r="C22" s="97">
        <f t="shared" si="2"/>
        <v>0</v>
      </c>
      <c r="D22" s="24">
        <v>0</v>
      </c>
      <c r="E22" s="24">
        <v>0</v>
      </c>
      <c r="F22" s="24">
        <v>0</v>
      </c>
      <c r="G22" s="24">
        <v>0</v>
      </c>
      <c r="H22" s="97">
        <f t="shared" si="3"/>
        <v>0</v>
      </c>
      <c r="I22" s="24">
        <v>0</v>
      </c>
      <c r="J22" s="24">
        <v>0</v>
      </c>
      <c r="K22" s="24">
        <v>0</v>
      </c>
      <c r="L22" s="24">
        <v>0</v>
      </c>
    </row>
    <row r="23" spans="1:12" s="3" customFormat="1" ht="24.95" customHeight="1">
      <c r="A23" s="363" t="s">
        <v>40</v>
      </c>
      <c r="B23" s="33">
        <f t="shared" si="0"/>
        <v>764</v>
      </c>
      <c r="C23" s="97">
        <f t="shared" si="2"/>
        <v>1846</v>
      </c>
      <c r="D23" s="24">
        <v>0</v>
      </c>
      <c r="E23" s="24">
        <v>0</v>
      </c>
      <c r="F23" s="24">
        <v>1564</v>
      </c>
      <c r="G23" s="24">
        <v>282</v>
      </c>
      <c r="H23" s="97">
        <f t="shared" si="3"/>
        <v>1082</v>
      </c>
      <c r="I23" s="24">
        <v>0</v>
      </c>
      <c r="J23" s="24">
        <v>49</v>
      </c>
      <c r="K23" s="24">
        <v>843</v>
      </c>
      <c r="L23" s="24">
        <v>190</v>
      </c>
    </row>
    <row r="24" spans="1:12" s="28" customFormat="1" ht="24.95" customHeight="1">
      <c r="A24" s="363" t="s">
        <v>341</v>
      </c>
      <c r="B24" s="33">
        <f t="shared" si="0"/>
        <v>-188</v>
      </c>
      <c r="C24" s="97">
        <f t="shared" si="2"/>
        <v>1937</v>
      </c>
      <c r="D24" s="38">
        <v>0</v>
      </c>
      <c r="E24" s="38">
        <v>44</v>
      </c>
      <c r="F24" s="38">
        <v>1483</v>
      </c>
      <c r="G24" s="38">
        <v>410</v>
      </c>
      <c r="H24" s="97">
        <f t="shared" si="3"/>
        <v>2125</v>
      </c>
      <c r="I24" s="38">
        <v>0</v>
      </c>
      <c r="J24" s="38">
        <v>46</v>
      </c>
      <c r="K24" s="38">
        <v>1652</v>
      </c>
      <c r="L24" s="38">
        <v>427</v>
      </c>
    </row>
    <row r="25" spans="1:12" s="3" customFormat="1" ht="24.95" customHeight="1">
      <c r="A25" s="363" t="s">
        <v>41</v>
      </c>
      <c r="B25" s="33">
        <f t="shared" si="0"/>
        <v>-166</v>
      </c>
      <c r="C25" s="97">
        <f t="shared" si="2"/>
        <v>1028</v>
      </c>
      <c r="D25" s="24">
        <v>0</v>
      </c>
      <c r="E25" s="24">
        <v>16</v>
      </c>
      <c r="F25" s="24">
        <v>906</v>
      </c>
      <c r="G25" s="24">
        <v>106</v>
      </c>
      <c r="H25" s="97">
        <f t="shared" si="3"/>
        <v>1194</v>
      </c>
      <c r="I25" s="24">
        <v>0</v>
      </c>
      <c r="J25" s="24">
        <v>23</v>
      </c>
      <c r="K25" s="24">
        <v>1063</v>
      </c>
      <c r="L25" s="24">
        <v>108</v>
      </c>
    </row>
    <row r="26" spans="1:12" s="3" customFormat="1" ht="24.95" customHeight="1">
      <c r="A26" s="363" t="s">
        <v>42</v>
      </c>
      <c r="B26" s="33">
        <f t="shared" si="0"/>
        <v>0</v>
      </c>
      <c r="C26" s="97">
        <f t="shared" si="2"/>
        <v>12</v>
      </c>
      <c r="D26" s="24">
        <v>0</v>
      </c>
      <c r="E26" s="24">
        <v>0</v>
      </c>
      <c r="F26" s="24">
        <v>12</v>
      </c>
      <c r="G26" s="24">
        <v>0</v>
      </c>
      <c r="H26" s="97">
        <f t="shared" si="3"/>
        <v>12</v>
      </c>
      <c r="I26" s="24">
        <v>0</v>
      </c>
      <c r="J26" s="24">
        <v>0</v>
      </c>
      <c r="K26" s="24">
        <v>12</v>
      </c>
      <c r="L26" s="24">
        <v>0</v>
      </c>
    </row>
    <row r="27" spans="1:12" s="3" customFormat="1" ht="24.95" customHeight="1">
      <c r="A27" s="363" t="s">
        <v>43</v>
      </c>
      <c r="B27" s="33">
        <f t="shared" si="0"/>
        <v>0</v>
      </c>
      <c r="C27" s="97">
        <f t="shared" si="2"/>
        <v>919</v>
      </c>
      <c r="D27" s="24">
        <v>0</v>
      </c>
      <c r="E27" s="24">
        <v>0</v>
      </c>
      <c r="F27" s="24">
        <v>909</v>
      </c>
      <c r="G27" s="24">
        <v>10</v>
      </c>
      <c r="H27" s="97">
        <f t="shared" si="3"/>
        <v>919</v>
      </c>
      <c r="I27" s="24">
        <v>0</v>
      </c>
      <c r="J27" s="24">
        <v>0</v>
      </c>
      <c r="K27" s="24">
        <v>909</v>
      </c>
      <c r="L27" s="24">
        <v>10</v>
      </c>
    </row>
    <row r="28" spans="1:12" s="29" customFormat="1" ht="24.95" customHeight="1">
      <c r="A28" s="363" t="s">
        <v>44</v>
      </c>
      <c r="B28" s="33">
        <f t="shared" si="0"/>
        <v>0</v>
      </c>
      <c r="C28" s="97">
        <f t="shared" si="2"/>
        <v>0</v>
      </c>
      <c r="D28" s="27">
        <v>0</v>
      </c>
      <c r="E28" s="27">
        <v>0</v>
      </c>
      <c r="F28" s="27">
        <v>0</v>
      </c>
      <c r="G28" s="27">
        <v>0</v>
      </c>
      <c r="H28" s="97">
        <f t="shared" si="3"/>
        <v>0</v>
      </c>
      <c r="I28" s="27">
        <v>0</v>
      </c>
      <c r="J28" s="27">
        <v>0</v>
      </c>
      <c r="K28" s="27">
        <v>0</v>
      </c>
      <c r="L28" s="27">
        <v>0</v>
      </c>
    </row>
    <row r="29" spans="1:12" s="25" customFormat="1" ht="24.95" customHeight="1">
      <c r="A29" s="363" t="s">
        <v>45</v>
      </c>
      <c r="B29" s="33">
        <f t="shared" si="0"/>
        <v>0</v>
      </c>
      <c r="C29" s="97">
        <f t="shared" si="2"/>
        <v>123</v>
      </c>
      <c r="D29" s="24">
        <v>0</v>
      </c>
      <c r="E29" s="24">
        <v>68</v>
      </c>
      <c r="F29" s="24">
        <v>55</v>
      </c>
      <c r="G29" s="24">
        <v>0</v>
      </c>
      <c r="H29" s="97">
        <f t="shared" si="3"/>
        <v>123</v>
      </c>
      <c r="I29" s="24">
        <v>0</v>
      </c>
      <c r="J29" s="24">
        <v>68</v>
      </c>
      <c r="K29" s="24">
        <v>55</v>
      </c>
      <c r="L29" s="24">
        <v>0</v>
      </c>
    </row>
    <row r="30" spans="1:12" s="29" customFormat="1" ht="24.95" customHeight="1">
      <c r="A30" s="363" t="s">
        <v>46</v>
      </c>
      <c r="B30" s="33">
        <f t="shared" si="0"/>
        <v>-6</v>
      </c>
      <c r="C30" s="97">
        <f t="shared" si="2"/>
        <v>299</v>
      </c>
      <c r="D30" s="30">
        <v>0</v>
      </c>
      <c r="E30" s="30">
        <v>12</v>
      </c>
      <c r="F30" s="30">
        <v>283</v>
      </c>
      <c r="G30" s="30">
        <v>4</v>
      </c>
      <c r="H30" s="97">
        <f t="shared" si="3"/>
        <v>305</v>
      </c>
      <c r="I30" s="30">
        <v>0</v>
      </c>
      <c r="J30" s="30">
        <v>13</v>
      </c>
      <c r="K30" s="30">
        <v>288</v>
      </c>
      <c r="L30" s="30">
        <v>4</v>
      </c>
    </row>
    <row r="31" spans="1:12" s="3" customFormat="1" ht="24.95" customHeight="1">
      <c r="A31" s="363" t="s">
        <v>47</v>
      </c>
      <c r="B31" s="33">
        <f t="shared" si="0"/>
        <v>-12</v>
      </c>
      <c r="C31" s="97">
        <f t="shared" si="2"/>
        <v>171</v>
      </c>
      <c r="D31" s="24">
        <v>0</v>
      </c>
      <c r="E31" s="24">
        <v>0</v>
      </c>
      <c r="F31" s="24">
        <v>161</v>
      </c>
      <c r="G31" s="24">
        <v>10</v>
      </c>
      <c r="H31" s="97">
        <f t="shared" si="3"/>
        <v>183</v>
      </c>
      <c r="I31" s="24">
        <v>0</v>
      </c>
      <c r="J31" s="24">
        <v>0</v>
      </c>
      <c r="K31" s="24">
        <v>173</v>
      </c>
      <c r="L31" s="24">
        <v>10</v>
      </c>
    </row>
    <row r="32" spans="1:12" s="29" customFormat="1" ht="24.95" customHeight="1">
      <c r="A32" s="363" t="s">
        <v>24</v>
      </c>
      <c r="B32" s="33">
        <f t="shared" si="0"/>
        <v>0</v>
      </c>
      <c r="C32" s="97">
        <f t="shared" si="2"/>
        <v>137</v>
      </c>
      <c r="D32" s="38">
        <v>0</v>
      </c>
      <c r="E32" s="38">
        <v>8</v>
      </c>
      <c r="F32" s="38">
        <v>129</v>
      </c>
      <c r="G32" s="38">
        <v>0</v>
      </c>
      <c r="H32" s="97">
        <f t="shared" si="3"/>
        <v>137</v>
      </c>
      <c r="I32" s="38">
        <v>0</v>
      </c>
      <c r="J32" s="38">
        <v>8</v>
      </c>
      <c r="K32" s="38">
        <v>129</v>
      </c>
      <c r="L32" s="38">
        <v>0</v>
      </c>
    </row>
    <row r="33" spans="1:12" s="3" customFormat="1" ht="24.95" customHeight="1">
      <c r="A33" s="363" t="s">
        <v>48</v>
      </c>
      <c r="B33" s="33">
        <f t="shared" si="0"/>
        <v>0</v>
      </c>
      <c r="C33" s="97">
        <f t="shared" si="2"/>
        <v>0</v>
      </c>
      <c r="D33" s="24">
        <v>0</v>
      </c>
      <c r="E33" s="24">
        <v>0</v>
      </c>
      <c r="F33" s="24">
        <v>0</v>
      </c>
      <c r="G33" s="24">
        <v>0</v>
      </c>
      <c r="H33" s="97">
        <f t="shared" si="3"/>
        <v>0</v>
      </c>
      <c r="I33" s="24">
        <v>0</v>
      </c>
      <c r="J33" s="24">
        <v>0</v>
      </c>
      <c r="K33" s="24">
        <v>0</v>
      </c>
      <c r="L33" s="24">
        <v>0</v>
      </c>
    </row>
    <row r="34" spans="1:12" s="3" customFormat="1" ht="24.95" customHeight="1">
      <c r="A34" s="364" t="s">
        <v>49</v>
      </c>
      <c r="B34" s="33">
        <f t="shared" si="0"/>
        <v>-9</v>
      </c>
      <c r="C34" s="97">
        <f t="shared" si="2"/>
        <v>875</v>
      </c>
      <c r="D34" s="31">
        <v>0</v>
      </c>
      <c r="E34" s="31">
        <v>35</v>
      </c>
      <c r="F34" s="31">
        <v>570</v>
      </c>
      <c r="G34" s="31">
        <v>270</v>
      </c>
      <c r="H34" s="97">
        <f t="shared" si="3"/>
        <v>884</v>
      </c>
      <c r="I34" s="31">
        <v>0</v>
      </c>
      <c r="J34" s="31">
        <v>36</v>
      </c>
      <c r="K34" s="31">
        <v>575</v>
      </c>
      <c r="L34" s="31">
        <v>273</v>
      </c>
    </row>
    <row r="35" spans="1:12" s="3" customFormat="1" ht="24.95" customHeight="1" thickBot="1">
      <c r="A35" s="391" t="s">
        <v>50</v>
      </c>
      <c r="B35" s="34">
        <f t="shared" si="0"/>
        <v>-1</v>
      </c>
      <c r="C35" s="98">
        <f t="shared" si="2"/>
        <v>32</v>
      </c>
      <c r="D35" s="44">
        <v>0</v>
      </c>
      <c r="E35" s="44">
        <v>0</v>
      </c>
      <c r="F35" s="44">
        <v>0</v>
      </c>
      <c r="G35" s="44">
        <v>32</v>
      </c>
      <c r="H35" s="98">
        <f t="shared" si="3"/>
        <v>33</v>
      </c>
      <c r="I35" s="44">
        <v>0</v>
      </c>
      <c r="J35" s="44">
        <v>0</v>
      </c>
      <c r="K35" s="44">
        <v>1</v>
      </c>
      <c r="L35" s="44">
        <v>32</v>
      </c>
    </row>
    <row r="36" spans="1:12" ht="24.95" customHeight="1">
      <c r="B36" s="3"/>
      <c r="C36" s="3"/>
      <c r="D36" s="3"/>
      <c r="F36" s="3"/>
      <c r="G36" s="3"/>
      <c r="H36" s="3"/>
      <c r="I36" s="3"/>
      <c r="K36" s="3"/>
      <c r="L36" s="3"/>
    </row>
    <row r="37" spans="1:12" s="3" customFormat="1" ht="24.95" customHeight="1">
      <c r="A37" s="452" t="s">
        <v>120</v>
      </c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</row>
    <row r="38" spans="1:12" ht="24.95" customHeight="1" thickBot="1">
      <c r="A38" s="453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</row>
    <row r="39" spans="1:12" ht="24.95" customHeight="1">
      <c r="A39" s="457" t="s">
        <v>2</v>
      </c>
      <c r="B39" s="465" t="s">
        <v>3</v>
      </c>
      <c r="C39" s="461" t="s">
        <v>1153</v>
      </c>
      <c r="D39" s="461"/>
      <c r="E39" s="461"/>
      <c r="F39" s="461"/>
      <c r="G39" s="461"/>
      <c r="H39" s="462" t="s">
        <v>1134</v>
      </c>
      <c r="I39" s="463"/>
      <c r="J39" s="463"/>
      <c r="K39" s="463"/>
      <c r="L39" s="464"/>
    </row>
    <row r="40" spans="1:12" ht="24.95" customHeight="1">
      <c r="A40" s="458"/>
      <c r="B40" s="466"/>
      <c r="C40" s="5" t="s">
        <v>1</v>
      </c>
      <c r="D40" s="4" t="s">
        <v>15</v>
      </c>
      <c r="E40" s="4" t="s">
        <v>16</v>
      </c>
      <c r="F40" s="4" t="s">
        <v>14</v>
      </c>
      <c r="G40" s="4" t="s">
        <v>0</v>
      </c>
      <c r="H40" s="5" t="s">
        <v>1</v>
      </c>
      <c r="I40" s="4" t="s">
        <v>15</v>
      </c>
      <c r="J40" s="4" t="s">
        <v>16</v>
      </c>
      <c r="K40" s="4" t="s">
        <v>14</v>
      </c>
      <c r="L40" s="45" t="s">
        <v>0</v>
      </c>
    </row>
    <row r="41" spans="1:12" s="1" customFormat="1" ht="24.95" customHeight="1">
      <c r="A41" s="113" t="s">
        <v>52</v>
      </c>
      <c r="B41" s="33">
        <f t="shared" ref="B41:B72" si="4">C41-H41</f>
        <v>-37</v>
      </c>
      <c r="C41" s="117">
        <f t="shared" ref="C41:L41" si="5">SUM(C42:C72)</f>
        <v>2294</v>
      </c>
      <c r="D41" s="101">
        <f t="shared" si="5"/>
        <v>329</v>
      </c>
      <c r="E41" s="101">
        <f t="shared" si="5"/>
        <v>366</v>
      </c>
      <c r="F41" s="101">
        <f t="shared" si="5"/>
        <v>1332</v>
      </c>
      <c r="G41" s="101">
        <f t="shared" si="5"/>
        <v>267</v>
      </c>
      <c r="H41" s="101">
        <f t="shared" si="5"/>
        <v>2331</v>
      </c>
      <c r="I41" s="101">
        <f t="shared" si="5"/>
        <v>327</v>
      </c>
      <c r="J41" s="101">
        <f t="shared" si="5"/>
        <v>384</v>
      </c>
      <c r="K41" s="101">
        <f t="shared" si="5"/>
        <v>1346</v>
      </c>
      <c r="L41" s="102">
        <f t="shared" si="5"/>
        <v>274</v>
      </c>
    </row>
    <row r="42" spans="1:12" s="3" customFormat="1" ht="24.95" customHeight="1">
      <c r="A42" s="363" t="s">
        <v>679</v>
      </c>
      <c r="B42" s="33">
        <f t="shared" si="4"/>
        <v>-4</v>
      </c>
      <c r="C42" s="97">
        <f t="shared" ref="C42:C72" si="6">SUM(D42:G42)</f>
        <v>17</v>
      </c>
      <c r="D42" s="57">
        <v>0</v>
      </c>
      <c r="E42" s="57">
        <v>0</v>
      </c>
      <c r="F42" s="57">
        <v>17</v>
      </c>
      <c r="G42" s="57">
        <v>0</v>
      </c>
      <c r="H42" s="97">
        <f>SUM(I42:L42)</f>
        <v>21</v>
      </c>
      <c r="I42" s="57">
        <v>0</v>
      </c>
      <c r="J42" s="57">
        <v>0</v>
      </c>
      <c r="K42" s="57">
        <v>21</v>
      </c>
      <c r="L42" s="57">
        <v>0</v>
      </c>
    </row>
    <row r="43" spans="1:12" s="3" customFormat="1" ht="24.95" customHeight="1">
      <c r="A43" s="363" t="s">
        <v>680</v>
      </c>
      <c r="B43" s="33">
        <f t="shared" si="4"/>
        <v>-6</v>
      </c>
      <c r="C43" s="97">
        <f t="shared" si="6"/>
        <v>382</v>
      </c>
      <c r="D43" s="57">
        <v>244</v>
      </c>
      <c r="E43" s="57">
        <v>10</v>
      </c>
      <c r="F43" s="57">
        <v>116</v>
      </c>
      <c r="G43" s="57">
        <v>12</v>
      </c>
      <c r="H43" s="97">
        <f t="shared" ref="H43:H72" si="7">SUM(I43:L43)</f>
        <v>388</v>
      </c>
      <c r="I43" s="57">
        <v>244</v>
      </c>
      <c r="J43" s="57">
        <v>10</v>
      </c>
      <c r="K43" s="57">
        <v>122</v>
      </c>
      <c r="L43" s="57">
        <v>12</v>
      </c>
    </row>
    <row r="44" spans="1:12" s="3" customFormat="1" ht="24.95" customHeight="1">
      <c r="A44" s="363" t="s">
        <v>274</v>
      </c>
      <c r="B44" s="33">
        <f t="shared" si="4"/>
        <v>0</v>
      </c>
      <c r="C44" s="97">
        <f t="shared" si="6"/>
        <v>54</v>
      </c>
      <c r="D44" s="57">
        <v>1</v>
      </c>
      <c r="E44" s="57">
        <v>0</v>
      </c>
      <c r="F44" s="57">
        <v>53</v>
      </c>
      <c r="G44" s="57">
        <v>0</v>
      </c>
      <c r="H44" s="97">
        <f t="shared" si="7"/>
        <v>54</v>
      </c>
      <c r="I44" s="57">
        <v>1</v>
      </c>
      <c r="J44" s="57">
        <v>0</v>
      </c>
      <c r="K44" s="57">
        <v>53</v>
      </c>
      <c r="L44" s="57">
        <v>0</v>
      </c>
    </row>
    <row r="45" spans="1:12" s="3" customFormat="1" ht="24.95" customHeight="1">
      <c r="A45" s="363" t="s">
        <v>681</v>
      </c>
      <c r="B45" s="33">
        <f t="shared" si="4"/>
        <v>-8</v>
      </c>
      <c r="C45" s="97">
        <f t="shared" si="6"/>
        <v>24</v>
      </c>
      <c r="D45" s="57">
        <v>2</v>
      </c>
      <c r="E45" s="57">
        <v>21</v>
      </c>
      <c r="F45" s="57">
        <v>1</v>
      </c>
      <c r="G45" s="57">
        <v>0</v>
      </c>
      <c r="H45" s="97">
        <f t="shared" si="7"/>
        <v>32</v>
      </c>
      <c r="I45" s="57">
        <v>0</v>
      </c>
      <c r="J45" s="57">
        <v>32</v>
      </c>
      <c r="K45" s="57">
        <v>0</v>
      </c>
      <c r="L45" s="57">
        <v>0</v>
      </c>
    </row>
    <row r="46" spans="1:12" s="3" customFormat="1" ht="24.95" customHeight="1">
      <c r="A46" s="363" t="s">
        <v>682</v>
      </c>
      <c r="B46" s="33">
        <f t="shared" si="4"/>
        <v>0</v>
      </c>
      <c r="C46" s="97">
        <f t="shared" si="6"/>
        <v>57</v>
      </c>
      <c r="D46" s="57">
        <v>0</v>
      </c>
      <c r="E46" s="57">
        <v>41</v>
      </c>
      <c r="F46" s="57">
        <v>13</v>
      </c>
      <c r="G46" s="57">
        <v>3</v>
      </c>
      <c r="H46" s="97">
        <f t="shared" si="7"/>
        <v>57</v>
      </c>
      <c r="I46" s="57">
        <v>0</v>
      </c>
      <c r="J46" s="57">
        <v>41</v>
      </c>
      <c r="K46" s="57">
        <v>13</v>
      </c>
      <c r="L46" s="57">
        <v>3</v>
      </c>
    </row>
    <row r="47" spans="1:12" s="29" customFormat="1" ht="24.95" customHeight="1">
      <c r="A47" s="363" t="s">
        <v>683</v>
      </c>
      <c r="B47" s="33">
        <f t="shared" si="4"/>
        <v>-1</v>
      </c>
      <c r="C47" s="97">
        <f t="shared" si="6"/>
        <v>8</v>
      </c>
      <c r="D47" s="57">
        <v>0</v>
      </c>
      <c r="E47" s="57">
        <v>4</v>
      </c>
      <c r="F47" s="57">
        <v>4</v>
      </c>
      <c r="G47" s="57">
        <v>0</v>
      </c>
      <c r="H47" s="97">
        <f t="shared" si="7"/>
        <v>9</v>
      </c>
      <c r="I47" s="57">
        <v>0</v>
      </c>
      <c r="J47" s="57">
        <v>5</v>
      </c>
      <c r="K47" s="57">
        <v>4</v>
      </c>
      <c r="L47" s="57">
        <v>0</v>
      </c>
    </row>
    <row r="48" spans="1:12" s="3" customFormat="1" ht="24.75" customHeight="1">
      <c r="A48" s="363" t="s">
        <v>684</v>
      </c>
      <c r="B48" s="33">
        <f t="shared" si="4"/>
        <v>-2</v>
      </c>
      <c r="C48" s="97">
        <f t="shared" si="6"/>
        <v>320</v>
      </c>
      <c r="D48" s="57">
        <v>0</v>
      </c>
      <c r="E48" s="57">
        <v>113</v>
      </c>
      <c r="F48" s="57">
        <v>7</v>
      </c>
      <c r="G48" s="57">
        <v>200</v>
      </c>
      <c r="H48" s="97">
        <f t="shared" si="7"/>
        <v>322</v>
      </c>
      <c r="I48" s="57">
        <v>0</v>
      </c>
      <c r="J48" s="57">
        <v>114</v>
      </c>
      <c r="K48" s="57">
        <v>7</v>
      </c>
      <c r="L48" s="57">
        <v>201</v>
      </c>
    </row>
    <row r="49" spans="1:12" s="3" customFormat="1" ht="24.95" customHeight="1">
      <c r="A49" s="363" t="s">
        <v>685</v>
      </c>
      <c r="B49" s="33">
        <f t="shared" si="4"/>
        <v>0</v>
      </c>
      <c r="C49" s="97">
        <f t="shared" si="6"/>
        <v>0</v>
      </c>
      <c r="D49" s="57">
        <v>0</v>
      </c>
      <c r="E49" s="57">
        <v>0</v>
      </c>
      <c r="F49" s="57">
        <v>0</v>
      </c>
      <c r="G49" s="57">
        <v>0</v>
      </c>
      <c r="H49" s="97">
        <f t="shared" si="7"/>
        <v>0</v>
      </c>
      <c r="I49" s="57">
        <v>0</v>
      </c>
      <c r="J49" s="57">
        <v>0</v>
      </c>
      <c r="K49" s="57">
        <v>0</v>
      </c>
      <c r="L49" s="57">
        <v>0</v>
      </c>
    </row>
    <row r="50" spans="1:12" s="3" customFormat="1" ht="24.95" customHeight="1">
      <c r="A50" s="50" t="s">
        <v>310</v>
      </c>
      <c r="B50" s="33">
        <f t="shared" si="4"/>
        <v>-2</v>
      </c>
      <c r="C50" s="97">
        <f t="shared" si="6"/>
        <v>61</v>
      </c>
      <c r="D50" s="27">
        <v>0</v>
      </c>
      <c r="E50" s="57">
        <v>0</v>
      </c>
      <c r="F50" s="57">
        <v>60</v>
      </c>
      <c r="G50" s="57">
        <v>1</v>
      </c>
      <c r="H50" s="97">
        <f t="shared" si="7"/>
        <v>63</v>
      </c>
      <c r="I50" s="27">
        <v>0</v>
      </c>
      <c r="J50" s="57">
        <v>0</v>
      </c>
      <c r="K50" s="57">
        <v>56</v>
      </c>
      <c r="L50" s="57">
        <v>7</v>
      </c>
    </row>
    <row r="51" spans="1:12" s="29" customFormat="1" ht="24.95" customHeight="1">
      <c r="A51" s="363" t="s">
        <v>686</v>
      </c>
      <c r="B51" s="33">
        <f t="shared" si="4"/>
        <v>0</v>
      </c>
      <c r="C51" s="97">
        <f t="shared" si="6"/>
        <v>61</v>
      </c>
      <c r="D51" s="27">
        <v>0</v>
      </c>
      <c r="E51" s="27">
        <v>61</v>
      </c>
      <c r="F51" s="27">
        <v>0</v>
      </c>
      <c r="G51" s="57">
        <v>0</v>
      </c>
      <c r="H51" s="97">
        <f t="shared" si="7"/>
        <v>61</v>
      </c>
      <c r="I51" s="27">
        <v>0</v>
      </c>
      <c r="J51" s="27">
        <v>61</v>
      </c>
      <c r="K51" s="27">
        <v>0</v>
      </c>
      <c r="L51" s="57">
        <v>0</v>
      </c>
    </row>
    <row r="52" spans="1:12" s="3" customFormat="1" ht="24.95" customHeight="1">
      <c r="A52" s="363" t="s">
        <v>687</v>
      </c>
      <c r="B52" s="33">
        <f t="shared" si="4"/>
        <v>-3</v>
      </c>
      <c r="C52" s="97">
        <f t="shared" si="6"/>
        <v>7</v>
      </c>
      <c r="D52" s="216">
        <v>0</v>
      </c>
      <c r="E52" s="216">
        <v>3</v>
      </c>
      <c r="F52" s="216">
        <v>4</v>
      </c>
      <c r="G52" s="216">
        <v>0</v>
      </c>
      <c r="H52" s="97">
        <f t="shared" si="7"/>
        <v>10</v>
      </c>
      <c r="I52" s="216">
        <v>0</v>
      </c>
      <c r="J52" s="216">
        <v>6</v>
      </c>
      <c r="K52" s="216">
        <v>4</v>
      </c>
      <c r="L52" s="216">
        <v>0</v>
      </c>
    </row>
    <row r="53" spans="1:12" s="3" customFormat="1" ht="24.95" customHeight="1">
      <c r="A53" s="363" t="s">
        <v>688</v>
      </c>
      <c r="B53" s="33">
        <f t="shared" si="4"/>
        <v>-5</v>
      </c>
      <c r="C53" s="97">
        <f t="shared" si="6"/>
        <v>52</v>
      </c>
      <c r="D53" s="310">
        <v>0</v>
      </c>
      <c r="E53" s="310">
        <v>0</v>
      </c>
      <c r="F53" s="310">
        <v>50</v>
      </c>
      <c r="G53" s="310">
        <v>2</v>
      </c>
      <c r="H53" s="97">
        <f t="shared" si="7"/>
        <v>57</v>
      </c>
      <c r="I53" s="310">
        <v>0</v>
      </c>
      <c r="J53" s="310">
        <v>0</v>
      </c>
      <c r="K53" s="310">
        <v>55</v>
      </c>
      <c r="L53" s="310">
        <v>2</v>
      </c>
    </row>
    <row r="54" spans="1:12" s="3" customFormat="1" ht="24.95" customHeight="1">
      <c r="A54" s="363" t="s">
        <v>689</v>
      </c>
      <c r="B54" s="33">
        <f t="shared" si="4"/>
        <v>0</v>
      </c>
      <c r="C54" s="97">
        <f t="shared" si="6"/>
        <v>1</v>
      </c>
      <c r="D54" s="57">
        <v>0</v>
      </c>
      <c r="E54" s="57">
        <v>0</v>
      </c>
      <c r="F54" s="57">
        <v>0</v>
      </c>
      <c r="G54" s="57">
        <v>1</v>
      </c>
      <c r="H54" s="97">
        <f t="shared" si="7"/>
        <v>1</v>
      </c>
      <c r="I54" s="57">
        <v>0</v>
      </c>
      <c r="J54" s="57">
        <v>0</v>
      </c>
      <c r="K54" s="57">
        <v>0</v>
      </c>
      <c r="L54" s="57">
        <v>1</v>
      </c>
    </row>
    <row r="55" spans="1:12" s="3" customFormat="1" ht="24.95" customHeight="1">
      <c r="A55" s="363" t="s">
        <v>690</v>
      </c>
      <c r="B55" s="33">
        <f t="shared" si="4"/>
        <v>-2</v>
      </c>
      <c r="C55" s="97">
        <f t="shared" si="6"/>
        <v>526</v>
      </c>
      <c r="D55" s="57">
        <v>82</v>
      </c>
      <c r="E55" s="57">
        <v>30</v>
      </c>
      <c r="F55" s="24">
        <v>414</v>
      </c>
      <c r="G55" s="57">
        <v>0</v>
      </c>
      <c r="H55" s="97">
        <f t="shared" si="7"/>
        <v>528</v>
      </c>
      <c r="I55" s="57">
        <v>82</v>
      </c>
      <c r="J55" s="57">
        <v>30</v>
      </c>
      <c r="K55" s="24">
        <v>416</v>
      </c>
      <c r="L55" s="57">
        <v>0</v>
      </c>
    </row>
    <row r="56" spans="1:12" s="25" customFormat="1" ht="24.95" customHeight="1">
      <c r="A56" s="363" t="s">
        <v>691</v>
      </c>
      <c r="B56" s="33">
        <f t="shared" si="4"/>
        <v>-3</v>
      </c>
      <c r="C56" s="97">
        <f t="shared" si="6"/>
        <v>23</v>
      </c>
      <c r="D56" s="57">
        <v>0</v>
      </c>
      <c r="E56" s="57">
        <v>6</v>
      </c>
      <c r="F56" s="57">
        <v>17</v>
      </c>
      <c r="G56" s="57">
        <v>0</v>
      </c>
      <c r="H56" s="97">
        <f t="shared" si="7"/>
        <v>26</v>
      </c>
      <c r="I56" s="57">
        <v>0</v>
      </c>
      <c r="J56" s="57">
        <v>8</v>
      </c>
      <c r="K56" s="57">
        <v>18</v>
      </c>
      <c r="L56" s="57">
        <v>0</v>
      </c>
    </row>
    <row r="57" spans="1:12" s="3" customFormat="1" ht="24.95" customHeight="1">
      <c r="A57" s="363" t="s">
        <v>692</v>
      </c>
      <c r="B57" s="33">
        <f t="shared" si="4"/>
        <v>0</v>
      </c>
      <c r="C57" s="97">
        <f t="shared" si="6"/>
        <v>2</v>
      </c>
      <c r="D57" s="57">
        <v>0</v>
      </c>
      <c r="E57" s="57">
        <v>1</v>
      </c>
      <c r="F57" s="57">
        <v>1</v>
      </c>
      <c r="G57" s="57">
        <v>0</v>
      </c>
      <c r="H57" s="97">
        <f t="shared" si="7"/>
        <v>2</v>
      </c>
      <c r="I57" s="57">
        <v>0</v>
      </c>
      <c r="J57" s="57">
        <v>1</v>
      </c>
      <c r="K57" s="57">
        <v>1</v>
      </c>
      <c r="L57" s="57">
        <v>0</v>
      </c>
    </row>
    <row r="58" spans="1:12" s="3" customFormat="1" ht="24.95" customHeight="1">
      <c r="A58" s="363" t="s">
        <v>693</v>
      </c>
      <c r="B58" s="33">
        <f t="shared" si="4"/>
        <v>0</v>
      </c>
      <c r="C58" s="97">
        <f t="shared" si="6"/>
        <v>3</v>
      </c>
      <c r="D58" s="57">
        <v>0</v>
      </c>
      <c r="E58" s="57">
        <v>0</v>
      </c>
      <c r="F58" s="57">
        <v>0</v>
      </c>
      <c r="G58" s="57">
        <v>3</v>
      </c>
      <c r="H58" s="97">
        <f t="shared" si="7"/>
        <v>3</v>
      </c>
      <c r="I58" s="57">
        <v>0</v>
      </c>
      <c r="J58" s="57">
        <v>0</v>
      </c>
      <c r="K58" s="57">
        <v>0</v>
      </c>
      <c r="L58" s="57">
        <v>3</v>
      </c>
    </row>
    <row r="59" spans="1:12" s="3" customFormat="1" ht="24.95" customHeight="1">
      <c r="A59" s="363" t="s">
        <v>694</v>
      </c>
      <c r="B59" s="33">
        <f t="shared" si="4"/>
        <v>0</v>
      </c>
      <c r="C59" s="97">
        <f t="shared" si="6"/>
        <v>0</v>
      </c>
      <c r="D59" s="57">
        <v>0</v>
      </c>
      <c r="E59" s="57">
        <v>0</v>
      </c>
      <c r="F59" s="57">
        <v>0</v>
      </c>
      <c r="G59" s="57">
        <v>0</v>
      </c>
      <c r="H59" s="97">
        <f t="shared" si="7"/>
        <v>0</v>
      </c>
      <c r="I59" s="57">
        <v>0</v>
      </c>
      <c r="J59" s="57">
        <v>0</v>
      </c>
      <c r="K59" s="57">
        <v>0</v>
      </c>
      <c r="L59" s="57">
        <v>0</v>
      </c>
    </row>
    <row r="60" spans="1:12" s="29" customFormat="1" ht="24.95" customHeight="1">
      <c r="A60" s="363" t="s">
        <v>695</v>
      </c>
      <c r="B60" s="33">
        <f t="shared" si="4"/>
        <v>0</v>
      </c>
      <c r="C60" s="97">
        <f t="shared" si="6"/>
        <v>0</v>
      </c>
      <c r="D60" s="27">
        <v>0</v>
      </c>
      <c r="E60" s="27">
        <v>0</v>
      </c>
      <c r="F60" s="27">
        <v>0</v>
      </c>
      <c r="G60" s="27">
        <v>0</v>
      </c>
      <c r="H60" s="97">
        <f t="shared" si="7"/>
        <v>0</v>
      </c>
      <c r="I60" s="27">
        <v>0</v>
      </c>
      <c r="J60" s="27">
        <v>0</v>
      </c>
      <c r="K60" s="27">
        <v>0</v>
      </c>
      <c r="L60" s="27">
        <v>0</v>
      </c>
    </row>
    <row r="61" spans="1:12" s="3" customFormat="1" ht="24.95" customHeight="1">
      <c r="A61" s="363" t="s">
        <v>341</v>
      </c>
      <c r="B61" s="33">
        <f t="shared" si="4"/>
        <v>0</v>
      </c>
      <c r="C61" s="97">
        <f t="shared" si="6"/>
        <v>199</v>
      </c>
      <c r="D61" s="57">
        <v>0</v>
      </c>
      <c r="E61" s="57">
        <v>0</v>
      </c>
      <c r="F61" s="57">
        <v>199</v>
      </c>
      <c r="G61" s="57">
        <v>0</v>
      </c>
      <c r="H61" s="97">
        <f t="shared" si="7"/>
        <v>199</v>
      </c>
      <c r="I61" s="57">
        <v>0</v>
      </c>
      <c r="J61" s="57">
        <v>0</v>
      </c>
      <c r="K61" s="57">
        <v>199</v>
      </c>
      <c r="L61" s="57">
        <v>0</v>
      </c>
    </row>
    <row r="62" spans="1:12" s="3" customFormat="1" ht="24.95" customHeight="1">
      <c r="A62" s="363" t="s">
        <v>696</v>
      </c>
      <c r="B62" s="33">
        <f t="shared" si="4"/>
        <v>0</v>
      </c>
      <c r="C62" s="97">
        <f t="shared" si="6"/>
        <v>3</v>
      </c>
      <c r="D62" s="57">
        <v>0</v>
      </c>
      <c r="E62" s="57">
        <v>0</v>
      </c>
      <c r="F62" s="57">
        <v>0</v>
      </c>
      <c r="G62" s="57">
        <v>3</v>
      </c>
      <c r="H62" s="97">
        <f t="shared" si="7"/>
        <v>3</v>
      </c>
      <c r="I62" s="57">
        <v>0</v>
      </c>
      <c r="J62" s="57">
        <v>0</v>
      </c>
      <c r="K62" s="57">
        <v>0</v>
      </c>
      <c r="L62" s="57">
        <v>3</v>
      </c>
    </row>
    <row r="63" spans="1:12" s="3" customFormat="1" ht="24.95" customHeight="1">
      <c r="A63" s="363" t="s">
        <v>697</v>
      </c>
      <c r="B63" s="33">
        <f t="shared" si="4"/>
        <v>0</v>
      </c>
      <c r="C63" s="97">
        <f t="shared" si="6"/>
        <v>0</v>
      </c>
      <c r="D63" s="57">
        <v>0</v>
      </c>
      <c r="E63" s="57">
        <v>0</v>
      </c>
      <c r="F63" s="57">
        <v>0</v>
      </c>
      <c r="G63" s="57">
        <v>0</v>
      </c>
      <c r="H63" s="97">
        <f t="shared" si="7"/>
        <v>0</v>
      </c>
      <c r="I63" s="57">
        <v>0</v>
      </c>
      <c r="J63" s="57">
        <v>0</v>
      </c>
      <c r="K63" s="57">
        <v>0</v>
      </c>
      <c r="L63" s="57">
        <v>0</v>
      </c>
    </row>
    <row r="64" spans="1:12" s="3" customFormat="1" ht="22.5" customHeight="1">
      <c r="A64" s="363" t="s">
        <v>127</v>
      </c>
      <c r="B64" s="33">
        <f t="shared" si="4"/>
        <v>0</v>
      </c>
      <c r="C64" s="97">
        <f t="shared" si="6"/>
        <v>122</v>
      </c>
      <c r="D64" s="57">
        <v>0</v>
      </c>
      <c r="E64" s="57">
        <v>0</v>
      </c>
      <c r="F64" s="57">
        <v>112</v>
      </c>
      <c r="G64" s="57">
        <v>10</v>
      </c>
      <c r="H64" s="97">
        <f t="shared" si="7"/>
        <v>122</v>
      </c>
      <c r="I64" s="57">
        <v>0</v>
      </c>
      <c r="J64" s="57">
        <v>0</v>
      </c>
      <c r="K64" s="57">
        <v>112</v>
      </c>
      <c r="L64" s="57">
        <v>10</v>
      </c>
    </row>
    <row r="65" spans="1:12" s="3" customFormat="1" ht="24.75" customHeight="1">
      <c r="A65" s="363" t="s">
        <v>698</v>
      </c>
      <c r="B65" s="33">
        <f t="shared" si="4"/>
        <v>0</v>
      </c>
      <c r="C65" s="97">
        <f t="shared" si="6"/>
        <v>0</v>
      </c>
      <c r="D65" s="57">
        <v>0</v>
      </c>
      <c r="E65" s="57">
        <v>0</v>
      </c>
      <c r="F65" s="57">
        <v>0</v>
      </c>
      <c r="G65" s="57">
        <v>0</v>
      </c>
      <c r="H65" s="97">
        <f t="shared" si="7"/>
        <v>0</v>
      </c>
      <c r="I65" s="57">
        <v>0</v>
      </c>
      <c r="J65" s="57">
        <v>0</v>
      </c>
      <c r="K65" s="57">
        <v>0</v>
      </c>
      <c r="L65" s="57">
        <v>0</v>
      </c>
    </row>
    <row r="66" spans="1:12" s="3" customFormat="1" ht="24.75" customHeight="1">
      <c r="A66" s="363" t="s">
        <v>699</v>
      </c>
      <c r="B66" s="33">
        <f t="shared" si="4"/>
        <v>0</v>
      </c>
      <c r="C66" s="97">
        <f t="shared" si="6"/>
        <v>123</v>
      </c>
      <c r="D66" s="57">
        <v>0</v>
      </c>
      <c r="E66" s="57">
        <v>68</v>
      </c>
      <c r="F66" s="57">
        <v>55</v>
      </c>
      <c r="G66" s="57">
        <v>0</v>
      </c>
      <c r="H66" s="97">
        <f t="shared" si="7"/>
        <v>123</v>
      </c>
      <c r="I66" s="57">
        <v>0</v>
      </c>
      <c r="J66" s="57">
        <v>68</v>
      </c>
      <c r="K66" s="57">
        <v>55</v>
      </c>
      <c r="L66" s="57">
        <v>0</v>
      </c>
    </row>
    <row r="67" spans="1:12" s="3" customFormat="1" ht="24.95" customHeight="1">
      <c r="A67" s="363" t="s">
        <v>700</v>
      </c>
      <c r="B67" s="33">
        <f t="shared" si="4"/>
        <v>0</v>
      </c>
      <c r="C67" s="97">
        <f t="shared" si="6"/>
        <v>80</v>
      </c>
      <c r="D67" s="57">
        <v>0</v>
      </c>
      <c r="E67" s="57">
        <v>0</v>
      </c>
      <c r="F67" s="57">
        <v>80</v>
      </c>
      <c r="G67" s="309">
        <v>0</v>
      </c>
      <c r="H67" s="97">
        <f t="shared" si="7"/>
        <v>80</v>
      </c>
      <c r="I67" s="57">
        <v>0</v>
      </c>
      <c r="J67" s="57">
        <v>0</v>
      </c>
      <c r="K67" s="57">
        <v>80</v>
      </c>
      <c r="L67" s="57">
        <v>0</v>
      </c>
    </row>
    <row r="68" spans="1:12" s="3" customFormat="1" ht="24.95" customHeight="1">
      <c r="A68" s="363" t="s">
        <v>701</v>
      </c>
      <c r="B68" s="33">
        <f t="shared" si="4"/>
        <v>0</v>
      </c>
      <c r="C68" s="97">
        <f t="shared" si="6"/>
        <v>0</v>
      </c>
      <c r="D68" s="57">
        <v>0</v>
      </c>
      <c r="E68" s="57">
        <v>0</v>
      </c>
      <c r="F68" s="57">
        <v>0</v>
      </c>
      <c r="G68" s="57">
        <v>0</v>
      </c>
      <c r="H68" s="97">
        <f t="shared" si="7"/>
        <v>0</v>
      </c>
      <c r="I68" s="57">
        <v>0</v>
      </c>
      <c r="J68" s="57">
        <v>0</v>
      </c>
      <c r="K68" s="57">
        <v>0</v>
      </c>
      <c r="L68" s="57">
        <v>0</v>
      </c>
    </row>
    <row r="69" spans="1:12" s="3" customFormat="1" ht="24.95" customHeight="1">
      <c r="A69" s="363" t="s">
        <v>702</v>
      </c>
      <c r="B69" s="33">
        <f t="shared" si="4"/>
        <v>0</v>
      </c>
      <c r="C69" s="97">
        <f t="shared" si="6"/>
        <v>137</v>
      </c>
      <c r="D69" s="57">
        <v>0</v>
      </c>
      <c r="E69" s="57">
        <v>8</v>
      </c>
      <c r="F69" s="57">
        <v>129</v>
      </c>
      <c r="G69" s="57">
        <v>0</v>
      </c>
      <c r="H69" s="97">
        <f t="shared" si="7"/>
        <v>137</v>
      </c>
      <c r="I69" s="57">
        <v>0</v>
      </c>
      <c r="J69" s="57">
        <v>8</v>
      </c>
      <c r="K69" s="57">
        <v>129</v>
      </c>
      <c r="L69" s="57">
        <v>0</v>
      </c>
    </row>
    <row r="70" spans="1:12" s="3" customFormat="1" ht="24.95" customHeight="1">
      <c r="A70" s="363" t="s">
        <v>703</v>
      </c>
      <c r="B70" s="33">
        <f t="shared" si="4"/>
        <v>0</v>
      </c>
      <c r="C70" s="97">
        <f t="shared" si="6"/>
        <v>0</v>
      </c>
      <c r="D70" s="57">
        <v>0</v>
      </c>
      <c r="E70" s="57">
        <v>0</v>
      </c>
      <c r="F70" s="57">
        <v>0</v>
      </c>
      <c r="G70" s="57">
        <v>0</v>
      </c>
      <c r="H70" s="97">
        <f t="shared" si="7"/>
        <v>0</v>
      </c>
      <c r="I70" s="57">
        <v>0</v>
      </c>
      <c r="J70" s="57">
        <v>0</v>
      </c>
      <c r="K70" s="57">
        <v>0</v>
      </c>
      <c r="L70" s="57">
        <v>0</v>
      </c>
    </row>
    <row r="71" spans="1:12" s="3" customFormat="1" ht="24.95" customHeight="1">
      <c r="A71" s="364" t="s">
        <v>704</v>
      </c>
      <c r="B71" s="33">
        <f t="shared" si="4"/>
        <v>0</v>
      </c>
      <c r="C71" s="97">
        <f t="shared" si="6"/>
        <v>0</v>
      </c>
      <c r="D71" s="57">
        <v>0</v>
      </c>
      <c r="E71" s="57">
        <v>0</v>
      </c>
      <c r="F71" s="57">
        <v>0</v>
      </c>
      <c r="G71" s="57">
        <v>0</v>
      </c>
      <c r="H71" s="97">
        <f t="shared" si="7"/>
        <v>0</v>
      </c>
      <c r="I71" s="57">
        <v>0</v>
      </c>
      <c r="J71" s="57">
        <v>0</v>
      </c>
      <c r="K71" s="57">
        <v>0</v>
      </c>
      <c r="L71" s="57">
        <v>0</v>
      </c>
    </row>
    <row r="72" spans="1:12" s="3" customFormat="1" ht="24.95" customHeight="1" thickBot="1">
      <c r="A72" s="391" t="s">
        <v>180</v>
      </c>
      <c r="B72" s="34">
        <f t="shared" si="4"/>
        <v>-1</v>
      </c>
      <c r="C72" s="98">
        <f t="shared" si="6"/>
        <v>32</v>
      </c>
      <c r="D72" s="217">
        <v>0</v>
      </c>
      <c r="E72" s="217">
        <v>0</v>
      </c>
      <c r="F72" s="217">
        <v>0</v>
      </c>
      <c r="G72" s="217">
        <v>32</v>
      </c>
      <c r="H72" s="98">
        <f t="shared" si="7"/>
        <v>33</v>
      </c>
      <c r="I72" s="217">
        <v>0</v>
      </c>
      <c r="J72" s="217">
        <v>0</v>
      </c>
      <c r="K72" s="217">
        <v>1</v>
      </c>
      <c r="L72" s="217">
        <v>32</v>
      </c>
    </row>
    <row r="73" spans="1:12">
      <c r="A73" s="454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</row>
    <row r="75" spans="1:12">
      <c r="I75" s="455" t="s">
        <v>913</v>
      </c>
      <c r="J75" s="455"/>
      <c r="K75" s="455"/>
      <c r="L75" s="455"/>
    </row>
    <row r="76" spans="1:12">
      <c r="I76" s="455"/>
      <c r="J76" s="455"/>
      <c r="K76" s="455"/>
      <c r="L76" s="455"/>
    </row>
  </sheetData>
  <mergeCells count="10">
    <mergeCell ref="I75:L76"/>
    <mergeCell ref="A1:L1"/>
    <mergeCell ref="A2:A3"/>
    <mergeCell ref="B2:B3"/>
    <mergeCell ref="C2:G2"/>
    <mergeCell ref="H2:L2"/>
    <mergeCell ref="A39:A40"/>
    <mergeCell ref="B39:B40"/>
    <mergeCell ref="C39:G39"/>
    <mergeCell ref="H39:L39"/>
  </mergeCells>
  <phoneticPr fontId="39" type="noConversion"/>
  <printOptions horizontalCentered="1"/>
  <pageMargins left="0.39370078740157483" right="0.39370078740157483" top="0.74803149606299213" bottom="0.31496062992125984" header="0.27559055118110237" footer="0.23622047244094491"/>
  <pageSetup paperSize="9" scale="4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BTT1153"/>
  <sheetViews>
    <sheetView zoomScale="70" zoomScaleNormal="70" zoomScaleSheetLayoutView="90" workbookViewId="0">
      <pane ySplit="6" topLeftCell="A7" activePane="bottomLeft" state="frozen"/>
      <selection pane="bottomLeft" activeCell="B7" sqref="B7:B19"/>
    </sheetView>
  </sheetViews>
  <sheetFormatPr defaultRowHeight="20.25"/>
  <cols>
    <col min="1" max="1" width="7" style="8" customWidth="1"/>
    <col min="2" max="2" width="12.44140625" style="7" customWidth="1"/>
    <col min="3" max="3" width="7.77734375" style="8" customWidth="1"/>
    <col min="4" max="5" width="8.88671875" style="7"/>
    <col min="6" max="6" width="10.77734375" style="7" customWidth="1"/>
    <col min="7" max="8" width="26.5546875" style="7" customWidth="1"/>
    <col min="9" max="9" width="16.6640625" style="7" customWidth="1"/>
    <col min="10" max="10" width="10.33203125" style="7" customWidth="1"/>
    <col min="11" max="11" width="10.88671875" style="7" customWidth="1"/>
    <col min="12" max="12" width="14.21875" style="48" customWidth="1"/>
    <col min="13" max="13" width="14.21875" style="220" customWidth="1"/>
    <col min="14" max="15" width="12.6640625" style="219" bestFit="1" customWidth="1"/>
    <col min="16" max="16" width="13.44140625" style="107" bestFit="1" customWidth="1"/>
    <col min="17" max="18" width="12.88671875" style="107" customWidth="1"/>
    <col min="19" max="19" width="10.21875" style="108" customWidth="1"/>
    <col min="20" max="20" width="19" style="109" customWidth="1"/>
    <col min="21" max="21" width="10" style="109" customWidth="1"/>
    <col min="22" max="67" width="8.88671875" style="110"/>
    <col min="68" max="16384" width="8.88671875" style="6"/>
  </cols>
  <sheetData>
    <row r="1" spans="1:67" ht="52.5" customHeight="1">
      <c r="A1" s="1420" t="s">
        <v>1154</v>
      </c>
      <c r="B1" s="1420"/>
      <c r="C1" s="1420"/>
      <c r="D1" s="1420"/>
      <c r="E1" s="1420"/>
      <c r="F1" s="1420"/>
      <c r="G1" s="1420"/>
      <c r="H1" s="1420"/>
      <c r="I1" s="1420"/>
      <c r="J1" s="1420"/>
      <c r="K1" s="1420"/>
      <c r="L1" s="1420"/>
      <c r="M1" s="1420"/>
      <c r="N1" s="1420"/>
      <c r="O1" s="1420"/>
      <c r="P1" s="1420"/>
      <c r="Q1" s="1420"/>
      <c r="R1" s="1420"/>
      <c r="S1" s="1420"/>
      <c r="T1" s="1420"/>
      <c r="U1" s="1420"/>
    </row>
    <row r="2" spans="1:67" s="21" customFormat="1" ht="13.5" customHeight="1">
      <c r="A2" s="1421" t="s">
        <v>4</v>
      </c>
      <c r="B2" s="1421"/>
      <c r="C2" s="1421"/>
      <c r="D2" s="1422" t="s">
        <v>791</v>
      </c>
      <c r="E2" s="1423"/>
      <c r="F2" s="1424"/>
      <c r="G2" s="1422" t="s">
        <v>114</v>
      </c>
      <c r="H2" s="1423"/>
      <c r="I2" s="1424"/>
      <c r="J2" s="1431" t="s">
        <v>5</v>
      </c>
      <c r="K2" s="1432"/>
      <c r="L2" s="1452" t="s">
        <v>6</v>
      </c>
      <c r="M2" s="1454" t="s">
        <v>892</v>
      </c>
      <c r="N2" s="1454"/>
      <c r="O2" s="1455"/>
      <c r="P2" s="1449" t="s">
        <v>115</v>
      </c>
      <c r="Q2" s="1449" t="s">
        <v>9</v>
      </c>
      <c r="R2" s="1449" t="s">
        <v>10</v>
      </c>
      <c r="S2" s="1435" t="s">
        <v>113</v>
      </c>
      <c r="T2" s="1438" t="s">
        <v>112</v>
      </c>
      <c r="U2" s="1438" t="s">
        <v>111</v>
      </c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</row>
    <row r="3" spans="1:67" s="21" customFormat="1" ht="27" customHeight="1">
      <c r="A3" s="1421"/>
      <c r="B3" s="1421"/>
      <c r="C3" s="1421"/>
      <c r="D3" s="1425"/>
      <c r="E3" s="1426"/>
      <c r="F3" s="1427"/>
      <c r="G3" s="1428"/>
      <c r="H3" s="1429"/>
      <c r="I3" s="1430"/>
      <c r="J3" s="1433"/>
      <c r="K3" s="1434"/>
      <c r="L3" s="1453"/>
      <c r="M3" s="1456"/>
      <c r="N3" s="1456"/>
      <c r="O3" s="1457"/>
      <c r="P3" s="1450"/>
      <c r="Q3" s="1450"/>
      <c r="R3" s="1450"/>
      <c r="S3" s="1436"/>
      <c r="T3" s="1439"/>
      <c r="U3" s="1439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/>
      <c r="AW3" s="111"/>
      <c r="AX3" s="111"/>
      <c r="AY3" s="111"/>
      <c r="AZ3" s="111"/>
      <c r="BA3" s="111"/>
      <c r="BB3" s="111"/>
      <c r="BC3" s="111"/>
      <c r="BD3" s="111"/>
      <c r="BE3" s="111"/>
      <c r="BF3" s="111"/>
      <c r="BG3" s="111"/>
      <c r="BH3" s="111"/>
      <c r="BI3" s="111"/>
      <c r="BJ3" s="111"/>
      <c r="BK3" s="111"/>
      <c r="BL3" s="111"/>
      <c r="BM3" s="111"/>
      <c r="BN3" s="111"/>
      <c r="BO3" s="111"/>
    </row>
    <row r="4" spans="1:67" s="21" customFormat="1" ht="27" customHeight="1">
      <c r="A4" s="1441" t="s">
        <v>573</v>
      </c>
      <c r="B4" s="1441" t="s">
        <v>577</v>
      </c>
      <c r="C4" s="1443" t="s">
        <v>593</v>
      </c>
      <c r="D4" s="1425"/>
      <c r="E4" s="1426"/>
      <c r="F4" s="1427"/>
      <c r="G4" s="1445" t="s">
        <v>240</v>
      </c>
      <c r="H4" s="1441" t="s">
        <v>623</v>
      </c>
      <c r="I4" s="1441" t="s">
        <v>239</v>
      </c>
      <c r="J4" s="1445" t="s">
        <v>7</v>
      </c>
      <c r="K4" s="1445" t="s">
        <v>8</v>
      </c>
      <c r="L4" s="1447" t="s">
        <v>110</v>
      </c>
      <c r="M4" s="1447" t="s">
        <v>891</v>
      </c>
      <c r="N4" s="1403" t="s">
        <v>1155</v>
      </c>
      <c r="O4" s="1403" t="s">
        <v>1156</v>
      </c>
      <c r="P4" s="1450"/>
      <c r="Q4" s="1450"/>
      <c r="R4" s="1450"/>
      <c r="S4" s="1436"/>
      <c r="T4" s="1439"/>
      <c r="U4" s="1439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1"/>
      <c r="BL4" s="111"/>
      <c r="BM4" s="111"/>
      <c r="BN4" s="111"/>
      <c r="BO4" s="111"/>
    </row>
    <row r="5" spans="1:67" s="21" customFormat="1" ht="40.5" customHeight="1">
      <c r="A5" s="1442"/>
      <c r="B5" s="1442"/>
      <c r="C5" s="1444"/>
      <c r="D5" s="1428"/>
      <c r="E5" s="1429"/>
      <c r="F5" s="1430"/>
      <c r="G5" s="1442"/>
      <c r="H5" s="1442"/>
      <c r="I5" s="1442"/>
      <c r="J5" s="1446"/>
      <c r="K5" s="1446"/>
      <c r="L5" s="1448"/>
      <c r="M5" s="1448"/>
      <c r="N5" s="1404"/>
      <c r="O5" s="1404"/>
      <c r="P5" s="1451"/>
      <c r="Q5" s="1451"/>
      <c r="R5" s="1451"/>
      <c r="S5" s="1437"/>
      <c r="T5" s="1440"/>
      <c r="U5" s="1440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  <c r="AU5" s="111"/>
      <c r="AV5" s="111"/>
      <c r="AW5" s="111"/>
      <c r="AX5" s="111"/>
      <c r="AY5" s="111"/>
      <c r="AZ5" s="111"/>
      <c r="BA5" s="111"/>
      <c r="BB5" s="111"/>
      <c r="BC5" s="111"/>
      <c r="BD5" s="111"/>
      <c r="BE5" s="111"/>
      <c r="BF5" s="111"/>
      <c r="BG5" s="111"/>
      <c r="BH5" s="111"/>
      <c r="BI5" s="111"/>
      <c r="BJ5" s="111"/>
      <c r="BK5" s="111"/>
      <c r="BL5" s="111"/>
      <c r="BM5" s="111"/>
      <c r="BN5" s="111"/>
      <c r="BO5" s="111"/>
    </row>
    <row r="6" spans="1:67" s="20" customFormat="1" ht="30" customHeight="1">
      <c r="A6" s="1400" t="s">
        <v>18</v>
      </c>
      <c r="B6" s="1401"/>
      <c r="C6" s="1402"/>
      <c r="D6" s="1458" t="s">
        <v>109</v>
      </c>
      <c r="E6" s="1459"/>
      <c r="F6" s="1460"/>
      <c r="G6" s="40"/>
      <c r="H6" s="40"/>
      <c r="I6" s="40"/>
      <c r="J6" s="40"/>
      <c r="K6" s="40"/>
      <c r="L6" s="41"/>
      <c r="M6" s="114">
        <f>M20+M53+M97+M163+M273+M300+M407+M504+M529+M538+M593+M646+M784+M790+M818+M888+M918+M934+M944+M954+M1000+M1007+M1066+M1095+M1119+M1128+M1133+M1153</f>
        <v>85420</v>
      </c>
      <c r="N6" s="392">
        <f>N20+N53+N97+N163+N273+N300+N407+N504+N529+N538+N593+N646+N784+N790+N818+N888+N918+N934+N944+N954+N1000+N1007+N1066+N1095+N1119+N1128+N1133+N1153</f>
        <v>14394</v>
      </c>
      <c r="O6" s="392">
        <f>O20+O53+O97+O163+O273+O300+O407+O504+O529+O538+O593+O646+O784+O790+O818+O888+O918+O934+O944+O954+O1000+O1007+O1066+O1095+O1119+O1128+O1133+O1153</f>
        <v>14509</v>
      </c>
      <c r="P6" s="103"/>
      <c r="Q6" s="103"/>
      <c r="R6" s="103"/>
      <c r="S6" s="104"/>
      <c r="T6" s="105"/>
      <c r="U6" s="106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12"/>
      <c r="AS6" s="112"/>
      <c r="AT6" s="112"/>
      <c r="AU6" s="112"/>
      <c r="AV6" s="112"/>
      <c r="AW6" s="112"/>
      <c r="AX6" s="112"/>
      <c r="AY6" s="112"/>
      <c r="AZ6" s="112"/>
      <c r="BA6" s="112"/>
      <c r="BB6" s="112"/>
      <c r="BC6" s="112"/>
      <c r="BD6" s="112"/>
      <c r="BE6" s="112"/>
      <c r="BF6" s="112"/>
      <c r="BG6" s="112"/>
      <c r="BH6" s="112"/>
      <c r="BI6" s="112"/>
      <c r="BJ6" s="112"/>
      <c r="BK6" s="112"/>
      <c r="BL6" s="112"/>
      <c r="BM6" s="112"/>
      <c r="BN6" s="112"/>
      <c r="BO6" s="112"/>
    </row>
    <row r="7" spans="1:67" s="11" customFormat="1" ht="35.1" customHeight="1">
      <c r="A7" s="1461" t="s">
        <v>18</v>
      </c>
      <c r="B7" s="1372" t="s">
        <v>384</v>
      </c>
      <c r="C7" s="1347" t="s">
        <v>646</v>
      </c>
      <c r="D7" s="670" t="s">
        <v>647</v>
      </c>
      <c r="E7" s="670"/>
      <c r="F7" s="670"/>
      <c r="G7" s="671" t="s">
        <v>648</v>
      </c>
      <c r="H7" s="639" t="s">
        <v>649</v>
      </c>
      <c r="I7" s="639" t="s">
        <v>650</v>
      </c>
      <c r="J7" s="653" t="s">
        <v>11</v>
      </c>
      <c r="K7" s="653" t="s">
        <v>12</v>
      </c>
      <c r="L7" s="118" t="s">
        <v>84</v>
      </c>
      <c r="M7" s="221">
        <v>374</v>
      </c>
      <c r="N7" s="132">
        <v>0</v>
      </c>
      <c r="O7" s="132">
        <v>0</v>
      </c>
      <c r="P7" s="579" t="s">
        <v>651</v>
      </c>
      <c r="Q7" s="579" t="s">
        <v>652</v>
      </c>
      <c r="R7" s="579" t="s">
        <v>653</v>
      </c>
      <c r="S7" s="811" t="s">
        <v>654</v>
      </c>
      <c r="T7" s="811" t="s">
        <v>655</v>
      </c>
      <c r="U7" s="811" t="s">
        <v>656</v>
      </c>
    </row>
    <row r="8" spans="1:67" s="11" customFormat="1" ht="35.1" customHeight="1">
      <c r="A8" s="1462"/>
      <c r="B8" s="1372"/>
      <c r="C8" s="1347"/>
      <c r="D8" s="670"/>
      <c r="E8" s="670"/>
      <c r="F8" s="670"/>
      <c r="G8" s="1313"/>
      <c r="H8" s="641"/>
      <c r="I8" s="641"/>
      <c r="J8" s="655"/>
      <c r="K8" s="655"/>
      <c r="L8" s="118" t="s">
        <v>83</v>
      </c>
      <c r="M8" s="221">
        <v>394</v>
      </c>
      <c r="N8" s="132">
        <v>0</v>
      </c>
      <c r="O8" s="132">
        <v>0</v>
      </c>
      <c r="P8" s="580"/>
      <c r="Q8" s="580"/>
      <c r="R8" s="580"/>
      <c r="S8" s="812"/>
      <c r="T8" s="812"/>
      <c r="U8" s="812"/>
    </row>
    <row r="9" spans="1:67" s="11" customFormat="1" ht="35.1" customHeight="1">
      <c r="A9" s="1462"/>
      <c r="B9" s="1372"/>
      <c r="C9" s="1347"/>
      <c r="D9" s="670"/>
      <c r="E9" s="670"/>
      <c r="F9" s="670"/>
      <c r="G9" s="491" t="s">
        <v>329</v>
      </c>
      <c r="H9" s="491"/>
      <c r="I9" s="491"/>
      <c r="J9" s="491"/>
      <c r="K9" s="492"/>
      <c r="L9" s="120"/>
      <c r="M9" s="223">
        <f>SUM(M7:M8)</f>
        <v>768</v>
      </c>
      <c r="N9" s="393">
        <f>SUM(N7:N8)</f>
        <v>0</v>
      </c>
      <c r="O9" s="393">
        <f>SUM(O7:O8)</f>
        <v>0</v>
      </c>
      <c r="P9" s="581"/>
      <c r="Q9" s="581"/>
      <c r="R9" s="581"/>
      <c r="S9" s="813"/>
      <c r="T9" s="813"/>
      <c r="U9" s="813"/>
    </row>
    <row r="10" spans="1:67" s="11" customFormat="1" ht="35.1" customHeight="1">
      <c r="A10" s="1462"/>
      <c r="B10" s="1372"/>
      <c r="C10" s="1347" t="s">
        <v>594</v>
      </c>
      <c r="D10" s="670" t="s">
        <v>923</v>
      </c>
      <c r="E10" s="670"/>
      <c r="F10" s="670"/>
      <c r="G10" s="671" t="s">
        <v>915</v>
      </c>
      <c r="H10" s="639" t="s">
        <v>916</v>
      </c>
      <c r="I10" s="639" t="s">
        <v>916</v>
      </c>
      <c r="J10" s="639" t="s">
        <v>11</v>
      </c>
      <c r="K10" s="639" t="s">
        <v>12</v>
      </c>
      <c r="L10" s="314" t="s">
        <v>917</v>
      </c>
      <c r="M10" s="129">
        <v>39</v>
      </c>
      <c r="N10" s="129">
        <v>1</v>
      </c>
      <c r="O10" s="129">
        <v>3</v>
      </c>
      <c r="P10" s="673" t="s">
        <v>409</v>
      </c>
      <c r="Q10" s="673" t="s">
        <v>942</v>
      </c>
      <c r="R10" s="673" t="s">
        <v>411</v>
      </c>
      <c r="S10" s="859" t="s">
        <v>57</v>
      </c>
      <c r="T10" s="473" t="s">
        <v>385</v>
      </c>
      <c r="U10" s="473" t="s">
        <v>11</v>
      </c>
    </row>
    <row r="11" spans="1:67" s="11" customFormat="1" ht="35.1" customHeight="1">
      <c r="A11" s="1462"/>
      <c r="B11" s="1372"/>
      <c r="C11" s="1347"/>
      <c r="D11" s="670"/>
      <c r="E11" s="670"/>
      <c r="F11" s="670"/>
      <c r="G11" s="672"/>
      <c r="H11" s="640"/>
      <c r="I11" s="640"/>
      <c r="J11" s="640"/>
      <c r="K11" s="640"/>
      <c r="L11" s="314" t="s">
        <v>918</v>
      </c>
      <c r="M11" s="129">
        <v>39</v>
      </c>
      <c r="N11" s="129">
        <v>1</v>
      </c>
      <c r="O11" s="129">
        <v>1</v>
      </c>
      <c r="P11" s="674"/>
      <c r="Q11" s="674"/>
      <c r="R11" s="674"/>
      <c r="S11" s="860"/>
      <c r="T11" s="474"/>
      <c r="U11" s="474"/>
    </row>
    <row r="12" spans="1:67" s="11" customFormat="1" ht="35.1" customHeight="1">
      <c r="A12" s="1462"/>
      <c r="B12" s="1372"/>
      <c r="C12" s="1347"/>
      <c r="D12" s="670"/>
      <c r="E12" s="670"/>
      <c r="F12" s="670"/>
      <c r="G12" s="672"/>
      <c r="H12" s="640"/>
      <c r="I12" s="640"/>
      <c r="J12" s="640"/>
      <c r="K12" s="640"/>
      <c r="L12" s="314" t="s">
        <v>919</v>
      </c>
      <c r="M12" s="129">
        <v>70</v>
      </c>
      <c r="N12" s="129">
        <v>15</v>
      </c>
      <c r="O12" s="129">
        <v>10</v>
      </c>
      <c r="P12" s="674"/>
      <c r="Q12" s="674"/>
      <c r="R12" s="674"/>
      <c r="S12" s="860"/>
      <c r="T12" s="474"/>
      <c r="U12" s="474"/>
    </row>
    <row r="13" spans="1:67" s="11" customFormat="1" ht="35.1" customHeight="1">
      <c r="A13" s="1462"/>
      <c r="B13" s="1372"/>
      <c r="C13" s="1347"/>
      <c r="D13" s="670"/>
      <c r="E13" s="670"/>
      <c r="F13" s="670"/>
      <c r="G13" s="672"/>
      <c r="H13" s="640"/>
      <c r="I13" s="640"/>
      <c r="J13" s="640"/>
      <c r="K13" s="640"/>
      <c r="L13" s="314" t="s">
        <v>920</v>
      </c>
      <c r="M13" s="129">
        <v>18</v>
      </c>
      <c r="N13" s="129">
        <v>2</v>
      </c>
      <c r="O13" s="129">
        <v>2</v>
      </c>
      <c r="P13" s="674"/>
      <c r="Q13" s="674"/>
      <c r="R13" s="674"/>
      <c r="S13" s="860"/>
      <c r="T13" s="474"/>
      <c r="U13" s="474"/>
    </row>
    <row r="14" spans="1:67" s="11" customFormat="1" ht="35.1" customHeight="1">
      <c r="A14" s="1462"/>
      <c r="B14" s="1372"/>
      <c r="C14" s="1347"/>
      <c r="D14" s="670"/>
      <c r="E14" s="670"/>
      <c r="F14" s="670"/>
      <c r="G14" s="672"/>
      <c r="H14" s="640"/>
      <c r="I14" s="640"/>
      <c r="J14" s="640"/>
      <c r="K14" s="640"/>
      <c r="L14" s="314" t="s">
        <v>921</v>
      </c>
      <c r="M14" s="129">
        <v>18</v>
      </c>
      <c r="N14" s="129">
        <v>2</v>
      </c>
      <c r="O14" s="129">
        <v>1</v>
      </c>
      <c r="P14" s="674"/>
      <c r="Q14" s="674"/>
      <c r="R14" s="674"/>
      <c r="S14" s="860"/>
      <c r="T14" s="474"/>
      <c r="U14" s="474"/>
    </row>
    <row r="15" spans="1:67" s="11" customFormat="1" ht="35.1" customHeight="1">
      <c r="A15" s="1462"/>
      <c r="B15" s="1372"/>
      <c r="C15" s="1347"/>
      <c r="D15" s="670"/>
      <c r="E15" s="670"/>
      <c r="F15" s="670"/>
      <c r="G15" s="1313"/>
      <c r="H15" s="641"/>
      <c r="I15" s="641"/>
      <c r="J15" s="641"/>
      <c r="K15" s="641"/>
      <c r="L15" s="314" t="s">
        <v>922</v>
      </c>
      <c r="M15" s="129">
        <v>17</v>
      </c>
      <c r="N15" s="129">
        <v>0</v>
      </c>
      <c r="O15" s="129">
        <v>0</v>
      </c>
      <c r="P15" s="674"/>
      <c r="Q15" s="674"/>
      <c r="R15" s="674"/>
      <c r="S15" s="860"/>
      <c r="T15" s="474"/>
      <c r="U15" s="474"/>
    </row>
    <row r="16" spans="1:67" s="11" customFormat="1" ht="35.1" customHeight="1">
      <c r="A16" s="1462"/>
      <c r="B16" s="1372"/>
      <c r="C16" s="1347"/>
      <c r="D16" s="670"/>
      <c r="E16" s="670"/>
      <c r="F16" s="670"/>
      <c r="G16" s="491" t="s">
        <v>329</v>
      </c>
      <c r="H16" s="491"/>
      <c r="I16" s="491"/>
      <c r="J16" s="491"/>
      <c r="K16" s="492"/>
      <c r="L16" s="121"/>
      <c r="M16" s="224">
        <f>SUM(M10:M15)</f>
        <v>201</v>
      </c>
      <c r="N16" s="263">
        <f>SUM(N10:N15)</f>
        <v>21</v>
      </c>
      <c r="O16" s="263">
        <f>SUM(O10:O15)</f>
        <v>17</v>
      </c>
      <c r="P16" s="1101"/>
      <c r="Q16" s="1101"/>
      <c r="R16" s="1101"/>
      <c r="S16" s="861"/>
      <c r="T16" s="475"/>
      <c r="U16" s="475"/>
    </row>
    <row r="17" spans="1:21" s="11" customFormat="1" ht="35.1" customHeight="1">
      <c r="A17" s="1462"/>
      <c r="B17" s="1372"/>
      <c r="C17" s="1347" t="s">
        <v>594</v>
      </c>
      <c r="D17" s="670" t="s">
        <v>1091</v>
      </c>
      <c r="E17" s="670"/>
      <c r="F17" s="670"/>
      <c r="G17" s="671" t="s">
        <v>1092</v>
      </c>
      <c r="H17" s="639" t="s">
        <v>1100</v>
      </c>
      <c r="I17" s="639" t="s">
        <v>1093</v>
      </c>
      <c r="J17" s="639" t="s">
        <v>11</v>
      </c>
      <c r="K17" s="639" t="s">
        <v>12</v>
      </c>
      <c r="L17" s="314" t="s">
        <v>1094</v>
      </c>
      <c r="M17" s="129">
        <v>58</v>
      </c>
      <c r="N17" s="129">
        <v>16</v>
      </c>
      <c r="O17" s="129">
        <v>13</v>
      </c>
      <c r="P17" s="673" t="s">
        <v>1095</v>
      </c>
      <c r="Q17" s="675" t="s">
        <v>1096</v>
      </c>
      <c r="R17" s="673" t="s">
        <v>1097</v>
      </c>
      <c r="S17" s="673" t="s">
        <v>13</v>
      </c>
      <c r="T17" s="673" t="s">
        <v>1098</v>
      </c>
      <c r="U17" s="673" t="s">
        <v>11</v>
      </c>
    </row>
    <row r="18" spans="1:21" s="11" customFormat="1" ht="35.1" customHeight="1">
      <c r="A18" s="1462"/>
      <c r="B18" s="1372"/>
      <c r="C18" s="1347"/>
      <c r="D18" s="670"/>
      <c r="E18" s="670"/>
      <c r="F18" s="670"/>
      <c r="G18" s="672"/>
      <c r="H18" s="640"/>
      <c r="I18" s="640"/>
      <c r="J18" s="640"/>
      <c r="K18" s="640"/>
      <c r="L18" s="314" t="s">
        <v>1099</v>
      </c>
      <c r="M18" s="129">
        <v>56</v>
      </c>
      <c r="N18" s="129">
        <v>18</v>
      </c>
      <c r="O18" s="129">
        <v>13</v>
      </c>
      <c r="P18" s="674"/>
      <c r="Q18" s="676"/>
      <c r="R18" s="674"/>
      <c r="S18" s="674"/>
      <c r="T18" s="674"/>
      <c r="U18" s="674"/>
    </row>
    <row r="19" spans="1:21" s="11" customFormat="1" ht="35.1" customHeight="1">
      <c r="A19" s="1462"/>
      <c r="B19" s="1372"/>
      <c r="C19" s="1347"/>
      <c r="D19" s="670"/>
      <c r="E19" s="670"/>
      <c r="F19" s="670"/>
      <c r="G19" s="491" t="s">
        <v>329</v>
      </c>
      <c r="H19" s="491"/>
      <c r="I19" s="491"/>
      <c r="J19" s="491"/>
      <c r="K19" s="492"/>
      <c r="L19" s="121"/>
      <c r="M19" s="224">
        <f>SUM(M17:M18)</f>
        <v>114</v>
      </c>
      <c r="N19" s="224">
        <f t="shared" ref="N19:O19" si="0">SUM(N17:N18)</f>
        <v>34</v>
      </c>
      <c r="O19" s="224">
        <f t="shared" si="0"/>
        <v>26</v>
      </c>
      <c r="P19" s="674"/>
      <c r="Q19" s="677"/>
      <c r="R19" s="674"/>
      <c r="S19" s="674"/>
      <c r="T19" s="674"/>
      <c r="U19" s="674"/>
    </row>
    <row r="20" spans="1:21" s="11" customFormat="1" ht="35.1" customHeight="1">
      <c r="A20" s="1462"/>
      <c r="B20" s="777" t="s">
        <v>105</v>
      </c>
      <c r="C20" s="778"/>
      <c r="D20" s="778"/>
      <c r="E20" s="778"/>
      <c r="F20" s="778"/>
      <c r="G20" s="778"/>
      <c r="H20" s="778"/>
      <c r="I20" s="778"/>
      <c r="J20" s="778"/>
      <c r="K20" s="779"/>
      <c r="L20" s="122"/>
      <c r="M20" s="226">
        <f>M9+M16+M19</f>
        <v>1083</v>
      </c>
      <c r="N20" s="226">
        <f t="shared" ref="N20:O20" si="1">N9+N16+N19</f>
        <v>55</v>
      </c>
      <c r="O20" s="226">
        <f t="shared" si="1"/>
        <v>43</v>
      </c>
      <c r="P20" s="123"/>
      <c r="Q20" s="123"/>
      <c r="R20" s="123"/>
      <c r="S20" s="124"/>
      <c r="T20" s="125"/>
      <c r="U20" s="124"/>
    </row>
    <row r="21" spans="1:21" s="11" customFormat="1" ht="35.1" customHeight="1">
      <c r="A21" s="1462"/>
      <c r="B21" s="710" t="s">
        <v>274</v>
      </c>
      <c r="C21" s="1102" t="s">
        <v>189</v>
      </c>
      <c r="D21" s="690" t="s">
        <v>642</v>
      </c>
      <c r="E21" s="691"/>
      <c r="F21" s="692"/>
      <c r="G21" s="937" t="s">
        <v>641</v>
      </c>
      <c r="H21" s="585" t="s">
        <v>641</v>
      </c>
      <c r="I21" s="585" t="s">
        <v>641</v>
      </c>
      <c r="J21" s="937"/>
      <c r="K21" s="937" t="s">
        <v>643</v>
      </c>
      <c r="L21" s="126">
        <v>84.788799999999995</v>
      </c>
      <c r="M21" s="228">
        <v>332</v>
      </c>
      <c r="N21" s="119">
        <v>0</v>
      </c>
      <c r="O21" s="119">
        <v>0</v>
      </c>
      <c r="P21" s="473" t="s">
        <v>1013</v>
      </c>
      <c r="Q21" s="473" t="s">
        <v>1014</v>
      </c>
      <c r="R21" s="473" t="s">
        <v>1015</v>
      </c>
      <c r="S21" s="473" t="s">
        <v>65</v>
      </c>
      <c r="T21" s="473" t="s">
        <v>189</v>
      </c>
      <c r="U21" s="867" t="s">
        <v>189</v>
      </c>
    </row>
    <row r="22" spans="1:21" s="11" customFormat="1" ht="35.1" customHeight="1">
      <c r="A22" s="1462"/>
      <c r="B22" s="711"/>
      <c r="C22" s="1103"/>
      <c r="D22" s="693"/>
      <c r="E22" s="694"/>
      <c r="F22" s="695"/>
      <c r="G22" s="938"/>
      <c r="H22" s="586"/>
      <c r="I22" s="586"/>
      <c r="J22" s="938"/>
      <c r="K22" s="938"/>
      <c r="L22" s="126">
        <v>84.665000000000006</v>
      </c>
      <c r="M22" s="228">
        <v>284</v>
      </c>
      <c r="N22" s="119">
        <v>0</v>
      </c>
      <c r="O22" s="119">
        <v>0</v>
      </c>
      <c r="P22" s="474"/>
      <c r="Q22" s="474"/>
      <c r="R22" s="474"/>
      <c r="S22" s="474"/>
      <c r="T22" s="474"/>
      <c r="U22" s="652"/>
    </row>
    <row r="23" spans="1:21" s="11" customFormat="1" ht="35.1" customHeight="1">
      <c r="A23" s="1462"/>
      <c r="B23" s="711"/>
      <c r="C23" s="1103"/>
      <c r="D23" s="693"/>
      <c r="E23" s="694"/>
      <c r="F23" s="695"/>
      <c r="G23" s="938"/>
      <c r="H23" s="586"/>
      <c r="I23" s="586"/>
      <c r="J23" s="938"/>
      <c r="K23" s="938"/>
      <c r="L23" s="126">
        <v>99.955200000000005</v>
      </c>
      <c r="M23" s="228">
        <v>598</v>
      </c>
      <c r="N23" s="119">
        <v>0</v>
      </c>
      <c r="O23" s="119">
        <v>0</v>
      </c>
      <c r="P23" s="474"/>
      <c r="Q23" s="474"/>
      <c r="R23" s="474"/>
      <c r="S23" s="474"/>
      <c r="T23" s="474"/>
      <c r="U23" s="652"/>
    </row>
    <row r="24" spans="1:21" s="11" customFormat="1" ht="35.1" customHeight="1">
      <c r="A24" s="1462"/>
      <c r="B24" s="711"/>
      <c r="C24" s="1103"/>
      <c r="D24" s="693"/>
      <c r="E24" s="694"/>
      <c r="F24" s="695"/>
      <c r="G24" s="938"/>
      <c r="H24" s="586"/>
      <c r="I24" s="586"/>
      <c r="J24" s="938"/>
      <c r="K24" s="938"/>
      <c r="L24" s="126">
        <v>99.750500000000002</v>
      </c>
      <c r="M24" s="228">
        <v>256</v>
      </c>
      <c r="N24" s="119">
        <v>0</v>
      </c>
      <c r="O24" s="119">
        <v>0</v>
      </c>
      <c r="P24" s="474"/>
      <c r="Q24" s="474"/>
      <c r="R24" s="474"/>
      <c r="S24" s="474"/>
      <c r="T24" s="474"/>
      <c r="U24" s="652"/>
    </row>
    <row r="25" spans="1:21" s="11" customFormat="1" ht="35.1" customHeight="1">
      <c r="A25" s="1462"/>
      <c r="B25" s="711"/>
      <c r="C25" s="1103"/>
      <c r="D25" s="693"/>
      <c r="E25" s="694"/>
      <c r="F25" s="695"/>
      <c r="G25" s="939"/>
      <c r="H25" s="587"/>
      <c r="I25" s="587"/>
      <c r="J25" s="939"/>
      <c r="K25" s="939"/>
      <c r="L25" s="126">
        <v>170.21209999999999</v>
      </c>
      <c r="M25" s="228">
        <v>2</v>
      </c>
      <c r="N25" s="119">
        <v>0</v>
      </c>
      <c r="O25" s="119">
        <v>0</v>
      </c>
      <c r="P25" s="474"/>
      <c r="Q25" s="474"/>
      <c r="R25" s="474"/>
      <c r="S25" s="474"/>
      <c r="T25" s="474"/>
      <c r="U25" s="652"/>
    </row>
    <row r="26" spans="1:21" s="11" customFormat="1" ht="35.1" customHeight="1">
      <c r="A26" s="1462"/>
      <c r="B26" s="711"/>
      <c r="C26" s="1104"/>
      <c r="D26" s="696"/>
      <c r="E26" s="697"/>
      <c r="F26" s="698"/>
      <c r="G26" s="490" t="s">
        <v>329</v>
      </c>
      <c r="H26" s="491"/>
      <c r="I26" s="491"/>
      <c r="J26" s="491"/>
      <c r="K26" s="492"/>
      <c r="L26" s="121"/>
      <c r="M26" s="224">
        <f>SUM(M21:M25)</f>
        <v>1472</v>
      </c>
      <c r="N26" s="263">
        <f>SUM(N21:N25)</f>
        <v>0</v>
      </c>
      <c r="O26" s="263">
        <f>SUM(O21:O25)</f>
        <v>0</v>
      </c>
      <c r="P26" s="475"/>
      <c r="Q26" s="475"/>
      <c r="R26" s="475"/>
      <c r="S26" s="475"/>
      <c r="T26" s="475"/>
      <c r="U26" s="868"/>
    </row>
    <row r="27" spans="1:21" s="11" customFormat="1" ht="35.1" customHeight="1">
      <c r="A27" s="1462"/>
      <c r="B27" s="711"/>
      <c r="C27" s="1382" t="s">
        <v>737</v>
      </c>
      <c r="D27" s="690" t="s">
        <v>726</v>
      </c>
      <c r="E27" s="691"/>
      <c r="F27" s="692"/>
      <c r="G27" s="960" t="s">
        <v>735</v>
      </c>
      <c r="H27" s="1217" t="s">
        <v>735</v>
      </c>
      <c r="I27" s="960" t="s">
        <v>735</v>
      </c>
      <c r="J27" s="653"/>
      <c r="K27" s="653" t="s">
        <v>66</v>
      </c>
      <c r="L27" s="128">
        <v>59.759099999999997</v>
      </c>
      <c r="M27" s="229">
        <v>0</v>
      </c>
      <c r="N27" s="129">
        <v>0</v>
      </c>
      <c r="O27" s="129">
        <v>0</v>
      </c>
      <c r="P27" s="473" t="s">
        <v>1011</v>
      </c>
      <c r="Q27" s="473" t="s">
        <v>1011</v>
      </c>
      <c r="R27" s="473" t="s">
        <v>1012</v>
      </c>
      <c r="S27" s="473" t="s">
        <v>65</v>
      </c>
      <c r="T27" s="473" t="s">
        <v>189</v>
      </c>
      <c r="U27" s="867" t="s">
        <v>189</v>
      </c>
    </row>
    <row r="28" spans="1:21" s="11" customFormat="1" ht="35.1" customHeight="1">
      <c r="A28" s="1462"/>
      <c r="B28" s="711"/>
      <c r="C28" s="1383"/>
      <c r="D28" s="693"/>
      <c r="E28" s="694"/>
      <c r="F28" s="695"/>
      <c r="G28" s="961"/>
      <c r="H28" s="1218"/>
      <c r="I28" s="961"/>
      <c r="J28" s="654"/>
      <c r="K28" s="654"/>
      <c r="L28" s="128">
        <v>84.522000000000006</v>
      </c>
      <c r="M28" s="228">
        <v>112</v>
      </c>
      <c r="N28" s="129">
        <v>0</v>
      </c>
      <c r="O28" s="129">
        <v>0</v>
      </c>
      <c r="P28" s="474"/>
      <c r="Q28" s="474"/>
      <c r="R28" s="474"/>
      <c r="S28" s="474"/>
      <c r="T28" s="474"/>
      <c r="U28" s="652"/>
    </row>
    <row r="29" spans="1:21" s="11" customFormat="1" ht="35.1" customHeight="1">
      <c r="A29" s="1462"/>
      <c r="B29" s="711"/>
      <c r="C29" s="1383"/>
      <c r="D29" s="693"/>
      <c r="E29" s="694"/>
      <c r="F29" s="695"/>
      <c r="G29" s="962"/>
      <c r="H29" s="1219"/>
      <c r="I29" s="962"/>
      <c r="J29" s="655"/>
      <c r="K29" s="655"/>
      <c r="L29" s="128">
        <v>84.489500000000007</v>
      </c>
      <c r="M29" s="228">
        <v>0</v>
      </c>
      <c r="N29" s="127">
        <v>0</v>
      </c>
      <c r="O29" s="127">
        <v>0</v>
      </c>
      <c r="P29" s="474"/>
      <c r="Q29" s="474"/>
      <c r="R29" s="474"/>
      <c r="S29" s="474"/>
      <c r="T29" s="474"/>
      <c r="U29" s="652"/>
    </row>
    <row r="30" spans="1:21" s="11" customFormat="1" ht="35.1" customHeight="1">
      <c r="A30" s="1462"/>
      <c r="B30" s="711"/>
      <c r="C30" s="1384"/>
      <c r="D30" s="696"/>
      <c r="E30" s="697"/>
      <c r="F30" s="698"/>
      <c r="G30" s="490" t="s">
        <v>329</v>
      </c>
      <c r="H30" s="491"/>
      <c r="I30" s="491"/>
      <c r="J30" s="491"/>
      <c r="K30" s="492"/>
      <c r="L30" s="121"/>
      <c r="M30" s="224">
        <f>SUM(M27:M29)</f>
        <v>112</v>
      </c>
      <c r="N30" s="263">
        <f>SUM(N27:N29)</f>
        <v>0</v>
      </c>
      <c r="O30" s="263">
        <f>SUM(O27:O29)</f>
        <v>0</v>
      </c>
      <c r="P30" s="475"/>
      <c r="Q30" s="475"/>
      <c r="R30" s="475"/>
      <c r="S30" s="475"/>
      <c r="T30" s="475"/>
      <c r="U30" s="868"/>
    </row>
    <row r="31" spans="1:21" s="11" customFormat="1" ht="35.1" customHeight="1">
      <c r="A31" s="1462"/>
      <c r="B31" s="711"/>
      <c r="C31" s="1382" t="s">
        <v>54</v>
      </c>
      <c r="D31" s="690" t="s">
        <v>726</v>
      </c>
      <c r="E31" s="691"/>
      <c r="F31" s="692"/>
      <c r="G31" s="960" t="s">
        <v>54</v>
      </c>
      <c r="H31" s="1217" t="s">
        <v>54</v>
      </c>
      <c r="I31" s="960" t="s">
        <v>54</v>
      </c>
      <c r="J31" s="653"/>
      <c r="K31" s="653" t="s">
        <v>66</v>
      </c>
      <c r="L31" s="130">
        <v>59.759099999999997</v>
      </c>
      <c r="M31" s="230">
        <v>31</v>
      </c>
      <c r="N31" s="395">
        <v>0</v>
      </c>
      <c r="O31" s="395">
        <v>0</v>
      </c>
      <c r="P31" s="473" t="s">
        <v>1011</v>
      </c>
      <c r="Q31" s="473" t="s">
        <v>1011</v>
      </c>
      <c r="R31" s="473" t="s">
        <v>1012</v>
      </c>
      <c r="S31" s="473" t="s">
        <v>65</v>
      </c>
      <c r="T31" s="473" t="s">
        <v>189</v>
      </c>
      <c r="U31" s="867" t="s">
        <v>189</v>
      </c>
    </row>
    <row r="32" spans="1:21" s="11" customFormat="1" ht="35.1" customHeight="1">
      <c r="A32" s="1462"/>
      <c r="B32" s="711"/>
      <c r="C32" s="1383"/>
      <c r="D32" s="693"/>
      <c r="E32" s="694"/>
      <c r="F32" s="695"/>
      <c r="G32" s="961"/>
      <c r="H32" s="1218"/>
      <c r="I32" s="961"/>
      <c r="J32" s="654"/>
      <c r="K32" s="654"/>
      <c r="L32" s="130">
        <v>59.759099999999997</v>
      </c>
      <c r="M32" s="230">
        <v>2</v>
      </c>
      <c r="N32" s="395">
        <v>0</v>
      </c>
      <c r="O32" s="395">
        <v>0</v>
      </c>
      <c r="P32" s="474"/>
      <c r="Q32" s="474"/>
      <c r="R32" s="474"/>
      <c r="S32" s="474"/>
      <c r="T32" s="474"/>
      <c r="U32" s="652"/>
    </row>
    <row r="33" spans="1:21" s="11" customFormat="1" ht="35.1" customHeight="1">
      <c r="A33" s="1462"/>
      <c r="B33" s="711"/>
      <c r="C33" s="1383"/>
      <c r="D33" s="693"/>
      <c r="E33" s="694"/>
      <c r="F33" s="695"/>
      <c r="G33" s="962"/>
      <c r="H33" s="1219"/>
      <c r="I33" s="962"/>
      <c r="J33" s="655"/>
      <c r="K33" s="655"/>
      <c r="L33" s="130">
        <v>59.759099999999997</v>
      </c>
      <c r="M33" s="230">
        <v>2</v>
      </c>
      <c r="N33" s="395">
        <v>0</v>
      </c>
      <c r="O33" s="395">
        <v>0</v>
      </c>
      <c r="P33" s="474"/>
      <c r="Q33" s="474"/>
      <c r="R33" s="474"/>
      <c r="S33" s="474"/>
      <c r="T33" s="474"/>
      <c r="U33" s="652"/>
    </row>
    <row r="34" spans="1:21" s="11" customFormat="1" ht="35.1" customHeight="1">
      <c r="A34" s="1462"/>
      <c r="B34" s="711"/>
      <c r="C34" s="1384"/>
      <c r="D34" s="696"/>
      <c r="E34" s="697"/>
      <c r="F34" s="698"/>
      <c r="G34" s="490" t="s">
        <v>329</v>
      </c>
      <c r="H34" s="491"/>
      <c r="I34" s="491"/>
      <c r="J34" s="491"/>
      <c r="K34" s="492"/>
      <c r="L34" s="121"/>
      <c r="M34" s="224">
        <f>SUM(M31:M33)</f>
        <v>35</v>
      </c>
      <c r="N34" s="263">
        <f>SUM(N31:N33)</f>
        <v>0</v>
      </c>
      <c r="O34" s="263">
        <f>SUM(O31:O33)</f>
        <v>0</v>
      </c>
      <c r="P34" s="475"/>
      <c r="Q34" s="475"/>
      <c r="R34" s="475"/>
      <c r="S34" s="475"/>
      <c r="T34" s="475"/>
      <c r="U34" s="868"/>
    </row>
    <row r="35" spans="1:21" s="11" customFormat="1" ht="35.1" customHeight="1">
      <c r="A35" s="1462"/>
      <c r="B35" s="711"/>
      <c r="C35" s="597" t="s">
        <v>595</v>
      </c>
      <c r="D35" s="1130" t="s">
        <v>775</v>
      </c>
      <c r="E35" s="1131"/>
      <c r="F35" s="1132"/>
      <c r="G35" s="639" t="s">
        <v>273</v>
      </c>
      <c r="H35" s="639" t="s">
        <v>273</v>
      </c>
      <c r="I35" s="639" t="s">
        <v>273</v>
      </c>
      <c r="J35" s="940" t="s">
        <v>302</v>
      </c>
      <c r="K35" s="597" t="s">
        <v>303</v>
      </c>
      <c r="L35" s="131">
        <v>72.94</v>
      </c>
      <c r="M35" s="231">
        <v>214</v>
      </c>
      <c r="N35" s="132">
        <v>0</v>
      </c>
      <c r="O35" s="132">
        <v>0</v>
      </c>
      <c r="P35" s="560" t="s">
        <v>412</v>
      </c>
      <c r="Q35" s="560" t="s">
        <v>413</v>
      </c>
      <c r="R35" s="560" t="s">
        <v>414</v>
      </c>
      <c r="S35" s="1001" t="s">
        <v>275</v>
      </c>
      <c r="T35" s="1405" t="s">
        <v>276</v>
      </c>
      <c r="U35" s="1506" t="s">
        <v>277</v>
      </c>
    </row>
    <row r="36" spans="1:21" s="11" customFormat="1" ht="35.1" customHeight="1">
      <c r="A36" s="1462"/>
      <c r="B36" s="711"/>
      <c r="C36" s="503"/>
      <c r="D36" s="1133"/>
      <c r="E36" s="1134"/>
      <c r="F36" s="1135"/>
      <c r="G36" s="640"/>
      <c r="H36" s="640"/>
      <c r="I36" s="640"/>
      <c r="J36" s="941"/>
      <c r="K36" s="503"/>
      <c r="L36" s="131">
        <v>72.95</v>
      </c>
      <c r="M36" s="231">
        <v>214</v>
      </c>
      <c r="N36" s="132">
        <v>0</v>
      </c>
      <c r="O36" s="132">
        <v>0</v>
      </c>
      <c r="P36" s="561"/>
      <c r="Q36" s="561"/>
      <c r="R36" s="561"/>
      <c r="S36" s="1002"/>
      <c r="T36" s="1406"/>
      <c r="U36" s="1507"/>
    </row>
    <row r="37" spans="1:21" s="11" customFormat="1" ht="35.1" customHeight="1">
      <c r="A37" s="1462"/>
      <c r="B37" s="711"/>
      <c r="C37" s="503"/>
      <c r="D37" s="1133"/>
      <c r="E37" s="1134"/>
      <c r="F37" s="1135"/>
      <c r="G37" s="640"/>
      <c r="H37" s="640"/>
      <c r="I37" s="640"/>
      <c r="J37" s="941"/>
      <c r="K37" s="503"/>
      <c r="L37" s="131">
        <v>84.98</v>
      </c>
      <c r="M37" s="231">
        <v>337</v>
      </c>
      <c r="N37" s="132">
        <v>3</v>
      </c>
      <c r="O37" s="132">
        <v>3</v>
      </c>
      <c r="P37" s="561"/>
      <c r="Q37" s="561"/>
      <c r="R37" s="561"/>
      <c r="S37" s="1002"/>
      <c r="T37" s="1406"/>
      <c r="U37" s="1507"/>
    </row>
    <row r="38" spans="1:21" s="11" customFormat="1" ht="35.1" customHeight="1">
      <c r="A38" s="1462"/>
      <c r="B38" s="711"/>
      <c r="C38" s="503"/>
      <c r="D38" s="1133"/>
      <c r="E38" s="1134"/>
      <c r="F38" s="1135"/>
      <c r="G38" s="641"/>
      <c r="H38" s="641"/>
      <c r="I38" s="641"/>
      <c r="J38" s="942"/>
      <c r="K38" s="504"/>
      <c r="L38" s="131">
        <v>84.97</v>
      </c>
      <c r="M38" s="231">
        <v>337</v>
      </c>
      <c r="N38" s="132">
        <v>1</v>
      </c>
      <c r="O38" s="132">
        <v>1</v>
      </c>
      <c r="P38" s="561"/>
      <c r="Q38" s="561"/>
      <c r="R38" s="561"/>
      <c r="S38" s="1002"/>
      <c r="T38" s="1406"/>
      <c r="U38" s="1507"/>
    </row>
    <row r="39" spans="1:21" s="11" customFormat="1" ht="35.1" customHeight="1">
      <c r="A39" s="1462"/>
      <c r="B39" s="711"/>
      <c r="C39" s="504"/>
      <c r="D39" s="1136"/>
      <c r="E39" s="1137"/>
      <c r="F39" s="1138"/>
      <c r="G39" s="490" t="s">
        <v>329</v>
      </c>
      <c r="H39" s="491"/>
      <c r="I39" s="491"/>
      <c r="J39" s="491"/>
      <c r="K39" s="492"/>
      <c r="L39" s="133"/>
      <c r="M39" s="224">
        <f>SUM(M35:M38)</f>
        <v>1102</v>
      </c>
      <c r="N39" s="263">
        <f>SUM(N35:N38)</f>
        <v>4</v>
      </c>
      <c r="O39" s="263">
        <f>SUM(O35:O38)</f>
        <v>4</v>
      </c>
      <c r="P39" s="562"/>
      <c r="Q39" s="562"/>
      <c r="R39" s="562"/>
      <c r="S39" s="1003"/>
      <c r="T39" s="1407"/>
      <c r="U39" s="1508"/>
    </row>
    <row r="40" spans="1:21" s="11" customFormat="1" ht="35.1" customHeight="1">
      <c r="A40" s="1462"/>
      <c r="B40" s="711"/>
      <c r="C40" s="597" t="s">
        <v>596</v>
      </c>
      <c r="D40" s="1130" t="s">
        <v>597</v>
      </c>
      <c r="E40" s="1131"/>
      <c r="F40" s="1132"/>
      <c r="G40" s="639" t="s">
        <v>247</v>
      </c>
      <c r="H40" s="639" t="s">
        <v>108</v>
      </c>
      <c r="I40" s="639" t="s">
        <v>248</v>
      </c>
      <c r="J40" s="597" t="s">
        <v>67</v>
      </c>
      <c r="K40" s="597" t="s">
        <v>66</v>
      </c>
      <c r="L40" s="131">
        <v>84.964699999999993</v>
      </c>
      <c r="M40" s="231">
        <v>40</v>
      </c>
      <c r="N40" s="132">
        <v>17</v>
      </c>
      <c r="O40" s="132">
        <v>17</v>
      </c>
      <c r="P40" s="560" t="s">
        <v>415</v>
      </c>
      <c r="Q40" s="560" t="s">
        <v>415</v>
      </c>
      <c r="R40" s="560" t="s">
        <v>416</v>
      </c>
      <c r="S40" s="1001" t="s">
        <v>57</v>
      </c>
      <c r="T40" s="1515" t="s">
        <v>117</v>
      </c>
      <c r="U40" s="1506" t="s">
        <v>17</v>
      </c>
    </row>
    <row r="41" spans="1:21" s="11" customFormat="1" ht="35.1" customHeight="1">
      <c r="A41" s="1462"/>
      <c r="B41" s="711"/>
      <c r="C41" s="503"/>
      <c r="D41" s="1133"/>
      <c r="E41" s="1134"/>
      <c r="F41" s="1135"/>
      <c r="G41" s="640"/>
      <c r="H41" s="640"/>
      <c r="I41" s="640"/>
      <c r="J41" s="503"/>
      <c r="K41" s="503"/>
      <c r="L41" s="131">
        <v>84.628699999999995</v>
      </c>
      <c r="M41" s="231">
        <v>20</v>
      </c>
      <c r="N41" s="132">
        <v>16</v>
      </c>
      <c r="O41" s="132">
        <v>16</v>
      </c>
      <c r="P41" s="561"/>
      <c r="Q41" s="561"/>
      <c r="R41" s="561"/>
      <c r="S41" s="1002"/>
      <c r="T41" s="1516"/>
      <c r="U41" s="1507"/>
    </row>
    <row r="42" spans="1:21" s="11" customFormat="1" ht="35.1" customHeight="1">
      <c r="A42" s="1462"/>
      <c r="B42" s="711"/>
      <c r="C42" s="503"/>
      <c r="D42" s="1133"/>
      <c r="E42" s="1134"/>
      <c r="F42" s="1135"/>
      <c r="G42" s="641"/>
      <c r="H42" s="641"/>
      <c r="I42" s="641"/>
      <c r="J42" s="504"/>
      <c r="K42" s="504"/>
      <c r="L42" s="131">
        <v>84.735699999999994</v>
      </c>
      <c r="M42" s="231">
        <v>20</v>
      </c>
      <c r="N42" s="132">
        <v>16</v>
      </c>
      <c r="O42" s="132">
        <v>16</v>
      </c>
      <c r="P42" s="561"/>
      <c r="Q42" s="561"/>
      <c r="R42" s="561"/>
      <c r="S42" s="1002"/>
      <c r="T42" s="1516"/>
      <c r="U42" s="1507"/>
    </row>
    <row r="43" spans="1:21" s="11" customFormat="1" ht="35.1" customHeight="1">
      <c r="A43" s="1462"/>
      <c r="B43" s="711"/>
      <c r="C43" s="504"/>
      <c r="D43" s="1136"/>
      <c r="E43" s="1137"/>
      <c r="F43" s="1138"/>
      <c r="G43" s="490" t="s">
        <v>329</v>
      </c>
      <c r="H43" s="491"/>
      <c r="I43" s="491"/>
      <c r="J43" s="491"/>
      <c r="K43" s="492"/>
      <c r="L43" s="133"/>
      <c r="M43" s="224">
        <f>SUM(M40:M42)</f>
        <v>80</v>
      </c>
      <c r="N43" s="263">
        <f>SUM(N40:N42)</f>
        <v>49</v>
      </c>
      <c r="O43" s="263">
        <f>SUM(O40:O42)</f>
        <v>49</v>
      </c>
      <c r="P43" s="562"/>
      <c r="Q43" s="562"/>
      <c r="R43" s="562"/>
      <c r="S43" s="1003"/>
      <c r="T43" s="1517"/>
      <c r="U43" s="1508"/>
    </row>
    <row r="44" spans="1:21" s="11" customFormat="1" ht="35.1" customHeight="1">
      <c r="A44" s="1462"/>
      <c r="B44" s="711"/>
      <c r="C44" s="639" t="s">
        <v>782</v>
      </c>
      <c r="D44" s="588" t="s">
        <v>726</v>
      </c>
      <c r="E44" s="589"/>
      <c r="F44" s="590"/>
      <c r="G44" s="1469" t="s">
        <v>54</v>
      </c>
      <c r="H44" s="1469" t="s">
        <v>54</v>
      </c>
      <c r="I44" s="1469" t="s">
        <v>54</v>
      </c>
      <c r="J44" s="960" t="s">
        <v>54</v>
      </c>
      <c r="K44" s="653" t="s">
        <v>12</v>
      </c>
      <c r="L44" s="126">
        <v>59.759099999999997</v>
      </c>
      <c r="M44" s="228">
        <v>10</v>
      </c>
      <c r="N44" s="119">
        <v>0</v>
      </c>
      <c r="O44" s="119">
        <v>0</v>
      </c>
      <c r="P44" s="473" t="s">
        <v>435</v>
      </c>
      <c r="Q44" s="473" t="s">
        <v>1011</v>
      </c>
      <c r="R44" s="1512" t="s">
        <v>1010</v>
      </c>
      <c r="S44" s="473" t="s">
        <v>65</v>
      </c>
      <c r="T44" s="473" t="s">
        <v>189</v>
      </c>
      <c r="U44" s="473" t="s">
        <v>11</v>
      </c>
    </row>
    <row r="45" spans="1:21" s="11" customFormat="1" ht="35.1" customHeight="1">
      <c r="A45" s="1462"/>
      <c r="B45" s="711"/>
      <c r="C45" s="640"/>
      <c r="D45" s="591"/>
      <c r="E45" s="592"/>
      <c r="F45" s="593"/>
      <c r="G45" s="1470"/>
      <c r="H45" s="1470"/>
      <c r="I45" s="1470"/>
      <c r="J45" s="961"/>
      <c r="K45" s="654"/>
      <c r="L45" s="126">
        <v>84.522000000000006</v>
      </c>
      <c r="M45" s="228">
        <v>11</v>
      </c>
      <c r="N45" s="119">
        <v>0</v>
      </c>
      <c r="O45" s="119">
        <v>0</v>
      </c>
      <c r="P45" s="474"/>
      <c r="Q45" s="474"/>
      <c r="R45" s="1513"/>
      <c r="S45" s="474"/>
      <c r="T45" s="474"/>
      <c r="U45" s="474"/>
    </row>
    <row r="46" spans="1:21" s="11" customFormat="1" ht="35.1" customHeight="1">
      <c r="A46" s="1462"/>
      <c r="B46" s="711"/>
      <c r="C46" s="640"/>
      <c r="D46" s="591"/>
      <c r="E46" s="592"/>
      <c r="F46" s="593"/>
      <c r="G46" s="1471"/>
      <c r="H46" s="1471"/>
      <c r="I46" s="1471"/>
      <c r="J46" s="962"/>
      <c r="K46" s="655"/>
      <c r="L46" s="126">
        <v>84.489500000000007</v>
      </c>
      <c r="M46" s="228">
        <v>3</v>
      </c>
      <c r="N46" s="119">
        <v>0</v>
      </c>
      <c r="O46" s="119">
        <v>0</v>
      </c>
      <c r="P46" s="474"/>
      <c r="Q46" s="474"/>
      <c r="R46" s="1513"/>
      <c r="S46" s="474"/>
      <c r="T46" s="474"/>
      <c r="U46" s="474"/>
    </row>
    <row r="47" spans="1:21" s="11" customFormat="1" ht="35.1" customHeight="1">
      <c r="A47" s="1462"/>
      <c r="B47" s="711"/>
      <c r="C47" s="641"/>
      <c r="D47" s="594"/>
      <c r="E47" s="595"/>
      <c r="F47" s="596"/>
      <c r="G47" s="490" t="s">
        <v>329</v>
      </c>
      <c r="H47" s="491"/>
      <c r="I47" s="491"/>
      <c r="J47" s="491"/>
      <c r="K47" s="492"/>
      <c r="L47" s="134"/>
      <c r="M47" s="232">
        <f>SUM(M44,M45,M46)</f>
        <v>24</v>
      </c>
      <c r="N47" s="233">
        <f>SUM(N44,N45,N46)</f>
        <v>0</v>
      </c>
      <c r="O47" s="233">
        <f>SUM(O44,O45,O46)</f>
        <v>0</v>
      </c>
      <c r="P47" s="475"/>
      <c r="Q47" s="475"/>
      <c r="R47" s="1514"/>
      <c r="S47" s="475"/>
      <c r="T47" s="475"/>
      <c r="U47" s="475"/>
    </row>
    <row r="48" spans="1:21" s="11" customFormat="1" ht="35.1" customHeight="1">
      <c r="A48" s="1462"/>
      <c r="B48" s="711"/>
      <c r="C48" s="597" t="s">
        <v>598</v>
      </c>
      <c r="D48" s="543" t="s">
        <v>107</v>
      </c>
      <c r="E48" s="544"/>
      <c r="F48" s="545"/>
      <c r="G48" s="639" t="s">
        <v>249</v>
      </c>
      <c r="H48" s="639" t="s">
        <v>106</v>
      </c>
      <c r="I48" s="639" t="s">
        <v>250</v>
      </c>
      <c r="J48" s="597" t="s">
        <v>67</v>
      </c>
      <c r="K48" s="597" t="s">
        <v>66</v>
      </c>
      <c r="L48" s="131">
        <v>39.9</v>
      </c>
      <c r="M48" s="231">
        <v>74</v>
      </c>
      <c r="N48" s="119">
        <v>0</v>
      </c>
      <c r="O48" s="119">
        <v>0</v>
      </c>
      <c r="P48" s="560" t="s">
        <v>417</v>
      </c>
      <c r="Q48" s="560" t="s">
        <v>418</v>
      </c>
      <c r="R48" s="560" t="s">
        <v>418</v>
      </c>
      <c r="S48" s="1001" t="s">
        <v>57</v>
      </c>
      <c r="T48" s="1405" t="s">
        <v>189</v>
      </c>
      <c r="U48" s="1506" t="s">
        <v>17</v>
      </c>
    </row>
    <row r="49" spans="1:1892" s="11" customFormat="1" ht="35.1" customHeight="1">
      <c r="A49" s="1462"/>
      <c r="B49" s="711"/>
      <c r="C49" s="503"/>
      <c r="D49" s="546"/>
      <c r="E49" s="547"/>
      <c r="F49" s="548"/>
      <c r="G49" s="640"/>
      <c r="H49" s="640"/>
      <c r="I49" s="640"/>
      <c r="J49" s="503"/>
      <c r="K49" s="503"/>
      <c r="L49" s="131">
        <v>40</v>
      </c>
      <c r="M49" s="231">
        <v>116</v>
      </c>
      <c r="N49" s="119">
        <v>1</v>
      </c>
      <c r="O49" s="119">
        <v>1</v>
      </c>
      <c r="P49" s="561"/>
      <c r="Q49" s="561"/>
      <c r="R49" s="561"/>
      <c r="S49" s="1002"/>
      <c r="T49" s="1406"/>
      <c r="U49" s="1507"/>
    </row>
    <row r="50" spans="1:1892" s="11" customFormat="1" ht="35.1" customHeight="1">
      <c r="A50" s="1462"/>
      <c r="B50" s="711"/>
      <c r="C50" s="503"/>
      <c r="D50" s="546"/>
      <c r="E50" s="547"/>
      <c r="F50" s="548"/>
      <c r="G50" s="640"/>
      <c r="H50" s="640"/>
      <c r="I50" s="640"/>
      <c r="J50" s="503"/>
      <c r="K50" s="503"/>
      <c r="L50" s="131">
        <v>52</v>
      </c>
      <c r="M50" s="231">
        <v>44</v>
      </c>
      <c r="N50" s="119">
        <v>0</v>
      </c>
      <c r="O50" s="119">
        <v>0</v>
      </c>
      <c r="P50" s="561"/>
      <c r="Q50" s="561"/>
      <c r="R50" s="561"/>
      <c r="S50" s="1002"/>
      <c r="T50" s="1406"/>
      <c r="U50" s="1507"/>
    </row>
    <row r="51" spans="1:1892" s="11" customFormat="1" ht="35.1" customHeight="1">
      <c r="A51" s="1462"/>
      <c r="B51" s="711"/>
      <c r="C51" s="503"/>
      <c r="D51" s="546"/>
      <c r="E51" s="547"/>
      <c r="F51" s="548"/>
      <c r="G51" s="641"/>
      <c r="H51" s="641"/>
      <c r="I51" s="641"/>
      <c r="J51" s="504"/>
      <c r="K51" s="504"/>
      <c r="L51" s="131">
        <v>60</v>
      </c>
      <c r="M51" s="231">
        <v>24</v>
      </c>
      <c r="N51" s="119">
        <v>0</v>
      </c>
      <c r="O51" s="119">
        <v>0</v>
      </c>
      <c r="P51" s="561"/>
      <c r="Q51" s="561"/>
      <c r="R51" s="561"/>
      <c r="S51" s="1002"/>
      <c r="T51" s="1406"/>
      <c r="U51" s="1507"/>
    </row>
    <row r="52" spans="1:1892" s="11" customFormat="1" ht="35.1" customHeight="1">
      <c r="A52" s="1462"/>
      <c r="B52" s="712"/>
      <c r="C52" s="504"/>
      <c r="D52" s="895"/>
      <c r="E52" s="896"/>
      <c r="F52" s="897"/>
      <c r="G52" s="490" t="s">
        <v>329</v>
      </c>
      <c r="H52" s="491"/>
      <c r="I52" s="491"/>
      <c r="J52" s="491"/>
      <c r="K52" s="492"/>
      <c r="L52" s="133"/>
      <c r="M52" s="224">
        <f>SUM(M48:M51)</f>
        <v>258</v>
      </c>
      <c r="N52" s="263">
        <f>SUM(N48:N51)</f>
        <v>1</v>
      </c>
      <c r="O52" s="263">
        <f>SUM(O48:O51)</f>
        <v>1</v>
      </c>
      <c r="P52" s="562"/>
      <c r="Q52" s="562"/>
      <c r="R52" s="562"/>
      <c r="S52" s="1003"/>
      <c r="T52" s="1407"/>
      <c r="U52" s="1508"/>
    </row>
    <row r="53" spans="1:1892" s="18" customFormat="1" ht="35.1" customHeight="1">
      <c r="A53" s="1462"/>
      <c r="B53" s="777" t="s">
        <v>105</v>
      </c>
      <c r="C53" s="778"/>
      <c r="D53" s="778"/>
      <c r="E53" s="778"/>
      <c r="F53" s="778"/>
      <c r="G53" s="778"/>
      <c r="H53" s="778"/>
      <c r="I53" s="778"/>
      <c r="J53" s="778"/>
      <c r="K53" s="779"/>
      <c r="L53" s="122"/>
      <c r="M53" s="234"/>
      <c r="N53" s="394">
        <f>N52+N47+N43+N39+N34+N30+N26</f>
        <v>54</v>
      </c>
      <c r="O53" s="394">
        <f>O52+O47+O43+O39+O34+O30+O26</f>
        <v>54</v>
      </c>
      <c r="P53" s="123"/>
      <c r="Q53" s="123"/>
      <c r="R53" s="123"/>
      <c r="S53" s="124"/>
      <c r="T53" s="125"/>
      <c r="U53" s="124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  <c r="CD53" s="19"/>
      <c r="CE53" s="19"/>
      <c r="CF53" s="19"/>
      <c r="CG53" s="19"/>
      <c r="CH53" s="19"/>
      <c r="CI53" s="19"/>
      <c r="CJ53" s="19"/>
      <c r="CK53" s="19"/>
      <c r="CL53" s="19"/>
      <c r="CM53" s="19"/>
      <c r="CN53" s="19"/>
      <c r="CO53" s="19"/>
      <c r="CP53" s="19"/>
      <c r="CQ53" s="19"/>
      <c r="CR53" s="19"/>
      <c r="CS53" s="19"/>
      <c r="CT53" s="19"/>
      <c r="CU53" s="19"/>
      <c r="CV53" s="19"/>
      <c r="CW53" s="19"/>
      <c r="CX53" s="19"/>
      <c r="CY53" s="19"/>
      <c r="CZ53" s="19"/>
      <c r="DA53" s="19"/>
      <c r="DB53" s="19"/>
      <c r="DC53" s="19"/>
      <c r="DD53" s="19"/>
      <c r="DE53" s="19"/>
      <c r="DF53" s="19"/>
      <c r="DG53" s="19"/>
      <c r="DH53" s="19"/>
      <c r="DI53" s="19"/>
      <c r="DJ53" s="19"/>
      <c r="DK53" s="19"/>
      <c r="DL53" s="19"/>
      <c r="DM53" s="19"/>
      <c r="DN53" s="19"/>
      <c r="DO53" s="19"/>
      <c r="DP53" s="19"/>
      <c r="DQ53" s="19"/>
      <c r="DR53" s="19"/>
      <c r="DS53" s="19"/>
      <c r="DT53" s="19"/>
      <c r="DU53" s="19"/>
      <c r="DV53" s="19"/>
      <c r="DW53" s="19"/>
      <c r="DX53" s="19"/>
      <c r="DY53" s="19"/>
      <c r="DZ53" s="19"/>
      <c r="EA53" s="19"/>
      <c r="EB53" s="19"/>
      <c r="EC53" s="19"/>
      <c r="ED53" s="19"/>
      <c r="EE53" s="19"/>
      <c r="EF53" s="19"/>
      <c r="EG53" s="19"/>
      <c r="EH53" s="19"/>
      <c r="EI53" s="19"/>
      <c r="EJ53" s="19"/>
      <c r="EK53" s="19"/>
      <c r="EL53" s="19"/>
      <c r="EM53" s="19"/>
      <c r="EN53" s="19"/>
      <c r="EO53" s="19"/>
      <c r="EP53" s="19"/>
      <c r="EQ53" s="19"/>
      <c r="ER53" s="19"/>
      <c r="ES53" s="19"/>
      <c r="ET53" s="19"/>
      <c r="EU53" s="19"/>
      <c r="EV53" s="19"/>
      <c r="EW53" s="19"/>
      <c r="EX53" s="19"/>
      <c r="EY53" s="19"/>
      <c r="EZ53" s="19"/>
      <c r="FA53" s="19"/>
      <c r="FB53" s="19"/>
      <c r="FC53" s="19"/>
      <c r="FD53" s="19"/>
      <c r="FE53" s="19"/>
      <c r="FF53" s="19"/>
      <c r="FG53" s="19"/>
      <c r="FH53" s="19"/>
      <c r="FI53" s="19"/>
      <c r="FJ53" s="19"/>
      <c r="FK53" s="19"/>
      <c r="FL53" s="19"/>
      <c r="FM53" s="19"/>
      <c r="FN53" s="19"/>
      <c r="FO53" s="19"/>
      <c r="FP53" s="19"/>
      <c r="FQ53" s="19"/>
      <c r="FR53" s="19"/>
      <c r="FS53" s="19"/>
      <c r="FT53" s="19"/>
      <c r="FU53" s="19"/>
      <c r="FV53" s="19"/>
      <c r="FW53" s="19"/>
      <c r="FX53" s="19"/>
      <c r="FY53" s="19"/>
      <c r="FZ53" s="19"/>
      <c r="GA53" s="19"/>
      <c r="GB53" s="19"/>
      <c r="GC53" s="19"/>
      <c r="GD53" s="19"/>
      <c r="GE53" s="19"/>
      <c r="GF53" s="19"/>
      <c r="GG53" s="19"/>
      <c r="GH53" s="19"/>
      <c r="GI53" s="19"/>
      <c r="GJ53" s="19"/>
      <c r="GK53" s="19"/>
      <c r="GL53" s="19"/>
      <c r="GM53" s="19"/>
      <c r="GN53" s="19"/>
      <c r="GO53" s="19"/>
      <c r="GP53" s="19"/>
      <c r="GQ53" s="19"/>
      <c r="GR53" s="19"/>
      <c r="GS53" s="19"/>
      <c r="GT53" s="19"/>
      <c r="GU53" s="19"/>
      <c r="GV53" s="19"/>
      <c r="GW53" s="19"/>
      <c r="GX53" s="19"/>
      <c r="GY53" s="19"/>
      <c r="GZ53" s="19"/>
      <c r="HA53" s="19"/>
      <c r="HB53" s="19"/>
      <c r="HC53" s="19"/>
      <c r="HD53" s="19"/>
      <c r="HE53" s="19"/>
      <c r="HF53" s="19"/>
      <c r="HG53" s="19"/>
      <c r="HH53" s="19"/>
      <c r="HI53" s="19"/>
      <c r="HJ53" s="19"/>
      <c r="HK53" s="19"/>
      <c r="HL53" s="19"/>
      <c r="HM53" s="19"/>
      <c r="HN53" s="19"/>
      <c r="HO53" s="19"/>
      <c r="HP53" s="19"/>
      <c r="HQ53" s="19"/>
      <c r="HR53" s="19"/>
      <c r="HS53" s="19"/>
      <c r="HT53" s="19"/>
      <c r="HU53" s="19"/>
      <c r="HV53" s="19"/>
      <c r="HW53" s="19"/>
      <c r="HX53" s="19"/>
      <c r="HY53" s="19"/>
      <c r="HZ53" s="19"/>
      <c r="IA53" s="19"/>
      <c r="IB53" s="19"/>
      <c r="IC53" s="19"/>
      <c r="ID53" s="19"/>
      <c r="IE53" s="19"/>
      <c r="IF53" s="19"/>
      <c r="IG53" s="19"/>
      <c r="IH53" s="19"/>
      <c r="II53" s="19"/>
      <c r="IJ53" s="19"/>
      <c r="IK53" s="19"/>
      <c r="IL53" s="19"/>
      <c r="IM53" s="19"/>
      <c r="IN53" s="19"/>
      <c r="IO53" s="19"/>
      <c r="IP53" s="19"/>
      <c r="IQ53" s="19"/>
      <c r="IR53" s="19"/>
      <c r="IS53" s="19"/>
      <c r="IT53" s="19"/>
      <c r="IU53" s="19"/>
      <c r="IV53" s="19"/>
      <c r="IW53" s="19"/>
      <c r="IX53" s="19"/>
      <c r="IY53" s="19"/>
      <c r="IZ53" s="19"/>
      <c r="JA53" s="19"/>
      <c r="JB53" s="19"/>
      <c r="JC53" s="19"/>
      <c r="JD53" s="19"/>
      <c r="JE53" s="19"/>
      <c r="JF53" s="19"/>
      <c r="JG53" s="19"/>
      <c r="JH53" s="19"/>
      <c r="JI53" s="19"/>
      <c r="JJ53" s="19"/>
      <c r="JK53" s="19"/>
      <c r="JL53" s="19"/>
      <c r="JM53" s="19"/>
      <c r="JN53" s="19"/>
      <c r="JO53" s="19"/>
      <c r="JP53" s="19"/>
      <c r="JQ53" s="19"/>
      <c r="JR53" s="19"/>
      <c r="JS53" s="19"/>
      <c r="JT53" s="19"/>
      <c r="JU53" s="19"/>
      <c r="JV53" s="19"/>
      <c r="JW53" s="19"/>
      <c r="JX53" s="19"/>
      <c r="JY53" s="19"/>
      <c r="JZ53" s="19"/>
      <c r="KA53" s="19"/>
      <c r="KB53" s="19"/>
      <c r="KC53" s="19"/>
      <c r="KD53" s="19"/>
      <c r="KE53" s="19"/>
      <c r="KF53" s="19"/>
      <c r="KG53" s="19"/>
      <c r="KH53" s="19"/>
      <c r="KI53" s="19"/>
      <c r="KJ53" s="19"/>
      <c r="KK53" s="19"/>
      <c r="KL53" s="19"/>
      <c r="KM53" s="19"/>
      <c r="KN53" s="19"/>
      <c r="KO53" s="19"/>
      <c r="KP53" s="19"/>
      <c r="KQ53" s="19"/>
      <c r="KR53" s="19"/>
      <c r="KS53" s="19"/>
      <c r="KT53" s="19"/>
      <c r="KU53" s="19"/>
      <c r="KV53" s="19"/>
      <c r="KW53" s="19"/>
      <c r="KX53" s="19"/>
      <c r="KY53" s="19"/>
      <c r="KZ53" s="19"/>
      <c r="LA53" s="19"/>
      <c r="LB53" s="19"/>
      <c r="LC53" s="19"/>
      <c r="LD53" s="19"/>
      <c r="LE53" s="19"/>
      <c r="LF53" s="19"/>
      <c r="LG53" s="19"/>
      <c r="LH53" s="19"/>
      <c r="LI53" s="19"/>
      <c r="LJ53" s="19"/>
      <c r="LK53" s="19"/>
      <c r="LL53" s="19"/>
      <c r="LM53" s="19"/>
      <c r="LN53" s="19"/>
      <c r="LO53" s="19"/>
      <c r="LP53" s="19"/>
      <c r="LQ53" s="19"/>
      <c r="LR53" s="19"/>
      <c r="LS53" s="19"/>
      <c r="LT53" s="19"/>
      <c r="LU53" s="19"/>
      <c r="LV53" s="19"/>
      <c r="LW53" s="19"/>
      <c r="LX53" s="19"/>
      <c r="LY53" s="19"/>
      <c r="LZ53" s="19"/>
      <c r="MA53" s="19"/>
      <c r="MB53" s="19"/>
      <c r="MC53" s="19"/>
      <c r="MD53" s="19"/>
      <c r="ME53" s="19"/>
      <c r="MF53" s="19"/>
      <c r="MG53" s="19"/>
      <c r="MH53" s="19"/>
      <c r="MI53" s="19"/>
      <c r="MJ53" s="19"/>
      <c r="MK53" s="19"/>
      <c r="ML53" s="19"/>
      <c r="MM53" s="19"/>
      <c r="MN53" s="19"/>
      <c r="MO53" s="19"/>
      <c r="MP53" s="19"/>
      <c r="MQ53" s="19"/>
      <c r="MR53" s="19"/>
      <c r="MS53" s="19"/>
      <c r="MT53" s="19"/>
      <c r="MU53" s="19"/>
      <c r="MV53" s="19"/>
      <c r="MW53" s="19"/>
      <c r="MX53" s="19"/>
      <c r="MY53" s="19"/>
      <c r="MZ53" s="19"/>
      <c r="NA53" s="19"/>
      <c r="NB53" s="19"/>
      <c r="NC53" s="19"/>
      <c r="ND53" s="19"/>
      <c r="NE53" s="19"/>
      <c r="NF53" s="19"/>
      <c r="NG53" s="19"/>
      <c r="NH53" s="19"/>
      <c r="NI53" s="19"/>
      <c r="NJ53" s="19"/>
      <c r="NK53" s="19"/>
      <c r="NL53" s="19"/>
      <c r="NM53" s="19"/>
      <c r="NN53" s="19"/>
      <c r="NO53" s="19"/>
      <c r="NP53" s="19"/>
      <c r="NQ53" s="19"/>
      <c r="NR53" s="19"/>
      <c r="NS53" s="19"/>
      <c r="NT53" s="19"/>
      <c r="NU53" s="19"/>
      <c r="NV53" s="19"/>
      <c r="NW53" s="19"/>
      <c r="NX53" s="19"/>
      <c r="NY53" s="19"/>
      <c r="NZ53" s="19"/>
      <c r="OA53" s="19"/>
      <c r="OB53" s="19"/>
      <c r="OC53" s="19"/>
      <c r="OD53" s="19"/>
      <c r="OE53" s="19"/>
      <c r="OF53" s="19"/>
      <c r="OG53" s="19"/>
      <c r="OH53" s="19"/>
      <c r="OI53" s="19"/>
      <c r="OJ53" s="19"/>
      <c r="OK53" s="19"/>
      <c r="OL53" s="19"/>
      <c r="OM53" s="19"/>
      <c r="ON53" s="19"/>
      <c r="OO53" s="19"/>
      <c r="OP53" s="19"/>
      <c r="OQ53" s="19"/>
      <c r="OR53" s="19"/>
      <c r="OS53" s="19"/>
      <c r="OT53" s="19"/>
      <c r="OU53" s="19"/>
      <c r="OV53" s="19"/>
      <c r="OW53" s="19"/>
      <c r="OX53" s="19"/>
      <c r="OY53" s="19"/>
      <c r="OZ53" s="19"/>
      <c r="PA53" s="19"/>
      <c r="PB53" s="19"/>
      <c r="PC53" s="19"/>
      <c r="PD53" s="19"/>
      <c r="PE53" s="19"/>
      <c r="PF53" s="19"/>
      <c r="PG53" s="19"/>
      <c r="PH53" s="19"/>
      <c r="PI53" s="19"/>
      <c r="PJ53" s="19"/>
      <c r="PK53" s="19"/>
      <c r="PL53" s="19"/>
      <c r="PM53" s="19"/>
      <c r="PN53" s="19"/>
      <c r="PO53" s="19"/>
      <c r="PP53" s="19"/>
      <c r="PQ53" s="19"/>
      <c r="PR53" s="19"/>
      <c r="PS53" s="19"/>
      <c r="PT53" s="19"/>
      <c r="PU53" s="19"/>
      <c r="PV53" s="19"/>
      <c r="PW53" s="19"/>
      <c r="PX53" s="19"/>
      <c r="PY53" s="19"/>
      <c r="PZ53" s="19"/>
      <c r="QA53" s="19"/>
      <c r="QB53" s="19"/>
      <c r="QC53" s="19"/>
      <c r="QD53" s="19"/>
      <c r="QE53" s="19"/>
      <c r="QF53" s="19"/>
      <c r="QG53" s="19"/>
      <c r="QH53" s="19"/>
      <c r="QI53" s="19"/>
      <c r="QJ53" s="19"/>
      <c r="QK53" s="19"/>
      <c r="QL53" s="19"/>
      <c r="QM53" s="19"/>
      <c r="QN53" s="19"/>
      <c r="QO53" s="19"/>
      <c r="QP53" s="19"/>
      <c r="QQ53" s="19"/>
      <c r="QR53" s="19"/>
      <c r="QS53" s="19"/>
      <c r="QT53" s="19"/>
      <c r="QU53" s="19"/>
      <c r="QV53" s="19"/>
      <c r="QW53" s="19"/>
      <c r="QX53" s="19"/>
      <c r="QY53" s="19"/>
      <c r="QZ53" s="19"/>
      <c r="RA53" s="19"/>
      <c r="RB53" s="19"/>
      <c r="RC53" s="19"/>
      <c r="RD53" s="19"/>
      <c r="RE53" s="19"/>
      <c r="RF53" s="19"/>
      <c r="RG53" s="19"/>
      <c r="RH53" s="19"/>
      <c r="RI53" s="19"/>
      <c r="RJ53" s="19"/>
      <c r="RK53" s="19"/>
      <c r="RL53" s="19"/>
      <c r="RM53" s="19"/>
      <c r="RN53" s="19"/>
      <c r="RO53" s="19"/>
      <c r="RP53" s="19"/>
      <c r="RQ53" s="19"/>
      <c r="RR53" s="19"/>
      <c r="RS53" s="19"/>
      <c r="RT53" s="19"/>
      <c r="RU53" s="19"/>
      <c r="RV53" s="19"/>
      <c r="RW53" s="19"/>
      <c r="RX53" s="19"/>
      <c r="RY53" s="19"/>
      <c r="RZ53" s="19"/>
      <c r="SA53" s="19"/>
      <c r="SB53" s="19"/>
      <c r="SC53" s="19"/>
      <c r="SD53" s="19"/>
      <c r="SE53" s="19"/>
      <c r="SF53" s="19"/>
      <c r="SG53" s="19"/>
      <c r="SH53" s="19"/>
      <c r="SI53" s="19"/>
      <c r="SJ53" s="19"/>
      <c r="SK53" s="19"/>
      <c r="SL53" s="19"/>
      <c r="SM53" s="19"/>
      <c r="SN53" s="19"/>
      <c r="SO53" s="19"/>
      <c r="SP53" s="19"/>
      <c r="SQ53" s="19"/>
      <c r="SR53" s="19"/>
      <c r="SS53" s="19"/>
      <c r="ST53" s="19"/>
      <c r="SU53" s="19"/>
      <c r="SV53" s="19"/>
      <c r="SW53" s="19"/>
      <c r="SX53" s="19"/>
      <c r="SY53" s="19"/>
      <c r="SZ53" s="19"/>
      <c r="TA53" s="19"/>
      <c r="TB53" s="19"/>
      <c r="TC53" s="19"/>
      <c r="TD53" s="19"/>
      <c r="TE53" s="19"/>
      <c r="TF53" s="19"/>
      <c r="TG53" s="19"/>
      <c r="TH53" s="19"/>
      <c r="TI53" s="19"/>
      <c r="TJ53" s="19"/>
      <c r="TK53" s="19"/>
      <c r="TL53" s="19"/>
      <c r="TM53" s="19"/>
      <c r="TN53" s="19"/>
      <c r="TO53" s="19"/>
      <c r="TP53" s="19"/>
      <c r="TQ53" s="19"/>
      <c r="TR53" s="19"/>
      <c r="TS53" s="19"/>
      <c r="TT53" s="19"/>
      <c r="TU53" s="19"/>
      <c r="TV53" s="19"/>
      <c r="TW53" s="19"/>
      <c r="TX53" s="19"/>
      <c r="TY53" s="19"/>
      <c r="TZ53" s="19"/>
      <c r="UA53" s="19"/>
      <c r="UB53" s="19"/>
      <c r="UC53" s="19"/>
      <c r="UD53" s="19"/>
      <c r="UE53" s="19"/>
      <c r="UF53" s="19"/>
      <c r="UG53" s="19"/>
      <c r="UH53" s="19"/>
      <c r="UI53" s="19"/>
      <c r="UJ53" s="19"/>
      <c r="UK53" s="19"/>
      <c r="UL53" s="19"/>
      <c r="UM53" s="19"/>
      <c r="UN53" s="19"/>
      <c r="UO53" s="19"/>
      <c r="UP53" s="19"/>
      <c r="UQ53" s="19"/>
      <c r="UR53" s="19"/>
      <c r="US53" s="19"/>
      <c r="UT53" s="19"/>
      <c r="UU53" s="19"/>
      <c r="UV53" s="19"/>
      <c r="UW53" s="19"/>
      <c r="UX53" s="19"/>
      <c r="UY53" s="19"/>
      <c r="UZ53" s="19"/>
      <c r="VA53" s="19"/>
      <c r="VB53" s="19"/>
      <c r="VC53" s="19"/>
      <c r="VD53" s="19"/>
      <c r="VE53" s="19"/>
      <c r="VF53" s="19"/>
      <c r="VG53" s="19"/>
      <c r="VH53" s="19"/>
      <c r="VI53" s="19"/>
      <c r="VJ53" s="19"/>
      <c r="VK53" s="19"/>
      <c r="VL53" s="19"/>
      <c r="VM53" s="19"/>
      <c r="VN53" s="19"/>
      <c r="VO53" s="19"/>
      <c r="VP53" s="19"/>
      <c r="VQ53" s="19"/>
      <c r="VR53" s="19"/>
      <c r="VS53" s="19"/>
      <c r="VT53" s="19"/>
      <c r="VU53" s="19"/>
      <c r="VV53" s="19"/>
      <c r="VW53" s="19"/>
      <c r="VX53" s="19"/>
      <c r="VY53" s="19"/>
      <c r="VZ53" s="19"/>
      <c r="WA53" s="19"/>
      <c r="WB53" s="19"/>
      <c r="WC53" s="19"/>
      <c r="WD53" s="19"/>
      <c r="WE53" s="19"/>
      <c r="WF53" s="19"/>
      <c r="WG53" s="19"/>
      <c r="WH53" s="19"/>
      <c r="WI53" s="19"/>
      <c r="WJ53" s="19"/>
      <c r="WK53" s="19"/>
      <c r="WL53" s="19"/>
      <c r="WM53" s="19"/>
      <c r="WN53" s="19"/>
      <c r="WO53" s="19"/>
      <c r="WP53" s="19"/>
      <c r="WQ53" s="19"/>
      <c r="WR53" s="19"/>
      <c r="WS53" s="19"/>
      <c r="WT53" s="19"/>
      <c r="WU53" s="19"/>
      <c r="WV53" s="19"/>
      <c r="WW53" s="19"/>
      <c r="WX53" s="19"/>
      <c r="WY53" s="19"/>
      <c r="WZ53" s="19"/>
      <c r="XA53" s="19"/>
      <c r="XB53" s="19"/>
      <c r="XC53" s="19"/>
      <c r="XD53" s="19"/>
      <c r="XE53" s="19"/>
      <c r="XF53" s="19"/>
      <c r="XG53" s="19"/>
      <c r="XH53" s="19"/>
      <c r="XI53" s="19"/>
      <c r="XJ53" s="19"/>
      <c r="XK53" s="19"/>
      <c r="XL53" s="19"/>
      <c r="XM53" s="19"/>
      <c r="XN53" s="19"/>
      <c r="XO53" s="19"/>
      <c r="XP53" s="19"/>
      <c r="XQ53" s="19"/>
      <c r="XR53" s="19"/>
      <c r="XS53" s="19"/>
      <c r="XT53" s="19"/>
      <c r="XU53" s="19"/>
      <c r="XV53" s="19"/>
      <c r="XW53" s="19"/>
      <c r="XX53" s="19"/>
      <c r="XY53" s="19"/>
      <c r="XZ53" s="19"/>
      <c r="YA53" s="19"/>
      <c r="YB53" s="19"/>
      <c r="YC53" s="19"/>
      <c r="YD53" s="19"/>
      <c r="YE53" s="19"/>
      <c r="YF53" s="19"/>
      <c r="YG53" s="19"/>
      <c r="YH53" s="19"/>
      <c r="YI53" s="19"/>
      <c r="YJ53" s="19"/>
      <c r="YK53" s="19"/>
      <c r="YL53" s="19"/>
      <c r="YM53" s="19"/>
      <c r="YN53" s="19"/>
      <c r="YO53" s="19"/>
      <c r="YP53" s="19"/>
      <c r="YQ53" s="19"/>
      <c r="YR53" s="19"/>
      <c r="YS53" s="19"/>
      <c r="YT53" s="19"/>
      <c r="YU53" s="19"/>
      <c r="YV53" s="19"/>
      <c r="YW53" s="19"/>
      <c r="YX53" s="19"/>
      <c r="YY53" s="19"/>
      <c r="YZ53" s="19"/>
      <c r="ZA53" s="19"/>
      <c r="ZB53" s="19"/>
      <c r="ZC53" s="19"/>
      <c r="ZD53" s="19"/>
      <c r="ZE53" s="19"/>
      <c r="ZF53" s="19"/>
      <c r="ZG53" s="19"/>
      <c r="ZH53" s="19"/>
      <c r="ZI53" s="19"/>
      <c r="ZJ53" s="19"/>
      <c r="ZK53" s="19"/>
      <c r="ZL53" s="19"/>
      <c r="ZM53" s="19"/>
      <c r="ZN53" s="19"/>
      <c r="ZO53" s="19"/>
      <c r="ZP53" s="19"/>
      <c r="ZQ53" s="19"/>
      <c r="ZR53" s="19"/>
      <c r="ZS53" s="19"/>
      <c r="ZT53" s="19"/>
      <c r="ZU53" s="19"/>
      <c r="ZV53" s="19"/>
      <c r="ZW53" s="19"/>
      <c r="ZX53" s="19"/>
      <c r="ZY53" s="19"/>
      <c r="ZZ53" s="19"/>
      <c r="AAA53" s="19"/>
      <c r="AAB53" s="19"/>
      <c r="AAC53" s="19"/>
      <c r="AAD53" s="19"/>
      <c r="AAE53" s="19"/>
      <c r="AAF53" s="19"/>
      <c r="AAG53" s="19"/>
      <c r="AAH53" s="19"/>
      <c r="AAI53" s="19"/>
      <c r="AAJ53" s="19"/>
      <c r="AAK53" s="19"/>
      <c r="AAL53" s="19"/>
      <c r="AAM53" s="19"/>
      <c r="AAN53" s="19"/>
      <c r="AAO53" s="19"/>
      <c r="AAP53" s="19"/>
      <c r="AAQ53" s="19"/>
      <c r="AAR53" s="19"/>
      <c r="AAS53" s="19"/>
      <c r="AAT53" s="19"/>
      <c r="AAU53" s="19"/>
      <c r="AAV53" s="19"/>
      <c r="AAW53" s="19"/>
      <c r="AAX53" s="19"/>
      <c r="AAY53" s="19"/>
      <c r="AAZ53" s="19"/>
      <c r="ABA53" s="19"/>
      <c r="ABB53" s="19"/>
      <c r="ABC53" s="19"/>
      <c r="ABD53" s="19"/>
      <c r="ABE53" s="19"/>
      <c r="ABF53" s="19"/>
      <c r="ABG53" s="19"/>
      <c r="ABH53" s="19"/>
      <c r="ABI53" s="19"/>
      <c r="ABJ53" s="19"/>
      <c r="ABK53" s="19"/>
      <c r="ABL53" s="19"/>
      <c r="ABM53" s="19"/>
      <c r="ABN53" s="19"/>
      <c r="ABO53" s="19"/>
      <c r="ABP53" s="19"/>
      <c r="ABQ53" s="19"/>
      <c r="ABR53" s="19"/>
      <c r="ABS53" s="19"/>
      <c r="ABT53" s="19"/>
      <c r="ABU53" s="19"/>
      <c r="ABV53" s="19"/>
      <c r="ABW53" s="19"/>
      <c r="ABX53" s="19"/>
      <c r="ABY53" s="19"/>
      <c r="ABZ53" s="19"/>
      <c r="ACA53" s="19"/>
      <c r="ACB53" s="19"/>
      <c r="ACC53" s="19"/>
      <c r="ACD53" s="19"/>
      <c r="ACE53" s="19"/>
      <c r="ACF53" s="19"/>
      <c r="ACG53" s="19"/>
      <c r="ACH53" s="19"/>
      <c r="ACI53" s="19"/>
      <c r="ACJ53" s="19"/>
      <c r="ACK53" s="19"/>
      <c r="ACL53" s="19"/>
      <c r="ACM53" s="19"/>
      <c r="ACN53" s="19"/>
      <c r="ACO53" s="19"/>
      <c r="ACP53" s="19"/>
      <c r="ACQ53" s="19"/>
      <c r="ACR53" s="19"/>
      <c r="ACS53" s="19"/>
      <c r="ACT53" s="19"/>
      <c r="ACU53" s="19"/>
      <c r="ACV53" s="19"/>
      <c r="ACW53" s="19"/>
      <c r="ACX53" s="19"/>
      <c r="ACY53" s="19"/>
      <c r="ACZ53" s="19"/>
      <c r="ADA53" s="19"/>
      <c r="ADB53" s="19"/>
      <c r="ADC53" s="19"/>
      <c r="ADD53" s="19"/>
      <c r="ADE53" s="19"/>
      <c r="ADF53" s="19"/>
      <c r="ADG53" s="19"/>
      <c r="ADH53" s="19"/>
      <c r="ADI53" s="19"/>
      <c r="ADJ53" s="19"/>
      <c r="ADK53" s="19"/>
      <c r="ADL53" s="19"/>
      <c r="ADM53" s="19"/>
      <c r="ADN53" s="19"/>
      <c r="ADO53" s="19"/>
      <c r="ADP53" s="19"/>
      <c r="ADQ53" s="19"/>
      <c r="ADR53" s="19"/>
      <c r="ADS53" s="19"/>
      <c r="ADT53" s="19"/>
      <c r="ADU53" s="19"/>
      <c r="ADV53" s="19"/>
      <c r="ADW53" s="19"/>
      <c r="ADX53" s="19"/>
      <c r="ADY53" s="19"/>
      <c r="ADZ53" s="19"/>
      <c r="AEA53" s="19"/>
      <c r="AEB53" s="19"/>
      <c r="AEC53" s="19"/>
      <c r="AED53" s="19"/>
      <c r="AEE53" s="19"/>
      <c r="AEF53" s="19"/>
      <c r="AEG53" s="19"/>
      <c r="AEH53" s="19"/>
      <c r="AEI53" s="19"/>
      <c r="AEJ53" s="19"/>
      <c r="AEK53" s="19"/>
      <c r="AEL53" s="19"/>
      <c r="AEM53" s="19"/>
      <c r="AEN53" s="19"/>
      <c r="AEO53" s="19"/>
      <c r="AEP53" s="19"/>
      <c r="AEQ53" s="19"/>
      <c r="AER53" s="19"/>
      <c r="AES53" s="19"/>
      <c r="AET53" s="19"/>
      <c r="AEU53" s="19"/>
      <c r="AEV53" s="19"/>
      <c r="AEW53" s="19"/>
      <c r="AEX53" s="19"/>
      <c r="AEY53" s="19"/>
      <c r="AEZ53" s="19"/>
      <c r="AFA53" s="19"/>
      <c r="AFB53" s="19"/>
      <c r="AFC53" s="19"/>
      <c r="AFD53" s="19"/>
      <c r="AFE53" s="19"/>
      <c r="AFF53" s="19"/>
      <c r="AFG53" s="19"/>
      <c r="AFH53" s="19"/>
      <c r="AFI53" s="19"/>
      <c r="AFJ53" s="19"/>
      <c r="AFK53" s="19"/>
      <c r="AFL53" s="19"/>
      <c r="AFM53" s="19"/>
      <c r="AFN53" s="19"/>
      <c r="AFO53" s="19"/>
      <c r="AFP53" s="19"/>
      <c r="AFQ53" s="19"/>
      <c r="AFR53" s="19"/>
      <c r="AFS53" s="19"/>
      <c r="AFT53" s="19"/>
      <c r="AFU53" s="19"/>
      <c r="AFV53" s="19"/>
      <c r="AFW53" s="19"/>
      <c r="AFX53" s="19"/>
      <c r="AFY53" s="19"/>
      <c r="AFZ53" s="19"/>
      <c r="AGA53" s="19"/>
      <c r="AGB53" s="19"/>
      <c r="AGC53" s="19"/>
      <c r="AGD53" s="19"/>
      <c r="AGE53" s="19"/>
      <c r="AGF53" s="19"/>
      <c r="AGG53" s="19"/>
      <c r="AGH53" s="19"/>
      <c r="AGI53" s="19"/>
      <c r="AGJ53" s="19"/>
      <c r="AGK53" s="19"/>
      <c r="AGL53" s="19"/>
      <c r="AGM53" s="19"/>
      <c r="AGN53" s="19"/>
      <c r="AGO53" s="19"/>
      <c r="AGP53" s="19"/>
      <c r="AGQ53" s="19"/>
      <c r="AGR53" s="19"/>
      <c r="AGS53" s="19"/>
      <c r="AGT53" s="19"/>
      <c r="AGU53" s="19"/>
      <c r="AGV53" s="19"/>
      <c r="AGW53" s="19"/>
      <c r="AGX53" s="19"/>
      <c r="AGY53" s="19"/>
      <c r="AGZ53" s="19"/>
      <c r="AHA53" s="19"/>
      <c r="AHB53" s="19"/>
      <c r="AHC53" s="19"/>
      <c r="AHD53" s="19"/>
      <c r="AHE53" s="19"/>
      <c r="AHF53" s="19"/>
      <c r="AHG53" s="19"/>
      <c r="AHH53" s="19"/>
      <c r="AHI53" s="19"/>
      <c r="AHJ53" s="19"/>
      <c r="AHK53" s="19"/>
      <c r="AHL53" s="19"/>
      <c r="AHM53" s="19"/>
      <c r="AHN53" s="19"/>
      <c r="AHO53" s="19"/>
      <c r="AHP53" s="19"/>
      <c r="AHQ53" s="19"/>
      <c r="AHR53" s="19"/>
      <c r="AHS53" s="19"/>
      <c r="AHT53" s="19"/>
      <c r="AHU53" s="19"/>
      <c r="AHV53" s="19"/>
      <c r="AHW53" s="19"/>
      <c r="AHX53" s="19"/>
      <c r="AHY53" s="19"/>
      <c r="AHZ53" s="19"/>
      <c r="AIA53" s="19"/>
      <c r="AIB53" s="19"/>
      <c r="AIC53" s="19"/>
      <c r="AID53" s="19"/>
      <c r="AIE53" s="19"/>
      <c r="AIF53" s="19"/>
      <c r="AIG53" s="19"/>
      <c r="AIH53" s="19"/>
      <c r="AII53" s="19"/>
      <c r="AIJ53" s="19"/>
      <c r="AIK53" s="19"/>
      <c r="AIL53" s="19"/>
      <c r="AIM53" s="19"/>
      <c r="AIN53" s="19"/>
      <c r="AIO53" s="19"/>
      <c r="AIP53" s="19"/>
      <c r="AIQ53" s="19"/>
      <c r="AIR53" s="19"/>
      <c r="AIS53" s="19"/>
      <c r="AIT53" s="19"/>
      <c r="AIU53" s="19"/>
      <c r="AIV53" s="19"/>
      <c r="AIW53" s="19"/>
      <c r="AIX53" s="19"/>
      <c r="AIY53" s="19"/>
      <c r="AIZ53" s="19"/>
      <c r="AJA53" s="19"/>
      <c r="AJB53" s="19"/>
      <c r="AJC53" s="19"/>
      <c r="AJD53" s="19"/>
      <c r="AJE53" s="19"/>
      <c r="AJF53" s="19"/>
      <c r="AJG53" s="19"/>
      <c r="AJH53" s="19"/>
      <c r="AJI53" s="19"/>
      <c r="AJJ53" s="19"/>
      <c r="AJK53" s="19"/>
      <c r="AJL53" s="19"/>
      <c r="AJM53" s="19"/>
      <c r="AJN53" s="19"/>
      <c r="AJO53" s="19"/>
      <c r="AJP53" s="19"/>
      <c r="AJQ53" s="19"/>
      <c r="AJR53" s="19"/>
      <c r="AJS53" s="19"/>
      <c r="AJT53" s="19"/>
      <c r="AJU53" s="19"/>
      <c r="AJV53" s="19"/>
      <c r="AJW53" s="19"/>
      <c r="AJX53" s="19"/>
      <c r="AJY53" s="19"/>
      <c r="AJZ53" s="19"/>
      <c r="AKA53" s="19"/>
      <c r="AKB53" s="19"/>
      <c r="AKC53" s="19"/>
      <c r="AKD53" s="19"/>
      <c r="AKE53" s="19"/>
      <c r="AKF53" s="19"/>
      <c r="AKG53" s="19"/>
      <c r="AKH53" s="19"/>
      <c r="AKI53" s="19"/>
      <c r="AKJ53" s="19"/>
      <c r="AKK53" s="19"/>
      <c r="AKL53" s="19"/>
      <c r="AKM53" s="19"/>
      <c r="AKN53" s="19"/>
      <c r="AKO53" s="19"/>
      <c r="AKP53" s="19"/>
      <c r="AKQ53" s="19"/>
      <c r="AKR53" s="19"/>
      <c r="AKS53" s="19"/>
      <c r="AKT53" s="19"/>
      <c r="AKU53" s="19"/>
      <c r="AKV53" s="19"/>
      <c r="AKW53" s="19"/>
      <c r="AKX53" s="19"/>
      <c r="AKY53" s="19"/>
      <c r="AKZ53" s="19"/>
      <c r="ALA53" s="19"/>
      <c r="ALB53" s="19"/>
      <c r="ALC53" s="19"/>
      <c r="ALD53" s="19"/>
      <c r="ALE53" s="19"/>
      <c r="ALF53" s="19"/>
      <c r="ALG53" s="19"/>
      <c r="ALH53" s="19"/>
      <c r="ALI53" s="19"/>
      <c r="ALJ53" s="19"/>
      <c r="ALK53" s="19"/>
      <c r="ALL53" s="19"/>
      <c r="ALM53" s="19"/>
      <c r="ALN53" s="19"/>
      <c r="ALO53" s="19"/>
      <c r="ALP53" s="19"/>
      <c r="ALQ53" s="19"/>
      <c r="ALR53" s="19"/>
      <c r="ALS53" s="19"/>
      <c r="ALT53" s="19"/>
      <c r="ALU53" s="19"/>
      <c r="ALV53" s="19"/>
      <c r="ALW53" s="19"/>
      <c r="ALX53" s="19"/>
      <c r="ALY53" s="19"/>
      <c r="ALZ53" s="19"/>
      <c r="AMA53" s="19"/>
      <c r="AMB53" s="19"/>
      <c r="AMC53" s="19"/>
      <c r="AMD53" s="19"/>
      <c r="AME53" s="19"/>
      <c r="AMF53" s="19"/>
      <c r="AMG53" s="19"/>
      <c r="AMH53" s="19"/>
      <c r="AMI53" s="19"/>
      <c r="AMJ53" s="19"/>
      <c r="AMK53" s="19"/>
      <c r="AML53" s="19"/>
      <c r="AMM53" s="19"/>
      <c r="AMN53" s="19"/>
      <c r="AMO53" s="19"/>
      <c r="AMP53" s="19"/>
      <c r="AMQ53" s="19"/>
      <c r="AMR53" s="19"/>
      <c r="AMS53" s="19"/>
      <c r="AMT53" s="19"/>
      <c r="AMU53" s="19"/>
      <c r="AMV53" s="19"/>
      <c r="AMW53" s="19"/>
      <c r="AMX53" s="19"/>
      <c r="AMY53" s="19"/>
      <c r="AMZ53" s="19"/>
      <c r="ANA53" s="19"/>
      <c r="ANB53" s="19"/>
      <c r="ANC53" s="19"/>
      <c r="AND53" s="19"/>
      <c r="ANE53" s="19"/>
      <c r="ANF53" s="19"/>
      <c r="ANG53" s="19"/>
      <c r="ANH53" s="19"/>
      <c r="ANI53" s="19"/>
      <c r="ANJ53" s="19"/>
      <c r="ANK53" s="19"/>
      <c r="ANL53" s="19"/>
      <c r="ANM53" s="19"/>
      <c r="ANN53" s="19"/>
      <c r="ANO53" s="19"/>
      <c r="ANP53" s="19"/>
      <c r="ANQ53" s="19"/>
      <c r="ANR53" s="19"/>
      <c r="ANS53" s="19"/>
      <c r="ANT53" s="19"/>
      <c r="ANU53" s="19"/>
      <c r="ANV53" s="19"/>
      <c r="ANW53" s="19"/>
      <c r="ANX53" s="19"/>
      <c r="ANY53" s="19"/>
      <c r="ANZ53" s="19"/>
      <c r="AOA53" s="19"/>
      <c r="AOB53" s="19"/>
      <c r="AOC53" s="19"/>
      <c r="AOD53" s="19"/>
      <c r="AOE53" s="19"/>
      <c r="AOF53" s="19"/>
      <c r="AOG53" s="19"/>
      <c r="AOH53" s="19"/>
      <c r="AOI53" s="19"/>
      <c r="AOJ53" s="19"/>
      <c r="AOK53" s="19"/>
      <c r="AOL53" s="19"/>
      <c r="AOM53" s="19"/>
      <c r="AON53" s="19"/>
      <c r="AOO53" s="19"/>
      <c r="AOP53" s="19"/>
      <c r="AOQ53" s="19"/>
      <c r="AOR53" s="19"/>
      <c r="AOS53" s="19"/>
      <c r="AOT53" s="19"/>
      <c r="AOU53" s="19"/>
      <c r="AOV53" s="19"/>
      <c r="AOW53" s="19"/>
      <c r="AOX53" s="19"/>
      <c r="AOY53" s="19"/>
      <c r="AOZ53" s="19"/>
      <c r="APA53" s="19"/>
      <c r="APB53" s="19"/>
      <c r="APC53" s="19"/>
      <c r="APD53" s="19"/>
      <c r="APE53" s="19"/>
      <c r="APF53" s="19"/>
      <c r="APG53" s="19"/>
      <c r="APH53" s="19"/>
      <c r="API53" s="19"/>
      <c r="APJ53" s="19"/>
      <c r="APK53" s="19"/>
      <c r="APL53" s="19"/>
      <c r="APM53" s="19"/>
      <c r="APN53" s="19"/>
      <c r="APO53" s="19"/>
      <c r="APP53" s="19"/>
      <c r="APQ53" s="19"/>
      <c r="APR53" s="19"/>
      <c r="APS53" s="19"/>
      <c r="APT53" s="19"/>
      <c r="APU53" s="19"/>
      <c r="APV53" s="19"/>
      <c r="APW53" s="19"/>
      <c r="APX53" s="19"/>
      <c r="APY53" s="19"/>
      <c r="APZ53" s="19"/>
      <c r="AQA53" s="19"/>
      <c r="AQB53" s="19"/>
      <c r="AQC53" s="19"/>
      <c r="AQD53" s="19"/>
      <c r="AQE53" s="19"/>
      <c r="AQF53" s="19"/>
      <c r="AQG53" s="19"/>
      <c r="AQH53" s="19"/>
      <c r="AQI53" s="19"/>
      <c r="AQJ53" s="19"/>
      <c r="AQK53" s="19"/>
      <c r="AQL53" s="19"/>
      <c r="AQM53" s="19"/>
      <c r="AQN53" s="19"/>
      <c r="AQO53" s="19"/>
      <c r="AQP53" s="19"/>
      <c r="AQQ53" s="19"/>
      <c r="AQR53" s="19"/>
      <c r="AQS53" s="19"/>
      <c r="AQT53" s="19"/>
      <c r="AQU53" s="19"/>
      <c r="AQV53" s="19"/>
      <c r="AQW53" s="19"/>
      <c r="AQX53" s="19"/>
      <c r="AQY53" s="19"/>
      <c r="AQZ53" s="19"/>
      <c r="ARA53" s="19"/>
      <c r="ARB53" s="19"/>
      <c r="ARC53" s="19"/>
      <c r="ARD53" s="19"/>
      <c r="ARE53" s="19"/>
      <c r="ARF53" s="19"/>
      <c r="ARG53" s="19"/>
      <c r="ARH53" s="19"/>
      <c r="ARI53" s="19"/>
      <c r="ARJ53" s="19"/>
      <c r="ARK53" s="19"/>
      <c r="ARL53" s="19"/>
      <c r="ARM53" s="19"/>
      <c r="ARN53" s="19"/>
      <c r="ARO53" s="19"/>
      <c r="ARP53" s="19"/>
      <c r="ARQ53" s="19"/>
      <c r="ARR53" s="19"/>
      <c r="ARS53" s="19"/>
      <c r="ART53" s="19"/>
      <c r="ARU53" s="19"/>
      <c r="ARV53" s="19"/>
      <c r="ARW53" s="19"/>
      <c r="ARX53" s="19"/>
      <c r="ARY53" s="19"/>
      <c r="ARZ53" s="19"/>
      <c r="ASA53" s="19"/>
      <c r="ASB53" s="19"/>
      <c r="ASC53" s="19"/>
      <c r="ASD53" s="19"/>
      <c r="ASE53" s="19"/>
      <c r="ASF53" s="19"/>
      <c r="ASG53" s="19"/>
      <c r="ASH53" s="19"/>
      <c r="ASI53" s="19"/>
      <c r="ASJ53" s="19"/>
      <c r="ASK53" s="19"/>
      <c r="ASL53" s="19"/>
      <c r="ASM53" s="19"/>
      <c r="ASN53" s="19"/>
      <c r="ASO53" s="19"/>
      <c r="ASP53" s="19"/>
      <c r="ASQ53" s="19"/>
      <c r="ASR53" s="19"/>
      <c r="ASS53" s="19"/>
      <c r="AST53" s="19"/>
      <c r="ASU53" s="19"/>
      <c r="ASV53" s="19"/>
      <c r="ASW53" s="19"/>
      <c r="ASX53" s="19"/>
      <c r="ASY53" s="19"/>
      <c r="ASZ53" s="19"/>
      <c r="ATA53" s="19"/>
      <c r="ATB53" s="19"/>
      <c r="ATC53" s="19"/>
      <c r="ATD53" s="19"/>
      <c r="ATE53" s="19"/>
      <c r="ATF53" s="19"/>
      <c r="ATG53" s="19"/>
      <c r="ATH53" s="19"/>
      <c r="ATI53" s="19"/>
      <c r="ATJ53" s="19"/>
      <c r="ATK53" s="19"/>
      <c r="ATL53" s="19"/>
      <c r="ATM53" s="19"/>
      <c r="ATN53" s="19"/>
      <c r="ATO53" s="19"/>
      <c r="ATP53" s="19"/>
      <c r="ATQ53" s="19"/>
      <c r="ATR53" s="19"/>
      <c r="ATS53" s="19"/>
      <c r="ATT53" s="19"/>
      <c r="ATU53" s="19"/>
      <c r="ATV53" s="19"/>
      <c r="ATW53" s="19"/>
      <c r="ATX53" s="19"/>
      <c r="ATY53" s="19"/>
      <c r="ATZ53" s="19"/>
      <c r="AUA53" s="19"/>
      <c r="AUB53" s="19"/>
      <c r="AUC53" s="19"/>
      <c r="AUD53" s="19"/>
      <c r="AUE53" s="19"/>
      <c r="AUF53" s="19"/>
      <c r="AUG53" s="19"/>
      <c r="AUH53" s="19"/>
      <c r="AUI53" s="19"/>
      <c r="AUJ53" s="19"/>
      <c r="AUK53" s="19"/>
      <c r="AUL53" s="19"/>
      <c r="AUM53" s="19"/>
      <c r="AUN53" s="19"/>
      <c r="AUO53" s="19"/>
      <c r="AUP53" s="19"/>
      <c r="AUQ53" s="19"/>
      <c r="AUR53" s="19"/>
      <c r="AUS53" s="19"/>
      <c r="AUT53" s="19"/>
      <c r="AUU53" s="19"/>
      <c r="AUV53" s="19"/>
      <c r="AUW53" s="19"/>
      <c r="AUX53" s="19"/>
      <c r="AUY53" s="19"/>
      <c r="AUZ53" s="19"/>
      <c r="AVA53" s="19"/>
      <c r="AVB53" s="19"/>
      <c r="AVC53" s="19"/>
      <c r="AVD53" s="19"/>
      <c r="AVE53" s="19"/>
      <c r="AVF53" s="19"/>
      <c r="AVG53" s="19"/>
      <c r="AVH53" s="19"/>
      <c r="AVI53" s="19"/>
      <c r="AVJ53" s="19"/>
      <c r="AVK53" s="19"/>
      <c r="AVL53" s="19"/>
      <c r="AVM53" s="19"/>
      <c r="AVN53" s="19"/>
      <c r="AVO53" s="19"/>
      <c r="AVP53" s="19"/>
      <c r="AVQ53" s="19"/>
      <c r="AVR53" s="19"/>
      <c r="AVS53" s="19"/>
      <c r="AVT53" s="19"/>
      <c r="AVU53" s="19"/>
      <c r="AVV53" s="19"/>
      <c r="AVW53" s="19"/>
      <c r="AVX53" s="19"/>
      <c r="AVY53" s="19"/>
      <c r="AVZ53" s="19"/>
      <c r="AWA53" s="19"/>
      <c r="AWB53" s="19"/>
      <c r="AWC53" s="19"/>
      <c r="AWD53" s="19"/>
      <c r="AWE53" s="19"/>
      <c r="AWF53" s="19"/>
      <c r="AWG53" s="19"/>
      <c r="AWH53" s="19"/>
      <c r="AWI53" s="19"/>
      <c r="AWJ53" s="19"/>
      <c r="AWK53" s="19"/>
      <c r="AWL53" s="19"/>
      <c r="AWM53" s="19"/>
      <c r="AWN53" s="19"/>
      <c r="AWO53" s="19"/>
      <c r="AWP53" s="19"/>
      <c r="AWQ53" s="19"/>
      <c r="AWR53" s="19"/>
      <c r="AWS53" s="19"/>
      <c r="AWT53" s="19"/>
      <c r="AWU53" s="19"/>
      <c r="AWV53" s="19"/>
      <c r="AWW53" s="19"/>
      <c r="AWX53" s="19"/>
      <c r="AWY53" s="19"/>
      <c r="AWZ53" s="19"/>
      <c r="AXA53" s="19"/>
      <c r="AXB53" s="19"/>
      <c r="AXC53" s="19"/>
      <c r="AXD53" s="19"/>
      <c r="AXE53" s="19"/>
      <c r="AXF53" s="19"/>
      <c r="AXG53" s="19"/>
      <c r="AXH53" s="19"/>
      <c r="AXI53" s="19"/>
      <c r="AXJ53" s="19"/>
      <c r="AXK53" s="19"/>
      <c r="AXL53" s="19"/>
      <c r="AXM53" s="19"/>
      <c r="AXN53" s="19"/>
      <c r="AXO53" s="19"/>
      <c r="AXP53" s="19"/>
      <c r="AXQ53" s="19"/>
      <c r="AXR53" s="19"/>
      <c r="AXS53" s="19"/>
      <c r="AXT53" s="19"/>
      <c r="AXU53" s="19"/>
      <c r="AXV53" s="19"/>
      <c r="AXW53" s="19"/>
      <c r="AXX53" s="19"/>
      <c r="AXY53" s="19"/>
      <c r="AXZ53" s="19"/>
      <c r="AYA53" s="19"/>
      <c r="AYB53" s="19"/>
      <c r="AYC53" s="19"/>
      <c r="AYD53" s="19"/>
      <c r="AYE53" s="19"/>
      <c r="AYF53" s="19"/>
      <c r="AYG53" s="19"/>
      <c r="AYH53" s="19"/>
      <c r="AYI53" s="19"/>
      <c r="AYJ53" s="19"/>
      <c r="AYK53" s="19"/>
      <c r="AYL53" s="19"/>
      <c r="AYM53" s="19"/>
      <c r="AYN53" s="19"/>
      <c r="AYO53" s="19"/>
      <c r="AYP53" s="19"/>
      <c r="AYQ53" s="19"/>
      <c r="AYR53" s="19"/>
      <c r="AYS53" s="19"/>
      <c r="AYT53" s="19"/>
      <c r="AYU53" s="19"/>
      <c r="AYV53" s="19"/>
      <c r="AYW53" s="19"/>
      <c r="AYX53" s="19"/>
      <c r="AYY53" s="19"/>
      <c r="AYZ53" s="19"/>
      <c r="AZA53" s="19"/>
      <c r="AZB53" s="19"/>
      <c r="AZC53" s="19"/>
      <c r="AZD53" s="19"/>
      <c r="AZE53" s="19"/>
      <c r="AZF53" s="19"/>
      <c r="AZG53" s="19"/>
      <c r="AZH53" s="19"/>
      <c r="AZI53" s="19"/>
      <c r="AZJ53" s="19"/>
      <c r="AZK53" s="19"/>
      <c r="AZL53" s="19"/>
      <c r="AZM53" s="19"/>
      <c r="AZN53" s="19"/>
      <c r="AZO53" s="19"/>
      <c r="AZP53" s="19"/>
      <c r="AZQ53" s="19"/>
      <c r="AZR53" s="19"/>
      <c r="AZS53" s="19"/>
      <c r="AZT53" s="19"/>
      <c r="AZU53" s="19"/>
      <c r="AZV53" s="19"/>
      <c r="AZW53" s="19"/>
      <c r="AZX53" s="19"/>
      <c r="AZY53" s="19"/>
      <c r="AZZ53" s="19"/>
      <c r="BAA53" s="19"/>
      <c r="BAB53" s="19"/>
      <c r="BAC53" s="19"/>
      <c r="BAD53" s="19"/>
      <c r="BAE53" s="19"/>
      <c r="BAF53" s="19"/>
      <c r="BAG53" s="19"/>
      <c r="BAH53" s="19"/>
      <c r="BAI53" s="19"/>
      <c r="BAJ53" s="19"/>
      <c r="BAK53" s="19"/>
      <c r="BAL53" s="19"/>
      <c r="BAM53" s="19"/>
      <c r="BAN53" s="19"/>
      <c r="BAO53" s="19"/>
      <c r="BAP53" s="19"/>
      <c r="BAQ53" s="19"/>
      <c r="BAR53" s="19"/>
      <c r="BAS53" s="19"/>
      <c r="BAT53" s="19"/>
      <c r="BAU53" s="19"/>
      <c r="BAV53" s="19"/>
      <c r="BAW53" s="19"/>
      <c r="BAX53" s="19"/>
      <c r="BAY53" s="19"/>
      <c r="BAZ53" s="19"/>
      <c r="BBA53" s="19"/>
      <c r="BBB53" s="19"/>
      <c r="BBC53" s="19"/>
      <c r="BBD53" s="19"/>
      <c r="BBE53" s="19"/>
      <c r="BBF53" s="19"/>
      <c r="BBG53" s="19"/>
      <c r="BBH53" s="19"/>
      <c r="BBI53" s="19"/>
      <c r="BBJ53" s="19"/>
      <c r="BBK53" s="19"/>
      <c r="BBL53" s="19"/>
      <c r="BBM53" s="19"/>
      <c r="BBN53" s="19"/>
      <c r="BBO53" s="19"/>
      <c r="BBP53" s="19"/>
      <c r="BBQ53" s="19"/>
      <c r="BBR53" s="19"/>
      <c r="BBS53" s="19"/>
      <c r="BBT53" s="19"/>
      <c r="BBU53" s="19"/>
      <c r="BBV53" s="19"/>
      <c r="BBW53" s="19"/>
      <c r="BBX53" s="19"/>
      <c r="BBY53" s="19"/>
      <c r="BBZ53" s="19"/>
      <c r="BCA53" s="19"/>
      <c r="BCB53" s="19"/>
      <c r="BCC53" s="19"/>
      <c r="BCD53" s="19"/>
      <c r="BCE53" s="19"/>
      <c r="BCF53" s="19"/>
      <c r="BCG53" s="19"/>
      <c r="BCH53" s="19"/>
      <c r="BCI53" s="19"/>
      <c r="BCJ53" s="19"/>
      <c r="BCK53" s="19"/>
      <c r="BCL53" s="19"/>
      <c r="BCM53" s="19"/>
      <c r="BCN53" s="19"/>
      <c r="BCO53" s="19"/>
      <c r="BCP53" s="19"/>
      <c r="BCQ53" s="19"/>
      <c r="BCR53" s="19"/>
      <c r="BCS53" s="19"/>
      <c r="BCT53" s="19"/>
      <c r="BCU53" s="19"/>
      <c r="BCV53" s="19"/>
      <c r="BCW53" s="19"/>
      <c r="BCX53" s="19"/>
      <c r="BCY53" s="19"/>
      <c r="BCZ53" s="19"/>
      <c r="BDA53" s="19"/>
      <c r="BDB53" s="19"/>
      <c r="BDC53" s="19"/>
      <c r="BDD53" s="19"/>
      <c r="BDE53" s="19"/>
      <c r="BDF53" s="19"/>
      <c r="BDG53" s="19"/>
      <c r="BDH53" s="19"/>
      <c r="BDI53" s="19"/>
      <c r="BDJ53" s="19"/>
      <c r="BDK53" s="19"/>
      <c r="BDL53" s="19"/>
      <c r="BDM53" s="19"/>
      <c r="BDN53" s="19"/>
      <c r="BDO53" s="19"/>
      <c r="BDP53" s="19"/>
      <c r="BDQ53" s="19"/>
      <c r="BDR53" s="19"/>
      <c r="BDS53" s="19"/>
      <c r="BDT53" s="19"/>
      <c r="BDU53" s="19"/>
      <c r="BDV53" s="19"/>
      <c r="BDW53" s="19"/>
      <c r="BDX53" s="19"/>
      <c r="BDY53" s="19"/>
      <c r="BDZ53" s="19"/>
      <c r="BEA53" s="19"/>
      <c r="BEB53" s="19"/>
      <c r="BEC53" s="19"/>
      <c r="BED53" s="19"/>
      <c r="BEE53" s="19"/>
      <c r="BEF53" s="19"/>
      <c r="BEG53" s="19"/>
      <c r="BEH53" s="19"/>
      <c r="BEI53" s="19"/>
      <c r="BEJ53" s="19"/>
      <c r="BEK53" s="19"/>
      <c r="BEL53" s="19"/>
      <c r="BEM53" s="19"/>
      <c r="BEN53" s="19"/>
      <c r="BEO53" s="19"/>
      <c r="BEP53" s="19"/>
      <c r="BEQ53" s="19"/>
      <c r="BER53" s="19"/>
      <c r="BES53" s="19"/>
      <c r="BET53" s="19"/>
      <c r="BEU53" s="19"/>
      <c r="BEV53" s="19"/>
      <c r="BEW53" s="19"/>
      <c r="BEX53" s="19"/>
      <c r="BEY53" s="19"/>
      <c r="BEZ53" s="19"/>
      <c r="BFA53" s="19"/>
      <c r="BFB53" s="19"/>
      <c r="BFC53" s="19"/>
      <c r="BFD53" s="19"/>
      <c r="BFE53" s="19"/>
      <c r="BFF53" s="19"/>
      <c r="BFG53" s="19"/>
      <c r="BFH53" s="19"/>
      <c r="BFI53" s="19"/>
      <c r="BFJ53" s="19"/>
      <c r="BFK53" s="19"/>
      <c r="BFL53" s="19"/>
      <c r="BFM53" s="19"/>
      <c r="BFN53" s="19"/>
      <c r="BFO53" s="19"/>
      <c r="BFP53" s="19"/>
      <c r="BFQ53" s="19"/>
      <c r="BFR53" s="19"/>
      <c r="BFS53" s="19"/>
      <c r="BFT53" s="19"/>
      <c r="BFU53" s="19"/>
      <c r="BFV53" s="19"/>
      <c r="BFW53" s="19"/>
      <c r="BFX53" s="19"/>
      <c r="BFY53" s="19"/>
      <c r="BFZ53" s="19"/>
      <c r="BGA53" s="19"/>
      <c r="BGB53" s="19"/>
      <c r="BGC53" s="19"/>
      <c r="BGD53" s="19"/>
      <c r="BGE53" s="19"/>
      <c r="BGF53" s="19"/>
      <c r="BGG53" s="19"/>
      <c r="BGH53" s="19"/>
      <c r="BGI53" s="19"/>
      <c r="BGJ53" s="19"/>
      <c r="BGK53" s="19"/>
      <c r="BGL53" s="19"/>
      <c r="BGM53" s="19"/>
      <c r="BGN53" s="19"/>
      <c r="BGO53" s="19"/>
      <c r="BGP53" s="19"/>
      <c r="BGQ53" s="19"/>
      <c r="BGR53" s="19"/>
      <c r="BGS53" s="19"/>
      <c r="BGT53" s="19"/>
      <c r="BGU53" s="19"/>
      <c r="BGV53" s="19"/>
      <c r="BGW53" s="19"/>
      <c r="BGX53" s="19"/>
      <c r="BGY53" s="19"/>
      <c r="BGZ53" s="19"/>
      <c r="BHA53" s="19"/>
      <c r="BHB53" s="19"/>
      <c r="BHC53" s="19"/>
      <c r="BHD53" s="19"/>
      <c r="BHE53" s="19"/>
      <c r="BHF53" s="19"/>
      <c r="BHG53" s="19"/>
      <c r="BHH53" s="19"/>
      <c r="BHI53" s="19"/>
      <c r="BHJ53" s="19"/>
      <c r="BHK53" s="19"/>
      <c r="BHL53" s="19"/>
      <c r="BHM53" s="19"/>
      <c r="BHN53" s="19"/>
      <c r="BHO53" s="19"/>
      <c r="BHP53" s="19"/>
      <c r="BHQ53" s="19"/>
      <c r="BHR53" s="19"/>
      <c r="BHS53" s="19"/>
      <c r="BHT53" s="19"/>
      <c r="BHU53" s="19"/>
      <c r="BHV53" s="19"/>
      <c r="BHW53" s="19"/>
      <c r="BHX53" s="19"/>
      <c r="BHY53" s="19"/>
      <c r="BHZ53" s="19"/>
      <c r="BIA53" s="19"/>
      <c r="BIB53" s="19"/>
      <c r="BIC53" s="19"/>
      <c r="BID53" s="19"/>
      <c r="BIE53" s="19"/>
      <c r="BIF53" s="19"/>
      <c r="BIG53" s="19"/>
      <c r="BIH53" s="19"/>
      <c r="BII53" s="19"/>
      <c r="BIJ53" s="19"/>
      <c r="BIK53" s="19"/>
      <c r="BIL53" s="19"/>
      <c r="BIM53" s="19"/>
      <c r="BIN53" s="19"/>
      <c r="BIO53" s="19"/>
      <c r="BIP53" s="19"/>
      <c r="BIQ53" s="19"/>
      <c r="BIR53" s="19"/>
      <c r="BIS53" s="19"/>
      <c r="BIT53" s="19"/>
      <c r="BIU53" s="19"/>
      <c r="BIV53" s="19"/>
      <c r="BIW53" s="19"/>
      <c r="BIX53" s="19"/>
      <c r="BIY53" s="19"/>
      <c r="BIZ53" s="19"/>
      <c r="BJA53" s="19"/>
      <c r="BJB53" s="19"/>
      <c r="BJC53" s="19"/>
      <c r="BJD53" s="19"/>
      <c r="BJE53" s="19"/>
      <c r="BJF53" s="19"/>
      <c r="BJG53" s="19"/>
      <c r="BJH53" s="19"/>
      <c r="BJI53" s="19"/>
      <c r="BJJ53" s="19"/>
      <c r="BJK53" s="19"/>
      <c r="BJL53" s="19"/>
      <c r="BJM53" s="19"/>
      <c r="BJN53" s="19"/>
      <c r="BJO53" s="19"/>
      <c r="BJP53" s="19"/>
      <c r="BJQ53" s="19"/>
      <c r="BJR53" s="19"/>
      <c r="BJS53" s="19"/>
      <c r="BJT53" s="19"/>
      <c r="BJU53" s="19"/>
      <c r="BJV53" s="19"/>
      <c r="BJW53" s="19"/>
      <c r="BJX53" s="19"/>
      <c r="BJY53" s="19"/>
      <c r="BJZ53" s="19"/>
      <c r="BKA53" s="19"/>
      <c r="BKB53" s="19"/>
      <c r="BKC53" s="19"/>
      <c r="BKD53" s="19"/>
      <c r="BKE53" s="19"/>
      <c r="BKF53" s="19"/>
      <c r="BKG53" s="19"/>
      <c r="BKH53" s="19"/>
      <c r="BKI53" s="19"/>
      <c r="BKJ53" s="19"/>
      <c r="BKK53" s="19"/>
      <c r="BKL53" s="19"/>
      <c r="BKM53" s="19"/>
      <c r="BKN53" s="19"/>
      <c r="BKO53" s="19"/>
      <c r="BKP53" s="19"/>
      <c r="BKQ53" s="19"/>
      <c r="BKR53" s="19"/>
      <c r="BKS53" s="19"/>
      <c r="BKT53" s="19"/>
      <c r="BKU53" s="19"/>
      <c r="BKV53" s="19"/>
      <c r="BKW53" s="19"/>
      <c r="BKX53" s="19"/>
      <c r="BKY53" s="19"/>
      <c r="BKZ53" s="19"/>
      <c r="BLA53" s="19"/>
      <c r="BLB53" s="19"/>
      <c r="BLC53" s="19"/>
      <c r="BLD53" s="19"/>
      <c r="BLE53" s="19"/>
      <c r="BLF53" s="19"/>
      <c r="BLG53" s="19"/>
      <c r="BLH53" s="19"/>
      <c r="BLI53" s="19"/>
      <c r="BLJ53" s="19"/>
      <c r="BLK53" s="19"/>
      <c r="BLL53" s="19"/>
      <c r="BLM53" s="19"/>
      <c r="BLN53" s="19"/>
      <c r="BLO53" s="19"/>
      <c r="BLP53" s="19"/>
      <c r="BLQ53" s="19"/>
      <c r="BLR53" s="19"/>
      <c r="BLS53" s="19"/>
      <c r="BLT53" s="19"/>
      <c r="BLU53" s="19"/>
      <c r="BLV53" s="19"/>
      <c r="BLW53" s="19"/>
      <c r="BLX53" s="19"/>
      <c r="BLY53" s="19"/>
      <c r="BLZ53" s="19"/>
      <c r="BMA53" s="19"/>
      <c r="BMB53" s="19"/>
      <c r="BMC53" s="19"/>
      <c r="BMD53" s="19"/>
      <c r="BME53" s="19"/>
      <c r="BMF53" s="19"/>
      <c r="BMG53" s="19"/>
      <c r="BMH53" s="19"/>
      <c r="BMI53" s="19"/>
      <c r="BMJ53" s="19"/>
      <c r="BMK53" s="19"/>
      <c r="BML53" s="19"/>
      <c r="BMM53" s="19"/>
      <c r="BMN53" s="19"/>
      <c r="BMO53" s="19"/>
      <c r="BMP53" s="19"/>
      <c r="BMQ53" s="19"/>
      <c r="BMR53" s="19"/>
      <c r="BMS53" s="19"/>
      <c r="BMT53" s="19"/>
      <c r="BMU53" s="19"/>
      <c r="BMV53" s="19"/>
      <c r="BMW53" s="19"/>
      <c r="BMX53" s="19"/>
      <c r="BMY53" s="19"/>
      <c r="BMZ53" s="19"/>
      <c r="BNA53" s="19"/>
      <c r="BNB53" s="19"/>
      <c r="BNC53" s="19"/>
      <c r="BND53" s="19"/>
      <c r="BNE53" s="19"/>
      <c r="BNF53" s="19"/>
      <c r="BNG53" s="19"/>
      <c r="BNH53" s="19"/>
      <c r="BNI53" s="19"/>
      <c r="BNJ53" s="19"/>
      <c r="BNK53" s="19"/>
      <c r="BNL53" s="19"/>
      <c r="BNM53" s="19"/>
      <c r="BNN53" s="19"/>
      <c r="BNO53" s="19"/>
      <c r="BNP53" s="19"/>
      <c r="BNQ53" s="19"/>
      <c r="BNR53" s="19"/>
      <c r="BNS53" s="19"/>
      <c r="BNT53" s="19"/>
      <c r="BNU53" s="19"/>
      <c r="BNV53" s="19"/>
      <c r="BNW53" s="19"/>
      <c r="BNX53" s="19"/>
      <c r="BNY53" s="19"/>
      <c r="BNZ53" s="19"/>
      <c r="BOA53" s="19"/>
      <c r="BOB53" s="19"/>
      <c r="BOC53" s="19"/>
      <c r="BOD53" s="19"/>
      <c r="BOE53" s="19"/>
      <c r="BOF53" s="19"/>
      <c r="BOG53" s="19"/>
      <c r="BOH53" s="19"/>
      <c r="BOI53" s="19"/>
      <c r="BOJ53" s="19"/>
      <c r="BOK53" s="19"/>
      <c r="BOL53" s="19"/>
      <c r="BOM53" s="19"/>
      <c r="BON53" s="19"/>
      <c r="BOO53" s="19"/>
      <c r="BOP53" s="19"/>
      <c r="BOQ53" s="19"/>
      <c r="BOR53" s="19"/>
      <c r="BOS53" s="19"/>
      <c r="BOT53" s="19"/>
      <c r="BOU53" s="19"/>
      <c r="BOV53" s="19"/>
      <c r="BOW53" s="19"/>
      <c r="BOX53" s="19"/>
      <c r="BOY53" s="19"/>
      <c r="BOZ53" s="19"/>
      <c r="BPA53" s="19"/>
      <c r="BPB53" s="19"/>
      <c r="BPC53" s="19"/>
      <c r="BPD53" s="19"/>
      <c r="BPE53" s="19"/>
      <c r="BPF53" s="19"/>
      <c r="BPG53" s="19"/>
      <c r="BPH53" s="19"/>
      <c r="BPI53" s="19"/>
      <c r="BPJ53" s="19"/>
      <c r="BPK53" s="19"/>
      <c r="BPL53" s="19"/>
      <c r="BPM53" s="19"/>
      <c r="BPN53" s="19"/>
      <c r="BPO53" s="19"/>
      <c r="BPP53" s="19"/>
      <c r="BPQ53" s="19"/>
      <c r="BPR53" s="19"/>
      <c r="BPS53" s="19"/>
      <c r="BPT53" s="19"/>
      <c r="BPU53" s="19"/>
      <c r="BPV53" s="19"/>
      <c r="BPW53" s="19"/>
      <c r="BPX53" s="19"/>
      <c r="BPY53" s="19"/>
      <c r="BPZ53" s="19"/>
      <c r="BQA53" s="19"/>
      <c r="BQB53" s="19"/>
      <c r="BQC53" s="19"/>
      <c r="BQD53" s="19"/>
      <c r="BQE53" s="19"/>
      <c r="BQF53" s="19"/>
      <c r="BQG53" s="19"/>
      <c r="BQH53" s="19"/>
      <c r="BQI53" s="19"/>
      <c r="BQJ53" s="19"/>
      <c r="BQK53" s="19"/>
      <c r="BQL53" s="19"/>
      <c r="BQM53" s="19"/>
      <c r="BQN53" s="19"/>
      <c r="BQO53" s="19"/>
      <c r="BQP53" s="19"/>
      <c r="BQQ53" s="19"/>
      <c r="BQR53" s="19"/>
      <c r="BQS53" s="19"/>
      <c r="BQT53" s="19"/>
      <c r="BQU53" s="19"/>
      <c r="BQV53" s="19"/>
      <c r="BQW53" s="19"/>
      <c r="BQX53" s="19"/>
      <c r="BQY53" s="19"/>
      <c r="BQZ53" s="19"/>
      <c r="BRA53" s="19"/>
      <c r="BRB53" s="19"/>
      <c r="BRC53" s="19"/>
      <c r="BRD53" s="19"/>
      <c r="BRE53" s="19"/>
      <c r="BRF53" s="19"/>
      <c r="BRG53" s="19"/>
      <c r="BRH53" s="19"/>
      <c r="BRI53" s="19"/>
      <c r="BRJ53" s="19"/>
      <c r="BRK53" s="19"/>
      <c r="BRL53" s="19"/>
      <c r="BRM53" s="19"/>
      <c r="BRN53" s="19"/>
      <c r="BRO53" s="19"/>
      <c r="BRP53" s="19"/>
      <c r="BRQ53" s="19"/>
      <c r="BRR53" s="19"/>
      <c r="BRS53" s="19"/>
      <c r="BRT53" s="19"/>
      <c r="BRU53" s="19"/>
      <c r="BRV53" s="19"/>
      <c r="BRW53" s="19"/>
      <c r="BRX53" s="19"/>
      <c r="BRY53" s="19"/>
      <c r="BRZ53" s="19"/>
      <c r="BSA53" s="19"/>
      <c r="BSB53" s="19"/>
      <c r="BSC53" s="19"/>
      <c r="BSD53" s="19"/>
      <c r="BSE53" s="19"/>
      <c r="BSF53" s="19"/>
      <c r="BSG53" s="19"/>
      <c r="BSH53" s="19"/>
      <c r="BSI53" s="19"/>
      <c r="BSJ53" s="19"/>
      <c r="BSK53" s="19"/>
      <c r="BSL53" s="19"/>
      <c r="BSM53" s="19"/>
      <c r="BSN53" s="19"/>
      <c r="BSO53" s="19"/>
      <c r="BSP53" s="19"/>
      <c r="BSQ53" s="19"/>
      <c r="BSR53" s="19"/>
      <c r="BSS53" s="19"/>
      <c r="BST53" s="19"/>
      <c r="BSU53" s="19"/>
      <c r="BSV53" s="19"/>
      <c r="BSW53" s="19"/>
      <c r="BSX53" s="19"/>
      <c r="BSY53" s="19"/>
      <c r="BSZ53" s="19"/>
      <c r="BTA53" s="19"/>
      <c r="BTB53" s="19"/>
      <c r="BTC53" s="19"/>
      <c r="BTD53" s="19"/>
      <c r="BTE53" s="19"/>
      <c r="BTF53" s="19"/>
      <c r="BTG53" s="19"/>
      <c r="BTH53" s="19"/>
      <c r="BTI53" s="19"/>
      <c r="BTJ53" s="19"/>
      <c r="BTK53" s="19"/>
      <c r="BTL53" s="19"/>
      <c r="BTM53" s="19"/>
      <c r="BTN53" s="19"/>
      <c r="BTO53" s="19"/>
      <c r="BTP53" s="19"/>
      <c r="BTQ53" s="19"/>
      <c r="BTR53" s="19"/>
      <c r="BTS53" s="19"/>
      <c r="BTT53" s="19"/>
    </row>
    <row r="54" spans="1:1892" s="12" customFormat="1" ht="35.1" customHeight="1">
      <c r="A54" s="1462"/>
      <c r="B54" s="934" t="s">
        <v>140</v>
      </c>
      <c r="C54" s="1344" t="s">
        <v>599</v>
      </c>
      <c r="D54" s="1385" t="s">
        <v>186</v>
      </c>
      <c r="E54" s="1386"/>
      <c r="F54" s="1387"/>
      <c r="G54" s="943" t="s">
        <v>187</v>
      </c>
      <c r="H54" s="943" t="s">
        <v>251</v>
      </c>
      <c r="I54" s="943" t="s">
        <v>252</v>
      </c>
      <c r="J54" s="1344" t="s">
        <v>11</v>
      </c>
      <c r="K54" s="1344" t="s">
        <v>12</v>
      </c>
      <c r="L54" s="135">
        <v>35.940199999999997</v>
      </c>
      <c r="M54" s="231">
        <v>5</v>
      </c>
      <c r="N54" s="119">
        <v>0</v>
      </c>
      <c r="O54" s="119">
        <v>2</v>
      </c>
      <c r="P54" s="560" t="s">
        <v>419</v>
      </c>
      <c r="Q54" s="560" t="s">
        <v>420</v>
      </c>
      <c r="R54" s="560" t="s">
        <v>421</v>
      </c>
      <c r="S54" s="1518" t="s">
        <v>188</v>
      </c>
      <c r="T54" s="1405" t="s">
        <v>189</v>
      </c>
      <c r="U54" s="805" t="s">
        <v>67</v>
      </c>
    </row>
    <row r="55" spans="1:1892" s="12" customFormat="1" ht="35.1" customHeight="1">
      <c r="A55" s="1462"/>
      <c r="B55" s="935"/>
      <c r="C55" s="1345"/>
      <c r="D55" s="1388"/>
      <c r="E55" s="1389"/>
      <c r="F55" s="1390"/>
      <c r="G55" s="944"/>
      <c r="H55" s="944"/>
      <c r="I55" s="944"/>
      <c r="J55" s="1345"/>
      <c r="K55" s="1345"/>
      <c r="L55" s="135">
        <v>35.139000000000003</v>
      </c>
      <c r="M55" s="231">
        <v>9</v>
      </c>
      <c r="N55" s="119">
        <v>0</v>
      </c>
      <c r="O55" s="119">
        <v>0</v>
      </c>
      <c r="P55" s="561"/>
      <c r="Q55" s="561"/>
      <c r="R55" s="561"/>
      <c r="S55" s="1519"/>
      <c r="T55" s="1406"/>
      <c r="U55" s="806"/>
    </row>
    <row r="56" spans="1:1892" s="12" customFormat="1" ht="35.1" customHeight="1">
      <c r="A56" s="1462"/>
      <c r="B56" s="935"/>
      <c r="C56" s="1345"/>
      <c r="D56" s="1388"/>
      <c r="E56" s="1389"/>
      <c r="F56" s="1390"/>
      <c r="G56" s="944"/>
      <c r="H56" s="944"/>
      <c r="I56" s="944"/>
      <c r="J56" s="1345"/>
      <c r="K56" s="1345"/>
      <c r="L56" s="135">
        <v>46.865499999999997</v>
      </c>
      <c r="M56" s="231">
        <v>1</v>
      </c>
      <c r="N56" s="119">
        <v>0</v>
      </c>
      <c r="O56" s="119">
        <v>0</v>
      </c>
      <c r="P56" s="561"/>
      <c r="Q56" s="561"/>
      <c r="R56" s="561"/>
      <c r="S56" s="1519"/>
      <c r="T56" s="1406"/>
      <c r="U56" s="806"/>
    </row>
    <row r="57" spans="1:1892" s="12" customFormat="1" ht="35.1" customHeight="1">
      <c r="A57" s="1462"/>
      <c r="B57" s="935"/>
      <c r="C57" s="1345"/>
      <c r="D57" s="1388"/>
      <c r="E57" s="1389"/>
      <c r="F57" s="1390"/>
      <c r="G57" s="944"/>
      <c r="H57" s="944"/>
      <c r="I57" s="944"/>
      <c r="J57" s="1345"/>
      <c r="K57" s="1345"/>
      <c r="L57" s="135">
        <v>48.382399999999997</v>
      </c>
      <c r="M57" s="231">
        <v>18</v>
      </c>
      <c r="N57" s="119">
        <v>9</v>
      </c>
      <c r="O57" s="119">
        <v>0</v>
      </c>
      <c r="P57" s="561"/>
      <c r="Q57" s="561"/>
      <c r="R57" s="561"/>
      <c r="S57" s="1519"/>
      <c r="T57" s="1406"/>
      <c r="U57" s="806"/>
    </row>
    <row r="58" spans="1:1892" s="12" customFormat="1" ht="35.1" customHeight="1">
      <c r="A58" s="1462"/>
      <c r="B58" s="935"/>
      <c r="C58" s="1345"/>
      <c r="D58" s="1388"/>
      <c r="E58" s="1389"/>
      <c r="F58" s="1390"/>
      <c r="G58" s="944"/>
      <c r="H58" s="944"/>
      <c r="I58" s="944"/>
      <c r="J58" s="1345"/>
      <c r="K58" s="1345"/>
      <c r="L58" s="135">
        <v>50.1828</v>
      </c>
      <c r="M58" s="231">
        <v>2</v>
      </c>
      <c r="N58" s="119">
        <v>2</v>
      </c>
      <c r="O58" s="119">
        <v>2</v>
      </c>
      <c r="P58" s="561"/>
      <c r="Q58" s="561"/>
      <c r="R58" s="561"/>
      <c r="S58" s="1519"/>
      <c r="T58" s="1406"/>
      <c r="U58" s="806"/>
    </row>
    <row r="59" spans="1:1892" s="12" customFormat="1" ht="35.1" customHeight="1">
      <c r="A59" s="1462"/>
      <c r="B59" s="935"/>
      <c r="C59" s="1345"/>
      <c r="D59" s="1388"/>
      <c r="E59" s="1389"/>
      <c r="F59" s="1390"/>
      <c r="G59" s="944"/>
      <c r="H59" s="944"/>
      <c r="I59" s="944"/>
      <c r="J59" s="1345"/>
      <c r="K59" s="1345"/>
      <c r="L59" s="135">
        <v>51.718400000000003</v>
      </c>
      <c r="M59" s="231">
        <v>1</v>
      </c>
      <c r="N59" s="119">
        <v>1</v>
      </c>
      <c r="O59" s="119">
        <v>1</v>
      </c>
      <c r="P59" s="561"/>
      <c r="Q59" s="561"/>
      <c r="R59" s="561"/>
      <c r="S59" s="1519"/>
      <c r="T59" s="1406"/>
      <c r="U59" s="806"/>
    </row>
    <row r="60" spans="1:1892" s="12" customFormat="1" ht="35.1" customHeight="1">
      <c r="A60" s="1462"/>
      <c r="B60" s="935"/>
      <c r="C60" s="1345"/>
      <c r="D60" s="1388"/>
      <c r="E60" s="1389"/>
      <c r="F60" s="1390"/>
      <c r="G60" s="944"/>
      <c r="H60" s="944"/>
      <c r="I60" s="944"/>
      <c r="J60" s="1345"/>
      <c r="K60" s="1345"/>
      <c r="L60" s="135">
        <v>51.506700000000002</v>
      </c>
      <c r="M60" s="231">
        <v>6</v>
      </c>
      <c r="N60" s="119">
        <v>4</v>
      </c>
      <c r="O60" s="119">
        <v>0</v>
      </c>
      <c r="P60" s="561"/>
      <c r="Q60" s="561"/>
      <c r="R60" s="561"/>
      <c r="S60" s="1519"/>
      <c r="T60" s="1406"/>
      <c r="U60" s="806"/>
    </row>
    <row r="61" spans="1:1892" s="12" customFormat="1" ht="35.1" customHeight="1">
      <c r="A61" s="1462"/>
      <c r="B61" s="935"/>
      <c r="C61" s="1345"/>
      <c r="D61" s="1388"/>
      <c r="E61" s="1389"/>
      <c r="F61" s="1390"/>
      <c r="G61" s="944"/>
      <c r="H61" s="944"/>
      <c r="I61" s="944"/>
      <c r="J61" s="1345"/>
      <c r="K61" s="1345"/>
      <c r="L61" s="135">
        <v>51.552599999999998</v>
      </c>
      <c r="M61" s="231">
        <v>9</v>
      </c>
      <c r="N61" s="119">
        <v>5</v>
      </c>
      <c r="O61" s="119">
        <v>3</v>
      </c>
      <c r="P61" s="561"/>
      <c r="Q61" s="561"/>
      <c r="R61" s="561"/>
      <c r="S61" s="1519"/>
      <c r="T61" s="1406"/>
      <c r="U61" s="806"/>
    </row>
    <row r="62" spans="1:1892" s="12" customFormat="1" ht="35.1" customHeight="1">
      <c r="A62" s="1462"/>
      <c r="B62" s="935"/>
      <c r="C62" s="1345"/>
      <c r="D62" s="1388"/>
      <c r="E62" s="1389"/>
      <c r="F62" s="1390"/>
      <c r="G62" s="944"/>
      <c r="H62" s="944"/>
      <c r="I62" s="944"/>
      <c r="J62" s="1345"/>
      <c r="K62" s="1345"/>
      <c r="L62" s="135">
        <v>52.9863</v>
      </c>
      <c r="M62" s="231">
        <v>1</v>
      </c>
      <c r="N62" s="119">
        <v>1</v>
      </c>
      <c r="O62" s="119">
        <v>1</v>
      </c>
      <c r="P62" s="561"/>
      <c r="Q62" s="561"/>
      <c r="R62" s="561"/>
      <c r="S62" s="1519"/>
      <c r="T62" s="1406"/>
      <c r="U62" s="806"/>
    </row>
    <row r="63" spans="1:1892" s="12" customFormat="1" ht="35.1" customHeight="1">
      <c r="A63" s="1462"/>
      <c r="B63" s="935"/>
      <c r="C63" s="1345"/>
      <c r="D63" s="1388"/>
      <c r="E63" s="1389"/>
      <c r="F63" s="1390"/>
      <c r="G63" s="944"/>
      <c r="H63" s="944"/>
      <c r="I63" s="944"/>
      <c r="J63" s="1345"/>
      <c r="K63" s="1345"/>
      <c r="L63" s="135">
        <v>54.117899999999999</v>
      </c>
      <c r="M63" s="231">
        <v>5</v>
      </c>
      <c r="N63" s="119">
        <v>3</v>
      </c>
      <c r="O63" s="119">
        <v>5</v>
      </c>
      <c r="P63" s="561"/>
      <c r="Q63" s="561"/>
      <c r="R63" s="561"/>
      <c r="S63" s="1519"/>
      <c r="T63" s="1406"/>
      <c r="U63" s="806"/>
    </row>
    <row r="64" spans="1:1892" s="12" customFormat="1" ht="35.1" customHeight="1">
      <c r="A64" s="1462"/>
      <c r="B64" s="935"/>
      <c r="C64" s="1345"/>
      <c r="D64" s="1388"/>
      <c r="E64" s="1389"/>
      <c r="F64" s="1390"/>
      <c r="G64" s="944"/>
      <c r="H64" s="944"/>
      <c r="I64" s="944"/>
      <c r="J64" s="1345"/>
      <c r="K64" s="1345"/>
      <c r="L64" s="135">
        <v>55.787999999999997</v>
      </c>
      <c r="M64" s="231">
        <v>3</v>
      </c>
      <c r="N64" s="119">
        <v>3</v>
      </c>
      <c r="O64" s="119">
        <v>3</v>
      </c>
      <c r="P64" s="561"/>
      <c r="Q64" s="561"/>
      <c r="R64" s="561"/>
      <c r="S64" s="1519"/>
      <c r="T64" s="1406"/>
      <c r="U64" s="806"/>
    </row>
    <row r="65" spans="1:21" s="12" customFormat="1" ht="35.1" customHeight="1">
      <c r="A65" s="1462"/>
      <c r="B65" s="935"/>
      <c r="C65" s="1345"/>
      <c r="D65" s="1388"/>
      <c r="E65" s="1389"/>
      <c r="F65" s="1390"/>
      <c r="G65" s="944"/>
      <c r="H65" s="944"/>
      <c r="I65" s="944"/>
      <c r="J65" s="1345"/>
      <c r="K65" s="1345"/>
      <c r="L65" s="135">
        <v>55.511699999999998</v>
      </c>
      <c r="M65" s="231">
        <v>6</v>
      </c>
      <c r="N65" s="119">
        <v>4</v>
      </c>
      <c r="O65" s="119">
        <v>5</v>
      </c>
      <c r="P65" s="561"/>
      <c r="Q65" s="561"/>
      <c r="R65" s="561"/>
      <c r="S65" s="1519"/>
      <c r="T65" s="1406"/>
      <c r="U65" s="806"/>
    </row>
    <row r="66" spans="1:21" s="12" customFormat="1" ht="35.1" customHeight="1">
      <c r="A66" s="1462"/>
      <c r="B66" s="935"/>
      <c r="C66" s="1345"/>
      <c r="D66" s="1388"/>
      <c r="E66" s="1389"/>
      <c r="F66" s="1390"/>
      <c r="G66" s="944"/>
      <c r="H66" s="944"/>
      <c r="I66" s="944"/>
      <c r="J66" s="1345"/>
      <c r="K66" s="1345"/>
      <c r="L66" s="135">
        <v>56.942999999999998</v>
      </c>
      <c r="M66" s="231">
        <v>1</v>
      </c>
      <c r="N66" s="119">
        <v>0</v>
      </c>
      <c r="O66" s="119">
        <v>1</v>
      </c>
      <c r="P66" s="561"/>
      <c r="Q66" s="561"/>
      <c r="R66" s="561"/>
      <c r="S66" s="1519"/>
      <c r="T66" s="1406"/>
      <c r="U66" s="806"/>
    </row>
    <row r="67" spans="1:21" s="12" customFormat="1" ht="35.1" customHeight="1">
      <c r="A67" s="1462"/>
      <c r="B67" s="935"/>
      <c r="C67" s="1345"/>
      <c r="D67" s="1388"/>
      <c r="E67" s="1389"/>
      <c r="F67" s="1390"/>
      <c r="G67" s="944"/>
      <c r="H67" s="944"/>
      <c r="I67" s="944"/>
      <c r="J67" s="1345"/>
      <c r="K67" s="1345"/>
      <c r="L67" s="135">
        <v>60.955500000000001</v>
      </c>
      <c r="M67" s="231">
        <v>1</v>
      </c>
      <c r="N67" s="119">
        <v>0</v>
      </c>
      <c r="O67" s="119">
        <v>1</v>
      </c>
      <c r="P67" s="561"/>
      <c r="Q67" s="561"/>
      <c r="R67" s="561"/>
      <c r="S67" s="1519"/>
      <c r="T67" s="1406"/>
      <c r="U67" s="806"/>
    </row>
    <row r="68" spans="1:21" s="12" customFormat="1" ht="35.1" customHeight="1">
      <c r="A68" s="1462"/>
      <c r="B68" s="935"/>
      <c r="C68" s="1345"/>
      <c r="D68" s="1388"/>
      <c r="E68" s="1389"/>
      <c r="F68" s="1390"/>
      <c r="G68" s="945"/>
      <c r="H68" s="945"/>
      <c r="I68" s="945"/>
      <c r="J68" s="1346"/>
      <c r="K68" s="1346"/>
      <c r="L68" s="135">
        <v>60.274900000000002</v>
      </c>
      <c r="M68" s="231">
        <v>6</v>
      </c>
      <c r="N68" s="119">
        <v>0</v>
      </c>
      <c r="O68" s="119">
        <v>0</v>
      </c>
      <c r="P68" s="561"/>
      <c r="Q68" s="561"/>
      <c r="R68" s="561"/>
      <c r="S68" s="1519"/>
      <c r="T68" s="1406"/>
      <c r="U68" s="806"/>
    </row>
    <row r="69" spans="1:21" s="12" customFormat="1" ht="35.1" customHeight="1">
      <c r="A69" s="1462"/>
      <c r="B69" s="935"/>
      <c r="C69" s="1346"/>
      <c r="D69" s="1391"/>
      <c r="E69" s="1392"/>
      <c r="F69" s="1393"/>
      <c r="G69" s="490" t="s">
        <v>329</v>
      </c>
      <c r="H69" s="491"/>
      <c r="I69" s="491"/>
      <c r="J69" s="491"/>
      <c r="K69" s="492"/>
      <c r="L69" s="136"/>
      <c r="M69" s="235">
        <f>SUM(M54:M68)</f>
        <v>74</v>
      </c>
      <c r="N69" s="396">
        <f>SUM(N54:N68)</f>
        <v>32</v>
      </c>
      <c r="O69" s="396">
        <f>SUM(O54:O68)</f>
        <v>24</v>
      </c>
      <c r="P69" s="562"/>
      <c r="Q69" s="562"/>
      <c r="R69" s="562"/>
      <c r="S69" s="1520"/>
      <c r="T69" s="1407"/>
      <c r="U69" s="807"/>
    </row>
    <row r="70" spans="1:21" s="12" customFormat="1" ht="35.1" customHeight="1">
      <c r="A70" s="1462"/>
      <c r="B70" s="935"/>
      <c r="C70" s="639" t="s">
        <v>599</v>
      </c>
      <c r="D70" s="1307" t="s">
        <v>565</v>
      </c>
      <c r="E70" s="1308"/>
      <c r="F70" s="671"/>
      <c r="G70" s="639" t="s">
        <v>346</v>
      </c>
      <c r="H70" s="639" t="s">
        <v>347</v>
      </c>
      <c r="I70" s="1463" t="s">
        <v>375</v>
      </c>
      <c r="J70" s="653" t="s">
        <v>11</v>
      </c>
      <c r="K70" s="653" t="s">
        <v>12</v>
      </c>
      <c r="L70" s="137">
        <v>61.325200000000002</v>
      </c>
      <c r="M70" s="231">
        <v>14</v>
      </c>
      <c r="N70" s="132">
        <v>0</v>
      </c>
      <c r="O70" s="132">
        <v>0</v>
      </c>
      <c r="P70" s="560" t="s">
        <v>422</v>
      </c>
      <c r="Q70" s="560" t="s">
        <v>423</v>
      </c>
      <c r="R70" s="560" t="s">
        <v>424</v>
      </c>
      <c r="S70" s="1518" t="s">
        <v>348</v>
      </c>
      <c r="T70" s="1515" t="s">
        <v>349</v>
      </c>
      <c r="U70" s="805" t="s">
        <v>350</v>
      </c>
    </row>
    <row r="71" spans="1:21" s="12" customFormat="1" ht="35.1" customHeight="1">
      <c r="A71" s="1462"/>
      <c r="B71" s="935"/>
      <c r="C71" s="640"/>
      <c r="D71" s="1309"/>
      <c r="E71" s="1310"/>
      <c r="F71" s="672"/>
      <c r="G71" s="640"/>
      <c r="H71" s="640"/>
      <c r="I71" s="1464"/>
      <c r="J71" s="654"/>
      <c r="K71" s="654"/>
      <c r="L71" s="137">
        <v>62.278500000000001</v>
      </c>
      <c r="M71" s="231">
        <v>1</v>
      </c>
      <c r="N71" s="132">
        <v>0</v>
      </c>
      <c r="O71" s="132">
        <v>0</v>
      </c>
      <c r="P71" s="561"/>
      <c r="Q71" s="561"/>
      <c r="R71" s="561"/>
      <c r="S71" s="1519"/>
      <c r="T71" s="1516"/>
      <c r="U71" s="806"/>
    </row>
    <row r="72" spans="1:21" s="12" customFormat="1" ht="35.1" customHeight="1">
      <c r="A72" s="1462"/>
      <c r="B72" s="935"/>
      <c r="C72" s="640"/>
      <c r="D72" s="1309"/>
      <c r="E72" s="1310"/>
      <c r="F72" s="672"/>
      <c r="G72" s="640"/>
      <c r="H72" s="640"/>
      <c r="I72" s="1464"/>
      <c r="J72" s="654"/>
      <c r="K72" s="654"/>
      <c r="L72" s="137">
        <v>65.547499999999999</v>
      </c>
      <c r="M72" s="231">
        <v>1</v>
      </c>
      <c r="N72" s="132">
        <v>0</v>
      </c>
      <c r="O72" s="132">
        <v>0</v>
      </c>
      <c r="P72" s="561"/>
      <c r="Q72" s="561"/>
      <c r="R72" s="561"/>
      <c r="S72" s="1519"/>
      <c r="T72" s="1516"/>
      <c r="U72" s="806"/>
    </row>
    <row r="73" spans="1:21" s="12" customFormat="1" ht="35.1" customHeight="1">
      <c r="A73" s="1462"/>
      <c r="B73" s="935"/>
      <c r="C73" s="640"/>
      <c r="D73" s="1309"/>
      <c r="E73" s="1310"/>
      <c r="F73" s="672"/>
      <c r="G73" s="640"/>
      <c r="H73" s="640"/>
      <c r="I73" s="1464"/>
      <c r="J73" s="654"/>
      <c r="K73" s="654"/>
      <c r="L73" s="137">
        <v>66.378399999999999</v>
      </c>
      <c r="M73" s="231">
        <v>14</v>
      </c>
      <c r="N73" s="132">
        <v>0</v>
      </c>
      <c r="O73" s="132">
        <v>0</v>
      </c>
      <c r="P73" s="561"/>
      <c r="Q73" s="561"/>
      <c r="R73" s="561"/>
      <c r="S73" s="1519"/>
      <c r="T73" s="1516"/>
      <c r="U73" s="806"/>
    </row>
    <row r="74" spans="1:21" s="12" customFormat="1" ht="35.1" customHeight="1">
      <c r="A74" s="1462"/>
      <c r="B74" s="935"/>
      <c r="C74" s="640"/>
      <c r="D74" s="1309"/>
      <c r="E74" s="1310"/>
      <c r="F74" s="672"/>
      <c r="G74" s="641"/>
      <c r="H74" s="641"/>
      <c r="I74" s="1465"/>
      <c r="J74" s="655"/>
      <c r="K74" s="655"/>
      <c r="L74" s="137">
        <v>68.4773</v>
      </c>
      <c r="M74" s="231">
        <v>11</v>
      </c>
      <c r="N74" s="132">
        <v>0</v>
      </c>
      <c r="O74" s="132">
        <v>0</v>
      </c>
      <c r="P74" s="561"/>
      <c r="Q74" s="561"/>
      <c r="R74" s="561"/>
      <c r="S74" s="1519"/>
      <c r="T74" s="1516"/>
      <c r="U74" s="806"/>
    </row>
    <row r="75" spans="1:21" s="12" customFormat="1" ht="35.1" customHeight="1">
      <c r="A75" s="1462"/>
      <c r="B75" s="935"/>
      <c r="C75" s="641"/>
      <c r="D75" s="1311"/>
      <c r="E75" s="1312"/>
      <c r="F75" s="1313"/>
      <c r="G75" s="490" t="s">
        <v>329</v>
      </c>
      <c r="H75" s="491"/>
      <c r="I75" s="491"/>
      <c r="J75" s="491"/>
      <c r="K75" s="492"/>
      <c r="L75" s="138"/>
      <c r="M75" s="237">
        <f>SUM(M70:M74)</f>
        <v>41</v>
      </c>
      <c r="N75" s="397">
        <f>SUM(N70:N74)</f>
        <v>0</v>
      </c>
      <c r="O75" s="397">
        <f>SUM(O70:O74)</f>
        <v>0</v>
      </c>
      <c r="P75" s="562"/>
      <c r="Q75" s="562"/>
      <c r="R75" s="562"/>
      <c r="S75" s="1520"/>
      <c r="T75" s="1517"/>
      <c r="U75" s="807"/>
    </row>
    <row r="76" spans="1:21" s="12" customFormat="1" ht="35.1" customHeight="1">
      <c r="A76" s="1462"/>
      <c r="B76" s="935"/>
      <c r="C76" s="639" t="s">
        <v>600</v>
      </c>
      <c r="D76" s="588" t="s">
        <v>564</v>
      </c>
      <c r="E76" s="589"/>
      <c r="F76" s="590"/>
      <c r="G76" s="639" t="s">
        <v>570</v>
      </c>
      <c r="H76" s="639" t="s">
        <v>563</v>
      </c>
      <c r="I76" s="639" t="s">
        <v>569</v>
      </c>
      <c r="J76" s="653" t="s">
        <v>11</v>
      </c>
      <c r="K76" s="653" t="s">
        <v>12</v>
      </c>
      <c r="L76" s="137" t="s">
        <v>543</v>
      </c>
      <c r="M76" s="221">
        <v>6</v>
      </c>
      <c r="N76" s="119">
        <v>0</v>
      </c>
      <c r="O76" s="119">
        <v>0</v>
      </c>
      <c r="P76" s="473" t="s">
        <v>442</v>
      </c>
      <c r="Q76" s="473" t="s">
        <v>567</v>
      </c>
      <c r="R76" s="473" t="s">
        <v>568</v>
      </c>
      <c r="S76" s="473" t="s">
        <v>13</v>
      </c>
      <c r="T76" s="473" t="s">
        <v>566</v>
      </c>
      <c r="U76" s="473" t="s">
        <v>11</v>
      </c>
    </row>
    <row r="77" spans="1:21" s="12" customFormat="1" ht="35.1" customHeight="1">
      <c r="A77" s="1462"/>
      <c r="B77" s="935"/>
      <c r="C77" s="640"/>
      <c r="D77" s="591"/>
      <c r="E77" s="592"/>
      <c r="F77" s="593"/>
      <c r="G77" s="640"/>
      <c r="H77" s="640"/>
      <c r="I77" s="640"/>
      <c r="J77" s="654"/>
      <c r="K77" s="654"/>
      <c r="L77" s="137" t="s">
        <v>544</v>
      </c>
      <c r="M77" s="221">
        <v>13</v>
      </c>
      <c r="N77" s="119">
        <v>0</v>
      </c>
      <c r="O77" s="119">
        <v>0</v>
      </c>
      <c r="P77" s="474"/>
      <c r="Q77" s="474"/>
      <c r="R77" s="474"/>
      <c r="S77" s="474"/>
      <c r="T77" s="474"/>
      <c r="U77" s="474"/>
    </row>
    <row r="78" spans="1:21" s="12" customFormat="1" ht="35.1" customHeight="1">
      <c r="A78" s="1462"/>
      <c r="B78" s="935"/>
      <c r="C78" s="640"/>
      <c r="D78" s="591"/>
      <c r="E78" s="592"/>
      <c r="F78" s="593"/>
      <c r="G78" s="640"/>
      <c r="H78" s="640"/>
      <c r="I78" s="640"/>
      <c r="J78" s="654"/>
      <c r="K78" s="654"/>
      <c r="L78" s="137" t="s">
        <v>545</v>
      </c>
      <c r="M78" s="221">
        <v>14</v>
      </c>
      <c r="N78" s="119">
        <v>0</v>
      </c>
      <c r="O78" s="119">
        <v>0</v>
      </c>
      <c r="P78" s="474"/>
      <c r="Q78" s="474"/>
      <c r="R78" s="474"/>
      <c r="S78" s="474"/>
      <c r="T78" s="474"/>
      <c r="U78" s="474"/>
    </row>
    <row r="79" spans="1:21" s="12" customFormat="1" ht="35.1" customHeight="1">
      <c r="A79" s="1462"/>
      <c r="B79" s="935"/>
      <c r="C79" s="640"/>
      <c r="D79" s="591"/>
      <c r="E79" s="592"/>
      <c r="F79" s="593"/>
      <c r="G79" s="640"/>
      <c r="H79" s="640"/>
      <c r="I79" s="640"/>
      <c r="J79" s="654"/>
      <c r="K79" s="654"/>
      <c r="L79" s="137" t="s">
        <v>546</v>
      </c>
      <c r="M79" s="221">
        <v>6</v>
      </c>
      <c r="N79" s="119">
        <v>0</v>
      </c>
      <c r="O79" s="119">
        <v>0</v>
      </c>
      <c r="P79" s="474"/>
      <c r="Q79" s="474"/>
      <c r="R79" s="474"/>
      <c r="S79" s="474"/>
      <c r="T79" s="474"/>
      <c r="U79" s="474"/>
    </row>
    <row r="80" spans="1:21" s="12" customFormat="1" ht="35.1" customHeight="1">
      <c r="A80" s="1462"/>
      <c r="B80" s="935"/>
      <c r="C80" s="640"/>
      <c r="D80" s="591"/>
      <c r="E80" s="592"/>
      <c r="F80" s="593"/>
      <c r="G80" s="640"/>
      <c r="H80" s="640"/>
      <c r="I80" s="640"/>
      <c r="J80" s="654"/>
      <c r="K80" s="654"/>
      <c r="L80" s="137" t="s">
        <v>547</v>
      </c>
      <c r="M80" s="221">
        <v>13</v>
      </c>
      <c r="N80" s="119">
        <v>0</v>
      </c>
      <c r="O80" s="119">
        <v>0</v>
      </c>
      <c r="P80" s="474"/>
      <c r="Q80" s="474"/>
      <c r="R80" s="474"/>
      <c r="S80" s="474"/>
      <c r="T80" s="474"/>
      <c r="U80" s="474"/>
    </row>
    <row r="81" spans="1:21" s="12" customFormat="1" ht="35.1" customHeight="1">
      <c r="A81" s="1462"/>
      <c r="B81" s="935"/>
      <c r="C81" s="640"/>
      <c r="D81" s="591"/>
      <c r="E81" s="592"/>
      <c r="F81" s="593"/>
      <c r="G81" s="640"/>
      <c r="H81" s="640"/>
      <c r="I81" s="640"/>
      <c r="J81" s="654"/>
      <c r="K81" s="654"/>
      <c r="L81" s="137" t="s">
        <v>548</v>
      </c>
      <c r="M81" s="221">
        <v>14</v>
      </c>
      <c r="N81" s="119">
        <v>0</v>
      </c>
      <c r="O81" s="119">
        <v>0</v>
      </c>
      <c r="P81" s="474"/>
      <c r="Q81" s="474"/>
      <c r="R81" s="474"/>
      <c r="S81" s="474"/>
      <c r="T81" s="474"/>
      <c r="U81" s="474"/>
    </row>
    <row r="82" spans="1:21" s="12" customFormat="1" ht="35.1" customHeight="1">
      <c r="A82" s="1462"/>
      <c r="B82" s="935"/>
      <c r="C82" s="640"/>
      <c r="D82" s="591"/>
      <c r="E82" s="592"/>
      <c r="F82" s="593"/>
      <c r="G82" s="640"/>
      <c r="H82" s="640"/>
      <c r="I82" s="640"/>
      <c r="J82" s="654"/>
      <c r="K82" s="654"/>
      <c r="L82" s="137" t="s">
        <v>549</v>
      </c>
      <c r="M82" s="221">
        <v>18</v>
      </c>
      <c r="N82" s="119">
        <v>0</v>
      </c>
      <c r="O82" s="119">
        <v>0</v>
      </c>
      <c r="P82" s="474"/>
      <c r="Q82" s="474"/>
      <c r="R82" s="474"/>
      <c r="S82" s="474"/>
      <c r="T82" s="474"/>
      <c r="U82" s="474"/>
    </row>
    <row r="83" spans="1:21" s="12" customFormat="1" ht="35.1" customHeight="1">
      <c r="A83" s="1462"/>
      <c r="B83" s="935"/>
      <c r="C83" s="640"/>
      <c r="D83" s="591"/>
      <c r="E83" s="592"/>
      <c r="F83" s="593"/>
      <c r="G83" s="640"/>
      <c r="H83" s="640"/>
      <c r="I83" s="640"/>
      <c r="J83" s="654"/>
      <c r="K83" s="654"/>
      <c r="L83" s="137" t="s">
        <v>550</v>
      </c>
      <c r="M83" s="221">
        <v>18</v>
      </c>
      <c r="N83" s="119">
        <v>0</v>
      </c>
      <c r="O83" s="119">
        <v>0</v>
      </c>
      <c r="P83" s="474"/>
      <c r="Q83" s="474"/>
      <c r="R83" s="474"/>
      <c r="S83" s="474"/>
      <c r="T83" s="474"/>
      <c r="U83" s="474"/>
    </row>
    <row r="84" spans="1:21" s="12" customFormat="1" ht="35.1" customHeight="1">
      <c r="A84" s="1462"/>
      <c r="B84" s="935"/>
      <c r="C84" s="640"/>
      <c r="D84" s="591"/>
      <c r="E84" s="592"/>
      <c r="F84" s="593"/>
      <c r="G84" s="640"/>
      <c r="H84" s="640"/>
      <c r="I84" s="640"/>
      <c r="J84" s="654"/>
      <c r="K84" s="654"/>
      <c r="L84" s="137" t="s">
        <v>551</v>
      </c>
      <c r="M84" s="221">
        <v>17</v>
      </c>
      <c r="N84" s="119">
        <v>0</v>
      </c>
      <c r="O84" s="119">
        <v>0</v>
      </c>
      <c r="P84" s="474"/>
      <c r="Q84" s="474"/>
      <c r="R84" s="474"/>
      <c r="S84" s="474"/>
      <c r="T84" s="474"/>
      <c r="U84" s="474"/>
    </row>
    <row r="85" spans="1:21" s="12" customFormat="1" ht="35.1" customHeight="1">
      <c r="A85" s="1462"/>
      <c r="B85" s="935"/>
      <c r="C85" s="640"/>
      <c r="D85" s="591"/>
      <c r="E85" s="592"/>
      <c r="F85" s="593"/>
      <c r="G85" s="640"/>
      <c r="H85" s="640"/>
      <c r="I85" s="640"/>
      <c r="J85" s="654"/>
      <c r="K85" s="654"/>
      <c r="L85" s="137" t="s">
        <v>552</v>
      </c>
      <c r="M85" s="221">
        <v>14</v>
      </c>
      <c r="N85" s="119">
        <v>0</v>
      </c>
      <c r="O85" s="119">
        <v>0</v>
      </c>
      <c r="P85" s="474"/>
      <c r="Q85" s="474"/>
      <c r="R85" s="474"/>
      <c r="S85" s="474"/>
      <c r="T85" s="474"/>
      <c r="U85" s="474"/>
    </row>
    <row r="86" spans="1:21" s="12" customFormat="1" ht="35.1" customHeight="1">
      <c r="A86" s="1462"/>
      <c r="B86" s="935"/>
      <c r="C86" s="640"/>
      <c r="D86" s="591"/>
      <c r="E86" s="592"/>
      <c r="F86" s="593"/>
      <c r="G86" s="640"/>
      <c r="H86" s="640"/>
      <c r="I86" s="640"/>
      <c r="J86" s="654"/>
      <c r="K86" s="654"/>
      <c r="L86" s="137" t="s">
        <v>553</v>
      </c>
      <c r="M86" s="221">
        <v>6</v>
      </c>
      <c r="N86" s="119">
        <v>0</v>
      </c>
      <c r="O86" s="119">
        <v>0</v>
      </c>
      <c r="P86" s="474"/>
      <c r="Q86" s="474"/>
      <c r="R86" s="474"/>
      <c r="S86" s="474"/>
      <c r="T86" s="474"/>
      <c r="U86" s="474"/>
    </row>
    <row r="87" spans="1:21" s="12" customFormat="1" ht="35.1" customHeight="1">
      <c r="A87" s="1462"/>
      <c r="B87" s="935"/>
      <c r="C87" s="640"/>
      <c r="D87" s="591"/>
      <c r="E87" s="592"/>
      <c r="F87" s="593"/>
      <c r="G87" s="640"/>
      <c r="H87" s="640"/>
      <c r="I87" s="640"/>
      <c r="J87" s="654"/>
      <c r="K87" s="654"/>
      <c r="L87" s="137" t="s">
        <v>554</v>
      </c>
      <c r="M87" s="221">
        <v>11</v>
      </c>
      <c r="N87" s="119">
        <v>0</v>
      </c>
      <c r="O87" s="119">
        <v>0</v>
      </c>
      <c r="P87" s="474"/>
      <c r="Q87" s="474"/>
      <c r="R87" s="474"/>
      <c r="S87" s="474"/>
      <c r="T87" s="474"/>
      <c r="U87" s="474"/>
    </row>
    <row r="88" spans="1:21" s="12" customFormat="1" ht="35.1" customHeight="1">
      <c r="A88" s="1462"/>
      <c r="B88" s="935"/>
      <c r="C88" s="640"/>
      <c r="D88" s="591"/>
      <c r="E88" s="592"/>
      <c r="F88" s="593"/>
      <c r="G88" s="640"/>
      <c r="H88" s="640"/>
      <c r="I88" s="640"/>
      <c r="J88" s="654"/>
      <c r="K88" s="654"/>
      <c r="L88" s="137" t="s">
        <v>555</v>
      </c>
      <c r="M88" s="221">
        <v>6</v>
      </c>
      <c r="N88" s="119">
        <v>0</v>
      </c>
      <c r="O88" s="119">
        <v>0</v>
      </c>
      <c r="P88" s="474"/>
      <c r="Q88" s="474"/>
      <c r="R88" s="474"/>
      <c r="S88" s="474"/>
      <c r="T88" s="474"/>
      <c r="U88" s="474"/>
    </row>
    <row r="89" spans="1:21" s="12" customFormat="1" ht="35.1" customHeight="1">
      <c r="A89" s="1462"/>
      <c r="B89" s="935"/>
      <c r="C89" s="640"/>
      <c r="D89" s="591"/>
      <c r="E89" s="592"/>
      <c r="F89" s="593"/>
      <c r="G89" s="640"/>
      <c r="H89" s="640"/>
      <c r="I89" s="640"/>
      <c r="J89" s="654"/>
      <c r="K89" s="654"/>
      <c r="L89" s="137" t="s">
        <v>556</v>
      </c>
      <c r="M89" s="221">
        <v>13</v>
      </c>
      <c r="N89" s="119">
        <v>0</v>
      </c>
      <c r="O89" s="119">
        <v>0</v>
      </c>
      <c r="P89" s="474"/>
      <c r="Q89" s="474"/>
      <c r="R89" s="474"/>
      <c r="S89" s="474"/>
      <c r="T89" s="474"/>
      <c r="U89" s="474"/>
    </row>
    <row r="90" spans="1:21" s="12" customFormat="1" ht="35.1" customHeight="1">
      <c r="A90" s="1462"/>
      <c r="B90" s="935"/>
      <c r="C90" s="640"/>
      <c r="D90" s="591"/>
      <c r="E90" s="592"/>
      <c r="F90" s="593"/>
      <c r="G90" s="640"/>
      <c r="H90" s="640"/>
      <c r="I90" s="640"/>
      <c r="J90" s="654"/>
      <c r="K90" s="654"/>
      <c r="L90" s="137" t="s">
        <v>557</v>
      </c>
      <c r="M90" s="221">
        <v>1</v>
      </c>
      <c r="N90" s="119">
        <v>0</v>
      </c>
      <c r="O90" s="119">
        <v>0</v>
      </c>
      <c r="P90" s="474"/>
      <c r="Q90" s="474"/>
      <c r="R90" s="474"/>
      <c r="S90" s="474"/>
      <c r="T90" s="474"/>
      <c r="U90" s="474"/>
    </row>
    <row r="91" spans="1:21" s="12" customFormat="1" ht="35.1" customHeight="1">
      <c r="A91" s="1462"/>
      <c r="B91" s="935"/>
      <c r="C91" s="640"/>
      <c r="D91" s="591"/>
      <c r="E91" s="592"/>
      <c r="F91" s="593"/>
      <c r="G91" s="640"/>
      <c r="H91" s="640"/>
      <c r="I91" s="640"/>
      <c r="J91" s="654"/>
      <c r="K91" s="654"/>
      <c r="L91" s="137" t="s">
        <v>558</v>
      </c>
      <c r="M91" s="221">
        <v>17</v>
      </c>
      <c r="N91" s="119">
        <v>0</v>
      </c>
      <c r="O91" s="119">
        <v>0</v>
      </c>
      <c r="P91" s="474"/>
      <c r="Q91" s="474"/>
      <c r="R91" s="474"/>
      <c r="S91" s="474"/>
      <c r="T91" s="474"/>
      <c r="U91" s="474"/>
    </row>
    <row r="92" spans="1:21" s="12" customFormat="1" ht="35.1" customHeight="1">
      <c r="A92" s="1462"/>
      <c r="B92" s="935"/>
      <c r="C92" s="640"/>
      <c r="D92" s="591"/>
      <c r="E92" s="592"/>
      <c r="F92" s="593"/>
      <c r="G92" s="640"/>
      <c r="H92" s="640"/>
      <c r="I92" s="640"/>
      <c r="J92" s="654"/>
      <c r="K92" s="654"/>
      <c r="L92" s="137" t="s">
        <v>559</v>
      </c>
      <c r="M92" s="221">
        <v>2</v>
      </c>
      <c r="N92" s="119">
        <v>0</v>
      </c>
      <c r="O92" s="119">
        <v>0</v>
      </c>
      <c r="P92" s="474"/>
      <c r="Q92" s="474"/>
      <c r="R92" s="474"/>
      <c r="S92" s="474"/>
      <c r="T92" s="474"/>
      <c r="U92" s="474"/>
    </row>
    <row r="93" spans="1:21" s="12" customFormat="1" ht="35.1" customHeight="1">
      <c r="A93" s="1462"/>
      <c r="B93" s="935"/>
      <c r="C93" s="640"/>
      <c r="D93" s="591"/>
      <c r="E93" s="592"/>
      <c r="F93" s="593"/>
      <c r="G93" s="640"/>
      <c r="H93" s="640"/>
      <c r="I93" s="640"/>
      <c r="J93" s="654"/>
      <c r="K93" s="654"/>
      <c r="L93" s="137" t="s">
        <v>560</v>
      </c>
      <c r="M93" s="221">
        <v>6</v>
      </c>
      <c r="N93" s="119">
        <v>0</v>
      </c>
      <c r="O93" s="119">
        <v>0</v>
      </c>
      <c r="P93" s="474"/>
      <c r="Q93" s="474"/>
      <c r="R93" s="474"/>
      <c r="S93" s="474"/>
      <c r="T93" s="474"/>
      <c r="U93" s="474"/>
    </row>
    <row r="94" spans="1:21" s="12" customFormat="1" ht="35.1" customHeight="1">
      <c r="A94" s="1462"/>
      <c r="B94" s="935"/>
      <c r="C94" s="640"/>
      <c r="D94" s="591"/>
      <c r="E94" s="592"/>
      <c r="F94" s="593"/>
      <c r="G94" s="640"/>
      <c r="H94" s="640"/>
      <c r="I94" s="640"/>
      <c r="J94" s="654"/>
      <c r="K94" s="654"/>
      <c r="L94" s="137" t="s">
        <v>561</v>
      </c>
      <c r="M94" s="221">
        <v>11</v>
      </c>
      <c r="N94" s="119">
        <v>0</v>
      </c>
      <c r="O94" s="119">
        <v>0</v>
      </c>
      <c r="P94" s="474"/>
      <c r="Q94" s="474"/>
      <c r="R94" s="474"/>
      <c r="S94" s="474"/>
      <c r="T94" s="474"/>
      <c r="U94" s="474"/>
    </row>
    <row r="95" spans="1:21" s="12" customFormat="1" ht="35.1" customHeight="1">
      <c r="A95" s="1462"/>
      <c r="B95" s="935"/>
      <c r="C95" s="640"/>
      <c r="D95" s="591"/>
      <c r="E95" s="592"/>
      <c r="F95" s="593"/>
      <c r="G95" s="641"/>
      <c r="H95" s="641"/>
      <c r="I95" s="641"/>
      <c r="J95" s="655"/>
      <c r="K95" s="655"/>
      <c r="L95" s="137" t="s">
        <v>562</v>
      </c>
      <c r="M95" s="221">
        <v>6</v>
      </c>
      <c r="N95" s="119">
        <v>0</v>
      </c>
      <c r="O95" s="119">
        <v>0</v>
      </c>
      <c r="P95" s="474"/>
      <c r="Q95" s="474"/>
      <c r="R95" s="474"/>
      <c r="S95" s="474"/>
      <c r="T95" s="474"/>
      <c r="U95" s="474"/>
    </row>
    <row r="96" spans="1:21" s="12" customFormat="1" ht="35.1" customHeight="1">
      <c r="A96" s="1462"/>
      <c r="B96" s="936"/>
      <c r="C96" s="641"/>
      <c r="D96" s="594"/>
      <c r="E96" s="595"/>
      <c r="F96" s="596"/>
      <c r="G96" s="490" t="s">
        <v>329</v>
      </c>
      <c r="H96" s="491"/>
      <c r="I96" s="491"/>
      <c r="J96" s="491"/>
      <c r="K96" s="492"/>
      <c r="L96" s="139"/>
      <c r="M96" s="235">
        <f>SUM(M76:M95)</f>
        <v>212</v>
      </c>
      <c r="N96" s="396">
        <f>SUM(N76:N95)</f>
        <v>0</v>
      </c>
      <c r="O96" s="396">
        <f>SUM(O76:O95)</f>
        <v>0</v>
      </c>
      <c r="P96" s="475"/>
      <c r="Q96" s="475"/>
      <c r="R96" s="475"/>
      <c r="S96" s="475"/>
      <c r="T96" s="475"/>
      <c r="U96" s="475"/>
    </row>
    <row r="97" spans="1:1892" s="17" customFormat="1" ht="35.1" customHeight="1">
      <c r="A97" s="1462"/>
      <c r="B97" s="777" t="s">
        <v>105</v>
      </c>
      <c r="C97" s="778"/>
      <c r="D97" s="778"/>
      <c r="E97" s="778"/>
      <c r="F97" s="778"/>
      <c r="G97" s="778"/>
      <c r="H97" s="778"/>
      <c r="I97" s="778"/>
      <c r="J97" s="778"/>
      <c r="K97" s="779"/>
      <c r="L97" s="140"/>
      <c r="M97" s="238"/>
      <c r="N97" s="394">
        <f>N69+N96+N75</f>
        <v>32</v>
      </c>
      <c r="O97" s="394">
        <f>O69+O96+O75</f>
        <v>24</v>
      </c>
      <c r="P97" s="123"/>
      <c r="Q97" s="123"/>
      <c r="R97" s="123"/>
      <c r="S97" s="124"/>
      <c r="T97" s="125"/>
      <c r="U97" s="124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2"/>
      <c r="DF97" s="12"/>
      <c r="DG97" s="12"/>
      <c r="DH97" s="12"/>
      <c r="DI97" s="12"/>
      <c r="DJ97" s="12"/>
      <c r="DK97" s="12"/>
      <c r="DL97" s="12"/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2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2"/>
      <c r="EJ97" s="12"/>
      <c r="EK97" s="12"/>
      <c r="EL97" s="12"/>
      <c r="EM97" s="12"/>
      <c r="EN97" s="12"/>
      <c r="EO97" s="12"/>
      <c r="EP97" s="12"/>
      <c r="EQ97" s="12"/>
      <c r="ER97" s="12"/>
      <c r="ES97" s="12"/>
      <c r="ET97" s="12"/>
      <c r="EU97" s="12"/>
      <c r="EV97" s="12"/>
      <c r="EW97" s="12"/>
      <c r="EX97" s="12"/>
      <c r="EY97" s="12"/>
      <c r="EZ97" s="12"/>
      <c r="FA97" s="12"/>
      <c r="FB97" s="12"/>
      <c r="FC97" s="12"/>
      <c r="FD97" s="12"/>
      <c r="FE97" s="12"/>
      <c r="FF97" s="12"/>
      <c r="FG97" s="12"/>
      <c r="FH97" s="12"/>
      <c r="FI97" s="12"/>
      <c r="FJ97" s="12"/>
      <c r="FK97" s="12"/>
      <c r="FL97" s="12"/>
      <c r="FM97" s="12"/>
      <c r="FN97" s="12"/>
      <c r="FO97" s="12"/>
      <c r="FP97" s="12"/>
      <c r="FQ97" s="12"/>
      <c r="FR97" s="12"/>
      <c r="FS97" s="12"/>
      <c r="FT97" s="12"/>
      <c r="FU97" s="12"/>
      <c r="FV97" s="12"/>
      <c r="FW97" s="12"/>
      <c r="FX97" s="12"/>
      <c r="FY97" s="12"/>
      <c r="FZ97" s="12"/>
      <c r="GA97" s="12"/>
      <c r="GB97" s="12"/>
      <c r="GC97" s="12"/>
      <c r="GD97" s="12"/>
      <c r="GE97" s="12"/>
      <c r="GF97" s="12"/>
      <c r="GG97" s="12"/>
      <c r="GH97" s="12"/>
      <c r="GI97" s="12"/>
      <c r="GJ97" s="12"/>
      <c r="GK97" s="12"/>
      <c r="GL97" s="12"/>
      <c r="GM97" s="12"/>
      <c r="GN97" s="12"/>
      <c r="GO97" s="12"/>
      <c r="GP97" s="12"/>
      <c r="GQ97" s="12"/>
      <c r="GR97" s="12"/>
      <c r="GS97" s="12"/>
      <c r="GT97" s="12"/>
      <c r="GU97" s="12"/>
      <c r="GV97" s="12"/>
      <c r="GW97" s="12"/>
      <c r="GX97" s="12"/>
      <c r="GY97" s="12"/>
      <c r="GZ97" s="12"/>
      <c r="HA97" s="12"/>
      <c r="HB97" s="12"/>
      <c r="HC97" s="12"/>
      <c r="HD97" s="12"/>
      <c r="HE97" s="12"/>
      <c r="HF97" s="12"/>
      <c r="HG97" s="12"/>
      <c r="HH97" s="12"/>
      <c r="HI97" s="12"/>
      <c r="HJ97" s="12"/>
      <c r="HK97" s="12"/>
      <c r="HL97" s="12"/>
      <c r="HM97" s="12"/>
      <c r="HN97" s="12"/>
      <c r="HO97" s="12"/>
      <c r="HP97" s="12"/>
      <c r="HQ97" s="12"/>
      <c r="HR97" s="12"/>
      <c r="HS97" s="12"/>
      <c r="HT97" s="12"/>
      <c r="HU97" s="12"/>
      <c r="HV97" s="12"/>
      <c r="HW97" s="12"/>
      <c r="HX97" s="12"/>
      <c r="HY97" s="12"/>
      <c r="HZ97" s="12"/>
      <c r="IA97" s="12"/>
      <c r="IB97" s="12"/>
      <c r="IC97" s="12"/>
      <c r="ID97" s="12"/>
      <c r="IE97" s="12"/>
      <c r="IF97" s="12"/>
      <c r="IG97" s="12"/>
      <c r="IH97" s="12"/>
      <c r="II97" s="12"/>
      <c r="IJ97" s="12"/>
      <c r="IK97" s="12"/>
      <c r="IL97" s="12"/>
      <c r="IM97" s="12"/>
      <c r="IN97" s="12"/>
      <c r="IO97" s="12"/>
      <c r="IP97" s="12"/>
      <c r="IQ97" s="12"/>
      <c r="IR97" s="12"/>
      <c r="IS97" s="12"/>
      <c r="IT97" s="12"/>
      <c r="IU97" s="12"/>
      <c r="IV97" s="12"/>
      <c r="IW97" s="12"/>
      <c r="IX97" s="12"/>
      <c r="IY97" s="12"/>
      <c r="IZ97" s="12"/>
      <c r="JA97" s="12"/>
      <c r="JB97" s="12"/>
      <c r="JC97" s="12"/>
      <c r="JD97" s="12"/>
      <c r="JE97" s="12"/>
      <c r="JF97" s="12"/>
      <c r="JG97" s="12"/>
      <c r="JH97" s="12"/>
      <c r="JI97" s="12"/>
      <c r="JJ97" s="12"/>
      <c r="JK97" s="12"/>
      <c r="JL97" s="12"/>
      <c r="JM97" s="12"/>
      <c r="JN97" s="12"/>
      <c r="JO97" s="12"/>
      <c r="JP97" s="12"/>
      <c r="JQ97" s="12"/>
      <c r="JR97" s="12"/>
      <c r="JS97" s="12"/>
      <c r="JT97" s="12"/>
      <c r="JU97" s="12"/>
      <c r="JV97" s="12"/>
      <c r="JW97" s="12"/>
      <c r="JX97" s="12"/>
      <c r="JY97" s="12"/>
      <c r="JZ97" s="12"/>
      <c r="KA97" s="12"/>
      <c r="KB97" s="12"/>
      <c r="KC97" s="12"/>
      <c r="KD97" s="12"/>
      <c r="KE97" s="12"/>
      <c r="KF97" s="12"/>
      <c r="KG97" s="12"/>
      <c r="KH97" s="12"/>
      <c r="KI97" s="12"/>
      <c r="KJ97" s="12"/>
      <c r="KK97" s="12"/>
      <c r="KL97" s="12"/>
      <c r="KM97" s="12"/>
      <c r="KN97" s="12"/>
      <c r="KO97" s="12"/>
      <c r="KP97" s="12"/>
      <c r="KQ97" s="12"/>
      <c r="KR97" s="12"/>
      <c r="KS97" s="12"/>
      <c r="KT97" s="12"/>
      <c r="KU97" s="12"/>
      <c r="KV97" s="12"/>
      <c r="KW97" s="12"/>
      <c r="KX97" s="12"/>
      <c r="KY97" s="12"/>
      <c r="KZ97" s="12"/>
      <c r="LA97" s="12"/>
      <c r="LB97" s="12"/>
      <c r="LC97" s="12"/>
      <c r="LD97" s="12"/>
      <c r="LE97" s="12"/>
      <c r="LF97" s="12"/>
      <c r="LG97" s="12"/>
      <c r="LH97" s="12"/>
      <c r="LI97" s="12"/>
      <c r="LJ97" s="12"/>
      <c r="LK97" s="12"/>
      <c r="LL97" s="12"/>
      <c r="LM97" s="12"/>
      <c r="LN97" s="12"/>
      <c r="LO97" s="12"/>
      <c r="LP97" s="12"/>
      <c r="LQ97" s="12"/>
      <c r="LR97" s="12"/>
      <c r="LS97" s="12"/>
      <c r="LT97" s="12"/>
      <c r="LU97" s="12"/>
      <c r="LV97" s="12"/>
      <c r="LW97" s="12"/>
      <c r="LX97" s="12"/>
      <c r="LY97" s="12"/>
      <c r="LZ97" s="12"/>
      <c r="MA97" s="12"/>
      <c r="MB97" s="12"/>
      <c r="MC97" s="12"/>
      <c r="MD97" s="12"/>
      <c r="ME97" s="12"/>
      <c r="MF97" s="12"/>
      <c r="MG97" s="12"/>
      <c r="MH97" s="12"/>
      <c r="MI97" s="12"/>
      <c r="MJ97" s="12"/>
      <c r="MK97" s="12"/>
      <c r="ML97" s="12"/>
      <c r="MM97" s="12"/>
      <c r="MN97" s="12"/>
      <c r="MO97" s="12"/>
      <c r="MP97" s="12"/>
      <c r="MQ97" s="12"/>
      <c r="MR97" s="12"/>
      <c r="MS97" s="12"/>
      <c r="MT97" s="12"/>
      <c r="MU97" s="12"/>
      <c r="MV97" s="12"/>
      <c r="MW97" s="12"/>
      <c r="MX97" s="12"/>
      <c r="MY97" s="12"/>
      <c r="MZ97" s="12"/>
      <c r="NA97" s="12"/>
      <c r="NB97" s="12"/>
      <c r="NC97" s="12"/>
      <c r="ND97" s="12"/>
      <c r="NE97" s="12"/>
      <c r="NF97" s="12"/>
      <c r="NG97" s="12"/>
      <c r="NH97" s="12"/>
      <c r="NI97" s="12"/>
      <c r="NJ97" s="12"/>
      <c r="NK97" s="12"/>
      <c r="NL97" s="12"/>
      <c r="NM97" s="12"/>
      <c r="NN97" s="12"/>
      <c r="NO97" s="12"/>
      <c r="NP97" s="12"/>
      <c r="NQ97" s="12"/>
      <c r="NR97" s="12"/>
      <c r="NS97" s="12"/>
      <c r="NT97" s="12"/>
      <c r="NU97" s="12"/>
      <c r="NV97" s="12"/>
      <c r="NW97" s="12"/>
      <c r="NX97" s="12"/>
      <c r="NY97" s="12"/>
      <c r="NZ97" s="12"/>
      <c r="OA97" s="12"/>
      <c r="OB97" s="12"/>
      <c r="OC97" s="12"/>
      <c r="OD97" s="12"/>
      <c r="OE97" s="12"/>
      <c r="OF97" s="12"/>
      <c r="OG97" s="12"/>
      <c r="OH97" s="12"/>
      <c r="OI97" s="12"/>
      <c r="OJ97" s="12"/>
      <c r="OK97" s="12"/>
      <c r="OL97" s="12"/>
      <c r="OM97" s="12"/>
      <c r="ON97" s="12"/>
      <c r="OO97" s="12"/>
      <c r="OP97" s="12"/>
      <c r="OQ97" s="12"/>
      <c r="OR97" s="12"/>
      <c r="OS97" s="12"/>
      <c r="OT97" s="12"/>
      <c r="OU97" s="12"/>
      <c r="OV97" s="12"/>
      <c r="OW97" s="12"/>
      <c r="OX97" s="12"/>
      <c r="OY97" s="12"/>
      <c r="OZ97" s="12"/>
      <c r="PA97" s="12"/>
      <c r="PB97" s="12"/>
      <c r="PC97" s="12"/>
      <c r="PD97" s="12"/>
      <c r="PE97" s="12"/>
      <c r="PF97" s="12"/>
      <c r="PG97" s="12"/>
      <c r="PH97" s="12"/>
      <c r="PI97" s="12"/>
      <c r="PJ97" s="12"/>
      <c r="PK97" s="12"/>
      <c r="PL97" s="12"/>
      <c r="PM97" s="12"/>
      <c r="PN97" s="12"/>
      <c r="PO97" s="12"/>
      <c r="PP97" s="12"/>
      <c r="PQ97" s="12"/>
      <c r="PR97" s="12"/>
      <c r="PS97" s="12"/>
      <c r="PT97" s="12"/>
      <c r="PU97" s="12"/>
      <c r="PV97" s="12"/>
      <c r="PW97" s="12"/>
      <c r="PX97" s="12"/>
      <c r="PY97" s="12"/>
      <c r="PZ97" s="12"/>
      <c r="QA97" s="12"/>
      <c r="QB97" s="12"/>
      <c r="QC97" s="12"/>
      <c r="QD97" s="12"/>
      <c r="QE97" s="12"/>
      <c r="QF97" s="12"/>
      <c r="QG97" s="12"/>
      <c r="QH97" s="12"/>
      <c r="QI97" s="12"/>
      <c r="QJ97" s="12"/>
      <c r="QK97" s="12"/>
      <c r="QL97" s="12"/>
      <c r="QM97" s="12"/>
      <c r="QN97" s="12"/>
      <c r="QO97" s="12"/>
      <c r="QP97" s="12"/>
      <c r="QQ97" s="12"/>
      <c r="QR97" s="12"/>
      <c r="QS97" s="12"/>
      <c r="QT97" s="12"/>
      <c r="QU97" s="12"/>
      <c r="QV97" s="12"/>
      <c r="QW97" s="12"/>
      <c r="QX97" s="12"/>
      <c r="QY97" s="12"/>
      <c r="QZ97" s="12"/>
      <c r="RA97" s="12"/>
      <c r="RB97" s="12"/>
      <c r="RC97" s="12"/>
      <c r="RD97" s="12"/>
      <c r="RE97" s="12"/>
      <c r="RF97" s="12"/>
      <c r="RG97" s="12"/>
      <c r="RH97" s="12"/>
      <c r="RI97" s="12"/>
      <c r="RJ97" s="12"/>
      <c r="RK97" s="12"/>
      <c r="RL97" s="12"/>
      <c r="RM97" s="12"/>
      <c r="RN97" s="12"/>
      <c r="RO97" s="12"/>
      <c r="RP97" s="12"/>
      <c r="RQ97" s="12"/>
      <c r="RR97" s="12"/>
      <c r="RS97" s="12"/>
      <c r="RT97" s="12"/>
      <c r="RU97" s="12"/>
      <c r="RV97" s="12"/>
      <c r="RW97" s="12"/>
      <c r="RX97" s="12"/>
      <c r="RY97" s="12"/>
      <c r="RZ97" s="12"/>
      <c r="SA97" s="12"/>
      <c r="SB97" s="12"/>
      <c r="SC97" s="12"/>
      <c r="SD97" s="12"/>
      <c r="SE97" s="12"/>
      <c r="SF97" s="12"/>
      <c r="SG97" s="12"/>
      <c r="SH97" s="12"/>
      <c r="SI97" s="12"/>
      <c r="SJ97" s="12"/>
      <c r="SK97" s="12"/>
      <c r="SL97" s="12"/>
      <c r="SM97" s="12"/>
      <c r="SN97" s="12"/>
      <c r="SO97" s="12"/>
      <c r="SP97" s="12"/>
      <c r="SQ97" s="12"/>
      <c r="SR97" s="12"/>
      <c r="SS97" s="12"/>
      <c r="ST97" s="12"/>
      <c r="SU97" s="12"/>
      <c r="SV97" s="12"/>
      <c r="SW97" s="12"/>
      <c r="SX97" s="12"/>
      <c r="SY97" s="12"/>
      <c r="SZ97" s="12"/>
      <c r="TA97" s="12"/>
      <c r="TB97" s="12"/>
      <c r="TC97" s="12"/>
      <c r="TD97" s="12"/>
      <c r="TE97" s="12"/>
      <c r="TF97" s="12"/>
      <c r="TG97" s="12"/>
      <c r="TH97" s="12"/>
      <c r="TI97" s="12"/>
      <c r="TJ97" s="12"/>
      <c r="TK97" s="12"/>
      <c r="TL97" s="12"/>
      <c r="TM97" s="12"/>
      <c r="TN97" s="12"/>
      <c r="TO97" s="12"/>
      <c r="TP97" s="12"/>
      <c r="TQ97" s="12"/>
      <c r="TR97" s="12"/>
      <c r="TS97" s="12"/>
      <c r="TT97" s="12"/>
      <c r="TU97" s="12"/>
      <c r="TV97" s="12"/>
      <c r="TW97" s="12"/>
      <c r="TX97" s="12"/>
      <c r="TY97" s="12"/>
      <c r="TZ97" s="12"/>
      <c r="UA97" s="12"/>
      <c r="UB97" s="12"/>
      <c r="UC97" s="12"/>
      <c r="UD97" s="12"/>
      <c r="UE97" s="12"/>
      <c r="UF97" s="12"/>
      <c r="UG97" s="12"/>
      <c r="UH97" s="12"/>
      <c r="UI97" s="12"/>
      <c r="UJ97" s="12"/>
      <c r="UK97" s="12"/>
      <c r="UL97" s="12"/>
      <c r="UM97" s="12"/>
      <c r="UN97" s="12"/>
      <c r="UO97" s="12"/>
      <c r="UP97" s="12"/>
      <c r="UQ97" s="12"/>
      <c r="UR97" s="12"/>
      <c r="US97" s="12"/>
      <c r="UT97" s="12"/>
      <c r="UU97" s="12"/>
      <c r="UV97" s="12"/>
      <c r="UW97" s="12"/>
      <c r="UX97" s="12"/>
      <c r="UY97" s="12"/>
      <c r="UZ97" s="12"/>
      <c r="VA97" s="12"/>
      <c r="VB97" s="12"/>
      <c r="VC97" s="12"/>
      <c r="VD97" s="12"/>
      <c r="VE97" s="12"/>
      <c r="VF97" s="12"/>
      <c r="VG97" s="12"/>
      <c r="VH97" s="12"/>
      <c r="VI97" s="12"/>
      <c r="VJ97" s="12"/>
      <c r="VK97" s="12"/>
      <c r="VL97" s="12"/>
      <c r="VM97" s="12"/>
      <c r="VN97" s="12"/>
      <c r="VO97" s="12"/>
      <c r="VP97" s="12"/>
      <c r="VQ97" s="12"/>
      <c r="VR97" s="12"/>
      <c r="VS97" s="12"/>
      <c r="VT97" s="12"/>
      <c r="VU97" s="12"/>
      <c r="VV97" s="12"/>
      <c r="VW97" s="12"/>
      <c r="VX97" s="12"/>
      <c r="VY97" s="12"/>
      <c r="VZ97" s="12"/>
      <c r="WA97" s="12"/>
      <c r="WB97" s="12"/>
      <c r="WC97" s="12"/>
      <c r="WD97" s="12"/>
      <c r="WE97" s="12"/>
      <c r="WF97" s="12"/>
      <c r="WG97" s="12"/>
      <c r="WH97" s="12"/>
      <c r="WI97" s="12"/>
      <c r="WJ97" s="12"/>
      <c r="WK97" s="12"/>
      <c r="WL97" s="12"/>
      <c r="WM97" s="12"/>
      <c r="WN97" s="12"/>
      <c r="WO97" s="12"/>
      <c r="WP97" s="12"/>
      <c r="WQ97" s="12"/>
      <c r="WR97" s="12"/>
      <c r="WS97" s="12"/>
      <c r="WT97" s="12"/>
      <c r="WU97" s="12"/>
      <c r="WV97" s="12"/>
      <c r="WW97" s="12"/>
      <c r="WX97" s="12"/>
      <c r="WY97" s="12"/>
      <c r="WZ97" s="12"/>
      <c r="XA97" s="12"/>
      <c r="XB97" s="12"/>
      <c r="XC97" s="12"/>
      <c r="XD97" s="12"/>
      <c r="XE97" s="12"/>
      <c r="XF97" s="12"/>
      <c r="XG97" s="12"/>
      <c r="XH97" s="12"/>
      <c r="XI97" s="12"/>
      <c r="XJ97" s="12"/>
      <c r="XK97" s="12"/>
      <c r="XL97" s="12"/>
      <c r="XM97" s="12"/>
      <c r="XN97" s="12"/>
      <c r="XO97" s="12"/>
      <c r="XP97" s="12"/>
      <c r="XQ97" s="12"/>
      <c r="XR97" s="12"/>
      <c r="XS97" s="12"/>
      <c r="XT97" s="12"/>
      <c r="XU97" s="12"/>
      <c r="XV97" s="12"/>
      <c r="XW97" s="12"/>
      <c r="XX97" s="12"/>
      <c r="XY97" s="12"/>
      <c r="XZ97" s="12"/>
      <c r="YA97" s="12"/>
      <c r="YB97" s="12"/>
      <c r="YC97" s="12"/>
      <c r="YD97" s="12"/>
      <c r="YE97" s="12"/>
      <c r="YF97" s="12"/>
      <c r="YG97" s="12"/>
      <c r="YH97" s="12"/>
      <c r="YI97" s="12"/>
      <c r="YJ97" s="12"/>
      <c r="YK97" s="12"/>
      <c r="YL97" s="12"/>
      <c r="YM97" s="12"/>
      <c r="YN97" s="12"/>
      <c r="YO97" s="12"/>
      <c r="YP97" s="12"/>
      <c r="YQ97" s="12"/>
      <c r="YR97" s="12"/>
      <c r="YS97" s="12"/>
      <c r="YT97" s="12"/>
      <c r="YU97" s="12"/>
      <c r="YV97" s="12"/>
      <c r="YW97" s="12"/>
      <c r="YX97" s="12"/>
      <c r="YY97" s="12"/>
      <c r="YZ97" s="12"/>
      <c r="ZA97" s="12"/>
      <c r="ZB97" s="12"/>
      <c r="ZC97" s="12"/>
      <c r="ZD97" s="12"/>
      <c r="ZE97" s="12"/>
      <c r="ZF97" s="12"/>
      <c r="ZG97" s="12"/>
      <c r="ZH97" s="12"/>
      <c r="ZI97" s="12"/>
      <c r="ZJ97" s="12"/>
      <c r="ZK97" s="12"/>
      <c r="ZL97" s="12"/>
      <c r="ZM97" s="12"/>
      <c r="ZN97" s="12"/>
      <c r="ZO97" s="12"/>
      <c r="ZP97" s="12"/>
      <c r="ZQ97" s="12"/>
      <c r="ZR97" s="12"/>
      <c r="ZS97" s="12"/>
      <c r="ZT97" s="12"/>
      <c r="ZU97" s="12"/>
      <c r="ZV97" s="12"/>
      <c r="ZW97" s="12"/>
      <c r="ZX97" s="12"/>
      <c r="ZY97" s="12"/>
      <c r="ZZ97" s="12"/>
      <c r="AAA97" s="12"/>
      <c r="AAB97" s="12"/>
      <c r="AAC97" s="12"/>
      <c r="AAD97" s="12"/>
      <c r="AAE97" s="12"/>
      <c r="AAF97" s="12"/>
      <c r="AAG97" s="12"/>
      <c r="AAH97" s="12"/>
      <c r="AAI97" s="12"/>
      <c r="AAJ97" s="12"/>
      <c r="AAK97" s="12"/>
      <c r="AAL97" s="12"/>
      <c r="AAM97" s="12"/>
      <c r="AAN97" s="12"/>
      <c r="AAO97" s="12"/>
      <c r="AAP97" s="12"/>
      <c r="AAQ97" s="12"/>
      <c r="AAR97" s="12"/>
      <c r="AAS97" s="12"/>
      <c r="AAT97" s="12"/>
      <c r="AAU97" s="12"/>
      <c r="AAV97" s="12"/>
      <c r="AAW97" s="12"/>
      <c r="AAX97" s="12"/>
      <c r="AAY97" s="12"/>
      <c r="AAZ97" s="12"/>
      <c r="ABA97" s="12"/>
      <c r="ABB97" s="12"/>
      <c r="ABC97" s="12"/>
      <c r="ABD97" s="12"/>
      <c r="ABE97" s="12"/>
      <c r="ABF97" s="12"/>
      <c r="ABG97" s="12"/>
      <c r="ABH97" s="12"/>
      <c r="ABI97" s="12"/>
      <c r="ABJ97" s="12"/>
      <c r="ABK97" s="12"/>
      <c r="ABL97" s="12"/>
      <c r="ABM97" s="12"/>
      <c r="ABN97" s="12"/>
      <c r="ABO97" s="12"/>
      <c r="ABP97" s="12"/>
      <c r="ABQ97" s="12"/>
      <c r="ABR97" s="12"/>
      <c r="ABS97" s="12"/>
      <c r="ABT97" s="12"/>
      <c r="ABU97" s="12"/>
      <c r="ABV97" s="12"/>
      <c r="ABW97" s="12"/>
      <c r="ABX97" s="12"/>
      <c r="ABY97" s="12"/>
      <c r="ABZ97" s="12"/>
      <c r="ACA97" s="12"/>
      <c r="ACB97" s="12"/>
      <c r="ACC97" s="12"/>
      <c r="ACD97" s="12"/>
      <c r="ACE97" s="12"/>
      <c r="ACF97" s="12"/>
      <c r="ACG97" s="12"/>
      <c r="ACH97" s="12"/>
      <c r="ACI97" s="12"/>
      <c r="ACJ97" s="12"/>
      <c r="ACK97" s="12"/>
      <c r="ACL97" s="12"/>
      <c r="ACM97" s="12"/>
      <c r="ACN97" s="12"/>
      <c r="ACO97" s="12"/>
      <c r="ACP97" s="12"/>
      <c r="ACQ97" s="12"/>
      <c r="ACR97" s="12"/>
      <c r="ACS97" s="12"/>
      <c r="ACT97" s="12"/>
      <c r="ACU97" s="12"/>
      <c r="ACV97" s="12"/>
      <c r="ACW97" s="12"/>
      <c r="ACX97" s="12"/>
      <c r="ACY97" s="12"/>
      <c r="ACZ97" s="12"/>
      <c r="ADA97" s="12"/>
      <c r="ADB97" s="12"/>
      <c r="ADC97" s="12"/>
      <c r="ADD97" s="12"/>
      <c r="ADE97" s="12"/>
      <c r="ADF97" s="12"/>
      <c r="ADG97" s="12"/>
      <c r="ADH97" s="12"/>
      <c r="ADI97" s="12"/>
      <c r="ADJ97" s="12"/>
      <c r="ADK97" s="12"/>
      <c r="ADL97" s="12"/>
      <c r="ADM97" s="12"/>
      <c r="ADN97" s="12"/>
      <c r="ADO97" s="12"/>
      <c r="ADP97" s="12"/>
      <c r="ADQ97" s="12"/>
      <c r="ADR97" s="12"/>
      <c r="ADS97" s="12"/>
      <c r="ADT97" s="12"/>
      <c r="ADU97" s="12"/>
      <c r="ADV97" s="12"/>
      <c r="ADW97" s="12"/>
      <c r="ADX97" s="12"/>
      <c r="ADY97" s="12"/>
      <c r="ADZ97" s="12"/>
      <c r="AEA97" s="12"/>
      <c r="AEB97" s="12"/>
      <c r="AEC97" s="12"/>
      <c r="AED97" s="12"/>
      <c r="AEE97" s="12"/>
      <c r="AEF97" s="12"/>
      <c r="AEG97" s="12"/>
      <c r="AEH97" s="12"/>
      <c r="AEI97" s="12"/>
      <c r="AEJ97" s="12"/>
      <c r="AEK97" s="12"/>
      <c r="AEL97" s="12"/>
      <c r="AEM97" s="12"/>
      <c r="AEN97" s="12"/>
      <c r="AEO97" s="12"/>
      <c r="AEP97" s="12"/>
      <c r="AEQ97" s="12"/>
      <c r="AER97" s="12"/>
      <c r="AES97" s="12"/>
      <c r="AET97" s="12"/>
      <c r="AEU97" s="12"/>
      <c r="AEV97" s="12"/>
      <c r="AEW97" s="12"/>
      <c r="AEX97" s="12"/>
      <c r="AEY97" s="12"/>
      <c r="AEZ97" s="12"/>
      <c r="AFA97" s="12"/>
      <c r="AFB97" s="12"/>
      <c r="AFC97" s="12"/>
      <c r="AFD97" s="12"/>
      <c r="AFE97" s="12"/>
      <c r="AFF97" s="12"/>
      <c r="AFG97" s="12"/>
      <c r="AFH97" s="12"/>
      <c r="AFI97" s="12"/>
      <c r="AFJ97" s="12"/>
      <c r="AFK97" s="12"/>
      <c r="AFL97" s="12"/>
      <c r="AFM97" s="12"/>
      <c r="AFN97" s="12"/>
      <c r="AFO97" s="12"/>
      <c r="AFP97" s="12"/>
      <c r="AFQ97" s="12"/>
      <c r="AFR97" s="12"/>
      <c r="AFS97" s="12"/>
      <c r="AFT97" s="12"/>
      <c r="AFU97" s="12"/>
      <c r="AFV97" s="12"/>
      <c r="AFW97" s="12"/>
      <c r="AFX97" s="12"/>
      <c r="AFY97" s="12"/>
      <c r="AFZ97" s="12"/>
      <c r="AGA97" s="12"/>
      <c r="AGB97" s="12"/>
      <c r="AGC97" s="12"/>
      <c r="AGD97" s="12"/>
      <c r="AGE97" s="12"/>
      <c r="AGF97" s="12"/>
      <c r="AGG97" s="12"/>
      <c r="AGH97" s="12"/>
      <c r="AGI97" s="12"/>
      <c r="AGJ97" s="12"/>
      <c r="AGK97" s="12"/>
      <c r="AGL97" s="12"/>
      <c r="AGM97" s="12"/>
      <c r="AGN97" s="12"/>
      <c r="AGO97" s="12"/>
      <c r="AGP97" s="12"/>
      <c r="AGQ97" s="12"/>
      <c r="AGR97" s="12"/>
      <c r="AGS97" s="12"/>
      <c r="AGT97" s="12"/>
      <c r="AGU97" s="12"/>
      <c r="AGV97" s="12"/>
      <c r="AGW97" s="12"/>
      <c r="AGX97" s="12"/>
      <c r="AGY97" s="12"/>
      <c r="AGZ97" s="12"/>
      <c r="AHA97" s="12"/>
      <c r="AHB97" s="12"/>
      <c r="AHC97" s="12"/>
      <c r="AHD97" s="12"/>
      <c r="AHE97" s="12"/>
      <c r="AHF97" s="12"/>
      <c r="AHG97" s="12"/>
      <c r="AHH97" s="12"/>
      <c r="AHI97" s="12"/>
      <c r="AHJ97" s="12"/>
      <c r="AHK97" s="12"/>
      <c r="AHL97" s="12"/>
      <c r="AHM97" s="12"/>
      <c r="AHN97" s="12"/>
      <c r="AHO97" s="12"/>
      <c r="AHP97" s="12"/>
      <c r="AHQ97" s="12"/>
      <c r="AHR97" s="12"/>
      <c r="AHS97" s="12"/>
      <c r="AHT97" s="12"/>
      <c r="AHU97" s="12"/>
      <c r="AHV97" s="12"/>
      <c r="AHW97" s="12"/>
      <c r="AHX97" s="12"/>
      <c r="AHY97" s="12"/>
      <c r="AHZ97" s="12"/>
      <c r="AIA97" s="12"/>
      <c r="AIB97" s="12"/>
      <c r="AIC97" s="12"/>
      <c r="AID97" s="12"/>
      <c r="AIE97" s="12"/>
      <c r="AIF97" s="12"/>
      <c r="AIG97" s="12"/>
      <c r="AIH97" s="12"/>
      <c r="AII97" s="12"/>
      <c r="AIJ97" s="12"/>
      <c r="AIK97" s="12"/>
      <c r="AIL97" s="12"/>
      <c r="AIM97" s="12"/>
      <c r="AIN97" s="12"/>
      <c r="AIO97" s="12"/>
      <c r="AIP97" s="12"/>
      <c r="AIQ97" s="12"/>
      <c r="AIR97" s="12"/>
      <c r="AIS97" s="12"/>
      <c r="AIT97" s="12"/>
      <c r="AIU97" s="12"/>
      <c r="AIV97" s="12"/>
      <c r="AIW97" s="12"/>
      <c r="AIX97" s="12"/>
      <c r="AIY97" s="12"/>
      <c r="AIZ97" s="12"/>
      <c r="AJA97" s="12"/>
      <c r="AJB97" s="12"/>
      <c r="AJC97" s="12"/>
      <c r="AJD97" s="12"/>
      <c r="AJE97" s="12"/>
      <c r="AJF97" s="12"/>
      <c r="AJG97" s="12"/>
      <c r="AJH97" s="12"/>
      <c r="AJI97" s="12"/>
      <c r="AJJ97" s="12"/>
      <c r="AJK97" s="12"/>
      <c r="AJL97" s="12"/>
      <c r="AJM97" s="12"/>
      <c r="AJN97" s="12"/>
      <c r="AJO97" s="12"/>
      <c r="AJP97" s="12"/>
      <c r="AJQ97" s="12"/>
      <c r="AJR97" s="12"/>
      <c r="AJS97" s="12"/>
      <c r="AJT97" s="12"/>
      <c r="AJU97" s="12"/>
      <c r="AJV97" s="12"/>
      <c r="AJW97" s="12"/>
      <c r="AJX97" s="12"/>
      <c r="AJY97" s="12"/>
      <c r="AJZ97" s="12"/>
      <c r="AKA97" s="12"/>
      <c r="AKB97" s="12"/>
      <c r="AKC97" s="12"/>
      <c r="AKD97" s="12"/>
      <c r="AKE97" s="12"/>
      <c r="AKF97" s="12"/>
      <c r="AKG97" s="12"/>
      <c r="AKH97" s="12"/>
      <c r="AKI97" s="12"/>
      <c r="AKJ97" s="12"/>
      <c r="AKK97" s="12"/>
      <c r="AKL97" s="12"/>
      <c r="AKM97" s="12"/>
      <c r="AKN97" s="12"/>
      <c r="AKO97" s="12"/>
      <c r="AKP97" s="12"/>
      <c r="AKQ97" s="12"/>
      <c r="AKR97" s="12"/>
      <c r="AKS97" s="12"/>
      <c r="AKT97" s="12"/>
      <c r="AKU97" s="12"/>
      <c r="AKV97" s="12"/>
      <c r="AKW97" s="12"/>
      <c r="AKX97" s="12"/>
      <c r="AKY97" s="12"/>
      <c r="AKZ97" s="12"/>
      <c r="ALA97" s="12"/>
      <c r="ALB97" s="12"/>
      <c r="ALC97" s="12"/>
      <c r="ALD97" s="12"/>
      <c r="ALE97" s="12"/>
      <c r="ALF97" s="12"/>
      <c r="ALG97" s="12"/>
      <c r="ALH97" s="12"/>
      <c r="ALI97" s="12"/>
      <c r="ALJ97" s="12"/>
      <c r="ALK97" s="12"/>
      <c r="ALL97" s="12"/>
      <c r="ALM97" s="12"/>
      <c r="ALN97" s="12"/>
      <c r="ALO97" s="12"/>
      <c r="ALP97" s="12"/>
      <c r="ALQ97" s="12"/>
      <c r="ALR97" s="12"/>
      <c r="ALS97" s="12"/>
      <c r="ALT97" s="12"/>
      <c r="ALU97" s="12"/>
      <c r="ALV97" s="12"/>
      <c r="ALW97" s="12"/>
      <c r="ALX97" s="12"/>
      <c r="ALY97" s="12"/>
      <c r="ALZ97" s="12"/>
      <c r="AMA97" s="12"/>
      <c r="AMB97" s="12"/>
      <c r="AMC97" s="12"/>
      <c r="AMD97" s="12"/>
      <c r="AME97" s="12"/>
      <c r="AMF97" s="12"/>
      <c r="AMG97" s="12"/>
      <c r="AMH97" s="12"/>
      <c r="AMI97" s="12"/>
      <c r="AMJ97" s="12"/>
      <c r="AMK97" s="12"/>
      <c r="AML97" s="12"/>
      <c r="AMM97" s="12"/>
      <c r="AMN97" s="12"/>
      <c r="AMO97" s="12"/>
      <c r="AMP97" s="12"/>
      <c r="AMQ97" s="12"/>
      <c r="AMR97" s="12"/>
      <c r="AMS97" s="12"/>
      <c r="AMT97" s="12"/>
      <c r="AMU97" s="12"/>
      <c r="AMV97" s="12"/>
      <c r="AMW97" s="12"/>
      <c r="AMX97" s="12"/>
      <c r="AMY97" s="12"/>
      <c r="AMZ97" s="12"/>
      <c r="ANA97" s="12"/>
      <c r="ANB97" s="12"/>
      <c r="ANC97" s="12"/>
      <c r="AND97" s="12"/>
      <c r="ANE97" s="12"/>
      <c r="ANF97" s="12"/>
      <c r="ANG97" s="12"/>
      <c r="ANH97" s="12"/>
      <c r="ANI97" s="12"/>
      <c r="ANJ97" s="12"/>
      <c r="ANK97" s="12"/>
      <c r="ANL97" s="12"/>
      <c r="ANM97" s="12"/>
      <c r="ANN97" s="12"/>
      <c r="ANO97" s="12"/>
      <c r="ANP97" s="12"/>
      <c r="ANQ97" s="12"/>
      <c r="ANR97" s="12"/>
      <c r="ANS97" s="12"/>
      <c r="ANT97" s="12"/>
      <c r="ANU97" s="12"/>
      <c r="ANV97" s="12"/>
      <c r="ANW97" s="12"/>
      <c r="ANX97" s="12"/>
      <c r="ANY97" s="12"/>
      <c r="ANZ97" s="12"/>
      <c r="AOA97" s="12"/>
      <c r="AOB97" s="12"/>
      <c r="AOC97" s="12"/>
      <c r="AOD97" s="12"/>
      <c r="AOE97" s="12"/>
      <c r="AOF97" s="12"/>
      <c r="AOG97" s="12"/>
      <c r="AOH97" s="12"/>
      <c r="AOI97" s="12"/>
      <c r="AOJ97" s="12"/>
      <c r="AOK97" s="12"/>
      <c r="AOL97" s="12"/>
      <c r="AOM97" s="12"/>
      <c r="AON97" s="12"/>
      <c r="AOO97" s="12"/>
      <c r="AOP97" s="12"/>
      <c r="AOQ97" s="12"/>
      <c r="AOR97" s="12"/>
      <c r="AOS97" s="12"/>
      <c r="AOT97" s="12"/>
      <c r="AOU97" s="12"/>
      <c r="AOV97" s="12"/>
      <c r="AOW97" s="12"/>
      <c r="AOX97" s="12"/>
      <c r="AOY97" s="12"/>
      <c r="AOZ97" s="12"/>
      <c r="APA97" s="12"/>
      <c r="APB97" s="12"/>
      <c r="APC97" s="12"/>
      <c r="APD97" s="12"/>
      <c r="APE97" s="12"/>
      <c r="APF97" s="12"/>
      <c r="APG97" s="12"/>
      <c r="APH97" s="12"/>
      <c r="API97" s="12"/>
      <c r="APJ97" s="12"/>
      <c r="APK97" s="12"/>
      <c r="APL97" s="12"/>
      <c r="APM97" s="12"/>
      <c r="APN97" s="12"/>
      <c r="APO97" s="12"/>
      <c r="APP97" s="12"/>
      <c r="APQ97" s="12"/>
      <c r="APR97" s="12"/>
      <c r="APS97" s="12"/>
      <c r="APT97" s="12"/>
      <c r="APU97" s="12"/>
      <c r="APV97" s="12"/>
      <c r="APW97" s="12"/>
      <c r="APX97" s="12"/>
      <c r="APY97" s="12"/>
      <c r="APZ97" s="12"/>
      <c r="AQA97" s="12"/>
      <c r="AQB97" s="12"/>
      <c r="AQC97" s="12"/>
      <c r="AQD97" s="12"/>
      <c r="AQE97" s="12"/>
      <c r="AQF97" s="12"/>
      <c r="AQG97" s="12"/>
      <c r="AQH97" s="12"/>
      <c r="AQI97" s="12"/>
      <c r="AQJ97" s="12"/>
      <c r="AQK97" s="12"/>
      <c r="AQL97" s="12"/>
      <c r="AQM97" s="12"/>
      <c r="AQN97" s="12"/>
      <c r="AQO97" s="12"/>
      <c r="AQP97" s="12"/>
      <c r="AQQ97" s="12"/>
      <c r="AQR97" s="12"/>
      <c r="AQS97" s="12"/>
      <c r="AQT97" s="12"/>
      <c r="AQU97" s="12"/>
      <c r="AQV97" s="12"/>
      <c r="AQW97" s="12"/>
      <c r="AQX97" s="12"/>
      <c r="AQY97" s="12"/>
      <c r="AQZ97" s="12"/>
      <c r="ARA97" s="12"/>
      <c r="ARB97" s="12"/>
      <c r="ARC97" s="12"/>
      <c r="ARD97" s="12"/>
      <c r="ARE97" s="12"/>
      <c r="ARF97" s="12"/>
      <c r="ARG97" s="12"/>
      <c r="ARH97" s="12"/>
      <c r="ARI97" s="12"/>
      <c r="ARJ97" s="12"/>
      <c r="ARK97" s="12"/>
      <c r="ARL97" s="12"/>
      <c r="ARM97" s="12"/>
      <c r="ARN97" s="12"/>
      <c r="ARO97" s="12"/>
      <c r="ARP97" s="12"/>
      <c r="ARQ97" s="12"/>
      <c r="ARR97" s="12"/>
      <c r="ARS97" s="12"/>
      <c r="ART97" s="12"/>
      <c r="ARU97" s="12"/>
      <c r="ARV97" s="12"/>
      <c r="ARW97" s="12"/>
      <c r="ARX97" s="12"/>
      <c r="ARY97" s="12"/>
      <c r="ARZ97" s="12"/>
      <c r="ASA97" s="12"/>
      <c r="ASB97" s="12"/>
      <c r="ASC97" s="12"/>
      <c r="ASD97" s="12"/>
      <c r="ASE97" s="12"/>
      <c r="ASF97" s="12"/>
      <c r="ASG97" s="12"/>
      <c r="ASH97" s="12"/>
      <c r="ASI97" s="12"/>
      <c r="ASJ97" s="12"/>
      <c r="ASK97" s="12"/>
      <c r="ASL97" s="12"/>
      <c r="ASM97" s="12"/>
      <c r="ASN97" s="12"/>
      <c r="ASO97" s="12"/>
      <c r="ASP97" s="12"/>
      <c r="ASQ97" s="12"/>
      <c r="ASR97" s="12"/>
      <c r="ASS97" s="12"/>
      <c r="AST97" s="12"/>
      <c r="ASU97" s="12"/>
      <c r="ASV97" s="12"/>
      <c r="ASW97" s="12"/>
      <c r="ASX97" s="12"/>
      <c r="ASY97" s="12"/>
      <c r="ASZ97" s="12"/>
      <c r="ATA97" s="12"/>
      <c r="ATB97" s="12"/>
      <c r="ATC97" s="12"/>
      <c r="ATD97" s="12"/>
      <c r="ATE97" s="12"/>
      <c r="ATF97" s="12"/>
      <c r="ATG97" s="12"/>
      <c r="ATH97" s="12"/>
      <c r="ATI97" s="12"/>
      <c r="ATJ97" s="12"/>
      <c r="ATK97" s="12"/>
      <c r="ATL97" s="12"/>
      <c r="ATM97" s="12"/>
      <c r="ATN97" s="12"/>
      <c r="ATO97" s="12"/>
      <c r="ATP97" s="12"/>
      <c r="ATQ97" s="12"/>
      <c r="ATR97" s="12"/>
      <c r="ATS97" s="12"/>
      <c r="ATT97" s="12"/>
      <c r="ATU97" s="12"/>
      <c r="ATV97" s="12"/>
      <c r="ATW97" s="12"/>
      <c r="ATX97" s="12"/>
      <c r="ATY97" s="12"/>
      <c r="ATZ97" s="12"/>
      <c r="AUA97" s="12"/>
      <c r="AUB97" s="12"/>
      <c r="AUC97" s="12"/>
      <c r="AUD97" s="12"/>
      <c r="AUE97" s="12"/>
      <c r="AUF97" s="12"/>
      <c r="AUG97" s="12"/>
      <c r="AUH97" s="12"/>
      <c r="AUI97" s="12"/>
      <c r="AUJ97" s="12"/>
      <c r="AUK97" s="12"/>
      <c r="AUL97" s="12"/>
      <c r="AUM97" s="12"/>
      <c r="AUN97" s="12"/>
      <c r="AUO97" s="12"/>
      <c r="AUP97" s="12"/>
      <c r="AUQ97" s="12"/>
      <c r="AUR97" s="12"/>
      <c r="AUS97" s="12"/>
      <c r="AUT97" s="12"/>
      <c r="AUU97" s="12"/>
      <c r="AUV97" s="12"/>
      <c r="AUW97" s="12"/>
      <c r="AUX97" s="12"/>
      <c r="AUY97" s="12"/>
      <c r="AUZ97" s="12"/>
      <c r="AVA97" s="12"/>
      <c r="AVB97" s="12"/>
      <c r="AVC97" s="12"/>
      <c r="AVD97" s="12"/>
      <c r="AVE97" s="12"/>
      <c r="AVF97" s="12"/>
      <c r="AVG97" s="12"/>
      <c r="AVH97" s="12"/>
      <c r="AVI97" s="12"/>
      <c r="AVJ97" s="12"/>
      <c r="AVK97" s="12"/>
      <c r="AVL97" s="12"/>
      <c r="AVM97" s="12"/>
      <c r="AVN97" s="12"/>
      <c r="AVO97" s="12"/>
      <c r="AVP97" s="12"/>
      <c r="AVQ97" s="12"/>
      <c r="AVR97" s="12"/>
      <c r="AVS97" s="12"/>
      <c r="AVT97" s="12"/>
      <c r="AVU97" s="12"/>
      <c r="AVV97" s="12"/>
      <c r="AVW97" s="12"/>
      <c r="AVX97" s="12"/>
      <c r="AVY97" s="12"/>
      <c r="AVZ97" s="12"/>
      <c r="AWA97" s="12"/>
      <c r="AWB97" s="12"/>
      <c r="AWC97" s="12"/>
      <c r="AWD97" s="12"/>
      <c r="AWE97" s="12"/>
      <c r="AWF97" s="12"/>
      <c r="AWG97" s="12"/>
      <c r="AWH97" s="12"/>
      <c r="AWI97" s="12"/>
      <c r="AWJ97" s="12"/>
      <c r="AWK97" s="12"/>
      <c r="AWL97" s="12"/>
      <c r="AWM97" s="12"/>
      <c r="AWN97" s="12"/>
      <c r="AWO97" s="12"/>
      <c r="AWP97" s="12"/>
      <c r="AWQ97" s="12"/>
      <c r="AWR97" s="12"/>
      <c r="AWS97" s="12"/>
      <c r="AWT97" s="12"/>
      <c r="AWU97" s="12"/>
      <c r="AWV97" s="12"/>
      <c r="AWW97" s="12"/>
      <c r="AWX97" s="12"/>
      <c r="AWY97" s="12"/>
      <c r="AWZ97" s="12"/>
      <c r="AXA97" s="12"/>
      <c r="AXB97" s="12"/>
      <c r="AXC97" s="12"/>
      <c r="AXD97" s="12"/>
      <c r="AXE97" s="12"/>
      <c r="AXF97" s="12"/>
      <c r="AXG97" s="12"/>
      <c r="AXH97" s="12"/>
      <c r="AXI97" s="12"/>
      <c r="AXJ97" s="12"/>
      <c r="AXK97" s="12"/>
      <c r="AXL97" s="12"/>
      <c r="AXM97" s="12"/>
      <c r="AXN97" s="12"/>
      <c r="AXO97" s="12"/>
      <c r="AXP97" s="12"/>
      <c r="AXQ97" s="12"/>
      <c r="AXR97" s="12"/>
      <c r="AXS97" s="12"/>
      <c r="AXT97" s="12"/>
      <c r="AXU97" s="12"/>
      <c r="AXV97" s="12"/>
      <c r="AXW97" s="12"/>
      <c r="AXX97" s="12"/>
      <c r="AXY97" s="12"/>
      <c r="AXZ97" s="12"/>
      <c r="AYA97" s="12"/>
      <c r="AYB97" s="12"/>
      <c r="AYC97" s="12"/>
      <c r="AYD97" s="12"/>
      <c r="AYE97" s="12"/>
      <c r="AYF97" s="12"/>
      <c r="AYG97" s="12"/>
      <c r="AYH97" s="12"/>
      <c r="AYI97" s="12"/>
      <c r="AYJ97" s="12"/>
      <c r="AYK97" s="12"/>
      <c r="AYL97" s="12"/>
      <c r="AYM97" s="12"/>
      <c r="AYN97" s="12"/>
      <c r="AYO97" s="12"/>
      <c r="AYP97" s="12"/>
      <c r="AYQ97" s="12"/>
      <c r="AYR97" s="12"/>
      <c r="AYS97" s="12"/>
      <c r="AYT97" s="12"/>
      <c r="AYU97" s="12"/>
      <c r="AYV97" s="12"/>
      <c r="AYW97" s="12"/>
      <c r="AYX97" s="12"/>
      <c r="AYY97" s="12"/>
      <c r="AYZ97" s="12"/>
      <c r="AZA97" s="12"/>
      <c r="AZB97" s="12"/>
      <c r="AZC97" s="12"/>
      <c r="AZD97" s="12"/>
      <c r="AZE97" s="12"/>
      <c r="AZF97" s="12"/>
      <c r="AZG97" s="12"/>
      <c r="AZH97" s="12"/>
      <c r="AZI97" s="12"/>
      <c r="AZJ97" s="12"/>
      <c r="AZK97" s="12"/>
      <c r="AZL97" s="12"/>
      <c r="AZM97" s="12"/>
      <c r="AZN97" s="12"/>
      <c r="AZO97" s="12"/>
      <c r="AZP97" s="12"/>
      <c r="AZQ97" s="12"/>
      <c r="AZR97" s="12"/>
      <c r="AZS97" s="12"/>
      <c r="AZT97" s="12"/>
      <c r="AZU97" s="12"/>
      <c r="AZV97" s="12"/>
      <c r="AZW97" s="12"/>
      <c r="AZX97" s="12"/>
      <c r="AZY97" s="12"/>
      <c r="AZZ97" s="12"/>
      <c r="BAA97" s="12"/>
      <c r="BAB97" s="12"/>
      <c r="BAC97" s="12"/>
      <c r="BAD97" s="12"/>
      <c r="BAE97" s="12"/>
      <c r="BAF97" s="12"/>
      <c r="BAG97" s="12"/>
      <c r="BAH97" s="12"/>
      <c r="BAI97" s="12"/>
      <c r="BAJ97" s="12"/>
      <c r="BAK97" s="12"/>
      <c r="BAL97" s="12"/>
      <c r="BAM97" s="12"/>
      <c r="BAN97" s="12"/>
      <c r="BAO97" s="12"/>
      <c r="BAP97" s="12"/>
      <c r="BAQ97" s="12"/>
      <c r="BAR97" s="12"/>
      <c r="BAS97" s="12"/>
      <c r="BAT97" s="12"/>
      <c r="BAU97" s="12"/>
      <c r="BAV97" s="12"/>
      <c r="BAW97" s="12"/>
      <c r="BAX97" s="12"/>
      <c r="BAY97" s="12"/>
      <c r="BAZ97" s="12"/>
      <c r="BBA97" s="12"/>
      <c r="BBB97" s="12"/>
      <c r="BBC97" s="12"/>
      <c r="BBD97" s="12"/>
      <c r="BBE97" s="12"/>
      <c r="BBF97" s="12"/>
      <c r="BBG97" s="12"/>
      <c r="BBH97" s="12"/>
      <c r="BBI97" s="12"/>
      <c r="BBJ97" s="12"/>
      <c r="BBK97" s="12"/>
      <c r="BBL97" s="12"/>
      <c r="BBM97" s="12"/>
      <c r="BBN97" s="12"/>
      <c r="BBO97" s="12"/>
      <c r="BBP97" s="12"/>
      <c r="BBQ97" s="12"/>
      <c r="BBR97" s="12"/>
      <c r="BBS97" s="12"/>
      <c r="BBT97" s="12"/>
      <c r="BBU97" s="12"/>
      <c r="BBV97" s="12"/>
      <c r="BBW97" s="12"/>
      <c r="BBX97" s="12"/>
      <c r="BBY97" s="12"/>
      <c r="BBZ97" s="12"/>
      <c r="BCA97" s="12"/>
      <c r="BCB97" s="12"/>
      <c r="BCC97" s="12"/>
      <c r="BCD97" s="12"/>
      <c r="BCE97" s="12"/>
      <c r="BCF97" s="12"/>
      <c r="BCG97" s="12"/>
      <c r="BCH97" s="12"/>
      <c r="BCI97" s="12"/>
      <c r="BCJ97" s="12"/>
      <c r="BCK97" s="12"/>
      <c r="BCL97" s="12"/>
      <c r="BCM97" s="12"/>
      <c r="BCN97" s="12"/>
      <c r="BCO97" s="12"/>
      <c r="BCP97" s="12"/>
      <c r="BCQ97" s="12"/>
      <c r="BCR97" s="12"/>
      <c r="BCS97" s="12"/>
      <c r="BCT97" s="12"/>
      <c r="BCU97" s="12"/>
      <c r="BCV97" s="12"/>
      <c r="BCW97" s="12"/>
      <c r="BCX97" s="12"/>
      <c r="BCY97" s="12"/>
      <c r="BCZ97" s="12"/>
      <c r="BDA97" s="12"/>
      <c r="BDB97" s="12"/>
      <c r="BDC97" s="12"/>
      <c r="BDD97" s="12"/>
      <c r="BDE97" s="12"/>
      <c r="BDF97" s="12"/>
      <c r="BDG97" s="12"/>
      <c r="BDH97" s="12"/>
      <c r="BDI97" s="12"/>
      <c r="BDJ97" s="12"/>
      <c r="BDK97" s="12"/>
      <c r="BDL97" s="12"/>
      <c r="BDM97" s="12"/>
      <c r="BDN97" s="12"/>
      <c r="BDO97" s="12"/>
      <c r="BDP97" s="12"/>
      <c r="BDQ97" s="12"/>
      <c r="BDR97" s="12"/>
      <c r="BDS97" s="12"/>
      <c r="BDT97" s="12"/>
      <c r="BDU97" s="12"/>
      <c r="BDV97" s="12"/>
      <c r="BDW97" s="12"/>
      <c r="BDX97" s="12"/>
      <c r="BDY97" s="12"/>
      <c r="BDZ97" s="12"/>
      <c r="BEA97" s="12"/>
      <c r="BEB97" s="12"/>
      <c r="BEC97" s="12"/>
      <c r="BED97" s="12"/>
      <c r="BEE97" s="12"/>
      <c r="BEF97" s="12"/>
      <c r="BEG97" s="12"/>
      <c r="BEH97" s="12"/>
      <c r="BEI97" s="12"/>
      <c r="BEJ97" s="12"/>
      <c r="BEK97" s="12"/>
      <c r="BEL97" s="12"/>
      <c r="BEM97" s="12"/>
      <c r="BEN97" s="12"/>
      <c r="BEO97" s="12"/>
      <c r="BEP97" s="12"/>
      <c r="BEQ97" s="12"/>
      <c r="BER97" s="12"/>
      <c r="BES97" s="12"/>
      <c r="BET97" s="12"/>
      <c r="BEU97" s="12"/>
      <c r="BEV97" s="12"/>
      <c r="BEW97" s="12"/>
      <c r="BEX97" s="12"/>
      <c r="BEY97" s="12"/>
      <c r="BEZ97" s="12"/>
      <c r="BFA97" s="12"/>
      <c r="BFB97" s="12"/>
      <c r="BFC97" s="12"/>
      <c r="BFD97" s="12"/>
      <c r="BFE97" s="12"/>
      <c r="BFF97" s="12"/>
      <c r="BFG97" s="12"/>
      <c r="BFH97" s="12"/>
      <c r="BFI97" s="12"/>
      <c r="BFJ97" s="12"/>
      <c r="BFK97" s="12"/>
      <c r="BFL97" s="12"/>
      <c r="BFM97" s="12"/>
      <c r="BFN97" s="12"/>
      <c r="BFO97" s="12"/>
      <c r="BFP97" s="12"/>
      <c r="BFQ97" s="12"/>
      <c r="BFR97" s="12"/>
      <c r="BFS97" s="12"/>
      <c r="BFT97" s="12"/>
      <c r="BFU97" s="12"/>
      <c r="BFV97" s="12"/>
      <c r="BFW97" s="12"/>
      <c r="BFX97" s="12"/>
      <c r="BFY97" s="12"/>
      <c r="BFZ97" s="12"/>
      <c r="BGA97" s="12"/>
      <c r="BGB97" s="12"/>
      <c r="BGC97" s="12"/>
      <c r="BGD97" s="12"/>
      <c r="BGE97" s="12"/>
      <c r="BGF97" s="12"/>
      <c r="BGG97" s="12"/>
      <c r="BGH97" s="12"/>
      <c r="BGI97" s="12"/>
      <c r="BGJ97" s="12"/>
      <c r="BGK97" s="12"/>
      <c r="BGL97" s="12"/>
      <c r="BGM97" s="12"/>
      <c r="BGN97" s="12"/>
      <c r="BGO97" s="12"/>
      <c r="BGP97" s="12"/>
      <c r="BGQ97" s="12"/>
      <c r="BGR97" s="12"/>
      <c r="BGS97" s="12"/>
      <c r="BGT97" s="12"/>
      <c r="BGU97" s="12"/>
      <c r="BGV97" s="12"/>
      <c r="BGW97" s="12"/>
      <c r="BGX97" s="12"/>
      <c r="BGY97" s="12"/>
      <c r="BGZ97" s="12"/>
      <c r="BHA97" s="12"/>
      <c r="BHB97" s="12"/>
      <c r="BHC97" s="12"/>
      <c r="BHD97" s="12"/>
      <c r="BHE97" s="12"/>
      <c r="BHF97" s="12"/>
      <c r="BHG97" s="12"/>
      <c r="BHH97" s="12"/>
      <c r="BHI97" s="12"/>
      <c r="BHJ97" s="12"/>
      <c r="BHK97" s="12"/>
      <c r="BHL97" s="12"/>
      <c r="BHM97" s="12"/>
      <c r="BHN97" s="12"/>
      <c r="BHO97" s="12"/>
      <c r="BHP97" s="12"/>
      <c r="BHQ97" s="12"/>
      <c r="BHR97" s="12"/>
      <c r="BHS97" s="12"/>
      <c r="BHT97" s="12"/>
      <c r="BHU97" s="12"/>
      <c r="BHV97" s="12"/>
      <c r="BHW97" s="12"/>
      <c r="BHX97" s="12"/>
      <c r="BHY97" s="12"/>
      <c r="BHZ97" s="12"/>
      <c r="BIA97" s="12"/>
      <c r="BIB97" s="12"/>
      <c r="BIC97" s="12"/>
      <c r="BID97" s="12"/>
      <c r="BIE97" s="12"/>
      <c r="BIF97" s="12"/>
      <c r="BIG97" s="12"/>
      <c r="BIH97" s="12"/>
      <c r="BII97" s="12"/>
      <c r="BIJ97" s="12"/>
      <c r="BIK97" s="12"/>
      <c r="BIL97" s="12"/>
      <c r="BIM97" s="12"/>
      <c r="BIN97" s="12"/>
      <c r="BIO97" s="12"/>
      <c r="BIP97" s="12"/>
      <c r="BIQ97" s="12"/>
      <c r="BIR97" s="12"/>
      <c r="BIS97" s="12"/>
      <c r="BIT97" s="12"/>
      <c r="BIU97" s="12"/>
      <c r="BIV97" s="12"/>
      <c r="BIW97" s="12"/>
      <c r="BIX97" s="12"/>
      <c r="BIY97" s="12"/>
      <c r="BIZ97" s="12"/>
      <c r="BJA97" s="12"/>
      <c r="BJB97" s="12"/>
      <c r="BJC97" s="12"/>
      <c r="BJD97" s="12"/>
      <c r="BJE97" s="12"/>
      <c r="BJF97" s="12"/>
      <c r="BJG97" s="12"/>
      <c r="BJH97" s="12"/>
      <c r="BJI97" s="12"/>
      <c r="BJJ97" s="12"/>
      <c r="BJK97" s="12"/>
      <c r="BJL97" s="12"/>
      <c r="BJM97" s="12"/>
      <c r="BJN97" s="12"/>
      <c r="BJO97" s="12"/>
      <c r="BJP97" s="12"/>
      <c r="BJQ97" s="12"/>
      <c r="BJR97" s="12"/>
      <c r="BJS97" s="12"/>
      <c r="BJT97" s="12"/>
      <c r="BJU97" s="12"/>
      <c r="BJV97" s="12"/>
      <c r="BJW97" s="12"/>
      <c r="BJX97" s="12"/>
      <c r="BJY97" s="12"/>
      <c r="BJZ97" s="12"/>
      <c r="BKA97" s="12"/>
      <c r="BKB97" s="12"/>
      <c r="BKC97" s="12"/>
      <c r="BKD97" s="12"/>
      <c r="BKE97" s="12"/>
      <c r="BKF97" s="12"/>
      <c r="BKG97" s="12"/>
      <c r="BKH97" s="12"/>
      <c r="BKI97" s="12"/>
      <c r="BKJ97" s="12"/>
      <c r="BKK97" s="12"/>
      <c r="BKL97" s="12"/>
      <c r="BKM97" s="12"/>
      <c r="BKN97" s="12"/>
      <c r="BKO97" s="12"/>
      <c r="BKP97" s="12"/>
      <c r="BKQ97" s="12"/>
      <c r="BKR97" s="12"/>
      <c r="BKS97" s="12"/>
      <c r="BKT97" s="12"/>
      <c r="BKU97" s="12"/>
      <c r="BKV97" s="12"/>
      <c r="BKW97" s="12"/>
      <c r="BKX97" s="12"/>
      <c r="BKY97" s="12"/>
      <c r="BKZ97" s="12"/>
      <c r="BLA97" s="12"/>
      <c r="BLB97" s="12"/>
      <c r="BLC97" s="12"/>
      <c r="BLD97" s="12"/>
      <c r="BLE97" s="12"/>
      <c r="BLF97" s="12"/>
      <c r="BLG97" s="12"/>
      <c r="BLH97" s="12"/>
      <c r="BLI97" s="12"/>
      <c r="BLJ97" s="12"/>
      <c r="BLK97" s="12"/>
      <c r="BLL97" s="12"/>
      <c r="BLM97" s="12"/>
      <c r="BLN97" s="12"/>
      <c r="BLO97" s="12"/>
      <c r="BLP97" s="12"/>
      <c r="BLQ97" s="12"/>
      <c r="BLR97" s="12"/>
      <c r="BLS97" s="12"/>
      <c r="BLT97" s="12"/>
      <c r="BLU97" s="12"/>
      <c r="BLV97" s="12"/>
      <c r="BLW97" s="12"/>
      <c r="BLX97" s="12"/>
      <c r="BLY97" s="12"/>
      <c r="BLZ97" s="12"/>
      <c r="BMA97" s="12"/>
      <c r="BMB97" s="12"/>
      <c r="BMC97" s="12"/>
      <c r="BMD97" s="12"/>
      <c r="BME97" s="12"/>
      <c r="BMF97" s="12"/>
      <c r="BMG97" s="12"/>
      <c r="BMH97" s="12"/>
      <c r="BMI97" s="12"/>
      <c r="BMJ97" s="12"/>
      <c r="BMK97" s="12"/>
      <c r="BML97" s="12"/>
      <c r="BMM97" s="12"/>
      <c r="BMN97" s="12"/>
      <c r="BMO97" s="12"/>
      <c r="BMP97" s="12"/>
      <c r="BMQ97" s="12"/>
      <c r="BMR97" s="12"/>
      <c r="BMS97" s="12"/>
      <c r="BMT97" s="12"/>
      <c r="BMU97" s="12"/>
      <c r="BMV97" s="12"/>
      <c r="BMW97" s="12"/>
      <c r="BMX97" s="12"/>
      <c r="BMY97" s="12"/>
      <c r="BMZ97" s="12"/>
      <c r="BNA97" s="12"/>
      <c r="BNB97" s="12"/>
      <c r="BNC97" s="12"/>
      <c r="BND97" s="12"/>
      <c r="BNE97" s="12"/>
      <c r="BNF97" s="12"/>
      <c r="BNG97" s="12"/>
      <c r="BNH97" s="12"/>
      <c r="BNI97" s="12"/>
      <c r="BNJ97" s="12"/>
      <c r="BNK97" s="12"/>
      <c r="BNL97" s="12"/>
      <c r="BNM97" s="12"/>
      <c r="BNN97" s="12"/>
      <c r="BNO97" s="12"/>
      <c r="BNP97" s="12"/>
      <c r="BNQ97" s="12"/>
      <c r="BNR97" s="12"/>
      <c r="BNS97" s="12"/>
      <c r="BNT97" s="12"/>
      <c r="BNU97" s="12"/>
      <c r="BNV97" s="12"/>
      <c r="BNW97" s="12"/>
      <c r="BNX97" s="12"/>
      <c r="BNY97" s="12"/>
      <c r="BNZ97" s="12"/>
      <c r="BOA97" s="12"/>
      <c r="BOB97" s="12"/>
      <c r="BOC97" s="12"/>
      <c r="BOD97" s="12"/>
      <c r="BOE97" s="12"/>
      <c r="BOF97" s="12"/>
      <c r="BOG97" s="12"/>
      <c r="BOH97" s="12"/>
      <c r="BOI97" s="12"/>
      <c r="BOJ97" s="12"/>
      <c r="BOK97" s="12"/>
      <c r="BOL97" s="12"/>
      <c r="BOM97" s="12"/>
      <c r="BON97" s="12"/>
      <c r="BOO97" s="12"/>
      <c r="BOP97" s="12"/>
      <c r="BOQ97" s="12"/>
      <c r="BOR97" s="12"/>
      <c r="BOS97" s="12"/>
      <c r="BOT97" s="12"/>
      <c r="BOU97" s="12"/>
      <c r="BOV97" s="12"/>
      <c r="BOW97" s="12"/>
      <c r="BOX97" s="12"/>
      <c r="BOY97" s="12"/>
      <c r="BOZ97" s="12"/>
      <c r="BPA97" s="12"/>
      <c r="BPB97" s="12"/>
      <c r="BPC97" s="12"/>
      <c r="BPD97" s="12"/>
      <c r="BPE97" s="12"/>
      <c r="BPF97" s="12"/>
      <c r="BPG97" s="12"/>
      <c r="BPH97" s="12"/>
      <c r="BPI97" s="12"/>
      <c r="BPJ97" s="12"/>
      <c r="BPK97" s="12"/>
      <c r="BPL97" s="12"/>
      <c r="BPM97" s="12"/>
      <c r="BPN97" s="12"/>
      <c r="BPO97" s="12"/>
      <c r="BPP97" s="12"/>
      <c r="BPQ97" s="12"/>
      <c r="BPR97" s="12"/>
      <c r="BPS97" s="12"/>
      <c r="BPT97" s="12"/>
      <c r="BPU97" s="12"/>
      <c r="BPV97" s="12"/>
      <c r="BPW97" s="12"/>
      <c r="BPX97" s="12"/>
      <c r="BPY97" s="12"/>
      <c r="BPZ97" s="12"/>
      <c r="BQA97" s="12"/>
      <c r="BQB97" s="12"/>
      <c r="BQC97" s="12"/>
      <c r="BQD97" s="12"/>
      <c r="BQE97" s="12"/>
      <c r="BQF97" s="12"/>
      <c r="BQG97" s="12"/>
      <c r="BQH97" s="12"/>
      <c r="BQI97" s="12"/>
      <c r="BQJ97" s="12"/>
      <c r="BQK97" s="12"/>
      <c r="BQL97" s="12"/>
      <c r="BQM97" s="12"/>
      <c r="BQN97" s="12"/>
      <c r="BQO97" s="12"/>
      <c r="BQP97" s="12"/>
      <c r="BQQ97" s="12"/>
      <c r="BQR97" s="12"/>
      <c r="BQS97" s="12"/>
      <c r="BQT97" s="12"/>
      <c r="BQU97" s="12"/>
      <c r="BQV97" s="12"/>
      <c r="BQW97" s="12"/>
      <c r="BQX97" s="12"/>
      <c r="BQY97" s="12"/>
      <c r="BQZ97" s="12"/>
      <c r="BRA97" s="12"/>
      <c r="BRB97" s="12"/>
      <c r="BRC97" s="12"/>
      <c r="BRD97" s="12"/>
      <c r="BRE97" s="12"/>
      <c r="BRF97" s="12"/>
      <c r="BRG97" s="12"/>
      <c r="BRH97" s="12"/>
      <c r="BRI97" s="12"/>
      <c r="BRJ97" s="12"/>
      <c r="BRK97" s="12"/>
      <c r="BRL97" s="12"/>
      <c r="BRM97" s="12"/>
      <c r="BRN97" s="12"/>
      <c r="BRO97" s="12"/>
      <c r="BRP97" s="12"/>
      <c r="BRQ97" s="12"/>
      <c r="BRR97" s="12"/>
      <c r="BRS97" s="12"/>
      <c r="BRT97" s="12"/>
      <c r="BRU97" s="12"/>
      <c r="BRV97" s="12"/>
      <c r="BRW97" s="12"/>
      <c r="BRX97" s="12"/>
      <c r="BRY97" s="12"/>
      <c r="BRZ97" s="12"/>
      <c r="BSA97" s="12"/>
      <c r="BSB97" s="12"/>
      <c r="BSC97" s="12"/>
      <c r="BSD97" s="12"/>
      <c r="BSE97" s="12"/>
      <c r="BSF97" s="12"/>
      <c r="BSG97" s="12"/>
      <c r="BSH97" s="12"/>
      <c r="BSI97" s="12"/>
      <c r="BSJ97" s="12"/>
      <c r="BSK97" s="12"/>
      <c r="BSL97" s="12"/>
      <c r="BSM97" s="12"/>
      <c r="BSN97" s="12"/>
      <c r="BSO97" s="12"/>
      <c r="BSP97" s="12"/>
      <c r="BSQ97" s="12"/>
      <c r="BSR97" s="12"/>
      <c r="BSS97" s="12"/>
      <c r="BST97" s="12"/>
      <c r="BSU97" s="12"/>
      <c r="BSV97" s="12"/>
      <c r="BSW97" s="12"/>
      <c r="BSX97" s="12"/>
      <c r="BSY97" s="12"/>
      <c r="BSZ97" s="12"/>
      <c r="BTA97" s="12"/>
      <c r="BTB97" s="12"/>
      <c r="BTC97" s="12"/>
      <c r="BTD97" s="12"/>
      <c r="BTE97" s="12"/>
      <c r="BTF97" s="12"/>
      <c r="BTG97" s="12"/>
      <c r="BTH97" s="12"/>
      <c r="BTI97" s="12"/>
      <c r="BTJ97" s="12"/>
      <c r="BTK97" s="12"/>
      <c r="BTL97" s="12"/>
      <c r="BTM97" s="12"/>
      <c r="BTN97" s="12"/>
      <c r="BTO97" s="12"/>
      <c r="BTP97" s="12"/>
      <c r="BTQ97" s="12"/>
      <c r="BTR97" s="12"/>
      <c r="BTS97" s="12"/>
      <c r="BTT97" s="12"/>
    </row>
    <row r="98" spans="1:1892" s="12" customFormat="1" ht="35.1" customHeight="1">
      <c r="A98" s="1462"/>
      <c r="B98" s="597" t="s">
        <v>314</v>
      </c>
      <c r="C98" s="597" t="s">
        <v>589</v>
      </c>
      <c r="D98" s="1363" t="s">
        <v>1009</v>
      </c>
      <c r="E98" s="1364"/>
      <c r="F98" s="1365"/>
      <c r="G98" s="1341" t="s">
        <v>590</v>
      </c>
      <c r="H98" s="1341" t="s">
        <v>591</v>
      </c>
      <c r="I98" s="1341" t="s">
        <v>592</v>
      </c>
      <c r="J98" s="1344" t="s">
        <v>11</v>
      </c>
      <c r="K98" s="1344" t="s">
        <v>12</v>
      </c>
      <c r="L98" s="135">
        <v>39</v>
      </c>
      <c r="M98" s="239">
        <v>1</v>
      </c>
      <c r="N98" s="143">
        <v>0</v>
      </c>
      <c r="O98" s="143">
        <v>0</v>
      </c>
      <c r="P98" s="560" t="s">
        <v>538</v>
      </c>
      <c r="Q98" s="560" t="s">
        <v>434</v>
      </c>
      <c r="R98" s="560" t="s">
        <v>434</v>
      </c>
      <c r="S98" s="1518" t="s">
        <v>57</v>
      </c>
      <c r="T98" s="1405"/>
      <c r="U98" s="805" t="s">
        <v>11</v>
      </c>
    </row>
    <row r="99" spans="1:1892" s="12" customFormat="1" ht="35.1" customHeight="1">
      <c r="A99" s="1462"/>
      <c r="B99" s="503"/>
      <c r="C99" s="503"/>
      <c r="D99" s="1366"/>
      <c r="E99" s="1367"/>
      <c r="F99" s="1368"/>
      <c r="G99" s="1342"/>
      <c r="H99" s="1342"/>
      <c r="I99" s="1342"/>
      <c r="J99" s="1345"/>
      <c r="K99" s="1345"/>
      <c r="L99" s="135">
        <v>51</v>
      </c>
      <c r="M99" s="239">
        <v>8</v>
      </c>
      <c r="N99" s="143">
        <v>0</v>
      </c>
      <c r="O99" s="143">
        <v>0</v>
      </c>
      <c r="P99" s="561"/>
      <c r="Q99" s="561"/>
      <c r="R99" s="561"/>
      <c r="S99" s="1519"/>
      <c r="T99" s="1406"/>
      <c r="U99" s="806"/>
    </row>
    <row r="100" spans="1:1892" s="12" customFormat="1" ht="35.1" customHeight="1">
      <c r="A100" s="1462"/>
      <c r="B100" s="503"/>
      <c r="C100" s="503"/>
      <c r="D100" s="1366"/>
      <c r="E100" s="1367"/>
      <c r="F100" s="1368"/>
      <c r="G100" s="1342"/>
      <c r="H100" s="1342"/>
      <c r="I100" s="1342"/>
      <c r="J100" s="1345"/>
      <c r="K100" s="1345"/>
      <c r="L100" s="135">
        <v>54</v>
      </c>
      <c r="M100" s="239">
        <v>1</v>
      </c>
      <c r="N100" s="143">
        <v>0</v>
      </c>
      <c r="O100" s="143">
        <v>0</v>
      </c>
      <c r="P100" s="561"/>
      <c r="Q100" s="561"/>
      <c r="R100" s="561"/>
      <c r="S100" s="1519"/>
      <c r="T100" s="1406"/>
      <c r="U100" s="806"/>
    </row>
    <row r="101" spans="1:1892" s="12" customFormat="1" ht="35.1" customHeight="1">
      <c r="A101" s="1462"/>
      <c r="B101" s="503"/>
      <c r="C101" s="503"/>
      <c r="D101" s="1366"/>
      <c r="E101" s="1367"/>
      <c r="F101" s="1368"/>
      <c r="G101" s="1342"/>
      <c r="H101" s="1342"/>
      <c r="I101" s="1342"/>
      <c r="J101" s="1345"/>
      <c r="K101" s="1345"/>
      <c r="L101" s="135" t="s">
        <v>85</v>
      </c>
      <c r="M101" s="239">
        <v>12</v>
      </c>
      <c r="N101" s="143">
        <v>0</v>
      </c>
      <c r="O101" s="143">
        <v>0</v>
      </c>
      <c r="P101" s="561"/>
      <c r="Q101" s="561"/>
      <c r="R101" s="561"/>
      <c r="S101" s="1519"/>
      <c r="T101" s="1406"/>
      <c r="U101" s="806"/>
    </row>
    <row r="102" spans="1:1892" s="12" customFormat="1" ht="35.1" customHeight="1">
      <c r="A102" s="1462"/>
      <c r="B102" s="503"/>
      <c r="C102" s="503"/>
      <c r="D102" s="1366"/>
      <c r="E102" s="1367"/>
      <c r="F102" s="1368"/>
      <c r="G102" s="1342"/>
      <c r="H102" s="1342"/>
      <c r="I102" s="1342"/>
      <c r="J102" s="1345"/>
      <c r="K102" s="1345"/>
      <c r="L102" s="135" t="s">
        <v>103</v>
      </c>
      <c r="M102" s="239">
        <v>1</v>
      </c>
      <c r="N102" s="143">
        <v>0</v>
      </c>
      <c r="O102" s="143">
        <v>0</v>
      </c>
      <c r="P102" s="561"/>
      <c r="Q102" s="561"/>
      <c r="R102" s="561"/>
      <c r="S102" s="1519"/>
      <c r="T102" s="1406"/>
      <c r="U102" s="806"/>
    </row>
    <row r="103" spans="1:1892" s="12" customFormat="1" ht="35.1" customHeight="1">
      <c r="A103" s="1462"/>
      <c r="B103" s="503"/>
      <c r="C103" s="503"/>
      <c r="D103" s="1366"/>
      <c r="E103" s="1367"/>
      <c r="F103" s="1368"/>
      <c r="G103" s="1342"/>
      <c r="H103" s="1342"/>
      <c r="I103" s="1342"/>
      <c r="J103" s="1345"/>
      <c r="K103" s="1345"/>
      <c r="L103" s="135" t="s">
        <v>526</v>
      </c>
      <c r="M103" s="239">
        <v>8</v>
      </c>
      <c r="N103" s="143">
        <v>0</v>
      </c>
      <c r="O103" s="143">
        <v>0</v>
      </c>
      <c r="P103" s="561"/>
      <c r="Q103" s="561"/>
      <c r="R103" s="561"/>
      <c r="S103" s="1519"/>
      <c r="T103" s="1406"/>
      <c r="U103" s="806"/>
    </row>
    <row r="104" spans="1:1892" s="12" customFormat="1" ht="35.1" customHeight="1">
      <c r="A104" s="1462"/>
      <c r="B104" s="503"/>
      <c r="C104" s="503"/>
      <c r="D104" s="1366"/>
      <c r="E104" s="1367"/>
      <c r="F104" s="1368"/>
      <c r="G104" s="1342"/>
      <c r="H104" s="1342"/>
      <c r="I104" s="1342"/>
      <c r="J104" s="1345"/>
      <c r="K104" s="1345"/>
      <c r="L104" s="135">
        <v>60</v>
      </c>
      <c r="M104" s="239">
        <v>2</v>
      </c>
      <c r="N104" s="143">
        <v>0</v>
      </c>
      <c r="O104" s="143">
        <v>0</v>
      </c>
      <c r="P104" s="561"/>
      <c r="Q104" s="561"/>
      <c r="R104" s="561"/>
      <c r="S104" s="1519"/>
      <c r="T104" s="1406"/>
      <c r="U104" s="806"/>
    </row>
    <row r="105" spans="1:1892" s="12" customFormat="1" ht="35.1" customHeight="1">
      <c r="A105" s="1462"/>
      <c r="B105" s="503"/>
      <c r="C105" s="503"/>
      <c r="D105" s="1366"/>
      <c r="E105" s="1367"/>
      <c r="F105" s="1368"/>
      <c r="G105" s="1343"/>
      <c r="H105" s="1343"/>
      <c r="I105" s="1343"/>
      <c r="J105" s="1346"/>
      <c r="K105" s="1346"/>
      <c r="L105" s="135">
        <v>61</v>
      </c>
      <c r="M105" s="239">
        <v>5</v>
      </c>
      <c r="N105" s="143">
        <v>0</v>
      </c>
      <c r="O105" s="143">
        <v>0</v>
      </c>
      <c r="P105" s="561"/>
      <c r="Q105" s="561"/>
      <c r="R105" s="561"/>
      <c r="S105" s="1519"/>
      <c r="T105" s="1406"/>
      <c r="U105" s="806"/>
    </row>
    <row r="106" spans="1:1892" s="12" customFormat="1" ht="35.1" customHeight="1">
      <c r="A106" s="1462"/>
      <c r="B106" s="503"/>
      <c r="C106" s="504"/>
      <c r="D106" s="1369"/>
      <c r="E106" s="1370"/>
      <c r="F106" s="1371"/>
      <c r="G106" s="490" t="s">
        <v>329</v>
      </c>
      <c r="H106" s="491"/>
      <c r="I106" s="491"/>
      <c r="J106" s="491"/>
      <c r="K106" s="492"/>
      <c r="L106" s="136"/>
      <c r="M106" s="240">
        <f>SUM(M98:M105)</f>
        <v>38</v>
      </c>
      <c r="N106" s="263">
        <f>SUM(N98:N105)</f>
        <v>0</v>
      </c>
      <c r="O106" s="263">
        <f>SUM(O98:O105)</f>
        <v>0</v>
      </c>
      <c r="P106" s="562"/>
      <c r="Q106" s="562"/>
      <c r="R106" s="562"/>
      <c r="S106" s="1520"/>
      <c r="T106" s="1407"/>
      <c r="U106" s="807"/>
    </row>
    <row r="107" spans="1:1892" s="12" customFormat="1" ht="35.1" customHeight="1">
      <c r="A107" s="1462"/>
      <c r="B107" s="503"/>
      <c r="C107" s="1344" t="s">
        <v>198</v>
      </c>
      <c r="D107" s="1385" t="s">
        <v>199</v>
      </c>
      <c r="E107" s="1386"/>
      <c r="F107" s="1387"/>
      <c r="G107" s="1351" t="s">
        <v>253</v>
      </c>
      <c r="H107" s="1351" t="s">
        <v>254</v>
      </c>
      <c r="I107" s="1351" t="s">
        <v>254</v>
      </c>
      <c r="J107" s="1341" t="s">
        <v>11</v>
      </c>
      <c r="K107" s="1341" t="s">
        <v>12</v>
      </c>
      <c r="L107" s="141" t="s">
        <v>200</v>
      </c>
      <c r="M107" s="241">
        <v>24</v>
      </c>
      <c r="N107" s="132">
        <v>0</v>
      </c>
      <c r="O107" s="132">
        <v>0</v>
      </c>
      <c r="P107" s="560" t="s">
        <v>427</v>
      </c>
      <c r="Q107" s="560" t="s">
        <v>428</v>
      </c>
      <c r="R107" s="560" t="s">
        <v>428</v>
      </c>
      <c r="S107" s="1466" t="s">
        <v>57</v>
      </c>
      <c r="T107" s="1484"/>
      <c r="U107" s="1484" t="s">
        <v>11</v>
      </c>
    </row>
    <row r="108" spans="1:1892" s="12" customFormat="1" ht="35.1" customHeight="1">
      <c r="A108" s="1462"/>
      <c r="B108" s="503"/>
      <c r="C108" s="1345"/>
      <c r="D108" s="1388"/>
      <c r="E108" s="1389"/>
      <c r="F108" s="1390"/>
      <c r="G108" s="1352"/>
      <c r="H108" s="1352"/>
      <c r="I108" s="1352"/>
      <c r="J108" s="1342"/>
      <c r="K108" s="1342"/>
      <c r="L108" s="141" t="s">
        <v>201</v>
      </c>
      <c r="M108" s="241">
        <v>24</v>
      </c>
      <c r="N108" s="132">
        <v>0</v>
      </c>
      <c r="O108" s="132">
        <v>0</v>
      </c>
      <c r="P108" s="561"/>
      <c r="Q108" s="561"/>
      <c r="R108" s="561"/>
      <c r="S108" s="1467"/>
      <c r="T108" s="1485"/>
      <c r="U108" s="1485"/>
    </row>
    <row r="109" spans="1:1892" s="12" customFormat="1" ht="35.1" customHeight="1">
      <c r="A109" s="1462"/>
      <c r="B109" s="503"/>
      <c r="C109" s="1345"/>
      <c r="D109" s="1388"/>
      <c r="E109" s="1389"/>
      <c r="F109" s="1390"/>
      <c r="G109" s="1352"/>
      <c r="H109" s="1352"/>
      <c r="I109" s="1352"/>
      <c r="J109" s="1342"/>
      <c r="K109" s="1342"/>
      <c r="L109" s="141" t="s">
        <v>202</v>
      </c>
      <c r="M109" s="241">
        <v>9</v>
      </c>
      <c r="N109" s="132">
        <v>0</v>
      </c>
      <c r="O109" s="132">
        <v>0</v>
      </c>
      <c r="P109" s="561"/>
      <c r="Q109" s="561"/>
      <c r="R109" s="561"/>
      <c r="S109" s="1467"/>
      <c r="T109" s="1485"/>
      <c r="U109" s="1485"/>
    </row>
    <row r="110" spans="1:1892" s="12" customFormat="1" ht="35.1" customHeight="1">
      <c r="A110" s="1462"/>
      <c r="B110" s="503"/>
      <c r="C110" s="1345"/>
      <c r="D110" s="1388"/>
      <c r="E110" s="1389"/>
      <c r="F110" s="1390"/>
      <c r="G110" s="1352"/>
      <c r="H110" s="1352"/>
      <c r="I110" s="1352"/>
      <c r="J110" s="1342"/>
      <c r="K110" s="1342"/>
      <c r="L110" s="141" t="s">
        <v>203</v>
      </c>
      <c r="M110" s="241">
        <v>24</v>
      </c>
      <c r="N110" s="132">
        <v>0</v>
      </c>
      <c r="O110" s="132">
        <v>0</v>
      </c>
      <c r="P110" s="561"/>
      <c r="Q110" s="561"/>
      <c r="R110" s="561"/>
      <c r="S110" s="1467"/>
      <c r="T110" s="1485"/>
      <c r="U110" s="1485"/>
    </row>
    <row r="111" spans="1:1892" s="12" customFormat="1" ht="35.1" customHeight="1">
      <c r="A111" s="1462"/>
      <c r="B111" s="503"/>
      <c r="C111" s="1345"/>
      <c r="D111" s="1388"/>
      <c r="E111" s="1389"/>
      <c r="F111" s="1390"/>
      <c r="G111" s="1352"/>
      <c r="H111" s="1352"/>
      <c r="I111" s="1352"/>
      <c r="J111" s="1342"/>
      <c r="K111" s="1342"/>
      <c r="L111" s="141" t="s">
        <v>204</v>
      </c>
      <c r="M111" s="241">
        <v>9</v>
      </c>
      <c r="N111" s="132">
        <v>0</v>
      </c>
      <c r="O111" s="132">
        <v>0</v>
      </c>
      <c r="P111" s="561"/>
      <c r="Q111" s="561"/>
      <c r="R111" s="561"/>
      <c r="S111" s="1467"/>
      <c r="T111" s="1485"/>
      <c r="U111" s="1485"/>
    </row>
    <row r="112" spans="1:1892" s="12" customFormat="1" ht="35.1" customHeight="1">
      <c r="A112" s="1462"/>
      <c r="B112" s="503"/>
      <c r="C112" s="1345"/>
      <c r="D112" s="1388"/>
      <c r="E112" s="1389"/>
      <c r="F112" s="1390"/>
      <c r="G112" s="1352"/>
      <c r="H112" s="1352"/>
      <c r="I112" s="1352"/>
      <c r="J112" s="1342"/>
      <c r="K112" s="1342"/>
      <c r="L112" s="141" t="s">
        <v>205</v>
      </c>
      <c r="M112" s="241">
        <v>24</v>
      </c>
      <c r="N112" s="132">
        <v>0</v>
      </c>
      <c r="O112" s="132">
        <v>0</v>
      </c>
      <c r="P112" s="561"/>
      <c r="Q112" s="561"/>
      <c r="R112" s="561"/>
      <c r="S112" s="1467"/>
      <c r="T112" s="1485"/>
      <c r="U112" s="1485"/>
    </row>
    <row r="113" spans="1:21" s="12" customFormat="1" ht="35.1" customHeight="1">
      <c r="A113" s="1462"/>
      <c r="B113" s="503"/>
      <c r="C113" s="1345"/>
      <c r="D113" s="1388"/>
      <c r="E113" s="1389"/>
      <c r="F113" s="1390"/>
      <c r="G113" s="1352"/>
      <c r="H113" s="1352"/>
      <c r="I113" s="1352"/>
      <c r="J113" s="1342"/>
      <c r="K113" s="1342"/>
      <c r="L113" s="141" t="s">
        <v>206</v>
      </c>
      <c r="M113" s="241">
        <v>9</v>
      </c>
      <c r="N113" s="132">
        <v>0</v>
      </c>
      <c r="O113" s="132">
        <v>0</v>
      </c>
      <c r="P113" s="561"/>
      <c r="Q113" s="561"/>
      <c r="R113" s="561"/>
      <c r="S113" s="1467"/>
      <c r="T113" s="1485"/>
      <c r="U113" s="1485"/>
    </row>
    <row r="114" spans="1:21" s="12" customFormat="1" ht="35.1" customHeight="1">
      <c r="A114" s="1462"/>
      <c r="B114" s="503"/>
      <c r="C114" s="1345"/>
      <c r="D114" s="1388"/>
      <c r="E114" s="1389"/>
      <c r="F114" s="1390"/>
      <c r="G114" s="1353"/>
      <c r="H114" s="1353"/>
      <c r="I114" s="1353"/>
      <c r="J114" s="1343"/>
      <c r="K114" s="1343"/>
      <c r="L114" s="141" t="s">
        <v>207</v>
      </c>
      <c r="M114" s="241">
        <v>9</v>
      </c>
      <c r="N114" s="132">
        <v>0</v>
      </c>
      <c r="O114" s="132">
        <v>0</v>
      </c>
      <c r="P114" s="561"/>
      <c r="Q114" s="561"/>
      <c r="R114" s="561"/>
      <c r="S114" s="1467"/>
      <c r="T114" s="1485"/>
      <c r="U114" s="1485"/>
    </row>
    <row r="115" spans="1:21" s="12" customFormat="1" ht="35.1" customHeight="1">
      <c r="A115" s="1462"/>
      <c r="B115" s="503"/>
      <c r="C115" s="1346"/>
      <c r="D115" s="1391"/>
      <c r="E115" s="1392"/>
      <c r="F115" s="1393"/>
      <c r="G115" s="490" t="s">
        <v>329</v>
      </c>
      <c r="H115" s="491"/>
      <c r="I115" s="491"/>
      <c r="J115" s="491"/>
      <c r="K115" s="492"/>
      <c r="L115" s="136"/>
      <c r="M115" s="240">
        <f>SUM(M107:M114)</f>
        <v>132</v>
      </c>
      <c r="N115" s="263">
        <f>SUM(N107:N114)</f>
        <v>0</v>
      </c>
      <c r="O115" s="263">
        <f>SUM(O107:O114)</f>
        <v>0</v>
      </c>
      <c r="P115" s="562"/>
      <c r="Q115" s="562"/>
      <c r="R115" s="562"/>
      <c r="S115" s="1468"/>
      <c r="T115" s="1486"/>
      <c r="U115" s="1486"/>
    </row>
    <row r="116" spans="1:21" s="12" customFormat="1" ht="35.1" customHeight="1">
      <c r="A116" s="1462"/>
      <c r="B116" s="503"/>
      <c r="C116" s="1344" t="s">
        <v>104</v>
      </c>
      <c r="D116" s="1329" t="s">
        <v>208</v>
      </c>
      <c r="E116" s="1332"/>
      <c r="F116" s="1338"/>
      <c r="G116" s="1351" t="s">
        <v>255</v>
      </c>
      <c r="H116" s="1351" t="s">
        <v>256</v>
      </c>
      <c r="I116" s="1351" t="s">
        <v>345</v>
      </c>
      <c r="J116" s="597" t="s">
        <v>11</v>
      </c>
      <c r="K116" s="597" t="s">
        <v>12</v>
      </c>
      <c r="L116" s="141" t="s">
        <v>209</v>
      </c>
      <c r="M116" s="242">
        <v>24</v>
      </c>
      <c r="N116" s="132">
        <v>0</v>
      </c>
      <c r="O116" s="132">
        <v>0</v>
      </c>
      <c r="P116" s="560" t="s">
        <v>419</v>
      </c>
      <c r="Q116" s="560" t="s">
        <v>429</v>
      </c>
      <c r="R116" s="560" t="s">
        <v>430</v>
      </c>
      <c r="S116" s="1466" t="s">
        <v>57</v>
      </c>
      <c r="T116" s="1484"/>
      <c r="U116" s="1484" t="s">
        <v>11</v>
      </c>
    </row>
    <row r="117" spans="1:21" s="12" customFormat="1" ht="35.1" customHeight="1">
      <c r="A117" s="1462"/>
      <c r="B117" s="503"/>
      <c r="C117" s="1345"/>
      <c r="D117" s="1330"/>
      <c r="E117" s="1333"/>
      <c r="F117" s="1339"/>
      <c r="G117" s="1352"/>
      <c r="H117" s="1352"/>
      <c r="I117" s="1352"/>
      <c r="J117" s="503"/>
      <c r="K117" s="503"/>
      <c r="L117" s="141" t="s">
        <v>94</v>
      </c>
      <c r="M117" s="242">
        <v>28</v>
      </c>
      <c r="N117" s="132">
        <v>0</v>
      </c>
      <c r="O117" s="132">
        <v>0</v>
      </c>
      <c r="P117" s="561"/>
      <c r="Q117" s="561"/>
      <c r="R117" s="561"/>
      <c r="S117" s="1467"/>
      <c r="T117" s="1485"/>
      <c r="U117" s="1485"/>
    </row>
    <row r="118" spans="1:21" s="12" customFormat="1" ht="35.1" customHeight="1">
      <c r="A118" s="1462"/>
      <c r="B118" s="503"/>
      <c r="C118" s="1345"/>
      <c r="D118" s="1330"/>
      <c r="E118" s="1333"/>
      <c r="F118" s="1339"/>
      <c r="G118" s="1352"/>
      <c r="H118" s="1352"/>
      <c r="I118" s="1352"/>
      <c r="J118" s="503"/>
      <c r="K118" s="503"/>
      <c r="L118" s="141" t="s">
        <v>210</v>
      </c>
      <c r="M118" s="242">
        <v>24</v>
      </c>
      <c r="N118" s="132">
        <v>0</v>
      </c>
      <c r="O118" s="132">
        <v>0</v>
      </c>
      <c r="P118" s="561"/>
      <c r="Q118" s="561"/>
      <c r="R118" s="561"/>
      <c r="S118" s="1467"/>
      <c r="T118" s="1485"/>
      <c r="U118" s="1485"/>
    </row>
    <row r="119" spans="1:21" s="12" customFormat="1" ht="35.1" customHeight="1">
      <c r="A119" s="1462"/>
      <c r="B119" s="503"/>
      <c r="C119" s="1345"/>
      <c r="D119" s="1330"/>
      <c r="E119" s="1333"/>
      <c r="F119" s="1339"/>
      <c r="G119" s="1352"/>
      <c r="H119" s="1352"/>
      <c r="I119" s="1352"/>
      <c r="J119" s="503"/>
      <c r="K119" s="503"/>
      <c r="L119" s="141" t="s">
        <v>203</v>
      </c>
      <c r="M119" s="242">
        <v>28</v>
      </c>
      <c r="N119" s="132">
        <v>0</v>
      </c>
      <c r="O119" s="132">
        <v>0</v>
      </c>
      <c r="P119" s="561"/>
      <c r="Q119" s="561"/>
      <c r="R119" s="561"/>
      <c r="S119" s="1467"/>
      <c r="T119" s="1485"/>
      <c r="U119" s="1485"/>
    </row>
    <row r="120" spans="1:21" s="12" customFormat="1" ht="35.1" customHeight="1">
      <c r="A120" s="1462"/>
      <c r="B120" s="503"/>
      <c r="C120" s="1345"/>
      <c r="D120" s="1330"/>
      <c r="E120" s="1333"/>
      <c r="F120" s="1339"/>
      <c r="G120" s="1352"/>
      <c r="H120" s="1352"/>
      <c r="I120" s="1352"/>
      <c r="J120" s="503"/>
      <c r="K120" s="503"/>
      <c r="L120" s="141" t="s">
        <v>211</v>
      </c>
      <c r="M120" s="242">
        <v>28</v>
      </c>
      <c r="N120" s="132">
        <v>0</v>
      </c>
      <c r="O120" s="132">
        <v>0</v>
      </c>
      <c r="P120" s="561"/>
      <c r="Q120" s="561"/>
      <c r="R120" s="561"/>
      <c r="S120" s="1467"/>
      <c r="T120" s="1485"/>
      <c r="U120" s="1485"/>
    </row>
    <row r="121" spans="1:21" s="12" customFormat="1" ht="35.1" customHeight="1">
      <c r="A121" s="1462"/>
      <c r="B121" s="503"/>
      <c r="C121" s="1345"/>
      <c r="D121" s="1330"/>
      <c r="E121" s="1333"/>
      <c r="F121" s="1339"/>
      <c r="G121" s="1353"/>
      <c r="H121" s="1353"/>
      <c r="I121" s="1353"/>
      <c r="J121" s="504"/>
      <c r="K121" s="504"/>
      <c r="L121" s="141" t="s">
        <v>212</v>
      </c>
      <c r="M121" s="242">
        <v>28</v>
      </c>
      <c r="N121" s="132">
        <v>0</v>
      </c>
      <c r="O121" s="132">
        <v>0</v>
      </c>
      <c r="P121" s="561"/>
      <c r="Q121" s="561"/>
      <c r="R121" s="561"/>
      <c r="S121" s="1467"/>
      <c r="T121" s="1485"/>
      <c r="U121" s="1485"/>
    </row>
    <row r="122" spans="1:21" s="12" customFormat="1" ht="35.1" customHeight="1">
      <c r="A122" s="1462"/>
      <c r="B122" s="503"/>
      <c r="C122" s="1346"/>
      <c r="D122" s="1331"/>
      <c r="E122" s="1334"/>
      <c r="F122" s="1340"/>
      <c r="G122" s="490" t="s">
        <v>329</v>
      </c>
      <c r="H122" s="491"/>
      <c r="I122" s="491"/>
      <c r="J122" s="491"/>
      <c r="K122" s="492"/>
      <c r="L122" s="136"/>
      <c r="M122" s="240">
        <f>SUM(M116:M121)</f>
        <v>160</v>
      </c>
      <c r="N122" s="263">
        <f>SUM(N116:N121)</f>
        <v>0</v>
      </c>
      <c r="O122" s="263">
        <f>SUM(O116:O121)</f>
        <v>0</v>
      </c>
      <c r="P122" s="562"/>
      <c r="Q122" s="562"/>
      <c r="R122" s="562"/>
      <c r="S122" s="1468"/>
      <c r="T122" s="1486"/>
      <c r="U122" s="1486"/>
    </row>
    <row r="123" spans="1:21" s="12" customFormat="1" ht="35.1" customHeight="1">
      <c r="A123" s="1462"/>
      <c r="B123" s="503"/>
      <c r="C123" s="1344" t="s">
        <v>104</v>
      </c>
      <c r="D123" s="1329" t="s">
        <v>213</v>
      </c>
      <c r="E123" s="1332"/>
      <c r="F123" s="1338"/>
      <c r="G123" s="1351" t="s">
        <v>257</v>
      </c>
      <c r="H123" s="1351" t="s">
        <v>257</v>
      </c>
      <c r="I123" s="1351" t="s">
        <v>257</v>
      </c>
      <c r="J123" s="597" t="s">
        <v>11</v>
      </c>
      <c r="K123" s="597" t="s">
        <v>12</v>
      </c>
      <c r="L123" s="141" t="s">
        <v>214</v>
      </c>
      <c r="M123" s="231">
        <v>38</v>
      </c>
      <c r="N123" s="119">
        <v>0</v>
      </c>
      <c r="O123" s="119">
        <v>0</v>
      </c>
      <c r="P123" s="579" t="s">
        <v>419</v>
      </c>
      <c r="Q123" s="579" t="s">
        <v>420</v>
      </c>
      <c r="R123" s="579" t="s">
        <v>456</v>
      </c>
      <c r="S123" s="1001" t="s">
        <v>57</v>
      </c>
      <c r="T123" s="1500"/>
      <c r="U123" s="1500" t="s">
        <v>11</v>
      </c>
    </row>
    <row r="124" spans="1:21" s="12" customFormat="1" ht="35.1" customHeight="1">
      <c r="A124" s="1462"/>
      <c r="B124" s="503"/>
      <c r="C124" s="1345"/>
      <c r="D124" s="1330"/>
      <c r="E124" s="1333"/>
      <c r="F124" s="1339"/>
      <c r="G124" s="1352"/>
      <c r="H124" s="1352"/>
      <c r="I124" s="1352"/>
      <c r="J124" s="503"/>
      <c r="K124" s="503"/>
      <c r="L124" s="141" t="s">
        <v>215</v>
      </c>
      <c r="M124" s="231">
        <v>26</v>
      </c>
      <c r="N124" s="119">
        <v>0</v>
      </c>
      <c r="O124" s="119">
        <v>0</v>
      </c>
      <c r="P124" s="580"/>
      <c r="Q124" s="580"/>
      <c r="R124" s="580"/>
      <c r="S124" s="1002"/>
      <c r="T124" s="1501"/>
      <c r="U124" s="1501"/>
    </row>
    <row r="125" spans="1:21" s="12" customFormat="1" ht="35.1" customHeight="1">
      <c r="A125" s="1462"/>
      <c r="B125" s="503"/>
      <c r="C125" s="1345"/>
      <c r="D125" s="1330"/>
      <c r="E125" s="1333"/>
      <c r="F125" s="1339"/>
      <c r="G125" s="1353"/>
      <c r="H125" s="1353"/>
      <c r="I125" s="1353"/>
      <c r="J125" s="504"/>
      <c r="K125" s="504"/>
      <c r="L125" s="141">
        <v>78</v>
      </c>
      <c r="M125" s="231">
        <v>102</v>
      </c>
      <c r="N125" s="119">
        <v>0</v>
      </c>
      <c r="O125" s="119">
        <v>0</v>
      </c>
      <c r="P125" s="580"/>
      <c r="Q125" s="580"/>
      <c r="R125" s="580"/>
      <c r="S125" s="1002"/>
      <c r="T125" s="1501"/>
      <c r="U125" s="1501"/>
    </row>
    <row r="126" spans="1:21" s="12" customFormat="1" ht="35.1" customHeight="1">
      <c r="A126" s="1462"/>
      <c r="B126" s="503"/>
      <c r="C126" s="1346"/>
      <c r="D126" s="1331"/>
      <c r="E126" s="1334"/>
      <c r="F126" s="1340"/>
      <c r="G126" s="490" t="s">
        <v>329</v>
      </c>
      <c r="H126" s="491"/>
      <c r="I126" s="491"/>
      <c r="J126" s="491"/>
      <c r="K126" s="492"/>
      <c r="L126" s="136"/>
      <c r="M126" s="225">
        <f>SUM(M123:M125)</f>
        <v>166</v>
      </c>
      <c r="N126" s="263">
        <f>SUM(N123:N125)</f>
        <v>0</v>
      </c>
      <c r="O126" s="263">
        <f>SUM(O123:O125)</f>
        <v>0</v>
      </c>
      <c r="P126" s="581"/>
      <c r="Q126" s="581"/>
      <c r="R126" s="581"/>
      <c r="S126" s="1003"/>
      <c r="T126" s="1502"/>
      <c r="U126" s="1502"/>
    </row>
    <row r="127" spans="1:21" s="12" customFormat="1" ht="35.1" customHeight="1">
      <c r="A127" s="1462"/>
      <c r="B127" s="503"/>
      <c r="C127" s="934" t="s">
        <v>739</v>
      </c>
      <c r="D127" s="1373" t="s">
        <v>740</v>
      </c>
      <c r="E127" s="1374"/>
      <c r="F127" s="1375"/>
      <c r="G127" s="1394" t="s">
        <v>741</v>
      </c>
      <c r="H127" s="1394" t="s">
        <v>742</v>
      </c>
      <c r="I127" s="1394" t="s">
        <v>743</v>
      </c>
      <c r="J127" s="1397" t="s">
        <v>744</v>
      </c>
      <c r="K127" s="1397" t="s">
        <v>745</v>
      </c>
      <c r="L127" s="142">
        <v>58</v>
      </c>
      <c r="M127" s="241">
        <v>8</v>
      </c>
      <c r="N127" s="143">
        <v>0</v>
      </c>
      <c r="O127" s="143">
        <v>0</v>
      </c>
      <c r="P127" s="1414" t="s">
        <v>771</v>
      </c>
      <c r="Q127" s="1414" t="s">
        <v>442</v>
      </c>
      <c r="R127" s="1414" t="s">
        <v>772</v>
      </c>
      <c r="S127" s="1521" t="s">
        <v>188</v>
      </c>
      <c r="T127" s="1417"/>
      <c r="U127" s="1503"/>
    </row>
    <row r="128" spans="1:21" s="12" customFormat="1" ht="35.1" customHeight="1">
      <c r="A128" s="1462"/>
      <c r="B128" s="503"/>
      <c r="C128" s="935"/>
      <c r="D128" s="1376"/>
      <c r="E128" s="1377"/>
      <c r="F128" s="1378"/>
      <c r="G128" s="1395"/>
      <c r="H128" s="1395"/>
      <c r="I128" s="1395"/>
      <c r="J128" s="1398"/>
      <c r="K128" s="1398"/>
      <c r="L128" s="142">
        <v>61</v>
      </c>
      <c r="M128" s="241">
        <v>14</v>
      </c>
      <c r="N128" s="143">
        <v>0</v>
      </c>
      <c r="O128" s="143">
        <v>0</v>
      </c>
      <c r="P128" s="1415"/>
      <c r="Q128" s="1415"/>
      <c r="R128" s="1415"/>
      <c r="S128" s="1522"/>
      <c r="T128" s="1418"/>
      <c r="U128" s="1504"/>
    </row>
    <row r="129" spans="1:21" s="12" customFormat="1" ht="35.1" customHeight="1">
      <c r="A129" s="1462"/>
      <c r="B129" s="503"/>
      <c r="C129" s="935"/>
      <c r="D129" s="1376"/>
      <c r="E129" s="1377"/>
      <c r="F129" s="1378"/>
      <c r="G129" s="1395"/>
      <c r="H129" s="1395"/>
      <c r="I129" s="1395"/>
      <c r="J129" s="1398"/>
      <c r="K129" s="1398"/>
      <c r="L129" s="142">
        <v>69</v>
      </c>
      <c r="M129" s="241">
        <v>4</v>
      </c>
      <c r="N129" s="143">
        <v>0</v>
      </c>
      <c r="O129" s="143">
        <v>0</v>
      </c>
      <c r="P129" s="1415"/>
      <c r="Q129" s="1415"/>
      <c r="R129" s="1415"/>
      <c r="S129" s="1522"/>
      <c r="T129" s="1418"/>
      <c r="U129" s="1504"/>
    </row>
    <row r="130" spans="1:21" s="12" customFormat="1" ht="35.1" customHeight="1">
      <c r="A130" s="1462"/>
      <c r="B130" s="503"/>
      <c r="C130" s="935"/>
      <c r="D130" s="1376"/>
      <c r="E130" s="1377"/>
      <c r="F130" s="1378"/>
      <c r="G130" s="1396"/>
      <c r="H130" s="1396"/>
      <c r="I130" s="1396"/>
      <c r="J130" s="1399"/>
      <c r="K130" s="1399"/>
      <c r="L130" s="142">
        <v>77</v>
      </c>
      <c r="M130" s="241">
        <v>14</v>
      </c>
      <c r="N130" s="143">
        <v>4</v>
      </c>
      <c r="O130" s="143">
        <v>4</v>
      </c>
      <c r="P130" s="1415"/>
      <c r="Q130" s="1415"/>
      <c r="R130" s="1415"/>
      <c r="S130" s="1522"/>
      <c r="T130" s="1418"/>
      <c r="U130" s="1504"/>
    </row>
    <row r="131" spans="1:21" s="12" customFormat="1" ht="35.1" customHeight="1">
      <c r="A131" s="1462"/>
      <c r="B131" s="503"/>
      <c r="C131" s="936"/>
      <c r="D131" s="1379"/>
      <c r="E131" s="1380"/>
      <c r="F131" s="1381"/>
      <c r="G131" s="490" t="s">
        <v>329</v>
      </c>
      <c r="H131" s="491"/>
      <c r="I131" s="491"/>
      <c r="J131" s="491"/>
      <c r="K131" s="492"/>
      <c r="L131" s="139"/>
      <c r="M131" s="225">
        <f>SUM(M127:M130)</f>
        <v>40</v>
      </c>
      <c r="N131" s="263">
        <f t="shared" ref="N131:O131" si="2">SUM(N127:N130)</f>
        <v>4</v>
      </c>
      <c r="O131" s="263">
        <f t="shared" si="2"/>
        <v>4</v>
      </c>
      <c r="P131" s="1416"/>
      <c r="Q131" s="1416"/>
      <c r="R131" s="1416"/>
      <c r="S131" s="1523"/>
      <c r="T131" s="1419"/>
      <c r="U131" s="1505"/>
    </row>
    <row r="132" spans="1:21" s="12" customFormat="1" ht="35.1" customHeight="1">
      <c r="A132" s="1462"/>
      <c r="B132" s="503"/>
      <c r="C132" s="934" t="s">
        <v>819</v>
      </c>
      <c r="D132" s="1354" t="s">
        <v>820</v>
      </c>
      <c r="E132" s="1355"/>
      <c r="F132" s="1356"/>
      <c r="G132" s="1543" t="s">
        <v>821</v>
      </c>
      <c r="H132" s="1543" t="s">
        <v>822</v>
      </c>
      <c r="I132" s="1543" t="s">
        <v>823</v>
      </c>
      <c r="J132" s="1417" t="s">
        <v>11</v>
      </c>
      <c r="K132" s="1417" t="s">
        <v>12</v>
      </c>
      <c r="L132" s="142">
        <v>46</v>
      </c>
      <c r="M132" s="241">
        <v>20</v>
      </c>
      <c r="N132" s="143">
        <v>0</v>
      </c>
      <c r="O132" s="143">
        <v>0</v>
      </c>
      <c r="P132" s="579" t="s">
        <v>831</v>
      </c>
      <c r="Q132" s="579" t="s">
        <v>832</v>
      </c>
      <c r="R132" s="1552" t="s">
        <v>824</v>
      </c>
      <c r="S132" s="1570" t="s">
        <v>57</v>
      </c>
      <c r="T132" s="1784" t="s">
        <v>54</v>
      </c>
      <c r="U132" s="541" t="s">
        <v>11</v>
      </c>
    </row>
    <row r="133" spans="1:21" s="12" customFormat="1" ht="35.1" customHeight="1">
      <c r="A133" s="1462"/>
      <c r="B133" s="503"/>
      <c r="C133" s="935"/>
      <c r="D133" s="1357"/>
      <c r="E133" s="1358"/>
      <c r="F133" s="1359"/>
      <c r="G133" s="1544"/>
      <c r="H133" s="1544"/>
      <c r="I133" s="1544"/>
      <c r="J133" s="1418"/>
      <c r="K133" s="1418"/>
      <c r="L133" s="142">
        <v>48</v>
      </c>
      <c r="M133" s="241">
        <v>6</v>
      </c>
      <c r="N133" s="143">
        <v>0</v>
      </c>
      <c r="O133" s="143">
        <v>0</v>
      </c>
      <c r="P133" s="580"/>
      <c r="Q133" s="580"/>
      <c r="R133" s="1553"/>
      <c r="S133" s="1571"/>
      <c r="T133" s="1785"/>
      <c r="U133" s="542"/>
    </row>
    <row r="134" spans="1:21" s="12" customFormat="1" ht="35.1" customHeight="1">
      <c r="A134" s="1462"/>
      <c r="B134" s="503"/>
      <c r="C134" s="935"/>
      <c r="D134" s="1357"/>
      <c r="E134" s="1358"/>
      <c r="F134" s="1359"/>
      <c r="G134" s="1545"/>
      <c r="H134" s="1545"/>
      <c r="I134" s="1545"/>
      <c r="J134" s="1419"/>
      <c r="K134" s="1419"/>
      <c r="L134" s="142">
        <v>58</v>
      </c>
      <c r="M134" s="241">
        <v>21</v>
      </c>
      <c r="N134" s="143">
        <v>4</v>
      </c>
      <c r="O134" s="143">
        <v>3</v>
      </c>
      <c r="P134" s="580"/>
      <c r="Q134" s="580"/>
      <c r="R134" s="1553"/>
      <c r="S134" s="1571"/>
      <c r="T134" s="1785"/>
      <c r="U134" s="542"/>
    </row>
    <row r="135" spans="1:21" s="12" customFormat="1" ht="35.1" customHeight="1">
      <c r="A135" s="1462"/>
      <c r="B135" s="503"/>
      <c r="C135" s="936"/>
      <c r="D135" s="1360"/>
      <c r="E135" s="1361"/>
      <c r="F135" s="1362"/>
      <c r="G135" s="490" t="s">
        <v>329</v>
      </c>
      <c r="H135" s="491"/>
      <c r="I135" s="491"/>
      <c r="J135" s="491"/>
      <c r="K135" s="492"/>
      <c r="L135" s="245"/>
      <c r="M135" s="246">
        <f>SUM(M132:M134)</f>
        <v>47</v>
      </c>
      <c r="N135" s="246">
        <f>SUM(N132:N134)</f>
        <v>4</v>
      </c>
      <c r="O135" s="246">
        <f>SUM(O132:O134)</f>
        <v>3</v>
      </c>
      <c r="P135" s="581"/>
      <c r="Q135" s="581"/>
      <c r="R135" s="1554"/>
      <c r="S135" s="1572"/>
      <c r="T135" s="1786"/>
      <c r="U135" s="572"/>
    </row>
    <row r="136" spans="1:21" s="12" customFormat="1" ht="35.1" customHeight="1">
      <c r="A136" s="1462"/>
      <c r="B136" s="503"/>
      <c r="C136" s="957" t="s">
        <v>198</v>
      </c>
      <c r="D136" s="1329" t="s">
        <v>503</v>
      </c>
      <c r="E136" s="1332"/>
      <c r="F136" s="1338"/>
      <c r="G136" s="1351" t="s">
        <v>504</v>
      </c>
      <c r="H136" s="1351" t="s">
        <v>505</v>
      </c>
      <c r="I136" s="1351" t="s">
        <v>506</v>
      </c>
      <c r="J136" s="957" t="s">
        <v>11</v>
      </c>
      <c r="K136" s="957" t="s">
        <v>12</v>
      </c>
      <c r="L136" s="144">
        <v>49.91</v>
      </c>
      <c r="M136" s="243">
        <v>5</v>
      </c>
      <c r="N136" s="143">
        <v>1</v>
      </c>
      <c r="O136" s="143">
        <v>1</v>
      </c>
      <c r="P136" s="1567">
        <v>44896</v>
      </c>
      <c r="Q136" s="1348">
        <v>44927</v>
      </c>
      <c r="R136" s="1496">
        <v>44835</v>
      </c>
      <c r="S136" s="1509" t="s">
        <v>57</v>
      </c>
      <c r="T136" s="1499" t="s">
        <v>54</v>
      </c>
      <c r="U136" s="1344" t="s">
        <v>11</v>
      </c>
    </row>
    <row r="137" spans="1:21" s="12" customFormat="1" ht="35.1" customHeight="1">
      <c r="A137" s="1462"/>
      <c r="B137" s="503"/>
      <c r="C137" s="958"/>
      <c r="D137" s="1330"/>
      <c r="E137" s="1333"/>
      <c r="F137" s="1339"/>
      <c r="G137" s="1352"/>
      <c r="H137" s="1352"/>
      <c r="I137" s="1352"/>
      <c r="J137" s="958"/>
      <c r="K137" s="958"/>
      <c r="L137" s="144">
        <v>48.74</v>
      </c>
      <c r="M137" s="243">
        <v>10</v>
      </c>
      <c r="N137" s="143">
        <v>0</v>
      </c>
      <c r="O137" s="143">
        <v>0</v>
      </c>
      <c r="P137" s="1568"/>
      <c r="Q137" s="1349"/>
      <c r="R137" s="1497"/>
      <c r="S137" s="1510"/>
      <c r="T137" s="1479"/>
      <c r="U137" s="1345"/>
    </row>
    <row r="138" spans="1:21" s="12" customFormat="1" ht="35.1" customHeight="1">
      <c r="A138" s="1462"/>
      <c r="B138" s="503"/>
      <c r="C138" s="958"/>
      <c r="D138" s="1330"/>
      <c r="E138" s="1333"/>
      <c r="F138" s="1339"/>
      <c r="G138" s="1352"/>
      <c r="H138" s="1352"/>
      <c r="I138" s="1352"/>
      <c r="J138" s="958"/>
      <c r="K138" s="958"/>
      <c r="L138" s="144">
        <v>52.89</v>
      </c>
      <c r="M138" s="243">
        <v>10</v>
      </c>
      <c r="N138" s="143">
        <v>0</v>
      </c>
      <c r="O138" s="143">
        <v>0</v>
      </c>
      <c r="P138" s="1568"/>
      <c r="Q138" s="1349"/>
      <c r="R138" s="1497"/>
      <c r="S138" s="1510"/>
      <c r="T138" s="1479"/>
      <c r="U138" s="1345"/>
    </row>
    <row r="139" spans="1:21" s="12" customFormat="1" ht="35.1" customHeight="1">
      <c r="A139" s="1462"/>
      <c r="B139" s="503"/>
      <c r="C139" s="958"/>
      <c r="D139" s="1330"/>
      <c r="E139" s="1333"/>
      <c r="F139" s="1339"/>
      <c r="G139" s="1353"/>
      <c r="H139" s="1353"/>
      <c r="I139" s="1353"/>
      <c r="J139" s="959"/>
      <c r="K139" s="959"/>
      <c r="L139" s="144">
        <v>52.97</v>
      </c>
      <c r="M139" s="243">
        <v>10</v>
      </c>
      <c r="N139" s="143">
        <v>0</v>
      </c>
      <c r="O139" s="143">
        <v>0</v>
      </c>
      <c r="P139" s="1568"/>
      <c r="Q139" s="1349"/>
      <c r="R139" s="1497"/>
      <c r="S139" s="1510"/>
      <c r="T139" s="1479"/>
      <c r="U139" s="1345"/>
    </row>
    <row r="140" spans="1:21" s="12" customFormat="1" ht="35.1" customHeight="1">
      <c r="A140" s="1462"/>
      <c r="B140" s="503"/>
      <c r="C140" s="959"/>
      <c r="D140" s="1331"/>
      <c r="E140" s="1334"/>
      <c r="F140" s="1340"/>
      <c r="G140" s="490" t="s">
        <v>329</v>
      </c>
      <c r="H140" s="491"/>
      <c r="I140" s="491"/>
      <c r="J140" s="491"/>
      <c r="K140" s="492"/>
      <c r="L140" s="145"/>
      <c r="M140" s="244">
        <f>SUM(M136:M139)</f>
        <v>35</v>
      </c>
      <c r="N140" s="246">
        <f>SUM(N136:N139)</f>
        <v>1</v>
      </c>
      <c r="O140" s="246">
        <f>SUM(O136:O139)</f>
        <v>1</v>
      </c>
      <c r="P140" s="1569"/>
      <c r="Q140" s="1350"/>
      <c r="R140" s="1498"/>
      <c r="S140" s="1511"/>
      <c r="T140" s="1480"/>
      <c r="U140" s="1346"/>
    </row>
    <row r="141" spans="1:21" s="12" customFormat="1" ht="35.1" customHeight="1">
      <c r="A141" s="1462"/>
      <c r="B141" s="503"/>
      <c r="C141" s="957" t="s">
        <v>1061</v>
      </c>
      <c r="D141" s="1329" t="s">
        <v>1062</v>
      </c>
      <c r="E141" s="1332"/>
      <c r="F141" s="1338"/>
      <c r="G141" s="1329" t="s">
        <v>1063</v>
      </c>
      <c r="H141" s="1332" t="s">
        <v>1064</v>
      </c>
      <c r="I141" s="1332" t="s">
        <v>1065</v>
      </c>
      <c r="J141" s="1335" t="s">
        <v>67</v>
      </c>
      <c r="K141" s="1558" t="s">
        <v>66</v>
      </c>
      <c r="L141" s="384">
        <v>52</v>
      </c>
      <c r="M141" s="385">
        <v>18</v>
      </c>
      <c r="N141" s="132">
        <v>8</v>
      </c>
      <c r="O141" s="132">
        <v>8</v>
      </c>
      <c r="P141" s="1475">
        <v>46082</v>
      </c>
      <c r="Q141" s="1475">
        <v>46113</v>
      </c>
      <c r="R141" s="1481">
        <v>46935</v>
      </c>
      <c r="S141" s="1344" t="s">
        <v>65</v>
      </c>
      <c r="T141" s="1499" t="s">
        <v>54</v>
      </c>
      <c r="U141" s="1344" t="s">
        <v>11</v>
      </c>
    </row>
    <row r="142" spans="1:21" s="12" customFormat="1" ht="35.1" customHeight="1">
      <c r="A142" s="1462"/>
      <c r="B142" s="503"/>
      <c r="C142" s="958"/>
      <c r="D142" s="1330"/>
      <c r="E142" s="1333"/>
      <c r="F142" s="1339"/>
      <c r="G142" s="1330"/>
      <c r="H142" s="1333"/>
      <c r="I142" s="1333"/>
      <c r="J142" s="1336"/>
      <c r="K142" s="1559"/>
      <c r="L142" s="384">
        <v>55</v>
      </c>
      <c r="M142" s="385">
        <v>22</v>
      </c>
      <c r="N142" s="132">
        <v>12</v>
      </c>
      <c r="O142" s="132">
        <v>8</v>
      </c>
      <c r="P142" s="1476"/>
      <c r="Q142" s="1476"/>
      <c r="R142" s="1482"/>
      <c r="S142" s="1345"/>
      <c r="T142" s="1479"/>
      <c r="U142" s="1345"/>
    </row>
    <row r="143" spans="1:21" s="12" customFormat="1" ht="35.1" customHeight="1">
      <c r="A143" s="1462"/>
      <c r="B143" s="503"/>
      <c r="C143" s="958"/>
      <c r="D143" s="1330"/>
      <c r="E143" s="1333"/>
      <c r="F143" s="1339"/>
      <c r="G143" s="1330"/>
      <c r="H143" s="1333"/>
      <c r="I143" s="1333"/>
      <c r="J143" s="1336"/>
      <c r="K143" s="1559"/>
      <c r="L143" s="384" t="s">
        <v>1066</v>
      </c>
      <c r="M143" s="385">
        <v>27</v>
      </c>
      <c r="N143" s="132">
        <v>14</v>
      </c>
      <c r="O143" s="132">
        <v>12</v>
      </c>
      <c r="P143" s="1476"/>
      <c r="Q143" s="1476"/>
      <c r="R143" s="1482"/>
      <c r="S143" s="1345"/>
      <c r="T143" s="1479"/>
      <c r="U143" s="1345"/>
    </row>
    <row r="144" spans="1:21" s="12" customFormat="1" ht="35.1" customHeight="1">
      <c r="A144" s="1462"/>
      <c r="B144" s="503"/>
      <c r="C144" s="958"/>
      <c r="D144" s="1330"/>
      <c r="E144" s="1333"/>
      <c r="F144" s="1339"/>
      <c r="G144" s="1330"/>
      <c r="H144" s="1333"/>
      <c r="I144" s="1333"/>
      <c r="J144" s="1336"/>
      <c r="K144" s="1559"/>
      <c r="L144" s="384" t="s">
        <v>1067</v>
      </c>
      <c r="M144" s="385">
        <v>21</v>
      </c>
      <c r="N144" s="132">
        <v>10</v>
      </c>
      <c r="O144" s="132">
        <v>10</v>
      </c>
      <c r="P144" s="1476"/>
      <c r="Q144" s="1476"/>
      <c r="R144" s="1482"/>
      <c r="S144" s="1345"/>
      <c r="T144" s="1479"/>
      <c r="U144" s="1345"/>
    </row>
    <row r="145" spans="1:22" s="12" customFormat="1" ht="35.1" customHeight="1">
      <c r="A145" s="1462"/>
      <c r="B145" s="503"/>
      <c r="C145" s="958"/>
      <c r="D145" s="1330"/>
      <c r="E145" s="1333"/>
      <c r="F145" s="1339"/>
      <c r="G145" s="1331"/>
      <c r="H145" s="1334"/>
      <c r="I145" s="1334"/>
      <c r="J145" s="1337"/>
      <c r="K145" s="1560"/>
      <c r="L145" s="384">
        <v>67</v>
      </c>
      <c r="M145" s="385">
        <v>5</v>
      </c>
      <c r="N145" s="132">
        <v>3</v>
      </c>
      <c r="O145" s="132">
        <v>2</v>
      </c>
      <c r="P145" s="1476"/>
      <c r="Q145" s="1476"/>
      <c r="R145" s="1482"/>
      <c r="S145" s="1345"/>
      <c r="T145" s="1479"/>
      <c r="U145" s="1345"/>
    </row>
    <row r="146" spans="1:22" s="12" customFormat="1" ht="35.1" customHeight="1">
      <c r="A146" s="1462"/>
      <c r="B146" s="503"/>
      <c r="C146" s="959"/>
      <c r="D146" s="1331"/>
      <c r="E146" s="1334"/>
      <c r="F146" s="1340"/>
      <c r="G146" s="966" t="s">
        <v>1068</v>
      </c>
      <c r="H146" s="967"/>
      <c r="I146" s="967"/>
      <c r="J146" s="967"/>
      <c r="K146" s="968"/>
      <c r="L146" s="386"/>
      <c r="M146" s="244">
        <v>93</v>
      </c>
      <c r="N146" s="246">
        <f>SUM(N141:N145)</f>
        <v>47</v>
      </c>
      <c r="O146" s="246">
        <f>SUM(O141:O145)</f>
        <v>40</v>
      </c>
      <c r="P146" s="1477"/>
      <c r="Q146" s="1477"/>
      <c r="R146" s="1483"/>
      <c r="S146" s="1346"/>
      <c r="T146" s="1480"/>
      <c r="U146" s="1345"/>
    </row>
    <row r="147" spans="1:22" s="12" customFormat="1" ht="35.1" customHeight="1">
      <c r="A147" s="1462"/>
      <c r="B147" s="503"/>
      <c r="C147" s="1326" t="s">
        <v>1069</v>
      </c>
      <c r="D147" s="969" t="s">
        <v>1070</v>
      </c>
      <c r="E147" s="970"/>
      <c r="F147" s="971"/>
      <c r="G147" s="978" t="s">
        <v>1071</v>
      </c>
      <c r="H147" s="978" t="s">
        <v>1072</v>
      </c>
      <c r="I147" s="978" t="s">
        <v>1073</v>
      </c>
      <c r="J147" s="963" t="s">
        <v>11</v>
      </c>
      <c r="K147" s="963" t="s">
        <v>12</v>
      </c>
      <c r="L147" s="387" t="s">
        <v>85</v>
      </c>
      <c r="M147" s="388">
        <v>96</v>
      </c>
      <c r="N147" s="389">
        <v>0</v>
      </c>
      <c r="O147" s="389">
        <v>0</v>
      </c>
      <c r="P147" s="1314">
        <v>46054</v>
      </c>
      <c r="Q147" s="1314">
        <v>46082</v>
      </c>
      <c r="R147" s="1487" t="s">
        <v>991</v>
      </c>
      <c r="S147" s="1490" t="s">
        <v>13</v>
      </c>
      <c r="T147" s="1478" t="s">
        <v>54</v>
      </c>
      <c r="U147" s="1345" t="s">
        <v>67</v>
      </c>
    </row>
    <row r="148" spans="1:22" s="12" customFormat="1" ht="35.1" customHeight="1">
      <c r="A148" s="1462"/>
      <c r="B148" s="503"/>
      <c r="C148" s="1327"/>
      <c r="D148" s="972"/>
      <c r="E148" s="973"/>
      <c r="F148" s="974"/>
      <c r="G148" s="979"/>
      <c r="H148" s="979"/>
      <c r="I148" s="979"/>
      <c r="J148" s="964"/>
      <c r="K148" s="964"/>
      <c r="L148" s="387" t="s">
        <v>103</v>
      </c>
      <c r="M148" s="388">
        <v>130</v>
      </c>
      <c r="N148" s="389">
        <v>0</v>
      </c>
      <c r="O148" s="389">
        <v>0</v>
      </c>
      <c r="P148" s="1315"/>
      <c r="Q148" s="1315"/>
      <c r="R148" s="1488"/>
      <c r="S148" s="1491"/>
      <c r="T148" s="1479"/>
      <c r="U148" s="1345"/>
    </row>
    <row r="149" spans="1:22" s="12" customFormat="1" ht="35.1" customHeight="1">
      <c r="A149" s="1462"/>
      <c r="B149" s="503"/>
      <c r="C149" s="1327"/>
      <c r="D149" s="972"/>
      <c r="E149" s="973"/>
      <c r="F149" s="974"/>
      <c r="G149" s="980"/>
      <c r="H149" s="980"/>
      <c r="I149" s="980"/>
      <c r="J149" s="965"/>
      <c r="K149" s="965"/>
      <c r="L149" s="387" t="s">
        <v>83</v>
      </c>
      <c r="M149" s="388">
        <v>4</v>
      </c>
      <c r="N149" s="389">
        <v>0</v>
      </c>
      <c r="O149" s="389">
        <v>0</v>
      </c>
      <c r="P149" s="1315"/>
      <c r="Q149" s="1315"/>
      <c r="R149" s="1488"/>
      <c r="S149" s="1491"/>
      <c r="T149" s="1479"/>
      <c r="U149" s="1345"/>
    </row>
    <row r="150" spans="1:22" s="12" customFormat="1" ht="35.1" customHeight="1">
      <c r="A150" s="1462"/>
      <c r="B150" s="503"/>
      <c r="C150" s="1328"/>
      <c r="D150" s="975"/>
      <c r="E150" s="976"/>
      <c r="F150" s="977"/>
      <c r="G150" s="1546" t="s">
        <v>977</v>
      </c>
      <c r="H150" s="1547"/>
      <c r="I150" s="1547"/>
      <c r="J150" s="1547"/>
      <c r="K150" s="1547"/>
      <c r="L150" s="1548"/>
      <c r="M150" s="390">
        <f>SUM(M147:M149)</f>
        <v>230</v>
      </c>
      <c r="N150" s="246">
        <f>SUM(N147:N149)</f>
        <v>0</v>
      </c>
      <c r="O150" s="246">
        <f>SUM(O147:O149)</f>
        <v>0</v>
      </c>
      <c r="P150" s="1316"/>
      <c r="Q150" s="1316"/>
      <c r="R150" s="1489"/>
      <c r="S150" s="1492"/>
      <c r="T150" s="1480"/>
      <c r="U150" s="1346"/>
    </row>
    <row r="151" spans="1:22" s="12" customFormat="1" ht="35.1" customHeight="1">
      <c r="A151" s="1462"/>
      <c r="B151" s="503"/>
      <c r="C151" s="1326" t="s">
        <v>1069</v>
      </c>
      <c r="D151" s="969" t="s">
        <v>1113</v>
      </c>
      <c r="E151" s="970"/>
      <c r="F151" s="971"/>
      <c r="G151" s="978" t="s">
        <v>1071</v>
      </c>
      <c r="H151" s="978" t="s">
        <v>1114</v>
      </c>
      <c r="I151" s="978" t="s">
        <v>1114</v>
      </c>
      <c r="J151" s="963" t="s">
        <v>11</v>
      </c>
      <c r="K151" s="963" t="s">
        <v>12</v>
      </c>
      <c r="L151" s="387">
        <v>46</v>
      </c>
      <c r="M151" s="388">
        <v>15</v>
      </c>
      <c r="N151" s="389">
        <v>12</v>
      </c>
      <c r="O151" s="389">
        <v>9</v>
      </c>
      <c r="P151" s="1314">
        <v>46156</v>
      </c>
      <c r="Q151" s="1314">
        <v>46190</v>
      </c>
      <c r="R151" s="1314" t="s">
        <v>653</v>
      </c>
      <c r="S151" s="1314" t="s">
        <v>65</v>
      </c>
      <c r="T151" s="1561" t="s">
        <v>54</v>
      </c>
      <c r="U151" s="1314" t="s">
        <v>11</v>
      </c>
      <c r="V151" s="1771" t="s">
        <v>1115</v>
      </c>
    </row>
    <row r="152" spans="1:22" s="12" customFormat="1" ht="35.1" customHeight="1">
      <c r="A152" s="1462"/>
      <c r="B152" s="503"/>
      <c r="C152" s="1327"/>
      <c r="D152" s="972"/>
      <c r="E152" s="1777"/>
      <c r="F152" s="974"/>
      <c r="G152" s="979"/>
      <c r="H152" s="979"/>
      <c r="I152" s="979"/>
      <c r="J152" s="964"/>
      <c r="K152" s="964"/>
      <c r="L152" s="387">
        <v>59</v>
      </c>
      <c r="M152" s="388">
        <v>19</v>
      </c>
      <c r="N152" s="389">
        <v>12</v>
      </c>
      <c r="O152" s="389">
        <v>9</v>
      </c>
      <c r="P152" s="1315"/>
      <c r="Q152" s="1315"/>
      <c r="R152" s="1315"/>
      <c r="S152" s="1315"/>
      <c r="T152" s="1562"/>
      <c r="U152" s="1315"/>
      <c r="V152" s="1772"/>
    </row>
    <row r="153" spans="1:22" s="12" customFormat="1" ht="35.1" customHeight="1">
      <c r="A153" s="1462"/>
      <c r="B153" s="503"/>
      <c r="C153" s="1327"/>
      <c r="D153" s="972"/>
      <c r="E153" s="1777"/>
      <c r="F153" s="974"/>
      <c r="G153" s="979"/>
      <c r="H153" s="979"/>
      <c r="I153" s="979"/>
      <c r="J153" s="964"/>
      <c r="K153" s="964"/>
      <c r="L153" s="387" t="s">
        <v>94</v>
      </c>
      <c r="M153" s="388">
        <v>2</v>
      </c>
      <c r="N153" s="389">
        <v>2</v>
      </c>
      <c r="O153" s="389">
        <v>2</v>
      </c>
      <c r="P153" s="1315"/>
      <c r="Q153" s="1315"/>
      <c r="R153" s="1315"/>
      <c r="S153" s="1315"/>
      <c r="T153" s="1562"/>
      <c r="U153" s="1315"/>
      <c r="V153" s="1772"/>
    </row>
    <row r="154" spans="1:22" s="12" customFormat="1" ht="35.1" customHeight="1">
      <c r="A154" s="1462"/>
      <c r="B154" s="503"/>
      <c r="C154" s="1327"/>
      <c r="D154" s="972"/>
      <c r="E154" s="1777"/>
      <c r="F154" s="974"/>
      <c r="G154" s="980"/>
      <c r="H154" s="980"/>
      <c r="I154" s="980"/>
      <c r="J154" s="965"/>
      <c r="K154" s="965"/>
      <c r="L154" s="387" t="s">
        <v>93</v>
      </c>
      <c r="M154" s="388">
        <v>8</v>
      </c>
      <c r="N154" s="389">
        <v>6</v>
      </c>
      <c r="O154" s="389">
        <v>6</v>
      </c>
      <c r="P154" s="1315"/>
      <c r="Q154" s="1315"/>
      <c r="R154" s="1315"/>
      <c r="S154" s="1315"/>
      <c r="T154" s="1562"/>
      <c r="U154" s="1315"/>
      <c r="V154" s="1772"/>
    </row>
    <row r="155" spans="1:22" s="12" customFormat="1" ht="35.1" customHeight="1">
      <c r="A155" s="1462"/>
      <c r="B155" s="503"/>
      <c r="C155" s="1328"/>
      <c r="D155" s="975"/>
      <c r="E155" s="976"/>
      <c r="F155" s="977"/>
      <c r="G155" s="1774" t="s">
        <v>977</v>
      </c>
      <c r="H155" s="1775"/>
      <c r="I155" s="1775"/>
      <c r="J155" s="1775"/>
      <c r="K155" s="1775"/>
      <c r="L155" s="1776"/>
      <c r="M155" s="390">
        <f>SUM(M151:M154)</f>
        <v>44</v>
      </c>
      <c r="N155" s="390">
        <f t="shared" ref="N155:O155" si="3">SUM(N151:N154)</f>
        <v>32</v>
      </c>
      <c r="O155" s="390">
        <f t="shared" si="3"/>
        <v>26</v>
      </c>
      <c r="P155" s="1316"/>
      <c r="Q155" s="1316"/>
      <c r="R155" s="1316"/>
      <c r="S155" s="1316"/>
      <c r="T155" s="1563"/>
      <c r="U155" s="1316"/>
      <c r="V155" s="1773"/>
    </row>
    <row r="156" spans="1:22" s="12" customFormat="1" ht="35.1" customHeight="1">
      <c r="A156" s="1462"/>
      <c r="B156" s="503"/>
      <c r="C156" s="1326" t="s">
        <v>1116</v>
      </c>
      <c r="D156" s="969" t="s">
        <v>1117</v>
      </c>
      <c r="E156" s="970"/>
      <c r="F156" s="971"/>
      <c r="G156" s="978" t="s">
        <v>1118</v>
      </c>
      <c r="H156" s="978" t="s">
        <v>1119</v>
      </c>
      <c r="I156" s="978" t="s">
        <v>1120</v>
      </c>
      <c r="J156" s="963" t="s">
        <v>11</v>
      </c>
      <c r="K156" s="963" t="s">
        <v>12</v>
      </c>
      <c r="L156" s="387" t="s">
        <v>85</v>
      </c>
      <c r="M156" s="388">
        <v>374</v>
      </c>
      <c r="N156" s="388">
        <v>97</v>
      </c>
      <c r="O156" s="388">
        <v>1</v>
      </c>
      <c r="P156" s="1314">
        <v>46135</v>
      </c>
      <c r="Q156" s="1314">
        <v>46171</v>
      </c>
      <c r="R156" s="1314">
        <v>47392</v>
      </c>
      <c r="S156" s="1314" t="s">
        <v>65</v>
      </c>
      <c r="T156" s="1561" t="s">
        <v>54</v>
      </c>
      <c r="U156" s="1314" t="s">
        <v>11</v>
      </c>
      <c r="V156" s="427"/>
    </row>
    <row r="157" spans="1:22" s="12" customFormat="1" ht="35.1" customHeight="1">
      <c r="A157" s="1462"/>
      <c r="B157" s="503"/>
      <c r="C157" s="1327"/>
      <c r="D157" s="972"/>
      <c r="E157" s="1777"/>
      <c r="F157" s="974"/>
      <c r="G157" s="979"/>
      <c r="H157" s="979"/>
      <c r="I157" s="979"/>
      <c r="J157" s="964"/>
      <c r="K157" s="964"/>
      <c r="L157" s="387" t="s">
        <v>103</v>
      </c>
      <c r="M157" s="388">
        <v>107</v>
      </c>
      <c r="N157" s="388">
        <v>17</v>
      </c>
      <c r="O157" s="388">
        <v>1</v>
      </c>
      <c r="P157" s="1315"/>
      <c r="Q157" s="1315"/>
      <c r="R157" s="1315"/>
      <c r="S157" s="1315"/>
      <c r="T157" s="1791"/>
      <c r="U157" s="1315"/>
      <c r="V157" s="427"/>
    </row>
    <row r="158" spans="1:22" s="12" customFormat="1" ht="35.1" customHeight="1">
      <c r="A158" s="1462"/>
      <c r="B158" s="503"/>
      <c r="C158" s="1327"/>
      <c r="D158" s="972"/>
      <c r="E158" s="1777"/>
      <c r="F158" s="974"/>
      <c r="G158" s="979"/>
      <c r="H158" s="979"/>
      <c r="I158" s="979"/>
      <c r="J158" s="964"/>
      <c r="K158" s="964"/>
      <c r="L158" s="387" t="s">
        <v>94</v>
      </c>
      <c r="M158" s="388">
        <v>208</v>
      </c>
      <c r="N158" s="388">
        <v>73</v>
      </c>
      <c r="O158" s="388">
        <v>1</v>
      </c>
      <c r="P158" s="1315"/>
      <c r="Q158" s="1315"/>
      <c r="R158" s="1315"/>
      <c r="S158" s="1315"/>
      <c r="T158" s="1791"/>
      <c r="U158" s="1315"/>
      <c r="V158" s="427"/>
    </row>
    <row r="159" spans="1:22" s="12" customFormat="1" ht="35.1" customHeight="1">
      <c r="A159" s="1462"/>
      <c r="B159" s="503"/>
      <c r="C159" s="1327"/>
      <c r="D159" s="972"/>
      <c r="E159" s="1777"/>
      <c r="F159" s="974"/>
      <c r="G159" s="979"/>
      <c r="H159" s="979"/>
      <c r="I159" s="979"/>
      <c r="J159" s="964"/>
      <c r="K159" s="964"/>
      <c r="L159" s="387" t="s">
        <v>93</v>
      </c>
      <c r="M159" s="388">
        <v>108</v>
      </c>
      <c r="N159" s="388">
        <v>30</v>
      </c>
      <c r="O159" s="388">
        <v>1</v>
      </c>
      <c r="P159" s="1315"/>
      <c r="Q159" s="1315"/>
      <c r="R159" s="1315"/>
      <c r="S159" s="1315"/>
      <c r="T159" s="1791"/>
      <c r="U159" s="1315"/>
      <c r="V159" s="427"/>
    </row>
    <row r="160" spans="1:22" s="12" customFormat="1" ht="35.1" customHeight="1">
      <c r="A160" s="1462"/>
      <c r="B160" s="503"/>
      <c r="C160" s="1327"/>
      <c r="D160" s="972"/>
      <c r="E160" s="1777"/>
      <c r="F160" s="974"/>
      <c r="G160" s="979"/>
      <c r="H160" s="979"/>
      <c r="I160" s="979"/>
      <c r="J160" s="964"/>
      <c r="K160" s="964"/>
      <c r="L160" s="387" t="s">
        <v>84</v>
      </c>
      <c r="M160" s="388">
        <v>73</v>
      </c>
      <c r="N160" s="388">
        <v>18</v>
      </c>
      <c r="O160" s="388">
        <v>1</v>
      </c>
      <c r="P160" s="1315"/>
      <c r="Q160" s="1315"/>
      <c r="R160" s="1315"/>
      <c r="S160" s="1315"/>
      <c r="T160" s="1791"/>
      <c r="U160" s="1315"/>
      <c r="V160" s="427"/>
    </row>
    <row r="161" spans="1:1892" s="12" customFormat="1" ht="35.1" customHeight="1">
      <c r="A161" s="1462"/>
      <c r="B161" s="503"/>
      <c r="C161" s="1327"/>
      <c r="D161" s="972"/>
      <c r="E161" s="1777"/>
      <c r="F161" s="974"/>
      <c r="G161" s="980"/>
      <c r="H161" s="980"/>
      <c r="I161" s="980"/>
      <c r="J161" s="965"/>
      <c r="K161" s="965"/>
      <c r="L161" s="387" t="s">
        <v>83</v>
      </c>
      <c r="M161" s="388">
        <v>27</v>
      </c>
      <c r="N161" s="388">
        <v>22</v>
      </c>
      <c r="O161" s="388">
        <v>0</v>
      </c>
      <c r="P161" s="1315"/>
      <c r="Q161" s="1315"/>
      <c r="R161" s="1315"/>
      <c r="S161" s="1315"/>
      <c r="T161" s="1791"/>
      <c r="U161" s="1315"/>
      <c r="V161" s="427"/>
    </row>
    <row r="162" spans="1:1892" s="12" customFormat="1" ht="35.1" customHeight="1">
      <c r="A162" s="1462"/>
      <c r="B162" s="504"/>
      <c r="C162" s="1328"/>
      <c r="D162" s="975"/>
      <c r="E162" s="976"/>
      <c r="F162" s="977"/>
      <c r="G162" s="1787" t="s">
        <v>977</v>
      </c>
      <c r="H162" s="1787"/>
      <c r="I162" s="1787"/>
      <c r="J162" s="1787"/>
      <c r="K162" s="1787"/>
      <c r="L162" s="1787"/>
      <c r="M162" s="390">
        <f>SUM(M156:M161)</f>
        <v>897</v>
      </c>
      <c r="N162" s="390">
        <f t="shared" ref="N162:O162" si="4">SUM(N156:N161)</f>
        <v>257</v>
      </c>
      <c r="O162" s="390">
        <f t="shared" si="4"/>
        <v>5</v>
      </c>
      <c r="P162" s="1316"/>
      <c r="Q162" s="1316"/>
      <c r="R162" s="1316"/>
      <c r="S162" s="1316"/>
      <c r="T162" s="1792"/>
      <c r="U162" s="1316"/>
      <c r="V162" s="427"/>
    </row>
    <row r="163" spans="1:1892" s="17" customFormat="1" ht="35.1" customHeight="1">
      <c r="A163" s="1462"/>
      <c r="B163" s="777" t="s">
        <v>105</v>
      </c>
      <c r="C163" s="778"/>
      <c r="D163" s="778"/>
      <c r="E163" s="778"/>
      <c r="F163" s="778"/>
      <c r="G163" s="778"/>
      <c r="H163" s="778"/>
      <c r="I163" s="778"/>
      <c r="J163" s="778"/>
      <c r="K163" s="779"/>
      <c r="L163" s="140"/>
      <c r="M163" s="226">
        <f>M150+M146+M140+M135+M131+M126+M122+M115+M106+M155+M162</f>
        <v>1882</v>
      </c>
      <c r="N163" s="226">
        <f>N150+N146+N140+N135+N131+N126+N122+N115+N106+N155+N162</f>
        <v>345</v>
      </c>
      <c r="O163" s="226">
        <f>O150+O146+O140+O135+O131+O126+O122+O115+O106+O155+O162</f>
        <v>79</v>
      </c>
      <c r="P163" s="123"/>
      <c r="Q163" s="123"/>
      <c r="R163" s="123"/>
      <c r="S163" s="124"/>
      <c r="T163" s="125"/>
      <c r="U163" s="124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  <c r="DC163" s="12"/>
      <c r="DD163" s="12"/>
      <c r="DE163" s="12"/>
      <c r="DF163" s="12"/>
      <c r="DG163" s="12"/>
      <c r="DH163" s="12"/>
      <c r="DI163" s="12"/>
      <c r="DJ163" s="12"/>
      <c r="DK163" s="12"/>
      <c r="DL163" s="12"/>
      <c r="DM163" s="12"/>
      <c r="DN163" s="12"/>
      <c r="DO163" s="12"/>
      <c r="DP163" s="12"/>
      <c r="DQ163" s="12"/>
      <c r="DR163" s="12"/>
      <c r="DS163" s="12"/>
      <c r="DT163" s="12"/>
      <c r="DU163" s="12"/>
      <c r="DV163" s="12"/>
      <c r="DW163" s="12"/>
      <c r="DX163" s="12"/>
      <c r="DY163" s="12"/>
      <c r="DZ163" s="12"/>
      <c r="EA163" s="12"/>
      <c r="EB163" s="12"/>
      <c r="EC163" s="12"/>
      <c r="ED163" s="12"/>
      <c r="EE163" s="12"/>
      <c r="EF163" s="12"/>
      <c r="EG163" s="12"/>
      <c r="EH163" s="12"/>
      <c r="EI163" s="12"/>
      <c r="EJ163" s="12"/>
      <c r="EK163" s="12"/>
      <c r="EL163" s="12"/>
      <c r="EM163" s="12"/>
      <c r="EN163" s="12"/>
      <c r="EO163" s="12"/>
      <c r="EP163" s="12"/>
      <c r="EQ163" s="12"/>
      <c r="ER163" s="12"/>
      <c r="ES163" s="12"/>
      <c r="ET163" s="12"/>
      <c r="EU163" s="12"/>
      <c r="EV163" s="12"/>
      <c r="EW163" s="12"/>
      <c r="EX163" s="12"/>
      <c r="EY163" s="12"/>
      <c r="EZ163" s="12"/>
      <c r="FA163" s="12"/>
      <c r="FB163" s="12"/>
      <c r="FC163" s="12"/>
      <c r="FD163" s="12"/>
      <c r="FE163" s="12"/>
      <c r="FF163" s="12"/>
      <c r="FG163" s="12"/>
      <c r="FH163" s="12"/>
      <c r="FI163" s="12"/>
      <c r="FJ163" s="12"/>
      <c r="FK163" s="12"/>
      <c r="FL163" s="12"/>
      <c r="FM163" s="12"/>
      <c r="FN163" s="12"/>
      <c r="FO163" s="12"/>
      <c r="FP163" s="12"/>
      <c r="FQ163" s="12"/>
      <c r="FR163" s="12"/>
      <c r="FS163" s="12"/>
      <c r="FT163" s="12"/>
      <c r="FU163" s="12"/>
      <c r="FV163" s="12"/>
      <c r="FW163" s="12"/>
      <c r="FX163" s="12"/>
      <c r="FY163" s="12"/>
      <c r="FZ163" s="12"/>
      <c r="GA163" s="12"/>
      <c r="GB163" s="12"/>
      <c r="GC163" s="12"/>
      <c r="GD163" s="12"/>
      <c r="GE163" s="12"/>
      <c r="GF163" s="12"/>
      <c r="GG163" s="12"/>
      <c r="GH163" s="12"/>
      <c r="GI163" s="12"/>
      <c r="GJ163" s="12"/>
      <c r="GK163" s="12"/>
      <c r="GL163" s="12"/>
      <c r="GM163" s="12"/>
      <c r="GN163" s="12"/>
      <c r="GO163" s="12"/>
      <c r="GP163" s="12"/>
      <c r="GQ163" s="12"/>
      <c r="GR163" s="12"/>
      <c r="GS163" s="12"/>
      <c r="GT163" s="12"/>
      <c r="GU163" s="12"/>
      <c r="GV163" s="12"/>
      <c r="GW163" s="12"/>
      <c r="GX163" s="12"/>
      <c r="GY163" s="12"/>
      <c r="GZ163" s="12"/>
      <c r="HA163" s="12"/>
      <c r="HB163" s="12"/>
      <c r="HC163" s="12"/>
      <c r="HD163" s="12"/>
      <c r="HE163" s="12"/>
      <c r="HF163" s="12"/>
      <c r="HG163" s="12"/>
      <c r="HH163" s="12"/>
      <c r="HI163" s="12"/>
      <c r="HJ163" s="12"/>
      <c r="HK163" s="12"/>
      <c r="HL163" s="12"/>
      <c r="HM163" s="12"/>
      <c r="HN163" s="12"/>
      <c r="HO163" s="12"/>
      <c r="HP163" s="12"/>
      <c r="HQ163" s="12"/>
      <c r="HR163" s="12"/>
      <c r="HS163" s="12"/>
      <c r="HT163" s="12"/>
      <c r="HU163" s="12"/>
      <c r="HV163" s="12"/>
      <c r="HW163" s="12"/>
      <c r="HX163" s="12"/>
      <c r="HY163" s="12"/>
      <c r="HZ163" s="12"/>
      <c r="IA163" s="12"/>
      <c r="IB163" s="12"/>
      <c r="IC163" s="12"/>
      <c r="ID163" s="12"/>
      <c r="IE163" s="12"/>
      <c r="IF163" s="12"/>
      <c r="IG163" s="12"/>
      <c r="IH163" s="12"/>
      <c r="II163" s="12"/>
      <c r="IJ163" s="12"/>
      <c r="IK163" s="12"/>
      <c r="IL163" s="12"/>
      <c r="IM163" s="12"/>
      <c r="IN163" s="12"/>
      <c r="IO163" s="12"/>
      <c r="IP163" s="12"/>
      <c r="IQ163" s="12"/>
      <c r="IR163" s="12"/>
      <c r="IS163" s="12"/>
      <c r="IT163" s="12"/>
      <c r="IU163" s="12"/>
      <c r="IV163" s="12"/>
      <c r="IW163" s="12"/>
      <c r="IX163" s="12"/>
      <c r="IY163" s="12"/>
      <c r="IZ163" s="12"/>
      <c r="JA163" s="12"/>
      <c r="JB163" s="12"/>
      <c r="JC163" s="12"/>
      <c r="JD163" s="12"/>
      <c r="JE163" s="12"/>
      <c r="JF163" s="12"/>
      <c r="JG163" s="12"/>
      <c r="JH163" s="12"/>
      <c r="JI163" s="12"/>
      <c r="JJ163" s="12"/>
      <c r="JK163" s="12"/>
      <c r="JL163" s="12"/>
      <c r="JM163" s="12"/>
      <c r="JN163" s="12"/>
      <c r="JO163" s="12"/>
      <c r="JP163" s="12"/>
      <c r="JQ163" s="12"/>
      <c r="JR163" s="12"/>
      <c r="JS163" s="12"/>
      <c r="JT163" s="12"/>
      <c r="JU163" s="12"/>
      <c r="JV163" s="12"/>
      <c r="JW163" s="12"/>
      <c r="JX163" s="12"/>
      <c r="JY163" s="12"/>
      <c r="JZ163" s="12"/>
      <c r="KA163" s="12"/>
      <c r="KB163" s="12"/>
      <c r="KC163" s="12"/>
      <c r="KD163" s="12"/>
      <c r="KE163" s="12"/>
      <c r="KF163" s="12"/>
      <c r="KG163" s="12"/>
      <c r="KH163" s="12"/>
      <c r="KI163" s="12"/>
      <c r="KJ163" s="12"/>
      <c r="KK163" s="12"/>
      <c r="KL163" s="12"/>
      <c r="KM163" s="12"/>
      <c r="KN163" s="12"/>
      <c r="KO163" s="12"/>
      <c r="KP163" s="12"/>
      <c r="KQ163" s="12"/>
      <c r="KR163" s="12"/>
      <c r="KS163" s="12"/>
      <c r="KT163" s="12"/>
      <c r="KU163" s="12"/>
      <c r="KV163" s="12"/>
      <c r="KW163" s="12"/>
      <c r="KX163" s="12"/>
      <c r="KY163" s="12"/>
      <c r="KZ163" s="12"/>
      <c r="LA163" s="12"/>
      <c r="LB163" s="12"/>
      <c r="LC163" s="12"/>
      <c r="LD163" s="12"/>
      <c r="LE163" s="12"/>
      <c r="LF163" s="12"/>
      <c r="LG163" s="12"/>
      <c r="LH163" s="12"/>
      <c r="LI163" s="12"/>
      <c r="LJ163" s="12"/>
      <c r="LK163" s="12"/>
      <c r="LL163" s="12"/>
      <c r="LM163" s="12"/>
      <c r="LN163" s="12"/>
      <c r="LO163" s="12"/>
      <c r="LP163" s="12"/>
      <c r="LQ163" s="12"/>
      <c r="LR163" s="12"/>
      <c r="LS163" s="12"/>
      <c r="LT163" s="12"/>
      <c r="LU163" s="12"/>
      <c r="LV163" s="12"/>
      <c r="LW163" s="12"/>
      <c r="LX163" s="12"/>
      <c r="LY163" s="12"/>
      <c r="LZ163" s="12"/>
      <c r="MA163" s="12"/>
      <c r="MB163" s="12"/>
      <c r="MC163" s="12"/>
      <c r="MD163" s="12"/>
      <c r="ME163" s="12"/>
      <c r="MF163" s="12"/>
      <c r="MG163" s="12"/>
      <c r="MH163" s="12"/>
      <c r="MI163" s="12"/>
      <c r="MJ163" s="12"/>
      <c r="MK163" s="12"/>
      <c r="ML163" s="12"/>
      <c r="MM163" s="12"/>
      <c r="MN163" s="12"/>
      <c r="MO163" s="12"/>
      <c r="MP163" s="12"/>
      <c r="MQ163" s="12"/>
      <c r="MR163" s="12"/>
      <c r="MS163" s="12"/>
      <c r="MT163" s="12"/>
      <c r="MU163" s="12"/>
      <c r="MV163" s="12"/>
      <c r="MW163" s="12"/>
      <c r="MX163" s="12"/>
      <c r="MY163" s="12"/>
      <c r="MZ163" s="12"/>
      <c r="NA163" s="12"/>
      <c r="NB163" s="12"/>
      <c r="NC163" s="12"/>
      <c r="ND163" s="12"/>
      <c r="NE163" s="12"/>
      <c r="NF163" s="12"/>
      <c r="NG163" s="12"/>
      <c r="NH163" s="12"/>
      <c r="NI163" s="12"/>
      <c r="NJ163" s="12"/>
      <c r="NK163" s="12"/>
      <c r="NL163" s="12"/>
      <c r="NM163" s="12"/>
      <c r="NN163" s="12"/>
      <c r="NO163" s="12"/>
      <c r="NP163" s="12"/>
      <c r="NQ163" s="12"/>
      <c r="NR163" s="12"/>
      <c r="NS163" s="12"/>
      <c r="NT163" s="12"/>
      <c r="NU163" s="12"/>
      <c r="NV163" s="12"/>
      <c r="NW163" s="12"/>
      <c r="NX163" s="12"/>
      <c r="NY163" s="12"/>
      <c r="NZ163" s="12"/>
      <c r="OA163" s="12"/>
      <c r="OB163" s="12"/>
      <c r="OC163" s="12"/>
      <c r="OD163" s="12"/>
      <c r="OE163" s="12"/>
      <c r="OF163" s="12"/>
      <c r="OG163" s="12"/>
      <c r="OH163" s="12"/>
      <c r="OI163" s="12"/>
      <c r="OJ163" s="12"/>
      <c r="OK163" s="12"/>
      <c r="OL163" s="12"/>
      <c r="OM163" s="12"/>
      <c r="ON163" s="12"/>
      <c r="OO163" s="12"/>
      <c r="OP163" s="12"/>
      <c r="OQ163" s="12"/>
      <c r="OR163" s="12"/>
      <c r="OS163" s="12"/>
      <c r="OT163" s="12"/>
      <c r="OU163" s="12"/>
      <c r="OV163" s="12"/>
      <c r="OW163" s="12"/>
      <c r="OX163" s="12"/>
      <c r="OY163" s="12"/>
      <c r="OZ163" s="12"/>
      <c r="PA163" s="12"/>
      <c r="PB163" s="12"/>
      <c r="PC163" s="12"/>
      <c r="PD163" s="12"/>
      <c r="PE163" s="12"/>
      <c r="PF163" s="12"/>
      <c r="PG163" s="12"/>
      <c r="PH163" s="12"/>
      <c r="PI163" s="12"/>
      <c r="PJ163" s="12"/>
      <c r="PK163" s="12"/>
      <c r="PL163" s="12"/>
      <c r="PM163" s="12"/>
      <c r="PN163" s="12"/>
      <c r="PO163" s="12"/>
      <c r="PP163" s="12"/>
      <c r="PQ163" s="12"/>
      <c r="PR163" s="12"/>
      <c r="PS163" s="12"/>
      <c r="PT163" s="12"/>
      <c r="PU163" s="12"/>
      <c r="PV163" s="12"/>
      <c r="PW163" s="12"/>
      <c r="PX163" s="12"/>
      <c r="PY163" s="12"/>
      <c r="PZ163" s="12"/>
      <c r="QA163" s="12"/>
      <c r="QB163" s="12"/>
      <c r="QC163" s="12"/>
      <c r="QD163" s="12"/>
      <c r="QE163" s="12"/>
      <c r="QF163" s="12"/>
      <c r="QG163" s="12"/>
      <c r="QH163" s="12"/>
      <c r="QI163" s="12"/>
      <c r="QJ163" s="12"/>
      <c r="QK163" s="12"/>
      <c r="QL163" s="12"/>
      <c r="QM163" s="12"/>
      <c r="QN163" s="12"/>
      <c r="QO163" s="12"/>
      <c r="QP163" s="12"/>
      <c r="QQ163" s="12"/>
      <c r="QR163" s="12"/>
      <c r="QS163" s="12"/>
      <c r="QT163" s="12"/>
      <c r="QU163" s="12"/>
      <c r="QV163" s="12"/>
      <c r="QW163" s="12"/>
      <c r="QX163" s="12"/>
      <c r="QY163" s="12"/>
      <c r="QZ163" s="12"/>
      <c r="RA163" s="12"/>
      <c r="RB163" s="12"/>
      <c r="RC163" s="12"/>
      <c r="RD163" s="12"/>
      <c r="RE163" s="12"/>
      <c r="RF163" s="12"/>
      <c r="RG163" s="12"/>
      <c r="RH163" s="12"/>
      <c r="RI163" s="12"/>
      <c r="RJ163" s="12"/>
      <c r="RK163" s="12"/>
      <c r="RL163" s="12"/>
      <c r="RM163" s="12"/>
      <c r="RN163" s="12"/>
      <c r="RO163" s="12"/>
      <c r="RP163" s="12"/>
      <c r="RQ163" s="12"/>
      <c r="RR163" s="12"/>
      <c r="RS163" s="12"/>
      <c r="RT163" s="12"/>
      <c r="RU163" s="12"/>
      <c r="RV163" s="12"/>
      <c r="RW163" s="12"/>
      <c r="RX163" s="12"/>
      <c r="RY163" s="12"/>
      <c r="RZ163" s="12"/>
      <c r="SA163" s="12"/>
      <c r="SB163" s="12"/>
      <c r="SC163" s="12"/>
      <c r="SD163" s="12"/>
      <c r="SE163" s="12"/>
      <c r="SF163" s="12"/>
      <c r="SG163" s="12"/>
      <c r="SH163" s="12"/>
      <c r="SI163" s="12"/>
      <c r="SJ163" s="12"/>
      <c r="SK163" s="12"/>
      <c r="SL163" s="12"/>
      <c r="SM163" s="12"/>
      <c r="SN163" s="12"/>
      <c r="SO163" s="12"/>
      <c r="SP163" s="12"/>
      <c r="SQ163" s="12"/>
      <c r="SR163" s="12"/>
      <c r="SS163" s="12"/>
      <c r="ST163" s="12"/>
      <c r="SU163" s="12"/>
      <c r="SV163" s="12"/>
      <c r="SW163" s="12"/>
      <c r="SX163" s="12"/>
      <c r="SY163" s="12"/>
      <c r="SZ163" s="12"/>
      <c r="TA163" s="12"/>
      <c r="TB163" s="12"/>
      <c r="TC163" s="12"/>
      <c r="TD163" s="12"/>
      <c r="TE163" s="12"/>
      <c r="TF163" s="12"/>
      <c r="TG163" s="12"/>
      <c r="TH163" s="12"/>
      <c r="TI163" s="12"/>
      <c r="TJ163" s="12"/>
      <c r="TK163" s="12"/>
      <c r="TL163" s="12"/>
      <c r="TM163" s="12"/>
      <c r="TN163" s="12"/>
      <c r="TO163" s="12"/>
      <c r="TP163" s="12"/>
      <c r="TQ163" s="12"/>
      <c r="TR163" s="12"/>
      <c r="TS163" s="12"/>
      <c r="TT163" s="12"/>
      <c r="TU163" s="12"/>
      <c r="TV163" s="12"/>
      <c r="TW163" s="12"/>
      <c r="TX163" s="12"/>
      <c r="TY163" s="12"/>
      <c r="TZ163" s="12"/>
      <c r="UA163" s="12"/>
      <c r="UB163" s="12"/>
      <c r="UC163" s="12"/>
      <c r="UD163" s="12"/>
      <c r="UE163" s="12"/>
      <c r="UF163" s="12"/>
      <c r="UG163" s="12"/>
      <c r="UH163" s="12"/>
      <c r="UI163" s="12"/>
      <c r="UJ163" s="12"/>
      <c r="UK163" s="12"/>
      <c r="UL163" s="12"/>
      <c r="UM163" s="12"/>
      <c r="UN163" s="12"/>
      <c r="UO163" s="12"/>
      <c r="UP163" s="12"/>
      <c r="UQ163" s="12"/>
      <c r="UR163" s="12"/>
      <c r="US163" s="12"/>
      <c r="UT163" s="12"/>
      <c r="UU163" s="12"/>
      <c r="UV163" s="12"/>
      <c r="UW163" s="12"/>
      <c r="UX163" s="12"/>
      <c r="UY163" s="12"/>
      <c r="UZ163" s="12"/>
      <c r="VA163" s="12"/>
      <c r="VB163" s="12"/>
      <c r="VC163" s="12"/>
      <c r="VD163" s="12"/>
      <c r="VE163" s="12"/>
      <c r="VF163" s="12"/>
      <c r="VG163" s="12"/>
      <c r="VH163" s="12"/>
      <c r="VI163" s="12"/>
      <c r="VJ163" s="12"/>
      <c r="VK163" s="12"/>
      <c r="VL163" s="12"/>
      <c r="VM163" s="12"/>
      <c r="VN163" s="12"/>
      <c r="VO163" s="12"/>
      <c r="VP163" s="12"/>
      <c r="VQ163" s="12"/>
      <c r="VR163" s="12"/>
      <c r="VS163" s="12"/>
      <c r="VT163" s="12"/>
      <c r="VU163" s="12"/>
      <c r="VV163" s="12"/>
      <c r="VW163" s="12"/>
      <c r="VX163" s="12"/>
      <c r="VY163" s="12"/>
      <c r="VZ163" s="12"/>
      <c r="WA163" s="12"/>
      <c r="WB163" s="12"/>
      <c r="WC163" s="12"/>
      <c r="WD163" s="12"/>
      <c r="WE163" s="12"/>
      <c r="WF163" s="12"/>
      <c r="WG163" s="12"/>
      <c r="WH163" s="12"/>
      <c r="WI163" s="12"/>
      <c r="WJ163" s="12"/>
      <c r="WK163" s="12"/>
      <c r="WL163" s="12"/>
      <c r="WM163" s="12"/>
      <c r="WN163" s="12"/>
      <c r="WO163" s="12"/>
      <c r="WP163" s="12"/>
      <c r="WQ163" s="12"/>
      <c r="WR163" s="12"/>
      <c r="WS163" s="12"/>
      <c r="WT163" s="12"/>
      <c r="WU163" s="12"/>
      <c r="WV163" s="12"/>
      <c r="WW163" s="12"/>
      <c r="WX163" s="12"/>
      <c r="WY163" s="12"/>
      <c r="WZ163" s="12"/>
      <c r="XA163" s="12"/>
      <c r="XB163" s="12"/>
      <c r="XC163" s="12"/>
      <c r="XD163" s="12"/>
      <c r="XE163" s="12"/>
      <c r="XF163" s="12"/>
      <c r="XG163" s="12"/>
      <c r="XH163" s="12"/>
      <c r="XI163" s="12"/>
      <c r="XJ163" s="12"/>
      <c r="XK163" s="12"/>
      <c r="XL163" s="12"/>
      <c r="XM163" s="12"/>
      <c r="XN163" s="12"/>
      <c r="XO163" s="12"/>
      <c r="XP163" s="12"/>
      <c r="XQ163" s="12"/>
      <c r="XR163" s="12"/>
      <c r="XS163" s="12"/>
      <c r="XT163" s="12"/>
      <c r="XU163" s="12"/>
      <c r="XV163" s="12"/>
      <c r="XW163" s="12"/>
      <c r="XX163" s="12"/>
      <c r="XY163" s="12"/>
      <c r="XZ163" s="12"/>
      <c r="YA163" s="12"/>
      <c r="YB163" s="12"/>
      <c r="YC163" s="12"/>
      <c r="YD163" s="12"/>
      <c r="YE163" s="12"/>
      <c r="YF163" s="12"/>
      <c r="YG163" s="12"/>
      <c r="YH163" s="12"/>
      <c r="YI163" s="12"/>
      <c r="YJ163" s="12"/>
      <c r="YK163" s="12"/>
      <c r="YL163" s="12"/>
      <c r="YM163" s="12"/>
      <c r="YN163" s="12"/>
      <c r="YO163" s="12"/>
      <c r="YP163" s="12"/>
      <c r="YQ163" s="12"/>
      <c r="YR163" s="12"/>
      <c r="YS163" s="12"/>
      <c r="YT163" s="12"/>
      <c r="YU163" s="12"/>
      <c r="YV163" s="12"/>
      <c r="YW163" s="12"/>
      <c r="YX163" s="12"/>
      <c r="YY163" s="12"/>
      <c r="YZ163" s="12"/>
      <c r="ZA163" s="12"/>
      <c r="ZB163" s="12"/>
      <c r="ZC163" s="12"/>
      <c r="ZD163" s="12"/>
      <c r="ZE163" s="12"/>
      <c r="ZF163" s="12"/>
      <c r="ZG163" s="12"/>
      <c r="ZH163" s="12"/>
      <c r="ZI163" s="12"/>
      <c r="ZJ163" s="12"/>
      <c r="ZK163" s="12"/>
      <c r="ZL163" s="12"/>
      <c r="ZM163" s="12"/>
      <c r="ZN163" s="12"/>
      <c r="ZO163" s="12"/>
      <c r="ZP163" s="12"/>
      <c r="ZQ163" s="12"/>
      <c r="ZR163" s="12"/>
      <c r="ZS163" s="12"/>
      <c r="ZT163" s="12"/>
      <c r="ZU163" s="12"/>
      <c r="ZV163" s="12"/>
      <c r="ZW163" s="12"/>
      <c r="ZX163" s="12"/>
      <c r="ZY163" s="12"/>
      <c r="ZZ163" s="12"/>
      <c r="AAA163" s="12"/>
      <c r="AAB163" s="12"/>
      <c r="AAC163" s="12"/>
      <c r="AAD163" s="12"/>
      <c r="AAE163" s="12"/>
      <c r="AAF163" s="12"/>
      <c r="AAG163" s="12"/>
      <c r="AAH163" s="12"/>
      <c r="AAI163" s="12"/>
      <c r="AAJ163" s="12"/>
      <c r="AAK163" s="12"/>
      <c r="AAL163" s="12"/>
      <c r="AAM163" s="12"/>
      <c r="AAN163" s="12"/>
      <c r="AAO163" s="12"/>
      <c r="AAP163" s="12"/>
      <c r="AAQ163" s="12"/>
      <c r="AAR163" s="12"/>
      <c r="AAS163" s="12"/>
      <c r="AAT163" s="12"/>
      <c r="AAU163" s="12"/>
      <c r="AAV163" s="12"/>
      <c r="AAW163" s="12"/>
      <c r="AAX163" s="12"/>
      <c r="AAY163" s="12"/>
      <c r="AAZ163" s="12"/>
      <c r="ABA163" s="12"/>
      <c r="ABB163" s="12"/>
      <c r="ABC163" s="12"/>
      <c r="ABD163" s="12"/>
      <c r="ABE163" s="12"/>
      <c r="ABF163" s="12"/>
      <c r="ABG163" s="12"/>
      <c r="ABH163" s="12"/>
      <c r="ABI163" s="12"/>
      <c r="ABJ163" s="12"/>
      <c r="ABK163" s="12"/>
      <c r="ABL163" s="12"/>
      <c r="ABM163" s="12"/>
      <c r="ABN163" s="12"/>
      <c r="ABO163" s="12"/>
      <c r="ABP163" s="12"/>
      <c r="ABQ163" s="12"/>
      <c r="ABR163" s="12"/>
      <c r="ABS163" s="12"/>
      <c r="ABT163" s="12"/>
      <c r="ABU163" s="12"/>
      <c r="ABV163" s="12"/>
      <c r="ABW163" s="12"/>
      <c r="ABX163" s="12"/>
      <c r="ABY163" s="12"/>
      <c r="ABZ163" s="12"/>
      <c r="ACA163" s="12"/>
      <c r="ACB163" s="12"/>
      <c r="ACC163" s="12"/>
      <c r="ACD163" s="12"/>
      <c r="ACE163" s="12"/>
      <c r="ACF163" s="12"/>
      <c r="ACG163" s="12"/>
      <c r="ACH163" s="12"/>
      <c r="ACI163" s="12"/>
      <c r="ACJ163" s="12"/>
      <c r="ACK163" s="12"/>
      <c r="ACL163" s="12"/>
      <c r="ACM163" s="12"/>
      <c r="ACN163" s="12"/>
      <c r="ACO163" s="12"/>
      <c r="ACP163" s="12"/>
      <c r="ACQ163" s="12"/>
      <c r="ACR163" s="12"/>
      <c r="ACS163" s="12"/>
      <c r="ACT163" s="12"/>
      <c r="ACU163" s="12"/>
      <c r="ACV163" s="12"/>
      <c r="ACW163" s="12"/>
      <c r="ACX163" s="12"/>
      <c r="ACY163" s="12"/>
      <c r="ACZ163" s="12"/>
      <c r="ADA163" s="12"/>
      <c r="ADB163" s="12"/>
      <c r="ADC163" s="12"/>
      <c r="ADD163" s="12"/>
      <c r="ADE163" s="12"/>
      <c r="ADF163" s="12"/>
      <c r="ADG163" s="12"/>
      <c r="ADH163" s="12"/>
      <c r="ADI163" s="12"/>
      <c r="ADJ163" s="12"/>
      <c r="ADK163" s="12"/>
      <c r="ADL163" s="12"/>
      <c r="ADM163" s="12"/>
      <c r="ADN163" s="12"/>
      <c r="ADO163" s="12"/>
      <c r="ADP163" s="12"/>
      <c r="ADQ163" s="12"/>
      <c r="ADR163" s="12"/>
      <c r="ADS163" s="12"/>
      <c r="ADT163" s="12"/>
      <c r="ADU163" s="12"/>
      <c r="ADV163" s="12"/>
      <c r="ADW163" s="12"/>
      <c r="ADX163" s="12"/>
      <c r="ADY163" s="12"/>
      <c r="ADZ163" s="12"/>
      <c r="AEA163" s="12"/>
      <c r="AEB163" s="12"/>
      <c r="AEC163" s="12"/>
      <c r="AED163" s="12"/>
      <c r="AEE163" s="12"/>
      <c r="AEF163" s="12"/>
      <c r="AEG163" s="12"/>
      <c r="AEH163" s="12"/>
      <c r="AEI163" s="12"/>
      <c r="AEJ163" s="12"/>
      <c r="AEK163" s="12"/>
      <c r="AEL163" s="12"/>
      <c r="AEM163" s="12"/>
      <c r="AEN163" s="12"/>
      <c r="AEO163" s="12"/>
      <c r="AEP163" s="12"/>
      <c r="AEQ163" s="12"/>
      <c r="AER163" s="12"/>
      <c r="AES163" s="12"/>
      <c r="AET163" s="12"/>
      <c r="AEU163" s="12"/>
      <c r="AEV163" s="12"/>
      <c r="AEW163" s="12"/>
      <c r="AEX163" s="12"/>
      <c r="AEY163" s="12"/>
      <c r="AEZ163" s="12"/>
      <c r="AFA163" s="12"/>
      <c r="AFB163" s="12"/>
      <c r="AFC163" s="12"/>
      <c r="AFD163" s="12"/>
      <c r="AFE163" s="12"/>
      <c r="AFF163" s="12"/>
      <c r="AFG163" s="12"/>
      <c r="AFH163" s="12"/>
      <c r="AFI163" s="12"/>
      <c r="AFJ163" s="12"/>
      <c r="AFK163" s="12"/>
      <c r="AFL163" s="12"/>
      <c r="AFM163" s="12"/>
      <c r="AFN163" s="12"/>
      <c r="AFO163" s="12"/>
      <c r="AFP163" s="12"/>
      <c r="AFQ163" s="12"/>
      <c r="AFR163" s="12"/>
      <c r="AFS163" s="12"/>
      <c r="AFT163" s="12"/>
      <c r="AFU163" s="12"/>
      <c r="AFV163" s="12"/>
      <c r="AFW163" s="12"/>
      <c r="AFX163" s="12"/>
      <c r="AFY163" s="12"/>
      <c r="AFZ163" s="12"/>
      <c r="AGA163" s="12"/>
      <c r="AGB163" s="12"/>
      <c r="AGC163" s="12"/>
      <c r="AGD163" s="12"/>
      <c r="AGE163" s="12"/>
      <c r="AGF163" s="12"/>
      <c r="AGG163" s="12"/>
      <c r="AGH163" s="12"/>
      <c r="AGI163" s="12"/>
      <c r="AGJ163" s="12"/>
      <c r="AGK163" s="12"/>
      <c r="AGL163" s="12"/>
      <c r="AGM163" s="12"/>
      <c r="AGN163" s="12"/>
      <c r="AGO163" s="12"/>
      <c r="AGP163" s="12"/>
      <c r="AGQ163" s="12"/>
      <c r="AGR163" s="12"/>
      <c r="AGS163" s="12"/>
      <c r="AGT163" s="12"/>
      <c r="AGU163" s="12"/>
      <c r="AGV163" s="12"/>
      <c r="AGW163" s="12"/>
      <c r="AGX163" s="12"/>
      <c r="AGY163" s="12"/>
      <c r="AGZ163" s="12"/>
      <c r="AHA163" s="12"/>
      <c r="AHB163" s="12"/>
      <c r="AHC163" s="12"/>
      <c r="AHD163" s="12"/>
      <c r="AHE163" s="12"/>
      <c r="AHF163" s="12"/>
      <c r="AHG163" s="12"/>
      <c r="AHH163" s="12"/>
      <c r="AHI163" s="12"/>
      <c r="AHJ163" s="12"/>
      <c r="AHK163" s="12"/>
      <c r="AHL163" s="12"/>
      <c r="AHM163" s="12"/>
      <c r="AHN163" s="12"/>
      <c r="AHO163" s="12"/>
      <c r="AHP163" s="12"/>
      <c r="AHQ163" s="12"/>
      <c r="AHR163" s="12"/>
      <c r="AHS163" s="12"/>
      <c r="AHT163" s="12"/>
      <c r="AHU163" s="12"/>
      <c r="AHV163" s="12"/>
      <c r="AHW163" s="12"/>
      <c r="AHX163" s="12"/>
      <c r="AHY163" s="12"/>
      <c r="AHZ163" s="12"/>
      <c r="AIA163" s="12"/>
      <c r="AIB163" s="12"/>
      <c r="AIC163" s="12"/>
      <c r="AID163" s="12"/>
      <c r="AIE163" s="12"/>
      <c r="AIF163" s="12"/>
      <c r="AIG163" s="12"/>
      <c r="AIH163" s="12"/>
      <c r="AII163" s="12"/>
      <c r="AIJ163" s="12"/>
      <c r="AIK163" s="12"/>
      <c r="AIL163" s="12"/>
      <c r="AIM163" s="12"/>
      <c r="AIN163" s="12"/>
      <c r="AIO163" s="12"/>
      <c r="AIP163" s="12"/>
      <c r="AIQ163" s="12"/>
      <c r="AIR163" s="12"/>
      <c r="AIS163" s="12"/>
      <c r="AIT163" s="12"/>
      <c r="AIU163" s="12"/>
      <c r="AIV163" s="12"/>
      <c r="AIW163" s="12"/>
      <c r="AIX163" s="12"/>
      <c r="AIY163" s="12"/>
      <c r="AIZ163" s="12"/>
      <c r="AJA163" s="12"/>
      <c r="AJB163" s="12"/>
      <c r="AJC163" s="12"/>
      <c r="AJD163" s="12"/>
      <c r="AJE163" s="12"/>
      <c r="AJF163" s="12"/>
      <c r="AJG163" s="12"/>
      <c r="AJH163" s="12"/>
      <c r="AJI163" s="12"/>
      <c r="AJJ163" s="12"/>
      <c r="AJK163" s="12"/>
      <c r="AJL163" s="12"/>
      <c r="AJM163" s="12"/>
      <c r="AJN163" s="12"/>
      <c r="AJO163" s="12"/>
      <c r="AJP163" s="12"/>
      <c r="AJQ163" s="12"/>
      <c r="AJR163" s="12"/>
      <c r="AJS163" s="12"/>
      <c r="AJT163" s="12"/>
      <c r="AJU163" s="12"/>
      <c r="AJV163" s="12"/>
      <c r="AJW163" s="12"/>
      <c r="AJX163" s="12"/>
      <c r="AJY163" s="12"/>
      <c r="AJZ163" s="12"/>
      <c r="AKA163" s="12"/>
      <c r="AKB163" s="12"/>
      <c r="AKC163" s="12"/>
      <c r="AKD163" s="12"/>
      <c r="AKE163" s="12"/>
      <c r="AKF163" s="12"/>
      <c r="AKG163" s="12"/>
      <c r="AKH163" s="12"/>
      <c r="AKI163" s="12"/>
      <c r="AKJ163" s="12"/>
      <c r="AKK163" s="12"/>
      <c r="AKL163" s="12"/>
      <c r="AKM163" s="12"/>
      <c r="AKN163" s="12"/>
      <c r="AKO163" s="12"/>
      <c r="AKP163" s="12"/>
      <c r="AKQ163" s="12"/>
      <c r="AKR163" s="12"/>
      <c r="AKS163" s="12"/>
      <c r="AKT163" s="12"/>
      <c r="AKU163" s="12"/>
      <c r="AKV163" s="12"/>
      <c r="AKW163" s="12"/>
      <c r="AKX163" s="12"/>
      <c r="AKY163" s="12"/>
      <c r="AKZ163" s="12"/>
      <c r="ALA163" s="12"/>
      <c r="ALB163" s="12"/>
      <c r="ALC163" s="12"/>
      <c r="ALD163" s="12"/>
      <c r="ALE163" s="12"/>
      <c r="ALF163" s="12"/>
      <c r="ALG163" s="12"/>
      <c r="ALH163" s="12"/>
      <c r="ALI163" s="12"/>
      <c r="ALJ163" s="12"/>
      <c r="ALK163" s="12"/>
      <c r="ALL163" s="12"/>
      <c r="ALM163" s="12"/>
      <c r="ALN163" s="12"/>
      <c r="ALO163" s="12"/>
      <c r="ALP163" s="12"/>
      <c r="ALQ163" s="12"/>
      <c r="ALR163" s="12"/>
      <c r="ALS163" s="12"/>
      <c r="ALT163" s="12"/>
      <c r="ALU163" s="12"/>
      <c r="ALV163" s="12"/>
      <c r="ALW163" s="12"/>
      <c r="ALX163" s="12"/>
      <c r="ALY163" s="12"/>
      <c r="ALZ163" s="12"/>
      <c r="AMA163" s="12"/>
      <c r="AMB163" s="12"/>
      <c r="AMC163" s="12"/>
      <c r="AMD163" s="12"/>
      <c r="AME163" s="12"/>
      <c r="AMF163" s="12"/>
      <c r="AMG163" s="12"/>
      <c r="AMH163" s="12"/>
      <c r="AMI163" s="12"/>
      <c r="AMJ163" s="12"/>
      <c r="AMK163" s="12"/>
      <c r="AML163" s="12"/>
      <c r="AMM163" s="12"/>
      <c r="AMN163" s="12"/>
      <c r="AMO163" s="12"/>
      <c r="AMP163" s="12"/>
      <c r="AMQ163" s="12"/>
      <c r="AMR163" s="12"/>
      <c r="AMS163" s="12"/>
      <c r="AMT163" s="12"/>
      <c r="AMU163" s="12"/>
      <c r="AMV163" s="12"/>
      <c r="AMW163" s="12"/>
      <c r="AMX163" s="12"/>
      <c r="AMY163" s="12"/>
      <c r="AMZ163" s="12"/>
      <c r="ANA163" s="12"/>
      <c r="ANB163" s="12"/>
      <c r="ANC163" s="12"/>
      <c r="AND163" s="12"/>
      <c r="ANE163" s="12"/>
      <c r="ANF163" s="12"/>
      <c r="ANG163" s="12"/>
      <c r="ANH163" s="12"/>
      <c r="ANI163" s="12"/>
      <c r="ANJ163" s="12"/>
      <c r="ANK163" s="12"/>
      <c r="ANL163" s="12"/>
      <c r="ANM163" s="12"/>
      <c r="ANN163" s="12"/>
      <c r="ANO163" s="12"/>
      <c r="ANP163" s="12"/>
      <c r="ANQ163" s="12"/>
      <c r="ANR163" s="12"/>
      <c r="ANS163" s="12"/>
      <c r="ANT163" s="12"/>
      <c r="ANU163" s="12"/>
      <c r="ANV163" s="12"/>
      <c r="ANW163" s="12"/>
      <c r="ANX163" s="12"/>
      <c r="ANY163" s="12"/>
      <c r="ANZ163" s="12"/>
      <c r="AOA163" s="12"/>
      <c r="AOB163" s="12"/>
      <c r="AOC163" s="12"/>
      <c r="AOD163" s="12"/>
      <c r="AOE163" s="12"/>
      <c r="AOF163" s="12"/>
      <c r="AOG163" s="12"/>
      <c r="AOH163" s="12"/>
      <c r="AOI163" s="12"/>
      <c r="AOJ163" s="12"/>
      <c r="AOK163" s="12"/>
      <c r="AOL163" s="12"/>
      <c r="AOM163" s="12"/>
      <c r="AON163" s="12"/>
      <c r="AOO163" s="12"/>
      <c r="AOP163" s="12"/>
      <c r="AOQ163" s="12"/>
      <c r="AOR163" s="12"/>
      <c r="AOS163" s="12"/>
      <c r="AOT163" s="12"/>
      <c r="AOU163" s="12"/>
      <c r="AOV163" s="12"/>
      <c r="AOW163" s="12"/>
      <c r="AOX163" s="12"/>
      <c r="AOY163" s="12"/>
      <c r="AOZ163" s="12"/>
      <c r="APA163" s="12"/>
      <c r="APB163" s="12"/>
      <c r="APC163" s="12"/>
      <c r="APD163" s="12"/>
      <c r="APE163" s="12"/>
      <c r="APF163" s="12"/>
      <c r="APG163" s="12"/>
      <c r="APH163" s="12"/>
      <c r="API163" s="12"/>
      <c r="APJ163" s="12"/>
      <c r="APK163" s="12"/>
      <c r="APL163" s="12"/>
      <c r="APM163" s="12"/>
      <c r="APN163" s="12"/>
      <c r="APO163" s="12"/>
      <c r="APP163" s="12"/>
      <c r="APQ163" s="12"/>
      <c r="APR163" s="12"/>
      <c r="APS163" s="12"/>
      <c r="APT163" s="12"/>
      <c r="APU163" s="12"/>
      <c r="APV163" s="12"/>
      <c r="APW163" s="12"/>
      <c r="APX163" s="12"/>
      <c r="APY163" s="12"/>
      <c r="APZ163" s="12"/>
      <c r="AQA163" s="12"/>
      <c r="AQB163" s="12"/>
      <c r="AQC163" s="12"/>
      <c r="AQD163" s="12"/>
      <c r="AQE163" s="12"/>
      <c r="AQF163" s="12"/>
      <c r="AQG163" s="12"/>
      <c r="AQH163" s="12"/>
      <c r="AQI163" s="12"/>
      <c r="AQJ163" s="12"/>
      <c r="AQK163" s="12"/>
      <c r="AQL163" s="12"/>
      <c r="AQM163" s="12"/>
      <c r="AQN163" s="12"/>
      <c r="AQO163" s="12"/>
      <c r="AQP163" s="12"/>
      <c r="AQQ163" s="12"/>
      <c r="AQR163" s="12"/>
      <c r="AQS163" s="12"/>
      <c r="AQT163" s="12"/>
      <c r="AQU163" s="12"/>
      <c r="AQV163" s="12"/>
      <c r="AQW163" s="12"/>
      <c r="AQX163" s="12"/>
      <c r="AQY163" s="12"/>
      <c r="AQZ163" s="12"/>
      <c r="ARA163" s="12"/>
      <c r="ARB163" s="12"/>
      <c r="ARC163" s="12"/>
      <c r="ARD163" s="12"/>
      <c r="ARE163" s="12"/>
      <c r="ARF163" s="12"/>
      <c r="ARG163" s="12"/>
      <c r="ARH163" s="12"/>
      <c r="ARI163" s="12"/>
      <c r="ARJ163" s="12"/>
      <c r="ARK163" s="12"/>
      <c r="ARL163" s="12"/>
      <c r="ARM163" s="12"/>
      <c r="ARN163" s="12"/>
      <c r="ARO163" s="12"/>
      <c r="ARP163" s="12"/>
      <c r="ARQ163" s="12"/>
      <c r="ARR163" s="12"/>
      <c r="ARS163" s="12"/>
      <c r="ART163" s="12"/>
      <c r="ARU163" s="12"/>
      <c r="ARV163" s="12"/>
      <c r="ARW163" s="12"/>
      <c r="ARX163" s="12"/>
      <c r="ARY163" s="12"/>
      <c r="ARZ163" s="12"/>
      <c r="ASA163" s="12"/>
      <c r="ASB163" s="12"/>
      <c r="ASC163" s="12"/>
      <c r="ASD163" s="12"/>
      <c r="ASE163" s="12"/>
      <c r="ASF163" s="12"/>
      <c r="ASG163" s="12"/>
      <c r="ASH163" s="12"/>
      <c r="ASI163" s="12"/>
      <c r="ASJ163" s="12"/>
      <c r="ASK163" s="12"/>
      <c r="ASL163" s="12"/>
      <c r="ASM163" s="12"/>
      <c r="ASN163" s="12"/>
      <c r="ASO163" s="12"/>
      <c r="ASP163" s="12"/>
      <c r="ASQ163" s="12"/>
      <c r="ASR163" s="12"/>
      <c r="ASS163" s="12"/>
      <c r="AST163" s="12"/>
      <c r="ASU163" s="12"/>
      <c r="ASV163" s="12"/>
      <c r="ASW163" s="12"/>
      <c r="ASX163" s="12"/>
      <c r="ASY163" s="12"/>
      <c r="ASZ163" s="12"/>
      <c r="ATA163" s="12"/>
      <c r="ATB163" s="12"/>
      <c r="ATC163" s="12"/>
      <c r="ATD163" s="12"/>
      <c r="ATE163" s="12"/>
      <c r="ATF163" s="12"/>
      <c r="ATG163" s="12"/>
      <c r="ATH163" s="12"/>
      <c r="ATI163" s="12"/>
      <c r="ATJ163" s="12"/>
      <c r="ATK163" s="12"/>
      <c r="ATL163" s="12"/>
      <c r="ATM163" s="12"/>
      <c r="ATN163" s="12"/>
      <c r="ATO163" s="12"/>
      <c r="ATP163" s="12"/>
      <c r="ATQ163" s="12"/>
      <c r="ATR163" s="12"/>
      <c r="ATS163" s="12"/>
      <c r="ATT163" s="12"/>
      <c r="ATU163" s="12"/>
      <c r="ATV163" s="12"/>
      <c r="ATW163" s="12"/>
      <c r="ATX163" s="12"/>
      <c r="ATY163" s="12"/>
      <c r="ATZ163" s="12"/>
      <c r="AUA163" s="12"/>
      <c r="AUB163" s="12"/>
      <c r="AUC163" s="12"/>
      <c r="AUD163" s="12"/>
      <c r="AUE163" s="12"/>
      <c r="AUF163" s="12"/>
      <c r="AUG163" s="12"/>
      <c r="AUH163" s="12"/>
      <c r="AUI163" s="12"/>
      <c r="AUJ163" s="12"/>
      <c r="AUK163" s="12"/>
      <c r="AUL163" s="12"/>
      <c r="AUM163" s="12"/>
      <c r="AUN163" s="12"/>
      <c r="AUO163" s="12"/>
      <c r="AUP163" s="12"/>
      <c r="AUQ163" s="12"/>
      <c r="AUR163" s="12"/>
      <c r="AUS163" s="12"/>
      <c r="AUT163" s="12"/>
      <c r="AUU163" s="12"/>
      <c r="AUV163" s="12"/>
      <c r="AUW163" s="12"/>
      <c r="AUX163" s="12"/>
      <c r="AUY163" s="12"/>
      <c r="AUZ163" s="12"/>
      <c r="AVA163" s="12"/>
      <c r="AVB163" s="12"/>
      <c r="AVC163" s="12"/>
      <c r="AVD163" s="12"/>
      <c r="AVE163" s="12"/>
      <c r="AVF163" s="12"/>
      <c r="AVG163" s="12"/>
      <c r="AVH163" s="12"/>
      <c r="AVI163" s="12"/>
      <c r="AVJ163" s="12"/>
      <c r="AVK163" s="12"/>
      <c r="AVL163" s="12"/>
      <c r="AVM163" s="12"/>
      <c r="AVN163" s="12"/>
      <c r="AVO163" s="12"/>
      <c r="AVP163" s="12"/>
      <c r="AVQ163" s="12"/>
      <c r="AVR163" s="12"/>
      <c r="AVS163" s="12"/>
      <c r="AVT163" s="12"/>
      <c r="AVU163" s="12"/>
      <c r="AVV163" s="12"/>
      <c r="AVW163" s="12"/>
      <c r="AVX163" s="12"/>
      <c r="AVY163" s="12"/>
      <c r="AVZ163" s="12"/>
      <c r="AWA163" s="12"/>
      <c r="AWB163" s="12"/>
      <c r="AWC163" s="12"/>
      <c r="AWD163" s="12"/>
      <c r="AWE163" s="12"/>
      <c r="AWF163" s="12"/>
      <c r="AWG163" s="12"/>
      <c r="AWH163" s="12"/>
      <c r="AWI163" s="12"/>
      <c r="AWJ163" s="12"/>
      <c r="AWK163" s="12"/>
      <c r="AWL163" s="12"/>
      <c r="AWM163" s="12"/>
      <c r="AWN163" s="12"/>
      <c r="AWO163" s="12"/>
      <c r="AWP163" s="12"/>
      <c r="AWQ163" s="12"/>
      <c r="AWR163" s="12"/>
      <c r="AWS163" s="12"/>
      <c r="AWT163" s="12"/>
      <c r="AWU163" s="12"/>
      <c r="AWV163" s="12"/>
      <c r="AWW163" s="12"/>
      <c r="AWX163" s="12"/>
      <c r="AWY163" s="12"/>
      <c r="AWZ163" s="12"/>
      <c r="AXA163" s="12"/>
      <c r="AXB163" s="12"/>
      <c r="AXC163" s="12"/>
      <c r="AXD163" s="12"/>
      <c r="AXE163" s="12"/>
      <c r="AXF163" s="12"/>
      <c r="AXG163" s="12"/>
      <c r="AXH163" s="12"/>
      <c r="AXI163" s="12"/>
      <c r="AXJ163" s="12"/>
      <c r="AXK163" s="12"/>
      <c r="AXL163" s="12"/>
      <c r="AXM163" s="12"/>
      <c r="AXN163" s="12"/>
      <c r="AXO163" s="12"/>
      <c r="AXP163" s="12"/>
      <c r="AXQ163" s="12"/>
      <c r="AXR163" s="12"/>
      <c r="AXS163" s="12"/>
      <c r="AXT163" s="12"/>
      <c r="AXU163" s="12"/>
      <c r="AXV163" s="12"/>
      <c r="AXW163" s="12"/>
      <c r="AXX163" s="12"/>
      <c r="AXY163" s="12"/>
      <c r="AXZ163" s="12"/>
      <c r="AYA163" s="12"/>
      <c r="AYB163" s="12"/>
      <c r="AYC163" s="12"/>
      <c r="AYD163" s="12"/>
      <c r="AYE163" s="12"/>
      <c r="AYF163" s="12"/>
      <c r="AYG163" s="12"/>
      <c r="AYH163" s="12"/>
      <c r="AYI163" s="12"/>
      <c r="AYJ163" s="12"/>
      <c r="AYK163" s="12"/>
      <c r="AYL163" s="12"/>
      <c r="AYM163" s="12"/>
      <c r="AYN163" s="12"/>
      <c r="AYO163" s="12"/>
      <c r="AYP163" s="12"/>
      <c r="AYQ163" s="12"/>
      <c r="AYR163" s="12"/>
      <c r="AYS163" s="12"/>
      <c r="AYT163" s="12"/>
      <c r="AYU163" s="12"/>
      <c r="AYV163" s="12"/>
      <c r="AYW163" s="12"/>
      <c r="AYX163" s="12"/>
      <c r="AYY163" s="12"/>
      <c r="AYZ163" s="12"/>
      <c r="AZA163" s="12"/>
      <c r="AZB163" s="12"/>
      <c r="AZC163" s="12"/>
      <c r="AZD163" s="12"/>
      <c r="AZE163" s="12"/>
      <c r="AZF163" s="12"/>
      <c r="AZG163" s="12"/>
      <c r="AZH163" s="12"/>
      <c r="AZI163" s="12"/>
      <c r="AZJ163" s="12"/>
      <c r="AZK163" s="12"/>
      <c r="AZL163" s="12"/>
      <c r="AZM163" s="12"/>
      <c r="AZN163" s="12"/>
      <c r="AZO163" s="12"/>
      <c r="AZP163" s="12"/>
      <c r="AZQ163" s="12"/>
      <c r="AZR163" s="12"/>
      <c r="AZS163" s="12"/>
      <c r="AZT163" s="12"/>
      <c r="AZU163" s="12"/>
      <c r="AZV163" s="12"/>
      <c r="AZW163" s="12"/>
      <c r="AZX163" s="12"/>
      <c r="AZY163" s="12"/>
      <c r="AZZ163" s="12"/>
      <c r="BAA163" s="12"/>
      <c r="BAB163" s="12"/>
      <c r="BAC163" s="12"/>
      <c r="BAD163" s="12"/>
      <c r="BAE163" s="12"/>
      <c r="BAF163" s="12"/>
      <c r="BAG163" s="12"/>
      <c r="BAH163" s="12"/>
      <c r="BAI163" s="12"/>
      <c r="BAJ163" s="12"/>
      <c r="BAK163" s="12"/>
      <c r="BAL163" s="12"/>
      <c r="BAM163" s="12"/>
      <c r="BAN163" s="12"/>
      <c r="BAO163" s="12"/>
      <c r="BAP163" s="12"/>
      <c r="BAQ163" s="12"/>
      <c r="BAR163" s="12"/>
      <c r="BAS163" s="12"/>
      <c r="BAT163" s="12"/>
      <c r="BAU163" s="12"/>
      <c r="BAV163" s="12"/>
      <c r="BAW163" s="12"/>
      <c r="BAX163" s="12"/>
      <c r="BAY163" s="12"/>
      <c r="BAZ163" s="12"/>
      <c r="BBA163" s="12"/>
      <c r="BBB163" s="12"/>
      <c r="BBC163" s="12"/>
      <c r="BBD163" s="12"/>
      <c r="BBE163" s="12"/>
      <c r="BBF163" s="12"/>
      <c r="BBG163" s="12"/>
      <c r="BBH163" s="12"/>
      <c r="BBI163" s="12"/>
      <c r="BBJ163" s="12"/>
      <c r="BBK163" s="12"/>
      <c r="BBL163" s="12"/>
      <c r="BBM163" s="12"/>
      <c r="BBN163" s="12"/>
      <c r="BBO163" s="12"/>
      <c r="BBP163" s="12"/>
      <c r="BBQ163" s="12"/>
      <c r="BBR163" s="12"/>
      <c r="BBS163" s="12"/>
      <c r="BBT163" s="12"/>
      <c r="BBU163" s="12"/>
      <c r="BBV163" s="12"/>
      <c r="BBW163" s="12"/>
      <c r="BBX163" s="12"/>
      <c r="BBY163" s="12"/>
      <c r="BBZ163" s="12"/>
      <c r="BCA163" s="12"/>
      <c r="BCB163" s="12"/>
      <c r="BCC163" s="12"/>
      <c r="BCD163" s="12"/>
      <c r="BCE163" s="12"/>
      <c r="BCF163" s="12"/>
      <c r="BCG163" s="12"/>
      <c r="BCH163" s="12"/>
      <c r="BCI163" s="12"/>
      <c r="BCJ163" s="12"/>
      <c r="BCK163" s="12"/>
      <c r="BCL163" s="12"/>
      <c r="BCM163" s="12"/>
      <c r="BCN163" s="12"/>
      <c r="BCO163" s="12"/>
      <c r="BCP163" s="12"/>
      <c r="BCQ163" s="12"/>
      <c r="BCR163" s="12"/>
      <c r="BCS163" s="12"/>
      <c r="BCT163" s="12"/>
      <c r="BCU163" s="12"/>
      <c r="BCV163" s="12"/>
      <c r="BCW163" s="12"/>
      <c r="BCX163" s="12"/>
      <c r="BCY163" s="12"/>
      <c r="BCZ163" s="12"/>
      <c r="BDA163" s="12"/>
      <c r="BDB163" s="12"/>
      <c r="BDC163" s="12"/>
      <c r="BDD163" s="12"/>
      <c r="BDE163" s="12"/>
      <c r="BDF163" s="12"/>
      <c r="BDG163" s="12"/>
      <c r="BDH163" s="12"/>
      <c r="BDI163" s="12"/>
      <c r="BDJ163" s="12"/>
      <c r="BDK163" s="12"/>
      <c r="BDL163" s="12"/>
      <c r="BDM163" s="12"/>
      <c r="BDN163" s="12"/>
      <c r="BDO163" s="12"/>
      <c r="BDP163" s="12"/>
      <c r="BDQ163" s="12"/>
      <c r="BDR163" s="12"/>
      <c r="BDS163" s="12"/>
      <c r="BDT163" s="12"/>
      <c r="BDU163" s="12"/>
      <c r="BDV163" s="12"/>
      <c r="BDW163" s="12"/>
      <c r="BDX163" s="12"/>
      <c r="BDY163" s="12"/>
      <c r="BDZ163" s="12"/>
      <c r="BEA163" s="12"/>
      <c r="BEB163" s="12"/>
      <c r="BEC163" s="12"/>
      <c r="BED163" s="12"/>
      <c r="BEE163" s="12"/>
      <c r="BEF163" s="12"/>
      <c r="BEG163" s="12"/>
      <c r="BEH163" s="12"/>
      <c r="BEI163" s="12"/>
      <c r="BEJ163" s="12"/>
      <c r="BEK163" s="12"/>
      <c r="BEL163" s="12"/>
      <c r="BEM163" s="12"/>
      <c r="BEN163" s="12"/>
      <c r="BEO163" s="12"/>
      <c r="BEP163" s="12"/>
      <c r="BEQ163" s="12"/>
      <c r="BER163" s="12"/>
      <c r="BES163" s="12"/>
      <c r="BET163" s="12"/>
      <c r="BEU163" s="12"/>
      <c r="BEV163" s="12"/>
      <c r="BEW163" s="12"/>
      <c r="BEX163" s="12"/>
      <c r="BEY163" s="12"/>
      <c r="BEZ163" s="12"/>
      <c r="BFA163" s="12"/>
      <c r="BFB163" s="12"/>
      <c r="BFC163" s="12"/>
      <c r="BFD163" s="12"/>
      <c r="BFE163" s="12"/>
      <c r="BFF163" s="12"/>
      <c r="BFG163" s="12"/>
      <c r="BFH163" s="12"/>
      <c r="BFI163" s="12"/>
      <c r="BFJ163" s="12"/>
      <c r="BFK163" s="12"/>
      <c r="BFL163" s="12"/>
      <c r="BFM163" s="12"/>
      <c r="BFN163" s="12"/>
      <c r="BFO163" s="12"/>
      <c r="BFP163" s="12"/>
      <c r="BFQ163" s="12"/>
      <c r="BFR163" s="12"/>
      <c r="BFS163" s="12"/>
      <c r="BFT163" s="12"/>
      <c r="BFU163" s="12"/>
      <c r="BFV163" s="12"/>
      <c r="BFW163" s="12"/>
      <c r="BFX163" s="12"/>
      <c r="BFY163" s="12"/>
      <c r="BFZ163" s="12"/>
      <c r="BGA163" s="12"/>
      <c r="BGB163" s="12"/>
      <c r="BGC163" s="12"/>
      <c r="BGD163" s="12"/>
      <c r="BGE163" s="12"/>
      <c r="BGF163" s="12"/>
      <c r="BGG163" s="12"/>
      <c r="BGH163" s="12"/>
      <c r="BGI163" s="12"/>
      <c r="BGJ163" s="12"/>
      <c r="BGK163" s="12"/>
      <c r="BGL163" s="12"/>
      <c r="BGM163" s="12"/>
      <c r="BGN163" s="12"/>
      <c r="BGO163" s="12"/>
      <c r="BGP163" s="12"/>
      <c r="BGQ163" s="12"/>
      <c r="BGR163" s="12"/>
      <c r="BGS163" s="12"/>
      <c r="BGT163" s="12"/>
      <c r="BGU163" s="12"/>
      <c r="BGV163" s="12"/>
      <c r="BGW163" s="12"/>
      <c r="BGX163" s="12"/>
      <c r="BGY163" s="12"/>
      <c r="BGZ163" s="12"/>
      <c r="BHA163" s="12"/>
      <c r="BHB163" s="12"/>
      <c r="BHC163" s="12"/>
      <c r="BHD163" s="12"/>
      <c r="BHE163" s="12"/>
      <c r="BHF163" s="12"/>
      <c r="BHG163" s="12"/>
      <c r="BHH163" s="12"/>
      <c r="BHI163" s="12"/>
      <c r="BHJ163" s="12"/>
      <c r="BHK163" s="12"/>
      <c r="BHL163" s="12"/>
      <c r="BHM163" s="12"/>
      <c r="BHN163" s="12"/>
      <c r="BHO163" s="12"/>
      <c r="BHP163" s="12"/>
      <c r="BHQ163" s="12"/>
      <c r="BHR163" s="12"/>
      <c r="BHS163" s="12"/>
      <c r="BHT163" s="12"/>
      <c r="BHU163" s="12"/>
      <c r="BHV163" s="12"/>
      <c r="BHW163" s="12"/>
      <c r="BHX163" s="12"/>
      <c r="BHY163" s="12"/>
      <c r="BHZ163" s="12"/>
      <c r="BIA163" s="12"/>
      <c r="BIB163" s="12"/>
      <c r="BIC163" s="12"/>
      <c r="BID163" s="12"/>
      <c r="BIE163" s="12"/>
      <c r="BIF163" s="12"/>
      <c r="BIG163" s="12"/>
      <c r="BIH163" s="12"/>
      <c r="BII163" s="12"/>
      <c r="BIJ163" s="12"/>
      <c r="BIK163" s="12"/>
      <c r="BIL163" s="12"/>
      <c r="BIM163" s="12"/>
      <c r="BIN163" s="12"/>
      <c r="BIO163" s="12"/>
      <c r="BIP163" s="12"/>
      <c r="BIQ163" s="12"/>
      <c r="BIR163" s="12"/>
      <c r="BIS163" s="12"/>
      <c r="BIT163" s="12"/>
      <c r="BIU163" s="12"/>
      <c r="BIV163" s="12"/>
      <c r="BIW163" s="12"/>
      <c r="BIX163" s="12"/>
      <c r="BIY163" s="12"/>
      <c r="BIZ163" s="12"/>
      <c r="BJA163" s="12"/>
      <c r="BJB163" s="12"/>
      <c r="BJC163" s="12"/>
      <c r="BJD163" s="12"/>
      <c r="BJE163" s="12"/>
      <c r="BJF163" s="12"/>
      <c r="BJG163" s="12"/>
      <c r="BJH163" s="12"/>
      <c r="BJI163" s="12"/>
      <c r="BJJ163" s="12"/>
      <c r="BJK163" s="12"/>
      <c r="BJL163" s="12"/>
      <c r="BJM163" s="12"/>
      <c r="BJN163" s="12"/>
      <c r="BJO163" s="12"/>
      <c r="BJP163" s="12"/>
      <c r="BJQ163" s="12"/>
      <c r="BJR163" s="12"/>
      <c r="BJS163" s="12"/>
      <c r="BJT163" s="12"/>
      <c r="BJU163" s="12"/>
      <c r="BJV163" s="12"/>
      <c r="BJW163" s="12"/>
      <c r="BJX163" s="12"/>
      <c r="BJY163" s="12"/>
      <c r="BJZ163" s="12"/>
      <c r="BKA163" s="12"/>
      <c r="BKB163" s="12"/>
      <c r="BKC163" s="12"/>
      <c r="BKD163" s="12"/>
      <c r="BKE163" s="12"/>
      <c r="BKF163" s="12"/>
      <c r="BKG163" s="12"/>
      <c r="BKH163" s="12"/>
      <c r="BKI163" s="12"/>
      <c r="BKJ163" s="12"/>
      <c r="BKK163" s="12"/>
      <c r="BKL163" s="12"/>
      <c r="BKM163" s="12"/>
      <c r="BKN163" s="12"/>
      <c r="BKO163" s="12"/>
      <c r="BKP163" s="12"/>
      <c r="BKQ163" s="12"/>
      <c r="BKR163" s="12"/>
      <c r="BKS163" s="12"/>
      <c r="BKT163" s="12"/>
      <c r="BKU163" s="12"/>
      <c r="BKV163" s="12"/>
      <c r="BKW163" s="12"/>
      <c r="BKX163" s="12"/>
      <c r="BKY163" s="12"/>
      <c r="BKZ163" s="12"/>
      <c r="BLA163" s="12"/>
      <c r="BLB163" s="12"/>
      <c r="BLC163" s="12"/>
      <c r="BLD163" s="12"/>
      <c r="BLE163" s="12"/>
      <c r="BLF163" s="12"/>
      <c r="BLG163" s="12"/>
      <c r="BLH163" s="12"/>
      <c r="BLI163" s="12"/>
      <c r="BLJ163" s="12"/>
      <c r="BLK163" s="12"/>
      <c r="BLL163" s="12"/>
      <c r="BLM163" s="12"/>
      <c r="BLN163" s="12"/>
      <c r="BLO163" s="12"/>
      <c r="BLP163" s="12"/>
      <c r="BLQ163" s="12"/>
      <c r="BLR163" s="12"/>
      <c r="BLS163" s="12"/>
      <c r="BLT163" s="12"/>
      <c r="BLU163" s="12"/>
      <c r="BLV163" s="12"/>
      <c r="BLW163" s="12"/>
      <c r="BLX163" s="12"/>
      <c r="BLY163" s="12"/>
      <c r="BLZ163" s="12"/>
      <c r="BMA163" s="12"/>
      <c r="BMB163" s="12"/>
      <c r="BMC163" s="12"/>
      <c r="BMD163" s="12"/>
      <c r="BME163" s="12"/>
      <c r="BMF163" s="12"/>
      <c r="BMG163" s="12"/>
      <c r="BMH163" s="12"/>
      <c r="BMI163" s="12"/>
      <c r="BMJ163" s="12"/>
      <c r="BMK163" s="12"/>
      <c r="BML163" s="12"/>
      <c r="BMM163" s="12"/>
      <c r="BMN163" s="12"/>
      <c r="BMO163" s="12"/>
      <c r="BMP163" s="12"/>
      <c r="BMQ163" s="12"/>
      <c r="BMR163" s="12"/>
      <c r="BMS163" s="12"/>
      <c r="BMT163" s="12"/>
      <c r="BMU163" s="12"/>
      <c r="BMV163" s="12"/>
      <c r="BMW163" s="12"/>
      <c r="BMX163" s="12"/>
      <c r="BMY163" s="12"/>
      <c r="BMZ163" s="12"/>
      <c r="BNA163" s="12"/>
      <c r="BNB163" s="12"/>
      <c r="BNC163" s="12"/>
      <c r="BND163" s="12"/>
      <c r="BNE163" s="12"/>
      <c r="BNF163" s="12"/>
      <c r="BNG163" s="12"/>
      <c r="BNH163" s="12"/>
      <c r="BNI163" s="12"/>
      <c r="BNJ163" s="12"/>
      <c r="BNK163" s="12"/>
      <c r="BNL163" s="12"/>
      <c r="BNM163" s="12"/>
      <c r="BNN163" s="12"/>
      <c r="BNO163" s="12"/>
      <c r="BNP163" s="12"/>
      <c r="BNQ163" s="12"/>
      <c r="BNR163" s="12"/>
      <c r="BNS163" s="12"/>
      <c r="BNT163" s="12"/>
      <c r="BNU163" s="12"/>
      <c r="BNV163" s="12"/>
      <c r="BNW163" s="12"/>
      <c r="BNX163" s="12"/>
      <c r="BNY163" s="12"/>
      <c r="BNZ163" s="12"/>
      <c r="BOA163" s="12"/>
      <c r="BOB163" s="12"/>
      <c r="BOC163" s="12"/>
      <c r="BOD163" s="12"/>
      <c r="BOE163" s="12"/>
      <c r="BOF163" s="12"/>
      <c r="BOG163" s="12"/>
      <c r="BOH163" s="12"/>
      <c r="BOI163" s="12"/>
      <c r="BOJ163" s="12"/>
      <c r="BOK163" s="12"/>
      <c r="BOL163" s="12"/>
      <c r="BOM163" s="12"/>
      <c r="BON163" s="12"/>
      <c r="BOO163" s="12"/>
      <c r="BOP163" s="12"/>
      <c r="BOQ163" s="12"/>
      <c r="BOR163" s="12"/>
      <c r="BOS163" s="12"/>
      <c r="BOT163" s="12"/>
      <c r="BOU163" s="12"/>
      <c r="BOV163" s="12"/>
      <c r="BOW163" s="12"/>
      <c r="BOX163" s="12"/>
      <c r="BOY163" s="12"/>
      <c r="BOZ163" s="12"/>
      <c r="BPA163" s="12"/>
      <c r="BPB163" s="12"/>
      <c r="BPC163" s="12"/>
      <c r="BPD163" s="12"/>
      <c r="BPE163" s="12"/>
      <c r="BPF163" s="12"/>
      <c r="BPG163" s="12"/>
      <c r="BPH163" s="12"/>
      <c r="BPI163" s="12"/>
      <c r="BPJ163" s="12"/>
      <c r="BPK163" s="12"/>
      <c r="BPL163" s="12"/>
      <c r="BPM163" s="12"/>
      <c r="BPN163" s="12"/>
      <c r="BPO163" s="12"/>
      <c r="BPP163" s="12"/>
      <c r="BPQ163" s="12"/>
      <c r="BPR163" s="12"/>
      <c r="BPS163" s="12"/>
      <c r="BPT163" s="12"/>
      <c r="BPU163" s="12"/>
      <c r="BPV163" s="12"/>
      <c r="BPW163" s="12"/>
      <c r="BPX163" s="12"/>
      <c r="BPY163" s="12"/>
      <c r="BPZ163" s="12"/>
      <c r="BQA163" s="12"/>
      <c r="BQB163" s="12"/>
      <c r="BQC163" s="12"/>
      <c r="BQD163" s="12"/>
      <c r="BQE163" s="12"/>
      <c r="BQF163" s="12"/>
      <c r="BQG163" s="12"/>
      <c r="BQH163" s="12"/>
      <c r="BQI163" s="12"/>
      <c r="BQJ163" s="12"/>
      <c r="BQK163" s="12"/>
      <c r="BQL163" s="12"/>
      <c r="BQM163" s="12"/>
      <c r="BQN163" s="12"/>
      <c r="BQO163" s="12"/>
      <c r="BQP163" s="12"/>
      <c r="BQQ163" s="12"/>
      <c r="BQR163" s="12"/>
      <c r="BQS163" s="12"/>
      <c r="BQT163" s="12"/>
      <c r="BQU163" s="12"/>
      <c r="BQV163" s="12"/>
      <c r="BQW163" s="12"/>
      <c r="BQX163" s="12"/>
      <c r="BQY163" s="12"/>
      <c r="BQZ163" s="12"/>
      <c r="BRA163" s="12"/>
      <c r="BRB163" s="12"/>
      <c r="BRC163" s="12"/>
      <c r="BRD163" s="12"/>
      <c r="BRE163" s="12"/>
      <c r="BRF163" s="12"/>
      <c r="BRG163" s="12"/>
      <c r="BRH163" s="12"/>
      <c r="BRI163" s="12"/>
      <c r="BRJ163" s="12"/>
      <c r="BRK163" s="12"/>
      <c r="BRL163" s="12"/>
      <c r="BRM163" s="12"/>
      <c r="BRN163" s="12"/>
      <c r="BRO163" s="12"/>
      <c r="BRP163" s="12"/>
      <c r="BRQ163" s="12"/>
      <c r="BRR163" s="12"/>
      <c r="BRS163" s="12"/>
      <c r="BRT163" s="12"/>
      <c r="BRU163" s="12"/>
      <c r="BRV163" s="12"/>
      <c r="BRW163" s="12"/>
      <c r="BRX163" s="12"/>
      <c r="BRY163" s="12"/>
      <c r="BRZ163" s="12"/>
      <c r="BSA163" s="12"/>
      <c r="BSB163" s="12"/>
      <c r="BSC163" s="12"/>
      <c r="BSD163" s="12"/>
      <c r="BSE163" s="12"/>
      <c r="BSF163" s="12"/>
      <c r="BSG163" s="12"/>
      <c r="BSH163" s="12"/>
      <c r="BSI163" s="12"/>
      <c r="BSJ163" s="12"/>
      <c r="BSK163" s="12"/>
      <c r="BSL163" s="12"/>
      <c r="BSM163" s="12"/>
      <c r="BSN163" s="12"/>
      <c r="BSO163" s="12"/>
      <c r="BSP163" s="12"/>
      <c r="BSQ163" s="12"/>
      <c r="BSR163" s="12"/>
      <c r="BSS163" s="12"/>
      <c r="BST163" s="12"/>
      <c r="BSU163" s="12"/>
      <c r="BSV163" s="12"/>
      <c r="BSW163" s="12"/>
      <c r="BSX163" s="12"/>
      <c r="BSY163" s="12"/>
      <c r="BSZ163" s="12"/>
      <c r="BTA163" s="12"/>
      <c r="BTB163" s="12"/>
      <c r="BTC163" s="12"/>
      <c r="BTD163" s="12"/>
      <c r="BTE163" s="12"/>
      <c r="BTF163" s="12"/>
      <c r="BTG163" s="12"/>
      <c r="BTH163" s="12"/>
      <c r="BTI163" s="12"/>
      <c r="BTJ163" s="12"/>
      <c r="BTK163" s="12"/>
      <c r="BTL163" s="12"/>
      <c r="BTM163" s="12"/>
      <c r="BTN163" s="12"/>
      <c r="BTO163" s="12"/>
      <c r="BTP163" s="12"/>
      <c r="BTQ163" s="12"/>
      <c r="BTR163" s="12"/>
      <c r="BTS163" s="12"/>
      <c r="BTT163" s="12"/>
    </row>
    <row r="164" spans="1:1892" s="10" customFormat="1" ht="35.1" customHeight="1">
      <c r="A164" s="1462"/>
      <c r="B164" s="502" t="s">
        <v>680</v>
      </c>
      <c r="C164" s="940" t="s">
        <v>601</v>
      </c>
      <c r="D164" s="543" t="s">
        <v>116</v>
      </c>
      <c r="E164" s="544"/>
      <c r="F164" s="545"/>
      <c r="G164" s="639" t="s">
        <v>241</v>
      </c>
      <c r="H164" s="639" t="s">
        <v>242</v>
      </c>
      <c r="I164" s="639" t="s">
        <v>243</v>
      </c>
      <c r="J164" s="597" t="s">
        <v>56</v>
      </c>
      <c r="K164" s="597" t="s">
        <v>55</v>
      </c>
      <c r="L164" s="146">
        <v>19</v>
      </c>
      <c r="M164" s="222">
        <v>212</v>
      </c>
      <c r="N164" s="132">
        <v>212</v>
      </c>
      <c r="O164" s="132">
        <v>212</v>
      </c>
      <c r="P164" s="560" t="s">
        <v>432</v>
      </c>
      <c r="Q164" s="560" t="s">
        <v>432</v>
      </c>
      <c r="R164" s="1531" t="s">
        <v>1016</v>
      </c>
      <c r="S164" s="1001" t="s">
        <v>57</v>
      </c>
      <c r="T164" s="1472"/>
      <c r="U164" s="805" t="s">
        <v>11</v>
      </c>
    </row>
    <row r="165" spans="1:1892" s="10" customFormat="1" ht="35.1" customHeight="1">
      <c r="A165" s="1462"/>
      <c r="B165" s="503"/>
      <c r="C165" s="941"/>
      <c r="D165" s="546"/>
      <c r="E165" s="547"/>
      <c r="F165" s="548"/>
      <c r="G165" s="640"/>
      <c r="H165" s="640"/>
      <c r="I165" s="640"/>
      <c r="J165" s="503"/>
      <c r="K165" s="503"/>
      <c r="L165" s="146">
        <v>25</v>
      </c>
      <c r="M165" s="222">
        <v>32</v>
      </c>
      <c r="N165" s="132">
        <v>32</v>
      </c>
      <c r="O165" s="132">
        <v>32</v>
      </c>
      <c r="P165" s="561"/>
      <c r="Q165" s="561"/>
      <c r="R165" s="1532"/>
      <c r="S165" s="1002"/>
      <c r="T165" s="1473"/>
      <c r="U165" s="806"/>
    </row>
    <row r="166" spans="1:1892" s="10" customFormat="1" ht="35.1" customHeight="1">
      <c r="A166" s="1462"/>
      <c r="B166" s="503"/>
      <c r="C166" s="941"/>
      <c r="D166" s="546"/>
      <c r="E166" s="547"/>
      <c r="F166" s="548"/>
      <c r="G166" s="641"/>
      <c r="H166" s="641"/>
      <c r="I166" s="641"/>
      <c r="J166" s="504"/>
      <c r="K166" s="504"/>
      <c r="L166" s="146">
        <v>40.86</v>
      </c>
      <c r="M166" s="222">
        <v>10</v>
      </c>
      <c r="N166" s="132">
        <v>10</v>
      </c>
      <c r="O166" s="132">
        <v>10</v>
      </c>
      <c r="P166" s="561"/>
      <c r="Q166" s="561"/>
      <c r="R166" s="1532"/>
      <c r="S166" s="1002"/>
      <c r="T166" s="1473"/>
      <c r="U166" s="806"/>
    </row>
    <row r="167" spans="1:1892" s="10" customFormat="1" ht="35.1" customHeight="1">
      <c r="A167" s="1462"/>
      <c r="B167" s="503"/>
      <c r="C167" s="942"/>
      <c r="D167" s="895"/>
      <c r="E167" s="896"/>
      <c r="F167" s="897"/>
      <c r="G167" s="490" t="s">
        <v>329</v>
      </c>
      <c r="H167" s="491"/>
      <c r="I167" s="491"/>
      <c r="J167" s="491"/>
      <c r="K167" s="492"/>
      <c r="L167" s="133"/>
      <c r="M167" s="224">
        <f>SUM(M164:M166)</f>
        <v>254</v>
      </c>
      <c r="N167" s="263">
        <f>SUM(N164:N166)</f>
        <v>254</v>
      </c>
      <c r="O167" s="263">
        <f>SUM(O164:O166)</f>
        <v>254</v>
      </c>
      <c r="P167" s="562"/>
      <c r="Q167" s="562"/>
      <c r="R167" s="1533"/>
      <c r="S167" s="1003"/>
      <c r="T167" s="1474"/>
      <c r="U167" s="807"/>
    </row>
    <row r="168" spans="1:1892" s="10" customFormat="1" ht="35.1" customHeight="1">
      <c r="A168" s="1462"/>
      <c r="B168" s="503"/>
      <c r="C168" s="639" t="s">
        <v>354</v>
      </c>
      <c r="D168" s="588" t="s">
        <v>602</v>
      </c>
      <c r="E168" s="589"/>
      <c r="F168" s="590"/>
      <c r="G168" s="639" t="s">
        <v>532</v>
      </c>
      <c r="H168" s="639" t="s">
        <v>533</v>
      </c>
      <c r="I168" s="639" t="s">
        <v>532</v>
      </c>
      <c r="J168" s="653" t="s">
        <v>11</v>
      </c>
      <c r="K168" s="653" t="s">
        <v>12</v>
      </c>
      <c r="L168" s="118" t="s">
        <v>195</v>
      </c>
      <c r="M168" s="221">
        <v>201</v>
      </c>
      <c r="N168" s="119">
        <v>0</v>
      </c>
      <c r="O168" s="119">
        <v>0</v>
      </c>
      <c r="P168" s="473" t="s">
        <v>441</v>
      </c>
      <c r="Q168" s="473" t="s">
        <v>431</v>
      </c>
      <c r="R168" s="473" t="s">
        <v>534</v>
      </c>
      <c r="S168" s="473" t="s">
        <v>13</v>
      </c>
      <c r="T168" s="473" t="s">
        <v>535</v>
      </c>
      <c r="U168" s="473" t="s">
        <v>11</v>
      </c>
    </row>
    <row r="169" spans="1:1892" s="10" customFormat="1" ht="35.1" customHeight="1">
      <c r="A169" s="1462"/>
      <c r="B169" s="503"/>
      <c r="C169" s="640"/>
      <c r="D169" s="591"/>
      <c r="E169" s="592"/>
      <c r="F169" s="593"/>
      <c r="G169" s="640"/>
      <c r="H169" s="640"/>
      <c r="I169" s="640"/>
      <c r="J169" s="654"/>
      <c r="K169" s="654"/>
      <c r="L169" s="118" t="s">
        <v>196</v>
      </c>
      <c r="M169" s="221">
        <v>109</v>
      </c>
      <c r="N169" s="119">
        <v>1</v>
      </c>
      <c r="O169" s="119">
        <v>1</v>
      </c>
      <c r="P169" s="474"/>
      <c r="Q169" s="474"/>
      <c r="R169" s="474"/>
      <c r="S169" s="474"/>
      <c r="T169" s="474"/>
      <c r="U169" s="474"/>
    </row>
    <row r="170" spans="1:1892" s="10" customFormat="1" ht="35.1" customHeight="1">
      <c r="A170" s="1462"/>
      <c r="B170" s="503"/>
      <c r="C170" s="640"/>
      <c r="D170" s="591"/>
      <c r="E170" s="592"/>
      <c r="F170" s="593"/>
      <c r="G170" s="640"/>
      <c r="H170" s="640"/>
      <c r="I170" s="640"/>
      <c r="J170" s="654"/>
      <c r="K170" s="654"/>
      <c r="L170" s="118" t="s">
        <v>197</v>
      </c>
      <c r="M170" s="221">
        <v>107</v>
      </c>
      <c r="N170" s="119">
        <v>0</v>
      </c>
      <c r="O170" s="119">
        <v>0</v>
      </c>
      <c r="P170" s="474"/>
      <c r="Q170" s="474"/>
      <c r="R170" s="474"/>
      <c r="S170" s="474"/>
      <c r="T170" s="474"/>
      <c r="U170" s="474"/>
    </row>
    <row r="171" spans="1:1892" s="10" customFormat="1" ht="35.1" customHeight="1">
      <c r="A171" s="1462"/>
      <c r="B171" s="503"/>
      <c r="C171" s="640"/>
      <c r="D171" s="591"/>
      <c r="E171" s="592"/>
      <c r="F171" s="593"/>
      <c r="G171" s="640"/>
      <c r="H171" s="640"/>
      <c r="I171" s="640"/>
      <c r="J171" s="654"/>
      <c r="K171" s="654"/>
      <c r="L171" s="118" t="s">
        <v>536</v>
      </c>
      <c r="M171" s="221">
        <v>35</v>
      </c>
      <c r="N171" s="119">
        <v>0</v>
      </c>
      <c r="O171" s="119">
        <v>0</v>
      </c>
      <c r="P171" s="474"/>
      <c r="Q171" s="474"/>
      <c r="R171" s="474"/>
      <c r="S171" s="474"/>
      <c r="T171" s="474"/>
      <c r="U171" s="474"/>
    </row>
    <row r="172" spans="1:1892" s="10" customFormat="1" ht="35.1" customHeight="1">
      <c r="A172" s="1462"/>
      <c r="B172" s="503"/>
      <c r="C172" s="640"/>
      <c r="D172" s="591"/>
      <c r="E172" s="592"/>
      <c r="F172" s="593"/>
      <c r="G172" s="641"/>
      <c r="H172" s="641"/>
      <c r="I172" s="641"/>
      <c r="J172" s="655"/>
      <c r="K172" s="655"/>
      <c r="L172" s="147">
        <v>100</v>
      </c>
      <c r="M172" s="221">
        <v>20</v>
      </c>
      <c r="N172" s="119">
        <v>0</v>
      </c>
      <c r="O172" s="119">
        <v>0</v>
      </c>
      <c r="P172" s="474"/>
      <c r="Q172" s="474"/>
      <c r="R172" s="474"/>
      <c r="S172" s="474"/>
      <c r="T172" s="474"/>
      <c r="U172" s="474"/>
    </row>
    <row r="173" spans="1:1892" s="10" customFormat="1" ht="35.1" customHeight="1">
      <c r="A173" s="1462"/>
      <c r="B173" s="503"/>
      <c r="C173" s="641"/>
      <c r="D173" s="594"/>
      <c r="E173" s="595"/>
      <c r="F173" s="596"/>
      <c r="G173" s="490" t="s">
        <v>329</v>
      </c>
      <c r="H173" s="491"/>
      <c r="I173" s="491"/>
      <c r="J173" s="491"/>
      <c r="K173" s="492"/>
      <c r="L173" s="133"/>
      <c r="M173" s="224">
        <f>SUM(M168:M172)</f>
        <v>472</v>
      </c>
      <c r="N173" s="263">
        <f>SUM(N168:N172)</f>
        <v>1</v>
      </c>
      <c r="O173" s="263">
        <f>SUM(O168:O172)</f>
        <v>1</v>
      </c>
      <c r="P173" s="475"/>
      <c r="Q173" s="475"/>
      <c r="R173" s="475"/>
      <c r="S173" s="475"/>
      <c r="T173" s="475"/>
      <c r="U173" s="475"/>
    </row>
    <row r="174" spans="1:1892" s="10" customFormat="1" ht="35.1" customHeight="1">
      <c r="A174" s="1462"/>
      <c r="B174" s="503"/>
      <c r="C174" s="940" t="s">
        <v>354</v>
      </c>
      <c r="D174" s="588" t="s">
        <v>216</v>
      </c>
      <c r="E174" s="589"/>
      <c r="F174" s="590"/>
      <c r="G174" s="892" t="s">
        <v>244</v>
      </c>
      <c r="H174" s="639" t="s">
        <v>245</v>
      </c>
      <c r="I174" s="639" t="s">
        <v>246</v>
      </c>
      <c r="J174" s="653" t="s">
        <v>11</v>
      </c>
      <c r="K174" s="653" t="s">
        <v>12</v>
      </c>
      <c r="L174" s="148">
        <v>48.98</v>
      </c>
      <c r="M174" s="221">
        <v>16</v>
      </c>
      <c r="N174" s="132">
        <v>0</v>
      </c>
      <c r="O174" s="132">
        <v>0</v>
      </c>
      <c r="P174" s="560" t="s">
        <v>433</v>
      </c>
      <c r="Q174" s="560" t="s">
        <v>433</v>
      </c>
      <c r="R174" s="560" t="s">
        <v>433</v>
      </c>
      <c r="S174" s="1001" t="s">
        <v>57</v>
      </c>
      <c r="T174" s="1411"/>
      <c r="U174" s="1411" t="s">
        <v>217</v>
      </c>
    </row>
    <row r="175" spans="1:1892" s="10" customFormat="1" ht="35.1" customHeight="1">
      <c r="A175" s="1462"/>
      <c r="B175" s="503"/>
      <c r="C175" s="941"/>
      <c r="D175" s="591"/>
      <c r="E175" s="592"/>
      <c r="F175" s="593"/>
      <c r="G175" s="893"/>
      <c r="H175" s="640"/>
      <c r="I175" s="640"/>
      <c r="J175" s="654"/>
      <c r="K175" s="654"/>
      <c r="L175" s="148">
        <v>37.47</v>
      </c>
      <c r="M175" s="221">
        <v>16</v>
      </c>
      <c r="N175" s="132">
        <v>0</v>
      </c>
      <c r="O175" s="132">
        <v>0</v>
      </c>
      <c r="P175" s="561"/>
      <c r="Q175" s="561"/>
      <c r="R175" s="561"/>
      <c r="S175" s="1002"/>
      <c r="T175" s="1412"/>
      <c r="U175" s="1412"/>
    </row>
    <row r="176" spans="1:1892" s="10" customFormat="1" ht="35.1" customHeight="1">
      <c r="A176" s="1462"/>
      <c r="B176" s="503"/>
      <c r="C176" s="941"/>
      <c r="D176" s="591"/>
      <c r="E176" s="592"/>
      <c r="F176" s="593"/>
      <c r="G176" s="893"/>
      <c r="H176" s="640"/>
      <c r="I176" s="640"/>
      <c r="J176" s="654"/>
      <c r="K176" s="654"/>
      <c r="L176" s="148">
        <v>49.89</v>
      </c>
      <c r="M176" s="221">
        <v>16</v>
      </c>
      <c r="N176" s="132">
        <v>0</v>
      </c>
      <c r="O176" s="132">
        <v>0</v>
      </c>
      <c r="P176" s="561"/>
      <c r="Q176" s="561"/>
      <c r="R176" s="561"/>
      <c r="S176" s="1002"/>
      <c r="T176" s="1412"/>
      <c r="U176" s="1412"/>
    </row>
    <row r="177" spans="1:21" s="10" customFormat="1" ht="35.1" customHeight="1">
      <c r="A177" s="1462"/>
      <c r="B177" s="503"/>
      <c r="C177" s="941"/>
      <c r="D177" s="591"/>
      <c r="E177" s="592"/>
      <c r="F177" s="593"/>
      <c r="G177" s="894"/>
      <c r="H177" s="641"/>
      <c r="I177" s="641"/>
      <c r="J177" s="655"/>
      <c r="K177" s="655"/>
      <c r="L177" s="148">
        <v>41.13</v>
      </c>
      <c r="M177" s="221">
        <v>32</v>
      </c>
      <c r="N177" s="132">
        <v>0</v>
      </c>
      <c r="O177" s="132">
        <v>0</v>
      </c>
      <c r="P177" s="561"/>
      <c r="Q177" s="561"/>
      <c r="R177" s="561"/>
      <c r="S177" s="1002"/>
      <c r="T177" s="1412"/>
      <c r="U177" s="1412"/>
    </row>
    <row r="178" spans="1:21" s="10" customFormat="1" ht="35.1" customHeight="1">
      <c r="A178" s="1462"/>
      <c r="B178" s="503"/>
      <c r="C178" s="942"/>
      <c r="D178" s="594"/>
      <c r="E178" s="595"/>
      <c r="F178" s="596"/>
      <c r="G178" s="490" t="s">
        <v>329</v>
      </c>
      <c r="H178" s="491"/>
      <c r="I178" s="491"/>
      <c r="J178" s="491"/>
      <c r="K178" s="492"/>
      <c r="L178" s="149"/>
      <c r="M178" s="224">
        <f>SUM(M174:M177)</f>
        <v>80</v>
      </c>
      <c r="N178" s="263">
        <f>SUM(N174:N177)</f>
        <v>0</v>
      </c>
      <c r="O178" s="263">
        <f>SUM(O174:O177)</f>
        <v>0</v>
      </c>
      <c r="P178" s="562"/>
      <c r="Q178" s="562"/>
      <c r="R178" s="562"/>
      <c r="S178" s="1003"/>
      <c r="T178" s="1413"/>
      <c r="U178" s="1413"/>
    </row>
    <row r="179" spans="1:21" s="10" customFormat="1" ht="35.1" customHeight="1">
      <c r="A179" s="1462"/>
      <c r="B179" s="503"/>
      <c r="C179" s="1323" t="s">
        <v>54</v>
      </c>
      <c r="D179" s="588" t="s">
        <v>311</v>
      </c>
      <c r="E179" s="589"/>
      <c r="F179" s="590"/>
      <c r="G179" s="937" t="s">
        <v>54</v>
      </c>
      <c r="H179" s="937" t="s">
        <v>54</v>
      </c>
      <c r="I179" s="937" t="s">
        <v>54</v>
      </c>
      <c r="J179" s="937" t="s">
        <v>11</v>
      </c>
      <c r="K179" s="937" t="s">
        <v>12</v>
      </c>
      <c r="L179" s="150">
        <v>39.375999999999998</v>
      </c>
      <c r="M179" s="221">
        <v>11</v>
      </c>
      <c r="N179" s="248">
        <v>0</v>
      </c>
      <c r="O179" s="248">
        <v>0</v>
      </c>
      <c r="P179" s="560" t="s">
        <v>54</v>
      </c>
      <c r="Q179" s="560" t="s">
        <v>54</v>
      </c>
      <c r="R179" s="560" t="s">
        <v>54</v>
      </c>
      <c r="S179" s="1493" t="s">
        <v>188</v>
      </c>
      <c r="T179" s="560" t="s">
        <v>54</v>
      </c>
      <c r="U179" s="560" t="s">
        <v>54</v>
      </c>
    </row>
    <row r="180" spans="1:21" s="10" customFormat="1" ht="35.1" customHeight="1">
      <c r="A180" s="1462"/>
      <c r="B180" s="503"/>
      <c r="C180" s="1324"/>
      <c r="D180" s="591"/>
      <c r="E180" s="592"/>
      <c r="F180" s="593"/>
      <c r="G180" s="938"/>
      <c r="H180" s="938"/>
      <c r="I180" s="938"/>
      <c r="J180" s="938"/>
      <c r="K180" s="938"/>
      <c r="L180" s="150">
        <v>47.6768</v>
      </c>
      <c r="M180" s="221">
        <v>13</v>
      </c>
      <c r="N180" s="132">
        <v>0</v>
      </c>
      <c r="O180" s="132">
        <v>0</v>
      </c>
      <c r="P180" s="561"/>
      <c r="Q180" s="561"/>
      <c r="R180" s="561"/>
      <c r="S180" s="1494"/>
      <c r="T180" s="561"/>
      <c r="U180" s="561"/>
    </row>
    <row r="181" spans="1:21" s="10" customFormat="1" ht="35.1" customHeight="1">
      <c r="A181" s="1462"/>
      <c r="B181" s="503"/>
      <c r="C181" s="1324"/>
      <c r="D181" s="591"/>
      <c r="E181" s="592"/>
      <c r="F181" s="593"/>
      <c r="G181" s="938"/>
      <c r="H181" s="938"/>
      <c r="I181" s="938"/>
      <c r="J181" s="938"/>
      <c r="K181" s="938"/>
      <c r="L181" s="150">
        <v>64.143900000000002</v>
      </c>
      <c r="M181" s="221">
        <v>13</v>
      </c>
      <c r="N181" s="248">
        <v>0</v>
      </c>
      <c r="O181" s="248">
        <v>0</v>
      </c>
      <c r="P181" s="561"/>
      <c r="Q181" s="561"/>
      <c r="R181" s="561"/>
      <c r="S181" s="1494"/>
      <c r="T181" s="561"/>
      <c r="U181" s="561"/>
    </row>
    <row r="182" spans="1:21" s="10" customFormat="1" ht="35.1" customHeight="1">
      <c r="A182" s="1462"/>
      <c r="B182" s="503"/>
      <c r="C182" s="1324"/>
      <c r="D182" s="591"/>
      <c r="E182" s="592"/>
      <c r="F182" s="593"/>
      <c r="G182" s="938"/>
      <c r="H182" s="938"/>
      <c r="I182" s="938"/>
      <c r="J182" s="938"/>
      <c r="K182" s="938"/>
      <c r="L182" s="150">
        <v>70.085599999999999</v>
      </c>
      <c r="M182" s="221">
        <v>30</v>
      </c>
      <c r="N182" s="248">
        <v>0</v>
      </c>
      <c r="O182" s="248">
        <v>0</v>
      </c>
      <c r="P182" s="561"/>
      <c r="Q182" s="561"/>
      <c r="R182" s="561"/>
      <c r="S182" s="1494"/>
      <c r="T182" s="561"/>
      <c r="U182" s="561"/>
    </row>
    <row r="183" spans="1:21" s="10" customFormat="1" ht="35.1" customHeight="1">
      <c r="A183" s="1462"/>
      <c r="B183" s="503"/>
      <c r="C183" s="1324"/>
      <c r="D183" s="591"/>
      <c r="E183" s="592"/>
      <c r="F183" s="593"/>
      <c r="G183" s="938"/>
      <c r="H183" s="938"/>
      <c r="I183" s="938"/>
      <c r="J183" s="938"/>
      <c r="K183" s="938"/>
      <c r="L183" s="150">
        <v>81.899799999999999</v>
      </c>
      <c r="M183" s="221">
        <v>21</v>
      </c>
      <c r="N183" s="248">
        <v>12</v>
      </c>
      <c r="O183" s="248">
        <v>10</v>
      </c>
      <c r="P183" s="561"/>
      <c r="Q183" s="561"/>
      <c r="R183" s="561"/>
      <c r="S183" s="1494"/>
      <c r="T183" s="561"/>
      <c r="U183" s="561"/>
    </row>
    <row r="184" spans="1:21" s="10" customFormat="1" ht="35.1" customHeight="1">
      <c r="A184" s="1462"/>
      <c r="B184" s="503"/>
      <c r="C184" s="1324"/>
      <c r="D184" s="591"/>
      <c r="E184" s="592"/>
      <c r="F184" s="593"/>
      <c r="G184" s="938"/>
      <c r="H184" s="938"/>
      <c r="I184" s="938"/>
      <c r="J184" s="938"/>
      <c r="K184" s="938"/>
      <c r="L184" s="150">
        <v>97.680800000000005</v>
      </c>
      <c r="M184" s="221">
        <v>2</v>
      </c>
      <c r="N184" s="248">
        <v>2</v>
      </c>
      <c r="O184" s="248">
        <v>2</v>
      </c>
      <c r="P184" s="561"/>
      <c r="Q184" s="561"/>
      <c r="R184" s="561"/>
      <c r="S184" s="1494"/>
      <c r="T184" s="561"/>
      <c r="U184" s="561"/>
    </row>
    <row r="185" spans="1:21" s="10" customFormat="1" ht="35.1" customHeight="1">
      <c r="A185" s="1462"/>
      <c r="B185" s="503"/>
      <c r="C185" s="1324"/>
      <c r="D185" s="591"/>
      <c r="E185" s="592"/>
      <c r="F185" s="593"/>
      <c r="G185" s="939"/>
      <c r="H185" s="939"/>
      <c r="I185" s="939"/>
      <c r="J185" s="939"/>
      <c r="K185" s="939"/>
      <c r="L185" s="150">
        <v>102.9706</v>
      </c>
      <c r="M185" s="221">
        <v>4</v>
      </c>
      <c r="N185" s="248">
        <v>4</v>
      </c>
      <c r="O185" s="248">
        <v>4</v>
      </c>
      <c r="P185" s="561"/>
      <c r="Q185" s="561"/>
      <c r="R185" s="561"/>
      <c r="S185" s="1494"/>
      <c r="T185" s="561"/>
      <c r="U185" s="561"/>
    </row>
    <row r="186" spans="1:21" s="10" customFormat="1" ht="35.1" customHeight="1">
      <c r="A186" s="1462"/>
      <c r="B186" s="503"/>
      <c r="C186" s="1325"/>
      <c r="D186" s="594"/>
      <c r="E186" s="595"/>
      <c r="F186" s="596"/>
      <c r="G186" s="490" t="s">
        <v>329</v>
      </c>
      <c r="H186" s="491"/>
      <c r="I186" s="491"/>
      <c r="J186" s="491"/>
      <c r="K186" s="492"/>
      <c r="L186" s="139"/>
      <c r="M186" s="249">
        <f>SUM(M179:M185)</f>
        <v>94</v>
      </c>
      <c r="N186" s="246">
        <f>SUM(N179:N185)</f>
        <v>18</v>
      </c>
      <c r="O186" s="246">
        <f>SUM(O179:O185)</f>
        <v>16</v>
      </c>
      <c r="P186" s="562"/>
      <c r="Q186" s="562"/>
      <c r="R186" s="562"/>
      <c r="S186" s="1495"/>
      <c r="T186" s="562"/>
      <c r="U186" s="562"/>
    </row>
    <row r="187" spans="1:21" s="10" customFormat="1" ht="35.1" customHeight="1">
      <c r="A187" s="1462"/>
      <c r="B187" s="503"/>
      <c r="C187" s="996" t="s">
        <v>575</v>
      </c>
      <c r="D187" s="1031" t="s">
        <v>945</v>
      </c>
      <c r="E187" s="1032"/>
      <c r="F187" s="1033"/>
      <c r="G187" s="1280" t="s">
        <v>946</v>
      </c>
      <c r="H187" s="1280" t="s">
        <v>947</v>
      </c>
      <c r="I187" s="1280" t="s">
        <v>948</v>
      </c>
      <c r="J187" s="1280" t="s">
        <v>11</v>
      </c>
      <c r="K187" s="1280" t="s">
        <v>12</v>
      </c>
      <c r="L187" s="180" t="s">
        <v>195</v>
      </c>
      <c r="M187" s="231">
        <v>534</v>
      </c>
      <c r="N187" s="132">
        <v>0</v>
      </c>
      <c r="O187" s="132">
        <v>0</v>
      </c>
      <c r="P187" s="1549" t="s">
        <v>444</v>
      </c>
      <c r="Q187" s="1549" t="s">
        <v>445</v>
      </c>
      <c r="R187" s="1549" t="s">
        <v>949</v>
      </c>
      <c r="S187" s="1576" t="s">
        <v>13</v>
      </c>
      <c r="T187" s="1778" t="s">
        <v>950</v>
      </c>
      <c r="U187" s="1590" t="s">
        <v>11</v>
      </c>
    </row>
    <row r="188" spans="1:21" s="10" customFormat="1" ht="35.1" customHeight="1">
      <c r="A188" s="1462"/>
      <c r="B188" s="503"/>
      <c r="C188" s="997"/>
      <c r="D188" s="1034"/>
      <c r="E188" s="1035"/>
      <c r="F188" s="1036"/>
      <c r="G188" s="1281"/>
      <c r="H188" s="1281"/>
      <c r="I188" s="1281"/>
      <c r="J188" s="1281"/>
      <c r="K188" s="1281"/>
      <c r="L188" s="180" t="s">
        <v>196</v>
      </c>
      <c r="M188" s="231">
        <v>385</v>
      </c>
      <c r="N188" s="132">
        <v>0</v>
      </c>
      <c r="O188" s="132">
        <v>0</v>
      </c>
      <c r="P188" s="1550"/>
      <c r="Q188" s="1550"/>
      <c r="R188" s="1550"/>
      <c r="S188" s="1577"/>
      <c r="T188" s="1779"/>
      <c r="U188" s="1591"/>
    </row>
    <row r="189" spans="1:21" s="10" customFormat="1" ht="35.1" customHeight="1">
      <c r="A189" s="1462"/>
      <c r="B189" s="503"/>
      <c r="C189" s="997"/>
      <c r="D189" s="1034"/>
      <c r="E189" s="1035"/>
      <c r="F189" s="1036"/>
      <c r="G189" s="1282"/>
      <c r="H189" s="1282"/>
      <c r="I189" s="1282"/>
      <c r="J189" s="1282"/>
      <c r="K189" s="1282"/>
      <c r="L189" s="180">
        <v>123</v>
      </c>
      <c r="M189" s="231">
        <v>78</v>
      </c>
      <c r="N189" s="132">
        <v>0</v>
      </c>
      <c r="O189" s="132">
        <v>0</v>
      </c>
      <c r="P189" s="1550"/>
      <c r="Q189" s="1550"/>
      <c r="R189" s="1550"/>
      <c r="S189" s="1577"/>
      <c r="T189" s="1779"/>
      <c r="U189" s="1591"/>
    </row>
    <row r="190" spans="1:21" s="10" customFormat="1" ht="35.1" customHeight="1">
      <c r="A190" s="1462"/>
      <c r="B190" s="503"/>
      <c r="C190" s="998"/>
      <c r="D190" s="1037"/>
      <c r="E190" s="1038"/>
      <c r="F190" s="1039"/>
      <c r="G190" s="1408" t="s">
        <v>329</v>
      </c>
      <c r="H190" s="1409"/>
      <c r="I190" s="1409"/>
      <c r="J190" s="1409"/>
      <c r="K190" s="1410"/>
      <c r="L190" s="160"/>
      <c r="M190" s="224">
        <f>SUM(M187:M189)</f>
        <v>997</v>
      </c>
      <c r="N190" s="263">
        <f>SUM(N187:N189)</f>
        <v>0</v>
      </c>
      <c r="O190" s="263">
        <f>SUM(O187:O189)</f>
        <v>0</v>
      </c>
      <c r="P190" s="1551"/>
      <c r="Q190" s="1551"/>
      <c r="R190" s="1551"/>
      <c r="S190" s="1578"/>
      <c r="T190" s="1780"/>
      <c r="U190" s="1592"/>
    </row>
    <row r="191" spans="1:21" s="10" customFormat="1" ht="35.1" customHeight="1">
      <c r="A191" s="1462"/>
      <c r="B191" s="503"/>
      <c r="C191" s="911" t="s">
        <v>354</v>
      </c>
      <c r="D191" s="588" t="s">
        <v>576</v>
      </c>
      <c r="E191" s="589"/>
      <c r="F191" s="590"/>
      <c r="G191" s="960" t="s">
        <v>351</v>
      </c>
      <c r="H191" s="960" t="s">
        <v>352</v>
      </c>
      <c r="I191" s="1217" t="s">
        <v>353</v>
      </c>
      <c r="J191" s="1217" t="s">
        <v>11</v>
      </c>
      <c r="K191" s="1217" t="s">
        <v>12</v>
      </c>
      <c r="L191" s="151">
        <v>59.808999999999997</v>
      </c>
      <c r="M191" s="243">
        <v>105</v>
      </c>
      <c r="N191" s="398">
        <v>0</v>
      </c>
      <c r="O191" s="398">
        <v>0</v>
      </c>
      <c r="P191" s="713" t="s">
        <v>436</v>
      </c>
      <c r="Q191" s="713" t="s">
        <v>422</v>
      </c>
      <c r="R191" s="713" t="s">
        <v>434</v>
      </c>
      <c r="S191" s="1573" t="s">
        <v>57</v>
      </c>
      <c r="T191" s="1555"/>
      <c r="U191" s="1555" t="s">
        <v>11</v>
      </c>
    </row>
    <row r="192" spans="1:21" s="10" customFormat="1" ht="35.1" customHeight="1">
      <c r="A192" s="1462"/>
      <c r="B192" s="503"/>
      <c r="C192" s="912"/>
      <c r="D192" s="591"/>
      <c r="E192" s="592"/>
      <c r="F192" s="593"/>
      <c r="G192" s="961"/>
      <c r="H192" s="961"/>
      <c r="I192" s="1218"/>
      <c r="J192" s="1218"/>
      <c r="K192" s="1218"/>
      <c r="L192" s="151">
        <v>59.925699999999999</v>
      </c>
      <c r="M192" s="243">
        <v>21</v>
      </c>
      <c r="N192" s="395">
        <v>0</v>
      </c>
      <c r="O192" s="395">
        <v>0</v>
      </c>
      <c r="P192" s="714"/>
      <c r="Q192" s="714"/>
      <c r="R192" s="714"/>
      <c r="S192" s="1574"/>
      <c r="T192" s="1556"/>
      <c r="U192" s="1556"/>
    </row>
    <row r="193" spans="1:21" s="10" customFormat="1" ht="35.1" customHeight="1">
      <c r="A193" s="1462"/>
      <c r="B193" s="503"/>
      <c r="C193" s="912"/>
      <c r="D193" s="591"/>
      <c r="E193" s="592"/>
      <c r="F193" s="593"/>
      <c r="G193" s="961"/>
      <c r="H193" s="961"/>
      <c r="I193" s="1218"/>
      <c r="J193" s="1218"/>
      <c r="K193" s="1218"/>
      <c r="L193" s="151">
        <v>59.977400000000003</v>
      </c>
      <c r="M193" s="243">
        <v>3</v>
      </c>
      <c r="N193" s="395">
        <v>0</v>
      </c>
      <c r="O193" s="395">
        <v>0</v>
      </c>
      <c r="P193" s="714"/>
      <c r="Q193" s="714"/>
      <c r="R193" s="714"/>
      <c r="S193" s="1574"/>
      <c r="T193" s="1556"/>
      <c r="U193" s="1556"/>
    </row>
    <row r="194" spans="1:21" s="32" customFormat="1" ht="35.1" customHeight="1">
      <c r="A194" s="1462"/>
      <c r="B194" s="503"/>
      <c r="C194" s="912"/>
      <c r="D194" s="591"/>
      <c r="E194" s="592"/>
      <c r="F194" s="593"/>
      <c r="G194" s="961"/>
      <c r="H194" s="961"/>
      <c r="I194" s="1218"/>
      <c r="J194" s="1218"/>
      <c r="K194" s="1218"/>
      <c r="L194" s="151">
        <v>74.9589</v>
      </c>
      <c r="M194" s="243">
        <v>152</v>
      </c>
      <c r="N194" s="395">
        <v>0</v>
      </c>
      <c r="O194" s="395">
        <v>0</v>
      </c>
      <c r="P194" s="714"/>
      <c r="Q194" s="714"/>
      <c r="R194" s="714"/>
      <c r="S194" s="1574"/>
      <c r="T194" s="1556"/>
      <c r="U194" s="1556"/>
    </row>
    <row r="195" spans="1:21" s="10" customFormat="1" ht="35.1" customHeight="1">
      <c r="A195" s="1462"/>
      <c r="B195" s="503"/>
      <c r="C195" s="912"/>
      <c r="D195" s="591"/>
      <c r="E195" s="592"/>
      <c r="F195" s="593"/>
      <c r="G195" s="961"/>
      <c r="H195" s="961"/>
      <c r="I195" s="1218"/>
      <c r="J195" s="1218"/>
      <c r="K195" s="1218"/>
      <c r="L195" s="151">
        <v>84.995400000000004</v>
      </c>
      <c r="M195" s="243">
        <v>461</v>
      </c>
      <c r="N195" s="395">
        <v>51</v>
      </c>
      <c r="O195" s="395">
        <v>51</v>
      </c>
      <c r="P195" s="714"/>
      <c r="Q195" s="714"/>
      <c r="R195" s="714"/>
      <c r="S195" s="1574"/>
      <c r="T195" s="1556"/>
      <c r="U195" s="1556"/>
    </row>
    <row r="196" spans="1:21" s="10" customFormat="1" ht="35.1" customHeight="1">
      <c r="A196" s="1462"/>
      <c r="B196" s="503"/>
      <c r="C196" s="912"/>
      <c r="D196" s="591"/>
      <c r="E196" s="592"/>
      <c r="F196" s="593"/>
      <c r="G196" s="961"/>
      <c r="H196" s="961"/>
      <c r="I196" s="1218"/>
      <c r="J196" s="1218"/>
      <c r="K196" s="1218"/>
      <c r="L196" s="151">
        <v>84.890299999999996</v>
      </c>
      <c r="M196" s="243">
        <v>97</v>
      </c>
      <c r="N196" s="395">
        <v>0</v>
      </c>
      <c r="O196" s="395">
        <v>0</v>
      </c>
      <c r="P196" s="714"/>
      <c r="Q196" s="714"/>
      <c r="R196" s="714"/>
      <c r="S196" s="1574"/>
      <c r="T196" s="1556"/>
      <c r="U196" s="1556"/>
    </row>
    <row r="197" spans="1:21" s="10" customFormat="1" ht="35.1" customHeight="1">
      <c r="A197" s="1462"/>
      <c r="B197" s="503"/>
      <c r="C197" s="912"/>
      <c r="D197" s="591"/>
      <c r="E197" s="592"/>
      <c r="F197" s="593"/>
      <c r="G197" s="961"/>
      <c r="H197" s="961"/>
      <c r="I197" s="1218"/>
      <c r="J197" s="1218"/>
      <c r="K197" s="1218"/>
      <c r="L197" s="151">
        <v>84.675600000000003</v>
      </c>
      <c r="M197" s="243">
        <v>135</v>
      </c>
      <c r="N197" s="395">
        <v>0</v>
      </c>
      <c r="O197" s="395">
        <v>0</v>
      </c>
      <c r="P197" s="714"/>
      <c r="Q197" s="714"/>
      <c r="R197" s="714"/>
      <c r="S197" s="1574"/>
      <c r="T197" s="1556"/>
      <c r="U197" s="1556"/>
    </row>
    <row r="198" spans="1:21" s="10" customFormat="1" ht="35.1" customHeight="1">
      <c r="A198" s="1462"/>
      <c r="B198" s="503"/>
      <c r="C198" s="912"/>
      <c r="D198" s="591"/>
      <c r="E198" s="592"/>
      <c r="F198" s="593"/>
      <c r="G198" s="961"/>
      <c r="H198" s="961"/>
      <c r="I198" s="1218"/>
      <c r="J198" s="1218"/>
      <c r="K198" s="1218"/>
      <c r="L198" s="151">
        <v>84.779600000000002</v>
      </c>
      <c r="M198" s="243">
        <v>21</v>
      </c>
      <c r="N198" s="395">
        <v>0</v>
      </c>
      <c r="O198" s="395">
        <v>0</v>
      </c>
      <c r="P198" s="714"/>
      <c r="Q198" s="714"/>
      <c r="R198" s="714"/>
      <c r="S198" s="1574"/>
      <c r="T198" s="1556"/>
      <c r="U198" s="1556"/>
    </row>
    <row r="199" spans="1:21" s="10" customFormat="1" ht="35.1" customHeight="1">
      <c r="A199" s="1462"/>
      <c r="B199" s="503"/>
      <c r="C199" s="912"/>
      <c r="D199" s="591"/>
      <c r="E199" s="592"/>
      <c r="F199" s="593"/>
      <c r="G199" s="961"/>
      <c r="H199" s="961"/>
      <c r="I199" s="1218"/>
      <c r="J199" s="1218"/>
      <c r="K199" s="1218"/>
      <c r="L199" s="151">
        <v>84.894499999999994</v>
      </c>
      <c r="M199" s="243">
        <v>2</v>
      </c>
      <c r="N199" s="395">
        <v>0</v>
      </c>
      <c r="O199" s="395">
        <v>0</v>
      </c>
      <c r="P199" s="714"/>
      <c r="Q199" s="714"/>
      <c r="R199" s="714"/>
      <c r="S199" s="1574"/>
      <c r="T199" s="1556"/>
      <c r="U199" s="1556"/>
    </row>
    <row r="200" spans="1:21" s="10" customFormat="1" ht="35.1" customHeight="1">
      <c r="A200" s="1462"/>
      <c r="B200" s="503"/>
      <c r="C200" s="912"/>
      <c r="D200" s="591"/>
      <c r="E200" s="592"/>
      <c r="F200" s="593"/>
      <c r="G200" s="962"/>
      <c r="H200" s="962"/>
      <c r="I200" s="1219"/>
      <c r="J200" s="1219"/>
      <c r="K200" s="1219"/>
      <c r="L200" s="151">
        <v>84.814800000000005</v>
      </c>
      <c r="M200" s="243">
        <v>2</v>
      </c>
      <c r="N200" s="395">
        <v>0</v>
      </c>
      <c r="O200" s="395">
        <v>0</v>
      </c>
      <c r="P200" s="714"/>
      <c r="Q200" s="714"/>
      <c r="R200" s="714"/>
      <c r="S200" s="1574"/>
      <c r="T200" s="1556"/>
      <c r="U200" s="1556"/>
    </row>
    <row r="201" spans="1:21" s="10" customFormat="1" ht="35.1" customHeight="1">
      <c r="A201" s="1462"/>
      <c r="B201" s="503"/>
      <c r="C201" s="913"/>
      <c r="D201" s="594"/>
      <c r="E201" s="595"/>
      <c r="F201" s="596"/>
      <c r="G201" s="490" t="s">
        <v>329</v>
      </c>
      <c r="H201" s="491"/>
      <c r="I201" s="491"/>
      <c r="J201" s="491"/>
      <c r="K201" s="492"/>
      <c r="L201" s="138"/>
      <c r="M201" s="249">
        <f>SUM(M191:M200)</f>
        <v>999</v>
      </c>
      <c r="N201" s="246">
        <f>SUM(N191:N200)</f>
        <v>51</v>
      </c>
      <c r="O201" s="246">
        <f>SUM(O191:O200)</f>
        <v>51</v>
      </c>
      <c r="P201" s="715"/>
      <c r="Q201" s="715"/>
      <c r="R201" s="715"/>
      <c r="S201" s="1575"/>
      <c r="T201" s="1557"/>
      <c r="U201" s="1557"/>
    </row>
    <row r="202" spans="1:21" s="10" customFormat="1" ht="35.1" customHeight="1">
      <c r="A202" s="1462"/>
      <c r="B202" s="503"/>
      <c r="C202" s="911" t="s">
        <v>572</v>
      </c>
      <c r="D202" s="588" t="s">
        <v>390</v>
      </c>
      <c r="E202" s="589"/>
      <c r="F202" s="590"/>
      <c r="G202" s="960" t="s">
        <v>391</v>
      </c>
      <c r="H202" s="960" t="s">
        <v>392</v>
      </c>
      <c r="I202" s="1217" t="s">
        <v>393</v>
      </c>
      <c r="J202" s="1217" t="s">
        <v>11</v>
      </c>
      <c r="K202" s="1294" t="s">
        <v>12</v>
      </c>
      <c r="L202" s="152">
        <v>84.824299999999994</v>
      </c>
      <c r="M202" s="230">
        <v>17</v>
      </c>
      <c r="N202" s="143">
        <v>0</v>
      </c>
      <c r="O202" s="143">
        <v>0</v>
      </c>
      <c r="P202" s="1540" t="s">
        <v>409</v>
      </c>
      <c r="Q202" s="1540" t="s">
        <v>437</v>
      </c>
      <c r="R202" s="1540" t="s">
        <v>410</v>
      </c>
      <c r="S202" s="859" t="s">
        <v>57</v>
      </c>
      <c r="T202" s="473"/>
      <c r="U202" s="867" t="s">
        <v>11</v>
      </c>
    </row>
    <row r="203" spans="1:21" s="10" customFormat="1" ht="35.1" customHeight="1">
      <c r="A203" s="1462"/>
      <c r="B203" s="503"/>
      <c r="C203" s="912"/>
      <c r="D203" s="591"/>
      <c r="E203" s="592"/>
      <c r="F203" s="593"/>
      <c r="G203" s="961"/>
      <c r="H203" s="961"/>
      <c r="I203" s="1218"/>
      <c r="J203" s="1218"/>
      <c r="K203" s="1295"/>
      <c r="L203" s="152">
        <v>84.895099999999999</v>
      </c>
      <c r="M203" s="230">
        <v>25</v>
      </c>
      <c r="N203" s="143">
        <v>0</v>
      </c>
      <c r="O203" s="143">
        <v>0</v>
      </c>
      <c r="P203" s="1541"/>
      <c r="Q203" s="1541"/>
      <c r="R203" s="1541"/>
      <c r="S203" s="860"/>
      <c r="T203" s="474"/>
      <c r="U203" s="652"/>
    </row>
    <row r="204" spans="1:21" s="10" customFormat="1" ht="35.1" customHeight="1">
      <c r="A204" s="1462"/>
      <c r="B204" s="503"/>
      <c r="C204" s="912"/>
      <c r="D204" s="591"/>
      <c r="E204" s="592"/>
      <c r="F204" s="593"/>
      <c r="G204" s="961"/>
      <c r="H204" s="961"/>
      <c r="I204" s="1218"/>
      <c r="J204" s="1218"/>
      <c r="K204" s="1295"/>
      <c r="L204" s="152">
        <v>84.895099999999999</v>
      </c>
      <c r="M204" s="230">
        <v>1</v>
      </c>
      <c r="N204" s="143">
        <v>0</v>
      </c>
      <c r="O204" s="143">
        <v>0</v>
      </c>
      <c r="P204" s="1541"/>
      <c r="Q204" s="1541"/>
      <c r="R204" s="1541"/>
      <c r="S204" s="860"/>
      <c r="T204" s="474"/>
      <c r="U204" s="652"/>
    </row>
    <row r="205" spans="1:21" s="10" customFormat="1" ht="35.1" customHeight="1">
      <c r="A205" s="1462"/>
      <c r="B205" s="503"/>
      <c r="C205" s="912"/>
      <c r="D205" s="591"/>
      <c r="E205" s="592"/>
      <c r="F205" s="593"/>
      <c r="G205" s="961"/>
      <c r="H205" s="961"/>
      <c r="I205" s="1218"/>
      <c r="J205" s="1218"/>
      <c r="K205" s="1295"/>
      <c r="L205" s="153">
        <v>84.824299999999994</v>
      </c>
      <c r="M205" s="230">
        <v>6</v>
      </c>
      <c r="N205" s="143">
        <v>0</v>
      </c>
      <c r="O205" s="143">
        <v>0</v>
      </c>
      <c r="P205" s="1541"/>
      <c r="Q205" s="1541"/>
      <c r="R205" s="1541"/>
      <c r="S205" s="860"/>
      <c r="T205" s="474"/>
      <c r="U205" s="652"/>
    </row>
    <row r="206" spans="1:21" s="10" customFormat="1" ht="35.1" customHeight="1">
      <c r="A206" s="1462"/>
      <c r="B206" s="503"/>
      <c r="C206" s="912"/>
      <c r="D206" s="591"/>
      <c r="E206" s="592"/>
      <c r="F206" s="593"/>
      <c r="G206" s="961"/>
      <c r="H206" s="961"/>
      <c r="I206" s="1218"/>
      <c r="J206" s="1218"/>
      <c r="K206" s="1295"/>
      <c r="L206" s="152">
        <v>84.824299999999994</v>
      </c>
      <c r="M206" s="230">
        <v>1</v>
      </c>
      <c r="N206" s="143">
        <v>0</v>
      </c>
      <c r="O206" s="143">
        <v>0</v>
      </c>
      <c r="P206" s="1541"/>
      <c r="Q206" s="1541"/>
      <c r="R206" s="1541"/>
      <c r="S206" s="860"/>
      <c r="T206" s="474"/>
      <c r="U206" s="652"/>
    </row>
    <row r="207" spans="1:21" s="10" customFormat="1" ht="35.1" customHeight="1">
      <c r="A207" s="1462"/>
      <c r="B207" s="503"/>
      <c r="C207" s="912"/>
      <c r="D207" s="591"/>
      <c r="E207" s="592"/>
      <c r="F207" s="593"/>
      <c r="G207" s="961"/>
      <c r="H207" s="961"/>
      <c r="I207" s="1218"/>
      <c r="J207" s="1218"/>
      <c r="K207" s="1295"/>
      <c r="L207" s="152">
        <v>84.879900000000006</v>
      </c>
      <c r="M207" s="230">
        <v>11</v>
      </c>
      <c r="N207" s="143">
        <v>0</v>
      </c>
      <c r="O207" s="143">
        <v>0</v>
      </c>
      <c r="P207" s="1541"/>
      <c r="Q207" s="1541"/>
      <c r="R207" s="1541"/>
      <c r="S207" s="860"/>
      <c r="T207" s="474"/>
      <c r="U207" s="652"/>
    </row>
    <row r="208" spans="1:21" s="10" customFormat="1" ht="35.1" customHeight="1">
      <c r="A208" s="1462"/>
      <c r="B208" s="503"/>
      <c r="C208" s="912"/>
      <c r="D208" s="591"/>
      <c r="E208" s="592"/>
      <c r="F208" s="593"/>
      <c r="G208" s="961"/>
      <c r="H208" s="961"/>
      <c r="I208" s="1218"/>
      <c r="J208" s="1218"/>
      <c r="K208" s="1295"/>
      <c r="L208" s="153">
        <v>84.932500000000005</v>
      </c>
      <c r="M208" s="230">
        <v>13</v>
      </c>
      <c r="N208" s="143">
        <v>0</v>
      </c>
      <c r="O208" s="143">
        <v>0</v>
      </c>
      <c r="P208" s="1541"/>
      <c r="Q208" s="1541"/>
      <c r="R208" s="1541"/>
      <c r="S208" s="860"/>
      <c r="T208" s="474"/>
      <c r="U208" s="652"/>
    </row>
    <row r="209" spans="1:21" s="10" customFormat="1" ht="35.1" customHeight="1">
      <c r="A209" s="1462"/>
      <c r="B209" s="503"/>
      <c r="C209" s="912"/>
      <c r="D209" s="591"/>
      <c r="E209" s="592"/>
      <c r="F209" s="593"/>
      <c r="G209" s="961"/>
      <c r="H209" s="961"/>
      <c r="I209" s="1218"/>
      <c r="J209" s="1218"/>
      <c r="K209" s="1295"/>
      <c r="L209" s="152">
        <v>84.877899999999997</v>
      </c>
      <c r="M209" s="230">
        <v>16</v>
      </c>
      <c r="N209" s="143">
        <v>0</v>
      </c>
      <c r="O209" s="143">
        <v>0</v>
      </c>
      <c r="P209" s="1541"/>
      <c r="Q209" s="1541"/>
      <c r="R209" s="1541"/>
      <c r="S209" s="860"/>
      <c r="T209" s="474"/>
      <c r="U209" s="652"/>
    </row>
    <row r="210" spans="1:21" s="10" customFormat="1" ht="35.1" customHeight="1">
      <c r="A210" s="1462"/>
      <c r="B210" s="503"/>
      <c r="C210" s="912"/>
      <c r="D210" s="591"/>
      <c r="E210" s="592"/>
      <c r="F210" s="593"/>
      <c r="G210" s="961"/>
      <c r="H210" s="961"/>
      <c r="I210" s="1218"/>
      <c r="J210" s="1218"/>
      <c r="K210" s="1295"/>
      <c r="L210" s="152">
        <v>84.862700000000004</v>
      </c>
      <c r="M210" s="230">
        <v>16</v>
      </c>
      <c r="N210" s="143">
        <v>0</v>
      </c>
      <c r="O210" s="143">
        <v>0</v>
      </c>
      <c r="P210" s="1541"/>
      <c r="Q210" s="1541"/>
      <c r="R210" s="1541"/>
      <c r="S210" s="860"/>
      <c r="T210" s="474"/>
      <c r="U210" s="652"/>
    </row>
    <row r="211" spans="1:21" s="10" customFormat="1" ht="35.1" customHeight="1">
      <c r="A211" s="1462"/>
      <c r="B211" s="503"/>
      <c r="C211" s="912"/>
      <c r="D211" s="591"/>
      <c r="E211" s="592"/>
      <c r="F211" s="593"/>
      <c r="G211" s="961"/>
      <c r="H211" s="961"/>
      <c r="I211" s="1218"/>
      <c r="J211" s="1218"/>
      <c r="K211" s="1295"/>
      <c r="L211" s="153">
        <v>84.990499999999997</v>
      </c>
      <c r="M211" s="230">
        <v>18</v>
      </c>
      <c r="N211" s="143">
        <v>0</v>
      </c>
      <c r="O211" s="143">
        <v>0</v>
      </c>
      <c r="P211" s="1541"/>
      <c r="Q211" s="1541"/>
      <c r="R211" s="1541"/>
      <c r="S211" s="860"/>
      <c r="T211" s="474"/>
      <c r="U211" s="652"/>
    </row>
    <row r="212" spans="1:21" s="10" customFormat="1" ht="35.1" customHeight="1">
      <c r="A212" s="1462"/>
      <c r="B212" s="503"/>
      <c r="C212" s="912"/>
      <c r="D212" s="591"/>
      <c r="E212" s="592"/>
      <c r="F212" s="593"/>
      <c r="G212" s="961"/>
      <c r="H212" s="961"/>
      <c r="I212" s="1218"/>
      <c r="J212" s="1218"/>
      <c r="K212" s="1295"/>
      <c r="L212" s="152">
        <v>84.885999999999996</v>
      </c>
      <c r="M212" s="230">
        <v>18</v>
      </c>
      <c r="N212" s="143">
        <v>0</v>
      </c>
      <c r="O212" s="143">
        <v>0</v>
      </c>
      <c r="P212" s="1541"/>
      <c r="Q212" s="1541"/>
      <c r="R212" s="1541"/>
      <c r="S212" s="860"/>
      <c r="T212" s="474"/>
      <c r="U212" s="652"/>
    </row>
    <row r="213" spans="1:21" s="10" customFormat="1" ht="35.1" customHeight="1">
      <c r="A213" s="1462"/>
      <c r="B213" s="503"/>
      <c r="C213" s="912"/>
      <c r="D213" s="591"/>
      <c r="E213" s="592"/>
      <c r="F213" s="593"/>
      <c r="G213" s="961"/>
      <c r="H213" s="961"/>
      <c r="I213" s="1218"/>
      <c r="J213" s="1218"/>
      <c r="K213" s="1295"/>
      <c r="L213" s="152">
        <v>84.885999999999996</v>
      </c>
      <c r="M213" s="230">
        <v>1</v>
      </c>
      <c r="N213" s="143">
        <v>0</v>
      </c>
      <c r="O213" s="143">
        <v>0</v>
      </c>
      <c r="P213" s="1541"/>
      <c r="Q213" s="1541"/>
      <c r="R213" s="1541"/>
      <c r="S213" s="860"/>
      <c r="T213" s="474"/>
      <c r="U213" s="652"/>
    </row>
    <row r="214" spans="1:21" s="10" customFormat="1" ht="35.1" customHeight="1">
      <c r="A214" s="1462"/>
      <c r="B214" s="503"/>
      <c r="C214" s="912"/>
      <c r="D214" s="591"/>
      <c r="E214" s="592"/>
      <c r="F214" s="593"/>
      <c r="G214" s="961"/>
      <c r="H214" s="961"/>
      <c r="I214" s="1218"/>
      <c r="J214" s="1218"/>
      <c r="K214" s="1295"/>
      <c r="L214" s="152">
        <v>84.915400000000005</v>
      </c>
      <c r="M214" s="230">
        <v>13</v>
      </c>
      <c r="N214" s="143">
        <v>0</v>
      </c>
      <c r="O214" s="143">
        <v>0</v>
      </c>
      <c r="P214" s="1541"/>
      <c r="Q214" s="1541"/>
      <c r="R214" s="1541"/>
      <c r="S214" s="860"/>
      <c r="T214" s="474"/>
      <c r="U214" s="652"/>
    </row>
    <row r="215" spans="1:21" s="10" customFormat="1" ht="35.1" customHeight="1">
      <c r="A215" s="1462"/>
      <c r="B215" s="503"/>
      <c r="C215" s="912"/>
      <c r="D215" s="591"/>
      <c r="E215" s="592"/>
      <c r="F215" s="593"/>
      <c r="G215" s="961"/>
      <c r="H215" s="961"/>
      <c r="I215" s="1218"/>
      <c r="J215" s="1218"/>
      <c r="K215" s="1295"/>
      <c r="L215" s="152">
        <v>84.937600000000003</v>
      </c>
      <c r="M215" s="230">
        <v>7</v>
      </c>
      <c r="N215" s="143">
        <v>0</v>
      </c>
      <c r="O215" s="143">
        <v>0</v>
      </c>
      <c r="P215" s="1541"/>
      <c r="Q215" s="1541"/>
      <c r="R215" s="1541"/>
      <c r="S215" s="860"/>
      <c r="T215" s="474"/>
      <c r="U215" s="652"/>
    </row>
    <row r="216" spans="1:21" s="10" customFormat="1" ht="35.1" customHeight="1">
      <c r="A216" s="1462"/>
      <c r="B216" s="503"/>
      <c r="C216" s="912"/>
      <c r="D216" s="591"/>
      <c r="E216" s="592"/>
      <c r="F216" s="593"/>
      <c r="G216" s="961"/>
      <c r="H216" s="961"/>
      <c r="I216" s="1218"/>
      <c r="J216" s="1218"/>
      <c r="K216" s="1295"/>
      <c r="L216" s="152">
        <v>84.937600000000003</v>
      </c>
      <c r="M216" s="230">
        <v>1</v>
      </c>
      <c r="N216" s="143">
        <v>0</v>
      </c>
      <c r="O216" s="143">
        <v>0</v>
      </c>
      <c r="P216" s="1541"/>
      <c r="Q216" s="1541"/>
      <c r="R216" s="1541"/>
      <c r="S216" s="860"/>
      <c r="T216" s="474"/>
      <c r="U216" s="652"/>
    </row>
    <row r="217" spans="1:21" s="10" customFormat="1" ht="35.1" customHeight="1">
      <c r="A217" s="1462"/>
      <c r="B217" s="503"/>
      <c r="C217" s="912"/>
      <c r="D217" s="591"/>
      <c r="E217" s="592"/>
      <c r="F217" s="593"/>
      <c r="G217" s="961"/>
      <c r="H217" s="961"/>
      <c r="I217" s="1218"/>
      <c r="J217" s="1218"/>
      <c r="K217" s="1295"/>
      <c r="L217" s="152">
        <v>118.9605</v>
      </c>
      <c r="M217" s="230">
        <v>1</v>
      </c>
      <c r="N217" s="143">
        <v>1</v>
      </c>
      <c r="O217" s="143">
        <v>1</v>
      </c>
      <c r="P217" s="1541"/>
      <c r="Q217" s="1541"/>
      <c r="R217" s="1541"/>
      <c r="S217" s="860"/>
      <c r="T217" s="474"/>
      <c r="U217" s="652"/>
    </row>
    <row r="218" spans="1:21" s="10" customFormat="1" ht="35.1" customHeight="1">
      <c r="A218" s="1462"/>
      <c r="B218" s="503"/>
      <c r="C218" s="912"/>
      <c r="D218" s="591"/>
      <c r="E218" s="592"/>
      <c r="F218" s="593"/>
      <c r="G218" s="961"/>
      <c r="H218" s="961"/>
      <c r="I218" s="1218"/>
      <c r="J218" s="1218"/>
      <c r="K218" s="1295"/>
      <c r="L218" s="152">
        <v>130.89349999999999</v>
      </c>
      <c r="M218" s="230">
        <v>1</v>
      </c>
      <c r="N218" s="143">
        <v>0</v>
      </c>
      <c r="O218" s="143">
        <v>0</v>
      </c>
      <c r="P218" s="1541"/>
      <c r="Q218" s="1541"/>
      <c r="R218" s="1541"/>
      <c r="S218" s="860"/>
      <c r="T218" s="474"/>
      <c r="U218" s="652"/>
    </row>
    <row r="219" spans="1:21" s="10" customFormat="1" ht="35.1" customHeight="1">
      <c r="A219" s="1462"/>
      <c r="B219" s="503"/>
      <c r="C219" s="912"/>
      <c r="D219" s="591"/>
      <c r="E219" s="592"/>
      <c r="F219" s="593"/>
      <c r="G219" s="961"/>
      <c r="H219" s="961"/>
      <c r="I219" s="1218"/>
      <c r="J219" s="1218"/>
      <c r="K219" s="1295"/>
      <c r="L219" s="152">
        <v>131.53620000000001</v>
      </c>
      <c r="M219" s="230">
        <v>1</v>
      </c>
      <c r="N219" s="143">
        <v>1</v>
      </c>
      <c r="O219" s="143">
        <v>1</v>
      </c>
      <c r="P219" s="1541"/>
      <c r="Q219" s="1541"/>
      <c r="R219" s="1541"/>
      <c r="S219" s="860"/>
      <c r="T219" s="474"/>
      <c r="U219" s="652"/>
    </row>
    <row r="220" spans="1:21" s="10" customFormat="1" ht="35.1" customHeight="1">
      <c r="A220" s="1462"/>
      <c r="B220" s="503"/>
      <c r="C220" s="912"/>
      <c r="D220" s="591"/>
      <c r="E220" s="592"/>
      <c r="F220" s="593"/>
      <c r="G220" s="961"/>
      <c r="H220" s="961"/>
      <c r="I220" s="1218"/>
      <c r="J220" s="1218"/>
      <c r="K220" s="1295"/>
      <c r="L220" s="152">
        <v>131.78360000000001</v>
      </c>
      <c r="M220" s="230">
        <v>1</v>
      </c>
      <c r="N220" s="143">
        <v>1</v>
      </c>
      <c r="O220" s="143">
        <v>1</v>
      </c>
      <c r="P220" s="1541"/>
      <c r="Q220" s="1541"/>
      <c r="R220" s="1541"/>
      <c r="S220" s="860"/>
      <c r="T220" s="474"/>
      <c r="U220" s="652"/>
    </row>
    <row r="221" spans="1:21" s="10" customFormat="1" ht="35.1" customHeight="1">
      <c r="A221" s="1462"/>
      <c r="B221" s="503"/>
      <c r="C221" s="912"/>
      <c r="D221" s="591"/>
      <c r="E221" s="592"/>
      <c r="F221" s="593"/>
      <c r="G221" s="961"/>
      <c r="H221" s="961"/>
      <c r="I221" s="1218"/>
      <c r="J221" s="1218"/>
      <c r="K221" s="1295"/>
      <c r="L221" s="152">
        <v>132.4306</v>
      </c>
      <c r="M221" s="230">
        <v>1</v>
      </c>
      <c r="N221" s="143">
        <v>1</v>
      </c>
      <c r="O221" s="143">
        <v>1</v>
      </c>
      <c r="P221" s="1541"/>
      <c r="Q221" s="1541"/>
      <c r="R221" s="1541"/>
      <c r="S221" s="860"/>
      <c r="T221" s="474"/>
      <c r="U221" s="652"/>
    </row>
    <row r="222" spans="1:21" s="10" customFormat="1" ht="35.1" customHeight="1">
      <c r="A222" s="1462"/>
      <c r="B222" s="503"/>
      <c r="C222" s="912"/>
      <c r="D222" s="591"/>
      <c r="E222" s="592"/>
      <c r="F222" s="593"/>
      <c r="G222" s="961"/>
      <c r="H222" s="961"/>
      <c r="I222" s="1218"/>
      <c r="J222" s="1218"/>
      <c r="K222" s="1295"/>
      <c r="L222" s="152">
        <v>133.6139</v>
      </c>
      <c r="M222" s="230">
        <v>1</v>
      </c>
      <c r="N222" s="143">
        <v>1</v>
      </c>
      <c r="O222" s="143">
        <v>1</v>
      </c>
      <c r="P222" s="1541"/>
      <c r="Q222" s="1541"/>
      <c r="R222" s="1541"/>
      <c r="S222" s="860"/>
      <c r="T222" s="474"/>
      <c r="U222" s="652"/>
    </row>
    <row r="223" spans="1:21" s="10" customFormat="1" ht="35.1" customHeight="1">
      <c r="A223" s="1462"/>
      <c r="B223" s="503"/>
      <c r="C223" s="912"/>
      <c r="D223" s="591"/>
      <c r="E223" s="592"/>
      <c r="F223" s="593"/>
      <c r="G223" s="962"/>
      <c r="H223" s="154"/>
      <c r="I223" s="1219"/>
      <c r="J223" s="1219"/>
      <c r="K223" s="1296"/>
      <c r="L223" s="152">
        <v>139.9067</v>
      </c>
      <c r="M223" s="230">
        <v>1</v>
      </c>
      <c r="N223" s="143">
        <v>1</v>
      </c>
      <c r="O223" s="143">
        <v>1</v>
      </c>
      <c r="P223" s="1541"/>
      <c r="Q223" s="1541"/>
      <c r="R223" s="1541"/>
      <c r="S223" s="860"/>
      <c r="T223" s="474"/>
      <c r="U223" s="652"/>
    </row>
    <row r="224" spans="1:21" s="10" customFormat="1" ht="35.1" customHeight="1">
      <c r="A224" s="1462"/>
      <c r="B224" s="503"/>
      <c r="C224" s="913"/>
      <c r="D224" s="594"/>
      <c r="E224" s="595"/>
      <c r="F224" s="596"/>
      <c r="G224" s="490" t="s">
        <v>329</v>
      </c>
      <c r="H224" s="491"/>
      <c r="I224" s="491"/>
      <c r="J224" s="491"/>
      <c r="K224" s="492"/>
      <c r="L224" s="139"/>
      <c r="M224" s="249">
        <f t="shared" ref="M224" si="5">SUM(M202:M223)</f>
        <v>171</v>
      </c>
      <c r="N224" s="246">
        <f t="shared" ref="N224:O224" si="6">SUM(N202:N223)</f>
        <v>6</v>
      </c>
      <c r="O224" s="246">
        <f t="shared" si="6"/>
        <v>6</v>
      </c>
      <c r="P224" s="1542"/>
      <c r="Q224" s="1542"/>
      <c r="R224" s="1542"/>
      <c r="S224" s="861"/>
      <c r="T224" s="475"/>
      <c r="U224" s="868"/>
    </row>
    <row r="225" spans="1:21" s="10" customFormat="1" ht="35.1" customHeight="1">
      <c r="A225" s="1462"/>
      <c r="B225" s="503"/>
      <c r="C225" s="911" t="s">
        <v>574</v>
      </c>
      <c r="D225" s="588" t="s">
        <v>491</v>
      </c>
      <c r="E225" s="589"/>
      <c r="F225" s="590"/>
      <c r="G225" s="911" t="s">
        <v>492</v>
      </c>
      <c r="H225" s="911" t="s">
        <v>493</v>
      </c>
      <c r="I225" s="911" t="s">
        <v>494</v>
      </c>
      <c r="J225" s="653" t="s">
        <v>11</v>
      </c>
      <c r="K225" s="653" t="s">
        <v>12</v>
      </c>
      <c r="L225" s="118">
        <v>59.945500000000003</v>
      </c>
      <c r="M225" s="243">
        <v>118</v>
      </c>
      <c r="N225" s="127">
        <v>0</v>
      </c>
      <c r="O225" s="127">
        <v>0</v>
      </c>
      <c r="P225" s="867" t="s">
        <v>500</v>
      </c>
      <c r="Q225" s="867" t="s">
        <v>500</v>
      </c>
      <c r="R225" s="473" t="s">
        <v>502</v>
      </c>
      <c r="S225" s="473" t="s">
        <v>13</v>
      </c>
      <c r="T225" s="473" t="s">
        <v>54</v>
      </c>
      <c r="U225" s="473" t="s">
        <v>11</v>
      </c>
    </row>
    <row r="226" spans="1:21" s="10" customFormat="1" ht="35.1" customHeight="1">
      <c r="A226" s="1462"/>
      <c r="B226" s="503"/>
      <c r="C226" s="912"/>
      <c r="D226" s="591"/>
      <c r="E226" s="592"/>
      <c r="F226" s="593"/>
      <c r="G226" s="912"/>
      <c r="H226" s="912"/>
      <c r="I226" s="912"/>
      <c r="J226" s="654"/>
      <c r="K226" s="654"/>
      <c r="L226" s="118">
        <v>59.990200000000002</v>
      </c>
      <c r="M226" s="243">
        <v>14</v>
      </c>
      <c r="N226" s="127">
        <v>0</v>
      </c>
      <c r="O226" s="127">
        <v>0</v>
      </c>
      <c r="P226" s="652"/>
      <c r="Q226" s="652"/>
      <c r="R226" s="474"/>
      <c r="S226" s="474"/>
      <c r="T226" s="474"/>
      <c r="U226" s="474"/>
    </row>
    <row r="227" spans="1:21" s="10" customFormat="1" ht="35.1" customHeight="1">
      <c r="A227" s="1462"/>
      <c r="B227" s="503"/>
      <c r="C227" s="912"/>
      <c r="D227" s="591"/>
      <c r="E227" s="592"/>
      <c r="F227" s="593"/>
      <c r="G227" s="912"/>
      <c r="H227" s="912"/>
      <c r="I227" s="912"/>
      <c r="J227" s="654"/>
      <c r="K227" s="654"/>
      <c r="L227" s="118">
        <v>74.993499999999997</v>
      </c>
      <c r="M227" s="243">
        <v>62</v>
      </c>
      <c r="N227" s="127">
        <v>8</v>
      </c>
      <c r="O227" s="127">
        <v>8</v>
      </c>
      <c r="P227" s="652"/>
      <c r="Q227" s="652"/>
      <c r="R227" s="474"/>
      <c r="S227" s="474"/>
      <c r="T227" s="474"/>
      <c r="U227" s="474"/>
    </row>
    <row r="228" spans="1:21" s="10" customFormat="1" ht="35.1" customHeight="1">
      <c r="A228" s="1462"/>
      <c r="B228" s="503"/>
      <c r="C228" s="912"/>
      <c r="D228" s="591"/>
      <c r="E228" s="592"/>
      <c r="F228" s="593"/>
      <c r="G228" s="912"/>
      <c r="H228" s="912"/>
      <c r="I228" s="912"/>
      <c r="J228" s="654"/>
      <c r="K228" s="654"/>
      <c r="L228" s="118">
        <v>84.992400000000004</v>
      </c>
      <c r="M228" s="243">
        <v>128</v>
      </c>
      <c r="N228" s="127">
        <v>1</v>
      </c>
      <c r="O228" s="127">
        <v>1</v>
      </c>
      <c r="P228" s="652"/>
      <c r="Q228" s="652"/>
      <c r="R228" s="474"/>
      <c r="S228" s="474"/>
      <c r="T228" s="474"/>
      <c r="U228" s="474"/>
    </row>
    <row r="229" spans="1:21" s="10" customFormat="1" ht="35.1" customHeight="1">
      <c r="A229" s="1462"/>
      <c r="B229" s="503"/>
      <c r="C229" s="912"/>
      <c r="D229" s="591"/>
      <c r="E229" s="592"/>
      <c r="F229" s="593"/>
      <c r="G229" s="912"/>
      <c r="H229" s="912"/>
      <c r="I229" s="912"/>
      <c r="J229" s="654"/>
      <c r="K229" s="654"/>
      <c r="L229" s="118">
        <v>84.988299999999995</v>
      </c>
      <c r="M229" s="243">
        <v>13</v>
      </c>
      <c r="N229" s="127">
        <v>9</v>
      </c>
      <c r="O229" s="127">
        <v>9</v>
      </c>
      <c r="P229" s="652"/>
      <c r="Q229" s="652"/>
      <c r="R229" s="474"/>
      <c r="S229" s="474"/>
      <c r="T229" s="474"/>
      <c r="U229" s="474"/>
    </row>
    <row r="230" spans="1:21" s="10" customFormat="1" ht="35.1" customHeight="1">
      <c r="A230" s="1462"/>
      <c r="B230" s="503"/>
      <c r="C230" s="912"/>
      <c r="D230" s="591"/>
      <c r="E230" s="592"/>
      <c r="F230" s="593"/>
      <c r="G230" s="913"/>
      <c r="H230" s="913"/>
      <c r="I230" s="913"/>
      <c r="J230" s="655"/>
      <c r="K230" s="655"/>
      <c r="L230" s="118">
        <v>84.916200000000003</v>
      </c>
      <c r="M230" s="243">
        <v>13</v>
      </c>
      <c r="N230" s="127">
        <v>10</v>
      </c>
      <c r="O230" s="127">
        <v>10</v>
      </c>
      <c r="P230" s="652"/>
      <c r="Q230" s="652"/>
      <c r="R230" s="474"/>
      <c r="S230" s="474"/>
      <c r="T230" s="474"/>
      <c r="U230" s="474"/>
    </row>
    <row r="231" spans="1:21" s="10" customFormat="1" ht="35.1" customHeight="1">
      <c r="A231" s="1462"/>
      <c r="B231" s="503"/>
      <c r="C231" s="913"/>
      <c r="D231" s="594"/>
      <c r="E231" s="595"/>
      <c r="F231" s="596"/>
      <c r="G231" s="490" t="s">
        <v>329</v>
      </c>
      <c r="H231" s="491"/>
      <c r="I231" s="491"/>
      <c r="J231" s="491"/>
      <c r="K231" s="492"/>
      <c r="L231" s="139"/>
      <c r="M231" s="249">
        <f>SUM(M225:M230)</f>
        <v>348</v>
      </c>
      <c r="N231" s="246">
        <f>SUM(N225:N230)</f>
        <v>28</v>
      </c>
      <c r="O231" s="246">
        <f>SUM(O225:O230)</f>
        <v>28</v>
      </c>
      <c r="P231" s="868"/>
      <c r="Q231" s="868"/>
      <c r="R231" s="475"/>
      <c r="S231" s="475"/>
      <c r="T231" s="475"/>
      <c r="U231" s="475"/>
    </row>
    <row r="232" spans="1:21" s="10" customFormat="1" ht="35.1" customHeight="1">
      <c r="A232" s="1462"/>
      <c r="B232" s="503"/>
      <c r="C232" s="911" t="s">
        <v>572</v>
      </c>
      <c r="D232" s="588" t="s">
        <v>608</v>
      </c>
      <c r="E232" s="589"/>
      <c r="F232" s="590"/>
      <c r="G232" s="639" t="s">
        <v>495</v>
      </c>
      <c r="H232" s="639" t="s">
        <v>496</v>
      </c>
      <c r="I232" s="639" t="s">
        <v>497</v>
      </c>
      <c r="J232" s="653" t="s">
        <v>11</v>
      </c>
      <c r="K232" s="653" t="s">
        <v>12</v>
      </c>
      <c r="L232" s="118">
        <v>84.83</v>
      </c>
      <c r="M232" s="221">
        <v>34</v>
      </c>
      <c r="N232" s="127">
        <v>30</v>
      </c>
      <c r="O232" s="127">
        <v>30</v>
      </c>
      <c r="P232" s="473" t="s">
        <v>499</v>
      </c>
      <c r="Q232" s="470" t="s">
        <v>501</v>
      </c>
      <c r="R232" s="473" t="s">
        <v>445</v>
      </c>
      <c r="S232" s="859" t="s">
        <v>188</v>
      </c>
      <c r="T232" s="473" t="s">
        <v>498</v>
      </c>
      <c r="U232" s="473" t="s">
        <v>581</v>
      </c>
    </row>
    <row r="233" spans="1:21" s="10" customFormat="1" ht="35.1" customHeight="1">
      <c r="A233" s="1462"/>
      <c r="B233" s="503"/>
      <c r="C233" s="912"/>
      <c r="D233" s="591"/>
      <c r="E233" s="592"/>
      <c r="F233" s="593"/>
      <c r="G233" s="640"/>
      <c r="H233" s="640"/>
      <c r="I233" s="640"/>
      <c r="J233" s="654"/>
      <c r="K233" s="654"/>
      <c r="L233" s="118">
        <v>84.730999999999995</v>
      </c>
      <c r="M233" s="221">
        <v>18</v>
      </c>
      <c r="N233" s="127">
        <v>13</v>
      </c>
      <c r="O233" s="127">
        <v>13</v>
      </c>
      <c r="P233" s="474"/>
      <c r="Q233" s="471"/>
      <c r="R233" s="474"/>
      <c r="S233" s="860"/>
      <c r="T233" s="474"/>
      <c r="U233" s="474"/>
    </row>
    <row r="234" spans="1:21" s="10" customFormat="1" ht="35.1" customHeight="1">
      <c r="A234" s="1462"/>
      <c r="B234" s="503"/>
      <c r="C234" s="912"/>
      <c r="D234" s="591"/>
      <c r="E234" s="592"/>
      <c r="F234" s="593"/>
      <c r="G234" s="640"/>
      <c r="H234" s="640"/>
      <c r="I234" s="640"/>
      <c r="J234" s="654"/>
      <c r="K234" s="654"/>
      <c r="L234" s="118">
        <v>84.694999999999993</v>
      </c>
      <c r="M234" s="221">
        <v>18</v>
      </c>
      <c r="N234" s="127">
        <v>2</v>
      </c>
      <c r="O234" s="127">
        <v>1</v>
      </c>
      <c r="P234" s="474"/>
      <c r="Q234" s="471"/>
      <c r="R234" s="474"/>
      <c r="S234" s="860"/>
      <c r="T234" s="474"/>
      <c r="U234" s="474"/>
    </row>
    <row r="235" spans="1:21" s="10" customFormat="1" ht="35.1" customHeight="1">
      <c r="A235" s="1462"/>
      <c r="B235" s="503"/>
      <c r="C235" s="912"/>
      <c r="D235" s="591"/>
      <c r="E235" s="592"/>
      <c r="F235" s="593"/>
      <c r="G235" s="640"/>
      <c r="H235" s="640"/>
      <c r="I235" s="640"/>
      <c r="J235" s="654"/>
      <c r="K235" s="654"/>
      <c r="L235" s="118">
        <v>84.626999999999995</v>
      </c>
      <c r="M235" s="221">
        <v>9</v>
      </c>
      <c r="N235" s="127">
        <v>5</v>
      </c>
      <c r="O235" s="127">
        <v>2</v>
      </c>
      <c r="P235" s="474"/>
      <c r="Q235" s="471"/>
      <c r="R235" s="474"/>
      <c r="S235" s="860"/>
      <c r="T235" s="474"/>
      <c r="U235" s="474"/>
    </row>
    <row r="236" spans="1:21" s="10" customFormat="1" ht="35.1" customHeight="1">
      <c r="A236" s="1462"/>
      <c r="B236" s="503"/>
      <c r="C236" s="912"/>
      <c r="D236" s="591"/>
      <c r="E236" s="592"/>
      <c r="F236" s="593"/>
      <c r="G236" s="640"/>
      <c r="H236" s="640"/>
      <c r="I236" s="640"/>
      <c r="J236" s="654"/>
      <c r="K236" s="654"/>
      <c r="L236" s="118">
        <v>84.694999999999993</v>
      </c>
      <c r="M236" s="221">
        <v>4</v>
      </c>
      <c r="N236" s="127">
        <v>0</v>
      </c>
      <c r="O236" s="127">
        <v>0</v>
      </c>
      <c r="P236" s="474"/>
      <c r="Q236" s="471"/>
      <c r="R236" s="474"/>
      <c r="S236" s="860"/>
      <c r="T236" s="474"/>
      <c r="U236" s="474"/>
    </row>
    <row r="237" spans="1:21" s="10" customFormat="1" ht="35.1" customHeight="1">
      <c r="A237" s="1462"/>
      <c r="B237" s="503"/>
      <c r="C237" s="912"/>
      <c r="D237" s="591"/>
      <c r="E237" s="592"/>
      <c r="F237" s="593"/>
      <c r="G237" s="640"/>
      <c r="H237" s="640"/>
      <c r="I237" s="640"/>
      <c r="J237" s="654"/>
      <c r="K237" s="654"/>
      <c r="L237" s="118">
        <v>84.626999999999995</v>
      </c>
      <c r="M237" s="221">
        <v>2</v>
      </c>
      <c r="N237" s="127">
        <v>0</v>
      </c>
      <c r="O237" s="127">
        <v>0</v>
      </c>
      <c r="P237" s="474"/>
      <c r="Q237" s="471"/>
      <c r="R237" s="474"/>
      <c r="S237" s="860"/>
      <c r="T237" s="474"/>
      <c r="U237" s="474"/>
    </row>
    <row r="238" spans="1:21" s="10" customFormat="1" ht="35.1" customHeight="1">
      <c r="A238" s="1462"/>
      <c r="B238" s="503"/>
      <c r="C238" s="912"/>
      <c r="D238" s="591"/>
      <c r="E238" s="592"/>
      <c r="F238" s="593"/>
      <c r="G238" s="641"/>
      <c r="H238" s="641"/>
      <c r="I238" s="641"/>
      <c r="J238" s="655"/>
      <c r="K238" s="655"/>
      <c r="L238" s="118">
        <v>84.664900000000003</v>
      </c>
      <c r="M238" s="221">
        <v>9</v>
      </c>
      <c r="N238" s="127">
        <v>9</v>
      </c>
      <c r="O238" s="127">
        <v>9</v>
      </c>
      <c r="P238" s="474"/>
      <c r="Q238" s="471"/>
      <c r="R238" s="474"/>
      <c r="S238" s="860"/>
      <c r="T238" s="474"/>
      <c r="U238" s="474"/>
    </row>
    <row r="239" spans="1:21" s="10" customFormat="1" ht="35.1" customHeight="1">
      <c r="A239" s="1462"/>
      <c r="B239" s="503"/>
      <c r="C239" s="913"/>
      <c r="D239" s="594"/>
      <c r="E239" s="595"/>
      <c r="F239" s="596"/>
      <c r="G239" s="490" t="s">
        <v>329</v>
      </c>
      <c r="H239" s="491"/>
      <c r="I239" s="491"/>
      <c r="J239" s="491"/>
      <c r="K239" s="492"/>
      <c r="L239" s="139"/>
      <c r="M239" s="249">
        <f>SUM(M232:M238)</f>
        <v>94</v>
      </c>
      <c r="N239" s="246">
        <f>SUM(N232:N238)</f>
        <v>59</v>
      </c>
      <c r="O239" s="246">
        <f>SUM(O232:O238)</f>
        <v>55</v>
      </c>
      <c r="P239" s="475"/>
      <c r="Q239" s="472"/>
      <c r="R239" s="475"/>
      <c r="S239" s="861"/>
      <c r="T239" s="475"/>
      <c r="U239" s="475"/>
    </row>
    <row r="240" spans="1:21" s="10" customFormat="1" ht="35.1" customHeight="1">
      <c r="A240" s="1462"/>
      <c r="B240" s="503"/>
      <c r="C240" s="911" t="s">
        <v>575</v>
      </c>
      <c r="D240" s="588" t="s">
        <v>588</v>
      </c>
      <c r="E240" s="589"/>
      <c r="F240" s="590"/>
      <c r="G240" s="911" t="s">
        <v>578</v>
      </c>
      <c r="H240" s="911" t="s">
        <v>579</v>
      </c>
      <c r="I240" s="639" t="s">
        <v>580</v>
      </c>
      <c r="J240" s="639" t="s">
        <v>587</v>
      </c>
      <c r="K240" s="653" t="s">
        <v>12</v>
      </c>
      <c r="L240" s="118">
        <v>59.998600000000003</v>
      </c>
      <c r="M240" s="221">
        <v>29</v>
      </c>
      <c r="N240" s="119">
        <v>0</v>
      </c>
      <c r="O240" s="119">
        <v>0</v>
      </c>
      <c r="P240" s="867" t="s">
        <v>586</v>
      </c>
      <c r="Q240" s="473" t="s">
        <v>585</v>
      </c>
      <c r="R240" s="473" t="s">
        <v>584</v>
      </c>
      <c r="S240" s="473" t="s">
        <v>583</v>
      </c>
      <c r="T240" s="473" t="s">
        <v>582</v>
      </c>
      <c r="U240" s="473" t="s">
        <v>581</v>
      </c>
    </row>
    <row r="241" spans="1:21" s="10" customFormat="1" ht="35.1" customHeight="1">
      <c r="A241" s="1462"/>
      <c r="B241" s="503"/>
      <c r="C241" s="912"/>
      <c r="D241" s="591"/>
      <c r="E241" s="592"/>
      <c r="F241" s="593"/>
      <c r="G241" s="912"/>
      <c r="H241" s="912"/>
      <c r="I241" s="640"/>
      <c r="J241" s="640"/>
      <c r="K241" s="654"/>
      <c r="L241" s="118">
        <v>59.998699999999999</v>
      </c>
      <c r="M241" s="221">
        <v>42</v>
      </c>
      <c r="N241" s="119">
        <v>0</v>
      </c>
      <c r="O241" s="119">
        <v>0</v>
      </c>
      <c r="P241" s="652"/>
      <c r="Q241" s="474"/>
      <c r="R241" s="474"/>
      <c r="S241" s="474"/>
      <c r="T241" s="474"/>
      <c r="U241" s="474"/>
    </row>
    <row r="242" spans="1:21" s="10" customFormat="1" ht="35.1" customHeight="1">
      <c r="A242" s="1462"/>
      <c r="B242" s="503"/>
      <c r="C242" s="912"/>
      <c r="D242" s="591"/>
      <c r="E242" s="592"/>
      <c r="F242" s="593"/>
      <c r="G242" s="912"/>
      <c r="H242" s="912"/>
      <c r="I242" s="640"/>
      <c r="J242" s="640"/>
      <c r="K242" s="654"/>
      <c r="L242" s="118">
        <v>74.998800000000003</v>
      </c>
      <c r="M242" s="221">
        <v>13</v>
      </c>
      <c r="N242" s="119">
        <v>0</v>
      </c>
      <c r="O242" s="119">
        <v>0</v>
      </c>
      <c r="P242" s="652"/>
      <c r="Q242" s="474"/>
      <c r="R242" s="474"/>
      <c r="S242" s="474"/>
      <c r="T242" s="474"/>
      <c r="U242" s="474"/>
    </row>
    <row r="243" spans="1:21" s="10" customFormat="1" ht="35.1" customHeight="1">
      <c r="A243" s="1462"/>
      <c r="B243" s="503"/>
      <c r="C243" s="912"/>
      <c r="D243" s="591"/>
      <c r="E243" s="592"/>
      <c r="F243" s="593"/>
      <c r="G243" s="912"/>
      <c r="H243" s="912"/>
      <c r="I243" s="640"/>
      <c r="J243" s="640"/>
      <c r="K243" s="654"/>
      <c r="L243" s="118">
        <v>74.991200000000006</v>
      </c>
      <c r="M243" s="221">
        <v>2</v>
      </c>
      <c r="N243" s="119">
        <v>0</v>
      </c>
      <c r="O243" s="119">
        <v>0</v>
      </c>
      <c r="P243" s="652"/>
      <c r="Q243" s="474"/>
      <c r="R243" s="474"/>
      <c r="S243" s="474"/>
      <c r="T243" s="474"/>
      <c r="U243" s="474"/>
    </row>
    <row r="244" spans="1:21" s="10" customFormat="1" ht="35.1" customHeight="1">
      <c r="A244" s="1462"/>
      <c r="B244" s="503"/>
      <c r="C244" s="912"/>
      <c r="D244" s="591"/>
      <c r="E244" s="592"/>
      <c r="F244" s="593"/>
      <c r="G244" s="912"/>
      <c r="H244" s="912"/>
      <c r="I244" s="640"/>
      <c r="J244" s="640"/>
      <c r="K244" s="654"/>
      <c r="L244" s="118">
        <v>84.994699999999995</v>
      </c>
      <c r="M244" s="221">
        <v>30</v>
      </c>
      <c r="N244" s="119">
        <v>0</v>
      </c>
      <c r="O244" s="119">
        <v>0</v>
      </c>
      <c r="P244" s="652"/>
      <c r="Q244" s="474"/>
      <c r="R244" s="474"/>
      <c r="S244" s="474"/>
      <c r="T244" s="474"/>
      <c r="U244" s="474"/>
    </row>
    <row r="245" spans="1:21" s="10" customFormat="1" ht="35.1" customHeight="1">
      <c r="A245" s="1462"/>
      <c r="B245" s="503"/>
      <c r="C245" s="912"/>
      <c r="D245" s="591"/>
      <c r="E245" s="592"/>
      <c r="F245" s="593"/>
      <c r="G245" s="912"/>
      <c r="H245" s="912"/>
      <c r="I245" s="640"/>
      <c r="J245" s="640"/>
      <c r="K245" s="654"/>
      <c r="L245" s="118">
        <v>84.995599999999996</v>
      </c>
      <c r="M245" s="221">
        <v>9</v>
      </c>
      <c r="N245" s="119">
        <v>0</v>
      </c>
      <c r="O245" s="119">
        <v>0</v>
      </c>
      <c r="P245" s="652"/>
      <c r="Q245" s="474"/>
      <c r="R245" s="474"/>
      <c r="S245" s="474"/>
      <c r="T245" s="474"/>
      <c r="U245" s="474"/>
    </row>
    <row r="246" spans="1:21" s="10" customFormat="1" ht="35.1" customHeight="1">
      <c r="A246" s="1462"/>
      <c r="B246" s="503"/>
      <c r="C246" s="912"/>
      <c r="D246" s="591"/>
      <c r="E246" s="592"/>
      <c r="F246" s="593"/>
      <c r="G246" s="913"/>
      <c r="H246" s="913"/>
      <c r="I246" s="641"/>
      <c r="J246" s="641"/>
      <c r="K246" s="655"/>
      <c r="L246" s="118">
        <v>84.998699999999999</v>
      </c>
      <c r="M246" s="221">
        <v>9</v>
      </c>
      <c r="N246" s="119">
        <v>0</v>
      </c>
      <c r="O246" s="119">
        <v>0</v>
      </c>
      <c r="P246" s="652"/>
      <c r="Q246" s="474"/>
      <c r="R246" s="474"/>
      <c r="S246" s="474"/>
      <c r="T246" s="474"/>
      <c r="U246" s="474"/>
    </row>
    <row r="247" spans="1:21" s="10" customFormat="1" ht="35.1" customHeight="1">
      <c r="A247" s="1462"/>
      <c r="B247" s="503"/>
      <c r="C247" s="913"/>
      <c r="D247" s="594"/>
      <c r="E247" s="595"/>
      <c r="F247" s="596"/>
      <c r="G247" s="490" t="s">
        <v>329</v>
      </c>
      <c r="H247" s="491"/>
      <c r="I247" s="491"/>
      <c r="J247" s="491"/>
      <c r="K247" s="492"/>
      <c r="L247" s="139"/>
      <c r="M247" s="249">
        <f>SUM(M240:M246)</f>
        <v>134</v>
      </c>
      <c r="N247" s="246">
        <f>SUM(N240:N246)</f>
        <v>0</v>
      </c>
      <c r="O247" s="246">
        <f>SUM(O240:O246)</f>
        <v>0</v>
      </c>
      <c r="P247" s="868"/>
      <c r="Q247" s="475"/>
      <c r="R247" s="475"/>
      <c r="S247" s="475"/>
      <c r="T247" s="475"/>
      <c r="U247" s="475"/>
    </row>
    <row r="248" spans="1:21" s="10" customFormat="1" ht="35.1" customHeight="1">
      <c r="A248" s="1462"/>
      <c r="B248" s="503"/>
      <c r="C248" s="911" t="s">
        <v>575</v>
      </c>
      <c r="D248" s="690" t="s">
        <v>1101</v>
      </c>
      <c r="E248" s="691"/>
      <c r="F248" s="692"/>
      <c r="G248" s="911" t="s">
        <v>830</v>
      </c>
      <c r="H248" s="911" t="s">
        <v>1104</v>
      </c>
      <c r="I248" s="639" t="s">
        <v>1105</v>
      </c>
      <c r="J248" s="639" t="s">
        <v>11</v>
      </c>
      <c r="K248" s="639" t="s">
        <v>12</v>
      </c>
      <c r="L248" s="118" t="s">
        <v>370</v>
      </c>
      <c r="M248" s="221">
        <v>100</v>
      </c>
      <c r="N248" s="221">
        <v>0</v>
      </c>
      <c r="O248" s="221">
        <v>0</v>
      </c>
      <c r="P248" s="867" t="s">
        <v>1106</v>
      </c>
      <c r="Q248" s="473" t="s">
        <v>1108</v>
      </c>
      <c r="R248" s="473" t="s">
        <v>1107</v>
      </c>
      <c r="S248" s="867" t="s">
        <v>13</v>
      </c>
      <c r="T248" s="867" t="s">
        <v>1102</v>
      </c>
      <c r="U248" s="867" t="s">
        <v>11</v>
      </c>
    </row>
    <row r="249" spans="1:21" s="10" customFormat="1" ht="35.1" customHeight="1">
      <c r="A249" s="1462"/>
      <c r="B249" s="503"/>
      <c r="C249" s="912"/>
      <c r="D249" s="693"/>
      <c r="E249" s="694"/>
      <c r="F249" s="695"/>
      <c r="G249" s="912"/>
      <c r="H249" s="912"/>
      <c r="I249" s="640"/>
      <c r="J249" s="640"/>
      <c r="K249" s="640"/>
      <c r="L249" s="118" t="s">
        <v>84</v>
      </c>
      <c r="M249" s="221">
        <v>481</v>
      </c>
      <c r="N249" s="221">
        <v>0</v>
      </c>
      <c r="O249" s="221">
        <v>0</v>
      </c>
      <c r="P249" s="652"/>
      <c r="Q249" s="474"/>
      <c r="R249" s="474"/>
      <c r="S249" s="652"/>
      <c r="T249" s="652"/>
      <c r="U249" s="652"/>
    </row>
    <row r="250" spans="1:21" s="10" customFormat="1" ht="35.1" customHeight="1">
      <c r="A250" s="1462"/>
      <c r="B250" s="503"/>
      <c r="C250" s="912"/>
      <c r="D250" s="693"/>
      <c r="E250" s="694"/>
      <c r="F250" s="695"/>
      <c r="G250" s="912"/>
      <c r="H250" s="912"/>
      <c r="I250" s="640"/>
      <c r="J250" s="640"/>
      <c r="K250" s="640"/>
      <c r="L250" s="118" t="s">
        <v>83</v>
      </c>
      <c r="M250" s="221">
        <v>187</v>
      </c>
      <c r="N250" s="221">
        <v>0</v>
      </c>
      <c r="O250" s="221">
        <v>0</v>
      </c>
      <c r="P250" s="652"/>
      <c r="Q250" s="474"/>
      <c r="R250" s="474"/>
      <c r="S250" s="652"/>
      <c r="T250" s="652"/>
      <c r="U250" s="652"/>
    </row>
    <row r="251" spans="1:21" s="10" customFormat="1" ht="35.1" customHeight="1">
      <c r="A251" s="1462"/>
      <c r="B251" s="503"/>
      <c r="C251" s="912"/>
      <c r="D251" s="693"/>
      <c r="E251" s="694"/>
      <c r="F251" s="695"/>
      <c r="G251" s="912"/>
      <c r="H251" s="912"/>
      <c r="I251" s="640"/>
      <c r="J251" s="640"/>
      <c r="K251" s="640"/>
      <c r="L251" s="118" t="s">
        <v>1103</v>
      </c>
      <c r="M251" s="221">
        <v>92</v>
      </c>
      <c r="N251" s="221">
        <v>0</v>
      </c>
      <c r="O251" s="221">
        <v>0</v>
      </c>
      <c r="P251" s="652"/>
      <c r="Q251" s="474"/>
      <c r="R251" s="474"/>
      <c r="S251" s="652"/>
      <c r="T251" s="652"/>
      <c r="U251" s="652"/>
    </row>
    <row r="252" spans="1:21" s="10" customFormat="1" ht="35.1" customHeight="1">
      <c r="A252" s="1462"/>
      <c r="B252" s="503"/>
      <c r="C252" s="912"/>
      <c r="D252" s="696"/>
      <c r="E252" s="697"/>
      <c r="F252" s="698"/>
      <c r="G252" s="490" t="s">
        <v>329</v>
      </c>
      <c r="H252" s="491"/>
      <c r="I252" s="491"/>
      <c r="J252" s="491"/>
      <c r="K252" s="492"/>
      <c r="L252" s="139"/>
      <c r="M252" s="249">
        <f>SUM(M248:M251)</f>
        <v>860</v>
      </c>
      <c r="N252" s="249">
        <f t="shared" ref="N252:O252" si="7">SUM(N248:N251)</f>
        <v>0</v>
      </c>
      <c r="O252" s="249">
        <f t="shared" si="7"/>
        <v>0</v>
      </c>
      <c r="P252" s="652"/>
      <c r="Q252" s="474"/>
      <c r="R252" s="474"/>
      <c r="S252" s="652"/>
      <c r="T252" s="652"/>
      <c r="U252" s="652"/>
    </row>
    <row r="253" spans="1:21" s="10" customFormat="1" ht="35.1" customHeight="1">
      <c r="A253" s="1462"/>
      <c r="B253" s="503"/>
      <c r="C253" s="1534" t="s">
        <v>1152</v>
      </c>
      <c r="D253" s="678" t="s">
        <v>1146</v>
      </c>
      <c r="E253" s="679"/>
      <c r="F253" s="680"/>
      <c r="G253" s="1285" t="s">
        <v>1147</v>
      </c>
      <c r="H253" s="1286"/>
      <c r="I253" s="1286"/>
      <c r="J253" s="1286"/>
      <c r="K253" s="1287"/>
      <c r="L253" s="118" t="s">
        <v>85</v>
      </c>
      <c r="M253" s="221">
        <v>74</v>
      </c>
      <c r="N253" s="221">
        <v>55</v>
      </c>
      <c r="O253" s="221">
        <v>67</v>
      </c>
      <c r="P253" s="687" t="s">
        <v>1148</v>
      </c>
      <c r="Q253" s="687" t="s">
        <v>1149</v>
      </c>
      <c r="R253" s="687" t="s">
        <v>1150</v>
      </c>
      <c r="S253" s="687" t="s">
        <v>13</v>
      </c>
      <c r="T253" s="687" t="s">
        <v>1151</v>
      </c>
      <c r="U253" s="687" t="s">
        <v>11</v>
      </c>
    </row>
    <row r="254" spans="1:21" s="10" customFormat="1" ht="35.1" customHeight="1">
      <c r="A254" s="1462"/>
      <c r="B254" s="503"/>
      <c r="C254" s="1535"/>
      <c r="D254" s="681"/>
      <c r="E254" s="682"/>
      <c r="F254" s="683"/>
      <c r="G254" s="1288"/>
      <c r="H254" s="1289"/>
      <c r="I254" s="1289"/>
      <c r="J254" s="1289"/>
      <c r="K254" s="1290"/>
      <c r="L254" s="118" t="s">
        <v>370</v>
      </c>
      <c r="M254" s="221">
        <v>129</v>
      </c>
      <c r="N254" s="221">
        <v>32</v>
      </c>
      <c r="O254" s="221">
        <v>38</v>
      </c>
      <c r="P254" s="688"/>
      <c r="Q254" s="688"/>
      <c r="R254" s="688"/>
      <c r="S254" s="688"/>
      <c r="T254" s="688"/>
      <c r="U254" s="688"/>
    </row>
    <row r="255" spans="1:21" s="10" customFormat="1" ht="35.1" customHeight="1">
      <c r="A255" s="1462"/>
      <c r="B255" s="503"/>
      <c r="C255" s="1535"/>
      <c r="D255" s="681"/>
      <c r="E255" s="682"/>
      <c r="F255" s="683"/>
      <c r="G255" s="1288"/>
      <c r="H255" s="1289"/>
      <c r="I255" s="1289"/>
      <c r="J255" s="1289"/>
      <c r="K255" s="1290"/>
      <c r="L255" s="118" t="s">
        <v>371</v>
      </c>
      <c r="M255" s="221">
        <v>41</v>
      </c>
      <c r="N255" s="221">
        <v>1</v>
      </c>
      <c r="O255" s="221">
        <v>1</v>
      </c>
      <c r="P255" s="688"/>
      <c r="Q255" s="688"/>
      <c r="R255" s="688"/>
      <c r="S255" s="688"/>
      <c r="T255" s="688"/>
      <c r="U255" s="688"/>
    </row>
    <row r="256" spans="1:21" s="10" customFormat="1" ht="35.1" customHeight="1">
      <c r="A256" s="1462"/>
      <c r="B256" s="503"/>
      <c r="C256" s="1535"/>
      <c r="D256" s="681"/>
      <c r="E256" s="682"/>
      <c r="F256" s="683"/>
      <c r="G256" s="1288"/>
      <c r="H256" s="1289"/>
      <c r="I256" s="1289"/>
      <c r="J256" s="1289"/>
      <c r="K256" s="1290"/>
      <c r="L256" s="118" t="s">
        <v>84</v>
      </c>
      <c r="M256" s="221">
        <v>70</v>
      </c>
      <c r="N256" s="221">
        <v>23</v>
      </c>
      <c r="O256" s="221">
        <v>35</v>
      </c>
      <c r="P256" s="688"/>
      <c r="Q256" s="688"/>
      <c r="R256" s="688"/>
      <c r="S256" s="688"/>
      <c r="T256" s="688"/>
      <c r="U256" s="688"/>
    </row>
    <row r="257" spans="1:21" s="10" customFormat="1" ht="35.1" customHeight="1">
      <c r="A257" s="1462"/>
      <c r="B257" s="503"/>
      <c r="C257" s="1535"/>
      <c r="D257" s="681"/>
      <c r="E257" s="682"/>
      <c r="F257" s="683"/>
      <c r="G257" s="1291"/>
      <c r="H257" s="1292"/>
      <c r="I257" s="1292"/>
      <c r="J257" s="1292"/>
      <c r="K257" s="1293"/>
      <c r="L257" s="118" t="s">
        <v>83</v>
      </c>
      <c r="M257" s="221">
        <v>36</v>
      </c>
      <c r="N257" s="221">
        <v>0</v>
      </c>
      <c r="O257" s="221">
        <v>0</v>
      </c>
      <c r="P257" s="688"/>
      <c r="Q257" s="688"/>
      <c r="R257" s="688"/>
      <c r="S257" s="688"/>
      <c r="T257" s="688"/>
      <c r="U257" s="688"/>
    </row>
    <row r="258" spans="1:21" s="10" customFormat="1" ht="35.1" customHeight="1">
      <c r="A258" s="1462"/>
      <c r="B258" s="503"/>
      <c r="C258" s="1536"/>
      <c r="D258" s="684"/>
      <c r="E258" s="685"/>
      <c r="F258" s="686"/>
      <c r="G258" s="490" t="s">
        <v>329</v>
      </c>
      <c r="H258" s="491"/>
      <c r="I258" s="491"/>
      <c r="J258" s="491"/>
      <c r="K258" s="492"/>
      <c r="L258" s="139"/>
      <c r="M258" s="249">
        <f>SUM(M253:M257)</f>
        <v>350</v>
      </c>
      <c r="N258" s="249">
        <f t="shared" ref="N258" si="8">SUM(N253:N257)</f>
        <v>111</v>
      </c>
      <c r="O258" s="249">
        <f t="shared" ref="O258" si="9">SUM(O253:O257)</f>
        <v>141</v>
      </c>
      <c r="P258" s="689"/>
      <c r="Q258" s="689"/>
      <c r="R258" s="689"/>
      <c r="S258" s="689"/>
      <c r="T258" s="689"/>
      <c r="U258" s="689"/>
    </row>
    <row r="259" spans="1:21" s="10" customFormat="1" ht="35.1" customHeight="1">
      <c r="A259" s="1462"/>
      <c r="B259" s="503"/>
      <c r="C259" s="911" t="s">
        <v>575</v>
      </c>
      <c r="D259" s="690" t="s">
        <v>1109</v>
      </c>
      <c r="E259" s="691"/>
      <c r="F259" s="692"/>
      <c r="G259" s="690" t="s">
        <v>1147</v>
      </c>
      <c r="H259" s="691"/>
      <c r="I259" s="691"/>
      <c r="J259" s="691"/>
      <c r="K259" s="692"/>
      <c r="L259" s="118" t="s">
        <v>85</v>
      </c>
      <c r="M259" s="221">
        <v>187</v>
      </c>
      <c r="N259" s="221">
        <v>1</v>
      </c>
      <c r="O259" s="221">
        <v>1</v>
      </c>
      <c r="P259" s="651" t="s">
        <v>887</v>
      </c>
      <c r="Q259" s="651" t="s">
        <v>1111</v>
      </c>
      <c r="R259" s="651" t="s">
        <v>1112</v>
      </c>
      <c r="S259" s="867" t="s">
        <v>13</v>
      </c>
      <c r="T259" s="867" t="s">
        <v>1110</v>
      </c>
      <c r="U259" s="867" t="s">
        <v>11</v>
      </c>
    </row>
    <row r="260" spans="1:21" s="10" customFormat="1" ht="35.1" customHeight="1">
      <c r="A260" s="1462"/>
      <c r="B260" s="503"/>
      <c r="C260" s="912"/>
      <c r="D260" s="693"/>
      <c r="E260" s="694"/>
      <c r="F260" s="695"/>
      <c r="G260" s="693"/>
      <c r="H260" s="694"/>
      <c r="I260" s="694"/>
      <c r="J260" s="694"/>
      <c r="K260" s="695"/>
      <c r="L260" s="118" t="s">
        <v>103</v>
      </c>
      <c r="M260" s="221">
        <v>79</v>
      </c>
      <c r="N260" s="221">
        <v>11</v>
      </c>
      <c r="O260" s="221">
        <v>11</v>
      </c>
      <c r="P260" s="652"/>
      <c r="Q260" s="652"/>
      <c r="R260" s="652"/>
      <c r="S260" s="652"/>
      <c r="T260" s="652"/>
      <c r="U260" s="652"/>
    </row>
    <row r="261" spans="1:21" s="10" customFormat="1" ht="35.1" customHeight="1">
      <c r="A261" s="1462"/>
      <c r="B261" s="503"/>
      <c r="C261" s="912"/>
      <c r="D261" s="693"/>
      <c r="E261" s="694"/>
      <c r="F261" s="695"/>
      <c r="G261" s="693"/>
      <c r="H261" s="694"/>
      <c r="I261" s="694"/>
      <c r="J261" s="694"/>
      <c r="K261" s="695"/>
      <c r="L261" s="118" t="s">
        <v>526</v>
      </c>
      <c r="M261" s="221">
        <v>63</v>
      </c>
      <c r="N261" s="221">
        <v>6</v>
      </c>
      <c r="O261" s="221">
        <v>6</v>
      </c>
      <c r="P261" s="652"/>
      <c r="Q261" s="652"/>
      <c r="R261" s="652"/>
      <c r="S261" s="652"/>
      <c r="T261" s="652"/>
      <c r="U261" s="652"/>
    </row>
    <row r="262" spans="1:21" s="10" customFormat="1" ht="35.1" customHeight="1">
      <c r="A262" s="1462"/>
      <c r="B262" s="503"/>
      <c r="C262" s="912"/>
      <c r="D262" s="693"/>
      <c r="E262" s="694"/>
      <c r="F262" s="695"/>
      <c r="G262" s="693"/>
      <c r="H262" s="694"/>
      <c r="I262" s="694"/>
      <c r="J262" s="694"/>
      <c r="K262" s="695"/>
      <c r="L262" s="118">
        <v>69</v>
      </c>
      <c r="M262" s="221">
        <v>114</v>
      </c>
      <c r="N262" s="221">
        <v>30</v>
      </c>
      <c r="O262" s="221">
        <v>30</v>
      </c>
      <c r="P262" s="652"/>
      <c r="Q262" s="652"/>
      <c r="R262" s="652"/>
      <c r="S262" s="652"/>
      <c r="T262" s="652"/>
      <c r="U262" s="652"/>
    </row>
    <row r="263" spans="1:21" s="10" customFormat="1" ht="35.1" customHeight="1">
      <c r="A263" s="1462"/>
      <c r="B263" s="503"/>
      <c r="C263" s="912"/>
      <c r="D263" s="693"/>
      <c r="E263" s="694"/>
      <c r="F263" s="695"/>
      <c r="G263" s="693"/>
      <c r="H263" s="694"/>
      <c r="I263" s="694"/>
      <c r="J263" s="694"/>
      <c r="K263" s="695"/>
      <c r="L263" s="118" t="s">
        <v>94</v>
      </c>
      <c r="M263" s="221">
        <v>36</v>
      </c>
      <c r="N263" s="221">
        <v>2</v>
      </c>
      <c r="O263" s="221">
        <v>2</v>
      </c>
      <c r="P263" s="652"/>
      <c r="Q263" s="652"/>
      <c r="R263" s="652"/>
      <c r="S263" s="652"/>
      <c r="T263" s="652"/>
      <c r="U263" s="652"/>
    </row>
    <row r="264" spans="1:21" s="10" customFormat="1" ht="35.1" customHeight="1">
      <c r="A264" s="1462"/>
      <c r="B264" s="503"/>
      <c r="C264" s="912"/>
      <c r="D264" s="693"/>
      <c r="E264" s="694"/>
      <c r="F264" s="695"/>
      <c r="G264" s="693"/>
      <c r="H264" s="694"/>
      <c r="I264" s="694"/>
      <c r="J264" s="694"/>
      <c r="K264" s="695"/>
      <c r="L264" s="118" t="s">
        <v>93</v>
      </c>
      <c r="M264" s="221">
        <v>46</v>
      </c>
      <c r="N264" s="221">
        <v>29</v>
      </c>
      <c r="O264" s="221">
        <v>27</v>
      </c>
      <c r="P264" s="652"/>
      <c r="Q264" s="652"/>
      <c r="R264" s="652"/>
      <c r="S264" s="652"/>
      <c r="T264" s="652"/>
      <c r="U264" s="652"/>
    </row>
    <row r="265" spans="1:21" s="10" customFormat="1" ht="35.1" customHeight="1">
      <c r="A265" s="1462"/>
      <c r="B265" s="503"/>
      <c r="C265" s="912"/>
      <c r="D265" s="693"/>
      <c r="E265" s="694"/>
      <c r="F265" s="695"/>
      <c r="G265" s="693"/>
      <c r="H265" s="694"/>
      <c r="I265" s="694"/>
      <c r="J265" s="694"/>
      <c r="K265" s="695"/>
      <c r="L265" s="118" t="s">
        <v>84</v>
      </c>
      <c r="M265" s="221">
        <v>58</v>
      </c>
      <c r="N265" s="221">
        <v>25</v>
      </c>
      <c r="O265" s="221">
        <v>25</v>
      </c>
      <c r="P265" s="652"/>
      <c r="Q265" s="652"/>
      <c r="R265" s="652"/>
      <c r="S265" s="652"/>
      <c r="T265" s="652"/>
      <c r="U265" s="652"/>
    </row>
    <row r="266" spans="1:21" s="10" customFormat="1" ht="35.1" customHeight="1">
      <c r="A266" s="1462"/>
      <c r="B266" s="503"/>
      <c r="C266" s="912"/>
      <c r="D266" s="693"/>
      <c r="E266" s="694"/>
      <c r="F266" s="695"/>
      <c r="G266" s="696"/>
      <c r="H266" s="697"/>
      <c r="I266" s="697"/>
      <c r="J266" s="697"/>
      <c r="K266" s="698"/>
      <c r="L266" s="118" t="s">
        <v>83</v>
      </c>
      <c r="M266" s="221">
        <v>46</v>
      </c>
      <c r="N266" s="221">
        <v>35</v>
      </c>
      <c r="O266" s="221">
        <v>34</v>
      </c>
      <c r="P266" s="652"/>
      <c r="Q266" s="652"/>
      <c r="R266" s="652"/>
      <c r="S266" s="652"/>
      <c r="T266" s="652"/>
      <c r="U266" s="652"/>
    </row>
    <row r="267" spans="1:21" s="10" customFormat="1" ht="35.1" customHeight="1">
      <c r="A267" s="1462"/>
      <c r="B267" s="503"/>
      <c r="C267" s="913"/>
      <c r="D267" s="696"/>
      <c r="E267" s="697"/>
      <c r="F267" s="698"/>
      <c r="G267" s="490" t="s">
        <v>329</v>
      </c>
      <c r="H267" s="491"/>
      <c r="I267" s="491"/>
      <c r="J267" s="491"/>
      <c r="K267" s="492"/>
      <c r="L267" s="139"/>
      <c r="M267" s="249">
        <f>SUM(M259:M266)</f>
        <v>629</v>
      </c>
      <c r="N267" s="249">
        <f t="shared" ref="N267:O267" si="10">SUM(N259:N266)</f>
        <v>139</v>
      </c>
      <c r="O267" s="249">
        <f t="shared" si="10"/>
        <v>136</v>
      </c>
      <c r="P267" s="868"/>
      <c r="Q267" s="868"/>
      <c r="R267" s="868"/>
      <c r="S267" s="868"/>
      <c r="T267" s="868"/>
      <c r="U267" s="868"/>
    </row>
    <row r="268" spans="1:21" s="10" customFormat="1" ht="35.1" customHeight="1">
      <c r="A268" s="1462"/>
      <c r="B268" s="503"/>
      <c r="C268" s="911" t="s">
        <v>1158</v>
      </c>
      <c r="D268" s="690" t="s">
        <v>1159</v>
      </c>
      <c r="E268" s="691"/>
      <c r="F268" s="692"/>
      <c r="G268" s="911" t="s">
        <v>1160</v>
      </c>
      <c r="H268" s="911" t="s">
        <v>1161</v>
      </c>
      <c r="I268" s="911" t="s">
        <v>1162</v>
      </c>
      <c r="J268" s="911" t="s">
        <v>11</v>
      </c>
      <c r="K268" s="911" t="s">
        <v>12</v>
      </c>
      <c r="L268" s="118" t="s">
        <v>103</v>
      </c>
      <c r="M268" s="221">
        <v>1</v>
      </c>
      <c r="N268" s="221"/>
      <c r="O268" s="221">
        <v>1</v>
      </c>
      <c r="P268" s="651" t="s">
        <v>1163</v>
      </c>
      <c r="Q268" s="651" t="s">
        <v>1164</v>
      </c>
      <c r="R268" s="651" t="s">
        <v>1165</v>
      </c>
      <c r="S268" s="651" t="s">
        <v>13</v>
      </c>
      <c r="T268" s="651" t="s">
        <v>1166</v>
      </c>
      <c r="U268" s="651" t="s">
        <v>11</v>
      </c>
    </row>
    <row r="269" spans="1:21" s="10" customFormat="1" ht="35.1" customHeight="1">
      <c r="A269" s="1462"/>
      <c r="B269" s="503"/>
      <c r="C269" s="912"/>
      <c r="D269" s="693"/>
      <c r="E269" s="694"/>
      <c r="F269" s="695"/>
      <c r="G269" s="912"/>
      <c r="H269" s="912"/>
      <c r="I269" s="912"/>
      <c r="J269" s="912"/>
      <c r="K269" s="912"/>
      <c r="L269" s="118" t="s">
        <v>94</v>
      </c>
      <c r="M269" s="221">
        <v>2</v>
      </c>
      <c r="N269" s="221"/>
      <c r="O269" s="221">
        <v>2</v>
      </c>
      <c r="P269" s="652"/>
      <c r="Q269" s="652"/>
      <c r="R269" s="652"/>
      <c r="S269" s="652"/>
      <c r="T269" s="652"/>
      <c r="U269" s="652"/>
    </row>
    <row r="270" spans="1:21" s="10" customFormat="1" ht="35.1" customHeight="1">
      <c r="A270" s="1462"/>
      <c r="B270" s="503"/>
      <c r="C270" s="912"/>
      <c r="D270" s="693"/>
      <c r="E270" s="694"/>
      <c r="F270" s="695"/>
      <c r="G270" s="912"/>
      <c r="H270" s="912"/>
      <c r="I270" s="912"/>
      <c r="J270" s="912"/>
      <c r="K270" s="912"/>
      <c r="L270" s="118" t="s">
        <v>84</v>
      </c>
      <c r="M270" s="221">
        <v>1</v>
      </c>
      <c r="N270" s="221"/>
      <c r="O270" s="221">
        <v>0</v>
      </c>
      <c r="P270" s="652"/>
      <c r="Q270" s="652"/>
      <c r="R270" s="652"/>
      <c r="S270" s="652"/>
      <c r="T270" s="652"/>
      <c r="U270" s="652"/>
    </row>
    <row r="271" spans="1:21" s="10" customFormat="1" ht="35.1" customHeight="1">
      <c r="A271" s="1462"/>
      <c r="B271" s="503"/>
      <c r="C271" s="912"/>
      <c r="D271" s="693"/>
      <c r="E271" s="694"/>
      <c r="F271" s="695"/>
      <c r="G271" s="912"/>
      <c r="H271" s="912"/>
      <c r="I271" s="912"/>
      <c r="J271" s="912"/>
      <c r="K271" s="912"/>
      <c r="L271" s="118" t="s">
        <v>83</v>
      </c>
      <c r="M271" s="221">
        <v>1</v>
      </c>
      <c r="N271" s="221"/>
      <c r="O271" s="221">
        <v>1</v>
      </c>
      <c r="P271" s="652"/>
      <c r="Q271" s="652"/>
      <c r="R271" s="652"/>
      <c r="S271" s="652"/>
      <c r="T271" s="652"/>
      <c r="U271" s="652"/>
    </row>
    <row r="272" spans="1:21" s="10" customFormat="1" ht="35.1" customHeight="1">
      <c r="A272" s="1462"/>
      <c r="B272" s="504"/>
      <c r="C272" s="912"/>
      <c r="D272" s="696"/>
      <c r="E272" s="697"/>
      <c r="F272" s="698"/>
      <c r="G272" s="490" t="s">
        <v>329</v>
      </c>
      <c r="H272" s="491"/>
      <c r="I272" s="491"/>
      <c r="J272" s="491"/>
      <c r="K272" s="492"/>
      <c r="L272" s="139"/>
      <c r="M272" s="249">
        <f>SUM(M268:M271)</f>
        <v>5</v>
      </c>
      <c r="N272" s="249">
        <f t="shared" ref="N272:O272" si="11">SUM(N268:N271)</f>
        <v>0</v>
      </c>
      <c r="O272" s="249">
        <f t="shared" si="11"/>
        <v>4</v>
      </c>
      <c r="P272" s="652"/>
      <c r="Q272" s="652"/>
      <c r="R272" s="652"/>
      <c r="S272" s="652"/>
      <c r="T272" s="652"/>
      <c r="U272" s="652"/>
    </row>
    <row r="273" spans="1:21" s="10" customFormat="1" ht="35.1" customHeight="1">
      <c r="A273" s="1462"/>
      <c r="B273" s="777" t="s">
        <v>105</v>
      </c>
      <c r="C273" s="778"/>
      <c r="D273" s="778"/>
      <c r="E273" s="778"/>
      <c r="F273" s="778"/>
      <c r="G273" s="778"/>
      <c r="H273" s="778"/>
      <c r="I273" s="778"/>
      <c r="J273" s="778"/>
      <c r="K273" s="779"/>
      <c r="L273" s="122"/>
      <c r="M273" s="399">
        <f>M247+M239+M231+M224+M201+M190+M186+M178+M173+M167+M252+M258+M267</f>
        <v>5482</v>
      </c>
      <c r="N273" s="399">
        <f>N247+N239+N231+N224+N201+N190+N186+N178+N173+N167+N252+N258+N267+N272</f>
        <v>667</v>
      </c>
      <c r="O273" s="399">
        <f>O247+O239+O231+O224+O201+O190+O186+O178+O173+O167+O252+O258+O267+O272</f>
        <v>692</v>
      </c>
      <c r="P273" s="155"/>
      <c r="Q273" s="155"/>
      <c r="R273" s="155"/>
      <c r="S273" s="156"/>
      <c r="T273" s="125"/>
      <c r="U273" s="156"/>
    </row>
    <row r="274" spans="1:21" s="11" customFormat="1" ht="35.1" customHeight="1">
      <c r="A274" s="1462"/>
      <c r="B274" s="597" t="s">
        <v>102</v>
      </c>
      <c r="C274" s="940" t="s">
        <v>100</v>
      </c>
      <c r="D274" s="543" t="s">
        <v>603</v>
      </c>
      <c r="E274" s="544"/>
      <c r="F274" s="545"/>
      <c r="G274" s="639" t="s">
        <v>278</v>
      </c>
      <c r="H274" s="639" t="s">
        <v>278</v>
      </c>
      <c r="I274" s="639" t="s">
        <v>279</v>
      </c>
      <c r="J274" s="940" t="s">
        <v>11</v>
      </c>
      <c r="K274" s="940" t="s">
        <v>66</v>
      </c>
      <c r="L274" s="805">
        <v>148</v>
      </c>
      <c r="M274" s="1564">
        <v>390</v>
      </c>
      <c r="N274" s="1320">
        <v>99</v>
      </c>
      <c r="O274" s="1320">
        <v>99</v>
      </c>
      <c r="P274" s="1531" t="s">
        <v>438</v>
      </c>
      <c r="Q274" s="1531" t="s">
        <v>439</v>
      </c>
      <c r="R274" s="1531" t="s">
        <v>440</v>
      </c>
      <c r="S274" s="1001" t="s">
        <v>57</v>
      </c>
      <c r="T274" s="1405" t="s">
        <v>101</v>
      </c>
      <c r="U274" s="805" t="s">
        <v>11</v>
      </c>
    </row>
    <row r="275" spans="1:21" s="11" customFormat="1" ht="35.1" customHeight="1">
      <c r="A275" s="1462"/>
      <c r="B275" s="503"/>
      <c r="C275" s="941"/>
      <c r="D275" s="546"/>
      <c r="E275" s="547"/>
      <c r="F275" s="548"/>
      <c r="G275" s="640"/>
      <c r="H275" s="640"/>
      <c r="I275" s="640"/>
      <c r="J275" s="941"/>
      <c r="K275" s="941"/>
      <c r="L275" s="806"/>
      <c r="M275" s="1565"/>
      <c r="N275" s="1321"/>
      <c r="O275" s="1321"/>
      <c r="P275" s="1532"/>
      <c r="Q275" s="1532"/>
      <c r="R275" s="1532"/>
      <c r="S275" s="1002"/>
      <c r="T275" s="1406"/>
      <c r="U275" s="806"/>
    </row>
    <row r="276" spans="1:21" s="11" customFormat="1" ht="35.1" customHeight="1">
      <c r="A276" s="1462"/>
      <c r="B276" s="503"/>
      <c r="C276" s="941"/>
      <c r="D276" s="546"/>
      <c r="E276" s="547"/>
      <c r="F276" s="548"/>
      <c r="G276" s="641"/>
      <c r="H276" s="641"/>
      <c r="I276" s="641"/>
      <c r="J276" s="942"/>
      <c r="K276" s="942"/>
      <c r="L276" s="807"/>
      <c r="M276" s="1566"/>
      <c r="N276" s="1322"/>
      <c r="O276" s="1322"/>
      <c r="P276" s="1532"/>
      <c r="Q276" s="1532"/>
      <c r="R276" s="1532"/>
      <c r="S276" s="1002"/>
      <c r="T276" s="1406"/>
      <c r="U276" s="806"/>
    </row>
    <row r="277" spans="1:21" s="11" customFormat="1" ht="35.1" customHeight="1">
      <c r="A277" s="1462"/>
      <c r="B277" s="503"/>
      <c r="C277" s="942"/>
      <c r="D277" s="895"/>
      <c r="E277" s="896"/>
      <c r="F277" s="897"/>
      <c r="G277" s="490" t="s">
        <v>329</v>
      </c>
      <c r="H277" s="491"/>
      <c r="I277" s="491"/>
      <c r="J277" s="491"/>
      <c r="K277" s="492"/>
      <c r="L277" s="133"/>
      <c r="M277" s="251">
        <f>SUM(M274:M276)</f>
        <v>390</v>
      </c>
      <c r="N277" s="400">
        <f>SUM(N274:N276)</f>
        <v>99</v>
      </c>
      <c r="O277" s="400">
        <f>SUM(O274:O276)</f>
        <v>99</v>
      </c>
      <c r="P277" s="1533"/>
      <c r="Q277" s="1533"/>
      <c r="R277" s="1533"/>
      <c r="S277" s="1003"/>
      <c r="T277" s="1407"/>
      <c r="U277" s="807"/>
    </row>
    <row r="278" spans="1:21" s="11" customFormat="1" ht="35.1" customHeight="1">
      <c r="A278" s="1462"/>
      <c r="B278" s="503"/>
      <c r="C278" s="940" t="s">
        <v>100</v>
      </c>
      <c r="D278" s="543" t="s">
        <v>604</v>
      </c>
      <c r="E278" s="544"/>
      <c r="F278" s="545"/>
      <c r="G278" s="639" t="s">
        <v>278</v>
      </c>
      <c r="H278" s="639" t="s">
        <v>278</v>
      </c>
      <c r="I278" s="639" t="s">
        <v>279</v>
      </c>
      <c r="J278" s="940" t="s">
        <v>11</v>
      </c>
      <c r="K278" s="940" t="s">
        <v>66</v>
      </c>
      <c r="L278" s="805">
        <v>148</v>
      </c>
      <c r="M278" s="1564">
        <v>148</v>
      </c>
      <c r="N278" s="1320">
        <v>96</v>
      </c>
      <c r="O278" s="1320">
        <v>95</v>
      </c>
      <c r="P278" s="1531" t="s">
        <v>438</v>
      </c>
      <c r="Q278" s="1531" t="s">
        <v>439</v>
      </c>
      <c r="R278" s="1531" t="s">
        <v>440</v>
      </c>
      <c r="S278" s="1001" t="s">
        <v>57</v>
      </c>
      <c r="T278" s="1405" t="s">
        <v>99</v>
      </c>
      <c r="U278" s="805" t="s">
        <v>11</v>
      </c>
    </row>
    <row r="279" spans="1:21" s="11" customFormat="1" ht="35.1" customHeight="1">
      <c r="A279" s="1462"/>
      <c r="B279" s="503"/>
      <c r="C279" s="941"/>
      <c r="D279" s="546"/>
      <c r="E279" s="547"/>
      <c r="F279" s="548"/>
      <c r="G279" s="640"/>
      <c r="H279" s="640"/>
      <c r="I279" s="640"/>
      <c r="J279" s="941"/>
      <c r="K279" s="941"/>
      <c r="L279" s="806"/>
      <c r="M279" s="1565"/>
      <c r="N279" s="1321"/>
      <c r="O279" s="1321"/>
      <c r="P279" s="1532"/>
      <c r="Q279" s="1532"/>
      <c r="R279" s="1532"/>
      <c r="S279" s="1002"/>
      <c r="T279" s="1406"/>
      <c r="U279" s="806"/>
    </row>
    <row r="280" spans="1:21" s="11" customFormat="1" ht="35.1" customHeight="1">
      <c r="A280" s="1462"/>
      <c r="B280" s="503"/>
      <c r="C280" s="941"/>
      <c r="D280" s="546"/>
      <c r="E280" s="547"/>
      <c r="F280" s="548"/>
      <c r="G280" s="641"/>
      <c r="H280" s="641"/>
      <c r="I280" s="641"/>
      <c r="J280" s="942"/>
      <c r="K280" s="942"/>
      <c r="L280" s="807"/>
      <c r="M280" s="1566"/>
      <c r="N280" s="1322"/>
      <c r="O280" s="1322"/>
      <c r="P280" s="1532"/>
      <c r="Q280" s="1532"/>
      <c r="R280" s="1532"/>
      <c r="S280" s="1002"/>
      <c r="T280" s="1406"/>
      <c r="U280" s="806"/>
    </row>
    <row r="281" spans="1:21" s="11" customFormat="1" ht="35.1" customHeight="1">
      <c r="A281" s="1462"/>
      <c r="B281" s="503"/>
      <c r="C281" s="942"/>
      <c r="D281" s="895"/>
      <c r="E281" s="896"/>
      <c r="F281" s="897"/>
      <c r="G281" s="490" t="s">
        <v>329</v>
      </c>
      <c r="H281" s="491"/>
      <c r="I281" s="491"/>
      <c r="J281" s="491"/>
      <c r="K281" s="492"/>
      <c r="L281" s="133"/>
      <c r="M281" s="251">
        <f>SUM(M278:M280)</f>
        <v>148</v>
      </c>
      <c r="N281" s="400">
        <f>SUM(N278:N280)</f>
        <v>96</v>
      </c>
      <c r="O281" s="400">
        <f>SUM(O278:O280)</f>
        <v>95</v>
      </c>
      <c r="P281" s="1533"/>
      <c r="Q281" s="1533"/>
      <c r="R281" s="1533"/>
      <c r="S281" s="1003"/>
      <c r="T281" s="1407"/>
      <c r="U281" s="807"/>
    </row>
    <row r="282" spans="1:21" s="11" customFormat="1" ht="35.1" customHeight="1">
      <c r="A282" s="1462"/>
      <c r="B282" s="503"/>
      <c r="C282" s="639" t="s">
        <v>1168</v>
      </c>
      <c r="D282" s="1307" t="s">
        <v>1169</v>
      </c>
      <c r="E282" s="1308"/>
      <c r="F282" s="671"/>
      <c r="G282" s="639" t="s">
        <v>1170</v>
      </c>
      <c r="H282" s="639" t="s">
        <v>1170</v>
      </c>
      <c r="I282" s="639" t="s">
        <v>1171</v>
      </c>
      <c r="J282" s="639" t="s">
        <v>11</v>
      </c>
      <c r="K282" s="639" t="s">
        <v>12</v>
      </c>
      <c r="L282" s="157" t="s">
        <v>1172</v>
      </c>
      <c r="M282" s="253">
        <v>48</v>
      </c>
      <c r="N282" s="253">
        <v>0</v>
      </c>
      <c r="O282" s="253">
        <v>0</v>
      </c>
      <c r="P282" s="579" t="s">
        <v>1173</v>
      </c>
      <c r="Q282" s="579" t="s">
        <v>824</v>
      </c>
      <c r="R282" s="579" t="s">
        <v>542</v>
      </c>
      <c r="S282" s="579" t="s">
        <v>13</v>
      </c>
      <c r="T282" s="579" t="s">
        <v>1174</v>
      </c>
      <c r="U282" s="1648" t="s">
        <v>11</v>
      </c>
    </row>
    <row r="283" spans="1:21" s="11" customFormat="1" ht="35.1" customHeight="1">
      <c r="A283" s="1462"/>
      <c r="B283" s="503"/>
      <c r="C283" s="640"/>
      <c r="D283" s="1309"/>
      <c r="E283" s="1310"/>
      <c r="F283" s="672"/>
      <c r="G283" s="640"/>
      <c r="H283" s="640"/>
      <c r="I283" s="640"/>
      <c r="J283" s="640"/>
      <c r="K283" s="640"/>
      <c r="L283" s="157" t="s">
        <v>84</v>
      </c>
      <c r="M283" s="253">
        <v>133</v>
      </c>
      <c r="N283" s="253">
        <v>0</v>
      </c>
      <c r="O283" s="253">
        <v>43</v>
      </c>
      <c r="P283" s="580"/>
      <c r="Q283" s="580"/>
      <c r="R283" s="580"/>
      <c r="S283" s="580"/>
      <c r="T283" s="580"/>
      <c r="U283" s="1649"/>
    </row>
    <row r="284" spans="1:21" s="11" customFormat="1" ht="35.1" customHeight="1">
      <c r="A284" s="1462"/>
      <c r="B284" s="503"/>
      <c r="C284" s="640"/>
      <c r="D284" s="1309"/>
      <c r="E284" s="1310"/>
      <c r="F284" s="672"/>
      <c r="G284" s="640"/>
      <c r="H284" s="640"/>
      <c r="I284" s="640"/>
      <c r="J284" s="640"/>
      <c r="K284" s="640"/>
      <c r="L284" s="157" t="s">
        <v>83</v>
      </c>
      <c r="M284" s="253">
        <v>33</v>
      </c>
      <c r="N284" s="253">
        <v>0</v>
      </c>
      <c r="O284" s="253">
        <v>19</v>
      </c>
      <c r="P284" s="580"/>
      <c r="Q284" s="580"/>
      <c r="R284" s="580"/>
      <c r="S284" s="580"/>
      <c r="T284" s="580"/>
      <c r="U284" s="1649"/>
    </row>
    <row r="285" spans="1:21" s="11" customFormat="1" ht="35.1" customHeight="1">
      <c r="A285" s="1462"/>
      <c r="B285" s="503"/>
      <c r="C285" s="640"/>
      <c r="D285" s="1309"/>
      <c r="E285" s="1310"/>
      <c r="F285" s="672"/>
      <c r="G285" s="640"/>
      <c r="H285" s="640"/>
      <c r="I285" s="640"/>
      <c r="J285" s="640"/>
      <c r="K285" s="640"/>
      <c r="L285" s="157" t="s">
        <v>1175</v>
      </c>
      <c r="M285" s="253">
        <v>137</v>
      </c>
      <c r="N285" s="253">
        <v>0</v>
      </c>
      <c r="O285" s="253">
        <v>69</v>
      </c>
      <c r="P285" s="580"/>
      <c r="Q285" s="580"/>
      <c r="R285" s="580"/>
      <c r="S285" s="580"/>
      <c r="T285" s="580"/>
      <c r="U285" s="1649"/>
    </row>
    <row r="286" spans="1:21" s="11" customFormat="1" ht="35.1" customHeight="1">
      <c r="A286" s="1462"/>
      <c r="B286" s="503"/>
      <c r="C286" s="640"/>
      <c r="D286" s="1309"/>
      <c r="E286" s="1310"/>
      <c r="F286" s="672"/>
      <c r="G286" s="641"/>
      <c r="H286" s="641"/>
      <c r="I286" s="641"/>
      <c r="J286" s="641"/>
      <c r="K286" s="641"/>
      <c r="L286" s="157" t="s">
        <v>1176</v>
      </c>
      <c r="M286" s="253">
        <v>10</v>
      </c>
      <c r="N286" s="253">
        <v>0</v>
      </c>
      <c r="O286" s="253">
        <v>10</v>
      </c>
      <c r="P286" s="580"/>
      <c r="Q286" s="580"/>
      <c r="R286" s="580"/>
      <c r="S286" s="580"/>
      <c r="T286" s="580"/>
      <c r="U286" s="1649"/>
    </row>
    <row r="287" spans="1:21" s="11" customFormat="1" ht="35.1" customHeight="1">
      <c r="A287" s="1462"/>
      <c r="B287" s="503"/>
      <c r="C287" s="640"/>
      <c r="D287" s="1311"/>
      <c r="E287" s="1312"/>
      <c r="F287" s="1313"/>
      <c r="G287" s="490" t="s">
        <v>329</v>
      </c>
      <c r="H287" s="491"/>
      <c r="I287" s="491"/>
      <c r="J287" s="491"/>
      <c r="K287" s="492"/>
      <c r="L287" s="139"/>
      <c r="M287" s="249">
        <f>SUM(M282:M286)</f>
        <v>361</v>
      </c>
      <c r="N287" s="249">
        <f t="shared" ref="N287:O287" si="12">SUM(N282:N286)</f>
        <v>0</v>
      </c>
      <c r="O287" s="249">
        <f t="shared" si="12"/>
        <v>141</v>
      </c>
      <c r="P287" s="580"/>
      <c r="Q287" s="580"/>
      <c r="R287" s="580"/>
      <c r="S287" s="580"/>
      <c r="T287" s="580"/>
      <c r="U287" s="1650"/>
    </row>
    <row r="288" spans="1:21" s="11" customFormat="1" ht="35.1" customHeight="1">
      <c r="A288" s="1462"/>
      <c r="B288" s="503"/>
      <c r="C288" s="903" t="s">
        <v>100</v>
      </c>
      <c r="D288" s="701" t="s">
        <v>605</v>
      </c>
      <c r="E288" s="702"/>
      <c r="F288" s="703"/>
      <c r="G288" s="903" t="s">
        <v>357</v>
      </c>
      <c r="H288" s="903" t="s">
        <v>358</v>
      </c>
      <c r="I288" s="903" t="s">
        <v>359</v>
      </c>
      <c r="J288" s="1283" t="s">
        <v>11</v>
      </c>
      <c r="K288" s="1283" t="s">
        <v>12</v>
      </c>
      <c r="L288" s="158">
        <v>84</v>
      </c>
      <c r="M288" s="230">
        <v>25</v>
      </c>
      <c r="N288" s="395">
        <v>0</v>
      </c>
      <c r="O288" s="395">
        <v>0</v>
      </c>
      <c r="P288" s="713" t="s">
        <v>429</v>
      </c>
      <c r="Q288" s="713" t="s">
        <v>406</v>
      </c>
      <c r="R288" s="713">
        <v>45931</v>
      </c>
      <c r="S288" s="1537" t="s">
        <v>57</v>
      </c>
      <c r="T288" s="1654" t="s">
        <v>361</v>
      </c>
      <c r="U288" s="1654" t="s">
        <v>67</v>
      </c>
    </row>
    <row r="289" spans="1:1892" s="11" customFormat="1" ht="35.1" customHeight="1">
      <c r="A289" s="1462"/>
      <c r="B289" s="503"/>
      <c r="C289" s="904"/>
      <c r="D289" s="704"/>
      <c r="E289" s="705"/>
      <c r="F289" s="706"/>
      <c r="G289" s="904"/>
      <c r="H289" s="904"/>
      <c r="I289" s="904"/>
      <c r="J289" s="1306"/>
      <c r="K289" s="1306"/>
      <c r="L289" s="158">
        <v>84</v>
      </c>
      <c r="M289" s="230">
        <v>75</v>
      </c>
      <c r="N289" s="395">
        <v>0</v>
      </c>
      <c r="O289" s="395">
        <v>0</v>
      </c>
      <c r="P289" s="714"/>
      <c r="Q289" s="714"/>
      <c r="R289" s="714"/>
      <c r="S289" s="1538"/>
      <c r="T289" s="1655"/>
      <c r="U289" s="1655"/>
    </row>
    <row r="290" spans="1:1892" s="11" customFormat="1" ht="35.1" customHeight="1">
      <c r="A290" s="1462"/>
      <c r="B290" s="503"/>
      <c r="C290" s="904"/>
      <c r="D290" s="704"/>
      <c r="E290" s="705"/>
      <c r="F290" s="706"/>
      <c r="G290" s="904"/>
      <c r="H290" s="904"/>
      <c r="I290" s="904"/>
      <c r="J290" s="1306"/>
      <c r="K290" s="1306"/>
      <c r="L290" s="158">
        <v>98</v>
      </c>
      <c r="M290" s="230">
        <v>75</v>
      </c>
      <c r="N290" s="132">
        <v>1</v>
      </c>
      <c r="O290" s="132">
        <v>1</v>
      </c>
      <c r="P290" s="714"/>
      <c r="Q290" s="714"/>
      <c r="R290" s="714"/>
      <c r="S290" s="1538"/>
      <c r="T290" s="1655"/>
      <c r="U290" s="1655"/>
    </row>
    <row r="291" spans="1:1892" s="11" customFormat="1" ht="35.1" customHeight="1">
      <c r="A291" s="1462"/>
      <c r="B291" s="503"/>
      <c r="C291" s="904"/>
      <c r="D291" s="704"/>
      <c r="E291" s="705"/>
      <c r="F291" s="706"/>
      <c r="G291" s="904"/>
      <c r="H291" s="904"/>
      <c r="I291" s="904"/>
      <c r="J291" s="1306"/>
      <c r="K291" s="1306"/>
      <c r="L291" s="158">
        <v>98</v>
      </c>
      <c r="M291" s="230">
        <v>25</v>
      </c>
      <c r="N291" s="395">
        <v>0</v>
      </c>
      <c r="O291" s="395">
        <v>0</v>
      </c>
      <c r="P291" s="714"/>
      <c r="Q291" s="714"/>
      <c r="R291" s="714"/>
      <c r="S291" s="1538"/>
      <c r="T291" s="1655"/>
      <c r="U291" s="1655"/>
    </row>
    <row r="292" spans="1:1892" s="11" customFormat="1" ht="35.1" customHeight="1">
      <c r="A292" s="1462"/>
      <c r="B292" s="503"/>
      <c r="C292" s="904"/>
      <c r="D292" s="704"/>
      <c r="E292" s="705"/>
      <c r="F292" s="706"/>
      <c r="G292" s="905"/>
      <c r="H292" s="905"/>
      <c r="I292" s="905"/>
      <c r="J292" s="1284"/>
      <c r="K292" s="1284"/>
      <c r="L292" s="158">
        <v>98</v>
      </c>
      <c r="M292" s="230">
        <v>50</v>
      </c>
      <c r="N292" s="395">
        <v>5</v>
      </c>
      <c r="O292" s="395">
        <v>5</v>
      </c>
      <c r="P292" s="714"/>
      <c r="Q292" s="714"/>
      <c r="R292" s="714"/>
      <c r="S292" s="1538"/>
      <c r="T292" s="1655"/>
      <c r="U292" s="1655"/>
    </row>
    <row r="293" spans="1:1892" s="11" customFormat="1" ht="35.1" customHeight="1">
      <c r="A293" s="1462"/>
      <c r="B293" s="503"/>
      <c r="C293" s="905"/>
      <c r="D293" s="707"/>
      <c r="E293" s="708"/>
      <c r="F293" s="709"/>
      <c r="G293" s="490" t="s">
        <v>329</v>
      </c>
      <c r="H293" s="491"/>
      <c r="I293" s="491"/>
      <c r="J293" s="491"/>
      <c r="K293" s="492"/>
      <c r="L293" s="139"/>
      <c r="M293" s="224">
        <f>SUM(M288:M292)</f>
        <v>250</v>
      </c>
      <c r="N293" s="263">
        <f>SUM(N288:N292)</f>
        <v>6</v>
      </c>
      <c r="O293" s="263">
        <f>SUM(O288:O292)</f>
        <v>6</v>
      </c>
      <c r="P293" s="715"/>
      <c r="Q293" s="715"/>
      <c r="R293" s="715"/>
      <c r="S293" s="1539"/>
      <c r="T293" s="1656"/>
      <c r="U293" s="1656"/>
    </row>
    <row r="294" spans="1:1892" s="11" customFormat="1" ht="35.1" customHeight="1">
      <c r="A294" s="1462"/>
      <c r="B294" s="503"/>
      <c r="C294" s="903" t="s">
        <v>100</v>
      </c>
      <c r="D294" s="701" t="s">
        <v>606</v>
      </c>
      <c r="E294" s="702"/>
      <c r="F294" s="703"/>
      <c r="G294" s="903" t="s">
        <v>362</v>
      </c>
      <c r="H294" s="903" t="s">
        <v>363</v>
      </c>
      <c r="I294" s="903" t="s">
        <v>364</v>
      </c>
      <c r="J294" s="1283" t="s">
        <v>11</v>
      </c>
      <c r="K294" s="1283" t="s">
        <v>12</v>
      </c>
      <c r="L294" s="158">
        <v>59.8</v>
      </c>
      <c r="M294" s="230">
        <v>92</v>
      </c>
      <c r="N294" s="395">
        <v>73</v>
      </c>
      <c r="O294" s="395">
        <v>73</v>
      </c>
      <c r="P294" s="713" t="s">
        <v>406</v>
      </c>
      <c r="Q294" s="713" t="s">
        <v>407</v>
      </c>
      <c r="R294" s="1657" t="s">
        <v>774</v>
      </c>
      <c r="S294" s="1537" t="s">
        <v>57</v>
      </c>
      <c r="T294" s="1654" t="s">
        <v>366</v>
      </c>
      <c r="U294" s="1654" t="s">
        <v>67</v>
      </c>
    </row>
    <row r="295" spans="1:1892" s="11" customFormat="1" ht="35.1" customHeight="1">
      <c r="A295" s="1462"/>
      <c r="B295" s="503"/>
      <c r="C295" s="904"/>
      <c r="D295" s="704"/>
      <c r="E295" s="705"/>
      <c r="F295" s="706"/>
      <c r="G295" s="905"/>
      <c r="H295" s="905"/>
      <c r="I295" s="905"/>
      <c r="J295" s="1284"/>
      <c r="K295" s="1284"/>
      <c r="L295" s="158">
        <v>59.9</v>
      </c>
      <c r="M295" s="230">
        <v>46</v>
      </c>
      <c r="N295" s="395">
        <v>34</v>
      </c>
      <c r="O295" s="395">
        <v>34</v>
      </c>
      <c r="P295" s="714"/>
      <c r="Q295" s="714"/>
      <c r="R295" s="1658"/>
      <c r="S295" s="1538"/>
      <c r="T295" s="1655"/>
      <c r="U295" s="1655"/>
    </row>
    <row r="296" spans="1:1892" s="11" customFormat="1" ht="35.1" customHeight="1">
      <c r="A296" s="1462"/>
      <c r="B296" s="503"/>
      <c r="C296" s="905"/>
      <c r="D296" s="707"/>
      <c r="E296" s="708"/>
      <c r="F296" s="709"/>
      <c r="G296" s="490" t="s">
        <v>329</v>
      </c>
      <c r="H296" s="491"/>
      <c r="I296" s="491"/>
      <c r="J296" s="491"/>
      <c r="K296" s="492"/>
      <c r="L296" s="139"/>
      <c r="M296" s="224">
        <f>SUM(M294:M295)</f>
        <v>138</v>
      </c>
      <c r="N296" s="263">
        <f>SUM(N294:N295)</f>
        <v>107</v>
      </c>
      <c r="O296" s="263">
        <f>SUM(O294:O295)</f>
        <v>107</v>
      </c>
      <c r="P296" s="715"/>
      <c r="Q296" s="715"/>
      <c r="R296" s="1659"/>
      <c r="S296" s="1539"/>
      <c r="T296" s="1656"/>
      <c r="U296" s="1656"/>
    </row>
    <row r="297" spans="1:1892" s="11" customFormat="1" ht="35.1" customHeight="1">
      <c r="A297" s="1462"/>
      <c r="B297" s="503"/>
      <c r="C297" s="699" t="s">
        <v>389</v>
      </c>
      <c r="D297" s="1031" t="s">
        <v>607</v>
      </c>
      <c r="E297" s="1032"/>
      <c r="F297" s="1033"/>
      <c r="G297" s="699" t="s">
        <v>367</v>
      </c>
      <c r="H297" s="699" t="s">
        <v>368</v>
      </c>
      <c r="I297" s="699" t="s">
        <v>369</v>
      </c>
      <c r="J297" s="795" t="s">
        <v>11</v>
      </c>
      <c r="K297" s="795" t="s">
        <v>12</v>
      </c>
      <c r="L297" s="159" t="s">
        <v>365</v>
      </c>
      <c r="M297" s="231">
        <v>26</v>
      </c>
      <c r="N297" s="395">
        <v>7</v>
      </c>
      <c r="O297" s="395">
        <v>6</v>
      </c>
      <c r="P297" s="560">
        <v>7</v>
      </c>
      <c r="Q297" s="560" t="s">
        <v>422</v>
      </c>
      <c r="R297" s="560" t="s">
        <v>437</v>
      </c>
      <c r="S297" s="1645" t="s">
        <v>57</v>
      </c>
      <c r="T297" s="1651" t="s">
        <v>54</v>
      </c>
      <c r="U297" s="1651" t="s">
        <v>54</v>
      </c>
    </row>
    <row r="298" spans="1:1892" s="11" customFormat="1" ht="35.1" customHeight="1">
      <c r="A298" s="1462"/>
      <c r="B298" s="503"/>
      <c r="C298" s="1040"/>
      <c r="D298" s="1034"/>
      <c r="E298" s="1035"/>
      <c r="F298" s="1036"/>
      <c r="G298" s="700"/>
      <c r="H298" s="700"/>
      <c r="I298" s="700"/>
      <c r="J298" s="797"/>
      <c r="K298" s="797"/>
      <c r="L298" s="159" t="s">
        <v>360</v>
      </c>
      <c r="M298" s="231">
        <v>13</v>
      </c>
      <c r="N298" s="395">
        <v>7</v>
      </c>
      <c r="O298" s="395">
        <v>7</v>
      </c>
      <c r="P298" s="561"/>
      <c r="Q298" s="561"/>
      <c r="R298" s="561"/>
      <c r="S298" s="1646"/>
      <c r="T298" s="1652"/>
      <c r="U298" s="1652"/>
    </row>
    <row r="299" spans="1:1892" s="11" customFormat="1" ht="35.1" customHeight="1">
      <c r="A299" s="1462"/>
      <c r="B299" s="504"/>
      <c r="C299" s="700"/>
      <c r="D299" s="1037"/>
      <c r="E299" s="1038"/>
      <c r="F299" s="1039"/>
      <c r="G299" s="490" t="s">
        <v>329</v>
      </c>
      <c r="H299" s="491"/>
      <c r="I299" s="491"/>
      <c r="J299" s="491"/>
      <c r="K299" s="492"/>
      <c r="L299" s="160"/>
      <c r="M299" s="224">
        <f>SUM(M297:M298)</f>
        <v>39</v>
      </c>
      <c r="N299" s="263">
        <f>SUM(N297:N298)</f>
        <v>14</v>
      </c>
      <c r="O299" s="263">
        <f>SUM(O297:O298)</f>
        <v>13</v>
      </c>
      <c r="P299" s="562"/>
      <c r="Q299" s="562"/>
      <c r="R299" s="562"/>
      <c r="S299" s="1647"/>
      <c r="T299" s="1653"/>
      <c r="U299" s="1653"/>
    </row>
    <row r="300" spans="1:1892" s="16" customFormat="1" ht="35.1" customHeight="1">
      <c r="A300" s="1462"/>
      <c r="B300" s="777" t="s">
        <v>105</v>
      </c>
      <c r="C300" s="778"/>
      <c r="D300" s="778"/>
      <c r="E300" s="778"/>
      <c r="F300" s="778"/>
      <c r="G300" s="778"/>
      <c r="H300" s="778"/>
      <c r="I300" s="778"/>
      <c r="J300" s="778"/>
      <c r="K300" s="779"/>
      <c r="L300" s="122"/>
      <c r="M300" s="254">
        <f>M277+M281+M287+M293+M296+M299</f>
        <v>1326</v>
      </c>
      <c r="N300" s="254">
        <f t="shared" ref="N300:O300" si="13">N277+N281+N287+N293+N296+N299</f>
        <v>322</v>
      </c>
      <c r="O300" s="254">
        <f t="shared" si="13"/>
        <v>461</v>
      </c>
      <c r="P300" s="161"/>
      <c r="Q300" s="161"/>
      <c r="R300" s="161"/>
      <c r="S300" s="162"/>
      <c r="T300" s="163"/>
      <c r="U300" s="162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  <c r="EF300" s="11"/>
      <c r="EG300" s="11"/>
      <c r="EH300" s="11"/>
      <c r="EI300" s="11"/>
      <c r="EJ300" s="11"/>
      <c r="EK300" s="11"/>
      <c r="EL300" s="11"/>
      <c r="EM300" s="11"/>
      <c r="EN300" s="11"/>
      <c r="EO300" s="11"/>
      <c r="EP300" s="11"/>
      <c r="EQ300" s="11"/>
      <c r="ER300" s="11"/>
      <c r="ES300" s="11"/>
      <c r="ET300" s="11"/>
      <c r="EU300" s="11"/>
      <c r="EV300" s="11"/>
      <c r="EW300" s="11"/>
      <c r="EX300" s="11"/>
      <c r="EY300" s="11"/>
      <c r="EZ300" s="11"/>
      <c r="FA300" s="11"/>
      <c r="FB300" s="11"/>
      <c r="FC300" s="11"/>
      <c r="FD300" s="11"/>
      <c r="FE300" s="11"/>
      <c r="FF300" s="11"/>
      <c r="FG300" s="11"/>
      <c r="FH300" s="11"/>
      <c r="FI300" s="11"/>
      <c r="FJ300" s="11"/>
      <c r="FK300" s="11"/>
      <c r="FL300" s="11"/>
      <c r="FM300" s="11"/>
      <c r="FN300" s="11"/>
      <c r="FO300" s="11"/>
      <c r="FP300" s="11"/>
      <c r="FQ300" s="11"/>
      <c r="FR300" s="11"/>
      <c r="FS300" s="11"/>
      <c r="FT300" s="11"/>
      <c r="FU300" s="11"/>
      <c r="FV300" s="11"/>
      <c r="FW300" s="11"/>
      <c r="FX300" s="11"/>
      <c r="FY300" s="11"/>
      <c r="FZ300" s="11"/>
      <c r="GA300" s="11"/>
      <c r="GB300" s="11"/>
      <c r="GC300" s="11"/>
      <c r="GD300" s="11"/>
      <c r="GE300" s="11"/>
      <c r="GF300" s="11"/>
      <c r="GG300" s="11"/>
      <c r="GH300" s="11"/>
      <c r="GI300" s="11"/>
      <c r="GJ300" s="11"/>
      <c r="GK300" s="11"/>
      <c r="GL300" s="11"/>
      <c r="GM300" s="11"/>
      <c r="GN300" s="11"/>
      <c r="GO300" s="11"/>
      <c r="GP300" s="11"/>
      <c r="GQ300" s="11"/>
      <c r="GR300" s="11"/>
      <c r="GS300" s="11"/>
      <c r="GT300" s="11"/>
      <c r="GU300" s="11"/>
      <c r="GV300" s="11"/>
      <c r="GW300" s="11"/>
      <c r="GX300" s="11"/>
      <c r="GY300" s="11"/>
      <c r="GZ300" s="11"/>
      <c r="HA300" s="11"/>
      <c r="HB300" s="11"/>
      <c r="HC300" s="11"/>
      <c r="HD300" s="11"/>
      <c r="HE300" s="11"/>
      <c r="HF300" s="11"/>
      <c r="HG300" s="11"/>
      <c r="HH300" s="11"/>
      <c r="HI300" s="11"/>
      <c r="HJ300" s="11"/>
      <c r="HK300" s="11"/>
      <c r="HL300" s="11"/>
      <c r="HM300" s="11"/>
      <c r="HN300" s="11"/>
      <c r="HO300" s="11"/>
      <c r="HP300" s="11"/>
      <c r="HQ300" s="11"/>
      <c r="HR300" s="11"/>
      <c r="HS300" s="11"/>
      <c r="HT300" s="11"/>
      <c r="HU300" s="11"/>
      <c r="HV300" s="11"/>
      <c r="HW300" s="11"/>
      <c r="HX300" s="11"/>
      <c r="HY300" s="11"/>
      <c r="HZ300" s="11"/>
      <c r="IA300" s="11"/>
      <c r="IB300" s="11"/>
      <c r="IC300" s="11"/>
      <c r="ID300" s="11"/>
      <c r="IE300" s="11"/>
      <c r="IF300" s="11"/>
      <c r="IG300" s="11"/>
      <c r="IH300" s="11"/>
      <c r="II300" s="11"/>
      <c r="IJ300" s="11"/>
      <c r="IK300" s="11"/>
      <c r="IL300" s="11"/>
      <c r="IM300" s="11"/>
      <c r="IN300" s="11"/>
      <c r="IO300" s="11"/>
      <c r="IP300" s="11"/>
      <c r="IQ300" s="11"/>
      <c r="IR300" s="11"/>
      <c r="IS300" s="11"/>
      <c r="IT300" s="11"/>
      <c r="IU300" s="11"/>
      <c r="IV300" s="11"/>
      <c r="IW300" s="11"/>
      <c r="IX300" s="11"/>
      <c r="IY300" s="11"/>
      <c r="IZ300" s="11"/>
      <c r="JA300" s="11"/>
      <c r="JB300" s="11"/>
      <c r="JC300" s="11"/>
      <c r="JD300" s="11"/>
      <c r="JE300" s="11"/>
      <c r="JF300" s="11"/>
      <c r="JG300" s="11"/>
      <c r="JH300" s="11"/>
      <c r="JI300" s="11"/>
      <c r="JJ300" s="11"/>
      <c r="JK300" s="11"/>
      <c r="JL300" s="11"/>
      <c r="JM300" s="11"/>
      <c r="JN300" s="11"/>
      <c r="JO300" s="11"/>
      <c r="JP300" s="11"/>
      <c r="JQ300" s="11"/>
      <c r="JR300" s="11"/>
      <c r="JS300" s="11"/>
      <c r="JT300" s="11"/>
      <c r="JU300" s="11"/>
      <c r="JV300" s="11"/>
      <c r="JW300" s="11"/>
      <c r="JX300" s="11"/>
      <c r="JY300" s="11"/>
      <c r="JZ300" s="11"/>
      <c r="KA300" s="11"/>
      <c r="KB300" s="11"/>
      <c r="KC300" s="11"/>
      <c r="KD300" s="11"/>
      <c r="KE300" s="11"/>
      <c r="KF300" s="11"/>
      <c r="KG300" s="11"/>
      <c r="KH300" s="11"/>
      <c r="KI300" s="11"/>
      <c r="KJ300" s="11"/>
      <c r="KK300" s="11"/>
      <c r="KL300" s="11"/>
      <c r="KM300" s="11"/>
      <c r="KN300" s="11"/>
      <c r="KO300" s="11"/>
      <c r="KP300" s="11"/>
      <c r="KQ300" s="11"/>
      <c r="KR300" s="11"/>
      <c r="KS300" s="11"/>
      <c r="KT300" s="11"/>
      <c r="KU300" s="11"/>
      <c r="KV300" s="11"/>
      <c r="KW300" s="11"/>
      <c r="KX300" s="11"/>
      <c r="KY300" s="11"/>
      <c r="KZ300" s="11"/>
      <c r="LA300" s="11"/>
      <c r="LB300" s="11"/>
      <c r="LC300" s="11"/>
      <c r="LD300" s="11"/>
      <c r="LE300" s="11"/>
      <c r="LF300" s="11"/>
      <c r="LG300" s="11"/>
      <c r="LH300" s="11"/>
      <c r="LI300" s="11"/>
      <c r="LJ300" s="11"/>
      <c r="LK300" s="11"/>
      <c r="LL300" s="11"/>
      <c r="LM300" s="11"/>
      <c r="LN300" s="11"/>
      <c r="LO300" s="11"/>
      <c r="LP300" s="11"/>
      <c r="LQ300" s="11"/>
      <c r="LR300" s="11"/>
      <c r="LS300" s="11"/>
      <c r="LT300" s="11"/>
      <c r="LU300" s="11"/>
      <c r="LV300" s="11"/>
      <c r="LW300" s="11"/>
      <c r="LX300" s="11"/>
      <c r="LY300" s="11"/>
      <c r="LZ300" s="11"/>
      <c r="MA300" s="11"/>
      <c r="MB300" s="11"/>
      <c r="MC300" s="11"/>
      <c r="MD300" s="11"/>
      <c r="ME300" s="11"/>
      <c r="MF300" s="11"/>
      <c r="MG300" s="11"/>
      <c r="MH300" s="11"/>
      <c r="MI300" s="11"/>
      <c r="MJ300" s="11"/>
      <c r="MK300" s="11"/>
      <c r="ML300" s="11"/>
      <c r="MM300" s="11"/>
      <c r="MN300" s="11"/>
      <c r="MO300" s="11"/>
      <c r="MP300" s="11"/>
      <c r="MQ300" s="11"/>
      <c r="MR300" s="11"/>
      <c r="MS300" s="11"/>
      <c r="MT300" s="11"/>
      <c r="MU300" s="11"/>
      <c r="MV300" s="11"/>
      <c r="MW300" s="11"/>
      <c r="MX300" s="11"/>
      <c r="MY300" s="11"/>
      <c r="MZ300" s="11"/>
      <c r="NA300" s="11"/>
      <c r="NB300" s="11"/>
      <c r="NC300" s="11"/>
      <c r="ND300" s="11"/>
      <c r="NE300" s="11"/>
      <c r="NF300" s="11"/>
      <c r="NG300" s="11"/>
      <c r="NH300" s="11"/>
      <c r="NI300" s="11"/>
      <c r="NJ300" s="11"/>
      <c r="NK300" s="11"/>
      <c r="NL300" s="11"/>
      <c r="NM300" s="11"/>
      <c r="NN300" s="11"/>
      <c r="NO300" s="11"/>
      <c r="NP300" s="11"/>
      <c r="NQ300" s="11"/>
      <c r="NR300" s="11"/>
      <c r="NS300" s="11"/>
      <c r="NT300" s="11"/>
      <c r="NU300" s="11"/>
      <c r="NV300" s="11"/>
      <c r="NW300" s="11"/>
      <c r="NX300" s="11"/>
      <c r="NY300" s="11"/>
      <c r="NZ300" s="11"/>
      <c r="OA300" s="11"/>
      <c r="OB300" s="11"/>
      <c r="OC300" s="11"/>
      <c r="OD300" s="11"/>
      <c r="OE300" s="11"/>
      <c r="OF300" s="11"/>
      <c r="OG300" s="11"/>
      <c r="OH300" s="11"/>
      <c r="OI300" s="11"/>
      <c r="OJ300" s="11"/>
      <c r="OK300" s="11"/>
      <c r="OL300" s="11"/>
      <c r="OM300" s="11"/>
      <c r="ON300" s="11"/>
      <c r="OO300" s="11"/>
      <c r="OP300" s="11"/>
      <c r="OQ300" s="11"/>
      <c r="OR300" s="11"/>
      <c r="OS300" s="11"/>
      <c r="OT300" s="11"/>
      <c r="OU300" s="11"/>
      <c r="OV300" s="11"/>
      <c r="OW300" s="11"/>
      <c r="OX300" s="11"/>
      <c r="OY300" s="11"/>
      <c r="OZ300" s="11"/>
      <c r="PA300" s="11"/>
      <c r="PB300" s="11"/>
      <c r="PC300" s="11"/>
      <c r="PD300" s="11"/>
      <c r="PE300" s="11"/>
      <c r="PF300" s="11"/>
      <c r="PG300" s="11"/>
      <c r="PH300" s="11"/>
      <c r="PI300" s="11"/>
      <c r="PJ300" s="11"/>
      <c r="PK300" s="11"/>
      <c r="PL300" s="11"/>
      <c r="PM300" s="11"/>
      <c r="PN300" s="11"/>
      <c r="PO300" s="11"/>
      <c r="PP300" s="11"/>
      <c r="PQ300" s="11"/>
      <c r="PR300" s="11"/>
      <c r="PS300" s="11"/>
      <c r="PT300" s="11"/>
      <c r="PU300" s="11"/>
      <c r="PV300" s="11"/>
      <c r="PW300" s="11"/>
      <c r="PX300" s="11"/>
      <c r="PY300" s="11"/>
      <c r="PZ300" s="11"/>
      <c r="QA300" s="11"/>
      <c r="QB300" s="11"/>
      <c r="QC300" s="11"/>
      <c r="QD300" s="11"/>
      <c r="QE300" s="11"/>
      <c r="QF300" s="11"/>
      <c r="QG300" s="11"/>
      <c r="QH300" s="11"/>
      <c r="QI300" s="11"/>
      <c r="QJ300" s="11"/>
      <c r="QK300" s="11"/>
      <c r="QL300" s="11"/>
      <c r="QM300" s="11"/>
      <c r="QN300" s="11"/>
      <c r="QO300" s="11"/>
      <c r="QP300" s="11"/>
      <c r="QQ300" s="11"/>
      <c r="QR300" s="11"/>
      <c r="QS300" s="11"/>
      <c r="QT300" s="11"/>
      <c r="QU300" s="11"/>
      <c r="QV300" s="11"/>
      <c r="QW300" s="11"/>
      <c r="QX300" s="11"/>
      <c r="QY300" s="11"/>
      <c r="QZ300" s="11"/>
      <c r="RA300" s="11"/>
      <c r="RB300" s="11"/>
      <c r="RC300" s="11"/>
      <c r="RD300" s="11"/>
      <c r="RE300" s="11"/>
      <c r="RF300" s="11"/>
      <c r="RG300" s="11"/>
      <c r="RH300" s="11"/>
      <c r="RI300" s="11"/>
      <c r="RJ300" s="11"/>
      <c r="RK300" s="11"/>
      <c r="RL300" s="11"/>
      <c r="RM300" s="11"/>
      <c r="RN300" s="11"/>
      <c r="RO300" s="11"/>
      <c r="RP300" s="11"/>
      <c r="RQ300" s="11"/>
      <c r="RR300" s="11"/>
      <c r="RS300" s="11"/>
      <c r="RT300" s="11"/>
      <c r="RU300" s="11"/>
      <c r="RV300" s="11"/>
      <c r="RW300" s="11"/>
      <c r="RX300" s="11"/>
      <c r="RY300" s="11"/>
      <c r="RZ300" s="11"/>
      <c r="SA300" s="11"/>
      <c r="SB300" s="11"/>
      <c r="SC300" s="11"/>
      <c r="SD300" s="11"/>
      <c r="SE300" s="11"/>
      <c r="SF300" s="11"/>
      <c r="SG300" s="11"/>
      <c r="SH300" s="11"/>
      <c r="SI300" s="11"/>
      <c r="SJ300" s="11"/>
      <c r="SK300" s="11"/>
      <c r="SL300" s="11"/>
      <c r="SM300" s="11"/>
      <c r="SN300" s="11"/>
      <c r="SO300" s="11"/>
      <c r="SP300" s="11"/>
      <c r="SQ300" s="11"/>
      <c r="SR300" s="11"/>
      <c r="SS300" s="11"/>
      <c r="ST300" s="11"/>
      <c r="SU300" s="11"/>
      <c r="SV300" s="11"/>
      <c r="SW300" s="11"/>
      <c r="SX300" s="11"/>
      <c r="SY300" s="11"/>
      <c r="SZ300" s="11"/>
      <c r="TA300" s="11"/>
      <c r="TB300" s="11"/>
      <c r="TC300" s="11"/>
      <c r="TD300" s="11"/>
      <c r="TE300" s="11"/>
      <c r="TF300" s="11"/>
      <c r="TG300" s="11"/>
      <c r="TH300" s="11"/>
      <c r="TI300" s="11"/>
      <c r="TJ300" s="11"/>
      <c r="TK300" s="11"/>
      <c r="TL300" s="11"/>
      <c r="TM300" s="11"/>
      <c r="TN300" s="11"/>
      <c r="TO300" s="11"/>
      <c r="TP300" s="11"/>
      <c r="TQ300" s="11"/>
      <c r="TR300" s="11"/>
      <c r="TS300" s="11"/>
      <c r="TT300" s="11"/>
      <c r="TU300" s="11"/>
      <c r="TV300" s="11"/>
      <c r="TW300" s="11"/>
      <c r="TX300" s="11"/>
      <c r="TY300" s="11"/>
      <c r="TZ300" s="11"/>
      <c r="UA300" s="11"/>
      <c r="UB300" s="11"/>
      <c r="UC300" s="11"/>
      <c r="UD300" s="11"/>
      <c r="UE300" s="11"/>
      <c r="UF300" s="11"/>
      <c r="UG300" s="11"/>
      <c r="UH300" s="11"/>
      <c r="UI300" s="11"/>
      <c r="UJ300" s="11"/>
      <c r="UK300" s="11"/>
      <c r="UL300" s="11"/>
      <c r="UM300" s="11"/>
      <c r="UN300" s="11"/>
      <c r="UO300" s="11"/>
      <c r="UP300" s="11"/>
      <c r="UQ300" s="11"/>
      <c r="UR300" s="11"/>
      <c r="US300" s="11"/>
      <c r="UT300" s="11"/>
      <c r="UU300" s="11"/>
      <c r="UV300" s="11"/>
      <c r="UW300" s="11"/>
      <c r="UX300" s="11"/>
      <c r="UY300" s="11"/>
      <c r="UZ300" s="11"/>
      <c r="VA300" s="11"/>
      <c r="VB300" s="11"/>
      <c r="VC300" s="11"/>
      <c r="VD300" s="11"/>
      <c r="VE300" s="11"/>
      <c r="VF300" s="11"/>
      <c r="VG300" s="11"/>
      <c r="VH300" s="11"/>
      <c r="VI300" s="11"/>
      <c r="VJ300" s="11"/>
      <c r="VK300" s="11"/>
      <c r="VL300" s="11"/>
      <c r="VM300" s="11"/>
      <c r="VN300" s="11"/>
      <c r="VO300" s="11"/>
      <c r="VP300" s="11"/>
      <c r="VQ300" s="11"/>
      <c r="VR300" s="11"/>
      <c r="VS300" s="11"/>
      <c r="VT300" s="11"/>
      <c r="VU300" s="11"/>
      <c r="VV300" s="11"/>
      <c r="VW300" s="11"/>
      <c r="VX300" s="11"/>
      <c r="VY300" s="11"/>
      <c r="VZ300" s="11"/>
      <c r="WA300" s="11"/>
      <c r="WB300" s="11"/>
      <c r="WC300" s="11"/>
      <c r="WD300" s="11"/>
      <c r="WE300" s="11"/>
      <c r="WF300" s="11"/>
      <c r="WG300" s="11"/>
      <c r="WH300" s="11"/>
      <c r="WI300" s="11"/>
      <c r="WJ300" s="11"/>
      <c r="WK300" s="11"/>
      <c r="WL300" s="11"/>
      <c r="WM300" s="11"/>
      <c r="WN300" s="11"/>
      <c r="WO300" s="11"/>
      <c r="WP300" s="11"/>
      <c r="WQ300" s="11"/>
      <c r="WR300" s="11"/>
      <c r="WS300" s="11"/>
      <c r="WT300" s="11"/>
      <c r="WU300" s="11"/>
      <c r="WV300" s="11"/>
      <c r="WW300" s="11"/>
      <c r="WX300" s="11"/>
      <c r="WY300" s="11"/>
      <c r="WZ300" s="11"/>
      <c r="XA300" s="11"/>
      <c r="XB300" s="11"/>
      <c r="XC300" s="11"/>
      <c r="XD300" s="11"/>
      <c r="XE300" s="11"/>
      <c r="XF300" s="11"/>
      <c r="XG300" s="11"/>
      <c r="XH300" s="11"/>
      <c r="XI300" s="11"/>
      <c r="XJ300" s="11"/>
      <c r="XK300" s="11"/>
      <c r="XL300" s="11"/>
      <c r="XM300" s="11"/>
      <c r="XN300" s="11"/>
      <c r="XO300" s="11"/>
      <c r="XP300" s="11"/>
      <c r="XQ300" s="11"/>
      <c r="XR300" s="11"/>
      <c r="XS300" s="11"/>
      <c r="XT300" s="11"/>
      <c r="XU300" s="11"/>
      <c r="XV300" s="11"/>
      <c r="XW300" s="11"/>
      <c r="XX300" s="11"/>
      <c r="XY300" s="11"/>
      <c r="XZ300" s="11"/>
      <c r="YA300" s="11"/>
      <c r="YB300" s="11"/>
      <c r="YC300" s="11"/>
      <c r="YD300" s="11"/>
      <c r="YE300" s="11"/>
      <c r="YF300" s="11"/>
      <c r="YG300" s="11"/>
      <c r="YH300" s="11"/>
      <c r="YI300" s="11"/>
      <c r="YJ300" s="11"/>
      <c r="YK300" s="11"/>
      <c r="YL300" s="11"/>
      <c r="YM300" s="11"/>
      <c r="YN300" s="11"/>
      <c r="YO300" s="11"/>
      <c r="YP300" s="11"/>
      <c r="YQ300" s="11"/>
      <c r="YR300" s="11"/>
      <c r="YS300" s="11"/>
      <c r="YT300" s="11"/>
      <c r="YU300" s="11"/>
      <c r="YV300" s="11"/>
      <c r="YW300" s="11"/>
      <c r="YX300" s="11"/>
      <c r="YY300" s="11"/>
      <c r="YZ300" s="11"/>
      <c r="ZA300" s="11"/>
      <c r="ZB300" s="11"/>
      <c r="ZC300" s="11"/>
      <c r="ZD300" s="11"/>
      <c r="ZE300" s="11"/>
      <c r="ZF300" s="11"/>
      <c r="ZG300" s="11"/>
      <c r="ZH300" s="11"/>
      <c r="ZI300" s="11"/>
      <c r="ZJ300" s="11"/>
      <c r="ZK300" s="11"/>
      <c r="ZL300" s="11"/>
      <c r="ZM300" s="11"/>
      <c r="ZN300" s="11"/>
      <c r="ZO300" s="11"/>
      <c r="ZP300" s="11"/>
      <c r="ZQ300" s="11"/>
      <c r="ZR300" s="11"/>
      <c r="ZS300" s="11"/>
      <c r="ZT300" s="11"/>
      <c r="ZU300" s="11"/>
      <c r="ZV300" s="11"/>
      <c r="ZW300" s="11"/>
      <c r="ZX300" s="11"/>
      <c r="ZY300" s="11"/>
      <c r="ZZ300" s="11"/>
      <c r="AAA300" s="11"/>
      <c r="AAB300" s="11"/>
      <c r="AAC300" s="11"/>
      <c r="AAD300" s="11"/>
      <c r="AAE300" s="11"/>
      <c r="AAF300" s="11"/>
      <c r="AAG300" s="11"/>
      <c r="AAH300" s="11"/>
      <c r="AAI300" s="11"/>
      <c r="AAJ300" s="11"/>
      <c r="AAK300" s="11"/>
      <c r="AAL300" s="11"/>
      <c r="AAM300" s="11"/>
      <c r="AAN300" s="11"/>
      <c r="AAO300" s="11"/>
      <c r="AAP300" s="11"/>
      <c r="AAQ300" s="11"/>
      <c r="AAR300" s="11"/>
      <c r="AAS300" s="11"/>
      <c r="AAT300" s="11"/>
      <c r="AAU300" s="11"/>
      <c r="AAV300" s="11"/>
      <c r="AAW300" s="11"/>
      <c r="AAX300" s="11"/>
      <c r="AAY300" s="11"/>
      <c r="AAZ300" s="11"/>
      <c r="ABA300" s="11"/>
      <c r="ABB300" s="11"/>
      <c r="ABC300" s="11"/>
      <c r="ABD300" s="11"/>
      <c r="ABE300" s="11"/>
      <c r="ABF300" s="11"/>
      <c r="ABG300" s="11"/>
      <c r="ABH300" s="11"/>
      <c r="ABI300" s="11"/>
      <c r="ABJ300" s="11"/>
      <c r="ABK300" s="11"/>
      <c r="ABL300" s="11"/>
      <c r="ABM300" s="11"/>
      <c r="ABN300" s="11"/>
      <c r="ABO300" s="11"/>
      <c r="ABP300" s="11"/>
      <c r="ABQ300" s="11"/>
      <c r="ABR300" s="11"/>
      <c r="ABS300" s="11"/>
      <c r="ABT300" s="11"/>
      <c r="ABU300" s="11"/>
      <c r="ABV300" s="11"/>
      <c r="ABW300" s="11"/>
      <c r="ABX300" s="11"/>
      <c r="ABY300" s="11"/>
      <c r="ABZ300" s="11"/>
      <c r="ACA300" s="11"/>
      <c r="ACB300" s="11"/>
      <c r="ACC300" s="11"/>
      <c r="ACD300" s="11"/>
      <c r="ACE300" s="11"/>
      <c r="ACF300" s="11"/>
      <c r="ACG300" s="11"/>
      <c r="ACH300" s="11"/>
      <c r="ACI300" s="11"/>
      <c r="ACJ300" s="11"/>
      <c r="ACK300" s="11"/>
      <c r="ACL300" s="11"/>
      <c r="ACM300" s="11"/>
      <c r="ACN300" s="11"/>
      <c r="ACO300" s="11"/>
      <c r="ACP300" s="11"/>
      <c r="ACQ300" s="11"/>
      <c r="ACR300" s="11"/>
      <c r="ACS300" s="11"/>
      <c r="ACT300" s="11"/>
      <c r="ACU300" s="11"/>
      <c r="ACV300" s="11"/>
      <c r="ACW300" s="11"/>
      <c r="ACX300" s="11"/>
      <c r="ACY300" s="11"/>
      <c r="ACZ300" s="11"/>
      <c r="ADA300" s="11"/>
      <c r="ADB300" s="11"/>
      <c r="ADC300" s="11"/>
      <c r="ADD300" s="11"/>
      <c r="ADE300" s="11"/>
      <c r="ADF300" s="11"/>
      <c r="ADG300" s="11"/>
      <c r="ADH300" s="11"/>
      <c r="ADI300" s="11"/>
      <c r="ADJ300" s="11"/>
      <c r="ADK300" s="11"/>
      <c r="ADL300" s="11"/>
      <c r="ADM300" s="11"/>
      <c r="ADN300" s="11"/>
      <c r="ADO300" s="11"/>
      <c r="ADP300" s="11"/>
      <c r="ADQ300" s="11"/>
      <c r="ADR300" s="11"/>
      <c r="ADS300" s="11"/>
      <c r="ADT300" s="11"/>
      <c r="ADU300" s="11"/>
      <c r="ADV300" s="11"/>
      <c r="ADW300" s="11"/>
      <c r="ADX300" s="11"/>
      <c r="ADY300" s="11"/>
      <c r="ADZ300" s="11"/>
      <c r="AEA300" s="11"/>
      <c r="AEB300" s="11"/>
      <c r="AEC300" s="11"/>
      <c r="AED300" s="11"/>
      <c r="AEE300" s="11"/>
      <c r="AEF300" s="11"/>
      <c r="AEG300" s="11"/>
      <c r="AEH300" s="11"/>
      <c r="AEI300" s="11"/>
      <c r="AEJ300" s="11"/>
      <c r="AEK300" s="11"/>
      <c r="AEL300" s="11"/>
      <c r="AEM300" s="11"/>
      <c r="AEN300" s="11"/>
      <c r="AEO300" s="11"/>
      <c r="AEP300" s="11"/>
      <c r="AEQ300" s="11"/>
      <c r="AER300" s="11"/>
      <c r="AES300" s="11"/>
      <c r="AET300" s="11"/>
      <c r="AEU300" s="11"/>
      <c r="AEV300" s="11"/>
      <c r="AEW300" s="11"/>
      <c r="AEX300" s="11"/>
      <c r="AEY300" s="11"/>
      <c r="AEZ300" s="11"/>
      <c r="AFA300" s="11"/>
      <c r="AFB300" s="11"/>
      <c r="AFC300" s="11"/>
      <c r="AFD300" s="11"/>
      <c r="AFE300" s="11"/>
      <c r="AFF300" s="11"/>
      <c r="AFG300" s="11"/>
      <c r="AFH300" s="11"/>
      <c r="AFI300" s="11"/>
      <c r="AFJ300" s="11"/>
      <c r="AFK300" s="11"/>
      <c r="AFL300" s="11"/>
      <c r="AFM300" s="11"/>
      <c r="AFN300" s="11"/>
      <c r="AFO300" s="11"/>
      <c r="AFP300" s="11"/>
      <c r="AFQ300" s="11"/>
      <c r="AFR300" s="11"/>
      <c r="AFS300" s="11"/>
      <c r="AFT300" s="11"/>
      <c r="AFU300" s="11"/>
      <c r="AFV300" s="11"/>
      <c r="AFW300" s="11"/>
      <c r="AFX300" s="11"/>
      <c r="AFY300" s="11"/>
      <c r="AFZ300" s="11"/>
      <c r="AGA300" s="11"/>
      <c r="AGB300" s="11"/>
      <c r="AGC300" s="11"/>
      <c r="AGD300" s="11"/>
      <c r="AGE300" s="11"/>
      <c r="AGF300" s="11"/>
      <c r="AGG300" s="11"/>
      <c r="AGH300" s="11"/>
      <c r="AGI300" s="11"/>
      <c r="AGJ300" s="11"/>
      <c r="AGK300" s="11"/>
      <c r="AGL300" s="11"/>
      <c r="AGM300" s="11"/>
      <c r="AGN300" s="11"/>
      <c r="AGO300" s="11"/>
      <c r="AGP300" s="11"/>
      <c r="AGQ300" s="11"/>
      <c r="AGR300" s="11"/>
      <c r="AGS300" s="11"/>
      <c r="AGT300" s="11"/>
      <c r="AGU300" s="11"/>
      <c r="AGV300" s="11"/>
      <c r="AGW300" s="11"/>
      <c r="AGX300" s="11"/>
      <c r="AGY300" s="11"/>
      <c r="AGZ300" s="11"/>
      <c r="AHA300" s="11"/>
      <c r="AHB300" s="11"/>
      <c r="AHC300" s="11"/>
      <c r="AHD300" s="11"/>
      <c r="AHE300" s="11"/>
      <c r="AHF300" s="11"/>
      <c r="AHG300" s="11"/>
      <c r="AHH300" s="11"/>
      <c r="AHI300" s="11"/>
      <c r="AHJ300" s="11"/>
      <c r="AHK300" s="11"/>
      <c r="AHL300" s="11"/>
      <c r="AHM300" s="11"/>
      <c r="AHN300" s="11"/>
      <c r="AHO300" s="11"/>
      <c r="AHP300" s="11"/>
      <c r="AHQ300" s="11"/>
      <c r="AHR300" s="11"/>
      <c r="AHS300" s="11"/>
      <c r="AHT300" s="11"/>
      <c r="AHU300" s="11"/>
      <c r="AHV300" s="11"/>
      <c r="AHW300" s="11"/>
      <c r="AHX300" s="11"/>
      <c r="AHY300" s="11"/>
      <c r="AHZ300" s="11"/>
      <c r="AIA300" s="11"/>
      <c r="AIB300" s="11"/>
      <c r="AIC300" s="11"/>
      <c r="AID300" s="11"/>
      <c r="AIE300" s="11"/>
      <c r="AIF300" s="11"/>
      <c r="AIG300" s="11"/>
      <c r="AIH300" s="11"/>
      <c r="AII300" s="11"/>
      <c r="AIJ300" s="11"/>
      <c r="AIK300" s="11"/>
      <c r="AIL300" s="11"/>
      <c r="AIM300" s="11"/>
      <c r="AIN300" s="11"/>
      <c r="AIO300" s="11"/>
      <c r="AIP300" s="11"/>
      <c r="AIQ300" s="11"/>
      <c r="AIR300" s="11"/>
      <c r="AIS300" s="11"/>
      <c r="AIT300" s="11"/>
      <c r="AIU300" s="11"/>
      <c r="AIV300" s="11"/>
      <c r="AIW300" s="11"/>
      <c r="AIX300" s="11"/>
      <c r="AIY300" s="11"/>
      <c r="AIZ300" s="11"/>
      <c r="AJA300" s="11"/>
      <c r="AJB300" s="11"/>
      <c r="AJC300" s="11"/>
      <c r="AJD300" s="11"/>
      <c r="AJE300" s="11"/>
      <c r="AJF300" s="11"/>
      <c r="AJG300" s="11"/>
      <c r="AJH300" s="11"/>
      <c r="AJI300" s="11"/>
      <c r="AJJ300" s="11"/>
      <c r="AJK300" s="11"/>
      <c r="AJL300" s="11"/>
      <c r="AJM300" s="11"/>
      <c r="AJN300" s="11"/>
      <c r="AJO300" s="11"/>
      <c r="AJP300" s="11"/>
      <c r="AJQ300" s="11"/>
      <c r="AJR300" s="11"/>
      <c r="AJS300" s="11"/>
      <c r="AJT300" s="11"/>
      <c r="AJU300" s="11"/>
      <c r="AJV300" s="11"/>
      <c r="AJW300" s="11"/>
      <c r="AJX300" s="11"/>
      <c r="AJY300" s="11"/>
      <c r="AJZ300" s="11"/>
      <c r="AKA300" s="11"/>
      <c r="AKB300" s="11"/>
      <c r="AKC300" s="11"/>
      <c r="AKD300" s="11"/>
      <c r="AKE300" s="11"/>
      <c r="AKF300" s="11"/>
      <c r="AKG300" s="11"/>
      <c r="AKH300" s="11"/>
      <c r="AKI300" s="11"/>
      <c r="AKJ300" s="11"/>
      <c r="AKK300" s="11"/>
      <c r="AKL300" s="11"/>
      <c r="AKM300" s="11"/>
      <c r="AKN300" s="11"/>
      <c r="AKO300" s="11"/>
      <c r="AKP300" s="11"/>
      <c r="AKQ300" s="11"/>
      <c r="AKR300" s="11"/>
      <c r="AKS300" s="11"/>
      <c r="AKT300" s="11"/>
      <c r="AKU300" s="11"/>
      <c r="AKV300" s="11"/>
      <c r="AKW300" s="11"/>
      <c r="AKX300" s="11"/>
      <c r="AKY300" s="11"/>
      <c r="AKZ300" s="11"/>
      <c r="ALA300" s="11"/>
      <c r="ALB300" s="11"/>
      <c r="ALC300" s="11"/>
      <c r="ALD300" s="11"/>
      <c r="ALE300" s="11"/>
      <c r="ALF300" s="11"/>
      <c r="ALG300" s="11"/>
      <c r="ALH300" s="11"/>
      <c r="ALI300" s="11"/>
      <c r="ALJ300" s="11"/>
      <c r="ALK300" s="11"/>
      <c r="ALL300" s="11"/>
      <c r="ALM300" s="11"/>
      <c r="ALN300" s="11"/>
      <c r="ALO300" s="11"/>
      <c r="ALP300" s="11"/>
      <c r="ALQ300" s="11"/>
      <c r="ALR300" s="11"/>
      <c r="ALS300" s="11"/>
      <c r="ALT300" s="11"/>
      <c r="ALU300" s="11"/>
      <c r="ALV300" s="11"/>
      <c r="ALW300" s="11"/>
      <c r="ALX300" s="11"/>
      <c r="ALY300" s="11"/>
      <c r="ALZ300" s="11"/>
      <c r="AMA300" s="11"/>
      <c r="AMB300" s="11"/>
      <c r="AMC300" s="11"/>
      <c r="AMD300" s="11"/>
      <c r="AME300" s="11"/>
      <c r="AMF300" s="11"/>
      <c r="AMG300" s="11"/>
      <c r="AMH300" s="11"/>
      <c r="AMI300" s="11"/>
      <c r="AMJ300" s="11"/>
      <c r="AMK300" s="11"/>
      <c r="AML300" s="11"/>
      <c r="AMM300" s="11"/>
      <c r="AMN300" s="11"/>
      <c r="AMO300" s="11"/>
      <c r="AMP300" s="11"/>
      <c r="AMQ300" s="11"/>
      <c r="AMR300" s="11"/>
      <c r="AMS300" s="11"/>
      <c r="AMT300" s="11"/>
      <c r="AMU300" s="11"/>
      <c r="AMV300" s="11"/>
      <c r="AMW300" s="11"/>
      <c r="AMX300" s="11"/>
      <c r="AMY300" s="11"/>
      <c r="AMZ300" s="11"/>
      <c r="ANA300" s="11"/>
      <c r="ANB300" s="11"/>
      <c r="ANC300" s="11"/>
      <c r="AND300" s="11"/>
      <c r="ANE300" s="11"/>
      <c r="ANF300" s="11"/>
      <c r="ANG300" s="11"/>
      <c r="ANH300" s="11"/>
      <c r="ANI300" s="11"/>
      <c r="ANJ300" s="11"/>
      <c r="ANK300" s="11"/>
      <c r="ANL300" s="11"/>
      <c r="ANM300" s="11"/>
      <c r="ANN300" s="11"/>
      <c r="ANO300" s="11"/>
      <c r="ANP300" s="11"/>
      <c r="ANQ300" s="11"/>
      <c r="ANR300" s="11"/>
      <c r="ANS300" s="11"/>
      <c r="ANT300" s="11"/>
      <c r="ANU300" s="11"/>
      <c r="ANV300" s="11"/>
      <c r="ANW300" s="11"/>
      <c r="ANX300" s="11"/>
      <c r="ANY300" s="11"/>
      <c r="ANZ300" s="11"/>
      <c r="AOA300" s="11"/>
      <c r="AOB300" s="11"/>
      <c r="AOC300" s="11"/>
      <c r="AOD300" s="11"/>
      <c r="AOE300" s="11"/>
      <c r="AOF300" s="11"/>
      <c r="AOG300" s="11"/>
      <c r="AOH300" s="11"/>
      <c r="AOI300" s="11"/>
      <c r="AOJ300" s="11"/>
      <c r="AOK300" s="11"/>
      <c r="AOL300" s="11"/>
      <c r="AOM300" s="11"/>
      <c r="AON300" s="11"/>
      <c r="AOO300" s="11"/>
      <c r="AOP300" s="11"/>
      <c r="AOQ300" s="11"/>
      <c r="AOR300" s="11"/>
      <c r="AOS300" s="11"/>
      <c r="AOT300" s="11"/>
      <c r="AOU300" s="11"/>
      <c r="AOV300" s="11"/>
      <c r="AOW300" s="11"/>
      <c r="AOX300" s="11"/>
      <c r="AOY300" s="11"/>
      <c r="AOZ300" s="11"/>
      <c r="APA300" s="11"/>
      <c r="APB300" s="11"/>
      <c r="APC300" s="11"/>
      <c r="APD300" s="11"/>
      <c r="APE300" s="11"/>
      <c r="APF300" s="11"/>
      <c r="APG300" s="11"/>
      <c r="APH300" s="11"/>
      <c r="API300" s="11"/>
      <c r="APJ300" s="11"/>
      <c r="APK300" s="11"/>
      <c r="APL300" s="11"/>
      <c r="APM300" s="11"/>
      <c r="APN300" s="11"/>
      <c r="APO300" s="11"/>
      <c r="APP300" s="11"/>
      <c r="APQ300" s="11"/>
      <c r="APR300" s="11"/>
      <c r="APS300" s="11"/>
      <c r="APT300" s="11"/>
      <c r="APU300" s="11"/>
      <c r="APV300" s="11"/>
      <c r="APW300" s="11"/>
      <c r="APX300" s="11"/>
      <c r="APY300" s="11"/>
      <c r="APZ300" s="11"/>
      <c r="AQA300" s="11"/>
      <c r="AQB300" s="11"/>
      <c r="AQC300" s="11"/>
      <c r="AQD300" s="11"/>
      <c r="AQE300" s="11"/>
      <c r="AQF300" s="11"/>
      <c r="AQG300" s="11"/>
      <c r="AQH300" s="11"/>
      <c r="AQI300" s="11"/>
      <c r="AQJ300" s="11"/>
      <c r="AQK300" s="11"/>
      <c r="AQL300" s="11"/>
      <c r="AQM300" s="11"/>
      <c r="AQN300" s="11"/>
      <c r="AQO300" s="11"/>
      <c r="AQP300" s="11"/>
      <c r="AQQ300" s="11"/>
      <c r="AQR300" s="11"/>
      <c r="AQS300" s="11"/>
      <c r="AQT300" s="11"/>
      <c r="AQU300" s="11"/>
      <c r="AQV300" s="11"/>
      <c r="AQW300" s="11"/>
      <c r="AQX300" s="11"/>
      <c r="AQY300" s="11"/>
      <c r="AQZ300" s="11"/>
      <c r="ARA300" s="11"/>
      <c r="ARB300" s="11"/>
      <c r="ARC300" s="11"/>
      <c r="ARD300" s="11"/>
      <c r="ARE300" s="11"/>
      <c r="ARF300" s="11"/>
      <c r="ARG300" s="11"/>
      <c r="ARH300" s="11"/>
      <c r="ARI300" s="11"/>
      <c r="ARJ300" s="11"/>
      <c r="ARK300" s="11"/>
      <c r="ARL300" s="11"/>
      <c r="ARM300" s="11"/>
      <c r="ARN300" s="11"/>
      <c r="ARO300" s="11"/>
      <c r="ARP300" s="11"/>
      <c r="ARQ300" s="11"/>
      <c r="ARR300" s="11"/>
      <c r="ARS300" s="11"/>
      <c r="ART300" s="11"/>
      <c r="ARU300" s="11"/>
      <c r="ARV300" s="11"/>
      <c r="ARW300" s="11"/>
      <c r="ARX300" s="11"/>
      <c r="ARY300" s="11"/>
      <c r="ARZ300" s="11"/>
      <c r="ASA300" s="11"/>
      <c r="ASB300" s="11"/>
      <c r="ASC300" s="11"/>
      <c r="ASD300" s="11"/>
      <c r="ASE300" s="11"/>
      <c r="ASF300" s="11"/>
      <c r="ASG300" s="11"/>
      <c r="ASH300" s="11"/>
      <c r="ASI300" s="11"/>
      <c r="ASJ300" s="11"/>
      <c r="ASK300" s="11"/>
      <c r="ASL300" s="11"/>
      <c r="ASM300" s="11"/>
      <c r="ASN300" s="11"/>
      <c r="ASO300" s="11"/>
      <c r="ASP300" s="11"/>
      <c r="ASQ300" s="11"/>
      <c r="ASR300" s="11"/>
      <c r="ASS300" s="11"/>
      <c r="AST300" s="11"/>
      <c r="ASU300" s="11"/>
      <c r="ASV300" s="11"/>
      <c r="ASW300" s="11"/>
      <c r="ASX300" s="11"/>
      <c r="ASY300" s="11"/>
      <c r="ASZ300" s="11"/>
      <c r="ATA300" s="11"/>
      <c r="ATB300" s="11"/>
      <c r="ATC300" s="11"/>
      <c r="ATD300" s="11"/>
      <c r="ATE300" s="11"/>
      <c r="ATF300" s="11"/>
      <c r="ATG300" s="11"/>
      <c r="ATH300" s="11"/>
      <c r="ATI300" s="11"/>
      <c r="ATJ300" s="11"/>
      <c r="ATK300" s="11"/>
      <c r="ATL300" s="11"/>
      <c r="ATM300" s="11"/>
      <c r="ATN300" s="11"/>
      <c r="ATO300" s="11"/>
      <c r="ATP300" s="11"/>
      <c r="ATQ300" s="11"/>
      <c r="ATR300" s="11"/>
      <c r="ATS300" s="11"/>
      <c r="ATT300" s="11"/>
      <c r="ATU300" s="11"/>
      <c r="ATV300" s="11"/>
      <c r="ATW300" s="11"/>
      <c r="ATX300" s="11"/>
      <c r="ATY300" s="11"/>
      <c r="ATZ300" s="11"/>
      <c r="AUA300" s="11"/>
      <c r="AUB300" s="11"/>
      <c r="AUC300" s="11"/>
      <c r="AUD300" s="11"/>
      <c r="AUE300" s="11"/>
      <c r="AUF300" s="11"/>
      <c r="AUG300" s="11"/>
      <c r="AUH300" s="11"/>
      <c r="AUI300" s="11"/>
      <c r="AUJ300" s="11"/>
      <c r="AUK300" s="11"/>
      <c r="AUL300" s="11"/>
      <c r="AUM300" s="11"/>
      <c r="AUN300" s="11"/>
      <c r="AUO300" s="11"/>
      <c r="AUP300" s="11"/>
      <c r="AUQ300" s="11"/>
      <c r="AUR300" s="11"/>
      <c r="AUS300" s="11"/>
      <c r="AUT300" s="11"/>
      <c r="AUU300" s="11"/>
      <c r="AUV300" s="11"/>
      <c r="AUW300" s="11"/>
      <c r="AUX300" s="11"/>
      <c r="AUY300" s="11"/>
      <c r="AUZ300" s="11"/>
      <c r="AVA300" s="11"/>
      <c r="AVB300" s="11"/>
      <c r="AVC300" s="11"/>
      <c r="AVD300" s="11"/>
      <c r="AVE300" s="11"/>
      <c r="AVF300" s="11"/>
      <c r="AVG300" s="11"/>
      <c r="AVH300" s="11"/>
      <c r="AVI300" s="11"/>
      <c r="AVJ300" s="11"/>
      <c r="AVK300" s="11"/>
      <c r="AVL300" s="11"/>
      <c r="AVM300" s="11"/>
      <c r="AVN300" s="11"/>
      <c r="AVO300" s="11"/>
      <c r="AVP300" s="11"/>
      <c r="AVQ300" s="11"/>
      <c r="AVR300" s="11"/>
      <c r="AVS300" s="11"/>
      <c r="AVT300" s="11"/>
      <c r="AVU300" s="11"/>
      <c r="AVV300" s="11"/>
      <c r="AVW300" s="11"/>
      <c r="AVX300" s="11"/>
      <c r="AVY300" s="11"/>
      <c r="AVZ300" s="11"/>
      <c r="AWA300" s="11"/>
      <c r="AWB300" s="11"/>
      <c r="AWC300" s="11"/>
      <c r="AWD300" s="11"/>
      <c r="AWE300" s="11"/>
      <c r="AWF300" s="11"/>
      <c r="AWG300" s="11"/>
      <c r="AWH300" s="11"/>
      <c r="AWI300" s="11"/>
      <c r="AWJ300" s="11"/>
      <c r="AWK300" s="11"/>
      <c r="AWL300" s="11"/>
      <c r="AWM300" s="11"/>
      <c r="AWN300" s="11"/>
      <c r="AWO300" s="11"/>
      <c r="AWP300" s="11"/>
      <c r="AWQ300" s="11"/>
      <c r="AWR300" s="11"/>
      <c r="AWS300" s="11"/>
      <c r="AWT300" s="11"/>
      <c r="AWU300" s="11"/>
      <c r="AWV300" s="11"/>
      <c r="AWW300" s="11"/>
      <c r="AWX300" s="11"/>
      <c r="AWY300" s="11"/>
      <c r="AWZ300" s="11"/>
      <c r="AXA300" s="11"/>
      <c r="AXB300" s="11"/>
      <c r="AXC300" s="11"/>
      <c r="AXD300" s="11"/>
      <c r="AXE300" s="11"/>
      <c r="AXF300" s="11"/>
      <c r="AXG300" s="11"/>
      <c r="AXH300" s="11"/>
      <c r="AXI300" s="11"/>
      <c r="AXJ300" s="11"/>
      <c r="AXK300" s="11"/>
      <c r="AXL300" s="11"/>
      <c r="AXM300" s="11"/>
      <c r="AXN300" s="11"/>
      <c r="AXO300" s="11"/>
      <c r="AXP300" s="11"/>
      <c r="AXQ300" s="11"/>
      <c r="AXR300" s="11"/>
      <c r="AXS300" s="11"/>
      <c r="AXT300" s="11"/>
      <c r="AXU300" s="11"/>
      <c r="AXV300" s="11"/>
      <c r="AXW300" s="11"/>
      <c r="AXX300" s="11"/>
      <c r="AXY300" s="11"/>
      <c r="AXZ300" s="11"/>
      <c r="AYA300" s="11"/>
      <c r="AYB300" s="11"/>
      <c r="AYC300" s="11"/>
      <c r="AYD300" s="11"/>
      <c r="AYE300" s="11"/>
      <c r="AYF300" s="11"/>
      <c r="AYG300" s="11"/>
      <c r="AYH300" s="11"/>
      <c r="AYI300" s="11"/>
      <c r="AYJ300" s="11"/>
      <c r="AYK300" s="11"/>
      <c r="AYL300" s="11"/>
      <c r="AYM300" s="11"/>
      <c r="AYN300" s="11"/>
      <c r="AYO300" s="11"/>
      <c r="AYP300" s="11"/>
      <c r="AYQ300" s="11"/>
      <c r="AYR300" s="11"/>
      <c r="AYS300" s="11"/>
      <c r="AYT300" s="11"/>
      <c r="AYU300" s="11"/>
      <c r="AYV300" s="11"/>
      <c r="AYW300" s="11"/>
      <c r="AYX300" s="11"/>
      <c r="AYY300" s="11"/>
      <c r="AYZ300" s="11"/>
      <c r="AZA300" s="11"/>
      <c r="AZB300" s="11"/>
      <c r="AZC300" s="11"/>
      <c r="AZD300" s="11"/>
      <c r="AZE300" s="11"/>
      <c r="AZF300" s="11"/>
      <c r="AZG300" s="11"/>
      <c r="AZH300" s="11"/>
      <c r="AZI300" s="11"/>
      <c r="AZJ300" s="11"/>
      <c r="AZK300" s="11"/>
      <c r="AZL300" s="11"/>
      <c r="AZM300" s="11"/>
      <c r="AZN300" s="11"/>
      <c r="AZO300" s="11"/>
      <c r="AZP300" s="11"/>
      <c r="AZQ300" s="11"/>
      <c r="AZR300" s="11"/>
      <c r="AZS300" s="11"/>
      <c r="AZT300" s="11"/>
      <c r="AZU300" s="11"/>
      <c r="AZV300" s="11"/>
      <c r="AZW300" s="11"/>
      <c r="AZX300" s="11"/>
      <c r="AZY300" s="11"/>
      <c r="AZZ300" s="11"/>
      <c r="BAA300" s="11"/>
      <c r="BAB300" s="11"/>
      <c r="BAC300" s="11"/>
      <c r="BAD300" s="11"/>
      <c r="BAE300" s="11"/>
      <c r="BAF300" s="11"/>
      <c r="BAG300" s="11"/>
      <c r="BAH300" s="11"/>
      <c r="BAI300" s="11"/>
      <c r="BAJ300" s="11"/>
      <c r="BAK300" s="11"/>
      <c r="BAL300" s="11"/>
      <c r="BAM300" s="11"/>
      <c r="BAN300" s="11"/>
      <c r="BAO300" s="11"/>
      <c r="BAP300" s="11"/>
      <c r="BAQ300" s="11"/>
      <c r="BAR300" s="11"/>
      <c r="BAS300" s="11"/>
      <c r="BAT300" s="11"/>
      <c r="BAU300" s="11"/>
      <c r="BAV300" s="11"/>
      <c r="BAW300" s="11"/>
      <c r="BAX300" s="11"/>
      <c r="BAY300" s="11"/>
      <c r="BAZ300" s="11"/>
      <c r="BBA300" s="11"/>
      <c r="BBB300" s="11"/>
      <c r="BBC300" s="11"/>
      <c r="BBD300" s="11"/>
      <c r="BBE300" s="11"/>
      <c r="BBF300" s="11"/>
      <c r="BBG300" s="11"/>
      <c r="BBH300" s="11"/>
      <c r="BBI300" s="11"/>
      <c r="BBJ300" s="11"/>
      <c r="BBK300" s="11"/>
      <c r="BBL300" s="11"/>
      <c r="BBM300" s="11"/>
      <c r="BBN300" s="11"/>
      <c r="BBO300" s="11"/>
      <c r="BBP300" s="11"/>
      <c r="BBQ300" s="11"/>
      <c r="BBR300" s="11"/>
      <c r="BBS300" s="11"/>
      <c r="BBT300" s="11"/>
      <c r="BBU300" s="11"/>
      <c r="BBV300" s="11"/>
      <c r="BBW300" s="11"/>
      <c r="BBX300" s="11"/>
      <c r="BBY300" s="11"/>
      <c r="BBZ300" s="11"/>
      <c r="BCA300" s="11"/>
      <c r="BCB300" s="11"/>
      <c r="BCC300" s="11"/>
      <c r="BCD300" s="11"/>
      <c r="BCE300" s="11"/>
      <c r="BCF300" s="11"/>
      <c r="BCG300" s="11"/>
      <c r="BCH300" s="11"/>
      <c r="BCI300" s="11"/>
      <c r="BCJ300" s="11"/>
      <c r="BCK300" s="11"/>
      <c r="BCL300" s="11"/>
      <c r="BCM300" s="11"/>
      <c r="BCN300" s="11"/>
      <c r="BCO300" s="11"/>
      <c r="BCP300" s="11"/>
      <c r="BCQ300" s="11"/>
      <c r="BCR300" s="11"/>
      <c r="BCS300" s="11"/>
      <c r="BCT300" s="11"/>
      <c r="BCU300" s="11"/>
      <c r="BCV300" s="11"/>
      <c r="BCW300" s="11"/>
      <c r="BCX300" s="11"/>
      <c r="BCY300" s="11"/>
      <c r="BCZ300" s="11"/>
      <c r="BDA300" s="11"/>
      <c r="BDB300" s="11"/>
      <c r="BDC300" s="11"/>
      <c r="BDD300" s="11"/>
      <c r="BDE300" s="11"/>
      <c r="BDF300" s="11"/>
      <c r="BDG300" s="11"/>
      <c r="BDH300" s="11"/>
      <c r="BDI300" s="11"/>
      <c r="BDJ300" s="11"/>
      <c r="BDK300" s="11"/>
      <c r="BDL300" s="11"/>
      <c r="BDM300" s="11"/>
      <c r="BDN300" s="11"/>
      <c r="BDO300" s="11"/>
      <c r="BDP300" s="11"/>
      <c r="BDQ300" s="11"/>
      <c r="BDR300" s="11"/>
      <c r="BDS300" s="11"/>
      <c r="BDT300" s="11"/>
      <c r="BDU300" s="11"/>
      <c r="BDV300" s="11"/>
      <c r="BDW300" s="11"/>
      <c r="BDX300" s="11"/>
      <c r="BDY300" s="11"/>
      <c r="BDZ300" s="11"/>
      <c r="BEA300" s="11"/>
      <c r="BEB300" s="11"/>
      <c r="BEC300" s="11"/>
      <c r="BED300" s="11"/>
      <c r="BEE300" s="11"/>
      <c r="BEF300" s="11"/>
      <c r="BEG300" s="11"/>
      <c r="BEH300" s="11"/>
      <c r="BEI300" s="11"/>
      <c r="BEJ300" s="11"/>
      <c r="BEK300" s="11"/>
      <c r="BEL300" s="11"/>
      <c r="BEM300" s="11"/>
      <c r="BEN300" s="11"/>
      <c r="BEO300" s="11"/>
      <c r="BEP300" s="11"/>
      <c r="BEQ300" s="11"/>
      <c r="BER300" s="11"/>
      <c r="BES300" s="11"/>
      <c r="BET300" s="11"/>
      <c r="BEU300" s="11"/>
      <c r="BEV300" s="11"/>
      <c r="BEW300" s="11"/>
      <c r="BEX300" s="11"/>
      <c r="BEY300" s="11"/>
      <c r="BEZ300" s="11"/>
      <c r="BFA300" s="11"/>
      <c r="BFB300" s="11"/>
      <c r="BFC300" s="11"/>
      <c r="BFD300" s="11"/>
      <c r="BFE300" s="11"/>
      <c r="BFF300" s="11"/>
      <c r="BFG300" s="11"/>
      <c r="BFH300" s="11"/>
      <c r="BFI300" s="11"/>
      <c r="BFJ300" s="11"/>
      <c r="BFK300" s="11"/>
      <c r="BFL300" s="11"/>
      <c r="BFM300" s="11"/>
      <c r="BFN300" s="11"/>
      <c r="BFO300" s="11"/>
      <c r="BFP300" s="11"/>
      <c r="BFQ300" s="11"/>
      <c r="BFR300" s="11"/>
      <c r="BFS300" s="11"/>
      <c r="BFT300" s="11"/>
      <c r="BFU300" s="11"/>
      <c r="BFV300" s="11"/>
      <c r="BFW300" s="11"/>
      <c r="BFX300" s="11"/>
      <c r="BFY300" s="11"/>
      <c r="BFZ300" s="11"/>
      <c r="BGA300" s="11"/>
      <c r="BGB300" s="11"/>
      <c r="BGC300" s="11"/>
      <c r="BGD300" s="11"/>
      <c r="BGE300" s="11"/>
      <c r="BGF300" s="11"/>
      <c r="BGG300" s="11"/>
      <c r="BGH300" s="11"/>
      <c r="BGI300" s="11"/>
      <c r="BGJ300" s="11"/>
      <c r="BGK300" s="11"/>
      <c r="BGL300" s="11"/>
      <c r="BGM300" s="11"/>
      <c r="BGN300" s="11"/>
      <c r="BGO300" s="11"/>
      <c r="BGP300" s="11"/>
      <c r="BGQ300" s="11"/>
      <c r="BGR300" s="11"/>
      <c r="BGS300" s="11"/>
      <c r="BGT300" s="11"/>
      <c r="BGU300" s="11"/>
      <c r="BGV300" s="11"/>
      <c r="BGW300" s="11"/>
      <c r="BGX300" s="11"/>
      <c r="BGY300" s="11"/>
      <c r="BGZ300" s="11"/>
      <c r="BHA300" s="11"/>
      <c r="BHB300" s="11"/>
      <c r="BHC300" s="11"/>
      <c r="BHD300" s="11"/>
      <c r="BHE300" s="11"/>
      <c r="BHF300" s="11"/>
      <c r="BHG300" s="11"/>
      <c r="BHH300" s="11"/>
      <c r="BHI300" s="11"/>
      <c r="BHJ300" s="11"/>
      <c r="BHK300" s="11"/>
      <c r="BHL300" s="11"/>
      <c r="BHM300" s="11"/>
      <c r="BHN300" s="11"/>
      <c r="BHO300" s="11"/>
      <c r="BHP300" s="11"/>
      <c r="BHQ300" s="11"/>
      <c r="BHR300" s="11"/>
      <c r="BHS300" s="11"/>
      <c r="BHT300" s="11"/>
      <c r="BHU300" s="11"/>
      <c r="BHV300" s="11"/>
      <c r="BHW300" s="11"/>
      <c r="BHX300" s="11"/>
      <c r="BHY300" s="11"/>
      <c r="BHZ300" s="11"/>
      <c r="BIA300" s="11"/>
      <c r="BIB300" s="11"/>
      <c r="BIC300" s="11"/>
      <c r="BID300" s="11"/>
      <c r="BIE300" s="11"/>
      <c r="BIF300" s="11"/>
      <c r="BIG300" s="11"/>
      <c r="BIH300" s="11"/>
      <c r="BII300" s="11"/>
      <c r="BIJ300" s="11"/>
      <c r="BIK300" s="11"/>
      <c r="BIL300" s="11"/>
      <c r="BIM300" s="11"/>
      <c r="BIN300" s="11"/>
      <c r="BIO300" s="11"/>
      <c r="BIP300" s="11"/>
      <c r="BIQ300" s="11"/>
      <c r="BIR300" s="11"/>
      <c r="BIS300" s="11"/>
      <c r="BIT300" s="11"/>
      <c r="BIU300" s="11"/>
      <c r="BIV300" s="11"/>
      <c r="BIW300" s="11"/>
      <c r="BIX300" s="11"/>
      <c r="BIY300" s="11"/>
      <c r="BIZ300" s="11"/>
      <c r="BJA300" s="11"/>
      <c r="BJB300" s="11"/>
      <c r="BJC300" s="11"/>
      <c r="BJD300" s="11"/>
      <c r="BJE300" s="11"/>
      <c r="BJF300" s="11"/>
      <c r="BJG300" s="11"/>
      <c r="BJH300" s="11"/>
      <c r="BJI300" s="11"/>
      <c r="BJJ300" s="11"/>
      <c r="BJK300" s="11"/>
      <c r="BJL300" s="11"/>
      <c r="BJM300" s="11"/>
      <c r="BJN300" s="11"/>
      <c r="BJO300" s="11"/>
      <c r="BJP300" s="11"/>
      <c r="BJQ300" s="11"/>
      <c r="BJR300" s="11"/>
      <c r="BJS300" s="11"/>
      <c r="BJT300" s="11"/>
      <c r="BJU300" s="11"/>
      <c r="BJV300" s="11"/>
      <c r="BJW300" s="11"/>
      <c r="BJX300" s="11"/>
      <c r="BJY300" s="11"/>
      <c r="BJZ300" s="11"/>
      <c r="BKA300" s="11"/>
      <c r="BKB300" s="11"/>
      <c r="BKC300" s="11"/>
      <c r="BKD300" s="11"/>
      <c r="BKE300" s="11"/>
      <c r="BKF300" s="11"/>
      <c r="BKG300" s="11"/>
      <c r="BKH300" s="11"/>
      <c r="BKI300" s="11"/>
      <c r="BKJ300" s="11"/>
      <c r="BKK300" s="11"/>
      <c r="BKL300" s="11"/>
      <c r="BKM300" s="11"/>
      <c r="BKN300" s="11"/>
      <c r="BKO300" s="11"/>
      <c r="BKP300" s="11"/>
      <c r="BKQ300" s="11"/>
      <c r="BKR300" s="11"/>
      <c r="BKS300" s="11"/>
      <c r="BKT300" s="11"/>
      <c r="BKU300" s="11"/>
      <c r="BKV300" s="11"/>
      <c r="BKW300" s="11"/>
      <c r="BKX300" s="11"/>
      <c r="BKY300" s="11"/>
      <c r="BKZ300" s="11"/>
      <c r="BLA300" s="11"/>
      <c r="BLB300" s="11"/>
      <c r="BLC300" s="11"/>
      <c r="BLD300" s="11"/>
      <c r="BLE300" s="11"/>
      <c r="BLF300" s="11"/>
      <c r="BLG300" s="11"/>
      <c r="BLH300" s="11"/>
      <c r="BLI300" s="11"/>
      <c r="BLJ300" s="11"/>
      <c r="BLK300" s="11"/>
      <c r="BLL300" s="11"/>
      <c r="BLM300" s="11"/>
      <c r="BLN300" s="11"/>
      <c r="BLO300" s="11"/>
      <c r="BLP300" s="11"/>
      <c r="BLQ300" s="11"/>
      <c r="BLR300" s="11"/>
      <c r="BLS300" s="11"/>
      <c r="BLT300" s="11"/>
      <c r="BLU300" s="11"/>
      <c r="BLV300" s="11"/>
      <c r="BLW300" s="11"/>
      <c r="BLX300" s="11"/>
      <c r="BLY300" s="11"/>
      <c r="BLZ300" s="11"/>
      <c r="BMA300" s="11"/>
      <c r="BMB300" s="11"/>
      <c r="BMC300" s="11"/>
      <c r="BMD300" s="11"/>
      <c r="BME300" s="11"/>
      <c r="BMF300" s="11"/>
      <c r="BMG300" s="11"/>
      <c r="BMH300" s="11"/>
      <c r="BMI300" s="11"/>
      <c r="BMJ300" s="11"/>
      <c r="BMK300" s="11"/>
      <c r="BML300" s="11"/>
      <c r="BMM300" s="11"/>
      <c r="BMN300" s="11"/>
      <c r="BMO300" s="11"/>
      <c r="BMP300" s="11"/>
      <c r="BMQ300" s="11"/>
      <c r="BMR300" s="11"/>
      <c r="BMS300" s="11"/>
      <c r="BMT300" s="11"/>
      <c r="BMU300" s="11"/>
      <c r="BMV300" s="11"/>
      <c r="BMW300" s="11"/>
      <c r="BMX300" s="11"/>
      <c r="BMY300" s="11"/>
      <c r="BMZ300" s="11"/>
      <c r="BNA300" s="11"/>
      <c r="BNB300" s="11"/>
      <c r="BNC300" s="11"/>
      <c r="BND300" s="11"/>
      <c r="BNE300" s="11"/>
      <c r="BNF300" s="11"/>
      <c r="BNG300" s="11"/>
      <c r="BNH300" s="11"/>
      <c r="BNI300" s="11"/>
      <c r="BNJ300" s="11"/>
      <c r="BNK300" s="11"/>
      <c r="BNL300" s="11"/>
      <c r="BNM300" s="11"/>
      <c r="BNN300" s="11"/>
      <c r="BNO300" s="11"/>
      <c r="BNP300" s="11"/>
      <c r="BNQ300" s="11"/>
      <c r="BNR300" s="11"/>
      <c r="BNS300" s="11"/>
      <c r="BNT300" s="11"/>
      <c r="BNU300" s="11"/>
      <c r="BNV300" s="11"/>
      <c r="BNW300" s="11"/>
      <c r="BNX300" s="11"/>
      <c r="BNY300" s="11"/>
      <c r="BNZ300" s="11"/>
      <c r="BOA300" s="11"/>
      <c r="BOB300" s="11"/>
      <c r="BOC300" s="11"/>
      <c r="BOD300" s="11"/>
      <c r="BOE300" s="11"/>
      <c r="BOF300" s="11"/>
      <c r="BOG300" s="11"/>
      <c r="BOH300" s="11"/>
      <c r="BOI300" s="11"/>
      <c r="BOJ300" s="11"/>
      <c r="BOK300" s="11"/>
      <c r="BOL300" s="11"/>
      <c r="BOM300" s="11"/>
      <c r="BON300" s="11"/>
      <c r="BOO300" s="11"/>
      <c r="BOP300" s="11"/>
      <c r="BOQ300" s="11"/>
      <c r="BOR300" s="11"/>
      <c r="BOS300" s="11"/>
      <c r="BOT300" s="11"/>
      <c r="BOU300" s="11"/>
      <c r="BOV300" s="11"/>
      <c r="BOW300" s="11"/>
      <c r="BOX300" s="11"/>
      <c r="BOY300" s="11"/>
      <c r="BOZ300" s="11"/>
      <c r="BPA300" s="11"/>
      <c r="BPB300" s="11"/>
      <c r="BPC300" s="11"/>
      <c r="BPD300" s="11"/>
      <c r="BPE300" s="11"/>
      <c r="BPF300" s="11"/>
      <c r="BPG300" s="11"/>
      <c r="BPH300" s="11"/>
      <c r="BPI300" s="11"/>
      <c r="BPJ300" s="11"/>
      <c r="BPK300" s="11"/>
      <c r="BPL300" s="11"/>
      <c r="BPM300" s="11"/>
      <c r="BPN300" s="11"/>
      <c r="BPO300" s="11"/>
      <c r="BPP300" s="11"/>
      <c r="BPQ300" s="11"/>
      <c r="BPR300" s="11"/>
      <c r="BPS300" s="11"/>
      <c r="BPT300" s="11"/>
      <c r="BPU300" s="11"/>
      <c r="BPV300" s="11"/>
      <c r="BPW300" s="11"/>
      <c r="BPX300" s="11"/>
      <c r="BPY300" s="11"/>
      <c r="BPZ300" s="11"/>
      <c r="BQA300" s="11"/>
      <c r="BQB300" s="11"/>
      <c r="BQC300" s="11"/>
      <c r="BQD300" s="11"/>
      <c r="BQE300" s="11"/>
      <c r="BQF300" s="11"/>
      <c r="BQG300" s="11"/>
      <c r="BQH300" s="11"/>
      <c r="BQI300" s="11"/>
      <c r="BQJ300" s="11"/>
      <c r="BQK300" s="11"/>
      <c r="BQL300" s="11"/>
      <c r="BQM300" s="11"/>
      <c r="BQN300" s="11"/>
      <c r="BQO300" s="11"/>
      <c r="BQP300" s="11"/>
      <c r="BQQ300" s="11"/>
      <c r="BQR300" s="11"/>
      <c r="BQS300" s="11"/>
      <c r="BQT300" s="11"/>
      <c r="BQU300" s="11"/>
      <c r="BQV300" s="11"/>
      <c r="BQW300" s="11"/>
      <c r="BQX300" s="11"/>
      <c r="BQY300" s="11"/>
      <c r="BQZ300" s="11"/>
      <c r="BRA300" s="11"/>
      <c r="BRB300" s="11"/>
      <c r="BRC300" s="11"/>
      <c r="BRD300" s="11"/>
      <c r="BRE300" s="11"/>
      <c r="BRF300" s="11"/>
      <c r="BRG300" s="11"/>
      <c r="BRH300" s="11"/>
      <c r="BRI300" s="11"/>
      <c r="BRJ300" s="11"/>
      <c r="BRK300" s="11"/>
      <c r="BRL300" s="11"/>
      <c r="BRM300" s="11"/>
      <c r="BRN300" s="11"/>
      <c r="BRO300" s="11"/>
      <c r="BRP300" s="11"/>
      <c r="BRQ300" s="11"/>
      <c r="BRR300" s="11"/>
      <c r="BRS300" s="11"/>
      <c r="BRT300" s="11"/>
      <c r="BRU300" s="11"/>
      <c r="BRV300" s="11"/>
      <c r="BRW300" s="11"/>
      <c r="BRX300" s="11"/>
      <c r="BRY300" s="11"/>
      <c r="BRZ300" s="11"/>
      <c r="BSA300" s="11"/>
      <c r="BSB300" s="11"/>
      <c r="BSC300" s="11"/>
      <c r="BSD300" s="11"/>
      <c r="BSE300" s="11"/>
      <c r="BSF300" s="11"/>
      <c r="BSG300" s="11"/>
      <c r="BSH300" s="11"/>
      <c r="BSI300" s="11"/>
      <c r="BSJ300" s="11"/>
      <c r="BSK300" s="11"/>
      <c r="BSL300" s="11"/>
      <c r="BSM300" s="11"/>
      <c r="BSN300" s="11"/>
      <c r="BSO300" s="11"/>
      <c r="BSP300" s="11"/>
      <c r="BSQ300" s="11"/>
      <c r="BSR300" s="11"/>
      <c r="BSS300" s="11"/>
      <c r="BST300" s="11"/>
      <c r="BSU300" s="11"/>
      <c r="BSV300" s="11"/>
      <c r="BSW300" s="11"/>
      <c r="BSX300" s="11"/>
      <c r="BSY300" s="11"/>
      <c r="BSZ300" s="11"/>
      <c r="BTA300" s="11"/>
      <c r="BTB300" s="11"/>
      <c r="BTC300" s="11"/>
      <c r="BTD300" s="11"/>
      <c r="BTE300" s="11"/>
      <c r="BTF300" s="11"/>
      <c r="BTG300" s="11"/>
      <c r="BTH300" s="11"/>
      <c r="BTI300" s="11"/>
      <c r="BTJ300" s="11"/>
      <c r="BTK300" s="11"/>
      <c r="BTL300" s="11"/>
      <c r="BTM300" s="11"/>
      <c r="BTN300" s="11"/>
      <c r="BTO300" s="11"/>
      <c r="BTP300" s="11"/>
      <c r="BTQ300" s="11"/>
      <c r="BTR300" s="11"/>
      <c r="BTS300" s="11"/>
      <c r="BTT300" s="11"/>
    </row>
    <row r="301" spans="1:1892" s="11" customFormat="1" ht="35.1" customHeight="1">
      <c r="A301" s="1462"/>
      <c r="B301" s="502" t="s">
        <v>310</v>
      </c>
      <c r="C301" s="529" t="s">
        <v>223</v>
      </c>
      <c r="D301" s="922" t="s">
        <v>342</v>
      </c>
      <c r="E301" s="923"/>
      <c r="F301" s="924"/>
      <c r="G301" s="532" t="s">
        <v>708</v>
      </c>
      <c r="H301" s="532" t="s">
        <v>662</v>
      </c>
      <c r="I301" s="532" t="s">
        <v>343</v>
      </c>
      <c r="J301" s="532" t="s">
        <v>11</v>
      </c>
      <c r="K301" s="532" t="s">
        <v>12</v>
      </c>
      <c r="L301" s="351">
        <v>72</v>
      </c>
      <c r="M301" s="255">
        <v>149</v>
      </c>
      <c r="N301" s="340">
        <v>2</v>
      </c>
      <c r="O301" s="340">
        <v>3</v>
      </c>
      <c r="P301" s="1527" t="s">
        <v>424</v>
      </c>
      <c r="Q301" s="1524" t="s">
        <v>447</v>
      </c>
      <c r="R301" s="1530" t="s">
        <v>1002</v>
      </c>
      <c r="S301" s="1642" t="s">
        <v>57</v>
      </c>
      <c r="T301" s="1160" t="s">
        <v>225</v>
      </c>
      <c r="U301" s="1160" t="s">
        <v>11</v>
      </c>
    </row>
    <row r="302" spans="1:1892" s="11" customFormat="1" ht="35.1" customHeight="1">
      <c r="A302" s="1462"/>
      <c r="B302" s="527"/>
      <c r="C302" s="530"/>
      <c r="D302" s="925"/>
      <c r="E302" s="926"/>
      <c r="F302" s="927"/>
      <c r="G302" s="533"/>
      <c r="H302" s="533"/>
      <c r="I302" s="533"/>
      <c r="J302" s="533"/>
      <c r="K302" s="533"/>
      <c r="L302" s="351">
        <v>76</v>
      </c>
      <c r="M302" s="255">
        <v>76</v>
      </c>
      <c r="N302" s="340">
        <v>1</v>
      </c>
      <c r="O302" s="340">
        <v>1</v>
      </c>
      <c r="P302" s="1528"/>
      <c r="Q302" s="1525"/>
      <c r="R302" s="1525"/>
      <c r="S302" s="1643"/>
      <c r="T302" s="1161"/>
      <c r="U302" s="1161"/>
    </row>
    <row r="303" spans="1:1892" s="11" customFormat="1" ht="35.1" customHeight="1">
      <c r="A303" s="1462"/>
      <c r="B303" s="527"/>
      <c r="C303" s="530"/>
      <c r="D303" s="925"/>
      <c r="E303" s="926"/>
      <c r="F303" s="927"/>
      <c r="G303" s="533"/>
      <c r="H303" s="533"/>
      <c r="I303" s="533"/>
      <c r="J303" s="533"/>
      <c r="K303" s="533"/>
      <c r="L303" s="351" t="s">
        <v>84</v>
      </c>
      <c r="M303" s="255">
        <v>929</v>
      </c>
      <c r="N303" s="340">
        <v>8</v>
      </c>
      <c r="O303" s="340">
        <v>10</v>
      </c>
      <c r="P303" s="1528"/>
      <c r="Q303" s="1525"/>
      <c r="R303" s="1525"/>
      <c r="S303" s="1643"/>
      <c r="T303" s="1161"/>
      <c r="U303" s="1161"/>
    </row>
    <row r="304" spans="1:1892" s="11" customFormat="1" ht="35.1" customHeight="1">
      <c r="A304" s="1462"/>
      <c r="B304" s="527"/>
      <c r="C304" s="530"/>
      <c r="D304" s="925"/>
      <c r="E304" s="926"/>
      <c r="F304" s="927"/>
      <c r="G304" s="533"/>
      <c r="H304" s="533"/>
      <c r="I304" s="533"/>
      <c r="J304" s="533"/>
      <c r="K304" s="533"/>
      <c r="L304" s="351" t="s">
        <v>83</v>
      </c>
      <c r="M304" s="255">
        <v>315</v>
      </c>
      <c r="N304" s="340">
        <v>32</v>
      </c>
      <c r="O304" s="340">
        <v>32</v>
      </c>
      <c r="P304" s="1528"/>
      <c r="Q304" s="1525"/>
      <c r="R304" s="1525"/>
      <c r="S304" s="1643"/>
      <c r="T304" s="1161"/>
      <c r="U304" s="1161"/>
    </row>
    <row r="305" spans="1:67" s="11" customFormat="1" ht="35.1" customHeight="1">
      <c r="A305" s="1462"/>
      <c r="B305" s="527"/>
      <c r="C305" s="530"/>
      <c r="D305" s="925"/>
      <c r="E305" s="926"/>
      <c r="F305" s="927"/>
      <c r="G305" s="534"/>
      <c r="H305" s="534"/>
      <c r="I305" s="534"/>
      <c r="J305" s="534"/>
      <c r="K305" s="534"/>
      <c r="L305" s="351" t="s">
        <v>82</v>
      </c>
      <c r="M305" s="255">
        <v>102</v>
      </c>
      <c r="N305" s="340">
        <v>13</v>
      </c>
      <c r="O305" s="340">
        <v>14</v>
      </c>
      <c r="P305" s="1528"/>
      <c r="Q305" s="1525"/>
      <c r="R305" s="1525"/>
      <c r="S305" s="1643"/>
      <c r="T305" s="1161"/>
      <c r="U305" s="1161"/>
    </row>
    <row r="306" spans="1:67" s="11" customFormat="1" ht="35.1" customHeight="1">
      <c r="A306" s="1462"/>
      <c r="B306" s="527"/>
      <c r="C306" s="531"/>
      <c r="D306" s="928"/>
      <c r="E306" s="929"/>
      <c r="F306" s="930"/>
      <c r="G306" s="490" t="s">
        <v>329</v>
      </c>
      <c r="H306" s="491"/>
      <c r="I306" s="491"/>
      <c r="J306" s="491"/>
      <c r="K306" s="492"/>
      <c r="L306" s="165" t="s">
        <v>224</v>
      </c>
      <c r="M306" s="256">
        <f>SUM(M301:M305)</f>
        <v>1571</v>
      </c>
      <c r="N306" s="401">
        <f>SUM(N301:N305)</f>
        <v>56</v>
      </c>
      <c r="O306" s="401">
        <f>SUM(O301:O305)</f>
        <v>60</v>
      </c>
      <c r="P306" s="1529"/>
      <c r="Q306" s="1526"/>
      <c r="R306" s="1526"/>
      <c r="S306" s="1644"/>
      <c r="T306" s="1162"/>
      <c r="U306" s="1162"/>
    </row>
    <row r="307" spans="1:67" s="11" customFormat="1" ht="35.1" customHeight="1">
      <c r="A307" s="1462"/>
      <c r="B307" s="527"/>
      <c r="C307" s="535" t="s">
        <v>54</v>
      </c>
      <c r="D307" s="922" t="s">
        <v>507</v>
      </c>
      <c r="E307" s="923"/>
      <c r="F307" s="924"/>
      <c r="G307" s="532" t="s">
        <v>54</v>
      </c>
      <c r="H307" s="532" t="s">
        <v>54</v>
      </c>
      <c r="I307" s="532" t="s">
        <v>54</v>
      </c>
      <c r="J307" s="532" t="s">
        <v>11</v>
      </c>
      <c r="K307" s="532" t="s">
        <v>12</v>
      </c>
      <c r="L307" s="439" t="s">
        <v>85</v>
      </c>
      <c r="M307" s="221">
        <v>465</v>
      </c>
      <c r="N307" s="443">
        <v>0</v>
      </c>
      <c r="O307" s="443">
        <v>0</v>
      </c>
      <c r="P307" s="579" t="s">
        <v>54</v>
      </c>
      <c r="Q307" s="579" t="s">
        <v>54</v>
      </c>
      <c r="R307" s="579" t="s">
        <v>54</v>
      </c>
      <c r="S307" s="579" t="s">
        <v>54</v>
      </c>
      <c r="T307" s="579" t="s">
        <v>54</v>
      </c>
      <c r="U307" s="579" t="s">
        <v>54</v>
      </c>
    </row>
    <row r="308" spans="1:67" s="11" customFormat="1" ht="35.1" customHeight="1">
      <c r="A308" s="1462"/>
      <c r="B308" s="527"/>
      <c r="C308" s="536"/>
      <c r="D308" s="925"/>
      <c r="E308" s="926"/>
      <c r="F308" s="927"/>
      <c r="G308" s="533"/>
      <c r="H308" s="533"/>
      <c r="I308" s="533"/>
      <c r="J308" s="533"/>
      <c r="K308" s="533"/>
      <c r="L308" s="439" t="s">
        <v>103</v>
      </c>
      <c r="M308" s="221">
        <v>103</v>
      </c>
      <c r="N308" s="443">
        <v>0</v>
      </c>
      <c r="O308" s="443">
        <v>0</v>
      </c>
      <c r="P308" s="580"/>
      <c r="Q308" s="580"/>
      <c r="R308" s="580"/>
      <c r="S308" s="580"/>
      <c r="T308" s="580"/>
      <c r="U308" s="580"/>
    </row>
    <row r="309" spans="1:67" s="11" customFormat="1" ht="35.1" customHeight="1">
      <c r="A309" s="1462"/>
      <c r="B309" s="527"/>
      <c r="C309" s="536"/>
      <c r="D309" s="925"/>
      <c r="E309" s="926"/>
      <c r="F309" s="927"/>
      <c r="G309" s="533"/>
      <c r="H309" s="533"/>
      <c r="I309" s="533"/>
      <c r="J309" s="533"/>
      <c r="K309" s="533"/>
      <c r="L309" s="439" t="s">
        <v>84</v>
      </c>
      <c r="M309" s="221">
        <v>1051</v>
      </c>
      <c r="N309" s="443">
        <v>317</v>
      </c>
      <c r="O309" s="443">
        <v>313</v>
      </c>
      <c r="P309" s="580"/>
      <c r="Q309" s="580"/>
      <c r="R309" s="580"/>
      <c r="S309" s="580"/>
      <c r="T309" s="580"/>
      <c r="U309" s="580"/>
    </row>
    <row r="310" spans="1:67" s="11" customFormat="1" ht="35.1" customHeight="1">
      <c r="A310" s="1462"/>
      <c r="B310" s="527"/>
      <c r="C310" s="536"/>
      <c r="D310" s="925"/>
      <c r="E310" s="926"/>
      <c r="F310" s="927"/>
      <c r="G310" s="533"/>
      <c r="H310" s="533"/>
      <c r="I310" s="533"/>
      <c r="J310" s="533"/>
      <c r="K310" s="533"/>
      <c r="L310" s="439" t="s">
        <v>83</v>
      </c>
      <c r="M310" s="221">
        <v>204</v>
      </c>
      <c r="N310" s="443">
        <v>7</v>
      </c>
      <c r="O310" s="443">
        <v>7</v>
      </c>
      <c r="P310" s="580"/>
      <c r="Q310" s="580"/>
      <c r="R310" s="580"/>
      <c r="S310" s="580"/>
      <c r="T310" s="580"/>
      <c r="U310" s="580"/>
    </row>
    <row r="311" spans="1:67" s="11" customFormat="1" ht="35.1" customHeight="1">
      <c r="A311" s="1462"/>
      <c r="B311" s="527"/>
      <c r="C311" s="536"/>
      <c r="D311" s="925"/>
      <c r="E311" s="926"/>
      <c r="F311" s="927"/>
      <c r="G311" s="534"/>
      <c r="H311" s="534"/>
      <c r="I311" s="534"/>
      <c r="J311" s="534"/>
      <c r="K311" s="534"/>
      <c r="L311" s="439" t="s">
        <v>82</v>
      </c>
      <c r="M311" s="221">
        <v>157</v>
      </c>
      <c r="N311" s="443">
        <v>38</v>
      </c>
      <c r="O311" s="443">
        <v>36</v>
      </c>
      <c r="P311" s="580"/>
      <c r="Q311" s="580"/>
      <c r="R311" s="580"/>
      <c r="S311" s="580"/>
      <c r="T311" s="580"/>
      <c r="U311" s="580"/>
    </row>
    <row r="312" spans="1:67" s="11" customFormat="1" ht="35.1" customHeight="1">
      <c r="A312" s="1462"/>
      <c r="B312" s="527"/>
      <c r="C312" s="537"/>
      <c r="D312" s="928"/>
      <c r="E312" s="929"/>
      <c r="F312" s="930"/>
      <c r="G312" s="490" t="s">
        <v>329</v>
      </c>
      <c r="H312" s="491"/>
      <c r="I312" s="491"/>
      <c r="J312" s="491"/>
      <c r="K312" s="492"/>
      <c r="L312" s="165" t="s">
        <v>224</v>
      </c>
      <c r="M312" s="256">
        <f>SUM(M307:M311)</f>
        <v>1980</v>
      </c>
      <c r="N312" s="401">
        <f>SUM(N307:N311)</f>
        <v>362</v>
      </c>
      <c r="O312" s="401">
        <f>SUM(O307:O311)</f>
        <v>356</v>
      </c>
      <c r="P312" s="581"/>
      <c r="Q312" s="581"/>
      <c r="R312" s="581"/>
      <c r="S312" s="581"/>
      <c r="T312" s="581"/>
      <c r="U312" s="581"/>
    </row>
    <row r="313" spans="1:67" s="11" customFormat="1" ht="35.1" customHeight="1">
      <c r="A313" s="1462"/>
      <c r="B313" s="527"/>
      <c r="C313" s="529" t="s">
        <v>356</v>
      </c>
      <c r="D313" s="922" t="s">
        <v>709</v>
      </c>
      <c r="E313" s="923"/>
      <c r="F313" s="924"/>
      <c r="G313" s="532" t="s">
        <v>508</v>
      </c>
      <c r="H313" s="532" t="s">
        <v>509</v>
      </c>
      <c r="I313" s="532" t="s">
        <v>510</v>
      </c>
      <c r="J313" s="532" t="s">
        <v>11</v>
      </c>
      <c r="K313" s="532" t="s">
        <v>12</v>
      </c>
      <c r="L313" s="352" t="s">
        <v>511</v>
      </c>
      <c r="M313" s="257">
        <v>896</v>
      </c>
      <c r="N313" s="143">
        <v>0</v>
      </c>
      <c r="O313" s="143">
        <v>0</v>
      </c>
      <c r="P313" s="560" t="s">
        <v>441</v>
      </c>
      <c r="Q313" s="560" t="s">
        <v>431</v>
      </c>
      <c r="R313" s="560" t="s">
        <v>512</v>
      </c>
      <c r="S313" s="1636" t="s">
        <v>13</v>
      </c>
      <c r="T313" s="1160" t="s">
        <v>355</v>
      </c>
      <c r="U313" s="1160" t="s">
        <v>11</v>
      </c>
    </row>
    <row r="314" spans="1:67" s="11" customFormat="1" ht="35.1" customHeight="1">
      <c r="A314" s="1462"/>
      <c r="B314" s="527"/>
      <c r="C314" s="530"/>
      <c r="D314" s="925"/>
      <c r="E314" s="926"/>
      <c r="F314" s="927"/>
      <c r="G314" s="533"/>
      <c r="H314" s="533"/>
      <c r="I314" s="533"/>
      <c r="J314" s="533"/>
      <c r="K314" s="533"/>
      <c r="L314" s="352" t="s">
        <v>83</v>
      </c>
      <c r="M314" s="257">
        <v>114</v>
      </c>
      <c r="N314" s="143">
        <v>0</v>
      </c>
      <c r="O314" s="143">
        <v>0</v>
      </c>
      <c r="P314" s="561"/>
      <c r="Q314" s="561"/>
      <c r="R314" s="561"/>
      <c r="S314" s="1637"/>
      <c r="T314" s="1161"/>
      <c r="U314" s="1161"/>
    </row>
    <row r="315" spans="1:67" s="35" customFormat="1" ht="35.1" customHeight="1">
      <c r="A315" s="1462"/>
      <c r="B315" s="527"/>
      <c r="C315" s="530"/>
      <c r="D315" s="925"/>
      <c r="E315" s="926"/>
      <c r="F315" s="927"/>
      <c r="G315" s="534"/>
      <c r="H315" s="534"/>
      <c r="I315" s="534"/>
      <c r="J315" s="534"/>
      <c r="K315" s="534"/>
      <c r="L315" s="352">
        <v>113</v>
      </c>
      <c r="M315" s="257">
        <v>330</v>
      </c>
      <c r="N315" s="143">
        <v>7</v>
      </c>
      <c r="O315" s="143">
        <v>9</v>
      </c>
      <c r="P315" s="561"/>
      <c r="Q315" s="561"/>
      <c r="R315" s="561"/>
      <c r="S315" s="1637"/>
      <c r="T315" s="1161"/>
      <c r="U315" s="116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</row>
    <row r="316" spans="1:67" s="35" customFormat="1" ht="35.1" customHeight="1">
      <c r="A316" s="1462"/>
      <c r="B316" s="527"/>
      <c r="C316" s="531"/>
      <c r="D316" s="928"/>
      <c r="E316" s="929"/>
      <c r="F316" s="930"/>
      <c r="G316" s="490" t="s">
        <v>329</v>
      </c>
      <c r="H316" s="491"/>
      <c r="I316" s="491"/>
      <c r="J316" s="491"/>
      <c r="K316" s="492"/>
      <c r="L316" s="165" t="s">
        <v>224</v>
      </c>
      <c r="M316" s="256">
        <f>SUM(M313:M315)</f>
        <v>1340</v>
      </c>
      <c r="N316" s="401">
        <f>SUM(N313:N315)</f>
        <v>7</v>
      </c>
      <c r="O316" s="401">
        <f>SUM(O313:O315)</f>
        <v>9</v>
      </c>
      <c r="P316" s="562"/>
      <c r="Q316" s="562"/>
      <c r="R316" s="562"/>
      <c r="S316" s="1638"/>
      <c r="T316" s="1162"/>
      <c r="U316" s="1162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</row>
    <row r="317" spans="1:67" s="35" customFormat="1" ht="35.1" customHeight="1">
      <c r="A317" s="1462"/>
      <c r="B317" s="527"/>
      <c r="C317" s="529" t="s">
        <v>527</v>
      </c>
      <c r="D317" s="922" t="s">
        <v>528</v>
      </c>
      <c r="E317" s="923"/>
      <c r="F317" s="924"/>
      <c r="G317" s="532" t="s">
        <v>529</v>
      </c>
      <c r="H317" s="532" t="s">
        <v>530</v>
      </c>
      <c r="I317" s="532" t="s">
        <v>531</v>
      </c>
      <c r="J317" s="532" t="s">
        <v>11</v>
      </c>
      <c r="K317" s="532" t="s">
        <v>12</v>
      </c>
      <c r="L317" s="354" t="s">
        <v>85</v>
      </c>
      <c r="M317" s="257">
        <v>234</v>
      </c>
      <c r="N317" s="395">
        <v>0</v>
      </c>
      <c r="O317" s="395">
        <v>2</v>
      </c>
      <c r="P317" s="560" t="s">
        <v>773</v>
      </c>
      <c r="Q317" s="560" t="s">
        <v>442</v>
      </c>
      <c r="R317" s="560" t="s">
        <v>512</v>
      </c>
      <c r="S317" s="1160" t="s">
        <v>13</v>
      </c>
      <c r="T317" s="1160" t="s">
        <v>376</v>
      </c>
      <c r="U317" s="1160" t="s">
        <v>11</v>
      </c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</row>
    <row r="318" spans="1:67" s="35" customFormat="1" ht="35.1" customHeight="1">
      <c r="A318" s="1462"/>
      <c r="B318" s="527"/>
      <c r="C318" s="530"/>
      <c r="D318" s="925"/>
      <c r="E318" s="926"/>
      <c r="F318" s="927"/>
      <c r="G318" s="533"/>
      <c r="H318" s="533"/>
      <c r="I318" s="533"/>
      <c r="J318" s="533"/>
      <c r="K318" s="533"/>
      <c r="L318" s="354" t="s">
        <v>103</v>
      </c>
      <c r="M318" s="257">
        <v>104</v>
      </c>
      <c r="N318" s="395">
        <v>0</v>
      </c>
      <c r="O318" s="395">
        <v>0</v>
      </c>
      <c r="P318" s="561"/>
      <c r="Q318" s="561"/>
      <c r="R318" s="561"/>
      <c r="S318" s="1161"/>
      <c r="T318" s="1161"/>
      <c r="U318" s="116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</row>
    <row r="319" spans="1:67" s="35" customFormat="1" ht="35.1" customHeight="1">
      <c r="A319" s="1462"/>
      <c r="B319" s="527"/>
      <c r="C319" s="530"/>
      <c r="D319" s="925"/>
      <c r="E319" s="926"/>
      <c r="F319" s="927"/>
      <c r="G319" s="533"/>
      <c r="H319" s="533"/>
      <c r="I319" s="533"/>
      <c r="J319" s="533"/>
      <c r="K319" s="533"/>
      <c r="L319" s="354" t="s">
        <v>84</v>
      </c>
      <c r="M319" s="257">
        <v>606</v>
      </c>
      <c r="N319" s="164">
        <v>39</v>
      </c>
      <c r="O319" s="164">
        <v>32</v>
      </c>
      <c r="P319" s="561"/>
      <c r="Q319" s="561"/>
      <c r="R319" s="561"/>
      <c r="S319" s="1161"/>
      <c r="T319" s="1161"/>
      <c r="U319" s="116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</row>
    <row r="320" spans="1:67" s="35" customFormat="1" ht="35.1" customHeight="1">
      <c r="A320" s="1462"/>
      <c r="B320" s="527"/>
      <c r="C320" s="530"/>
      <c r="D320" s="925"/>
      <c r="E320" s="926"/>
      <c r="F320" s="927"/>
      <c r="G320" s="533"/>
      <c r="H320" s="533"/>
      <c r="I320" s="533"/>
      <c r="J320" s="533"/>
      <c r="K320" s="533"/>
      <c r="L320" s="354" t="s">
        <v>83</v>
      </c>
      <c r="M320" s="257">
        <v>136</v>
      </c>
      <c r="N320" s="395">
        <v>0</v>
      </c>
      <c r="O320" s="395">
        <v>0</v>
      </c>
      <c r="P320" s="561"/>
      <c r="Q320" s="561"/>
      <c r="R320" s="561"/>
      <c r="S320" s="1161"/>
      <c r="T320" s="1161"/>
      <c r="U320" s="116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</row>
    <row r="321" spans="1:67" s="35" customFormat="1" ht="35.1" customHeight="1">
      <c r="A321" s="1462"/>
      <c r="B321" s="527"/>
      <c r="C321" s="530"/>
      <c r="D321" s="925"/>
      <c r="E321" s="926"/>
      <c r="F321" s="927"/>
      <c r="G321" s="534"/>
      <c r="H321" s="534"/>
      <c r="I321" s="534"/>
      <c r="J321" s="534"/>
      <c r="K321" s="534"/>
      <c r="L321" s="354" t="s">
        <v>82</v>
      </c>
      <c r="M321" s="257">
        <v>102</v>
      </c>
      <c r="N321" s="395">
        <v>0</v>
      </c>
      <c r="O321" s="395">
        <v>1</v>
      </c>
      <c r="P321" s="561"/>
      <c r="Q321" s="561"/>
      <c r="R321" s="561"/>
      <c r="S321" s="1161"/>
      <c r="T321" s="1161"/>
      <c r="U321" s="116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</row>
    <row r="322" spans="1:67" s="35" customFormat="1" ht="35.1" customHeight="1">
      <c r="A322" s="1462"/>
      <c r="B322" s="527"/>
      <c r="C322" s="531"/>
      <c r="D322" s="928"/>
      <c r="E322" s="929"/>
      <c r="F322" s="930"/>
      <c r="G322" s="490" t="s">
        <v>329</v>
      </c>
      <c r="H322" s="491"/>
      <c r="I322" s="491"/>
      <c r="J322" s="491"/>
      <c r="K322" s="492"/>
      <c r="L322" s="165" t="s">
        <v>224</v>
      </c>
      <c r="M322" s="256">
        <f>SUM(M317:M321)</f>
        <v>1182</v>
      </c>
      <c r="N322" s="401">
        <f>SUM(N317:N321)</f>
        <v>39</v>
      </c>
      <c r="O322" s="401">
        <f>SUM(O317:O321)</f>
        <v>35</v>
      </c>
      <c r="P322" s="562"/>
      <c r="Q322" s="562"/>
      <c r="R322" s="562"/>
      <c r="S322" s="1162"/>
      <c r="T322" s="1162"/>
      <c r="U322" s="1162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</row>
    <row r="323" spans="1:67" s="35" customFormat="1" ht="35.1" customHeight="1">
      <c r="A323" s="1462"/>
      <c r="B323" s="527"/>
      <c r="C323" s="1317"/>
      <c r="D323" s="922" t="s">
        <v>710</v>
      </c>
      <c r="E323" s="923"/>
      <c r="F323" s="924"/>
      <c r="G323" s="914" t="s">
        <v>54</v>
      </c>
      <c r="H323" s="914" t="s">
        <v>54</v>
      </c>
      <c r="I323" s="914" t="s">
        <v>54</v>
      </c>
      <c r="J323" s="914" t="s">
        <v>54</v>
      </c>
      <c r="K323" s="914" t="s">
        <v>54</v>
      </c>
      <c r="L323" s="166">
        <v>99</v>
      </c>
      <c r="M323" s="257">
        <v>366</v>
      </c>
      <c r="N323" s="395">
        <v>0</v>
      </c>
      <c r="O323" s="395">
        <v>0</v>
      </c>
      <c r="P323" s="862" t="s">
        <v>189</v>
      </c>
      <c r="Q323" s="862" t="s">
        <v>189</v>
      </c>
      <c r="R323" s="560" t="s">
        <v>189</v>
      </c>
      <c r="S323" s="1160" t="s">
        <v>189</v>
      </c>
      <c r="T323" s="1317" t="s">
        <v>189</v>
      </c>
      <c r="U323" s="1160" t="s">
        <v>189</v>
      </c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</row>
    <row r="324" spans="1:67" s="35" customFormat="1" ht="35.1" customHeight="1">
      <c r="A324" s="1462"/>
      <c r="B324" s="527"/>
      <c r="C324" s="1318"/>
      <c r="D324" s="925"/>
      <c r="E324" s="926"/>
      <c r="F324" s="927"/>
      <c r="G324" s="915"/>
      <c r="H324" s="915"/>
      <c r="I324" s="915"/>
      <c r="J324" s="915"/>
      <c r="K324" s="915"/>
      <c r="L324" s="166" t="s">
        <v>855</v>
      </c>
      <c r="M324" s="257">
        <v>683</v>
      </c>
      <c r="N324" s="395">
        <v>451</v>
      </c>
      <c r="O324" s="395">
        <v>432</v>
      </c>
      <c r="P324" s="863"/>
      <c r="Q324" s="863"/>
      <c r="R324" s="561"/>
      <c r="S324" s="1161"/>
      <c r="T324" s="1318"/>
      <c r="U324" s="116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</row>
    <row r="325" spans="1:67" s="35" customFormat="1" ht="35.1" customHeight="1">
      <c r="A325" s="1462"/>
      <c r="B325" s="527"/>
      <c r="C325" s="1318"/>
      <c r="D325" s="925"/>
      <c r="E325" s="926"/>
      <c r="F325" s="927"/>
      <c r="G325" s="915"/>
      <c r="H325" s="915"/>
      <c r="I325" s="915"/>
      <c r="J325" s="915"/>
      <c r="K325" s="915"/>
      <c r="L325" s="166" t="s">
        <v>856</v>
      </c>
      <c r="M325" s="257">
        <v>298</v>
      </c>
      <c r="N325" s="395">
        <v>265</v>
      </c>
      <c r="O325" s="395">
        <v>263</v>
      </c>
      <c r="P325" s="863"/>
      <c r="Q325" s="863"/>
      <c r="R325" s="561"/>
      <c r="S325" s="1161"/>
      <c r="T325" s="1318"/>
      <c r="U325" s="116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</row>
    <row r="326" spans="1:67" s="35" customFormat="1" ht="35.1" customHeight="1">
      <c r="A326" s="1462"/>
      <c r="B326" s="527"/>
      <c r="C326" s="1318"/>
      <c r="D326" s="925"/>
      <c r="E326" s="926"/>
      <c r="F326" s="927"/>
      <c r="G326" s="916"/>
      <c r="H326" s="916"/>
      <c r="I326" s="916"/>
      <c r="J326" s="916"/>
      <c r="K326" s="916"/>
      <c r="L326" s="166" t="s">
        <v>857</v>
      </c>
      <c r="M326" s="257">
        <v>66</v>
      </c>
      <c r="N326" s="395">
        <v>63</v>
      </c>
      <c r="O326" s="395">
        <v>63</v>
      </c>
      <c r="P326" s="863"/>
      <c r="Q326" s="863"/>
      <c r="R326" s="561"/>
      <c r="S326" s="1161"/>
      <c r="T326" s="1318"/>
      <c r="U326" s="116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</row>
    <row r="327" spans="1:67" s="35" customFormat="1" ht="35.1" customHeight="1">
      <c r="A327" s="1462"/>
      <c r="B327" s="527"/>
      <c r="C327" s="1319"/>
      <c r="D327" s="928"/>
      <c r="E327" s="929"/>
      <c r="F327" s="930"/>
      <c r="G327" s="490" t="s">
        <v>329</v>
      </c>
      <c r="H327" s="491"/>
      <c r="I327" s="491"/>
      <c r="J327" s="491"/>
      <c r="K327" s="492"/>
      <c r="L327" s="167"/>
      <c r="M327" s="256">
        <f>SUM(M323:M326)</f>
        <v>1413</v>
      </c>
      <c r="N327" s="401">
        <f>SUM(N323:N326)</f>
        <v>779</v>
      </c>
      <c r="O327" s="401">
        <f>SUM(O323:O326)</f>
        <v>758</v>
      </c>
      <c r="P327" s="864"/>
      <c r="Q327" s="864"/>
      <c r="R327" s="562"/>
      <c r="S327" s="1162"/>
      <c r="T327" s="1319"/>
      <c r="U327" s="1162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</row>
    <row r="328" spans="1:67" s="35" customFormat="1" ht="35.1" customHeight="1">
      <c r="A328" s="1462"/>
      <c r="B328" s="527"/>
      <c r="C328" s="529" t="s">
        <v>223</v>
      </c>
      <c r="D328" s="922" t="s">
        <v>614</v>
      </c>
      <c r="E328" s="923"/>
      <c r="F328" s="924"/>
      <c r="G328" s="532" t="s">
        <v>344</v>
      </c>
      <c r="H328" s="532" t="s">
        <v>612</v>
      </c>
      <c r="I328" s="532" t="s">
        <v>613</v>
      </c>
      <c r="J328" s="532" t="s">
        <v>11</v>
      </c>
      <c r="K328" s="532" t="s">
        <v>12</v>
      </c>
      <c r="L328" s="354" t="s">
        <v>85</v>
      </c>
      <c r="M328" s="257">
        <v>145</v>
      </c>
      <c r="N328" s="164">
        <v>6</v>
      </c>
      <c r="O328" s="164">
        <v>6</v>
      </c>
      <c r="P328" s="554" t="s">
        <v>609</v>
      </c>
      <c r="Q328" s="554" t="s">
        <v>610</v>
      </c>
      <c r="R328" s="554" t="s">
        <v>611</v>
      </c>
      <c r="S328" s="1636" t="s">
        <v>13</v>
      </c>
      <c r="T328" s="1160" t="s">
        <v>225</v>
      </c>
      <c r="U328" s="1160" t="s">
        <v>11</v>
      </c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</row>
    <row r="329" spans="1:67" s="35" customFormat="1" ht="35.1" customHeight="1">
      <c r="A329" s="1462"/>
      <c r="B329" s="527"/>
      <c r="C329" s="530"/>
      <c r="D329" s="925"/>
      <c r="E329" s="926"/>
      <c r="F329" s="927"/>
      <c r="G329" s="533"/>
      <c r="H329" s="533"/>
      <c r="I329" s="533"/>
      <c r="J329" s="533"/>
      <c r="K329" s="533"/>
      <c r="L329" s="354" t="s">
        <v>103</v>
      </c>
      <c r="M329" s="257">
        <v>84</v>
      </c>
      <c r="N329" s="164">
        <v>14</v>
      </c>
      <c r="O329" s="164">
        <v>14</v>
      </c>
      <c r="P329" s="555"/>
      <c r="Q329" s="555"/>
      <c r="R329" s="555"/>
      <c r="S329" s="1637"/>
      <c r="T329" s="1161"/>
      <c r="U329" s="116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</row>
    <row r="330" spans="1:67" s="35" customFormat="1" ht="35.1" customHeight="1">
      <c r="A330" s="1462"/>
      <c r="B330" s="527"/>
      <c r="C330" s="530"/>
      <c r="D330" s="925"/>
      <c r="E330" s="926"/>
      <c r="F330" s="927"/>
      <c r="G330" s="534"/>
      <c r="H330" s="534"/>
      <c r="I330" s="534"/>
      <c r="J330" s="534"/>
      <c r="K330" s="534"/>
      <c r="L330" s="352">
        <v>84</v>
      </c>
      <c r="M330" s="257">
        <v>161</v>
      </c>
      <c r="N330" s="164">
        <v>4</v>
      </c>
      <c r="O330" s="164">
        <v>4</v>
      </c>
      <c r="P330" s="555"/>
      <c r="Q330" s="555"/>
      <c r="R330" s="555"/>
      <c r="S330" s="1637"/>
      <c r="T330" s="1161"/>
      <c r="U330" s="116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</row>
    <row r="331" spans="1:67" s="35" customFormat="1" ht="35.1" customHeight="1">
      <c r="A331" s="1462"/>
      <c r="B331" s="527"/>
      <c r="C331" s="531"/>
      <c r="D331" s="928"/>
      <c r="E331" s="929"/>
      <c r="F331" s="930"/>
      <c r="G331" s="490" t="s">
        <v>329</v>
      </c>
      <c r="H331" s="491"/>
      <c r="I331" s="491"/>
      <c r="J331" s="491"/>
      <c r="K331" s="492"/>
      <c r="L331" s="165" t="s">
        <v>224</v>
      </c>
      <c r="M331" s="256">
        <f>SUM(M328:M330)</f>
        <v>390</v>
      </c>
      <c r="N331" s="401">
        <f>SUM(N328:N330)</f>
        <v>24</v>
      </c>
      <c r="O331" s="401">
        <f>SUM(O328:O330)</f>
        <v>24</v>
      </c>
      <c r="P331" s="556"/>
      <c r="Q331" s="556"/>
      <c r="R331" s="556"/>
      <c r="S331" s="1638"/>
      <c r="T331" s="1162"/>
      <c r="U331" s="1162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</row>
    <row r="332" spans="1:67" s="35" customFormat="1" ht="35.1" customHeight="1">
      <c r="A332" s="1462"/>
      <c r="B332" s="527"/>
      <c r="C332" s="529" t="s">
        <v>223</v>
      </c>
      <c r="D332" s="922" t="s">
        <v>631</v>
      </c>
      <c r="E332" s="923"/>
      <c r="F332" s="924"/>
      <c r="G332" s="532" t="s">
        <v>632</v>
      </c>
      <c r="H332" s="532" t="s">
        <v>711</v>
      </c>
      <c r="I332" s="532" t="s">
        <v>712</v>
      </c>
      <c r="J332" s="532" t="s">
        <v>11</v>
      </c>
      <c r="K332" s="532" t="s">
        <v>12</v>
      </c>
      <c r="L332" s="352" t="s">
        <v>511</v>
      </c>
      <c r="M332" s="257">
        <v>341</v>
      </c>
      <c r="N332" s="164">
        <v>44</v>
      </c>
      <c r="O332" s="164">
        <v>34</v>
      </c>
      <c r="P332" s="554" t="s">
        <v>610</v>
      </c>
      <c r="Q332" s="554" t="s">
        <v>713</v>
      </c>
      <c r="R332" s="554" t="s">
        <v>714</v>
      </c>
      <c r="S332" s="1636" t="s">
        <v>13</v>
      </c>
      <c r="T332" s="1160" t="s">
        <v>225</v>
      </c>
      <c r="U332" s="1160" t="s">
        <v>11</v>
      </c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</row>
    <row r="333" spans="1:67" s="35" customFormat="1" ht="35.1" customHeight="1">
      <c r="A333" s="1462"/>
      <c r="B333" s="527"/>
      <c r="C333" s="530"/>
      <c r="D333" s="925"/>
      <c r="E333" s="926"/>
      <c r="F333" s="927"/>
      <c r="G333" s="533"/>
      <c r="H333" s="533"/>
      <c r="I333" s="533"/>
      <c r="J333" s="533"/>
      <c r="K333" s="533"/>
      <c r="L333" s="352" t="s">
        <v>83</v>
      </c>
      <c r="M333" s="257">
        <v>300</v>
      </c>
      <c r="N333" s="164">
        <v>17</v>
      </c>
      <c r="O333" s="164">
        <v>13</v>
      </c>
      <c r="P333" s="555"/>
      <c r="Q333" s="555"/>
      <c r="R333" s="555"/>
      <c r="S333" s="1637"/>
      <c r="T333" s="1161"/>
      <c r="U333" s="116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</row>
    <row r="334" spans="1:67" s="35" customFormat="1" ht="35.1" customHeight="1">
      <c r="A334" s="1462"/>
      <c r="B334" s="527"/>
      <c r="C334" s="530"/>
      <c r="D334" s="925"/>
      <c r="E334" s="926"/>
      <c r="F334" s="927"/>
      <c r="G334" s="533"/>
      <c r="H334" s="533"/>
      <c r="I334" s="533"/>
      <c r="J334" s="533"/>
      <c r="K334" s="533"/>
      <c r="L334" s="166" t="s">
        <v>197</v>
      </c>
      <c r="M334" s="257">
        <v>112</v>
      </c>
      <c r="N334" s="164">
        <v>12</v>
      </c>
      <c r="O334" s="164">
        <v>11</v>
      </c>
      <c r="P334" s="555"/>
      <c r="Q334" s="555"/>
      <c r="R334" s="555"/>
      <c r="S334" s="1637"/>
      <c r="T334" s="1161"/>
      <c r="U334" s="116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</row>
    <row r="335" spans="1:67" s="35" customFormat="1" ht="35.1" customHeight="1">
      <c r="A335" s="1462"/>
      <c r="B335" s="527"/>
      <c r="C335" s="530"/>
      <c r="D335" s="925"/>
      <c r="E335" s="926"/>
      <c r="F335" s="927"/>
      <c r="G335" s="534"/>
      <c r="H335" s="534"/>
      <c r="I335" s="534"/>
      <c r="J335" s="534"/>
      <c r="K335" s="534"/>
      <c r="L335" s="352" t="s">
        <v>81</v>
      </c>
      <c r="M335" s="257">
        <v>246</v>
      </c>
      <c r="N335" s="164">
        <v>38</v>
      </c>
      <c r="O335" s="164">
        <v>23</v>
      </c>
      <c r="P335" s="555"/>
      <c r="Q335" s="555"/>
      <c r="R335" s="555"/>
      <c r="S335" s="1637"/>
      <c r="T335" s="1161"/>
      <c r="U335" s="116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</row>
    <row r="336" spans="1:67" s="35" customFormat="1" ht="35.1" customHeight="1">
      <c r="A336" s="1462"/>
      <c r="B336" s="527"/>
      <c r="C336" s="531"/>
      <c r="D336" s="928"/>
      <c r="E336" s="929"/>
      <c r="F336" s="930"/>
      <c r="G336" s="490" t="s">
        <v>329</v>
      </c>
      <c r="H336" s="491"/>
      <c r="I336" s="491"/>
      <c r="J336" s="491"/>
      <c r="K336" s="492"/>
      <c r="L336" s="165" t="s">
        <v>224</v>
      </c>
      <c r="M336" s="256">
        <f>SUM(M332:M335)</f>
        <v>999</v>
      </c>
      <c r="N336" s="401">
        <f>SUM(N332:N335)</f>
        <v>111</v>
      </c>
      <c r="O336" s="401">
        <f>SUM(O332:O335)</f>
        <v>81</v>
      </c>
      <c r="P336" s="556"/>
      <c r="Q336" s="556"/>
      <c r="R336" s="556"/>
      <c r="S336" s="1638"/>
      <c r="T336" s="1162"/>
      <c r="U336" s="1162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</row>
    <row r="337" spans="1:67" s="35" customFormat="1" ht="35.1" customHeight="1">
      <c r="A337" s="1462"/>
      <c r="B337" s="527"/>
      <c r="C337" s="535" t="s">
        <v>54</v>
      </c>
      <c r="D337" s="922" t="s">
        <v>617</v>
      </c>
      <c r="E337" s="923"/>
      <c r="F337" s="924"/>
      <c r="G337" s="1274" t="s">
        <v>54</v>
      </c>
      <c r="H337" s="1275"/>
      <c r="I337" s="1276"/>
      <c r="J337" s="532" t="s">
        <v>11</v>
      </c>
      <c r="K337" s="532" t="s">
        <v>12</v>
      </c>
      <c r="L337" s="351">
        <v>59</v>
      </c>
      <c r="M337" s="255">
        <v>232</v>
      </c>
      <c r="N337" s="143">
        <v>0</v>
      </c>
      <c r="O337" s="143">
        <v>0</v>
      </c>
      <c r="P337" s="554" t="s">
        <v>1003</v>
      </c>
      <c r="Q337" s="554" t="s">
        <v>1004</v>
      </c>
      <c r="R337" s="554" t="s">
        <v>1005</v>
      </c>
      <c r="S337" s="554" t="s">
        <v>65</v>
      </c>
      <c r="T337" s="554" t="s">
        <v>189</v>
      </c>
      <c r="U337" s="554" t="s">
        <v>67</v>
      </c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</row>
    <row r="338" spans="1:67" s="35" customFormat="1" ht="35.1" customHeight="1">
      <c r="A338" s="1462"/>
      <c r="B338" s="527"/>
      <c r="C338" s="536"/>
      <c r="D338" s="925"/>
      <c r="E338" s="926"/>
      <c r="F338" s="927"/>
      <c r="G338" s="1277"/>
      <c r="H338" s="1278"/>
      <c r="I338" s="1279"/>
      <c r="J338" s="534"/>
      <c r="K338" s="534"/>
      <c r="L338" s="351">
        <v>84</v>
      </c>
      <c r="M338" s="255">
        <v>657</v>
      </c>
      <c r="N338" s="164">
        <v>0</v>
      </c>
      <c r="O338" s="164">
        <v>0</v>
      </c>
      <c r="P338" s="555"/>
      <c r="Q338" s="555"/>
      <c r="R338" s="555"/>
      <c r="S338" s="555"/>
      <c r="T338" s="555"/>
      <c r="U338" s="555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</row>
    <row r="339" spans="1:67" s="35" customFormat="1" ht="35.1" customHeight="1">
      <c r="A339" s="1462"/>
      <c r="B339" s="527"/>
      <c r="C339" s="537"/>
      <c r="D339" s="928"/>
      <c r="E339" s="929"/>
      <c r="F339" s="930"/>
      <c r="G339" s="490" t="s">
        <v>329</v>
      </c>
      <c r="H339" s="491"/>
      <c r="I339" s="491"/>
      <c r="J339" s="491"/>
      <c r="K339" s="492"/>
      <c r="L339" s="165"/>
      <c r="M339" s="256">
        <f>SUM(M337:M338)</f>
        <v>889</v>
      </c>
      <c r="N339" s="401">
        <f>SUM(N337:N338)</f>
        <v>0</v>
      </c>
      <c r="O339" s="401">
        <f>SUM(O337:O338)</f>
        <v>0</v>
      </c>
      <c r="P339" s="556"/>
      <c r="Q339" s="556"/>
      <c r="R339" s="556"/>
      <c r="S339" s="556"/>
      <c r="T339" s="556"/>
      <c r="U339" s="556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</row>
    <row r="340" spans="1:67" s="35" customFormat="1" ht="35.1" customHeight="1">
      <c r="A340" s="1462"/>
      <c r="B340" s="527"/>
      <c r="C340" s="535" t="s">
        <v>54</v>
      </c>
      <c r="D340" s="922" t="s">
        <v>617</v>
      </c>
      <c r="E340" s="923"/>
      <c r="F340" s="924"/>
      <c r="G340" s="1274" t="s">
        <v>189</v>
      </c>
      <c r="H340" s="1275"/>
      <c r="I340" s="1276"/>
      <c r="J340" s="532" t="s">
        <v>11</v>
      </c>
      <c r="K340" s="532" t="s">
        <v>12</v>
      </c>
      <c r="L340" s="354">
        <v>59.986600000000003</v>
      </c>
      <c r="M340" s="255">
        <v>97</v>
      </c>
      <c r="N340" s="444">
        <v>0</v>
      </c>
      <c r="O340" s="444">
        <v>0</v>
      </c>
      <c r="P340" s="554" t="s">
        <v>1003</v>
      </c>
      <c r="Q340" s="554" t="s">
        <v>1004</v>
      </c>
      <c r="R340" s="554" t="s">
        <v>1006</v>
      </c>
      <c r="S340" s="1636" t="s">
        <v>65</v>
      </c>
      <c r="T340" s="1160" t="s">
        <v>189</v>
      </c>
      <c r="U340" s="1160" t="s">
        <v>67</v>
      </c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</row>
    <row r="341" spans="1:67" s="35" customFormat="1" ht="35.1" customHeight="1">
      <c r="A341" s="1462"/>
      <c r="B341" s="527"/>
      <c r="C341" s="536"/>
      <c r="D341" s="925"/>
      <c r="E341" s="926"/>
      <c r="F341" s="927"/>
      <c r="G341" s="1681"/>
      <c r="H341" s="1682"/>
      <c r="I341" s="1683"/>
      <c r="J341" s="533"/>
      <c r="K341" s="533"/>
      <c r="L341" s="354">
        <v>59.993299999999998</v>
      </c>
      <c r="M341" s="255">
        <v>97</v>
      </c>
      <c r="N341" s="444">
        <v>0</v>
      </c>
      <c r="O341" s="444">
        <v>0</v>
      </c>
      <c r="P341" s="555"/>
      <c r="Q341" s="555"/>
      <c r="R341" s="555"/>
      <c r="S341" s="1637"/>
      <c r="T341" s="1161"/>
      <c r="U341" s="116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</row>
    <row r="342" spans="1:67" s="35" customFormat="1" ht="35.1" customHeight="1">
      <c r="A342" s="1462"/>
      <c r="B342" s="527"/>
      <c r="C342" s="536"/>
      <c r="D342" s="925"/>
      <c r="E342" s="926"/>
      <c r="F342" s="927"/>
      <c r="G342" s="1681"/>
      <c r="H342" s="1682"/>
      <c r="I342" s="1683"/>
      <c r="J342" s="533"/>
      <c r="K342" s="533"/>
      <c r="L342" s="354">
        <v>84.973799999999997</v>
      </c>
      <c r="M342" s="255">
        <v>1089</v>
      </c>
      <c r="N342" s="444">
        <v>0</v>
      </c>
      <c r="O342" s="444">
        <v>0</v>
      </c>
      <c r="P342" s="555"/>
      <c r="Q342" s="555"/>
      <c r="R342" s="555"/>
      <c r="S342" s="1637"/>
      <c r="T342" s="1161"/>
      <c r="U342" s="116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</row>
    <row r="343" spans="1:67" s="35" customFormat="1" ht="35.1" customHeight="1">
      <c r="A343" s="1462"/>
      <c r="B343" s="527"/>
      <c r="C343" s="536"/>
      <c r="D343" s="925"/>
      <c r="E343" s="926"/>
      <c r="F343" s="927"/>
      <c r="G343" s="1681"/>
      <c r="H343" s="1682"/>
      <c r="I343" s="1683"/>
      <c r="J343" s="533"/>
      <c r="K343" s="533"/>
      <c r="L343" s="354">
        <v>84.995199999999997</v>
      </c>
      <c r="M343" s="255">
        <v>233</v>
      </c>
      <c r="N343" s="444">
        <v>0</v>
      </c>
      <c r="O343" s="444">
        <v>0</v>
      </c>
      <c r="P343" s="555"/>
      <c r="Q343" s="555"/>
      <c r="R343" s="555"/>
      <c r="S343" s="1637"/>
      <c r="T343" s="1161"/>
      <c r="U343" s="116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</row>
    <row r="344" spans="1:67" s="35" customFormat="1" ht="35.1" customHeight="1">
      <c r="A344" s="1462"/>
      <c r="B344" s="527"/>
      <c r="C344" s="536"/>
      <c r="D344" s="925"/>
      <c r="E344" s="926"/>
      <c r="F344" s="927"/>
      <c r="G344" s="1681"/>
      <c r="H344" s="1682"/>
      <c r="I344" s="1683"/>
      <c r="J344" s="533"/>
      <c r="K344" s="533"/>
      <c r="L344" s="354">
        <v>119.9817</v>
      </c>
      <c r="M344" s="255">
        <v>372</v>
      </c>
      <c r="N344" s="444">
        <v>149</v>
      </c>
      <c r="O344" s="444">
        <v>148</v>
      </c>
      <c r="P344" s="555"/>
      <c r="Q344" s="555"/>
      <c r="R344" s="555"/>
      <c r="S344" s="1637"/>
      <c r="T344" s="1161"/>
      <c r="U344" s="116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</row>
    <row r="345" spans="1:67" s="35" customFormat="1" ht="35.1" customHeight="1">
      <c r="A345" s="1462"/>
      <c r="B345" s="527"/>
      <c r="C345" s="536"/>
      <c r="D345" s="925"/>
      <c r="E345" s="926"/>
      <c r="F345" s="927"/>
      <c r="G345" s="1277"/>
      <c r="H345" s="1278"/>
      <c r="I345" s="1279"/>
      <c r="J345" s="534"/>
      <c r="K345" s="534"/>
      <c r="L345" s="354">
        <v>119.98180000000001</v>
      </c>
      <c r="M345" s="255">
        <v>102</v>
      </c>
      <c r="N345" s="444">
        <v>30</v>
      </c>
      <c r="O345" s="444">
        <v>30</v>
      </c>
      <c r="P345" s="555"/>
      <c r="Q345" s="555"/>
      <c r="R345" s="555"/>
      <c r="S345" s="1637"/>
      <c r="T345" s="1161"/>
      <c r="U345" s="116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</row>
    <row r="346" spans="1:67" s="35" customFormat="1" ht="35.1" customHeight="1">
      <c r="A346" s="1462"/>
      <c r="B346" s="527"/>
      <c r="C346" s="537"/>
      <c r="D346" s="928"/>
      <c r="E346" s="929"/>
      <c r="F346" s="930"/>
      <c r="G346" s="490" t="s">
        <v>329</v>
      </c>
      <c r="H346" s="491"/>
      <c r="I346" s="491"/>
      <c r="J346" s="491"/>
      <c r="K346" s="492"/>
      <c r="L346" s="165"/>
      <c r="M346" s="256">
        <f>SUM(M340:M345)</f>
        <v>1990</v>
      </c>
      <c r="N346" s="401">
        <f>SUM(N340:N345)</f>
        <v>179</v>
      </c>
      <c r="O346" s="401">
        <f>SUM(O340:O345)</f>
        <v>178</v>
      </c>
      <c r="P346" s="556"/>
      <c r="Q346" s="556"/>
      <c r="R346" s="556"/>
      <c r="S346" s="1638"/>
      <c r="T346" s="1162"/>
      <c r="U346" s="1162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</row>
    <row r="347" spans="1:67" s="35" customFormat="1" ht="35.1" customHeight="1">
      <c r="A347" s="1462"/>
      <c r="B347" s="527"/>
      <c r="C347" s="529" t="s">
        <v>189</v>
      </c>
      <c r="D347" s="922" t="s">
        <v>617</v>
      </c>
      <c r="E347" s="923"/>
      <c r="F347" s="924"/>
      <c r="G347" s="563" t="s">
        <v>189</v>
      </c>
      <c r="H347" s="564"/>
      <c r="I347" s="565"/>
      <c r="J347" s="532" t="s">
        <v>11</v>
      </c>
      <c r="K347" s="532" t="s">
        <v>12</v>
      </c>
      <c r="L347" s="354">
        <v>84.9499</v>
      </c>
      <c r="M347" s="255">
        <v>262</v>
      </c>
      <c r="N347" s="164">
        <v>0</v>
      </c>
      <c r="O347" s="164">
        <v>0</v>
      </c>
      <c r="P347" s="554" t="s">
        <v>1007</v>
      </c>
      <c r="Q347" s="554" t="s">
        <v>1004</v>
      </c>
      <c r="R347" s="554" t="s">
        <v>1008</v>
      </c>
      <c r="S347" s="1642" t="s">
        <v>188</v>
      </c>
      <c r="T347" s="1160" t="s">
        <v>189</v>
      </c>
      <c r="U347" s="1160" t="s">
        <v>189</v>
      </c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</row>
    <row r="348" spans="1:67" s="35" customFormat="1" ht="35.1" customHeight="1">
      <c r="A348" s="1462"/>
      <c r="B348" s="527"/>
      <c r="C348" s="530"/>
      <c r="D348" s="925"/>
      <c r="E348" s="926"/>
      <c r="F348" s="927"/>
      <c r="G348" s="566"/>
      <c r="H348" s="567"/>
      <c r="I348" s="568"/>
      <c r="J348" s="533"/>
      <c r="K348" s="533"/>
      <c r="L348" s="354">
        <v>84.941299999999998</v>
      </c>
      <c r="M348" s="255">
        <v>145</v>
      </c>
      <c r="N348" s="164">
        <v>0</v>
      </c>
      <c r="O348" s="164">
        <v>0</v>
      </c>
      <c r="P348" s="555"/>
      <c r="Q348" s="555"/>
      <c r="R348" s="555"/>
      <c r="S348" s="1643"/>
      <c r="T348" s="1161"/>
      <c r="U348" s="116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</row>
    <row r="349" spans="1:67" s="35" customFormat="1" ht="35.1" customHeight="1">
      <c r="A349" s="1462"/>
      <c r="B349" s="527"/>
      <c r="C349" s="530"/>
      <c r="D349" s="925"/>
      <c r="E349" s="926"/>
      <c r="F349" s="927"/>
      <c r="G349" s="569"/>
      <c r="H349" s="570"/>
      <c r="I349" s="571"/>
      <c r="J349" s="534"/>
      <c r="K349" s="534"/>
      <c r="L349" s="354">
        <v>99.887900000000002</v>
      </c>
      <c r="M349" s="255">
        <v>235</v>
      </c>
      <c r="N349" s="164">
        <v>7</v>
      </c>
      <c r="O349" s="164">
        <v>1</v>
      </c>
      <c r="P349" s="555"/>
      <c r="Q349" s="555"/>
      <c r="R349" s="555"/>
      <c r="S349" s="1643"/>
      <c r="T349" s="1161"/>
      <c r="U349" s="116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</row>
    <row r="350" spans="1:67" s="35" customFormat="1" ht="35.1" customHeight="1">
      <c r="A350" s="1462"/>
      <c r="B350" s="527"/>
      <c r="C350" s="531"/>
      <c r="D350" s="928"/>
      <c r="E350" s="929"/>
      <c r="F350" s="930"/>
      <c r="G350" s="490" t="s">
        <v>329</v>
      </c>
      <c r="H350" s="491"/>
      <c r="I350" s="491"/>
      <c r="J350" s="491"/>
      <c r="K350" s="492"/>
      <c r="L350" s="165"/>
      <c r="M350" s="256">
        <f>SUM(M347:M349)</f>
        <v>642</v>
      </c>
      <c r="N350" s="401">
        <f>SUM(N347:N349)</f>
        <v>7</v>
      </c>
      <c r="O350" s="401">
        <f>SUM(O347:O349)</f>
        <v>1</v>
      </c>
      <c r="P350" s="556"/>
      <c r="Q350" s="556"/>
      <c r="R350" s="556"/>
      <c r="S350" s="1644"/>
      <c r="T350" s="1162"/>
      <c r="U350" s="1162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</row>
    <row r="351" spans="1:67" s="35" customFormat="1" ht="35.1" customHeight="1">
      <c r="A351" s="1462"/>
      <c r="B351" s="527"/>
      <c r="C351" s="529"/>
      <c r="D351" s="922" t="s">
        <v>616</v>
      </c>
      <c r="E351" s="923"/>
      <c r="F351" s="924"/>
      <c r="G351" s="1274"/>
      <c r="H351" s="1275"/>
      <c r="I351" s="1276"/>
      <c r="J351" s="600" t="s">
        <v>11</v>
      </c>
      <c r="K351" s="532"/>
      <c r="L351" s="354">
        <v>59</v>
      </c>
      <c r="M351" s="255">
        <v>102</v>
      </c>
      <c r="N351" s="340">
        <v>0</v>
      </c>
      <c r="O351" s="340">
        <v>0</v>
      </c>
      <c r="P351" s="554"/>
      <c r="Q351" s="554"/>
      <c r="R351" s="554"/>
      <c r="S351" s="1636"/>
      <c r="T351" s="1160"/>
      <c r="U351" s="1160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</row>
    <row r="352" spans="1:67" s="35" customFormat="1" ht="35.1" customHeight="1">
      <c r="A352" s="1462"/>
      <c r="B352" s="527"/>
      <c r="C352" s="530"/>
      <c r="D352" s="925"/>
      <c r="E352" s="926"/>
      <c r="F352" s="927"/>
      <c r="G352" s="1277"/>
      <c r="H352" s="1278"/>
      <c r="I352" s="1279"/>
      <c r="J352" s="601"/>
      <c r="K352" s="534"/>
      <c r="L352" s="352">
        <v>84</v>
      </c>
      <c r="M352" s="255">
        <v>268</v>
      </c>
      <c r="N352" s="340">
        <v>0</v>
      </c>
      <c r="O352" s="340">
        <v>0</v>
      </c>
      <c r="P352" s="555"/>
      <c r="Q352" s="555"/>
      <c r="R352" s="555"/>
      <c r="S352" s="1637"/>
      <c r="T352" s="1161"/>
      <c r="U352" s="116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</row>
    <row r="353" spans="1:67" s="35" customFormat="1" ht="35.1" customHeight="1">
      <c r="A353" s="1462"/>
      <c r="B353" s="527"/>
      <c r="C353" s="531"/>
      <c r="D353" s="928"/>
      <c r="E353" s="929"/>
      <c r="F353" s="930"/>
      <c r="G353" s="490" t="s">
        <v>329</v>
      </c>
      <c r="H353" s="491"/>
      <c r="I353" s="491"/>
      <c r="J353" s="491"/>
      <c r="K353" s="492"/>
      <c r="L353" s="165"/>
      <c r="M353" s="256">
        <f>SUM(M351:M352)</f>
        <v>370</v>
      </c>
      <c r="N353" s="401">
        <f>SUM(N351:N352)</f>
        <v>0</v>
      </c>
      <c r="O353" s="401">
        <f>SUM(O351:O352)</f>
        <v>0</v>
      </c>
      <c r="P353" s="556"/>
      <c r="Q353" s="556"/>
      <c r="R353" s="556"/>
      <c r="S353" s="1638"/>
      <c r="T353" s="1162"/>
      <c r="U353" s="1162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</row>
    <row r="354" spans="1:67" s="35" customFormat="1" ht="35.1" customHeight="1">
      <c r="A354" s="1462"/>
      <c r="B354" s="527"/>
      <c r="C354" s="984" t="s">
        <v>54</v>
      </c>
      <c r="D354" s="922" t="s">
        <v>615</v>
      </c>
      <c r="E354" s="923"/>
      <c r="F354" s="924"/>
      <c r="G354" s="1660" t="s">
        <v>888</v>
      </c>
      <c r="H354" s="1661"/>
      <c r="I354" s="1662"/>
      <c r="J354" s="532" t="s">
        <v>11</v>
      </c>
      <c r="K354" s="532" t="s">
        <v>12</v>
      </c>
      <c r="L354" s="169">
        <v>45.95</v>
      </c>
      <c r="M354" s="255">
        <v>32</v>
      </c>
      <c r="N354" s="164">
        <v>0</v>
      </c>
      <c r="O354" s="164">
        <v>0</v>
      </c>
      <c r="P354" s="1527" t="s">
        <v>189</v>
      </c>
      <c r="Q354" s="1524" t="s">
        <v>189</v>
      </c>
      <c r="R354" s="1524" t="s">
        <v>189</v>
      </c>
      <c r="S354" s="1788" t="s">
        <v>189</v>
      </c>
      <c r="T354" s="1160" t="s">
        <v>189</v>
      </c>
      <c r="U354" s="1160" t="s">
        <v>189</v>
      </c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</row>
    <row r="355" spans="1:67" s="35" customFormat="1" ht="35.1" customHeight="1">
      <c r="A355" s="1462"/>
      <c r="B355" s="527"/>
      <c r="C355" s="985"/>
      <c r="D355" s="925"/>
      <c r="E355" s="926"/>
      <c r="F355" s="927"/>
      <c r="G355" s="1663"/>
      <c r="H355" s="1664"/>
      <c r="I355" s="1665"/>
      <c r="J355" s="533"/>
      <c r="K355" s="533"/>
      <c r="L355" s="169">
        <v>59.96</v>
      </c>
      <c r="M355" s="255">
        <v>279</v>
      </c>
      <c r="N355" s="164">
        <v>0</v>
      </c>
      <c r="O355" s="164">
        <v>0</v>
      </c>
      <c r="P355" s="1528"/>
      <c r="Q355" s="1525"/>
      <c r="R355" s="1525"/>
      <c r="S355" s="1789"/>
      <c r="T355" s="1161"/>
      <c r="U355" s="116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</row>
    <row r="356" spans="1:67" s="35" customFormat="1" ht="35.1" customHeight="1">
      <c r="A356" s="1462"/>
      <c r="B356" s="527"/>
      <c r="C356" s="985"/>
      <c r="D356" s="925"/>
      <c r="E356" s="926"/>
      <c r="F356" s="927"/>
      <c r="G356" s="1663"/>
      <c r="H356" s="1664"/>
      <c r="I356" s="1665"/>
      <c r="J356" s="533"/>
      <c r="K356" s="533"/>
      <c r="L356" s="169">
        <v>59.96</v>
      </c>
      <c r="M356" s="255">
        <v>103</v>
      </c>
      <c r="N356" s="164">
        <v>0</v>
      </c>
      <c r="O356" s="164">
        <v>0</v>
      </c>
      <c r="P356" s="1528"/>
      <c r="Q356" s="1525"/>
      <c r="R356" s="1525"/>
      <c r="S356" s="1789"/>
      <c r="T356" s="1161"/>
      <c r="U356" s="116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</row>
    <row r="357" spans="1:67" s="35" customFormat="1" ht="35.1" customHeight="1">
      <c r="A357" s="1462"/>
      <c r="B357" s="527"/>
      <c r="C357" s="985"/>
      <c r="D357" s="925"/>
      <c r="E357" s="926"/>
      <c r="F357" s="927"/>
      <c r="G357" s="1663"/>
      <c r="H357" s="1664"/>
      <c r="I357" s="1665"/>
      <c r="J357" s="533"/>
      <c r="K357" s="533"/>
      <c r="L357" s="169">
        <v>74.989999999999995</v>
      </c>
      <c r="M357" s="255">
        <v>45</v>
      </c>
      <c r="N357" s="164">
        <v>3</v>
      </c>
      <c r="O357" s="164">
        <v>2</v>
      </c>
      <c r="P357" s="1528"/>
      <c r="Q357" s="1525"/>
      <c r="R357" s="1525"/>
      <c r="S357" s="1789"/>
      <c r="T357" s="1161"/>
      <c r="U357" s="116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</row>
    <row r="358" spans="1:67" s="35" customFormat="1" ht="35.1" customHeight="1">
      <c r="A358" s="1462"/>
      <c r="B358" s="527"/>
      <c r="C358" s="985"/>
      <c r="D358" s="925"/>
      <c r="E358" s="926"/>
      <c r="F358" s="927"/>
      <c r="G358" s="1663"/>
      <c r="H358" s="1664"/>
      <c r="I358" s="1665"/>
      <c r="J358" s="533"/>
      <c r="K358" s="533"/>
      <c r="L358" s="169">
        <v>74.959999999999994</v>
      </c>
      <c r="M358" s="255">
        <v>27</v>
      </c>
      <c r="N358" s="164">
        <v>0</v>
      </c>
      <c r="O358" s="164">
        <v>0</v>
      </c>
      <c r="P358" s="1528"/>
      <c r="Q358" s="1525"/>
      <c r="R358" s="1525"/>
      <c r="S358" s="1789"/>
      <c r="T358" s="1161"/>
      <c r="U358" s="116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</row>
    <row r="359" spans="1:67" s="35" customFormat="1" ht="35.1" customHeight="1">
      <c r="A359" s="1462"/>
      <c r="B359" s="527"/>
      <c r="C359" s="985"/>
      <c r="D359" s="925"/>
      <c r="E359" s="926"/>
      <c r="F359" s="927"/>
      <c r="G359" s="1663"/>
      <c r="H359" s="1664"/>
      <c r="I359" s="1665"/>
      <c r="J359" s="533"/>
      <c r="K359" s="533"/>
      <c r="L359" s="169">
        <v>74.959999999999994</v>
      </c>
      <c r="M359" s="255">
        <v>3</v>
      </c>
      <c r="N359" s="164">
        <v>1</v>
      </c>
      <c r="O359" s="164">
        <v>1</v>
      </c>
      <c r="P359" s="1528"/>
      <c r="Q359" s="1525"/>
      <c r="R359" s="1525"/>
      <c r="S359" s="1789"/>
      <c r="T359" s="1161"/>
      <c r="U359" s="116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</row>
    <row r="360" spans="1:67" s="35" customFormat="1" ht="35.1" customHeight="1">
      <c r="A360" s="1462"/>
      <c r="B360" s="527"/>
      <c r="C360" s="985"/>
      <c r="D360" s="925"/>
      <c r="E360" s="926"/>
      <c r="F360" s="927"/>
      <c r="G360" s="1663"/>
      <c r="H360" s="1664"/>
      <c r="I360" s="1665"/>
      <c r="J360" s="533"/>
      <c r="K360" s="533"/>
      <c r="L360" s="169">
        <v>84.99</v>
      </c>
      <c r="M360" s="255">
        <v>14</v>
      </c>
      <c r="N360" s="164">
        <v>0</v>
      </c>
      <c r="O360" s="164">
        <v>0</v>
      </c>
      <c r="P360" s="1528"/>
      <c r="Q360" s="1525"/>
      <c r="R360" s="1525"/>
      <c r="S360" s="1789"/>
      <c r="T360" s="1161"/>
      <c r="U360" s="116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</row>
    <row r="361" spans="1:67" s="35" customFormat="1" ht="35.1" customHeight="1">
      <c r="A361" s="1462"/>
      <c r="B361" s="527"/>
      <c r="C361" s="985"/>
      <c r="D361" s="925"/>
      <c r="E361" s="926"/>
      <c r="F361" s="927"/>
      <c r="G361" s="1663"/>
      <c r="H361" s="1664"/>
      <c r="I361" s="1665"/>
      <c r="J361" s="533"/>
      <c r="K361" s="533"/>
      <c r="L361" s="169">
        <v>84.93</v>
      </c>
      <c r="M361" s="255">
        <v>12</v>
      </c>
      <c r="N361" s="164">
        <v>0</v>
      </c>
      <c r="O361" s="164">
        <v>0</v>
      </c>
      <c r="P361" s="1528"/>
      <c r="Q361" s="1525"/>
      <c r="R361" s="1525"/>
      <c r="S361" s="1789"/>
      <c r="T361" s="1161"/>
      <c r="U361" s="116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</row>
    <row r="362" spans="1:67" s="35" customFormat="1" ht="35.1" customHeight="1">
      <c r="A362" s="1462"/>
      <c r="B362" s="527"/>
      <c r="C362" s="985"/>
      <c r="D362" s="925"/>
      <c r="E362" s="926"/>
      <c r="F362" s="927"/>
      <c r="G362" s="1663"/>
      <c r="H362" s="1664"/>
      <c r="I362" s="1665"/>
      <c r="J362" s="533"/>
      <c r="K362" s="533"/>
      <c r="L362" s="169">
        <v>84.13</v>
      </c>
      <c r="M362" s="255">
        <v>80</v>
      </c>
      <c r="N362" s="164">
        <v>0</v>
      </c>
      <c r="O362" s="164">
        <v>0</v>
      </c>
      <c r="P362" s="1528"/>
      <c r="Q362" s="1525"/>
      <c r="R362" s="1525"/>
      <c r="S362" s="1789"/>
      <c r="T362" s="1161"/>
      <c r="U362" s="116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</row>
    <row r="363" spans="1:67" s="35" customFormat="1" ht="35.1" customHeight="1">
      <c r="A363" s="1462"/>
      <c r="B363" s="527"/>
      <c r="C363" s="985"/>
      <c r="D363" s="925"/>
      <c r="E363" s="926"/>
      <c r="F363" s="927"/>
      <c r="G363" s="1666"/>
      <c r="H363" s="1667"/>
      <c r="I363" s="1668"/>
      <c r="J363" s="534"/>
      <c r="K363" s="534"/>
      <c r="L363" s="169">
        <v>112.92</v>
      </c>
      <c r="M363" s="255">
        <v>4</v>
      </c>
      <c r="N363" s="164">
        <v>0</v>
      </c>
      <c r="O363" s="164">
        <v>0</v>
      </c>
      <c r="P363" s="1528"/>
      <c r="Q363" s="1525"/>
      <c r="R363" s="1525"/>
      <c r="S363" s="1789"/>
      <c r="T363" s="1161"/>
      <c r="U363" s="116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</row>
    <row r="364" spans="1:67" s="35" customFormat="1" ht="35.1" customHeight="1">
      <c r="A364" s="1462"/>
      <c r="B364" s="527"/>
      <c r="C364" s="986"/>
      <c r="D364" s="928"/>
      <c r="E364" s="929"/>
      <c r="F364" s="930"/>
      <c r="G364" s="490" t="s">
        <v>329</v>
      </c>
      <c r="H364" s="491"/>
      <c r="I364" s="491"/>
      <c r="J364" s="491"/>
      <c r="K364" s="492"/>
      <c r="L364" s="165"/>
      <c r="M364" s="256">
        <f>SUM(M354:M363)</f>
        <v>599</v>
      </c>
      <c r="N364" s="401">
        <f>SUM(N354:N363)</f>
        <v>4</v>
      </c>
      <c r="O364" s="401">
        <f>SUM(O354:O363)</f>
        <v>3</v>
      </c>
      <c r="P364" s="1529"/>
      <c r="Q364" s="1526"/>
      <c r="R364" s="1526"/>
      <c r="S364" s="1790"/>
      <c r="T364" s="1162"/>
      <c r="U364" s="1162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</row>
    <row r="365" spans="1:67" s="35" customFormat="1" ht="35.1" customHeight="1">
      <c r="A365" s="1462"/>
      <c r="B365" s="527"/>
      <c r="C365" s="984" t="s">
        <v>54</v>
      </c>
      <c r="D365" s="922" t="s">
        <v>615</v>
      </c>
      <c r="E365" s="923"/>
      <c r="F365" s="924"/>
      <c r="G365" s="1274" t="s">
        <v>616</v>
      </c>
      <c r="H365" s="1275"/>
      <c r="I365" s="1276"/>
      <c r="J365" s="532" t="s">
        <v>11</v>
      </c>
      <c r="K365" s="532" t="s">
        <v>12</v>
      </c>
      <c r="L365" s="354">
        <v>84</v>
      </c>
      <c r="M365" s="255">
        <v>511</v>
      </c>
      <c r="N365" s="168">
        <v>0</v>
      </c>
      <c r="O365" s="168">
        <v>0</v>
      </c>
      <c r="P365" s="981" t="s">
        <v>854</v>
      </c>
      <c r="Q365" s="981" t="s">
        <v>854</v>
      </c>
      <c r="R365" s="981" t="s">
        <v>854</v>
      </c>
      <c r="S365" s="981" t="s">
        <v>854</v>
      </c>
      <c r="T365" s="981" t="s">
        <v>854</v>
      </c>
      <c r="U365" s="981" t="s">
        <v>854</v>
      </c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</row>
    <row r="366" spans="1:67" s="35" customFormat="1" ht="35.1" customHeight="1">
      <c r="A366" s="1462"/>
      <c r="B366" s="527"/>
      <c r="C366" s="985"/>
      <c r="D366" s="925"/>
      <c r="E366" s="926"/>
      <c r="F366" s="927"/>
      <c r="G366" s="1681"/>
      <c r="H366" s="1682"/>
      <c r="I366" s="1683"/>
      <c r="J366" s="533"/>
      <c r="K366" s="533"/>
      <c r="L366" s="354">
        <v>110</v>
      </c>
      <c r="M366" s="255">
        <v>270</v>
      </c>
      <c r="N366" s="168">
        <v>0</v>
      </c>
      <c r="O366" s="168">
        <v>0</v>
      </c>
      <c r="P366" s="982"/>
      <c r="Q366" s="982"/>
      <c r="R366" s="982"/>
      <c r="S366" s="982"/>
      <c r="T366" s="982"/>
      <c r="U366" s="982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</row>
    <row r="367" spans="1:67" s="35" customFormat="1" ht="35.1" customHeight="1">
      <c r="A367" s="1462"/>
      <c r="B367" s="527"/>
      <c r="C367" s="985"/>
      <c r="D367" s="925"/>
      <c r="E367" s="926"/>
      <c r="F367" s="927"/>
      <c r="G367" s="1277"/>
      <c r="H367" s="1278"/>
      <c r="I367" s="1279"/>
      <c r="J367" s="534"/>
      <c r="K367" s="534"/>
      <c r="L367" s="354">
        <v>134</v>
      </c>
      <c r="M367" s="255">
        <v>3</v>
      </c>
      <c r="N367" s="168">
        <v>0</v>
      </c>
      <c r="O367" s="168">
        <v>0</v>
      </c>
      <c r="P367" s="982"/>
      <c r="Q367" s="982"/>
      <c r="R367" s="982"/>
      <c r="S367" s="982"/>
      <c r="T367" s="982"/>
      <c r="U367" s="982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</row>
    <row r="368" spans="1:67" s="35" customFormat="1" ht="35.1" customHeight="1">
      <c r="A368" s="1462"/>
      <c r="B368" s="527"/>
      <c r="C368" s="986"/>
      <c r="D368" s="928"/>
      <c r="E368" s="929"/>
      <c r="F368" s="930"/>
      <c r="G368" s="490" t="s">
        <v>329</v>
      </c>
      <c r="H368" s="491"/>
      <c r="I368" s="491"/>
      <c r="J368" s="491"/>
      <c r="K368" s="492"/>
      <c r="L368" s="165"/>
      <c r="M368" s="256">
        <f>SUM(M365:M367)</f>
        <v>784</v>
      </c>
      <c r="N368" s="401">
        <f>SUM(N365:N367)</f>
        <v>0</v>
      </c>
      <c r="O368" s="401">
        <f>SUM(O365:O367)</f>
        <v>0</v>
      </c>
      <c r="P368" s="983"/>
      <c r="Q368" s="983"/>
      <c r="R368" s="983"/>
      <c r="S368" s="983"/>
      <c r="T368" s="983"/>
      <c r="U368" s="983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</row>
    <row r="369" spans="1:67" s="35" customFormat="1" ht="35.1" customHeight="1">
      <c r="A369" s="1462"/>
      <c r="B369" s="527"/>
      <c r="C369" s="984" t="s">
        <v>54</v>
      </c>
      <c r="D369" s="922" t="s">
        <v>617</v>
      </c>
      <c r="E369" s="923"/>
      <c r="F369" s="924"/>
      <c r="G369" s="1274" t="s">
        <v>617</v>
      </c>
      <c r="H369" s="1275"/>
      <c r="I369" s="1276"/>
      <c r="J369" s="532" t="s">
        <v>11</v>
      </c>
      <c r="K369" s="532" t="s">
        <v>12</v>
      </c>
      <c r="L369" s="170" t="s">
        <v>85</v>
      </c>
      <c r="M369" s="258">
        <v>176</v>
      </c>
      <c r="N369" s="164">
        <v>0</v>
      </c>
      <c r="O369" s="164">
        <v>0</v>
      </c>
      <c r="P369" s="981" t="s">
        <v>54</v>
      </c>
      <c r="Q369" s="981" t="s">
        <v>54</v>
      </c>
      <c r="R369" s="981" t="s">
        <v>54</v>
      </c>
      <c r="S369" s="981" t="s">
        <v>54</v>
      </c>
      <c r="T369" s="981" t="s">
        <v>54</v>
      </c>
      <c r="U369" s="981" t="s">
        <v>54</v>
      </c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</row>
    <row r="370" spans="1:67" s="35" customFormat="1" ht="35.1" customHeight="1">
      <c r="A370" s="1462"/>
      <c r="B370" s="527"/>
      <c r="C370" s="985"/>
      <c r="D370" s="925"/>
      <c r="E370" s="926"/>
      <c r="F370" s="927"/>
      <c r="G370" s="1681"/>
      <c r="H370" s="1682"/>
      <c r="I370" s="1683"/>
      <c r="J370" s="533"/>
      <c r="K370" s="533"/>
      <c r="L370" s="170" t="s">
        <v>103</v>
      </c>
      <c r="M370" s="258">
        <v>29</v>
      </c>
      <c r="N370" s="164">
        <v>0</v>
      </c>
      <c r="O370" s="164">
        <v>0</v>
      </c>
      <c r="P370" s="982"/>
      <c r="Q370" s="982"/>
      <c r="R370" s="982"/>
      <c r="S370" s="982"/>
      <c r="T370" s="982"/>
      <c r="U370" s="982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</row>
    <row r="371" spans="1:67" s="35" customFormat="1" ht="35.1" customHeight="1">
      <c r="A371" s="1462"/>
      <c r="B371" s="527"/>
      <c r="C371" s="985"/>
      <c r="D371" s="925"/>
      <c r="E371" s="926"/>
      <c r="F371" s="927"/>
      <c r="G371" s="1681"/>
      <c r="H371" s="1682"/>
      <c r="I371" s="1683"/>
      <c r="J371" s="533"/>
      <c r="K371" s="533"/>
      <c r="L371" s="170" t="s">
        <v>84</v>
      </c>
      <c r="M371" s="258">
        <v>194</v>
      </c>
      <c r="N371" s="340">
        <v>0</v>
      </c>
      <c r="O371" s="340">
        <v>0</v>
      </c>
      <c r="P371" s="982"/>
      <c r="Q371" s="982"/>
      <c r="R371" s="982"/>
      <c r="S371" s="982"/>
      <c r="T371" s="982"/>
      <c r="U371" s="982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</row>
    <row r="372" spans="1:67" s="35" customFormat="1" ht="35.1" customHeight="1">
      <c r="A372" s="1462"/>
      <c r="B372" s="527"/>
      <c r="C372" s="985"/>
      <c r="D372" s="925"/>
      <c r="E372" s="926"/>
      <c r="F372" s="927"/>
      <c r="G372" s="1681"/>
      <c r="H372" s="1682"/>
      <c r="I372" s="1683"/>
      <c r="J372" s="533"/>
      <c r="K372" s="533"/>
      <c r="L372" s="170" t="s">
        <v>83</v>
      </c>
      <c r="M372" s="258">
        <v>225</v>
      </c>
      <c r="N372" s="340">
        <v>0</v>
      </c>
      <c r="O372" s="340">
        <v>0</v>
      </c>
      <c r="P372" s="982"/>
      <c r="Q372" s="982"/>
      <c r="R372" s="982"/>
      <c r="S372" s="982"/>
      <c r="T372" s="982"/>
      <c r="U372" s="982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</row>
    <row r="373" spans="1:67" s="35" customFormat="1" ht="35.1" customHeight="1">
      <c r="A373" s="1462"/>
      <c r="B373" s="527"/>
      <c r="C373" s="985"/>
      <c r="D373" s="925"/>
      <c r="E373" s="926"/>
      <c r="F373" s="927"/>
      <c r="G373" s="1681"/>
      <c r="H373" s="1682"/>
      <c r="I373" s="1683"/>
      <c r="J373" s="533"/>
      <c r="K373" s="533"/>
      <c r="L373" s="170" t="s">
        <v>82</v>
      </c>
      <c r="M373" s="258">
        <v>303</v>
      </c>
      <c r="N373" s="340">
        <v>0</v>
      </c>
      <c r="O373" s="340">
        <v>0</v>
      </c>
      <c r="P373" s="982"/>
      <c r="Q373" s="982"/>
      <c r="R373" s="982"/>
      <c r="S373" s="982"/>
      <c r="T373" s="982"/>
      <c r="U373" s="982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</row>
    <row r="374" spans="1:67" s="35" customFormat="1" ht="35.1" customHeight="1">
      <c r="A374" s="1462"/>
      <c r="B374" s="527"/>
      <c r="C374" s="985"/>
      <c r="D374" s="925"/>
      <c r="E374" s="926"/>
      <c r="F374" s="927"/>
      <c r="G374" s="1277"/>
      <c r="H374" s="1278"/>
      <c r="I374" s="1279"/>
      <c r="J374" s="534"/>
      <c r="K374" s="534"/>
      <c r="L374" s="170" t="s">
        <v>81</v>
      </c>
      <c r="M374" s="258">
        <v>64</v>
      </c>
      <c r="N374" s="340">
        <v>0</v>
      </c>
      <c r="O374" s="340">
        <v>0</v>
      </c>
      <c r="P374" s="982"/>
      <c r="Q374" s="982"/>
      <c r="R374" s="982"/>
      <c r="S374" s="982"/>
      <c r="T374" s="982"/>
      <c r="U374" s="982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</row>
    <row r="375" spans="1:67" s="35" customFormat="1" ht="35.1" customHeight="1">
      <c r="A375" s="1462"/>
      <c r="B375" s="527"/>
      <c r="C375" s="986"/>
      <c r="D375" s="928"/>
      <c r="E375" s="929"/>
      <c r="F375" s="930"/>
      <c r="G375" s="1781"/>
      <c r="H375" s="1782"/>
      <c r="I375" s="1782"/>
      <c r="J375" s="1782"/>
      <c r="K375" s="1782"/>
      <c r="L375" s="1783"/>
      <c r="M375" s="259">
        <f>SUM(M369:M374)</f>
        <v>991</v>
      </c>
      <c r="N375" s="260">
        <f>SUM(N369:N374)</f>
        <v>0</v>
      </c>
      <c r="O375" s="260">
        <f>SUM(O369:O374)</f>
        <v>0</v>
      </c>
      <c r="P375" s="983"/>
      <c r="Q375" s="983"/>
      <c r="R375" s="983"/>
      <c r="S375" s="983"/>
      <c r="T375" s="983"/>
      <c r="U375" s="983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</row>
    <row r="376" spans="1:67" s="35" customFormat="1" ht="35.1" customHeight="1">
      <c r="A376" s="1462"/>
      <c r="B376" s="527"/>
      <c r="C376" s="984" t="s">
        <v>54</v>
      </c>
      <c r="D376" s="922" t="s">
        <v>617</v>
      </c>
      <c r="E376" s="923"/>
      <c r="F376" s="924"/>
      <c r="G376" s="1297" t="s">
        <v>617</v>
      </c>
      <c r="H376" s="1298"/>
      <c r="I376" s="1299"/>
      <c r="J376" s="532" t="s">
        <v>11</v>
      </c>
      <c r="K376" s="532" t="s">
        <v>12</v>
      </c>
      <c r="L376" s="170" t="s">
        <v>85</v>
      </c>
      <c r="M376" s="308">
        <v>98</v>
      </c>
      <c r="N376" s="339">
        <v>1</v>
      </c>
      <c r="O376" s="339">
        <v>0</v>
      </c>
      <c r="P376" s="981" t="s">
        <v>189</v>
      </c>
      <c r="Q376" s="981" t="s">
        <v>189</v>
      </c>
      <c r="R376" s="981" t="s">
        <v>189</v>
      </c>
      <c r="S376" s="981" t="s">
        <v>189</v>
      </c>
      <c r="T376" s="981" t="s">
        <v>189</v>
      </c>
      <c r="U376" s="981" t="s">
        <v>189</v>
      </c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</row>
    <row r="377" spans="1:67" s="35" customFormat="1" ht="35.1" customHeight="1">
      <c r="A377" s="1462"/>
      <c r="B377" s="527"/>
      <c r="C377" s="985"/>
      <c r="D377" s="925"/>
      <c r="E377" s="926"/>
      <c r="F377" s="927"/>
      <c r="G377" s="1300"/>
      <c r="H377" s="1301"/>
      <c r="I377" s="1302"/>
      <c r="J377" s="533"/>
      <c r="K377" s="533"/>
      <c r="L377" s="170" t="s">
        <v>103</v>
      </c>
      <c r="M377" s="308">
        <v>54</v>
      </c>
      <c r="N377" s="339">
        <v>0</v>
      </c>
      <c r="O377" s="339">
        <v>0</v>
      </c>
      <c r="P377" s="982"/>
      <c r="Q377" s="982"/>
      <c r="R377" s="982"/>
      <c r="S377" s="982"/>
      <c r="T377" s="982"/>
      <c r="U377" s="982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</row>
    <row r="378" spans="1:67" s="35" customFormat="1" ht="35.1" customHeight="1">
      <c r="A378" s="1462"/>
      <c r="B378" s="527"/>
      <c r="C378" s="985"/>
      <c r="D378" s="925"/>
      <c r="E378" s="926"/>
      <c r="F378" s="927"/>
      <c r="G378" s="1300"/>
      <c r="H378" s="1301"/>
      <c r="I378" s="1302"/>
      <c r="J378" s="533"/>
      <c r="K378" s="533"/>
      <c r="L378" s="170" t="s">
        <v>84</v>
      </c>
      <c r="M378" s="308">
        <v>563</v>
      </c>
      <c r="N378" s="339">
        <v>169</v>
      </c>
      <c r="O378" s="339">
        <v>142</v>
      </c>
      <c r="P378" s="982"/>
      <c r="Q378" s="982"/>
      <c r="R378" s="982"/>
      <c r="S378" s="982"/>
      <c r="T378" s="982"/>
      <c r="U378" s="982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</row>
    <row r="379" spans="1:67" s="35" customFormat="1" ht="35.1" customHeight="1">
      <c r="A379" s="1462"/>
      <c r="B379" s="527"/>
      <c r="C379" s="985"/>
      <c r="D379" s="925"/>
      <c r="E379" s="926"/>
      <c r="F379" s="927"/>
      <c r="G379" s="1300"/>
      <c r="H379" s="1301"/>
      <c r="I379" s="1302"/>
      <c r="J379" s="533"/>
      <c r="K379" s="533"/>
      <c r="L379" s="170" t="s">
        <v>83</v>
      </c>
      <c r="M379" s="308">
        <v>167</v>
      </c>
      <c r="N379" s="339">
        <v>2</v>
      </c>
      <c r="O379" s="339">
        <v>2</v>
      </c>
      <c r="P379" s="982"/>
      <c r="Q379" s="982"/>
      <c r="R379" s="982"/>
      <c r="S379" s="982"/>
      <c r="T379" s="982"/>
      <c r="U379" s="982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</row>
    <row r="380" spans="1:67" s="35" customFormat="1" ht="35.1" customHeight="1">
      <c r="A380" s="1462"/>
      <c r="B380" s="527"/>
      <c r="C380" s="985"/>
      <c r="D380" s="925"/>
      <c r="E380" s="926"/>
      <c r="F380" s="927"/>
      <c r="G380" s="1303"/>
      <c r="H380" s="1304"/>
      <c r="I380" s="1305"/>
      <c r="J380" s="534"/>
      <c r="K380" s="534"/>
      <c r="L380" s="170">
        <v>101</v>
      </c>
      <c r="M380" s="308">
        <v>333</v>
      </c>
      <c r="N380" s="339">
        <v>143</v>
      </c>
      <c r="O380" s="339">
        <v>138</v>
      </c>
      <c r="P380" s="982"/>
      <c r="Q380" s="982"/>
      <c r="R380" s="982"/>
      <c r="S380" s="982"/>
      <c r="T380" s="982"/>
      <c r="U380" s="982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</row>
    <row r="381" spans="1:67" s="35" customFormat="1" ht="35.1" customHeight="1">
      <c r="A381" s="1462"/>
      <c r="B381" s="527"/>
      <c r="C381" s="985"/>
      <c r="D381" s="925"/>
      <c r="E381" s="926"/>
      <c r="F381" s="927"/>
      <c r="G381" s="490" t="s">
        <v>329</v>
      </c>
      <c r="H381" s="491"/>
      <c r="I381" s="491"/>
      <c r="J381" s="491"/>
      <c r="K381" s="491"/>
      <c r="L381" s="311"/>
      <c r="M381" s="249">
        <f>SUM(M376:M380)</f>
        <v>1215</v>
      </c>
      <c r="N381" s="249">
        <f t="shared" ref="N381:O381" si="14">SUM(N376:N380)</f>
        <v>315</v>
      </c>
      <c r="O381" s="249">
        <f t="shared" si="14"/>
        <v>282</v>
      </c>
      <c r="P381" s="982"/>
      <c r="Q381" s="982"/>
      <c r="R381" s="982"/>
      <c r="S381" s="982"/>
      <c r="T381" s="982"/>
      <c r="U381" s="982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</row>
    <row r="382" spans="1:67" s="35" customFormat="1" ht="35.1" customHeight="1">
      <c r="A382" s="1462"/>
      <c r="B382" s="527"/>
      <c r="C382" s="985"/>
      <c r="D382" s="925"/>
      <c r="E382" s="926"/>
      <c r="F382" s="927"/>
      <c r="G382" s="1297" t="s">
        <v>617</v>
      </c>
      <c r="H382" s="1298"/>
      <c r="I382" s="1299"/>
      <c r="J382" s="532" t="s">
        <v>11</v>
      </c>
      <c r="K382" s="532" t="s">
        <v>12</v>
      </c>
      <c r="L382" s="360">
        <v>59</v>
      </c>
      <c r="M382" s="308">
        <v>283</v>
      </c>
      <c r="N382" s="339">
        <v>5</v>
      </c>
      <c r="O382" s="339">
        <v>5</v>
      </c>
      <c r="P382" s="982"/>
      <c r="Q382" s="982"/>
      <c r="R382" s="982"/>
      <c r="S382" s="982"/>
      <c r="T382" s="982"/>
      <c r="U382" s="982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</row>
    <row r="383" spans="1:67" s="35" customFormat="1" ht="35.1" customHeight="1">
      <c r="A383" s="1462"/>
      <c r="B383" s="527"/>
      <c r="C383" s="985"/>
      <c r="D383" s="925"/>
      <c r="E383" s="926"/>
      <c r="F383" s="927"/>
      <c r="G383" s="1300"/>
      <c r="H383" s="1301"/>
      <c r="I383" s="1302"/>
      <c r="J383" s="533"/>
      <c r="K383" s="533"/>
      <c r="L383" s="360" t="s">
        <v>195</v>
      </c>
      <c r="M383" s="308">
        <v>279</v>
      </c>
      <c r="N383" s="339">
        <v>32</v>
      </c>
      <c r="O383" s="339">
        <v>28</v>
      </c>
      <c r="P383" s="982"/>
      <c r="Q383" s="982"/>
      <c r="R383" s="982"/>
      <c r="S383" s="982"/>
      <c r="T383" s="982"/>
      <c r="U383" s="982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</row>
    <row r="384" spans="1:67" s="35" customFormat="1" ht="35.1" customHeight="1">
      <c r="A384" s="1462"/>
      <c r="B384" s="527"/>
      <c r="C384" s="985"/>
      <c r="D384" s="925"/>
      <c r="E384" s="926"/>
      <c r="F384" s="927"/>
      <c r="G384" s="1300"/>
      <c r="H384" s="1301"/>
      <c r="I384" s="1302"/>
      <c r="J384" s="533"/>
      <c r="K384" s="533"/>
      <c r="L384" s="360" t="s">
        <v>196</v>
      </c>
      <c r="M384" s="308">
        <v>468</v>
      </c>
      <c r="N384" s="339">
        <v>104</v>
      </c>
      <c r="O384" s="339">
        <v>33</v>
      </c>
      <c r="P384" s="982"/>
      <c r="Q384" s="982"/>
      <c r="R384" s="982"/>
      <c r="S384" s="982"/>
      <c r="T384" s="982"/>
      <c r="U384" s="982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</row>
    <row r="385" spans="1:67" s="35" customFormat="1" ht="35.1" customHeight="1">
      <c r="A385" s="1462"/>
      <c r="B385" s="527"/>
      <c r="C385" s="985"/>
      <c r="D385" s="925"/>
      <c r="E385" s="926"/>
      <c r="F385" s="927"/>
      <c r="G385" s="1300"/>
      <c r="H385" s="1301"/>
      <c r="I385" s="1302"/>
      <c r="J385" s="533"/>
      <c r="K385" s="533"/>
      <c r="L385" s="360" t="s">
        <v>197</v>
      </c>
      <c r="M385" s="308">
        <v>192</v>
      </c>
      <c r="N385" s="339">
        <v>28</v>
      </c>
      <c r="O385" s="339">
        <v>17</v>
      </c>
      <c r="P385" s="982"/>
      <c r="Q385" s="982"/>
      <c r="R385" s="982"/>
      <c r="S385" s="982"/>
      <c r="T385" s="982"/>
      <c r="U385" s="982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</row>
    <row r="386" spans="1:67" s="35" customFormat="1" ht="35.1" customHeight="1">
      <c r="A386" s="1462"/>
      <c r="B386" s="527"/>
      <c r="C386" s="985"/>
      <c r="D386" s="925"/>
      <c r="E386" s="926"/>
      <c r="F386" s="927"/>
      <c r="G386" s="1303"/>
      <c r="H386" s="1304"/>
      <c r="I386" s="1305"/>
      <c r="J386" s="534"/>
      <c r="K386" s="534"/>
      <c r="L386" s="360">
        <v>106</v>
      </c>
      <c r="M386" s="308">
        <v>378</v>
      </c>
      <c r="N386" s="339">
        <v>308</v>
      </c>
      <c r="O386" s="339">
        <v>285</v>
      </c>
      <c r="P386" s="982"/>
      <c r="Q386" s="982"/>
      <c r="R386" s="982"/>
      <c r="S386" s="982"/>
      <c r="T386" s="982"/>
      <c r="U386" s="982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</row>
    <row r="387" spans="1:67" s="35" customFormat="1" ht="35.1" customHeight="1">
      <c r="A387" s="1462"/>
      <c r="B387" s="527"/>
      <c r="C387" s="986"/>
      <c r="D387" s="928"/>
      <c r="E387" s="929"/>
      <c r="F387" s="930"/>
      <c r="G387" s="490" t="s">
        <v>329</v>
      </c>
      <c r="H387" s="491"/>
      <c r="I387" s="491"/>
      <c r="J387" s="491"/>
      <c r="K387" s="491"/>
      <c r="L387" s="311"/>
      <c r="M387" s="249">
        <f>SUM(M382:M386)</f>
        <v>1600</v>
      </c>
      <c r="N387" s="249">
        <f t="shared" ref="N387:O387" si="15">SUM(N382:N386)</f>
        <v>477</v>
      </c>
      <c r="O387" s="249">
        <f t="shared" si="15"/>
        <v>368</v>
      </c>
      <c r="P387" s="983"/>
      <c r="Q387" s="983"/>
      <c r="R387" s="983"/>
      <c r="S387" s="983"/>
      <c r="T387" s="983"/>
      <c r="U387" s="983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</row>
    <row r="388" spans="1:67" s="35" customFormat="1" ht="35.1" customHeight="1">
      <c r="A388" s="1462"/>
      <c r="B388" s="527"/>
      <c r="C388" s="999"/>
      <c r="D388" s="1000" t="s">
        <v>617</v>
      </c>
      <c r="E388" s="1000"/>
      <c r="F388" s="1000"/>
      <c r="G388" s="1623" t="s">
        <v>617</v>
      </c>
      <c r="H388" s="1623"/>
      <c r="I388" s="1623"/>
      <c r="J388" s="917" t="s">
        <v>11</v>
      </c>
      <c r="K388" s="917" t="s">
        <v>12</v>
      </c>
      <c r="L388" s="170">
        <v>74</v>
      </c>
      <c r="M388" s="308">
        <v>64</v>
      </c>
      <c r="N388" s="339">
        <v>37</v>
      </c>
      <c r="O388" s="339">
        <v>32</v>
      </c>
      <c r="P388" s="435"/>
      <c r="Q388" s="435"/>
      <c r="R388" s="435"/>
      <c r="S388" s="435"/>
      <c r="T388" s="435"/>
      <c r="U388" s="435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</row>
    <row r="389" spans="1:67" s="35" customFormat="1" ht="35.1" customHeight="1">
      <c r="A389" s="1462"/>
      <c r="B389" s="527"/>
      <c r="C389" s="999"/>
      <c r="D389" s="1000"/>
      <c r="E389" s="1000"/>
      <c r="F389" s="1000"/>
      <c r="G389" s="1623"/>
      <c r="H389" s="1623"/>
      <c r="I389" s="1623"/>
      <c r="J389" s="917"/>
      <c r="K389" s="917"/>
      <c r="L389" s="170">
        <v>84</v>
      </c>
      <c r="M389" s="308">
        <v>166</v>
      </c>
      <c r="N389" s="339">
        <v>153</v>
      </c>
      <c r="O389" s="339">
        <v>143</v>
      </c>
      <c r="P389" s="435"/>
      <c r="Q389" s="435"/>
      <c r="R389" s="435"/>
      <c r="S389" s="435"/>
      <c r="T389" s="435"/>
      <c r="U389" s="435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</row>
    <row r="390" spans="1:67" s="35" customFormat="1" ht="35.1" customHeight="1">
      <c r="A390" s="1462"/>
      <c r="B390" s="527"/>
      <c r="C390" s="999"/>
      <c r="D390" s="1000"/>
      <c r="E390" s="1000"/>
      <c r="F390" s="1000"/>
      <c r="G390" s="1623"/>
      <c r="H390" s="1623"/>
      <c r="I390" s="1623"/>
      <c r="J390" s="917"/>
      <c r="K390" s="917"/>
      <c r="L390" s="170">
        <v>115</v>
      </c>
      <c r="M390" s="308">
        <v>91</v>
      </c>
      <c r="N390" s="339">
        <v>86</v>
      </c>
      <c r="O390" s="339">
        <v>81</v>
      </c>
      <c r="P390" s="435"/>
      <c r="Q390" s="435"/>
      <c r="R390" s="435"/>
      <c r="S390" s="435"/>
      <c r="T390" s="435"/>
      <c r="U390" s="435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</row>
    <row r="391" spans="1:67" s="35" customFormat="1" ht="35.1" customHeight="1">
      <c r="A391" s="1462"/>
      <c r="B391" s="527"/>
      <c r="C391" s="999"/>
      <c r="D391" s="1000"/>
      <c r="E391" s="1000"/>
      <c r="F391" s="1000"/>
      <c r="G391" s="933" t="s">
        <v>329</v>
      </c>
      <c r="H391" s="933"/>
      <c r="I391" s="933"/>
      <c r="J391" s="933"/>
      <c r="K391" s="933"/>
      <c r="L391" s="436"/>
      <c r="M391" s="249">
        <f>SUM(M388:M390)</f>
        <v>321</v>
      </c>
      <c r="N391" s="249">
        <f>SUM(N388:N390)</f>
        <v>276</v>
      </c>
      <c r="O391" s="249">
        <f>SUM(O388:O390)</f>
        <v>256</v>
      </c>
      <c r="P391" s="435"/>
      <c r="Q391" s="435"/>
      <c r="R391" s="435"/>
      <c r="S391" s="435"/>
      <c r="T391" s="435"/>
      <c r="U391" s="435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</row>
    <row r="392" spans="1:67" s="35" customFormat="1" ht="35.1" customHeight="1">
      <c r="A392" s="1462"/>
      <c r="B392" s="527"/>
      <c r="C392" s="1736" t="s">
        <v>54</v>
      </c>
      <c r="D392" s="922" t="s">
        <v>617</v>
      </c>
      <c r="E392" s="923"/>
      <c r="F392" s="924"/>
      <c r="G392" s="931" t="s">
        <v>617</v>
      </c>
      <c r="H392" s="931"/>
      <c r="I392" s="931"/>
      <c r="J392" s="1677" t="s">
        <v>11</v>
      </c>
      <c r="K392" s="1677" t="s">
        <v>12</v>
      </c>
      <c r="L392" s="445" t="s">
        <v>84</v>
      </c>
      <c r="M392" s="308">
        <v>181</v>
      </c>
      <c r="N392" s="308">
        <v>77</v>
      </c>
      <c r="O392" s="308">
        <v>64</v>
      </c>
      <c r="P392" s="441"/>
      <c r="Q392" s="441"/>
      <c r="R392" s="441"/>
      <c r="S392" s="441"/>
      <c r="T392" s="441"/>
      <c r="U392" s="440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</row>
    <row r="393" spans="1:67" s="35" customFormat="1" ht="35.1" customHeight="1">
      <c r="A393" s="1462"/>
      <c r="B393" s="527"/>
      <c r="C393" s="1736"/>
      <c r="D393" s="925"/>
      <c r="E393" s="926"/>
      <c r="F393" s="927"/>
      <c r="G393" s="931"/>
      <c r="H393" s="931"/>
      <c r="I393" s="931"/>
      <c r="J393" s="1677"/>
      <c r="K393" s="1677"/>
      <c r="L393" s="445" t="s">
        <v>83</v>
      </c>
      <c r="M393" s="308">
        <v>147</v>
      </c>
      <c r="N393" s="308">
        <v>125</v>
      </c>
      <c r="O393" s="308">
        <v>121</v>
      </c>
      <c r="P393" s="441"/>
      <c r="Q393" s="441"/>
      <c r="R393" s="441"/>
      <c r="S393" s="441"/>
      <c r="T393" s="441"/>
      <c r="U393" s="440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</row>
    <row r="394" spans="1:67" s="35" customFormat="1" ht="35.1" customHeight="1">
      <c r="A394" s="1462"/>
      <c r="B394" s="527"/>
      <c r="C394" s="1736"/>
      <c r="D394" s="925"/>
      <c r="E394" s="926"/>
      <c r="F394" s="927"/>
      <c r="G394" s="931"/>
      <c r="H394" s="931"/>
      <c r="I394" s="931"/>
      <c r="J394" s="1677"/>
      <c r="K394" s="1677"/>
      <c r="L394" s="445" t="s">
        <v>82</v>
      </c>
      <c r="M394" s="308">
        <v>97</v>
      </c>
      <c r="N394" s="308">
        <v>38</v>
      </c>
      <c r="O394" s="308">
        <v>31</v>
      </c>
      <c r="P394" s="441"/>
      <c r="Q394" s="441"/>
      <c r="R394" s="441"/>
      <c r="S394" s="441"/>
      <c r="T394" s="441"/>
      <c r="U394" s="440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</row>
    <row r="395" spans="1:67" s="35" customFormat="1" ht="35.1" customHeight="1">
      <c r="A395" s="1462"/>
      <c r="B395" s="527"/>
      <c r="C395" s="1736"/>
      <c r="D395" s="925"/>
      <c r="E395" s="926"/>
      <c r="F395" s="927"/>
      <c r="G395" s="931"/>
      <c r="H395" s="931"/>
      <c r="I395" s="931"/>
      <c r="J395" s="1677"/>
      <c r="K395" s="1677"/>
      <c r="L395" s="445">
        <v>101</v>
      </c>
      <c r="M395" s="308">
        <v>245</v>
      </c>
      <c r="N395" s="308">
        <v>226</v>
      </c>
      <c r="O395" s="308">
        <v>222</v>
      </c>
      <c r="P395" s="441"/>
      <c r="Q395" s="441"/>
      <c r="R395" s="441"/>
      <c r="S395" s="441"/>
      <c r="T395" s="441"/>
      <c r="U395" s="440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</row>
    <row r="396" spans="1:67" s="35" customFormat="1" ht="35.1" customHeight="1">
      <c r="A396" s="1462"/>
      <c r="B396" s="527"/>
      <c r="C396" s="1736"/>
      <c r="D396" s="928"/>
      <c r="E396" s="929"/>
      <c r="F396" s="930"/>
      <c r="G396" s="933" t="s">
        <v>329</v>
      </c>
      <c r="H396" s="933"/>
      <c r="I396" s="933"/>
      <c r="J396" s="933"/>
      <c r="K396" s="933"/>
      <c r="L396" s="436"/>
      <c r="M396" s="249">
        <f>SUM(M392:M395)</f>
        <v>670</v>
      </c>
      <c r="N396" s="249">
        <f t="shared" ref="N396" si="16">SUM(N392:N395)</f>
        <v>466</v>
      </c>
      <c r="O396" s="249">
        <f t="shared" ref="O396" si="17">SUM(O392:O395)</f>
        <v>438</v>
      </c>
      <c r="P396" s="441"/>
      <c r="Q396" s="441"/>
      <c r="R396" s="441"/>
      <c r="S396" s="441"/>
      <c r="T396" s="441"/>
      <c r="U396" s="440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</row>
    <row r="397" spans="1:67" s="35" customFormat="1" ht="35.1" customHeight="1">
      <c r="A397" s="1462"/>
      <c r="B397" s="527"/>
      <c r="C397" s="1736" t="s">
        <v>54</v>
      </c>
      <c r="D397" s="922" t="s">
        <v>617</v>
      </c>
      <c r="E397" s="923"/>
      <c r="F397" s="924"/>
      <c r="G397" s="931" t="s">
        <v>617</v>
      </c>
      <c r="H397" s="931"/>
      <c r="I397" s="931"/>
      <c r="J397" s="1677" t="s">
        <v>11</v>
      </c>
      <c r="K397" s="1677" t="s">
        <v>12</v>
      </c>
      <c r="L397" s="445" t="s">
        <v>84</v>
      </c>
      <c r="M397" s="308">
        <v>123</v>
      </c>
      <c r="N397" s="308">
        <v>110</v>
      </c>
      <c r="O397" s="308">
        <v>95</v>
      </c>
      <c r="P397" s="441"/>
      <c r="Q397" s="441"/>
      <c r="R397" s="441"/>
      <c r="S397" s="441"/>
      <c r="T397" s="441"/>
      <c r="U397" s="440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</row>
    <row r="398" spans="1:67" s="35" customFormat="1" ht="35.1" customHeight="1">
      <c r="A398" s="1462"/>
      <c r="B398" s="527"/>
      <c r="C398" s="1736"/>
      <c r="D398" s="925"/>
      <c r="E398" s="926"/>
      <c r="F398" s="927"/>
      <c r="G398" s="931"/>
      <c r="H398" s="931"/>
      <c r="I398" s="931"/>
      <c r="J398" s="1677"/>
      <c r="K398" s="1677"/>
      <c r="L398" s="445" t="s">
        <v>83</v>
      </c>
      <c r="M398" s="308">
        <v>105</v>
      </c>
      <c r="N398" s="308">
        <v>91</v>
      </c>
      <c r="O398" s="308">
        <v>85</v>
      </c>
      <c r="P398" s="441"/>
      <c r="Q398" s="441"/>
      <c r="R398" s="441"/>
      <c r="S398" s="441"/>
      <c r="T398" s="441"/>
      <c r="U398" s="440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</row>
    <row r="399" spans="1:67" s="35" customFormat="1" ht="35.1" customHeight="1">
      <c r="A399" s="1462"/>
      <c r="B399" s="527"/>
      <c r="C399" s="1736"/>
      <c r="D399" s="925"/>
      <c r="E399" s="926"/>
      <c r="F399" s="927"/>
      <c r="G399" s="931"/>
      <c r="H399" s="931"/>
      <c r="I399" s="931"/>
      <c r="J399" s="1677"/>
      <c r="K399" s="1677"/>
      <c r="L399" s="445" t="s">
        <v>82</v>
      </c>
      <c r="M399" s="308">
        <v>61</v>
      </c>
      <c r="N399" s="308">
        <v>54</v>
      </c>
      <c r="O399" s="308">
        <v>50</v>
      </c>
      <c r="P399" s="441"/>
      <c r="Q399" s="441"/>
      <c r="R399" s="441"/>
      <c r="S399" s="441"/>
      <c r="T399" s="441"/>
      <c r="U399" s="440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</row>
    <row r="400" spans="1:67" s="35" customFormat="1" ht="35.1" customHeight="1">
      <c r="A400" s="1462"/>
      <c r="B400" s="527"/>
      <c r="C400" s="1736"/>
      <c r="D400" s="925"/>
      <c r="E400" s="926"/>
      <c r="F400" s="927"/>
      <c r="G400" s="931"/>
      <c r="H400" s="931"/>
      <c r="I400" s="931"/>
      <c r="J400" s="1677"/>
      <c r="K400" s="1677"/>
      <c r="L400" s="445">
        <v>101</v>
      </c>
      <c r="M400" s="308">
        <v>167</v>
      </c>
      <c r="N400" s="308">
        <v>154</v>
      </c>
      <c r="O400" s="308">
        <v>150</v>
      </c>
      <c r="P400" s="441"/>
      <c r="Q400" s="441"/>
      <c r="R400" s="441"/>
      <c r="S400" s="441"/>
      <c r="T400" s="441"/>
      <c r="U400" s="440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</row>
    <row r="401" spans="1:1892" s="35" customFormat="1" ht="35.1" customHeight="1">
      <c r="A401" s="1462"/>
      <c r="B401" s="527"/>
      <c r="C401" s="1736"/>
      <c r="D401" s="928"/>
      <c r="E401" s="929"/>
      <c r="F401" s="930"/>
      <c r="G401" s="933" t="s">
        <v>329</v>
      </c>
      <c r="H401" s="933"/>
      <c r="I401" s="933"/>
      <c r="J401" s="933"/>
      <c r="K401" s="933"/>
      <c r="L401" s="436"/>
      <c r="M401" s="249">
        <f>SUM(M397:M400)</f>
        <v>456</v>
      </c>
      <c r="N401" s="249">
        <f t="shared" ref="N401" si="18">SUM(N397:N400)</f>
        <v>409</v>
      </c>
      <c r="O401" s="249">
        <f t="shared" ref="O401" si="19">SUM(O397:O400)</f>
        <v>380</v>
      </c>
      <c r="P401" s="441"/>
      <c r="Q401" s="441"/>
      <c r="R401" s="441"/>
      <c r="S401" s="441"/>
      <c r="T401" s="441"/>
      <c r="U401" s="440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</row>
    <row r="402" spans="1:1892" s="35" customFormat="1" ht="35.1" customHeight="1">
      <c r="A402" s="1462"/>
      <c r="B402" s="527"/>
      <c r="C402" s="921" t="s">
        <v>1157</v>
      </c>
      <c r="D402" s="922" t="s">
        <v>617</v>
      </c>
      <c r="E402" s="923"/>
      <c r="F402" s="924"/>
      <c r="G402" s="931" t="s">
        <v>617</v>
      </c>
      <c r="H402" s="931"/>
      <c r="I402" s="931"/>
      <c r="J402" s="932" t="s">
        <v>11</v>
      </c>
      <c r="K402" s="932" t="s">
        <v>12</v>
      </c>
      <c r="L402" s="445" t="s">
        <v>84</v>
      </c>
      <c r="M402" s="308">
        <v>107</v>
      </c>
      <c r="N402" s="308">
        <v>0</v>
      </c>
      <c r="O402" s="308">
        <v>91</v>
      </c>
      <c r="P402" s="447"/>
      <c r="Q402" s="447"/>
      <c r="R402" s="447"/>
      <c r="S402" s="447"/>
      <c r="T402" s="447"/>
      <c r="U402" s="446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</row>
    <row r="403" spans="1:1892" s="35" customFormat="1" ht="35.1" customHeight="1">
      <c r="A403" s="1462"/>
      <c r="B403" s="527"/>
      <c r="C403" s="921"/>
      <c r="D403" s="925"/>
      <c r="E403" s="926"/>
      <c r="F403" s="927"/>
      <c r="G403" s="931"/>
      <c r="H403" s="931"/>
      <c r="I403" s="931"/>
      <c r="J403" s="932"/>
      <c r="K403" s="932"/>
      <c r="L403" s="445" t="s">
        <v>83</v>
      </c>
      <c r="M403" s="308">
        <v>90</v>
      </c>
      <c r="N403" s="308">
        <v>0</v>
      </c>
      <c r="O403" s="308">
        <v>89</v>
      </c>
      <c r="P403" s="447"/>
      <c r="Q403" s="447"/>
      <c r="R403" s="447"/>
      <c r="S403" s="447"/>
      <c r="T403" s="447"/>
      <c r="U403" s="446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</row>
    <row r="404" spans="1:1892" s="35" customFormat="1" ht="35.1" customHeight="1">
      <c r="A404" s="1462"/>
      <c r="B404" s="527"/>
      <c r="C404" s="921"/>
      <c r="D404" s="925"/>
      <c r="E404" s="926"/>
      <c r="F404" s="927"/>
      <c r="G404" s="931"/>
      <c r="H404" s="931"/>
      <c r="I404" s="931"/>
      <c r="J404" s="932"/>
      <c r="K404" s="932"/>
      <c r="L404" s="445" t="s">
        <v>82</v>
      </c>
      <c r="M404" s="308">
        <v>59</v>
      </c>
      <c r="N404" s="308">
        <v>0</v>
      </c>
      <c r="O404" s="308">
        <v>54</v>
      </c>
      <c r="P404" s="447"/>
      <c r="Q404" s="447"/>
      <c r="R404" s="447"/>
      <c r="S404" s="447"/>
      <c r="T404" s="447"/>
      <c r="U404" s="446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</row>
    <row r="405" spans="1:1892" s="35" customFormat="1" ht="35.1" customHeight="1">
      <c r="A405" s="1462"/>
      <c r="B405" s="527"/>
      <c r="C405" s="921"/>
      <c r="D405" s="925"/>
      <c r="E405" s="926"/>
      <c r="F405" s="927"/>
      <c r="G405" s="931"/>
      <c r="H405" s="931"/>
      <c r="I405" s="931"/>
      <c r="J405" s="932"/>
      <c r="K405" s="932"/>
      <c r="L405" s="445">
        <v>101</v>
      </c>
      <c r="M405" s="308">
        <v>147</v>
      </c>
      <c r="N405" s="308">
        <v>0</v>
      </c>
      <c r="O405" s="308">
        <v>145</v>
      </c>
      <c r="P405" s="447"/>
      <c r="Q405" s="447"/>
      <c r="R405" s="447"/>
      <c r="S405" s="447"/>
      <c r="T405" s="447"/>
      <c r="U405" s="446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</row>
    <row r="406" spans="1:1892" s="35" customFormat="1" ht="35.1" customHeight="1">
      <c r="A406" s="1462"/>
      <c r="B406" s="528"/>
      <c r="C406" s="921"/>
      <c r="D406" s="928"/>
      <c r="E406" s="929"/>
      <c r="F406" s="930"/>
      <c r="G406" s="933" t="s">
        <v>329</v>
      </c>
      <c r="H406" s="933"/>
      <c r="I406" s="933"/>
      <c r="J406" s="933"/>
      <c r="K406" s="933"/>
      <c r="L406" s="436"/>
      <c r="M406" s="249">
        <f>SUM(M402:M405)</f>
        <v>403</v>
      </c>
      <c r="N406" s="249">
        <f t="shared" ref="N406:O406" si="20">SUM(N402:N405)</f>
        <v>0</v>
      </c>
      <c r="O406" s="249">
        <f t="shared" si="20"/>
        <v>379</v>
      </c>
      <c r="P406" s="447"/>
      <c r="Q406" s="447"/>
      <c r="R406" s="447"/>
      <c r="S406" s="447"/>
      <c r="T406" s="447"/>
      <c r="U406" s="446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</row>
    <row r="407" spans="1:1892" s="16" customFormat="1" ht="35.1" customHeight="1">
      <c r="A407" s="1462"/>
      <c r="B407" s="171" t="s">
        <v>105</v>
      </c>
      <c r="C407" s="428"/>
      <c r="D407" s="428"/>
      <c r="E407" s="428"/>
      <c r="F407" s="428"/>
      <c r="G407" s="428"/>
      <c r="H407" s="428"/>
      <c r="I407" s="428"/>
      <c r="J407" s="428"/>
      <c r="K407" s="429"/>
      <c r="L407" s="430"/>
      <c r="M407" s="431">
        <f t="shared" ref="M407:N407" si="21">M306+M312+M316+M322+M327+M331+M336+M339+M346+M350+M353+M364+M368+M375+M381+M387+M391+M396+M401+M406</f>
        <v>19805</v>
      </c>
      <c r="N407" s="431">
        <f t="shared" si="21"/>
        <v>3511</v>
      </c>
      <c r="O407" s="431">
        <f>O306+O312+O316+O322+O327+O331+O336+O339+O346+O350+O353+O364+O368+O375+O381+O387+O391+O396+O401+O406</f>
        <v>3608</v>
      </c>
      <c r="P407" s="432"/>
      <c r="Q407" s="432"/>
      <c r="R407" s="432"/>
      <c r="S407" s="433"/>
      <c r="T407" s="434"/>
      <c r="U407" s="218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  <c r="EF407" s="11"/>
      <c r="EG407" s="11"/>
      <c r="EH407" s="11"/>
      <c r="EI407" s="11"/>
      <c r="EJ407" s="11"/>
      <c r="EK407" s="11"/>
      <c r="EL407" s="11"/>
      <c r="EM407" s="11"/>
      <c r="EN407" s="11"/>
      <c r="EO407" s="11"/>
      <c r="EP407" s="11"/>
      <c r="EQ407" s="11"/>
      <c r="ER407" s="11"/>
      <c r="ES407" s="11"/>
      <c r="ET407" s="11"/>
      <c r="EU407" s="11"/>
      <c r="EV407" s="11"/>
      <c r="EW407" s="11"/>
      <c r="EX407" s="11"/>
      <c r="EY407" s="11"/>
      <c r="EZ407" s="11"/>
      <c r="FA407" s="11"/>
      <c r="FB407" s="11"/>
      <c r="FC407" s="11"/>
      <c r="FD407" s="11"/>
      <c r="FE407" s="11"/>
      <c r="FF407" s="11"/>
      <c r="FG407" s="11"/>
      <c r="FH407" s="11"/>
      <c r="FI407" s="11"/>
      <c r="FJ407" s="11"/>
      <c r="FK407" s="11"/>
      <c r="FL407" s="11"/>
      <c r="FM407" s="11"/>
      <c r="FN407" s="11"/>
      <c r="FO407" s="11"/>
      <c r="FP407" s="11"/>
      <c r="FQ407" s="11"/>
      <c r="FR407" s="11"/>
      <c r="FS407" s="11"/>
      <c r="FT407" s="11"/>
      <c r="FU407" s="11"/>
      <c r="FV407" s="11"/>
      <c r="FW407" s="11"/>
      <c r="FX407" s="11"/>
      <c r="FY407" s="11"/>
      <c r="FZ407" s="11"/>
      <c r="GA407" s="11"/>
      <c r="GB407" s="11"/>
      <c r="GC407" s="11"/>
      <c r="GD407" s="11"/>
      <c r="GE407" s="11"/>
      <c r="GF407" s="11"/>
      <c r="GG407" s="11"/>
      <c r="GH407" s="11"/>
      <c r="GI407" s="11"/>
      <c r="GJ407" s="11"/>
      <c r="GK407" s="11"/>
      <c r="GL407" s="11"/>
      <c r="GM407" s="11"/>
      <c r="GN407" s="11"/>
      <c r="GO407" s="11"/>
      <c r="GP407" s="11"/>
      <c r="GQ407" s="11"/>
      <c r="GR407" s="11"/>
      <c r="GS407" s="11"/>
      <c r="GT407" s="11"/>
      <c r="GU407" s="11"/>
      <c r="GV407" s="11"/>
      <c r="GW407" s="11"/>
      <c r="GX407" s="11"/>
      <c r="GY407" s="11"/>
      <c r="GZ407" s="11"/>
      <c r="HA407" s="11"/>
      <c r="HB407" s="11"/>
      <c r="HC407" s="11"/>
      <c r="HD407" s="11"/>
      <c r="HE407" s="11"/>
      <c r="HF407" s="11"/>
      <c r="HG407" s="11"/>
      <c r="HH407" s="11"/>
      <c r="HI407" s="11"/>
      <c r="HJ407" s="11"/>
      <c r="HK407" s="11"/>
      <c r="HL407" s="11"/>
      <c r="HM407" s="11"/>
      <c r="HN407" s="11"/>
      <c r="HO407" s="11"/>
      <c r="HP407" s="11"/>
      <c r="HQ407" s="11"/>
      <c r="HR407" s="11"/>
      <c r="HS407" s="11"/>
      <c r="HT407" s="11"/>
      <c r="HU407" s="11"/>
      <c r="HV407" s="11"/>
      <c r="HW407" s="11"/>
      <c r="HX407" s="11"/>
      <c r="HY407" s="11"/>
      <c r="HZ407" s="11"/>
      <c r="IA407" s="11"/>
      <c r="IB407" s="11"/>
      <c r="IC407" s="11"/>
      <c r="ID407" s="11"/>
      <c r="IE407" s="11"/>
      <c r="IF407" s="11"/>
      <c r="IG407" s="11"/>
      <c r="IH407" s="11"/>
      <c r="II407" s="11"/>
      <c r="IJ407" s="11"/>
      <c r="IK407" s="11"/>
      <c r="IL407" s="11"/>
      <c r="IM407" s="11"/>
      <c r="IN407" s="11"/>
      <c r="IO407" s="11"/>
      <c r="IP407" s="11"/>
      <c r="IQ407" s="11"/>
      <c r="IR407" s="11"/>
      <c r="IS407" s="11"/>
      <c r="IT407" s="11"/>
      <c r="IU407" s="11"/>
      <c r="IV407" s="11"/>
      <c r="IW407" s="11"/>
      <c r="IX407" s="11"/>
      <c r="IY407" s="11"/>
      <c r="IZ407" s="11"/>
      <c r="JA407" s="11"/>
      <c r="JB407" s="11"/>
      <c r="JC407" s="11"/>
      <c r="JD407" s="11"/>
      <c r="JE407" s="11"/>
      <c r="JF407" s="11"/>
      <c r="JG407" s="11"/>
      <c r="JH407" s="11"/>
      <c r="JI407" s="11"/>
      <c r="JJ407" s="11"/>
      <c r="JK407" s="11"/>
      <c r="JL407" s="11"/>
      <c r="JM407" s="11"/>
      <c r="JN407" s="11"/>
      <c r="JO407" s="11"/>
      <c r="JP407" s="11"/>
      <c r="JQ407" s="11"/>
      <c r="JR407" s="11"/>
      <c r="JS407" s="11"/>
      <c r="JT407" s="11"/>
      <c r="JU407" s="11"/>
      <c r="JV407" s="11"/>
      <c r="JW407" s="11"/>
      <c r="JX407" s="11"/>
      <c r="JY407" s="11"/>
      <c r="JZ407" s="11"/>
      <c r="KA407" s="11"/>
      <c r="KB407" s="11"/>
      <c r="KC407" s="11"/>
      <c r="KD407" s="11"/>
      <c r="KE407" s="11"/>
      <c r="KF407" s="11"/>
      <c r="KG407" s="11"/>
      <c r="KH407" s="11"/>
      <c r="KI407" s="11"/>
      <c r="KJ407" s="11"/>
      <c r="KK407" s="11"/>
      <c r="KL407" s="11"/>
      <c r="KM407" s="11"/>
      <c r="KN407" s="11"/>
      <c r="KO407" s="11"/>
      <c r="KP407" s="11"/>
      <c r="KQ407" s="11"/>
      <c r="KR407" s="11"/>
      <c r="KS407" s="11"/>
      <c r="KT407" s="11"/>
      <c r="KU407" s="11"/>
      <c r="KV407" s="11"/>
      <c r="KW407" s="11"/>
      <c r="KX407" s="11"/>
      <c r="KY407" s="11"/>
      <c r="KZ407" s="11"/>
      <c r="LA407" s="11"/>
      <c r="LB407" s="11"/>
      <c r="LC407" s="11"/>
      <c r="LD407" s="11"/>
      <c r="LE407" s="11"/>
      <c r="LF407" s="11"/>
      <c r="LG407" s="11"/>
      <c r="LH407" s="11"/>
      <c r="LI407" s="11"/>
      <c r="LJ407" s="11"/>
      <c r="LK407" s="11"/>
      <c r="LL407" s="11"/>
      <c r="LM407" s="11"/>
      <c r="LN407" s="11"/>
      <c r="LO407" s="11"/>
      <c r="LP407" s="11"/>
      <c r="LQ407" s="11"/>
      <c r="LR407" s="11"/>
      <c r="LS407" s="11"/>
      <c r="LT407" s="11"/>
      <c r="LU407" s="11"/>
      <c r="LV407" s="11"/>
      <c r="LW407" s="11"/>
      <c r="LX407" s="11"/>
      <c r="LY407" s="11"/>
      <c r="LZ407" s="11"/>
      <c r="MA407" s="11"/>
      <c r="MB407" s="11"/>
      <c r="MC407" s="11"/>
      <c r="MD407" s="11"/>
      <c r="ME407" s="11"/>
      <c r="MF407" s="11"/>
      <c r="MG407" s="11"/>
      <c r="MH407" s="11"/>
      <c r="MI407" s="11"/>
      <c r="MJ407" s="11"/>
      <c r="MK407" s="11"/>
      <c r="ML407" s="11"/>
      <c r="MM407" s="11"/>
      <c r="MN407" s="11"/>
      <c r="MO407" s="11"/>
      <c r="MP407" s="11"/>
      <c r="MQ407" s="11"/>
      <c r="MR407" s="11"/>
      <c r="MS407" s="11"/>
      <c r="MT407" s="11"/>
      <c r="MU407" s="11"/>
      <c r="MV407" s="11"/>
      <c r="MW407" s="11"/>
      <c r="MX407" s="11"/>
      <c r="MY407" s="11"/>
      <c r="MZ407" s="11"/>
      <c r="NA407" s="11"/>
      <c r="NB407" s="11"/>
      <c r="NC407" s="11"/>
      <c r="ND407" s="11"/>
      <c r="NE407" s="11"/>
      <c r="NF407" s="11"/>
      <c r="NG407" s="11"/>
      <c r="NH407" s="11"/>
      <c r="NI407" s="11"/>
      <c r="NJ407" s="11"/>
      <c r="NK407" s="11"/>
      <c r="NL407" s="11"/>
      <c r="NM407" s="11"/>
      <c r="NN407" s="11"/>
      <c r="NO407" s="11"/>
      <c r="NP407" s="11"/>
      <c r="NQ407" s="11"/>
      <c r="NR407" s="11"/>
      <c r="NS407" s="11"/>
      <c r="NT407" s="11"/>
      <c r="NU407" s="11"/>
      <c r="NV407" s="11"/>
      <c r="NW407" s="11"/>
      <c r="NX407" s="11"/>
      <c r="NY407" s="11"/>
      <c r="NZ407" s="11"/>
      <c r="OA407" s="11"/>
      <c r="OB407" s="11"/>
      <c r="OC407" s="11"/>
      <c r="OD407" s="11"/>
      <c r="OE407" s="11"/>
      <c r="OF407" s="11"/>
      <c r="OG407" s="11"/>
      <c r="OH407" s="11"/>
      <c r="OI407" s="11"/>
      <c r="OJ407" s="11"/>
      <c r="OK407" s="11"/>
      <c r="OL407" s="11"/>
      <c r="OM407" s="11"/>
      <c r="ON407" s="11"/>
      <c r="OO407" s="11"/>
      <c r="OP407" s="11"/>
      <c r="OQ407" s="11"/>
      <c r="OR407" s="11"/>
      <c r="OS407" s="11"/>
      <c r="OT407" s="11"/>
      <c r="OU407" s="11"/>
      <c r="OV407" s="11"/>
      <c r="OW407" s="11"/>
      <c r="OX407" s="11"/>
      <c r="OY407" s="11"/>
      <c r="OZ407" s="11"/>
      <c r="PA407" s="11"/>
      <c r="PB407" s="11"/>
      <c r="PC407" s="11"/>
      <c r="PD407" s="11"/>
      <c r="PE407" s="11"/>
      <c r="PF407" s="11"/>
      <c r="PG407" s="11"/>
      <c r="PH407" s="11"/>
      <c r="PI407" s="11"/>
      <c r="PJ407" s="11"/>
      <c r="PK407" s="11"/>
      <c r="PL407" s="11"/>
      <c r="PM407" s="11"/>
      <c r="PN407" s="11"/>
      <c r="PO407" s="11"/>
      <c r="PP407" s="11"/>
      <c r="PQ407" s="11"/>
      <c r="PR407" s="11"/>
      <c r="PS407" s="11"/>
      <c r="PT407" s="11"/>
      <c r="PU407" s="11"/>
      <c r="PV407" s="11"/>
      <c r="PW407" s="11"/>
      <c r="PX407" s="11"/>
      <c r="PY407" s="11"/>
      <c r="PZ407" s="11"/>
      <c r="QA407" s="11"/>
      <c r="QB407" s="11"/>
      <c r="QC407" s="11"/>
      <c r="QD407" s="11"/>
      <c r="QE407" s="11"/>
      <c r="QF407" s="11"/>
      <c r="QG407" s="11"/>
      <c r="QH407" s="11"/>
      <c r="QI407" s="11"/>
      <c r="QJ407" s="11"/>
      <c r="QK407" s="11"/>
      <c r="QL407" s="11"/>
      <c r="QM407" s="11"/>
      <c r="QN407" s="11"/>
      <c r="QO407" s="11"/>
      <c r="QP407" s="11"/>
      <c r="QQ407" s="11"/>
      <c r="QR407" s="11"/>
      <c r="QS407" s="11"/>
      <c r="QT407" s="11"/>
      <c r="QU407" s="11"/>
      <c r="QV407" s="11"/>
      <c r="QW407" s="11"/>
      <c r="QX407" s="11"/>
      <c r="QY407" s="11"/>
      <c r="QZ407" s="11"/>
      <c r="RA407" s="11"/>
      <c r="RB407" s="11"/>
      <c r="RC407" s="11"/>
      <c r="RD407" s="11"/>
      <c r="RE407" s="11"/>
      <c r="RF407" s="11"/>
      <c r="RG407" s="11"/>
      <c r="RH407" s="11"/>
      <c r="RI407" s="11"/>
      <c r="RJ407" s="11"/>
      <c r="RK407" s="11"/>
      <c r="RL407" s="11"/>
      <c r="RM407" s="11"/>
      <c r="RN407" s="11"/>
      <c r="RO407" s="11"/>
      <c r="RP407" s="11"/>
      <c r="RQ407" s="11"/>
      <c r="RR407" s="11"/>
      <c r="RS407" s="11"/>
      <c r="RT407" s="11"/>
      <c r="RU407" s="11"/>
      <c r="RV407" s="11"/>
      <c r="RW407" s="11"/>
      <c r="RX407" s="11"/>
      <c r="RY407" s="11"/>
      <c r="RZ407" s="11"/>
      <c r="SA407" s="11"/>
      <c r="SB407" s="11"/>
      <c r="SC407" s="11"/>
      <c r="SD407" s="11"/>
      <c r="SE407" s="11"/>
      <c r="SF407" s="11"/>
      <c r="SG407" s="11"/>
      <c r="SH407" s="11"/>
      <c r="SI407" s="11"/>
      <c r="SJ407" s="11"/>
      <c r="SK407" s="11"/>
      <c r="SL407" s="11"/>
      <c r="SM407" s="11"/>
      <c r="SN407" s="11"/>
      <c r="SO407" s="11"/>
      <c r="SP407" s="11"/>
      <c r="SQ407" s="11"/>
      <c r="SR407" s="11"/>
      <c r="SS407" s="11"/>
      <c r="ST407" s="11"/>
      <c r="SU407" s="11"/>
      <c r="SV407" s="11"/>
      <c r="SW407" s="11"/>
      <c r="SX407" s="11"/>
      <c r="SY407" s="11"/>
      <c r="SZ407" s="11"/>
      <c r="TA407" s="11"/>
      <c r="TB407" s="11"/>
      <c r="TC407" s="11"/>
      <c r="TD407" s="11"/>
      <c r="TE407" s="11"/>
      <c r="TF407" s="11"/>
      <c r="TG407" s="11"/>
      <c r="TH407" s="11"/>
      <c r="TI407" s="11"/>
      <c r="TJ407" s="11"/>
      <c r="TK407" s="11"/>
      <c r="TL407" s="11"/>
      <c r="TM407" s="11"/>
      <c r="TN407" s="11"/>
      <c r="TO407" s="11"/>
      <c r="TP407" s="11"/>
      <c r="TQ407" s="11"/>
      <c r="TR407" s="11"/>
      <c r="TS407" s="11"/>
      <c r="TT407" s="11"/>
      <c r="TU407" s="11"/>
      <c r="TV407" s="11"/>
      <c r="TW407" s="11"/>
      <c r="TX407" s="11"/>
      <c r="TY407" s="11"/>
      <c r="TZ407" s="11"/>
      <c r="UA407" s="11"/>
      <c r="UB407" s="11"/>
      <c r="UC407" s="11"/>
      <c r="UD407" s="11"/>
      <c r="UE407" s="11"/>
      <c r="UF407" s="11"/>
      <c r="UG407" s="11"/>
      <c r="UH407" s="11"/>
      <c r="UI407" s="11"/>
      <c r="UJ407" s="11"/>
      <c r="UK407" s="11"/>
      <c r="UL407" s="11"/>
      <c r="UM407" s="11"/>
      <c r="UN407" s="11"/>
      <c r="UO407" s="11"/>
      <c r="UP407" s="11"/>
      <c r="UQ407" s="11"/>
      <c r="UR407" s="11"/>
      <c r="US407" s="11"/>
      <c r="UT407" s="11"/>
      <c r="UU407" s="11"/>
      <c r="UV407" s="11"/>
      <c r="UW407" s="11"/>
      <c r="UX407" s="11"/>
      <c r="UY407" s="11"/>
      <c r="UZ407" s="11"/>
      <c r="VA407" s="11"/>
      <c r="VB407" s="11"/>
      <c r="VC407" s="11"/>
      <c r="VD407" s="11"/>
      <c r="VE407" s="11"/>
      <c r="VF407" s="11"/>
      <c r="VG407" s="11"/>
      <c r="VH407" s="11"/>
      <c r="VI407" s="11"/>
      <c r="VJ407" s="11"/>
      <c r="VK407" s="11"/>
      <c r="VL407" s="11"/>
      <c r="VM407" s="11"/>
      <c r="VN407" s="11"/>
      <c r="VO407" s="11"/>
      <c r="VP407" s="11"/>
      <c r="VQ407" s="11"/>
      <c r="VR407" s="11"/>
      <c r="VS407" s="11"/>
      <c r="VT407" s="11"/>
      <c r="VU407" s="11"/>
      <c r="VV407" s="11"/>
      <c r="VW407" s="11"/>
      <c r="VX407" s="11"/>
      <c r="VY407" s="11"/>
      <c r="VZ407" s="11"/>
      <c r="WA407" s="11"/>
      <c r="WB407" s="11"/>
      <c r="WC407" s="11"/>
      <c r="WD407" s="11"/>
      <c r="WE407" s="11"/>
      <c r="WF407" s="11"/>
      <c r="WG407" s="11"/>
      <c r="WH407" s="11"/>
      <c r="WI407" s="11"/>
      <c r="WJ407" s="11"/>
      <c r="WK407" s="11"/>
      <c r="WL407" s="11"/>
      <c r="WM407" s="11"/>
      <c r="WN407" s="11"/>
      <c r="WO407" s="11"/>
      <c r="WP407" s="11"/>
      <c r="WQ407" s="11"/>
      <c r="WR407" s="11"/>
      <c r="WS407" s="11"/>
      <c r="WT407" s="11"/>
      <c r="WU407" s="11"/>
      <c r="WV407" s="11"/>
      <c r="WW407" s="11"/>
      <c r="WX407" s="11"/>
      <c r="WY407" s="11"/>
      <c r="WZ407" s="11"/>
      <c r="XA407" s="11"/>
      <c r="XB407" s="11"/>
      <c r="XC407" s="11"/>
      <c r="XD407" s="11"/>
      <c r="XE407" s="11"/>
      <c r="XF407" s="11"/>
      <c r="XG407" s="11"/>
      <c r="XH407" s="11"/>
      <c r="XI407" s="11"/>
      <c r="XJ407" s="11"/>
      <c r="XK407" s="11"/>
      <c r="XL407" s="11"/>
      <c r="XM407" s="11"/>
      <c r="XN407" s="11"/>
      <c r="XO407" s="11"/>
      <c r="XP407" s="11"/>
      <c r="XQ407" s="11"/>
      <c r="XR407" s="11"/>
      <c r="XS407" s="11"/>
      <c r="XT407" s="11"/>
      <c r="XU407" s="11"/>
      <c r="XV407" s="11"/>
      <c r="XW407" s="11"/>
      <c r="XX407" s="11"/>
      <c r="XY407" s="11"/>
      <c r="XZ407" s="11"/>
      <c r="YA407" s="11"/>
      <c r="YB407" s="11"/>
      <c r="YC407" s="11"/>
      <c r="YD407" s="11"/>
      <c r="YE407" s="11"/>
      <c r="YF407" s="11"/>
      <c r="YG407" s="11"/>
      <c r="YH407" s="11"/>
      <c r="YI407" s="11"/>
      <c r="YJ407" s="11"/>
      <c r="YK407" s="11"/>
      <c r="YL407" s="11"/>
      <c r="YM407" s="11"/>
      <c r="YN407" s="11"/>
      <c r="YO407" s="11"/>
      <c r="YP407" s="11"/>
      <c r="YQ407" s="11"/>
      <c r="YR407" s="11"/>
      <c r="YS407" s="11"/>
      <c r="YT407" s="11"/>
      <c r="YU407" s="11"/>
      <c r="YV407" s="11"/>
      <c r="YW407" s="11"/>
      <c r="YX407" s="11"/>
      <c r="YY407" s="11"/>
      <c r="YZ407" s="11"/>
      <c r="ZA407" s="11"/>
      <c r="ZB407" s="11"/>
      <c r="ZC407" s="11"/>
      <c r="ZD407" s="11"/>
      <c r="ZE407" s="11"/>
      <c r="ZF407" s="11"/>
      <c r="ZG407" s="11"/>
      <c r="ZH407" s="11"/>
      <c r="ZI407" s="11"/>
      <c r="ZJ407" s="11"/>
      <c r="ZK407" s="11"/>
      <c r="ZL407" s="11"/>
      <c r="ZM407" s="11"/>
      <c r="ZN407" s="11"/>
      <c r="ZO407" s="11"/>
      <c r="ZP407" s="11"/>
      <c r="ZQ407" s="11"/>
      <c r="ZR407" s="11"/>
      <c r="ZS407" s="11"/>
      <c r="ZT407" s="11"/>
      <c r="ZU407" s="11"/>
      <c r="ZV407" s="11"/>
      <c r="ZW407" s="11"/>
      <c r="ZX407" s="11"/>
      <c r="ZY407" s="11"/>
      <c r="ZZ407" s="11"/>
      <c r="AAA407" s="11"/>
      <c r="AAB407" s="11"/>
      <c r="AAC407" s="11"/>
      <c r="AAD407" s="11"/>
      <c r="AAE407" s="11"/>
      <c r="AAF407" s="11"/>
      <c r="AAG407" s="11"/>
      <c r="AAH407" s="11"/>
      <c r="AAI407" s="11"/>
      <c r="AAJ407" s="11"/>
      <c r="AAK407" s="11"/>
      <c r="AAL407" s="11"/>
      <c r="AAM407" s="11"/>
      <c r="AAN407" s="11"/>
      <c r="AAO407" s="11"/>
      <c r="AAP407" s="11"/>
      <c r="AAQ407" s="11"/>
      <c r="AAR407" s="11"/>
      <c r="AAS407" s="11"/>
      <c r="AAT407" s="11"/>
      <c r="AAU407" s="11"/>
      <c r="AAV407" s="11"/>
      <c r="AAW407" s="11"/>
      <c r="AAX407" s="11"/>
      <c r="AAY407" s="11"/>
      <c r="AAZ407" s="11"/>
      <c r="ABA407" s="11"/>
      <c r="ABB407" s="11"/>
      <c r="ABC407" s="11"/>
      <c r="ABD407" s="11"/>
      <c r="ABE407" s="11"/>
      <c r="ABF407" s="11"/>
      <c r="ABG407" s="11"/>
      <c r="ABH407" s="11"/>
      <c r="ABI407" s="11"/>
      <c r="ABJ407" s="11"/>
      <c r="ABK407" s="11"/>
      <c r="ABL407" s="11"/>
      <c r="ABM407" s="11"/>
      <c r="ABN407" s="11"/>
      <c r="ABO407" s="11"/>
      <c r="ABP407" s="11"/>
      <c r="ABQ407" s="11"/>
      <c r="ABR407" s="11"/>
      <c r="ABS407" s="11"/>
      <c r="ABT407" s="11"/>
      <c r="ABU407" s="11"/>
      <c r="ABV407" s="11"/>
      <c r="ABW407" s="11"/>
      <c r="ABX407" s="11"/>
      <c r="ABY407" s="11"/>
      <c r="ABZ407" s="11"/>
      <c r="ACA407" s="11"/>
      <c r="ACB407" s="11"/>
      <c r="ACC407" s="11"/>
      <c r="ACD407" s="11"/>
      <c r="ACE407" s="11"/>
      <c r="ACF407" s="11"/>
      <c r="ACG407" s="11"/>
      <c r="ACH407" s="11"/>
      <c r="ACI407" s="11"/>
      <c r="ACJ407" s="11"/>
      <c r="ACK407" s="11"/>
      <c r="ACL407" s="11"/>
      <c r="ACM407" s="11"/>
      <c r="ACN407" s="11"/>
      <c r="ACO407" s="11"/>
      <c r="ACP407" s="11"/>
      <c r="ACQ407" s="11"/>
      <c r="ACR407" s="11"/>
      <c r="ACS407" s="11"/>
      <c r="ACT407" s="11"/>
      <c r="ACU407" s="11"/>
      <c r="ACV407" s="11"/>
      <c r="ACW407" s="11"/>
      <c r="ACX407" s="11"/>
      <c r="ACY407" s="11"/>
      <c r="ACZ407" s="11"/>
      <c r="ADA407" s="11"/>
      <c r="ADB407" s="11"/>
      <c r="ADC407" s="11"/>
      <c r="ADD407" s="11"/>
      <c r="ADE407" s="11"/>
      <c r="ADF407" s="11"/>
      <c r="ADG407" s="11"/>
      <c r="ADH407" s="11"/>
      <c r="ADI407" s="11"/>
      <c r="ADJ407" s="11"/>
      <c r="ADK407" s="11"/>
      <c r="ADL407" s="11"/>
      <c r="ADM407" s="11"/>
      <c r="ADN407" s="11"/>
      <c r="ADO407" s="11"/>
      <c r="ADP407" s="11"/>
      <c r="ADQ407" s="11"/>
      <c r="ADR407" s="11"/>
      <c r="ADS407" s="11"/>
      <c r="ADT407" s="11"/>
      <c r="ADU407" s="11"/>
      <c r="ADV407" s="11"/>
      <c r="ADW407" s="11"/>
      <c r="ADX407" s="11"/>
      <c r="ADY407" s="11"/>
      <c r="ADZ407" s="11"/>
      <c r="AEA407" s="11"/>
      <c r="AEB407" s="11"/>
      <c r="AEC407" s="11"/>
      <c r="AED407" s="11"/>
      <c r="AEE407" s="11"/>
      <c r="AEF407" s="11"/>
      <c r="AEG407" s="11"/>
      <c r="AEH407" s="11"/>
      <c r="AEI407" s="11"/>
      <c r="AEJ407" s="11"/>
      <c r="AEK407" s="11"/>
      <c r="AEL407" s="11"/>
      <c r="AEM407" s="11"/>
      <c r="AEN407" s="11"/>
      <c r="AEO407" s="11"/>
      <c r="AEP407" s="11"/>
      <c r="AEQ407" s="11"/>
      <c r="AER407" s="11"/>
      <c r="AES407" s="11"/>
      <c r="AET407" s="11"/>
      <c r="AEU407" s="11"/>
      <c r="AEV407" s="11"/>
      <c r="AEW407" s="11"/>
      <c r="AEX407" s="11"/>
      <c r="AEY407" s="11"/>
      <c r="AEZ407" s="11"/>
      <c r="AFA407" s="11"/>
      <c r="AFB407" s="11"/>
      <c r="AFC407" s="11"/>
      <c r="AFD407" s="11"/>
      <c r="AFE407" s="11"/>
      <c r="AFF407" s="11"/>
      <c r="AFG407" s="11"/>
      <c r="AFH407" s="11"/>
      <c r="AFI407" s="11"/>
      <c r="AFJ407" s="11"/>
      <c r="AFK407" s="11"/>
      <c r="AFL407" s="11"/>
      <c r="AFM407" s="11"/>
      <c r="AFN407" s="11"/>
      <c r="AFO407" s="11"/>
      <c r="AFP407" s="11"/>
      <c r="AFQ407" s="11"/>
      <c r="AFR407" s="11"/>
      <c r="AFS407" s="11"/>
      <c r="AFT407" s="11"/>
      <c r="AFU407" s="11"/>
      <c r="AFV407" s="11"/>
      <c r="AFW407" s="11"/>
      <c r="AFX407" s="11"/>
      <c r="AFY407" s="11"/>
      <c r="AFZ407" s="11"/>
      <c r="AGA407" s="11"/>
      <c r="AGB407" s="11"/>
      <c r="AGC407" s="11"/>
      <c r="AGD407" s="11"/>
      <c r="AGE407" s="11"/>
      <c r="AGF407" s="11"/>
      <c r="AGG407" s="11"/>
      <c r="AGH407" s="11"/>
      <c r="AGI407" s="11"/>
      <c r="AGJ407" s="11"/>
      <c r="AGK407" s="11"/>
      <c r="AGL407" s="11"/>
      <c r="AGM407" s="11"/>
      <c r="AGN407" s="11"/>
      <c r="AGO407" s="11"/>
      <c r="AGP407" s="11"/>
      <c r="AGQ407" s="11"/>
      <c r="AGR407" s="11"/>
      <c r="AGS407" s="11"/>
      <c r="AGT407" s="11"/>
      <c r="AGU407" s="11"/>
      <c r="AGV407" s="11"/>
      <c r="AGW407" s="11"/>
      <c r="AGX407" s="11"/>
      <c r="AGY407" s="11"/>
      <c r="AGZ407" s="11"/>
      <c r="AHA407" s="11"/>
      <c r="AHB407" s="11"/>
      <c r="AHC407" s="11"/>
      <c r="AHD407" s="11"/>
      <c r="AHE407" s="11"/>
      <c r="AHF407" s="11"/>
      <c r="AHG407" s="11"/>
      <c r="AHH407" s="11"/>
      <c r="AHI407" s="11"/>
      <c r="AHJ407" s="11"/>
      <c r="AHK407" s="11"/>
      <c r="AHL407" s="11"/>
      <c r="AHM407" s="11"/>
      <c r="AHN407" s="11"/>
      <c r="AHO407" s="11"/>
      <c r="AHP407" s="11"/>
      <c r="AHQ407" s="11"/>
      <c r="AHR407" s="11"/>
      <c r="AHS407" s="11"/>
      <c r="AHT407" s="11"/>
      <c r="AHU407" s="11"/>
      <c r="AHV407" s="11"/>
      <c r="AHW407" s="11"/>
      <c r="AHX407" s="11"/>
      <c r="AHY407" s="11"/>
      <c r="AHZ407" s="11"/>
      <c r="AIA407" s="11"/>
      <c r="AIB407" s="11"/>
      <c r="AIC407" s="11"/>
      <c r="AID407" s="11"/>
      <c r="AIE407" s="11"/>
      <c r="AIF407" s="11"/>
      <c r="AIG407" s="11"/>
      <c r="AIH407" s="11"/>
      <c r="AII407" s="11"/>
      <c r="AIJ407" s="11"/>
      <c r="AIK407" s="11"/>
      <c r="AIL407" s="11"/>
      <c r="AIM407" s="11"/>
      <c r="AIN407" s="11"/>
      <c r="AIO407" s="11"/>
      <c r="AIP407" s="11"/>
      <c r="AIQ407" s="11"/>
      <c r="AIR407" s="11"/>
      <c r="AIS407" s="11"/>
      <c r="AIT407" s="11"/>
      <c r="AIU407" s="11"/>
      <c r="AIV407" s="11"/>
      <c r="AIW407" s="11"/>
      <c r="AIX407" s="11"/>
      <c r="AIY407" s="11"/>
      <c r="AIZ407" s="11"/>
      <c r="AJA407" s="11"/>
      <c r="AJB407" s="11"/>
      <c r="AJC407" s="11"/>
      <c r="AJD407" s="11"/>
      <c r="AJE407" s="11"/>
      <c r="AJF407" s="11"/>
      <c r="AJG407" s="11"/>
      <c r="AJH407" s="11"/>
      <c r="AJI407" s="11"/>
      <c r="AJJ407" s="11"/>
      <c r="AJK407" s="11"/>
      <c r="AJL407" s="11"/>
      <c r="AJM407" s="11"/>
      <c r="AJN407" s="11"/>
      <c r="AJO407" s="11"/>
      <c r="AJP407" s="11"/>
      <c r="AJQ407" s="11"/>
      <c r="AJR407" s="11"/>
      <c r="AJS407" s="11"/>
      <c r="AJT407" s="11"/>
      <c r="AJU407" s="11"/>
      <c r="AJV407" s="11"/>
      <c r="AJW407" s="11"/>
      <c r="AJX407" s="11"/>
      <c r="AJY407" s="11"/>
      <c r="AJZ407" s="11"/>
      <c r="AKA407" s="11"/>
      <c r="AKB407" s="11"/>
      <c r="AKC407" s="11"/>
      <c r="AKD407" s="11"/>
      <c r="AKE407" s="11"/>
      <c r="AKF407" s="11"/>
      <c r="AKG407" s="11"/>
      <c r="AKH407" s="11"/>
      <c r="AKI407" s="11"/>
      <c r="AKJ407" s="11"/>
      <c r="AKK407" s="11"/>
      <c r="AKL407" s="11"/>
      <c r="AKM407" s="11"/>
      <c r="AKN407" s="11"/>
      <c r="AKO407" s="11"/>
      <c r="AKP407" s="11"/>
      <c r="AKQ407" s="11"/>
      <c r="AKR407" s="11"/>
      <c r="AKS407" s="11"/>
      <c r="AKT407" s="11"/>
      <c r="AKU407" s="11"/>
      <c r="AKV407" s="11"/>
      <c r="AKW407" s="11"/>
      <c r="AKX407" s="11"/>
      <c r="AKY407" s="11"/>
      <c r="AKZ407" s="11"/>
      <c r="ALA407" s="11"/>
      <c r="ALB407" s="11"/>
      <c r="ALC407" s="11"/>
      <c r="ALD407" s="11"/>
      <c r="ALE407" s="11"/>
      <c r="ALF407" s="11"/>
      <c r="ALG407" s="11"/>
      <c r="ALH407" s="11"/>
      <c r="ALI407" s="11"/>
      <c r="ALJ407" s="11"/>
      <c r="ALK407" s="11"/>
      <c r="ALL407" s="11"/>
      <c r="ALM407" s="11"/>
      <c r="ALN407" s="11"/>
      <c r="ALO407" s="11"/>
      <c r="ALP407" s="11"/>
      <c r="ALQ407" s="11"/>
      <c r="ALR407" s="11"/>
      <c r="ALS407" s="11"/>
      <c r="ALT407" s="11"/>
      <c r="ALU407" s="11"/>
      <c r="ALV407" s="11"/>
      <c r="ALW407" s="11"/>
      <c r="ALX407" s="11"/>
      <c r="ALY407" s="11"/>
      <c r="ALZ407" s="11"/>
      <c r="AMA407" s="11"/>
      <c r="AMB407" s="11"/>
      <c r="AMC407" s="11"/>
      <c r="AMD407" s="11"/>
      <c r="AME407" s="11"/>
      <c r="AMF407" s="11"/>
      <c r="AMG407" s="11"/>
      <c r="AMH407" s="11"/>
      <c r="AMI407" s="11"/>
      <c r="AMJ407" s="11"/>
      <c r="AMK407" s="11"/>
      <c r="AML407" s="11"/>
      <c r="AMM407" s="11"/>
      <c r="AMN407" s="11"/>
      <c r="AMO407" s="11"/>
      <c r="AMP407" s="11"/>
      <c r="AMQ407" s="11"/>
      <c r="AMR407" s="11"/>
      <c r="AMS407" s="11"/>
      <c r="AMT407" s="11"/>
      <c r="AMU407" s="11"/>
      <c r="AMV407" s="11"/>
      <c r="AMW407" s="11"/>
      <c r="AMX407" s="11"/>
      <c r="AMY407" s="11"/>
      <c r="AMZ407" s="11"/>
      <c r="ANA407" s="11"/>
      <c r="ANB407" s="11"/>
      <c r="ANC407" s="11"/>
      <c r="AND407" s="11"/>
      <c r="ANE407" s="11"/>
      <c r="ANF407" s="11"/>
      <c r="ANG407" s="11"/>
      <c r="ANH407" s="11"/>
      <c r="ANI407" s="11"/>
      <c r="ANJ407" s="11"/>
      <c r="ANK407" s="11"/>
      <c r="ANL407" s="11"/>
      <c r="ANM407" s="11"/>
      <c r="ANN407" s="11"/>
      <c r="ANO407" s="11"/>
      <c r="ANP407" s="11"/>
      <c r="ANQ407" s="11"/>
      <c r="ANR407" s="11"/>
      <c r="ANS407" s="11"/>
      <c r="ANT407" s="11"/>
      <c r="ANU407" s="11"/>
      <c r="ANV407" s="11"/>
      <c r="ANW407" s="11"/>
      <c r="ANX407" s="11"/>
      <c r="ANY407" s="11"/>
      <c r="ANZ407" s="11"/>
      <c r="AOA407" s="11"/>
      <c r="AOB407" s="11"/>
      <c r="AOC407" s="11"/>
      <c r="AOD407" s="11"/>
      <c r="AOE407" s="11"/>
      <c r="AOF407" s="11"/>
      <c r="AOG407" s="11"/>
      <c r="AOH407" s="11"/>
      <c r="AOI407" s="11"/>
      <c r="AOJ407" s="11"/>
      <c r="AOK407" s="11"/>
      <c r="AOL407" s="11"/>
      <c r="AOM407" s="11"/>
      <c r="AON407" s="11"/>
      <c r="AOO407" s="11"/>
      <c r="AOP407" s="11"/>
      <c r="AOQ407" s="11"/>
      <c r="AOR407" s="11"/>
      <c r="AOS407" s="11"/>
      <c r="AOT407" s="11"/>
      <c r="AOU407" s="11"/>
      <c r="AOV407" s="11"/>
      <c r="AOW407" s="11"/>
      <c r="AOX407" s="11"/>
      <c r="AOY407" s="11"/>
      <c r="AOZ407" s="11"/>
      <c r="APA407" s="11"/>
      <c r="APB407" s="11"/>
      <c r="APC407" s="11"/>
      <c r="APD407" s="11"/>
      <c r="APE407" s="11"/>
      <c r="APF407" s="11"/>
      <c r="APG407" s="11"/>
      <c r="APH407" s="11"/>
      <c r="API407" s="11"/>
      <c r="APJ407" s="11"/>
      <c r="APK407" s="11"/>
      <c r="APL407" s="11"/>
      <c r="APM407" s="11"/>
      <c r="APN407" s="11"/>
      <c r="APO407" s="11"/>
      <c r="APP407" s="11"/>
      <c r="APQ407" s="11"/>
      <c r="APR407" s="11"/>
      <c r="APS407" s="11"/>
      <c r="APT407" s="11"/>
      <c r="APU407" s="11"/>
      <c r="APV407" s="11"/>
      <c r="APW407" s="11"/>
      <c r="APX407" s="11"/>
      <c r="APY407" s="11"/>
      <c r="APZ407" s="11"/>
      <c r="AQA407" s="11"/>
      <c r="AQB407" s="11"/>
      <c r="AQC407" s="11"/>
      <c r="AQD407" s="11"/>
      <c r="AQE407" s="11"/>
      <c r="AQF407" s="11"/>
      <c r="AQG407" s="11"/>
      <c r="AQH407" s="11"/>
      <c r="AQI407" s="11"/>
      <c r="AQJ407" s="11"/>
      <c r="AQK407" s="11"/>
      <c r="AQL407" s="11"/>
      <c r="AQM407" s="11"/>
      <c r="AQN407" s="11"/>
      <c r="AQO407" s="11"/>
      <c r="AQP407" s="11"/>
      <c r="AQQ407" s="11"/>
      <c r="AQR407" s="11"/>
      <c r="AQS407" s="11"/>
      <c r="AQT407" s="11"/>
      <c r="AQU407" s="11"/>
      <c r="AQV407" s="11"/>
      <c r="AQW407" s="11"/>
      <c r="AQX407" s="11"/>
      <c r="AQY407" s="11"/>
      <c r="AQZ407" s="11"/>
      <c r="ARA407" s="11"/>
      <c r="ARB407" s="11"/>
      <c r="ARC407" s="11"/>
      <c r="ARD407" s="11"/>
      <c r="ARE407" s="11"/>
      <c r="ARF407" s="11"/>
      <c r="ARG407" s="11"/>
      <c r="ARH407" s="11"/>
      <c r="ARI407" s="11"/>
      <c r="ARJ407" s="11"/>
      <c r="ARK407" s="11"/>
      <c r="ARL407" s="11"/>
      <c r="ARM407" s="11"/>
      <c r="ARN407" s="11"/>
      <c r="ARO407" s="11"/>
      <c r="ARP407" s="11"/>
      <c r="ARQ407" s="11"/>
      <c r="ARR407" s="11"/>
      <c r="ARS407" s="11"/>
      <c r="ART407" s="11"/>
      <c r="ARU407" s="11"/>
      <c r="ARV407" s="11"/>
      <c r="ARW407" s="11"/>
      <c r="ARX407" s="11"/>
      <c r="ARY407" s="11"/>
      <c r="ARZ407" s="11"/>
      <c r="ASA407" s="11"/>
      <c r="ASB407" s="11"/>
      <c r="ASC407" s="11"/>
      <c r="ASD407" s="11"/>
      <c r="ASE407" s="11"/>
      <c r="ASF407" s="11"/>
      <c r="ASG407" s="11"/>
      <c r="ASH407" s="11"/>
      <c r="ASI407" s="11"/>
      <c r="ASJ407" s="11"/>
      <c r="ASK407" s="11"/>
      <c r="ASL407" s="11"/>
      <c r="ASM407" s="11"/>
      <c r="ASN407" s="11"/>
      <c r="ASO407" s="11"/>
      <c r="ASP407" s="11"/>
      <c r="ASQ407" s="11"/>
      <c r="ASR407" s="11"/>
      <c r="ASS407" s="11"/>
      <c r="AST407" s="11"/>
      <c r="ASU407" s="11"/>
      <c r="ASV407" s="11"/>
      <c r="ASW407" s="11"/>
      <c r="ASX407" s="11"/>
      <c r="ASY407" s="11"/>
      <c r="ASZ407" s="11"/>
      <c r="ATA407" s="11"/>
      <c r="ATB407" s="11"/>
      <c r="ATC407" s="11"/>
      <c r="ATD407" s="11"/>
      <c r="ATE407" s="11"/>
      <c r="ATF407" s="11"/>
      <c r="ATG407" s="11"/>
      <c r="ATH407" s="11"/>
      <c r="ATI407" s="11"/>
      <c r="ATJ407" s="11"/>
      <c r="ATK407" s="11"/>
      <c r="ATL407" s="11"/>
      <c r="ATM407" s="11"/>
      <c r="ATN407" s="11"/>
      <c r="ATO407" s="11"/>
      <c r="ATP407" s="11"/>
      <c r="ATQ407" s="11"/>
      <c r="ATR407" s="11"/>
      <c r="ATS407" s="11"/>
      <c r="ATT407" s="11"/>
      <c r="ATU407" s="11"/>
      <c r="ATV407" s="11"/>
      <c r="ATW407" s="11"/>
      <c r="ATX407" s="11"/>
      <c r="ATY407" s="11"/>
      <c r="ATZ407" s="11"/>
      <c r="AUA407" s="11"/>
      <c r="AUB407" s="11"/>
      <c r="AUC407" s="11"/>
      <c r="AUD407" s="11"/>
      <c r="AUE407" s="11"/>
      <c r="AUF407" s="11"/>
      <c r="AUG407" s="11"/>
      <c r="AUH407" s="11"/>
      <c r="AUI407" s="11"/>
      <c r="AUJ407" s="11"/>
      <c r="AUK407" s="11"/>
      <c r="AUL407" s="11"/>
      <c r="AUM407" s="11"/>
      <c r="AUN407" s="11"/>
      <c r="AUO407" s="11"/>
      <c r="AUP407" s="11"/>
      <c r="AUQ407" s="11"/>
      <c r="AUR407" s="11"/>
      <c r="AUS407" s="11"/>
      <c r="AUT407" s="11"/>
      <c r="AUU407" s="11"/>
      <c r="AUV407" s="11"/>
      <c r="AUW407" s="11"/>
      <c r="AUX407" s="11"/>
      <c r="AUY407" s="11"/>
      <c r="AUZ407" s="11"/>
      <c r="AVA407" s="11"/>
      <c r="AVB407" s="11"/>
      <c r="AVC407" s="11"/>
      <c r="AVD407" s="11"/>
      <c r="AVE407" s="11"/>
      <c r="AVF407" s="11"/>
      <c r="AVG407" s="11"/>
      <c r="AVH407" s="11"/>
      <c r="AVI407" s="11"/>
      <c r="AVJ407" s="11"/>
      <c r="AVK407" s="11"/>
      <c r="AVL407" s="11"/>
      <c r="AVM407" s="11"/>
      <c r="AVN407" s="11"/>
      <c r="AVO407" s="11"/>
      <c r="AVP407" s="11"/>
      <c r="AVQ407" s="11"/>
      <c r="AVR407" s="11"/>
      <c r="AVS407" s="11"/>
      <c r="AVT407" s="11"/>
      <c r="AVU407" s="11"/>
      <c r="AVV407" s="11"/>
      <c r="AVW407" s="11"/>
      <c r="AVX407" s="11"/>
      <c r="AVY407" s="11"/>
      <c r="AVZ407" s="11"/>
      <c r="AWA407" s="11"/>
      <c r="AWB407" s="11"/>
      <c r="AWC407" s="11"/>
      <c r="AWD407" s="11"/>
      <c r="AWE407" s="11"/>
      <c r="AWF407" s="11"/>
      <c r="AWG407" s="11"/>
      <c r="AWH407" s="11"/>
      <c r="AWI407" s="11"/>
      <c r="AWJ407" s="11"/>
      <c r="AWK407" s="11"/>
      <c r="AWL407" s="11"/>
      <c r="AWM407" s="11"/>
      <c r="AWN407" s="11"/>
      <c r="AWO407" s="11"/>
      <c r="AWP407" s="11"/>
      <c r="AWQ407" s="11"/>
      <c r="AWR407" s="11"/>
      <c r="AWS407" s="11"/>
      <c r="AWT407" s="11"/>
      <c r="AWU407" s="11"/>
      <c r="AWV407" s="11"/>
      <c r="AWW407" s="11"/>
      <c r="AWX407" s="11"/>
      <c r="AWY407" s="11"/>
      <c r="AWZ407" s="11"/>
      <c r="AXA407" s="11"/>
      <c r="AXB407" s="11"/>
      <c r="AXC407" s="11"/>
      <c r="AXD407" s="11"/>
      <c r="AXE407" s="11"/>
      <c r="AXF407" s="11"/>
      <c r="AXG407" s="11"/>
      <c r="AXH407" s="11"/>
      <c r="AXI407" s="11"/>
      <c r="AXJ407" s="11"/>
      <c r="AXK407" s="11"/>
      <c r="AXL407" s="11"/>
      <c r="AXM407" s="11"/>
      <c r="AXN407" s="11"/>
      <c r="AXO407" s="11"/>
      <c r="AXP407" s="11"/>
      <c r="AXQ407" s="11"/>
      <c r="AXR407" s="11"/>
      <c r="AXS407" s="11"/>
      <c r="AXT407" s="11"/>
      <c r="AXU407" s="11"/>
      <c r="AXV407" s="11"/>
      <c r="AXW407" s="11"/>
      <c r="AXX407" s="11"/>
      <c r="AXY407" s="11"/>
      <c r="AXZ407" s="11"/>
      <c r="AYA407" s="11"/>
      <c r="AYB407" s="11"/>
      <c r="AYC407" s="11"/>
      <c r="AYD407" s="11"/>
      <c r="AYE407" s="11"/>
      <c r="AYF407" s="11"/>
      <c r="AYG407" s="11"/>
      <c r="AYH407" s="11"/>
      <c r="AYI407" s="11"/>
      <c r="AYJ407" s="11"/>
      <c r="AYK407" s="11"/>
      <c r="AYL407" s="11"/>
      <c r="AYM407" s="11"/>
      <c r="AYN407" s="11"/>
      <c r="AYO407" s="11"/>
      <c r="AYP407" s="11"/>
      <c r="AYQ407" s="11"/>
      <c r="AYR407" s="11"/>
      <c r="AYS407" s="11"/>
      <c r="AYT407" s="11"/>
      <c r="AYU407" s="11"/>
      <c r="AYV407" s="11"/>
      <c r="AYW407" s="11"/>
      <c r="AYX407" s="11"/>
      <c r="AYY407" s="11"/>
      <c r="AYZ407" s="11"/>
      <c r="AZA407" s="11"/>
      <c r="AZB407" s="11"/>
      <c r="AZC407" s="11"/>
      <c r="AZD407" s="11"/>
      <c r="AZE407" s="11"/>
      <c r="AZF407" s="11"/>
      <c r="AZG407" s="11"/>
      <c r="AZH407" s="11"/>
      <c r="AZI407" s="11"/>
      <c r="AZJ407" s="11"/>
      <c r="AZK407" s="11"/>
      <c r="AZL407" s="11"/>
      <c r="AZM407" s="11"/>
      <c r="AZN407" s="11"/>
      <c r="AZO407" s="11"/>
      <c r="AZP407" s="11"/>
      <c r="AZQ407" s="11"/>
      <c r="AZR407" s="11"/>
      <c r="AZS407" s="11"/>
      <c r="AZT407" s="11"/>
      <c r="AZU407" s="11"/>
      <c r="AZV407" s="11"/>
      <c r="AZW407" s="11"/>
      <c r="AZX407" s="11"/>
      <c r="AZY407" s="11"/>
      <c r="AZZ407" s="11"/>
      <c r="BAA407" s="11"/>
      <c r="BAB407" s="11"/>
      <c r="BAC407" s="11"/>
      <c r="BAD407" s="11"/>
      <c r="BAE407" s="11"/>
      <c r="BAF407" s="11"/>
      <c r="BAG407" s="11"/>
      <c r="BAH407" s="11"/>
      <c r="BAI407" s="11"/>
      <c r="BAJ407" s="11"/>
      <c r="BAK407" s="11"/>
      <c r="BAL407" s="11"/>
      <c r="BAM407" s="11"/>
      <c r="BAN407" s="11"/>
      <c r="BAO407" s="11"/>
      <c r="BAP407" s="11"/>
      <c r="BAQ407" s="11"/>
      <c r="BAR407" s="11"/>
      <c r="BAS407" s="11"/>
      <c r="BAT407" s="11"/>
      <c r="BAU407" s="11"/>
      <c r="BAV407" s="11"/>
      <c r="BAW407" s="11"/>
      <c r="BAX407" s="11"/>
      <c r="BAY407" s="11"/>
      <c r="BAZ407" s="11"/>
      <c r="BBA407" s="11"/>
      <c r="BBB407" s="11"/>
      <c r="BBC407" s="11"/>
      <c r="BBD407" s="11"/>
      <c r="BBE407" s="11"/>
      <c r="BBF407" s="11"/>
      <c r="BBG407" s="11"/>
      <c r="BBH407" s="11"/>
      <c r="BBI407" s="11"/>
      <c r="BBJ407" s="11"/>
      <c r="BBK407" s="11"/>
      <c r="BBL407" s="11"/>
      <c r="BBM407" s="11"/>
      <c r="BBN407" s="11"/>
      <c r="BBO407" s="11"/>
      <c r="BBP407" s="11"/>
      <c r="BBQ407" s="11"/>
      <c r="BBR407" s="11"/>
      <c r="BBS407" s="11"/>
      <c r="BBT407" s="11"/>
      <c r="BBU407" s="11"/>
      <c r="BBV407" s="11"/>
      <c r="BBW407" s="11"/>
      <c r="BBX407" s="11"/>
      <c r="BBY407" s="11"/>
      <c r="BBZ407" s="11"/>
      <c r="BCA407" s="11"/>
      <c r="BCB407" s="11"/>
      <c r="BCC407" s="11"/>
      <c r="BCD407" s="11"/>
      <c r="BCE407" s="11"/>
      <c r="BCF407" s="11"/>
      <c r="BCG407" s="11"/>
      <c r="BCH407" s="11"/>
      <c r="BCI407" s="11"/>
      <c r="BCJ407" s="11"/>
      <c r="BCK407" s="11"/>
      <c r="BCL407" s="11"/>
      <c r="BCM407" s="11"/>
      <c r="BCN407" s="11"/>
      <c r="BCO407" s="11"/>
      <c r="BCP407" s="11"/>
      <c r="BCQ407" s="11"/>
      <c r="BCR407" s="11"/>
      <c r="BCS407" s="11"/>
      <c r="BCT407" s="11"/>
      <c r="BCU407" s="11"/>
      <c r="BCV407" s="11"/>
      <c r="BCW407" s="11"/>
      <c r="BCX407" s="11"/>
      <c r="BCY407" s="11"/>
      <c r="BCZ407" s="11"/>
      <c r="BDA407" s="11"/>
      <c r="BDB407" s="11"/>
      <c r="BDC407" s="11"/>
      <c r="BDD407" s="11"/>
      <c r="BDE407" s="11"/>
      <c r="BDF407" s="11"/>
      <c r="BDG407" s="11"/>
      <c r="BDH407" s="11"/>
      <c r="BDI407" s="11"/>
      <c r="BDJ407" s="11"/>
      <c r="BDK407" s="11"/>
      <c r="BDL407" s="11"/>
      <c r="BDM407" s="11"/>
      <c r="BDN407" s="11"/>
      <c r="BDO407" s="11"/>
      <c r="BDP407" s="11"/>
      <c r="BDQ407" s="11"/>
      <c r="BDR407" s="11"/>
      <c r="BDS407" s="11"/>
      <c r="BDT407" s="11"/>
      <c r="BDU407" s="11"/>
      <c r="BDV407" s="11"/>
      <c r="BDW407" s="11"/>
      <c r="BDX407" s="11"/>
      <c r="BDY407" s="11"/>
      <c r="BDZ407" s="11"/>
      <c r="BEA407" s="11"/>
      <c r="BEB407" s="11"/>
      <c r="BEC407" s="11"/>
      <c r="BED407" s="11"/>
      <c r="BEE407" s="11"/>
      <c r="BEF407" s="11"/>
      <c r="BEG407" s="11"/>
      <c r="BEH407" s="11"/>
      <c r="BEI407" s="11"/>
      <c r="BEJ407" s="11"/>
      <c r="BEK407" s="11"/>
      <c r="BEL407" s="11"/>
      <c r="BEM407" s="11"/>
      <c r="BEN407" s="11"/>
      <c r="BEO407" s="11"/>
      <c r="BEP407" s="11"/>
      <c r="BEQ407" s="11"/>
      <c r="BER407" s="11"/>
      <c r="BES407" s="11"/>
      <c r="BET407" s="11"/>
      <c r="BEU407" s="11"/>
      <c r="BEV407" s="11"/>
      <c r="BEW407" s="11"/>
      <c r="BEX407" s="11"/>
      <c r="BEY407" s="11"/>
      <c r="BEZ407" s="11"/>
      <c r="BFA407" s="11"/>
      <c r="BFB407" s="11"/>
      <c r="BFC407" s="11"/>
      <c r="BFD407" s="11"/>
      <c r="BFE407" s="11"/>
      <c r="BFF407" s="11"/>
      <c r="BFG407" s="11"/>
      <c r="BFH407" s="11"/>
      <c r="BFI407" s="11"/>
      <c r="BFJ407" s="11"/>
      <c r="BFK407" s="11"/>
      <c r="BFL407" s="11"/>
      <c r="BFM407" s="11"/>
      <c r="BFN407" s="11"/>
      <c r="BFO407" s="11"/>
      <c r="BFP407" s="11"/>
      <c r="BFQ407" s="11"/>
      <c r="BFR407" s="11"/>
      <c r="BFS407" s="11"/>
      <c r="BFT407" s="11"/>
      <c r="BFU407" s="11"/>
      <c r="BFV407" s="11"/>
      <c r="BFW407" s="11"/>
      <c r="BFX407" s="11"/>
      <c r="BFY407" s="11"/>
      <c r="BFZ407" s="11"/>
      <c r="BGA407" s="11"/>
      <c r="BGB407" s="11"/>
      <c r="BGC407" s="11"/>
      <c r="BGD407" s="11"/>
      <c r="BGE407" s="11"/>
      <c r="BGF407" s="11"/>
      <c r="BGG407" s="11"/>
      <c r="BGH407" s="11"/>
      <c r="BGI407" s="11"/>
      <c r="BGJ407" s="11"/>
      <c r="BGK407" s="11"/>
      <c r="BGL407" s="11"/>
      <c r="BGM407" s="11"/>
      <c r="BGN407" s="11"/>
      <c r="BGO407" s="11"/>
      <c r="BGP407" s="11"/>
      <c r="BGQ407" s="11"/>
      <c r="BGR407" s="11"/>
      <c r="BGS407" s="11"/>
      <c r="BGT407" s="11"/>
      <c r="BGU407" s="11"/>
      <c r="BGV407" s="11"/>
      <c r="BGW407" s="11"/>
      <c r="BGX407" s="11"/>
      <c r="BGY407" s="11"/>
      <c r="BGZ407" s="11"/>
      <c r="BHA407" s="11"/>
      <c r="BHB407" s="11"/>
      <c r="BHC407" s="11"/>
      <c r="BHD407" s="11"/>
      <c r="BHE407" s="11"/>
      <c r="BHF407" s="11"/>
      <c r="BHG407" s="11"/>
      <c r="BHH407" s="11"/>
      <c r="BHI407" s="11"/>
      <c r="BHJ407" s="11"/>
      <c r="BHK407" s="11"/>
      <c r="BHL407" s="11"/>
      <c r="BHM407" s="11"/>
      <c r="BHN407" s="11"/>
      <c r="BHO407" s="11"/>
      <c r="BHP407" s="11"/>
      <c r="BHQ407" s="11"/>
      <c r="BHR407" s="11"/>
      <c r="BHS407" s="11"/>
      <c r="BHT407" s="11"/>
      <c r="BHU407" s="11"/>
      <c r="BHV407" s="11"/>
      <c r="BHW407" s="11"/>
      <c r="BHX407" s="11"/>
      <c r="BHY407" s="11"/>
      <c r="BHZ407" s="11"/>
      <c r="BIA407" s="11"/>
      <c r="BIB407" s="11"/>
      <c r="BIC407" s="11"/>
      <c r="BID407" s="11"/>
      <c r="BIE407" s="11"/>
      <c r="BIF407" s="11"/>
      <c r="BIG407" s="11"/>
      <c r="BIH407" s="11"/>
      <c r="BII407" s="11"/>
      <c r="BIJ407" s="11"/>
      <c r="BIK407" s="11"/>
      <c r="BIL407" s="11"/>
      <c r="BIM407" s="11"/>
      <c r="BIN407" s="11"/>
      <c r="BIO407" s="11"/>
      <c r="BIP407" s="11"/>
      <c r="BIQ407" s="11"/>
      <c r="BIR407" s="11"/>
      <c r="BIS407" s="11"/>
      <c r="BIT407" s="11"/>
      <c r="BIU407" s="11"/>
      <c r="BIV407" s="11"/>
      <c r="BIW407" s="11"/>
      <c r="BIX407" s="11"/>
      <c r="BIY407" s="11"/>
      <c r="BIZ407" s="11"/>
      <c r="BJA407" s="11"/>
      <c r="BJB407" s="11"/>
      <c r="BJC407" s="11"/>
      <c r="BJD407" s="11"/>
      <c r="BJE407" s="11"/>
      <c r="BJF407" s="11"/>
      <c r="BJG407" s="11"/>
      <c r="BJH407" s="11"/>
      <c r="BJI407" s="11"/>
      <c r="BJJ407" s="11"/>
      <c r="BJK407" s="11"/>
      <c r="BJL407" s="11"/>
      <c r="BJM407" s="11"/>
      <c r="BJN407" s="11"/>
      <c r="BJO407" s="11"/>
      <c r="BJP407" s="11"/>
      <c r="BJQ407" s="11"/>
      <c r="BJR407" s="11"/>
      <c r="BJS407" s="11"/>
      <c r="BJT407" s="11"/>
      <c r="BJU407" s="11"/>
      <c r="BJV407" s="11"/>
      <c r="BJW407" s="11"/>
      <c r="BJX407" s="11"/>
      <c r="BJY407" s="11"/>
      <c r="BJZ407" s="11"/>
      <c r="BKA407" s="11"/>
      <c r="BKB407" s="11"/>
      <c r="BKC407" s="11"/>
      <c r="BKD407" s="11"/>
      <c r="BKE407" s="11"/>
      <c r="BKF407" s="11"/>
      <c r="BKG407" s="11"/>
      <c r="BKH407" s="11"/>
      <c r="BKI407" s="11"/>
      <c r="BKJ407" s="11"/>
      <c r="BKK407" s="11"/>
      <c r="BKL407" s="11"/>
      <c r="BKM407" s="11"/>
      <c r="BKN407" s="11"/>
      <c r="BKO407" s="11"/>
      <c r="BKP407" s="11"/>
      <c r="BKQ407" s="11"/>
      <c r="BKR407" s="11"/>
      <c r="BKS407" s="11"/>
      <c r="BKT407" s="11"/>
      <c r="BKU407" s="11"/>
      <c r="BKV407" s="11"/>
      <c r="BKW407" s="11"/>
      <c r="BKX407" s="11"/>
      <c r="BKY407" s="11"/>
      <c r="BKZ407" s="11"/>
      <c r="BLA407" s="11"/>
      <c r="BLB407" s="11"/>
      <c r="BLC407" s="11"/>
      <c r="BLD407" s="11"/>
      <c r="BLE407" s="11"/>
      <c r="BLF407" s="11"/>
      <c r="BLG407" s="11"/>
      <c r="BLH407" s="11"/>
      <c r="BLI407" s="11"/>
      <c r="BLJ407" s="11"/>
      <c r="BLK407" s="11"/>
      <c r="BLL407" s="11"/>
      <c r="BLM407" s="11"/>
      <c r="BLN407" s="11"/>
      <c r="BLO407" s="11"/>
      <c r="BLP407" s="11"/>
      <c r="BLQ407" s="11"/>
      <c r="BLR407" s="11"/>
      <c r="BLS407" s="11"/>
      <c r="BLT407" s="11"/>
      <c r="BLU407" s="11"/>
      <c r="BLV407" s="11"/>
      <c r="BLW407" s="11"/>
      <c r="BLX407" s="11"/>
      <c r="BLY407" s="11"/>
      <c r="BLZ407" s="11"/>
      <c r="BMA407" s="11"/>
      <c r="BMB407" s="11"/>
      <c r="BMC407" s="11"/>
      <c r="BMD407" s="11"/>
      <c r="BME407" s="11"/>
      <c r="BMF407" s="11"/>
      <c r="BMG407" s="11"/>
      <c r="BMH407" s="11"/>
      <c r="BMI407" s="11"/>
      <c r="BMJ407" s="11"/>
      <c r="BMK407" s="11"/>
      <c r="BML407" s="11"/>
      <c r="BMM407" s="11"/>
      <c r="BMN407" s="11"/>
      <c r="BMO407" s="11"/>
      <c r="BMP407" s="11"/>
      <c r="BMQ407" s="11"/>
      <c r="BMR407" s="11"/>
      <c r="BMS407" s="11"/>
      <c r="BMT407" s="11"/>
      <c r="BMU407" s="11"/>
      <c r="BMV407" s="11"/>
      <c r="BMW407" s="11"/>
      <c r="BMX407" s="11"/>
      <c r="BMY407" s="11"/>
      <c r="BMZ407" s="11"/>
      <c r="BNA407" s="11"/>
      <c r="BNB407" s="11"/>
      <c r="BNC407" s="11"/>
      <c r="BND407" s="11"/>
      <c r="BNE407" s="11"/>
      <c r="BNF407" s="11"/>
      <c r="BNG407" s="11"/>
      <c r="BNH407" s="11"/>
      <c r="BNI407" s="11"/>
      <c r="BNJ407" s="11"/>
      <c r="BNK407" s="11"/>
      <c r="BNL407" s="11"/>
      <c r="BNM407" s="11"/>
      <c r="BNN407" s="11"/>
      <c r="BNO407" s="11"/>
      <c r="BNP407" s="11"/>
      <c r="BNQ407" s="11"/>
      <c r="BNR407" s="11"/>
      <c r="BNS407" s="11"/>
      <c r="BNT407" s="11"/>
      <c r="BNU407" s="11"/>
      <c r="BNV407" s="11"/>
      <c r="BNW407" s="11"/>
      <c r="BNX407" s="11"/>
      <c r="BNY407" s="11"/>
      <c r="BNZ407" s="11"/>
      <c r="BOA407" s="11"/>
      <c r="BOB407" s="11"/>
      <c r="BOC407" s="11"/>
      <c r="BOD407" s="11"/>
      <c r="BOE407" s="11"/>
      <c r="BOF407" s="11"/>
      <c r="BOG407" s="11"/>
      <c r="BOH407" s="11"/>
      <c r="BOI407" s="11"/>
      <c r="BOJ407" s="11"/>
      <c r="BOK407" s="11"/>
      <c r="BOL407" s="11"/>
      <c r="BOM407" s="11"/>
      <c r="BON407" s="11"/>
      <c r="BOO407" s="11"/>
      <c r="BOP407" s="11"/>
      <c r="BOQ407" s="11"/>
      <c r="BOR407" s="11"/>
      <c r="BOS407" s="11"/>
      <c r="BOT407" s="11"/>
      <c r="BOU407" s="11"/>
      <c r="BOV407" s="11"/>
      <c r="BOW407" s="11"/>
      <c r="BOX407" s="11"/>
      <c r="BOY407" s="11"/>
      <c r="BOZ407" s="11"/>
      <c r="BPA407" s="11"/>
      <c r="BPB407" s="11"/>
      <c r="BPC407" s="11"/>
      <c r="BPD407" s="11"/>
      <c r="BPE407" s="11"/>
      <c r="BPF407" s="11"/>
      <c r="BPG407" s="11"/>
      <c r="BPH407" s="11"/>
      <c r="BPI407" s="11"/>
      <c r="BPJ407" s="11"/>
      <c r="BPK407" s="11"/>
      <c r="BPL407" s="11"/>
      <c r="BPM407" s="11"/>
      <c r="BPN407" s="11"/>
      <c r="BPO407" s="11"/>
      <c r="BPP407" s="11"/>
      <c r="BPQ407" s="11"/>
      <c r="BPR407" s="11"/>
      <c r="BPS407" s="11"/>
      <c r="BPT407" s="11"/>
      <c r="BPU407" s="11"/>
      <c r="BPV407" s="11"/>
      <c r="BPW407" s="11"/>
      <c r="BPX407" s="11"/>
      <c r="BPY407" s="11"/>
      <c r="BPZ407" s="11"/>
      <c r="BQA407" s="11"/>
      <c r="BQB407" s="11"/>
      <c r="BQC407" s="11"/>
      <c r="BQD407" s="11"/>
      <c r="BQE407" s="11"/>
      <c r="BQF407" s="11"/>
      <c r="BQG407" s="11"/>
      <c r="BQH407" s="11"/>
      <c r="BQI407" s="11"/>
      <c r="BQJ407" s="11"/>
      <c r="BQK407" s="11"/>
      <c r="BQL407" s="11"/>
      <c r="BQM407" s="11"/>
      <c r="BQN407" s="11"/>
      <c r="BQO407" s="11"/>
      <c r="BQP407" s="11"/>
      <c r="BQQ407" s="11"/>
      <c r="BQR407" s="11"/>
      <c r="BQS407" s="11"/>
      <c r="BQT407" s="11"/>
      <c r="BQU407" s="11"/>
      <c r="BQV407" s="11"/>
      <c r="BQW407" s="11"/>
      <c r="BQX407" s="11"/>
      <c r="BQY407" s="11"/>
      <c r="BQZ407" s="11"/>
      <c r="BRA407" s="11"/>
      <c r="BRB407" s="11"/>
      <c r="BRC407" s="11"/>
      <c r="BRD407" s="11"/>
      <c r="BRE407" s="11"/>
      <c r="BRF407" s="11"/>
      <c r="BRG407" s="11"/>
      <c r="BRH407" s="11"/>
      <c r="BRI407" s="11"/>
      <c r="BRJ407" s="11"/>
      <c r="BRK407" s="11"/>
      <c r="BRL407" s="11"/>
      <c r="BRM407" s="11"/>
      <c r="BRN407" s="11"/>
      <c r="BRO407" s="11"/>
      <c r="BRP407" s="11"/>
      <c r="BRQ407" s="11"/>
      <c r="BRR407" s="11"/>
      <c r="BRS407" s="11"/>
      <c r="BRT407" s="11"/>
      <c r="BRU407" s="11"/>
      <c r="BRV407" s="11"/>
      <c r="BRW407" s="11"/>
      <c r="BRX407" s="11"/>
      <c r="BRY407" s="11"/>
      <c r="BRZ407" s="11"/>
      <c r="BSA407" s="11"/>
      <c r="BSB407" s="11"/>
      <c r="BSC407" s="11"/>
      <c r="BSD407" s="11"/>
      <c r="BSE407" s="11"/>
      <c r="BSF407" s="11"/>
      <c r="BSG407" s="11"/>
      <c r="BSH407" s="11"/>
      <c r="BSI407" s="11"/>
      <c r="BSJ407" s="11"/>
      <c r="BSK407" s="11"/>
      <c r="BSL407" s="11"/>
      <c r="BSM407" s="11"/>
      <c r="BSN407" s="11"/>
      <c r="BSO407" s="11"/>
      <c r="BSP407" s="11"/>
      <c r="BSQ407" s="11"/>
      <c r="BSR407" s="11"/>
      <c r="BSS407" s="11"/>
      <c r="BST407" s="11"/>
      <c r="BSU407" s="11"/>
      <c r="BSV407" s="11"/>
      <c r="BSW407" s="11"/>
      <c r="BSX407" s="11"/>
      <c r="BSY407" s="11"/>
      <c r="BSZ407" s="11"/>
      <c r="BTA407" s="11"/>
      <c r="BTB407" s="11"/>
      <c r="BTC407" s="11"/>
      <c r="BTD407" s="11"/>
      <c r="BTE407" s="11"/>
      <c r="BTF407" s="11"/>
      <c r="BTG407" s="11"/>
      <c r="BTH407" s="11"/>
      <c r="BTI407" s="11"/>
      <c r="BTJ407" s="11"/>
      <c r="BTK407" s="11"/>
      <c r="BTL407" s="11"/>
      <c r="BTM407" s="11"/>
      <c r="BTN407" s="11"/>
      <c r="BTO407" s="11"/>
      <c r="BTP407" s="11"/>
      <c r="BTQ407" s="11"/>
      <c r="BTR407" s="11"/>
      <c r="BTS407" s="11"/>
      <c r="BTT407" s="11"/>
    </row>
    <row r="408" spans="1:1892" s="10" customFormat="1" ht="35.1" customHeight="1">
      <c r="A408" s="1462"/>
      <c r="B408" s="597" t="s">
        <v>22</v>
      </c>
      <c r="C408" s="597" t="s">
        <v>96</v>
      </c>
      <c r="D408" s="543" t="s">
        <v>98</v>
      </c>
      <c r="E408" s="544"/>
      <c r="F408" s="545"/>
      <c r="G408" s="639" t="s">
        <v>258</v>
      </c>
      <c r="H408" s="639" t="s">
        <v>259</v>
      </c>
      <c r="I408" s="639" t="s">
        <v>259</v>
      </c>
      <c r="J408" s="597" t="s">
        <v>67</v>
      </c>
      <c r="K408" s="597" t="s">
        <v>66</v>
      </c>
      <c r="L408" s="131">
        <v>10.44</v>
      </c>
      <c r="M408" s="231">
        <v>12</v>
      </c>
      <c r="N408" s="132">
        <v>0</v>
      </c>
      <c r="O408" s="132">
        <v>0</v>
      </c>
      <c r="P408" s="560" t="s">
        <v>448</v>
      </c>
      <c r="Q408" s="560" t="s">
        <v>448</v>
      </c>
      <c r="R408" s="560" t="s">
        <v>449</v>
      </c>
      <c r="S408" s="1001" t="s">
        <v>57</v>
      </c>
      <c r="T408" s="1405"/>
      <c r="U408" s="1405" t="s">
        <v>11</v>
      </c>
    </row>
    <row r="409" spans="1:1892" s="10" customFormat="1" ht="35.1" customHeight="1">
      <c r="A409" s="1462"/>
      <c r="B409" s="503"/>
      <c r="C409" s="503"/>
      <c r="D409" s="546"/>
      <c r="E409" s="547"/>
      <c r="F409" s="548"/>
      <c r="G409" s="640"/>
      <c r="H409" s="640"/>
      <c r="I409" s="640"/>
      <c r="J409" s="503"/>
      <c r="K409" s="503"/>
      <c r="L409" s="131">
        <v>13.44</v>
      </c>
      <c r="M409" s="231">
        <v>12</v>
      </c>
      <c r="N409" s="132">
        <v>0</v>
      </c>
      <c r="O409" s="132">
        <v>0</v>
      </c>
      <c r="P409" s="561"/>
      <c r="Q409" s="561"/>
      <c r="R409" s="561"/>
      <c r="S409" s="1002"/>
      <c r="T409" s="1406"/>
      <c r="U409" s="1406"/>
    </row>
    <row r="410" spans="1:1892" s="10" customFormat="1" ht="35.1" customHeight="1">
      <c r="A410" s="1462"/>
      <c r="B410" s="503"/>
      <c r="C410" s="503"/>
      <c r="D410" s="546"/>
      <c r="E410" s="547"/>
      <c r="F410" s="548"/>
      <c r="G410" s="640"/>
      <c r="H410" s="640"/>
      <c r="I410" s="640"/>
      <c r="J410" s="503"/>
      <c r="K410" s="503"/>
      <c r="L410" s="131">
        <v>13.58</v>
      </c>
      <c r="M410" s="231">
        <v>12</v>
      </c>
      <c r="N410" s="132">
        <v>0</v>
      </c>
      <c r="O410" s="132">
        <v>0</v>
      </c>
      <c r="P410" s="561"/>
      <c r="Q410" s="561"/>
      <c r="R410" s="561"/>
      <c r="S410" s="1002"/>
      <c r="T410" s="1406"/>
      <c r="U410" s="1406"/>
    </row>
    <row r="411" spans="1:1892" s="10" customFormat="1" ht="35.1" customHeight="1">
      <c r="A411" s="1462"/>
      <c r="B411" s="503"/>
      <c r="C411" s="503"/>
      <c r="D411" s="546"/>
      <c r="E411" s="547"/>
      <c r="F411" s="548"/>
      <c r="G411" s="640"/>
      <c r="H411" s="640"/>
      <c r="I411" s="640"/>
      <c r="J411" s="503"/>
      <c r="K411" s="503"/>
      <c r="L411" s="131">
        <v>14.86</v>
      </c>
      <c r="M411" s="231">
        <v>12</v>
      </c>
      <c r="N411" s="132">
        <v>0</v>
      </c>
      <c r="O411" s="132">
        <v>0</v>
      </c>
      <c r="P411" s="561"/>
      <c r="Q411" s="561"/>
      <c r="R411" s="561"/>
      <c r="S411" s="1002"/>
      <c r="T411" s="1406"/>
      <c r="U411" s="1406"/>
    </row>
    <row r="412" spans="1:1892" s="10" customFormat="1" ht="35.1" customHeight="1">
      <c r="A412" s="1462"/>
      <c r="B412" s="503"/>
      <c r="C412" s="503"/>
      <c r="D412" s="546"/>
      <c r="E412" s="547"/>
      <c r="F412" s="548"/>
      <c r="G412" s="640"/>
      <c r="H412" s="640"/>
      <c r="I412" s="640"/>
      <c r="J412" s="503"/>
      <c r="K412" s="503"/>
      <c r="L412" s="131">
        <v>18.739999999999998</v>
      </c>
      <c r="M412" s="231">
        <v>12</v>
      </c>
      <c r="N412" s="132">
        <v>0</v>
      </c>
      <c r="O412" s="132">
        <v>0</v>
      </c>
      <c r="P412" s="561"/>
      <c r="Q412" s="561"/>
      <c r="R412" s="561"/>
      <c r="S412" s="1002"/>
      <c r="T412" s="1406"/>
      <c r="U412" s="1406"/>
    </row>
    <row r="413" spans="1:1892" s="10" customFormat="1" ht="35.1" customHeight="1">
      <c r="A413" s="1462"/>
      <c r="B413" s="503"/>
      <c r="C413" s="503"/>
      <c r="D413" s="546"/>
      <c r="E413" s="547"/>
      <c r="F413" s="548"/>
      <c r="G413" s="640"/>
      <c r="H413" s="640"/>
      <c r="I413" s="640"/>
      <c r="J413" s="503"/>
      <c r="K413" s="503"/>
      <c r="L413" s="131">
        <v>19.600000000000001</v>
      </c>
      <c r="M413" s="231">
        <v>12</v>
      </c>
      <c r="N413" s="132">
        <v>0</v>
      </c>
      <c r="O413" s="132">
        <v>0</v>
      </c>
      <c r="P413" s="561"/>
      <c r="Q413" s="561"/>
      <c r="R413" s="561"/>
      <c r="S413" s="1002"/>
      <c r="T413" s="1406"/>
      <c r="U413" s="1406"/>
    </row>
    <row r="414" spans="1:1892" s="10" customFormat="1" ht="35.1" customHeight="1">
      <c r="A414" s="1462"/>
      <c r="B414" s="503"/>
      <c r="C414" s="503"/>
      <c r="D414" s="546"/>
      <c r="E414" s="547"/>
      <c r="F414" s="548"/>
      <c r="G414" s="641"/>
      <c r="H414" s="641"/>
      <c r="I414" s="641"/>
      <c r="J414" s="504"/>
      <c r="K414" s="504"/>
      <c r="L414" s="131">
        <v>21.09</v>
      </c>
      <c r="M414" s="231">
        <v>12</v>
      </c>
      <c r="N414" s="132">
        <v>0</v>
      </c>
      <c r="O414" s="132">
        <v>0</v>
      </c>
      <c r="P414" s="561"/>
      <c r="Q414" s="561"/>
      <c r="R414" s="561"/>
      <c r="S414" s="1002"/>
      <c r="T414" s="1406"/>
      <c r="U414" s="1406"/>
    </row>
    <row r="415" spans="1:1892" s="10" customFormat="1" ht="35.1" customHeight="1">
      <c r="A415" s="1462"/>
      <c r="B415" s="503"/>
      <c r="C415" s="504"/>
      <c r="D415" s="895"/>
      <c r="E415" s="896"/>
      <c r="F415" s="897"/>
      <c r="G415" s="490" t="s">
        <v>329</v>
      </c>
      <c r="H415" s="491"/>
      <c r="I415" s="491"/>
      <c r="J415" s="491"/>
      <c r="K415" s="492"/>
      <c r="L415" s="133"/>
      <c r="M415" s="225">
        <f>SUM(M408:M414)</f>
        <v>84</v>
      </c>
      <c r="N415" s="263">
        <f>SUM(N408:N414)</f>
        <v>0</v>
      </c>
      <c r="O415" s="263">
        <f>SUM(O408:O414)</f>
        <v>0</v>
      </c>
      <c r="P415" s="562"/>
      <c r="Q415" s="562"/>
      <c r="R415" s="562"/>
      <c r="S415" s="1003"/>
      <c r="T415" s="1407"/>
      <c r="U415" s="1407"/>
    </row>
    <row r="416" spans="1:1892" s="12" customFormat="1" ht="35.1" customHeight="1">
      <c r="A416" s="1462"/>
      <c r="B416" s="503"/>
      <c r="C416" s="597" t="s">
        <v>312</v>
      </c>
      <c r="D416" s="543" t="s">
        <v>313</v>
      </c>
      <c r="E416" s="544"/>
      <c r="F416" s="545"/>
      <c r="G416" s="541" t="s">
        <v>260</v>
      </c>
      <c r="H416" s="541" t="s">
        <v>260</v>
      </c>
      <c r="I416" s="541" t="s">
        <v>260</v>
      </c>
      <c r="J416" s="597" t="s">
        <v>67</v>
      </c>
      <c r="K416" s="597" t="s">
        <v>66</v>
      </c>
      <c r="L416" s="131">
        <v>84.926500000000004</v>
      </c>
      <c r="M416" s="231">
        <v>622</v>
      </c>
      <c r="N416" s="132">
        <v>0</v>
      </c>
      <c r="O416" s="132">
        <v>0</v>
      </c>
      <c r="P416" s="560" t="s">
        <v>450</v>
      </c>
      <c r="Q416" s="560" t="s">
        <v>451</v>
      </c>
      <c r="R416" s="560" t="s">
        <v>452</v>
      </c>
      <c r="S416" s="1518" t="s">
        <v>57</v>
      </c>
      <c r="T416" s="1405" t="s">
        <v>97</v>
      </c>
      <c r="U416" s="1405" t="s">
        <v>17</v>
      </c>
    </row>
    <row r="417" spans="1:21" s="12" customFormat="1" ht="35.1" customHeight="1">
      <c r="A417" s="1462"/>
      <c r="B417" s="503"/>
      <c r="C417" s="503"/>
      <c r="D417" s="546"/>
      <c r="E417" s="547"/>
      <c r="F417" s="548"/>
      <c r="G417" s="572"/>
      <c r="H417" s="572"/>
      <c r="I417" s="572"/>
      <c r="J417" s="504"/>
      <c r="K417" s="504"/>
      <c r="L417" s="131">
        <v>84.926500000000004</v>
      </c>
      <c r="M417" s="231">
        <v>100</v>
      </c>
      <c r="N417" s="132">
        <v>0</v>
      </c>
      <c r="O417" s="132">
        <v>0</v>
      </c>
      <c r="P417" s="561"/>
      <c r="Q417" s="561"/>
      <c r="R417" s="561"/>
      <c r="S417" s="1519"/>
      <c r="T417" s="1406"/>
      <c r="U417" s="1406"/>
    </row>
    <row r="418" spans="1:21" s="12" customFormat="1" ht="35.1" customHeight="1">
      <c r="A418" s="1462"/>
      <c r="B418" s="503"/>
      <c r="C418" s="504"/>
      <c r="D418" s="895"/>
      <c r="E418" s="896"/>
      <c r="F418" s="897"/>
      <c r="G418" s="490" t="s">
        <v>329</v>
      </c>
      <c r="H418" s="491"/>
      <c r="I418" s="491"/>
      <c r="J418" s="491"/>
      <c r="K418" s="492"/>
      <c r="L418" s="136"/>
      <c r="M418" s="236">
        <f>SUM(M416:M417)</f>
        <v>722</v>
      </c>
      <c r="N418" s="396">
        <f>SUM(N416:N417)</f>
        <v>0</v>
      </c>
      <c r="O418" s="396">
        <f>SUM(O416:O417)</f>
        <v>0</v>
      </c>
      <c r="P418" s="562"/>
      <c r="Q418" s="562"/>
      <c r="R418" s="562"/>
      <c r="S418" s="1520"/>
      <c r="T418" s="1407"/>
      <c r="U418" s="1407"/>
    </row>
    <row r="419" spans="1:21" s="12" customFormat="1" ht="35.1" customHeight="1">
      <c r="A419" s="1462"/>
      <c r="B419" s="503"/>
      <c r="C419" s="597" t="s">
        <v>96</v>
      </c>
      <c r="D419" s="543" t="s">
        <v>95</v>
      </c>
      <c r="E419" s="544"/>
      <c r="F419" s="545"/>
      <c r="G419" s="585" t="s">
        <v>261</v>
      </c>
      <c r="H419" s="585" t="s">
        <v>261</v>
      </c>
      <c r="I419" s="585" t="s">
        <v>261</v>
      </c>
      <c r="J419" s="597" t="s">
        <v>67</v>
      </c>
      <c r="K419" s="597" t="s">
        <v>66</v>
      </c>
      <c r="L419" s="131">
        <v>33.343000000000004</v>
      </c>
      <c r="M419" s="231">
        <v>17</v>
      </c>
      <c r="N419" s="132">
        <v>0</v>
      </c>
      <c r="O419" s="132">
        <v>0</v>
      </c>
      <c r="P419" s="560" t="s">
        <v>433</v>
      </c>
      <c r="Q419" s="560" t="s">
        <v>453</v>
      </c>
      <c r="R419" s="560" t="s">
        <v>453</v>
      </c>
      <c r="S419" s="1518" t="s">
        <v>57</v>
      </c>
      <c r="T419" s="1405"/>
      <c r="U419" s="1405" t="s">
        <v>11</v>
      </c>
    </row>
    <row r="420" spans="1:21" s="12" customFormat="1" ht="35.1" customHeight="1">
      <c r="A420" s="1462"/>
      <c r="B420" s="503"/>
      <c r="C420" s="503"/>
      <c r="D420" s="546"/>
      <c r="E420" s="547"/>
      <c r="F420" s="548"/>
      <c r="G420" s="586"/>
      <c r="H420" s="586"/>
      <c r="I420" s="586"/>
      <c r="J420" s="503"/>
      <c r="K420" s="503"/>
      <c r="L420" s="131">
        <v>66.69</v>
      </c>
      <c r="M420" s="231">
        <v>17</v>
      </c>
      <c r="N420" s="132">
        <v>0</v>
      </c>
      <c r="O420" s="132">
        <v>0</v>
      </c>
      <c r="P420" s="561"/>
      <c r="Q420" s="561"/>
      <c r="R420" s="561"/>
      <c r="S420" s="1519"/>
      <c r="T420" s="1406"/>
      <c r="U420" s="1406"/>
    </row>
    <row r="421" spans="1:21" s="12" customFormat="1" ht="35.1" customHeight="1">
      <c r="A421" s="1462"/>
      <c r="B421" s="503"/>
      <c r="C421" s="503"/>
      <c r="D421" s="546"/>
      <c r="E421" s="547"/>
      <c r="F421" s="548"/>
      <c r="G421" s="587"/>
      <c r="H421" s="587"/>
      <c r="I421" s="587"/>
      <c r="J421" s="504"/>
      <c r="K421" s="504"/>
      <c r="L421" s="131">
        <v>71.734499999999997</v>
      </c>
      <c r="M421" s="231">
        <v>17</v>
      </c>
      <c r="N421" s="132">
        <v>0</v>
      </c>
      <c r="O421" s="132">
        <v>0</v>
      </c>
      <c r="P421" s="561"/>
      <c r="Q421" s="561"/>
      <c r="R421" s="561"/>
      <c r="S421" s="1519"/>
      <c r="T421" s="1406"/>
      <c r="U421" s="1406"/>
    </row>
    <row r="422" spans="1:21" s="12" customFormat="1" ht="35.1" customHeight="1">
      <c r="A422" s="1462"/>
      <c r="B422" s="503"/>
      <c r="C422" s="504"/>
      <c r="D422" s="895"/>
      <c r="E422" s="896"/>
      <c r="F422" s="897"/>
      <c r="G422" s="490" t="s">
        <v>329</v>
      </c>
      <c r="H422" s="491"/>
      <c r="I422" s="491"/>
      <c r="J422" s="491"/>
      <c r="K422" s="492"/>
      <c r="L422" s="136"/>
      <c r="M422" s="236">
        <f>SUM(M419:M421)</f>
        <v>51</v>
      </c>
      <c r="N422" s="396">
        <f>SUM(N419:N421)</f>
        <v>0</v>
      </c>
      <c r="O422" s="396">
        <f>SUM(O419:O421)</f>
        <v>0</v>
      </c>
      <c r="P422" s="562"/>
      <c r="Q422" s="562"/>
      <c r="R422" s="562"/>
      <c r="S422" s="1520"/>
      <c r="T422" s="1407"/>
      <c r="U422" s="1407"/>
    </row>
    <row r="423" spans="1:21" s="12" customFormat="1" ht="35.1" customHeight="1">
      <c r="A423" s="1462"/>
      <c r="B423" s="503"/>
      <c r="C423" s="911" t="s">
        <v>96</v>
      </c>
      <c r="D423" s="987" t="s">
        <v>330</v>
      </c>
      <c r="E423" s="988"/>
      <c r="F423" s="989"/>
      <c r="G423" s="639" t="s">
        <v>331</v>
      </c>
      <c r="H423" s="639" t="s">
        <v>332</v>
      </c>
      <c r="I423" s="639" t="s">
        <v>333</v>
      </c>
      <c r="J423" s="653" t="s">
        <v>11</v>
      </c>
      <c r="K423" s="653" t="s">
        <v>12</v>
      </c>
      <c r="L423" s="172" t="s">
        <v>334</v>
      </c>
      <c r="M423" s="231">
        <v>18</v>
      </c>
      <c r="N423" s="261">
        <v>18</v>
      </c>
      <c r="O423" s="261">
        <v>18</v>
      </c>
      <c r="P423" s="713" t="s">
        <v>443</v>
      </c>
      <c r="Q423" s="560" t="s">
        <v>424</v>
      </c>
      <c r="R423" s="560" t="s">
        <v>447</v>
      </c>
      <c r="S423" s="1573" t="s">
        <v>57</v>
      </c>
      <c r="T423" s="1555"/>
      <c r="U423" s="1555" t="s">
        <v>11</v>
      </c>
    </row>
    <row r="424" spans="1:21" s="12" customFormat="1" ht="35.1" customHeight="1">
      <c r="A424" s="1462"/>
      <c r="B424" s="503"/>
      <c r="C424" s="912"/>
      <c r="D424" s="990"/>
      <c r="E424" s="991"/>
      <c r="F424" s="992"/>
      <c r="G424" s="640"/>
      <c r="H424" s="640"/>
      <c r="I424" s="640"/>
      <c r="J424" s="654"/>
      <c r="K424" s="654"/>
      <c r="L424" s="172" t="s">
        <v>335</v>
      </c>
      <c r="M424" s="231">
        <v>18</v>
      </c>
      <c r="N424" s="261">
        <v>18</v>
      </c>
      <c r="O424" s="261">
        <v>18</v>
      </c>
      <c r="P424" s="714"/>
      <c r="Q424" s="561"/>
      <c r="R424" s="561"/>
      <c r="S424" s="1574"/>
      <c r="T424" s="1556"/>
      <c r="U424" s="1556"/>
    </row>
    <row r="425" spans="1:21" s="12" customFormat="1" ht="35.1" customHeight="1">
      <c r="A425" s="1462"/>
      <c r="B425" s="503"/>
      <c r="C425" s="912"/>
      <c r="D425" s="990"/>
      <c r="E425" s="991"/>
      <c r="F425" s="992"/>
      <c r="G425" s="640"/>
      <c r="H425" s="640"/>
      <c r="I425" s="640"/>
      <c r="J425" s="654"/>
      <c r="K425" s="654"/>
      <c r="L425" s="172" t="s">
        <v>336</v>
      </c>
      <c r="M425" s="231">
        <v>18</v>
      </c>
      <c r="N425" s="261">
        <v>18</v>
      </c>
      <c r="O425" s="261">
        <v>18</v>
      </c>
      <c r="P425" s="714"/>
      <c r="Q425" s="561"/>
      <c r="R425" s="561"/>
      <c r="S425" s="1574"/>
      <c r="T425" s="1556"/>
      <c r="U425" s="1556"/>
    </row>
    <row r="426" spans="1:21" s="12" customFormat="1" ht="35.1" customHeight="1">
      <c r="A426" s="1462"/>
      <c r="B426" s="503"/>
      <c r="C426" s="912"/>
      <c r="D426" s="990"/>
      <c r="E426" s="991"/>
      <c r="F426" s="992"/>
      <c r="G426" s="640"/>
      <c r="H426" s="640"/>
      <c r="I426" s="640"/>
      <c r="J426" s="654"/>
      <c r="K426" s="654"/>
      <c r="L426" s="172" t="s">
        <v>337</v>
      </c>
      <c r="M426" s="231">
        <v>17</v>
      </c>
      <c r="N426" s="261">
        <v>17</v>
      </c>
      <c r="O426" s="261">
        <v>17</v>
      </c>
      <c r="P426" s="714"/>
      <c r="Q426" s="561"/>
      <c r="R426" s="561"/>
      <c r="S426" s="1574"/>
      <c r="T426" s="1556"/>
      <c r="U426" s="1556"/>
    </row>
    <row r="427" spans="1:21" s="12" customFormat="1" ht="35.1" customHeight="1">
      <c r="A427" s="1462"/>
      <c r="B427" s="503"/>
      <c r="C427" s="912"/>
      <c r="D427" s="990"/>
      <c r="E427" s="991"/>
      <c r="F427" s="992"/>
      <c r="G427" s="640"/>
      <c r="H427" s="640"/>
      <c r="I427" s="640"/>
      <c r="J427" s="654"/>
      <c r="K427" s="654"/>
      <c r="L427" s="172" t="s">
        <v>338</v>
      </c>
      <c r="M427" s="231">
        <v>17</v>
      </c>
      <c r="N427" s="261">
        <v>13</v>
      </c>
      <c r="O427" s="261">
        <v>13</v>
      </c>
      <c r="P427" s="714"/>
      <c r="Q427" s="561"/>
      <c r="R427" s="561"/>
      <c r="S427" s="1574"/>
      <c r="T427" s="1556"/>
      <c r="U427" s="1556"/>
    </row>
    <row r="428" spans="1:21" s="12" customFormat="1" ht="35.1" customHeight="1">
      <c r="A428" s="1462"/>
      <c r="B428" s="503"/>
      <c r="C428" s="912"/>
      <c r="D428" s="990"/>
      <c r="E428" s="991"/>
      <c r="F428" s="992"/>
      <c r="G428" s="640"/>
      <c r="H428" s="640"/>
      <c r="I428" s="640"/>
      <c r="J428" s="654"/>
      <c r="K428" s="654"/>
      <c r="L428" s="172" t="s">
        <v>339</v>
      </c>
      <c r="M428" s="231">
        <v>18</v>
      </c>
      <c r="N428" s="261">
        <v>16</v>
      </c>
      <c r="O428" s="261">
        <v>16</v>
      </c>
      <c r="P428" s="714"/>
      <c r="Q428" s="561"/>
      <c r="R428" s="561"/>
      <c r="S428" s="1574"/>
      <c r="T428" s="1556"/>
      <c r="U428" s="1556"/>
    </row>
    <row r="429" spans="1:21" s="12" customFormat="1" ht="35.1" customHeight="1">
      <c r="A429" s="1462"/>
      <c r="B429" s="503"/>
      <c r="C429" s="912"/>
      <c r="D429" s="990"/>
      <c r="E429" s="991"/>
      <c r="F429" s="992"/>
      <c r="G429" s="641"/>
      <c r="H429" s="641"/>
      <c r="I429" s="641"/>
      <c r="J429" s="655"/>
      <c r="K429" s="655"/>
      <c r="L429" s="172" t="s">
        <v>340</v>
      </c>
      <c r="M429" s="231">
        <v>1</v>
      </c>
      <c r="N429" s="261">
        <v>1</v>
      </c>
      <c r="O429" s="261">
        <v>1</v>
      </c>
      <c r="P429" s="714"/>
      <c r="Q429" s="561"/>
      <c r="R429" s="561"/>
      <c r="S429" s="1574"/>
      <c r="T429" s="1556"/>
      <c r="U429" s="1556"/>
    </row>
    <row r="430" spans="1:21" s="12" customFormat="1" ht="35.1" customHeight="1">
      <c r="A430" s="1462"/>
      <c r="B430" s="503"/>
      <c r="C430" s="913"/>
      <c r="D430" s="993"/>
      <c r="E430" s="994"/>
      <c r="F430" s="995"/>
      <c r="G430" s="490" t="s">
        <v>329</v>
      </c>
      <c r="H430" s="491"/>
      <c r="I430" s="491"/>
      <c r="J430" s="491"/>
      <c r="K430" s="492"/>
      <c r="L430" s="145"/>
      <c r="M430" s="225">
        <f>SUM(M423:M429)</f>
        <v>107</v>
      </c>
      <c r="N430" s="263">
        <f>SUM(N423:N429)</f>
        <v>101</v>
      </c>
      <c r="O430" s="263">
        <f>SUM(O423:O429)</f>
        <v>101</v>
      </c>
      <c r="P430" s="715"/>
      <c r="Q430" s="562"/>
      <c r="R430" s="562"/>
      <c r="S430" s="1575"/>
      <c r="T430" s="1557"/>
      <c r="U430" s="1557"/>
    </row>
    <row r="431" spans="1:21" s="12" customFormat="1" ht="35.1" customHeight="1">
      <c r="A431" s="1462"/>
      <c r="B431" s="503"/>
      <c r="C431" s="597" t="s">
        <v>96</v>
      </c>
      <c r="D431" s="1259" t="s">
        <v>135</v>
      </c>
      <c r="E431" s="1260"/>
      <c r="F431" s="1261"/>
      <c r="G431" s="1253" t="s">
        <v>262</v>
      </c>
      <c r="H431" s="1253" t="s">
        <v>263</v>
      </c>
      <c r="I431" s="1253" t="s">
        <v>289</v>
      </c>
      <c r="J431" s="946" t="s">
        <v>11</v>
      </c>
      <c r="K431" s="946" t="s">
        <v>12</v>
      </c>
      <c r="L431" s="131" t="s">
        <v>125</v>
      </c>
      <c r="M431" s="231">
        <v>102</v>
      </c>
      <c r="N431" s="132">
        <v>0</v>
      </c>
      <c r="O431" s="132">
        <v>0</v>
      </c>
      <c r="P431" s="560" t="s">
        <v>454</v>
      </c>
      <c r="Q431" s="560" t="s">
        <v>455</v>
      </c>
      <c r="R431" s="1768">
        <v>45261</v>
      </c>
      <c r="S431" s="1765" t="s">
        <v>525</v>
      </c>
      <c r="T431" s="946"/>
      <c r="U431" s="946" t="s">
        <v>11</v>
      </c>
    </row>
    <row r="432" spans="1:21" s="12" customFormat="1" ht="35.1" customHeight="1">
      <c r="A432" s="1462"/>
      <c r="B432" s="503"/>
      <c r="C432" s="503"/>
      <c r="D432" s="1262"/>
      <c r="E432" s="1263"/>
      <c r="F432" s="1264"/>
      <c r="G432" s="1254"/>
      <c r="H432" s="1254"/>
      <c r="I432" s="1254"/>
      <c r="J432" s="947"/>
      <c r="K432" s="947"/>
      <c r="L432" s="131" t="s">
        <v>126</v>
      </c>
      <c r="M432" s="231">
        <v>52</v>
      </c>
      <c r="N432" s="132">
        <v>0</v>
      </c>
      <c r="O432" s="132">
        <v>0</v>
      </c>
      <c r="P432" s="561"/>
      <c r="Q432" s="561"/>
      <c r="R432" s="1769"/>
      <c r="S432" s="1766"/>
      <c r="T432" s="1669"/>
      <c r="U432" s="1669"/>
    </row>
    <row r="433" spans="1:21" s="12" customFormat="1" ht="35.1" customHeight="1">
      <c r="A433" s="1462"/>
      <c r="B433" s="503"/>
      <c r="C433" s="504"/>
      <c r="D433" s="1265"/>
      <c r="E433" s="1266"/>
      <c r="F433" s="1267"/>
      <c r="G433" s="490" t="s">
        <v>329</v>
      </c>
      <c r="H433" s="491"/>
      <c r="I433" s="491"/>
      <c r="J433" s="491"/>
      <c r="K433" s="492"/>
      <c r="L433" s="136"/>
      <c r="M433" s="236">
        <f>SUM(M431:M432)</f>
        <v>154</v>
      </c>
      <c r="N433" s="396">
        <f>SUM(N431:N432)</f>
        <v>0</v>
      </c>
      <c r="O433" s="396">
        <f>SUM(O431:O432)</f>
        <v>0</v>
      </c>
      <c r="P433" s="562"/>
      <c r="Q433" s="562"/>
      <c r="R433" s="1770"/>
      <c r="S433" s="1767"/>
      <c r="T433" s="947"/>
      <c r="U433" s="947"/>
    </row>
    <row r="434" spans="1:21" s="12" customFormat="1" ht="35.1" customHeight="1">
      <c r="A434" s="1462"/>
      <c r="B434" s="503"/>
      <c r="C434" s="597" t="s">
        <v>96</v>
      </c>
      <c r="D434" s="1259" t="s">
        <v>131</v>
      </c>
      <c r="E434" s="1260"/>
      <c r="F434" s="1261"/>
      <c r="G434" s="585" t="s">
        <v>264</v>
      </c>
      <c r="H434" s="585" t="s">
        <v>265</v>
      </c>
      <c r="I434" s="1253" t="s">
        <v>290</v>
      </c>
      <c r="J434" s="937" t="s">
        <v>11</v>
      </c>
      <c r="K434" s="937" t="s">
        <v>12</v>
      </c>
      <c r="L434" s="131">
        <v>63.734200000000001</v>
      </c>
      <c r="M434" s="231">
        <v>32</v>
      </c>
      <c r="N434" s="132">
        <v>0</v>
      </c>
      <c r="O434" s="132">
        <v>0</v>
      </c>
      <c r="P434" s="560" t="s">
        <v>421</v>
      </c>
      <c r="Q434" s="560" t="s">
        <v>427</v>
      </c>
      <c r="R434" s="560" t="s">
        <v>409</v>
      </c>
      <c r="S434" s="1765" t="s">
        <v>57</v>
      </c>
      <c r="T434" s="946"/>
      <c r="U434" s="946" t="s">
        <v>11</v>
      </c>
    </row>
    <row r="435" spans="1:21" s="12" customFormat="1" ht="35.1" customHeight="1">
      <c r="A435" s="1462"/>
      <c r="B435" s="503"/>
      <c r="C435" s="503"/>
      <c r="D435" s="1262"/>
      <c r="E435" s="1263"/>
      <c r="F435" s="1264"/>
      <c r="G435" s="586"/>
      <c r="H435" s="586"/>
      <c r="I435" s="1620"/>
      <c r="J435" s="938"/>
      <c r="K435" s="938"/>
      <c r="L435" s="131" t="s">
        <v>133</v>
      </c>
      <c r="M435" s="231">
        <v>32</v>
      </c>
      <c r="N435" s="132">
        <v>0</v>
      </c>
      <c r="O435" s="132">
        <v>0</v>
      </c>
      <c r="P435" s="561"/>
      <c r="Q435" s="561"/>
      <c r="R435" s="561"/>
      <c r="S435" s="1766"/>
      <c r="T435" s="1669"/>
      <c r="U435" s="1669"/>
    </row>
    <row r="436" spans="1:21" s="12" customFormat="1" ht="35.1" customHeight="1">
      <c r="A436" s="1462"/>
      <c r="B436" s="503"/>
      <c r="C436" s="503"/>
      <c r="D436" s="1262"/>
      <c r="E436" s="1263"/>
      <c r="F436" s="1264"/>
      <c r="G436" s="587"/>
      <c r="H436" s="587"/>
      <c r="I436" s="1254"/>
      <c r="J436" s="939"/>
      <c r="K436" s="939"/>
      <c r="L436" s="131" t="s">
        <v>134</v>
      </c>
      <c r="M436" s="231">
        <v>32</v>
      </c>
      <c r="N436" s="132">
        <v>0</v>
      </c>
      <c r="O436" s="132">
        <v>0</v>
      </c>
      <c r="P436" s="561"/>
      <c r="Q436" s="561"/>
      <c r="R436" s="561"/>
      <c r="S436" s="1766"/>
      <c r="T436" s="1669"/>
      <c r="U436" s="1669"/>
    </row>
    <row r="437" spans="1:21" s="12" customFormat="1" ht="35.1" customHeight="1">
      <c r="A437" s="1462"/>
      <c r="B437" s="503"/>
      <c r="C437" s="504"/>
      <c r="D437" s="1265"/>
      <c r="E437" s="1266"/>
      <c r="F437" s="1267"/>
      <c r="G437" s="490" t="s">
        <v>329</v>
      </c>
      <c r="H437" s="491"/>
      <c r="I437" s="491"/>
      <c r="J437" s="491"/>
      <c r="K437" s="492"/>
      <c r="L437" s="136"/>
      <c r="M437" s="236">
        <f>SUM(M434:M436)</f>
        <v>96</v>
      </c>
      <c r="N437" s="396">
        <f>SUM(N434:N436)</f>
        <v>0</v>
      </c>
      <c r="O437" s="396">
        <f>SUM(O434:O436)</f>
        <v>0</v>
      </c>
      <c r="P437" s="562"/>
      <c r="Q437" s="562"/>
      <c r="R437" s="562"/>
      <c r="S437" s="1767"/>
      <c r="T437" s="947"/>
      <c r="U437" s="947"/>
    </row>
    <row r="438" spans="1:21" s="12" customFormat="1" ht="35.1" customHeight="1">
      <c r="A438" s="1462"/>
      <c r="B438" s="503"/>
      <c r="C438" s="597" t="s">
        <v>96</v>
      </c>
      <c r="D438" s="948" t="s">
        <v>218</v>
      </c>
      <c r="E438" s="949"/>
      <c r="F438" s="950"/>
      <c r="G438" s="1253" t="s">
        <v>266</v>
      </c>
      <c r="H438" s="1253" t="s">
        <v>267</v>
      </c>
      <c r="I438" s="1253" t="s">
        <v>291</v>
      </c>
      <c r="J438" s="1255" t="s">
        <v>11</v>
      </c>
      <c r="K438" s="1255" t="s">
        <v>12</v>
      </c>
      <c r="L438" s="173" t="s">
        <v>219</v>
      </c>
      <c r="M438" s="230">
        <v>78</v>
      </c>
      <c r="N438" s="395">
        <v>40</v>
      </c>
      <c r="O438" s="395">
        <v>39</v>
      </c>
      <c r="P438" s="713" t="s">
        <v>420</v>
      </c>
      <c r="Q438" s="713" t="s">
        <v>429</v>
      </c>
      <c r="R438" s="713" t="s">
        <v>456</v>
      </c>
      <c r="S438" s="1765" t="s">
        <v>188</v>
      </c>
      <c r="T438" s="946"/>
      <c r="U438" s="946" t="s">
        <v>11</v>
      </c>
    </row>
    <row r="439" spans="1:21" s="12" customFormat="1" ht="35.1" customHeight="1">
      <c r="A439" s="1462"/>
      <c r="B439" s="503"/>
      <c r="C439" s="503"/>
      <c r="D439" s="951"/>
      <c r="E439" s="952"/>
      <c r="F439" s="953"/>
      <c r="G439" s="1254"/>
      <c r="H439" s="1254"/>
      <c r="I439" s="1254"/>
      <c r="J439" s="1256"/>
      <c r="K439" s="1256"/>
      <c r="L439" s="173" t="s">
        <v>220</v>
      </c>
      <c r="M439" s="230">
        <v>4</v>
      </c>
      <c r="N439" s="395">
        <v>4</v>
      </c>
      <c r="O439" s="395">
        <v>3</v>
      </c>
      <c r="P439" s="714"/>
      <c r="Q439" s="714"/>
      <c r="R439" s="714"/>
      <c r="S439" s="1766"/>
      <c r="T439" s="1669"/>
      <c r="U439" s="1669"/>
    </row>
    <row r="440" spans="1:21" s="12" customFormat="1" ht="35.1" customHeight="1">
      <c r="A440" s="1462"/>
      <c r="B440" s="503"/>
      <c r="C440" s="504"/>
      <c r="D440" s="954"/>
      <c r="E440" s="955"/>
      <c r="F440" s="956"/>
      <c r="G440" s="490" t="s">
        <v>329</v>
      </c>
      <c r="H440" s="491"/>
      <c r="I440" s="491"/>
      <c r="J440" s="491"/>
      <c r="K440" s="492"/>
      <c r="L440" s="174"/>
      <c r="M440" s="225">
        <f>SUM(M438:M439)</f>
        <v>82</v>
      </c>
      <c r="N440" s="263">
        <f>SUM(N438:N439)</f>
        <v>44</v>
      </c>
      <c r="O440" s="263">
        <f>SUM(O438:O439)</f>
        <v>42</v>
      </c>
      <c r="P440" s="715"/>
      <c r="Q440" s="715"/>
      <c r="R440" s="715"/>
      <c r="S440" s="1767"/>
      <c r="T440" s="947"/>
      <c r="U440" s="947"/>
    </row>
    <row r="441" spans="1:21" s="12" customFormat="1" ht="35.1" customHeight="1">
      <c r="A441" s="1462"/>
      <c r="B441" s="503"/>
      <c r="C441" s="597" t="s">
        <v>226</v>
      </c>
      <c r="D441" s="1259" t="s">
        <v>238</v>
      </c>
      <c r="E441" s="1260"/>
      <c r="F441" s="1261"/>
      <c r="G441" s="585" t="s">
        <v>227</v>
      </c>
      <c r="H441" s="585" t="s">
        <v>228</v>
      </c>
      <c r="I441" s="1253" t="s">
        <v>292</v>
      </c>
      <c r="J441" s="1255" t="s">
        <v>236</v>
      </c>
      <c r="K441" s="1255" t="s">
        <v>237</v>
      </c>
      <c r="L441" s="150" t="s">
        <v>229</v>
      </c>
      <c r="M441" s="231">
        <v>109</v>
      </c>
      <c r="N441" s="132">
        <v>0</v>
      </c>
      <c r="O441" s="132">
        <v>0</v>
      </c>
      <c r="P441" s="713" t="s">
        <v>420</v>
      </c>
      <c r="Q441" s="560" t="s">
        <v>429</v>
      </c>
      <c r="R441" s="560" t="s">
        <v>568</v>
      </c>
      <c r="S441" s="1717" t="s">
        <v>57</v>
      </c>
      <c r="T441" s="946"/>
      <c r="U441" s="946" t="s">
        <v>236</v>
      </c>
    </row>
    <row r="442" spans="1:21" s="12" customFormat="1" ht="35.1" customHeight="1">
      <c r="A442" s="1462"/>
      <c r="B442" s="503"/>
      <c r="C442" s="503"/>
      <c r="D442" s="1262"/>
      <c r="E442" s="1263"/>
      <c r="F442" s="1264"/>
      <c r="G442" s="586"/>
      <c r="H442" s="586"/>
      <c r="I442" s="1620"/>
      <c r="J442" s="1257"/>
      <c r="K442" s="1257"/>
      <c r="L442" s="150" t="s">
        <v>230</v>
      </c>
      <c r="M442" s="231">
        <v>60</v>
      </c>
      <c r="N442" s="132">
        <v>0</v>
      </c>
      <c r="O442" s="132">
        <v>0</v>
      </c>
      <c r="P442" s="714"/>
      <c r="Q442" s="561"/>
      <c r="R442" s="561"/>
      <c r="S442" s="1718"/>
      <c r="T442" s="1669"/>
      <c r="U442" s="1669"/>
    </row>
    <row r="443" spans="1:21" s="12" customFormat="1" ht="35.1" customHeight="1">
      <c r="A443" s="1462"/>
      <c r="B443" s="503"/>
      <c r="C443" s="503"/>
      <c r="D443" s="1262"/>
      <c r="E443" s="1263"/>
      <c r="F443" s="1264"/>
      <c r="G443" s="586"/>
      <c r="H443" s="586"/>
      <c r="I443" s="1620"/>
      <c r="J443" s="1257"/>
      <c r="K443" s="1257"/>
      <c r="L443" s="150" t="s">
        <v>231</v>
      </c>
      <c r="M443" s="231">
        <v>63</v>
      </c>
      <c r="N443" s="132">
        <v>0</v>
      </c>
      <c r="O443" s="132">
        <v>0</v>
      </c>
      <c r="P443" s="714"/>
      <c r="Q443" s="561"/>
      <c r="R443" s="561"/>
      <c r="S443" s="1718"/>
      <c r="T443" s="1669"/>
      <c r="U443" s="1669"/>
    </row>
    <row r="444" spans="1:21" s="12" customFormat="1" ht="35.1" customHeight="1">
      <c r="A444" s="1462"/>
      <c r="B444" s="503"/>
      <c r="C444" s="503"/>
      <c r="D444" s="1262"/>
      <c r="E444" s="1263"/>
      <c r="F444" s="1264"/>
      <c r="G444" s="586"/>
      <c r="H444" s="586"/>
      <c r="I444" s="1620"/>
      <c r="J444" s="1257"/>
      <c r="K444" s="1257"/>
      <c r="L444" s="150" t="s">
        <v>232</v>
      </c>
      <c r="M444" s="231">
        <v>118</v>
      </c>
      <c r="N444" s="132">
        <v>6</v>
      </c>
      <c r="O444" s="132">
        <v>6</v>
      </c>
      <c r="P444" s="714"/>
      <c r="Q444" s="561"/>
      <c r="R444" s="561"/>
      <c r="S444" s="1718"/>
      <c r="T444" s="1669"/>
      <c r="U444" s="1669"/>
    </row>
    <row r="445" spans="1:21" s="12" customFormat="1" ht="35.1" customHeight="1">
      <c r="A445" s="1462"/>
      <c r="B445" s="503"/>
      <c r="C445" s="503"/>
      <c r="D445" s="1262"/>
      <c r="E445" s="1263"/>
      <c r="F445" s="1264"/>
      <c r="G445" s="586"/>
      <c r="H445" s="586"/>
      <c r="I445" s="1620"/>
      <c r="J445" s="1257"/>
      <c r="K445" s="1257"/>
      <c r="L445" s="150" t="s">
        <v>233</v>
      </c>
      <c r="M445" s="231">
        <v>77</v>
      </c>
      <c r="N445" s="132">
        <v>8</v>
      </c>
      <c r="O445" s="132">
        <v>8</v>
      </c>
      <c r="P445" s="714"/>
      <c r="Q445" s="561"/>
      <c r="R445" s="561"/>
      <c r="S445" s="1718"/>
      <c r="T445" s="1669"/>
      <c r="U445" s="1669"/>
    </row>
    <row r="446" spans="1:21" s="12" customFormat="1" ht="35.1" customHeight="1">
      <c r="A446" s="1462"/>
      <c r="B446" s="503"/>
      <c r="C446" s="503"/>
      <c r="D446" s="1262"/>
      <c r="E446" s="1263"/>
      <c r="F446" s="1264"/>
      <c r="G446" s="586"/>
      <c r="H446" s="586"/>
      <c r="I446" s="1620"/>
      <c r="J446" s="1257"/>
      <c r="K446" s="1257"/>
      <c r="L446" s="150" t="s">
        <v>234</v>
      </c>
      <c r="M446" s="231">
        <v>132</v>
      </c>
      <c r="N446" s="132">
        <v>8</v>
      </c>
      <c r="O446" s="132">
        <v>8</v>
      </c>
      <c r="P446" s="714"/>
      <c r="Q446" s="561"/>
      <c r="R446" s="561"/>
      <c r="S446" s="1718"/>
      <c r="T446" s="1669"/>
      <c r="U446" s="1669"/>
    </row>
    <row r="447" spans="1:21" s="12" customFormat="1" ht="35.1" customHeight="1">
      <c r="A447" s="1462"/>
      <c r="B447" s="503"/>
      <c r="C447" s="503"/>
      <c r="D447" s="1262"/>
      <c r="E447" s="1263"/>
      <c r="F447" s="1264"/>
      <c r="G447" s="587"/>
      <c r="H447" s="587"/>
      <c r="I447" s="1254"/>
      <c r="J447" s="1256"/>
      <c r="K447" s="1256"/>
      <c r="L447" s="150" t="s">
        <v>235</v>
      </c>
      <c r="M447" s="231">
        <v>77</v>
      </c>
      <c r="N447" s="132">
        <v>18</v>
      </c>
      <c r="O447" s="132">
        <v>18</v>
      </c>
      <c r="P447" s="714"/>
      <c r="Q447" s="561"/>
      <c r="R447" s="561"/>
      <c r="S447" s="1718"/>
      <c r="T447" s="1669"/>
      <c r="U447" s="1669"/>
    </row>
    <row r="448" spans="1:21" s="12" customFormat="1" ht="35.1" customHeight="1">
      <c r="A448" s="1462"/>
      <c r="B448" s="503"/>
      <c r="C448" s="504"/>
      <c r="D448" s="1265"/>
      <c r="E448" s="1266"/>
      <c r="F448" s="1267"/>
      <c r="G448" s="490" t="s">
        <v>329</v>
      </c>
      <c r="H448" s="491"/>
      <c r="I448" s="491"/>
      <c r="J448" s="491"/>
      <c r="K448" s="492"/>
      <c r="L448" s="174"/>
      <c r="M448" s="225">
        <f>SUM(M441:M447)</f>
        <v>636</v>
      </c>
      <c r="N448" s="263">
        <f>SUM(N441:N447)</f>
        <v>40</v>
      </c>
      <c r="O448" s="263">
        <f>SUM(O441:O447)</f>
        <v>40</v>
      </c>
      <c r="P448" s="715"/>
      <c r="Q448" s="562"/>
      <c r="R448" s="562"/>
      <c r="S448" s="1719"/>
      <c r="T448" s="947"/>
      <c r="U448" s="947"/>
    </row>
    <row r="449" spans="1:21" s="12" customFormat="1" ht="35.1" customHeight="1">
      <c r="A449" s="1462"/>
      <c r="B449" s="503"/>
      <c r="C449" s="597" t="s">
        <v>96</v>
      </c>
      <c r="D449" s="1258" t="s">
        <v>1018</v>
      </c>
      <c r="E449" s="1258"/>
      <c r="F449" s="1258"/>
      <c r="G449" s="1258" t="s">
        <v>1019</v>
      </c>
      <c r="H449" s="1258" t="s">
        <v>1020</v>
      </c>
      <c r="I449" s="1258" t="s">
        <v>1021</v>
      </c>
      <c r="J449" s="1258" t="s">
        <v>11</v>
      </c>
      <c r="K449" s="1255" t="s">
        <v>12</v>
      </c>
      <c r="L449" s="150">
        <v>59.124699999999997</v>
      </c>
      <c r="M449" s="231">
        <v>12</v>
      </c>
      <c r="N449" s="231">
        <v>11</v>
      </c>
      <c r="O449" s="231">
        <v>11</v>
      </c>
      <c r="P449" s="1721" t="s">
        <v>430</v>
      </c>
      <c r="Q449" s="1721" t="s">
        <v>430</v>
      </c>
      <c r="R449" s="1721" t="s">
        <v>434</v>
      </c>
      <c r="S449" s="1720" t="s">
        <v>57</v>
      </c>
      <c r="T449" s="1721"/>
      <c r="U449" s="1721" t="s">
        <v>11</v>
      </c>
    </row>
    <row r="450" spans="1:21" s="12" customFormat="1" ht="35.1" customHeight="1">
      <c r="A450" s="1462"/>
      <c r="B450" s="503"/>
      <c r="C450" s="503"/>
      <c r="D450" s="1258"/>
      <c r="E450" s="1258"/>
      <c r="F450" s="1258"/>
      <c r="G450" s="1258"/>
      <c r="H450" s="1258"/>
      <c r="I450" s="1258"/>
      <c r="J450" s="1258"/>
      <c r="K450" s="1257"/>
      <c r="L450" s="150">
        <v>60.226300000000002</v>
      </c>
      <c r="M450" s="231">
        <v>14</v>
      </c>
      <c r="N450" s="231">
        <v>14</v>
      </c>
      <c r="O450" s="231">
        <v>14</v>
      </c>
      <c r="P450" s="1721"/>
      <c r="Q450" s="1721"/>
      <c r="R450" s="1721"/>
      <c r="S450" s="1720"/>
      <c r="T450" s="1721"/>
      <c r="U450" s="1721"/>
    </row>
    <row r="451" spans="1:21" s="12" customFormat="1" ht="35.1" customHeight="1">
      <c r="A451" s="1462"/>
      <c r="B451" s="503"/>
      <c r="C451" s="503"/>
      <c r="D451" s="1258"/>
      <c r="E451" s="1258"/>
      <c r="F451" s="1258"/>
      <c r="G451" s="1258"/>
      <c r="H451" s="1258"/>
      <c r="I451" s="1258"/>
      <c r="J451" s="1258"/>
      <c r="K451" s="1257"/>
      <c r="L451" s="150">
        <v>61.203800000000001</v>
      </c>
      <c r="M451" s="231">
        <v>14</v>
      </c>
      <c r="N451" s="231">
        <v>14</v>
      </c>
      <c r="O451" s="231">
        <v>14</v>
      </c>
      <c r="P451" s="1721"/>
      <c r="Q451" s="1721"/>
      <c r="R451" s="1721"/>
      <c r="S451" s="1720"/>
      <c r="T451" s="1721"/>
      <c r="U451" s="1721"/>
    </row>
    <row r="452" spans="1:21" s="12" customFormat="1" ht="35.1" customHeight="1">
      <c r="A452" s="1462"/>
      <c r="B452" s="503"/>
      <c r="C452" s="503"/>
      <c r="D452" s="1258"/>
      <c r="E452" s="1258"/>
      <c r="F452" s="1258"/>
      <c r="G452" s="1258"/>
      <c r="H452" s="1258"/>
      <c r="I452" s="1258"/>
      <c r="J452" s="1258"/>
      <c r="K452" s="1257"/>
      <c r="L452" s="150">
        <v>73.575800000000001</v>
      </c>
      <c r="M452" s="231">
        <v>12</v>
      </c>
      <c r="N452" s="231">
        <v>12</v>
      </c>
      <c r="O452" s="231">
        <v>12</v>
      </c>
      <c r="P452" s="1721"/>
      <c r="Q452" s="1721"/>
      <c r="R452" s="1721"/>
      <c r="S452" s="1720"/>
      <c r="T452" s="1721"/>
      <c r="U452" s="1721"/>
    </row>
    <row r="453" spans="1:21" s="12" customFormat="1" ht="35.1" customHeight="1">
      <c r="A453" s="1462"/>
      <c r="B453" s="503"/>
      <c r="C453" s="503"/>
      <c r="D453" s="1258"/>
      <c r="E453" s="1258"/>
      <c r="F453" s="1258"/>
      <c r="G453" s="1258"/>
      <c r="H453" s="1258"/>
      <c r="I453" s="1258"/>
      <c r="J453" s="1258"/>
      <c r="K453" s="1257"/>
      <c r="L453" s="150">
        <v>74.254199999999997</v>
      </c>
      <c r="M453" s="231">
        <v>12</v>
      </c>
      <c r="N453" s="231">
        <v>12</v>
      </c>
      <c r="O453" s="231">
        <v>12</v>
      </c>
      <c r="P453" s="1721"/>
      <c r="Q453" s="1721"/>
      <c r="R453" s="1721"/>
      <c r="S453" s="1720"/>
      <c r="T453" s="1721"/>
      <c r="U453" s="1721"/>
    </row>
    <row r="454" spans="1:21" s="12" customFormat="1" ht="35.1" customHeight="1">
      <c r="A454" s="1462"/>
      <c r="B454" s="503"/>
      <c r="C454" s="503"/>
      <c r="D454" s="889"/>
      <c r="E454" s="889"/>
      <c r="F454" s="889"/>
      <c r="G454" s="1622" t="s">
        <v>329</v>
      </c>
      <c r="H454" s="1622"/>
      <c r="I454" s="1622"/>
      <c r="J454" s="1622"/>
      <c r="K454" s="1622"/>
      <c r="L454" s="174"/>
      <c r="M454" s="237">
        <f t="shared" ref="M454" si="22">SUM(M449:M453)</f>
        <v>64</v>
      </c>
      <c r="N454" s="237">
        <f t="shared" ref="N454:O454" si="23">SUM(N449:N453)</f>
        <v>63</v>
      </c>
      <c r="O454" s="237">
        <f t="shared" si="23"/>
        <v>63</v>
      </c>
      <c r="P454" s="713"/>
      <c r="Q454" s="713"/>
      <c r="R454" s="713"/>
      <c r="S454" s="1493"/>
      <c r="T454" s="713"/>
      <c r="U454" s="713"/>
    </row>
    <row r="455" spans="1:21" s="12" customFormat="1" ht="35.1" customHeight="1">
      <c r="A455" s="1462"/>
      <c r="B455" s="503"/>
      <c r="C455" s="1347" t="s">
        <v>1022</v>
      </c>
      <c r="D455" s="1258" t="s">
        <v>1023</v>
      </c>
      <c r="E455" s="1258"/>
      <c r="F455" s="1258"/>
      <c r="G455" s="1258" t="s">
        <v>1024</v>
      </c>
      <c r="H455" s="1258" t="s">
        <v>1025</v>
      </c>
      <c r="I455" s="1258" t="s">
        <v>1026</v>
      </c>
      <c r="J455" s="1258" t="s">
        <v>11</v>
      </c>
      <c r="K455" s="1258" t="s">
        <v>12</v>
      </c>
      <c r="L455" s="362" t="s">
        <v>1027</v>
      </c>
      <c r="M455" s="231">
        <v>46</v>
      </c>
      <c r="N455" s="231">
        <v>44</v>
      </c>
      <c r="O455" s="231">
        <v>44</v>
      </c>
      <c r="P455" s="1764" t="s">
        <v>435</v>
      </c>
      <c r="Q455" s="1764" t="s">
        <v>435</v>
      </c>
      <c r="R455" s="1764" t="s">
        <v>1028</v>
      </c>
      <c r="S455" s="1802" t="s">
        <v>57</v>
      </c>
      <c r="T455" s="1670"/>
      <c r="U455" s="1764" t="s">
        <v>11</v>
      </c>
    </row>
    <row r="456" spans="1:21" s="12" customFormat="1" ht="35.1" customHeight="1">
      <c r="A456" s="1462"/>
      <c r="B456" s="503"/>
      <c r="C456" s="1347"/>
      <c r="D456" s="1258"/>
      <c r="E456" s="1258"/>
      <c r="F456" s="1258"/>
      <c r="G456" s="1258"/>
      <c r="H456" s="1258"/>
      <c r="I456" s="1258"/>
      <c r="J456" s="1258"/>
      <c r="K456" s="1258"/>
      <c r="L456" s="362" t="s">
        <v>1029</v>
      </c>
      <c r="M456" s="231">
        <v>46</v>
      </c>
      <c r="N456" s="231">
        <v>46</v>
      </c>
      <c r="O456" s="231">
        <v>46</v>
      </c>
      <c r="P456" s="1764"/>
      <c r="Q456" s="1764"/>
      <c r="R456" s="1764"/>
      <c r="S456" s="1802"/>
      <c r="T456" s="1670"/>
      <c r="U456" s="1764"/>
    </row>
    <row r="457" spans="1:21" s="12" customFormat="1" ht="35.1" customHeight="1">
      <c r="A457" s="1462"/>
      <c r="B457" s="503"/>
      <c r="C457" s="1347"/>
      <c r="D457" s="1258"/>
      <c r="E457" s="1258"/>
      <c r="F457" s="1258"/>
      <c r="G457" s="933" t="s">
        <v>329</v>
      </c>
      <c r="H457" s="933"/>
      <c r="I457" s="933"/>
      <c r="J457" s="933"/>
      <c r="K457" s="933"/>
      <c r="L457" s="136"/>
      <c r="M457" s="235">
        <f t="shared" ref="M457" si="24">SUM(M455:M456)</f>
        <v>92</v>
      </c>
      <c r="N457" s="235">
        <f t="shared" ref="N457:O457" si="25">SUM(N455:N456)</f>
        <v>90</v>
      </c>
      <c r="O457" s="235">
        <f t="shared" si="25"/>
        <v>90</v>
      </c>
      <c r="P457" s="1764"/>
      <c r="Q457" s="1764"/>
      <c r="R457" s="1764"/>
      <c r="S457" s="1802"/>
      <c r="T457" s="1670"/>
      <c r="U457" s="1764"/>
    </row>
    <row r="458" spans="1:21" s="12" customFormat="1" ht="35.1" customHeight="1">
      <c r="A458" s="1462"/>
      <c r="B458" s="503"/>
      <c r="C458" s="889" t="s">
        <v>96</v>
      </c>
      <c r="D458" s="1259" t="s">
        <v>1030</v>
      </c>
      <c r="E458" s="1260"/>
      <c r="F458" s="1261"/>
      <c r="G458" s="889" t="s">
        <v>933</v>
      </c>
      <c r="H458" s="889" t="s">
        <v>1031</v>
      </c>
      <c r="I458" s="889" t="s">
        <v>1032</v>
      </c>
      <c r="J458" s="889" t="s">
        <v>11</v>
      </c>
      <c r="K458" s="889" t="s">
        <v>12</v>
      </c>
      <c r="L458" s="362">
        <v>59.244199999999999</v>
      </c>
      <c r="M458" s="231">
        <v>29</v>
      </c>
      <c r="N458" s="231">
        <v>6</v>
      </c>
      <c r="O458" s="231">
        <v>6</v>
      </c>
      <c r="P458" s="1755" t="s">
        <v>1036</v>
      </c>
      <c r="Q458" s="557" t="s">
        <v>1037</v>
      </c>
      <c r="R458" s="557" t="s">
        <v>540</v>
      </c>
      <c r="S458" s="557" t="s">
        <v>13</v>
      </c>
      <c r="T458" s="361"/>
      <c r="U458" s="557" t="s">
        <v>11</v>
      </c>
    </row>
    <row r="459" spans="1:21" s="12" customFormat="1" ht="35.1" customHeight="1">
      <c r="A459" s="1462"/>
      <c r="B459" s="503"/>
      <c r="C459" s="890"/>
      <c r="D459" s="1262"/>
      <c r="E459" s="1263"/>
      <c r="F459" s="1264"/>
      <c r="G459" s="890"/>
      <c r="H459" s="890"/>
      <c r="I459" s="890"/>
      <c r="J459" s="890"/>
      <c r="K459" s="890"/>
      <c r="L459" s="362">
        <v>77.031199999999998</v>
      </c>
      <c r="M459" s="231">
        <v>30</v>
      </c>
      <c r="N459" s="231">
        <v>26</v>
      </c>
      <c r="O459" s="231">
        <v>26</v>
      </c>
      <c r="P459" s="1756"/>
      <c r="Q459" s="558"/>
      <c r="R459" s="558"/>
      <c r="S459" s="558"/>
      <c r="T459" s="361"/>
      <c r="U459" s="558"/>
    </row>
    <row r="460" spans="1:21" s="12" customFormat="1" ht="35.1" customHeight="1">
      <c r="A460" s="1462"/>
      <c r="B460" s="503"/>
      <c r="C460" s="890"/>
      <c r="D460" s="1262"/>
      <c r="E460" s="1263"/>
      <c r="F460" s="1264"/>
      <c r="G460" s="890"/>
      <c r="H460" s="890"/>
      <c r="I460" s="890"/>
      <c r="J460" s="890"/>
      <c r="K460" s="890"/>
      <c r="L460" s="362" t="s">
        <v>1033</v>
      </c>
      <c r="M460" s="231">
        <v>30</v>
      </c>
      <c r="N460" s="231">
        <v>30</v>
      </c>
      <c r="O460" s="231">
        <v>30</v>
      </c>
      <c r="P460" s="1756"/>
      <c r="Q460" s="558"/>
      <c r="R460" s="558"/>
      <c r="S460" s="558"/>
      <c r="T460" s="361"/>
      <c r="U460" s="558"/>
    </row>
    <row r="461" spans="1:21" s="12" customFormat="1" ht="35.1" customHeight="1">
      <c r="A461" s="1462"/>
      <c r="B461" s="503"/>
      <c r="C461" s="890"/>
      <c r="D461" s="1262"/>
      <c r="E461" s="1263"/>
      <c r="F461" s="1264"/>
      <c r="G461" s="890"/>
      <c r="H461" s="890"/>
      <c r="I461" s="890"/>
      <c r="J461" s="890"/>
      <c r="K461" s="890"/>
      <c r="L461" s="362" t="s">
        <v>1034</v>
      </c>
      <c r="M461" s="231">
        <v>30</v>
      </c>
      <c r="N461" s="231">
        <v>28</v>
      </c>
      <c r="O461" s="231">
        <v>28</v>
      </c>
      <c r="P461" s="1756"/>
      <c r="Q461" s="558"/>
      <c r="R461" s="558"/>
      <c r="S461" s="558"/>
      <c r="T461" s="361"/>
      <c r="U461" s="558"/>
    </row>
    <row r="462" spans="1:21" s="12" customFormat="1" ht="35.1" customHeight="1">
      <c r="A462" s="1462"/>
      <c r="B462" s="503"/>
      <c r="C462" s="890"/>
      <c r="D462" s="1262"/>
      <c r="E462" s="1263"/>
      <c r="F462" s="1264"/>
      <c r="G462" s="890"/>
      <c r="H462" s="890"/>
      <c r="I462" s="890"/>
      <c r="J462" s="890"/>
      <c r="K462" s="890"/>
      <c r="L462" s="362" t="s">
        <v>1035</v>
      </c>
      <c r="M462" s="231">
        <v>29</v>
      </c>
      <c r="N462" s="231">
        <v>22</v>
      </c>
      <c r="O462" s="231">
        <v>22</v>
      </c>
      <c r="P462" s="1756"/>
      <c r="Q462" s="558"/>
      <c r="R462" s="558"/>
      <c r="S462" s="558"/>
      <c r="T462" s="361"/>
      <c r="U462" s="558"/>
    </row>
    <row r="463" spans="1:21" s="12" customFormat="1" ht="35.1" customHeight="1">
      <c r="A463" s="1462"/>
      <c r="B463" s="503"/>
      <c r="C463" s="890"/>
      <c r="D463" s="1262"/>
      <c r="E463" s="1263"/>
      <c r="F463" s="1264"/>
      <c r="G463" s="890"/>
      <c r="H463" s="890"/>
      <c r="I463" s="890"/>
      <c r="J463" s="890"/>
      <c r="K463" s="890"/>
      <c r="L463" s="362">
        <v>134.6919</v>
      </c>
      <c r="M463" s="231">
        <v>1</v>
      </c>
      <c r="N463" s="231">
        <v>1</v>
      </c>
      <c r="O463" s="231">
        <v>1</v>
      </c>
      <c r="P463" s="1756"/>
      <c r="Q463" s="558"/>
      <c r="R463" s="558"/>
      <c r="S463" s="558"/>
      <c r="T463" s="361"/>
      <c r="U463" s="558"/>
    </row>
    <row r="464" spans="1:21" s="12" customFormat="1" ht="35.1" customHeight="1">
      <c r="A464" s="1462"/>
      <c r="B464" s="503"/>
      <c r="C464" s="890"/>
      <c r="D464" s="1262"/>
      <c r="E464" s="1263"/>
      <c r="F464" s="1264"/>
      <c r="G464" s="891"/>
      <c r="H464" s="891"/>
      <c r="I464" s="891"/>
      <c r="J464" s="891"/>
      <c r="K464" s="891"/>
      <c r="L464" s="362">
        <v>136.66540000000001</v>
      </c>
      <c r="M464" s="231">
        <v>1</v>
      </c>
      <c r="N464" s="231">
        <v>1</v>
      </c>
      <c r="O464" s="231">
        <v>1</v>
      </c>
      <c r="P464" s="1756"/>
      <c r="Q464" s="558"/>
      <c r="R464" s="558"/>
      <c r="S464" s="558"/>
      <c r="T464" s="361"/>
      <c r="U464" s="558"/>
    </row>
    <row r="465" spans="1:21" s="12" customFormat="1" ht="35.1" customHeight="1">
      <c r="A465" s="1462"/>
      <c r="B465" s="503"/>
      <c r="C465" s="891"/>
      <c r="D465" s="1265"/>
      <c r="E465" s="1266"/>
      <c r="F465" s="1267"/>
      <c r="G465" s="1622" t="s">
        <v>329</v>
      </c>
      <c r="H465" s="1622"/>
      <c r="I465" s="1622"/>
      <c r="J465" s="1622"/>
      <c r="K465" s="1622"/>
      <c r="L465" s="174"/>
      <c r="M465" s="237">
        <f t="shared" ref="M465" si="26">SUM(M458:M464)</f>
        <v>150</v>
      </c>
      <c r="N465" s="237">
        <f t="shared" ref="N465:O465" si="27">SUM(N458:N464)</f>
        <v>114</v>
      </c>
      <c r="O465" s="237">
        <f t="shared" si="27"/>
        <v>114</v>
      </c>
      <c r="P465" s="1757"/>
      <c r="Q465" s="559"/>
      <c r="R465" s="559"/>
      <c r="S465" s="559"/>
      <c r="T465" s="361"/>
      <c r="U465" s="559"/>
    </row>
    <row r="466" spans="1:21" s="12" customFormat="1" ht="35.1" customHeight="1">
      <c r="A466" s="1462"/>
      <c r="B466" s="503"/>
      <c r="C466" s="541" t="s">
        <v>395</v>
      </c>
      <c r="D466" s="588" t="s">
        <v>396</v>
      </c>
      <c r="E466" s="589"/>
      <c r="F466" s="590"/>
      <c r="G466" s="585" t="s">
        <v>397</v>
      </c>
      <c r="H466" s="585" t="s">
        <v>398</v>
      </c>
      <c r="I466" s="1253" t="s">
        <v>399</v>
      </c>
      <c r="J466" s="937" t="s">
        <v>11</v>
      </c>
      <c r="K466" s="937" t="s">
        <v>12</v>
      </c>
      <c r="L466" s="150" t="s">
        <v>400</v>
      </c>
      <c r="M466" s="231">
        <v>246</v>
      </c>
      <c r="N466" s="132">
        <v>0</v>
      </c>
      <c r="O466" s="132">
        <v>0</v>
      </c>
      <c r="P466" s="1617" t="s">
        <v>457</v>
      </c>
      <c r="Q466" s="1752" t="s">
        <v>457</v>
      </c>
      <c r="R466" s="1752" t="s">
        <v>458</v>
      </c>
      <c r="S466" s="1699" t="s">
        <v>13</v>
      </c>
      <c r="T466" s="175"/>
      <c r="U466" s="1699" t="s">
        <v>11</v>
      </c>
    </row>
    <row r="467" spans="1:21" s="12" customFormat="1" ht="35.1" customHeight="1">
      <c r="A467" s="1462"/>
      <c r="B467" s="503"/>
      <c r="C467" s="542"/>
      <c r="D467" s="591"/>
      <c r="E467" s="592"/>
      <c r="F467" s="593"/>
      <c r="G467" s="586"/>
      <c r="H467" s="586"/>
      <c r="I467" s="1620"/>
      <c r="J467" s="938"/>
      <c r="K467" s="938"/>
      <c r="L467" s="150" t="s">
        <v>401</v>
      </c>
      <c r="M467" s="231">
        <v>41</v>
      </c>
      <c r="N467" s="132">
        <v>0</v>
      </c>
      <c r="O467" s="132">
        <v>0</v>
      </c>
      <c r="P467" s="1618"/>
      <c r="Q467" s="1753"/>
      <c r="R467" s="1753"/>
      <c r="S467" s="1700"/>
      <c r="T467" s="176"/>
      <c r="U467" s="1700"/>
    </row>
    <row r="468" spans="1:21" s="12" customFormat="1" ht="35.1" customHeight="1">
      <c r="A468" s="1462"/>
      <c r="B468" s="503"/>
      <c r="C468" s="542"/>
      <c r="D468" s="591"/>
      <c r="E468" s="592"/>
      <c r="F468" s="593"/>
      <c r="G468" s="586"/>
      <c r="H468" s="586"/>
      <c r="I468" s="1620"/>
      <c r="J468" s="938"/>
      <c r="K468" s="938"/>
      <c r="L468" s="150" t="s">
        <v>402</v>
      </c>
      <c r="M468" s="231">
        <v>123</v>
      </c>
      <c r="N468" s="132">
        <v>0</v>
      </c>
      <c r="O468" s="132">
        <v>0</v>
      </c>
      <c r="P468" s="1618"/>
      <c r="Q468" s="1753"/>
      <c r="R468" s="1753"/>
      <c r="S468" s="1700"/>
      <c r="T468" s="176"/>
      <c r="U468" s="1700"/>
    </row>
    <row r="469" spans="1:21" s="12" customFormat="1" ht="35.1" customHeight="1">
      <c r="A469" s="1462"/>
      <c r="B469" s="503"/>
      <c r="C469" s="542"/>
      <c r="D469" s="591"/>
      <c r="E469" s="592"/>
      <c r="F469" s="593"/>
      <c r="G469" s="586"/>
      <c r="H469" s="586"/>
      <c r="I469" s="1620"/>
      <c r="J469" s="938"/>
      <c r="K469" s="938"/>
      <c r="L469" s="150" t="s">
        <v>403</v>
      </c>
      <c r="M469" s="231">
        <v>82</v>
      </c>
      <c r="N469" s="132">
        <v>0</v>
      </c>
      <c r="O469" s="132">
        <v>0</v>
      </c>
      <c r="P469" s="1618"/>
      <c r="Q469" s="1753"/>
      <c r="R469" s="1753"/>
      <c r="S469" s="1700"/>
      <c r="T469" s="176"/>
      <c r="U469" s="1700"/>
    </row>
    <row r="470" spans="1:21" s="12" customFormat="1" ht="35.1" customHeight="1">
      <c r="A470" s="1462"/>
      <c r="B470" s="503"/>
      <c r="C470" s="542"/>
      <c r="D470" s="591"/>
      <c r="E470" s="592"/>
      <c r="F470" s="593"/>
      <c r="G470" s="586"/>
      <c r="H470" s="586"/>
      <c r="I470" s="1620"/>
      <c r="J470" s="938"/>
      <c r="K470" s="938"/>
      <c r="L470" s="150" t="s">
        <v>404</v>
      </c>
      <c r="M470" s="231">
        <v>82</v>
      </c>
      <c r="N470" s="132">
        <v>0</v>
      </c>
      <c r="O470" s="132">
        <v>0</v>
      </c>
      <c r="P470" s="1618"/>
      <c r="Q470" s="1753"/>
      <c r="R470" s="1753"/>
      <c r="S470" s="1700"/>
      <c r="T470" s="176"/>
      <c r="U470" s="1700"/>
    </row>
    <row r="471" spans="1:21" s="12" customFormat="1" ht="35.1" customHeight="1">
      <c r="A471" s="1462"/>
      <c r="B471" s="503"/>
      <c r="C471" s="542"/>
      <c r="D471" s="591"/>
      <c r="E471" s="592"/>
      <c r="F471" s="593"/>
      <c r="G471" s="587"/>
      <c r="H471" s="587"/>
      <c r="I471" s="1254"/>
      <c r="J471" s="939"/>
      <c r="K471" s="939"/>
      <c r="L471" s="150" t="s">
        <v>405</v>
      </c>
      <c r="M471" s="231">
        <v>82</v>
      </c>
      <c r="N471" s="132">
        <v>0</v>
      </c>
      <c r="O471" s="132">
        <v>0</v>
      </c>
      <c r="P471" s="1618"/>
      <c r="Q471" s="1753"/>
      <c r="R471" s="1753"/>
      <c r="S471" s="1700"/>
      <c r="T471" s="176"/>
      <c r="U471" s="1700"/>
    </row>
    <row r="472" spans="1:21" s="12" customFormat="1" ht="35.1" customHeight="1">
      <c r="A472" s="1462"/>
      <c r="B472" s="503"/>
      <c r="C472" s="572"/>
      <c r="D472" s="594"/>
      <c r="E472" s="595"/>
      <c r="F472" s="596"/>
      <c r="G472" s="490" t="s">
        <v>329</v>
      </c>
      <c r="H472" s="491"/>
      <c r="I472" s="491"/>
      <c r="J472" s="491"/>
      <c r="K472" s="492"/>
      <c r="L472" s="139"/>
      <c r="M472" s="225">
        <f>SUM(M466:M471)</f>
        <v>656</v>
      </c>
      <c r="N472" s="263">
        <f>SUM(N466:N471)</f>
        <v>0</v>
      </c>
      <c r="O472" s="263">
        <f>SUM(O466:O471)</f>
        <v>0</v>
      </c>
      <c r="P472" s="1619"/>
      <c r="Q472" s="1754"/>
      <c r="R472" s="1754"/>
      <c r="S472" s="1701"/>
      <c r="T472" s="177"/>
      <c r="U472" s="1701"/>
    </row>
    <row r="473" spans="1:21" s="12" customFormat="1" ht="35.1" customHeight="1">
      <c r="A473" s="1462"/>
      <c r="B473" s="503"/>
      <c r="C473" s="541" t="s">
        <v>395</v>
      </c>
      <c r="D473" s="543" t="s">
        <v>660</v>
      </c>
      <c r="E473" s="544"/>
      <c r="F473" s="545"/>
      <c r="G473" s="541" t="s">
        <v>661</v>
      </c>
      <c r="H473" s="541" t="s">
        <v>662</v>
      </c>
      <c r="I473" s="541" t="s">
        <v>663</v>
      </c>
      <c r="J473" s="597" t="s">
        <v>67</v>
      </c>
      <c r="K473" s="597" t="s">
        <v>66</v>
      </c>
      <c r="L473" s="178" t="s">
        <v>664</v>
      </c>
      <c r="M473" s="231">
        <v>212</v>
      </c>
      <c r="N473" s="132">
        <v>0</v>
      </c>
      <c r="O473" s="132">
        <v>0</v>
      </c>
      <c r="P473" s="713" t="s">
        <v>659</v>
      </c>
      <c r="Q473" s="560" t="s">
        <v>652</v>
      </c>
      <c r="R473" s="560" t="s">
        <v>665</v>
      </c>
      <c r="S473" s="1761" t="s">
        <v>13</v>
      </c>
      <c r="T473" s="710"/>
      <c r="U473" s="710" t="s">
        <v>11</v>
      </c>
    </row>
    <row r="474" spans="1:21" s="12" customFormat="1" ht="35.1" customHeight="1">
      <c r="A474" s="1462"/>
      <c r="B474" s="503"/>
      <c r="C474" s="542"/>
      <c r="D474" s="546"/>
      <c r="E474" s="547"/>
      <c r="F474" s="548"/>
      <c r="G474" s="542"/>
      <c r="H474" s="542"/>
      <c r="I474" s="542"/>
      <c r="J474" s="503"/>
      <c r="K474" s="503"/>
      <c r="L474" s="178" t="s">
        <v>666</v>
      </c>
      <c r="M474" s="231">
        <v>109</v>
      </c>
      <c r="N474" s="132">
        <v>0</v>
      </c>
      <c r="O474" s="132">
        <v>0</v>
      </c>
      <c r="P474" s="714"/>
      <c r="Q474" s="561"/>
      <c r="R474" s="561"/>
      <c r="S474" s="1762"/>
      <c r="T474" s="711"/>
      <c r="U474" s="711"/>
    </row>
    <row r="475" spans="1:21" s="12" customFormat="1" ht="35.1" customHeight="1">
      <c r="A475" s="1462"/>
      <c r="B475" s="503"/>
      <c r="C475" s="542"/>
      <c r="D475" s="546"/>
      <c r="E475" s="547"/>
      <c r="F475" s="548"/>
      <c r="G475" s="542"/>
      <c r="H475" s="542"/>
      <c r="I475" s="542"/>
      <c r="J475" s="503"/>
      <c r="K475" s="503"/>
      <c r="L475" s="178" t="s">
        <v>636</v>
      </c>
      <c r="M475" s="231">
        <v>109</v>
      </c>
      <c r="N475" s="132">
        <v>0</v>
      </c>
      <c r="O475" s="132">
        <v>0</v>
      </c>
      <c r="P475" s="714"/>
      <c r="Q475" s="561"/>
      <c r="R475" s="561"/>
      <c r="S475" s="1762"/>
      <c r="T475" s="711"/>
      <c r="U475" s="711"/>
    </row>
    <row r="476" spans="1:21" s="12" customFormat="1" ht="35.1" customHeight="1">
      <c r="A476" s="1462"/>
      <c r="B476" s="503"/>
      <c r="C476" s="542"/>
      <c r="D476" s="546"/>
      <c r="E476" s="547"/>
      <c r="F476" s="548"/>
      <c r="G476" s="542"/>
      <c r="H476" s="542"/>
      <c r="I476" s="542"/>
      <c r="J476" s="503"/>
      <c r="K476" s="503"/>
      <c r="L476" s="178">
        <v>102.99720000000001</v>
      </c>
      <c r="M476" s="231">
        <v>144</v>
      </c>
      <c r="N476" s="132">
        <v>13</v>
      </c>
      <c r="O476" s="132">
        <v>12</v>
      </c>
      <c r="P476" s="714"/>
      <c r="Q476" s="561"/>
      <c r="R476" s="561"/>
      <c r="S476" s="1762"/>
      <c r="T476" s="711"/>
      <c r="U476" s="711"/>
    </row>
    <row r="477" spans="1:21" s="12" customFormat="1" ht="35.1" customHeight="1">
      <c r="A477" s="1462"/>
      <c r="B477" s="503"/>
      <c r="C477" s="542"/>
      <c r="D477" s="546"/>
      <c r="E477" s="547"/>
      <c r="F477" s="548"/>
      <c r="G477" s="542"/>
      <c r="H477" s="542"/>
      <c r="I477" s="542"/>
      <c r="J477" s="503"/>
      <c r="K477" s="503"/>
      <c r="L477" s="178">
        <v>115.9907</v>
      </c>
      <c r="M477" s="231">
        <v>56</v>
      </c>
      <c r="N477" s="132">
        <v>15</v>
      </c>
      <c r="O477" s="132">
        <v>13</v>
      </c>
      <c r="P477" s="714"/>
      <c r="Q477" s="561"/>
      <c r="R477" s="561"/>
      <c r="S477" s="1762"/>
      <c r="T477" s="711"/>
      <c r="U477" s="711"/>
    </row>
    <row r="478" spans="1:21" s="12" customFormat="1" ht="35.1" customHeight="1">
      <c r="A478" s="1462"/>
      <c r="B478" s="503"/>
      <c r="C478" s="542"/>
      <c r="D478" s="546"/>
      <c r="E478" s="547"/>
      <c r="F478" s="548"/>
      <c r="G478" s="542"/>
      <c r="H478" s="542"/>
      <c r="I478" s="542"/>
      <c r="J478" s="503"/>
      <c r="K478" s="503"/>
      <c r="L478" s="178">
        <v>148.99180000000001</v>
      </c>
      <c r="M478" s="231">
        <v>35</v>
      </c>
      <c r="N478" s="132">
        <v>25</v>
      </c>
      <c r="O478" s="132">
        <v>25</v>
      </c>
      <c r="P478" s="714"/>
      <c r="Q478" s="561"/>
      <c r="R478" s="561"/>
      <c r="S478" s="1762"/>
      <c r="T478" s="711"/>
      <c r="U478" s="711"/>
    </row>
    <row r="479" spans="1:21" s="12" customFormat="1" ht="35.1" customHeight="1">
      <c r="A479" s="1462"/>
      <c r="B479" s="503"/>
      <c r="C479" s="542"/>
      <c r="D479" s="546"/>
      <c r="E479" s="547"/>
      <c r="F479" s="548"/>
      <c r="G479" s="542"/>
      <c r="H479" s="542"/>
      <c r="I479" s="542"/>
      <c r="J479" s="503"/>
      <c r="K479" s="503"/>
      <c r="L479" s="178" t="s">
        <v>667</v>
      </c>
      <c r="M479" s="231">
        <v>2</v>
      </c>
      <c r="N479" s="132">
        <v>0</v>
      </c>
      <c r="O479" s="132">
        <v>0</v>
      </c>
      <c r="P479" s="714"/>
      <c r="Q479" s="561"/>
      <c r="R479" s="561"/>
      <c r="S479" s="1762"/>
      <c r="T479" s="711"/>
      <c r="U479" s="711"/>
    </row>
    <row r="480" spans="1:21" s="12" customFormat="1" ht="35.1" customHeight="1">
      <c r="A480" s="1462"/>
      <c r="B480" s="503"/>
      <c r="C480" s="542"/>
      <c r="D480" s="546"/>
      <c r="E480" s="547"/>
      <c r="F480" s="548"/>
      <c r="G480" s="542"/>
      <c r="H480" s="542"/>
      <c r="I480" s="542"/>
      <c r="J480" s="503"/>
      <c r="K480" s="503"/>
      <c r="L480" s="178" t="s">
        <v>668</v>
      </c>
      <c r="M480" s="231">
        <v>2</v>
      </c>
      <c r="N480" s="132">
        <v>0</v>
      </c>
      <c r="O480" s="132">
        <v>0</v>
      </c>
      <c r="P480" s="714"/>
      <c r="Q480" s="561"/>
      <c r="R480" s="561"/>
      <c r="S480" s="1762"/>
      <c r="T480" s="711"/>
      <c r="U480" s="711"/>
    </row>
    <row r="481" spans="1:21" s="12" customFormat="1" ht="35.1" customHeight="1">
      <c r="A481" s="1462"/>
      <c r="B481" s="503"/>
      <c r="C481" s="542"/>
      <c r="D481" s="546"/>
      <c r="E481" s="547"/>
      <c r="F481" s="548"/>
      <c r="G481" s="572"/>
      <c r="H481" s="572"/>
      <c r="I481" s="572"/>
      <c r="J481" s="504"/>
      <c r="K481" s="504"/>
      <c r="L481" s="178" t="s">
        <v>669</v>
      </c>
      <c r="M481" s="231">
        <v>2</v>
      </c>
      <c r="N481" s="132">
        <v>0</v>
      </c>
      <c r="O481" s="132">
        <v>0</v>
      </c>
      <c r="P481" s="714"/>
      <c r="Q481" s="561"/>
      <c r="R481" s="561"/>
      <c r="S481" s="1762"/>
      <c r="T481" s="711"/>
      <c r="U481" s="711"/>
    </row>
    <row r="482" spans="1:21" s="12" customFormat="1" ht="35.1" customHeight="1">
      <c r="A482" s="1462"/>
      <c r="B482" s="503"/>
      <c r="C482" s="572"/>
      <c r="D482" s="895"/>
      <c r="E482" s="896"/>
      <c r="F482" s="897"/>
      <c r="G482" s="490" t="s">
        <v>329</v>
      </c>
      <c r="H482" s="491"/>
      <c r="I482" s="491"/>
      <c r="J482" s="491"/>
      <c r="K482" s="492"/>
      <c r="L482" s="311"/>
      <c r="M482" s="225">
        <f>SUM(M473:M481)</f>
        <v>671</v>
      </c>
      <c r="N482" s="263">
        <f>SUM(N473:N481)</f>
        <v>53</v>
      </c>
      <c r="O482" s="263">
        <f>SUM(O473:O481)</f>
        <v>50</v>
      </c>
      <c r="P482" s="715"/>
      <c r="Q482" s="562"/>
      <c r="R482" s="562"/>
      <c r="S482" s="1763"/>
      <c r="T482" s="712"/>
      <c r="U482" s="712"/>
    </row>
    <row r="483" spans="1:21" s="12" customFormat="1" ht="35.1" customHeight="1">
      <c r="A483" s="1462"/>
      <c r="B483" s="503"/>
      <c r="C483" s="541" t="s">
        <v>883</v>
      </c>
      <c r="D483" s="543" t="s">
        <v>884</v>
      </c>
      <c r="E483" s="544"/>
      <c r="F483" s="545"/>
      <c r="G483" s="573" t="s">
        <v>890</v>
      </c>
      <c r="H483" s="573" t="s">
        <v>662</v>
      </c>
      <c r="I483" s="573" t="s">
        <v>885</v>
      </c>
      <c r="J483" s="573" t="s">
        <v>886</v>
      </c>
      <c r="K483" s="1160" t="s">
        <v>66</v>
      </c>
      <c r="L483" s="262" t="s">
        <v>85</v>
      </c>
      <c r="M483" s="231">
        <v>50</v>
      </c>
      <c r="N483" s="132">
        <v>0</v>
      </c>
      <c r="O483" s="132">
        <v>0</v>
      </c>
      <c r="P483" s="582" t="s">
        <v>444</v>
      </c>
      <c r="Q483" s="1749" t="s">
        <v>445</v>
      </c>
      <c r="R483" s="1749" t="s">
        <v>887</v>
      </c>
      <c r="S483" s="1671" t="s">
        <v>57</v>
      </c>
      <c r="T483" s="710"/>
      <c r="U483" s="710" t="s">
        <v>11</v>
      </c>
    </row>
    <row r="484" spans="1:21" s="12" customFormat="1" ht="35.1" customHeight="1">
      <c r="A484" s="1462"/>
      <c r="B484" s="503"/>
      <c r="C484" s="542"/>
      <c r="D484" s="546"/>
      <c r="E484" s="547"/>
      <c r="F484" s="548"/>
      <c r="G484" s="574"/>
      <c r="H484" s="574"/>
      <c r="I484" s="574"/>
      <c r="J484" s="574"/>
      <c r="K484" s="1161"/>
      <c r="L484" s="262" t="s">
        <v>103</v>
      </c>
      <c r="M484" s="231">
        <v>109</v>
      </c>
      <c r="N484" s="132">
        <v>0</v>
      </c>
      <c r="O484" s="132">
        <v>0</v>
      </c>
      <c r="P484" s="583"/>
      <c r="Q484" s="1750"/>
      <c r="R484" s="1750"/>
      <c r="S484" s="1672"/>
      <c r="T484" s="711"/>
      <c r="U484" s="711"/>
    </row>
    <row r="485" spans="1:21" s="12" customFormat="1" ht="35.1" customHeight="1">
      <c r="A485" s="1462"/>
      <c r="B485" s="503"/>
      <c r="C485" s="542"/>
      <c r="D485" s="546"/>
      <c r="E485" s="547"/>
      <c r="F485" s="548"/>
      <c r="G485" s="574"/>
      <c r="H485" s="574"/>
      <c r="I485" s="574"/>
      <c r="J485" s="574"/>
      <c r="K485" s="1161"/>
      <c r="L485" s="262" t="s">
        <v>526</v>
      </c>
      <c r="M485" s="231">
        <v>43</v>
      </c>
      <c r="N485" s="132">
        <v>0</v>
      </c>
      <c r="O485" s="132">
        <v>0</v>
      </c>
      <c r="P485" s="583"/>
      <c r="Q485" s="1750"/>
      <c r="R485" s="1750"/>
      <c r="S485" s="1672"/>
      <c r="T485" s="711"/>
      <c r="U485" s="711"/>
    </row>
    <row r="486" spans="1:21" s="12" customFormat="1" ht="35.1" customHeight="1">
      <c r="A486" s="1462"/>
      <c r="B486" s="503"/>
      <c r="C486" s="542"/>
      <c r="D486" s="546"/>
      <c r="E486" s="547"/>
      <c r="F486" s="548"/>
      <c r="G486" s="574"/>
      <c r="H486" s="574"/>
      <c r="I486" s="574"/>
      <c r="J486" s="574"/>
      <c r="K486" s="1161"/>
      <c r="L486" s="262" t="s">
        <v>84</v>
      </c>
      <c r="M486" s="231">
        <v>382</v>
      </c>
      <c r="N486" s="132">
        <v>137</v>
      </c>
      <c r="O486" s="132">
        <v>137</v>
      </c>
      <c r="P486" s="583"/>
      <c r="Q486" s="1750"/>
      <c r="R486" s="1750"/>
      <c r="S486" s="1672"/>
      <c r="T486" s="711"/>
      <c r="U486" s="711"/>
    </row>
    <row r="487" spans="1:21" s="12" customFormat="1" ht="35.1" customHeight="1">
      <c r="A487" s="1462"/>
      <c r="B487" s="503"/>
      <c r="C487" s="542"/>
      <c r="D487" s="546"/>
      <c r="E487" s="547"/>
      <c r="F487" s="548"/>
      <c r="G487" s="574"/>
      <c r="H487" s="574"/>
      <c r="I487" s="574"/>
      <c r="J487" s="574"/>
      <c r="K487" s="1161"/>
      <c r="L487" s="262" t="s">
        <v>83</v>
      </c>
      <c r="M487" s="231">
        <v>40</v>
      </c>
      <c r="N487" s="132">
        <v>24</v>
      </c>
      <c r="O487" s="132">
        <v>24</v>
      </c>
      <c r="P487" s="583"/>
      <c r="Q487" s="1750"/>
      <c r="R487" s="1750"/>
      <c r="S487" s="1672"/>
      <c r="T487" s="711"/>
      <c r="U487" s="711"/>
    </row>
    <row r="488" spans="1:21" s="12" customFormat="1" ht="35.1" customHeight="1">
      <c r="A488" s="1462"/>
      <c r="B488" s="503"/>
      <c r="C488" s="542"/>
      <c r="D488" s="546"/>
      <c r="E488" s="547"/>
      <c r="F488" s="548"/>
      <c r="G488" s="575"/>
      <c r="H488" s="575"/>
      <c r="I488" s="575"/>
      <c r="J488" s="575"/>
      <c r="K488" s="1162"/>
      <c r="L488" s="262" t="s">
        <v>82</v>
      </c>
      <c r="M488" s="231">
        <v>50</v>
      </c>
      <c r="N488" s="132">
        <v>29</v>
      </c>
      <c r="O488" s="132">
        <v>29</v>
      </c>
      <c r="P488" s="583"/>
      <c r="Q488" s="1750"/>
      <c r="R488" s="1750"/>
      <c r="S488" s="1672"/>
      <c r="T488" s="711"/>
      <c r="U488" s="711"/>
    </row>
    <row r="489" spans="1:21" s="12" customFormat="1" ht="35.1" customHeight="1">
      <c r="A489" s="1462"/>
      <c r="B489" s="503"/>
      <c r="C489" s="572"/>
      <c r="D489" s="895"/>
      <c r="E489" s="896"/>
      <c r="F489" s="897"/>
      <c r="G489" s="490" t="s">
        <v>329</v>
      </c>
      <c r="H489" s="491"/>
      <c r="I489" s="491"/>
      <c r="J489" s="491"/>
      <c r="K489" s="492"/>
      <c r="L489" s="311"/>
      <c r="M489" s="263">
        <f>SUM(M483:M488)</f>
        <v>674</v>
      </c>
      <c r="N489" s="263">
        <f>SUM(N483:N488)</f>
        <v>190</v>
      </c>
      <c r="O489" s="263">
        <f>SUM(O483:O488)</f>
        <v>190</v>
      </c>
      <c r="P489" s="584"/>
      <c r="Q489" s="1751"/>
      <c r="R489" s="1751"/>
      <c r="S489" s="1673"/>
      <c r="T489" s="712"/>
      <c r="U489" s="712"/>
    </row>
    <row r="490" spans="1:21" s="12" customFormat="1" ht="35.1" customHeight="1">
      <c r="A490" s="1462"/>
      <c r="B490" s="503"/>
      <c r="C490" s="541" t="s">
        <v>226</v>
      </c>
      <c r="D490" s="543" t="s">
        <v>893</v>
      </c>
      <c r="E490" s="544"/>
      <c r="F490" s="545"/>
      <c r="G490" s="573" t="s">
        <v>914</v>
      </c>
      <c r="H490" s="573" t="s">
        <v>914</v>
      </c>
      <c r="I490" s="573" t="s">
        <v>894</v>
      </c>
      <c r="J490" s="597" t="s">
        <v>67</v>
      </c>
      <c r="K490" s="1160" t="s">
        <v>66</v>
      </c>
      <c r="L490" s="262" t="s">
        <v>85</v>
      </c>
      <c r="M490" s="231">
        <v>197</v>
      </c>
      <c r="N490" s="306">
        <v>0</v>
      </c>
      <c r="O490" s="306">
        <v>0</v>
      </c>
      <c r="P490" s="582" t="s">
        <v>895</v>
      </c>
      <c r="Q490" s="1749" t="s">
        <v>896</v>
      </c>
      <c r="R490" s="1749" t="s">
        <v>897</v>
      </c>
      <c r="S490" s="1761" t="s">
        <v>13</v>
      </c>
      <c r="T490" s="710"/>
      <c r="U490" s="710" t="s">
        <v>11</v>
      </c>
    </row>
    <row r="491" spans="1:21" s="12" customFormat="1" ht="35.1" customHeight="1">
      <c r="A491" s="1462"/>
      <c r="B491" s="503"/>
      <c r="C491" s="542"/>
      <c r="D491" s="546"/>
      <c r="E491" s="547"/>
      <c r="F491" s="548"/>
      <c r="G491" s="574"/>
      <c r="H491" s="574"/>
      <c r="I491" s="574"/>
      <c r="J491" s="503"/>
      <c r="K491" s="1161"/>
      <c r="L491" s="262" t="s">
        <v>84</v>
      </c>
      <c r="M491" s="231">
        <v>212</v>
      </c>
      <c r="N491" s="306">
        <v>0</v>
      </c>
      <c r="O491" s="306">
        <v>0</v>
      </c>
      <c r="P491" s="583"/>
      <c r="Q491" s="1750"/>
      <c r="R491" s="1750"/>
      <c r="S491" s="1762"/>
      <c r="T491" s="711"/>
      <c r="U491" s="711"/>
    </row>
    <row r="492" spans="1:21" s="12" customFormat="1" ht="35.1" customHeight="1">
      <c r="A492" s="1462"/>
      <c r="B492" s="503"/>
      <c r="C492" s="542"/>
      <c r="D492" s="546"/>
      <c r="E492" s="547"/>
      <c r="F492" s="548"/>
      <c r="G492" s="574"/>
      <c r="H492" s="574"/>
      <c r="I492" s="574"/>
      <c r="J492" s="503"/>
      <c r="K492" s="1161"/>
      <c r="L492" s="262" t="s">
        <v>83</v>
      </c>
      <c r="M492" s="231">
        <v>127</v>
      </c>
      <c r="N492" s="306">
        <v>0</v>
      </c>
      <c r="O492" s="306">
        <v>0</v>
      </c>
      <c r="P492" s="583"/>
      <c r="Q492" s="1750"/>
      <c r="R492" s="1750"/>
      <c r="S492" s="1762"/>
      <c r="T492" s="711"/>
      <c r="U492" s="711"/>
    </row>
    <row r="493" spans="1:21" s="12" customFormat="1" ht="35.1" customHeight="1">
      <c r="A493" s="1462"/>
      <c r="B493" s="503"/>
      <c r="C493" s="542"/>
      <c r="D493" s="546"/>
      <c r="E493" s="547"/>
      <c r="F493" s="548"/>
      <c r="G493" s="574"/>
      <c r="H493" s="574"/>
      <c r="I493" s="574"/>
      <c r="J493" s="503"/>
      <c r="K493" s="1161"/>
      <c r="L493" s="262" t="s">
        <v>82</v>
      </c>
      <c r="M493" s="231">
        <v>27</v>
      </c>
      <c r="N493" s="306">
        <v>0</v>
      </c>
      <c r="O493" s="306">
        <v>0</v>
      </c>
      <c r="P493" s="583"/>
      <c r="Q493" s="1750"/>
      <c r="R493" s="1750"/>
      <c r="S493" s="1762"/>
      <c r="T493" s="711"/>
      <c r="U493" s="711"/>
    </row>
    <row r="494" spans="1:21" s="12" customFormat="1" ht="35.1" customHeight="1">
      <c r="A494" s="1462"/>
      <c r="B494" s="503"/>
      <c r="C494" s="542"/>
      <c r="D494" s="546"/>
      <c r="E494" s="547"/>
      <c r="F494" s="548"/>
      <c r="G494" s="574"/>
      <c r="H494" s="574"/>
      <c r="I494" s="574"/>
      <c r="J494" s="503"/>
      <c r="K494" s="1161"/>
      <c r="L494" s="262" t="s">
        <v>81</v>
      </c>
      <c r="M494" s="231">
        <v>104</v>
      </c>
      <c r="N494" s="306">
        <v>0</v>
      </c>
      <c r="O494" s="306">
        <v>0</v>
      </c>
      <c r="P494" s="583"/>
      <c r="Q494" s="1750"/>
      <c r="R494" s="1750"/>
      <c r="S494" s="1762"/>
      <c r="T494" s="711"/>
      <c r="U494" s="711"/>
    </row>
    <row r="495" spans="1:21" s="12" customFormat="1" ht="35.1" customHeight="1">
      <c r="A495" s="1462"/>
      <c r="B495" s="503"/>
      <c r="C495" s="542"/>
      <c r="D495" s="546"/>
      <c r="E495" s="547"/>
      <c r="F495" s="548"/>
      <c r="G495" s="574"/>
      <c r="H495" s="574"/>
      <c r="I495" s="574"/>
      <c r="J495" s="503"/>
      <c r="K495" s="1161"/>
      <c r="L495" s="262" t="s">
        <v>386</v>
      </c>
      <c r="M495" s="231">
        <v>99</v>
      </c>
      <c r="N495" s="306">
        <v>0</v>
      </c>
      <c r="O495" s="306">
        <v>0</v>
      </c>
      <c r="P495" s="583"/>
      <c r="Q495" s="1750"/>
      <c r="R495" s="1750"/>
      <c r="S495" s="1762"/>
      <c r="T495" s="711"/>
      <c r="U495" s="711"/>
    </row>
    <row r="496" spans="1:21" s="12" customFormat="1" ht="35.1" customHeight="1">
      <c r="A496" s="1462"/>
      <c r="B496" s="503"/>
      <c r="C496" s="542"/>
      <c r="D496" s="546"/>
      <c r="E496" s="547"/>
      <c r="F496" s="548"/>
      <c r="G496" s="574"/>
      <c r="H496" s="574"/>
      <c r="I496" s="574"/>
      <c r="J496" s="503"/>
      <c r="K496" s="1161"/>
      <c r="L496" s="262" t="s">
        <v>387</v>
      </c>
      <c r="M496" s="231">
        <v>50</v>
      </c>
      <c r="N496" s="306">
        <v>0</v>
      </c>
      <c r="O496" s="306">
        <v>0</v>
      </c>
      <c r="P496" s="583"/>
      <c r="Q496" s="1750"/>
      <c r="R496" s="1750"/>
      <c r="S496" s="1762"/>
      <c r="T496" s="711"/>
      <c r="U496" s="711"/>
    </row>
    <row r="497" spans="1:1892" s="12" customFormat="1" ht="35.1" customHeight="1">
      <c r="A497" s="1462"/>
      <c r="B497" s="503"/>
      <c r="C497" s="542"/>
      <c r="D497" s="546"/>
      <c r="E497" s="547"/>
      <c r="F497" s="548"/>
      <c r="G497" s="574"/>
      <c r="H497" s="574"/>
      <c r="I497" s="574"/>
      <c r="J497" s="503"/>
      <c r="K497" s="1161"/>
      <c r="L497" s="262" t="s">
        <v>898</v>
      </c>
      <c r="M497" s="231">
        <v>104</v>
      </c>
      <c r="N497" s="306">
        <v>0</v>
      </c>
      <c r="O497" s="306">
        <v>0</v>
      </c>
      <c r="P497" s="583"/>
      <c r="Q497" s="1750"/>
      <c r="R497" s="1750"/>
      <c r="S497" s="1762"/>
      <c r="T497" s="711"/>
      <c r="U497" s="711"/>
    </row>
    <row r="498" spans="1:1892" s="12" customFormat="1" ht="35.1" customHeight="1">
      <c r="A498" s="1462"/>
      <c r="B498" s="503"/>
      <c r="C498" s="542"/>
      <c r="D498" s="546"/>
      <c r="E498" s="547"/>
      <c r="F498" s="548"/>
      <c r="G498" s="575"/>
      <c r="H498" s="575"/>
      <c r="I498" s="575"/>
      <c r="J498" s="504"/>
      <c r="K498" s="1162"/>
      <c r="L498" s="262" t="s">
        <v>207</v>
      </c>
      <c r="M498" s="231">
        <v>15</v>
      </c>
      <c r="N498" s="306">
        <v>0</v>
      </c>
      <c r="O498" s="306">
        <v>0</v>
      </c>
      <c r="P498" s="583"/>
      <c r="Q498" s="1750"/>
      <c r="R498" s="1750"/>
      <c r="S498" s="1762"/>
      <c r="T498" s="711"/>
      <c r="U498" s="711"/>
    </row>
    <row r="499" spans="1:1892" s="12" customFormat="1" ht="35.1" customHeight="1">
      <c r="A499" s="1462"/>
      <c r="B499" s="503"/>
      <c r="C499" s="572"/>
      <c r="D499" s="895"/>
      <c r="E499" s="896"/>
      <c r="F499" s="897"/>
      <c r="G499" s="490" t="s">
        <v>329</v>
      </c>
      <c r="H499" s="491"/>
      <c r="I499" s="491"/>
      <c r="J499" s="491"/>
      <c r="K499" s="492"/>
      <c r="L499" s="311"/>
      <c r="M499" s="263">
        <f>SUM(M490:M498)</f>
        <v>935</v>
      </c>
      <c r="N499" s="263">
        <f>SUM(N490:N498)</f>
        <v>0</v>
      </c>
      <c r="O499" s="263">
        <f>SUM(O490:O498)</f>
        <v>0</v>
      </c>
      <c r="P499" s="584"/>
      <c r="Q499" s="1751"/>
      <c r="R499" s="1751"/>
      <c r="S499" s="1763"/>
      <c r="T499" s="712"/>
      <c r="U499" s="712"/>
    </row>
    <row r="500" spans="1:1892" s="12" customFormat="1" ht="35.1" customHeight="1">
      <c r="A500" s="1462"/>
      <c r="B500" s="503"/>
      <c r="C500" s="541" t="s">
        <v>96</v>
      </c>
      <c r="D500" s="543" t="s">
        <v>1121</v>
      </c>
      <c r="E500" s="544"/>
      <c r="F500" s="545"/>
      <c r="G500" s="573" t="s">
        <v>1122</v>
      </c>
      <c r="H500" s="573" t="s">
        <v>1122</v>
      </c>
      <c r="I500" s="573" t="s">
        <v>1123</v>
      </c>
      <c r="J500" s="573" t="s">
        <v>11</v>
      </c>
      <c r="K500" s="573" t="s">
        <v>12</v>
      </c>
      <c r="L500" s="262" t="s">
        <v>94</v>
      </c>
      <c r="M500" s="231">
        <v>80</v>
      </c>
      <c r="N500" s="231">
        <v>0</v>
      </c>
      <c r="O500" s="231">
        <v>0</v>
      </c>
      <c r="P500" s="582" t="s">
        <v>1124</v>
      </c>
      <c r="Q500" s="582" t="s">
        <v>1125</v>
      </c>
      <c r="R500" s="582" t="s">
        <v>1126</v>
      </c>
      <c r="S500" s="582" t="s">
        <v>13</v>
      </c>
      <c r="T500" s="1627"/>
      <c r="U500" s="582" t="s">
        <v>11</v>
      </c>
      <c r="V500" s="538"/>
      <c r="W500" s="538"/>
      <c r="X500" s="538"/>
    </row>
    <row r="501" spans="1:1892" s="12" customFormat="1" ht="35.1" customHeight="1">
      <c r="A501" s="1462"/>
      <c r="B501" s="503"/>
      <c r="C501" s="542"/>
      <c r="D501" s="546"/>
      <c r="E501" s="547"/>
      <c r="F501" s="548"/>
      <c r="G501" s="574"/>
      <c r="H501" s="574"/>
      <c r="I501" s="574"/>
      <c r="J501" s="574"/>
      <c r="K501" s="574"/>
      <c r="L501" s="262" t="s">
        <v>84</v>
      </c>
      <c r="M501" s="231">
        <v>160</v>
      </c>
      <c r="N501" s="231">
        <v>52</v>
      </c>
      <c r="O501" s="231">
        <v>44</v>
      </c>
      <c r="P501" s="583"/>
      <c r="Q501" s="583"/>
      <c r="R501" s="583"/>
      <c r="S501" s="583"/>
      <c r="T501" s="1628"/>
      <c r="U501" s="583"/>
      <c r="V501" s="539"/>
      <c r="W501" s="539"/>
      <c r="X501" s="539"/>
    </row>
    <row r="502" spans="1:1892" s="12" customFormat="1" ht="35.25" customHeight="1">
      <c r="A502" s="1462"/>
      <c r="B502" s="503"/>
      <c r="C502" s="542"/>
      <c r="D502" s="546"/>
      <c r="E502" s="547"/>
      <c r="F502" s="548"/>
      <c r="G502" s="574"/>
      <c r="H502" s="574"/>
      <c r="I502" s="574"/>
      <c r="J502" s="574"/>
      <c r="K502" s="574"/>
      <c r="L502" s="262" t="s">
        <v>83</v>
      </c>
      <c r="M502" s="231">
        <v>160</v>
      </c>
      <c r="N502" s="231">
        <v>82</v>
      </c>
      <c r="O502" s="231">
        <v>66</v>
      </c>
      <c r="P502" s="583"/>
      <c r="Q502" s="583"/>
      <c r="R502" s="583"/>
      <c r="S502" s="583"/>
      <c r="T502" s="1628"/>
      <c r="U502" s="583"/>
      <c r="V502" s="539"/>
      <c r="W502" s="539"/>
      <c r="X502" s="539"/>
    </row>
    <row r="503" spans="1:1892" s="12" customFormat="1" ht="35.25" customHeight="1">
      <c r="A503" s="1462"/>
      <c r="B503" s="504"/>
      <c r="C503" s="542"/>
      <c r="D503" s="546"/>
      <c r="E503" s="547"/>
      <c r="F503" s="548"/>
      <c r="G503" s="490" t="s">
        <v>329</v>
      </c>
      <c r="H503" s="491"/>
      <c r="I503" s="491"/>
      <c r="J503" s="491"/>
      <c r="K503" s="492"/>
      <c r="L503" s="311"/>
      <c r="M503" s="263">
        <f>SUM(M500:M502)</f>
        <v>400</v>
      </c>
      <c r="N503" s="263">
        <f t="shared" ref="N503:O503" si="28">SUM(N500:N502)</f>
        <v>134</v>
      </c>
      <c r="O503" s="263">
        <f t="shared" si="28"/>
        <v>110</v>
      </c>
      <c r="P503" s="583"/>
      <c r="Q503" s="583"/>
      <c r="R503" s="583"/>
      <c r="S503" s="583"/>
      <c r="T503" s="1629"/>
      <c r="U503" s="583"/>
      <c r="V503" s="540"/>
      <c r="W503" s="540"/>
      <c r="X503" s="540"/>
    </row>
    <row r="504" spans="1:1892" s="9" customFormat="1" ht="35.1" customHeight="1">
      <c r="A504" s="1462"/>
      <c r="B504" s="777" t="s">
        <v>105</v>
      </c>
      <c r="C504" s="778"/>
      <c r="D504" s="778"/>
      <c r="E504" s="778"/>
      <c r="F504" s="778"/>
      <c r="G504" s="778"/>
      <c r="H504" s="778"/>
      <c r="I504" s="778"/>
      <c r="J504" s="778"/>
      <c r="K504" s="779"/>
      <c r="L504" s="122"/>
      <c r="M504" s="226">
        <f t="shared" ref="M504" si="29">M415+M418+M422+M430+M433+M437+M440+M448+M454+M457+M465+M472+M482+M489+M499+M503</f>
        <v>5574</v>
      </c>
      <c r="N504" s="226">
        <f>N415+N418+N422+N430+N433+N437+N440+N448+N454+N457+N465+N472+N482+N489+N499+N503</f>
        <v>829</v>
      </c>
      <c r="O504" s="226">
        <f>O415+O418+O422+O430+O433+O437+O440+O448+O454+O457+O465+O472+O482+O489+O499+O503</f>
        <v>800</v>
      </c>
      <c r="P504" s="123"/>
      <c r="Q504" s="123"/>
      <c r="R504" s="123"/>
      <c r="S504" s="156"/>
      <c r="T504" s="125"/>
      <c r="U504" s="156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  <c r="EF504" s="10"/>
      <c r="EG504" s="10"/>
      <c r="EH504" s="10"/>
      <c r="EI504" s="10"/>
      <c r="EJ504" s="10"/>
      <c r="EK504" s="10"/>
      <c r="EL504" s="10"/>
      <c r="EM504" s="10"/>
      <c r="EN504" s="10"/>
      <c r="EO504" s="10"/>
      <c r="EP504" s="10"/>
      <c r="EQ504" s="10"/>
      <c r="ER504" s="10"/>
      <c r="ES504" s="10"/>
      <c r="ET504" s="10"/>
      <c r="EU504" s="10"/>
      <c r="EV504" s="10"/>
      <c r="EW504" s="10"/>
      <c r="EX504" s="10"/>
      <c r="EY504" s="10"/>
      <c r="EZ504" s="10"/>
      <c r="FA504" s="10"/>
      <c r="FB504" s="10"/>
      <c r="FC504" s="10"/>
      <c r="FD504" s="10"/>
      <c r="FE504" s="10"/>
      <c r="FF504" s="10"/>
      <c r="FG504" s="10"/>
      <c r="FH504" s="10"/>
      <c r="FI504" s="10"/>
      <c r="FJ504" s="10"/>
      <c r="FK504" s="10"/>
      <c r="FL504" s="10"/>
      <c r="FM504" s="10"/>
      <c r="FN504" s="10"/>
      <c r="FO504" s="10"/>
      <c r="FP504" s="10"/>
      <c r="FQ504" s="10"/>
      <c r="FR504" s="10"/>
      <c r="FS504" s="10"/>
      <c r="FT504" s="10"/>
      <c r="FU504" s="10"/>
      <c r="FV504" s="10"/>
      <c r="FW504" s="10"/>
      <c r="FX504" s="10"/>
      <c r="FY504" s="10"/>
      <c r="FZ504" s="10"/>
      <c r="GA504" s="10"/>
      <c r="GB504" s="10"/>
      <c r="GC504" s="10"/>
      <c r="GD504" s="10"/>
      <c r="GE504" s="10"/>
      <c r="GF504" s="10"/>
      <c r="GG504" s="10"/>
      <c r="GH504" s="10"/>
      <c r="GI504" s="10"/>
      <c r="GJ504" s="10"/>
      <c r="GK504" s="10"/>
      <c r="GL504" s="10"/>
      <c r="GM504" s="10"/>
      <c r="GN504" s="10"/>
      <c r="GO504" s="10"/>
      <c r="GP504" s="10"/>
      <c r="GQ504" s="10"/>
      <c r="GR504" s="10"/>
      <c r="GS504" s="10"/>
      <c r="GT504" s="10"/>
      <c r="GU504" s="10"/>
      <c r="GV504" s="10"/>
      <c r="GW504" s="10"/>
      <c r="GX504" s="10"/>
      <c r="GY504" s="10"/>
      <c r="GZ504" s="10"/>
      <c r="HA504" s="10"/>
      <c r="HB504" s="10"/>
      <c r="HC504" s="10"/>
      <c r="HD504" s="10"/>
      <c r="HE504" s="10"/>
      <c r="HF504" s="10"/>
      <c r="HG504" s="10"/>
      <c r="HH504" s="10"/>
      <c r="HI504" s="10"/>
      <c r="HJ504" s="10"/>
      <c r="HK504" s="10"/>
      <c r="HL504" s="10"/>
      <c r="HM504" s="10"/>
      <c r="HN504" s="10"/>
      <c r="HO504" s="10"/>
      <c r="HP504" s="10"/>
      <c r="HQ504" s="10"/>
      <c r="HR504" s="10"/>
      <c r="HS504" s="10"/>
      <c r="HT504" s="10"/>
      <c r="HU504" s="10"/>
      <c r="HV504" s="10"/>
      <c r="HW504" s="10"/>
      <c r="HX504" s="10"/>
      <c r="HY504" s="10"/>
      <c r="HZ504" s="10"/>
      <c r="IA504" s="10"/>
      <c r="IB504" s="10"/>
      <c r="IC504" s="10"/>
      <c r="ID504" s="10"/>
      <c r="IE504" s="10"/>
      <c r="IF504" s="10"/>
      <c r="IG504" s="10"/>
      <c r="IH504" s="10"/>
      <c r="II504" s="10"/>
      <c r="IJ504" s="10"/>
      <c r="IK504" s="10"/>
      <c r="IL504" s="10"/>
      <c r="IM504" s="10"/>
      <c r="IN504" s="10"/>
      <c r="IO504" s="10"/>
      <c r="IP504" s="10"/>
      <c r="IQ504" s="10"/>
      <c r="IR504" s="10"/>
      <c r="IS504" s="10"/>
      <c r="IT504" s="10"/>
      <c r="IU504" s="10"/>
      <c r="IV504" s="10"/>
      <c r="IW504" s="10"/>
      <c r="IX504" s="10"/>
      <c r="IY504" s="10"/>
      <c r="IZ504" s="10"/>
      <c r="JA504" s="10"/>
      <c r="JB504" s="10"/>
      <c r="JC504" s="10"/>
      <c r="JD504" s="10"/>
      <c r="JE504" s="10"/>
      <c r="JF504" s="10"/>
      <c r="JG504" s="10"/>
      <c r="JH504" s="10"/>
      <c r="JI504" s="10"/>
      <c r="JJ504" s="10"/>
      <c r="JK504" s="10"/>
      <c r="JL504" s="10"/>
      <c r="JM504" s="10"/>
      <c r="JN504" s="10"/>
      <c r="JO504" s="10"/>
      <c r="JP504" s="10"/>
      <c r="JQ504" s="10"/>
      <c r="JR504" s="10"/>
      <c r="JS504" s="10"/>
      <c r="JT504" s="10"/>
      <c r="JU504" s="10"/>
      <c r="JV504" s="10"/>
      <c r="JW504" s="10"/>
      <c r="JX504" s="10"/>
      <c r="JY504" s="10"/>
      <c r="JZ504" s="10"/>
      <c r="KA504" s="10"/>
      <c r="KB504" s="10"/>
      <c r="KC504" s="10"/>
      <c r="KD504" s="10"/>
      <c r="KE504" s="10"/>
      <c r="KF504" s="10"/>
      <c r="KG504" s="10"/>
      <c r="KH504" s="10"/>
      <c r="KI504" s="10"/>
      <c r="KJ504" s="10"/>
      <c r="KK504" s="10"/>
      <c r="KL504" s="10"/>
      <c r="KM504" s="10"/>
      <c r="KN504" s="10"/>
      <c r="KO504" s="10"/>
      <c r="KP504" s="10"/>
      <c r="KQ504" s="10"/>
      <c r="KR504" s="10"/>
      <c r="KS504" s="10"/>
      <c r="KT504" s="10"/>
      <c r="KU504" s="10"/>
      <c r="KV504" s="10"/>
      <c r="KW504" s="10"/>
      <c r="KX504" s="10"/>
      <c r="KY504" s="10"/>
      <c r="KZ504" s="10"/>
      <c r="LA504" s="10"/>
      <c r="LB504" s="10"/>
      <c r="LC504" s="10"/>
      <c r="LD504" s="10"/>
      <c r="LE504" s="10"/>
      <c r="LF504" s="10"/>
      <c r="LG504" s="10"/>
      <c r="LH504" s="10"/>
      <c r="LI504" s="10"/>
      <c r="LJ504" s="10"/>
      <c r="LK504" s="10"/>
      <c r="LL504" s="10"/>
      <c r="LM504" s="10"/>
      <c r="LN504" s="10"/>
      <c r="LO504" s="10"/>
      <c r="LP504" s="10"/>
      <c r="LQ504" s="10"/>
      <c r="LR504" s="10"/>
      <c r="LS504" s="10"/>
      <c r="LT504" s="10"/>
      <c r="LU504" s="10"/>
      <c r="LV504" s="10"/>
      <c r="LW504" s="10"/>
      <c r="LX504" s="10"/>
      <c r="LY504" s="10"/>
      <c r="LZ504" s="10"/>
      <c r="MA504" s="10"/>
      <c r="MB504" s="10"/>
      <c r="MC504" s="10"/>
      <c r="MD504" s="10"/>
      <c r="ME504" s="10"/>
      <c r="MF504" s="10"/>
      <c r="MG504" s="10"/>
      <c r="MH504" s="10"/>
      <c r="MI504" s="10"/>
      <c r="MJ504" s="10"/>
      <c r="MK504" s="10"/>
      <c r="ML504" s="10"/>
      <c r="MM504" s="10"/>
      <c r="MN504" s="10"/>
      <c r="MO504" s="10"/>
      <c r="MP504" s="10"/>
      <c r="MQ504" s="10"/>
      <c r="MR504" s="10"/>
      <c r="MS504" s="10"/>
      <c r="MT504" s="10"/>
      <c r="MU504" s="10"/>
      <c r="MV504" s="10"/>
      <c r="MW504" s="10"/>
      <c r="MX504" s="10"/>
      <c r="MY504" s="10"/>
      <c r="MZ504" s="10"/>
      <c r="NA504" s="10"/>
      <c r="NB504" s="10"/>
      <c r="NC504" s="10"/>
      <c r="ND504" s="10"/>
      <c r="NE504" s="10"/>
      <c r="NF504" s="10"/>
      <c r="NG504" s="10"/>
      <c r="NH504" s="10"/>
      <c r="NI504" s="10"/>
      <c r="NJ504" s="10"/>
      <c r="NK504" s="10"/>
      <c r="NL504" s="10"/>
      <c r="NM504" s="10"/>
      <c r="NN504" s="10"/>
      <c r="NO504" s="10"/>
      <c r="NP504" s="10"/>
      <c r="NQ504" s="10"/>
      <c r="NR504" s="10"/>
      <c r="NS504" s="10"/>
      <c r="NT504" s="10"/>
      <c r="NU504" s="10"/>
      <c r="NV504" s="10"/>
      <c r="NW504" s="10"/>
      <c r="NX504" s="10"/>
      <c r="NY504" s="10"/>
      <c r="NZ504" s="10"/>
      <c r="OA504" s="10"/>
      <c r="OB504" s="10"/>
      <c r="OC504" s="10"/>
      <c r="OD504" s="10"/>
      <c r="OE504" s="10"/>
      <c r="OF504" s="10"/>
      <c r="OG504" s="10"/>
      <c r="OH504" s="10"/>
      <c r="OI504" s="10"/>
      <c r="OJ504" s="10"/>
      <c r="OK504" s="10"/>
      <c r="OL504" s="10"/>
      <c r="OM504" s="10"/>
      <c r="ON504" s="10"/>
      <c r="OO504" s="10"/>
      <c r="OP504" s="10"/>
      <c r="OQ504" s="10"/>
      <c r="OR504" s="10"/>
      <c r="OS504" s="10"/>
      <c r="OT504" s="10"/>
      <c r="OU504" s="10"/>
      <c r="OV504" s="10"/>
      <c r="OW504" s="10"/>
      <c r="OX504" s="10"/>
      <c r="OY504" s="10"/>
      <c r="OZ504" s="10"/>
      <c r="PA504" s="10"/>
      <c r="PB504" s="10"/>
      <c r="PC504" s="10"/>
      <c r="PD504" s="10"/>
      <c r="PE504" s="10"/>
      <c r="PF504" s="10"/>
      <c r="PG504" s="10"/>
      <c r="PH504" s="10"/>
      <c r="PI504" s="10"/>
      <c r="PJ504" s="10"/>
      <c r="PK504" s="10"/>
      <c r="PL504" s="10"/>
      <c r="PM504" s="10"/>
      <c r="PN504" s="10"/>
      <c r="PO504" s="10"/>
      <c r="PP504" s="10"/>
      <c r="PQ504" s="10"/>
      <c r="PR504" s="10"/>
      <c r="PS504" s="10"/>
      <c r="PT504" s="10"/>
      <c r="PU504" s="10"/>
      <c r="PV504" s="10"/>
      <c r="PW504" s="10"/>
      <c r="PX504" s="10"/>
      <c r="PY504" s="10"/>
      <c r="PZ504" s="10"/>
      <c r="QA504" s="10"/>
      <c r="QB504" s="10"/>
      <c r="QC504" s="10"/>
      <c r="QD504" s="10"/>
      <c r="QE504" s="10"/>
      <c r="QF504" s="10"/>
      <c r="QG504" s="10"/>
      <c r="QH504" s="10"/>
      <c r="QI504" s="10"/>
      <c r="QJ504" s="10"/>
      <c r="QK504" s="10"/>
      <c r="QL504" s="10"/>
      <c r="QM504" s="10"/>
      <c r="QN504" s="10"/>
      <c r="QO504" s="10"/>
      <c r="QP504" s="10"/>
      <c r="QQ504" s="10"/>
      <c r="QR504" s="10"/>
      <c r="QS504" s="10"/>
      <c r="QT504" s="10"/>
      <c r="QU504" s="10"/>
      <c r="QV504" s="10"/>
      <c r="QW504" s="10"/>
      <c r="QX504" s="10"/>
      <c r="QY504" s="10"/>
      <c r="QZ504" s="10"/>
      <c r="RA504" s="10"/>
      <c r="RB504" s="10"/>
      <c r="RC504" s="10"/>
      <c r="RD504" s="10"/>
      <c r="RE504" s="10"/>
      <c r="RF504" s="10"/>
      <c r="RG504" s="10"/>
      <c r="RH504" s="10"/>
      <c r="RI504" s="10"/>
      <c r="RJ504" s="10"/>
      <c r="RK504" s="10"/>
      <c r="RL504" s="10"/>
      <c r="RM504" s="10"/>
      <c r="RN504" s="10"/>
      <c r="RO504" s="10"/>
      <c r="RP504" s="10"/>
      <c r="RQ504" s="10"/>
      <c r="RR504" s="10"/>
      <c r="RS504" s="10"/>
      <c r="RT504" s="10"/>
      <c r="RU504" s="10"/>
      <c r="RV504" s="10"/>
      <c r="RW504" s="10"/>
      <c r="RX504" s="10"/>
      <c r="RY504" s="10"/>
      <c r="RZ504" s="10"/>
      <c r="SA504" s="10"/>
      <c r="SB504" s="10"/>
      <c r="SC504" s="10"/>
      <c r="SD504" s="10"/>
      <c r="SE504" s="10"/>
      <c r="SF504" s="10"/>
      <c r="SG504" s="10"/>
      <c r="SH504" s="10"/>
      <c r="SI504" s="10"/>
      <c r="SJ504" s="10"/>
      <c r="SK504" s="10"/>
      <c r="SL504" s="10"/>
      <c r="SM504" s="10"/>
      <c r="SN504" s="10"/>
      <c r="SO504" s="10"/>
      <c r="SP504" s="10"/>
      <c r="SQ504" s="10"/>
      <c r="SR504" s="10"/>
      <c r="SS504" s="10"/>
      <c r="ST504" s="10"/>
      <c r="SU504" s="10"/>
      <c r="SV504" s="10"/>
      <c r="SW504" s="10"/>
      <c r="SX504" s="10"/>
      <c r="SY504" s="10"/>
      <c r="SZ504" s="10"/>
      <c r="TA504" s="10"/>
      <c r="TB504" s="10"/>
      <c r="TC504" s="10"/>
      <c r="TD504" s="10"/>
      <c r="TE504" s="10"/>
      <c r="TF504" s="10"/>
      <c r="TG504" s="10"/>
      <c r="TH504" s="10"/>
      <c r="TI504" s="10"/>
      <c r="TJ504" s="10"/>
      <c r="TK504" s="10"/>
      <c r="TL504" s="10"/>
      <c r="TM504" s="10"/>
      <c r="TN504" s="10"/>
      <c r="TO504" s="10"/>
      <c r="TP504" s="10"/>
      <c r="TQ504" s="10"/>
      <c r="TR504" s="10"/>
      <c r="TS504" s="10"/>
      <c r="TT504" s="10"/>
      <c r="TU504" s="10"/>
      <c r="TV504" s="10"/>
      <c r="TW504" s="10"/>
      <c r="TX504" s="10"/>
      <c r="TY504" s="10"/>
      <c r="TZ504" s="10"/>
      <c r="UA504" s="10"/>
      <c r="UB504" s="10"/>
      <c r="UC504" s="10"/>
      <c r="UD504" s="10"/>
      <c r="UE504" s="10"/>
      <c r="UF504" s="10"/>
      <c r="UG504" s="10"/>
      <c r="UH504" s="10"/>
      <c r="UI504" s="10"/>
      <c r="UJ504" s="10"/>
      <c r="UK504" s="10"/>
      <c r="UL504" s="10"/>
      <c r="UM504" s="10"/>
      <c r="UN504" s="10"/>
      <c r="UO504" s="10"/>
      <c r="UP504" s="10"/>
      <c r="UQ504" s="10"/>
      <c r="UR504" s="10"/>
      <c r="US504" s="10"/>
      <c r="UT504" s="10"/>
      <c r="UU504" s="10"/>
      <c r="UV504" s="10"/>
      <c r="UW504" s="10"/>
      <c r="UX504" s="10"/>
      <c r="UY504" s="10"/>
      <c r="UZ504" s="10"/>
      <c r="VA504" s="10"/>
      <c r="VB504" s="10"/>
      <c r="VC504" s="10"/>
      <c r="VD504" s="10"/>
      <c r="VE504" s="10"/>
      <c r="VF504" s="10"/>
      <c r="VG504" s="10"/>
      <c r="VH504" s="10"/>
      <c r="VI504" s="10"/>
      <c r="VJ504" s="10"/>
      <c r="VK504" s="10"/>
      <c r="VL504" s="10"/>
      <c r="VM504" s="10"/>
      <c r="VN504" s="10"/>
      <c r="VO504" s="10"/>
      <c r="VP504" s="10"/>
      <c r="VQ504" s="10"/>
      <c r="VR504" s="10"/>
      <c r="VS504" s="10"/>
      <c r="VT504" s="10"/>
      <c r="VU504" s="10"/>
      <c r="VV504" s="10"/>
      <c r="VW504" s="10"/>
      <c r="VX504" s="10"/>
      <c r="VY504" s="10"/>
      <c r="VZ504" s="10"/>
      <c r="WA504" s="10"/>
      <c r="WB504" s="10"/>
      <c r="WC504" s="10"/>
      <c r="WD504" s="10"/>
      <c r="WE504" s="10"/>
      <c r="WF504" s="10"/>
      <c r="WG504" s="10"/>
      <c r="WH504" s="10"/>
      <c r="WI504" s="10"/>
      <c r="WJ504" s="10"/>
      <c r="WK504" s="10"/>
      <c r="WL504" s="10"/>
      <c r="WM504" s="10"/>
      <c r="WN504" s="10"/>
      <c r="WO504" s="10"/>
      <c r="WP504" s="10"/>
      <c r="WQ504" s="10"/>
      <c r="WR504" s="10"/>
      <c r="WS504" s="10"/>
      <c r="WT504" s="10"/>
      <c r="WU504" s="10"/>
      <c r="WV504" s="10"/>
      <c r="WW504" s="10"/>
      <c r="WX504" s="10"/>
      <c r="WY504" s="10"/>
      <c r="WZ504" s="10"/>
      <c r="XA504" s="10"/>
      <c r="XB504" s="10"/>
      <c r="XC504" s="10"/>
      <c r="XD504" s="10"/>
      <c r="XE504" s="10"/>
      <c r="XF504" s="10"/>
      <c r="XG504" s="10"/>
      <c r="XH504" s="10"/>
      <c r="XI504" s="10"/>
      <c r="XJ504" s="10"/>
      <c r="XK504" s="10"/>
      <c r="XL504" s="10"/>
      <c r="XM504" s="10"/>
      <c r="XN504" s="10"/>
      <c r="XO504" s="10"/>
      <c r="XP504" s="10"/>
      <c r="XQ504" s="10"/>
      <c r="XR504" s="10"/>
      <c r="XS504" s="10"/>
      <c r="XT504" s="10"/>
      <c r="XU504" s="10"/>
      <c r="XV504" s="10"/>
      <c r="XW504" s="10"/>
      <c r="XX504" s="10"/>
      <c r="XY504" s="10"/>
      <c r="XZ504" s="10"/>
      <c r="YA504" s="10"/>
      <c r="YB504" s="10"/>
      <c r="YC504" s="10"/>
      <c r="YD504" s="10"/>
      <c r="YE504" s="10"/>
      <c r="YF504" s="10"/>
      <c r="YG504" s="10"/>
      <c r="YH504" s="10"/>
      <c r="YI504" s="10"/>
      <c r="YJ504" s="10"/>
      <c r="YK504" s="10"/>
      <c r="YL504" s="10"/>
      <c r="YM504" s="10"/>
      <c r="YN504" s="10"/>
      <c r="YO504" s="10"/>
      <c r="YP504" s="10"/>
      <c r="YQ504" s="10"/>
      <c r="YR504" s="10"/>
      <c r="YS504" s="10"/>
      <c r="YT504" s="10"/>
      <c r="YU504" s="10"/>
      <c r="YV504" s="10"/>
      <c r="YW504" s="10"/>
      <c r="YX504" s="10"/>
      <c r="YY504" s="10"/>
      <c r="YZ504" s="10"/>
      <c r="ZA504" s="10"/>
      <c r="ZB504" s="10"/>
      <c r="ZC504" s="10"/>
      <c r="ZD504" s="10"/>
      <c r="ZE504" s="10"/>
      <c r="ZF504" s="10"/>
      <c r="ZG504" s="10"/>
      <c r="ZH504" s="10"/>
      <c r="ZI504" s="10"/>
      <c r="ZJ504" s="10"/>
      <c r="ZK504" s="10"/>
      <c r="ZL504" s="10"/>
      <c r="ZM504" s="10"/>
      <c r="ZN504" s="10"/>
      <c r="ZO504" s="10"/>
      <c r="ZP504" s="10"/>
      <c r="ZQ504" s="10"/>
      <c r="ZR504" s="10"/>
      <c r="ZS504" s="10"/>
      <c r="ZT504" s="10"/>
      <c r="ZU504" s="10"/>
      <c r="ZV504" s="10"/>
      <c r="ZW504" s="10"/>
      <c r="ZX504" s="10"/>
      <c r="ZY504" s="10"/>
      <c r="ZZ504" s="10"/>
      <c r="AAA504" s="10"/>
      <c r="AAB504" s="10"/>
      <c r="AAC504" s="10"/>
      <c r="AAD504" s="10"/>
      <c r="AAE504" s="10"/>
      <c r="AAF504" s="10"/>
      <c r="AAG504" s="10"/>
      <c r="AAH504" s="10"/>
      <c r="AAI504" s="10"/>
      <c r="AAJ504" s="10"/>
      <c r="AAK504" s="10"/>
      <c r="AAL504" s="10"/>
      <c r="AAM504" s="10"/>
      <c r="AAN504" s="10"/>
      <c r="AAO504" s="10"/>
      <c r="AAP504" s="10"/>
      <c r="AAQ504" s="10"/>
      <c r="AAR504" s="10"/>
      <c r="AAS504" s="10"/>
      <c r="AAT504" s="10"/>
      <c r="AAU504" s="10"/>
      <c r="AAV504" s="10"/>
      <c r="AAW504" s="10"/>
      <c r="AAX504" s="10"/>
      <c r="AAY504" s="10"/>
      <c r="AAZ504" s="10"/>
      <c r="ABA504" s="10"/>
      <c r="ABB504" s="10"/>
      <c r="ABC504" s="10"/>
      <c r="ABD504" s="10"/>
      <c r="ABE504" s="10"/>
      <c r="ABF504" s="10"/>
      <c r="ABG504" s="10"/>
      <c r="ABH504" s="10"/>
      <c r="ABI504" s="10"/>
      <c r="ABJ504" s="10"/>
      <c r="ABK504" s="10"/>
      <c r="ABL504" s="10"/>
      <c r="ABM504" s="10"/>
      <c r="ABN504" s="10"/>
      <c r="ABO504" s="10"/>
      <c r="ABP504" s="10"/>
      <c r="ABQ504" s="10"/>
      <c r="ABR504" s="10"/>
      <c r="ABS504" s="10"/>
      <c r="ABT504" s="10"/>
      <c r="ABU504" s="10"/>
      <c r="ABV504" s="10"/>
      <c r="ABW504" s="10"/>
      <c r="ABX504" s="10"/>
      <c r="ABY504" s="10"/>
      <c r="ABZ504" s="10"/>
      <c r="ACA504" s="10"/>
      <c r="ACB504" s="10"/>
      <c r="ACC504" s="10"/>
      <c r="ACD504" s="10"/>
      <c r="ACE504" s="10"/>
      <c r="ACF504" s="10"/>
      <c r="ACG504" s="10"/>
      <c r="ACH504" s="10"/>
      <c r="ACI504" s="10"/>
      <c r="ACJ504" s="10"/>
      <c r="ACK504" s="10"/>
      <c r="ACL504" s="10"/>
      <c r="ACM504" s="10"/>
      <c r="ACN504" s="10"/>
      <c r="ACO504" s="10"/>
      <c r="ACP504" s="10"/>
      <c r="ACQ504" s="10"/>
      <c r="ACR504" s="10"/>
      <c r="ACS504" s="10"/>
      <c r="ACT504" s="10"/>
      <c r="ACU504" s="10"/>
      <c r="ACV504" s="10"/>
      <c r="ACW504" s="10"/>
      <c r="ACX504" s="10"/>
      <c r="ACY504" s="10"/>
      <c r="ACZ504" s="10"/>
      <c r="ADA504" s="10"/>
      <c r="ADB504" s="10"/>
      <c r="ADC504" s="10"/>
      <c r="ADD504" s="10"/>
      <c r="ADE504" s="10"/>
      <c r="ADF504" s="10"/>
      <c r="ADG504" s="10"/>
      <c r="ADH504" s="10"/>
      <c r="ADI504" s="10"/>
      <c r="ADJ504" s="10"/>
      <c r="ADK504" s="10"/>
      <c r="ADL504" s="10"/>
      <c r="ADM504" s="10"/>
      <c r="ADN504" s="10"/>
      <c r="ADO504" s="10"/>
      <c r="ADP504" s="10"/>
      <c r="ADQ504" s="10"/>
      <c r="ADR504" s="10"/>
      <c r="ADS504" s="10"/>
      <c r="ADT504" s="10"/>
      <c r="ADU504" s="10"/>
      <c r="ADV504" s="10"/>
      <c r="ADW504" s="10"/>
      <c r="ADX504" s="10"/>
      <c r="ADY504" s="10"/>
      <c r="ADZ504" s="10"/>
      <c r="AEA504" s="10"/>
      <c r="AEB504" s="10"/>
      <c r="AEC504" s="10"/>
      <c r="AED504" s="10"/>
      <c r="AEE504" s="10"/>
      <c r="AEF504" s="10"/>
      <c r="AEG504" s="10"/>
      <c r="AEH504" s="10"/>
      <c r="AEI504" s="10"/>
      <c r="AEJ504" s="10"/>
      <c r="AEK504" s="10"/>
      <c r="AEL504" s="10"/>
      <c r="AEM504" s="10"/>
      <c r="AEN504" s="10"/>
      <c r="AEO504" s="10"/>
      <c r="AEP504" s="10"/>
      <c r="AEQ504" s="10"/>
      <c r="AER504" s="10"/>
      <c r="AES504" s="10"/>
      <c r="AET504" s="10"/>
      <c r="AEU504" s="10"/>
      <c r="AEV504" s="10"/>
      <c r="AEW504" s="10"/>
      <c r="AEX504" s="10"/>
      <c r="AEY504" s="10"/>
      <c r="AEZ504" s="10"/>
      <c r="AFA504" s="10"/>
      <c r="AFB504" s="10"/>
      <c r="AFC504" s="10"/>
      <c r="AFD504" s="10"/>
      <c r="AFE504" s="10"/>
      <c r="AFF504" s="10"/>
      <c r="AFG504" s="10"/>
      <c r="AFH504" s="10"/>
      <c r="AFI504" s="10"/>
      <c r="AFJ504" s="10"/>
      <c r="AFK504" s="10"/>
      <c r="AFL504" s="10"/>
      <c r="AFM504" s="10"/>
      <c r="AFN504" s="10"/>
      <c r="AFO504" s="10"/>
      <c r="AFP504" s="10"/>
      <c r="AFQ504" s="10"/>
      <c r="AFR504" s="10"/>
      <c r="AFS504" s="10"/>
      <c r="AFT504" s="10"/>
      <c r="AFU504" s="10"/>
      <c r="AFV504" s="10"/>
      <c r="AFW504" s="10"/>
      <c r="AFX504" s="10"/>
      <c r="AFY504" s="10"/>
      <c r="AFZ504" s="10"/>
      <c r="AGA504" s="10"/>
      <c r="AGB504" s="10"/>
      <c r="AGC504" s="10"/>
      <c r="AGD504" s="10"/>
      <c r="AGE504" s="10"/>
      <c r="AGF504" s="10"/>
      <c r="AGG504" s="10"/>
      <c r="AGH504" s="10"/>
      <c r="AGI504" s="10"/>
      <c r="AGJ504" s="10"/>
      <c r="AGK504" s="10"/>
      <c r="AGL504" s="10"/>
      <c r="AGM504" s="10"/>
      <c r="AGN504" s="10"/>
      <c r="AGO504" s="10"/>
      <c r="AGP504" s="10"/>
      <c r="AGQ504" s="10"/>
      <c r="AGR504" s="10"/>
      <c r="AGS504" s="10"/>
      <c r="AGT504" s="10"/>
      <c r="AGU504" s="10"/>
      <c r="AGV504" s="10"/>
      <c r="AGW504" s="10"/>
      <c r="AGX504" s="10"/>
      <c r="AGY504" s="10"/>
      <c r="AGZ504" s="10"/>
      <c r="AHA504" s="10"/>
      <c r="AHB504" s="10"/>
      <c r="AHC504" s="10"/>
      <c r="AHD504" s="10"/>
      <c r="AHE504" s="10"/>
      <c r="AHF504" s="10"/>
      <c r="AHG504" s="10"/>
      <c r="AHH504" s="10"/>
      <c r="AHI504" s="10"/>
      <c r="AHJ504" s="10"/>
      <c r="AHK504" s="10"/>
      <c r="AHL504" s="10"/>
      <c r="AHM504" s="10"/>
      <c r="AHN504" s="10"/>
      <c r="AHO504" s="10"/>
      <c r="AHP504" s="10"/>
      <c r="AHQ504" s="10"/>
      <c r="AHR504" s="10"/>
      <c r="AHS504" s="10"/>
      <c r="AHT504" s="10"/>
      <c r="AHU504" s="10"/>
      <c r="AHV504" s="10"/>
      <c r="AHW504" s="10"/>
      <c r="AHX504" s="10"/>
      <c r="AHY504" s="10"/>
      <c r="AHZ504" s="10"/>
      <c r="AIA504" s="10"/>
      <c r="AIB504" s="10"/>
      <c r="AIC504" s="10"/>
      <c r="AID504" s="10"/>
      <c r="AIE504" s="10"/>
      <c r="AIF504" s="10"/>
      <c r="AIG504" s="10"/>
      <c r="AIH504" s="10"/>
      <c r="AII504" s="10"/>
      <c r="AIJ504" s="10"/>
      <c r="AIK504" s="10"/>
      <c r="AIL504" s="10"/>
      <c r="AIM504" s="10"/>
      <c r="AIN504" s="10"/>
      <c r="AIO504" s="10"/>
      <c r="AIP504" s="10"/>
      <c r="AIQ504" s="10"/>
      <c r="AIR504" s="10"/>
      <c r="AIS504" s="10"/>
      <c r="AIT504" s="10"/>
      <c r="AIU504" s="10"/>
      <c r="AIV504" s="10"/>
      <c r="AIW504" s="10"/>
      <c r="AIX504" s="10"/>
      <c r="AIY504" s="10"/>
      <c r="AIZ504" s="10"/>
      <c r="AJA504" s="10"/>
      <c r="AJB504" s="10"/>
      <c r="AJC504" s="10"/>
      <c r="AJD504" s="10"/>
      <c r="AJE504" s="10"/>
      <c r="AJF504" s="10"/>
      <c r="AJG504" s="10"/>
      <c r="AJH504" s="10"/>
      <c r="AJI504" s="10"/>
      <c r="AJJ504" s="10"/>
      <c r="AJK504" s="10"/>
      <c r="AJL504" s="10"/>
      <c r="AJM504" s="10"/>
      <c r="AJN504" s="10"/>
      <c r="AJO504" s="10"/>
      <c r="AJP504" s="10"/>
      <c r="AJQ504" s="10"/>
      <c r="AJR504" s="10"/>
      <c r="AJS504" s="10"/>
      <c r="AJT504" s="10"/>
      <c r="AJU504" s="10"/>
      <c r="AJV504" s="10"/>
      <c r="AJW504" s="10"/>
      <c r="AJX504" s="10"/>
      <c r="AJY504" s="10"/>
      <c r="AJZ504" s="10"/>
      <c r="AKA504" s="10"/>
      <c r="AKB504" s="10"/>
      <c r="AKC504" s="10"/>
      <c r="AKD504" s="10"/>
      <c r="AKE504" s="10"/>
      <c r="AKF504" s="10"/>
      <c r="AKG504" s="10"/>
      <c r="AKH504" s="10"/>
      <c r="AKI504" s="10"/>
      <c r="AKJ504" s="10"/>
      <c r="AKK504" s="10"/>
      <c r="AKL504" s="10"/>
      <c r="AKM504" s="10"/>
      <c r="AKN504" s="10"/>
      <c r="AKO504" s="10"/>
      <c r="AKP504" s="10"/>
      <c r="AKQ504" s="10"/>
      <c r="AKR504" s="10"/>
      <c r="AKS504" s="10"/>
      <c r="AKT504" s="10"/>
      <c r="AKU504" s="10"/>
      <c r="AKV504" s="10"/>
      <c r="AKW504" s="10"/>
      <c r="AKX504" s="10"/>
      <c r="AKY504" s="10"/>
      <c r="AKZ504" s="10"/>
      <c r="ALA504" s="10"/>
      <c r="ALB504" s="10"/>
      <c r="ALC504" s="10"/>
      <c r="ALD504" s="10"/>
      <c r="ALE504" s="10"/>
      <c r="ALF504" s="10"/>
      <c r="ALG504" s="10"/>
      <c r="ALH504" s="10"/>
      <c r="ALI504" s="10"/>
      <c r="ALJ504" s="10"/>
      <c r="ALK504" s="10"/>
      <c r="ALL504" s="10"/>
      <c r="ALM504" s="10"/>
      <c r="ALN504" s="10"/>
      <c r="ALO504" s="10"/>
      <c r="ALP504" s="10"/>
      <c r="ALQ504" s="10"/>
      <c r="ALR504" s="10"/>
      <c r="ALS504" s="10"/>
      <c r="ALT504" s="10"/>
      <c r="ALU504" s="10"/>
      <c r="ALV504" s="10"/>
      <c r="ALW504" s="10"/>
      <c r="ALX504" s="10"/>
      <c r="ALY504" s="10"/>
      <c r="ALZ504" s="10"/>
      <c r="AMA504" s="10"/>
      <c r="AMB504" s="10"/>
      <c r="AMC504" s="10"/>
      <c r="AMD504" s="10"/>
      <c r="AME504" s="10"/>
      <c r="AMF504" s="10"/>
      <c r="AMG504" s="10"/>
      <c r="AMH504" s="10"/>
      <c r="AMI504" s="10"/>
      <c r="AMJ504" s="10"/>
      <c r="AMK504" s="10"/>
      <c r="AML504" s="10"/>
      <c r="AMM504" s="10"/>
      <c r="AMN504" s="10"/>
      <c r="AMO504" s="10"/>
      <c r="AMP504" s="10"/>
      <c r="AMQ504" s="10"/>
      <c r="AMR504" s="10"/>
      <c r="AMS504" s="10"/>
      <c r="AMT504" s="10"/>
      <c r="AMU504" s="10"/>
      <c r="AMV504" s="10"/>
      <c r="AMW504" s="10"/>
      <c r="AMX504" s="10"/>
      <c r="AMY504" s="10"/>
      <c r="AMZ504" s="10"/>
      <c r="ANA504" s="10"/>
      <c r="ANB504" s="10"/>
      <c r="ANC504" s="10"/>
      <c r="AND504" s="10"/>
      <c r="ANE504" s="10"/>
      <c r="ANF504" s="10"/>
      <c r="ANG504" s="10"/>
      <c r="ANH504" s="10"/>
      <c r="ANI504" s="10"/>
      <c r="ANJ504" s="10"/>
      <c r="ANK504" s="10"/>
      <c r="ANL504" s="10"/>
      <c r="ANM504" s="10"/>
      <c r="ANN504" s="10"/>
      <c r="ANO504" s="10"/>
      <c r="ANP504" s="10"/>
      <c r="ANQ504" s="10"/>
      <c r="ANR504" s="10"/>
      <c r="ANS504" s="10"/>
      <c r="ANT504" s="10"/>
      <c r="ANU504" s="10"/>
      <c r="ANV504" s="10"/>
      <c r="ANW504" s="10"/>
      <c r="ANX504" s="10"/>
      <c r="ANY504" s="10"/>
      <c r="ANZ504" s="10"/>
      <c r="AOA504" s="10"/>
      <c r="AOB504" s="10"/>
      <c r="AOC504" s="10"/>
      <c r="AOD504" s="10"/>
      <c r="AOE504" s="10"/>
      <c r="AOF504" s="10"/>
      <c r="AOG504" s="10"/>
      <c r="AOH504" s="10"/>
      <c r="AOI504" s="10"/>
      <c r="AOJ504" s="10"/>
      <c r="AOK504" s="10"/>
      <c r="AOL504" s="10"/>
      <c r="AOM504" s="10"/>
      <c r="AON504" s="10"/>
      <c r="AOO504" s="10"/>
      <c r="AOP504" s="10"/>
      <c r="AOQ504" s="10"/>
      <c r="AOR504" s="10"/>
      <c r="AOS504" s="10"/>
      <c r="AOT504" s="10"/>
      <c r="AOU504" s="10"/>
      <c r="AOV504" s="10"/>
      <c r="AOW504" s="10"/>
      <c r="AOX504" s="10"/>
      <c r="AOY504" s="10"/>
      <c r="AOZ504" s="10"/>
      <c r="APA504" s="10"/>
      <c r="APB504" s="10"/>
      <c r="APC504" s="10"/>
      <c r="APD504" s="10"/>
      <c r="APE504" s="10"/>
      <c r="APF504" s="10"/>
      <c r="APG504" s="10"/>
      <c r="APH504" s="10"/>
      <c r="API504" s="10"/>
      <c r="APJ504" s="10"/>
      <c r="APK504" s="10"/>
      <c r="APL504" s="10"/>
      <c r="APM504" s="10"/>
      <c r="APN504" s="10"/>
      <c r="APO504" s="10"/>
      <c r="APP504" s="10"/>
      <c r="APQ504" s="10"/>
      <c r="APR504" s="10"/>
      <c r="APS504" s="10"/>
      <c r="APT504" s="10"/>
      <c r="APU504" s="10"/>
      <c r="APV504" s="10"/>
      <c r="APW504" s="10"/>
      <c r="APX504" s="10"/>
      <c r="APY504" s="10"/>
      <c r="APZ504" s="10"/>
      <c r="AQA504" s="10"/>
      <c r="AQB504" s="10"/>
      <c r="AQC504" s="10"/>
      <c r="AQD504" s="10"/>
      <c r="AQE504" s="10"/>
      <c r="AQF504" s="10"/>
      <c r="AQG504" s="10"/>
      <c r="AQH504" s="10"/>
      <c r="AQI504" s="10"/>
      <c r="AQJ504" s="10"/>
      <c r="AQK504" s="10"/>
      <c r="AQL504" s="10"/>
      <c r="AQM504" s="10"/>
      <c r="AQN504" s="10"/>
      <c r="AQO504" s="10"/>
      <c r="AQP504" s="10"/>
      <c r="AQQ504" s="10"/>
      <c r="AQR504" s="10"/>
      <c r="AQS504" s="10"/>
      <c r="AQT504" s="10"/>
      <c r="AQU504" s="10"/>
      <c r="AQV504" s="10"/>
      <c r="AQW504" s="10"/>
      <c r="AQX504" s="10"/>
      <c r="AQY504" s="10"/>
      <c r="AQZ504" s="10"/>
      <c r="ARA504" s="10"/>
      <c r="ARB504" s="10"/>
      <c r="ARC504" s="10"/>
      <c r="ARD504" s="10"/>
      <c r="ARE504" s="10"/>
      <c r="ARF504" s="10"/>
      <c r="ARG504" s="10"/>
      <c r="ARH504" s="10"/>
      <c r="ARI504" s="10"/>
      <c r="ARJ504" s="10"/>
      <c r="ARK504" s="10"/>
      <c r="ARL504" s="10"/>
      <c r="ARM504" s="10"/>
      <c r="ARN504" s="10"/>
      <c r="ARO504" s="10"/>
      <c r="ARP504" s="10"/>
      <c r="ARQ504" s="10"/>
      <c r="ARR504" s="10"/>
      <c r="ARS504" s="10"/>
      <c r="ART504" s="10"/>
      <c r="ARU504" s="10"/>
      <c r="ARV504" s="10"/>
      <c r="ARW504" s="10"/>
      <c r="ARX504" s="10"/>
      <c r="ARY504" s="10"/>
      <c r="ARZ504" s="10"/>
      <c r="ASA504" s="10"/>
      <c r="ASB504" s="10"/>
      <c r="ASC504" s="10"/>
      <c r="ASD504" s="10"/>
      <c r="ASE504" s="10"/>
      <c r="ASF504" s="10"/>
      <c r="ASG504" s="10"/>
      <c r="ASH504" s="10"/>
      <c r="ASI504" s="10"/>
      <c r="ASJ504" s="10"/>
      <c r="ASK504" s="10"/>
      <c r="ASL504" s="10"/>
      <c r="ASM504" s="10"/>
      <c r="ASN504" s="10"/>
      <c r="ASO504" s="10"/>
      <c r="ASP504" s="10"/>
      <c r="ASQ504" s="10"/>
      <c r="ASR504" s="10"/>
      <c r="ASS504" s="10"/>
      <c r="AST504" s="10"/>
      <c r="ASU504" s="10"/>
      <c r="ASV504" s="10"/>
      <c r="ASW504" s="10"/>
      <c r="ASX504" s="10"/>
      <c r="ASY504" s="10"/>
      <c r="ASZ504" s="10"/>
      <c r="ATA504" s="10"/>
      <c r="ATB504" s="10"/>
      <c r="ATC504" s="10"/>
      <c r="ATD504" s="10"/>
      <c r="ATE504" s="10"/>
      <c r="ATF504" s="10"/>
      <c r="ATG504" s="10"/>
      <c r="ATH504" s="10"/>
      <c r="ATI504" s="10"/>
      <c r="ATJ504" s="10"/>
      <c r="ATK504" s="10"/>
      <c r="ATL504" s="10"/>
      <c r="ATM504" s="10"/>
      <c r="ATN504" s="10"/>
      <c r="ATO504" s="10"/>
      <c r="ATP504" s="10"/>
      <c r="ATQ504" s="10"/>
      <c r="ATR504" s="10"/>
      <c r="ATS504" s="10"/>
      <c r="ATT504" s="10"/>
      <c r="ATU504" s="10"/>
      <c r="ATV504" s="10"/>
      <c r="ATW504" s="10"/>
      <c r="ATX504" s="10"/>
      <c r="ATY504" s="10"/>
      <c r="ATZ504" s="10"/>
      <c r="AUA504" s="10"/>
      <c r="AUB504" s="10"/>
      <c r="AUC504" s="10"/>
      <c r="AUD504" s="10"/>
      <c r="AUE504" s="10"/>
      <c r="AUF504" s="10"/>
      <c r="AUG504" s="10"/>
      <c r="AUH504" s="10"/>
      <c r="AUI504" s="10"/>
      <c r="AUJ504" s="10"/>
      <c r="AUK504" s="10"/>
      <c r="AUL504" s="10"/>
      <c r="AUM504" s="10"/>
      <c r="AUN504" s="10"/>
      <c r="AUO504" s="10"/>
      <c r="AUP504" s="10"/>
      <c r="AUQ504" s="10"/>
      <c r="AUR504" s="10"/>
      <c r="AUS504" s="10"/>
      <c r="AUT504" s="10"/>
      <c r="AUU504" s="10"/>
      <c r="AUV504" s="10"/>
      <c r="AUW504" s="10"/>
      <c r="AUX504" s="10"/>
      <c r="AUY504" s="10"/>
      <c r="AUZ504" s="10"/>
      <c r="AVA504" s="10"/>
      <c r="AVB504" s="10"/>
      <c r="AVC504" s="10"/>
      <c r="AVD504" s="10"/>
      <c r="AVE504" s="10"/>
      <c r="AVF504" s="10"/>
      <c r="AVG504" s="10"/>
      <c r="AVH504" s="10"/>
      <c r="AVI504" s="10"/>
      <c r="AVJ504" s="10"/>
      <c r="AVK504" s="10"/>
      <c r="AVL504" s="10"/>
      <c r="AVM504" s="10"/>
      <c r="AVN504" s="10"/>
      <c r="AVO504" s="10"/>
      <c r="AVP504" s="10"/>
      <c r="AVQ504" s="10"/>
      <c r="AVR504" s="10"/>
      <c r="AVS504" s="10"/>
      <c r="AVT504" s="10"/>
      <c r="AVU504" s="10"/>
      <c r="AVV504" s="10"/>
      <c r="AVW504" s="10"/>
      <c r="AVX504" s="10"/>
      <c r="AVY504" s="10"/>
      <c r="AVZ504" s="10"/>
      <c r="AWA504" s="10"/>
      <c r="AWB504" s="10"/>
      <c r="AWC504" s="10"/>
      <c r="AWD504" s="10"/>
      <c r="AWE504" s="10"/>
      <c r="AWF504" s="10"/>
      <c r="AWG504" s="10"/>
      <c r="AWH504" s="10"/>
      <c r="AWI504" s="10"/>
      <c r="AWJ504" s="10"/>
      <c r="AWK504" s="10"/>
      <c r="AWL504" s="10"/>
      <c r="AWM504" s="10"/>
      <c r="AWN504" s="10"/>
      <c r="AWO504" s="10"/>
      <c r="AWP504" s="10"/>
      <c r="AWQ504" s="10"/>
      <c r="AWR504" s="10"/>
      <c r="AWS504" s="10"/>
      <c r="AWT504" s="10"/>
      <c r="AWU504" s="10"/>
      <c r="AWV504" s="10"/>
      <c r="AWW504" s="10"/>
      <c r="AWX504" s="10"/>
      <c r="AWY504" s="10"/>
      <c r="AWZ504" s="10"/>
      <c r="AXA504" s="10"/>
      <c r="AXB504" s="10"/>
      <c r="AXC504" s="10"/>
      <c r="AXD504" s="10"/>
      <c r="AXE504" s="10"/>
      <c r="AXF504" s="10"/>
      <c r="AXG504" s="10"/>
      <c r="AXH504" s="10"/>
      <c r="AXI504" s="10"/>
      <c r="AXJ504" s="10"/>
      <c r="AXK504" s="10"/>
      <c r="AXL504" s="10"/>
      <c r="AXM504" s="10"/>
      <c r="AXN504" s="10"/>
      <c r="AXO504" s="10"/>
      <c r="AXP504" s="10"/>
      <c r="AXQ504" s="10"/>
      <c r="AXR504" s="10"/>
      <c r="AXS504" s="10"/>
      <c r="AXT504" s="10"/>
      <c r="AXU504" s="10"/>
      <c r="AXV504" s="10"/>
      <c r="AXW504" s="10"/>
      <c r="AXX504" s="10"/>
      <c r="AXY504" s="10"/>
      <c r="AXZ504" s="10"/>
      <c r="AYA504" s="10"/>
      <c r="AYB504" s="10"/>
      <c r="AYC504" s="10"/>
      <c r="AYD504" s="10"/>
      <c r="AYE504" s="10"/>
      <c r="AYF504" s="10"/>
      <c r="AYG504" s="10"/>
      <c r="AYH504" s="10"/>
      <c r="AYI504" s="10"/>
      <c r="AYJ504" s="10"/>
      <c r="AYK504" s="10"/>
      <c r="AYL504" s="10"/>
      <c r="AYM504" s="10"/>
      <c r="AYN504" s="10"/>
      <c r="AYO504" s="10"/>
      <c r="AYP504" s="10"/>
      <c r="AYQ504" s="10"/>
      <c r="AYR504" s="10"/>
      <c r="AYS504" s="10"/>
      <c r="AYT504" s="10"/>
      <c r="AYU504" s="10"/>
      <c r="AYV504" s="10"/>
      <c r="AYW504" s="10"/>
      <c r="AYX504" s="10"/>
      <c r="AYY504" s="10"/>
      <c r="AYZ504" s="10"/>
      <c r="AZA504" s="10"/>
      <c r="AZB504" s="10"/>
      <c r="AZC504" s="10"/>
      <c r="AZD504" s="10"/>
      <c r="AZE504" s="10"/>
      <c r="AZF504" s="10"/>
      <c r="AZG504" s="10"/>
      <c r="AZH504" s="10"/>
      <c r="AZI504" s="10"/>
      <c r="AZJ504" s="10"/>
      <c r="AZK504" s="10"/>
      <c r="AZL504" s="10"/>
      <c r="AZM504" s="10"/>
      <c r="AZN504" s="10"/>
      <c r="AZO504" s="10"/>
      <c r="AZP504" s="10"/>
      <c r="AZQ504" s="10"/>
      <c r="AZR504" s="10"/>
      <c r="AZS504" s="10"/>
      <c r="AZT504" s="10"/>
      <c r="AZU504" s="10"/>
      <c r="AZV504" s="10"/>
      <c r="AZW504" s="10"/>
      <c r="AZX504" s="10"/>
      <c r="AZY504" s="10"/>
      <c r="AZZ504" s="10"/>
      <c r="BAA504" s="10"/>
      <c r="BAB504" s="10"/>
      <c r="BAC504" s="10"/>
      <c r="BAD504" s="10"/>
      <c r="BAE504" s="10"/>
      <c r="BAF504" s="10"/>
      <c r="BAG504" s="10"/>
      <c r="BAH504" s="10"/>
      <c r="BAI504" s="10"/>
      <c r="BAJ504" s="10"/>
      <c r="BAK504" s="10"/>
      <c r="BAL504" s="10"/>
      <c r="BAM504" s="10"/>
      <c r="BAN504" s="10"/>
      <c r="BAO504" s="10"/>
      <c r="BAP504" s="10"/>
      <c r="BAQ504" s="10"/>
      <c r="BAR504" s="10"/>
      <c r="BAS504" s="10"/>
      <c r="BAT504" s="10"/>
      <c r="BAU504" s="10"/>
      <c r="BAV504" s="10"/>
      <c r="BAW504" s="10"/>
      <c r="BAX504" s="10"/>
      <c r="BAY504" s="10"/>
      <c r="BAZ504" s="10"/>
      <c r="BBA504" s="10"/>
      <c r="BBB504" s="10"/>
      <c r="BBC504" s="10"/>
      <c r="BBD504" s="10"/>
      <c r="BBE504" s="10"/>
      <c r="BBF504" s="10"/>
      <c r="BBG504" s="10"/>
      <c r="BBH504" s="10"/>
      <c r="BBI504" s="10"/>
      <c r="BBJ504" s="10"/>
      <c r="BBK504" s="10"/>
      <c r="BBL504" s="10"/>
      <c r="BBM504" s="10"/>
      <c r="BBN504" s="10"/>
      <c r="BBO504" s="10"/>
      <c r="BBP504" s="10"/>
      <c r="BBQ504" s="10"/>
      <c r="BBR504" s="10"/>
      <c r="BBS504" s="10"/>
      <c r="BBT504" s="10"/>
      <c r="BBU504" s="10"/>
      <c r="BBV504" s="10"/>
      <c r="BBW504" s="10"/>
      <c r="BBX504" s="10"/>
      <c r="BBY504" s="10"/>
      <c r="BBZ504" s="10"/>
      <c r="BCA504" s="10"/>
      <c r="BCB504" s="10"/>
      <c r="BCC504" s="10"/>
      <c r="BCD504" s="10"/>
      <c r="BCE504" s="10"/>
      <c r="BCF504" s="10"/>
      <c r="BCG504" s="10"/>
      <c r="BCH504" s="10"/>
      <c r="BCI504" s="10"/>
      <c r="BCJ504" s="10"/>
      <c r="BCK504" s="10"/>
      <c r="BCL504" s="10"/>
      <c r="BCM504" s="10"/>
      <c r="BCN504" s="10"/>
      <c r="BCO504" s="10"/>
      <c r="BCP504" s="10"/>
      <c r="BCQ504" s="10"/>
      <c r="BCR504" s="10"/>
      <c r="BCS504" s="10"/>
      <c r="BCT504" s="10"/>
      <c r="BCU504" s="10"/>
      <c r="BCV504" s="10"/>
      <c r="BCW504" s="10"/>
      <c r="BCX504" s="10"/>
      <c r="BCY504" s="10"/>
      <c r="BCZ504" s="10"/>
      <c r="BDA504" s="10"/>
      <c r="BDB504" s="10"/>
      <c r="BDC504" s="10"/>
      <c r="BDD504" s="10"/>
      <c r="BDE504" s="10"/>
      <c r="BDF504" s="10"/>
      <c r="BDG504" s="10"/>
      <c r="BDH504" s="10"/>
      <c r="BDI504" s="10"/>
      <c r="BDJ504" s="10"/>
      <c r="BDK504" s="10"/>
      <c r="BDL504" s="10"/>
      <c r="BDM504" s="10"/>
      <c r="BDN504" s="10"/>
      <c r="BDO504" s="10"/>
      <c r="BDP504" s="10"/>
      <c r="BDQ504" s="10"/>
      <c r="BDR504" s="10"/>
      <c r="BDS504" s="10"/>
      <c r="BDT504" s="10"/>
      <c r="BDU504" s="10"/>
      <c r="BDV504" s="10"/>
      <c r="BDW504" s="10"/>
      <c r="BDX504" s="10"/>
      <c r="BDY504" s="10"/>
      <c r="BDZ504" s="10"/>
      <c r="BEA504" s="10"/>
      <c r="BEB504" s="10"/>
      <c r="BEC504" s="10"/>
      <c r="BED504" s="10"/>
      <c r="BEE504" s="10"/>
      <c r="BEF504" s="10"/>
      <c r="BEG504" s="10"/>
      <c r="BEH504" s="10"/>
      <c r="BEI504" s="10"/>
      <c r="BEJ504" s="10"/>
      <c r="BEK504" s="10"/>
      <c r="BEL504" s="10"/>
      <c r="BEM504" s="10"/>
      <c r="BEN504" s="10"/>
      <c r="BEO504" s="10"/>
      <c r="BEP504" s="10"/>
      <c r="BEQ504" s="10"/>
      <c r="BER504" s="10"/>
      <c r="BES504" s="10"/>
      <c r="BET504" s="10"/>
      <c r="BEU504" s="10"/>
      <c r="BEV504" s="10"/>
      <c r="BEW504" s="10"/>
      <c r="BEX504" s="10"/>
      <c r="BEY504" s="10"/>
      <c r="BEZ504" s="10"/>
      <c r="BFA504" s="10"/>
      <c r="BFB504" s="10"/>
      <c r="BFC504" s="10"/>
      <c r="BFD504" s="10"/>
      <c r="BFE504" s="10"/>
      <c r="BFF504" s="10"/>
      <c r="BFG504" s="10"/>
      <c r="BFH504" s="10"/>
      <c r="BFI504" s="10"/>
      <c r="BFJ504" s="10"/>
      <c r="BFK504" s="10"/>
      <c r="BFL504" s="10"/>
      <c r="BFM504" s="10"/>
      <c r="BFN504" s="10"/>
      <c r="BFO504" s="10"/>
      <c r="BFP504" s="10"/>
      <c r="BFQ504" s="10"/>
      <c r="BFR504" s="10"/>
      <c r="BFS504" s="10"/>
      <c r="BFT504" s="10"/>
      <c r="BFU504" s="10"/>
      <c r="BFV504" s="10"/>
      <c r="BFW504" s="10"/>
      <c r="BFX504" s="10"/>
      <c r="BFY504" s="10"/>
      <c r="BFZ504" s="10"/>
      <c r="BGA504" s="10"/>
      <c r="BGB504" s="10"/>
      <c r="BGC504" s="10"/>
      <c r="BGD504" s="10"/>
      <c r="BGE504" s="10"/>
      <c r="BGF504" s="10"/>
      <c r="BGG504" s="10"/>
      <c r="BGH504" s="10"/>
      <c r="BGI504" s="10"/>
      <c r="BGJ504" s="10"/>
      <c r="BGK504" s="10"/>
      <c r="BGL504" s="10"/>
      <c r="BGM504" s="10"/>
      <c r="BGN504" s="10"/>
      <c r="BGO504" s="10"/>
      <c r="BGP504" s="10"/>
      <c r="BGQ504" s="10"/>
      <c r="BGR504" s="10"/>
      <c r="BGS504" s="10"/>
      <c r="BGT504" s="10"/>
      <c r="BGU504" s="10"/>
      <c r="BGV504" s="10"/>
      <c r="BGW504" s="10"/>
      <c r="BGX504" s="10"/>
      <c r="BGY504" s="10"/>
      <c r="BGZ504" s="10"/>
      <c r="BHA504" s="10"/>
      <c r="BHB504" s="10"/>
      <c r="BHC504" s="10"/>
      <c r="BHD504" s="10"/>
      <c r="BHE504" s="10"/>
      <c r="BHF504" s="10"/>
      <c r="BHG504" s="10"/>
      <c r="BHH504" s="10"/>
      <c r="BHI504" s="10"/>
      <c r="BHJ504" s="10"/>
      <c r="BHK504" s="10"/>
      <c r="BHL504" s="10"/>
      <c r="BHM504" s="10"/>
      <c r="BHN504" s="10"/>
      <c r="BHO504" s="10"/>
      <c r="BHP504" s="10"/>
      <c r="BHQ504" s="10"/>
      <c r="BHR504" s="10"/>
      <c r="BHS504" s="10"/>
      <c r="BHT504" s="10"/>
      <c r="BHU504" s="10"/>
      <c r="BHV504" s="10"/>
      <c r="BHW504" s="10"/>
      <c r="BHX504" s="10"/>
      <c r="BHY504" s="10"/>
      <c r="BHZ504" s="10"/>
      <c r="BIA504" s="10"/>
      <c r="BIB504" s="10"/>
      <c r="BIC504" s="10"/>
      <c r="BID504" s="10"/>
      <c r="BIE504" s="10"/>
      <c r="BIF504" s="10"/>
      <c r="BIG504" s="10"/>
      <c r="BIH504" s="10"/>
      <c r="BII504" s="10"/>
      <c r="BIJ504" s="10"/>
      <c r="BIK504" s="10"/>
      <c r="BIL504" s="10"/>
      <c r="BIM504" s="10"/>
      <c r="BIN504" s="10"/>
      <c r="BIO504" s="10"/>
      <c r="BIP504" s="10"/>
      <c r="BIQ504" s="10"/>
      <c r="BIR504" s="10"/>
      <c r="BIS504" s="10"/>
      <c r="BIT504" s="10"/>
      <c r="BIU504" s="10"/>
      <c r="BIV504" s="10"/>
      <c r="BIW504" s="10"/>
      <c r="BIX504" s="10"/>
      <c r="BIY504" s="10"/>
      <c r="BIZ504" s="10"/>
      <c r="BJA504" s="10"/>
      <c r="BJB504" s="10"/>
      <c r="BJC504" s="10"/>
      <c r="BJD504" s="10"/>
      <c r="BJE504" s="10"/>
      <c r="BJF504" s="10"/>
      <c r="BJG504" s="10"/>
      <c r="BJH504" s="10"/>
      <c r="BJI504" s="10"/>
      <c r="BJJ504" s="10"/>
      <c r="BJK504" s="10"/>
      <c r="BJL504" s="10"/>
      <c r="BJM504" s="10"/>
      <c r="BJN504" s="10"/>
      <c r="BJO504" s="10"/>
      <c r="BJP504" s="10"/>
      <c r="BJQ504" s="10"/>
      <c r="BJR504" s="10"/>
      <c r="BJS504" s="10"/>
      <c r="BJT504" s="10"/>
      <c r="BJU504" s="10"/>
      <c r="BJV504" s="10"/>
      <c r="BJW504" s="10"/>
      <c r="BJX504" s="10"/>
      <c r="BJY504" s="10"/>
      <c r="BJZ504" s="10"/>
      <c r="BKA504" s="10"/>
      <c r="BKB504" s="10"/>
      <c r="BKC504" s="10"/>
      <c r="BKD504" s="10"/>
      <c r="BKE504" s="10"/>
      <c r="BKF504" s="10"/>
      <c r="BKG504" s="10"/>
      <c r="BKH504" s="10"/>
      <c r="BKI504" s="10"/>
      <c r="BKJ504" s="10"/>
      <c r="BKK504" s="10"/>
      <c r="BKL504" s="10"/>
      <c r="BKM504" s="10"/>
      <c r="BKN504" s="10"/>
      <c r="BKO504" s="10"/>
      <c r="BKP504" s="10"/>
      <c r="BKQ504" s="10"/>
      <c r="BKR504" s="10"/>
      <c r="BKS504" s="10"/>
      <c r="BKT504" s="10"/>
      <c r="BKU504" s="10"/>
      <c r="BKV504" s="10"/>
      <c r="BKW504" s="10"/>
      <c r="BKX504" s="10"/>
      <c r="BKY504" s="10"/>
      <c r="BKZ504" s="10"/>
      <c r="BLA504" s="10"/>
      <c r="BLB504" s="10"/>
      <c r="BLC504" s="10"/>
      <c r="BLD504" s="10"/>
      <c r="BLE504" s="10"/>
      <c r="BLF504" s="10"/>
      <c r="BLG504" s="10"/>
      <c r="BLH504" s="10"/>
      <c r="BLI504" s="10"/>
      <c r="BLJ504" s="10"/>
      <c r="BLK504" s="10"/>
      <c r="BLL504" s="10"/>
      <c r="BLM504" s="10"/>
      <c r="BLN504" s="10"/>
      <c r="BLO504" s="10"/>
      <c r="BLP504" s="10"/>
      <c r="BLQ504" s="10"/>
      <c r="BLR504" s="10"/>
      <c r="BLS504" s="10"/>
      <c r="BLT504" s="10"/>
      <c r="BLU504" s="10"/>
      <c r="BLV504" s="10"/>
      <c r="BLW504" s="10"/>
      <c r="BLX504" s="10"/>
      <c r="BLY504" s="10"/>
      <c r="BLZ504" s="10"/>
      <c r="BMA504" s="10"/>
      <c r="BMB504" s="10"/>
      <c r="BMC504" s="10"/>
      <c r="BMD504" s="10"/>
      <c r="BME504" s="10"/>
      <c r="BMF504" s="10"/>
      <c r="BMG504" s="10"/>
      <c r="BMH504" s="10"/>
      <c r="BMI504" s="10"/>
      <c r="BMJ504" s="10"/>
      <c r="BMK504" s="10"/>
      <c r="BML504" s="10"/>
      <c r="BMM504" s="10"/>
      <c r="BMN504" s="10"/>
      <c r="BMO504" s="10"/>
      <c r="BMP504" s="10"/>
      <c r="BMQ504" s="10"/>
      <c r="BMR504" s="10"/>
      <c r="BMS504" s="10"/>
      <c r="BMT504" s="10"/>
      <c r="BMU504" s="10"/>
      <c r="BMV504" s="10"/>
      <c r="BMW504" s="10"/>
      <c r="BMX504" s="10"/>
      <c r="BMY504" s="10"/>
      <c r="BMZ504" s="10"/>
      <c r="BNA504" s="10"/>
      <c r="BNB504" s="10"/>
      <c r="BNC504" s="10"/>
      <c r="BND504" s="10"/>
      <c r="BNE504" s="10"/>
      <c r="BNF504" s="10"/>
      <c r="BNG504" s="10"/>
      <c r="BNH504" s="10"/>
      <c r="BNI504" s="10"/>
      <c r="BNJ504" s="10"/>
      <c r="BNK504" s="10"/>
      <c r="BNL504" s="10"/>
      <c r="BNM504" s="10"/>
      <c r="BNN504" s="10"/>
      <c r="BNO504" s="10"/>
      <c r="BNP504" s="10"/>
      <c r="BNQ504" s="10"/>
      <c r="BNR504" s="10"/>
      <c r="BNS504" s="10"/>
      <c r="BNT504" s="10"/>
      <c r="BNU504" s="10"/>
      <c r="BNV504" s="10"/>
      <c r="BNW504" s="10"/>
      <c r="BNX504" s="10"/>
      <c r="BNY504" s="10"/>
      <c r="BNZ504" s="10"/>
      <c r="BOA504" s="10"/>
      <c r="BOB504" s="10"/>
      <c r="BOC504" s="10"/>
      <c r="BOD504" s="10"/>
      <c r="BOE504" s="10"/>
      <c r="BOF504" s="10"/>
      <c r="BOG504" s="10"/>
      <c r="BOH504" s="10"/>
      <c r="BOI504" s="10"/>
      <c r="BOJ504" s="10"/>
      <c r="BOK504" s="10"/>
      <c r="BOL504" s="10"/>
      <c r="BOM504" s="10"/>
      <c r="BON504" s="10"/>
      <c r="BOO504" s="10"/>
      <c r="BOP504" s="10"/>
      <c r="BOQ504" s="10"/>
      <c r="BOR504" s="10"/>
      <c r="BOS504" s="10"/>
      <c r="BOT504" s="10"/>
      <c r="BOU504" s="10"/>
      <c r="BOV504" s="10"/>
      <c r="BOW504" s="10"/>
      <c r="BOX504" s="10"/>
      <c r="BOY504" s="10"/>
      <c r="BOZ504" s="10"/>
      <c r="BPA504" s="10"/>
      <c r="BPB504" s="10"/>
      <c r="BPC504" s="10"/>
      <c r="BPD504" s="10"/>
      <c r="BPE504" s="10"/>
      <c r="BPF504" s="10"/>
      <c r="BPG504" s="10"/>
      <c r="BPH504" s="10"/>
      <c r="BPI504" s="10"/>
      <c r="BPJ504" s="10"/>
      <c r="BPK504" s="10"/>
      <c r="BPL504" s="10"/>
      <c r="BPM504" s="10"/>
      <c r="BPN504" s="10"/>
      <c r="BPO504" s="10"/>
      <c r="BPP504" s="10"/>
      <c r="BPQ504" s="10"/>
      <c r="BPR504" s="10"/>
      <c r="BPS504" s="10"/>
      <c r="BPT504" s="10"/>
      <c r="BPU504" s="10"/>
      <c r="BPV504" s="10"/>
      <c r="BPW504" s="10"/>
      <c r="BPX504" s="10"/>
      <c r="BPY504" s="10"/>
      <c r="BPZ504" s="10"/>
      <c r="BQA504" s="10"/>
      <c r="BQB504" s="10"/>
      <c r="BQC504" s="10"/>
      <c r="BQD504" s="10"/>
      <c r="BQE504" s="10"/>
      <c r="BQF504" s="10"/>
      <c r="BQG504" s="10"/>
      <c r="BQH504" s="10"/>
      <c r="BQI504" s="10"/>
      <c r="BQJ504" s="10"/>
      <c r="BQK504" s="10"/>
      <c r="BQL504" s="10"/>
      <c r="BQM504" s="10"/>
      <c r="BQN504" s="10"/>
      <c r="BQO504" s="10"/>
      <c r="BQP504" s="10"/>
      <c r="BQQ504" s="10"/>
      <c r="BQR504" s="10"/>
      <c r="BQS504" s="10"/>
      <c r="BQT504" s="10"/>
      <c r="BQU504" s="10"/>
      <c r="BQV504" s="10"/>
      <c r="BQW504" s="10"/>
      <c r="BQX504" s="10"/>
      <c r="BQY504" s="10"/>
      <c r="BQZ504" s="10"/>
      <c r="BRA504" s="10"/>
      <c r="BRB504" s="10"/>
      <c r="BRC504" s="10"/>
      <c r="BRD504" s="10"/>
      <c r="BRE504" s="10"/>
      <c r="BRF504" s="10"/>
      <c r="BRG504" s="10"/>
      <c r="BRH504" s="10"/>
      <c r="BRI504" s="10"/>
      <c r="BRJ504" s="10"/>
      <c r="BRK504" s="10"/>
      <c r="BRL504" s="10"/>
      <c r="BRM504" s="10"/>
      <c r="BRN504" s="10"/>
      <c r="BRO504" s="10"/>
      <c r="BRP504" s="10"/>
      <c r="BRQ504" s="10"/>
      <c r="BRR504" s="10"/>
      <c r="BRS504" s="10"/>
      <c r="BRT504" s="10"/>
      <c r="BRU504" s="10"/>
      <c r="BRV504" s="10"/>
      <c r="BRW504" s="10"/>
      <c r="BRX504" s="10"/>
      <c r="BRY504" s="10"/>
      <c r="BRZ504" s="10"/>
      <c r="BSA504" s="10"/>
      <c r="BSB504" s="10"/>
      <c r="BSC504" s="10"/>
      <c r="BSD504" s="10"/>
      <c r="BSE504" s="10"/>
      <c r="BSF504" s="10"/>
      <c r="BSG504" s="10"/>
      <c r="BSH504" s="10"/>
      <c r="BSI504" s="10"/>
      <c r="BSJ504" s="10"/>
      <c r="BSK504" s="10"/>
      <c r="BSL504" s="10"/>
      <c r="BSM504" s="10"/>
      <c r="BSN504" s="10"/>
      <c r="BSO504" s="10"/>
      <c r="BSP504" s="10"/>
      <c r="BSQ504" s="10"/>
      <c r="BSR504" s="10"/>
      <c r="BSS504" s="10"/>
      <c r="BST504" s="10"/>
      <c r="BSU504" s="10"/>
      <c r="BSV504" s="10"/>
      <c r="BSW504" s="10"/>
      <c r="BSX504" s="10"/>
      <c r="BSY504" s="10"/>
      <c r="BSZ504" s="10"/>
      <c r="BTA504" s="10"/>
      <c r="BTB504" s="10"/>
      <c r="BTC504" s="10"/>
      <c r="BTD504" s="10"/>
      <c r="BTE504" s="10"/>
      <c r="BTF504" s="10"/>
      <c r="BTG504" s="10"/>
      <c r="BTH504" s="10"/>
      <c r="BTI504" s="10"/>
      <c r="BTJ504" s="10"/>
      <c r="BTK504" s="10"/>
      <c r="BTL504" s="10"/>
      <c r="BTM504" s="10"/>
      <c r="BTN504" s="10"/>
      <c r="BTO504" s="10"/>
      <c r="BTP504" s="10"/>
      <c r="BTQ504" s="10"/>
      <c r="BTR504" s="10"/>
      <c r="BTS504" s="10"/>
      <c r="BTT504" s="10"/>
    </row>
    <row r="505" spans="1:1892" s="10" customFormat="1" ht="35.1" customHeight="1">
      <c r="A505" s="1462"/>
      <c r="B505" s="940" t="s">
        <v>682</v>
      </c>
      <c r="C505" s="699" t="s">
        <v>88</v>
      </c>
      <c r="D505" s="1164" t="s">
        <v>315</v>
      </c>
      <c r="E505" s="1165"/>
      <c r="F505" s="1166"/>
      <c r="G505" s="639" t="s">
        <v>283</v>
      </c>
      <c r="H505" s="639" t="s">
        <v>377</v>
      </c>
      <c r="I505" s="639" t="s">
        <v>284</v>
      </c>
      <c r="J505" s="529" t="s">
        <v>11</v>
      </c>
      <c r="K505" s="529" t="s">
        <v>12</v>
      </c>
      <c r="L505" s="180" t="s">
        <v>316</v>
      </c>
      <c r="M505" s="231">
        <v>28</v>
      </c>
      <c r="N505" s="395">
        <v>0</v>
      </c>
      <c r="O505" s="395">
        <v>0</v>
      </c>
      <c r="P505" s="713" t="s">
        <v>459</v>
      </c>
      <c r="Q505" s="713" t="s">
        <v>415</v>
      </c>
      <c r="R505" s="713" t="s">
        <v>424</v>
      </c>
      <c r="S505" s="1687" t="s">
        <v>57</v>
      </c>
      <c r="T505" s="1633" t="s">
        <v>87</v>
      </c>
      <c r="U505" s="1633" t="s">
        <v>86</v>
      </c>
    </row>
    <row r="506" spans="1:1892" s="10" customFormat="1" ht="35.1" customHeight="1">
      <c r="A506" s="1462"/>
      <c r="B506" s="941"/>
      <c r="C506" s="1040"/>
      <c r="D506" s="1167"/>
      <c r="E506" s="1168"/>
      <c r="F506" s="1169"/>
      <c r="G506" s="640"/>
      <c r="H506" s="640"/>
      <c r="I506" s="640"/>
      <c r="J506" s="530"/>
      <c r="K506" s="530"/>
      <c r="L506" s="180" t="s">
        <v>317</v>
      </c>
      <c r="M506" s="231">
        <v>170</v>
      </c>
      <c r="N506" s="395">
        <v>0</v>
      </c>
      <c r="O506" s="395">
        <v>0</v>
      </c>
      <c r="P506" s="714"/>
      <c r="Q506" s="714"/>
      <c r="R506" s="714"/>
      <c r="S506" s="1688"/>
      <c r="T506" s="1634"/>
      <c r="U506" s="1634"/>
    </row>
    <row r="507" spans="1:1892" s="10" customFormat="1" ht="35.1" customHeight="1">
      <c r="A507" s="1462"/>
      <c r="B507" s="941"/>
      <c r="C507" s="1040"/>
      <c r="D507" s="1167"/>
      <c r="E507" s="1168"/>
      <c r="F507" s="1169"/>
      <c r="G507" s="640"/>
      <c r="H507" s="640"/>
      <c r="I507" s="640"/>
      <c r="J507" s="530"/>
      <c r="K507" s="530"/>
      <c r="L507" s="180" t="s">
        <v>318</v>
      </c>
      <c r="M507" s="231">
        <v>142</v>
      </c>
      <c r="N507" s="395"/>
      <c r="O507" s="395"/>
      <c r="P507" s="714"/>
      <c r="Q507" s="714"/>
      <c r="R507" s="714"/>
      <c r="S507" s="1688"/>
      <c r="T507" s="1634"/>
      <c r="U507" s="1634"/>
    </row>
    <row r="508" spans="1:1892" s="10" customFormat="1" ht="35.1" customHeight="1">
      <c r="A508" s="1462"/>
      <c r="B508" s="941"/>
      <c r="C508" s="1040"/>
      <c r="D508" s="1167"/>
      <c r="E508" s="1168"/>
      <c r="F508" s="1169"/>
      <c r="G508" s="640"/>
      <c r="H508" s="640"/>
      <c r="I508" s="640"/>
      <c r="J508" s="530"/>
      <c r="K508" s="530"/>
      <c r="L508" s="180">
        <v>107</v>
      </c>
      <c r="M508" s="231">
        <v>84</v>
      </c>
      <c r="N508" s="395">
        <v>0</v>
      </c>
      <c r="O508" s="395">
        <v>0</v>
      </c>
      <c r="P508" s="714"/>
      <c r="Q508" s="714"/>
      <c r="R508" s="714"/>
      <c r="S508" s="1688"/>
      <c r="T508" s="1634"/>
      <c r="U508" s="1634"/>
    </row>
    <row r="509" spans="1:1892" s="10" customFormat="1" ht="35.1" customHeight="1">
      <c r="A509" s="1462"/>
      <c r="B509" s="941"/>
      <c r="C509" s="1040"/>
      <c r="D509" s="1167"/>
      <c r="E509" s="1168"/>
      <c r="F509" s="1169"/>
      <c r="G509" s="640"/>
      <c r="H509" s="640"/>
      <c r="I509" s="640"/>
      <c r="J509" s="530"/>
      <c r="K509" s="530"/>
      <c r="L509" s="180" t="s">
        <v>319</v>
      </c>
      <c r="M509" s="231">
        <v>2</v>
      </c>
      <c r="N509" s="395">
        <v>1</v>
      </c>
      <c r="O509" s="395">
        <v>1</v>
      </c>
      <c r="P509" s="714"/>
      <c r="Q509" s="714"/>
      <c r="R509" s="714"/>
      <c r="S509" s="1688"/>
      <c r="T509" s="1634"/>
      <c r="U509" s="1634"/>
    </row>
    <row r="510" spans="1:1892" s="10" customFormat="1" ht="35.1" customHeight="1">
      <c r="A510" s="1462"/>
      <c r="B510" s="941"/>
      <c r="C510" s="1040"/>
      <c r="D510" s="1167"/>
      <c r="E510" s="1168"/>
      <c r="F510" s="1169"/>
      <c r="G510" s="641"/>
      <c r="H510" s="641"/>
      <c r="I510" s="641"/>
      <c r="J510" s="531"/>
      <c r="K510" s="531"/>
      <c r="L510" s="180" t="s">
        <v>320</v>
      </c>
      <c r="M510" s="231">
        <v>2</v>
      </c>
      <c r="N510" s="395">
        <v>1</v>
      </c>
      <c r="O510" s="395">
        <v>1</v>
      </c>
      <c r="P510" s="714"/>
      <c r="Q510" s="714"/>
      <c r="R510" s="714"/>
      <c r="S510" s="1688"/>
      <c r="T510" s="1634"/>
      <c r="U510" s="1634"/>
    </row>
    <row r="511" spans="1:1892" s="10" customFormat="1" ht="35.1" customHeight="1">
      <c r="A511" s="1462"/>
      <c r="B511" s="941"/>
      <c r="C511" s="700"/>
      <c r="D511" s="1170"/>
      <c r="E511" s="1171"/>
      <c r="F511" s="1172"/>
      <c r="G511" s="490" t="s">
        <v>329</v>
      </c>
      <c r="H511" s="491"/>
      <c r="I511" s="491"/>
      <c r="J511" s="491"/>
      <c r="K511" s="492"/>
      <c r="L511" s="181"/>
      <c r="M511" s="224">
        <f t="shared" ref="M511" si="30">SUM(M505:M510)</f>
        <v>428</v>
      </c>
      <c r="N511" s="263">
        <f t="shared" ref="N511:O511" si="31">SUM(N505:N510)</f>
        <v>2</v>
      </c>
      <c r="O511" s="263">
        <f t="shared" si="31"/>
        <v>2</v>
      </c>
      <c r="P511" s="715"/>
      <c r="Q511" s="715"/>
      <c r="R511" s="715"/>
      <c r="S511" s="1689"/>
      <c r="T511" s="1635"/>
      <c r="U511" s="1635"/>
    </row>
    <row r="512" spans="1:1892" s="10" customFormat="1" ht="35.1" customHeight="1">
      <c r="A512" s="1462"/>
      <c r="B512" s="941"/>
      <c r="C512" s="639" t="s">
        <v>92</v>
      </c>
      <c r="D512" s="1164" t="s">
        <v>321</v>
      </c>
      <c r="E512" s="1165"/>
      <c r="F512" s="1166"/>
      <c r="G512" s="639" t="s">
        <v>280</v>
      </c>
      <c r="H512" s="639" t="s">
        <v>281</v>
      </c>
      <c r="I512" s="639" t="s">
        <v>282</v>
      </c>
      <c r="J512" s="653" t="s">
        <v>11</v>
      </c>
      <c r="K512" s="653" t="s">
        <v>12</v>
      </c>
      <c r="L512" s="137" t="s">
        <v>91</v>
      </c>
      <c r="M512" s="221">
        <v>315</v>
      </c>
      <c r="N512" s="143">
        <v>1</v>
      </c>
      <c r="O512" s="143">
        <v>1</v>
      </c>
      <c r="P512" s="1605" t="s">
        <v>460</v>
      </c>
      <c r="Q512" s="1605" t="s">
        <v>461</v>
      </c>
      <c r="R512" s="1605" t="s">
        <v>462</v>
      </c>
      <c r="S512" s="1573" t="s">
        <v>57</v>
      </c>
      <c r="T512" s="1758" t="s">
        <v>997</v>
      </c>
      <c r="U512" s="1555" t="s">
        <v>17</v>
      </c>
    </row>
    <row r="513" spans="1:21" s="10" customFormat="1" ht="35.1" customHeight="1">
      <c r="A513" s="1462"/>
      <c r="B513" s="941"/>
      <c r="C513" s="640"/>
      <c r="D513" s="1167"/>
      <c r="E513" s="1168"/>
      <c r="F513" s="1169"/>
      <c r="G513" s="640"/>
      <c r="H513" s="640"/>
      <c r="I513" s="640"/>
      <c r="J513" s="654"/>
      <c r="K513" s="654"/>
      <c r="L513" s="137" t="s">
        <v>90</v>
      </c>
      <c r="M513" s="221">
        <v>79</v>
      </c>
      <c r="N513" s="143">
        <v>0</v>
      </c>
      <c r="O513" s="143">
        <v>0</v>
      </c>
      <c r="P513" s="1606"/>
      <c r="Q513" s="1606"/>
      <c r="R513" s="1606"/>
      <c r="S513" s="1574"/>
      <c r="T513" s="1759"/>
      <c r="U513" s="1556"/>
    </row>
    <row r="514" spans="1:21" s="10" customFormat="1" ht="35.1" customHeight="1">
      <c r="A514" s="1462"/>
      <c r="B514" s="941"/>
      <c r="C514" s="640"/>
      <c r="D514" s="1167"/>
      <c r="E514" s="1168"/>
      <c r="F514" s="1169"/>
      <c r="G514" s="640"/>
      <c r="H514" s="640"/>
      <c r="I514" s="640"/>
      <c r="J514" s="654"/>
      <c r="K514" s="654"/>
      <c r="L514" s="137" t="s">
        <v>89</v>
      </c>
      <c r="M514" s="221">
        <v>115</v>
      </c>
      <c r="N514" s="143">
        <v>0</v>
      </c>
      <c r="O514" s="143">
        <v>0</v>
      </c>
      <c r="P514" s="1606"/>
      <c r="Q514" s="1606"/>
      <c r="R514" s="1606"/>
      <c r="S514" s="1574"/>
      <c r="T514" s="1759"/>
      <c r="U514" s="1556"/>
    </row>
    <row r="515" spans="1:21" s="10" customFormat="1" ht="35.1" customHeight="1">
      <c r="A515" s="1462"/>
      <c r="B515" s="941"/>
      <c r="C515" s="640"/>
      <c r="D515" s="1167"/>
      <c r="E515" s="1168"/>
      <c r="F515" s="1169"/>
      <c r="G515" s="641"/>
      <c r="H515" s="641"/>
      <c r="I515" s="641"/>
      <c r="J515" s="655"/>
      <c r="K515" s="655"/>
      <c r="L515" s="137">
        <v>99.993700000000004</v>
      </c>
      <c r="M515" s="221">
        <v>76</v>
      </c>
      <c r="N515" s="143">
        <v>1</v>
      </c>
      <c r="O515" s="143">
        <v>1</v>
      </c>
      <c r="P515" s="1606"/>
      <c r="Q515" s="1606"/>
      <c r="R515" s="1606"/>
      <c r="S515" s="1574"/>
      <c r="T515" s="1759"/>
      <c r="U515" s="1556"/>
    </row>
    <row r="516" spans="1:21" s="10" customFormat="1" ht="35.1" customHeight="1">
      <c r="A516" s="1462"/>
      <c r="B516" s="941"/>
      <c r="C516" s="641"/>
      <c r="D516" s="1170"/>
      <c r="E516" s="1171"/>
      <c r="F516" s="1172"/>
      <c r="G516" s="490" t="s">
        <v>329</v>
      </c>
      <c r="H516" s="491"/>
      <c r="I516" s="491"/>
      <c r="J516" s="491"/>
      <c r="K516" s="492"/>
      <c r="L516" s="145"/>
      <c r="M516" s="249">
        <f>SUM(M512:M515)</f>
        <v>585</v>
      </c>
      <c r="N516" s="246">
        <f>SUM(N512:N515)</f>
        <v>2</v>
      </c>
      <c r="O516" s="246">
        <f>SUM(O512:O515)</f>
        <v>2</v>
      </c>
      <c r="P516" s="1607"/>
      <c r="Q516" s="1607"/>
      <c r="R516" s="1607"/>
      <c r="S516" s="1575"/>
      <c r="T516" s="1760"/>
      <c r="U516" s="1557"/>
    </row>
    <row r="517" spans="1:21" s="15" customFormat="1" ht="35.1" customHeight="1">
      <c r="A517" s="1462"/>
      <c r="B517" s="941"/>
      <c r="C517" s="918" t="s">
        <v>80</v>
      </c>
      <c r="D517" s="1164" t="s">
        <v>79</v>
      </c>
      <c r="E517" s="1165"/>
      <c r="F517" s="1166"/>
      <c r="G517" s="639" t="s">
        <v>285</v>
      </c>
      <c r="H517" s="639" t="s">
        <v>286</v>
      </c>
      <c r="I517" s="639" t="s">
        <v>287</v>
      </c>
      <c r="J517" s="898" t="s">
        <v>11</v>
      </c>
      <c r="K517" s="898" t="s">
        <v>12</v>
      </c>
      <c r="L517" s="179" t="s">
        <v>322</v>
      </c>
      <c r="M517" s="264">
        <v>16</v>
      </c>
      <c r="N517" s="143">
        <v>0</v>
      </c>
      <c r="O517" s="143">
        <v>0</v>
      </c>
      <c r="P517" s="1602" t="s">
        <v>463</v>
      </c>
      <c r="Q517" s="1602" t="s">
        <v>464</v>
      </c>
      <c r="R517" s="1602" t="s">
        <v>465</v>
      </c>
      <c r="S517" s="1573" t="s">
        <v>57</v>
      </c>
      <c r="T517" s="1737" t="s">
        <v>54</v>
      </c>
      <c r="U517" s="1737" t="s">
        <v>11</v>
      </c>
    </row>
    <row r="518" spans="1:21" s="15" customFormat="1" ht="35.1" customHeight="1">
      <c r="A518" s="1462"/>
      <c r="B518" s="941"/>
      <c r="C518" s="919"/>
      <c r="D518" s="1167"/>
      <c r="E518" s="1168"/>
      <c r="F518" s="1169"/>
      <c r="G518" s="640"/>
      <c r="H518" s="640"/>
      <c r="I518" s="640"/>
      <c r="J518" s="1163"/>
      <c r="K518" s="1163"/>
      <c r="L518" s="179" t="s">
        <v>323</v>
      </c>
      <c r="M518" s="264">
        <v>176</v>
      </c>
      <c r="N518" s="402">
        <v>0</v>
      </c>
      <c r="O518" s="402">
        <v>0</v>
      </c>
      <c r="P518" s="1603"/>
      <c r="Q518" s="1603"/>
      <c r="R518" s="1603"/>
      <c r="S518" s="1574"/>
      <c r="T518" s="1738"/>
      <c r="U518" s="1738"/>
    </row>
    <row r="519" spans="1:21" s="15" customFormat="1" ht="35.1" customHeight="1">
      <c r="A519" s="1462"/>
      <c r="B519" s="941"/>
      <c r="C519" s="919"/>
      <c r="D519" s="1167"/>
      <c r="E519" s="1168"/>
      <c r="F519" s="1169"/>
      <c r="G519" s="640"/>
      <c r="H519" s="640"/>
      <c r="I519" s="640"/>
      <c r="J519" s="1163"/>
      <c r="K519" s="1163"/>
      <c r="L519" s="179" t="s">
        <v>324</v>
      </c>
      <c r="M519" s="264">
        <v>16</v>
      </c>
      <c r="N519" s="402">
        <v>0</v>
      </c>
      <c r="O519" s="402">
        <v>0</v>
      </c>
      <c r="P519" s="1603"/>
      <c r="Q519" s="1603"/>
      <c r="R519" s="1603"/>
      <c r="S519" s="1574"/>
      <c r="T519" s="1738"/>
      <c r="U519" s="1738"/>
    </row>
    <row r="520" spans="1:21" s="15" customFormat="1" ht="35.1" customHeight="1">
      <c r="A520" s="1462"/>
      <c r="B520" s="941"/>
      <c r="C520" s="919"/>
      <c r="D520" s="1167"/>
      <c r="E520" s="1168"/>
      <c r="F520" s="1169"/>
      <c r="G520" s="640"/>
      <c r="H520" s="640"/>
      <c r="I520" s="640"/>
      <c r="J520" s="1163"/>
      <c r="K520" s="1163"/>
      <c r="L520" s="179" t="s">
        <v>325</v>
      </c>
      <c r="M520" s="264">
        <v>16</v>
      </c>
      <c r="N520" s="402">
        <v>0</v>
      </c>
      <c r="O520" s="402">
        <v>0</v>
      </c>
      <c r="P520" s="1603"/>
      <c r="Q520" s="1603"/>
      <c r="R520" s="1603"/>
      <c r="S520" s="1574"/>
      <c r="T520" s="1738"/>
      <c r="U520" s="1738"/>
    </row>
    <row r="521" spans="1:21" s="15" customFormat="1" ht="35.1" customHeight="1">
      <c r="A521" s="1462"/>
      <c r="B521" s="941"/>
      <c r="C521" s="919"/>
      <c r="D521" s="1167"/>
      <c r="E521" s="1168"/>
      <c r="F521" s="1169"/>
      <c r="G521" s="640"/>
      <c r="H521" s="640"/>
      <c r="I521" s="640"/>
      <c r="J521" s="1163"/>
      <c r="K521" s="1163"/>
      <c r="L521" s="179" t="s">
        <v>326</v>
      </c>
      <c r="M521" s="264">
        <v>48</v>
      </c>
      <c r="N521" s="402">
        <v>0</v>
      </c>
      <c r="O521" s="402">
        <v>0</v>
      </c>
      <c r="P521" s="1603"/>
      <c r="Q521" s="1603"/>
      <c r="R521" s="1603"/>
      <c r="S521" s="1574"/>
      <c r="T521" s="1738"/>
      <c r="U521" s="1738"/>
    </row>
    <row r="522" spans="1:21" s="15" customFormat="1" ht="35.1" customHeight="1">
      <c r="A522" s="1462"/>
      <c r="B522" s="941"/>
      <c r="C522" s="919"/>
      <c r="D522" s="1167"/>
      <c r="E522" s="1168"/>
      <c r="F522" s="1169"/>
      <c r="G522" s="641"/>
      <c r="H522" s="641"/>
      <c r="I522" s="641"/>
      <c r="J522" s="899"/>
      <c r="K522" s="899"/>
      <c r="L522" s="179" t="s">
        <v>327</v>
      </c>
      <c r="M522" s="264">
        <v>16</v>
      </c>
      <c r="N522" s="402">
        <v>0</v>
      </c>
      <c r="O522" s="402">
        <v>0</v>
      </c>
      <c r="P522" s="1603"/>
      <c r="Q522" s="1603"/>
      <c r="R522" s="1603"/>
      <c r="S522" s="1574"/>
      <c r="T522" s="1738"/>
      <c r="U522" s="1738"/>
    </row>
    <row r="523" spans="1:21" s="15" customFormat="1" ht="35.1" customHeight="1">
      <c r="A523" s="1462"/>
      <c r="B523" s="941"/>
      <c r="C523" s="920"/>
      <c r="D523" s="1170"/>
      <c r="E523" s="1171"/>
      <c r="F523" s="1172"/>
      <c r="G523" s="490" t="s">
        <v>329</v>
      </c>
      <c r="H523" s="491"/>
      <c r="I523" s="491"/>
      <c r="J523" s="491"/>
      <c r="K523" s="492"/>
      <c r="L523" s="145"/>
      <c r="M523" s="249">
        <f>SUM(M517:M522)</f>
        <v>288</v>
      </c>
      <c r="N523" s="246">
        <f>SUM(N517:N522)</f>
        <v>0</v>
      </c>
      <c r="O523" s="246">
        <f>SUM(O517:O522)</f>
        <v>0</v>
      </c>
      <c r="P523" s="1604"/>
      <c r="Q523" s="1604"/>
      <c r="R523" s="1604"/>
      <c r="S523" s="1575"/>
      <c r="T523" s="1739"/>
      <c r="U523" s="1739"/>
    </row>
    <row r="524" spans="1:21" s="15" customFormat="1" ht="35.1" customHeight="1">
      <c r="A524" s="1462"/>
      <c r="B524" s="941"/>
      <c r="C524" s="918" t="s">
        <v>304</v>
      </c>
      <c r="D524" s="1164" t="s">
        <v>305</v>
      </c>
      <c r="E524" s="1165"/>
      <c r="F524" s="1166"/>
      <c r="G524" s="639" t="s">
        <v>306</v>
      </c>
      <c r="H524" s="639" t="s">
        <v>307</v>
      </c>
      <c r="I524" s="639" t="s">
        <v>328</v>
      </c>
      <c r="J524" s="653" t="s">
        <v>11</v>
      </c>
      <c r="K524" s="653" t="s">
        <v>12</v>
      </c>
      <c r="L524" s="118">
        <v>59.980899999999998</v>
      </c>
      <c r="M524" s="221">
        <v>145</v>
      </c>
      <c r="N524" s="129">
        <v>26</v>
      </c>
      <c r="O524" s="129">
        <v>26</v>
      </c>
      <c r="P524" s="579" t="s">
        <v>407</v>
      </c>
      <c r="Q524" s="579" t="s">
        <v>416</v>
      </c>
      <c r="R524" s="1684" t="s">
        <v>474</v>
      </c>
      <c r="S524" s="1573" t="s">
        <v>188</v>
      </c>
      <c r="T524" s="811" t="s">
        <v>308</v>
      </c>
      <c r="U524" s="811" t="s">
        <v>11</v>
      </c>
    </row>
    <row r="525" spans="1:21" s="15" customFormat="1" ht="35.1" customHeight="1">
      <c r="A525" s="1462"/>
      <c r="B525" s="941"/>
      <c r="C525" s="919"/>
      <c r="D525" s="1167"/>
      <c r="E525" s="1168"/>
      <c r="F525" s="1169"/>
      <c r="G525" s="640"/>
      <c r="H525" s="640"/>
      <c r="I525" s="640"/>
      <c r="J525" s="654"/>
      <c r="K525" s="654"/>
      <c r="L525" s="118">
        <v>59.988999999999997</v>
      </c>
      <c r="M525" s="221">
        <v>37</v>
      </c>
      <c r="N525" s="129">
        <v>15</v>
      </c>
      <c r="O525" s="129">
        <v>15</v>
      </c>
      <c r="P525" s="580"/>
      <c r="Q525" s="580"/>
      <c r="R525" s="1685"/>
      <c r="S525" s="1574"/>
      <c r="T525" s="812"/>
      <c r="U525" s="812"/>
    </row>
    <row r="526" spans="1:21" s="15" customFormat="1" ht="35.1" customHeight="1">
      <c r="A526" s="1462"/>
      <c r="B526" s="941"/>
      <c r="C526" s="919"/>
      <c r="D526" s="1167"/>
      <c r="E526" s="1168"/>
      <c r="F526" s="1169"/>
      <c r="G526" s="640"/>
      <c r="H526" s="640"/>
      <c r="I526" s="640"/>
      <c r="J526" s="654"/>
      <c r="K526" s="654"/>
      <c r="L526" s="118">
        <v>79.922399999999996</v>
      </c>
      <c r="M526" s="221">
        <v>9</v>
      </c>
      <c r="N526" s="129">
        <v>1</v>
      </c>
      <c r="O526" s="129">
        <v>1</v>
      </c>
      <c r="P526" s="580"/>
      <c r="Q526" s="580"/>
      <c r="R526" s="1685"/>
      <c r="S526" s="1574"/>
      <c r="T526" s="812"/>
      <c r="U526" s="812"/>
    </row>
    <row r="527" spans="1:21" s="15" customFormat="1" ht="35.1" customHeight="1">
      <c r="A527" s="1462"/>
      <c r="B527" s="941"/>
      <c r="C527" s="919"/>
      <c r="D527" s="1167"/>
      <c r="E527" s="1168"/>
      <c r="F527" s="1169"/>
      <c r="G527" s="641"/>
      <c r="H527" s="641"/>
      <c r="I527" s="641"/>
      <c r="J527" s="655"/>
      <c r="K527" s="655"/>
      <c r="L527" s="118">
        <v>79.973500000000001</v>
      </c>
      <c r="M527" s="221">
        <v>33</v>
      </c>
      <c r="N527" s="129">
        <v>11</v>
      </c>
      <c r="O527" s="129">
        <v>11</v>
      </c>
      <c r="P527" s="580"/>
      <c r="Q527" s="580"/>
      <c r="R527" s="1685"/>
      <c r="S527" s="1574"/>
      <c r="T527" s="812"/>
      <c r="U527" s="812"/>
    </row>
    <row r="528" spans="1:21" s="15" customFormat="1" ht="35.1" customHeight="1">
      <c r="A528" s="1462"/>
      <c r="B528" s="942"/>
      <c r="C528" s="920"/>
      <c r="D528" s="1170"/>
      <c r="E528" s="1171"/>
      <c r="F528" s="1172"/>
      <c r="G528" s="490" t="s">
        <v>329</v>
      </c>
      <c r="H528" s="491"/>
      <c r="I528" s="491"/>
      <c r="J528" s="491"/>
      <c r="K528" s="492"/>
      <c r="L528" s="139"/>
      <c r="M528" s="249">
        <f>SUM(M524:M527)</f>
        <v>224</v>
      </c>
      <c r="N528" s="246">
        <f>SUM(N524:N527)</f>
        <v>53</v>
      </c>
      <c r="O528" s="246">
        <f>SUM(O524:O527)</f>
        <v>53</v>
      </c>
      <c r="P528" s="581"/>
      <c r="Q528" s="581"/>
      <c r="R528" s="1686"/>
      <c r="S528" s="1575"/>
      <c r="T528" s="813"/>
      <c r="U528" s="813"/>
    </row>
    <row r="529" spans="1:1892" s="9" customFormat="1" ht="35.1" customHeight="1">
      <c r="A529" s="1462"/>
      <c r="B529" s="777" t="s">
        <v>105</v>
      </c>
      <c r="C529" s="778"/>
      <c r="D529" s="778"/>
      <c r="E529" s="778"/>
      <c r="F529" s="778"/>
      <c r="G529" s="778"/>
      <c r="H529" s="778"/>
      <c r="I529" s="778"/>
      <c r="J529" s="778"/>
      <c r="K529" s="779"/>
      <c r="L529" s="122"/>
      <c r="M529" s="226">
        <f>M528+M523+M516+M511</f>
        <v>1525</v>
      </c>
      <c r="N529" s="394">
        <f>N528+N523+N516+N511</f>
        <v>57</v>
      </c>
      <c r="O529" s="394">
        <f>O528+O523+O516+O511</f>
        <v>57</v>
      </c>
      <c r="P529" s="123"/>
      <c r="Q529" s="123"/>
      <c r="R529" s="123"/>
      <c r="S529" s="124"/>
      <c r="T529" s="125"/>
      <c r="U529" s="124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  <c r="EF529" s="10"/>
      <c r="EG529" s="10"/>
      <c r="EH529" s="10"/>
      <c r="EI529" s="10"/>
      <c r="EJ529" s="10"/>
      <c r="EK529" s="10"/>
      <c r="EL529" s="10"/>
      <c r="EM529" s="10"/>
      <c r="EN529" s="10"/>
      <c r="EO529" s="10"/>
      <c r="EP529" s="10"/>
      <c r="EQ529" s="10"/>
      <c r="ER529" s="10"/>
      <c r="ES529" s="10"/>
      <c r="ET529" s="10"/>
      <c r="EU529" s="10"/>
      <c r="EV529" s="10"/>
      <c r="EW529" s="10"/>
      <c r="EX529" s="10"/>
      <c r="EY529" s="10"/>
      <c r="EZ529" s="10"/>
      <c r="FA529" s="10"/>
      <c r="FB529" s="10"/>
      <c r="FC529" s="10"/>
      <c r="FD529" s="10"/>
      <c r="FE529" s="10"/>
      <c r="FF529" s="10"/>
      <c r="FG529" s="10"/>
      <c r="FH529" s="10"/>
      <c r="FI529" s="10"/>
      <c r="FJ529" s="10"/>
      <c r="FK529" s="10"/>
      <c r="FL529" s="10"/>
      <c r="FM529" s="10"/>
      <c r="FN529" s="10"/>
      <c r="FO529" s="10"/>
      <c r="FP529" s="10"/>
      <c r="FQ529" s="10"/>
      <c r="FR529" s="10"/>
      <c r="FS529" s="10"/>
      <c r="FT529" s="10"/>
      <c r="FU529" s="10"/>
      <c r="FV529" s="10"/>
      <c r="FW529" s="10"/>
      <c r="FX529" s="10"/>
      <c r="FY529" s="10"/>
      <c r="FZ529" s="10"/>
      <c r="GA529" s="10"/>
      <c r="GB529" s="10"/>
      <c r="GC529" s="10"/>
      <c r="GD529" s="10"/>
      <c r="GE529" s="10"/>
      <c r="GF529" s="10"/>
      <c r="GG529" s="10"/>
      <c r="GH529" s="10"/>
      <c r="GI529" s="10"/>
      <c r="GJ529" s="10"/>
      <c r="GK529" s="10"/>
      <c r="GL529" s="10"/>
      <c r="GM529" s="10"/>
      <c r="GN529" s="10"/>
      <c r="GO529" s="10"/>
      <c r="GP529" s="10"/>
      <c r="GQ529" s="10"/>
      <c r="GR529" s="10"/>
      <c r="GS529" s="10"/>
      <c r="GT529" s="10"/>
      <c r="GU529" s="10"/>
      <c r="GV529" s="10"/>
      <c r="GW529" s="10"/>
      <c r="GX529" s="10"/>
      <c r="GY529" s="10"/>
      <c r="GZ529" s="10"/>
      <c r="HA529" s="10"/>
      <c r="HB529" s="10"/>
      <c r="HC529" s="10"/>
      <c r="HD529" s="10"/>
      <c r="HE529" s="10"/>
      <c r="HF529" s="10"/>
      <c r="HG529" s="10"/>
      <c r="HH529" s="10"/>
      <c r="HI529" s="10"/>
      <c r="HJ529" s="10"/>
      <c r="HK529" s="10"/>
      <c r="HL529" s="10"/>
      <c r="HM529" s="10"/>
      <c r="HN529" s="10"/>
      <c r="HO529" s="10"/>
      <c r="HP529" s="10"/>
      <c r="HQ529" s="10"/>
      <c r="HR529" s="10"/>
      <c r="HS529" s="10"/>
      <c r="HT529" s="10"/>
      <c r="HU529" s="10"/>
      <c r="HV529" s="10"/>
      <c r="HW529" s="10"/>
      <c r="HX529" s="10"/>
      <c r="HY529" s="10"/>
      <c r="HZ529" s="10"/>
      <c r="IA529" s="10"/>
      <c r="IB529" s="10"/>
      <c r="IC529" s="10"/>
      <c r="ID529" s="10"/>
      <c r="IE529" s="10"/>
      <c r="IF529" s="10"/>
      <c r="IG529" s="10"/>
      <c r="IH529" s="10"/>
      <c r="II529" s="10"/>
      <c r="IJ529" s="10"/>
      <c r="IK529" s="10"/>
      <c r="IL529" s="10"/>
      <c r="IM529" s="10"/>
      <c r="IN529" s="10"/>
      <c r="IO529" s="10"/>
      <c r="IP529" s="10"/>
      <c r="IQ529" s="10"/>
      <c r="IR529" s="10"/>
      <c r="IS529" s="10"/>
      <c r="IT529" s="10"/>
      <c r="IU529" s="10"/>
      <c r="IV529" s="10"/>
      <c r="IW529" s="10"/>
      <c r="IX529" s="10"/>
      <c r="IY529" s="10"/>
      <c r="IZ529" s="10"/>
      <c r="JA529" s="10"/>
      <c r="JB529" s="10"/>
      <c r="JC529" s="10"/>
      <c r="JD529" s="10"/>
      <c r="JE529" s="10"/>
      <c r="JF529" s="10"/>
      <c r="JG529" s="10"/>
      <c r="JH529" s="10"/>
      <c r="JI529" s="10"/>
      <c r="JJ529" s="10"/>
      <c r="JK529" s="10"/>
      <c r="JL529" s="10"/>
      <c r="JM529" s="10"/>
      <c r="JN529" s="10"/>
      <c r="JO529" s="10"/>
      <c r="JP529" s="10"/>
      <c r="JQ529" s="10"/>
      <c r="JR529" s="10"/>
      <c r="JS529" s="10"/>
      <c r="JT529" s="10"/>
      <c r="JU529" s="10"/>
      <c r="JV529" s="10"/>
      <c r="JW529" s="10"/>
      <c r="JX529" s="10"/>
      <c r="JY529" s="10"/>
      <c r="JZ529" s="10"/>
      <c r="KA529" s="10"/>
      <c r="KB529" s="10"/>
      <c r="KC529" s="10"/>
      <c r="KD529" s="10"/>
      <c r="KE529" s="10"/>
      <c r="KF529" s="10"/>
      <c r="KG529" s="10"/>
      <c r="KH529" s="10"/>
      <c r="KI529" s="10"/>
      <c r="KJ529" s="10"/>
      <c r="KK529" s="10"/>
      <c r="KL529" s="10"/>
      <c r="KM529" s="10"/>
      <c r="KN529" s="10"/>
      <c r="KO529" s="10"/>
      <c r="KP529" s="10"/>
      <c r="KQ529" s="10"/>
      <c r="KR529" s="10"/>
      <c r="KS529" s="10"/>
      <c r="KT529" s="10"/>
      <c r="KU529" s="10"/>
      <c r="KV529" s="10"/>
      <c r="KW529" s="10"/>
      <c r="KX529" s="10"/>
      <c r="KY529" s="10"/>
      <c r="KZ529" s="10"/>
      <c r="LA529" s="10"/>
      <c r="LB529" s="10"/>
      <c r="LC529" s="10"/>
      <c r="LD529" s="10"/>
      <c r="LE529" s="10"/>
      <c r="LF529" s="10"/>
      <c r="LG529" s="10"/>
      <c r="LH529" s="10"/>
      <c r="LI529" s="10"/>
      <c r="LJ529" s="10"/>
      <c r="LK529" s="10"/>
      <c r="LL529" s="10"/>
      <c r="LM529" s="10"/>
      <c r="LN529" s="10"/>
      <c r="LO529" s="10"/>
      <c r="LP529" s="10"/>
      <c r="LQ529" s="10"/>
      <c r="LR529" s="10"/>
      <c r="LS529" s="10"/>
      <c r="LT529" s="10"/>
      <c r="LU529" s="10"/>
      <c r="LV529" s="10"/>
      <c r="LW529" s="10"/>
      <c r="LX529" s="10"/>
      <c r="LY529" s="10"/>
      <c r="LZ529" s="10"/>
      <c r="MA529" s="10"/>
      <c r="MB529" s="10"/>
      <c r="MC529" s="10"/>
      <c r="MD529" s="10"/>
      <c r="ME529" s="10"/>
      <c r="MF529" s="10"/>
      <c r="MG529" s="10"/>
      <c r="MH529" s="10"/>
      <c r="MI529" s="10"/>
      <c r="MJ529" s="10"/>
      <c r="MK529" s="10"/>
      <c r="ML529" s="10"/>
      <c r="MM529" s="10"/>
      <c r="MN529" s="10"/>
      <c r="MO529" s="10"/>
      <c r="MP529" s="10"/>
      <c r="MQ529" s="10"/>
      <c r="MR529" s="10"/>
      <c r="MS529" s="10"/>
      <c r="MT529" s="10"/>
      <c r="MU529" s="10"/>
      <c r="MV529" s="10"/>
      <c r="MW529" s="10"/>
      <c r="MX529" s="10"/>
      <c r="MY529" s="10"/>
      <c r="MZ529" s="10"/>
      <c r="NA529" s="10"/>
      <c r="NB529" s="10"/>
      <c r="NC529" s="10"/>
      <c r="ND529" s="10"/>
      <c r="NE529" s="10"/>
      <c r="NF529" s="10"/>
      <c r="NG529" s="10"/>
      <c r="NH529" s="10"/>
      <c r="NI529" s="10"/>
      <c r="NJ529" s="10"/>
      <c r="NK529" s="10"/>
      <c r="NL529" s="10"/>
      <c r="NM529" s="10"/>
      <c r="NN529" s="10"/>
      <c r="NO529" s="10"/>
      <c r="NP529" s="10"/>
      <c r="NQ529" s="10"/>
      <c r="NR529" s="10"/>
      <c r="NS529" s="10"/>
      <c r="NT529" s="10"/>
      <c r="NU529" s="10"/>
      <c r="NV529" s="10"/>
      <c r="NW529" s="10"/>
      <c r="NX529" s="10"/>
      <c r="NY529" s="10"/>
      <c r="NZ529" s="10"/>
      <c r="OA529" s="10"/>
      <c r="OB529" s="10"/>
      <c r="OC529" s="10"/>
      <c r="OD529" s="10"/>
      <c r="OE529" s="10"/>
      <c r="OF529" s="10"/>
      <c r="OG529" s="10"/>
      <c r="OH529" s="10"/>
      <c r="OI529" s="10"/>
      <c r="OJ529" s="10"/>
      <c r="OK529" s="10"/>
      <c r="OL529" s="10"/>
      <c r="OM529" s="10"/>
      <c r="ON529" s="10"/>
      <c r="OO529" s="10"/>
      <c r="OP529" s="10"/>
      <c r="OQ529" s="10"/>
      <c r="OR529" s="10"/>
      <c r="OS529" s="10"/>
      <c r="OT529" s="10"/>
      <c r="OU529" s="10"/>
      <c r="OV529" s="10"/>
      <c r="OW529" s="10"/>
      <c r="OX529" s="10"/>
      <c r="OY529" s="10"/>
      <c r="OZ529" s="10"/>
      <c r="PA529" s="10"/>
      <c r="PB529" s="10"/>
      <c r="PC529" s="10"/>
      <c r="PD529" s="10"/>
      <c r="PE529" s="10"/>
      <c r="PF529" s="10"/>
      <c r="PG529" s="10"/>
      <c r="PH529" s="10"/>
      <c r="PI529" s="10"/>
      <c r="PJ529" s="10"/>
      <c r="PK529" s="10"/>
      <c r="PL529" s="10"/>
      <c r="PM529" s="10"/>
      <c r="PN529" s="10"/>
      <c r="PO529" s="10"/>
      <c r="PP529" s="10"/>
      <c r="PQ529" s="10"/>
      <c r="PR529" s="10"/>
      <c r="PS529" s="10"/>
      <c r="PT529" s="10"/>
      <c r="PU529" s="10"/>
      <c r="PV529" s="10"/>
      <c r="PW529" s="10"/>
      <c r="PX529" s="10"/>
      <c r="PY529" s="10"/>
      <c r="PZ529" s="10"/>
      <c r="QA529" s="10"/>
      <c r="QB529" s="10"/>
      <c r="QC529" s="10"/>
      <c r="QD529" s="10"/>
      <c r="QE529" s="10"/>
      <c r="QF529" s="10"/>
      <c r="QG529" s="10"/>
      <c r="QH529" s="10"/>
      <c r="QI529" s="10"/>
      <c r="QJ529" s="10"/>
      <c r="QK529" s="10"/>
      <c r="QL529" s="10"/>
      <c r="QM529" s="10"/>
      <c r="QN529" s="10"/>
      <c r="QO529" s="10"/>
      <c r="QP529" s="10"/>
      <c r="QQ529" s="10"/>
      <c r="QR529" s="10"/>
      <c r="QS529" s="10"/>
      <c r="QT529" s="10"/>
      <c r="QU529" s="10"/>
      <c r="QV529" s="10"/>
      <c r="QW529" s="10"/>
      <c r="QX529" s="10"/>
      <c r="QY529" s="10"/>
      <c r="QZ529" s="10"/>
      <c r="RA529" s="10"/>
      <c r="RB529" s="10"/>
      <c r="RC529" s="10"/>
      <c r="RD529" s="10"/>
      <c r="RE529" s="10"/>
      <c r="RF529" s="10"/>
      <c r="RG529" s="10"/>
      <c r="RH529" s="10"/>
      <c r="RI529" s="10"/>
      <c r="RJ529" s="10"/>
      <c r="RK529" s="10"/>
      <c r="RL529" s="10"/>
      <c r="RM529" s="10"/>
      <c r="RN529" s="10"/>
      <c r="RO529" s="10"/>
      <c r="RP529" s="10"/>
      <c r="RQ529" s="10"/>
      <c r="RR529" s="10"/>
      <c r="RS529" s="10"/>
      <c r="RT529" s="10"/>
      <c r="RU529" s="10"/>
      <c r="RV529" s="10"/>
      <c r="RW529" s="10"/>
      <c r="RX529" s="10"/>
      <c r="RY529" s="10"/>
      <c r="RZ529" s="10"/>
      <c r="SA529" s="10"/>
      <c r="SB529" s="10"/>
      <c r="SC529" s="10"/>
      <c r="SD529" s="10"/>
      <c r="SE529" s="10"/>
      <c r="SF529" s="10"/>
      <c r="SG529" s="10"/>
      <c r="SH529" s="10"/>
      <c r="SI529" s="10"/>
      <c r="SJ529" s="10"/>
      <c r="SK529" s="10"/>
      <c r="SL529" s="10"/>
      <c r="SM529" s="10"/>
      <c r="SN529" s="10"/>
      <c r="SO529" s="10"/>
      <c r="SP529" s="10"/>
      <c r="SQ529" s="10"/>
      <c r="SR529" s="10"/>
      <c r="SS529" s="10"/>
      <c r="ST529" s="10"/>
      <c r="SU529" s="10"/>
      <c r="SV529" s="10"/>
      <c r="SW529" s="10"/>
      <c r="SX529" s="10"/>
      <c r="SY529" s="10"/>
      <c r="SZ529" s="10"/>
      <c r="TA529" s="10"/>
      <c r="TB529" s="10"/>
      <c r="TC529" s="10"/>
      <c r="TD529" s="10"/>
      <c r="TE529" s="10"/>
      <c r="TF529" s="10"/>
      <c r="TG529" s="10"/>
      <c r="TH529" s="10"/>
      <c r="TI529" s="10"/>
      <c r="TJ529" s="10"/>
      <c r="TK529" s="10"/>
      <c r="TL529" s="10"/>
      <c r="TM529" s="10"/>
      <c r="TN529" s="10"/>
      <c r="TO529" s="10"/>
      <c r="TP529" s="10"/>
      <c r="TQ529" s="10"/>
      <c r="TR529" s="10"/>
      <c r="TS529" s="10"/>
      <c r="TT529" s="10"/>
      <c r="TU529" s="10"/>
      <c r="TV529" s="10"/>
      <c r="TW529" s="10"/>
      <c r="TX529" s="10"/>
      <c r="TY529" s="10"/>
      <c r="TZ529" s="10"/>
      <c r="UA529" s="10"/>
      <c r="UB529" s="10"/>
      <c r="UC529" s="10"/>
      <c r="UD529" s="10"/>
      <c r="UE529" s="10"/>
      <c r="UF529" s="10"/>
      <c r="UG529" s="10"/>
      <c r="UH529" s="10"/>
      <c r="UI529" s="10"/>
      <c r="UJ529" s="10"/>
      <c r="UK529" s="10"/>
      <c r="UL529" s="10"/>
      <c r="UM529" s="10"/>
      <c r="UN529" s="10"/>
      <c r="UO529" s="10"/>
      <c r="UP529" s="10"/>
      <c r="UQ529" s="10"/>
      <c r="UR529" s="10"/>
      <c r="US529" s="10"/>
      <c r="UT529" s="10"/>
      <c r="UU529" s="10"/>
      <c r="UV529" s="10"/>
      <c r="UW529" s="10"/>
      <c r="UX529" s="10"/>
      <c r="UY529" s="10"/>
      <c r="UZ529" s="10"/>
      <c r="VA529" s="10"/>
      <c r="VB529" s="10"/>
      <c r="VC529" s="10"/>
      <c r="VD529" s="10"/>
      <c r="VE529" s="10"/>
      <c r="VF529" s="10"/>
      <c r="VG529" s="10"/>
      <c r="VH529" s="10"/>
      <c r="VI529" s="10"/>
      <c r="VJ529" s="10"/>
      <c r="VK529" s="10"/>
      <c r="VL529" s="10"/>
      <c r="VM529" s="10"/>
      <c r="VN529" s="10"/>
      <c r="VO529" s="10"/>
      <c r="VP529" s="10"/>
      <c r="VQ529" s="10"/>
      <c r="VR529" s="10"/>
      <c r="VS529" s="10"/>
      <c r="VT529" s="10"/>
      <c r="VU529" s="10"/>
      <c r="VV529" s="10"/>
      <c r="VW529" s="10"/>
      <c r="VX529" s="10"/>
      <c r="VY529" s="10"/>
      <c r="VZ529" s="10"/>
      <c r="WA529" s="10"/>
      <c r="WB529" s="10"/>
      <c r="WC529" s="10"/>
      <c r="WD529" s="10"/>
      <c r="WE529" s="10"/>
      <c r="WF529" s="10"/>
      <c r="WG529" s="10"/>
      <c r="WH529" s="10"/>
      <c r="WI529" s="10"/>
      <c r="WJ529" s="10"/>
      <c r="WK529" s="10"/>
      <c r="WL529" s="10"/>
      <c r="WM529" s="10"/>
      <c r="WN529" s="10"/>
      <c r="WO529" s="10"/>
      <c r="WP529" s="10"/>
      <c r="WQ529" s="10"/>
      <c r="WR529" s="10"/>
      <c r="WS529" s="10"/>
      <c r="WT529" s="10"/>
      <c r="WU529" s="10"/>
      <c r="WV529" s="10"/>
      <c r="WW529" s="10"/>
      <c r="WX529" s="10"/>
      <c r="WY529" s="10"/>
      <c r="WZ529" s="10"/>
      <c r="XA529" s="10"/>
      <c r="XB529" s="10"/>
      <c r="XC529" s="10"/>
      <c r="XD529" s="10"/>
      <c r="XE529" s="10"/>
      <c r="XF529" s="10"/>
      <c r="XG529" s="10"/>
      <c r="XH529" s="10"/>
      <c r="XI529" s="10"/>
      <c r="XJ529" s="10"/>
      <c r="XK529" s="10"/>
      <c r="XL529" s="10"/>
      <c r="XM529" s="10"/>
      <c r="XN529" s="10"/>
      <c r="XO529" s="10"/>
      <c r="XP529" s="10"/>
      <c r="XQ529" s="10"/>
      <c r="XR529" s="10"/>
      <c r="XS529" s="10"/>
      <c r="XT529" s="10"/>
      <c r="XU529" s="10"/>
      <c r="XV529" s="10"/>
      <c r="XW529" s="10"/>
      <c r="XX529" s="10"/>
      <c r="XY529" s="10"/>
      <c r="XZ529" s="10"/>
      <c r="YA529" s="10"/>
      <c r="YB529" s="10"/>
      <c r="YC529" s="10"/>
      <c r="YD529" s="10"/>
      <c r="YE529" s="10"/>
      <c r="YF529" s="10"/>
      <c r="YG529" s="10"/>
      <c r="YH529" s="10"/>
      <c r="YI529" s="10"/>
      <c r="YJ529" s="10"/>
      <c r="YK529" s="10"/>
      <c r="YL529" s="10"/>
      <c r="YM529" s="10"/>
      <c r="YN529" s="10"/>
      <c r="YO529" s="10"/>
      <c r="YP529" s="10"/>
      <c r="YQ529" s="10"/>
      <c r="YR529" s="10"/>
      <c r="YS529" s="10"/>
      <c r="YT529" s="10"/>
      <c r="YU529" s="10"/>
      <c r="YV529" s="10"/>
      <c r="YW529" s="10"/>
      <c r="YX529" s="10"/>
      <c r="YY529" s="10"/>
      <c r="YZ529" s="10"/>
      <c r="ZA529" s="10"/>
      <c r="ZB529" s="10"/>
      <c r="ZC529" s="10"/>
      <c r="ZD529" s="10"/>
      <c r="ZE529" s="10"/>
      <c r="ZF529" s="10"/>
      <c r="ZG529" s="10"/>
      <c r="ZH529" s="10"/>
      <c r="ZI529" s="10"/>
      <c r="ZJ529" s="10"/>
      <c r="ZK529" s="10"/>
      <c r="ZL529" s="10"/>
      <c r="ZM529" s="10"/>
      <c r="ZN529" s="10"/>
      <c r="ZO529" s="10"/>
      <c r="ZP529" s="10"/>
      <c r="ZQ529" s="10"/>
      <c r="ZR529" s="10"/>
      <c r="ZS529" s="10"/>
      <c r="ZT529" s="10"/>
      <c r="ZU529" s="10"/>
      <c r="ZV529" s="10"/>
      <c r="ZW529" s="10"/>
      <c r="ZX529" s="10"/>
      <c r="ZY529" s="10"/>
      <c r="ZZ529" s="10"/>
      <c r="AAA529" s="10"/>
      <c r="AAB529" s="10"/>
      <c r="AAC529" s="10"/>
      <c r="AAD529" s="10"/>
      <c r="AAE529" s="10"/>
      <c r="AAF529" s="10"/>
      <c r="AAG529" s="10"/>
      <c r="AAH529" s="10"/>
      <c r="AAI529" s="10"/>
      <c r="AAJ529" s="10"/>
      <c r="AAK529" s="10"/>
      <c r="AAL529" s="10"/>
      <c r="AAM529" s="10"/>
      <c r="AAN529" s="10"/>
      <c r="AAO529" s="10"/>
      <c r="AAP529" s="10"/>
      <c r="AAQ529" s="10"/>
      <c r="AAR529" s="10"/>
      <c r="AAS529" s="10"/>
      <c r="AAT529" s="10"/>
      <c r="AAU529" s="10"/>
      <c r="AAV529" s="10"/>
      <c r="AAW529" s="10"/>
      <c r="AAX529" s="10"/>
      <c r="AAY529" s="10"/>
      <c r="AAZ529" s="10"/>
      <c r="ABA529" s="10"/>
      <c r="ABB529" s="10"/>
      <c r="ABC529" s="10"/>
      <c r="ABD529" s="10"/>
      <c r="ABE529" s="10"/>
      <c r="ABF529" s="10"/>
      <c r="ABG529" s="10"/>
      <c r="ABH529" s="10"/>
      <c r="ABI529" s="10"/>
      <c r="ABJ529" s="10"/>
      <c r="ABK529" s="10"/>
      <c r="ABL529" s="10"/>
      <c r="ABM529" s="10"/>
      <c r="ABN529" s="10"/>
      <c r="ABO529" s="10"/>
      <c r="ABP529" s="10"/>
      <c r="ABQ529" s="10"/>
      <c r="ABR529" s="10"/>
      <c r="ABS529" s="10"/>
      <c r="ABT529" s="10"/>
      <c r="ABU529" s="10"/>
      <c r="ABV529" s="10"/>
      <c r="ABW529" s="10"/>
      <c r="ABX529" s="10"/>
      <c r="ABY529" s="10"/>
      <c r="ABZ529" s="10"/>
      <c r="ACA529" s="10"/>
      <c r="ACB529" s="10"/>
      <c r="ACC529" s="10"/>
      <c r="ACD529" s="10"/>
      <c r="ACE529" s="10"/>
      <c r="ACF529" s="10"/>
      <c r="ACG529" s="10"/>
      <c r="ACH529" s="10"/>
      <c r="ACI529" s="10"/>
      <c r="ACJ529" s="10"/>
      <c r="ACK529" s="10"/>
      <c r="ACL529" s="10"/>
      <c r="ACM529" s="10"/>
      <c r="ACN529" s="10"/>
      <c r="ACO529" s="10"/>
      <c r="ACP529" s="10"/>
      <c r="ACQ529" s="10"/>
      <c r="ACR529" s="10"/>
      <c r="ACS529" s="10"/>
      <c r="ACT529" s="10"/>
      <c r="ACU529" s="10"/>
      <c r="ACV529" s="10"/>
      <c r="ACW529" s="10"/>
      <c r="ACX529" s="10"/>
      <c r="ACY529" s="10"/>
      <c r="ACZ529" s="10"/>
      <c r="ADA529" s="10"/>
      <c r="ADB529" s="10"/>
      <c r="ADC529" s="10"/>
      <c r="ADD529" s="10"/>
      <c r="ADE529" s="10"/>
      <c r="ADF529" s="10"/>
      <c r="ADG529" s="10"/>
      <c r="ADH529" s="10"/>
      <c r="ADI529" s="10"/>
      <c r="ADJ529" s="10"/>
      <c r="ADK529" s="10"/>
      <c r="ADL529" s="10"/>
      <c r="ADM529" s="10"/>
      <c r="ADN529" s="10"/>
      <c r="ADO529" s="10"/>
      <c r="ADP529" s="10"/>
      <c r="ADQ529" s="10"/>
      <c r="ADR529" s="10"/>
      <c r="ADS529" s="10"/>
      <c r="ADT529" s="10"/>
      <c r="ADU529" s="10"/>
      <c r="ADV529" s="10"/>
      <c r="ADW529" s="10"/>
      <c r="ADX529" s="10"/>
      <c r="ADY529" s="10"/>
      <c r="ADZ529" s="10"/>
      <c r="AEA529" s="10"/>
      <c r="AEB529" s="10"/>
      <c r="AEC529" s="10"/>
      <c r="AED529" s="10"/>
      <c r="AEE529" s="10"/>
      <c r="AEF529" s="10"/>
      <c r="AEG529" s="10"/>
      <c r="AEH529" s="10"/>
      <c r="AEI529" s="10"/>
      <c r="AEJ529" s="10"/>
      <c r="AEK529" s="10"/>
      <c r="AEL529" s="10"/>
      <c r="AEM529" s="10"/>
      <c r="AEN529" s="10"/>
      <c r="AEO529" s="10"/>
      <c r="AEP529" s="10"/>
      <c r="AEQ529" s="10"/>
      <c r="AER529" s="10"/>
      <c r="AES529" s="10"/>
      <c r="AET529" s="10"/>
      <c r="AEU529" s="10"/>
      <c r="AEV529" s="10"/>
      <c r="AEW529" s="10"/>
      <c r="AEX529" s="10"/>
      <c r="AEY529" s="10"/>
      <c r="AEZ529" s="10"/>
      <c r="AFA529" s="10"/>
      <c r="AFB529" s="10"/>
      <c r="AFC529" s="10"/>
      <c r="AFD529" s="10"/>
      <c r="AFE529" s="10"/>
      <c r="AFF529" s="10"/>
      <c r="AFG529" s="10"/>
      <c r="AFH529" s="10"/>
      <c r="AFI529" s="10"/>
      <c r="AFJ529" s="10"/>
      <c r="AFK529" s="10"/>
      <c r="AFL529" s="10"/>
      <c r="AFM529" s="10"/>
      <c r="AFN529" s="10"/>
      <c r="AFO529" s="10"/>
      <c r="AFP529" s="10"/>
      <c r="AFQ529" s="10"/>
      <c r="AFR529" s="10"/>
      <c r="AFS529" s="10"/>
      <c r="AFT529" s="10"/>
      <c r="AFU529" s="10"/>
      <c r="AFV529" s="10"/>
      <c r="AFW529" s="10"/>
      <c r="AFX529" s="10"/>
      <c r="AFY529" s="10"/>
      <c r="AFZ529" s="10"/>
      <c r="AGA529" s="10"/>
      <c r="AGB529" s="10"/>
      <c r="AGC529" s="10"/>
      <c r="AGD529" s="10"/>
      <c r="AGE529" s="10"/>
      <c r="AGF529" s="10"/>
      <c r="AGG529" s="10"/>
      <c r="AGH529" s="10"/>
      <c r="AGI529" s="10"/>
      <c r="AGJ529" s="10"/>
      <c r="AGK529" s="10"/>
      <c r="AGL529" s="10"/>
      <c r="AGM529" s="10"/>
      <c r="AGN529" s="10"/>
      <c r="AGO529" s="10"/>
      <c r="AGP529" s="10"/>
      <c r="AGQ529" s="10"/>
      <c r="AGR529" s="10"/>
      <c r="AGS529" s="10"/>
      <c r="AGT529" s="10"/>
      <c r="AGU529" s="10"/>
      <c r="AGV529" s="10"/>
      <c r="AGW529" s="10"/>
      <c r="AGX529" s="10"/>
      <c r="AGY529" s="10"/>
      <c r="AGZ529" s="10"/>
      <c r="AHA529" s="10"/>
      <c r="AHB529" s="10"/>
      <c r="AHC529" s="10"/>
      <c r="AHD529" s="10"/>
      <c r="AHE529" s="10"/>
      <c r="AHF529" s="10"/>
      <c r="AHG529" s="10"/>
      <c r="AHH529" s="10"/>
      <c r="AHI529" s="10"/>
      <c r="AHJ529" s="10"/>
      <c r="AHK529" s="10"/>
      <c r="AHL529" s="10"/>
      <c r="AHM529" s="10"/>
      <c r="AHN529" s="10"/>
      <c r="AHO529" s="10"/>
      <c r="AHP529" s="10"/>
      <c r="AHQ529" s="10"/>
      <c r="AHR529" s="10"/>
      <c r="AHS529" s="10"/>
      <c r="AHT529" s="10"/>
      <c r="AHU529" s="10"/>
      <c r="AHV529" s="10"/>
      <c r="AHW529" s="10"/>
      <c r="AHX529" s="10"/>
      <c r="AHY529" s="10"/>
      <c r="AHZ529" s="10"/>
      <c r="AIA529" s="10"/>
      <c r="AIB529" s="10"/>
      <c r="AIC529" s="10"/>
      <c r="AID529" s="10"/>
      <c r="AIE529" s="10"/>
      <c r="AIF529" s="10"/>
      <c r="AIG529" s="10"/>
      <c r="AIH529" s="10"/>
      <c r="AII529" s="10"/>
      <c r="AIJ529" s="10"/>
      <c r="AIK529" s="10"/>
      <c r="AIL529" s="10"/>
      <c r="AIM529" s="10"/>
      <c r="AIN529" s="10"/>
      <c r="AIO529" s="10"/>
      <c r="AIP529" s="10"/>
      <c r="AIQ529" s="10"/>
      <c r="AIR529" s="10"/>
      <c r="AIS529" s="10"/>
      <c r="AIT529" s="10"/>
      <c r="AIU529" s="10"/>
      <c r="AIV529" s="10"/>
      <c r="AIW529" s="10"/>
      <c r="AIX529" s="10"/>
      <c r="AIY529" s="10"/>
      <c r="AIZ529" s="10"/>
      <c r="AJA529" s="10"/>
      <c r="AJB529" s="10"/>
      <c r="AJC529" s="10"/>
      <c r="AJD529" s="10"/>
      <c r="AJE529" s="10"/>
      <c r="AJF529" s="10"/>
      <c r="AJG529" s="10"/>
      <c r="AJH529" s="10"/>
      <c r="AJI529" s="10"/>
      <c r="AJJ529" s="10"/>
      <c r="AJK529" s="10"/>
      <c r="AJL529" s="10"/>
      <c r="AJM529" s="10"/>
      <c r="AJN529" s="10"/>
      <c r="AJO529" s="10"/>
      <c r="AJP529" s="10"/>
      <c r="AJQ529" s="10"/>
      <c r="AJR529" s="10"/>
      <c r="AJS529" s="10"/>
      <c r="AJT529" s="10"/>
      <c r="AJU529" s="10"/>
      <c r="AJV529" s="10"/>
      <c r="AJW529" s="10"/>
      <c r="AJX529" s="10"/>
      <c r="AJY529" s="10"/>
      <c r="AJZ529" s="10"/>
      <c r="AKA529" s="10"/>
      <c r="AKB529" s="10"/>
      <c r="AKC529" s="10"/>
      <c r="AKD529" s="10"/>
      <c r="AKE529" s="10"/>
      <c r="AKF529" s="10"/>
      <c r="AKG529" s="10"/>
      <c r="AKH529" s="10"/>
      <c r="AKI529" s="10"/>
      <c r="AKJ529" s="10"/>
      <c r="AKK529" s="10"/>
      <c r="AKL529" s="10"/>
      <c r="AKM529" s="10"/>
      <c r="AKN529" s="10"/>
      <c r="AKO529" s="10"/>
      <c r="AKP529" s="10"/>
      <c r="AKQ529" s="10"/>
      <c r="AKR529" s="10"/>
      <c r="AKS529" s="10"/>
      <c r="AKT529" s="10"/>
      <c r="AKU529" s="10"/>
      <c r="AKV529" s="10"/>
      <c r="AKW529" s="10"/>
      <c r="AKX529" s="10"/>
      <c r="AKY529" s="10"/>
      <c r="AKZ529" s="10"/>
      <c r="ALA529" s="10"/>
      <c r="ALB529" s="10"/>
      <c r="ALC529" s="10"/>
      <c r="ALD529" s="10"/>
      <c r="ALE529" s="10"/>
      <c r="ALF529" s="10"/>
      <c r="ALG529" s="10"/>
      <c r="ALH529" s="10"/>
      <c r="ALI529" s="10"/>
      <c r="ALJ529" s="10"/>
      <c r="ALK529" s="10"/>
      <c r="ALL529" s="10"/>
      <c r="ALM529" s="10"/>
      <c r="ALN529" s="10"/>
      <c r="ALO529" s="10"/>
      <c r="ALP529" s="10"/>
      <c r="ALQ529" s="10"/>
      <c r="ALR529" s="10"/>
      <c r="ALS529" s="10"/>
      <c r="ALT529" s="10"/>
      <c r="ALU529" s="10"/>
      <c r="ALV529" s="10"/>
      <c r="ALW529" s="10"/>
      <c r="ALX529" s="10"/>
      <c r="ALY529" s="10"/>
      <c r="ALZ529" s="10"/>
      <c r="AMA529" s="10"/>
      <c r="AMB529" s="10"/>
      <c r="AMC529" s="10"/>
      <c r="AMD529" s="10"/>
      <c r="AME529" s="10"/>
      <c r="AMF529" s="10"/>
      <c r="AMG529" s="10"/>
      <c r="AMH529" s="10"/>
      <c r="AMI529" s="10"/>
      <c r="AMJ529" s="10"/>
      <c r="AMK529" s="10"/>
      <c r="AML529" s="10"/>
      <c r="AMM529" s="10"/>
      <c r="AMN529" s="10"/>
      <c r="AMO529" s="10"/>
      <c r="AMP529" s="10"/>
      <c r="AMQ529" s="10"/>
      <c r="AMR529" s="10"/>
      <c r="AMS529" s="10"/>
      <c r="AMT529" s="10"/>
      <c r="AMU529" s="10"/>
      <c r="AMV529" s="10"/>
      <c r="AMW529" s="10"/>
      <c r="AMX529" s="10"/>
      <c r="AMY529" s="10"/>
      <c r="AMZ529" s="10"/>
      <c r="ANA529" s="10"/>
      <c r="ANB529" s="10"/>
      <c r="ANC529" s="10"/>
      <c r="AND529" s="10"/>
      <c r="ANE529" s="10"/>
      <c r="ANF529" s="10"/>
      <c r="ANG529" s="10"/>
      <c r="ANH529" s="10"/>
      <c r="ANI529" s="10"/>
      <c r="ANJ529" s="10"/>
      <c r="ANK529" s="10"/>
      <c r="ANL529" s="10"/>
      <c r="ANM529" s="10"/>
      <c r="ANN529" s="10"/>
      <c r="ANO529" s="10"/>
      <c r="ANP529" s="10"/>
      <c r="ANQ529" s="10"/>
      <c r="ANR529" s="10"/>
      <c r="ANS529" s="10"/>
      <c r="ANT529" s="10"/>
      <c r="ANU529" s="10"/>
      <c r="ANV529" s="10"/>
      <c r="ANW529" s="10"/>
      <c r="ANX529" s="10"/>
      <c r="ANY529" s="10"/>
      <c r="ANZ529" s="10"/>
      <c r="AOA529" s="10"/>
      <c r="AOB529" s="10"/>
      <c r="AOC529" s="10"/>
      <c r="AOD529" s="10"/>
      <c r="AOE529" s="10"/>
      <c r="AOF529" s="10"/>
      <c r="AOG529" s="10"/>
      <c r="AOH529" s="10"/>
      <c r="AOI529" s="10"/>
      <c r="AOJ529" s="10"/>
      <c r="AOK529" s="10"/>
      <c r="AOL529" s="10"/>
      <c r="AOM529" s="10"/>
      <c r="AON529" s="10"/>
      <c r="AOO529" s="10"/>
      <c r="AOP529" s="10"/>
      <c r="AOQ529" s="10"/>
      <c r="AOR529" s="10"/>
      <c r="AOS529" s="10"/>
      <c r="AOT529" s="10"/>
      <c r="AOU529" s="10"/>
      <c r="AOV529" s="10"/>
      <c r="AOW529" s="10"/>
      <c r="AOX529" s="10"/>
      <c r="AOY529" s="10"/>
      <c r="AOZ529" s="10"/>
      <c r="APA529" s="10"/>
      <c r="APB529" s="10"/>
      <c r="APC529" s="10"/>
      <c r="APD529" s="10"/>
      <c r="APE529" s="10"/>
      <c r="APF529" s="10"/>
      <c r="APG529" s="10"/>
      <c r="APH529" s="10"/>
      <c r="API529" s="10"/>
      <c r="APJ529" s="10"/>
      <c r="APK529" s="10"/>
      <c r="APL529" s="10"/>
      <c r="APM529" s="10"/>
      <c r="APN529" s="10"/>
      <c r="APO529" s="10"/>
      <c r="APP529" s="10"/>
      <c r="APQ529" s="10"/>
      <c r="APR529" s="10"/>
      <c r="APS529" s="10"/>
      <c r="APT529" s="10"/>
      <c r="APU529" s="10"/>
      <c r="APV529" s="10"/>
      <c r="APW529" s="10"/>
      <c r="APX529" s="10"/>
      <c r="APY529" s="10"/>
      <c r="APZ529" s="10"/>
      <c r="AQA529" s="10"/>
      <c r="AQB529" s="10"/>
      <c r="AQC529" s="10"/>
      <c r="AQD529" s="10"/>
      <c r="AQE529" s="10"/>
      <c r="AQF529" s="10"/>
      <c r="AQG529" s="10"/>
      <c r="AQH529" s="10"/>
      <c r="AQI529" s="10"/>
      <c r="AQJ529" s="10"/>
      <c r="AQK529" s="10"/>
      <c r="AQL529" s="10"/>
      <c r="AQM529" s="10"/>
      <c r="AQN529" s="10"/>
      <c r="AQO529" s="10"/>
      <c r="AQP529" s="10"/>
      <c r="AQQ529" s="10"/>
      <c r="AQR529" s="10"/>
      <c r="AQS529" s="10"/>
      <c r="AQT529" s="10"/>
      <c r="AQU529" s="10"/>
      <c r="AQV529" s="10"/>
      <c r="AQW529" s="10"/>
      <c r="AQX529" s="10"/>
      <c r="AQY529" s="10"/>
      <c r="AQZ529" s="10"/>
      <c r="ARA529" s="10"/>
      <c r="ARB529" s="10"/>
      <c r="ARC529" s="10"/>
      <c r="ARD529" s="10"/>
      <c r="ARE529" s="10"/>
      <c r="ARF529" s="10"/>
      <c r="ARG529" s="10"/>
      <c r="ARH529" s="10"/>
      <c r="ARI529" s="10"/>
      <c r="ARJ529" s="10"/>
      <c r="ARK529" s="10"/>
      <c r="ARL529" s="10"/>
      <c r="ARM529" s="10"/>
      <c r="ARN529" s="10"/>
      <c r="ARO529" s="10"/>
      <c r="ARP529" s="10"/>
      <c r="ARQ529" s="10"/>
      <c r="ARR529" s="10"/>
      <c r="ARS529" s="10"/>
      <c r="ART529" s="10"/>
      <c r="ARU529" s="10"/>
      <c r="ARV529" s="10"/>
      <c r="ARW529" s="10"/>
      <c r="ARX529" s="10"/>
      <c r="ARY529" s="10"/>
      <c r="ARZ529" s="10"/>
      <c r="ASA529" s="10"/>
      <c r="ASB529" s="10"/>
      <c r="ASC529" s="10"/>
      <c r="ASD529" s="10"/>
      <c r="ASE529" s="10"/>
      <c r="ASF529" s="10"/>
      <c r="ASG529" s="10"/>
      <c r="ASH529" s="10"/>
      <c r="ASI529" s="10"/>
      <c r="ASJ529" s="10"/>
      <c r="ASK529" s="10"/>
      <c r="ASL529" s="10"/>
      <c r="ASM529" s="10"/>
      <c r="ASN529" s="10"/>
      <c r="ASO529" s="10"/>
      <c r="ASP529" s="10"/>
      <c r="ASQ529" s="10"/>
      <c r="ASR529" s="10"/>
      <c r="ASS529" s="10"/>
      <c r="AST529" s="10"/>
      <c r="ASU529" s="10"/>
      <c r="ASV529" s="10"/>
      <c r="ASW529" s="10"/>
      <c r="ASX529" s="10"/>
      <c r="ASY529" s="10"/>
      <c r="ASZ529" s="10"/>
      <c r="ATA529" s="10"/>
      <c r="ATB529" s="10"/>
      <c r="ATC529" s="10"/>
      <c r="ATD529" s="10"/>
      <c r="ATE529" s="10"/>
      <c r="ATF529" s="10"/>
      <c r="ATG529" s="10"/>
      <c r="ATH529" s="10"/>
      <c r="ATI529" s="10"/>
      <c r="ATJ529" s="10"/>
      <c r="ATK529" s="10"/>
      <c r="ATL529" s="10"/>
      <c r="ATM529" s="10"/>
      <c r="ATN529" s="10"/>
      <c r="ATO529" s="10"/>
      <c r="ATP529" s="10"/>
      <c r="ATQ529" s="10"/>
      <c r="ATR529" s="10"/>
      <c r="ATS529" s="10"/>
      <c r="ATT529" s="10"/>
      <c r="ATU529" s="10"/>
      <c r="ATV529" s="10"/>
      <c r="ATW529" s="10"/>
      <c r="ATX529" s="10"/>
      <c r="ATY529" s="10"/>
      <c r="ATZ529" s="10"/>
      <c r="AUA529" s="10"/>
      <c r="AUB529" s="10"/>
      <c r="AUC529" s="10"/>
      <c r="AUD529" s="10"/>
      <c r="AUE529" s="10"/>
      <c r="AUF529" s="10"/>
      <c r="AUG529" s="10"/>
      <c r="AUH529" s="10"/>
      <c r="AUI529" s="10"/>
      <c r="AUJ529" s="10"/>
      <c r="AUK529" s="10"/>
      <c r="AUL529" s="10"/>
      <c r="AUM529" s="10"/>
      <c r="AUN529" s="10"/>
      <c r="AUO529" s="10"/>
      <c r="AUP529" s="10"/>
      <c r="AUQ529" s="10"/>
      <c r="AUR529" s="10"/>
      <c r="AUS529" s="10"/>
      <c r="AUT529" s="10"/>
      <c r="AUU529" s="10"/>
      <c r="AUV529" s="10"/>
      <c r="AUW529" s="10"/>
      <c r="AUX529" s="10"/>
      <c r="AUY529" s="10"/>
      <c r="AUZ529" s="10"/>
      <c r="AVA529" s="10"/>
      <c r="AVB529" s="10"/>
      <c r="AVC529" s="10"/>
      <c r="AVD529" s="10"/>
      <c r="AVE529" s="10"/>
      <c r="AVF529" s="10"/>
      <c r="AVG529" s="10"/>
      <c r="AVH529" s="10"/>
      <c r="AVI529" s="10"/>
      <c r="AVJ529" s="10"/>
      <c r="AVK529" s="10"/>
      <c r="AVL529" s="10"/>
      <c r="AVM529" s="10"/>
      <c r="AVN529" s="10"/>
      <c r="AVO529" s="10"/>
      <c r="AVP529" s="10"/>
      <c r="AVQ529" s="10"/>
      <c r="AVR529" s="10"/>
      <c r="AVS529" s="10"/>
      <c r="AVT529" s="10"/>
      <c r="AVU529" s="10"/>
      <c r="AVV529" s="10"/>
      <c r="AVW529" s="10"/>
      <c r="AVX529" s="10"/>
      <c r="AVY529" s="10"/>
      <c r="AVZ529" s="10"/>
      <c r="AWA529" s="10"/>
      <c r="AWB529" s="10"/>
      <c r="AWC529" s="10"/>
      <c r="AWD529" s="10"/>
      <c r="AWE529" s="10"/>
      <c r="AWF529" s="10"/>
      <c r="AWG529" s="10"/>
      <c r="AWH529" s="10"/>
      <c r="AWI529" s="10"/>
      <c r="AWJ529" s="10"/>
      <c r="AWK529" s="10"/>
      <c r="AWL529" s="10"/>
      <c r="AWM529" s="10"/>
      <c r="AWN529" s="10"/>
      <c r="AWO529" s="10"/>
      <c r="AWP529" s="10"/>
      <c r="AWQ529" s="10"/>
      <c r="AWR529" s="10"/>
      <c r="AWS529" s="10"/>
      <c r="AWT529" s="10"/>
      <c r="AWU529" s="10"/>
      <c r="AWV529" s="10"/>
      <c r="AWW529" s="10"/>
      <c r="AWX529" s="10"/>
      <c r="AWY529" s="10"/>
      <c r="AWZ529" s="10"/>
      <c r="AXA529" s="10"/>
      <c r="AXB529" s="10"/>
      <c r="AXC529" s="10"/>
      <c r="AXD529" s="10"/>
      <c r="AXE529" s="10"/>
      <c r="AXF529" s="10"/>
      <c r="AXG529" s="10"/>
      <c r="AXH529" s="10"/>
      <c r="AXI529" s="10"/>
      <c r="AXJ529" s="10"/>
      <c r="AXK529" s="10"/>
      <c r="AXL529" s="10"/>
      <c r="AXM529" s="10"/>
      <c r="AXN529" s="10"/>
      <c r="AXO529" s="10"/>
      <c r="AXP529" s="10"/>
      <c r="AXQ529" s="10"/>
      <c r="AXR529" s="10"/>
      <c r="AXS529" s="10"/>
      <c r="AXT529" s="10"/>
      <c r="AXU529" s="10"/>
      <c r="AXV529" s="10"/>
      <c r="AXW529" s="10"/>
      <c r="AXX529" s="10"/>
      <c r="AXY529" s="10"/>
      <c r="AXZ529" s="10"/>
      <c r="AYA529" s="10"/>
      <c r="AYB529" s="10"/>
      <c r="AYC529" s="10"/>
      <c r="AYD529" s="10"/>
      <c r="AYE529" s="10"/>
      <c r="AYF529" s="10"/>
      <c r="AYG529" s="10"/>
      <c r="AYH529" s="10"/>
      <c r="AYI529" s="10"/>
      <c r="AYJ529" s="10"/>
      <c r="AYK529" s="10"/>
      <c r="AYL529" s="10"/>
      <c r="AYM529" s="10"/>
      <c r="AYN529" s="10"/>
      <c r="AYO529" s="10"/>
      <c r="AYP529" s="10"/>
      <c r="AYQ529" s="10"/>
      <c r="AYR529" s="10"/>
      <c r="AYS529" s="10"/>
      <c r="AYT529" s="10"/>
      <c r="AYU529" s="10"/>
      <c r="AYV529" s="10"/>
      <c r="AYW529" s="10"/>
      <c r="AYX529" s="10"/>
      <c r="AYY529" s="10"/>
      <c r="AYZ529" s="10"/>
      <c r="AZA529" s="10"/>
      <c r="AZB529" s="10"/>
      <c r="AZC529" s="10"/>
      <c r="AZD529" s="10"/>
      <c r="AZE529" s="10"/>
      <c r="AZF529" s="10"/>
      <c r="AZG529" s="10"/>
      <c r="AZH529" s="10"/>
      <c r="AZI529" s="10"/>
      <c r="AZJ529" s="10"/>
      <c r="AZK529" s="10"/>
      <c r="AZL529" s="10"/>
      <c r="AZM529" s="10"/>
      <c r="AZN529" s="10"/>
      <c r="AZO529" s="10"/>
      <c r="AZP529" s="10"/>
      <c r="AZQ529" s="10"/>
      <c r="AZR529" s="10"/>
      <c r="AZS529" s="10"/>
      <c r="AZT529" s="10"/>
      <c r="AZU529" s="10"/>
      <c r="AZV529" s="10"/>
      <c r="AZW529" s="10"/>
      <c r="AZX529" s="10"/>
      <c r="AZY529" s="10"/>
      <c r="AZZ529" s="10"/>
      <c r="BAA529" s="10"/>
      <c r="BAB529" s="10"/>
      <c r="BAC529" s="10"/>
      <c r="BAD529" s="10"/>
      <c r="BAE529" s="10"/>
      <c r="BAF529" s="10"/>
      <c r="BAG529" s="10"/>
      <c r="BAH529" s="10"/>
      <c r="BAI529" s="10"/>
      <c r="BAJ529" s="10"/>
      <c r="BAK529" s="10"/>
      <c r="BAL529" s="10"/>
      <c r="BAM529" s="10"/>
      <c r="BAN529" s="10"/>
      <c r="BAO529" s="10"/>
      <c r="BAP529" s="10"/>
      <c r="BAQ529" s="10"/>
      <c r="BAR529" s="10"/>
      <c r="BAS529" s="10"/>
      <c r="BAT529" s="10"/>
      <c r="BAU529" s="10"/>
      <c r="BAV529" s="10"/>
      <c r="BAW529" s="10"/>
      <c r="BAX529" s="10"/>
      <c r="BAY529" s="10"/>
      <c r="BAZ529" s="10"/>
      <c r="BBA529" s="10"/>
      <c r="BBB529" s="10"/>
      <c r="BBC529" s="10"/>
      <c r="BBD529" s="10"/>
      <c r="BBE529" s="10"/>
      <c r="BBF529" s="10"/>
      <c r="BBG529" s="10"/>
      <c r="BBH529" s="10"/>
      <c r="BBI529" s="10"/>
      <c r="BBJ529" s="10"/>
      <c r="BBK529" s="10"/>
      <c r="BBL529" s="10"/>
      <c r="BBM529" s="10"/>
      <c r="BBN529" s="10"/>
      <c r="BBO529" s="10"/>
      <c r="BBP529" s="10"/>
      <c r="BBQ529" s="10"/>
      <c r="BBR529" s="10"/>
      <c r="BBS529" s="10"/>
      <c r="BBT529" s="10"/>
      <c r="BBU529" s="10"/>
      <c r="BBV529" s="10"/>
      <c r="BBW529" s="10"/>
      <c r="BBX529" s="10"/>
      <c r="BBY529" s="10"/>
      <c r="BBZ529" s="10"/>
      <c r="BCA529" s="10"/>
      <c r="BCB529" s="10"/>
      <c r="BCC529" s="10"/>
      <c r="BCD529" s="10"/>
      <c r="BCE529" s="10"/>
      <c r="BCF529" s="10"/>
      <c r="BCG529" s="10"/>
      <c r="BCH529" s="10"/>
      <c r="BCI529" s="10"/>
      <c r="BCJ529" s="10"/>
      <c r="BCK529" s="10"/>
      <c r="BCL529" s="10"/>
      <c r="BCM529" s="10"/>
      <c r="BCN529" s="10"/>
      <c r="BCO529" s="10"/>
      <c r="BCP529" s="10"/>
      <c r="BCQ529" s="10"/>
      <c r="BCR529" s="10"/>
      <c r="BCS529" s="10"/>
      <c r="BCT529" s="10"/>
      <c r="BCU529" s="10"/>
      <c r="BCV529" s="10"/>
      <c r="BCW529" s="10"/>
      <c r="BCX529" s="10"/>
      <c r="BCY529" s="10"/>
      <c r="BCZ529" s="10"/>
      <c r="BDA529" s="10"/>
      <c r="BDB529" s="10"/>
      <c r="BDC529" s="10"/>
      <c r="BDD529" s="10"/>
      <c r="BDE529" s="10"/>
      <c r="BDF529" s="10"/>
      <c r="BDG529" s="10"/>
      <c r="BDH529" s="10"/>
      <c r="BDI529" s="10"/>
      <c r="BDJ529" s="10"/>
      <c r="BDK529" s="10"/>
      <c r="BDL529" s="10"/>
      <c r="BDM529" s="10"/>
      <c r="BDN529" s="10"/>
      <c r="BDO529" s="10"/>
      <c r="BDP529" s="10"/>
      <c r="BDQ529" s="10"/>
      <c r="BDR529" s="10"/>
      <c r="BDS529" s="10"/>
      <c r="BDT529" s="10"/>
      <c r="BDU529" s="10"/>
      <c r="BDV529" s="10"/>
      <c r="BDW529" s="10"/>
      <c r="BDX529" s="10"/>
      <c r="BDY529" s="10"/>
      <c r="BDZ529" s="10"/>
      <c r="BEA529" s="10"/>
      <c r="BEB529" s="10"/>
      <c r="BEC529" s="10"/>
      <c r="BED529" s="10"/>
      <c r="BEE529" s="10"/>
      <c r="BEF529" s="10"/>
      <c r="BEG529" s="10"/>
      <c r="BEH529" s="10"/>
      <c r="BEI529" s="10"/>
      <c r="BEJ529" s="10"/>
      <c r="BEK529" s="10"/>
      <c r="BEL529" s="10"/>
      <c r="BEM529" s="10"/>
      <c r="BEN529" s="10"/>
      <c r="BEO529" s="10"/>
      <c r="BEP529" s="10"/>
      <c r="BEQ529" s="10"/>
      <c r="BER529" s="10"/>
      <c r="BES529" s="10"/>
      <c r="BET529" s="10"/>
      <c r="BEU529" s="10"/>
      <c r="BEV529" s="10"/>
      <c r="BEW529" s="10"/>
      <c r="BEX529" s="10"/>
      <c r="BEY529" s="10"/>
      <c r="BEZ529" s="10"/>
      <c r="BFA529" s="10"/>
      <c r="BFB529" s="10"/>
      <c r="BFC529" s="10"/>
      <c r="BFD529" s="10"/>
      <c r="BFE529" s="10"/>
      <c r="BFF529" s="10"/>
      <c r="BFG529" s="10"/>
      <c r="BFH529" s="10"/>
      <c r="BFI529" s="10"/>
      <c r="BFJ529" s="10"/>
      <c r="BFK529" s="10"/>
      <c r="BFL529" s="10"/>
      <c r="BFM529" s="10"/>
      <c r="BFN529" s="10"/>
      <c r="BFO529" s="10"/>
      <c r="BFP529" s="10"/>
      <c r="BFQ529" s="10"/>
      <c r="BFR529" s="10"/>
      <c r="BFS529" s="10"/>
      <c r="BFT529" s="10"/>
      <c r="BFU529" s="10"/>
      <c r="BFV529" s="10"/>
      <c r="BFW529" s="10"/>
      <c r="BFX529" s="10"/>
      <c r="BFY529" s="10"/>
      <c r="BFZ529" s="10"/>
      <c r="BGA529" s="10"/>
      <c r="BGB529" s="10"/>
      <c r="BGC529" s="10"/>
      <c r="BGD529" s="10"/>
      <c r="BGE529" s="10"/>
      <c r="BGF529" s="10"/>
      <c r="BGG529" s="10"/>
      <c r="BGH529" s="10"/>
      <c r="BGI529" s="10"/>
      <c r="BGJ529" s="10"/>
      <c r="BGK529" s="10"/>
      <c r="BGL529" s="10"/>
      <c r="BGM529" s="10"/>
      <c r="BGN529" s="10"/>
      <c r="BGO529" s="10"/>
      <c r="BGP529" s="10"/>
      <c r="BGQ529" s="10"/>
      <c r="BGR529" s="10"/>
      <c r="BGS529" s="10"/>
      <c r="BGT529" s="10"/>
      <c r="BGU529" s="10"/>
      <c r="BGV529" s="10"/>
      <c r="BGW529" s="10"/>
      <c r="BGX529" s="10"/>
      <c r="BGY529" s="10"/>
      <c r="BGZ529" s="10"/>
      <c r="BHA529" s="10"/>
      <c r="BHB529" s="10"/>
      <c r="BHC529" s="10"/>
      <c r="BHD529" s="10"/>
      <c r="BHE529" s="10"/>
      <c r="BHF529" s="10"/>
      <c r="BHG529" s="10"/>
      <c r="BHH529" s="10"/>
      <c r="BHI529" s="10"/>
      <c r="BHJ529" s="10"/>
      <c r="BHK529" s="10"/>
      <c r="BHL529" s="10"/>
      <c r="BHM529" s="10"/>
      <c r="BHN529" s="10"/>
      <c r="BHO529" s="10"/>
      <c r="BHP529" s="10"/>
      <c r="BHQ529" s="10"/>
      <c r="BHR529" s="10"/>
      <c r="BHS529" s="10"/>
      <c r="BHT529" s="10"/>
      <c r="BHU529" s="10"/>
      <c r="BHV529" s="10"/>
      <c r="BHW529" s="10"/>
      <c r="BHX529" s="10"/>
      <c r="BHY529" s="10"/>
      <c r="BHZ529" s="10"/>
      <c r="BIA529" s="10"/>
      <c r="BIB529" s="10"/>
      <c r="BIC529" s="10"/>
      <c r="BID529" s="10"/>
      <c r="BIE529" s="10"/>
      <c r="BIF529" s="10"/>
      <c r="BIG529" s="10"/>
      <c r="BIH529" s="10"/>
      <c r="BII529" s="10"/>
      <c r="BIJ529" s="10"/>
      <c r="BIK529" s="10"/>
      <c r="BIL529" s="10"/>
      <c r="BIM529" s="10"/>
      <c r="BIN529" s="10"/>
      <c r="BIO529" s="10"/>
      <c r="BIP529" s="10"/>
      <c r="BIQ529" s="10"/>
      <c r="BIR529" s="10"/>
      <c r="BIS529" s="10"/>
      <c r="BIT529" s="10"/>
      <c r="BIU529" s="10"/>
      <c r="BIV529" s="10"/>
      <c r="BIW529" s="10"/>
      <c r="BIX529" s="10"/>
      <c r="BIY529" s="10"/>
      <c r="BIZ529" s="10"/>
      <c r="BJA529" s="10"/>
      <c r="BJB529" s="10"/>
      <c r="BJC529" s="10"/>
      <c r="BJD529" s="10"/>
      <c r="BJE529" s="10"/>
      <c r="BJF529" s="10"/>
      <c r="BJG529" s="10"/>
      <c r="BJH529" s="10"/>
      <c r="BJI529" s="10"/>
      <c r="BJJ529" s="10"/>
      <c r="BJK529" s="10"/>
      <c r="BJL529" s="10"/>
      <c r="BJM529" s="10"/>
      <c r="BJN529" s="10"/>
      <c r="BJO529" s="10"/>
      <c r="BJP529" s="10"/>
      <c r="BJQ529" s="10"/>
      <c r="BJR529" s="10"/>
      <c r="BJS529" s="10"/>
      <c r="BJT529" s="10"/>
      <c r="BJU529" s="10"/>
      <c r="BJV529" s="10"/>
      <c r="BJW529" s="10"/>
      <c r="BJX529" s="10"/>
      <c r="BJY529" s="10"/>
      <c r="BJZ529" s="10"/>
      <c r="BKA529" s="10"/>
      <c r="BKB529" s="10"/>
      <c r="BKC529" s="10"/>
      <c r="BKD529" s="10"/>
      <c r="BKE529" s="10"/>
      <c r="BKF529" s="10"/>
      <c r="BKG529" s="10"/>
      <c r="BKH529" s="10"/>
      <c r="BKI529" s="10"/>
      <c r="BKJ529" s="10"/>
      <c r="BKK529" s="10"/>
      <c r="BKL529" s="10"/>
      <c r="BKM529" s="10"/>
      <c r="BKN529" s="10"/>
      <c r="BKO529" s="10"/>
      <c r="BKP529" s="10"/>
      <c r="BKQ529" s="10"/>
      <c r="BKR529" s="10"/>
      <c r="BKS529" s="10"/>
      <c r="BKT529" s="10"/>
      <c r="BKU529" s="10"/>
      <c r="BKV529" s="10"/>
      <c r="BKW529" s="10"/>
      <c r="BKX529" s="10"/>
      <c r="BKY529" s="10"/>
      <c r="BKZ529" s="10"/>
      <c r="BLA529" s="10"/>
      <c r="BLB529" s="10"/>
      <c r="BLC529" s="10"/>
      <c r="BLD529" s="10"/>
      <c r="BLE529" s="10"/>
      <c r="BLF529" s="10"/>
      <c r="BLG529" s="10"/>
      <c r="BLH529" s="10"/>
      <c r="BLI529" s="10"/>
      <c r="BLJ529" s="10"/>
      <c r="BLK529" s="10"/>
      <c r="BLL529" s="10"/>
      <c r="BLM529" s="10"/>
      <c r="BLN529" s="10"/>
      <c r="BLO529" s="10"/>
      <c r="BLP529" s="10"/>
      <c r="BLQ529" s="10"/>
      <c r="BLR529" s="10"/>
      <c r="BLS529" s="10"/>
      <c r="BLT529" s="10"/>
      <c r="BLU529" s="10"/>
      <c r="BLV529" s="10"/>
      <c r="BLW529" s="10"/>
      <c r="BLX529" s="10"/>
      <c r="BLY529" s="10"/>
      <c r="BLZ529" s="10"/>
      <c r="BMA529" s="10"/>
      <c r="BMB529" s="10"/>
      <c r="BMC529" s="10"/>
      <c r="BMD529" s="10"/>
      <c r="BME529" s="10"/>
      <c r="BMF529" s="10"/>
      <c r="BMG529" s="10"/>
      <c r="BMH529" s="10"/>
      <c r="BMI529" s="10"/>
      <c r="BMJ529" s="10"/>
      <c r="BMK529" s="10"/>
      <c r="BML529" s="10"/>
      <c r="BMM529" s="10"/>
      <c r="BMN529" s="10"/>
      <c r="BMO529" s="10"/>
      <c r="BMP529" s="10"/>
      <c r="BMQ529" s="10"/>
      <c r="BMR529" s="10"/>
      <c r="BMS529" s="10"/>
      <c r="BMT529" s="10"/>
      <c r="BMU529" s="10"/>
      <c r="BMV529" s="10"/>
      <c r="BMW529" s="10"/>
      <c r="BMX529" s="10"/>
      <c r="BMY529" s="10"/>
      <c r="BMZ529" s="10"/>
      <c r="BNA529" s="10"/>
      <c r="BNB529" s="10"/>
      <c r="BNC529" s="10"/>
      <c r="BND529" s="10"/>
      <c r="BNE529" s="10"/>
      <c r="BNF529" s="10"/>
      <c r="BNG529" s="10"/>
      <c r="BNH529" s="10"/>
      <c r="BNI529" s="10"/>
      <c r="BNJ529" s="10"/>
      <c r="BNK529" s="10"/>
      <c r="BNL529" s="10"/>
      <c r="BNM529" s="10"/>
      <c r="BNN529" s="10"/>
      <c r="BNO529" s="10"/>
      <c r="BNP529" s="10"/>
      <c r="BNQ529" s="10"/>
      <c r="BNR529" s="10"/>
      <c r="BNS529" s="10"/>
      <c r="BNT529" s="10"/>
      <c r="BNU529" s="10"/>
      <c r="BNV529" s="10"/>
      <c r="BNW529" s="10"/>
      <c r="BNX529" s="10"/>
      <c r="BNY529" s="10"/>
      <c r="BNZ529" s="10"/>
      <c r="BOA529" s="10"/>
      <c r="BOB529" s="10"/>
      <c r="BOC529" s="10"/>
      <c r="BOD529" s="10"/>
      <c r="BOE529" s="10"/>
      <c r="BOF529" s="10"/>
      <c r="BOG529" s="10"/>
      <c r="BOH529" s="10"/>
      <c r="BOI529" s="10"/>
      <c r="BOJ529" s="10"/>
      <c r="BOK529" s="10"/>
      <c r="BOL529" s="10"/>
      <c r="BOM529" s="10"/>
      <c r="BON529" s="10"/>
      <c r="BOO529" s="10"/>
      <c r="BOP529" s="10"/>
      <c r="BOQ529" s="10"/>
      <c r="BOR529" s="10"/>
      <c r="BOS529" s="10"/>
      <c r="BOT529" s="10"/>
      <c r="BOU529" s="10"/>
      <c r="BOV529" s="10"/>
      <c r="BOW529" s="10"/>
      <c r="BOX529" s="10"/>
      <c r="BOY529" s="10"/>
      <c r="BOZ529" s="10"/>
      <c r="BPA529" s="10"/>
      <c r="BPB529" s="10"/>
      <c r="BPC529" s="10"/>
      <c r="BPD529" s="10"/>
      <c r="BPE529" s="10"/>
      <c r="BPF529" s="10"/>
      <c r="BPG529" s="10"/>
      <c r="BPH529" s="10"/>
      <c r="BPI529" s="10"/>
      <c r="BPJ529" s="10"/>
      <c r="BPK529" s="10"/>
      <c r="BPL529" s="10"/>
      <c r="BPM529" s="10"/>
      <c r="BPN529" s="10"/>
      <c r="BPO529" s="10"/>
      <c r="BPP529" s="10"/>
      <c r="BPQ529" s="10"/>
      <c r="BPR529" s="10"/>
      <c r="BPS529" s="10"/>
      <c r="BPT529" s="10"/>
      <c r="BPU529" s="10"/>
      <c r="BPV529" s="10"/>
      <c r="BPW529" s="10"/>
      <c r="BPX529" s="10"/>
      <c r="BPY529" s="10"/>
      <c r="BPZ529" s="10"/>
      <c r="BQA529" s="10"/>
      <c r="BQB529" s="10"/>
      <c r="BQC529" s="10"/>
      <c r="BQD529" s="10"/>
      <c r="BQE529" s="10"/>
      <c r="BQF529" s="10"/>
      <c r="BQG529" s="10"/>
      <c r="BQH529" s="10"/>
      <c r="BQI529" s="10"/>
      <c r="BQJ529" s="10"/>
      <c r="BQK529" s="10"/>
      <c r="BQL529" s="10"/>
      <c r="BQM529" s="10"/>
      <c r="BQN529" s="10"/>
      <c r="BQO529" s="10"/>
      <c r="BQP529" s="10"/>
      <c r="BQQ529" s="10"/>
      <c r="BQR529" s="10"/>
      <c r="BQS529" s="10"/>
      <c r="BQT529" s="10"/>
      <c r="BQU529" s="10"/>
      <c r="BQV529" s="10"/>
      <c r="BQW529" s="10"/>
      <c r="BQX529" s="10"/>
      <c r="BQY529" s="10"/>
      <c r="BQZ529" s="10"/>
      <c r="BRA529" s="10"/>
      <c r="BRB529" s="10"/>
      <c r="BRC529" s="10"/>
      <c r="BRD529" s="10"/>
      <c r="BRE529" s="10"/>
      <c r="BRF529" s="10"/>
      <c r="BRG529" s="10"/>
      <c r="BRH529" s="10"/>
      <c r="BRI529" s="10"/>
      <c r="BRJ529" s="10"/>
      <c r="BRK529" s="10"/>
      <c r="BRL529" s="10"/>
      <c r="BRM529" s="10"/>
      <c r="BRN529" s="10"/>
      <c r="BRO529" s="10"/>
      <c r="BRP529" s="10"/>
      <c r="BRQ529" s="10"/>
      <c r="BRR529" s="10"/>
      <c r="BRS529" s="10"/>
      <c r="BRT529" s="10"/>
      <c r="BRU529" s="10"/>
      <c r="BRV529" s="10"/>
      <c r="BRW529" s="10"/>
      <c r="BRX529" s="10"/>
      <c r="BRY529" s="10"/>
      <c r="BRZ529" s="10"/>
      <c r="BSA529" s="10"/>
      <c r="BSB529" s="10"/>
      <c r="BSC529" s="10"/>
      <c r="BSD529" s="10"/>
      <c r="BSE529" s="10"/>
      <c r="BSF529" s="10"/>
      <c r="BSG529" s="10"/>
      <c r="BSH529" s="10"/>
      <c r="BSI529" s="10"/>
      <c r="BSJ529" s="10"/>
      <c r="BSK529" s="10"/>
      <c r="BSL529" s="10"/>
      <c r="BSM529" s="10"/>
      <c r="BSN529" s="10"/>
      <c r="BSO529" s="10"/>
      <c r="BSP529" s="10"/>
      <c r="BSQ529" s="10"/>
      <c r="BSR529" s="10"/>
      <c r="BSS529" s="10"/>
      <c r="BST529" s="10"/>
      <c r="BSU529" s="10"/>
      <c r="BSV529" s="10"/>
      <c r="BSW529" s="10"/>
      <c r="BSX529" s="10"/>
      <c r="BSY529" s="10"/>
      <c r="BSZ529" s="10"/>
      <c r="BTA529" s="10"/>
      <c r="BTB529" s="10"/>
      <c r="BTC529" s="10"/>
      <c r="BTD529" s="10"/>
      <c r="BTE529" s="10"/>
      <c r="BTF529" s="10"/>
      <c r="BTG529" s="10"/>
      <c r="BTH529" s="10"/>
      <c r="BTI529" s="10"/>
      <c r="BTJ529" s="10"/>
      <c r="BTK529" s="10"/>
      <c r="BTL529" s="10"/>
      <c r="BTM529" s="10"/>
      <c r="BTN529" s="10"/>
      <c r="BTO529" s="10"/>
      <c r="BTP529" s="10"/>
      <c r="BTQ529" s="10"/>
      <c r="BTR529" s="10"/>
      <c r="BTS529" s="10"/>
      <c r="BTT529" s="10"/>
    </row>
    <row r="530" spans="1:1892" s="14" customFormat="1" ht="35.1" customHeight="1">
      <c r="A530" s="1462"/>
      <c r="B530" s="597" t="s">
        <v>21</v>
      </c>
      <c r="C530" s="597" t="s">
        <v>78</v>
      </c>
      <c r="D530" s="1740" t="s">
        <v>77</v>
      </c>
      <c r="E530" s="1741"/>
      <c r="F530" s="1742"/>
      <c r="G530" s="940" t="s">
        <v>76</v>
      </c>
      <c r="H530" s="940" t="s">
        <v>75</v>
      </c>
      <c r="I530" s="940" t="s">
        <v>288</v>
      </c>
      <c r="J530" s="940" t="s">
        <v>67</v>
      </c>
      <c r="K530" s="940" t="s">
        <v>66</v>
      </c>
      <c r="L530" s="182">
        <v>63.887</v>
      </c>
      <c r="M530" s="231">
        <v>131</v>
      </c>
      <c r="N530" s="132">
        <v>0</v>
      </c>
      <c r="O530" s="132">
        <v>0</v>
      </c>
      <c r="P530" s="560" t="s">
        <v>466</v>
      </c>
      <c r="Q530" s="560" t="s">
        <v>467</v>
      </c>
      <c r="R530" s="560" t="s">
        <v>440</v>
      </c>
      <c r="S530" s="1001" t="s">
        <v>57</v>
      </c>
      <c r="T530" s="1405" t="s">
        <v>54</v>
      </c>
      <c r="U530" s="1411"/>
    </row>
    <row r="531" spans="1:1892" s="14" customFormat="1" ht="35.1" customHeight="1">
      <c r="A531" s="1462"/>
      <c r="B531" s="503"/>
      <c r="C531" s="503"/>
      <c r="D531" s="1743"/>
      <c r="E531" s="1744"/>
      <c r="F531" s="1745"/>
      <c r="G531" s="941"/>
      <c r="H531" s="941"/>
      <c r="I531" s="941"/>
      <c r="J531" s="941"/>
      <c r="K531" s="941"/>
      <c r="L531" s="182">
        <v>84.864000000000004</v>
      </c>
      <c r="M531" s="231">
        <v>417</v>
      </c>
      <c r="N531" s="132">
        <v>0</v>
      </c>
      <c r="O531" s="132">
        <v>0</v>
      </c>
      <c r="P531" s="561"/>
      <c r="Q531" s="561"/>
      <c r="R531" s="561"/>
      <c r="S531" s="1002"/>
      <c r="T531" s="1406"/>
      <c r="U531" s="1412"/>
    </row>
    <row r="532" spans="1:1892" s="14" customFormat="1" ht="35.1" customHeight="1">
      <c r="A532" s="1462"/>
      <c r="B532" s="503"/>
      <c r="C532" s="503"/>
      <c r="D532" s="1743"/>
      <c r="E532" s="1744"/>
      <c r="F532" s="1745"/>
      <c r="G532" s="941"/>
      <c r="H532" s="941"/>
      <c r="I532" s="941"/>
      <c r="J532" s="941"/>
      <c r="K532" s="941"/>
      <c r="L532" s="182">
        <v>84.864000000000004</v>
      </c>
      <c r="M532" s="231">
        <v>56</v>
      </c>
      <c r="N532" s="132">
        <v>0</v>
      </c>
      <c r="O532" s="132">
        <v>0</v>
      </c>
      <c r="P532" s="561"/>
      <c r="Q532" s="561"/>
      <c r="R532" s="561"/>
      <c r="S532" s="1002"/>
      <c r="T532" s="1406"/>
      <c r="U532" s="1412"/>
    </row>
    <row r="533" spans="1:1892" s="14" customFormat="1" ht="35.1" customHeight="1">
      <c r="A533" s="1462"/>
      <c r="B533" s="503"/>
      <c r="C533" s="503"/>
      <c r="D533" s="1743"/>
      <c r="E533" s="1744"/>
      <c r="F533" s="1745"/>
      <c r="G533" s="941"/>
      <c r="H533" s="941"/>
      <c r="I533" s="941"/>
      <c r="J533" s="941"/>
      <c r="K533" s="941"/>
      <c r="L533" s="182">
        <v>84.777000000000001</v>
      </c>
      <c r="M533" s="231">
        <v>230</v>
      </c>
      <c r="N533" s="132">
        <v>0</v>
      </c>
      <c r="O533" s="132">
        <v>0</v>
      </c>
      <c r="P533" s="561"/>
      <c r="Q533" s="561"/>
      <c r="R533" s="561"/>
      <c r="S533" s="1002"/>
      <c r="T533" s="1406"/>
      <c r="U533" s="1412"/>
    </row>
    <row r="534" spans="1:1892" s="14" customFormat="1" ht="35.1" customHeight="1">
      <c r="A534" s="1462"/>
      <c r="B534" s="503"/>
      <c r="C534" s="503"/>
      <c r="D534" s="1743"/>
      <c r="E534" s="1744"/>
      <c r="F534" s="1745"/>
      <c r="G534" s="941"/>
      <c r="H534" s="941"/>
      <c r="I534" s="941"/>
      <c r="J534" s="941"/>
      <c r="K534" s="941"/>
      <c r="L534" s="182">
        <v>101.81100000000001</v>
      </c>
      <c r="M534" s="231">
        <v>136</v>
      </c>
      <c r="N534" s="132">
        <v>1</v>
      </c>
      <c r="O534" s="132">
        <v>1</v>
      </c>
      <c r="P534" s="561"/>
      <c r="Q534" s="561"/>
      <c r="R534" s="561"/>
      <c r="S534" s="1002"/>
      <c r="T534" s="1406"/>
      <c r="U534" s="1412"/>
    </row>
    <row r="535" spans="1:1892" s="14" customFormat="1" ht="35.1" customHeight="1">
      <c r="A535" s="1462"/>
      <c r="B535" s="503"/>
      <c r="C535" s="503"/>
      <c r="D535" s="1743"/>
      <c r="E535" s="1744"/>
      <c r="F535" s="1745"/>
      <c r="G535" s="941"/>
      <c r="H535" s="941"/>
      <c r="I535" s="941"/>
      <c r="J535" s="941"/>
      <c r="K535" s="941"/>
      <c r="L535" s="182">
        <v>110.476</v>
      </c>
      <c r="M535" s="231">
        <v>26</v>
      </c>
      <c r="N535" s="132">
        <v>0</v>
      </c>
      <c r="O535" s="132">
        <v>0</v>
      </c>
      <c r="P535" s="561"/>
      <c r="Q535" s="561"/>
      <c r="R535" s="561"/>
      <c r="S535" s="1002"/>
      <c r="T535" s="1406"/>
      <c r="U535" s="1412"/>
    </row>
    <row r="536" spans="1:1892" s="14" customFormat="1" ht="35.1" customHeight="1">
      <c r="A536" s="1462"/>
      <c r="B536" s="503"/>
      <c r="C536" s="503"/>
      <c r="D536" s="1743"/>
      <c r="E536" s="1744"/>
      <c r="F536" s="1745"/>
      <c r="G536" s="942"/>
      <c r="H536" s="942"/>
      <c r="I536" s="942"/>
      <c r="J536" s="942"/>
      <c r="K536" s="942"/>
      <c r="L536" s="182">
        <v>117.197</v>
      </c>
      <c r="M536" s="231">
        <v>10</v>
      </c>
      <c r="N536" s="132">
        <v>0</v>
      </c>
      <c r="O536" s="132">
        <v>0</v>
      </c>
      <c r="P536" s="561"/>
      <c r="Q536" s="561"/>
      <c r="R536" s="561"/>
      <c r="S536" s="1002"/>
      <c r="T536" s="1406"/>
      <c r="U536" s="1412"/>
    </row>
    <row r="537" spans="1:1892" s="14" customFormat="1" ht="35.1" customHeight="1">
      <c r="A537" s="1462"/>
      <c r="B537" s="504"/>
      <c r="C537" s="504"/>
      <c r="D537" s="1746"/>
      <c r="E537" s="1747"/>
      <c r="F537" s="1748"/>
      <c r="G537" s="490" t="s">
        <v>329</v>
      </c>
      <c r="H537" s="491"/>
      <c r="I537" s="491"/>
      <c r="J537" s="491"/>
      <c r="K537" s="492"/>
      <c r="L537" s="183"/>
      <c r="M537" s="224">
        <f>SUM(M530:M536)</f>
        <v>1006</v>
      </c>
      <c r="N537" s="263">
        <f>SUM(N530:N536)</f>
        <v>1</v>
      </c>
      <c r="O537" s="263">
        <f>SUM(O530:O536)</f>
        <v>1</v>
      </c>
      <c r="P537" s="562"/>
      <c r="Q537" s="562"/>
      <c r="R537" s="562"/>
      <c r="S537" s="1003"/>
      <c r="T537" s="1407"/>
      <c r="U537" s="1413"/>
    </row>
    <row r="538" spans="1:1892" s="13" customFormat="1" ht="35.1" customHeight="1">
      <c r="A538" s="1462"/>
      <c r="B538" s="777" t="s">
        <v>105</v>
      </c>
      <c r="C538" s="778"/>
      <c r="D538" s="778"/>
      <c r="E538" s="778"/>
      <c r="F538" s="778"/>
      <c r="G538" s="778"/>
      <c r="H538" s="778"/>
      <c r="I538" s="778"/>
      <c r="J538" s="778"/>
      <c r="K538" s="779"/>
      <c r="L538" s="122"/>
      <c r="M538" s="265">
        <f>M537</f>
        <v>1006</v>
      </c>
      <c r="N538" s="403">
        <f>N537</f>
        <v>1</v>
      </c>
      <c r="O538" s="403">
        <f>O537</f>
        <v>1</v>
      </c>
      <c r="P538" s="123"/>
      <c r="Q538" s="123"/>
      <c r="R538" s="123"/>
      <c r="S538" s="124"/>
      <c r="T538" s="125"/>
      <c r="U538" s="12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  <c r="DE538" s="14"/>
      <c r="DF538" s="14"/>
      <c r="DG538" s="14"/>
      <c r="DH538" s="14"/>
      <c r="DI538" s="14"/>
      <c r="DJ538" s="14"/>
      <c r="DK538" s="14"/>
      <c r="DL538" s="14"/>
      <c r="DM538" s="14"/>
      <c r="DN538" s="14"/>
      <c r="DO538" s="14"/>
      <c r="DP538" s="14"/>
      <c r="DQ538" s="14"/>
      <c r="DR538" s="14"/>
      <c r="DS538" s="14"/>
      <c r="DT538" s="14"/>
      <c r="DU538" s="14"/>
      <c r="DV538" s="14"/>
      <c r="DW538" s="14"/>
      <c r="DX538" s="14"/>
      <c r="DY538" s="14"/>
      <c r="DZ538" s="14"/>
      <c r="EA538" s="14"/>
      <c r="EB538" s="14"/>
      <c r="EC538" s="14"/>
      <c r="ED538" s="14"/>
      <c r="EE538" s="14"/>
      <c r="EF538" s="14"/>
      <c r="EG538" s="14"/>
      <c r="EH538" s="14"/>
      <c r="EI538" s="14"/>
      <c r="EJ538" s="14"/>
      <c r="EK538" s="14"/>
      <c r="EL538" s="14"/>
      <c r="EM538" s="14"/>
      <c r="EN538" s="14"/>
      <c r="EO538" s="14"/>
      <c r="EP538" s="14"/>
      <c r="EQ538" s="14"/>
      <c r="ER538" s="14"/>
      <c r="ES538" s="14"/>
      <c r="ET538" s="14"/>
      <c r="EU538" s="14"/>
      <c r="EV538" s="14"/>
      <c r="EW538" s="14"/>
      <c r="EX538" s="14"/>
      <c r="EY538" s="14"/>
      <c r="EZ538" s="14"/>
      <c r="FA538" s="14"/>
      <c r="FB538" s="14"/>
      <c r="FC538" s="14"/>
      <c r="FD538" s="14"/>
      <c r="FE538" s="14"/>
      <c r="FF538" s="14"/>
      <c r="FG538" s="14"/>
      <c r="FH538" s="14"/>
      <c r="FI538" s="14"/>
      <c r="FJ538" s="14"/>
      <c r="FK538" s="14"/>
      <c r="FL538" s="14"/>
      <c r="FM538" s="14"/>
      <c r="FN538" s="14"/>
      <c r="FO538" s="14"/>
      <c r="FP538" s="14"/>
      <c r="FQ538" s="14"/>
      <c r="FR538" s="14"/>
      <c r="FS538" s="14"/>
      <c r="FT538" s="14"/>
      <c r="FU538" s="14"/>
      <c r="FV538" s="14"/>
      <c r="FW538" s="14"/>
      <c r="FX538" s="14"/>
      <c r="FY538" s="14"/>
      <c r="FZ538" s="14"/>
      <c r="GA538" s="14"/>
      <c r="GB538" s="14"/>
      <c r="GC538" s="14"/>
      <c r="GD538" s="14"/>
      <c r="GE538" s="14"/>
      <c r="GF538" s="14"/>
      <c r="GG538" s="14"/>
      <c r="GH538" s="14"/>
      <c r="GI538" s="14"/>
      <c r="GJ538" s="14"/>
      <c r="GK538" s="14"/>
      <c r="GL538" s="14"/>
      <c r="GM538" s="14"/>
      <c r="GN538" s="14"/>
      <c r="GO538" s="14"/>
      <c r="GP538" s="14"/>
      <c r="GQ538" s="14"/>
      <c r="GR538" s="14"/>
      <c r="GS538" s="14"/>
      <c r="GT538" s="14"/>
      <c r="GU538" s="14"/>
      <c r="GV538" s="14"/>
      <c r="GW538" s="14"/>
      <c r="GX538" s="14"/>
      <c r="GY538" s="14"/>
      <c r="GZ538" s="14"/>
      <c r="HA538" s="14"/>
      <c r="HB538" s="14"/>
      <c r="HC538" s="14"/>
      <c r="HD538" s="14"/>
      <c r="HE538" s="14"/>
      <c r="HF538" s="14"/>
      <c r="HG538" s="14"/>
      <c r="HH538" s="14"/>
      <c r="HI538" s="14"/>
      <c r="HJ538" s="14"/>
      <c r="HK538" s="14"/>
      <c r="HL538" s="14"/>
      <c r="HM538" s="14"/>
      <c r="HN538" s="14"/>
      <c r="HO538" s="14"/>
      <c r="HP538" s="14"/>
      <c r="HQ538" s="14"/>
      <c r="HR538" s="14"/>
      <c r="HS538" s="14"/>
      <c r="HT538" s="14"/>
      <c r="HU538" s="14"/>
      <c r="HV538" s="14"/>
      <c r="HW538" s="14"/>
      <c r="HX538" s="14"/>
      <c r="HY538" s="14"/>
      <c r="HZ538" s="14"/>
      <c r="IA538" s="14"/>
      <c r="IB538" s="14"/>
      <c r="IC538" s="14"/>
      <c r="ID538" s="14"/>
      <c r="IE538" s="14"/>
      <c r="IF538" s="14"/>
      <c r="IG538" s="14"/>
      <c r="IH538" s="14"/>
      <c r="II538" s="14"/>
      <c r="IJ538" s="14"/>
      <c r="IK538" s="14"/>
      <c r="IL538" s="14"/>
      <c r="IM538" s="14"/>
      <c r="IN538" s="14"/>
      <c r="IO538" s="14"/>
      <c r="IP538" s="14"/>
      <c r="IQ538" s="14"/>
      <c r="IR538" s="14"/>
      <c r="IS538" s="14"/>
      <c r="IT538" s="14"/>
      <c r="IU538" s="14"/>
      <c r="IV538" s="14"/>
      <c r="IW538" s="14"/>
      <c r="IX538" s="14"/>
      <c r="IY538" s="14"/>
      <c r="IZ538" s="14"/>
      <c r="JA538" s="14"/>
      <c r="JB538" s="14"/>
      <c r="JC538" s="14"/>
      <c r="JD538" s="14"/>
      <c r="JE538" s="14"/>
      <c r="JF538" s="14"/>
      <c r="JG538" s="14"/>
      <c r="JH538" s="14"/>
      <c r="JI538" s="14"/>
      <c r="JJ538" s="14"/>
      <c r="JK538" s="14"/>
      <c r="JL538" s="14"/>
      <c r="JM538" s="14"/>
      <c r="JN538" s="14"/>
      <c r="JO538" s="14"/>
      <c r="JP538" s="14"/>
      <c r="JQ538" s="14"/>
      <c r="JR538" s="14"/>
      <c r="JS538" s="14"/>
      <c r="JT538" s="14"/>
      <c r="JU538" s="14"/>
      <c r="JV538" s="14"/>
      <c r="JW538" s="14"/>
      <c r="JX538" s="14"/>
      <c r="JY538" s="14"/>
      <c r="JZ538" s="14"/>
      <c r="KA538" s="14"/>
      <c r="KB538" s="14"/>
      <c r="KC538" s="14"/>
      <c r="KD538" s="14"/>
      <c r="KE538" s="14"/>
      <c r="KF538" s="14"/>
      <c r="KG538" s="14"/>
      <c r="KH538" s="14"/>
      <c r="KI538" s="14"/>
      <c r="KJ538" s="14"/>
      <c r="KK538" s="14"/>
      <c r="KL538" s="14"/>
      <c r="KM538" s="14"/>
      <c r="KN538" s="14"/>
      <c r="KO538" s="14"/>
      <c r="KP538" s="14"/>
      <c r="KQ538" s="14"/>
      <c r="KR538" s="14"/>
      <c r="KS538" s="14"/>
      <c r="KT538" s="14"/>
      <c r="KU538" s="14"/>
      <c r="KV538" s="14"/>
      <c r="KW538" s="14"/>
      <c r="KX538" s="14"/>
      <c r="KY538" s="14"/>
      <c r="KZ538" s="14"/>
      <c r="LA538" s="14"/>
      <c r="LB538" s="14"/>
      <c r="LC538" s="14"/>
      <c r="LD538" s="14"/>
      <c r="LE538" s="14"/>
      <c r="LF538" s="14"/>
      <c r="LG538" s="14"/>
      <c r="LH538" s="14"/>
      <c r="LI538" s="14"/>
      <c r="LJ538" s="14"/>
      <c r="LK538" s="14"/>
      <c r="LL538" s="14"/>
      <c r="LM538" s="14"/>
      <c r="LN538" s="14"/>
      <c r="LO538" s="14"/>
      <c r="LP538" s="14"/>
      <c r="LQ538" s="14"/>
      <c r="LR538" s="14"/>
      <c r="LS538" s="14"/>
      <c r="LT538" s="14"/>
      <c r="LU538" s="14"/>
      <c r="LV538" s="14"/>
      <c r="LW538" s="14"/>
      <c r="LX538" s="14"/>
      <c r="LY538" s="14"/>
      <c r="LZ538" s="14"/>
      <c r="MA538" s="14"/>
      <c r="MB538" s="14"/>
      <c r="MC538" s="14"/>
      <c r="MD538" s="14"/>
      <c r="ME538" s="14"/>
      <c r="MF538" s="14"/>
      <c r="MG538" s="14"/>
      <c r="MH538" s="14"/>
      <c r="MI538" s="14"/>
      <c r="MJ538" s="14"/>
      <c r="MK538" s="14"/>
      <c r="ML538" s="14"/>
      <c r="MM538" s="14"/>
      <c r="MN538" s="14"/>
      <c r="MO538" s="14"/>
      <c r="MP538" s="14"/>
      <c r="MQ538" s="14"/>
      <c r="MR538" s="14"/>
      <c r="MS538" s="14"/>
      <c r="MT538" s="14"/>
      <c r="MU538" s="14"/>
      <c r="MV538" s="14"/>
      <c r="MW538" s="14"/>
      <c r="MX538" s="14"/>
      <c r="MY538" s="14"/>
      <c r="MZ538" s="14"/>
      <c r="NA538" s="14"/>
      <c r="NB538" s="14"/>
      <c r="NC538" s="14"/>
      <c r="ND538" s="14"/>
      <c r="NE538" s="14"/>
      <c r="NF538" s="14"/>
      <c r="NG538" s="14"/>
      <c r="NH538" s="14"/>
      <c r="NI538" s="14"/>
      <c r="NJ538" s="14"/>
      <c r="NK538" s="14"/>
      <c r="NL538" s="14"/>
      <c r="NM538" s="14"/>
      <c r="NN538" s="14"/>
      <c r="NO538" s="14"/>
      <c r="NP538" s="14"/>
      <c r="NQ538" s="14"/>
      <c r="NR538" s="14"/>
      <c r="NS538" s="14"/>
      <c r="NT538" s="14"/>
      <c r="NU538" s="14"/>
      <c r="NV538" s="14"/>
      <c r="NW538" s="14"/>
      <c r="NX538" s="14"/>
      <c r="NY538" s="14"/>
      <c r="NZ538" s="14"/>
      <c r="OA538" s="14"/>
      <c r="OB538" s="14"/>
      <c r="OC538" s="14"/>
      <c r="OD538" s="14"/>
      <c r="OE538" s="14"/>
      <c r="OF538" s="14"/>
      <c r="OG538" s="14"/>
      <c r="OH538" s="14"/>
      <c r="OI538" s="14"/>
      <c r="OJ538" s="14"/>
      <c r="OK538" s="14"/>
      <c r="OL538" s="14"/>
      <c r="OM538" s="14"/>
      <c r="ON538" s="14"/>
      <c r="OO538" s="14"/>
      <c r="OP538" s="14"/>
      <c r="OQ538" s="14"/>
      <c r="OR538" s="14"/>
      <c r="OS538" s="14"/>
      <c r="OT538" s="14"/>
      <c r="OU538" s="14"/>
      <c r="OV538" s="14"/>
      <c r="OW538" s="14"/>
      <c r="OX538" s="14"/>
      <c r="OY538" s="14"/>
      <c r="OZ538" s="14"/>
      <c r="PA538" s="14"/>
      <c r="PB538" s="14"/>
      <c r="PC538" s="14"/>
      <c r="PD538" s="14"/>
      <c r="PE538" s="14"/>
      <c r="PF538" s="14"/>
      <c r="PG538" s="14"/>
      <c r="PH538" s="14"/>
      <c r="PI538" s="14"/>
      <c r="PJ538" s="14"/>
      <c r="PK538" s="14"/>
      <c r="PL538" s="14"/>
      <c r="PM538" s="14"/>
      <c r="PN538" s="14"/>
      <c r="PO538" s="14"/>
      <c r="PP538" s="14"/>
      <c r="PQ538" s="14"/>
      <c r="PR538" s="14"/>
      <c r="PS538" s="14"/>
      <c r="PT538" s="14"/>
      <c r="PU538" s="14"/>
      <c r="PV538" s="14"/>
      <c r="PW538" s="14"/>
      <c r="PX538" s="14"/>
      <c r="PY538" s="14"/>
      <c r="PZ538" s="14"/>
      <c r="QA538" s="14"/>
      <c r="QB538" s="14"/>
      <c r="QC538" s="14"/>
      <c r="QD538" s="14"/>
      <c r="QE538" s="14"/>
      <c r="QF538" s="14"/>
      <c r="QG538" s="14"/>
      <c r="QH538" s="14"/>
      <c r="QI538" s="14"/>
      <c r="QJ538" s="14"/>
      <c r="QK538" s="14"/>
      <c r="QL538" s="14"/>
      <c r="QM538" s="14"/>
      <c r="QN538" s="14"/>
      <c r="QO538" s="14"/>
      <c r="QP538" s="14"/>
      <c r="QQ538" s="14"/>
      <c r="QR538" s="14"/>
      <c r="QS538" s="14"/>
      <c r="QT538" s="14"/>
      <c r="QU538" s="14"/>
      <c r="QV538" s="14"/>
      <c r="QW538" s="14"/>
      <c r="QX538" s="14"/>
      <c r="QY538" s="14"/>
      <c r="QZ538" s="14"/>
      <c r="RA538" s="14"/>
      <c r="RB538" s="14"/>
      <c r="RC538" s="14"/>
      <c r="RD538" s="14"/>
      <c r="RE538" s="14"/>
      <c r="RF538" s="14"/>
      <c r="RG538" s="14"/>
      <c r="RH538" s="14"/>
      <c r="RI538" s="14"/>
      <c r="RJ538" s="14"/>
      <c r="RK538" s="14"/>
      <c r="RL538" s="14"/>
      <c r="RM538" s="14"/>
      <c r="RN538" s="14"/>
      <c r="RO538" s="14"/>
      <c r="RP538" s="14"/>
      <c r="RQ538" s="14"/>
      <c r="RR538" s="14"/>
      <c r="RS538" s="14"/>
      <c r="RT538" s="14"/>
      <c r="RU538" s="14"/>
      <c r="RV538" s="14"/>
      <c r="RW538" s="14"/>
      <c r="RX538" s="14"/>
      <c r="RY538" s="14"/>
      <c r="RZ538" s="14"/>
      <c r="SA538" s="14"/>
      <c r="SB538" s="14"/>
      <c r="SC538" s="14"/>
      <c r="SD538" s="14"/>
      <c r="SE538" s="14"/>
      <c r="SF538" s="14"/>
      <c r="SG538" s="14"/>
      <c r="SH538" s="14"/>
      <c r="SI538" s="14"/>
      <c r="SJ538" s="14"/>
      <c r="SK538" s="14"/>
      <c r="SL538" s="14"/>
      <c r="SM538" s="14"/>
      <c r="SN538" s="14"/>
      <c r="SO538" s="14"/>
      <c r="SP538" s="14"/>
      <c r="SQ538" s="14"/>
      <c r="SR538" s="14"/>
      <c r="SS538" s="14"/>
      <c r="ST538" s="14"/>
      <c r="SU538" s="14"/>
      <c r="SV538" s="14"/>
      <c r="SW538" s="14"/>
      <c r="SX538" s="14"/>
      <c r="SY538" s="14"/>
      <c r="SZ538" s="14"/>
      <c r="TA538" s="14"/>
      <c r="TB538" s="14"/>
      <c r="TC538" s="14"/>
      <c r="TD538" s="14"/>
      <c r="TE538" s="14"/>
      <c r="TF538" s="14"/>
      <c r="TG538" s="14"/>
      <c r="TH538" s="14"/>
      <c r="TI538" s="14"/>
      <c r="TJ538" s="14"/>
      <c r="TK538" s="14"/>
      <c r="TL538" s="14"/>
      <c r="TM538" s="14"/>
      <c r="TN538" s="14"/>
      <c r="TO538" s="14"/>
      <c r="TP538" s="14"/>
      <c r="TQ538" s="14"/>
      <c r="TR538" s="14"/>
      <c r="TS538" s="14"/>
      <c r="TT538" s="14"/>
      <c r="TU538" s="14"/>
      <c r="TV538" s="14"/>
      <c r="TW538" s="14"/>
      <c r="TX538" s="14"/>
      <c r="TY538" s="14"/>
      <c r="TZ538" s="14"/>
      <c r="UA538" s="14"/>
      <c r="UB538" s="14"/>
      <c r="UC538" s="14"/>
      <c r="UD538" s="14"/>
      <c r="UE538" s="14"/>
      <c r="UF538" s="14"/>
      <c r="UG538" s="14"/>
      <c r="UH538" s="14"/>
      <c r="UI538" s="14"/>
      <c r="UJ538" s="14"/>
      <c r="UK538" s="14"/>
      <c r="UL538" s="14"/>
      <c r="UM538" s="14"/>
      <c r="UN538" s="14"/>
      <c r="UO538" s="14"/>
      <c r="UP538" s="14"/>
      <c r="UQ538" s="14"/>
      <c r="UR538" s="14"/>
      <c r="US538" s="14"/>
      <c r="UT538" s="14"/>
      <c r="UU538" s="14"/>
      <c r="UV538" s="14"/>
      <c r="UW538" s="14"/>
      <c r="UX538" s="14"/>
      <c r="UY538" s="14"/>
      <c r="UZ538" s="14"/>
      <c r="VA538" s="14"/>
      <c r="VB538" s="14"/>
      <c r="VC538" s="14"/>
      <c r="VD538" s="14"/>
      <c r="VE538" s="14"/>
      <c r="VF538" s="14"/>
      <c r="VG538" s="14"/>
      <c r="VH538" s="14"/>
      <c r="VI538" s="14"/>
      <c r="VJ538" s="14"/>
      <c r="VK538" s="14"/>
      <c r="VL538" s="14"/>
      <c r="VM538" s="14"/>
      <c r="VN538" s="14"/>
      <c r="VO538" s="14"/>
      <c r="VP538" s="14"/>
      <c r="VQ538" s="14"/>
      <c r="VR538" s="14"/>
      <c r="VS538" s="14"/>
      <c r="VT538" s="14"/>
      <c r="VU538" s="14"/>
      <c r="VV538" s="14"/>
      <c r="VW538" s="14"/>
      <c r="VX538" s="14"/>
      <c r="VY538" s="14"/>
      <c r="VZ538" s="14"/>
      <c r="WA538" s="14"/>
      <c r="WB538" s="14"/>
      <c r="WC538" s="14"/>
      <c r="WD538" s="14"/>
      <c r="WE538" s="14"/>
      <c r="WF538" s="14"/>
      <c r="WG538" s="14"/>
      <c r="WH538" s="14"/>
      <c r="WI538" s="14"/>
      <c r="WJ538" s="14"/>
      <c r="WK538" s="14"/>
      <c r="WL538" s="14"/>
      <c r="WM538" s="14"/>
      <c r="WN538" s="14"/>
      <c r="WO538" s="14"/>
      <c r="WP538" s="14"/>
      <c r="WQ538" s="14"/>
      <c r="WR538" s="14"/>
      <c r="WS538" s="14"/>
      <c r="WT538" s="14"/>
      <c r="WU538" s="14"/>
      <c r="WV538" s="14"/>
      <c r="WW538" s="14"/>
      <c r="WX538" s="14"/>
      <c r="WY538" s="14"/>
      <c r="WZ538" s="14"/>
      <c r="XA538" s="14"/>
      <c r="XB538" s="14"/>
      <c r="XC538" s="14"/>
      <c r="XD538" s="14"/>
      <c r="XE538" s="14"/>
      <c r="XF538" s="14"/>
      <c r="XG538" s="14"/>
      <c r="XH538" s="14"/>
      <c r="XI538" s="14"/>
      <c r="XJ538" s="14"/>
      <c r="XK538" s="14"/>
      <c r="XL538" s="14"/>
      <c r="XM538" s="14"/>
      <c r="XN538" s="14"/>
      <c r="XO538" s="14"/>
      <c r="XP538" s="14"/>
      <c r="XQ538" s="14"/>
      <c r="XR538" s="14"/>
      <c r="XS538" s="14"/>
      <c r="XT538" s="14"/>
      <c r="XU538" s="14"/>
      <c r="XV538" s="14"/>
      <c r="XW538" s="14"/>
      <c r="XX538" s="14"/>
      <c r="XY538" s="14"/>
      <c r="XZ538" s="14"/>
      <c r="YA538" s="14"/>
      <c r="YB538" s="14"/>
      <c r="YC538" s="14"/>
      <c r="YD538" s="14"/>
      <c r="YE538" s="14"/>
      <c r="YF538" s="14"/>
      <c r="YG538" s="14"/>
      <c r="YH538" s="14"/>
      <c r="YI538" s="14"/>
      <c r="YJ538" s="14"/>
      <c r="YK538" s="14"/>
      <c r="YL538" s="14"/>
      <c r="YM538" s="14"/>
      <c r="YN538" s="14"/>
      <c r="YO538" s="14"/>
      <c r="YP538" s="14"/>
      <c r="YQ538" s="14"/>
      <c r="YR538" s="14"/>
      <c r="YS538" s="14"/>
      <c r="YT538" s="14"/>
      <c r="YU538" s="14"/>
      <c r="YV538" s="14"/>
      <c r="YW538" s="14"/>
      <c r="YX538" s="14"/>
      <c r="YY538" s="14"/>
      <c r="YZ538" s="14"/>
      <c r="ZA538" s="14"/>
      <c r="ZB538" s="14"/>
      <c r="ZC538" s="14"/>
      <c r="ZD538" s="14"/>
      <c r="ZE538" s="14"/>
      <c r="ZF538" s="14"/>
      <c r="ZG538" s="14"/>
      <c r="ZH538" s="14"/>
      <c r="ZI538" s="14"/>
      <c r="ZJ538" s="14"/>
      <c r="ZK538" s="14"/>
      <c r="ZL538" s="14"/>
      <c r="ZM538" s="14"/>
      <c r="ZN538" s="14"/>
      <c r="ZO538" s="14"/>
      <c r="ZP538" s="14"/>
      <c r="ZQ538" s="14"/>
      <c r="ZR538" s="14"/>
      <c r="ZS538" s="14"/>
      <c r="ZT538" s="14"/>
      <c r="ZU538" s="14"/>
      <c r="ZV538" s="14"/>
      <c r="ZW538" s="14"/>
      <c r="ZX538" s="14"/>
      <c r="ZY538" s="14"/>
      <c r="ZZ538" s="14"/>
      <c r="AAA538" s="14"/>
      <c r="AAB538" s="14"/>
      <c r="AAC538" s="14"/>
      <c r="AAD538" s="14"/>
      <c r="AAE538" s="14"/>
      <c r="AAF538" s="14"/>
      <c r="AAG538" s="14"/>
      <c r="AAH538" s="14"/>
      <c r="AAI538" s="14"/>
      <c r="AAJ538" s="14"/>
      <c r="AAK538" s="14"/>
      <c r="AAL538" s="14"/>
      <c r="AAM538" s="14"/>
      <c r="AAN538" s="14"/>
      <c r="AAO538" s="14"/>
      <c r="AAP538" s="14"/>
      <c r="AAQ538" s="14"/>
      <c r="AAR538" s="14"/>
      <c r="AAS538" s="14"/>
      <c r="AAT538" s="14"/>
      <c r="AAU538" s="14"/>
      <c r="AAV538" s="14"/>
      <c r="AAW538" s="14"/>
      <c r="AAX538" s="14"/>
      <c r="AAY538" s="14"/>
      <c r="AAZ538" s="14"/>
      <c r="ABA538" s="14"/>
      <c r="ABB538" s="14"/>
      <c r="ABC538" s="14"/>
      <c r="ABD538" s="14"/>
      <c r="ABE538" s="14"/>
      <c r="ABF538" s="14"/>
      <c r="ABG538" s="14"/>
      <c r="ABH538" s="14"/>
      <c r="ABI538" s="14"/>
      <c r="ABJ538" s="14"/>
      <c r="ABK538" s="14"/>
      <c r="ABL538" s="14"/>
      <c r="ABM538" s="14"/>
      <c r="ABN538" s="14"/>
      <c r="ABO538" s="14"/>
      <c r="ABP538" s="14"/>
      <c r="ABQ538" s="14"/>
      <c r="ABR538" s="14"/>
      <c r="ABS538" s="14"/>
      <c r="ABT538" s="14"/>
      <c r="ABU538" s="14"/>
      <c r="ABV538" s="14"/>
      <c r="ABW538" s="14"/>
      <c r="ABX538" s="14"/>
      <c r="ABY538" s="14"/>
      <c r="ABZ538" s="14"/>
      <c r="ACA538" s="14"/>
      <c r="ACB538" s="14"/>
      <c r="ACC538" s="14"/>
      <c r="ACD538" s="14"/>
      <c r="ACE538" s="14"/>
      <c r="ACF538" s="14"/>
      <c r="ACG538" s="14"/>
      <c r="ACH538" s="14"/>
      <c r="ACI538" s="14"/>
      <c r="ACJ538" s="14"/>
      <c r="ACK538" s="14"/>
      <c r="ACL538" s="14"/>
      <c r="ACM538" s="14"/>
      <c r="ACN538" s="14"/>
      <c r="ACO538" s="14"/>
      <c r="ACP538" s="14"/>
      <c r="ACQ538" s="14"/>
      <c r="ACR538" s="14"/>
      <c r="ACS538" s="14"/>
      <c r="ACT538" s="14"/>
      <c r="ACU538" s="14"/>
      <c r="ACV538" s="14"/>
      <c r="ACW538" s="14"/>
      <c r="ACX538" s="14"/>
      <c r="ACY538" s="14"/>
      <c r="ACZ538" s="14"/>
      <c r="ADA538" s="14"/>
      <c r="ADB538" s="14"/>
      <c r="ADC538" s="14"/>
      <c r="ADD538" s="14"/>
      <c r="ADE538" s="14"/>
      <c r="ADF538" s="14"/>
      <c r="ADG538" s="14"/>
      <c r="ADH538" s="14"/>
      <c r="ADI538" s="14"/>
      <c r="ADJ538" s="14"/>
      <c r="ADK538" s="14"/>
      <c r="ADL538" s="14"/>
      <c r="ADM538" s="14"/>
      <c r="ADN538" s="14"/>
      <c r="ADO538" s="14"/>
      <c r="ADP538" s="14"/>
      <c r="ADQ538" s="14"/>
      <c r="ADR538" s="14"/>
      <c r="ADS538" s="14"/>
      <c r="ADT538" s="14"/>
      <c r="ADU538" s="14"/>
      <c r="ADV538" s="14"/>
      <c r="ADW538" s="14"/>
      <c r="ADX538" s="14"/>
      <c r="ADY538" s="14"/>
      <c r="ADZ538" s="14"/>
      <c r="AEA538" s="14"/>
      <c r="AEB538" s="14"/>
      <c r="AEC538" s="14"/>
      <c r="AED538" s="14"/>
      <c r="AEE538" s="14"/>
      <c r="AEF538" s="14"/>
      <c r="AEG538" s="14"/>
      <c r="AEH538" s="14"/>
      <c r="AEI538" s="14"/>
      <c r="AEJ538" s="14"/>
      <c r="AEK538" s="14"/>
      <c r="AEL538" s="14"/>
      <c r="AEM538" s="14"/>
      <c r="AEN538" s="14"/>
      <c r="AEO538" s="14"/>
      <c r="AEP538" s="14"/>
      <c r="AEQ538" s="14"/>
      <c r="AER538" s="14"/>
      <c r="AES538" s="14"/>
      <c r="AET538" s="14"/>
      <c r="AEU538" s="14"/>
      <c r="AEV538" s="14"/>
      <c r="AEW538" s="14"/>
      <c r="AEX538" s="14"/>
      <c r="AEY538" s="14"/>
      <c r="AEZ538" s="14"/>
      <c r="AFA538" s="14"/>
      <c r="AFB538" s="14"/>
      <c r="AFC538" s="14"/>
      <c r="AFD538" s="14"/>
      <c r="AFE538" s="14"/>
      <c r="AFF538" s="14"/>
      <c r="AFG538" s="14"/>
      <c r="AFH538" s="14"/>
      <c r="AFI538" s="14"/>
      <c r="AFJ538" s="14"/>
      <c r="AFK538" s="14"/>
      <c r="AFL538" s="14"/>
      <c r="AFM538" s="14"/>
      <c r="AFN538" s="14"/>
      <c r="AFO538" s="14"/>
      <c r="AFP538" s="14"/>
      <c r="AFQ538" s="14"/>
      <c r="AFR538" s="14"/>
      <c r="AFS538" s="14"/>
      <c r="AFT538" s="14"/>
      <c r="AFU538" s="14"/>
      <c r="AFV538" s="14"/>
      <c r="AFW538" s="14"/>
      <c r="AFX538" s="14"/>
      <c r="AFY538" s="14"/>
      <c r="AFZ538" s="14"/>
      <c r="AGA538" s="14"/>
      <c r="AGB538" s="14"/>
      <c r="AGC538" s="14"/>
      <c r="AGD538" s="14"/>
      <c r="AGE538" s="14"/>
      <c r="AGF538" s="14"/>
      <c r="AGG538" s="14"/>
      <c r="AGH538" s="14"/>
      <c r="AGI538" s="14"/>
      <c r="AGJ538" s="14"/>
      <c r="AGK538" s="14"/>
      <c r="AGL538" s="14"/>
      <c r="AGM538" s="14"/>
      <c r="AGN538" s="14"/>
      <c r="AGO538" s="14"/>
      <c r="AGP538" s="14"/>
      <c r="AGQ538" s="14"/>
      <c r="AGR538" s="14"/>
      <c r="AGS538" s="14"/>
      <c r="AGT538" s="14"/>
      <c r="AGU538" s="14"/>
      <c r="AGV538" s="14"/>
      <c r="AGW538" s="14"/>
      <c r="AGX538" s="14"/>
      <c r="AGY538" s="14"/>
      <c r="AGZ538" s="14"/>
      <c r="AHA538" s="14"/>
      <c r="AHB538" s="14"/>
      <c r="AHC538" s="14"/>
      <c r="AHD538" s="14"/>
      <c r="AHE538" s="14"/>
      <c r="AHF538" s="14"/>
      <c r="AHG538" s="14"/>
      <c r="AHH538" s="14"/>
      <c r="AHI538" s="14"/>
      <c r="AHJ538" s="14"/>
      <c r="AHK538" s="14"/>
      <c r="AHL538" s="14"/>
      <c r="AHM538" s="14"/>
      <c r="AHN538" s="14"/>
      <c r="AHO538" s="14"/>
      <c r="AHP538" s="14"/>
      <c r="AHQ538" s="14"/>
      <c r="AHR538" s="14"/>
      <c r="AHS538" s="14"/>
      <c r="AHT538" s="14"/>
      <c r="AHU538" s="14"/>
      <c r="AHV538" s="14"/>
      <c r="AHW538" s="14"/>
      <c r="AHX538" s="14"/>
      <c r="AHY538" s="14"/>
      <c r="AHZ538" s="14"/>
      <c r="AIA538" s="14"/>
      <c r="AIB538" s="14"/>
      <c r="AIC538" s="14"/>
      <c r="AID538" s="14"/>
      <c r="AIE538" s="14"/>
      <c r="AIF538" s="14"/>
      <c r="AIG538" s="14"/>
      <c r="AIH538" s="14"/>
      <c r="AII538" s="14"/>
      <c r="AIJ538" s="14"/>
      <c r="AIK538" s="14"/>
      <c r="AIL538" s="14"/>
      <c r="AIM538" s="14"/>
      <c r="AIN538" s="14"/>
      <c r="AIO538" s="14"/>
      <c r="AIP538" s="14"/>
      <c r="AIQ538" s="14"/>
      <c r="AIR538" s="14"/>
      <c r="AIS538" s="14"/>
      <c r="AIT538" s="14"/>
      <c r="AIU538" s="14"/>
      <c r="AIV538" s="14"/>
      <c r="AIW538" s="14"/>
      <c r="AIX538" s="14"/>
      <c r="AIY538" s="14"/>
      <c r="AIZ538" s="14"/>
      <c r="AJA538" s="14"/>
      <c r="AJB538" s="14"/>
      <c r="AJC538" s="14"/>
      <c r="AJD538" s="14"/>
      <c r="AJE538" s="14"/>
      <c r="AJF538" s="14"/>
      <c r="AJG538" s="14"/>
      <c r="AJH538" s="14"/>
      <c r="AJI538" s="14"/>
      <c r="AJJ538" s="14"/>
      <c r="AJK538" s="14"/>
      <c r="AJL538" s="14"/>
      <c r="AJM538" s="14"/>
      <c r="AJN538" s="14"/>
      <c r="AJO538" s="14"/>
      <c r="AJP538" s="14"/>
      <c r="AJQ538" s="14"/>
      <c r="AJR538" s="14"/>
      <c r="AJS538" s="14"/>
      <c r="AJT538" s="14"/>
      <c r="AJU538" s="14"/>
      <c r="AJV538" s="14"/>
      <c r="AJW538" s="14"/>
      <c r="AJX538" s="14"/>
      <c r="AJY538" s="14"/>
      <c r="AJZ538" s="14"/>
      <c r="AKA538" s="14"/>
      <c r="AKB538" s="14"/>
      <c r="AKC538" s="14"/>
      <c r="AKD538" s="14"/>
      <c r="AKE538" s="14"/>
      <c r="AKF538" s="14"/>
      <c r="AKG538" s="14"/>
      <c r="AKH538" s="14"/>
      <c r="AKI538" s="14"/>
      <c r="AKJ538" s="14"/>
      <c r="AKK538" s="14"/>
      <c r="AKL538" s="14"/>
      <c r="AKM538" s="14"/>
      <c r="AKN538" s="14"/>
      <c r="AKO538" s="14"/>
      <c r="AKP538" s="14"/>
      <c r="AKQ538" s="14"/>
      <c r="AKR538" s="14"/>
      <c r="AKS538" s="14"/>
      <c r="AKT538" s="14"/>
      <c r="AKU538" s="14"/>
      <c r="AKV538" s="14"/>
      <c r="AKW538" s="14"/>
      <c r="AKX538" s="14"/>
      <c r="AKY538" s="14"/>
      <c r="AKZ538" s="14"/>
      <c r="ALA538" s="14"/>
      <c r="ALB538" s="14"/>
      <c r="ALC538" s="14"/>
      <c r="ALD538" s="14"/>
      <c r="ALE538" s="14"/>
      <c r="ALF538" s="14"/>
      <c r="ALG538" s="14"/>
      <c r="ALH538" s="14"/>
      <c r="ALI538" s="14"/>
      <c r="ALJ538" s="14"/>
      <c r="ALK538" s="14"/>
      <c r="ALL538" s="14"/>
      <c r="ALM538" s="14"/>
      <c r="ALN538" s="14"/>
      <c r="ALO538" s="14"/>
      <c r="ALP538" s="14"/>
      <c r="ALQ538" s="14"/>
      <c r="ALR538" s="14"/>
      <c r="ALS538" s="14"/>
      <c r="ALT538" s="14"/>
      <c r="ALU538" s="14"/>
      <c r="ALV538" s="14"/>
      <c r="ALW538" s="14"/>
      <c r="ALX538" s="14"/>
      <c r="ALY538" s="14"/>
      <c r="ALZ538" s="14"/>
      <c r="AMA538" s="14"/>
      <c r="AMB538" s="14"/>
      <c r="AMC538" s="14"/>
      <c r="AMD538" s="14"/>
      <c r="AME538" s="14"/>
      <c r="AMF538" s="14"/>
      <c r="AMG538" s="14"/>
      <c r="AMH538" s="14"/>
      <c r="AMI538" s="14"/>
      <c r="AMJ538" s="14"/>
      <c r="AMK538" s="14"/>
      <c r="AML538" s="14"/>
      <c r="AMM538" s="14"/>
      <c r="AMN538" s="14"/>
      <c r="AMO538" s="14"/>
      <c r="AMP538" s="14"/>
      <c r="AMQ538" s="14"/>
      <c r="AMR538" s="14"/>
      <c r="AMS538" s="14"/>
      <c r="AMT538" s="14"/>
      <c r="AMU538" s="14"/>
      <c r="AMV538" s="14"/>
      <c r="AMW538" s="14"/>
      <c r="AMX538" s="14"/>
      <c r="AMY538" s="14"/>
      <c r="AMZ538" s="14"/>
      <c r="ANA538" s="14"/>
      <c r="ANB538" s="14"/>
      <c r="ANC538" s="14"/>
      <c r="AND538" s="14"/>
      <c r="ANE538" s="14"/>
      <c r="ANF538" s="14"/>
      <c r="ANG538" s="14"/>
      <c r="ANH538" s="14"/>
      <c r="ANI538" s="14"/>
      <c r="ANJ538" s="14"/>
      <c r="ANK538" s="14"/>
      <c r="ANL538" s="14"/>
      <c r="ANM538" s="14"/>
      <c r="ANN538" s="14"/>
      <c r="ANO538" s="14"/>
      <c r="ANP538" s="14"/>
      <c r="ANQ538" s="14"/>
      <c r="ANR538" s="14"/>
      <c r="ANS538" s="14"/>
      <c r="ANT538" s="14"/>
      <c r="ANU538" s="14"/>
      <c r="ANV538" s="14"/>
      <c r="ANW538" s="14"/>
      <c r="ANX538" s="14"/>
      <c r="ANY538" s="14"/>
      <c r="ANZ538" s="14"/>
      <c r="AOA538" s="14"/>
      <c r="AOB538" s="14"/>
      <c r="AOC538" s="14"/>
      <c r="AOD538" s="14"/>
      <c r="AOE538" s="14"/>
      <c r="AOF538" s="14"/>
      <c r="AOG538" s="14"/>
      <c r="AOH538" s="14"/>
      <c r="AOI538" s="14"/>
      <c r="AOJ538" s="14"/>
      <c r="AOK538" s="14"/>
      <c r="AOL538" s="14"/>
      <c r="AOM538" s="14"/>
      <c r="AON538" s="14"/>
      <c r="AOO538" s="14"/>
      <c r="AOP538" s="14"/>
      <c r="AOQ538" s="14"/>
      <c r="AOR538" s="14"/>
      <c r="AOS538" s="14"/>
      <c r="AOT538" s="14"/>
      <c r="AOU538" s="14"/>
      <c r="AOV538" s="14"/>
      <c r="AOW538" s="14"/>
      <c r="AOX538" s="14"/>
      <c r="AOY538" s="14"/>
      <c r="AOZ538" s="14"/>
      <c r="APA538" s="14"/>
      <c r="APB538" s="14"/>
      <c r="APC538" s="14"/>
      <c r="APD538" s="14"/>
      <c r="APE538" s="14"/>
      <c r="APF538" s="14"/>
      <c r="APG538" s="14"/>
      <c r="APH538" s="14"/>
      <c r="API538" s="14"/>
      <c r="APJ538" s="14"/>
      <c r="APK538" s="14"/>
      <c r="APL538" s="14"/>
      <c r="APM538" s="14"/>
      <c r="APN538" s="14"/>
      <c r="APO538" s="14"/>
      <c r="APP538" s="14"/>
      <c r="APQ538" s="14"/>
      <c r="APR538" s="14"/>
      <c r="APS538" s="14"/>
      <c r="APT538" s="14"/>
      <c r="APU538" s="14"/>
      <c r="APV538" s="14"/>
      <c r="APW538" s="14"/>
      <c r="APX538" s="14"/>
      <c r="APY538" s="14"/>
      <c r="APZ538" s="14"/>
      <c r="AQA538" s="14"/>
      <c r="AQB538" s="14"/>
      <c r="AQC538" s="14"/>
      <c r="AQD538" s="14"/>
      <c r="AQE538" s="14"/>
      <c r="AQF538" s="14"/>
      <c r="AQG538" s="14"/>
      <c r="AQH538" s="14"/>
      <c r="AQI538" s="14"/>
      <c r="AQJ538" s="14"/>
      <c r="AQK538" s="14"/>
      <c r="AQL538" s="14"/>
      <c r="AQM538" s="14"/>
      <c r="AQN538" s="14"/>
      <c r="AQO538" s="14"/>
      <c r="AQP538" s="14"/>
      <c r="AQQ538" s="14"/>
      <c r="AQR538" s="14"/>
      <c r="AQS538" s="14"/>
      <c r="AQT538" s="14"/>
      <c r="AQU538" s="14"/>
      <c r="AQV538" s="14"/>
      <c r="AQW538" s="14"/>
      <c r="AQX538" s="14"/>
      <c r="AQY538" s="14"/>
      <c r="AQZ538" s="14"/>
      <c r="ARA538" s="14"/>
      <c r="ARB538" s="14"/>
      <c r="ARC538" s="14"/>
      <c r="ARD538" s="14"/>
      <c r="ARE538" s="14"/>
      <c r="ARF538" s="14"/>
      <c r="ARG538" s="14"/>
      <c r="ARH538" s="14"/>
      <c r="ARI538" s="14"/>
      <c r="ARJ538" s="14"/>
      <c r="ARK538" s="14"/>
      <c r="ARL538" s="14"/>
      <c r="ARM538" s="14"/>
      <c r="ARN538" s="14"/>
      <c r="ARO538" s="14"/>
      <c r="ARP538" s="14"/>
      <c r="ARQ538" s="14"/>
      <c r="ARR538" s="14"/>
      <c r="ARS538" s="14"/>
      <c r="ART538" s="14"/>
      <c r="ARU538" s="14"/>
      <c r="ARV538" s="14"/>
      <c r="ARW538" s="14"/>
      <c r="ARX538" s="14"/>
      <c r="ARY538" s="14"/>
      <c r="ARZ538" s="14"/>
      <c r="ASA538" s="14"/>
      <c r="ASB538" s="14"/>
      <c r="ASC538" s="14"/>
      <c r="ASD538" s="14"/>
      <c r="ASE538" s="14"/>
      <c r="ASF538" s="14"/>
      <c r="ASG538" s="14"/>
      <c r="ASH538" s="14"/>
      <c r="ASI538" s="14"/>
      <c r="ASJ538" s="14"/>
      <c r="ASK538" s="14"/>
      <c r="ASL538" s="14"/>
      <c r="ASM538" s="14"/>
      <c r="ASN538" s="14"/>
      <c r="ASO538" s="14"/>
      <c r="ASP538" s="14"/>
      <c r="ASQ538" s="14"/>
      <c r="ASR538" s="14"/>
      <c r="ASS538" s="14"/>
      <c r="AST538" s="14"/>
      <c r="ASU538" s="14"/>
      <c r="ASV538" s="14"/>
      <c r="ASW538" s="14"/>
      <c r="ASX538" s="14"/>
      <c r="ASY538" s="14"/>
      <c r="ASZ538" s="14"/>
      <c r="ATA538" s="14"/>
      <c r="ATB538" s="14"/>
      <c r="ATC538" s="14"/>
      <c r="ATD538" s="14"/>
      <c r="ATE538" s="14"/>
      <c r="ATF538" s="14"/>
      <c r="ATG538" s="14"/>
      <c r="ATH538" s="14"/>
      <c r="ATI538" s="14"/>
      <c r="ATJ538" s="14"/>
      <c r="ATK538" s="14"/>
      <c r="ATL538" s="14"/>
      <c r="ATM538" s="14"/>
      <c r="ATN538" s="14"/>
      <c r="ATO538" s="14"/>
      <c r="ATP538" s="14"/>
      <c r="ATQ538" s="14"/>
      <c r="ATR538" s="14"/>
      <c r="ATS538" s="14"/>
      <c r="ATT538" s="14"/>
      <c r="ATU538" s="14"/>
      <c r="ATV538" s="14"/>
      <c r="ATW538" s="14"/>
      <c r="ATX538" s="14"/>
      <c r="ATY538" s="14"/>
      <c r="ATZ538" s="14"/>
      <c r="AUA538" s="14"/>
      <c r="AUB538" s="14"/>
      <c r="AUC538" s="14"/>
      <c r="AUD538" s="14"/>
      <c r="AUE538" s="14"/>
      <c r="AUF538" s="14"/>
      <c r="AUG538" s="14"/>
      <c r="AUH538" s="14"/>
      <c r="AUI538" s="14"/>
      <c r="AUJ538" s="14"/>
      <c r="AUK538" s="14"/>
      <c r="AUL538" s="14"/>
      <c r="AUM538" s="14"/>
      <c r="AUN538" s="14"/>
      <c r="AUO538" s="14"/>
      <c r="AUP538" s="14"/>
      <c r="AUQ538" s="14"/>
      <c r="AUR538" s="14"/>
      <c r="AUS538" s="14"/>
      <c r="AUT538" s="14"/>
      <c r="AUU538" s="14"/>
      <c r="AUV538" s="14"/>
      <c r="AUW538" s="14"/>
      <c r="AUX538" s="14"/>
      <c r="AUY538" s="14"/>
      <c r="AUZ538" s="14"/>
      <c r="AVA538" s="14"/>
      <c r="AVB538" s="14"/>
      <c r="AVC538" s="14"/>
      <c r="AVD538" s="14"/>
      <c r="AVE538" s="14"/>
      <c r="AVF538" s="14"/>
      <c r="AVG538" s="14"/>
      <c r="AVH538" s="14"/>
      <c r="AVI538" s="14"/>
      <c r="AVJ538" s="14"/>
      <c r="AVK538" s="14"/>
      <c r="AVL538" s="14"/>
      <c r="AVM538" s="14"/>
      <c r="AVN538" s="14"/>
      <c r="AVO538" s="14"/>
      <c r="AVP538" s="14"/>
      <c r="AVQ538" s="14"/>
      <c r="AVR538" s="14"/>
      <c r="AVS538" s="14"/>
      <c r="AVT538" s="14"/>
      <c r="AVU538" s="14"/>
      <c r="AVV538" s="14"/>
      <c r="AVW538" s="14"/>
      <c r="AVX538" s="14"/>
      <c r="AVY538" s="14"/>
      <c r="AVZ538" s="14"/>
      <c r="AWA538" s="14"/>
      <c r="AWB538" s="14"/>
      <c r="AWC538" s="14"/>
      <c r="AWD538" s="14"/>
      <c r="AWE538" s="14"/>
      <c r="AWF538" s="14"/>
      <c r="AWG538" s="14"/>
      <c r="AWH538" s="14"/>
      <c r="AWI538" s="14"/>
      <c r="AWJ538" s="14"/>
      <c r="AWK538" s="14"/>
      <c r="AWL538" s="14"/>
      <c r="AWM538" s="14"/>
      <c r="AWN538" s="14"/>
      <c r="AWO538" s="14"/>
      <c r="AWP538" s="14"/>
      <c r="AWQ538" s="14"/>
      <c r="AWR538" s="14"/>
      <c r="AWS538" s="14"/>
      <c r="AWT538" s="14"/>
      <c r="AWU538" s="14"/>
      <c r="AWV538" s="14"/>
      <c r="AWW538" s="14"/>
      <c r="AWX538" s="14"/>
      <c r="AWY538" s="14"/>
      <c r="AWZ538" s="14"/>
      <c r="AXA538" s="14"/>
      <c r="AXB538" s="14"/>
      <c r="AXC538" s="14"/>
      <c r="AXD538" s="14"/>
      <c r="AXE538" s="14"/>
      <c r="AXF538" s="14"/>
      <c r="AXG538" s="14"/>
      <c r="AXH538" s="14"/>
      <c r="AXI538" s="14"/>
      <c r="AXJ538" s="14"/>
      <c r="AXK538" s="14"/>
      <c r="AXL538" s="14"/>
      <c r="AXM538" s="14"/>
      <c r="AXN538" s="14"/>
      <c r="AXO538" s="14"/>
      <c r="AXP538" s="14"/>
      <c r="AXQ538" s="14"/>
      <c r="AXR538" s="14"/>
      <c r="AXS538" s="14"/>
      <c r="AXT538" s="14"/>
      <c r="AXU538" s="14"/>
      <c r="AXV538" s="14"/>
      <c r="AXW538" s="14"/>
      <c r="AXX538" s="14"/>
      <c r="AXY538" s="14"/>
      <c r="AXZ538" s="14"/>
      <c r="AYA538" s="14"/>
      <c r="AYB538" s="14"/>
      <c r="AYC538" s="14"/>
      <c r="AYD538" s="14"/>
      <c r="AYE538" s="14"/>
      <c r="AYF538" s="14"/>
      <c r="AYG538" s="14"/>
      <c r="AYH538" s="14"/>
      <c r="AYI538" s="14"/>
      <c r="AYJ538" s="14"/>
      <c r="AYK538" s="14"/>
      <c r="AYL538" s="14"/>
      <c r="AYM538" s="14"/>
      <c r="AYN538" s="14"/>
      <c r="AYO538" s="14"/>
      <c r="AYP538" s="14"/>
      <c r="AYQ538" s="14"/>
      <c r="AYR538" s="14"/>
      <c r="AYS538" s="14"/>
      <c r="AYT538" s="14"/>
      <c r="AYU538" s="14"/>
      <c r="AYV538" s="14"/>
      <c r="AYW538" s="14"/>
      <c r="AYX538" s="14"/>
      <c r="AYY538" s="14"/>
      <c r="AYZ538" s="14"/>
      <c r="AZA538" s="14"/>
      <c r="AZB538" s="14"/>
      <c r="AZC538" s="14"/>
      <c r="AZD538" s="14"/>
      <c r="AZE538" s="14"/>
      <c r="AZF538" s="14"/>
      <c r="AZG538" s="14"/>
      <c r="AZH538" s="14"/>
      <c r="AZI538" s="14"/>
      <c r="AZJ538" s="14"/>
      <c r="AZK538" s="14"/>
      <c r="AZL538" s="14"/>
      <c r="AZM538" s="14"/>
      <c r="AZN538" s="14"/>
      <c r="AZO538" s="14"/>
      <c r="AZP538" s="14"/>
      <c r="AZQ538" s="14"/>
      <c r="AZR538" s="14"/>
      <c r="AZS538" s="14"/>
      <c r="AZT538" s="14"/>
      <c r="AZU538" s="14"/>
      <c r="AZV538" s="14"/>
      <c r="AZW538" s="14"/>
      <c r="AZX538" s="14"/>
      <c r="AZY538" s="14"/>
      <c r="AZZ538" s="14"/>
      <c r="BAA538" s="14"/>
      <c r="BAB538" s="14"/>
      <c r="BAC538" s="14"/>
      <c r="BAD538" s="14"/>
      <c r="BAE538" s="14"/>
      <c r="BAF538" s="14"/>
      <c r="BAG538" s="14"/>
      <c r="BAH538" s="14"/>
      <c r="BAI538" s="14"/>
      <c r="BAJ538" s="14"/>
      <c r="BAK538" s="14"/>
      <c r="BAL538" s="14"/>
      <c r="BAM538" s="14"/>
      <c r="BAN538" s="14"/>
      <c r="BAO538" s="14"/>
      <c r="BAP538" s="14"/>
      <c r="BAQ538" s="14"/>
      <c r="BAR538" s="14"/>
      <c r="BAS538" s="14"/>
      <c r="BAT538" s="14"/>
      <c r="BAU538" s="14"/>
      <c r="BAV538" s="14"/>
      <c r="BAW538" s="14"/>
      <c r="BAX538" s="14"/>
      <c r="BAY538" s="14"/>
      <c r="BAZ538" s="14"/>
      <c r="BBA538" s="14"/>
      <c r="BBB538" s="14"/>
      <c r="BBC538" s="14"/>
      <c r="BBD538" s="14"/>
      <c r="BBE538" s="14"/>
      <c r="BBF538" s="14"/>
      <c r="BBG538" s="14"/>
      <c r="BBH538" s="14"/>
      <c r="BBI538" s="14"/>
      <c r="BBJ538" s="14"/>
      <c r="BBK538" s="14"/>
      <c r="BBL538" s="14"/>
      <c r="BBM538" s="14"/>
      <c r="BBN538" s="14"/>
      <c r="BBO538" s="14"/>
      <c r="BBP538" s="14"/>
      <c r="BBQ538" s="14"/>
      <c r="BBR538" s="14"/>
      <c r="BBS538" s="14"/>
      <c r="BBT538" s="14"/>
      <c r="BBU538" s="14"/>
      <c r="BBV538" s="14"/>
      <c r="BBW538" s="14"/>
      <c r="BBX538" s="14"/>
      <c r="BBY538" s="14"/>
      <c r="BBZ538" s="14"/>
      <c r="BCA538" s="14"/>
      <c r="BCB538" s="14"/>
      <c r="BCC538" s="14"/>
      <c r="BCD538" s="14"/>
      <c r="BCE538" s="14"/>
      <c r="BCF538" s="14"/>
      <c r="BCG538" s="14"/>
      <c r="BCH538" s="14"/>
      <c r="BCI538" s="14"/>
      <c r="BCJ538" s="14"/>
      <c r="BCK538" s="14"/>
      <c r="BCL538" s="14"/>
      <c r="BCM538" s="14"/>
      <c r="BCN538" s="14"/>
      <c r="BCO538" s="14"/>
      <c r="BCP538" s="14"/>
      <c r="BCQ538" s="14"/>
      <c r="BCR538" s="14"/>
      <c r="BCS538" s="14"/>
      <c r="BCT538" s="14"/>
      <c r="BCU538" s="14"/>
      <c r="BCV538" s="14"/>
      <c r="BCW538" s="14"/>
      <c r="BCX538" s="14"/>
      <c r="BCY538" s="14"/>
      <c r="BCZ538" s="14"/>
      <c r="BDA538" s="14"/>
      <c r="BDB538" s="14"/>
      <c r="BDC538" s="14"/>
      <c r="BDD538" s="14"/>
      <c r="BDE538" s="14"/>
      <c r="BDF538" s="14"/>
      <c r="BDG538" s="14"/>
      <c r="BDH538" s="14"/>
      <c r="BDI538" s="14"/>
      <c r="BDJ538" s="14"/>
      <c r="BDK538" s="14"/>
      <c r="BDL538" s="14"/>
      <c r="BDM538" s="14"/>
      <c r="BDN538" s="14"/>
      <c r="BDO538" s="14"/>
      <c r="BDP538" s="14"/>
      <c r="BDQ538" s="14"/>
      <c r="BDR538" s="14"/>
      <c r="BDS538" s="14"/>
      <c r="BDT538" s="14"/>
      <c r="BDU538" s="14"/>
      <c r="BDV538" s="14"/>
      <c r="BDW538" s="14"/>
      <c r="BDX538" s="14"/>
      <c r="BDY538" s="14"/>
      <c r="BDZ538" s="14"/>
      <c r="BEA538" s="14"/>
      <c r="BEB538" s="14"/>
      <c r="BEC538" s="14"/>
      <c r="BED538" s="14"/>
      <c r="BEE538" s="14"/>
      <c r="BEF538" s="14"/>
      <c r="BEG538" s="14"/>
      <c r="BEH538" s="14"/>
      <c r="BEI538" s="14"/>
      <c r="BEJ538" s="14"/>
      <c r="BEK538" s="14"/>
      <c r="BEL538" s="14"/>
      <c r="BEM538" s="14"/>
      <c r="BEN538" s="14"/>
      <c r="BEO538" s="14"/>
      <c r="BEP538" s="14"/>
      <c r="BEQ538" s="14"/>
      <c r="BER538" s="14"/>
      <c r="BES538" s="14"/>
      <c r="BET538" s="14"/>
      <c r="BEU538" s="14"/>
      <c r="BEV538" s="14"/>
      <c r="BEW538" s="14"/>
      <c r="BEX538" s="14"/>
      <c r="BEY538" s="14"/>
      <c r="BEZ538" s="14"/>
      <c r="BFA538" s="14"/>
      <c r="BFB538" s="14"/>
      <c r="BFC538" s="14"/>
      <c r="BFD538" s="14"/>
      <c r="BFE538" s="14"/>
      <c r="BFF538" s="14"/>
      <c r="BFG538" s="14"/>
      <c r="BFH538" s="14"/>
      <c r="BFI538" s="14"/>
      <c r="BFJ538" s="14"/>
      <c r="BFK538" s="14"/>
      <c r="BFL538" s="14"/>
      <c r="BFM538" s="14"/>
      <c r="BFN538" s="14"/>
      <c r="BFO538" s="14"/>
      <c r="BFP538" s="14"/>
      <c r="BFQ538" s="14"/>
      <c r="BFR538" s="14"/>
      <c r="BFS538" s="14"/>
      <c r="BFT538" s="14"/>
      <c r="BFU538" s="14"/>
      <c r="BFV538" s="14"/>
      <c r="BFW538" s="14"/>
      <c r="BFX538" s="14"/>
      <c r="BFY538" s="14"/>
      <c r="BFZ538" s="14"/>
      <c r="BGA538" s="14"/>
      <c r="BGB538" s="14"/>
      <c r="BGC538" s="14"/>
      <c r="BGD538" s="14"/>
      <c r="BGE538" s="14"/>
      <c r="BGF538" s="14"/>
      <c r="BGG538" s="14"/>
      <c r="BGH538" s="14"/>
      <c r="BGI538" s="14"/>
      <c r="BGJ538" s="14"/>
      <c r="BGK538" s="14"/>
      <c r="BGL538" s="14"/>
      <c r="BGM538" s="14"/>
      <c r="BGN538" s="14"/>
      <c r="BGO538" s="14"/>
      <c r="BGP538" s="14"/>
      <c r="BGQ538" s="14"/>
      <c r="BGR538" s="14"/>
      <c r="BGS538" s="14"/>
      <c r="BGT538" s="14"/>
      <c r="BGU538" s="14"/>
      <c r="BGV538" s="14"/>
      <c r="BGW538" s="14"/>
      <c r="BGX538" s="14"/>
      <c r="BGY538" s="14"/>
      <c r="BGZ538" s="14"/>
      <c r="BHA538" s="14"/>
      <c r="BHB538" s="14"/>
      <c r="BHC538" s="14"/>
      <c r="BHD538" s="14"/>
      <c r="BHE538" s="14"/>
      <c r="BHF538" s="14"/>
      <c r="BHG538" s="14"/>
      <c r="BHH538" s="14"/>
      <c r="BHI538" s="14"/>
      <c r="BHJ538" s="14"/>
      <c r="BHK538" s="14"/>
      <c r="BHL538" s="14"/>
      <c r="BHM538" s="14"/>
      <c r="BHN538" s="14"/>
      <c r="BHO538" s="14"/>
      <c r="BHP538" s="14"/>
      <c r="BHQ538" s="14"/>
      <c r="BHR538" s="14"/>
      <c r="BHS538" s="14"/>
      <c r="BHT538" s="14"/>
      <c r="BHU538" s="14"/>
      <c r="BHV538" s="14"/>
      <c r="BHW538" s="14"/>
      <c r="BHX538" s="14"/>
      <c r="BHY538" s="14"/>
      <c r="BHZ538" s="14"/>
      <c r="BIA538" s="14"/>
      <c r="BIB538" s="14"/>
      <c r="BIC538" s="14"/>
      <c r="BID538" s="14"/>
      <c r="BIE538" s="14"/>
      <c r="BIF538" s="14"/>
      <c r="BIG538" s="14"/>
      <c r="BIH538" s="14"/>
      <c r="BII538" s="14"/>
      <c r="BIJ538" s="14"/>
      <c r="BIK538" s="14"/>
      <c r="BIL538" s="14"/>
      <c r="BIM538" s="14"/>
      <c r="BIN538" s="14"/>
      <c r="BIO538" s="14"/>
      <c r="BIP538" s="14"/>
      <c r="BIQ538" s="14"/>
      <c r="BIR538" s="14"/>
      <c r="BIS538" s="14"/>
      <c r="BIT538" s="14"/>
      <c r="BIU538" s="14"/>
      <c r="BIV538" s="14"/>
      <c r="BIW538" s="14"/>
      <c r="BIX538" s="14"/>
      <c r="BIY538" s="14"/>
      <c r="BIZ538" s="14"/>
      <c r="BJA538" s="14"/>
      <c r="BJB538" s="14"/>
      <c r="BJC538" s="14"/>
      <c r="BJD538" s="14"/>
      <c r="BJE538" s="14"/>
      <c r="BJF538" s="14"/>
      <c r="BJG538" s="14"/>
      <c r="BJH538" s="14"/>
      <c r="BJI538" s="14"/>
      <c r="BJJ538" s="14"/>
      <c r="BJK538" s="14"/>
      <c r="BJL538" s="14"/>
      <c r="BJM538" s="14"/>
      <c r="BJN538" s="14"/>
      <c r="BJO538" s="14"/>
      <c r="BJP538" s="14"/>
      <c r="BJQ538" s="14"/>
      <c r="BJR538" s="14"/>
      <c r="BJS538" s="14"/>
      <c r="BJT538" s="14"/>
      <c r="BJU538" s="14"/>
      <c r="BJV538" s="14"/>
      <c r="BJW538" s="14"/>
      <c r="BJX538" s="14"/>
      <c r="BJY538" s="14"/>
      <c r="BJZ538" s="14"/>
      <c r="BKA538" s="14"/>
      <c r="BKB538" s="14"/>
      <c r="BKC538" s="14"/>
      <c r="BKD538" s="14"/>
      <c r="BKE538" s="14"/>
      <c r="BKF538" s="14"/>
      <c r="BKG538" s="14"/>
      <c r="BKH538" s="14"/>
      <c r="BKI538" s="14"/>
      <c r="BKJ538" s="14"/>
      <c r="BKK538" s="14"/>
      <c r="BKL538" s="14"/>
      <c r="BKM538" s="14"/>
      <c r="BKN538" s="14"/>
      <c r="BKO538" s="14"/>
      <c r="BKP538" s="14"/>
      <c r="BKQ538" s="14"/>
      <c r="BKR538" s="14"/>
      <c r="BKS538" s="14"/>
      <c r="BKT538" s="14"/>
      <c r="BKU538" s="14"/>
      <c r="BKV538" s="14"/>
      <c r="BKW538" s="14"/>
      <c r="BKX538" s="14"/>
      <c r="BKY538" s="14"/>
      <c r="BKZ538" s="14"/>
      <c r="BLA538" s="14"/>
      <c r="BLB538" s="14"/>
      <c r="BLC538" s="14"/>
      <c r="BLD538" s="14"/>
      <c r="BLE538" s="14"/>
      <c r="BLF538" s="14"/>
      <c r="BLG538" s="14"/>
      <c r="BLH538" s="14"/>
      <c r="BLI538" s="14"/>
      <c r="BLJ538" s="14"/>
      <c r="BLK538" s="14"/>
      <c r="BLL538" s="14"/>
      <c r="BLM538" s="14"/>
      <c r="BLN538" s="14"/>
      <c r="BLO538" s="14"/>
      <c r="BLP538" s="14"/>
      <c r="BLQ538" s="14"/>
      <c r="BLR538" s="14"/>
      <c r="BLS538" s="14"/>
      <c r="BLT538" s="14"/>
      <c r="BLU538" s="14"/>
      <c r="BLV538" s="14"/>
      <c r="BLW538" s="14"/>
      <c r="BLX538" s="14"/>
      <c r="BLY538" s="14"/>
      <c r="BLZ538" s="14"/>
      <c r="BMA538" s="14"/>
      <c r="BMB538" s="14"/>
      <c r="BMC538" s="14"/>
      <c r="BMD538" s="14"/>
      <c r="BME538" s="14"/>
      <c r="BMF538" s="14"/>
      <c r="BMG538" s="14"/>
      <c r="BMH538" s="14"/>
      <c r="BMI538" s="14"/>
      <c r="BMJ538" s="14"/>
      <c r="BMK538" s="14"/>
      <c r="BML538" s="14"/>
      <c r="BMM538" s="14"/>
      <c r="BMN538" s="14"/>
      <c r="BMO538" s="14"/>
      <c r="BMP538" s="14"/>
      <c r="BMQ538" s="14"/>
      <c r="BMR538" s="14"/>
      <c r="BMS538" s="14"/>
      <c r="BMT538" s="14"/>
      <c r="BMU538" s="14"/>
      <c r="BMV538" s="14"/>
      <c r="BMW538" s="14"/>
      <c r="BMX538" s="14"/>
      <c r="BMY538" s="14"/>
      <c r="BMZ538" s="14"/>
      <c r="BNA538" s="14"/>
      <c r="BNB538" s="14"/>
      <c r="BNC538" s="14"/>
      <c r="BND538" s="14"/>
      <c r="BNE538" s="14"/>
      <c r="BNF538" s="14"/>
      <c r="BNG538" s="14"/>
      <c r="BNH538" s="14"/>
      <c r="BNI538" s="14"/>
      <c r="BNJ538" s="14"/>
      <c r="BNK538" s="14"/>
      <c r="BNL538" s="14"/>
      <c r="BNM538" s="14"/>
      <c r="BNN538" s="14"/>
      <c r="BNO538" s="14"/>
      <c r="BNP538" s="14"/>
      <c r="BNQ538" s="14"/>
      <c r="BNR538" s="14"/>
      <c r="BNS538" s="14"/>
      <c r="BNT538" s="14"/>
      <c r="BNU538" s="14"/>
      <c r="BNV538" s="14"/>
      <c r="BNW538" s="14"/>
      <c r="BNX538" s="14"/>
      <c r="BNY538" s="14"/>
      <c r="BNZ538" s="14"/>
      <c r="BOA538" s="14"/>
      <c r="BOB538" s="14"/>
      <c r="BOC538" s="14"/>
      <c r="BOD538" s="14"/>
      <c r="BOE538" s="14"/>
      <c r="BOF538" s="14"/>
      <c r="BOG538" s="14"/>
      <c r="BOH538" s="14"/>
      <c r="BOI538" s="14"/>
      <c r="BOJ538" s="14"/>
      <c r="BOK538" s="14"/>
      <c r="BOL538" s="14"/>
      <c r="BOM538" s="14"/>
      <c r="BON538" s="14"/>
      <c r="BOO538" s="14"/>
      <c r="BOP538" s="14"/>
      <c r="BOQ538" s="14"/>
      <c r="BOR538" s="14"/>
      <c r="BOS538" s="14"/>
      <c r="BOT538" s="14"/>
      <c r="BOU538" s="14"/>
      <c r="BOV538" s="14"/>
      <c r="BOW538" s="14"/>
      <c r="BOX538" s="14"/>
      <c r="BOY538" s="14"/>
      <c r="BOZ538" s="14"/>
      <c r="BPA538" s="14"/>
      <c r="BPB538" s="14"/>
      <c r="BPC538" s="14"/>
      <c r="BPD538" s="14"/>
      <c r="BPE538" s="14"/>
      <c r="BPF538" s="14"/>
      <c r="BPG538" s="14"/>
      <c r="BPH538" s="14"/>
      <c r="BPI538" s="14"/>
      <c r="BPJ538" s="14"/>
      <c r="BPK538" s="14"/>
      <c r="BPL538" s="14"/>
      <c r="BPM538" s="14"/>
      <c r="BPN538" s="14"/>
      <c r="BPO538" s="14"/>
      <c r="BPP538" s="14"/>
      <c r="BPQ538" s="14"/>
      <c r="BPR538" s="14"/>
      <c r="BPS538" s="14"/>
      <c r="BPT538" s="14"/>
      <c r="BPU538" s="14"/>
      <c r="BPV538" s="14"/>
      <c r="BPW538" s="14"/>
      <c r="BPX538" s="14"/>
      <c r="BPY538" s="14"/>
      <c r="BPZ538" s="14"/>
      <c r="BQA538" s="14"/>
      <c r="BQB538" s="14"/>
      <c r="BQC538" s="14"/>
      <c r="BQD538" s="14"/>
      <c r="BQE538" s="14"/>
      <c r="BQF538" s="14"/>
      <c r="BQG538" s="14"/>
      <c r="BQH538" s="14"/>
      <c r="BQI538" s="14"/>
      <c r="BQJ538" s="14"/>
      <c r="BQK538" s="14"/>
      <c r="BQL538" s="14"/>
      <c r="BQM538" s="14"/>
      <c r="BQN538" s="14"/>
      <c r="BQO538" s="14"/>
      <c r="BQP538" s="14"/>
      <c r="BQQ538" s="14"/>
      <c r="BQR538" s="14"/>
      <c r="BQS538" s="14"/>
      <c r="BQT538" s="14"/>
      <c r="BQU538" s="14"/>
      <c r="BQV538" s="14"/>
      <c r="BQW538" s="14"/>
      <c r="BQX538" s="14"/>
      <c r="BQY538" s="14"/>
      <c r="BQZ538" s="14"/>
      <c r="BRA538" s="14"/>
      <c r="BRB538" s="14"/>
      <c r="BRC538" s="14"/>
      <c r="BRD538" s="14"/>
      <c r="BRE538" s="14"/>
      <c r="BRF538" s="14"/>
      <c r="BRG538" s="14"/>
      <c r="BRH538" s="14"/>
      <c r="BRI538" s="14"/>
      <c r="BRJ538" s="14"/>
      <c r="BRK538" s="14"/>
      <c r="BRL538" s="14"/>
      <c r="BRM538" s="14"/>
      <c r="BRN538" s="14"/>
      <c r="BRO538" s="14"/>
      <c r="BRP538" s="14"/>
      <c r="BRQ538" s="14"/>
      <c r="BRR538" s="14"/>
      <c r="BRS538" s="14"/>
      <c r="BRT538" s="14"/>
      <c r="BRU538" s="14"/>
      <c r="BRV538" s="14"/>
      <c r="BRW538" s="14"/>
      <c r="BRX538" s="14"/>
      <c r="BRY538" s="14"/>
      <c r="BRZ538" s="14"/>
      <c r="BSA538" s="14"/>
      <c r="BSB538" s="14"/>
      <c r="BSC538" s="14"/>
      <c r="BSD538" s="14"/>
      <c r="BSE538" s="14"/>
      <c r="BSF538" s="14"/>
      <c r="BSG538" s="14"/>
      <c r="BSH538" s="14"/>
      <c r="BSI538" s="14"/>
      <c r="BSJ538" s="14"/>
      <c r="BSK538" s="14"/>
      <c r="BSL538" s="14"/>
      <c r="BSM538" s="14"/>
      <c r="BSN538" s="14"/>
      <c r="BSO538" s="14"/>
      <c r="BSP538" s="14"/>
      <c r="BSQ538" s="14"/>
      <c r="BSR538" s="14"/>
      <c r="BSS538" s="14"/>
      <c r="BST538" s="14"/>
      <c r="BSU538" s="14"/>
      <c r="BSV538" s="14"/>
      <c r="BSW538" s="14"/>
      <c r="BSX538" s="14"/>
      <c r="BSY538" s="14"/>
      <c r="BSZ538" s="14"/>
      <c r="BTA538" s="14"/>
      <c r="BTB538" s="14"/>
      <c r="BTC538" s="14"/>
      <c r="BTD538" s="14"/>
      <c r="BTE538" s="14"/>
      <c r="BTF538" s="14"/>
      <c r="BTG538" s="14"/>
      <c r="BTH538" s="14"/>
      <c r="BTI538" s="14"/>
      <c r="BTJ538" s="14"/>
      <c r="BTK538" s="14"/>
      <c r="BTL538" s="14"/>
      <c r="BTM538" s="14"/>
      <c r="BTN538" s="14"/>
      <c r="BTO538" s="14"/>
      <c r="BTP538" s="14"/>
      <c r="BTQ538" s="14"/>
      <c r="BTR538" s="14"/>
      <c r="BTS538" s="14"/>
      <c r="BTT538" s="14"/>
    </row>
    <row r="539" spans="1:1892" s="10" customFormat="1" ht="35.1" customHeight="1">
      <c r="A539" s="1462"/>
      <c r="B539" s="940" t="s">
        <v>691</v>
      </c>
      <c r="C539" s="940" t="s">
        <v>74</v>
      </c>
      <c r="D539" s="543" t="s">
        <v>73</v>
      </c>
      <c r="E539" s="544"/>
      <c r="F539" s="545"/>
      <c r="G539" s="639" t="s">
        <v>293</v>
      </c>
      <c r="H539" s="639" t="s">
        <v>294</v>
      </c>
      <c r="I539" s="639" t="s">
        <v>295</v>
      </c>
      <c r="J539" s="1255" t="s">
        <v>67</v>
      </c>
      <c r="K539" s="1255" t="s">
        <v>66</v>
      </c>
      <c r="L539" s="182">
        <v>74.977500000000006</v>
      </c>
      <c r="M539" s="231">
        <v>110</v>
      </c>
      <c r="N539" s="132">
        <v>1</v>
      </c>
      <c r="O539" s="132">
        <v>1</v>
      </c>
      <c r="P539" s="560" t="s">
        <v>468</v>
      </c>
      <c r="Q539" s="560" t="s">
        <v>412</v>
      </c>
      <c r="R539" s="560" t="s">
        <v>462</v>
      </c>
      <c r="S539" s="1001" t="s">
        <v>57</v>
      </c>
      <c r="T539" s="1405" t="s">
        <v>119</v>
      </c>
      <c r="U539" s="1506" t="s">
        <v>11</v>
      </c>
    </row>
    <row r="540" spans="1:1892" s="10" customFormat="1" ht="35.1" customHeight="1">
      <c r="A540" s="1462"/>
      <c r="B540" s="941"/>
      <c r="C540" s="941"/>
      <c r="D540" s="546"/>
      <c r="E540" s="547"/>
      <c r="F540" s="548"/>
      <c r="G540" s="640"/>
      <c r="H540" s="640"/>
      <c r="I540" s="640"/>
      <c r="J540" s="1257"/>
      <c r="K540" s="1257"/>
      <c r="L540" s="182">
        <v>74.983199999999997</v>
      </c>
      <c r="M540" s="231">
        <v>58</v>
      </c>
      <c r="N540" s="132">
        <v>2</v>
      </c>
      <c r="O540" s="132">
        <v>2</v>
      </c>
      <c r="P540" s="561"/>
      <c r="Q540" s="561"/>
      <c r="R540" s="561"/>
      <c r="S540" s="1002"/>
      <c r="T540" s="1406"/>
      <c r="U540" s="1507"/>
    </row>
    <row r="541" spans="1:1892" s="10" customFormat="1" ht="35.1" customHeight="1">
      <c r="A541" s="1462"/>
      <c r="B541" s="941"/>
      <c r="C541" s="941"/>
      <c r="D541" s="546"/>
      <c r="E541" s="547"/>
      <c r="F541" s="548"/>
      <c r="G541" s="640"/>
      <c r="H541" s="640"/>
      <c r="I541" s="640"/>
      <c r="J541" s="1257"/>
      <c r="K541" s="1257"/>
      <c r="L541" s="182">
        <v>84.999499999999998</v>
      </c>
      <c r="M541" s="231">
        <v>146</v>
      </c>
      <c r="N541" s="132">
        <v>2</v>
      </c>
      <c r="O541" s="132">
        <v>2</v>
      </c>
      <c r="P541" s="561"/>
      <c r="Q541" s="561"/>
      <c r="R541" s="561"/>
      <c r="S541" s="1002"/>
      <c r="T541" s="1406"/>
      <c r="U541" s="1507"/>
    </row>
    <row r="542" spans="1:1892" s="10" customFormat="1" ht="35.1" customHeight="1">
      <c r="A542" s="1462"/>
      <c r="B542" s="941"/>
      <c r="C542" s="941"/>
      <c r="D542" s="546"/>
      <c r="E542" s="547"/>
      <c r="F542" s="548"/>
      <c r="G542" s="640"/>
      <c r="H542" s="640"/>
      <c r="I542" s="640"/>
      <c r="J542" s="1257"/>
      <c r="K542" s="1257"/>
      <c r="L542" s="182">
        <v>84.9191</v>
      </c>
      <c r="M542" s="231">
        <v>171</v>
      </c>
      <c r="N542" s="132">
        <v>1</v>
      </c>
      <c r="O542" s="132">
        <v>1</v>
      </c>
      <c r="P542" s="561"/>
      <c r="Q542" s="561"/>
      <c r="R542" s="561"/>
      <c r="S542" s="1002"/>
      <c r="T542" s="1406"/>
      <c r="U542" s="1507"/>
    </row>
    <row r="543" spans="1:1892" s="10" customFormat="1" ht="35.1" customHeight="1">
      <c r="A543" s="1462"/>
      <c r="B543" s="941"/>
      <c r="C543" s="941"/>
      <c r="D543" s="546"/>
      <c r="E543" s="547"/>
      <c r="F543" s="548"/>
      <c r="G543" s="641"/>
      <c r="H543" s="641"/>
      <c r="I543" s="641"/>
      <c r="J543" s="1256"/>
      <c r="K543" s="1256"/>
      <c r="L543" s="182">
        <v>84.913300000000007</v>
      </c>
      <c r="M543" s="231">
        <v>102</v>
      </c>
      <c r="N543" s="132">
        <v>0</v>
      </c>
      <c r="O543" s="132">
        <v>0</v>
      </c>
      <c r="P543" s="561"/>
      <c r="Q543" s="561"/>
      <c r="R543" s="561"/>
      <c r="S543" s="1002"/>
      <c r="T543" s="1406"/>
      <c r="U543" s="1507"/>
    </row>
    <row r="544" spans="1:1892" s="10" customFormat="1" ht="35.1" customHeight="1">
      <c r="A544" s="1462"/>
      <c r="B544" s="941"/>
      <c r="C544" s="942"/>
      <c r="D544" s="895"/>
      <c r="E544" s="896"/>
      <c r="F544" s="897"/>
      <c r="G544" s="490" t="s">
        <v>329</v>
      </c>
      <c r="H544" s="491"/>
      <c r="I544" s="491"/>
      <c r="J544" s="491"/>
      <c r="K544" s="492"/>
      <c r="L544" s="149"/>
      <c r="M544" s="251">
        <f>SUM(M539:M543)</f>
        <v>587</v>
      </c>
      <c r="N544" s="400">
        <f>SUM(N539:N543)</f>
        <v>6</v>
      </c>
      <c r="O544" s="400">
        <f>SUM(O539:O543)</f>
        <v>6</v>
      </c>
      <c r="P544" s="562"/>
      <c r="Q544" s="562"/>
      <c r="R544" s="562"/>
      <c r="S544" s="1003"/>
      <c r="T544" s="1407"/>
      <c r="U544" s="1508"/>
    </row>
    <row r="545" spans="1:21" s="10" customFormat="1" ht="35.1" customHeight="1">
      <c r="A545" s="1462"/>
      <c r="B545" s="941"/>
      <c r="C545" s="900" t="s">
        <v>54</v>
      </c>
      <c r="D545" s="588" t="s">
        <v>189</v>
      </c>
      <c r="E545" s="589"/>
      <c r="F545" s="590"/>
      <c r="G545" s="908" t="s">
        <v>189</v>
      </c>
      <c r="H545" s="908" t="s">
        <v>189</v>
      </c>
      <c r="I545" s="908" t="s">
        <v>189</v>
      </c>
      <c r="J545" s="934" t="s">
        <v>644</v>
      </c>
      <c r="K545" s="934" t="s">
        <v>645</v>
      </c>
      <c r="L545" s="128">
        <v>84.823700000000002</v>
      </c>
      <c r="M545" s="242">
        <v>448</v>
      </c>
      <c r="N545" s="266">
        <v>1</v>
      </c>
      <c r="O545" s="266">
        <v>1</v>
      </c>
      <c r="P545" s="900" t="s">
        <v>54</v>
      </c>
      <c r="Q545" s="900" t="s">
        <v>54</v>
      </c>
      <c r="R545" s="900" t="s">
        <v>54</v>
      </c>
      <c r="S545" s="900" t="s">
        <v>54</v>
      </c>
      <c r="T545" s="900" t="s">
        <v>54</v>
      </c>
      <c r="U545" s="900" t="s">
        <v>54</v>
      </c>
    </row>
    <row r="546" spans="1:21" s="10" customFormat="1" ht="35.1" customHeight="1">
      <c r="A546" s="1462"/>
      <c r="B546" s="941"/>
      <c r="C546" s="901"/>
      <c r="D546" s="591"/>
      <c r="E546" s="592"/>
      <c r="F546" s="593"/>
      <c r="G546" s="909"/>
      <c r="H546" s="909"/>
      <c r="I546" s="909"/>
      <c r="J546" s="935"/>
      <c r="K546" s="935"/>
      <c r="L546" s="128">
        <v>84.954400000000007</v>
      </c>
      <c r="M546" s="242">
        <v>179</v>
      </c>
      <c r="N546" s="127">
        <v>1</v>
      </c>
      <c r="O546" s="127">
        <v>1</v>
      </c>
      <c r="P546" s="901"/>
      <c r="Q546" s="901"/>
      <c r="R546" s="901"/>
      <c r="S546" s="901"/>
      <c r="T546" s="901"/>
      <c r="U546" s="901"/>
    </row>
    <row r="547" spans="1:21" s="10" customFormat="1" ht="35.1" customHeight="1">
      <c r="A547" s="1462"/>
      <c r="B547" s="941"/>
      <c r="C547" s="901"/>
      <c r="D547" s="591"/>
      <c r="E547" s="592"/>
      <c r="F547" s="593"/>
      <c r="G547" s="909"/>
      <c r="H547" s="909"/>
      <c r="I547" s="909"/>
      <c r="J547" s="935"/>
      <c r="K547" s="935"/>
      <c r="L547" s="128">
        <v>139.69800000000001</v>
      </c>
      <c r="M547" s="242">
        <v>4</v>
      </c>
      <c r="N547" s="127">
        <v>3</v>
      </c>
      <c r="O547" s="127">
        <v>3</v>
      </c>
      <c r="P547" s="901"/>
      <c r="Q547" s="901"/>
      <c r="R547" s="901"/>
      <c r="S547" s="901"/>
      <c r="T547" s="901"/>
      <c r="U547" s="901"/>
    </row>
    <row r="548" spans="1:21" s="10" customFormat="1" ht="35.1" customHeight="1">
      <c r="A548" s="1462"/>
      <c r="B548" s="941"/>
      <c r="C548" s="901"/>
      <c r="D548" s="591"/>
      <c r="E548" s="592"/>
      <c r="F548" s="593"/>
      <c r="G548" s="910"/>
      <c r="H548" s="910"/>
      <c r="I548" s="910"/>
      <c r="J548" s="936"/>
      <c r="K548" s="936"/>
      <c r="L548" s="128">
        <v>139.72389999999999</v>
      </c>
      <c r="M548" s="242">
        <v>4</v>
      </c>
      <c r="N548" s="127">
        <v>2</v>
      </c>
      <c r="O548" s="127">
        <v>2</v>
      </c>
      <c r="P548" s="901"/>
      <c r="Q548" s="901"/>
      <c r="R548" s="901"/>
      <c r="S548" s="901"/>
      <c r="T548" s="901"/>
      <c r="U548" s="901"/>
    </row>
    <row r="549" spans="1:21" s="10" customFormat="1" ht="35.1" customHeight="1">
      <c r="A549" s="1462"/>
      <c r="B549" s="941"/>
      <c r="C549" s="902"/>
      <c r="D549" s="594"/>
      <c r="E549" s="595"/>
      <c r="F549" s="596"/>
      <c r="G549" s="490" t="s">
        <v>329</v>
      </c>
      <c r="H549" s="491"/>
      <c r="I549" s="491"/>
      <c r="J549" s="491"/>
      <c r="K549" s="492"/>
      <c r="L549" s="184"/>
      <c r="M549" s="249">
        <f>SUM(M545:M548)</f>
        <v>635</v>
      </c>
      <c r="N549" s="246">
        <f>SUM(N545:N548)</f>
        <v>7</v>
      </c>
      <c r="O549" s="246">
        <f>SUM(O545:O548)</f>
        <v>7</v>
      </c>
      <c r="P549" s="902"/>
      <c r="Q549" s="902"/>
      <c r="R549" s="902"/>
      <c r="S549" s="902"/>
      <c r="T549" s="902"/>
      <c r="U549" s="902"/>
    </row>
    <row r="550" spans="1:21" s="10" customFormat="1" ht="35.1" customHeight="1">
      <c r="A550" s="1462"/>
      <c r="B550" s="941"/>
      <c r="C550" s="639" t="s">
        <v>54</v>
      </c>
      <c r="D550" s="588" t="s">
        <v>642</v>
      </c>
      <c r="E550" s="589"/>
      <c r="F550" s="590"/>
      <c r="G550" s="639" t="s">
        <v>54</v>
      </c>
      <c r="H550" s="639" t="s">
        <v>54</v>
      </c>
      <c r="I550" s="639" t="s">
        <v>54</v>
      </c>
      <c r="J550" s="653" t="s">
        <v>11</v>
      </c>
      <c r="K550" s="653" t="s">
        <v>12</v>
      </c>
      <c r="L550" s="128">
        <v>59.984400000000001</v>
      </c>
      <c r="M550" s="242">
        <v>72</v>
      </c>
      <c r="N550" s="261">
        <v>0</v>
      </c>
      <c r="O550" s="261">
        <v>0</v>
      </c>
      <c r="P550" s="473" t="s">
        <v>863</v>
      </c>
      <c r="Q550" s="473" t="s">
        <v>444</v>
      </c>
      <c r="R550" s="473" t="s">
        <v>864</v>
      </c>
      <c r="S550" s="473" t="s">
        <v>1017</v>
      </c>
      <c r="T550" s="473" t="s">
        <v>865</v>
      </c>
      <c r="U550" s="473" t="s">
        <v>17</v>
      </c>
    </row>
    <row r="551" spans="1:21" s="10" customFormat="1" ht="35.1" customHeight="1">
      <c r="A551" s="1462"/>
      <c r="B551" s="941"/>
      <c r="C551" s="640"/>
      <c r="D551" s="591"/>
      <c r="E551" s="592"/>
      <c r="F551" s="593"/>
      <c r="G551" s="640"/>
      <c r="H551" s="640"/>
      <c r="I551" s="640"/>
      <c r="J551" s="654"/>
      <c r="K551" s="654"/>
      <c r="L551" s="128">
        <v>59.822400000000002</v>
      </c>
      <c r="M551" s="242">
        <v>144</v>
      </c>
      <c r="N551" s="261">
        <v>0</v>
      </c>
      <c r="O551" s="261">
        <v>0</v>
      </c>
      <c r="P551" s="474"/>
      <c r="Q551" s="474"/>
      <c r="R551" s="474"/>
      <c r="S551" s="474"/>
      <c r="T551" s="474"/>
      <c r="U551" s="474"/>
    </row>
    <row r="552" spans="1:21" s="10" customFormat="1" ht="35.1" customHeight="1">
      <c r="A552" s="1462"/>
      <c r="B552" s="941"/>
      <c r="C552" s="640"/>
      <c r="D552" s="591"/>
      <c r="E552" s="592"/>
      <c r="F552" s="593"/>
      <c r="G552" s="640"/>
      <c r="H552" s="640"/>
      <c r="I552" s="640"/>
      <c r="J552" s="654"/>
      <c r="K552" s="654"/>
      <c r="L552" s="128">
        <v>84.993499999999997</v>
      </c>
      <c r="M552" s="242">
        <v>64</v>
      </c>
      <c r="N552" s="261">
        <v>0</v>
      </c>
      <c r="O552" s="261">
        <v>0</v>
      </c>
      <c r="P552" s="474"/>
      <c r="Q552" s="474"/>
      <c r="R552" s="474"/>
      <c r="S552" s="474"/>
      <c r="T552" s="474"/>
      <c r="U552" s="474"/>
    </row>
    <row r="553" spans="1:21" s="10" customFormat="1" ht="35.1" customHeight="1">
      <c r="A553" s="1462"/>
      <c r="B553" s="941"/>
      <c r="C553" s="640"/>
      <c r="D553" s="591"/>
      <c r="E553" s="592"/>
      <c r="F553" s="593"/>
      <c r="G553" s="640"/>
      <c r="H553" s="640"/>
      <c r="I553" s="640"/>
      <c r="J553" s="654"/>
      <c r="K553" s="654"/>
      <c r="L553" s="128">
        <v>84.991200000000006</v>
      </c>
      <c r="M553" s="242">
        <v>133</v>
      </c>
      <c r="N553" s="261">
        <v>0</v>
      </c>
      <c r="O553" s="261">
        <v>0</v>
      </c>
      <c r="P553" s="474"/>
      <c r="Q553" s="474"/>
      <c r="R553" s="474"/>
      <c r="S553" s="474"/>
      <c r="T553" s="474"/>
      <c r="U553" s="474"/>
    </row>
    <row r="554" spans="1:21" s="10" customFormat="1" ht="35.1" customHeight="1">
      <c r="A554" s="1462"/>
      <c r="B554" s="941"/>
      <c r="C554" s="640"/>
      <c r="D554" s="591"/>
      <c r="E554" s="592"/>
      <c r="F554" s="593"/>
      <c r="G554" s="640"/>
      <c r="H554" s="640"/>
      <c r="I554" s="640"/>
      <c r="J554" s="654"/>
      <c r="K554" s="654"/>
      <c r="L554" s="128">
        <v>84.922300000000007</v>
      </c>
      <c r="M554" s="242">
        <v>134</v>
      </c>
      <c r="N554" s="261">
        <v>0</v>
      </c>
      <c r="O554" s="261">
        <v>0</v>
      </c>
      <c r="P554" s="474"/>
      <c r="Q554" s="474"/>
      <c r="R554" s="474"/>
      <c r="S554" s="474"/>
      <c r="T554" s="474"/>
      <c r="U554" s="474"/>
    </row>
    <row r="555" spans="1:21" s="10" customFormat="1" ht="35.1" customHeight="1">
      <c r="A555" s="1462"/>
      <c r="B555" s="941"/>
      <c r="C555" s="640"/>
      <c r="D555" s="591"/>
      <c r="E555" s="592"/>
      <c r="F555" s="593"/>
      <c r="G555" s="640"/>
      <c r="H555" s="640"/>
      <c r="I555" s="640"/>
      <c r="J555" s="654"/>
      <c r="K555" s="654"/>
      <c r="L555" s="128">
        <v>84.987099999999998</v>
      </c>
      <c r="M555" s="242">
        <v>138</v>
      </c>
      <c r="N555" s="261">
        <v>0</v>
      </c>
      <c r="O555" s="261">
        <v>0</v>
      </c>
      <c r="P555" s="474"/>
      <c r="Q555" s="474"/>
      <c r="R555" s="474"/>
      <c r="S555" s="474"/>
      <c r="T555" s="474"/>
      <c r="U555" s="474"/>
    </row>
    <row r="556" spans="1:21" s="10" customFormat="1" ht="35.1" customHeight="1">
      <c r="A556" s="1462"/>
      <c r="B556" s="941"/>
      <c r="C556" s="640"/>
      <c r="D556" s="591"/>
      <c r="E556" s="592"/>
      <c r="F556" s="593"/>
      <c r="G556" s="640"/>
      <c r="H556" s="640"/>
      <c r="I556" s="640"/>
      <c r="J556" s="654"/>
      <c r="K556" s="654"/>
      <c r="L556" s="128">
        <v>96.995900000000006</v>
      </c>
      <c r="M556" s="242">
        <v>62</v>
      </c>
      <c r="N556" s="261">
        <v>0</v>
      </c>
      <c r="O556" s="261">
        <v>0</v>
      </c>
      <c r="P556" s="474"/>
      <c r="Q556" s="474"/>
      <c r="R556" s="474"/>
      <c r="S556" s="474"/>
      <c r="T556" s="474"/>
      <c r="U556" s="474"/>
    </row>
    <row r="557" spans="1:21" s="10" customFormat="1" ht="35.1" customHeight="1">
      <c r="A557" s="1462"/>
      <c r="B557" s="941"/>
      <c r="C557" s="640"/>
      <c r="D557" s="591"/>
      <c r="E557" s="592"/>
      <c r="F557" s="593"/>
      <c r="G557" s="640"/>
      <c r="H557" s="640"/>
      <c r="I557" s="640"/>
      <c r="J557" s="654"/>
      <c r="K557" s="654"/>
      <c r="L557" s="128">
        <v>96.946299999999994</v>
      </c>
      <c r="M557" s="242">
        <v>64</v>
      </c>
      <c r="N557" s="261">
        <v>0</v>
      </c>
      <c r="O557" s="261">
        <v>0</v>
      </c>
      <c r="P557" s="474"/>
      <c r="Q557" s="474"/>
      <c r="R557" s="474"/>
      <c r="S557" s="474"/>
      <c r="T557" s="474"/>
      <c r="U557" s="474"/>
    </row>
    <row r="558" spans="1:21" s="10" customFormat="1" ht="35.1" customHeight="1">
      <c r="A558" s="1462"/>
      <c r="B558" s="941"/>
      <c r="C558" s="640"/>
      <c r="D558" s="591"/>
      <c r="E558" s="592"/>
      <c r="F558" s="593"/>
      <c r="G558" s="640"/>
      <c r="H558" s="640"/>
      <c r="I558" s="640"/>
      <c r="J558" s="654"/>
      <c r="K558" s="654"/>
      <c r="L558" s="128">
        <v>150.9956</v>
      </c>
      <c r="M558" s="242">
        <v>4</v>
      </c>
      <c r="N558" s="261">
        <v>2</v>
      </c>
      <c r="O558" s="261">
        <v>2</v>
      </c>
      <c r="P558" s="474"/>
      <c r="Q558" s="474"/>
      <c r="R558" s="474"/>
      <c r="S558" s="474"/>
      <c r="T558" s="474"/>
      <c r="U558" s="474"/>
    </row>
    <row r="559" spans="1:21" s="10" customFormat="1" ht="35.1" customHeight="1">
      <c r="A559" s="1462"/>
      <c r="B559" s="941"/>
      <c r="C559" s="640"/>
      <c r="D559" s="591"/>
      <c r="E559" s="592"/>
      <c r="F559" s="593"/>
      <c r="G559" s="641"/>
      <c r="H559" s="641"/>
      <c r="I559" s="641"/>
      <c r="J559" s="655"/>
      <c r="K559" s="655"/>
      <c r="L559" s="128">
        <v>161.85059999999999</v>
      </c>
      <c r="M559" s="242">
        <v>2</v>
      </c>
      <c r="N559" s="261">
        <v>0</v>
      </c>
      <c r="O559" s="261">
        <v>0</v>
      </c>
      <c r="P559" s="474"/>
      <c r="Q559" s="474"/>
      <c r="R559" s="474"/>
      <c r="S559" s="474"/>
      <c r="T559" s="474"/>
      <c r="U559" s="474"/>
    </row>
    <row r="560" spans="1:21" s="10" customFormat="1" ht="35.1" customHeight="1">
      <c r="A560" s="1462"/>
      <c r="B560" s="941"/>
      <c r="C560" s="641"/>
      <c r="D560" s="594"/>
      <c r="E560" s="595"/>
      <c r="F560" s="596"/>
      <c r="G560" s="490" t="s">
        <v>329</v>
      </c>
      <c r="H560" s="491"/>
      <c r="I560" s="491"/>
      <c r="J560" s="491"/>
      <c r="K560" s="492"/>
      <c r="L560" s="345"/>
      <c r="M560" s="249">
        <f>SUM(M550:M559)</f>
        <v>817</v>
      </c>
      <c r="N560" s="246">
        <f>SUM(N550:N559)</f>
        <v>2</v>
      </c>
      <c r="O560" s="246">
        <f>SUM(O550:O559)</f>
        <v>2</v>
      </c>
      <c r="P560" s="475"/>
      <c r="Q560" s="475"/>
      <c r="R560" s="475"/>
      <c r="S560" s="475"/>
      <c r="T560" s="475"/>
      <c r="U560" s="475"/>
    </row>
    <row r="561" spans="1:21" s="10" customFormat="1" ht="35.1" customHeight="1">
      <c r="A561" s="1462"/>
      <c r="B561" s="941"/>
      <c r="C561" s="639" t="s">
        <v>54</v>
      </c>
      <c r="D561" s="588" t="s">
        <v>642</v>
      </c>
      <c r="E561" s="589"/>
      <c r="F561" s="590"/>
      <c r="G561" s="639" t="s">
        <v>54</v>
      </c>
      <c r="H561" s="639" t="s">
        <v>54</v>
      </c>
      <c r="I561" s="639" t="s">
        <v>54</v>
      </c>
      <c r="J561" s="653" t="s">
        <v>11</v>
      </c>
      <c r="K561" s="653" t="s">
        <v>12</v>
      </c>
      <c r="L561" s="128">
        <v>59.837200000000003</v>
      </c>
      <c r="M561" s="242">
        <v>152</v>
      </c>
      <c r="N561" s="127">
        <v>1</v>
      </c>
      <c r="O561" s="127">
        <v>1</v>
      </c>
      <c r="P561" s="473" t="s">
        <v>189</v>
      </c>
      <c r="Q561" s="473" t="s">
        <v>189</v>
      </c>
      <c r="R561" s="473" t="s">
        <v>189</v>
      </c>
      <c r="S561" s="473" t="s">
        <v>189</v>
      </c>
      <c r="T561" s="473" t="s">
        <v>189</v>
      </c>
      <c r="U561" s="473" t="s">
        <v>189</v>
      </c>
    </row>
    <row r="562" spans="1:21" s="10" customFormat="1" ht="35.1" customHeight="1">
      <c r="A562" s="1462"/>
      <c r="B562" s="941"/>
      <c r="C562" s="640"/>
      <c r="D562" s="591"/>
      <c r="E562" s="592"/>
      <c r="F562" s="593"/>
      <c r="G562" s="640"/>
      <c r="H562" s="640"/>
      <c r="I562" s="640"/>
      <c r="J562" s="654"/>
      <c r="K562" s="654"/>
      <c r="L562" s="128">
        <v>84.905000000000001</v>
      </c>
      <c r="M562" s="242">
        <v>242</v>
      </c>
      <c r="N562" s="127">
        <v>16</v>
      </c>
      <c r="O562" s="127">
        <v>16</v>
      </c>
      <c r="P562" s="474"/>
      <c r="Q562" s="474"/>
      <c r="R562" s="474"/>
      <c r="S562" s="474"/>
      <c r="T562" s="474"/>
      <c r="U562" s="474"/>
    </row>
    <row r="563" spans="1:21" s="10" customFormat="1" ht="35.1" customHeight="1">
      <c r="A563" s="1462"/>
      <c r="B563" s="941"/>
      <c r="C563" s="640"/>
      <c r="D563" s="591"/>
      <c r="E563" s="592"/>
      <c r="F563" s="593"/>
      <c r="G563" s="640"/>
      <c r="H563" s="640"/>
      <c r="I563" s="640"/>
      <c r="J563" s="654"/>
      <c r="K563" s="654"/>
      <c r="L563" s="128">
        <v>84.9876</v>
      </c>
      <c r="M563" s="242">
        <v>84</v>
      </c>
      <c r="N563" s="127">
        <v>2</v>
      </c>
      <c r="O563" s="127">
        <v>2</v>
      </c>
      <c r="P563" s="474"/>
      <c r="Q563" s="474"/>
      <c r="R563" s="474"/>
      <c r="S563" s="474"/>
      <c r="T563" s="474"/>
      <c r="U563" s="474"/>
    </row>
    <row r="564" spans="1:21" s="10" customFormat="1" ht="35.1" customHeight="1">
      <c r="A564" s="1462"/>
      <c r="B564" s="941"/>
      <c r="C564" s="640"/>
      <c r="D564" s="591"/>
      <c r="E564" s="592"/>
      <c r="F564" s="593"/>
      <c r="G564" s="641"/>
      <c r="H564" s="641"/>
      <c r="I564" s="641"/>
      <c r="J564" s="655"/>
      <c r="K564" s="655"/>
      <c r="L564" s="128">
        <v>84.926400000000001</v>
      </c>
      <c r="M564" s="242">
        <v>87</v>
      </c>
      <c r="N564" s="127">
        <v>0</v>
      </c>
      <c r="O564" s="127">
        <v>0</v>
      </c>
      <c r="P564" s="474"/>
      <c r="Q564" s="474"/>
      <c r="R564" s="474"/>
      <c r="S564" s="474"/>
      <c r="T564" s="474"/>
      <c r="U564" s="474"/>
    </row>
    <row r="565" spans="1:21" s="10" customFormat="1" ht="35.1" customHeight="1">
      <c r="A565" s="1462"/>
      <c r="B565" s="941"/>
      <c r="C565" s="641"/>
      <c r="D565" s="594"/>
      <c r="E565" s="595"/>
      <c r="F565" s="596"/>
      <c r="G565" s="490" t="s">
        <v>329</v>
      </c>
      <c r="H565" s="491"/>
      <c r="I565" s="491"/>
      <c r="J565" s="491"/>
      <c r="K565" s="492"/>
      <c r="L565" s="345"/>
      <c r="M565" s="249">
        <f>SUM(M561:M564)</f>
        <v>565</v>
      </c>
      <c r="N565" s="246">
        <f>SUM(N561:N564)</f>
        <v>19</v>
      </c>
      <c r="O565" s="246">
        <f>SUM(O561:O564)</f>
        <v>19</v>
      </c>
      <c r="P565" s="475"/>
      <c r="Q565" s="475"/>
      <c r="R565" s="475"/>
      <c r="S565" s="475"/>
      <c r="T565" s="475"/>
      <c r="U565" s="475"/>
    </row>
    <row r="566" spans="1:21" s="10" customFormat="1" ht="35.1" customHeight="1">
      <c r="A566" s="1462"/>
      <c r="B566" s="941"/>
      <c r="C566" s="639" t="s">
        <v>799</v>
      </c>
      <c r="D566" s="1031" t="s">
        <v>800</v>
      </c>
      <c r="E566" s="1032"/>
      <c r="F566" s="1033"/>
      <c r="G566" s="639" t="s">
        <v>801</v>
      </c>
      <c r="H566" s="639" t="s">
        <v>802</v>
      </c>
      <c r="I566" s="639" t="s">
        <v>803</v>
      </c>
      <c r="J566" s="653" t="s">
        <v>11</v>
      </c>
      <c r="K566" s="653" t="s">
        <v>12</v>
      </c>
      <c r="L566" s="128">
        <v>59.9681</v>
      </c>
      <c r="M566" s="228">
        <v>69</v>
      </c>
      <c r="N566" s="127">
        <v>1</v>
      </c>
      <c r="O566" s="127">
        <v>0</v>
      </c>
      <c r="P566" s="473" t="s">
        <v>833</v>
      </c>
      <c r="Q566" s="473" t="s">
        <v>834</v>
      </c>
      <c r="R566" s="1639" t="s">
        <v>832</v>
      </c>
      <c r="S566" s="859" t="s">
        <v>57</v>
      </c>
      <c r="T566" s="473" t="s">
        <v>804</v>
      </c>
      <c r="U566" s="473" t="s">
        <v>11</v>
      </c>
    </row>
    <row r="567" spans="1:21" s="10" customFormat="1" ht="35.1" customHeight="1">
      <c r="A567" s="1462"/>
      <c r="B567" s="941"/>
      <c r="C567" s="640"/>
      <c r="D567" s="1034"/>
      <c r="E567" s="1035"/>
      <c r="F567" s="1036"/>
      <c r="G567" s="640"/>
      <c r="H567" s="640"/>
      <c r="I567" s="640"/>
      <c r="J567" s="654"/>
      <c r="K567" s="654"/>
      <c r="L567" s="128">
        <v>59.980699999999999</v>
      </c>
      <c r="M567" s="228">
        <v>76</v>
      </c>
      <c r="N567" s="127">
        <v>3</v>
      </c>
      <c r="O567" s="127">
        <v>2</v>
      </c>
      <c r="P567" s="474"/>
      <c r="Q567" s="474"/>
      <c r="R567" s="474"/>
      <c r="S567" s="860"/>
      <c r="T567" s="474"/>
      <c r="U567" s="474"/>
    </row>
    <row r="568" spans="1:21" s="10" customFormat="1" ht="35.1" customHeight="1">
      <c r="A568" s="1462"/>
      <c r="B568" s="941"/>
      <c r="C568" s="640"/>
      <c r="D568" s="1034"/>
      <c r="E568" s="1035"/>
      <c r="F568" s="1036"/>
      <c r="G568" s="641"/>
      <c r="H568" s="641"/>
      <c r="I568" s="641"/>
      <c r="J568" s="655"/>
      <c r="K568" s="655"/>
      <c r="L568" s="128">
        <v>59.955300000000001</v>
      </c>
      <c r="M568" s="228">
        <v>46</v>
      </c>
      <c r="N568" s="127">
        <v>4</v>
      </c>
      <c r="O568" s="127">
        <v>4</v>
      </c>
      <c r="P568" s="474"/>
      <c r="Q568" s="474"/>
      <c r="R568" s="474"/>
      <c r="S568" s="860"/>
      <c r="T568" s="474"/>
      <c r="U568" s="474"/>
    </row>
    <row r="569" spans="1:21" s="10" customFormat="1" ht="35.1" customHeight="1">
      <c r="A569" s="1462"/>
      <c r="B569" s="941"/>
      <c r="C569" s="641"/>
      <c r="D569" s="1037"/>
      <c r="E569" s="1038"/>
      <c r="F569" s="1039"/>
      <c r="G569" s="490" t="s">
        <v>329</v>
      </c>
      <c r="H569" s="491"/>
      <c r="I569" s="491"/>
      <c r="J569" s="491"/>
      <c r="K569" s="492"/>
      <c r="L569" s="345"/>
      <c r="M569" s="232">
        <f>SUM(M566:M568)</f>
        <v>191</v>
      </c>
      <c r="N569" s="233">
        <f>SUM(N566:N568)</f>
        <v>8</v>
      </c>
      <c r="O569" s="233">
        <f>SUM(O566:O568)</f>
        <v>6</v>
      </c>
      <c r="P569" s="475"/>
      <c r="Q569" s="475"/>
      <c r="R569" s="475"/>
      <c r="S569" s="861"/>
      <c r="T569" s="475"/>
      <c r="U569" s="475"/>
    </row>
    <row r="570" spans="1:21" s="10" customFormat="1" ht="35.1" customHeight="1">
      <c r="A570" s="1462"/>
      <c r="B570" s="941"/>
      <c r="C570" s="639" t="s">
        <v>799</v>
      </c>
      <c r="D570" s="588" t="s">
        <v>805</v>
      </c>
      <c r="E570" s="589"/>
      <c r="F570" s="590"/>
      <c r="G570" s="639" t="s">
        <v>801</v>
      </c>
      <c r="H570" s="639" t="s">
        <v>806</v>
      </c>
      <c r="I570" s="639" t="s">
        <v>803</v>
      </c>
      <c r="J570" s="653" t="s">
        <v>11</v>
      </c>
      <c r="K570" s="653" t="s">
        <v>12</v>
      </c>
      <c r="L570" s="128">
        <v>59.9557</v>
      </c>
      <c r="M570" s="242">
        <v>30</v>
      </c>
      <c r="N570" s="129">
        <v>0</v>
      </c>
      <c r="O570" s="129">
        <v>0</v>
      </c>
      <c r="P570" s="473" t="s">
        <v>455</v>
      </c>
      <c r="Q570" s="473" t="s">
        <v>421</v>
      </c>
      <c r="R570" s="1639" t="s">
        <v>832</v>
      </c>
      <c r="S570" s="859" t="s">
        <v>57</v>
      </c>
      <c r="T570" s="473" t="s">
        <v>807</v>
      </c>
      <c r="U570" s="473" t="s">
        <v>11</v>
      </c>
    </row>
    <row r="571" spans="1:21" s="10" customFormat="1" ht="35.1" customHeight="1">
      <c r="A571" s="1462"/>
      <c r="B571" s="941"/>
      <c r="C571" s="640"/>
      <c r="D571" s="591"/>
      <c r="E571" s="592"/>
      <c r="F571" s="593"/>
      <c r="G571" s="640"/>
      <c r="H571" s="640"/>
      <c r="I571" s="640"/>
      <c r="J571" s="654"/>
      <c r="K571" s="654"/>
      <c r="L571" s="128">
        <v>59.959099999999999</v>
      </c>
      <c r="M571" s="242">
        <v>60</v>
      </c>
      <c r="N571" s="129">
        <v>0</v>
      </c>
      <c r="O571" s="129">
        <v>0</v>
      </c>
      <c r="P571" s="474"/>
      <c r="Q571" s="474"/>
      <c r="R571" s="474"/>
      <c r="S571" s="860"/>
      <c r="T571" s="474"/>
      <c r="U571" s="474"/>
    </row>
    <row r="572" spans="1:21" s="10" customFormat="1" ht="35.1" customHeight="1">
      <c r="A572" s="1462"/>
      <c r="B572" s="941"/>
      <c r="C572" s="640"/>
      <c r="D572" s="591"/>
      <c r="E572" s="592"/>
      <c r="F572" s="593"/>
      <c r="G572" s="640"/>
      <c r="H572" s="640"/>
      <c r="I572" s="640"/>
      <c r="J572" s="654"/>
      <c r="K572" s="654"/>
      <c r="L572" s="128">
        <v>59.746200000000002</v>
      </c>
      <c r="M572" s="242">
        <v>35</v>
      </c>
      <c r="N572" s="129">
        <v>0</v>
      </c>
      <c r="O572" s="129">
        <v>0</v>
      </c>
      <c r="P572" s="474"/>
      <c r="Q572" s="474"/>
      <c r="R572" s="474"/>
      <c r="S572" s="860"/>
      <c r="T572" s="474"/>
      <c r="U572" s="474"/>
    </row>
    <row r="573" spans="1:21" s="10" customFormat="1" ht="35.1" customHeight="1">
      <c r="A573" s="1462"/>
      <c r="B573" s="941"/>
      <c r="C573" s="640"/>
      <c r="D573" s="591"/>
      <c r="E573" s="592"/>
      <c r="F573" s="593"/>
      <c r="G573" s="640"/>
      <c r="H573" s="640"/>
      <c r="I573" s="640"/>
      <c r="J573" s="654"/>
      <c r="K573" s="654"/>
      <c r="L573" s="128">
        <v>72.904200000000003</v>
      </c>
      <c r="M573" s="242">
        <v>75</v>
      </c>
      <c r="N573" s="129">
        <v>1</v>
      </c>
      <c r="O573" s="129">
        <v>1</v>
      </c>
      <c r="P573" s="474"/>
      <c r="Q573" s="474"/>
      <c r="R573" s="474"/>
      <c r="S573" s="860"/>
      <c r="T573" s="474"/>
      <c r="U573" s="474"/>
    </row>
    <row r="574" spans="1:21" s="10" customFormat="1" ht="35.1" customHeight="1">
      <c r="A574" s="1462"/>
      <c r="B574" s="941"/>
      <c r="C574" s="640"/>
      <c r="D574" s="591"/>
      <c r="E574" s="592"/>
      <c r="F574" s="593"/>
      <c r="G574" s="641"/>
      <c r="H574" s="641"/>
      <c r="I574" s="641"/>
      <c r="J574" s="655"/>
      <c r="K574" s="655"/>
      <c r="L574" s="128">
        <v>72.954499999999996</v>
      </c>
      <c r="M574" s="242">
        <v>27</v>
      </c>
      <c r="N574" s="129">
        <v>11</v>
      </c>
      <c r="O574" s="129">
        <v>10</v>
      </c>
      <c r="P574" s="474"/>
      <c r="Q574" s="474"/>
      <c r="R574" s="474"/>
      <c r="S574" s="860"/>
      <c r="T574" s="474"/>
      <c r="U574" s="474"/>
    </row>
    <row r="575" spans="1:21" s="10" customFormat="1" ht="35.1" customHeight="1">
      <c r="A575" s="1462"/>
      <c r="B575" s="941"/>
      <c r="C575" s="641"/>
      <c r="D575" s="594"/>
      <c r="E575" s="595"/>
      <c r="F575" s="596"/>
      <c r="G575" s="490" t="s">
        <v>329</v>
      </c>
      <c r="H575" s="491"/>
      <c r="I575" s="491"/>
      <c r="J575" s="491"/>
      <c r="K575" s="492"/>
      <c r="L575" s="345"/>
      <c r="M575" s="232">
        <f>SUM(M570:M574)</f>
        <v>227</v>
      </c>
      <c r="N575" s="233">
        <f>SUM(N570:N574)</f>
        <v>12</v>
      </c>
      <c r="O575" s="233">
        <f>SUM(O570:O574)</f>
        <v>11</v>
      </c>
      <c r="P575" s="475"/>
      <c r="Q575" s="475"/>
      <c r="R575" s="475"/>
      <c r="S575" s="861"/>
      <c r="T575" s="475"/>
      <c r="U575" s="475"/>
    </row>
    <row r="576" spans="1:21" s="10" customFormat="1" ht="35.1" customHeight="1">
      <c r="A576" s="1462"/>
      <c r="B576" s="941"/>
      <c r="C576" s="639" t="s">
        <v>1127</v>
      </c>
      <c r="D576" s="1307" t="s">
        <v>1128</v>
      </c>
      <c r="E576" s="1308"/>
      <c r="F576" s="671"/>
      <c r="G576" s="661" t="s">
        <v>1129</v>
      </c>
      <c r="H576" s="661" t="s">
        <v>1130</v>
      </c>
      <c r="I576" s="661" t="s">
        <v>1131</v>
      </c>
      <c r="J576" s="661" t="s">
        <v>11</v>
      </c>
      <c r="K576" s="661" t="s">
        <v>12</v>
      </c>
      <c r="L576" s="128">
        <v>59.929900000000004</v>
      </c>
      <c r="M576" s="242">
        <v>57</v>
      </c>
      <c r="N576" s="242">
        <v>0</v>
      </c>
      <c r="O576" s="242">
        <v>0</v>
      </c>
      <c r="P576" s="473" t="s">
        <v>1133</v>
      </c>
      <c r="Q576" s="1621" t="s">
        <v>1111</v>
      </c>
      <c r="R576" s="1621" t="s">
        <v>1112</v>
      </c>
      <c r="S576" s="473" t="s">
        <v>13</v>
      </c>
      <c r="T576" s="473" t="s">
        <v>1132</v>
      </c>
      <c r="U576" s="473" t="s">
        <v>11</v>
      </c>
    </row>
    <row r="577" spans="1:21" s="10" customFormat="1" ht="35.1" customHeight="1">
      <c r="A577" s="1462"/>
      <c r="B577" s="941"/>
      <c r="C577" s="640"/>
      <c r="D577" s="1309"/>
      <c r="E577" s="1310"/>
      <c r="F577" s="672"/>
      <c r="G577" s="661"/>
      <c r="H577" s="661"/>
      <c r="I577" s="661"/>
      <c r="J577" s="661"/>
      <c r="K577" s="661"/>
      <c r="L577" s="128">
        <v>59.880200000000002</v>
      </c>
      <c r="M577" s="242">
        <v>51</v>
      </c>
      <c r="N577" s="242">
        <v>0</v>
      </c>
      <c r="O577" s="242">
        <v>0</v>
      </c>
      <c r="P577" s="474"/>
      <c r="Q577" s="474"/>
      <c r="R577" s="474"/>
      <c r="S577" s="474"/>
      <c r="T577" s="474"/>
      <c r="U577" s="474"/>
    </row>
    <row r="578" spans="1:21" s="10" customFormat="1" ht="35.1" customHeight="1">
      <c r="A578" s="1462"/>
      <c r="B578" s="941"/>
      <c r="C578" s="640"/>
      <c r="D578" s="1309"/>
      <c r="E578" s="1310"/>
      <c r="F578" s="672"/>
      <c r="G578" s="661"/>
      <c r="H578" s="661"/>
      <c r="I578" s="661"/>
      <c r="J578" s="661"/>
      <c r="K578" s="661"/>
      <c r="L578" s="128">
        <v>59.928100000000001</v>
      </c>
      <c r="M578" s="242">
        <v>96</v>
      </c>
      <c r="N578" s="242">
        <v>0</v>
      </c>
      <c r="O578" s="242">
        <v>0</v>
      </c>
      <c r="P578" s="474"/>
      <c r="Q578" s="474"/>
      <c r="R578" s="474"/>
      <c r="S578" s="474"/>
      <c r="T578" s="474"/>
      <c r="U578" s="474"/>
    </row>
    <row r="579" spans="1:21" s="10" customFormat="1" ht="35.1" customHeight="1">
      <c r="A579" s="1462"/>
      <c r="B579" s="941"/>
      <c r="C579" s="640"/>
      <c r="D579" s="1309"/>
      <c r="E579" s="1310"/>
      <c r="F579" s="672"/>
      <c r="G579" s="661"/>
      <c r="H579" s="661"/>
      <c r="I579" s="661"/>
      <c r="J579" s="661"/>
      <c r="K579" s="661"/>
      <c r="L579" s="128">
        <v>84.909899999999993</v>
      </c>
      <c r="M579" s="242">
        <v>82</v>
      </c>
      <c r="N579" s="242">
        <v>0</v>
      </c>
      <c r="O579" s="242">
        <v>0</v>
      </c>
      <c r="P579" s="474"/>
      <c r="Q579" s="474"/>
      <c r="R579" s="474"/>
      <c r="S579" s="474"/>
      <c r="T579" s="474"/>
      <c r="U579" s="474"/>
    </row>
    <row r="580" spans="1:21" s="10" customFormat="1" ht="35.1" customHeight="1">
      <c r="A580" s="1462"/>
      <c r="B580" s="941"/>
      <c r="C580" s="640"/>
      <c r="D580" s="1309"/>
      <c r="E580" s="1310"/>
      <c r="F580" s="672"/>
      <c r="G580" s="661"/>
      <c r="H580" s="661"/>
      <c r="I580" s="661"/>
      <c r="J580" s="661"/>
      <c r="K580" s="661"/>
      <c r="L580" s="128">
        <v>84.932599999999994</v>
      </c>
      <c r="M580" s="242">
        <v>477</v>
      </c>
      <c r="N580" s="242">
        <v>0</v>
      </c>
      <c r="O580" s="242">
        <v>0</v>
      </c>
      <c r="P580" s="474"/>
      <c r="Q580" s="474"/>
      <c r="R580" s="474"/>
      <c r="S580" s="474"/>
      <c r="T580" s="474"/>
      <c r="U580" s="474"/>
    </row>
    <row r="581" spans="1:21" s="10" customFormat="1" ht="35.1" customHeight="1">
      <c r="A581" s="1462"/>
      <c r="B581" s="941"/>
      <c r="C581" s="640"/>
      <c r="D581" s="1309"/>
      <c r="E581" s="1310"/>
      <c r="F581" s="672"/>
      <c r="G581" s="661"/>
      <c r="H581" s="661"/>
      <c r="I581" s="661"/>
      <c r="J581" s="661"/>
      <c r="K581" s="661"/>
      <c r="L581" s="128">
        <v>84.948099999999997</v>
      </c>
      <c r="M581" s="242">
        <v>79</v>
      </c>
      <c r="N581" s="242">
        <v>0</v>
      </c>
      <c r="O581" s="242">
        <v>0</v>
      </c>
      <c r="P581" s="474"/>
      <c r="Q581" s="474"/>
      <c r="R581" s="474"/>
      <c r="S581" s="474"/>
      <c r="T581" s="474"/>
      <c r="U581" s="474"/>
    </row>
    <row r="582" spans="1:21" s="10" customFormat="1" ht="35.1" customHeight="1">
      <c r="A582" s="1462"/>
      <c r="B582" s="941"/>
      <c r="C582" s="640"/>
      <c r="D582" s="1309"/>
      <c r="E582" s="1310"/>
      <c r="F582" s="672"/>
      <c r="G582" s="661"/>
      <c r="H582" s="661"/>
      <c r="I582" s="661"/>
      <c r="J582" s="661"/>
      <c r="K582" s="661"/>
      <c r="L582" s="128">
        <v>84.867099999999994</v>
      </c>
      <c r="M582" s="242">
        <v>114</v>
      </c>
      <c r="N582" s="242">
        <v>0</v>
      </c>
      <c r="O582" s="242">
        <v>0</v>
      </c>
      <c r="P582" s="474"/>
      <c r="Q582" s="474"/>
      <c r="R582" s="474"/>
      <c r="S582" s="474"/>
      <c r="T582" s="474"/>
      <c r="U582" s="474"/>
    </row>
    <row r="583" spans="1:21" s="10" customFormat="1" ht="35.1" customHeight="1">
      <c r="A583" s="1462"/>
      <c r="B583" s="941"/>
      <c r="C583" s="640"/>
      <c r="D583" s="1309"/>
      <c r="E583" s="1310"/>
      <c r="F583" s="672"/>
      <c r="G583" s="661"/>
      <c r="H583" s="661"/>
      <c r="I583" s="661"/>
      <c r="J583" s="661"/>
      <c r="K583" s="661"/>
      <c r="L583" s="128">
        <v>114.9276</v>
      </c>
      <c r="M583" s="242">
        <v>57</v>
      </c>
      <c r="N583" s="242">
        <v>9</v>
      </c>
      <c r="O583" s="242">
        <v>0</v>
      </c>
      <c r="P583" s="474"/>
      <c r="Q583" s="474"/>
      <c r="R583" s="474"/>
      <c r="S583" s="474"/>
      <c r="T583" s="474"/>
      <c r="U583" s="474"/>
    </row>
    <row r="584" spans="1:21" s="10" customFormat="1" ht="35.1" customHeight="1">
      <c r="A584" s="1462"/>
      <c r="B584" s="941"/>
      <c r="C584" s="640"/>
      <c r="D584" s="1309"/>
      <c r="E584" s="1310"/>
      <c r="F584" s="672"/>
      <c r="G584" s="661"/>
      <c r="H584" s="661"/>
      <c r="I584" s="661"/>
      <c r="J584" s="661"/>
      <c r="K584" s="661"/>
      <c r="L584" s="128">
        <v>114.95740000000001</v>
      </c>
      <c r="M584" s="242">
        <v>56</v>
      </c>
      <c r="N584" s="242">
        <v>23</v>
      </c>
      <c r="O584" s="242">
        <v>0</v>
      </c>
      <c r="P584" s="474"/>
      <c r="Q584" s="474"/>
      <c r="R584" s="474"/>
      <c r="S584" s="474"/>
      <c r="T584" s="474"/>
      <c r="U584" s="474"/>
    </row>
    <row r="585" spans="1:21" s="10" customFormat="1" ht="35.1" customHeight="1">
      <c r="A585" s="1462"/>
      <c r="B585" s="941"/>
      <c r="C585" s="640"/>
      <c r="D585" s="1309"/>
      <c r="E585" s="1310"/>
      <c r="F585" s="672"/>
      <c r="G585" s="661"/>
      <c r="H585" s="661"/>
      <c r="I585" s="661"/>
      <c r="J585" s="661"/>
      <c r="K585" s="661"/>
      <c r="L585" s="128">
        <v>162.74979999999999</v>
      </c>
      <c r="M585" s="242">
        <v>1</v>
      </c>
      <c r="N585" s="242">
        <v>1</v>
      </c>
      <c r="O585" s="242">
        <v>1</v>
      </c>
      <c r="P585" s="474"/>
      <c r="Q585" s="474"/>
      <c r="R585" s="474"/>
      <c r="S585" s="474"/>
      <c r="T585" s="474"/>
      <c r="U585" s="474"/>
    </row>
    <row r="586" spans="1:21" s="10" customFormat="1" ht="35.1" customHeight="1">
      <c r="A586" s="1462"/>
      <c r="B586" s="941"/>
      <c r="C586" s="640"/>
      <c r="D586" s="1309"/>
      <c r="E586" s="1310"/>
      <c r="F586" s="672"/>
      <c r="G586" s="661"/>
      <c r="H586" s="661"/>
      <c r="I586" s="661"/>
      <c r="J586" s="661"/>
      <c r="K586" s="661"/>
      <c r="L586" s="128">
        <v>162.34989999999999</v>
      </c>
      <c r="M586" s="242">
        <v>2</v>
      </c>
      <c r="N586" s="242">
        <v>2</v>
      </c>
      <c r="O586" s="242">
        <v>2</v>
      </c>
      <c r="P586" s="474"/>
      <c r="Q586" s="474"/>
      <c r="R586" s="474"/>
      <c r="S586" s="474"/>
      <c r="T586" s="474"/>
      <c r="U586" s="474"/>
    </row>
    <row r="587" spans="1:21" s="10" customFormat="1" ht="35.1" customHeight="1">
      <c r="A587" s="1462"/>
      <c r="B587" s="941"/>
      <c r="C587" s="640"/>
      <c r="D587" s="1309"/>
      <c r="E587" s="1310"/>
      <c r="F587" s="672"/>
      <c r="G587" s="661"/>
      <c r="H587" s="661"/>
      <c r="I587" s="661"/>
      <c r="J587" s="661"/>
      <c r="K587" s="661"/>
      <c r="L587" s="128">
        <v>170.5257</v>
      </c>
      <c r="M587" s="242">
        <v>1</v>
      </c>
      <c r="N587" s="242">
        <v>1</v>
      </c>
      <c r="O587" s="242">
        <v>1</v>
      </c>
      <c r="P587" s="474"/>
      <c r="Q587" s="474"/>
      <c r="R587" s="474"/>
      <c r="S587" s="474"/>
      <c r="T587" s="474"/>
      <c r="U587" s="474"/>
    </row>
    <row r="588" spans="1:21" s="10" customFormat="1" ht="35.1" customHeight="1">
      <c r="A588" s="1462"/>
      <c r="B588" s="941"/>
      <c r="C588" s="640"/>
      <c r="D588" s="1309"/>
      <c r="E588" s="1310"/>
      <c r="F588" s="672"/>
      <c r="G588" s="661"/>
      <c r="H588" s="661"/>
      <c r="I588" s="661"/>
      <c r="J588" s="661"/>
      <c r="K588" s="661"/>
      <c r="L588" s="128">
        <v>170.30950000000001</v>
      </c>
      <c r="M588" s="242">
        <v>1</v>
      </c>
      <c r="N588" s="242">
        <v>0</v>
      </c>
      <c r="O588" s="242">
        <v>0</v>
      </c>
      <c r="P588" s="474"/>
      <c r="Q588" s="474"/>
      <c r="R588" s="474"/>
      <c r="S588" s="474"/>
      <c r="T588" s="474"/>
      <c r="U588" s="474"/>
    </row>
    <row r="589" spans="1:21" s="10" customFormat="1" ht="35.1" customHeight="1">
      <c r="A589" s="1462"/>
      <c r="B589" s="941"/>
      <c r="C589" s="640"/>
      <c r="D589" s="1309"/>
      <c r="E589" s="1310"/>
      <c r="F589" s="672"/>
      <c r="G589" s="661"/>
      <c r="H589" s="661"/>
      <c r="I589" s="661"/>
      <c r="J589" s="661"/>
      <c r="K589" s="661"/>
      <c r="L589" s="128">
        <v>225.60830000000001</v>
      </c>
      <c r="M589" s="242">
        <v>1</v>
      </c>
      <c r="N589" s="242">
        <v>1</v>
      </c>
      <c r="O589" s="242">
        <v>1</v>
      </c>
      <c r="P589" s="474"/>
      <c r="Q589" s="474"/>
      <c r="R589" s="474"/>
      <c r="S589" s="474"/>
      <c r="T589" s="474"/>
      <c r="U589" s="474"/>
    </row>
    <row r="590" spans="1:21" s="10" customFormat="1" ht="35.1" customHeight="1">
      <c r="A590" s="1462"/>
      <c r="B590" s="941"/>
      <c r="C590" s="640"/>
      <c r="D590" s="1309"/>
      <c r="E590" s="1310"/>
      <c r="F590" s="672"/>
      <c r="G590" s="661"/>
      <c r="H590" s="661"/>
      <c r="I590" s="661"/>
      <c r="J590" s="661"/>
      <c r="K590" s="661"/>
      <c r="L590" s="128">
        <v>250.57849999999999</v>
      </c>
      <c r="M590" s="242">
        <v>1</v>
      </c>
      <c r="N590" s="242">
        <v>1</v>
      </c>
      <c r="O590" s="242">
        <v>1</v>
      </c>
      <c r="P590" s="474"/>
      <c r="Q590" s="474"/>
      <c r="R590" s="474"/>
      <c r="S590" s="474"/>
      <c r="T590" s="474"/>
      <c r="U590" s="474"/>
    </row>
    <row r="591" spans="1:21" s="10" customFormat="1" ht="35.1" customHeight="1">
      <c r="A591" s="1462"/>
      <c r="B591" s="941"/>
      <c r="C591" s="640"/>
      <c r="D591" s="1309"/>
      <c r="E591" s="1310"/>
      <c r="F591" s="672"/>
      <c r="G591" s="661"/>
      <c r="H591" s="661"/>
      <c r="I591" s="661"/>
      <c r="J591" s="661"/>
      <c r="K591" s="661"/>
      <c r="L591" s="128">
        <v>260.53789999999998</v>
      </c>
      <c r="M591" s="242">
        <v>1</v>
      </c>
      <c r="N591" s="242">
        <v>1</v>
      </c>
      <c r="O591" s="242">
        <v>1</v>
      </c>
      <c r="P591" s="474"/>
      <c r="Q591" s="474"/>
      <c r="R591" s="474"/>
      <c r="S591" s="474"/>
      <c r="T591" s="474"/>
      <c r="U591" s="474"/>
    </row>
    <row r="592" spans="1:21" s="10" customFormat="1" ht="35.1" customHeight="1">
      <c r="A592" s="1462"/>
      <c r="B592" s="942"/>
      <c r="C592" s="641"/>
      <c r="D592" s="1311"/>
      <c r="E592" s="1312"/>
      <c r="F592" s="1313"/>
      <c r="G592" s="490" t="s">
        <v>329</v>
      </c>
      <c r="H592" s="491"/>
      <c r="I592" s="491"/>
      <c r="J592" s="491"/>
      <c r="K592" s="492"/>
      <c r="L592" s="437"/>
      <c r="M592" s="232">
        <f>SUM(M576:M591)</f>
        <v>1077</v>
      </c>
      <c r="N592" s="232">
        <f t="shared" ref="N592:O592" si="32">SUM(N576:N591)</f>
        <v>39</v>
      </c>
      <c r="O592" s="232">
        <f t="shared" si="32"/>
        <v>7</v>
      </c>
      <c r="P592" s="475"/>
      <c r="Q592" s="475"/>
      <c r="R592" s="475"/>
      <c r="S592" s="475"/>
      <c r="T592" s="475"/>
      <c r="U592" s="475"/>
    </row>
    <row r="593" spans="1:1892" s="9" customFormat="1" ht="35.1" customHeight="1">
      <c r="A593" s="1462"/>
      <c r="B593" s="777" t="s">
        <v>105</v>
      </c>
      <c r="C593" s="778"/>
      <c r="D593" s="778"/>
      <c r="E593" s="778"/>
      <c r="F593" s="778"/>
      <c r="G593" s="778"/>
      <c r="H593" s="778"/>
      <c r="I593" s="778"/>
      <c r="J593" s="778"/>
      <c r="K593" s="779"/>
      <c r="L593" s="122"/>
      <c r="M593" s="399">
        <f t="shared" ref="M593" si="33">M575+M569+M565+M560+M549+M544+M592</f>
        <v>4099</v>
      </c>
      <c r="N593" s="399">
        <f>N575+N569+N565+N560+N549+N544+N592</f>
        <v>93</v>
      </c>
      <c r="O593" s="399">
        <f>O575+O569+O565+O560+O549+O544+O592</f>
        <v>58</v>
      </c>
      <c r="P593" s="161"/>
      <c r="Q593" s="161"/>
      <c r="R593" s="161"/>
      <c r="S593" s="156"/>
      <c r="T593" s="125"/>
      <c r="U593" s="156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  <c r="EF593" s="10"/>
      <c r="EG593" s="10"/>
      <c r="EH593" s="10"/>
      <c r="EI593" s="10"/>
      <c r="EJ593" s="10"/>
      <c r="EK593" s="10"/>
      <c r="EL593" s="10"/>
      <c r="EM593" s="10"/>
      <c r="EN593" s="10"/>
      <c r="EO593" s="10"/>
      <c r="EP593" s="10"/>
      <c r="EQ593" s="10"/>
      <c r="ER593" s="10"/>
      <c r="ES593" s="10"/>
      <c r="ET593" s="10"/>
      <c r="EU593" s="10"/>
      <c r="EV593" s="10"/>
      <c r="EW593" s="10"/>
      <c r="EX593" s="10"/>
      <c r="EY593" s="10"/>
      <c r="EZ593" s="10"/>
      <c r="FA593" s="10"/>
      <c r="FB593" s="10"/>
      <c r="FC593" s="10"/>
      <c r="FD593" s="10"/>
      <c r="FE593" s="10"/>
      <c r="FF593" s="10"/>
      <c r="FG593" s="10"/>
      <c r="FH593" s="10"/>
      <c r="FI593" s="10"/>
      <c r="FJ593" s="10"/>
      <c r="FK593" s="10"/>
      <c r="FL593" s="10"/>
      <c r="FM593" s="10"/>
      <c r="FN593" s="10"/>
      <c r="FO593" s="10"/>
      <c r="FP593" s="10"/>
      <c r="FQ593" s="10"/>
      <c r="FR593" s="10"/>
      <c r="FS593" s="10"/>
      <c r="FT593" s="10"/>
      <c r="FU593" s="10"/>
      <c r="FV593" s="10"/>
      <c r="FW593" s="10"/>
      <c r="FX593" s="10"/>
      <c r="FY593" s="10"/>
      <c r="FZ593" s="10"/>
      <c r="GA593" s="10"/>
      <c r="GB593" s="10"/>
      <c r="GC593" s="10"/>
      <c r="GD593" s="10"/>
      <c r="GE593" s="10"/>
      <c r="GF593" s="10"/>
      <c r="GG593" s="10"/>
      <c r="GH593" s="10"/>
      <c r="GI593" s="10"/>
      <c r="GJ593" s="10"/>
      <c r="GK593" s="10"/>
      <c r="GL593" s="10"/>
      <c r="GM593" s="10"/>
      <c r="GN593" s="10"/>
      <c r="GO593" s="10"/>
      <c r="GP593" s="10"/>
      <c r="GQ593" s="10"/>
      <c r="GR593" s="10"/>
      <c r="GS593" s="10"/>
      <c r="GT593" s="10"/>
      <c r="GU593" s="10"/>
      <c r="GV593" s="10"/>
      <c r="GW593" s="10"/>
      <c r="GX593" s="10"/>
      <c r="GY593" s="10"/>
      <c r="GZ593" s="10"/>
      <c r="HA593" s="10"/>
      <c r="HB593" s="10"/>
      <c r="HC593" s="10"/>
      <c r="HD593" s="10"/>
      <c r="HE593" s="10"/>
      <c r="HF593" s="10"/>
      <c r="HG593" s="10"/>
      <c r="HH593" s="10"/>
      <c r="HI593" s="10"/>
      <c r="HJ593" s="10"/>
      <c r="HK593" s="10"/>
      <c r="HL593" s="10"/>
      <c r="HM593" s="10"/>
      <c r="HN593" s="10"/>
      <c r="HO593" s="10"/>
      <c r="HP593" s="10"/>
      <c r="HQ593" s="10"/>
      <c r="HR593" s="10"/>
      <c r="HS593" s="10"/>
      <c r="HT593" s="10"/>
      <c r="HU593" s="10"/>
      <c r="HV593" s="10"/>
      <c r="HW593" s="10"/>
      <c r="HX593" s="10"/>
      <c r="HY593" s="10"/>
      <c r="HZ593" s="10"/>
      <c r="IA593" s="10"/>
      <c r="IB593" s="10"/>
      <c r="IC593" s="10"/>
      <c r="ID593" s="10"/>
      <c r="IE593" s="10"/>
      <c r="IF593" s="10"/>
      <c r="IG593" s="10"/>
      <c r="IH593" s="10"/>
      <c r="II593" s="10"/>
      <c r="IJ593" s="10"/>
      <c r="IK593" s="10"/>
      <c r="IL593" s="10"/>
      <c r="IM593" s="10"/>
      <c r="IN593" s="10"/>
      <c r="IO593" s="10"/>
      <c r="IP593" s="10"/>
      <c r="IQ593" s="10"/>
      <c r="IR593" s="10"/>
      <c r="IS593" s="10"/>
      <c r="IT593" s="10"/>
      <c r="IU593" s="10"/>
      <c r="IV593" s="10"/>
      <c r="IW593" s="10"/>
      <c r="IX593" s="10"/>
      <c r="IY593" s="10"/>
      <c r="IZ593" s="10"/>
      <c r="JA593" s="10"/>
      <c r="JB593" s="10"/>
      <c r="JC593" s="10"/>
      <c r="JD593" s="10"/>
      <c r="JE593" s="10"/>
      <c r="JF593" s="10"/>
      <c r="JG593" s="10"/>
      <c r="JH593" s="10"/>
      <c r="JI593" s="10"/>
      <c r="JJ593" s="10"/>
      <c r="JK593" s="10"/>
      <c r="JL593" s="10"/>
      <c r="JM593" s="10"/>
      <c r="JN593" s="10"/>
      <c r="JO593" s="10"/>
      <c r="JP593" s="10"/>
      <c r="JQ593" s="10"/>
      <c r="JR593" s="10"/>
      <c r="JS593" s="10"/>
      <c r="JT593" s="10"/>
      <c r="JU593" s="10"/>
      <c r="JV593" s="10"/>
      <c r="JW593" s="10"/>
      <c r="JX593" s="10"/>
      <c r="JY593" s="10"/>
      <c r="JZ593" s="10"/>
      <c r="KA593" s="10"/>
      <c r="KB593" s="10"/>
      <c r="KC593" s="10"/>
      <c r="KD593" s="10"/>
      <c r="KE593" s="10"/>
      <c r="KF593" s="10"/>
      <c r="KG593" s="10"/>
      <c r="KH593" s="10"/>
      <c r="KI593" s="10"/>
      <c r="KJ593" s="10"/>
      <c r="KK593" s="10"/>
      <c r="KL593" s="10"/>
      <c r="KM593" s="10"/>
      <c r="KN593" s="10"/>
      <c r="KO593" s="10"/>
      <c r="KP593" s="10"/>
      <c r="KQ593" s="10"/>
      <c r="KR593" s="10"/>
      <c r="KS593" s="10"/>
      <c r="KT593" s="10"/>
      <c r="KU593" s="10"/>
      <c r="KV593" s="10"/>
      <c r="KW593" s="10"/>
      <c r="KX593" s="10"/>
      <c r="KY593" s="10"/>
      <c r="KZ593" s="10"/>
      <c r="LA593" s="10"/>
      <c r="LB593" s="10"/>
      <c r="LC593" s="10"/>
      <c r="LD593" s="10"/>
      <c r="LE593" s="10"/>
      <c r="LF593" s="10"/>
      <c r="LG593" s="10"/>
      <c r="LH593" s="10"/>
      <c r="LI593" s="10"/>
      <c r="LJ593" s="10"/>
      <c r="LK593" s="10"/>
      <c r="LL593" s="10"/>
      <c r="LM593" s="10"/>
      <c r="LN593" s="10"/>
      <c r="LO593" s="10"/>
      <c r="LP593" s="10"/>
      <c r="LQ593" s="10"/>
      <c r="LR593" s="10"/>
      <c r="LS593" s="10"/>
      <c r="LT593" s="10"/>
      <c r="LU593" s="10"/>
      <c r="LV593" s="10"/>
      <c r="LW593" s="10"/>
      <c r="LX593" s="10"/>
      <c r="LY593" s="10"/>
      <c r="LZ593" s="10"/>
      <c r="MA593" s="10"/>
      <c r="MB593" s="10"/>
      <c r="MC593" s="10"/>
      <c r="MD593" s="10"/>
      <c r="ME593" s="10"/>
      <c r="MF593" s="10"/>
      <c r="MG593" s="10"/>
      <c r="MH593" s="10"/>
      <c r="MI593" s="10"/>
      <c r="MJ593" s="10"/>
      <c r="MK593" s="10"/>
      <c r="ML593" s="10"/>
      <c r="MM593" s="10"/>
      <c r="MN593" s="10"/>
      <c r="MO593" s="10"/>
      <c r="MP593" s="10"/>
      <c r="MQ593" s="10"/>
      <c r="MR593" s="10"/>
      <c r="MS593" s="10"/>
      <c r="MT593" s="10"/>
      <c r="MU593" s="10"/>
      <c r="MV593" s="10"/>
      <c r="MW593" s="10"/>
      <c r="MX593" s="10"/>
      <c r="MY593" s="10"/>
      <c r="MZ593" s="10"/>
      <c r="NA593" s="10"/>
      <c r="NB593" s="10"/>
      <c r="NC593" s="10"/>
      <c r="ND593" s="10"/>
      <c r="NE593" s="10"/>
      <c r="NF593" s="10"/>
      <c r="NG593" s="10"/>
      <c r="NH593" s="10"/>
      <c r="NI593" s="10"/>
      <c r="NJ593" s="10"/>
      <c r="NK593" s="10"/>
      <c r="NL593" s="10"/>
      <c r="NM593" s="10"/>
      <c r="NN593" s="10"/>
      <c r="NO593" s="10"/>
      <c r="NP593" s="10"/>
      <c r="NQ593" s="10"/>
      <c r="NR593" s="10"/>
      <c r="NS593" s="10"/>
      <c r="NT593" s="10"/>
      <c r="NU593" s="10"/>
      <c r="NV593" s="10"/>
      <c r="NW593" s="10"/>
      <c r="NX593" s="10"/>
      <c r="NY593" s="10"/>
      <c r="NZ593" s="10"/>
      <c r="OA593" s="10"/>
      <c r="OB593" s="10"/>
      <c r="OC593" s="10"/>
      <c r="OD593" s="10"/>
      <c r="OE593" s="10"/>
      <c r="OF593" s="10"/>
      <c r="OG593" s="10"/>
      <c r="OH593" s="10"/>
      <c r="OI593" s="10"/>
      <c r="OJ593" s="10"/>
      <c r="OK593" s="10"/>
      <c r="OL593" s="10"/>
      <c r="OM593" s="10"/>
      <c r="ON593" s="10"/>
      <c r="OO593" s="10"/>
      <c r="OP593" s="10"/>
      <c r="OQ593" s="10"/>
      <c r="OR593" s="10"/>
      <c r="OS593" s="10"/>
      <c r="OT593" s="10"/>
      <c r="OU593" s="10"/>
      <c r="OV593" s="10"/>
      <c r="OW593" s="10"/>
      <c r="OX593" s="10"/>
      <c r="OY593" s="10"/>
      <c r="OZ593" s="10"/>
      <c r="PA593" s="10"/>
      <c r="PB593" s="10"/>
      <c r="PC593" s="10"/>
      <c r="PD593" s="10"/>
      <c r="PE593" s="10"/>
      <c r="PF593" s="10"/>
      <c r="PG593" s="10"/>
      <c r="PH593" s="10"/>
      <c r="PI593" s="10"/>
      <c r="PJ593" s="10"/>
      <c r="PK593" s="10"/>
      <c r="PL593" s="10"/>
      <c r="PM593" s="10"/>
      <c r="PN593" s="10"/>
      <c r="PO593" s="10"/>
      <c r="PP593" s="10"/>
      <c r="PQ593" s="10"/>
      <c r="PR593" s="10"/>
      <c r="PS593" s="10"/>
      <c r="PT593" s="10"/>
      <c r="PU593" s="10"/>
      <c r="PV593" s="10"/>
      <c r="PW593" s="10"/>
      <c r="PX593" s="10"/>
      <c r="PY593" s="10"/>
      <c r="PZ593" s="10"/>
      <c r="QA593" s="10"/>
      <c r="QB593" s="10"/>
      <c r="QC593" s="10"/>
      <c r="QD593" s="10"/>
      <c r="QE593" s="10"/>
      <c r="QF593" s="10"/>
      <c r="QG593" s="10"/>
      <c r="QH593" s="10"/>
      <c r="QI593" s="10"/>
      <c r="QJ593" s="10"/>
      <c r="QK593" s="10"/>
      <c r="QL593" s="10"/>
      <c r="QM593" s="10"/>
      <c r="QN593" s="10"/>
      <c r="QO593" s="10"/>
      <c r="QP593" s="10"/>
      <c r="QQ593" s="10"/>
      <c r="QR593" s="10"/>
      <c r="QS593" s="10"/>
      <c r="QT593" s="10"/>
      <c r="QU593" s="10"/>
      <c r="QV593" s="10"/>
      <c r="QW593" s="10"/>
      <c r="QX593" s="10"/>
      <c r="QY593" s="10"/>
      <c r="QZ593" s="10"/>
      <c r="RA593" s="10"/>
      <c r="RB593" s="10"/>
      <c r="RC593" s="10"/>
      <c r="RD593" s="10"/>
      <c r="RE593" s="10"/>
      <c r="RF593" s="10"/>
      <c r="RG593" s="10"/>
      <c r="RH593" s="10"/>
      <c r="RI593" s="10"/>
      <c r="RJ593" s="10"/>
      <c r="RK593" s="10"/>
      <c r="RL593" s="10"/>
      <c r="RM593" s="10"/>
      <c r="RN593" s="10"/>
      <c r="RO593" s="10"/>
      <c r="RP593" s="10"/>
      <c r="RQ593" s="10"/>
      <c r="RR593" s="10"/>
      <c r="RS593" s="10"/>
      <c r="RT593" s="10"/>
      <c r="RU593" s="10"/>
      <c r="RV593" s="10"/>
      <c r="RW593" s="10"/>
      <c r="RX593" s="10"/>
      <c r="RY593" s="10"/>
      <c r="RZ593" s="10"/>
      <c r="SA593" s="10"/>
      <c r="SB593" s="10"/>
      <c r="SC593" s="10"/>
      <c r="SD593" s="10"/>
      <c r="SE593" s="10"/>
      <c r="SF593" s="10"/>
      <c r="SG593" s="10"/>
      <c r="SH593" s="10"/>
      <c r="SI593" s="10"/>
      <c r="SJ593" s="10"/>
      <c r="SK593" s="10"/>
      <c r="SL593" s="10"/>
      <c r="SM593" s="10"/>
      <c r="SN593" s="10"/>
      <c r="SO593" s="10"/>
      <c r="SP593" s="10"/>
      <c r="SQ593" s="10"/>
      <c r="SR593" s="10"/>
      <c r="SS593" s="10"/>
      <c r="ST593" s="10"/>
      <c r="SU593" s="10"/>
      <c r="SV593" s="10"/>
      <c r="SW593" s="10"/>
      <c r="SX593" s="10"/>
      <c r="SY593" s="10"/>
      <c r="SZ593" s="10"/>
      <c r="TA593" s="10"/>
      <c r="TB593" s="10"/>
      <c r="TC593" s="10"/>
      <c r="TD593" s="10"/>
      <c r="TE593" s="10"/>
      <c r="TF593" s="10"/>
      <c r="TG593" s="10"/>
      <c r="TH593" s="10"/>
      <c r="TI593" s="10"/>
      <c r="TJ593" s="10"/>
      <c r="TK593" s="10"/>
      <c r="TL593" s="10"/>
      <c r="TM593" s="10"/>
      <c r="TN593" s="10"/>
      <c r="TO593" s="10"/>
      <c r="TP593" s="10"/>
      <c r="TQ593" s="10"/>
      <c r="TR593" s="10"/>
      <c r="TS593" s="10"/>
      <c r="TT593" s="10"/>
      <c r="TU593" s="10"/>
      <c r="TV593" s="10"/>
      <c r="TW593" s="10"/>
      <c r="TX593" s="10"/>
      <c r="TY593" s="10"/>
      <c r="TZ593" s="10"/>
      <c r="UA593" s="10"/>
      <c r="UB593" s="10"/>
      <c r="UC593" s="10"/>
      <c r="UD593" s="10"/>
      <c r="UE593" s="10"/>
      <c r="UF593" s="10"/>
      <c r="UG593" s="10"/>
      <c r="UH593" s="10"/>
      <c r="UI593" s="10"/>
      <c r="UJ593" s="10"/>
      <c r="UK593" s="10"/>
      <c r="UL593" s="10"/>
      <c r="UM593" s="10"/>
      <c r="UN593" s="10"/>
      <c r="UO593" s="10"/>
      <c r="UP593" s="10"/>
      <c r="UQ593" s="10"/>
      <c r="UR593" s="10"/>
      <c r="US593" s="10"/>
      <c r="UT593" s="10"/>
      <c r="UU593" s="10"/>
      <c r="UV593" s="10"/>
      <c r="UW593" s="10"/>
      <c r="UX593" s="10"/>
      <c r="UY593" s="10"/>
      <c r="UZ593" s="10"/>
      <c r="VA593" s="10"/>
      <c r="VB593" s="10"/>
      <c r="VC593" s="10"/>
      <c r="VD593" s="10"/>
      <c r="VE593" s="10"/>
      <c r="VF593" s="10"/>
      <c r="VG593" s="10"/>
      <c r="VH593" s="10"/>
      <c r="VI593" s="10"/>
      <c r="VJ593" s="10"/>
      <c r="VK593" s="10"/>
      <c r="VL593" s="10"/>
      <c r="VM593" s="10"/>
      <c r="VN593" s="10"/>
      <c r="VO593" s="10"/>
      <c r="VP593" s="10"/>
      <c r="VQ593" s="10"/>
      <c r="VR593" s="10"/>
      <c r="VS593" s="10"/>
      <c r="VT593" s="10"/>
      <c r="VU593" s="10"/>
      <c r="VV593" s="10"/>
      <c r="VW593" s="10"/>
      <c r="VX593" s="10"/>
      <c r="VY593" s="10"/>
      <c r="VZ593" s="10"/>
      <c r="WA593" s="10"/>
      <c r="WB593" s="10"/>
      <c r="WC593" s="10"/>
      <c r="WD593" s="10"/>
      <c r="WE593" s="10"/>
      <c r="WF593" s="10"/>
      <c r="WG593" s="10"/>
      <c r="WH593" s="10"/>
      <c r="WI593" s="10"/>
      <c r="WJ593" s="10"/>
      <c r="WK593" s="10"/>
      <c r="WL593" s="10"/>
      <c r="WM593" s="10"/>
      <c r="WN593" s="10"/>
      <c r="WO593" s="10"/>
      <c r="WP593" s="10"/>
      <c r="WQ593" s="10"/>
      <c r="WR593" s="10"/>
      <c r="WS593" s="10"/>
      <c r="WT593" s="10"/>
      <c r="WU593" s="10"/>
      <c r="WV593" s="10"/>
      <c r="WW593" s="10"/>
      <c r="WX593" s="10"/>
      <c r="WY593" s="10"/>
      <c r="WZ593" s="10"/>
      <c r="XA593" s="10"/>
      <c r="XB593" s="10"/>
      <c r="XC593" s="10"/>
      <c r="XD593" s="10"/>
      <c r="XE593" s="10"/>
      <c r="XF593" s="10"/>
      <c r="XG593" s="10"/>
      <c r="XH593" s="10"/>
      <c r="XI593" s="10"/>
      <c r="XJ593" s="10"/>
      <c r="XK593" s="10"/>
      <c r="XL593" s="10"/>
      <c r="XM593" s="10"/>
      <c r="XN593" s="10"/>
      <c r="XO593" s="10"/>
      <c r="XP593" s="10"/>
      <c r="XQ593" s="10"/>
      <c r="XR593" s="10"/>
      <c r="XS593" s="10"/>
      <c r="XT593" s="10"/>
      <c r="XU593" s="10"/>
      <c r="XV593" s="10"/>
      <c r="XW593" s="10"/>
      <c r="XX593" s="10"/>
      <c r="XY593" s="10"/>
      <c r="XZ593" s="10"/>
      <c r="YA593" s="10"/>
      <c r="YB593" s="10"/>
      <c r="YC593" s="10"/>
      <c r="YD593" s="10"/>
      <c r="YE593" s="10"/>
      <c r="YF593" s="10"/>
      <c r="YG593" s="10"/>
      <c r="YH593" s="10"/>
      <c r="YI593" s="10"/>
      <c r="YJ593" s="10"/>
      <c r="YK593" s="10"/>
      <c r="YL593" s="10"/>
      <c r="YM593" s="10"/>
      <c r="YN593" s="10"/>
      <c r="YO593" s="10"/>
      <c r="YP593" s="10"/>
      <c r="YQ593" s="10"/>
      <c r="YR593" s="10"/>
      <c r="YS593" s="10"/>
      <c r="YT593" s="10"/>
      <c r="YU593" s="10"/>
      <c r="YV593" s="10"/>
      <c r="YW593" s="10"/>
      <c r="YX593" s="10"/>
      <c r="YY593" s="10"/>
      <c r="YZ593" s="10"/>
      <c r="ZA593" s="10"/>
      <c r="ZB593" s="10"/>
      <c r="ZC593" s="10"/>
      <c r="ZD593" s="10"/>
      <c r="ZE593" s="10"/>
      <c r="ZF593" s="10"/>
      <c r="ZG593" s="10"/>
      <c r="ZH593" s="10"/>
      <c r="ZI593" s="10"/>
      <c r="ZJ593" s="10"/>
      <c r="ZK593" s="10"/>
      <c r="ZL593" s="10"/>
      <c r="ZM593" s="10"/>
      <c r="ZN593" s="10"/>
      <c r="ZO593" s="10"/>
      <c r="ZP593" s="10"/>
      <c r="ZQ593" s="10"/>
      <c r="ZR593" s="10"/>
      <c r="ZS593" s="10"/>
      <c r="ZT593" s="10"/>
      <c r="ZU593" s="10"/>
      <c r="ZV593" s="10"/>
      <c r="ZW593" s="10"/>
      <c r="ZX593" s="10"/>
      <c r="ZY593" s="10"/>
      <c r="ZZ593" s="10"/>
      <c r="AAA593" s="10"/>
      <c r="AAB593" s="10"/>
      <c r="AAC593" s="10"/>
      <c r="AAD593" s="10"/>
      <c r="AAE593" s="10"/>
      <c r="AAF593" s="10"/>
      <c r="AAG593" s="10"/>
      <c r="AAH593" s="10"/>
      <c r="AAI593" s="10"/>
      <c r="AAJ593" s="10"/>
      <c r="AAK593" s="10"/>
      <c r="AAL593" s="10"/>
      <c r="AAM593" s="10"/>
      <c r="AAN593" s="10"/>
      <c r="AAO593" s="10"/>
      <c r="AAP593" s="10"/>
      <c r="AAQ593" s="10"/>
      <c r="AAR593" s="10"/>
      <c r="AAS593" s="10"/>
      <c r="AAT593" s="10"/>
      <c r="AAU593" s="10"/>
      <c r="AAV593" s="10"/>
      <c r="AAW593" s="10"/>
      <c r="AAX593" s="10"/>
      <c r="AAY593" s="10"/>
      <c r="AAZ593" s="10"/>
      <c r="ABA593" s="10"/>
      <c r="ABB593" s="10"/>
      <c r="ABC593" s="10"/>
      <c r="ABD593" s="10"/>
      <c r="ABE593" s="10"/>
      <c r="ABF593" s="10"/>
      <c r="ABG593" s="10"/>
      <c r="ABH593" s="10"/>
      <c r="ABI593" s="10"/>
      <c r="ABJ593" s="10"/>
      <c r="ABK593" s="10"/>
      <c r="ABL593" s="10"/>
      <c r="ABM593" s="10"/>
      <c r="ABN593" s="10"/>
      <c r="ABO593" s="10"/>
      <c r="ABP593" s="10"/>
      <c r="ABQ593" s="10"/>
      <c r="ABR593" s="10"/>
      <c r="ABS593" s="10"/>
      <c r="ABT593" s="10"/>
      <c r="ABU593" s="10"/>
      <c r="ABV593" s="10"/>
      <c r="ABW593" s="10"/>
      <c r="ABX593" s="10"/>
      <c r="ABY593" s="10"/>
      <c r="ABZ593" s="10"/>
      <c r="ACA593" s="10"/>
      <c r="ACB593" s="10"/>
      <c r="ACC593" s="10"/>
      <c r="ACD593" s="10"/>
      <c r="ACE593" s="10"/>
      <c r="ACF593" s="10"/>
      <c r="ACG593" s="10"/>
      <c r="ACH593" s="10"/>
      <c r="ACI593" s="10"/>
      <c r="ACJ593" s="10"/>
      <c r="ACK593" s="10"/>
      <c r="ACL593" s="10"/>
      <c r="ACM593" s="10"/>
      <c r="ACN593" s="10"/>
      <c r="ACO593" s="10"/>
      <c r="ACP593" s="10"/>
      <c r="ACQ593" s="10"/>
      <c r="ACR593" s="10"/>
      <c r="ACS593" s="10"/>
      <c r="ACT593" s="10"/>
      <c r="ACU593" s="10"/>
      <c r="ACV593" s="10"/>
      <c r="ACW593" s="10"/>
      <c r="ACX593" s="10"/>
      <c r="ACY593" s="10"/>
      <c r="ACZ593" s="10"/>
      <c r="ADA593" s="10"/>
      <c r="ADB593" s="10"/>
      <c r="ADC593" s="10"/>
      <c r="ADD593" s="10"/>
      <c r="ADE593" s="10"/>
      <c r="ADF593" s="10"/>
      <c r="ADG593" s="10"/>
      <c r="ADH593" s="10"/>
      <c r="ADI593" s="10"/>
      <c r="ADJ593" s="10"/>
      <c r="ADK593" s="10"/>
      <c r="ADL593" s="10"/>
      <c r="ADM593" s="10"/>
      <c r="ADN593" s="10"/>
      <c r="ADO593" s="10"/>
      <c r="ADP593" s="10"/>
      <c r="ADQ593" s="10"/>
      <c r="ADR593" s="10"/>
      <c r="ADS593" s="10"/>
      <c r="ADT593" s="10"/>
      <c r="ADU593" s="10"/>
      <c r="ADV593" s="10"/>
      <c r="ADW593" s="10"/>
      <c r="ADX593" s="10"/>
      <c r="ADY593" s="10"/>
      <c r="ADZ593" s="10"/>
      <c r="AEA593" s="10"/>
      <c r="AEB593" s="10"/>
      <c r="AEC593" s="10"/>
      <c r="AED593" s="10"/>
      <c r="AEE593" s="10"/>
      <c r="AEF593" s="10"/>
      <c r="AEG593" s="10"/>
      <c r="AEH593" s="10"/>
      <c r="AEI593" s="10"/>
      <c r="AEJ593" s="10"/>
      <c r="AEK593" s="10"/>
      <c r="AEL593" s="10"/>
      <c r="AEM593" s="10"/>
      <c r="AEN593" s="10"/>
      <c r="AEO593" s="10"/>
      <c r="AEP593" s="10"/>
      <c r="AEQ593" s="10"/>
      <c r="AER593" s="10"/>
      <c r="AES593" s="10"/>
      <c r="AET593" s="10"/>
      <c r="AEU593" s="10"/>
      <c r="AEV593" s="10"/>
      <c r="AEW593" s="10"/>
      <c r="AEX593" s="10"/>
      <c r="AEY593" s="10"/>
      <c r="AEZ593" s="10"/>
      <c r="AFA593" s="10"/>
      <c r="AFB593" s="10"/>
      <c r="AFC593" s="10"/>
      <c r="AFD593" s="10"/>
      <c r="AFE593" s="10"/>
      <c r="AFF593" s="10"/>
      <c r="AFG593" s="10"/>
      <c r="AFH593" s="10"/>
      <c r="AFI593" s="10"/>
      <c r="AFJ593" s="10"/>
      <c r="AFK593" s="10"/>
      <c r="AFL593" s="10"/>
      <c r="AFM593" s="10"/>
      <c r="AFN593" s="10"/>
      <c r="AFO593" s="10"/>
      <c r="AFP593" s="10"/>
      <c r="AFQ593" s="10"/>
      <c r="AFR593" s="10"/>
      <c r="AFS593" s="10"/>
      <c r="AFT593" s="10"/>
      <c r="AFU593" s="10"/>
      <c r="AFV593" s="10"/>
      <c r="AFW593" s="10"/>
      <c r="AFX593" s="10"/>
      <c r="AFY593" s="10"/>
      <c r="AFZ593" s="10"/>
      <c r="AGA593" s="10"/>
      <c r="AGB593" s="10"/>
      <c r="AGC593" s="10"/>
      <c r="AGD593" s="10"/>
      <c r="AGE593" s="10"/>
      <c r="AGF593" s="10"/>
      <c r="AGG593" s="10"/>
      <c r="AGH593" s="10"/>
      <c r="AGI593" s="10"/>
      <c r="AGJ593" s="10"/>
      <c r="AGK593" s="10"/>
      <c r="AGL593" s="10"/>
      <c r="AGM593" s="10"/>
      <c r="AGN593" s="10"/>
      <c r="AGO593" s="10"/>
      <c r="AGP593" s="10"/>
      <c r="AGQ593" s="10"/>
      <c r="AGR593" s="10"/>
      <c r="AGS593" s="10"/>
      <c r="AGT593" s="10"/>
      <c r="AGU593" s="10"/>
      <c r="AGV593" s="10"/>
      <c r="AGW593" s="10"/>
      <c r="AGX593" s="10"/>
      <c r="AGY593" s="10"/>
      <c r="AGZ593" s="10"/>
      <c r="AHA593" s="10"/>
      <c r="AHB593" s="10"/>
      <c r="AHC593" s="10"/>
      <c r="AHD593" s="10"/>
      <c r="AHE593" s="10"/>
      <c r="AHF593" s="10"/>
      <c r="AHG593" s="10"/>
      <c r="AHH593" s="10"/>
      <c r="AHI593" s="10"/>
      <c r="AHJ593" s="10"/>
      <c r="AHK593" s="10"/>
      <c r="AHL593" s="10"/>
      <c r="AHM593" s="10"/>
      <c r="AHN593" s="10"/>
      <c r="AHO593" s="10"/>
      <c r="AHP593" s="10"/>
      <c r="AHQ593" s="10"/>
      <c r="AHR593" s="10"/>
      <c r="AHS593" s="10"/>
      <c r="AHT593" s="10"/>
      <c r="AHU593" s="10"/>
      <c r="AHV593" s="10"/>
      <c r="AHW593" s="10"/>
      <c r="AHX593" s="10"/>
      <c r="AHY593" s="10"/>
      <c r="AHZ593" s="10"/>
      <c r="AIA593" s="10"/>
      <c r="AIB593" s="10"/>
      <c r="AIC593" s="10"/>
      <c r="AID593" s="10"/>
      <c r="AIE593" s="10"/>
      <c r="AIF593" s="10"/>
      <c r="AIG593" s="10"/>
      <c r="AIH593" s="10"/>
      <c r="AII593" s="10"/>
      <c r="AIJ593" s="10"/>
      <c r="AIK593" s="10"/>
      <c r="AIL593" s="10"/>
      <c r="AIM593" s="10"/>
      <c r="AIN593" s="10"/>
      <c r="AIO593" s="10"/>
      <c r="AIP593" s="10"/>
      <c r="AIQ593" s="10"/>
      <c r="AIR593" s="10"/>
      <c r="AIS593" s="10"/>
      <c r="AIT593" s="10"/>
      <c r="AIU593" s="10"/>
      <c r="AIV593" s="10"/>
      <c r="AIW593" s="10"/>
      <c r="AIX593" s="10"/>
      <c r="AIY593" s="10"/>
      <c r="AIZ593" s="10"/>
      <c r="AJA593" s="10"/>
      <c r="AJB593" s="10"/>
      <c r="AJC593" s="10"/>
      <c r="AJD593" s="10"/>
      <c r="AJE593" s="10"/>
      <c r="AJF593" s="10"/>
      <c r="AJG593" s="10"/>
      <c r="AJH593" s="10"/>
      <c r="AJI593" s="10"/>
      <c r="AJJ593" s="10"/>
      <c r="AJK593" s="10"/>
      <c r="AJL593" s="10"/>
      <c r="AJM593" s="10"/>
      <c r="AJN593" s="10"/>
      <c r="AJO593" s="10"/>
      <c r="AJP593" s="10"/>
      <c r="AJQ593" s="10"/>
      <c r="AJR593" s="10"/>
      <c r="AJS593" s="10"/>
      <c r="AJT593" s="10"/>
      <c r="AJU593" s="10"/>
      <c r="AJV593" s="10"/>
      <c r="AJW593" s="10"/>
      <c r="AJX593" s="10"/>
      <c r="AJY593" s="10"/>
      <c r="AJZ593" s="10"/>
      <c r="AKA593" s="10"/>
      <c r="AKB593" s="10"/>
      <c r="AKC593" s="10"/>
      <c r="AKD593" s="10"/>
      <c r="AKE593" s="10"/>
      <c r="AKF593" s="10"/>
      <c r="AKG593" s="10"/>
      <c r="AKH593" s="10"/>
      <c r="AKI593" s="10"/>
      <c r="AKJ593" s="10"/>
      <c r="AKK593" s="10"/>
      <c r="AKL593" s="10"/>
      <c r="AKM593" s="10"/>
      <c r="AKN593" s="10"/>
      <c r="AKO593" s="10"/>
      <c r="AKP593" s="10"/>
      <c r="AKQ593" s="10"/>
      <c r="AKR593" s="10"/>
      <c r="AKS593" s="10"/>
      <c r="AKT593" s="10"/>
      <c r="AKU593" s="10"/>
      <c r="AKV593" s="10"/>
      <c r="AKW593" s="10"/>
      <c r="AKX593" s="10"/>
      <c r="AKY593" s="10"/>
      <c r="AKZ593" s="10"/>
      <c r="ALA593" s="10"/>
      <c r="ALB593" s="10"/>
      <c r="ALC593" s="10"/>
      <c r="ALD593" s="10"/>
      <c r="ALE593" s="10"/>
      <c r="ALF593" s="10"/>
      <c r="ALG593" s="10"/>
      <c r="ALH593" s="10"/>
      <c r="ALI593" s="10"/>
      <c r="ALJ593" s="10"/>
      <c r="ALK593" s="10"/>
      <c r="ALL593" s="10"/>
      <c r="ALM593" s="10"/>
      <c r="ALN593" s="10"/>
      <c r="ALO593" s="10"/>
      <c r="ALP593" s="10"/>
      <c r="ALQ593" s="10"/>
      <c r="ALR593" s="10"/>
      <c r="ALS593" s="10"/>
      <c r="ALT593" s="10"/>
      <c r="ALU593" s="10"/>
      <c r="ALV593" s="10"/>
      <c r="ALW593" s="10"/>
      <c r="ALX593" s="10"/>
      <c r="ALY593" s="10"/>
      <c r="ALZ593" s="10"/>
      <c r="AMA593" s="10"/>
      <c r="AMB593" s="10"/>
      <c r="AMC593" s="10"/>
      <c r="AMD593" s="10"/>
      <c r="AME593" s="10"/>
      <c r="AMF593" s="10"/>
      <c r="AMG593" s="10"/>
      <c r="AMH593" s="10"/>
      <c r="AMI593" s="10"/>
      <c r="AMJ593" s="10"/>
      <c r="AMK593" s="10"/>
      <c r="AML593" s="10"/>
      <c r="AMM593" s="10"/>
      <c r="AMN593" s="10"/>
      <c r="AMO593" s="10"/>
      <c r="AMP593" s="10"/>
      <c r="AMQ593" s="10"/>
      <c r="AMR593" s="10"/>
      <c r="AMS593" s="10"/>
      <c r="AMT593" s="10"/>
      <c r="AMU593" s="10"/>
      <c r="AMV593" s="10"/>
      <c r="AMW593" s="10"/>
      <c r="AMX593" s="10"/>
      <c r="AMY593" s="10"/>
      <c r="AMZ593" s="10"/>
      <c r="ANA593" s="10"/>
      <c r="ANB593" s="10"/>
      <c r="ANC593" s="10"/>
      <c r="AND593" s="10"/>
      <c r="ANE593" s="10"/>
      <c r="ANF593" s="10"/>
      <c r="ANG593" s="10"/>
      <c r="ANH593" s="10"/>
      <c r="ANI593" s="10"/>
      <c r="ANJ593" s="10"/>
      <c r="ANK593" s="10"/>
      <c r="ANL593" s="10"/>
      <c r="ANM593" s="10"/>
      <c r="ANN593" s="10"/>
      <c r="ANO593" s="10"/>
      <c r="ANP593" s="10"/>
      <c r="ANQ593" s="10"/>
      <c r="ANR593" s="10"/>
      <c r="ANS593" s="10"/>
      <c r="ANT593" s="10"/>
      <c r="ANU593" s="10"/>
      <c r="ANV593" s="10"/>
      <c r="ANW593" s="10"/>
      <c r="ANX593" s="10"/>
      <c r="ANY593" s="10"/>
      <c r="ANZ593" s="10"/>
      <c r="AOA593" s="10"/>
      <c r="AOB593" s="10"/>
      <c r="AOC593" s="10"/>
      <c r="AOD593" s="10"/>
      <c r="AOE593" s="10"/>
      <c r="AOF593" s="10"/>
      <c r="AOG593" s="10"/>
      <c r="AOH593" s="10"/>
      <c r="AOI593" s="10"/>
      <c r="AOJ593" s="10"/>
      <c r="AOK593" s="10"/>
      <c r="AOL593" s="10"/>
      <c r="AOM593" s="10"/>
      <c r="AON593" s="10"/>
      <c r="AOO593" s="10"/>
      <c r="AOP593" s="10"/>
      <c r="AOQ593" s="10"/>
      <c r="AOR593" s="10"/>
      <c r="AOS593" s="10"/>
      <c r="AOT593" s="10"/>
      <c r="AOU593" s="10"/>
      <c r="AOV593" s="10"/>
      <c r="AOW593" s="10"/>
      <c r="AOX593" s="10"/>
      <c r="AOY593" s="10"/>
      <c r="AOZ593" s="10"/>
      <c r="APA593" s="10"/>
      <c r="APB593" s="10"/>
      <c r="APC593" s="10"/>
      <c r="APD593" s="10"/>
      <c r="APE593" s="10"/>
      <c r="APF593" s="10"/>
      <c r="APG593" s="10"/>
      <c r="APH593" s="10"/>
      <c r="API593" s="10"/>
      <c r="APJ593" s="10"/>
      <c r="APK593" s="10"/>
      <c r="APL593" s="10"/>
      <c r="APM593" s="10"/>
      <c r="APN593" s="10"/>
      <c r="APO593" s="10"/>
      <c r="APP593" s="10"/>
      <c r="APQ593" s="10"/>
      <c r="APR593" s="10"/>
      <c r="APS593" s="10"/>
      <c r="APT593" s="10"/>
      <c r="APU593" s="10"/>
      <c r="APV593" s="10"/>
      <c r="APW593" s="10"/>
      <c r="APX593" s="10"/>
      <c r="APY593" s="10"/>
      <c r="APZ593" s="10"/>
      <c r="AQA593" s="10"/>
      <c r="AQB593" s="10"/>
      <c r="AQC593" s="10"/>
      <c r="AQD593" s="10"/>
      <c r="AQE593" s="10"/>
      <c r="AQF593" s="10"/>
      <c r="AQG593" s="10"/>
      <c r="AQH593" s="10"/>
      <c r="AQI593" s="10"/>
      <c r="AQJ593" s="10"/>
      <c r="AQK593" s="10"/>
      <c r="AQL593" s="10"/>
      <c r="AQM593" s="10"/>
      <c r="AQN593" s="10"/>
      <c r="AQO593" s="10"/>
      <c r="AQP593" s="10"/>
      <c r="AQQ593" s="10"/>
      <c r="AQR593" s="10"/>
      <c r="AQS593" s="10"/>
      <c r="AQT593" s="10"/>
      <c r="AQU593" s="10"/>
      <c r="AQV593" s="10"/>
      <c r="AQW593" s="10"/>
      <c r="AQX593" s="10"/>
      <c r="AQY593" s="10"/>
      <c r="AQZ593" s="10"/>
      <c r="ARA593" s="10"/>
      <c r="ARB593" s="10"/>
      <c r="ARC593" s="10"/>
      <c r="ARD593" s="10"/>
      <c r="ARE593" s="10"/>
      <c r="ARF593" s="10"/>
      <c r="ARG593" s="10"/>
      <c r="ARH593" s="10"/>
      <c r="ARI593" s="10"/>
      <c r="ARJ593" s="10"/>
      <c r="ARK593" s="10"/>
      <c r="ARL593" s="10"/>
      <c r="ARM593" s="10"/>
      <c r="ARN593" s="10"/>
      <c r="ARO593" s="10"/>
      <c r="ARP593" s="10"/>
      <c r="ARQ593" s="10"/>
      <c r="ARR593" s="10"/>
      <c r="ARS593" s="10"/>
      <c r="ART593" s="10"/>
      <c r="ARU593" s="10"/>
      <c r="ARV593" s="10"/>
      <c r="ARW593" s="10"/>
      <c r="ARX593" s="10"/>
      <c r="ARY593" s="10"/>
      <c r="ARZ593" s="10"/>
      <c r="ASA593" s="10"/>
      <c r="ASB593" s="10"/>
      <c r="ASC593" s="10"/>
      <c r="ASD593" s="10"/>
      <c r="ASE593" s="10"/>
      <c r="ASF593" s="10"/>
      <c r="ASG593" s="10"/>
      <c r="ASH593" s="10"/>
      <c r="ASI593" s="10"/>
      <c r="ASJ593" s="10"/>
      <c r="ASK593" s="10"/>
      <c r="ASL593" s="10"/>
      <c r="ASM593" s="10"/>
      <c r="ASN593" s="10"/>
      <c r="ASO593" s="10"/>
      <c r="ASP593" s="10"/>
      <c r="ASQ593" s="10"/>
      <c r="ASR593" s="10"/>
      <c r="ASS593" s="10"/>
      <c r="AST593" s="10"/>
      <c r="ASU593" s="10"/>
      <c r="ASV593" s="10"/>
      <c r="ASW593" s="10"/>
      <c r="ASX593" s="10"/>
      <c r="ASY593" s="10"/>
      <c r="ASZ593" s="10"/>
      <c r="ATA593" s="10"/>
      <c r="ATB593" s="10"/>
      <c r="ATC593" s="10"/>
      <c r="ATD593" s="10"/>
      <c r="ATE593" s="10"/>
      <c r="ATF593" s="10"/>
      <c r="ATG593" s="10"/>
      <c r="ATH593" s="10"/>
      <c r="ATI593" s="10"/>
      <c r="ATJ593" s="10"/>
      <c r="ATK593" s="10"/>
      <c r="ATL593" s="10"/>
      <c r="ATM593" s="10"/>
      <c r="ATN593" s="10"/>
      <c r="ATO593" s="10"/>
      <c r="ATP593" s="10"/>
      <c r="ATQ593" s="10"/>
      <c r="ATR593" s="10"/>
      <c r="ATS593" s="10"/>
      <c r="ATT593" s="10"/>
      <c r="ATU593" s="10"/>
      <c r="ATV593" s="10"/>
      <c r="ATW593" s="10"/>
      <c r="ATX593" s="10"/>
      <c r="ATY593" s="10"/>
      <c r="ATZ593" s="10"/>
      <c r="AUA593" s="10"/>
      <c r="AUB593" s="10"/>
      <c r="AUC593" s="10"/>
      <c r="AUD593" s="10"/>
      <c r="AUE593" s="10"/>
      <c r="AUF593" s="10"/>
      <c r="AUG593" s="10"/>
      <c r="AUH593" s="10"/>
      <c r="AUI593" s="10"/>
      <c r="AUJ593" s="10"/>
      <c r="AUK593" s="10"/>
      <c r="AUL593" s="10"/>
      <c r="AUM593" s="10"/>
      <c r="AUN593" s="10"/>
      <c r="AUO593" s="10"/>
      <c r="AUP593" s="10"/>
      <c r="AUQ593" s="10"/>
      <c r="AUR593" s="10"/>
      <c r="AUS593" s="10"/>
      <c r="AUT593" s="10"/>
      <c r="AUU593" s="10"/>
      <c r="AUV593" s="10"/>
      <c r="AUW593" s="10"/>
      <c r="AUX593" s="10"/>
      <c r="AUY593" s="10"/>
      <c r="AUZ593" s="10"/>
      <c r="AVA593" s="10"/>
      <c r="AVB593" s="10"/>
      <c r="AVC593" s="10"/>
      <c r="AVD593" s="10"/>
      <c r="AVE593" s="10"/>
      <c r="AVF593" s="10"/>
      <c r="AVG593" s="10"/>
      <c r="AVH593" s="10"/>
      <c r="AVI593" s="10"/>
      <c r="AVJ593" s="10"/>
      <c r="AVK593" s="10"/>
      <c r="AVL593" s="10"/>
      <c r="AVM593" s="10"/>
      <c r="AVN593" s="10"/>
      <c r="AVO593" s="10"/>
      <c r="AVP593" s="10"/>
      <c r="AVQ593" s="10"/>
      <c r="AVR593" s="10"/>
      <c r="AVS593" s="10"/>
      <c r="AVT593" s="10"/>
      <c r="AVU593" s="10"/>
      <c r="AVV593" s="10"/>
      <c r="AVW593" s="10"/>
      <c r="AVX593" s="10"/>
      <c r="AVY593" s="10"/>
      <c r="AVZ593" s="10"/>
      <c r="AWA593" s="10"/>
      <c r="AWB593" s="10"/>
      <c r="AWC593" s="10"/>
      <c r="AWD593" s="10"/>
      <c r="AWE593" s="10"/>
      <c r="AWF593" s="10"/>
      <c r="AWG593" s="10"/>
      <c r="AWH593" s="10"/>
      <c r="AWI593" s="10"/>
      <c r="AWJ593" s="10"/>
      <c r="AWK593" s="10"/>
      <c r="AWL593" s="10"/>
      <c r="AWM593" s="10"/>
      <c r="AWN593" s="10"/>
      <c r="AWO593" s="10"/>
      <c r="AWP593" s="10"/>
      <c r="AWQ593" s="10"/>
      <c r="AWR593" s="10"/>
      <c r="AWS593" s="10"/>
      <c r="AWT593" s="10"/>
      <c r="AWU593" s="10"/>
      <c r="AWV593" s="10"/>
      <c r="AWW593" s="10"/>
      <c r="AWX593" s="10"/>
      <c r="AWY593" s="10"/>
      <c r="AWZ593" s="10"/>
      <c r="AXA593" s="10"/>
      <c r="AXB593" s="10"/>
      <c r="AXC593" s="10"/>
      <c r="AXD593" s="10"/>
      <c r="AXE593" s="10"/>
      <c r="AXF593" s="10"/>
      <c r="AXG593" s="10"/>
      <c r="AXH593" s="10"/>
      <c r="AXI593" s="10"/>
      <c r="AXJ593" s="10"/>
      <c r="AXK593" s="10"/>
      <c r="AXL593" s="10"/>
      <c r="AXM593" s="10"/>
      <c r="AXN593" s="10"/>
      <c r="AXO593" s="10"/>
      <c r="AXP593" s="10"/>
      <c r="AXQ593" s="10"/>
      <c r="AXR593" s="10"/>
      <c r="AXS593" s="10"/>
      <c r="AXT593" s="10"/>
      <c r="AXU593" s="10"/>
      <c r="AXV593" s="10"/>
      <c r="AXW593" s="10"/>
      <c r="AXX593" s="10"/>
      <c r="AXY593" s="10"/>
      <c r="AXZ593" s="10"/>
      <c r="AYA593" s="10"/>
      <c r="AYB593" s="10"/>
      <c r="AYC593" s="10"/>
      <c r="AYD593" s="10"/>
      <c r="AYE593" s="10"/>
      <c r="AYF593" s="10"/>
      <c r="AYG593" s="10"/>
      <c r="AYH593" s="10"/>
      <c r="AYI593" s="10"/>
      <c r="AYJ593" s="10"/>
      <c r="AYK593" s="10"/>
      <c r="AYL593" s="10"/>
      <c r="AYM593" s="10"/>
      <c r="AYN593" s="10"/>
      <c r="AYO593" s="10"/>
      <c r="AYP593" s="10"/>
      <c r="AYQ593" s="10"/>
      <c r="AYR593" s="10"/>
      <c r="AYS593" s="10"/>
      <c r="AYT593" s="10"/>
      <c r="AYU593" s="10"/>
      <c r="AYV593" s="10"/>
      <c r="AYW593" s="10"/>
      <c r="AYX593" s="10"/>
      <c r="AYY593" s="10"/>
      <c r="AYZ593" s="10"/>
      <c r="AZA593" s="10"/>
      <c r="AZB593" s="10"/>
      <c r="AZC593" s="10"/>
      <c r="AZD593" s="10"/>
      <c r="AZE593" s="10"/>
      <c r="AZF593" s="10"/>
      <c r="AZG593" s="10"/>
      <c r="AZH593" s="10"/>
      <c r="AZI593" s="10"/>
      <c r="AZJ593" s="10"/>
      <c r="AZK593" s="10"/>
      <c r="AZL593" s="10"/>
      <c r="AZM593" s="10"/>
      <c r="AZN593" s="10"/>
      <c r="AZO593" s="10"/>
      <c r="AZP593" s="10"/>
      <c r="AZQ593" s="10"/>
      <c r="AZR593" s="10"/>
      <c r="AZS593" s="10"/>
      <c r="AZT593" s="10"/>
      <c r="AZU593" s="10"/>
      <c r="AZV593" s="10"/>
      <c r="AZW593" s="10"/>
      <c r="AZX593" s="10"/>
      <c r="AZY593" s="10"/>
      <c r="AZZ593" s="10"/>
      <c r="BAA593" s="10"/>
      <c r="BAB593" s="10"/>
      <c r="BAC593" s="10"/>
      <c r="BAD593" s="10"/>
      <c r="BAE593" s="10"/>
      <c r="BAF593" s="10"/>
      <c r="BAG593" s="10"/>
      <c r="BAH593" s="10"/>
      <c r="BAI593" s="10"/>
      <c r="BAJ593" s="10"/>
      <c r="BAK593" s="10"/>
      <c r="BAL593" s="10"/>
      <c r="BAM593" s="10"/>
      <c r="BAN593" s="10"/>
      <c r="BAO593" s="10"/>
      <c r="BAP593" s="10"/>
      <c r="BAQ593" s="10"/>
      <c r="BAR593" s="10"/>
      <c r="BAS593" s="10"/>
      <c r="BAT593" s="10"/>
      <c r="BAU593" s="10"/>
      <c r="BAV593" s="10"/>
      <c r="BAW593" s="10"/>
      <c r="BAX593" s="10"/>
      <c r="BAY593" s="10"/>
      <c r="BAZ593" s="10"/>
      <c r="BBA593" s="10"/>
      <c r="BBB593" s="10"/>
      <c r="BBC593" s="10"/>
      <c r="BBD593" s="10"/>
      <c r="BBE593" s="10"/>
      <c r="BBF593" s="10"/>
      <c r="BBG593" s="10"/>
      <c r="BBH593" s="10"/>
      <c r="BBI593" s="10"/>
      <c r="BBJ593" s="10"/>
      <c r="BBK593" s="10"/>
      <c r="BBL593" s="10"/>
      <c r="BBM593" s="10"/>
      <c r="BBN593" s="10"/>
      <c r="BBO593" s="10"/>
      <c r="BBP593" s="10"/>
      <c r="BBQ593" s="10"/>
      <c r="BBR593" s="10"/>
      <c r="BBS593" s="10"/>
      <c r="BBT593" s="10"/>
      <c r="BBU593" s="10"/>
      <c r="BBV593" s="10"/>
      <c r="BBW593" s="10"/>
      <c r="BBX593" s="10"/>
      <c r="BBY593" s="10"/>
      <c r="BBZ593" s="10"/>
      <c r="BCA593" s="10"/>
      <c r="BCB593" s="10"/>
      <c r="BCC593" s="10"/>
      <c r="BCD593" s="10"/>
      <c r="BCE593" s="10"/>
      <c r="BCF593" s="10"/>
      <c r="BCG593" s="10"/>
      <c r="BCH593" s="10"/>
      <c r="BCI593" s="10"/>
      <c r="BCJ593" s="10"/>
      <c r="BCK593" s="10"/>
      <c r="BCL593" s="10"/>
      <c r="BCM593" s="10"/>
      <c r="BCN593" s="10"/>
      <c r="BCO593" s="10"/>
      <c r="BCP593" s="10"/>
      <c r="BCQ593" s="10"/>
      <c r="BCR593" s="10"/>
      <c r="BCS593" s="10"/>
      <c r="BCT593" s="10"/>
      <c r="BCU593" s="10"/>
      <c r="BCV593" s="10"/>
      <c r="BCW593" s="10"/>
      <c r="BCX593" s="10"/>
      <c r="BCY593" s="10"/>
      <c r="BCZ593" s="10"/>
      <c r="BDA593" s="10"/>
      <c r="BDB593" s="10"/>
      <c r="BDC593" s="10"/>
      <c r="BDD593" s="10"/>
      <c r="BDE593" s="10"/>
      <c r="BDF593" s="10"/>
      <c r="BDG593" s="10"/>
      <c r="BDH593" s="10"/>
      <c r="BDI593" s="10"/>
      <c r="BDJ593" s="10"/>
      <c r="BDK593" s="10"/>
      <c r="BDL593" s="10"/>
      <c r="BDM593" s="10"/>
      <c r="BDN593" s="10"/>
      <c r="BDO593" s="10"/>
      <c r="BDP593" s="10"/>
      <c r="BDQ593" s="10"/>
      <c r="BDR593" s="10"/>
      <c r="BDS593" s="10"/>
      <c r="BDT593" s="10"/>
      <c r="BDU593" s="10"/>
      <c r="BDV593" s="10"/>
      <c r="BDW593" s="10"/>
      <c r="BDX593" s="10"/>
      <c r="BDY593" s="10"/>
      <c r="BDZ593" s="10"/>
      <c r="BEA593" s="10"/>
      <c r="BEB593" s="10"/>
      <c r="BEC593" s="10"/>
      <c r="BED593" s="10"/>
      <c r="BEE593" s="10"/>
      <c r="BEF593" s="10"/>
      <c r="BEG593" s="10"/>
      <c r="BEH593" s="10"/>
      <c r="BEI593" s="10"/>
      <c r="BEJ593" s="10"/>
      <c r="BEK593" s="10"/>
      <c r="BEL593" s="10"/>
      <c r="BEM593" s="10"/>
      <c r="BEN593" s="10"/>
      <c r="BEO593" s="10"/>
      <c r="BEP593" s="10"/>
      <c r="BEQ593" s="10"/>
      <c r="BER593" s="10"/>
      <c r="BES593" s="10"/>
      <c r="BET593" s="10"/>
      <c r="BEU593" s="10"/>
      <c r="BEV593" s="10"/>
      <c r="BEW593" s="10"/>
      <c r="BEX593" s="10"/>
      <c r="BEY593" s="10"/>
      <c r="BEZ593" s="10"/>
      <c r="BFA593" s="10"/>
      <c r="BFB593" s="10"/>
      <c r="BFC593" s="10"/>
      <c r="BFD593" s="10"/>
      <c r="BFE593" s="10"/>
      <c r="BFF593" s="10"/>
      <c r="BFG593" s="10"/>
      <c r="BFH593" s="10"/>
      <c r="BFI593" s="10"/>
      <c r="BFJ593" s="10"/>
      <c r="BFK593" s="10"/>
      <c r="BFL593" s="10"/>
      <c r="BFM593" s="10"/>
      <c r="BFN593" s="10"/>
      <c r="BFO593" s="10"/>
      <c r="BFP593" s="10"/>
      <c r="BFQ593" s="10"/>
      <c r="BFR593" s="10"/>
      <c r="BFS593" s="10"/>
      <c r="BFT593" s="10"/>
      <c r="BFU593" s="10"/>
      <c r="BFV593" s="10"/>
      <c r="BFW593" s="10"/>
      <c r="BFX593" s="10"/>
      <c r="BFY593" s="10"/>
      <c r="BFZ593" s="10"/>
      <c r="BGA593" s="10"/>
      <c r="BGB593" s="10"/>
      <c r="BGC593" s="10"/>
      <c r="BGD593" s="10"/>
      <c r="BGE593" s="10"/>
      <c r="BGF593" s="10"/>
      <c r="BGG593" s="10"/>
      <c r="BGH593" s="10"/>
      <c r="BGI593" s="10"/>
      <c r="BGJ593" s="10"/>
      <c r="BGK593" s="10"/>
      <c r="BGL593" s="10"/>
      <c r="BGM593" s="10"/>
      <c r="BGN593" s="10"/>
      <c r="BGO593" s="10"/>
      <c r="BGP593" s="10"/>
      <c r="BGQ593" s="10"/>
      <c r="BGR593" s="10"/>
      <c r="BGS593" s="10"/>
      <c r="BGT593" s="10"/>
      <c r="BGU593" s="10"/>
      <c r="BGV593" s="10"/>
      <c r="BGW593" s="10"/>
      <c r="BGX593" s="10"/>
      <c r="BGY593" s="10"/>
      <c r="BGZ593" s="10"/>
      <c r="BHA593" s="10"/>
      <c r="BHB593" s="10"/>
      <c r="BHC593" s="10"/>
      <c r="BHD593" s="10"/>
      <c r="BHE593" s="10"/>
      <c r="BHF593" s="10"/>
      <c r="BHG593" s="10"/>
      <c r="BHH593" s="10"/>
      <c r="BHI593" s="10"/>
      <c r="BHJ593" s="10"/>
      <c r="BHK593" s="10"/>
      <c r="BHL593" s="10"/>
      <c r="BHM593" s="10"/>
      <c r="BHN593" s="10"/>
      <c r="BHO593" s="10"/>
      <c r="BHP593" s="10"/>
      <c r="BHQ593" s="10"/>
      <c r="BHR593" s="10"/>
      <c r="BHS593" s="10"/>
      <c r="BHT593" s="10"/>
      <c r="BHU593" s="10"/>
      <c r="BHV593" s="10"/>
      <c r="BHW593" s="10"/>
      <c r="BHX593" s="10"/>
      <c r="BHY593" s="10"/>
      <c r="BHZ593" s="10"/>
      <c r="BIA593" s="10"/>
      <c r="BIB593" s="10"/>
      <c r="BIC593" s="10"/>
      <c r="BID593" s="10"/>
      <c r="BIE593" s="10"/>
      <c r="BIF593" s="10"/>
      <c r="BIG593" s="10"/>
      <c r="BIH593" s="10"/>
      <c r="BII593" s="10"/>
      <c r="BIJ593" s="10"/>
      <c r="BIK593" s="10"/>
      <c r="BIL593" s="10"/>
      <c r="BIM593" s="10"/>
      <c r="BIN593" s="10"/>
      <c r="BIO593" s="10"/>
      <c r="BIP593" s="10"/>
      <c r="BIQ593" s="10"/>
      <c r="BIR593" s="10"/>
      <c r="BIS593" s="10"/>
      <c r="BIT593" s="10"/>
      <c r="BIU593" s="10"/>
      <c r="BIV593" s="10"/>
      <c r="BIW593" s="10"/>
      <c r="BIX593" s="10"/>
      <c r="BIY593" s="10"/>
      <c r="BIZ593" s="10"/>
      <c r="BJA593" s="10"/>
      <c r="BJB593" s="10"/>
      <c r="BJC593" s="10"/>
      <c r="BJD593" s="10"/>
      <c r="BJE593" s="10"/>
      <c r="BJF593" s="10"/>
      <c r="BJG593" s="10"/>
      <c r="BJH593" s="10"/>
      <c r="BJI593" s="10"/>
      <c r="BJJ593" s="10"/>
      <c r="BJK593" s="10"/>
      <c r="BJL593" s="10"/>
      <c r="BJM593" s="10"/>
      <c r="BJN593" s="10"/>
      <c r="BJO593" s="10"/>
      <c r="BJP593" s="10"/>
      <c r="BJQ593" s="10"/>
      <c r="BJR593" s="10"/>
      <c r="BJS593" s="10"/>
      <c r="BJT593" s="10"/>
      <c r="BJU593" s="10"/>
      <c r="BJV593" s="10"/>
      <c r="BJW593" s="10"/>
      <c r="BJX593" s="10"/>
      <c r="BJY593" s="10"/>
      <c r="BJZ593" s="10"/>
      <c r="BKA593" s="10"/>
      <c r="BKB593" s="10"/>
      <c r="BKC593" s="10"/>
      <c r="BKD593" s="10"/>
      <c r="BKE593" s="10"/>
      <c r="BKF593" s="10"/>
      <c r="BKG593" s="10"/>
      <c r="BKH593" s="10"/>
      <c r="BKI593" s="10"/>
      <c r="BKJ593" s="10"/>
      <c r="BKK593" s="10"/>
      <c r="BKL593" s="10"/>
      <c r="BKM593" s="10"/>
      <c r="BKN593" s="10"/>
      <c r="BKO593" s="10"/>
      <c r="BKP593" s="10"/>
      <c r="BKQ593" s="10"/>
      <c r="BKR593" s="10"/>
      <c r="BKS593" s="10"/>
      <c r="BKT593" s="10"/>
      <c r="BKU593" s="10"/>
      <c r="BKV593" s="10"/>
      <c r="BKW593" s="10"/>
      <c r="BKX593" s="10"/>
      <c r="BKY593" s="10"/>
      <c r="BKZ593" s="10"/>
      <c r="BLA593" s="10"/>
      <c r="BLB593" s="10"/>
      <c r="BLC593" s="10"/>
      <c r="BLD593" s="10"/>
      <c r="BLE593" s="10"/>
      <c r="BLF593" s="10"/>
      <c r="BLG593" s="10"/>
      <c r="BLH593" s="10"/>
      <c r="BLI593" s="10"/>
      <c r="BLJ593" s="10"/>
      <c r="BLK593" s="10"/>
      <c r="BLL593" s="10"/>
      <c r="BLM593" s="10"/>
      <c r="BLN593" s="10"/>
      <c r="BLO593" s="10"/>
      <c r="BLP593" s="10"/>
      <c r="BLQ593" s="10"/>
      <c r="BLR593" s="10"/>
      <c r="BLS593" s="10"/>
      <c r="BLT593" s="10"/>
      <c r="BLU593" s="10"/>
      <c r="BLV593" s="10"/>
      <c r="BLW593" s="10"/>
      <c r="BLX593" s="10"/>
      <c r="BLY593" s="10"/>
      <c r="BLZ593" s="10"/>
      <c r="BMA593" s="10"/>
      <c r="BMB593" s="10"/>
      <c r="BMC593" s="10"/>
      <c r="BMD593" s="10"/>
      <c r="BME593" s="10"/>
      <c r="BMF593" s="10"/>
      <c r="BMG593" s="10"/>
      <c r="BMH593" s="10"/>
      <c r="BMI593" s="10"/>
      <c r="BMJ593" s="10"/>
      <c r="BMK593" s="10"/>
      <c r="BML593" s="10"/>
      <c r="BMM593" s="10"/>
      <c r="BMN593" s="10"/>
      <c r="BMO593" s="10"/>
      <c r="BMP593" s="10"/>
      <c r="BMQ593" s="10"/>
      <c r="BMR593" s="10"/>
      <c r="BMS593" s="10"/>
      <c r="BMT593" s="10"/>
      <c r="BMU593" s="10"/>
      <c r="BMV593" s="10"/>
      <c r="BMW593" s="10"/>
      <c r="BMX593" s="10"/>
      <c r="BMY593" s="10"/>
      <c r="BMZ593" s="10"/>
      <c r="BNA593" s="10"/>
      <c r="BNB593" s="10"/>
      <c r="BNC593" s="10"/>
      <c r="BND593" s="10"/>
      <c r="BNE593" s="10"/>
      <c r="BNF593" s="10"/>
      <c r="BNG593" s="10"/>
      <c r="BNH593" s="10"/>
      <c r="BNI593" s="10"/>
      <c r="BNJ593" s="10"/>
      <c r="BNK593" s="10"/>
      <c r="BNL593" s="10"/>
      <c r="BNM593" s="10"/>
      <c r="BNN593" s="10"/>
      <c r="BNO593" s="10"/>
      <c r="BNP593" s="10"/>
      <c r="BNQ593" s="10"/>
      <c r="BNR593" s="10"/>
      <c r="BNS593" s="10"/>
      <c r="BNT593" s="10"/>
      <c r="BNU593" s="10"/>
      <c r="BNV593" s="10"/>
      <c r="BNW593" s="10"/>
      <c r="BNX593" s="10"/>
      <c r="BNY593" s="10"/>
      <c r="BNZ593" s="10"/>
      <c r="BOA593" s="10"/>
      <c r="BOB593" s="10"/>
      <c r="BOC593" s="10"/>
      <c r="BOD593" s="10"/>
      <c r="BOE593" s="10"/>
      <c r="BOF593" s="10"/>
      <c r="BOG593" s="10"/>
      <c r="BOH593" s="10"/>
      <c r="BOI593" s="10"/>
      <c r="BOJ593" s="10"/>
      <c r="BOK593" s="10"/>
      <c r="BOL593" s="10"/>
      <c r="BOM593" s="10"/>
      <c r="BON593" s="10"/>
      <c r="BOO593" s="10"/>
      <c r="BOP593" s="10"/>
      <c r="BOQ593" s="10"/>
      <c r="BOR593" s="10"/>
      <c r="BOS593" s="10"/>
      <c r="BOT593" s="10"/>
      <c r="BOU593" s="10"/>
      <c r="BOV593" s="10"/>
      <c r="BOW593" s="10"/>
      <c r="BOX593" s="10"/>
      <c r="BOY593" s="10"/>
      <c r="BOZ593" s="10"/>
      <c r="BPA593" s="10"/>
      <c r="BPB593" s="10"/>
      <c r="BPC593" s="10"/>
      <c r="BPD593" s="10"/>
      <c r="BPE593" s="10"/>
      <c r="BPF593" s="10"/>
      <c r="BPG593" s="10"/>
      <c r="BPH593" s="10"/>
      <c r="BPI593" s="10"/>
      <c r="BPJ593" s="10"/>
      <c r="BPK593" s="10"/>
      <c r="BPL593" s="10"/>
      <c r="BPM593" s="10"/>
      <c r="BPN593" s="10"/>
      <c r="BPO593" s="10"/>
      <c r="BPP593" s="10"/>
      <c r="BPQ593" s="10"/>
      <c r="BPR593" s="10"/>
      <c r="BPS593" s="10"/>
      <c r="BPT593" s="10"/>
      <c r="BPU593" s="10"/>
      <c r="BPV593" s="10"/>
      <c r="BPW593" s="10"/>
      <c r="BPX593" s="10"/>
      <c r="BPY593" s="10"/>
      <c r="BPZ593" s="10"/>
      <c r="BQA593" s="10"/>
      <c r="BQB593" s="10"/>
      <c r="BQC593" s="10"/>
      <c r="BQD593" s="10"/>
      <c r="BQE593" s="10"/>
      <c r="BQF593" s="10"/>
      <c r="BQG593" s="10"/>
      <c r="BQH593" s="10"/>
      <c r="BQI593" s="10"/>
      <c r="BQJ593" s="10"/>
      <c r="BQK593" s="10"/>
      <c r="BQL593" s="10"/>
      <c r="BQM593" s="10"/>
      <c r="BQN593" s="10"/>
      <c r="BQO593" s="10"/>
      <c r="BQP593" s="10"/>
      <c r="BQQ593" s="10"/>
      <c r="BQR593" s="10"/>
      <c r="BQS593" s="10"/>
      <c r="BQT593" s="10"/>
      <c r="BQU593" s="10"/>
      <c r="BQV593" s="10"/>
      <c r="BQW593" s="10"/>
      <c r="BQX593" s="10"/>
      <c r="BQY593" s="10"/>
      <c r="BQZ593" s="10"/>
      <c r="BRA593" s="10"/>
      <c r="BRB593" s="10"/>
      <c r="BRC593" s="10"/>
      <c r="BRD593" s="10"/>
      <c r="BRE593" s="10"/>
      <c r="BRF593" s="10"/>
      <c r="BRG593" s="10"/>
      <c r="BRH593" s="10"/>
      <c r="BRI593" s="10"/>
      <c r="BRJ593" s="10"/>
      <c r="BRK593" s="10"/>
      <c r="BRL593" s="10"/>
      <c r="BRM593" s="10"/>
      <c r="BRN593" s="10"/>
      <c r="BRO593" s="10"/>
      <c r="BRP593" s="10"/>
      <c r="BRQ593" s="10"/>
      <c r="BRR593" s="10"/>
      <c r="BRS593" s="10"/>
      <c r="BRT593" s="10"/>
      <c r="BRU593" s="10"/>
      <c r="BRV593" s="10"/>
      <c r="BRW593" s="10"/>
      <c r="BRX593" s="10"/>
      <c r="BRY593" s="10"/>
      <c r="BRZ593" s="10"/>
      <c r="BSA593" s="10"/>
      <c r="BSB593" s="10"/>
      <c r="BSC593" s="10"/>
      <c r="BSD593" s="10"/>
      <c r="BSE593" s="10"/>
      <c r="BSF593" s="10"/>
      <c r="BSG593" s="10"/>
      <c r="BSH593" s="10"/>
      <c r="BSI593" s="10"/>
      <c r="BSJ593" s="10"/>
      <c r="BSK593" s="10"/>
      <c r="BSL593" s="10"/>
      <c r="BSM593" s="10"/>
      <c r="BSN593" s="10"/>
      <c r="BSO593" s="10"/>
      <c r="BSP593" s="10"/>
      <c r="BSQ593" s="10"/>
      <c r="BSR593" s="10"/>
      <c r="BSS593" s="10"/>
      <c r="BST593" s="10"/>
      <c r="BSU593" s="10"/>
      <c r="BSV593" s="10"/>
      <c r="BSW593" s="10"/>
      <c r="BSX593" s="10"/>
      <c r="BSY593" s="10"/>
      <c r="BSZ593" s="10"/>
      <c r="BTA593" s="10"/>
      <c r="BTB593" s="10"/>
      <c r="BTC593" s="10"/>
      <c r="BTD593" s="10"/>
      <c r="BTE593" s="10"/>
      <c r="BTF593" s="10"/>
      <c r="BTG593" s="10"/>
      <c r="BTH593" s="10"/>
      <c r="BTI593" s="10"/>
      <c r="BTJ593" s="10"/>
      <c r="BTK593" s="10"/>
      <c r="BTL593" s="10"/>
      <c r="BTM593" s="10"/>
      <c r="BTN593" s="10"/>
      <c r="BTO593" s="10"/>
      <c r="BTP593" s="10"/>
      <c r="BTQ593" s="10"/>
      <c r="BTR593" s="10"/>
      <c r="BTS593" s="10"/>
      <c r="BTT593" s="10"/>
    </row>
    <row r="594" spans="1:1892" s="10" customFormat="1" ht="35.1" customHeight="1">
      <c r="A594" s="1462"/>
      <c r="B594" s="940" t="s">
        <v>51</v>
      </c>
      <c r="C594" s="1199" t="s">
        <v>54</v>
      </c>
      <c r="D594" s="701" t="s">
        <v>616</v>
      </c>
      <c r="E594" s="702"/>
      <c r="F594" s="703"/>
      <c r="G594" s="1220" t="s">
        <v>54</v>
      </c>
      <c r="H594" s="1221"/>
      <c r="I594" s="1222"/>
      <c r="J594" s="699" t="s">
        <v>11</v>
      </c>
      <c r="K594" s="699" t="s">
        <v>12</v>
      </c>
      <c r="L594" s="131">
        <v>84.93</v>
      </c>
      <c r="M594" s="267">
        <v>148</v>
      </c>
      <c r="N594" s="404">
        <v>0</v>
      </c>
      <c r="O594" s="404">
        <v>0</v>
      </c>
      <c r="P594" s="1674" t="s">
        <v>989</v>
      </c>
      <c r="Q594" s="1674" t="s">
        <v>990</v>
      </c>
      <c r="R594" s="1674" t="s">
        <v>436</v>
      </c>
      <c r="S594" s="1678" t="s">
        <v>57</v>
      </c>
      <c r="T594" s="1472" t="s">
        <v>189</v>
      </c>
      <c r="U594" s="1624" t="s">
        <v>11</v>
      </c>
    </row>
    <row r="595" spans="1:1892" s="10" customFormat="1" ht="35.1" customHeight="1">
      <c r="A595" s="1462"/>
      <c r="B595" s="941"/>
      <c r="C595" s="1200"/>
      <c r="D595" s="704"/>
      <c r="E595" s="705"/>
      <c r="F595" s="706"/>
      <c r="G595" s="1223"/>
      <c r="H595" s="1224"/>
      <c r="I595" s="1225"/>
      <c r="J595" s="1040"/>
      <c r="K595" s="1040"/>
      <c r="L595" s="131">
        <v>84.98</v>
      </c>
      <c r="M595" s="267">
        <v>148</v>
      </c>
      <c r="N595" s="404">
        <v>0</v>
      </c>
      <c r="O595" s="404">
        <v>0</v>
      </c>
      <c r="P595" s="1675"/>
      <c r="Q595" s="1675"/>
      <c r="R595" s="1675"/>
      <c r="S595" s="1679"/>
      <c r="T595" s="1473"/>
      <c r="U595" s="1625"/>
    </row>
    <row r="596" spans="1:1892" s="10" customFormat="1" ht="35.1" customHeight="1">
      <c r="A596" s="1462"/>
      <c r="B596" s="941"/>
      <c r="C596" s="1200"/>
      <c r="D596" s="704"/>
      <c r="E596" s="705"/>
      <c r="F596" s="706"/>
      <c r="G596" s="1226"/>
      <c r="H596" s="1227"/>
      <c r="I596" s="1228"/>
      <c r="J596" s="700"/>
      <c r="K596" s="700"/>
      <c r="L596" s="131">
        <v>142.15</v>
      </c>
      <c r="M596" s="267">
        <v>3</v>
      </c>
      <c r="N596" s="404">
        <v>3</v>
      </c>
      <c r="O596" s="404">
        <v>3</v>
      </c>
      <c r="P596" s="1675"/>
      <c r="Q596" s="1675"/>
      <c r="R596" s="1675"/>
      <c r="S596" s="1679"/>
      <c r="T596" s="1473"/>
      <c r="U596" s="1625"/>
    </row>
    <row r="597" spans="1:1892" s="10" customFormat="1" ht="35.1" customHeight="1">
      <c r="A597" s="1462"/>
      <c r="B597" s="941"/>
      <c r="C597" s="1201"/>
      <c r="D597" s="707"/>
      <c r="E597" s="708"/>
      <c r="F597" s="709"/>
      <c r="G597" s="490" t="s">
        <v>329</v>
      </c>
      <c r="H597" s="491"/>
      <c r="I597" s="491"/>
      <c r="J597" s="491"/>
      <c r="K597" s="492"/>
      <c r="L597" s="133"/>
      <c r="M597" s="251">
        <f>SUM(M594:M596)</f>
        <v>299</v>
      </c>
      <c r="N597" s="400">
        <f>SUM(N594:N596)</f>
        <v>3</v>
      </c>
      <c r="O597" s="400">
        <f>SUM(O594:O596)</f>
        <v>3</v>
      </c>
      <c r="P597" s="1676"/>
      <c r="Q597" s="1676"/>
      <c r="R597" s="1676"/>
      <c r="S597" s="1680"/>
      <c r="T597" s="1474"/>
      <c r="U597" s="1626"/>
    </row>
    <row r="598" spans="1:1892" s="10" customFormat="1" ht="35.1" customHeight="1">
      <c r="A598" s="1462"/>
      <c r="B598" s="941"/>
      <c r="C598" s="1199" t="s">
        <v>54</v>
      </c>
      <c r="D598" s="701" t="s">
        <v>616</v>
      </c>
      <c r="E598" s="702"/>
      <c r="F598" s="703"/>
      <c r="G598" s="1238" t="s">
        <v>54</v>
      </c>
      <c r="H598" s="1239"/>
      <c r="I598" s="1240"/>
      <c r="J598" s="937" t="s">
        <v>11</v>
      </c>
      <c r="K598" s="937" t="s">
        <v>12</v>
      </c>
      <c r="L598" s="150">
        <v>84.98</v>
      </c>
      <c r="M598" s="221">
        <v>62</v>
      </c>
      <c r="N598" s="248">
        <v>0</v>
      </c>
      <c r="O598" s="248">
        <v>0</v>
      </c>
      <c r="P598" s="886" t="s">
        <v>442</v>
      </c>
      <c r="Q598" s="470" t="s">
        <v>538</v>
      </c>
      <c r="R598" s="473" t="s">
        <v>542</v>
      </c>
      <c r="S598" s="473" t="s">
        <v>13</v>
      </c>
      <c r="T598" s="1639" t="s">
        <v>54</v>
      </c>
      <c r="U598" s="473" t="s">
        <v>67</v>
      </c>
    </row>
    <row r="599" spans="1:1892" s="10" customFormat="1" ht="35.1" customHeight="1">
      <c r="A599" s="1462"/>
      <c r="B599" s="941"/>
      <c r="C599" s="1200"/>
      <c r="D599" s="704"/>
      <c r="E599" s="705"/>
      <c r="F599" s="706"/>
      <c r="G599" s="1241"/>
      <c r="H599" s="1242"/>
      <c r="I599" s="1243"/>
      <c r="J599" s="938"/>
      <c r="K599" s="938"/>
      <c r="L599" s="150">
        <v>84.98</v>
      </c>
      <c r="M599" s="221">
        <v>178</v>
      </c>
      <c r="N599" s="248">
        <v>0</v>
      </c>
      <c r="O599" s="248">
        <v>0</v>
      </c>
      <c r="P599" s="887"/>
      <c r="Q599" s="471"/>
      <c r="R599" s="474"/>
      <c r="S599" s="474"/>
      <c r="T599" s="1640"/>
      <c r="U599" s="474"/>
    </row>
    <row r="600" spans="1:1892" s="10" customFormat="1" ht="35.1" customHeight="1">
      <c r="A600" s="1462"/>
      <c r="B600" s="941"/>
      <c r="C600" s="1200"/>
      <c r="D600" s="704"/>
      <c r="E600" s="705"/>
      <c r="F600" s="706"/>
      <c r="G600" s="1244"/>
      <c r="H600" s="1245"/>
      <c r="I600" s="1246"/>
      <c r="J600" s="939"/>
      <c r="K600" s="939"/>
      <c r="L600" s="150">
        <v>84.99</v>
      </c>
      <c r="M600" s="221">
        <v>107</v>
      </c>
      <c r="N600" s="248">
        <v>0</v>
      </c>
      <c r="O600" s="248">
        <v>0</v>
      </c>
      <c r="P600" s="887"/>
      <c r="Q600" s="471"/>
      <c r="R600" s="474"/>
      <c r="S600" s="474"/>
      <c r="T600" s="1640"/>
      <c r="U600" s="474"/>
    </row>
    <row r="601" spans="1:1892" s="10" customFormat="1" ht="35.1" customHeight="1">
      <c r="A601" s="1462"/>
      <c r="B601" s="941"/>
      <c r="C601" s="1201"/>
      <c r="D601" s="707"/>
      <c r="E601" s="708"/>
      <c r="F601" s="709"/>
      <c r="G601" s="490" t="s">
        <v>329</v>
      </c>
      <c r="H601" s="491"/>
      <c r="I601" s="491"/>
      <c r="J601" s="491"/>
      <c r="K601" s="492"/>
      <c r="L601" s="139"/>
      <c r="M601" s="249">
        <f>SUM(M598:M600)</f>
        <v>347</v>
      </c>
      <c r="N601" s="246">
        <f>SUM(N598:N600)</f>
        <v>0</v>
      </c>
      <c r="O601" s="246">
        <f>SUM(O598:O600)</f>
        <v>0</v>
      </c>
      <c r="P601" s="888"/>
      <c r="Q601" s="472"/>
      <c r="R601" s="475"/>
      <c r="S601" s="475"/>
      <c r="T601" s="1641"/>
      <c r="U601" s="475"/>
    </row>
    <row r="602" spans="1:1892" s="10" customFormat="1" ht="35.1" customHeight="1">
      <c r="A602" s="1462"/>
      <c r="B602" s="941"/>
      <c r="C602" s="639" t="s">
        <v>189</v>
      </c>
      <c r="D602" s="588" t="s">
        <v>617</v>
      </c>
      <c r="E602" s="589"/>
      <c r="F602" s="590"/>
      <c r="G602" s="1238" t="s">
        <v>54</v>
      </c>
      <c r="H602" s="1239"/>
      <c r="I602" s="1240"/>
      <c r="J602" s="937" t="s">
        <v>11</v>
      </c>
      <c r="K602" s="937" t="s">
        <v>12</v>
      </c>
      <c r="L602" s="150">
        <v>84.936000000000007</v>
      </c>
      <c r="M602" s="221">
        <v>267</v>
      </c>
      <c r="N602" s="129">
        <v>121</v>
      </c>
      <c r="O602" s="129">
        <v>87</v>
      </c>
      <c r="P602" s="886" t="s">
        <v>442</v>
      </c>
      <c r="Q602" s="886" t="s">
        <v>538</v>
      </c>
      <c r="R602" s="886" t="s">
        <v>725</v>
      </c>
      <c r="S602" s="1639" t="s">
        <v>13</v>
      </c>
      <c r="T602" s="473" t="s">
        <v>189</v>
      </c>
      <c r="U602" s="1639" t="s">
        <v>11</v>
      </c>
    </row>
    <row r="603" spans="1:1892" s="10" customFormat="1" ht="35.1" customHeight="1">
      <c r="A603" s="1462"/>
      <c r="B603" s="941"/>
      <c r="C603" s="640"/>
      <c r="D603" s="591"/>
      <c r="E603" s="592"/>
      <c r="F603" s="593"/>
      <c r="G603" s="1241"/>
      <c r="H603" s="1242"/>
      <c r="I603" s="1243"/>
      <c r="J603" s="938"/>
      <c r="K603" s="938"/>
      <c r="L603" s="150">
        <v>84.98</v>
      </c>
      <c r="M603" s="221">
        <v>267</v>
      </c>
      <c r="N603" s="129">
        <v>178</v>
      </c>
      <c r="O603" s="129">
        <v>136</v>
      </c>
      <c r="P603" s="887"/>
      <c r="Q603" s="887"/>
      <c r="R603" s="887"/>
      <c r="S603" s="1640"/>
      <c r="T603" s="474"/>
      <c r="U603" s="1640"/>
    </row>
    <row r="604" spans="1:1892" s="10" customFormat="1" ht="35.1" customHeight="1">
      <c r="A604" s="1462"/>
      <c r="B604" s="941"/>
      <c r="C604" s="640"/>
      <c r="D604" s="591"/>
      <c r="E604" s="592"/>
      <c r="F604" s="593"/>
      <c r="G604" s="1241"/>
      <c r="H604" s="1242"/>
      <c r="I604" s="1243"/>
      <c r="J604" s="938"/>
      <c r="K604" s="938"/>
      <c r="L604" s="150">
        <v>84.956999999999994</v>
      </c>
      <c r="M604" s="221">
        <v>224</v>
      </c>
      <c r="N604" s="129">
        <v>149</v>
      </c>
      <c r="O604" s="129">
        <v>137</v>
      </c>
      <c r="P604" s="887"/>
      <c r="Q604" s="887"/>
      <c r="R604" s="887"/>
      <c r="S604" s="1640"/>
      <c r="T604" s="474"/>
      <c r="U604" s="1640"/>
    </row>
    <row r="605" spans="1:1892" s="10" customFormat="1" ht="35.1" customHeight="1">
      <c r="A605" s="1462"/>
      <c r="B605" s="941"/>
      <c r="C605" s="640"/>
      <c r="D605" s="591"/>
      <c r="E605" s="592"/>
      <c r="F605" s="593"/>
      <c r="G605" s="1244"/>
      <c r="H605" s="1245"/>
      <c r="I605" s="1246"/>
      <c r="J605" s="939"/>
      <c r="K605" s="939"/>
      <c r="L605" s="150">
        <v>122.45</v>
      </c>
      <c r="M605" s="221">
        <v>43</v>
      </c>
      <c r="N605" s="129">
        <v>1</v>
      </c>
      <c r="O605" s="129">
        <v>1</v>
      </c>
      <c r="P605" s="887"/>
      <c r="Q605" s="887"/>
      <c r="R605" s="887"/>
      <c r="S605" s="1640"/>
      <c r="T605" s="474"/>
      <c r="U605" s="1640"/>
    </row>
    <row r="606" spans="1:1892" s="10" customFormat="1" ht="35.1" customHeight="1">
      <c r="A606" s="1462"/>
      <c r="B606" s="941"/>
      <c r="C606" s="641"/>
      <c r="D606" s="594"/>
      <c r="E606" s="595"/>
      <c r="F606" s="596"/>
      <c r="G606" s="490" t="s">
        <v>329</v>
      </c>
      <c r="H606" s="491"/>
      <c r="I606" s="491"/>
      <c r="J606" s="491"/>
      <c r="K606" s="492"/>
      <c r="L606" s="149"/>
      <c r="M606" s="313">
        <f>SUM(M602:M605)</f>
        <v>801</v>
      </c>
      <c r="N606" s="405">
        <f>SUM(N602:N605)</f>
        <v>449</v>
      </c>
      <c r="O606" s="405">
        <f>SUM(O602:O605)</f>
        <v>361</v>
      </c>
      <c r="P606" s="888"/>
      <c r="Q606" s="888"/>
      <c r="R606" s="888"/>
      <c r="S606" s="1641"/>
      <c r="T606" s="475"/>
      <c r="U606" s="1641"/>
    </row>
    <row r="607" spans="1:1892" s="10" customFormat="1" ht="35.1" customHeight="1">
      <c r="A607" s="1462"/>
      <c r="B607" s="941"/>
      <c r="C607" s="1733" t="s">
        <v>976</v>
      </c>
      <c r="D607" s="1229" t="s">
        <v>616</v>
      </c>
      <c r="E607" s="1230"/>
      <c r="F607" s="1231"/>
      <c r="G607" s="1608" t="s">
        <v>617</v>
      </c>
      <c r="H607" s="1609"/>
      <c r="I607" s="1610"/>
      <c r="J607" s="1599" t="s">
        <v>11</v>
      </c>
      <c r="K607" s="1599" t="s">
        <v>12</v>
      </c>
      <c r="L607" s="331">
        <v>59.987000000000002</v>
      </c>
      <c r="M607" s="129">
        <v>297</v>
      </c>
      <c r="N607" s="129">
        <v>14</v>
      </c>
      <c r="O607" s="129">
        <v>10</v>
      </c>
      <c r="P607" s="774" t="s">
        <v>938</v>
      </c>
      <c r="Q607" s="774" t="s">
        <v>774</v>
      </c>
      <c r="R607" s="774" t="s">
        <v>502</v>
      </c>
      <c r="S607" s="675" t="s">
        <v>13</v>
      </c>
      <c r="T607" s="675" t="s">
        <v>189</v>
      </c>
      <c r="U607" s="675" t="s">
        <v>11</v>
      </c>
    </row>
    <row r="608" spans="1:1892" s="10" customFormat="1" ht="35.1" customHeight="1">
      <c r="A608" s="1462"/>
      <c r="B608" s="941"/>
      <c r="C608" s="1734"/>
      <c r="D608" s="1232"/>
      <c r="E608" s="1233"/>
      <c r="F608" s="1234"/>
      <c r="G608" s="1611"/>
      <c r="H608" s="1612"/>
      <c r="I608" s="1613"/>
      <c r="J608" s="1600"/>
      <c r="K608" s="1600"/>
      <c r="L608" s="331">
        <v>59.987000000000002</v>
      </c>
      <c r="M608" s="129">
        <v>70</v>
      </c>
      <c r="N608" s="129">
        <v>4</v>
      </c>
      <c r="O608" s="129">
        <v>4</v>
      </c>
      <c r="P608" s="775"/>
      <c r="Q608" s="775"/>
      <c r="R608" s="775"/>
      <c r="S608" s="676"/>
      <c r="T608" s="676"/>
      <c r="U608" s="676"/>
    </row>
    <row r="609" spans="1:21" s="10" customFormat="1" ht="35.1" customHeight="1">
      <c r="A609" s="1462"/>
      <c r="B609" s="941"/>
      <c r="C609" s="1734"/>
      <c r="D609" s="1232"/>
      <c r="E609" s="1233"/>
      <c r="F609" s="1234"/>
      <c r="G609" s="1611"/>
      <c r="H609" s="1612"/>
      <c r="I609" s="1613"/>
      <c r="J609" s="1600"/>
      <c r="K609" s="1600"/>
      <c r="L609" s="331">
        <v>84.788399999999996</v>
      </c>
      <c r="M609" s="129">
        <v>476</v>
      </c>
      <c r="N609" s="129">
        <v>329</v>
      </c>
      <c r="O609" s="129">
        <v>323</v>
      </c>
      <c r="P609" s="775"/>
      <c r="Q609" s="775"/>
      <c r="R609" s="775"/>
      <c r="S609" s="676"/>
      <c r="T609" s="676"/>
      <c r="U609" s="676"/>
    </row>
    <row r="610" spans="1:21" s="10" customFormat="1" ht="35.1" customHeight="1">
      <c r="A610" s="1462"/>
      <c r="B610" s="941"/>
      <c r="C610" s="1734"/>
      <c r="D610" s="1232"/>
      <c r="E610" s="1233"/>
      <c r="F610" s="1234"/>
      <c r="G610" s="1611"/>
      <c r="H610" s="1612"/>
      <c r="I610" s="1613"/>
      <c r="J610" s="1600"/>
      <c r="K610" s="1600"/>
      <c r="L610" s="331">
        <v>84.997</v>
      </c>
      <c r="M610" s="129">
        <v>106</v>
      </c>
      <c r="N610" s="129">
        <v>18</v>
      </c>
      <c r="O610" s="129">
        <v>17</v>
      </c>
      <c r="P610" s="775"/>
      <c r="Q610" s="775"/>
      <c r="R610" s="775"/>
      <c r="S610" s="676"/>
      <c r="T610" s="676"/>
      <c r="U610" s="676"/>
    </row>
    <row r="611" spans="1:21" s="10" customFormat="1" ht="35.1" customHeight="1">
      <c r="A611" s="1462"/>
      <c r="B611" s="941"/>
      <c r="C611" s="1734"/>
      <c r="D611" s="1232"/>
      <c r="E611" s="1233"/>
      <c r="F611" s="1234"/>
      <c r="G611" s="1614"/>
      <c r="H611" s="1615"/>
      <c r="I611" s="1616"/>
      <c r="J611" s="1601"/>
      <c r="K611" s="1601"/>
      <c r="L611" s="333">
        <v>84.966499999999996</v>
      </c>
      <c r="M611" s="129">
        <v>60</v>
      </c>
      <c r="N611" s="129">
        <v>24</v>
      </c>
      <c r="O611" s="129">
        <v>24</v>
      </c>
      <c r="P611" s="775"/>
      <c r="Q611" s="775"/>
      <c r="R611" s="775"/>
      <c r="S611" s="676"/>
      <c r="T611" s="676"/>
      <c r="U611" s="676"/>
    </row>
    <row r="612" spans="1:21" s="10" customFormat="1" ht="35.1" customHeight="1">
      <c r="A612" s="1462"/>
      <c r="B612" s="941"/>
      <c r="C612" s="1735"/>
      <c r="D612" s="1235"/>
      <c r="E612" s="1236"/>
      <c r="F612" s="1237"/>
      <c r="G612" s="1247" t="s">
        <v>977</v>
      </c>
      <c r="H612" s="1248"/>
      <c r="I612" s="1248"/>
      <c r="J612" s="1248"/>
      <c r="K612" s="1248"/>
      <c r="L612" s="1249"/>
      <c r="M612" s="315">
        <f>SUM(M607:M611)</f>
        <v>1009</v>
      </c>
      <c r="N612" s="315">
        <f>SUM(N607:N611)</f>
        <v>389</v>
      </c>
      <c r="O612" s="315">
        <f>SUM(O607:O611)</f>
        <v>378</v>
      </c>
      <c r="P612" s="776"/>
      <c r="Q612" s="776"/>
      <c r="R612" s="776"/>
      <c r="S612" s="677"/>
      <c r="T612" s="677"/>
      <c r="U612" s="677"/>
    </row>
    <row r="613" spans="1:21" s="10" customFormat="1" ht="35.1" customHeight="1">
      <c r="A613" s="1462"/>
      <c r="B613" s="941"/>
      <c r="C613" s="639" t="s">
        <v>189</v>
      </c>
      <c r="D613" s="588" t="s">
        <v>617</v>
      </c>
      <c r="E613" s="589"/>
      <c r="F613" s="590"/>
      <c r="G613" s="518" t="s">
        <v>189</v>
      </c>
      <c r="H613" s="519"/>
      <c r="I613" s="520"/>
      <c r="J613" s="798" t="s">
        <v>11</v>
      </c>
      <c r="K613" s="798" t="s">
        <v>12</v>
      </c>
      <c r="L613" s="312">
        <v>84.978399999999993</v>
      </c>
      <c r="M613" s="129">
        <v>168</v>
      </c>
      <c r="N613" s="129">
        <v>100</v>
      </c>
      <c r="O613" s="129">
        <v>45</v>
      </c>
      <c r="P613" s="470" t="s">
        <v>517</v>
      </c>
      <c r="Q613" s="719" t="s">
        <v>938</v>
      </c>
      <c r="R613" s="719" t="s">
        <v>991</v>
      </c>
      <c r="S613" s="728" t="s">
        <v>13</v>
      </c>
      <c r="T613" s="473"/>
      <c r="U613" s="728" t="s">
        <v>11</v>
      </c>
    </row>
    <row r="614" spans="1:21" s="10" customFormat="1" ht="35.1" customHeight="1">
      <c r="A614" s="1462"/>
      <c r="B614" s="941"/>
      <c r="C614" s="640"/>
      <c r="D614" s="591"/>
      <c r="E614" s="592"/>
      <c r="F614" s="593"/>
      <c r="G614" s="521"/>
      <c r="H614" s="522"/>
      <c r="I614" s="523"/>
      <c r="J614" s="799"/>
      <c r="K614" s="799"/>
      <c r="L614" s="312">
        <v>84.991</v>
      </c>
      <c r="M614" s="129">
        <v>66</v>
      </c>
      <c r="N614" s="129">
        <v>50</v>
      </c>
      <c r="O614" s="129">
        <v>46</v>
      </c>
      <c r="P614" s="471"/>
      <c r="Q614" s="720"/>
      <c r="R614" s="720"/>
      <c r="S614" s="729"/>
      <c r="T614" s="474"/>
      <c r="U614" s="729"/>
    </row>
    <row r="615" spans="1:21" s="10" customFormat="1" ht="35.1" customHeight="1">
      <c r="A615" s="1462"/>
      <c r="B615" s="941"/>
      <c r="C615" s="640"/>
      <c r="D615" s="591"/>
      <c r="E615" s="592"/>
      <c r="F615" s="593"/>
      <c r="G615" s="521"/>
      <c r="H615" s="522"/>
      <c r="I615" s="523"/>
      <c r="J615" s="799"/>
      <c r="K615" s="799"/>
      <c r="L615" s="312">
        <v>102.7011</v>
      </c>
      <c r="M615" s="129">
        <v>18</v>
      </c>
      <c r="N615" s="129">
        <v>14</v>
      </c>
      <c r="O615" s="129">
        <v>13</v>
      </c>
      <c r="P615" s="471"/>
      <c r="Q615" s="720"/>
      <c r="R615" s="720"/>
      <c r="S615" s="729"/>
      <c r="T615" s="474"/>
      <c r="U615" s="729"/>
    </row>
    <row r="616" spans="1:21" s="10" customFormat="1" ht="35.1" customHeight="1">
      <c r="A616" s="1462"/>
      <c r="B616" s="941"/>
      <c r="C616" s="640"/>
      <c r="D616" s="591"/>
      <c r="E616" s="592"/>
      <c r="F616" s="593"/>
      <c r="G616" s="521"/>
      <c r="H616" s="522"/>
      <c r="I616" s="523"/>
      <c r="J616" s="799"/>
      <c r="K616" s="799"/>
      <c r="L616" s="312">
        <v>116.72969999999999</v>
      </c>
      <c r="M616" s="129">
        <v>61</v>
      </c>
      <c r="N616" s="129">
        <v>59</v>
      </c>
      <c r="O616" s="129">
        <v>59</v>
      </c>
      <c r="P616" s="471"/>
      <c r="Q616" s="720"/>
      <c r="R616" s="720"/>
      <c r="S616" s="729"/>
      <c r="T616" s="474"/>
      <c r="U616" s="729"/>
    </row>
    <row r="617" spans="1:21" s="10" customFormat="1" ht="35.1" customHeight="1">
      <c r="A617" s="1462"/>
      <c r="B617" s="941"/>
      <c r="C617" s="640"/>
      <c r="D617" s="591"/>
      <c r="E617" s="592"/>
      <c r="F617" s="593"/>
      <c r="G617" s="524"/>
      <c r="H617" s="525"/>
      <c r="I617" s="526"/>
      <c r="J617" s="800"/>
      <c r="K617" s="800"/>
      <c r="L617" s="312">
        <v>118.1152</v>
      </c>
      <c r="M617" s="129">
        <v>42</v>
      </c>
      <c r="N617" s="129">
        <v>31</v>
      </c>
      <c r="O617" s="129">
        <v>30</v>
      </c>
      <c r="P617" s="471"/>
      <c r="Q617" s="720"/>
      <c r="R617" s="720"/>
      <c r="S617" s="729"/>
      <c r="T617" s="474"/>
      <c r="U617" s="729"/>
    </row>
    <row r="618" spans="1:21" s="10" customFormat="1" ht="35.1" customHeight="1">
      <c r="A618" s="1462"/>
      <c r="B618" s="941"/>
      <c r="C618" s="641"/>
      <c r="D618" s="594"/>
      <c r="E618" s="595"/>
      <c r="F618" s="596"/>
      <c r="G618" s="490" t="s">
        <v>329</v>
      </c>
      <c r="H618" s="491"/>
      <c r="I618" s="491"/>
      <c r="J618" s="491"/>
      <c r="K618" s="492"/>
      <c r="L618" s="133"/>
      <c r="M618" s="252">
        <f>SUM(M613:M617)</f>
        <v>355</v>
      </c>
      <c r="N618" s="400">
        <f>SUM(N613:N617)</f>
        <v>254</v>
      </c>
      <c r="O618" s="400">
        <f>SUM(O613:O617)</f>
        <v>193</v>
      </c>
      <c r="P618" s="472"/>
      <c r="Q618" s="721"/>
      <c r="R618" s="721"/>
      <c r="S618" s="730"/>
      <c r="T618" s="475"/>
      <c r="U618" s="730"/>
    </row>
    <row r="619" spans="1:21" s="10" customFormat="1" ht="35.1" customHeight="1">
      <c r="A619" s="1462"/>
      <c r="B619" s="941"/>
      <c r="C619" s="639" t="s">
        <v>189</v>
      </c>
      <c r="D619" s="588" t="s">
        <v>617</v>
      </c>
      <c r="E619" s="589"/>
      <c r="F619" s="590"/>
      <c r="G619" s="731" t="s">
        <v>189</v>
      </c>
      <c r="H619" s="732"/>
      <c r="I619" s="733"/>
      <c r="J619" s="937" t="s">
        <v>11</v>
      </c>
      <c r="K619" s="937" t="s">
        <v>12</v>
      </c>
      <c r="L619" s="268">
        <v>84.903599999999997</v>
      </c>
      <c r="M619" s="228">
        <v>319</v>
      </c>
      <c r="N619" s="127">
        <v>0</v>
      </c>
      <c r="O619" s="127">
        <v>0</v>
      </c>
      <c r="P619" s="719" t="s">
        <v>992</v>
      </c>
      <c r="Q619" s="719" t="s">
        <v>444</v>
      </c>
      <c r="R619" s="719" t="s">
        <v>993</v>
      </c>
      <c r="S619" s="728" t="s">
        <v>13</v>
      </c>
      <c r="T619" s="473" t="s">
        <v>189</v>
      </c>
      <c r="U619" s="1639" t="s">
        <v>11</v>
      </c>
    </row>
    <row r="620" spans="1:21" s="10" customFormat="1" ht="35.1" customHeight="1">
      <c r="A620" s="1462"/>
      <c r="B620" s="941"/>
      <c r="C620" s="640"/>
      <c r="D620" s="591"/>
      <c r="E620" s="592"/>
      <c r="F620" s="593"/>
      <c r="G620" s="734"/>
      <c r="H620" s="735"/>
      <c r="I620" s="736"/>
      <c r="J620" s="938"/>
      <c r="K620" s="938"/>
      <c r="L620" s="268">
        <v>84.902100000000004</v>
      </c>
      <c r="M620" s="228">
        <v>286</v>
      </c>
      <c r="N620" s="127">
        <v>0</v>
      </c>
      <c r="O620" s="127">
        <v>1</v>
      </c>
      <c r="P620" s="720"/>
      <c r="Q620" s="720"/>
      <c r="R620" s="720"/>
      <c r="S620" s="729"/>
      <c r="T620" s="474"/>
      <c r="U620" s="1640"/>
    </row>
    <row r="621" spans="1:21" s="10" customFormat="1" ht="35.1" customHeight="1">
      <c r="A621" s="1462"/>
      <c r="B621" s="941"/>
      <c r="C621" s="640"/>
      <c r="D621" s="591"/>
      <c r="E621" s="592"/>
      <c r="F621" s="593"/>
      <c r="G621" s="734"/>
      <c r="H621" s="735"/>
      <c r="I621" s="736"/>
      <c r="J621" s="938"/>
      <c r="K621" s="938"/>
      <c r="L621" s="268">
        <v>84.763099999999994</v>
      </c>
      <c r="M621" s="228">
        <v>41</v>
      </c>
      <c r="N621" s="127">
        <v>0</v>
      </c>
      <c r="O621" s="127">
        <v>0</v>
      </c>
      <c r="P621" s="720"/>
      <c r="Q621" s="720"/>
      <c r="R621" s="720"/>
      <c r="S621" s="729"/>
      <c r="T621" s="474"/>
      <c r="U621" s="1640"/>
    </row>
    <row r="622" spans="1:21" s="10" customFormat="1" ht="35.1" customHeight="1">
      <c r="A622" s="1462"/>
      <c r="B622" s="941"/>
      <c r="C622" s="640"/>
      <c r="D622" s="591"/>
      <c r="E622" s="592"/>
      <c r="F622" s="593"/>
      <c r="G622" s="737"/>
      <c r="H622" s="738"/>
      <c r="I622" s="739"/>
      <c r="J622" s="939"/>
      <c r="K622" s="939"/>
      <c r="L622" s="268">
        <v>115.1395</v>
      </c>
      <c r="M622" s="228">
        <v>60</v>
      </c>
      <c r="N622" s="127">
        <v>0</v>
      </c>
      <c r="O622" s="127">
        <v>0</v>
      </c>
      <c r="P622" s="720"/>
      <c r="Q622" s="720"/>
      <c r="R622" s="720"/>
      <c r="S622" s="729"/>
      <c r="T622" s="474"/>
      <c r="U622" s="1640"/>
    </row>
    <row r="623" spans="1:21" s="10" customFormat="1" ht="35.1" customHeight="1">
      <c r="A623" s="1462"/>
      <c r="B623" s="941"/>
      <c r="C623" s="641"/>
      <c r="D623" s="594"/>
      <c r="E623" s="595"/>
      <c r="F623" s="596"/>
      <c r="G623" s="490" t="s">
        <v>329</v>
      </c>
      <c r="H623" s="491"/>
      <c r="I623" s="491"/>
      <c r="J623" s="491"/>
      <c r="K623" s="492"/>
      <c r="L623" s="185"/>
      <c r="M623" s="259">
        <f>SUM(M619:M622)</f>
        <v>706</v>
      </c>
      <c r="N623" s="260">
        <f>SUM(N619:N622)</f>
        <v>0</v>
      </c>
      <c r="O623" s="260">
        <f>SUM(O619:O622)</f>
        <v>1</v>
      </c>
      <c r="P623" s="721"/>
      <c r="Q623" s="721"/>
      <c r="R623" s="721"/>
      <c r="S623" s="730"/>
      <c r="T623" s="475"/>
      <c r="U623" s="1641"/>
    </row>
    <row r="624" spans="1:21" s="10" customFormat="1" ht="35.1" customHeight="1">
      <c r="A624" s="1462"/>
      <c r="B624" s="941"/>
      <c r="C624" s="639" t="s">
        <v>189</v>
      </c>
      <c r="D624" s="588" t="s">
        <v>616</v>
      </c>
      <c r="E624" s="589"/>
      <c r="F624" s="590"/>
      <c r="G624" s="731" t="s">
        <v>189</v>
      </c>
      <c r="H624" s="732"/>
      <c r="I624" s="733"/>
      <c r="J624" s="1217" t="s">
        <v>11</v>
      </c>
      <c r="K624" s="1217" t="s">
        <v>12</v>
      </c>
      <c r="L624" s="150">
        <v>84</v>
      </c>
      <c r="M624" s="221">
        <v>339</v>
      </c>
      <c r="N624" s="127">
        <v>35</v>
      </c>
      <c r="O624" s="127">
        <v>34</v>
      </c>
      <c r="P624" s="1630" t="s">
        <v>659</v>
      </c>
      <c r="Q624" s="722" t="s">
        <v>994</v>
      </c>
      <c r="R624" s="722" t="s">
        <v>995</v>
      </c>
      <c r="S624" s="1639" t="s">
        <v>13</v>
      </c>
      <c r="T624" s="473" t="s">
        <v>189</v>
      </c>
      <c r="U624" s="1639" t="s">
        <v>11</v>
      </c>
    </row>
    <row r="625" spans="1:21" s="10" customFormat="1" ht="35.1" customHeight="1">
      <c r="A625" s="1462"/>
      <c r="B625" s="941"/>
      <c r="C625" s="640"/>
      <c r="D625" s="591"/>
      <c r="E625" s="592"/>
      <c r="F625" s="593"/>
      <c r="G625" s="734"/>
      <c r="H625" s="735"/>
      <c r="I625" s="736"/>
      <c r="J625" s="1218"/>
      <c r="K625" s="1218"/>
      <c r="L625" s="150">
        <v>84</v>
      </c>
      <c r="M625" s="221">
        <v>76</v>
      </c>
      <c r="N625" s="127">
        <v>31</v>
      </c>
      <c r="O625" s="127">
        <v>29</v>
      </c>
      <c r="P625" s="1631"/>
      <c r="Q625" s="723"/>
      <c r="R625" s="723"/>
      <c r="S625" s="1640"/>
      <c r="T625" s="474"/>
      <c r="U625" s="1640"/>
    </row>
    <row r="626" spans="1:21" s="10" customFormat="1" ht="35.1" customHeight="1">
      <c r="A626" s="1462"/>
      <c r="B626" s="941"/>
      <c r="C626" s="640"/>
      <c r="D626" s="591"/>
      <c r="E626" s="592"/>
      <c r="F626" s="593"/>
      <c r="G626" s="734"/>
      <c r="H626" s="735"/>
      <c r="I626" s="736"/>
      <c r="J626" s="1218"/>
      <c r="K626" s="1218"/>
      <c r="L626" s="150">
        <v>84</v>
      </c>
      <c r="M626" s="221">
        <v>64</v>
      </c>
      <c r="N626" s="127">
        <v>6</v>
      </c>
      <c r="O626" s="127">
        <v>5</v>
      </c>
      <c r="P626" s="1631"/>
      <c r="Q626" s="723"/>
      <c r="R626" s="723"/>
      <c r="S626" s="1640"/>
      <c r="T626" s="474"/>
      <c r="U626" s="1640"/>
    </row>
    <row r="627" spans="1:21" s="10" customFormat="1" ht="35.1" customHeight="1">
      <c r="A627" s="1462"/>
      <c r="B627" s="941"/>
      <c r="C627" s="640"/>
      <c r="D627" s="591"/>
      <c r="E627" s="592"/>
      <c r="F627" s="593"/>
      <c r="G627" s="737"/>
      <c r="H627" s="738"/>
      <c r="I627" s="739"/>
      <c r="J627" s="1219"/>
      <c r="K627" s="1219"/>
      <c r="L627" s="150">
        <v>84</v>
      </c>
      <c r="M627" s="221">
        <v>192</v>
      </c>
      <c r="N627" s="127">
        <v>22</v>
      </c>
      <c r="O627" s="127">
        <v>22</v>
      </c>
      <c r="P627" s="1631"/>
      <c r="Q627" s="723"/>
      <c r="R627" s="723"/>
      <c r="S627" s="1640"/>
      <c r="T627" s="474"/>
      <c r="U627" s="1640"/>
    </row>
    <row r="628" spans="1:21" s="10" customFormat="1" ht="35.1" customHeight="1">
      <c r="A628" s="1462"/>
      <c r="B628" s="941"/>
      <c r="C628" s="641"/>
      <c r="D628" s="594"/>
      <c r="E628" s="595"/>
      <c r="F628" s="596"/>
      <c r="G628" s="490" t="s">
        <v>329</v>
      </c>
      <c r="H628" s="491"/>
      <c r="I628" s="491"/>
      <c r="J628" s="491"/>
      <c r="K628" s="492"/>
      <c r="L628" s="186"/>
      <c r="M628" s="249">
        <f>SUM(M624:M627)</f>
        <v>671</v>
      </c>
      <c r="N628" s="246">
        <f>SUM(N624:N627)</f>
        <v>94</v>
      </c>
      <c r="O628" s="246">
        <f>SUM(O624:O627)</f>
        <v>90</v>
      </c>
      <c r="P628" s="1632"/>
      <c r="Q628" s="724"/>
      <c r="R628" s="724"/>
      <c r="S628" s="1641"/>
      <c r="T628" s="475"/>
      <c r="U628" s="1641"/>
    </row>
    <row r="629" spans="1:21" s="10" customFormat="1" ht="35.1" customHeight="1">
      <c r="A629" s="1462"/>
      <c r="B629" s="941"/>
      <c r="C629" s="639" t="s">
        <v>189</v>
      </c>
      <c r="D629" s="588" t="s">
        <v>617</v>
      </c>
      <c r="E629" s="589"/>
      <c r="F629" s="590"/>
      <c r="G629" s="1268" t="s">
        <v>189</v>
      </c>
      <c r="H629" s="1269"/>
      <c r="I629" s="1270"/>
      <c r="J629" s="1217" t="s">
        <v>11</v>
      </c>
      <c r="K629" s="1217" t="s">
        <v>12</v>
      </c>
      <c r="L629" s="187">
        <v>74.170199999999994</v>
      </c>
      <c r="M629" s="228">
        <v>31</v>
      </c>
      <c r="N629" s="332">
        <v>0</v>
      </c>
      <c r="O629" s="332">
        <v>0</v>
      </c>
      <c r="P629" s="886" t="s">
        <v>659</v>
      </c>
      <c r="Q629" s="886" t="s">
        <v>652</v>
      </c>
      <c r="R629" s="886" t="s">
        <v>996</v>
      </c>
      <c r="S629" s="1639" t="s">
        <v>13</v>
      </c>
      <c r="T629" s="473" t="s">
        <v>189</v>
      </c>
      <c r="U629" s="1639" t="s">
        <v>11</v>
      </c>
    </row>
    <row r="630" spans="1:21" s="10" customFormat="1" ht="35.1" customHeight="1">
      <c r="A630" s="1462"/>
      <c r="B630" s="941"/>
      <c r="C630" s="640"/>
      <c r="D630" s="591"/>
      <c r="E630" s="592"/>
      <c r="F630" s="593"/>
      <c r="G630" s="1596"/>
      <c r="H630" s="1597"/>
      <c r="I630" s="1598"/>
      <c r="J630" s="1218"/>
      <c r="K630" s="1218"/>
      <c r="L630" s="187">
        <v>84.8078</v>
      </c>
      <c r="M630" s="228">
        <v>50</v>
      </c>
      <c r="N630" s="332">
        <v>0</v>
      </c>
      <c r="O630" s="332">
        <v>0</v>
      </c>
      <c r="P630" s="887"/>
      <c r="Q630" s="887"/>
      <c r="R630" s="887"/>
      <c r="S630" s="1640"/>
      <c r="T630" s="474"/>
      <c r="U630" s="1640"/>
    </row>
    <row r="631" spans="1:21" s="10" customFormat="1" ht="35.1" customHeight="1">
      <c r="A631" s="1462"/>
      <c r="B631" s="941"/>
      <c r="C631" s="640"/>
      <c r="D631" s="591"/>
      <c r="E631" s="592"/>
      <c r="F631" s="593"/>
      <c r="G631" s="1596"/>
      <c r="H631" s="1597"/>
      <c r="I631" s="1598"/>
      <c r="J631" s="1218"/>
      <c r="K631" s="1218"/>
      <c r="L631" s="187" t="s">
        <v>657</v>
      </c>
      <c r="M631" s="228">
        <v>59</v>
      </c>
      <c r="N631" s="332">
        <v>0</v>
      </c>
      <c r="O631" s="332">
        <v>0</v>
      </c>
      <c r="P631" s="887"/>
      <c r="Q631" s="887"/>
      <c r="R631" s="887"/>
      <c r="S631" s="1640"/>
      <c r="T631" s="474"/>
      <c r="U631" s="1640"/>
    </row>
    <row r="632" spans="1:21" s="10" customFormat="1" ht="35.1" customHeight="1">
      <c r="A632" s="1462"/>
      <c r="B632" s="941"/>
      <c r="C632" s="640"/>
      <c r="D632" s="591"/>
      <c r="E632" s="592"/>
      <c r="F632" s="593"/>
      <c r="G632" s="1596"/>
      <c r="H632" s="1597"/>
      <c r="I632" s="1598"/>
      <c r="J632" s="1218"/>
      <c r="K632" s="1218"/>
      <c r="L632" s="187">
        <v>126.98609999999999</v>
      </c>
      <c r="M632" s="228">
        <v>3</v>
      </c>
      <c r="N632" s="332">
        <v>0</v>
      </c>
      <c r="O632" s="332">
        <v>0</v>
      </c>
      <c r="P632" s="887"/>
      <c r="Q632" s="887"/>
      <c r="R632" s="887"/>
      <c r="S632" s="1640"/>
      <c r="T632" s="474"/>
      <c r="U632" s="1640"/>
    </row>
    <row r="633" spans="1:21" s="10" customFormat="1" ht="35.1" customHeight="1">
      <c r="A633" s="1462"/>
      <c r="B633" s="941"/>
      <c r="C633" s="640"/>
      <c r="D633" s="591"/>
      <c r="E633" s="592"/>
      <c r="F633" s="593"/>
      <c r="G633" s="1271"/>
      <c r="H633" s="1272"/>
      <c r="I633" s="1273"/>
      <c r="J633" s="1219"/>
      <c r="K633" s="1219"/>
      <c r="L633" s="187">
        <v>136.66630000000001</v>
      </c>
      <c r="M633" s="228">
        <v>3</v>
      </c>
      <c r="N633" s="332">
        <v>0</v>
      </c>
      <c r="O633" s="332">
        <v>0</v>
      </c>
      <c r="P633" s="887"/>
      <c r="Q633" s="887"/>
      <c r="R633" s="887"/>
      <c r="S633" s="1640"/>
      <c r="T633" s="474"/>
      <c r="U633" s="1640"/>
    </row>
    <row r="634" spans="1:21" s="10" customFormat="1" ht="35.1" customHeight="1">
      <c r="A634" s="1462"/>
      <c r="B634" s="941"/>
      <c r="C634" s="641"/>
      <c r="D634" s="594"/>
      <c r="E634" s="595"/>
      <c r="F634" s="596"/>
      <c r="G634" s="490" t="s">
        <v>329</v>
      </c>
      <c r="H634" s="491"/>
      <c r="I634" s="491"/>
      <c r="J634" s="491"/>
      <c r="K634" s="492"/>
      <c r="L634" s="345"/>
      <c r="M634" s="249">
        <f>SUM(M629:M633)</f>
        <v>146</v>
      </c>
      <c r="N634" s="246">
        <f>SUM(N629:N633)</f>
        <v>0</v>
      </c>
      <c r="O634" s="246">
        <f>SUM(O629:O633)</f>
        <v>0</v>
      </c>
      <c r="P634" s="888"/>
      <c r="Q634" s="888"/>
      <c r="R634" s="888"/>
      <c r="S634" s="1641"/>
      <c r="T634" s="475"/>
      <c r="U634" s="1641"/>
    </row>
    <row r="635" spans="1:21" s="10" customFormat="1" ht="35.1" customHeight="1">
      <c r="A635" s="1462"/>
      <c r="B635" s="941"/>
      <c r="C635" s="639" t="s">
        <v>189</v>
      </c>
      <c r="D635" s="588" t="s">
        <v>617</v>
      </c>
      <c r="E635" s="589"/>
      <c r="F635" s="590"/>
      <c r="G635" s="1268" t="s">
        <v>189</v>
      </c>
      <c r="H635" s="1269"/>
      <c r="I635" s="1270"/>
      <c r="J635" s="1217" t="s">
        <v>11</v>
      </c>
      <c r="K635" s="1217" t="s">
        <v>12</v>
      </c>
      <c r="L635" s="187">
        <v>60.827100000000002</v>
      </c>
      <c r="M635" s="228">
        <v>29</v>
      </c>
      <c r="N635" s="132">
        <v>0</v>
      </c>
      <c r="O635" s="132">
        <v>0</v>
      </c>
      <c r="P635" s="886" t="s">
        <v>651</v>
      </c>
      <c r="Q635" s="886" t="s">
        <v>652</v>
      </c>
      <c r="R635" s="886" t="s">
        <v>996</v>
      </c>
      <c r="S635" s="1639" t="s">
        <v>13</v>
      </c>
      <c r="T635" s="473" t="s">
        <v>189</v>
      </c>
      <c r="U635" s="1639" t="s">
        <v>11</v>
      </c>
    </row>
    <row r="636" spans="1:21" s="10" customFormat="1" ht="35.1" customHeight="1">
      <c r="A636" s="1462"/>
      <c r="B636" s="941"/>
      <c r="C636" s="640"/>
      <c r="D636" s="591"/>
      <c r="E636" s="592"/>
      <c r="F636" s="593"/>
      <c r="G636" s="1596"/>
      <c r="H636" s="1597"/>
      <c r="I636" s="1598"/>
      <c r="J636" s="1218"/>
      <c r="K636" s="1218"/>
      <c r="L636" s="187" t="s">
        <v>658</v>
      </c>
      <c r="M636" s="228">
        <v>34</v>
      </c>
      <c r="N636" s="132">
        <v>0</v>
      </c>
      <c r="O636" s="132">
        <v>0</v>
      </c>
      <c r="P636" s="887"/>
      <c r="Q636" s="887"/>
      <c r="R636" s="887"/>
      <c r="S636" s="1640"/>
      <c r="T636" s="474"/>
      <c r="U636" s="1640"/>
    </row>
    <row r="637" spans="1:21" s="10" customFormat="1" ht="35.1" customHeight="1">
      <c r="A637" s="1462"/>
      <c r="B637" s="941"/>
      <c r="C637" s="640"/>
      <c r="D637" s="591"/>
      <c r="E637" s="592"/>
      <c r="F637" s="593"/>
      <c r="G637" s="1596"/>
      <c r="H637" s="1597"/>
      <c r="I637" s="1598"/>
      <c r="J637" s="1218"/>
      <c r="K637" s="1218"/>
      <c r="L637" s="187">
        <v>74.170199999999994</v>
      </c>
      <c r="M637" s="228">
        <v>60</v>
      </c>
      <c r="N637" s="132">
        <v>0</v>
      </c>
      <c r="O637" s="132">
        <v>0</v>
      </c>
      <c r="P637" s="887"/>
      <c r="Q637" s="887"/>
      <c r="R637" s="887"/>
      <c r="S637" s="1640"/>
      <c r="T637" s="474"/>
      <c r="U637" s="1640"/>
    </row>
    <row r="638" spans="1:21" s="10" customFormat="1" ht="35.1" customHeight="1">
      <c r="A638" s="1462"/>
      <c r="B638" s="941"/>
      <c r="C638" s="640"/>
      <c r="D638" s="591"/>
      <c r="E638" s="592"/>
      <c r="F638" s="593"/>
      <c r="G638" s="1596"/>
      <c r="H638" s="1597"/>
      <c r="I638" s="1598"/>
      <c r="J638" s="1218"/>
      <c r="K638" s="1218"/>
      <c r="L638" s="187">
        <v>84.8078</v>
      </c>
      <c r="M638" s="228">
        <v>26</v>
      </c>
      <c r="N638" s="132">
        <v>0</v>
      </c>
      <c r="O638" s="132">
        <v>0</v>
      </c>
      <c r="P638" s="887"/>
      <c r="Q638" s="887"/>
      <c r="R638" s="887"/>
      <c r="S638" s="1640"/>
      <c r="T638" s="474"/>
      <c r="U638" s="1640"/>
    </row>
    <row r="639" spans="1:21" s="10" customFormat="1" ht="35.1" customHeight="1">
      <c r="A639" s="1462"/>
      <c r="B639" s="941"/>
      <c r="C639" s="640"/>
      <c r="D639" s="591"/>
      <c r="E639" s="592"/>
      <c r="F639" s="593"/>
      <c r="G639" s="1596"/>
      <c r="H639" s="1597"/>
      <c r="I639" s="1598"/>
      <c r="J639" s="1218"/>
      <c r="K639" s="1218"/>
      <c r="L639" s="187" t="s">
        <v>657</v>
      </c>
      <c r="M639" s="228">
        <v>17</v>
      </c>
      <c r="N639" s="132">
        <v>0</v>
      </c>
      <c r="O639" s="132">
        <v>0</v>
      </c>
      <c r="P639" s="887"/>
      <c r="Q639" s="887"/>
      <c r="R639" s="887"/>
      <c r="S639" s="1640"/>
      <c r="T639" s="474"/>
      <c r="U639" s="1640"/>
    </row>
    <row r="640" spans="1:21" s="10" customFormat="1" ht="35.1" customHeight="1">
      <c r="A640" s="1462"/>
      <c r="B640" s="941"/>
      <c r="C640" s="640"/>
      <c r="D640" s="591"/>
      <c r="E640" s="592"/>
      <c r="F640" s="593"/>
      <c r="G640" s="1596"/>
      <c r="H640" s="1597"/>
      <c r="I640" s="1598"/>
      <c r="J640" s="1218"/>
      <c r="K640" s="1218"/>
      <c r="L640" s="187">
        <v>127.7919</v>
      </c>
      <c r="M640" s="228">
        <v>1</v>
      </c>
      <c r="N640" s="132">
        <v>0</v>
      </c>
      <c r="O640" s="132">
        <v>0</v>
      </c>
      <c r="P640" s="887"/>
      <c r="Q640" s="887"/>
      <c r="R640" s="887"/>
      <c r="S640" s="1640"/>
      <c r="T640" s="474"/>
      <c r="U640" s="1640"/>
    </row>
    <row r="641" spans="1:1892" s="10" customFormat="1" ht="35.1" customHeight="1">
      <c r="A641" s="1462"/>
      <c r="B641" s="941"/>
      <c r="C641" s="640"/>
      <c r="D641" s="591"/>
      <c r="E641" s="592"/>
      <c r="F641" s="593"/>
      <c r="G641" s="1271"/>
      <c r="H641" s="1272"/>
      <c r="I641" s="1273"/>
      <c r="J641" s="1219"/>
      <c r="K641" s="1219"/>
      <c r="L641" s="187">
        <v>136.66630000000001</v>
      </c>
      <c r="M641" s="228">
        <v>1</v>
      </c>
      <c r="N641" s="132">
        <v>0</v>
      </c>
      <c r="O641" s="132">
        <v>0</v>
      </c>
      <c r="P641" s="887"/>
      <c r="Q641" s="887"/>
      <c r="R641" s="887"/>
      <c r="S641" s="1640"/>
      <c r="T641" s="474"/>
      <c r="U641" s="1640"/>
    </row>
    <row r="642" spans="1:1892" s="10" customFormat="1" ht="35.1" customHeight="1">
      <c r="A642" s="1462"/>
      <c r="B642" s="941"/>
      <c r="C642" s="641"/>
      <c r="D642" s="594"/>
      <c r="E642" s="595"/>
      <c r="F642" s="596"/>
      <c r="G642" s="490" t="s">
        <v>329</v>
      </c>
      <c r="H642" s="491"/>
      <c r="I642" s="491"/>
      <c r="J642" s="491"/>
      <c r="K642" s="492"/>
      <c r="L642" s="345"/>
      <c r="M642" s="249">
        <f>SUM(M635:M641)</f>
        <v>168</v>
      </c>
      <c r="N642" s="246">
        <f>SUM(N635:N641)</f>
        <v>0</v>
      </c>
      <c r="O642" s="246">
        <f>SUM(O635:O641)</f>
        <v>0</v>
      </c>
      <c r="P642" s="888"/>
      <c r="Q642" s="888"/>
      <c r="R642" s="888"/>
      <c r="S642" s="1641"/>
      <c r="T642" s="475"/>
      <c r="U642" s="1641"/>
    </row>
    <row r="643" spans="1:1892" s="10" customFormat="1" ht="35.1" customHeight="1">
      <c r="A643" s="1462"/>
      <c r="B643" s="941"/>
      <c r="C643" s="639" t="s">
        <v>189</v>
      </c>
      <c r="D643" s="588" t="s">
        <v>617</v>
      </c>
      <c r="E643" s="589"/>
      <c r="F643" s="590"/>
      <c r="G643" s="1268" t="s">
        <v>189</v>
      </c>
      <c r="H643" s="1269"/>
      <c r="I643" s="1270"/>
      <c r="J643" s="1217" t="s">
        <v>11</v>
      </c>
      <c r="K643" s="1217" t="s">
        <v>12</v>
      </c>
      <c r="L643" s="187">
        <v>59.7622</v>
      </c>
      <c r="M643" s="228">
        <v>387</v>
      </c>
      <c r="N643" s="127">
        <v>3</v>
      </c>
      <c r="O643" s="127">
        <v>1</v>
      </c>
      <c r="P643" s="725" t="s">
        <v>652</v>
      </c>
      <c r="Q643" s="725" t="s">
        <v>435</v>
      </c>
      <c r="R643" s="725" t="s">
        <v>502</v>
      </c>
      <c r="S643" s="1188" t="s">
        <v>13</v>
      </c>
      <c r="T643" s="639" t="s">
        <v>54</v>
      </c>
      <c r="U643" s="1188" t="s">
        <v>11</v>
      </c>
    </row>
    <row r="644" spans="1:1892" s="10" customFormat="1" ht="35.1" customHeight="1">
      <c r="A644" s="1462"/>
      <c r="B644" s="941"/>
      <c r="C644" s="640"/>
      <c r="D644" s="591"/>
      <c r="E644" s="592"/>
      <c r="F644" s="593"/>
      <c r="G644" s="1271"/>
      <c r="H644" s="1272"/>
      <c r="I644" s="1273"/>
      <c r="J644" s="1219"/>
      <c r="K644" s="1219"/>
      <c r="L644" s="187">
        <v>59.748399999999997</v>
      </c>
      <c r="M644" s="228">
        <v>136</v>
      </c>
      <c r="N644" s="127">
        <v>2</v>
      </c>
      <c r="O644" s="127">
        <v>1</v>
      </c>
      <c r="P644" s="726"/>
      <c r="Q644" s="726"/>
      <c r="R644" s="726"/>
      <c r="S644" s="1189"/>
      <c r="T644" s="640"/>
      <c r="U644" s="1189"/>
    </row>
    <row r="645" spans="1:1892" s="10" customFormat="1" ht="35.1" customHeight="1">
      <c r="A645" s="1462"/>
      <c r="B645" s="942"/>
      <c r="C645" s="641"/>
      <c r="D645" s="594"/>
      <c r="E645" s="595"/>
      <c r="F645" s="596"/>
      <c r="G645" s="490" t="s">
        <v>329</v>
      </c>
      <c r="H645" s="491"/>
      <c r="I645" s="491"/>
      <c r="J645" s="491"/>
      <c r="K645" s="492"/>
      <c r="L645" s="345"/>
      <c r="M645" s="249">
        <f>SUM(M643:M644)</f>
        <v>523</v>
      </c>
      <c r="N645" s="246">
        <f>SUM(N643:N644)</f>
        <v>5</v>
      </c>
      <c r="O645" s="246">
        <f>SUM(O643:O644)</f>
        <v>2</v>
      </c>
      <c r="P645" s="727"/>
      <c r="Q645" s="727"/>
      <c r="R645" s="727"/>
      <c r="S645" s="1190"/>
      <c r="T645" s="641"/>
      <c r="U645" s="1190"/>
    </row>
    <row r="646" spans="1:1892" s="9" customFormat="1" ht="35.1" customHeight="1">
      <c r="A646" s="1462"/>
      <c r="B646" s="777" t="s">
        <v>105</v>
      </c>
      <c r="C646" s="778"/>
      <c r="D646" s="778"/>
      <c r="E646" s="778"/>
      <c r="F646" s="778"/>
      <c r="G646" s="778"/>
      <c r="H646" s="778"/>
      <c r="I646" s="778"/>
      <c r="J646" s="778"/>
      <c r="K646" s="779"/>
      <c r="L646" s="122"/>
      <c r="M646" s="254">
        <f>M597+M601+M606+M612+M618+M623+M628+M634+M642+M645</f>
        <v>5025</v>
      </c>
      <c r="N646" s="254">
        <f t="shared" ref="N646:O646" si="34">N597+N601+N606+N612+N618+N623+N628+N634+N642+N645</f>
        <v>1194</v>
      </c>
      <c r="O646" s="254">
        <f t="shared" si="34"/>
        <v>1028</v>
      </c>
      <c r="P646" s="161"/>
      <c r="Q646" s="161"/>
      <c r="R646" s="161"/>
      <c r="S646" s="156"/>
      <c r="T646" s="125"/>
      <c r="U646" s="156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  <c r="EF646" s="10"/>
      <c r="EG646" s="10"/>
      <c r="EH646" s="10"/>
      <c r="EI646" s="10"/>
      <c r="EJ646" s="10"/>
      <c r="EK646" s="10"/>
      <c r="EL646" s="10"/>
      <c r="EM646" s="10"/>
      <c r="EN646" s="10"/>
      <c r="EO646" s="10"/>
      <c r="EP646" s="10"/>
      <c r="EQ646" s="10"/>
      <c r="ER646" s="10"/>
      <c r="ES646" s="10"/>
      <c r="ET646" s="10"/>
      <c r="EU646" s="10"/>
      <c r="EV646" s="10"/>
      <c r="EW646" s="10"/>
      <c r="EX646" s="10"/>
      <c r="EY646" s="10"/>
      <c r="EZ646" s="10"/>
      <c r="FA646" s="10"/>
      <c r="FB646" s="10"/>
      <c r="FC646" s="10"/>
      <c r="FD646" s="10"/>
      <c r="FE646" s="10"/>
      <c r="FF646" s="10"/>
      <c r="FG646" s="10"/>
      <c r="FH646" s="10"/>
      <c r="FI646" s="10"/>
      <c r="FJ646" s="10"/>
      <c r="FK646" s="10"/>
      <c r="FL646" s="10"/>
      <c r="FM646" s="10"/>
      <c r="FN646" s="10"/>
      <c r="FO646" s="10"/>
      <c r="FP646" s="10"/>
      <c r="FQ646" s="10"/>
      <c r="FR646" s="10"/>
      <c r="FS646" s="10"/>
      <c r="FT646" s="10"/>
      <c r="FU646" s="10"/>
      <c r="FV646" s="10"/>
      <c r="FW646" s="10"/>
      <c r="FX646" s="10"/>
      <c r="FY646" s="10"/>
      <c r="FZ646" s="10"/>
      <c r="GA646" s="10"/>
      <c r="GB646" s="10"/>
      <c r="GC646" s="10"/>
      <c r="GD646" s="10"/>
      <c r="GE646" s="10"/>
      <c r="GF646" s="10"/>
      <c r="GG646" s="10"/>
      <c r="GH646" s="10"/>
      <c r="GI646" s="10"/>
      <c r="GJ646" s="10"/>
      <c r="GK646" s="10"/>
      <c r="GL646" s="10"/>
      <c r="GM646" s="10"/>
      <c r="GN646" s="10"/>
      <c r="GO646" s="10"/>
      <c r="GP646" s="10"/>
      <c r="GQ646" s="10"/>
      <c r="GR646" s="10"/>
      <c r="GS646" s="10"/>
      <c r="GT646" s="10"/>
      <c r="GU646" s="10"/>
      <c r="GV646" s="10"/>
      <c r="GW646" s="10"/>
      <c r="GX646" s="10"/>
      <c r="GY646" s="10"/>
      <c r="GZ646" s="10"/>
      <c r="HA646" s="10"/>
      <c r="HB646" s="10"/>
      <c r="HC646" s="10"/>
      <c r="HD646" s="10"/>
      <c r="HE646" s="10"/>
      <c r="HF646" s="10"/>
      <c r="HG646" s="10"/>
      <c r="HH646" s="10"/>
      <c r="HI646" s="10"/>
      <c r="HJ646" s="10"/>
      <c r="HK646" s="10"/>
      <c r="HL646" s="10"/>
      <c r="HM646" s="10"/>
      <c r="HN646" s="10"/>
      <c r="HO646" s="10"/>
      <c r="HP646" s="10"/>
      <c r="HQ646" s="10"/>
      <c r="HR646" s="10"/>
      <c r="HS646" s="10"/>
      <c r="HT646" s="10"/>
      <c r="HU646" s="10"/>
      <c r="HV646" s="10"/>
      <c r="HW646" s="10"/>
      <c r="HX646" s="10"/>
      <c r="HY646" s="10"/>
      <c r="HZ646" s="10"/>
      <c r="IA646" s="10"/>
      <c r="IB646" s="10"/>
      <c r="IC646" s="10"/>
      <c r="ID646" s="10"/>
      <c r="IE646" s="10"/>
      <c r="IF646" s="10"/>
      <c r="IG646" s="10"/>
      <c r="IH646" s="10"/>
      <c r="II646" s="10"/>
      <c r="IJ646" s="10"/>
      <c r="IK646" s="10"/>
      <c r="IL646" s="10"/>
      <c r="IM646" s="10"/>
      <c r="IN646" s="10"/>
      <c r="IO646" s="10"/>
      <c r="IP646" s="10"/>
      <c r="IQ646" s="10"/>
      <c r="IR646" s="10"/>
      <c r="IS646" s="10"/>
      <c r="IT646" s="10"/>
      <c r="IU646" s="10"/>
      <c r="IV646" s="10"/>
      <c r="IW646" s="10"/>
      <c r="IX646" s="10"/>
      <c r="IY646" s="10"/>
      <c r="IZ646" s="10"/>
      <c r="JA646" s="10"/>
      <c r="JB646" s="10"/>
      <c r="JC646" s="10"/>
      <c r="JD646" s="10"/>
      <c r="JE646" s="10"/>
      <c r="JF646" s="10"/>
      <c r="JG646" s="10"/>
      <c r="JH646" s="10"/>
      <c r="JI646" s="10"/>
      <c r="JJ646" s="10"/>
      <c r="JK646" s="10"/>
      <c r="JL646" s="10"/>
      <c r="JM646" s="10"/>
      <c r="JN646" s="10"/>
      <c r="JO646" s="10"/>
      <c r="JP646" s="10"/>
      <c r="JQ646" s="10"/>
      <c r="JR646" s="10"/>
      <c r="JS646" s="10"/>
      <c r="JT646" s="10"/>
      <c r="JU646" s="10"/>
      <c r="JV646" s="10"/>
      <c r="JW646" s="10"/>
      <c r="JX646" s="10"/>
      <c r="JY646" s="10"/>
      <c r="JZ646" s="10"/>
      <c r="KA646" s="10"/>
      <c r="KB646" s="10"/>
      <c r="KC646" s="10"/>
      <c r="KD646" s="10"/>
      <c r="KE646" s="10"/>
      <c r="KF646" s="10"/>
      <c r="KG646" s="10"/>
      <c r="KH646" s="10"/>
      <c r="KI646" s="10"/>
      <c r="KJ646" s="10"/>
      <c r="KK646" s="10"/>
      <c r="KL646" s="10"/>
      <c r="KM646" s="10"/>
      <c r="KN646" s="10"/>
      <c r="KO646" s="10"/>
      <c r="KP646" s="10"/>
      <c r="KQ646" s="10"/>
      <c r="KR646" s="10"/>
      <c r="KS646" s="10"/>
      <c r="KT646" s="10"/>
      <c r="KU646" s="10"/>
      <c r="KV646" s="10"/>
      <c r="KW646" s="10"/>
      <c r="KX646" s="10"/>
      <c r="KY646" s="10"/>
      <c r="KZ646" s="10"/>
      <c r="LA646" s="10"/>
      <c r="LB646" s="10"/>
      <c r="LC646" s="10"/>
      <c r="LD646" s="10"/>
      <c r="LE646" s="10"/>
      <c r="LF646" s="10"/>
      <c r="LG646" s="10"/>
      <c r="LH646" s="10"/>
      <c r="LI646" s="10"/>
      <c r="LJ646" s="10"/>
      <c r="LK646" s="10"/>
      <c r="LL646" s="10"/>
      <c r="LM646" s="10"/>
      <c r="LN646" s="10"/>
      <c r="LO646" s="10"/>
      <c r="LP646" s="10"/>
      <c r="LQ646" s="10"/>
      <c r="LR646" s="10"/>
      <c r="LS646" s="10"/>
      <c r="LT646" s="10"/>
      <c r="LU646" s="10"/>
      <c r="LV646" s="10"/>
      <c r="LW646" s="10"/>
      <c r="LX646" s="10"/>
      <c r="LY646" s="10"/>
      <c r="LZ646" s="10"/>
      <c r="MA646" s="10"/>
      <c r="MB646" s="10"/>
      <c r="MC646" s="10"/>
      <c r="MD646" s="10"/>
      <c r="ME646" s="10"/>
      <c r="MF646" s="10"/>
      <c r="MG646" s="10"/>
      <c r="MH646" s="10"/>
      <c r="MI646" s="10"/>
      <c r="MJ646" s="10"/>
      <c r="MK646" s="10"/>
      <c r="ML646" s="10"/>
      <c r="MM646" s="10"/>
      <c r="MN646" s="10"/>
      <c r="MO646" s="10"/>
      <c r="MP646" s="10"/>
      <c r="MQ646" s="10"/>
      <c r="MR646" s="10"/>
      <c r="MS646" s="10"/>
      <c r="MT646" s="10"/>
      <c r="MU646" s="10"/>
      <c r="MV646" s="10"/>
      <c r="MW646" s="10"/>
      <c r="MX646" s="10"/>
      <c r="MY646" s="10"/>
      <c r="MZ646" s="10"/>
      <c r="NA646" s="10"/>
      <c r="NB646" s="10"/>
      <c r="NC646" s="10"/>
      <c r="ND646" s="10"/>
      <c r="NE646" s="10"/>
      <c r="NF646" s="10"/>
      <c r="NG646" s="10"/>
      <c r="NH646" s="10"/>
      <c r="NI646" s="10"/>
      <c r="NJ646" s="10"/>
      <c r="NK646" s="10"/>
      <c r="NL646" s="10"/>
      <c r="NM646" s="10"/>
      <c r="NN646" s="10"/>
      <c r="NO646" s="10"/>
      <c r="NP646" s="10"/>
      <c r="NQ646" s="10"/>
      <c r="NR646" s="10"/>
      <c r="NS646" s="10"/>
      <c r="NT646" s="10"/>
      <c r="NU646" s="10"/>
      <c r="NV646" s="10"/>
      <c r="NW646" s="10"/>
      <c r="NX646" s="10"/>
      <c r="NY646" s="10"/>
      <c r="NZ646" s="10"/>
      <c r="OA646" s="10"/>
      <c r="OB646" s="10"/>
      <c r="OC646" s="10"/>
      <c r="OD646" s="10"/>
      <c r="OE646" s="10"/>
      <c r="OF646" s="10"/>
      <c r="OG646" s="10"/>
      <c r="OH646" s="10"/>
      <c r="OI646" s="10"/>
      <c r="OJ646" s="10"/>
      <c r="OK646" s="10"/>
      <c r="OL646" s="10"/>
      <c r="OM646" s="10"/>
      <c r="ON646" s="10"/>
      <c r="OO646" s="10"/>
      <c r="OP646" s="10"/>
      <c r="OQ646" s="10"/>
      <c r="OR646" s="10"/>
      <c r="OS646" s="10"/>
      <c r="OT646" s="10"/>
      <c r="OU646" s="10"/>
      <c r="OV646" s="10"/>
      <c r="OW646" s="10"/>
      <c r="OX646" s="10"/>
      <c r="OY646" s="10"/>
      <c r="OZ646" s="10"/>
      <c r="PA646" s="10"/>
      <c r="PB646" s="10"/>
      <c r="PC646" s="10"/>
      <c r="PD646" s="10"/>
      <c r="PE646" s="10"/>
      <c r="PF646" s="10"/>
      <c r="PG646" s="10"/>
      <c r="PH646" s="10"/>
      <c r="PI646" s="10"/>
      <c r="PJ646" s="10"/>
      <c r="PK646" s="10"/>
      <c r="PL646" s="10"/>
      <c r="PM646" s="10"/>
      <c r="PN646" s="10"/>
      <c r="PO646" s="10"/>
      <c r="PP646" s="10"/>
      <c r="PQ646" s="10"/>
      <c r="PR646" s="10"/>
      <c r="PS646" s="10"/>
      <c r="PT646" s="10"/>
      <c r="PU646" s="10"/>
      <c r="PV646" s="10"/>
      <c r="PW646" s="10"/>
      <c r="PX646" s="10"/>
      <c r="PY646" s="10"/>
      <c r="PZ646" s="10"/>
      <c r="QA646" s="10"/>
      <c r="QB646" s="10"/>
      <c r="QC646" s="10"/>
      <c r="QD646" s="10"/>
      <c r="QE646" s="10"/>
      <c r="QF646" s="10"/>
      <c r="QG646" s="10"/>
      <c r="QH646" s="10"/>
      <c r="QI646" s="10"/>
      <c r="QJ646" s="10"/>
      <c r="QK646" s="10"/>
      <c r="QL646" s="10"/>
      <c r="QM646" s="10"/>
      <c r="QN646" s="10"/>
      <c r="QO646" s="10"/>
      <c r="QP646" s="10"/>
      <c r="QQ646" s="10"/>
      <c r="QR646" s="10"/>
      <c r="QS646" s="10"/>
      <c r="QT646" s="10"/>
      <c r="QU646" s="10"/>
      <c r="QV646" s="10"/>
      <c r="QW646" s="10"/>
      <c r="QX646" s="10"/>
      <c r="QY646" s="10"/>
      <c r="QZ646" s="10"/>
      <c r="RA646" s="10"/>
      <c r="RB646" s="10"/>
      <c r="RC646" s="10"/>
      <c r="RD646" s="10"/>
      <c r="RE646" s="10"/>
      <c r="RF646" s="10"/>
      <c r="RG646" s="10"/>
      <c r="RH646" s="10"/>
      <c r="RI646" s="10"/>
      <c r="RJ646" s="10"/>
      <c r="RK646" s="10"/>
      <c r="RL646" s="10"/>
      <c r="RM646" s="10"/>
      <c r="RN646" s="10"/>
      <c r="RO646" s="10"/>
      <c r="RP646" s="10"/>
      <c r="RQ646" s="10"/>
      <c r="RR646" s="10"/>
      <c r="RS646" s="10"/>
      <c r="RT646" s="10"/>
      <c r="RU646" s="10"/>
      <c r="RV646" s="10"/>
      <c r="RW646" s="10"/>
      <c r="RX646" s="10"/>
      <c r="RY646" s="10"/>
      <c r="RZ646" s="10"/>
      <c r="SA646" s="10"/>
      <c r="SB646" s="10"/>
      <c r="SC646" s="10"/>
      <c r="SD646" s="10"/>
      <c r="SE646" s="10"/>
      <c r="SF646" s="10"/>
      <c r="SG646" s="10"/>
      <c r="SH646" s="10"/>
      <c r="SI646" s="10"/>
      <c r="SJ646" s="10"/>
      <c r="SK646" s="10"/>
      <c r="SL646" s="10"/>
      <c r="SM646" s="10"/>
      <c r="SN646" s="10"/>
      <c r="SO646" s="10"/>
      <c r="SP646" s="10"/>
      <c r="SQ646" s="10"/>
      <c r="SR646" s="10"/>
      <c r="SS646" s="10"/>
      <c r="ST646" s="10"/>
      <c r="SU646" s="10"/>
      <c r="SV646" s="10"/>
      <c r="SW646" s="10"/>
      <c r="SX646" s="10"/>
      <c r="SY646" s="10"/>
      <c r="SZ646" s="10"/>
      <c r="TA646" s="10"/>
      <c r="TB646" s="10"/>
      <c r="TC646" s="10"/>
      <c r="TD646" s="10"/>
      <c r="TE646" s="10"/>
      <c r="TF646" s="10"/>
      <c r="TG646" s="10"/>
      <c r="TH646" s="10"/>
      <c r="TI646" s="10"/>
      <c r="TJ646" s="10"/>
      <c r="TK646" s="10"/>
      <c r="TL646" s="10"/>
      <c r="TM646" s="10"/>
      <c r="TN646" s="10"/>
      <c r="TO646" s="10"/>
      <c r="TP646" s="10"/>
      <c r="TQ646" s="10"/>
      <c r="TR646" s="10"/>
      <c r="TS646" s="10"/>
      <c r="TT646" s="10"/>
      <c r="TU646" s="10"/>
      <c r="TV646" s="10"/>
      <c r="TW646" s="10"/>
      <c r="TX646" s="10"/>
      <c r="TY646" s="10"/>
      <c r="TZ646" s="10"/>
      <c r="UA646" s="10"/>
      <c r="UB646" s="10"/>
      <c r="UC646" s="10"/>
      <c r="UD646" s="10"/>
      <c r="UE646" s="10"/>
      <c r="UF646" s="10"/>
      <c r="UG646" s="10"/>
      <c r="UH646" s="10"/>
      <c r="UI646" s="10"/>
      <c r="UJ646" s="10"/>
      <c r="UK646" s="10"/>
      <c r="UL646" s="10"/>
      <c r="UM646" s="10"/>
      <c r="UN646" s="10"/>
      <c r="UO646" s="10"/>
      <c r="UP646" s="10"/>
      <c r="UQ646" s="10"/>
      <c r="UR646" s="10"/>
      <c r="US646" s="10"/>
      <c r="UT646" s="10"/>
      <c r="UU646" s="10"/>
      <c r="UV646" s="10"/>
      <c r="UW646" s="10"/>
      <c r="UX646" s="10"/>
      <c r="UY646" s="10"/>
      <c r="UZ646" s="10"/>
      <c r="VA646" s="10"/>
      <c r="VB646" s="10"/>
      <c r="VC646" s="10"/>
      <c r="VD646" s="10"/>
      <c r="VE646" s="10"/>
      <c r="VF646" s="10"/>
      <c r="VG646" s="10"/>
      <c r="VH646" s="10"/>
      <c r="VI646" s="10"/>
      <c r="VJ646" s="10"/>
      <c r="VK646" s="10"/>
      <c r="VL646" s="10"/>
      <c r="VM646" s="10"/>
      <c r="VN646" s="10"/>
      <c r="VO646" s="10"/>
      <c r="VP646" s="10"/>
      <c r="VQ646" s="10"/>
      <c r="VR646" s="10"/>
      <c r="VS646" s="10"/>
      <c r="VT646" s="10"/>
      <c r="VU646" s="10"/>
      <c r="VV646" s="10"/>
      <c r="VW646" s="10"/>
      <c r="VX646" s="10"/>
      <c r="VY646" s="10"/>
      <c r="VZ646" s="10"/>
      <c r="WA646" s="10"/>
      <c r="WB646" s="10"/>
      <c r="WC646" s="10"/>
      <c r="WD646" s="10"/>
      <c r="WE646" s="10"/>
      <c r="WF646" s="10"/>
      <c r="WG646" s="10"/>
      <c r="WH646" s="10"/>
      <c r="WI646" s="10"/>
      <c r="WJ646" s="10"/>
      <c r="WK646" s="10"/>
      <c r="WL646" s="10"/>
      <c r="WM646" s="10"/>
      <c r="WN646" s="10"/>
      <c r="WO646" s="10"/>
      <c r="WP646" s="10"/>
      <c r="WQ646" s="10"/>
      <c r="WR646" s="10"/>
      <c r="WS646" s="10"/>
      <c r="WT646" s="10"/>
      <c r="WU646" s="10"/>
      <c r="WV646" s="10"/>
      <c r="WW646" s="10"/>
      <c r="WX646" s="10"/>
      <c r="WY646" s="10"/>
      <c r="WZ646" s="10"/>
      <c r="XA646" s="10"/>
      <c r="XB646" s="10"/>
      <c r="XC646" s="10"/>
      <c r="XD646" s="10"/>
      <c r="XE646" s="10"/>
      <c r="XF646" s="10"/>
      <c r="XG646" s="10"/>
      <c r="XH646" s="10"/>
      <c r="XI646" s="10"/>
      <c r="XJ646" s="10"/>
      <c r="XK646" s="10"/>
      <c r="XL646" s="10"/>
      <c r="XM646" s="10"/>
      <c r="XN646" s="10"/>
      <c r="XO646" s="10"/>
      <c r="XP646" s="10"/>
      <c r="XQ646" s="10"/>
      <c r="XR646" s="10"/>
      <c r="XS646" s="10"/>
      <c r="XT646" s="10"/>
      <c r="XU646" s="10"/>
      <c r="XV646" s="10"/>
      <c r="XW646" s="10"/>
      <c r="XX646" s="10"/>
      <c r="XY646" s="10"/>
      <c r="XZ646" s="10"/>
      <c r="YA646" s="10"/>
      <c r="YB646" s="10"/>
      <c r="YC646" s="10"/>
      <c r="YD646" s="10"/>
      <c r="YE646" s="10"/>
      <c r="YF646" s="10"/>
      <c r="YG646" s="10"/>
      <c r="YH646" s="10"/>
      <c r="YI646" s="10"/>
      <c r="YJ646" s="10"/>
      <c r="YK646" s="10"/>
      <c r="YL646" s="10"/>
      <c r="YM646" s="10"/>
      <c r="YN646" s="10"/>
      <c r="YO646" s="10"/>
      <c r="YP646" s="10"/>
      <c r="YQ646" s="10"/>
      <c r="YR646" s="10"/>
      <c r="YS646" s="10"/>
      <c r="YT646" s="10"/>
      <c r="YU646" s="10"/>
      <c r="YV646" s="10"/>
      <c r="YW646" s="10"/>
      <c r="YX646" s="10"/>
      <c r="YY646" s="10"/>
      <c r="YZ646" s="10"/>
      <c r="ZA646" s="10"/>
      <c r="ZB646" s="10"/>
      <c r="ZC646" s="10"/>
      <c r="ZD646" s="10"/>
      <c r="ZE646" s="10"/>
      <c r="ZF646" s="10"/>
      <c r="ZG646" s="10"/>
      <c r="ZH646" s="10"/>
      <c r="ZI646" s="10"/>
      <c r="ZJ646" s="10"/>
      <c r="ZK646" s="10"/>
      <c r="ZL646" s="10"/>
      <c r="ZM646" s="10"/>
      <c r="ZN646" s="10"/>
      <c r="ZO646" s="10"/>
      <c r="ZP646" s="10"/>
      <c r="ZQ646" s="10"/>
      <c r="ZR646" s="10"/>
      <c r="ZS646" s="10"/>
      <c r="ZT646" s="10"/>
      <c r="ZU646" s="10"/>
      <c r="ZV646" s="10"/>
      <c r="ZW646" s="10"/>
      <c r="ZX646" s="10"/>
      <c r="ZY646" s="10"/>
      <c r="ZZ646" s="10"/>
      <c r="AAA646" s="10"/>
      <c r="AAB646" s="10"/>
      <c r="AAC646" s="10"/>
      <c r="AAD646" s="10"/>
      <c r="AAE646" s="10"/>
      <c r="AAF646" s="10"/>
      <c r="AAG646" s="10"/>
      <c r="AAH646" s="10"/>
      <c r="AAI646" s="10"/>
      <c r="AAJ646" s="10"/>
      <c r="AAK646" s="10"/>
      <c r="AAL646" s="10"/>
      <c r="AAM646" s="10"/>
      <c r="AAN646" s="10"/>
      <c r="AAO646" s="10"/>
      <c r="AAP646" s="10"/>
      <c r="AAQ646" s="10"/>
      <c r="AAR646" s="10"/>
      <c r="AAS646" s="10"/>
      <c r="AAT646" s="10"/>
      <c r="AAU646" s="10"/>
      <c r="AAV646" s="10"/>
      <c r="AAW646" s="10"/>
      <c r="AAX646" s="10"/>
      <c r="AAY646" s="10"/>
      <c r="AAZ646" s="10"/>
      <c r="ABA646" s="10"/>
      <c r="ABB646" s="10"/>
      <c r="ABC646" s="10"/>
      <c r="ABD646" s="10"/>
      <c r="ABE646" s="10"/>
      <c r="ABF646" s="10"/>
      <c r="ABG646" s="10"/>
      <c r="ABH646" s="10"/>
      <c r="ABI646" s="10"/>
      <c r="ABJ646" s="10"/>
      <c r="ABK646" s="10"/>
      <c r="ABL646" s="10"/>
      <c r="ABM646" s="10"/>
      <c r="ABN646" s="10"/>
      <c r="ABO646" s="10"/>
      <c r="ABP646" s="10"/>
      <c r="ABQ646" s="10"/>
      <c r="ABR646" s="10"/>
      <c r="ABS646" s="10"/>
      <c r="ABT646" s="10"/>
      <c r="ABU646" s="10"/>
      <c r="ABV646" s="10"/>
      <c r="ABW646" s="10"/>
      <c r="ABX646" s="10"/>
      <c r="ABY646" s="10"/>
      <c r="ABZ646" s="10"/>
      <c r="ACA646" s="10"/>
      <c r="ACB646" s="10"/>
      <c r="ACC646" s="10"/>
      <c r="ACD646" s="10"/>
      <c r="ACE646" s="10"/>
      <c r="ACF646" s="10"/>
      <c r="ACG646" s="10"/>
      <c r="ACH646" s="10"/>
      <c r="ACI646" s="10"/>
      <c r="ACJ646" s="10"/>
      <c r="ACK646" s="10"/>
      <c r="ACL646" s="10"/>
      <c r="ACM646" s="10"/>
      <c r="ACN646" s="10"/>
      <c r="ACO646" s="10"/>
      <c r="ACP646" s="10"/>
      <c r="ACQ646" s="10"/>
      <c r="ACR646" s="10"/>
      <c r="ACS646" s="10"/>
      <c r="ACT646" s="10"/>
      <c r="ACU646" s="10"/>
      <c r="ACV646" s="10"/>
      <c r="ACW646" s="10"/>
      <c r="ACX646" s="10"/>
      <c r="ACY646" s="10"/>
      <c r="ACZ646" s="10"/>
      <c r="ADA646" s="10"/>
      <c r="ADB646" s="10"/>
      <c r="ADC646" s="10"/>
      <c r="ADD646" s="10"/>
      <c r="ADE646" s="10"/>
      <c r="ADF646" s="10"/>
      <c r="ADG646" s="10"/>
      <c r="ADH646" s="10"/>
      <c r="ADI646" s="10"/>
      <c r="ADJ646" s="10"/>
      <c r="ADK646" s="10"/>
      <c r="ADL646" s="10"/>
      <c r="ADM646" s="10"/>
      <c r="ADN646" s="10"/>
      <c r="ADO646" s="10"/>
      <c r="ADP646" s="10"/>
      <c r="ADQ646" s="10"/>
      <c r="ADR646" s="10"/>
      <c r="ADS646" s="10"/>
      <c r="ADT646" s="10"/>
      <c r="ADU646" s="10"/>
      <c r="ADV646" s="10"/>
      <c r="ADW646" s="10"/>
      <c r="ADX646" s="10"/>
      <c r="ADY646" s="10"/>
      <c r="ADZ646" s="10"/>
      <c r="AEA646" s="10"/>
      <c r="AEB646" s="10"/>
      <c r="AEC646" s="10"/>
      <c r="AED646" s="10"/>
      <c r="AEE646" s="10"/>
      <c r="AEF646" s="10"/>
      <c r="AEG646" s="10"/>
      <c r="AEH646" s="10"/>
      <c r="AEI646" s="10"/>
      <c r="AEJ646" s="10"/>
      <c r="AEK646" s="10"/>
      <c r="AEL646" s="10"/>
      <c r="AEM646" s="10"/>
      <c r="AEN646" s="10"/>
      <c r="AEO646" s="10"/>
      <c r="AEP646" s="10"/>
      <c r="AEQ646" s="10"/>
      <c r="AER646" s="10"/>
      <c r="AES646" s="10"/>
      <c r="AET646" s="10"/>
      <c r="AEU646" s="10"/>
      <c r="AEV646" s="10"/>
      <c r="AEW646" s="10"/>
      <c r="AEX646" s="10"/>
      <c r="AEY646" s="10"/>
      <c r="AEZ646" s="10"/>
      <c r="AFA646" s="10"/>
      <c r="AFB646" s="10"/>
      <c r="AFC646" s="10"/>
      <c r="AFD646" s="10"/>
      <c r="AFE646" s="10"/>
      <c r="AFF646" s="10"/>
      <c r="AFG646" s="10"/>
      <c r="AFH646" s="10"/>
      <c r="AFI646" s="10"/>
      <c r="AFJ646" s="10"/>
      <c r="AFK646" s="10"/>
      <c r="AFL646" s="10"/>
      <c r="AFM646" s="10"/>
      <c r="AFN646" s="10"/>
      <c r="AFO646" s="10"/>
      <c r="AFP646" s="10"/>
      <c r="AFQ646" s="10"/>
      <c r="AFR646" s="10"/>
      <c r="AFS646" s="10"/>
      <c r="AFT646" s="10"/>
      <c r="AFU646" s="10"/>
      <c r="AFV646" s="10"/>
      <c r="AFW646" s="10"/>
      <c r="AFX646" s="10"/>
      <c r="AFY646" s="10"/>
      <c r="AFZ646" s="10"/>
      <c r="AGA646" s="10"/>
      <c r="AGB646" s="10"/>
      <c r="AGC646" s="10"/>
      <c r="AGD646" s="10"/>
      <c r="AGE646" s="10"/>
      <c r="AGF646" s="10"/>
      <c r="AGG646" s="10"/>
      <c r="AGH646" s="10"/>
      <c r="AGI646" s="10"/>
      <c r="AGJ646" s="10"/>
      <c r="AGK646" s="10"/>
      <c r="AGL646" s="10"/>
      <c r="AGM646" s="10"/>
      <c r="AGN646" s="10"/>
      <c r="AGO646" s="10"/>
      <c r="AGP646" s="10"/>
      <c r="AGQ646" s="10"/>
      <c r="AGR646" s="10"/>
      <c r="AGS646" s="10"/>
      <c r="AGT646" s="10"/>
      <c r="AGU646" s="10"/>
      <c r="AGV646" s="10"/>
      <c r="AGW646" s="10"/>
      <c r="AGX646" s="10"/>
      <c r="AGY646" s="10"/>
      <c r="AGZ646" s="10"/>
      <c r="AHA646" s="10"/>
      <c r="AHB646" s="10"/>
      <c r="AHC646" s="10"/>
      <c r="AHD646" s="10"/>
      <c r="AHE646" s="10"/>
      <c r="AHF646" s="10"/>
      <c r="AHG646" s="10"/>
      <c r="AHH646" s="10"/>
      <c r="AHI646" s="10"/>
      <c r="AHJ646" s="10"/>
      <c r="AHK646" s="10"/>
      <c r="AHL646" s="10"/>
      <c r="AHM646" s="10"/>
      <c r="AHN646" s="10"/>
      <c r="AHO646" s="10"/>
      <c r="AHP646" s="10"/>
      <c r="AHQ646" s="10"/>
      <c r="AHR646" s="10"/>
      <c r="AHS646" s="10"/>
      <c r="AHT646" s="10"/>
      <c r="AHU646" s="10"/>
      <c r="AHV646" s="10"/>
      <c r="AHW646" s="10"/>
      <c r="AHX646" s="10"/>
      <c r="AHY646" s="10"/>
      <c r="AHZ646" s="10"/>
      <c r="AIA646" s="10"/>
      <c r="AIB646" s="10"/>
      <c r="AIC646" s="10"/>
      <c r="AID646" s="10"/>
      <c r="AIE646" s="10"/>
      <c r="AIF646" s="10"/>
      <c r="AIG646" s="10"/>
      <c r="AIH646" s="10"/>
      <c r="AII646" s="10"/>
      <c r="AIJ646" s="10"/>
      <c r="AIK646" s="10"/>
      <c r="AIL646" s="10"/>
      <c r="AIM646" s="10"/>
      <c r="AIN646" s="10"/>
      <c r="AIO646" s="10"/>
      <c r="AIP646" s="10"/>
      <c r="AIQ646" s="10"/>
      <c r="AIR646" s="10"/>
      <c r="AIS646" s="10"/>
      <c r="AIT646" s="10"/>
      <c r="AIU646" s="10"/>
      <c r="AIV646" s="10"/>
      <c r="AIW646" s="10"/>
      <c r="AIX646" s="10"/>
      <c r="AIY646" s="10"/>
      <c r="AIZ646" s="10"/>
      <c r="AJA646" s="10"/>
      <c r="AJB646" s="10"/>
      <c r="AJC646" s="10"/>
      <c r="AJD646" s="10"/>
      <c r="AJE646" s="10"/>
      <c r="AJF646" s="10"/>
      <c r="AJG646" s="10"/>
      <c r="AJH646" s="10"/>
      <c r="AJI646" s="10"/>
      <c r="AJJ646" s="10"/>
      <c r="AJK646" s="10"/>
      <c r="AJL646" s="10"/>
      <c r="AJM646" s="10"/>
      <c r="AJN646" s="10"/>
      <c r="AJO646" s="10"/>
      <c r="AJP646" s="10"/>
      <c r="AJQ646" s="10"/>
      <c r="AJR646" s="10"/>
      <c r="AJS646" s="10"/>
      <c r="AJT646" s="10"/>
      <c r="AJU646" s="10"/>
      <c r="AJV646" s="10"/>
      <c r="AJW646" s="10"/>
      <c r="AJX646" s="10"/>
      <c r="AJY646" s="10"/>
      <c r="AJZ646" s="10"/>
      <c r="AKA646" s="10"/>
      <c r="AKB646" s="10"/>
      <c r="AKC646" s="10"/>
      <c r="AKD646" s="10"/>
      <c r="AKE646" s="10"/>
      <c r="AKF646" s="10"/>
      <c r="AKG646" s="10"/>
      <c r="AKH646" s="10"/>
      <c r="AKI646" s="10"/>
      <c r="AKJ646" s="10"/>
      <c r="AKK646" s="10"/>
      <c r="AKL646" s="10"/>
      <c r="AKM646" s="10"/>
      <c r="AKN646" s="10"/>
      <c r="AKO646" s="10"/>
      <c r="AKP646" s="10"/>
      <c r="AKQ646" s="10"/>
      <c r="AKR646" s="10"/>
      <c r="AKS646" s="10"/>
      <c r="AKT646" s="10"/>
      <c r="AKU646" s="10"/>
      <c r="AKV646" s="10"/>
      <c r="AKW646" s="10"/>
      <c r="AKX646" s="10"/>
      <c r="AKY646" s="10"/>
      <c r="AKZ646" s="10"/>
      <c r="ALA646" s="10"/>
      <c r="ALB646" s="10"/>
      <c r="ALC646" s="10"/>
      <c r="ALD646" s="10"/>
      <c r="ALE646" s="10"/>
      <c r="ALF646" s="10"/>
      <c r="ALG646" s="10"/>
      <c r="ALH646" s="10"/>
      <c r="ALI646" s="10"/>
      <c r="ALJ646" s="10"/>
      <c r="ALK646" s="10"/>
      <c r="ALL646" s="10"/>
      <c r="ALM646" s="10"/>
      <c r="ALN646" s="10"/>
      <c r="ALO646" s="10"/>
      <c r="ALP646" s="10"/>
      <c r="ALQ646" s="10"/>
      <c r="ALR646" s="10"/>
      <c r="ALS646" s="10"/>
      <c r="ALT646" s="10"/>
      <c r="ALU646" s="10"/>
      <c r="ALV646" s="10"/>
      <c r="ALW646" s="10"/>
      <c r="ALX646" s="10"/>
      <c r="ALY646" s="10"/>
      <c r="ALZ646" s="10"/>
      <c r="AMA646" s="10"/>
      <c r="AMB646" s="10"/>
      <c r="AMC646" s="10"/>
      <c r="AMD646" s="10"/>
      <c r="AME646" s="10"/>
      <c r="AMF646" s="10"/>
      <c r="AMG646" s="10"/>
      <c r="AMH646" s="10"/>
      <c r="AMI646" s="10"/>
      <c r="AMJ646" s="10"/>
      <c r="AMK646" s="10"/>
      <c r="AML646" s="10"/>
      <c r="AMM646" s="10"/>
      <c r="AMN646" s="10"/>
      <c r="AMO646" s="10"/>
      <c r="AMP646" s="10"/>
      <c r="AMQ646" s="10"/>
      <c r="AMR646" s="10"/>
      <c r="AMS646" s="10"/>
      <c r="AMT646" s="10"/>
      <c r="AMU646" s="10"/>
      <c r="AMV646" s="10"/>
      <c r="AMW646" s="10"/>
      <c r="AMX646" s="10"/>
      <c r="AMY646" s="10"/>
      <c r="AMZ646" s="10"/>
      <c r="ANA646" s="10"/>
      <c r="ANB646" s="10"/>
      <c r="ANC646" s="10"/>
      <c r="AND646" s="10"/>
      <c r="ANE646" s="10"/>
      <c r="ANF646" s="10"/>
      <c r="ANG646" s="10"/>
      <c r="ANH646" s="10"/>
      <c r="ANI646" s="10"/>
      <c r="ANJ646" s="10"/>
      <c r="ANK646" s="10"/>
      <c r="ANL646" s="10"/>
      <c r="ANM646" s="10"/>
      <c r="ANN646" s="10"/>
      <c r="ANO646" s="10"/>
      <c r="ANP646" s="10"/>
      <c r="ANQ646" s="10"/>
      <c r="ANR646" s="10"/>
      <c r="ANS646" s="10"/>
      <c r="ANT646" s="10"/>
      <c r="ANU646" s="10"/>
      <c r="ANV646" s="10"/>
      <c r="ANW646" s="10"/>
      <c r="ANX646" s="10"/>
      <c r="ANY646" s="10"/>
      <c r="ANZ646" s="10"/>
      <c r="AOA646" s="10"/>
      <c r="AOB646" s="10"/>
      <c r="AOC646" s="10"/>
      <c r="AOD646" s="10"/>
      <c r="AOE646" s="10"/>
      <c r="AOF646" s="10"/>
      <c r="AOG646" s="10"/>
      <c r="AOH646" s="10"/>
      <c r="AOI646" s="10"/>
      <c r="AOJ646" s="10"/>
      <c r="AOK646" s="10"/>
      <c r="AOL646" s="10"/>
      <c r="AOM646" s="10"/>
      <c r="AON646" s="10"/>
      <c r="AOO646" s="10"/>
      <c r="AOP646" s="10"/>
      <c r="AOQ646" s="10"/>
      <c r="AOR646" s="10"/>
      <c r="AOS646" s="10"/>
      <c r="AOT646" s="10"/>
      <c r="AOU646" s="10"/>
      <c r="AOV646" s="10"/>
      <c r="AOW646" s="10"/>
      <c r="AOX646" s="10"/>
      <c r="AOY646" s="10"/>
      <c r="AOZ646" s="10"/>
      <c r="APA646" s="10"/>
      <c r="APB646" s="10"/>
      <c r="APC646" s="10"/>
      <c r="APD646" s="10"/>
      <c r="APE646" s="10"/>
      <c r="APF646" s="10"/>
      <c r="APG646" s="10"/>
      <c r="APH646" s="10"/>
      <c r="API646" s="10"/>
      <c r="APJ646" s="10"/>
      <c r="APK646" s="10"/>
      <c r="APL646" s="10"/>
      <c r="APM646" s="10"/>
      <c r="APN646" s="10"/>
      <c r="APO646" s="10"/>
      <c r="APP646" s="10"/>
      <c r="APQ646" s="10"/>
      <c r="APR646" s="10"/>
      <c r="APS646" s="10"/>
      <c r="APT646" s="10"/>
      <c r="APU646" s="10"/>
      <c r="APV646" s="10"/>
      <c r="APW646" s="10"/>
      <c r="APX646" s="10"/>
      <c r="APY646" s="10"/>
      <c r="APZ646" s="10"/>
      <c r="AQA646" s="10"/>
      <c r="AQB646" s="10"/>
      <c r="AQC646" s="10"/>
      <c r="AQD646" s="10"/>
      <c r="AQE646" s="10"/>
      <c r="AQF646" s="10"/>
      <c r="AQG646" s="10"/>
      <c r="AQH646" s="10"/>
      <c r="AQI646" s="10"/>
      <c r="AQJ646" s="10"/>
      <c r="AQK646" s="10"/>
      <c r="AQL646" s="10"/>
      <c r="AQM646" s="10"/>
      <c r="AQN646" s="10"/>
      <c r="AQO646" s="10"/>
      <c r="AQP646" s="10"/>
      <c r="AQQ646" s="10"/>
      <c r="AQR646" s="10"/>
      <c r="AQS646" s="10"/>
      <c r="AQT646" s="10"/>
      <c r="AQU646" s="10"/>
      <c r="AQV646" s="10"/>
      <c r="AQW646" s="10"/>
      <c r="AQX646" s="10"/>
      <c r="AQY646" s="10"/>
      <c r="AQZ646" s="10"/>
      <c r="ARA646" s="10"/>
      <c r="ARB646" s="10"/>
      <c r="ARC646" s="10"/>
      <c r="ARD646" s="10"/>
      <c r="ARE646" s="10"/>
      <c r="ARF646" s="10"/>
      <c r="ARG646" s="10"/>
      <c r="ARH646" s="10"/>
      <c r="ARI646" s="10"/>
      <c r="ARJ646" s="10"/>
      <c r="ARK646" s="10"/>
      <c r="ARL646" s="10"/>
      <c r="ARM646" s="10"/>
      <c r="ARN646" s="10"/>
      <c r="ARO646" s="10"/>
      <c r="ARP646" s="10"/>
      <c r="ARQ646" s="10"/>
      <c r="ARR646" s="10"/>
      <c r="ARS646" s="10"/>
      <c r="ART646" s="10"/>
      <c r="ARU646" s="10"/>
      <c r="ARV646" s="10"/>
      <c r="ARW646" s="10"/>
      <c r="ARX646" s="10"/>
      <c r="ARY646" s="10"/>
      <c r="ARZ646" s="10"/>
      <c r="ASA646" s="10"/>
      <c r="ASB646" s="10"/>
      <c r="ASC646" s="10"/>
      <c r="ASD646" s="10"/>
      <c r="ASE646" s="10"/>
      <c r="ASF646" s="10"/>
      <c r="ASG646" s="10"/>
      <c r="ASH646" s="10"/>
      <c r="ASI646" s="10"/>
      <c r="ASJ646" s="10"/>
      <c r="ASK646" s="10"/>
      <c r="ASL646" s="10"/>
      <c r="ASM646" s="10"/>
      <c r="ASN646" s="10"/>
      <c r="ASO646" s="10"/>
      <c r="ASP646" s="10"/>
      <c r="ASQ646" s="10"/>
      <c r="ASR646" s="10"/>
      <c r="ASS646" s="10"/>
      <c r="AST646" s="10"/>
      <c r="ASU646" s="10"/>
      <c r="ASV646" s="10"/>
      <c r="ASW646" s="10"/>
      <c r="ASX646" s="10"/>
      <c r="ASY646" s="10"/>
      <c r="ASZ646" s="10"/>
      <c r="ATA646" s="10"/>
      <c r="ATB646" s="10"/>
      <c r="ATC646" s="10"/>
      <c r="ATD646" s="10"/>
      <c r="ATE646" s="10"/>
      <c r="ATF646" s="10"/>
      <c r="ATG646" s="10"/>
      <c r="ATH646" s="10"/>
      <c r="ATI646" s="10"/>
      <c r="ATJ646" s="10"/>
      <c r="ATK646" s="10"/>
      <c r="ATL646" s="10"/>
      <c r="ATM646" s="10"/>
      <c r="ATN646" s="10"/>
      <c r="ATO646" s="10"/>
      <c r="ATP646" s="10"/>
      <c r="ATQ646" s="10"/>
      <c r="ATR646" s="10"/>
      <c r="ATS646" s="10"/>
      <c r="ATT646" s="10"/>
      <c r="ATU646" s="10"/>
      <c r="ATV646" s="10"/>
      <c r="ATW646" s="10"/>
      <c r="ATX646" s="10"/>
      <c r="ATY646" s="10"/>
      <c r="ATZ646" s="10"/>
      <c r="AUA646" s="10"/>
      <c r="AUB646" s="10"/>
      <c r="AUC646" s="10"/>
      <c r="AUD646" s="10"/>
      <c r="AUE646" s="10"/>
      <c r="AUF646" s="10"/>
      <c r="AUG646" s="10"/>
      <c r="AUH646" s="10"/>
      <c r="AUI646" s="10"/>
      <c r="AUJ646" s="10"/>
      <c r="AUK646" s="10"/>
      <c r="AUL646" s="10"/>
      <c r="AUM646" s="10"/>
      <c r="AUN646" s="10"/>
      <c r="AUO646" s="10"/>
      <c r="AUP646" s="10"/>
      <c r="AUQ646" s="10"/>
      <c r="AUR646" s="10"/>
      <c r="AUS646" s="10"/>
      <c r="AUT646" s="10"/>
      <c r="AUU646" s="10"/>
      <c r="AUV646" s="10"/>
      <c r="AUW646" s="10"/>
      <c r="AUX646" s="10"/>
      <c r="AUY646" s="10"/>
      <c r="AUZ646" s="10"/>
      <c r="AVA646" s="10"/>
      <c r="AVB646" s="10"/>
      <c r="AVC646" s="10"/>
      <c r="AVD646" s="10"/>
      <c r="AVE646" s="10"/>
      <c r="AVF646" s="10"/>
      <c r="AVG646" s="10"/>
      <c r="AVH646" s="10"/>
      <c r="AVI646" s="10"/>
      <c r="AVJ646" s="10"/>
      <c r="AVK646" s="10"/>
      <c r="AVL646" s="10"/>
      <c r="AVM646" s="10"/>
      <c r="AVN646" s="10"/>
      <c r="AVO646" s="10"/>
      <c r="AVP646" s="10"/>
      <c r="AVQ646" s="10"/>
      <c r="AVR646" s="10"/>
      <c r="AVS646" s="10"/>
      <c r="AVT646" s="10"/>
      <c r="AVU646" s="10"/>
      <c r="AVV646" s="10"/>
      <c r="AVW646" s="10"/>
      <c r="AVX646" s="10"/>
      <c r="AVY646" s="10"/>
      <c r="AVZ646" s="10"/>
      <c r="AWA646" s="10"/>
      <c r="AWB646" s="10"/>
      <c r="AWC646" s="10"/>
      <c r="AWD646" s="10"/>
      <c r="AWE646" s="10"/>
      <c r="AWF646" s="10"/>
      <c r="AWG646" s="10"/>
      <c r="AWH646" s="10"/>
      <c r="AWI646" s="10"/>
      <c r="AWJ646" s="10"/>
      <c r="AWK646" s="10"/>
      <c r="AWL646" s="10"/>
      <c r="AWM646" s="10"/>
      <c r="AWN646" s="10"/>
      <c r="AWO646" s="10"/>
      <c r="AWP646" s="10"/>
      <c r="AWQ646" s="10"/>
      <c r="AWR646" s="10"/>
      <c r="AWS646" s="10"/>
      <c r="AWT646" s="10"/>
      <c r="AWU646" s="10"/>
      <c r="AWV646" s="10"/>
      <c r="AWW646" s="10"/>
      <c r="AWX646" s="10"/>
      <c r="AWY646" s="10"/>
      <c r="AWZ646" s="10"/>
      <c r="AXA646" s="10"/>
      <c r="AXB646" s="10"/>
      <c r="AXC646" s="10"/>
      <c r="AXD646" s="10"/>
      <c r="AXE646" s="10"/>
      <c r="AXF646" s="10"/>
      <c r="AXG646" s="10"/>
      <c r="AXH646" s="10"/>
      <c r="AXI646" s="10"/>
      <c r="AXJ646" s="10"/>
      <c r="AXK646" s="10"/>
      <c r="AXL646" s="10"/>
      <c r="AXM646" s="10"/>
      <c r="AXN646" s="10"/>
      <c r="AXO646" s="10"/>
      <c r="AXP646" s="10"/>
      <c r="AXQ646" s="10"/>
      <c r="AXR646" s="10"/>
      <c r="AXS646" s="10"/>
      <c r="AXT646" s="10"/>
      <c r="AXU646" s="10"/>
      <c r="AXV646" s="10"/>
      <c r="AXW646" s="10"/>
      <c r="AXX646" s="10"/>
      <c r="AXY646" s="10"/>
      <c r="AXZ646" s="10"/>
      <c r="AYA646" s="10"/>
      <c r="AYB646" s="10"/>
      <c r="AYC646" s="10"/>
      <c r="AYD646" s="10"/>
      <c r="AYE646" s="10"/>
      <c r="AYF646" s="10"/>
      <c r="AYG646" s="10"/>
      <c r="AYH646" s="10"/>
      <c r="AYI646" s="10"/>
      <c r="AYJ646" s="10"/>
      <c r="AYK646" s="10"/>
      <c r="AYL646" s="10"/>
      <c r="AYM646" s="10"/>
      <c r="AYN646" s="10"/>
      <c r="AYO646" s="10"/>
      <c r="AYP646" s="10"/>
      <c r="AYQ646" s="10"/>
      <c r="AYR646" s="10"/>
      <c r="AYS646" s="10"/>
      <c r="AYT646" s="10"/>
      <c r="AYU646" s="10"/>
      <c r="AYV646" s="10"/>
      <c r="AYW646" s="10"/>
      <c r="AYX646" s="10"/>
      <c r="AYY646" s="10"/>
      <c r="AYZ646" s="10"/>
      <c r="AZA646" s="10"/>
      <c r="AZB646" s="10"/>
      <c r="AZC646" s="10"/>
      <c r="AZD646" s="10"/>
      <c r="AZE646" s="10"/>
      <c r="AZF646" s="10"/>
      <c r="AZG646" s="10"/>
      <c r="AZH646" s="10"/>
      <c r="AZI646" s="10"/>
      <c r="AZJ646" s="10"/>
      <c r="AZK646" s="10"/>
      <c r="AZL646" s="10"/>
      <c r="AZM646" s="10"/>
      <c r="AZN646" s="10"/>
      <c r="AZO646" s="10"/>
      <c r="AZP646" s="10"/>
      <c r="AZQ646" s="10"/>
      <c r="AZR646" s="10"/>
      <c r="AZS646" s="10"/>
      <c r="AZT646" s="10"/>
      <c r="AZU646" s="10"/>
      <c r="AZV646" s="10"/>
      <c r="AZW646" s="10"/>
      <c r="AZX646" s="10"/>
      <c r="AZY646" s="10"/>
      <c r="AZZ646" s="10"/>
      <c r="BAA646" s="10"/>
      <c r="BAB646" s="10"/>
      <c r="BAC646" s="10"/>
      <c r="BAD646" s="10"/>
      <c r="BAE646" s="10"/>
      <c r="BAF646" s="10"/>
      <c r="BAG646" s="10"/>
      <c r="BAH646" s="10"/>
      <c r="BAI646" s="10"/>
      <c r="BAJ646" s="10"/>
      <c r="BAK646" s="10"/>
      <c r="BAL646" s="10"/>
      <c r="BAM646" s="10"/>
      <c r="BAN646" s="10"/>
      <c r="BAO646" s="10"/>
      <c r="BAP646" s="10"/>
      <c r="BAQ646" s="10"/>
      <c r="BAR646" s="10"/>
      <c r="BAS646" s="10"/>
      <c r="BAT646" s="10"/>
      <c r="BAU646" s="10"/>
      <c r="BAV646" s="10"/>
      <c r="BAW646" s="10"/>
      <c r="BAX646" s="10"/>
      <c r="BAY646" s="10"/>
      <c r="BAZ646" s="10"/>
      <c r="BBA646" s="10"/>
      <c r="BBB646" s="10"/>
      <c r="BBC646" s="10"/>
      <c r="BBD646" s="10"/>
      <c r="BBE646" s="10"/>
      <c r="BBF646" s="10"/>
      <c r="BBG646" s="10"/>
      <c r="BBH646" s="10"/>
      <c r="BBI646" s="10"/>
      <c r="BBJ646" s="10"/>
      <c r="BBK646" s="10"/>
      <c r="BBL646" s="10"/>
      <c r="BBM646" s="10"/>
      <c r="BBN646" s="10"/>
      <c r="BBO646" s="10"/>
      <c r="BBP646" s="10"/>
      <c r="BBQ646" s="10"/>
      <c r="BBR646" s="10"/>
      <c r="BBS646" s="10"/>
      <c r="BBT646" s="10"/>
      <c r="BBU646" s="10"/>
      <c r="BBV646" s="10"/>
      <c r="BBW646" s="10"/>
      <c r="BBX646" s="10"/>
      <c r="BBY646" s="10"/>
      <c r="BBZ646" s="10"/>
      <c r="BCA646" s="10"/>
      <c r="BCB646" s="10"/>
      <c r="BCC646" s="10"/>
      <c r="BCD646" s="10"/>
      <c r="BCE646" s="10"/>
      <c r="BCF646" s="10"/>
      <c r="BCG646" s="10"/>
      <c r="BCH646" s="10"/>
      <c r="BCI646" s="10"/>
      <c r="BCJ646" s="10"/>
      <c r="BCK646" s="10"/>
      <c r="BCL646" s="10"/>
      <c r="BCM646" s="10"/>
      <c r="BCN646" s="10"/>
      <c r="BCO646" s="10"/>
      <c r="BCP646" s="10"/>
      <c r="BCQ646" s="10"/>
      <c r="BCR646" s="10"/>
      <c r="BCS646" s="10"/>
      <c r="BCT646" s="10"/>
      <c r="BCU646" s="10"/>
      <c r="BCV646" s="10"/>
      <c r="BCW646" s="10"/>
      <c r="BCX646" s="10"/>
      <c r="BCY646" s="10"/>
      <c r="BCZ646" s="10"/>
      <c r="BDA646" s="10"/>
      <c r="BDB646" s="10"/>
      <c r="BDC646" s="10"/>
      <c r="BDD646" s="10"/>
      <c r="BDE646" s="10"/>
      <c r="BDF646" s="10"/>
      <c r="BDG646" s="10"/>
      <c r="BDH646" s="10"/>
      <c r="BDI646" s="10"/>
      <c r="BDJ646" s="10"/>
      <c r="BDK646" s="10"/>
      <c r="BDL646" s="10"/>
      <c r="BDM646" s="10"/>
      <c r="BDN646" s="10"/>
      <c r="BDO646" s="10"/>
      <c r="BDP646" s="10"/>
      <c r="BDQ646" s="10"/>
      <c r="BDR646" s="10"/>
      <c r="BDS646" s="10"/>
      <c r="BDT646" s="10"/>
      <c r="BDU646" s="10"/>
      <c r="BDV646" s="10"/>
      <c r="BDW646" s="10"/>
      <c r="BDX646" s="10"/>
      <c r="BDY646" s="10"/>
      <c r="BDZ646" s="10"/>
      <c r="BEA646" s="10"/>
      <c r="BEB646" s="10"/>
      <c r="BEC646" s="10"/>
      <c r="BED646" s="10"/>
      <c r="BEE646" s="10"/>
      <c r="BEF646" s="10"/>
      <c r="BEG646" s="10"/>
      <c r="BEH646" s="10"/>
      <c r="BEI646" s="10"/>
      <c r="BEJ646" s="10"/>
      <c r="BEK646" s="10"/>
      <c r="BEL646" s="10"/>
      <c r="BEM646" s="10"/>
      <c r="BEN646" s="10"/>
      <c r="BEO646" s="10"/>
      <c r="BEP646" s="10"/>
      <c r="BEQ646" s="10"/>
      <c r="BER646" s="10"/>
      <c r="BES646" s="10"/>
      <c r="BET646" s="10"/>
      <c r="BEU646" s="10"/>
      <c r="BEV646" s="10"/>
      <c r="BEW646" s="10"/>
      <c r="BEX646" s="10"/>
      <c r="BEY646" s="10"/>
      <c r="BEZ646" s="10"/>
      <c r="BFA646" s="10"/>
      <c r="BFB646" s="10"/>
      <c r="BFC646" s="10"/>
      <c r="BFD646" s="10"/>
      <c r="BFE646" s="10"/>
      <c r="BFF646" s="10"/>
      <c r="BFG646" s="10"/>
      <c r="BFH646" s="10"/>
      <c r="BFI646" s="10"/>
      <c r="BFJ646" s="10"/>
      <c r="BFK646" s="10"/>
      <c r="BFL646" s="10"/>
      <c r="BFM646" s="10"/>
      <c r="BFN646" s="10"/>
      <c r="BFO646" s="10"/>
      <c r="BFP646" s="10"/>
      <c r="BFQ646" s="10"/>
      <c r="BFR646" s="10"/>
      <c r="BFS646" s="10"/>
      <c r="BFT646" s="10"/>
      <c r="BFU646" s="10"/>
      <c r="BFV646" s="10"/>
      <c r="BFW646" s="10"/>
      <c r="BFX646" s="10"/>
      <c r="BFY646" s="10"/>
      <c r="BFZ646" s="10"/>
      <c r="BGA646" s="10"/>
      <c r="BGB646" s="10"/>
      <c r="BGC646" s="10"/>
      <c r="BGD646" s="10"/>
      <c r="BGE646" s="10"/>
      <c r="BGF646" s="10"/>
      <c r="BGG646" s="10"/>
      <c r="BGH646" s="10"/>
      <c r="BGI646" s="10"/>
      <c r="BGJ646" s="10"/>
      <c r="BGK646" s="10"/>
      <c r="BGL646" s="10"/>
      <c r="BGM646" s="10"/>
      <c r="BGN646" s="10"/>
      <c r="BGO646" s="10"/>
      <c r="BGP646" s="10"/>
      <c r="BGQ646" s="10"/>
      <c r="BGR646" s="10"/>
      <c r="BGS646" s="10"/>
      <c r="BGT646" s="10"/>
      <c r="BGU646" s="10"/>
      <c r="BGV646" s="10"/>
      <c r="BGW646" s="10"/>
      <c r="BGX646" s="10"/>
      <c r="BGY646" s="10"/>
      <c r="BGZ646" s="10"/>
      <c r="BHA646" s="10"/>
      <c r="BHB646" s="10"/>
      <c r="BHC646" s="10"/>
      <c r="BHD646" s="10"/>
      <c r="BHE646" s="10"/>
      <c r="BHF646" s="10"/>
      <c r="BHG646" s="10"/>
      <c r="BHH646" s="10"/>
      <c r="BHI646" s="10"/>
      <c r="BHJ646" s="10"/>
      <c r="BHK646" s="10"/>
      <c r="BHL646" s="10"/>
      <c r="BHM646" s="10"/>
      <c r="BHN646" s="10"/>
      <c r="BHO646" s="10"/>
      <c r="BHP646" s="10"/>
      <c r="BHQ646" s="10"/>
      <c r="BHR646" s="10"/>
      <c r="BHS646" s="10"/>
      <c r="BHT646" s="10"/>
      <c r="BHU646" s="10"/>
      <c r="BHV646" s="10"/>
      <c r="BHW646" s="10"/>
      <c r="BHX646" s="10"/>
      <c r="BHY646" s="10"/>
      <c r="BHZ646" s="10"/>
      <c r="BIA646" s="10"/>
      <c r="BIB646" s="10"/>
      <c r="BIC646" s="10"/>
      <c r="BID646" s="10"/>
      <c r="BIE646" s="10"/>
      <c r="BIF646" s="10"/>
      <c r="BIG646" s="10"/>
      <c r="BIH646" s="10"/>
      <c r="BII646" s="10"/>
      <c r="BIJ646" s="10"/>
      <c r="BIK646" s="10"/>
      <c r="BIL646" s="10"/>
      <c r="BIM646" s="10"/>
      <c r="BIN646" s="10"/>
      <c r="BIO646" s="10"/>
      <c r="BIP646" s="10"/>
      <c r="BIQ646" s="10"/>
      <c r="BIR646" s="10"/>
      <c r="BIS646" s="10"/>
      <c r="BIT646" s="10"/>
      <c r="BIU646" s="10"/>
      <c r="BIV646" s="10"/>
      <c r="BIW646" s="10"/>
      <c r="BIX646" s="10"/>
      <c r="BIY646" s="10"/>
      <c r="BIZ646" s="10"/>
      <c r="BJA646" s="10"/>
      <c r="BJB646" s="10"/>
      <c r="BJC646" s="10"/>
      <c r="BJD646" s="10"/>
      <c r="BJE646" s="10"/>
      <c r="BJF646" s="10"/>
      <c r="BJG646" s="10"/>
      <c r="BJH646" s="10"/>
      <c r="BJI646" s="10"/>
      <c r="BJJ646" s="10"/>
      <c r="BJK646" s="10"/>
      <c r="BJL646" s="10"/>
      <c r="BJM646" s="10"/>
      <c r="BJN646" s="10"/>
      <c r="BJO646" s="10"/>
      <c r="BJP646" s="10"/>
      <c r="BJQ646" s="10"/>
      <c r="BJR646" s="10"/>
      <c r="BJS646" s="10"/>
      <c r="BJT646" s="10"/>
      <c r="BJU646" s="10"/>
      <c r="BJV646" s="10"/>
      <c r="BJW646" s="10"/>
      <c r="BJX646" s="10"/>
      <c r="BJY646" s="10"/>
      <c r="BJZ646" s="10"/>
      <c r="BKA646" s="10"/>
      <c r="BKB646" s="10"/>
      <c r="BKC646" s="10"/>
      <c r="BKD646" s="10"/>
      <c r="BKE646" s="10"/>
      <c r="BKF646" s="10"/>
      <c r="BKG646" s="10"/>
      <c r="BKH646" s="10"/>
      <c r="BKI646" s="10"/>
      <c r="BKJ646" s="10"/>
      <c r="BKK646" s="10"/>
      <c r="BKL646" s="10"/>
      <c r="BKM646" s="10"/>
      <c r="BKN646" s="10"/>
      <c r="BKO646" s="10"/>
      <c r="BKP646" s="10"/>
      <c r="BKQ646" s="10"/>
      <c r="BKR646" s="10"/>
      <c r="BKS646" s="10"/>
      <c r="BKT646" s="10"/>
      <c r="BKU646" s="10"/>
      <c r="BKV646" s="10"/>
      <c r="BKW646" s="10"/>
      <c r="BKX646" s="10"/>
      <c r="BKY646" s="10"/>
      <c r="BKZ646" s="10"/>
      <c r="BLA646" s="10"/>
      <c r="BLB646" s="10"/>
      <c r="BLC646" s="10"/>
      <c r="BLD646" s="10"/>
      <c r="BLE646" s="10"/>
      <c r="BLF646" s="10"/>
      <c r="BLG646" s="10"/>
      <c r="BLH646" s="10"/>
      <c r="BLI646" s="10"/>
      <c r="BLJ646" s="10"/>
      <c r="BLK646" s="10"/>
      <c r="BLL646" s="10"/>
      <c r="BLM646" s="10"/>
      <c r="BLN646" s="10"/>
      <c r="BLO646" s="10"/>
      <c r="BLP646" s="10"/>
      <c r="BLQ646" s="10"/>
      <c r="BLR646" s="10"/>
      <c r="BLS646" s="10"/>
      <c r="BLT646" s="10"/>
      <c r="BLU646" s="10"/>
      <c r="BLV646" s="10"/>
      <c r="BLW646" s="10"/>
      <c r="BLX646" s="10"/>
      <c r="BLY646" s="10"/>
      <c r="BLZ646" s="10"/>
      <c r="BMA646" s="10"/>
      <c r="BMB646" s="10"/>
      <c r="BMC646" s="10"/>
      <c r="BMD646" s="10"/>
      <c r="BME646" s="10"/>
      <c r="BMF646" s="10"/>
      <c r="BMG646" s="10"/>
      <c r="BMH646" s="10"/>
      <c r="BMI646" s="10"/>
      <c r="BMJ646" s="10"/>
      <c r="BMK646" s="10"/>
      <c r="BML646" s="10"/>
      <c r="BMM646" s="10"/>
      <c r="BMN646" s="10"/>
      <c r="BMO646" s="10"/>
      <c r="BMP646" s="10"/>
      <c r="BMQ646" s="10"/>
      <c r="BMR646" s="10"/>
      <c r="BMS646" s="10"/>
      <c r="BMT646" s="10"/>
      <c r="BMU646" s="10"/>
      <c r="BMV646" s="10"/>
      <c r="BMW646" s="10"/>
      <c r="BMX646" s="10"/>
      <c r="BMY646" s="10"/>
      <c r="BMZ646" s="10"/>
      <c r="BNA646" s="10"/>
      <c r="BNB646" s="10"/>
      <c r="BNC646" s="10"/>
      <c r="BND646" s="10"/>
      <c r="BNE646" s="10"/>
      <c r="BNF646" s="10"/>
      <c r="BNG646" s="10"/>
      <c r="BNH646" s="10"/>
      <c r="BNI646" s="10"/>
      <c r="BNJ646" s="10"/>
      <c r="BNK646" s="10"/>
      <c r="BNL646" s="10"/>
      <c r="BNM646" s="10"/>
      <c r="BNN646" s="10"/>
      <c r="BNO646" s="10"/>
      <c r="BNP646" s="10"/>
      <c r="BNQ646" s="10"/>
      <c r="BNR646" s="10"/>
      <c r="BNS646" s="10"/>
      <c r="BNT646" s="10"/>
      <c r="BNU646" s="10"/>
      <c r="BNV646" s="10"/>
      <c r="BNW646" s="10"/>
      <c r="BNX646" s="10"/>
      <c r="BNY646" s="10"/>
      <c r="BNZ646" s="10"/>
      <c r="BOA646" s="10"/>
      <c r="BOB646" s="10"/>
      <c r="BOC646" s="10"/>
      <c r="BOD646" s="10"/>
      <c r="BOE646" s="10"/>
      <c r="BOF646" s="10"/>
      <c r="BOG646" s="10"/>
      <c r="BOH646" s="10"/>
      <c r="BOI646" s="10"/>
      <c r="BOJ646" s="10"/>
      <c r="BOK646" s="10"/>
      <c r="BOL646" s="10"/>
      <c r="BOM646" s="10"/>
      <c r="BON646" s="10"/>
      <c r="BOO646" s="10"/>
      <c r="BOP646" s="10"/>
      <c r="BOQ646" s="10"/>
      <c r="BOR646" s="10"/>
      <c r="BOS646" s="10"/>
      <c r="BOT646" s="10"/>
      <c r="BOU646" s="10"/>
      <c r="BOV646" s="10"/>
      <c r="BOW646" s="10"/>
      <c r="BOX646" s="10"/>
      <c r="BOY646" s="10"/>
      <c r="BOZ646" s="10"/>
      <c r="BPA646" s="10"/>
      <c r="BPB646" s="10"/>
      <c r="BPC646" s="10"/>
      <c r="BPD646" s="10"/>
      <c r="BPE646" s="10"/>
      <c r="BPF646" s="10"/>
      <c r="BPG646" s="10"/>
      <c r="BPH646" s="10"/>
      <c r="BPI646" s="10"/>
      <c r="BPJ646" s="10"/>
      <c r="BPK646" s="10"/>
      <c r="BPL646" s="10"/>
      <c r="BPM646" s="10"/>
      <c r="BPN646" s="10"/>
      <c r="BPO646" s="10"/>
      <c r="BPP646" s="10"/>
      <c r="BPQ646" s="10"/>
      <c r="BPR646" s="10"/>
      <c r="BPS646" s="10"/>
      <c r="BPT646" s="10"/>
      <c r="BPU646" s="10"/>
      <c r="BPV646" s="10"/>
      <c r="BPW646" s="10"/>
      <c r="BPX646" s="10"/>
      <c r="BPY646" s="10"/>
      <c r="BPZ646" s="10"/>
      <c r="BQA646" s="10"/>
      <c r="BQB646" s="10"/>
      <c r="BQC646" s="10"/>
      <c r="BQD646" s="10"/>
      <c r="BQE646" s="10"/>
      <c r="BQF646" s="10"/>
      <c r="BQG646" s="10"/>
      <c r="BQH646" s="10"/>
      <c r="BQI646" s="10"/>
      <c r="BQJ646" s="10"/>
      <c r="BQK646" s="10"/>
      <c r="BQL646" s="10"/>
      <c r="BQM646" s="10"/>
      <c r="BQN646" s="10"/>
      <c r="BQO646" s="10"/>
      <c r="BQP646" s="10"/>
      <c r="BQQ646" s="10"/>
      <c r="BQR646" s="10"/>
      <c r="BQS646" s="10"/>
      <c r="BQT646" s="10"/>
      <c r="BQU646" s="10"/>
      <c r="BQV646" s="10"/>
      <c r="BQW646" s="10"/>
      <c r="BQX646" s="10"/>
      <c r="BQY646" s="10"/>
      <c r="BQZ646" s="10"/>
      <c r="BRA646" s="10"/>
      <c r="BRB646" s="10"/>
      <c r="BRC646" s="10"/>
      <c r="BRD646" s="10"/>
      <c r="BRE646" s="10"/>
      <c r="BRF646" s="10"/>
      <c r="BRG646" s="10"/>
      <c r="BRH646" s="10"/>
      <c r="BRI646" s="10"/>
      <c r="BRJ646" s="10"/>
      <c r="BRK646" s="10"/>
      <c r="BRL646" s="10"/>
      <c r="BRM646" s="10"/>
      <c r="BRN646" s="10"/>
      <c r="BRO646" s="10"/>
      <c r="BRP646" s="10"/>
      <c r="BRQ646" s="10"/>
      <c r="BRR646" s="10"/>
      <c r="BRS646" s="10"/>
      <c r="BRT646" s="10"/>
      <c r="BRU646" s="10"/>
      <c r="BRV646" s="10"/>
      <c r="BRW646" s="10"/>
      <c r="BRX646" s="10"/>
      <c r="BRY646" s="10"/>
      <c r="BRZ646" s="10"/>
      <c r="BSA646" s="10"/>
      <c r="BSB646" s="10"/>
      <c r="BSC646" s="10"/>
      <c r="BSD646" s="10"/>
      <c r="BSE646" s="10"/>
      <c r="BSF646" s="10"/>
      <c r="BSG646" s="10"/>
      <c r="BSH646" s="10"/>
      <c r="BSI646" s="10"/>
      <c r="BSJ646" s="10"/>
      <c r="BSK646" s="10"/>
      <c r="BSL646" s="10"/>
      <c r="BSM646" s="10"/>
      <c r="BSN646" s="10"/>
      <c r="BSO646" s="10"/>
      <c r="BSP646" s="10"/>
      <c r="BSQ646" s="10"/>
      <c r="BSR646" s="10"/>
      <c r="BSS646" s="10"/>
      <c r="BST646" s="10"/>
      <c r="BSU646" s="10"/>
      <c r="BSV646" s="10"/>
      <c r="BSW646" s="10"/>
      <c r="BSX646" s="10"/>
      <c r="BSY646" s="10"/>
      <c r="BSZ646" s="10"/>
      <c r="BTA646" s="10"/>
      <c r="BTB646" s="10"/>
      <c r="BTC646" s="10"/>
      <c r="BTD646" s="10"/>
      <c r="BTE646" s="10"/>
      <c r="BTF646" s="10"/>
      <c r="BTG646" s="10"/>
      <c r="BTH646" s="10"/>
      <c r="BTI646" s="10"/>
      <c r="BTJ646" s="10"/>
      <c r="BTK646" s="10"/>
      <c r="BTL646" s="10"/>
      <c r="BTM646" s="10"/>
      <c r="BTN646" s="10"/>
      <c r="BTO646" s="10"/>
      <c r="BTP646" s="10"/>
      <c r="BTQ646" s="10"/>
      <c r="BTR646" s="10"/>
      <c r="BTS646" s="10"/>
      <c r="BTT646" s="10"/>
    </row>
    <row r="647" spans="1:1892" s="10" customFormat="1" ht="35.1" customHeight="1">
      <c r="A647" s="1462"/>
      <c r="B647" s="597" t="s">
        <v>836</v>
      </c>
      <c r="C647" s="699"/>
      <c r="D647" s="1205" t="s">
        <v>121</v>
      </c>
      <c r="E647" s="1206"/>
      <c r="F647" s="1207"/>
      <c r="G647" s="639" t="s">
        <v>372</v>
      </c>
      <c r="H647" s="639" t="s">
        <v>373</v>
      </c>
      <c r="I647" s="639" t="s">
        <v>268</v>
      </c>
      <c r="J647" s="795" t="s">
        <v>11</v>
      </c>
      <c r="K647" s="795" t="s">
        <v>12</v>
      </c>
      <c r="L647" s="158">
        <v>84.485799999999998</v>
      </c>
      <c r="M647" s="231">
        <v>38</v>
      </c>
      <c r="N647" s="215">
        <v>3</v>
      </c>
      <c r="O647" s="215">
        <v>3</v>
      </c>
      <c r="P647" s="560" t="s">
        <v>454</v>
      </c>
      <c r="Q647" s="560" t="s">
        <v>454</v>
      </c>
      <c r="R647" s="560" t="s">
        <v>538</v>
      </c>
      <c r="S647" s="1727" t="s">
        <v>539</v>
      </c>
      <c r="T647" s="1593" t="s">
        <v>122</v>
      </c>
      <c r="U647" s="1590" t="s">
        <v>86</v>
      </c>
    </row>
    <row r="648" spans="1:1892" s="10" customFormat="1" ht="35.1" customHeight="1">
      <c r="A648" s="1462"/>
      <c r="B648" s="503"/>
      <c r="C648" s="1040"/>
      <c r="D648" s="1208"/>
      <c r="E648" s="1209"/>
      <c r="F648" s="1210"/>
      <c r="G648" s="640"/>
      <c r="H648" s="640"/>
      <c r="I648" s="640"/>
      <c r="J648" s="796"/>
      <c r="K648" s="796"/>
      <c r="L648" s="158">
        <v>84.375699999999995</v>
      </c>
      <c r="M648" s="231">
        <v>38</v>
      </c>
      <c r="N648" s="215">
        <v>0</v>
      </c>
      <c r="O648" s="215">
        <v>0</v>
      </c>
      <c r="P648" s="561"/>
      <c r="Q648" s="561"/>
      <c r="R648" s="561"/>
      <c r="S648" s="1728"/>
      <c r="T648" s="1594"/>
      <c r="U648" s="1591"/>
    </row>
    <row r="649" spans="1:1892" s="10" customFormat="1" ht="35.1" customHeight="1">
      <c r="A649" s="1462"/>
      <c r="B649" s="503"/>
      <c r="C649" s="1040"/>
      <c r="D649" s="1208"/>
      <c r="E649" s="1209"/>
      <c r="F649" s="1210"/>
      <c r="G649" s="640"/>
      <c r="H649" s="640"/>
      <c r="I649" s="640"/>
      <c r="J649" s="796"/>
      <c r="K649" s="796"/>
      <c r="L649" s="158">
        <v>84.564999999999998</v>
      </c>
      <c r="M649" s="231">
        <v>15</v>
      </c>
      <c r="N649" s="215">
        <v>2</v>
      </c>
      <c r="O649" s="215">
        <v>2</v>
      </c>
      <c r="P649" s="561"/>
      <c r="Q649" s="561"/>
      <c r="R649" s="561"/>
      <c r="S649" s="1728"/>
      <c r="T649" s="1594"/>
      <c r="U649" s="1591"/>
    </row>
    <row r="650" spans="1:1892" s="10" customFormat="1" ht="35.1" customHeight="1">
      <c r="A650" s="1462"/>
      <c r="B650" s="503"/>
      <c r="C650" s="1040"/>
      <c r="D650" s="1208"/>
      <c r="E650" s="1209"/>
      <c r="F650" s="1210"/>
      <c r="G650" s="640"/>
      <c r="H650" s="640"/>
      <c r="I650" s="640"/>
      <c r="J650" s="796"/>
      <c r="K650" s="796"/>
      <c r="L650" s="158">
        <v>84.636099999999999</v>
      </c>
      <c r="M650" s="231">
        <v>15</v>
      </c>
      <c r="N650" s="215">
        <v>1</v>
      </c>
      <c r="O650" s="215">
        <v>1</v>
      </c>
      <c r="P650" s="561"/>
      <c r="Q650" s="561"/>
      <c r="R650" s="561"/>
      <c r="S650" s="1728"/>
      <c r="T650" s="1594"/>
      <c r="U650" s="1591"/>
    </row>
    <row r="651" spans="1:1892" s="10" customFormat="1" ht="35.1" customHeight="1">
      <c r="A651" s="1462"/>
      <c r="B651" s="503"/>
      <c r="C651" s="1040"/>
      <c r="D651" s="1208"/>
      <c r="E651" s="1209"/>
      <c r="F651" s="1210"/>
      <c r="G651" s="640"/>
      <c r="H651" s="640"/>
      <c r="I651" s="640"/>
      <c r="J651" s="796"/>
      <c r="K651" s="796"/>
      <c r="L651" s="158">
        <v>84.420699999999997</v>
      </c>
      <c r="M651" s="231">
        <v>10</v>
      </c>
      <c r="N651" s="215">
        <v>1</v>
      </c>
      <c r="O651" s="215">
        <v>1</v>
      </c>
      <c r="P651" s="561"/>
      <c r="Q651" s="561"/>
      <c r="R651" s="561"/>
      <c r="S651" s="1728"/>
      <c r="T651" s="1594"/>
      <c r="U651" s="1591"/>
    </row>
    <row r="652" spans="1:1892" s="10" customFormat="1" ht="35.1" customHeight="1">
      <c r="A652" s="1462"/>
      <c r="B652" s="503"/>
      <c r="C652" s="1040"/>
      <c r="D652" s="1208"/>
      <c r="E652" s="1209"/>
      <c r="F652" s="1210"/>
      <c r="G652" s="640"/>
      <c r="H652" s="640"/>
      <c r="I652" s="640"/>
      <c r="J652" s="796"/>
      <c r="K652" s="796"/>
      <c r="L652" s="158">
        <v>84.124200000000002</v>
      </c>
      <c r="M652" s="231">
        <v>10</v>
      </c>
      <c r="N652" s="215">
        <v>0</v>
      </c>
      <c r="O652" s="215">
        <v>0</v>
      </c>
      <c r="P652" s="561"/>
      <c r="Q652" s="561"/>
      <c r="R652" s="561"/>
      <c r="S652" s="1728"/>
      <c r="T652" s="1594"/>
      <c r="U652" s="1591"/>
    </row>
    <row r="653" spans="1:1892" s="10" customFormat="1" ht="35.1" customHeight="1">
      <c r="A653" s="1462"/>
      <c r="B653" s="503"/>
      <c r="C653" s="1040"/>
      <c r="D653" s="1208"/>
      <c r="E653" s="1209"/>
      <c r="F653" s="1210"/>
      <c r="G653" s="640"/>
      <c r="H653" s="640"/>
      <c r="I653" s="640"/>
      <c r="J653" s="796"/>
      <c r="K653" s="796"/>
      <c r="L653" s="158">
        <v>84.651399999999995</v>
      </c>
      <c r="M653" s="231">
        <v>3</v>
      </c>
      <c r="N653" s="215">
        <v>0</v>
      </c>
      <c r="O653" s="215">
        <v>0</v>
      </c>
      <c r="P653" s="561"/>
      <c r="Q653" s="561"/>
      <c r="R653" s="561"/>
      <c r="S653" s="1728"/>
      <c r="T653" s="1594"/>
      <c r="U653" s="1591"/>
    </row>
    <row r="654" spans="1:1892" s="10" customFormat="1" ht="35.1" customHeight="1">
      <c r="A654" s="1462"/>
      <c r="B654" s="503"/>
      <c r="C654" s="1040"/>
      <c r="D654" s="1208"/>
      <c r="E654" s="1209"/>
      <c r="F654" s="1210"/>
      <c r="G654" s="640"/>
      <c r="H654" s="640"/>
      <c r="I654" s="640"/>
      <c r="J654" s="796"/>
      <c r="K654" s="796"/>
      <c r="L654" s="158">
        <v>84.688199999999995</v>
      </c>
      <c r="M654" s="231">
        <v>3</v>
      </c>
      <c r="N654" s="215">
        <v>0</v>
      </c>
      <c r="O654" s="215">
        <v>0</v>
      </c>
      <c r="P654" s="561"/>
      <c r="Q654" s="561"/>
      <c r="R654" s="561"/>
      <c r="S654" s="1728"/>
      <c r="T654" s="1594"/>
      <c r="U654" s="1591"/>
    </row>
    <row r="655" spans="1:1892" s="10" customFormat="1" ht="35.1" customHeight="1">
      <c r="A655" s="1462"/>
      <c r="B655" s="503"/>
      <c r="C655" s="1040"/>
      <c r="D655" s="1208"/>
      <c r="E655" s="1209"/>
      <c r="F655" s="1210"/>
      <c r="G655" s="640"/>
      <c r="H655" s="640"/>
      <c r="I655" s="640"/>
      <c r="J655" s="796"/>
      <c r="K655" s="796"/>
      <c r="L655" s="158">
        <v>84.347499999999997</v>
      </c>
      <c r="M655" s="231">
        <v>3</v>
      </c>
      <c r="N655" s="215">
        <v>0</v>
      </c>
      <c r="O655" s="215">
        <v>0</v>
      </c>
      <c r="P655" s="561"/>
      <c r="Q655" s="561"/>
      <c r="R655" s="561"/>
      <c r="S655" s="1728"/>
      <c r="T655" s="1594"/>
      <c r="U655" s="1591"/>
    </row>
    <row r="656" spans="1:1892" s="10" customFormat="1" ht="35.1" customHeight="1">
      <c r="A656" s="1462"/>
      <c r="B656" s="503"/>
      <c r="C656" s="1040"/>
      <c r="D656" s="1208"/>
      <c r="E656" s="1209"/>
      <c r="F656" s="1210"/>
      <c r="G656" s="641"/>
      <c r="H656" s="641"/>
      <c r="I656" s="641"/>
      <c r="J656" s="797"/>
      <c r="K656" s="797"/>
      <c r="L656" s="158">
        <v>84.688199999999995</v>
      </c>
      <c r="M656" s="231">
        <v>3</v>
      </c>
      <c r="N656" s="215">
        <v>1</v>
      </c>
      <c r="O656" s="215">
        <v>1</v>
      </c>
      <c r="P656" s="561"/>
      <c r="Q656" s="561"/>
      <c r="R656" s="561"/>
      <c r="S656" s="1728"/>
      <c r="T656" s="1594"/>
      <c r="U656" s="1591"/>
    </row>
    <row r="657" spans="1:21" s="10" customFormat="1" ht="35.1" customHeight="1">
      <c r="A657" s="1462"/>
      <c r="B657" s="503"/>
      <c r="C657" s="1040"/>
      <c r="D657" s="1211"/>
      <c r="E657" s="1212"/>
      <c r="F657" s="1213"/>
      <c r="G657" s="490" t="s">
        <v>329</v>
      </c>
      <c r="H657" s="491"/>
      <c r="I657" s="491"/>
      <c r="J657" s="491"/>
      <c r="K657" s="492"/>
      <c r="L657" s="133"/>
      <c r="M657" s="251">
        <f>SUM(M647:M656)</f>
        <v>138</v>
      </c>
      <c r="N657" s="400">
        <f>SUM(N647:N656)</f>
        <v>8</v>
      </c>
      <c r="O657" s="400">
        <f>SUM(O647:O656)</f>
        <v>8</v>
      </c>
      <c r="P657" s="562"/>
      <c r="Q657" s="562"/>
      <c r="R657" s="562"/>
      <c r="S657" s="1729"/>
      <c r="T657" s="1595"/>
      <c r="U657" s="1592"/>
    </row>
    <row r="658" spans="1:21" s="10" customFormat="1" ht="35.1" customHeight="1">
      <c r="A658" s="1462"/>
      <c r="B658" s="503"/>
      <c r="C658" s="1040"/>
      <c r="D658" s="1205" t="s">
        <v>123</v>
      </c>
      <c r="E658" s="1206"/>
      <c r="F658" s="1207"/>
      <c r="G658" s="639" t="s">
        <v>372</v>
      </c>
      <c r="H658" s="639" t="s">
        <v>373</v>
      </c>
      <c r="I658" s="639" t="s">
        <v>268</v>
      </c>
      <c r="J658" s="795" t="s">
        <v>11</v>
      </c>
      <c r="K658" s="795" t="s">
        <v>12</v>
      </c>
      <c r="L658" s="158">
        <v>84.485799999999998</v>
      </c>
      <c r="M658" s="231">
        <v>46</v>
      </c>
      <c r="N658" s="215">
        <v>2</v>
      </c>
      <c r="O658" s="215">
        <v>2</v>
      </c>
      <c r="P658" s="560" t="s">
        <v>454</v>
      </c>
      <c r="Q658" s="560" t="s">
        <v>454</v>
      </c>
      <c r="R658" s="560" t="s">
        <v>538</v>
      </c>
      <c r="S658" s="1727" t="s">
        <v>539</v>
      </c>
      <c r="T658" s="1593" t="s">
        <v>122</v>
      </c>
      <c r="U658" s="1590" t="s">
        <v>86</v>
      </c>
    </row>
    <row r="659" spans="1:21" s="10" customFormat="1" ht="35.1" customHeight="1">
      <c r="A659" s="1462"/>
      <c r="B659" s="503"/>
      <c r="C659" s="1040"/>
      <c r="D659" s="1208"/>
      <c r="E659" s="1209"/>
      <c r="F659" s="1210"/>
      <c r="G659" s="640"/>
      <c r="H659" s="640"/>
      <c r="I659" s="640"/>
      <c r="J659" s="796"/>
      <c r="K659" s="796"/>
      <c r="L659" s="158">
        <v>84.375699999999995</v>
      </c>
      <c r="M659" s="231">
        <v>46</v>
      </c>
      <c r="N659" s="215">
        <v>4</v>
      </c>
      <c r="O659" s="215">
        <v>4</v>
      </c>
      <c r="P659" s="561"/>
      <c r="Q659" s="561"/>
      <c r="R659" s="561"/>
      <c r="S659" s="1728"/>
      <c r="T659" s="1594"/>
      <c r="U659" s="1591"/>
    </row>
    <row r="660" spans="1:21" s="10" customFormat="1" ht="35.1" customHeight="1">
      <c r="A660" s="1462"/>
      <c r="B660" s="503"/>
      <c r="C660" s="1040"/>
      <c r="D660" s="1208"/>
      <c r="E660" s="1209"/>
      <c r="F660" s="1210"/>
      <c r="G660" s="640"/>
      <c r="H660" s="640"/>
      <c r="I660" s="640"/>
      <c r="J660" s="796"/>
      <c r="K660" s="796"/>
      <c r="L660" s="158">
        <v>84.564999999999998</v>
      </c>
      <c r="M660" s="231">
        <v>17</v>
      </c>
      <c r="N660" s="215">
        <v>5</v>
      </c>
      <c r="O660" s="215">
        <v>5</v>
      </c>
      <c r="P660" s="561"/>
      <c r="Q660" s="561"/>
      <c r="R660" s="561"/>
      <c r="S660" s="1728"/>
      <c r="T660" s="1594"/>
      <c r="U660" s="1591"/>
    </row>
    <row r="661" spans="1:21" s="10" customFormat="1" ht="35.1" customHeight="1">
      <c r="A661" s="1462"/>
      <c r="B661" s="503"/>
      <c r="C661" s="1040"/>
      <c r="D661" s="1208"/>
      <c r="E661" s="1209"/>
      <c r="F661" s="1210"/>
      <c r="G661" s="640"/>
      <c r="H661" s="640"/>
      <c r="I661" s="640"/>
      <c r="J661" s="796"/>
      <c r="K661" s="796"/>
      <c r="L661" s="158">
        <v>84.636099999999999</v>
      </c>
      <c r="M661" s="231">
        <v>17</v>
      </c>
      <c r="N661" s="215">
        <v>2</v>
      </c>
      <c r="O661" s="215">
        <v>2</v>
      </c>
      <c r="P661" s="561"/>
      <c r="Q661" s="561"/>
      <c r="R661" s="561"/>
      <c r="S661" s="1728"/>
      <c r="T661" s="1594"/>
      <c r="U661" s="1591"/>
    </row>
    <row r="662" spans="1:21" s="10" customFormat="1" ht="35.1" customHeight="1">
      <c r="A662" s="1462"/>
      <c r="B662" s="503"/>
      <c r="C662" s="1040"/>
      <c r="D662" s="1208"/>
      <c r="E662" s="1209"/>
      <c r="F662" s="1210"/>
      <c r="G662" s="640"/>
      <c r="H662" s="640"/>
      <c r="I662" s="640"/>
      <c r="J662" s="796"/>
      <c r="K662" s="796"/>
      <c r="L662" s="158">
        <v>84.420699999999997</v>
      </c>
      <c r="M662" s="231">
        <v>21</v>
      </c>
      <c r="N662" s="215">
        <v>3</v>
      </c>
      <c r="O662" s="215">
        <v>3</v>
      </c>
      <c r="P662" s="561"/>
      <c r="Q662" s="561"/>
      <c r="R662" s="561"/>
      <c r="S662" s="1728"/>
      <c r="T662" s="1594"/>
      <c r="U662" s="1591"/>
    </row>
    <row r="663" spans="1:21" s="10" customFormat="1" ht="35.1" customHeight="1">
      <c r="A663" s="1462"/>
      <c r="B663" s="503"/>
      <c r="C663" s="1040"/>
      <c r="D663" s="1208"/>
      <c r="E663" s="1209"/>
      <c r="F663" s="1210"/>
      <c r="G663" s="640"/>
      <c r="H663" s="640"/>
      <c r="I663" s="640"/>
      <c r="J663" s="796"/>
      <c r="K663" s="796"/>
      <c r="L663" s="158">
        <v>84.124200000000002</v>
      </c>
      <c r="M663" s="231">
        <v>21</v>
      </c>
      <c r="N663" s="215">
        <v>2</v>
      </c>
      <c r="O663" s="215">
        <v>2</v>
      </c>
      <c r="P663" s="561"/>
      <c r="Q663" s="561"/>
      <c r="R663" s="561"/>
      <c r="S663" s="1728"/>
      <c r="T663" s="1594"/>
      <c r="U663" s="1591"/>
    </row>
    <row r="664" spans="1:21" s="10" customFormat="1" ht="35.1" customHeight="1">
      <c r="A664" s="1462"/>
      <c r="B664" s="503"/>
      <c r="C664" s="1040"/>
      <c r="D664" s="1208"/>
      <c r="E664" s="1209"/>
      <c r="F664" s="1210"/>
      <c r="G664" s="640"/>
      <c r="H664" s="640"/>
      <c r="I664" s="640"/>
      <c r="J664" s="796"/>
      <c r="K664" s="796"/>
      <c r="L664" s="158">
        <v>84.651399999999995</v>
      </c>
      <c r="M664" s="231">
        <v>8</v>
      </c>
      <c r="N664" s="215">
        <v>0</v>
      </c>
      <c r="O664" s="215">
        <v>0</v>
      </c>
      <c r="P664" s="561"/>
      <c r="Q664" s="561"/>
      <c r="R664" s="561"/>
      <c r="S664" s="1728"/>
      <c r="T664" s="1594"/>
      <c r="U664" s="1591"/>
    </row>
    <row r="665" spans="1:21" s="10" customFormat="1" ht="35.1" customHeight="1">
      <c r="A665" s="1462"/>
      <c r="B665" s="503"/>
      <c r="C665" s="1040"/>
      <c r="D665" s="1208"/>
      <c r="E665" s="1209"/>
      <c r="F665" s="1210"/>
      <c r="G665" s="640"/>
      <c r="H665" s="640"/>
      <c r="I665" s="640"/>
      <c r="J665" s="796"/>
      <c r="K665" s="796"/>
      <c r="L665" s="158">
        <v>84.688199999999995</v>
      </c>
      <c r="M665" s="231">
        <v>8</v>
      </c>
      <c r="N665" s="215">
        <v>0</v>
      </c>
      <c r="O665" s="215">
        <v>0</v>
      </c>
      <c r="P665" s="561"/>
      <c r="Q665" s="561"/>
      <c r="R665" s="561"/>
      <c r="S665" s="1728"/>
      <c r="T665" s="1594"/>
      <c r="U665" s="1591"/>
    </row>
    <row r="666" spans="1:21" s="10" customFormat="1" ht="35.1" customHeight="1">
      <c r="A666" s="1462"/>
      <c r="B666" s="503"/>
      <c r="C666" s="1040"/>
      <c r="D666" s="1208"/>
      <c r="E666" s="1209"/>
      <c r="F666" s="1210"/>
      <c r="G666" s="640"/>
      <c r="H666" s="640"/>
      <c r="I666" s="640"/>
      <c r="J666" s="796"/>
      <c r="K666" s="796"/>
      <c r="L666" s="158">
        <v>84.347499999999997</v>
      </c>
      <c r="M666" s="231">
        <v>8</v>
      </c>
      <c r="N666" s="215">
        <v>0</v>
      </c>
      <c r="O666" s="215">
        <v>0</v>
      </c>
      <c r="P666" s="561"/>
      <c r="Q666" s="561"/>
      <c r="R666" s="561"/>
      <c r="S666" s="1728"/>
      <c r="T666" s="1594"/>
      <c r="U666" s="1591"/>
    </row>
    <row r="667" spans="1:21" s="10" customFormat="1" ht="35.1" customHeight="1">
      <c r="A667" s="1462"/>
      <c r="B667" s="503"/>
      <c r="C667" s="1040"/>
      <c r="D667" s="1208"/>
      <c r="E667" s="1209"/>
      <c r="F667" s="1210"/>
      <c r="G667" s="641"/>
      <c r="H667" s="641"/>
      <c r="I667" s="641"/>
      <c r="J667" s="797"/>
      <c r="K667" s="797"/>
      <c r="L667" s="158">
        <v>84.688199999999995</v>
      </c>
      <c r="M667" s="231">
        <v>8</v>
      </c>
      <c r="N667" s="215">
        <v>3</v>
      </c>
      <c r="O667" s="215">
        <v>3</v>
      </c>
      <c r="P667" s="561"/>
      <c r="Q667" s="561"/>
      <c r="R667" s="561"/>
      <c r="S667" s="1728"/>
      <c r="T667" s="1594"/>
      <c r="U667" s="1591"/>
    </row>
    <row r="668" spans="1:21" s="10" customFormat="1" ht="35.1" customHeight="1">
      <c r="A668" s="1462"/>
      <c r="B668" s="503"/>
      <c r="C668" s="1040"/>
      <c r="D668" s="1211"/>
      <c r="E668" s="1212"/>
      <c r="F668" s="1213"/>
      <c r="G668" s="490" t="s">
        <v>329</v>
      </c>
      <c r="H668" s="491"/>
      <c r="I668" s="491"/>
      <c r="J668" s="491"/>
      <c r="K668" s="492"/>
      <c r="L668" s="133"/>
      <c r="M668" s="251">
        <f>SUM(M658:M667)</f>
        <v>200</v>
      </c>
      <c r="N668" s="400">
        <f>SUM(N658:N667)</f>
        <v>21</v>
      </c>
      <c r="O668" s="400">
        <f>SUM(O658:O667)</f>
        <v>21</v>
      </c>
      <c r="P668" s="562"/>
      <c r="Q668" s="562"/>
      <c r="R668" s="562"/>
      <c r="S668" s="1729"/>
      <c r="T668" s="1595"/>
      <c r="U668" s="1592"/>
    </row>
    <row r="669" spans="1:21" s="10" customFormat="1" ht="35.1" customHeight="1">
      <c r="A669" s="1462"/>
      <c r="B669" s="503"/>
      <c r="C669" s="1040"/>
      <c r="D669" s="1205" t="s">
        <v>124</v>
      </c>
      <c r="E669" s="1206"/>
      <c r="F669" s="1207"/>
      <c r="G669" s="639" t="s">
        <v>374</v>
      </c>
      <c r="H669" s="639" t="s">
        <v>373</v>
      </c>
      <c r="I669" s="639" t="s">
        <v>268</v>
      </c>
      <c r="J669" s="795" t="s">
        <v>11</v>
      </c>
      <c r="K669" s="795" t="s">
        <v>12</v>
      </c>
      <c r="L669" s="158">
        <v>84.483999999999995</v>
      </c>
      <c r="M669" s="231">
        <v>48</v>
      </c>
      <c r="N669" s="119">
        <v>3</v>
      </c>
      <c r="O669" s="119">
        <v>3</v>
      </c>
      <c r="P669" s="560" t="s">
        <v>454</v>
      </c>
      <c r="Q669" s="560" t="s">
        <v>454</v>
      </c>
      <c r="R669" s="560" t="s">
        <v>537</v>
      </c>
      <c r="S669" s="1727" t="s">
        <v>539</v>
      </c>
      <c r="T669" s="1593" t="s">
        <v>122</v>
      </c>
      <c r="U669" s="1590" t="s">
        <v>86</v>
      </c>
    </row>
    <row r="670" spans="1:21" s="10" customFormat="1" ht="35.1" customHeight="1">
      <c r="A670" s="1462"/>
      <c r="B670" s="503"/>
      <c r="C670" s="1040"/>
      <c r="D670" s="1208"/>
      <c r="E670" s="1209"/>
      <c r="F670" s="1210"/>
      <c r="G670" s="640"/>
      <c r="H670" s="640"/>
      <c r="I670" s="640"/>
      <c r="J670" s="796"/>
      <c r="K670" s="796"/>
      <c r="L670" s="158">
        <v>84.46</v>
      </c>
      <c r="M670" s="231">
        <v>48</v>
      </c>
      <c r="N670" s="119">
        <v>0</v>
      </c>
      <c r="O670" s="119">
        <v>0</v>
      </c>
      <c r="P670" s="561"/>
      <c r="Q670" s="561"/>
      <c r="R670" s="561"/>
      <c r="S670" s="1728"/>
      <c r="T670" s="1594"/>
      <c r="U670" s="1591"/>
    </row>
    <row r="671" spans="1:21" s="10" customFormat="1" ht="35.1" customHeight="1">
      <c r="A671" s="1462"/>
      <c r="B671" s="503"/>
      <c r="C671" s="1040"/>
      <c r="D671" s="1208"/>
      <c r="E671" s="1209"/>
      <c r="F671" s="1210"/>
      <c r="G671" s="640"/>
      <c r="H671" s="640"/>
      <c r="I671" s="640"/>
      <c r="J671" s="796"/>
      <c r="K671" s="796"/>
      <c r="L671" s="158">
        <v>84.483999999999995</v>
      </c>
      <c r="M671" s="231">
        <v>6</v>
      </c>
      <c r="N671" s="119">
        <v>0</v>
      </c>
      <c r="O671" s="119">
        <v>0</v>
      </c>
      <c r="P671" s="561"/>
      <c r="Q671" s="561"/>
      <c r="R671" s="561"/>
      <c r="S671" s="1728"/>
      <c r="T671" s="1594"/>
      <c r="U671" s="1591"/>
    </row>
    <row r="672" spans="1:21" s="10" customFormat="1" ht="35.1" customHeight="1">
      <c r="A672" s="1462"/>
      <c r="B672" s="503"/>
      <c r="C672" s="1040"/>
      <c r="D672" s="1208"/>
      <c r="E672" s="1209"/>
      <c r="F672" s="1210"/>
      <c r="G672" s="640"/>
      <c r="H672" s="640"/>
      <c r="I672" s="640"/>
      <c r="J672" s="796"/>
      <c r="K672" s="796"/>
      <c r="L672" s="158">
        <v>84.46</v>
      </c>
      <c r="M672" s="231">
        <v>6</v>
      </c>
      <c r="N672" s="119">
        <v>0</v>
      </c>
      <c r="O672" s="119">
        <v>0</v>
      </c>
      <c r="P672" s="561"/>
      <c r="Q672" s="561"/>
      <c r="R672" s="561"/>
      <c r="S672" s="1728"/>
      <c r="T672" s="1594"/>
      <c r="U672" s="1591"/>
    </row>
    <row r="673" spans="1:21" s="10" customFormat="1" ht="35.1" customHeight="1">
      <c r="A673" s="1462"/>
      <c r="B673" s="503"/>
      <c r="C673" s="1040"/>
      <c r="D673" s="1208"/>
      <c r="E673" s="1209"/>
      <c r="F673" s="1210"/>
      <c r="G673" s="640"/>
      <c r="H673" s="640"/>
      <c r="I673" s="640"/>
      <c r="J673" s="796"/>
      <c r="K673" s="796"/>
      <c r="L673" s="158">
        <v>84.36</v>
      </c>
      <c r="M673" s="231">
        <v>5</v>
      </c>
      <c r="N673" s="119">
        <v>1</v>
      </c>
      <c r="O673" s="119">
        <v>1</v>
      </c>
      <c r="P673" s="561"/>
      <c r="Q673" s="561"/>
      <c r="R673" s="561"/>
      <c r="S673" s="1728"/>
      <c r="T673" s="1594"/>
      <c r="U673" s="1591"/>
    </row>
    <row r="674" spans="1:21" s="10" customFormat="1" ht="35.1" customHeight="1">
      <c r="A674" s="1462"/>
      <c r="B674" s="503"/>
      <c r="C674" s="1040"/>
      <c r="D674" s="1208"/>
      <c r="E674" s="1209"/>
      <c r="F674" s="1210"/>
      <c r="G674" s="641"/>
      <c r="H674" s="641"/>
      <c r="I674" s="641"/>
      <c r="J674" s="797"/>
      <c r="K674" s="797"/>
      <c r="L674" s="158">
        <v>84.194999999999993</v>
      </c>
      <c r="M674" s="231">
        <v>5</v>
      </c>
      <c r="N674" s="119">
        <v>0</v>
      </c>
      <c r="O674" s="119">
        <v>0</v>
      </c>
      <c r="P674" s="561"/>
      <c r="Q674" s="561"/>
      <c r="R674" s="561"/>
      <c r="S674" s="1728"/>
      <c r="T674" s="1594"/>
      <c r="U674" s="1591"/>
    </row>
    <row r="675" spans="1:21" s="10" customFormat="1" ht="35.1" customHeight="1">
      <c r="A675" s="1462"/>
      <c r="B675" s="503"/>
      <c r="C675" s="700"/>
      <c r="D675" s="1211"/>
      <c r="E675" s="1212"/>
      <c r="F675" s="1213"/>
      <c r="G675" s="490" t="s">
        <v>329</v>
      </c>
      <c r="H675" s="491"/>
      <c r="I675" s="491"/>
      <c r="J675" s="491"/>
      <c r="K675" s="492"/>
      <c r="L675" s="133"/>
      <c r="M675" s="251">
        <f>SUM(M669:M674)</f>
        <v>118</v>
      </c>
      <c r="N675" s="400">
        <f>SUM(N669:N674)</f>
        <v>4</v>
      </c>
      <c r="O675" s="400">
        <f>SUM(O669:O674)</f>
        <v>4</v>
      </c>
      <c r="P675" s="562"/>
      <c r="Q675" s="562"/>
      <c r="R675" s="562"/>
      <c r="S675" s="1729"/>
      <c r="T675" s="1595"/>
      <c r="U675" s="1592"/>
    </row>
    <row r="676" spans="1:21" s="10" customFormat="1" ht="35.1" customHeight="1">
      <c r="A676" s="1462"/>
      <c r="B676" s="503"/>
      <c r="C676" s="699" t="s">
        <v>72</v>
      </c>
      <c r="D676" s="1205" t="s">
        <v>141</v>
      </c>
      <c r="E676" s="1206"/>
      <c r="F676" s="1207"/>
      <c r="G676" s="699" t="s">
        <v>179</v>
      </c>
      <c r="H676" s="699" t="s">
        <v>132</v>
      </c>
      <c r="I676" s="699" t="s">
        <v>132</v>
      </c>
      <c r="J676" s="795" t="s">
        <v>11</v>
      </c>
      <c r="K676" s="795" t="s">
        <v>12</v>
      </c>
      <c r="L676" s="172" t="s">
        <v>142</v>
      </c>
      <c r="M676" s="221">
        <v>16</v>
      </c>
      <c r="N676" s="119">
        <v>9</v>
      </c>
      <c r="O676" s="119">
        <v>9</v>
      </c>
      <c r="P676" s="579" t="s">
        <v>419</v>
      </c>
      <c r="Q676" s="579" t="s">
        <v>419</v>
      </c>
      <c r="R676" s="579" t="s">
        <v>469</v>
      </c>
      <c r="S676" s="1573" t="s">
        <v>188</v>
      </c>
      <c r="T676" s="811" t="s">
        <v>122</v>
      </c>
      <c r="U676" s="811" t="s">
        <v>86</v>
      </c>
    </row>
    <row r="677" spans="1:21" s="10" customFormat="1" ht="35.1" customHeight="1">
      <c r="A677" s="1462"/>
      <c r="B677" s="503"/>
      <c r="C677" s="1040"/>
      <c r="D677" s="1208"/>
      <c r="E677" s="1209"/>
      <c r="F677" s="1210"/>
      <c r="G677" s="1040"/>
      <c r="H677" s="1040"/>
      <c r="I677" s="1040"/>
      <c r="J677" s="796"/>
      <c r="K677" s="796"/>
      <c r="L677" s="172" t="s">
        <v>143</v>
      </c>
      <c r="M677" s="221">
        <v>20</v>
      </c>
      <c r="N677" s="119">
        <v>11</v>
      </c>
      <c r="O677" s="119">
        <v>11</v>
      </c>
      <c r="P677" s="580"/>
      <c r="Q677" s="580"/>
      <c r="R677" s="580"/>
      <c r="S677" s="1574"/>
      <c r="T677" s="812"/>
      <c r="U677" s="812"/>
    </row>
    <row r="678" spans="1:21" s="10" customFormat="1" ht="35.1" customHeight="1">
      <c r="A678" s="1462"/>
      <c r="B678" s="503"/>
      <c r="C678" s="1040"/>
      <c r="D678" s="1208"/>
      <c r="E678" s="1209"/>
      <c r="F678" s="1210"/>
      <c r="G678" s="1040"/>
      <c r="H678" s="1040"/>
      <c r="I678" s="1040"/>
      <c r="J678" s="796"/>
      <c r="K678" s="796"/>
      <c r="L678" s="172" t="s">
        <v>144</v>
      </c>
      <c r="M678" s="221">
        <v>10</v>
      </c>
      <c r="N678" s="119">
        <v>0</v>
      </c>
      <c r="O678" s="119">
        <v>0</v>
      </c>
      <c r="P678" s="580"/>
      <c r="Q678" s="580"/>
      <c r="R678" s="580"/>
      <c r="S678" s="1574"/>
      <c r="T678" s="812"/>
      <c r="U678" s="812"/>
    </row>
    <row r="679" spans="1:21" s="10" customFormat="1" ht="35.1" customHeight="1">
      <c r="A679" s="1462"/>
      <c r="B679" s="503"/>
      <c r="C679" s="1040"/>
      <c r="D679" s="1208"/>
      <c r="E679" s="1209"/>
      <c r="F679" s="1210"/>
      <c r="G679" s="1040"/>
      <c r="H679" s="1040"/>
      <c r="I679" s="1040"/>
      <c r="J679" s="796"/>
      <c r="K679" s="796"/>
      <c r="L679" s="172" t="s">
        <v>145</v>
      </c>
      <c r="M679" s="221">
        <v>8</v>
      </c>
      <c r="N679" s="119">
        <v>3</v>
      </c>
      <c r="O679" s="119">
        <v>3</v>
      </c>
      <c r="P679" s="580"/>
      <c r="Q679" s="580"/>
      <c r="R679" s="580"/>
      <c r="S679" s="1574"/>
      <c r="T679" s="812"/>
      <c r="U679" s="812"/>
    </row>
    <row r="680" spans="1:21" s="10" customFormat="1" ht="35.1" customHeight="1">
      <c r="A680" s="1462"/>
      <c r="B680" s="503"/>
      <c r="C680" s="1040"/>
      <c r="D680" s="1208"/>
      <c r="E680" s="1209"/>
      <c r="F680" s="1210"/>
      <c r="G680" s="1040"/>
      <c r="H680" s="1040"/>
      <c r="I680" s="1040"/>
      <c r="J680" s="796"/>
      <c r="K680" s="796"/>
      <c r="L680" s="172" t="s">
        <v>146</v>
      </c>
      <c r="M680" s="221">
        <v>11</v>
      </c>
      <c r="N680" s="119">
        <v>9</v>
      </c>
      <c r="O680" s="119">
        <v>9</v>
      </c>
      <c r="P680" s="580"/>
      <c r="Q680" s="580"/>
      <c r="R680" s="580"/>
      <c r="S680" s="1574"/>
      <c r="T680" s="812"/>
      <c r="U680" s="812"/>
    </row>
    <row r="681" spans="1:21" s="10" customFormat="1" ht="35.1" customHeight="1">
      <c r="A681" s="1462"/>
      <c r="B681" s="503"/>
      <c r="C681" s="1040"/>
      <c r="D681" s="1208"/>
      <c r="E681" s="1209"/>
      <c r="F681" s="1210"/>
      <c r="G681" s="1040"/>
      <c r="H681" s="1040"/>
      <c r="I681" s="1040"/>
      <c r="J681" s="796"/>
      <c r="K681" s="796"/>
      <c r="L681" s="172" t="s">
        <v>147</v>
      </c>
      <c r="M681" s="221">
        <v>20</v>
      </c>
      <c r="N681" s="119">
        <v>10</v>
      </c>
      <c r="O681" s="119">
        <v>10</v>
      </c>
      <c r="P681" s="580"/>
      <c r="Q681" s="580"/>
      <c r="R681" s="580"/>
      <c r="S681" s="1574"/>
      <c r="T681" s="812"/>
      <c r="U681" s="812"/>
    </row>
    <row r="682" spans="1:21" s="10" customFormat="1" ht="35.1" customHeight="1">
      <c r="A682" s="1462"/>
      <c r="B682" s="503"/>
      <c r="C682" s="1040"/>
      <c r="D682" s="1208"/>
      <c r="E682" s="1209"/>
      <c r="F682" s="1210"/>
      <c r="G682" s="1040"/>
      <c r="H682" s="1040"/>
      <c r="I682" s="1040"/>
      <c r="J682" s="796"/>
      <c r="K682" s="796"/>
      <c r="L682" s="172" t="s">
        <v>148</v>
      </c>
      <c r="M682" s="221">
        <v>3</v>
      </c>
      <c r="N682" s="119">
        <v>0</v>
      </c>
      <c r="O682" s="119">
        <v>0</v>
      </c>
      <c r="P682" s="580"/>
      <c r="Q682" s="580"/>
      <c r="R682" s="580"/>
      <c r="S682" s="1574"/>
      <c r="T682" s="812"/>
      <c r="U682" s="812"/>
    </row>
    <row r="683" spans="1:21" s="10" customFormat="1" ht="35.1" customHeight="1">
      <c r="A683" s="1462"/>
      <c r="B683" s="503"/>
      <c r="C683" s="1040"/>
      <c r="D683" s="1208"/>
      <c r="E683" s="1209"/>
      <c r="F683" s="1210"/>
      <c r="G683" s="1040"/>
      <c r="H683" s="1040"/>
      <c r="I683" s="1040"/>
      <c r="J683" s="796"/>
      <c r="K683" s="796"/>
      <c r="L683" s="172" t="s">
        <v>149</v>
      </c>
      <c r="M683" s="221">
        <v>5</v>
      </c>
      <c r="N683" s="119">
        <v>0</v>
      </c>
      <c r="O683" s="119">
        <v>0</v>
      </c>
      <c r="P683" s="580"/>
      <c r="Q683" s="580"/>
      <c r="R683" s="580"/>
      <c r="S683" s="1574"/>
      <c r="T683" s="812"/>
      <c r="U683" s="812"/>
    </row>
    <row r="684" spans="1:21" s="10" customFormat="1" ht="35.1" customHeight="1">
      <c r="A684" s="1462"/>
      <c r="B684" s="503"/>
      <c r="C684" s="1040"/>
      <c r="D684" s="1208"/>
      <c r="E684" s="1209"/>
      <c r="F684" s="1210"/>
      <c r="G684" s="1040"/>
      <c r="H684" s="1040"/>
      <c r="I684" s="1040"/>
      <c r="J684" s="796"/>
      <c r="K684" s="796"/>
      <c r="L684" s="172" t="s">
        <v>150</v>
      </c>
      <c r="M684" s="221">
        <v>4</v>
      </c>
      <c r="N684" s="119">
        <v>2</v>
      </c>
      <c r="O684" s="119">
        <v>2</v>
      </c>
      <c r="P684" s="580"/>
      <c r="Q684" s="580"/>
      <c r="R684" s="580"/>
      <c r="S684" s="1574"/>
      <c r="T684" s="812"/>
      <c r="U684" s="812"/>
    </row>
    <row r="685" spans="1:21" s="10" customFormat="1" ht="35.1" customHeight="1">
      <c r="A685" s="1462"/>
      <c r="B685" s="503"/>
      <c r="C685" s="1040"/>
      <c r="D685" s="1208"/>
      <c r="E685" s="1209"/>
      <c r="F685" s="1210"/>
      <c r="G685" s="1040"/>
      <c r="H685" s="1040"/>
      <c r="I685" s="1040"/>
      <c r="J685" s="796"/>
      <c r="K685" s="796"/>
      <c r="L685" s="172" t="s">
        <v>151</v>
      </c>
      <c r="M685" s="221">
        <v>5</v>
      </c>
      <c r="N685" s="119">
        <v>4</v>
      </c>
      <c r="O685" s="119">
        <v>4</v>
      </c>
      <c r="P685" s="580"/>
      <c r="Q685" s="580"/>
      <c r="R685" s="580"/>
      <c r="S685" s="1574"/>
      <c r="T685" s="812"/>
      <c r="U685" s="812"/>
    </row>
    <row r="686" spans="1:21" s="10" customFormat="1" ht="35.1" customHeight="1">
      <c r="A686" s="1462"/>
      <c r="B686" s="503"/>
      <c r="C686" s="1040"/>
      <c r="D686" s="1208"/>
      <c r="E686" s="1209"/>
      <c r="F686" s="1210"/>
      <c r="G686" s="1040"/>
      <c r="H686" s="1040"/>
      <c r="I686" s="1040"/>
      <c r="J686" s="796"/>
      <c r="K686" s="796"/>
      <c r="L686" s="172" t="s">
        <v>152</v>
      </c>
      <c r="M686" s="221">
        <v>4</v>
      </c>
      <c r="N686" s="119">
        <v>1</v>
      </c>
      <c r="O686" s="119">
        <v>1</v>
      </c>
      <c r="P686" s="580"/>
      <c r="Q686" s="580"/>
      <c r="R686" s="580"/>
      <c r="S686" s="1574"/>
      <c r="T686" s="812"/>
      <c r="U686" s="812"/>
    </row>
    <row r="687" spans="1:21" s="10" customFormat="1" ht="35.1" customHeight="1">
      <c r="A687" s="1462"/>
      <c r="B687" s="503"/>
      <c r="C687" s="1040"/>
      <c r="D687" s="1208"/>
      <c r="E687" s="1209"/>
      <c r="F687" s="1210"/>
      <c r="G687" s="1040"/>
      <c r="H687" s="1040"/>
      <c r="I687" s="1040"/>
      <c r="J687" s="796"/>
      <c r="K687" s="796"/>
      <c r="L687" s="172" t="s">
        <v>153</v>
      </c>
      <c r="M687" s="221">
        <v>5</v>
      </c>
      <c r="N687" s="119">
        <v>5</v>
      </c>
      <c r="O687" s="119">
        <v>5</v>
      </c>
      <c r="P687" s="580"/>
      <c r="Q687" s="580"/>
      <c r="R687" s="580"/>
      <c r="S687" s="1574"/>
      <c r="T687" s="812"/>
      <c r="U687" s="812"/>
    </row>
    <row r="688" spans="1:21" s="10" customFormat="1" ht="35.1" customHeight="1">
      <c r="A688" s="1462"/>
      <c r="B688" s="503"/>
      <c r="C688" s="1040"/>
      <c r="D688" s="1208"/>
      <c r="E688" s="1209"/>
      <c r="F688" s="1210"/>
      <c r="G688" s="1040"/>
      <c r="H688" s="1040"/>
      <c r="I688" s="1040"/>
      <c r="J688" s="796"/>
      <c r="K688" s="796"/>
      <c r="L688" s="172" t="s">
        <v>154</v>
      </c>
      <c r="M688" s="221">
        <v>5</v>
      </c>
      <c r="N688" s="119">
        <v>0</v>
      </c>
      <c r="O688" s="119">
        <v>0</v>
      </c>
      <c r="P688" s="580"/>
      <c r="Q688" s="580"/>
      <c r="R688" s="580"/>
      <c r="S688" s="1574"/>
      <c r="T688" s="812"/>
      <c r="U688" s="812"/>
    </row>
    <row r="689" spans="1:21" s="10" customFormat="1" ht="35.1" customHeight="1">
      <c r="A689" s="1462"/>
      <c r="B689" s="503"/>
      <c r="C689" s="1040"/>
      <c r="D689" s="1208"/>
      <c r="E689" s="1209"/>
      <c r="F689" s="1210"/>
      <c r="G689" s="700"/>
      <c r="H689" s="700"/>
      <c r="I689" s="700"/>
      <c r="J689" s="797"/>
      <c r="K689" s="797"/>
      <c r="L689" s="172" t="s">
        <v>155</v>
      </c>
      <c r="M689" s="221">
        <v>6</v>
      </c>
      <c r="N689" s="119">
        <v>0</v>
      </c>
      <c r="O689" s="119">
        <v>0</v>
      </c>
      <c r="P689" s="580"/>
      <c r="Q689" s="580"/>
      <c r="R689" s="580"/>
      <c r="S689" s="1574"/>
      <c r="T689" s="812"/>
      <c r="U689" s="812"/>
    </row>
    <row r="690" spans="1:21" s="10" customFormat="1" ht="35.1" customHeight="1">
      <c r="A690" s="1462"/>
      <c r="B690" s="503"/>
      <c r="C690" s="700"/>
      <c r="D690" s="1211"/>
      <c r="E690" s="1212"/>
      <c r="F690" s="1213"/>
      <c r="G690" s="490" t="s">
        <v>329</v>
      </c>
      <c r="H690" s="491"/>
      <c r="I690" s="491"/>
      <c r="J690" s="491"/>
      <c r="K690" s="492"/>
      <c r="L690" s="133"/>
      <c r="M690" s="251">
        <f>SUM(M676:M689)</f>
        <v>122</v>
      </c>
      <c r="N690" s="400">
        <f>SUM(N676:N689)</f>
        <v>54</v>
      </c>
      <c r="O690" s="400">
        <f>SUM(O676:O689)</f>
        <v>54</v>
      </c>
      <c r="P690" s="581"/>
      <c r="Q690" s="581"/>
      <c r="R690" s="581"/>
      <c r="S690" s="1575"/>
      <c r="T690" s="813"/>
      <c r="U690" s="813"/>
    </row>
    <row r="691" spans="1:21" s="10" customFormat="1" ht="35.1" customHeight="1">
      <c r="A691" s="1462"/>
      <c r="B691" s="503"/>
      <c r="C691" s="699" t="s">
        <v>72</v>
      </c>
      <c r="D691" s="1205" t="s">
        <v>156</v>
      </c>
      <c r="E691" s="1206"/>
      <c r="F691" s="1207"/>
      <c r="G691" s="699" t="s">
        <v>179</v>
      </c>
      <c r="H691" s="699" t="s">
        <v>132</v>
      </c>
      <c r="I691" s="699" t="s">
        <v>132</v>
      </c>
      <c r="J691" s="795" t="s">
        <v>11</v>
      </c>
      <c r="K691" s="795" t="s">
        <v>12</v>
      </c>
      <c r="L691" s="172" t="s">
        <v>142</v>
      </c>
      <c r="M691" s="221">
        <v>34</v>
      </c>
      <c r="N691" s="119">
        <v>13</v>
      </c>
      <c r="O691" s="119">
        <v>13</v>
      </c>
      <c r="P691" s="579" t="s">
        <v>419</v>
      </c>
      <c r="Q691" s="579" t="s">
        <v>419</v>
      </c>
      <c r="R691" s="579" t="s">
        <v>469</v>
      </c>
      <c r="S691" s="1573" t="s">
        <v>188</v>
      </c>
      <c r="T691" s="811" t="s">
        <v>122</v>
      </c>
      <c r="U691" s="811" t="s">
        <v>86</v>
      </c>
    </row>
    <row r="692" spans="1:21" s="10" customFormat="1" ht="35.1" customHeight="1">
      <c r="A692" s="1462"/>
      <c r="B692" s="503"/>
      <c r="C692" s="1040"/>
      <c r="D692" s="1208"/>
      <c r="E692" s="1209"/>
      <c r="F692" s="1210"/>
      <c r="G692" s="1040"/>
      <c r="H692" s="1040"/>
      <c r="I692" s="1040"/>
      <c r="J692" s="796"/>
      <c r="K692" s="796"/>
      <c r="L692" s="172" t="s">
        <v>143</v>
      </c>
      <c r="M692" s="221">
        <v>18</v>
      </c>
      <c r="N692" s="119">
        <v>15</v>
      </c>
      <c r="O692" s="119">
        <v>15</v>
      </c>
      <c r="P692" s="580"/>
      <c r="Q692" s="580"/>
      <c r="R692" s="580"/>
      <c r="S692" s="1574"/>
      <c r="T692" s="812"/>
      <c r="U692" s="812"/>
    </row>
    <row r="693" spans="1:21" s="10" customFormat="1" ht="35.1" customHeight="1">
      <c r="A693" s="1462"/>
      <c r="B693" s="503"/>
      <c r="C693" s="1040"/>
      <c r="D693" s="1208"/>
      <c r="E693" s="1209"/>
      <c r="F693" s="1210"/>
      <c r="G693" s="1040"/>
      <c r="H693" s="1040"/>
      <c r="I693" s="1040"/>
      <c r="J693" s="796"/>
      <c r="K693" s="796"/>
      <c r="L693" s="172" t="s">
        <v>144</v>
      </c>
      <c r="M693" s="221">
        <v>3</v>
      </c>
      <c r="N693" s="119">
        <v>0</v>
      </c>
      <c r="O693" s="119">
        <v>0</v>
      </c>
      <c r="P693" s="580"/>
      <c r="Q693" s="580"/>
      <c r="R693" s="580"/>
      <c r="S693" s="1574"/>
      <c r="T693" s="812"/>
      <c r="U693" s="812"/>
    </row>
    <row r="694" spans="1:21" s="10" customFormat="1" ht="35.1" customHeight="1">
      <c r="A694" s="1462"/>
      <c r="B694" s="503"/>
      <c r="C694" s="1040"/>
      <c r="D694" s="1208"/>
      <c r="E694" s="1209"/>
      <c r="F694" s="1210"/>
      <c r="G694" s="1040"/>
      <c r="H694" s="1040"/>
      <c r="I694" s="1040"/>
      <c r="J694" s="796"/>
      <c r="K694" s="796"/>
      <c r="L694" s="172" t="s">
        <v>146</v>
      </c>
      <c r="M694" s="221">
        <v>18</v>
      </c>
      <c r="N694" s="119">
        <v>15</v>
      </c>
      <c r="O694" s="119">
        <v>15</v>
      </c>
      <c r="P694" s="580"/>
      <c r="Q694" s="580"/>
      <c r="R694" s="580"/>
      <c r="S694" s="1574"/>
      <c r="T694" s="812"/>
      <c r="U694" s="812"/>
    </row>
    <row r="695" spans="1:21" s="10" customFormat="1" ht="35.1" customHeight="1">
      <c r="A695" s="1462"/>
      <c r="B695" s="503"/>
      <c r="C695" s="1040"/>
      <c r="D695" s="1208"/>
      <c r="E695" s="1209"/>
      <c r="F695" s="1210"/>
      <c r="G695" s="1040"/>
      <c r="H695" s="1040"/>
      <c r="I695" s="1040"/>
      <c r="J695" s="796"/>
      <c r="K695" s="796"/>
      <c r="L695" s="172" t="s">
        <v>147</v>
      </c>
      <c r="M695" s="221">
        <v>19</v>
      </c>
      <c r="N695" s="119">
        <v>14</v>
      </c>
      <c r="O695" s="119">
        <v>14</v>
      </c>
      <c r="P695" s="580"/>
      <c r="Q695" s="580"/>
      <c r="R695" s="580"/>
      <c r="S695" s="1574"/>
      <c r="T695" s="812"/>
      <c r="U695" s="812"/>
    </row>
    <row r="696" spans="1:21" s="10" customFormat="1" ht="35.1" customHeight="1">
      <c r="A696" s="1462"/>
      <c r="B696" s="503"/>
      <c r="C696" s="1040"/>
      <c r="D696" s="1208"/>
      <c r="E696" s="1209"/>
      <c r="F696" s="1210"/>
      <c r="G696" s="1040"/>
      <c r="H696" s="1040"/>
      <c r="I696" s="1040"/>
      <c r="J696" s="796"/>
      <c r="K696" s="796"/>
      <c r="L696" s="172" t="s">
        <v>157</v>
      </c>
      <c r="M696" s="221">
        <v>6</v>
      </c>
      <c r="N696" s="119">
        <v>3</v>
      </c>
      <c r="O696" s="119">
        <v>3</v>
      </c>
      <c r="P696" s="580"/>
      <c r="Q696" s="580"/>
      <c r="R696" s="580"/>
      <c r="S696" s="1574"/>
      <c r="T696" s="812"/>
      <c r="U696" s="812"/>
    </row>
    <row r="697" spans="1:21" s="10" customFormat="1" ht="35.1" customHeight="1">
      <c r="A697" s="1462"/>
      <c r="B697" s="503"/>
      <c r="C697" s="1040"/>
      <c r="D697" s="1208"/>
      <c r="E697" s="1209"/>
      <c r="F697" s="1210"/>
      <c r="G697" s="1040"/>
      <c r="H697" s="1040"/>
      <c r="I697" s="1040"/>
      <c r="J697" s="796"/>
      <c r="K697" s="796"/>
      <c r="L697" s="172" t="s">
        <v>148</v>
      </c>
      <c r="M697" s="221">
        <v>8</v>
      </c>
      <c r="N697" s="119">
        <v>0</v>
      </c>
      <c r="O697" s="119">
        <v>0</v>
      </c>
      <c r="P697" s="580"/>
      <c r="Q697" s="580"/>
      <c r="R697" s="580"/>
      <c r="S697" s="1574"/>
      <c r="T697" s="812"/>
      <c r="U697" s="812"/>
    </row>
    <row r="698" spans="1:21" s="10" customFormat="1" ht="35.1" customHeight="1">
      <c r="A698" s="1462"/>
      <c r="B698" s="503"/>
      <c r="C698" s="1040"/>
      <c r="D698" s="1208"/>
      <c r="E698" s="1209"/>
      <c r="F698" s="1210"/>
      <c r="G698" s="1040"/>
      <c r="H698" s="1040"/>
      <c r="I698" s="1040"/>
      <c r="J698" s="796"/>
      <c r="K698" s="796"/>
      <c r="L698" s="172" t="s">
        <v>149</v>
      </c>
      <c r="M698" s="221">
        <v>17</v>
      </c>
      <c r="N698" s="119">
        <v>0</v>
      </c>
      <c r="O698" s="119">
        <v>0</v>
      </c>
      <c r="P698" s="580"/>
      <c r="Q698" s="580"/>
      <c r="R698" s="580"/>
      <c r="S698" s="1574"/>
      <c r="T698" s="812"/>
      <c r="U698" s="812"/>
    </row>
    <row r="699" spans="1:21" s="10" customFormat="1" ht="35.1" customHeight="1">
      <c r="A699" s="1462"/>
      <c r="B699" s="503"/>
      <c r="C699" s="1040"/>
      <c r="D699" s="1208"/>
      <c r="E699" s="1209"/>
      <c r="F699" s="1210"/>
      <c r="G699" s="1040"/>
      <c r="H699" s="1040"/>
      <c r="I699" s="1040"/>
      <c r="J699" s="796"/>
      <c r="K699" s="796"/>
      <c r="L699" s="172" t="s">
        <v>222</v>
      </c>
      <c r="M699" s="221">
        <v>25</v>
      </c>
      <c r="N699" s="119">
        <v>0</v>
      </c>
      <c r="O699" s="119">
        <v>0</v>
      </c>
      <c r="P699" s="580"/>
      <c r="Q699" s="580"/>
      <c r="R699" s="580"/>
      <c r="S699" s="1574"/>
      <c r="T699" s="812"/>
      <c r="U699" s="812"/>
    </row>
    <row r="700" spans="1:21" s="10" customFormat="1" ht="35.1" customHeight="1">
      <c r="A700" s="1462"/>
      <c r="B700" s="503"/>
      <c r="C700" s="1040"/>
      <c r="D700" s="1208"/>
      <c r="E700" s="1209"/>
      <c r="F700" s="1210"/>
      <c r="G700" s="1040"/>
      <c r="H700" s="1040"/>
      <c r="I700" s="1040"/>
      <c r="J700" s="796"/>
      <c r="K700" s="796"/>
      <c r="L700" s="172" t="s">
        <v>158</v>
      </c>
      <c r="M700" s="221">
        <v>25</v>
      </c>
      <c r="N700" s="119">
        <v>0</v>
      </c>
      <c r="O700" s="119">
        <v>0</v>
      </c>
      <c r="P700" s="580"/>
      <c r="Q700" s="580"/>
      <c r="R700" s="580"/>
      <c r="S700" s="1574"/>
      <c r="T700" s="812"/>
      <c r="U700" s="812"/>
    </row>
    <row r="701" spans="1:21" s="10" customFormat="1" ht="35.1" customHeight="1">
      <c r="A701" s="1462"/>
      <c r="B701" s="503"/>
      <c r="C701" s="1040"/>
      <c r="D701" s="1208"/>
      <c r="E701" s="1209"/>
      <c r="F701" s="1210"/>
      <c r="G701" s="1040"/>
      <c r="H701" s="1040"/>
      <c r="I701" s="1040"/>
      <c r="J701" s="796"/>
      <c r="K701" s="796"/>
      <c r="L701" s="172" t="s">
        <v>221</v>
      </c>
      <c r="M701" s="221">
        <v>6</v>
      </c>
      <c r="N701" s="119">
        <v>0</v>
      </c>
      <c r="O701" s="119">
        <v>0</v>
      </c>
      <c r="P701" s="580"/>
      <c r="Q701" s="580"/>
      <c r="R701" s="580"/>
      <c r="S701" s="1574"/>
      <c r="T701" s="812"/>
      <c r="U701" s="812"/>
    </row>
    <row r="702" spans="1:21" s="10" customFormat="1" ht="35.1" customHeight="1">
      <c r="A702" s="1462"/>
      <c r="B702" s="503"/>
      <c r="C702" s="1040"/>
      <c r="D702" s="1208"/>
      <c r="E702" s="1209"/>
      <c r="F702" s="1210"/>
      <c r="G702" s="1040"/>
      <c r="H702" s="1040"/>
      <c r="I702" s="1040"/>
      <c r="J702" s="796"/>
      <c r="K702" s="796"/>
      <c r="L702" s="172" t="s">
        <v>159</v>
      </c>
      <c r="M702" s="221">
        <v>6</v>
      </c>
      <c r="N702" s="119">
        <v>0</v>
      </c>
      <c r="O702" s="119">
        <v>0</v>
      </c>
      <c r="P702" s="580"/>
      <c r="Q702" s="580"/>
      <c r="R702" s="580"/>
      <c r="S702" s="1574"/>
      <c r="T702" s="812"/>
      <c r="U702" s="812"/>
    </row>
    <row r="703" spans="1:21" s="10" customFormat="1" ht="35.1" customHeight="1">
      <c r="A703" s="1462"/>
      <c r="B703" s="503"/>
      <c r="C703" s="1040"/>
      <c r="D703" s="1208"/>
      <c r="E703" s="1209"/>
      <c r="F703" s="1210"/>
      <c r="G703" s="700"/>
      <c r="H703" s="700"/>
      <c r="I703" s="700"/>
      <c r="J703" s="797"/>
      <c r="K703" s="797"/>
      <c r="L703" s="172" t="s">
        <v>154</v>
      </c>
      <c r="M703" s="221">
        <v>1</v>
      </c>
      <c r="N703" s="119">
        <v>0</v>
      </c>
      <c r="O703" s="119">
        <v>0</v>
      </c>
      <c r="P703" s="580"/>
      <c r="Q703" s="580"/>
      <c r="R703" s="580"/>
      <c r="S703" s="1574"/>
      <c r="T703" s="812"/>
      <c r="U703" s="812"/>
    </row>
    <row r="704" spans="1:21" s="10" customFormat="1" ht="35.1" customHeight="1">
      <c r="A704" s="1462"/>
      <c r="B704" s="503"/>
      <c r="C704" s="700"/>
      <c r="D704" s="1211"/>
      <c r="E704" s="1212"/>
      <c r="F704" s="1213"/>
      <c r="G704" s="490" t="s">
        <v>329</v>
      </c>
      <c r="H704" s="491"/>
      <c r="I704" s="491"/>
      <c r="J704" s="491"/>
      <c r="K704" s="492"/>
      <c r="L704" s="133"/>
      <c r="M704" s="251">
        <f>SUM(M691:M703)</f>
        <v>186</v>
      </c>
      <c r="N704" s="400">
        <f>SUM(N691:N703)</f>
        <v>60</v>
      </c>
      <c r="O704" s="400">
        <f>SUM(O691:O703)</f>
        <v>60</v>
      </c>
      <c r="P704" s="581"/>
      <c r="Q704" s="581"/>
      <c r="R704" s="581"/>
      <c r="S704" s="1575"/>
      <c r="T704" s="813"/>
      <c r="U704" s="813"/>
    </row>
    <row r="705" spans="1:21" s="10" customFormat="1" ht="35.1" customHeight="1">
      <c r="A705" s="1462"/>
      <c r="B705" s="503"/>
      <c r="C705" s="699" t="s">
        <v>72</v>
      </c>
      <c r="D705" s="1205" t="s">
        <v>160</v>
      </c>
      <c r="E705" s="1206"/>
      <c r="F705" s="1207"/>
      <c r="G705" s="699" t="s">
        <v>179</v>
      </c>
      <c r="H705" s="699" t="s">
        <v>132</v>
      </c>
      <c r="I705" s="699" t="s">
        <v>132</v>
      </c>
      <c r="J705" s="795" t="s">
        <v>11</v>
      </c>
      <c r="K705" s="795" t="s">
        <v>12</v>
      </c>
      <c r="L705" s="172" t="s">
        <v>142</v>
      </c>
      <c r="M705" s="221">
        <v>33</v>
      </c>
      <c r="N705" s="119">
        <v>12</v>
      </c>
      <c r="O705" s="119">
        <v>12</v>
      </c>
      <c r="P705" s="579" t="s">
        <v>419</v>
      </c>
      <c r="Q705" s="579" t="s">
        <v>419</v>
      </c>
      <c r="R705" s="579" t="s">
        <v>469</v>
      </c>
      <c r="S705" s="1573" t="s">
        <v>188</v>
      </c>
      <c r="T705" s="811" t="s">
        <v>161</v>
      </c>
      <c r="U705" s="811" t="s">
        <v>86</v>
      </c>
    </row>
    <row r="706" spans="1:21" s="10" customFormat="1" ht="35.1" customHeight="1">
      <c r="A706" s="1462"/>
      <c r="B706" s="503"/>
      <c r="C706" s="1040"/>
      <c r="D706" s="1208"/>
      <c r="E706" s="1209"/>
      <c r="F706" s="1210"/>
      <c r="G706" s="1040"/>
      <c r="H706" s="1040"/>
      <c r="I706" s="1040"/>
      <c r="J706" s="796"/>
      <c r="K706" s="796"/>
      <c r="L706" s="172" t="s">
        <v>143</v>
      </c>
      <c r="M706" s="221">
        <v>35</v>
      </c>
      <c r="N706" s="119">
        <v>13</v>
      </c>
      <c r="O706" s="119">
        <v>13</v>
      </c>
      <c r="P706" s="580"/>
      <c r="Q706" s="580"/>
      <c r="R706" s="580"/>
      <c r="S706" s="1574"/>
      <c r="T706" s="812"/>
      <c r="U706" s="812"/>
    </row>
    <row r="707" spans="1:21" s="10" customFormat="1" ht="35.1" customHeight="1">
      <c r="A707" s="1462"/>
      <c r="B707" s="503"/>
      <c r="C707" s="1040"/>
      <c r="D707" s="1208"/>
      <c r="E707" s="1209"/>
      <c r="F707" s="1210"/>
      <c r="G707" s="1040"/>
      <c r="H707" s="1040"/>
      <c r="I707" s="1040"/>
      <c r="J707" s="796"/>
      <c r="K707" s="796"/>
      <c r="L707" s="172" t="s">
        <v>144</v>
      </c>
      <c r="M707" s="221">
        <v>4</v>
      </c>
      <c r="N707" s="119">
        <v>0</v>
      </c>
      <c r="O707" s="119">
        <v>0</v>
      </c>
      <c r="P707" s="580"/>
      <c r="Q707" s="580"/>
      <c r="R707" s="580"/>
      <c r="S707" s="1574"/>
      <c r="T707" s="812"/>
      <c r="U707" s="812"/>
    </row>
    <row r="708" spans="1:21" s="10" customFormat="1" ht="35.1" customHeight="1">
      <c r="A708" s="1462"/>
      <c r="B708" s="503"/>
      <c r="C708" s="1040"/>
      <c r="D708" s="1208"/>
      <c r="E708" s="1209"/>
      <c r="F708" s="1210"/>
      <c r="G708" s="1040"/>
      <c r="H708" s="1040"/>
      <c r="I708" s="1040"/>
      <c r="J708" s="796"/>
      <c r="K708" s="796"/>
      <c r="L708" s="172" t="s">
        <v>145</v>
      </c>
      <c r="M708" s="221">
        <v>5</v>
      </c>
      <c r="N708" s="119">
        <v>1</v>
      </c>
      <c r="O708" s="119">
        <v>1</v>
      </c>
      <c r="P708" s="580"/>
      <c r="Q708" s="580"/>
      <c r="R708" s="580"/>
      <c r="S708" s="1574"/>
      <c r="T708" s="812"/>
      <c r="U708" s="812"/>
    </row>
    <row r="709" spans="1:21" s="10" customFormat="1" ht="35.1" customHeight="1">
      <c r="A709" s="1462"/>
      <c r="B709" s="503"/>
      <c r="C709" s="1040"/>
      <c r="D709" s="1208"/>
      <c r="E709" s="1209"/>
      <c r="F709" s="1210"/>
      <c r="G709" s="1040"/>
      <c r="H709" s="1040"/>
      <c r="I709" s="1040"/>
      <c r="J709" s="796"/>
      <c r="K709" s="796"/>
      <c r="L709" s="172" t="s">
        <v>146</v>
      </c>
      <c r="M709" s="221">
        <v>16</v>
      </c>
      <c r="N709" s="119">
        <v>10</v>
      </c>
      <c r="O709" s="119">
        <v>10</v>
      </c>
      <c r="P709" s="580"/>
      <c r="Q709" s="580"/>
      <c r="R709" s="580"/>
      <c r="S709" s="1574"/>
      <c r="T709" s="812"/>
      <c r="U709" s="812"/>
    </row>
    <row r="710" spans="1:21" s="10" customFormat="1" ht="35.1" customHeight="1">
      <c r="A710" s="1462"/>
      <c r="B710" s="503"/>
      <c r="C710" s="1040"/>
      <c r="D710" s="1208"/>
      <c r="E710" s="1209"/>
      <c r="F710" s="1210"/>
      <c r="G710" s="1040"/>
      <c r="H710" s="1040"/>
      <c r="I710" s="1040"/>
      <c r="J710" s="796"/>
      <c r="K710" s="796"/>
      <c r="L710" s="172" t="s">
        <v>147</v>
      </c>
      <c r="M710" s="221">
        <v>34</v>
      </c>
      <c r="N710" s="119">
        <v>11</v>
      </c>
      <c r="O710" s="119">
        <v>11</v>
      </c>
      <c r="P710" s="580"/>
      <c r="Q710" s="580"/>
      <c r="R710" s="580"/>
      <c r="S710" s="1574"/>
      <c r="T710" s="812"/>
      <c r="U710" s="812"/>
    </row>
    <row r="711" spans="1:21" s="10" customFormat="1" ht="35.1" customHeight="1">
      <c r="A711" s="1462"/>
      <c r="B711" s="503"/>
      <c r="C711" s="1040"/>
      <c r="D711" s="1208"/>
      <c r="E711" s="1209"/>
      <c r="F711" s="1210"/>
      <c r="G711" s="1040"/>
      <c r="H711" s="1040"/>
      <c r="I711" s="1040"/>
      <c r="J711" s="796"/>
      <c r="K711" s="796"/>
      <c r="L711" s="172" t="s">
        <v>157</v>
      </c>
      <c r="M711" s="221">
        <v>4</v>
      </c>
      <c r="N711" s="119">
        <v>1</v>
      </c>
      <c r="O711" s="119">
        <v>1</v>
      </c>
      <c r="P711" s="580"/>
      <c r="Q711" s="580"/>
      <c r="R711" s="580"/>
      <c r="S711" s="1574"/>
      <c r="T711" s="812"/>
      <c r="U711" s="812"/>
    </row>
    <row r="712" spans="1:21" s="10" customFormat="1" ht="35.1" customHeight="1">
      <c r="A712" s="1462"/>
      <c r="B712" s="503"/>
      <c r="C712" s="1040"/>
      <c r="D712" s="1208"/>
      <c r="E712" s="1209"/>
      <c r="F712" s="1210"/>
      <c r="G712" s="1040"/>
      <c r="H712" s="1040"/>
      <c r="I712" s="1040"/>
      <c r="J712" s="796"/>
      <c r="K712" s="796"/>
      <c r="L712" s="172" t="s">
        <v>148</v>
      </c>
      <c r="M712" s="221">
        <v>7</v>
      </c>
      <c r="N712" s="119">
        <v>2</v>
      </c>
      <c r="O712" s="119">
        <v>2</v>
      </c>
      <c r="P712" s="580"/>
      <c r="Q712" s="580"/>
      <c r="R712" s="580"/>
      <c r="S712" s="1574"/>
      <c r="T712" s="812"/>
      <c r="U712" s="812"/>
    </row>
    <row r="713" spans="1:21" s="10" customFormat="1" ht="35.1" customHeight="1">
      <c r="A713" s="1462"/>
      <c r="B713" s="503"/>
      <c r="C713" s="1040"/>
      <c r="D713" s="1208"/>
      <c r="E713" s="1209"/>
      <c r="F713" s="1210"/>
      <c r="G713" s="1040"/>
      <c r="H713" s="1040"/>
      <c r="I713" s="1040"/>
      <c r="J713" s="796"/>
      <c r="K713" s="796"/>
      <c r="L713" s="172" t="s">
        <v>149</v>
      </c>
      <c r="M713" s="221">
        <v>17</v>
      </c>
      <c r="N713" s="119">
        <v>0</v>
      </c>
      <c r="O713" s="119">
        <v>0</v>
      </c>
      <c r="P713" s="580"/>
      <c r="Q713" s="580"/>
      <c r="R713" s="580"/>
      <c r="S713" s="1574"/>
      <c r="T713" s="812"/>
      <c r="U713" s="812"/>
    </row>
    <row r="714" spans="1:21" s="10" customFormat="1" ht="35.1" customHeight="1">
      <c r="A714" s="1462"/>
      <c r="B714" s="503"/>
      <c r="C714" s="1040"/>
      <c r="D714" s="1208"/>
      <c r="E714" s="1209"/>
      <c r="F714" s="1210"/>
      <c r="G714" s="1040"/>
      <c r="H714" s="1040"/>
      <c r="I714" s="1040"/>
      <c r="J714" s="796"/>
      <c r="K714" s="796"/>
      <c r="L714" s="172" t="s">
        <v>154</v>
      </c>
      <c r="M714" s="221">
        <v>2</v>
      </c>
      <c r="N714" s="119">
        <v>0</v>
      </c>
      <c r="O714" s="119">
        <v>0</v>
      </c>
      <c r="P714" s="580"/>
      <c r="Q714" s="580"/>
      <c r="R714" s="580"/>
      <c r="S714" s="1574"/>
      <c r="T714" s="812"/>
      <c r="U714" s="812"/>
    </row>
    <row r="715" spans="1:21" s="10" customFormat="1" ht="35.1" customHeight="1">
      <c r="A715" s="1462"/>
      <c r="B715" s="503"/>
      <c r="C715" s="1040"/>
      <c r="D715" s="1208"/>
      <c r="E715" s="1209"/>
      <c r="F715" s="1210"/>
      <c r="G715" s="700"/>
      <c r="H715" s="700"/>
      <c r="I715" s="700"/>
      <c r="J715" s="797"/>
      <c r="K715" s="797"/>
      <c r="L715" s="172" t="s">
        <v>155</v>
      </c>
      <c r="M715" s="221">
        <v>3</v>
      </c>
      <c r="N715" s="119">
        <v>0</v>
      </c>
      <c r="O715" s="119">
        <v>0</v>
      </c>
      <c r="P715" s="580"/>
      <c r="Q715" s="580"/>
      <c r="R715" s="580"/>
      <c r="S715" s="1574"/>
      <c r="T715" s="812"/>
      <c r="U715" s="812"/>
    </row>
    <row r="716" spans="1:21" s="10" customFormat="1" ht="35.1" customHeight="1">
      <c r="A716" s="1462"/>
      <c r="B716" s="503"/>
      <c r="C716" s="700"/>
      <c r="D716" s="1211"/>
      <c r="E716" s="1212"/>
      <c r="F716" s="1213"/>
      <c r="G716" s="490" t="s">
        <v>329</v>
      </c>
      <c r="H716" s="491"/>
      <c r="I716" s="491"/>
      <c r="J716" s="491"/>
      <c r="K716" s="492"/>
      <c r="L716" s="133"/>
      <c r="M716" s="251">
        <f>SUM(M705:M715)</f>
        <v>160</v>
      </c>
      <c r="N716" s="400">
        <f>SUM(N705:N715)</f>
        <v>50</v>
      </c>
      <c r="O716" s="400">
        <f>SUM(O705:O715)</f>
        <v>50</v>
      </c>
      <c r="P716" s="581"/>
      <c r="Q716" s="581"/>
      <c r="R716" s="581"/>
      <c r="S716" s="1575"/>
      <c r="T716" s="813"/>
      <c r="U716" s="813"/>
    </row>
    <row r="717" spans="1:21" s="10" customFormat="1" ht="35.1" customHeight="1">
      <c r="A717" s="1462"/>
      <c r="B717" s="503"/>
      <c r="C717" s="699" t="s">
        <v>72</v>
      </c>
      <c r="D717" s="1205" t="s">
        <v>162</v>
      </c>
      <c r="E717" s="1206"/>
      <c r="F717" s="1207"/>
      <c r="G717" s="699" t="s">
        <v>179</v>
      </c>
      <c r="H717" s="699" t="s">
        <v>132</v>
      </c>
      <c r="I717" s="699" t="s">
        <v>132</v>
      </c>
      <c r="J717" s="795" t="s">
        <v>11</v>
      </c>
      <c r="K717" s="795" t="s">
        <v>12</v>
      </c>
      <c r="L717" s="172" t="s">
        <v>163</v>
      </c>
      <c r="M717" s="221">
        <v>13</v>
      </c>
      <c r="N717" s="119">
        <v>0</v>
      </c>
      <c r="O717" s="119">
        <v>0</v>
      </c>
      <c r="P717" s="579" t="s">
        <v>419</v>
      </c>
      <c r="Q717" s="579" t="s">
        <v>419</v>
      </c>
      <c r="R717" s="579" t="s">
        <v>469</v>
      </c>
      <c r="S717" s="1573" t="s">
        <v>188</v>
      </c>
      <c r="T717" s="811" t="s">
        <v>161</v>
      </c>
      <c r="U717" s="811" t="s">
        <v>86</v>
      </c>
    </row>
    <row r="718" spans="1:21" s="10" customFormat="1" ht="35.1" customHeight="1">
      <c r="A718" s="1462"/>
      <c r="B718" s="503"/>
      <c r="C718" s="1040"/>
      <c r="D718" s="1208"/>
      <c r="E718" s="1209"/>
      <c r="F718" s="1210"/>
      <c r="G718" s="1040"/>
      <c r="H718" s="1040"/>
      <c r="I718" s="1040"/>
      <c r="J718" s="796"/>
      <c r="K718" s="796"/>
      <c r="L718" s="172" t="s">
        <v>164</v>
      </c>
      <c r="M718" s="221">
        <v>13</v>
      </c>
      <c r="N718" s="119">
        <v>0</v>
      </c>
      <c r="O718" s="119">
        <v>0</v>
      </c>
      <c r="P718" s="580"/>
      <c r="Q718" s="580"/>
      <c r="R718" s="580"/>
      <c r="S718" s="1574"/>
      <c r="T718" s="812"/>
      <c r="U718" s="812"/>
    </row>
    <row r="719" spans="1:21" s="10" customFormat="1" ht="35.1" customHeight="1">
      <c r="A719" s="1462"/>
      <c r="B719" s="503"/>
      <c r="C719" s="1040"/>
      <c r="D719" s="1208"/>
      <c r="E719" s="1209"/>
      <c r="F719" s="1210"/>
      <c r="G719" s="1040"/>
      <c r="H719" s="1040"/>
      <c r="I719" s="1040"/>
      <c r="J719" s="796"/>
      <c r="K719" s="796"/>
      <c r="L719" s="172" t="s">
        <v>165</v>
      </c>
      <c r="M719" s="221">
        <v>8</v>
      </c>
      <c r="N719" s="119">
        <v>0</v>
      </c>
      <c r="O719" s="119">
        <v>0</v>
      </c>
      <c r="P719" s="580"/>
      <c r="Q719" s="580"/>
      <c r="R719" s="580"/>
      <c r="S719" s="1574"/>
      <c r="T719" s="812"/>
      <c r="U719" s="812"/>
    </row>
    <row r="720" spans="1:21" s="10" customFormat="1" ht="35.1" customHeight="1">
      <c r="A720" s="1462"/>
      <c r="B720" s="503"/>
      <c r="C720" s="1040"/>
      <c r="D720" s="1208"/>
      <c r="E720" s="1209"/>
      <c r="F720" s="1210"/>
      <c r="G720" s="1040"/>
      <c r="H720" s="1040"/>
      <c r="I720" s="1040"/>
      <c r="J720" s="796"/>
      <c r="K720" s="796"/>
      <c r="L720" s="172" t="s">
        <v>166</v>
      </c>
      <c r="M720" s="221">
        <v>11</v>
      </c>
      <c r="N720" s="119">
        <v>0</v>
      </c>
      <c r="O720" s="119">
        <v>0</v>
      </c>
      <c r="P720" s="580"/>
      <c r="Q720" s="580"/>
      <c r="R720" s="580"/>
      <c r="S720" s="1574"/>
      <c r="T720" s="812"/>
      <c r="U720" s="812"/>
    </row>
    <row r="721" spans="1:21" s="10" customFormat="1" ht="35.1" customHeight="1">
      <c r="A721" s="1462"/>
      <c r="B721" s="503"/>
      <c r="C721" s="1040"/>
      <c r="D721" s="1208"/>
      <c r="E721" s="1209"/>
      <c r="F721" s="1210"/>
      <c r="G721" s="1040"/>
      <c r="H721" s="1040"/>
      <c r="I721" s="1040"/>
      <c r="J721" s="796"/>
      <c r="K721" s="796"/>
      <c r="L721" s="172" t="s">
        <v>167</v>
      </c>
      <c r="M721" s="221">
        <v>3</v>
      </c>
      <c r="N721" s="119">
        <v>0</v>
      </c>
      <c r="O721" s="119">
        <v>0</v>
      </c>
      <c r="P721" s="580"/>
      <c r="Q721" s="580"/>
      <c r="R721" s="580"/>
      <c r="S721" s="1574"/>
      <c r="T721" s="812"/>
      <c r="U721" s="812"/>
    </row>
    <row r="722" spans="1:21" s="10" customFormat="1" ht="35.1" customHeight="1">
      <c r="A722" s="1462"/>
      <c r="B722" s="503"/>
      <c r="C722" s="1040"/>
      <c r="D722" s="1208"/>
      <c r="E722" s="1209"/>
      <c r="F722" s="1210"/>
      <c r="G722" s="1040"/>
      <c r="H722" s="1040"/>
      <c r="I722" s="1040"/>
      <c r="J722" s="796"/>
      <c r="K722" s="796"/>
      <c r="L722" s="172" t="s">
        <v>168</v>
      </c>
      <c r="M722" s="221">
        <v>3</v>
      </c>
      <c r="N722" s="119">
        <v>0</v>
      </c>
      <c r="O722" s="119">
        <v>0</v>
      </c>
      <c r="P722" s="580"/>
      <c r="Q722" s="580"/>
      <c r="R722" s="580"/>
      <c r="S722" s="1574"/>
      <c r="T722" s="812"/>
      <c r="U722" s="812"/>
    </row>
    <row r="723" spans="1:21" s="10" customFormat="1" ht="35.1" customHeight="1">
      <c r="A723" s="1462"/>
      <c r="B723" s="503"/>
      <c r="C723" s="1040"/>
      <c r="D723" s="1208"/>
      <c r="E723" s="1209"/>
      <c r="F723" s="1210"/>
      <c r="G723" s="1040"/>
      <c r="H723" s="1040"/>
      <c r="I723" s="1040"/>
      <c r="J723" s="796"/>
      <c r="K723" s="796"/>
      <c r="L723" s="172" t="s">
        <v>169</v>
      </c>
      <c r="M723" s="221">
        <v>4</v>
      </c>
      <c r="N723" s="119">
        <v>0</v>
      </c>
      <c r="O723" s="119">
        <v>0</v>
      </c>
      <c r="P723" s="580"/>
      <c r="Q723" s="580"/>
      <c r="R723" s="580"/>
      <c r="S723" s="1574"/>
      <c r="T723" s="812"/>
      <c r="U723" s="812"/>
    </row>
    <row r="724" spans="1:21" s="10" customFormat="1" ht="35.1" customHeight="1">
      <c r="A724" s="1462"/>
      <c r="B724" s="503"/>
      <c r="C724" s="1040"/>
      <c r="D724" s="1208"/>
      <c r="E724" s="1209"/>
      <c r="F724" s="1210"/>
      <c r="G724" s="1040"/>
      <c r="H724" s="1040"/>
      <c r="I724" s="1040"/>
      <c r="J724" s="796"/>
      <c r="K724" s="796"/>
      <c r="L724" s="172" t="s">
        <v>170</v>
      </c>
      <c r="M724" s="221">
        <v>3</v>
      </c>
      <c r="N724" s="119">
        <v>1</v>
      </c>
      <c r="O724" s="119">
        <v>1</v>
      </c>
      <c r="P724" s="580"/>
      <c r="Q724" s="580"/>
      <c r="R724" s="580"/>
      <c r="S724" s="1574"/>
      <c r="T724" s="812"/>
      <c r="U724" s="812"/>
    </row>
    <row r="725" spans="1:21" s="10" customFormat="1" ht="35.1" customHeight="1">
      <c r="A725" s="1462"/>
      <c r="B725" s="503"/>
      <c r="C725" s="1040"/>
      <c r="D725" s="1208"/>
      <c r="E725" s="1209"/>
      <c r="F725" s="1210"/>
      <c r="G725" s="700"/>
      <c r="H725" s="700"/>
      <c r="I725" s="700"/>
      <c r="J725" s="797"/>
      <c r="K725" s="797"/>
      <c r="L725" s="172" t="s">
        <v>171</v>
      </c>
      <c r="M725" s="221">
        <v>2</v>
      </c>
      <c r="N725" s="119">
        <v>0</v>
      </c>
      <c r="O725" s="119">
        <v>0</v>
      </c>
      <c r="P725" s="580"/>
      <c r="Q725" s="580"/>
      <c r="R725" s="580"/>
      <c r="S725" s="1574"/>
      <c r="T725" s="812"/>
      <c r="U725" s="812"/>
    </row>
    <row r="726" spans="1:21" s="10" customFormat="1" ht="35.1" customHeight="1">
      <c r="A726" s="1462"/>
      <c r="B726" s="503"/>
      <c r="C726" s="700"/>
      <c r="D726" s="1211"/>
      <c r="E726" s="1212"/>
      <c r="F726" s="1213"/>
      <c r="G726" s="490" t="s">
        <v>329</v>
      </c>
      <c r="H726" s="491"/>
      <c r="I726" s="491"/>
      <c r="J726" s="491"/>
      <c r="K726" s="492"/>
      <c r="L726" s="133"/>
      <c r="M726" s="251">
        <f>SUM(M717:M725)</f>
        <v>60</v>
      </c>
      <c r="N726" s="400">
        <f>SUM(N717:N725)</f>
        <v>1</v>
      </c>
      <c r="O726" s="400">
        <f>SUM(O717:O725)</f>
        <v>1</v>
      </c>
      <c r="P726" s="581"/>
      <c r="Q726" s="581"/>
      <c r="R726" s="581"/>
      <c r="S726" s="1575"/>
      <c r="T726" s="813"/>
      <c r="U726" s="813"/>
    </row>
    <row r="727" spans="1:21" s="10" customFormat="1" ht="35.1" customHeight="1">
      <c r="A727" s="1462"/>
      <c r="B727" s="503"/>
      <c r="C727" s="1317" t="s">
        <v>825</v>
      </c>
      <c r="D727" s="1581" t="s">
        <v>826</v>
      </c>
      <c r="E727" s="1582"/>
      <c r="F727" s="1583"/>
      <c r="G727" s="716" t="s">
        <v>827</v>
      </c>
      <c r="H727" s="716" t="s">
        <v>889</v>
      </c>
      <c r="I727" s="716" t="s">
        <v>828</v>
      </c>
      <c r="J727" s="1317" t="s">
        <v>11</v>
      </c>
      <c r="K727" s="1317" t="s">
        <v>12</v>
      </c>
      <c r="L727" s="188">
        <v>59.997300000000003</v>
      </c>
      <c r="M727" s="269">
        <v>157</v>
      </c>
      <c r="N727" s="189">
        <v>40</v>
      </c>
      <c r="O727" s="189">
        <v>40</v>
      </c>
      <c r="P727" s="862" t="s">
        <v>837</v>
      </c>
      <c r="Q727" s="862" t="s">
        <v>839</v>
      </c>
      <c r="R727" s="1317" t="s">
        <v>838</v>
      </c>
      <c r="S727" s="1317" t="s">
        <v>13</v>
      </c>
      <c r="T727" s="1317" t="s">
        <v>829</v>
      </c>
      <c r="U727" s="1317" t="s">
        <v>11</v>
      </c>
    </row>
    <row r="728" spans="1:21" s="10" customFormat="1" ht="35.1" customHeight="1">
      <c r="A728" s="1462"/>
      <c r="B728" s="503"/>
      <c r="C728" s="1318"/>
      <c r="D728" s="1584"/>
      <c r="E728" s="1585"/>
      <c r="F728" s="1586"/>
      <c r="G728" s="717"/>
      <c r="H728" s="717"/>
      <c r="I728" s="717"/>
      <c r="J728" s="1318"/>
      <c r="K728" s="1318"/>
      <c r="L728" s="188">
        <v>59.995699999999999</v>
      </c>
      <c r="M728" s="269">
        <v>23</v>
      </c>
      <c r="N728" s="189">
        <v>4</v>
      </c>
      <c r="O728" s="189">
        <v>4</v>
      </c>
      <c r="P728" s="863"/>
      <c r="Q728" s="863"/>
      <c r="R728" s="1318"/>
      <c r="S728" s="1318"/>
      <c r="T728" s="1318"/>
      <c r="U728" s="1318"/>
    </row>
    <row r="729" spans="1:21" s="10" customFormat="1" ht="35.1" customHeight="1">
      <c r="A729" s="1462"/>
      <c r="B729" s="503"/>
      <c r="C729" s="1318"/>
      <c r="D729" s="1584"/>
      <c r="E729" s="1585"/>
      <c r="F729" s="1586"/>
      <c r="G729" s="717"/>
      <c r="H729" s="717"/>
      <c r="I729" s="717"/>
      <c r="J729" s="1318"/>
      <c r="K729" s="1318"/>
      <c r="L729" s="188">
        <v>75.928100000000001</v>
      </c>
      <c r="M729" s="269">
        <v>65</v>
      </c>
      <c r="N729" s="189">
        <v>15</v>
      </c>
      <c r="O729" s="189">
        <v>15</v>
      </c>
      <c r="P729" s="863"/>
      <c r="Q729" s="863"/>
      <c r="R729" s="1318"/>
      <c r="S729" s="1318"/>
      <c r="T729" s="1318"/>
      <c r="U729" s="1318"/>
    </row>
    <row r="730" spans="1:21" s="10" customFormat="1" ht="35.1" customHeight="1">
      <c r="A730" s="1462"/>
      <c r="B730" s="503"/>
      <c r="C730" s="1318"/>
      <c r="D730" s="1584"/>
      <c r="E730" s="1585"/>
      <c r="F730" s="1586"/>
      <c r="G730" s="717"/>
      <c r="H730" s="717"/>
      <c r="I730" s="717"/>
      <c r="J730" s="1318"/>
      <c r="K730" s="1318"/>
      <c r="L730" s="188">
        <v>84.696399999999997</v>
      </c>
      <c r="M730" s="269">
        <v>30</v>
      </c>
      <c r="N730" s="189">
        <v>10</v>
      </c>
      <c r="O730" s="189">
        <v>10</v>
      </c>
      <c r="P730" s="863"/>
      <c r="Q730" s="863"/>
      <c r="R730" s="1318"/>
      <c r="S730" s="1318"/>
      <c r="T730" s="1318"/>
      <c r="U730" s="1318"/>
    </row>
    <row r="731" spans="1:21" s="10" customFormat="1" ht="35.1" customHeight="1">
      <c r="A731" s="1462"/>
      <c r="B731" s="503"/>
      <c r="C731" s="1318"/>
      <c r="D731" s="1584"/>
      <c r="E731" s="1585"/>
      <c r="F731" s="1586"/>
      <c r="G731" s="718"/>
      <c r="H731" s="718"/>
      <c r="I731" s="718"/>
      <c r="J731" s="1319"/>
      <c r="K731" s="1319"/>
      <c r="L731" s="188">
        <v>84.996300000000005</v>
      </c>
      <c r="M731" s="269">
        <v>10</v>
      </c>
      <c r="N731" s="189">
        <v>2</v>
      </c>
      <c r="O731" s="189">
        <v>2</v>
      </c>
      <c r="P731" s="863"/>
      <c r="Q731" s="863"/>
      <c r="R731" s="1318"/>
      <c r="S731" s="1318"/>
      <c r="T731" s="1318"/>
      <c r="U731" s="1318"/>
    </row>
    <row r="732" spans="1:21" s="10" customFormat="1" ht="35.1" customHeight="1">
      <c r="A732" s="1462"/>
      <c r="B732" s="503"/>
      <c r="C732" s="1319"/>
      <c r="D732" s="1587"/>
      <c r="E732" s="1588"/>
      <c r="F732" s="1589"/>
      <c r="G732" s="875" t="s">
        <v>329</v>
      </c>
      <c r="H732" s="876"/>
      <c r="I732" s="876"/>
      <c r="J732" s="876"/>
      <c r="K732" s="876"/>
      <c r="L732" s="191"/>
      <c r="M732" s="270">
        <f>SUM(M727:M731)</f>
        <v>285</v>
      </c>
      <c r="N732" s="271">
        <f>SUM(N727:N731)</f>
        <v>71</v>
      </c>
      <c r="O732" s="271">
        <f>SUM(O727:O731)</f>
        <v>71</v>
      </c>
      <c r="P732" s="864"/>
      <c r="Q732" s="864"/>
      <c r="R732" s="1319"/>
      <c r="S732" s="1319"/>
      <c r="T732" s="1319"/>
      <c r="U732" s="1319"/>
    </row>
    <row r="733" spans="1:21" s="10" customFormat="1" ht="35.1" customHeight="1">
      <c r="A733" s="1462"/>
      <c r="B733" s="503"/>
      <c r="C733" s="699" t="s">
        <v>72</v>
      </c>
      <c r="D733" s="1205" t="s">
        <v>174</v>
      </c>
      <c r="E733" s="1206"/>
      <c r="F733" s="1207"/>
      <c r="G733" s="699" t="s">
        <v>179</v>
      </c>
      <c r="H733" s="699" t="s">
        <v>132</v>
      </c>
      <c r="I733" s="699" t="s">
        <v>132</v>
      </c>
      <c r="J733" s="795" t="s">
        <v>11</v>
      </c>
      <c r="K733" s="795" t="s">
        <v>12</v>
      </c>
      <c r="L733" s="172" t="s">
        <v>163</v>
      </c>
      <c r="M733" s="221">
        <v>13</v>
      </c>
      <c r="N733" s="119">
        <v>0</v>
      </c>
      <c r="O733" s="119">
        <v>0</v>
      </c>
      <c r="P733" s="579" t="s">
        <v>419</v>
      </c>
      <c r="Q733" s="579" t="s">
        <v>419</v>
      </c>
      <c r="R733" s="579" t="s">
        <v>469</v>
      </c>
      <c r="S733" s="1573" t="s">
        <v>188</v>
      </c>
      <c r="T733" s="811" t="s">
        <v>161</v>
      </c>
      <c r="U733" s="811" t="s">
        <v>86</v>
      </c>
    </row>
    <row r="734" spans="1:21" s="10" customFormat="1" ht="35.1" customHeight="1">
      <c r="A734" s="1462"/>
      <c r="B734" s="503"/>
      <c r="C734" s="1040"/>
      <c r="D734" s="1208"/>
      <c r="E734" s="1209"/>
      <c r="F734" s="1210"/>
      <c r="G734" s="1040"/>
      <c r="H734" s="1040"/>
      <c r="I734" s="1040"/>
      <c r="J734" s="796"/>
      <c r="K734" s="796"/>
      <c r="L734" s="172" t="s">
        <v>164</v>
      </c>
      <c r="M734" s="221">
        <v>25</v>
      </c>
      <c r="N734" s="119">
        <v>0</v>
      </c>
      <c r="O734" s="119">
        <v>0</v>
      </c>
      <c r="P734" s="580"/>
      <c r="Q734" s="580"/>
      <c r="R734" s="580"/>
      <c r="S734" s="1574"/>
      <c r="T734" s="812"/>
      <c r="U734" s="812"/>
    </row>
    <row r="735" spans="1:21" s="10" customFormat="1" ht="35.1" customHeight="1">
      <c r="A735" s="1462"/>
      <c r="B735" s="503"/>
      <c r="C735" s="1040"/>
      <c r="D735" s="1208"/>
      <c r="E735" s="1209"/>
      <c r="F735" s="1210"/>
      <c r="G735" s="1040"/>
      <c r="H735" s="1040"/>
      <c r="I735" s="1040"/>
      <c r="J735" s="796"/>
      <c r="K735" s="796"/>
      <c r="L735" s="172" t="s">
        <v>172</v>
      </c>
      <c r="M735" s="221">
        <v>1</v>
      </c>
      <c r="N735" s="119">
        <v>0</v>
      </c>
      <c r="O735" s="119">
        <v>0</v>
      </c>
      <c r="P735" s="580"/>
      <c r="Q735" s="580"/>
      <c r="R735" s="580"/>
      <c r="S735" s="1574"/>
      <c r="T735" s="812"/>
      <c r="U735" s="812"/>
    </row>
    <row r="736" spans="1:21" s="10" customFormat="1" ht="35.1" customHeight="1">
      <c r="A736" s="1462"/>
      <c r="B736" s="503"/>
      <c r="C736" s="1040"/>
      <c r="D736" s="1208"/>
      <c r="E736" s="1209"/>
      <c r="F736" s="1210"/>
      <c r="G736" s="1040"/>
      <c r="H736" s="1040"/>
      <c r="I736" s="1040"/>
      <c r="J736" s="796"/>
      <c r="K736" s="796"/>
      <c r="L736" s="172" t="s">
        <v>173</v>
      </c>
      <c r="M736" s="221">
        <v>1</v>
      </c>
      <c r="N736" s="119">
        <v>0</v>
      </c>
      <c r="O736" s="119">
        <v>0</v>
      </c>
      <c r="P736" s="580"/>
      <c r="Q736" s="580"/>
      <c r="R736" s="580"/>
      <c r="S736" s="1574"/>
      <c r="T736" s="812"/>
      <c r="U736" s="812"/>
    </row>
    <row r="737" spans="1:21" s="10" customFormat="1" ht="35.1" customHeight="1">
      <c r="A737" s="1462"/>
      <c r="B737" s="503"/>
      <c r="C737" s="1040"/>
      <c r="D737" s="1208"/>
      <c r="E737" s="1209"/>
      <c r="F737" s="1210"/>
      <c r="G737" s="1040"/>
      <c r="H737" s="1040"/>
      <c r="I737" s="1040"/>
      <c r="J737" s="796"/>
      <c r="K737" s="796"/>
      <c r="L737" s="172" t="s">
        <v>165</v>
      </c>
      <c r="M737" s="221">
        <v>8</v>
      </c>
      <c r="N737" s="119">
        <v>0</v>
      </c>
      <c r="O737" s="119">
        <v>0</v>
      </c>
      <c r="P737" s="580"/>
      <c r="Q737" s="580"/>
      <c r="R737" s="580"/>
      <c r="S737" s="1574"/>
      <c r="T737" s="812"/>
      <c r="U737" s="812"/>
    </row>
    <row r="738" spans="1:21" s="10" customFormat="1" ht="35.1" customHeight="1">
      <c r="A738" s="1462"/>
      <c r="B738" s="503"/>
      <c r="C738" s="1040"/>
      <c r="D738" s="1208"/>
      <c r="E738" s="1209"/>
      <c r="F738" s="1210"/>
      <c r="G738" s="1040"/>
      <c r="H738" s="1040"/>
      <c r="I738" s="1040"/>
      <c r="J738" s="796"/>
      <c r="K738" s="796"/>
      <c r="L738" s="172" t="s">
        <v>166</v>
      </c>
      <c r="M738" s="221">
        <v>25</v>
      </c>
      <c r="N738" s="119">
        <v>0</v>
      </c>
      <c r="O738" s="119">
        <v>0</v>
      </c>
      <c r="P738" s="580"/>
      <c r="Q738" s="580"/>
      <c r="R738" s="580"/>
      <c r="S738" s="1574"/>
      <c r="T738" s="812"/>
      <c r="U738" s="812"/>
    </row>
    <row r="739" spans="1:21" s="10" customFormat="1" ht="35.1" customHeight="1">
      <c r="A739" s="1462"/>
      <c r="B739" s="503"/>
      <c r="C739" s="1040"/>
      <c r="D739" s="1208"/>
      <c r="E739" s="1209"/>
      <c r="F739" s="1210"/>
      <c r="G739" s="1040"/>
      <c r="H739" s="1040"/>
      <c r="I739" s="1040"/>
      <c r="J739" s="796"/>
      <c r="K739" s="796"/>
      <c r="L739" s="172" t="s">
        <v>167</v>
      </c>
      <c r="M739" s="221">
        <v>1</v>
      </c>
      <c r="N739" s="119">
        <v>0</v>
      </c>
      <c r="O739" s="119">
        <v>0</v>
      </c>
      <c r="P739" s="580"/>
      <c r="Q739" s="580"/>
      <c r="R739" s="580"/>
      <c r="S739" s="1574"/>
      <c r="T739" s="812"/>
      <c r="U739" s="812"/>
    </row>
    <row r="740" spans="1:21" s="10" customFormat="1" ht="35.1" customHeight="1">
      <c r="A740" s="1462"/>
      <c r="B740" s="503"/>
      <c r="C740" s="1040"/>
      <c r="D740" s="1208"/>
      <c r="E740" s="1209"/>
      <c r="F740" s="1210"/>
      <c r="G740" s="1040"/>
      <c r="H740" s="1040"/>
      <c r="I740" s="1040"/>
      <c r="J740" s="796"/>
      <c r="K740" s="796"/>
      <c r="L740" s="172" t="s">
        <v>168</v>
      </c>
      <c r="M740" s="221">
        <v>4</v>
      </c>
      <c r="N740" s="119">
        <v>0</v>
      </c>
      <c r="O740" s="119">
        <v>0</v>
      </c>
      <c r="P740" s="580"/>
      <c r="Q740" s="580"/>
      <c r="R740" s="580"/>
      <c r="S740" s="1574"/>
      <c r="T740" s="812"/>
      <c r="U740" s="812"/>
    </row>
    <row r="741" spans="1:21" s="10" customFormat="1" ht="35.1" customHeight="1">
      <c r="A741" s="1462"/>
      <c r="B741" s="503"/>
      <c r="C741" s="1040"/>
      <c r="D741" s="1208"/>
      <c r="E741" s="1209"/>
      <c r="F741" s="1210"/>
      <c r="G741" s="1040"/>
      <c r="H741" s="1040"/>
      <c r="I741" s="1040"/>
      <c r="J741" s="796"/>
      <c r="K741" s="796"/>
      <c r="L741" s="172" t="s">
        <v>169</v>
      </c>
      <c r="M741" s="221">
        <v>3</v>
      </c>
      <c r="N741" s="119">
        <v>0</v>
      </c>
      <c r="O741" s="119">
        <v>0</v>
      </c>
      <c r="P741" s="580"/>
      <c r="Q741" s="580"/>
      <c r="R741" s="580"/>
      <c r="S741" s="1574"/>
      <c r="T741" s="812"/>
      <c r="U741" s="812"/>
    </row>
    <row r="742" spans="1:21" s="10" customFormat="1" ht="35.1" customHeight="1">
      <c r="A742" s="1462"/>
      <c r="B742" s="503"/>
      <c r="C742" s="1040"/>
      <c r="D742" s="1208"/>
      <c r="E742" s="1209"/>
      <c r="F742" s="1210"/>
      <c r="G742" s="1040"/>
      <c r="H742" s="1040"/>
      <c r="I742" s="1040"/>
      <c r="J742" s="796"/>
      <c r="K742" s="796"/>
      <c r="L742" s="172" t="s">
        <v>175</v>
      </c>
      <c r="M742" s="221">
        <v>15</v>
      </c>
      <c r="N742" s="119">
        <v>0</v>
      </c>
      <c r="O742" s="119">
        <v>0</v>
      </c>
      <c r="P742" s="580"/>
      <c r="Q742" s="580"/>
      <c r="R742" s="580"/>
      <c r="S742" s="1574"/>
      <c r="T742" s="812"/>
      <c r="U742" s="812"/>
    </row>
    <row r="743" spans="1:21" s="10" customFormat="1" ht="35.1" customHeight="1">
      <c r="A743" s="1462"/>
      <c r="B743" s="503"/>
      <c r="C743" s="1040"/>
      <c r="D743" s="1208"/>
      <c r="E743" s="1209"/>
      <c r="F743" s="1210"/>
      <c r="G743" s="1040"/>
      <c r="H743" s="1040"/>
      <c r="I743" s="1040"/>
      <c r="J743" s="796"/>
      <c r="K743" s="796"/>
      <c r="L743" s="172" t="s">
        <v>176</v>
      </c>
      <c r="M743" s="221">
        <v>16</v>
      </c>
      <c r="N743" s="119">
        <v>0</v>
      </c>
      <c r="O743" s="119">
        <v>0</v>
      </c>
      <c r="P743" s="580"/>
      <c r="Q743" s="580"/>
      <c r="R743" s="580"/>
      <c r="S743" s="1574"/>
      <c r="T743" s="812"/>
      <c r="U743" s="812"/>
    </row>
    <row r="744" spans="1:21" s="10" customFormat="1" ht="35.1" customHeight="1">
      <c r="A744" s="1462"/>
      <c r="B744" s="503"/>
      <c r="C744" s="1040"/>
      <c r="D744" s="1208"/>
      <c r="E744" s="1209"/>
      <c r="F744" s="1210"/>
      <c r="G744" s="1040"/>
      <c r="H744" s="1040"/>
      <c r="I744" s="1040"/>
      <c r="J744" s="796"/>
      <c r="K744" s="796"/>
      <c r="L744" s="172" t="s">
        <v>177</v>
      </c>
      <c r="M744" s="221">
        <v>4</v>
      </c>
      <c r="N744" s="119">
        <v>1</v>
      </c>
      <c r="O744" s="119">
        <v>1</v>
      </c>
      <c r="P744" s="580"/>
      <c r="Q744" s="580"/>
      <c r="R744" s="580"/>
      <c r="S744" s="1574"/>
      <c r="T744" s="812"/>
      <c r="U744" s="812"/>
    </row>
    <row r="745" spans="1:21" s="10" customFormat="1" ht="35.1" customHeight="1">
      <c r="A745" s="1462"/>
      <c r="B745" s="503"/>
      <c r="C745" s="1040"/>
      <c r="D745" s="1208"/>
      <c r="E745" s="1209"/>
      <c r="F745" s="1210"/>
      <c r="G745" s="1040"/>
      <c r="H745" s="1040"/>
      <c r="I745" s="1040"/>
      <c r="J745" s="796"/>
      <c r="K745" s="796"/>
      <c r="L745" s="172" t="s">
        <v>178</v>
      </c>
      <c r="M745" s="221">
        <v>4</v>
      </c>
      <c r="N745" s="119">
        <v>0</v>
      </c>
      <c r="O745" s="119">
        <v>0</v>
      </c>
      <c r="P745" s="580"/>
      <c r="Q745" s="580"/>
      <c r="R745" s="580"/>
      <c r="S745" s="1574"/>
      <c r="T745" s="812"/>
      <c r="U745" s="812"/>
    </row>
    <row r="746" spans="1:21" s="10" customFormat="1" ht="35.1" customHeight="1">
      <c r="A746" s="1462"/>
      <c r="B746" s="503"/>
      <c r="C746" s="1040"/>
      <c r="D746" s="1208"/>
      <c r="E746" s="1209"/>
      <c r="F746" s="1210"/>
      <c r="G746" s="1040"/>
      <c r="H746" s="1040"/>
      <c r="I746" s="1040"/>
      <c r="J746" s="796"/>
      <c r="K746" s="796"/>
      <c r="L746" s="172" t="s">
        <v>170</v>
      </c>
      <c r="M746" s="221">
        <v>3</v>
      </c>
      <c r="N746" s="119">
        <v>0</v>
      </c>
      <c r="O746" s="119">
        <v>0</v>
      </c>
      <c r="P746" s="580"/>
      <c r="Q746" s="580"/>
      <c r="R746" s="580"/>
      <c r="S746" s="1574"/>
      <c r="T746" s="812"/>
      <c r="U746" s="812"/>
    </row>
    <row r="747" spans="1:21" s="10" customFormat="1" ht="35.1" customHeight="1">
      <c r="A747" s="1462"/>
      <c r="B747" s="503"/>
      <c r="C747" s="1040"/>
      <c r="D747" s="1208"/>
      <c r="E747" s="1209"/>
      <c r="F747" s="1210"/>
      <c r="G747" s="700"/>
      <c r="H747" s="700"/>
      <c r="I747" s="700"/>
      <c r="J747" s="797"/>
      <c r="K747" s="797"/>
      <c r="L747" s="172" t="s">
        <v>171</v>
      </c>
      <c r="M747" s="221">
        <v>2</v>
      </c>
      <c r="N747" s="119">
        <v>0</v>
      </c>
      <c r="O747" s="119">
        <v>0</v>
      </c>
      <c r="P747" s="580"/>
      <c r="Q747" s="580"/>
      <c r="R747" s="580"/>
      <c r="S747" s="1574"/>
      <c r="T747" s="812"/>
      <c r="U747" s="812"/>
    </row>
    <row r="748" spans="1:21" s="10" customFormat="1" ht="35.1" customHeight="1">
      <c r="A748" s="1462"/>
      <c r="B748" s="503"/>
      <c r="C748" s="700"/>
      <c r="D748" s="1211"/>
      <c r="E748" s="1212"/>
      <c r="F748" s="1213"/>
      <c r="G748" s="490" t="s">
        <v>329</v>
      </c>
      <c r="H748" s="491"/>
      <c r="I748" s="491"/>
      <c r="J748" s="491"/>
      <c r="K748" s="492"/>
      <c r="L748" s="133"/>
      <c r="M748" s="251">
        <f>SUM(M733:M747)</f>
        <v>125</v>
      </c>
      <c r="N748" s="400">
        <f>SUM(N733:N747)</f>
        <v>1</v>
      </c>
      <c r="O748" s="400">
        <f>SUM(O733:O747)</f>
        <v>1</v>
      </c>
      <c r="P748" s="581"/>
      <c r="Q748" s="581"/>
      <c r="R748" s="581"/>
      <c r="S748" s="1575"/>
      <c r="T748" s="813"/>
      <c r="U748" s="813"/>
    </row>
    <row r="749" spans="1:21" s="10" customFormat="1" ht="35.1" customHeight="1">
      <c r="A749" s="1462"/>
      <c r="B749" s="503"/>
      <c r="C749" s="900" t="s">
        <v>781</v>
      </c>
      <c r="D749" s="588" t="s">
        <v>726</v>
      </c>
      <c r="E749" s="589"/>
      <c r="F749" s="590"/>
      <c r="G749" s="1202" t="s">
        <v>780</v>
      </c>
      <c r="H749" s="1202" t="s">
        <v>780</v>
      </c>
      <c r="I749" s="1202" t="s">
        <v>780</v>
      </c>
      <c r="J749" s="1250" t="s">
        <v>11</v>
      </c>
      <c r="K749" s="1250" t="s">
        <v>12</v>
      </c>
      <c r="L749" s="188" t="s">
        <v>84</v>
      </c>
      <c r="M749" s="272">
        <v>563</v>
      </c>
      <c r="N749" s="189">
        <v>176</v>
      </c>
      <c r="O749" s="189">
        <v>164</v>
      </c>
      <c r="P749" s="576" t="s">
        <v>189</v>
      </c>
      <c r="Q749" s="576" t="s">
        <v>189</v>
      </c>
      <c r="R749" s="576" t="s">
        <v>189</v>
      </c>
      <c r="S749" s="576" t="s">
        <v>189</v>
      </c>
      <c r="T749" s="576" t="s">
        <v>189</v>
      </c>
      <c r="U749" s="576" t="s">
        <v>189</v>
      </c>
    </row>
    <row r="750" spans="1:21" s="10" customFormat="1" ht="35.1" customHeight="1">
      <c r="A750" s="1462"/>
      <c r="B750" s="503"/>
      <c r="C750" s="901"/>
      <c r="D750" s="591"/>
      <c r="E750" s="592"/>
      <c r="F750" s="593"/>
      <c r="G750" s="1203"/>
      <c r="H750" s="1203"/>
      <c r="I750" s="1203"/>
      <c r="J750" s="1251"/>
      <c r="K750" s="1251"/>
      <c r="L750" s="188" t="s">
        <v>83</v>
      </c>
      <c r="M750" s="272">
        <v>132</v>
      </c>
      <c r="N750" s="189">
        <v>0</v>
      </c>
      <c r="O750" s="189">
        <v>0</v>
      </c>
      <c r="P750" s="577"/>
      <c r="Q750" s="577"/>
      <c r="R750" s="577"/>
      <c r="S750" s="577"/>
      <c r="T750" s="577"/>
      <c r="U750" s="577"/>
    </row>
    <row r="751" spans="1:21" s="10" customFormat="1" ht="35.1" customHeight="1">
      <c r="A751" s="1462"/>
      <c r="B751" s="503"/>
      <c r="C751" s="901"/>
      <c r="D751" s="591"/>
      <c r="E751" s="592"/>
      <c r="F751" s="593"/>
      <c r="G751" s="1204"/>
      <c r="H751" s="1204"/>
      <c r="I751" s="1204"/>
      <c r="J751" s="1252"/>
      <c r="K751" s="1252"/>
      <c r="L751" s="188" t="s">
        <v>82</v>
      </c>
      <c r="M751" s="272">
        <v>234</v>
      </c>
      <c r="N751" s="189">
        <v>63</v>
      </c>
      <c r="O751" s="189">
        <v>54</v>
      </c>
      <c r="P751" s="577"/>
      <c r="Q751" s="577"/>
      <c r="R751" s="577"/>
      <c r="S751" s="577"/>
      <c r="T751" s="577"/>
      <c r="U751" s="577"/>
    </row>
    <row r="752" spans="1:21" s="10" customFormat="1" ht="35.1" customHeight="1">
      <c r="A752" s="1462"/>
      <c r="B752" s="503"/>
      <c r="C752" s="902"/>
      <c r="D752" s="594"/>
      <c r="E752" s="595"/>
      <c r="F752" s="596"/>
      <c r="G752" s="490" t="s">
        <v>329</v>
      </c>
      <c r="H752" s="491"/>
      <c r="I752" s="491"/>
      <c r="J752" s="491"/>
      <c r="K752" s="492"/>
      <c r="L752" s="348"/>
      <c r="M752" s="273">
        <f>SUM(M749:M751)</f>
        <v>929</v>
      </c>
      <c r="N752" s="274">
        <f>SUM(N749:N751)</f>
        <v>239</v>
      </c>
      <c r="O752" s="274">
        <f>SUM(O749:O751)</f>
        <v>218</v>
      </c>
      <c r="P752" s="578"/>
      <c r="Q752" s="578"/>
      <c r="R752" s="578"/>
      <c r="S752" s="578"/>
      <c r="T752" s="578"/>
      <c r="U752" s="578"/>
    </row>
    <row r="753" spans="1:21" s="10" customFormat="1" ht="35.1" customHeight="1">
      <c r="A753" s="1462"/>
      <c r="B753" s="503"/>
      <c r="C753" s="900" t="s">
        <v>781</v>
      </c>
      <c r="D753" s="588" t="s">
        <v>726</v>
      </c>
      <c r="E753" s="589"/>
      <c r="F753" s="590"/>
      <c r="G753" s="1202" t="s">
        <v>780</v>
      </c>
      <c r="H753" s="1202" t="s">
        <v>780</v>
      </c>
      <c r="I753" s="1202" t="s">
        <v>780</v>
      </c>
      <c r="J753" s="1250" t="s">
        <v>11</v>
      </c>
      <c r="K753" s="1250" t="s">
        <v>12</v>
      </c>
      <c r="L753" s="188">
        <v>75.8553</v>
      </c>
      <c r="M753" s="272">
        <v>50</v>
      </c>
      <c r="N753" s="189">
        <v>0</v>
      </c>
      <c r="O753" s="189">
        <v>0</v>
      </c>
      <c r="P753" s="576" t="s">
        <v>189</v>
      </c>
      <c r="Q753" s="576" t="s">
        <v>189</v>
      </c>
      <c r="R753" s="576" t="s">
        <v>189</v>
      </c>
      <c r="S753" s="576" t="s">
        <v>189</v>
      </c>
      <c r="T753" s="576" t="s">
        <v>189</v>
      </c>
      <c r="U753" s="576" t="s">
        <v>189</v>
      </c>
    </row>
    <row r="754" spans="1:21" s="10" customFormat="1" ht="35.1" customHeight="1">
      <c r="A754" s="1462"/>
      <c r="B754" s="503"/>
      <c r="C754" s="901"/>
      <c r="D754" s="591"/>
      <c r="E754" s="592"/>
      <c r="F754" s="593"/>
      <c r="G754" s="1203"/>
      <c r="H754" s="1203"/>
      <c r="I754" s="1203"/>
      <c r="J754" s="1251"/>
      <c r="K754" s="1251"/>
      <c r="L754" s="188">
        <v>84.924700000000001</v>
      </c>
      <c r="M754" s="272">
        <v>402</v>
      </c>
      <c r="N754" s="189">
        <v>319</v>
      </c>
      <c r="O754" s="189">
        <v>319</v>
      </c>
      <c r="P754" s="577"/>
      <c r="Q754" s="577"/>
      <c r="R754" s="577"/>
      <c r="S754" s="577"/>
      <c r="T754" s="577"/>
      <c r="U754" s="577"/>
    </row>
    <row r="755" spans="1:21" s="10" customFormat="1" ht="35.1" customHeight="1">
      <c r="A755" s="1462"/>
      <c r="B755" s="503"/>
      <c r="C755" s="901"/>
      <c r="D755" s="591"/>
      <c r="E755" s="592"/>
      <c r="F755" s="593"/>
      <c r="G755" s="1204"/>
      <c r="H755" s="1204"/>
      <c r="I755" s="1204"/>
      <c r="J755" s="1252"/>
      <c r="K755" s="1252"/>
      <c r="L755" s="188">
        <v>84.987099999999998</v>
      </c>
      <c r="M755" s="272">
        <v>393</v>
      </c>
      <c r="N755" s="189">
        <v>257</v>
      </c>
      <c r="O755" s="189">
        <v>257</v>
      </c>
      <c r="P755" s="577"/>
      <c r="Q755" s="577"/>
      <c r="R755" s="577"/>
      <c r="S755" s="577"/>
      <c r="T755" s="577"/>
      <c r="U755" s="577"/>
    </row>
    <row r="756" spans="1:21" s="10" customFormat="1" ht="35.1" customHeight="1">
      <c r="A756" s="1462"/>
      <c r="B756" s="503"/>
      <c r="C756" s="902"/>
      <c r="D756" s="594"/>
      <c r="E756" s="595"/>
      <c r="F756" s="596"/>
      <c r="G756" s="1019" t="s">
        <v>329</v>
      </c>
      <c r="H756" s="1020"/>
      <c r="I756" s="1020"/>
      <c r="J756" s="1020"/>
      <c r="K756" s="1020"/>
      <c r="L756" s="348"/>
      <c r="M756" s="273">
        <f>SUM(M753:M755)</f>
        <v>845</v>
      </c>
      <c r="N756" s="274">
        <f>SUM(N753:N755)</f>
        <v>576</v>
      </c>
      <c r="O756" s="274">
        <f>SUM(O753:O755)</f>
        <v>576</v>
      </c>
      <c r="P756" s="578"/>
      <c r="Q756" s="578"/>
      <c r="R756" s="578"/>
      <c r="S756" s="578"/>
      <c r="T756" s="578"/>
      <c r="U756" s="578"/>
    </row>
    <row r="757" spans="1:21" s="10" customFormat="1" ht="35.1" customHeight="1">
      <c r="A757" s="1462"/>
      <c r="B757" s="503"/>
      <c r="C757" s="639" t="s">
        <v>54</v>
      </c>
      <c r="D757" s="588" t="s">
        <v>642</v>
      </c>
      <c r="E757" s="589"/>
      <c r="F757" s="590"/>
      <c r="G757" s="740" t="s">
        <v>189</v>
      </c>
      <c r="H757" s="740" t="s">
        <v>189</v>
      </c>
      <c r="I757" s="740" t="s">
        <v>189</v>
      </c>
      <c r="J757" s="817" t="s">
        <v>67</v>
      </c>
      <c r="K757" s="817" t="s">
        <v>66</v>
      </c>
      <c r="L757" s="190" t="s">
        <v>776</v>
      </c>
      <c r="M757" s="272">
        <v>114</v>
      </c>
      <c r="N757" s="189">
        <v>0</v>
      </c>
      <c r="O757" s="189">
        <v>0</v>
      </c>
      <c r="P757" s="579" t="s">
        <v>54</v>
      </c>
      <c r="Q757" s="579" t="s">
        <v>54</v>
      </c>
      <c r="R757" s="579" t="s">
        <v>54</v>
      </c>
      <c r="S757" s="579" t="s">
        <v>54</v>
      </c>
      <c r="T757" s="579" t="s">
        <v>54</v>
      </c>
      <c r="U757" s="579" t="s">
        <v>54</v>
      </c>
    </row>
    <row r="758" spans="1:21" s="10" customFormat="1" ht="35.1" customHeight="1">
      <c r="A758" s="1462"/>
      <c r="B758" s="503"/>
      <c r="C758" s="640"/>
      <c r="D758" s="591"/>
      <c r="E758" s="592"/>
      <c r="F758" s="593"/>
      <c r="G758" s="741"/>
      <c r="H758" s="741"/>
      <c r="I758" s="741"/>
      <c r="J758" s="818"/>
      <c r="K758" s="818"/>
      <c r="L758" s="190" t="s">
        <v>777</v>
      </c>
      <c r="M758" s="272">
        <v>65</v>
      </c>
      <c r="N758" s="189">
        <v>0</v>
      </c>
      <c r="O758" s="189">
        <v>0</v>
      </c>
      <c r="P758" s="580"/>
      <c r="Q758" s="580"/>
      <c r="R758" s="580"/>
      <c r="S758" s="580"/>
      <c r="T758" s="580"/>
      <c r="U758" s="580"/>
    </row>
    <row r="759" spans="1:21" s="10" customFormat="1" ht="35.1" customHeight="1">
      <c r="A759" s="1462"/>
      <c r="B759" s="503"/>
      <c r="C759" s="640"/>
      <c r="D759" s="591"/>
      <c r="E759" s="592"/>
      <c r="F759" s="593"/>
      <c r="G759" s="741"/>
      <c r="H759" s="741"/>
      <c r="I759" s="741"/>
      <c r="J759" s="818"/>
      <c r="K759" s="818"/>
      <c r="L759" s="190" t="s">
        <v>778</v>
      </c>
      <c r="M759" s="272">
        <v>184</v>
      </c>
      <c r="N759" s="189">
        <v>0</v>
      </c>
      <c r="O759" s="189">
        <v>0</v>
      </c>
      <c r="P759" s="580"/>
      <c r="Q759" s="580"/>
      <c r="R759" s="580"/>
      <c r="S759" s="580"/>
      <c r="T759" s="580"/>
      <c r="U759" s="580"/>
    </row>
    <row r="760" spans="1:21" s="10" customFormat="1" ht="35.1" customHeight="1">
      <c r="A760" s="1462"/>
      <c r="B760" s="503"/>
      <c r="C760" s="640"/>
      <c r="D760" s="591"/>
      <c r="E760" s="592"/>
      <c r="F760" s="593"/>
      <c r="G760" s="742"/>
      <c r="H760" s="742"/>
      <c r="I760" s="742"/>
      <c r="J760" s="819"/>
      <c r="K760" s="819"/>
      <c r="L760" s="190" t="s">
        <v>779</v>
      </c>
      <c r="M760" s="272">
        <v>64</v>
      </c>
      <c r="N760" s="189">
        <v>0</v>
      </c>
      <c r="O760" s="189">
        <v>0</v>
      </c>
      <c r="P760" s="580"/>
      <c r="Q760" s="580"/>
      <c r="R760" s="580"/>
      <c r="S760" s="580"/>
      <c r="T760" s="580"/>
      <c r="U760" s="580"/>
    </row>
    <row r="761" spans="1:21" s="10" customFormat="1" ht="35.1" customHeight="1">
      <c r="A761" s="1462"/>
      <c r="B761" s="503"/>
      <c r="C761" s="641"/>
      <c r="D761" s="594"/>
      <c r="E761" s="595"/>
      <c r="F761" s="596"/>
      <c r="G761" s="1019" t="s">
        <v>329</v>
      </c>
      <c r="H761" s="1020"/>
      <c r="I761" s="1020"/>
      <c r="J761" s="1020"/>
      <c r="K761" s="1020"/>
      <c r="L761" s="191"/>
      <c r="M761" s="275">
        <f>+SUM(M757:M760)</f>
        <v>427</v>
      </c>
      <c r="N761" s="276">
        <f>+SUM(N757:N760)</f>
        <v>0</v>
      </c>
      <c r="O761" s="276">
        <f>+SUM(O757:O760)</f>
        <v>0</v>
      </c>
      <c r="P761" s="581"/>
      <c r="Q761" s="581"/>
      <c r="R761" s="581"/>
      <c r="S761" s="581"/>
      <c r="T761" s="581"/>
      <c r="U761" s="581"/>
    </row>
    <row r="762" spans="1:21" s="10" customFormat="1" ht="35.1" customHeight="1">
      <c r="A762" s="1462"/>
      <c r="B762" s="503"/>
      <c r="C762" s="639" t="s">
        <v>189</v>
      </c>
      <c r="D762" s="588" t="s">
        <v>642</v>
      </c>
      <c r="E762" s="589"/>
      <c r="F762" s="590"/>
      <c r="G762" s="740" t="s">
        <v>189</v>
      </c>
      <c r="H762" s="740" t="s">
        <v>189</v>
      </c>
      <c r="I762" s="740" t="s">
        <v>189</v>
      </c>
      <c r="J762" s="817" t="s">
        <v>67</v>
      </c>
      <c r="K762" s="817" t="s">
        <v>66</v>
      </c>
      <c r="L762" s="277" t="s">
        <v>903</v>
      </c>
      <c r="M762" s="278">
        <v>153</v>
      </c>
      <c r="N762" s="279">
        <v>127</v>
      </c>
      <c r="O762" s="279">
        <v>127</v>
      </c>
      <c r="P762" s="579" t="s">
        <v>54</v>
      </c>
      <c r="Q762" s="579" t="s">
        <v>54</v>
      </c>
      <c r="R762" s="579" t="s">
        <v>54</v>
      </c>
      <c r="S762" s="579" t="s">
        <v>54</v>
      </c>
      <c r="T762" s="579" t="s">
        <v>54</v>
      </c>
      <c r="U762" s="579" t="s">
        <v>54</v>
      </c>
    </row>
    <row r="763" spans="1:21" s="10" customFormat="1" ht="35.1" customHeight="1">
      <c r="A763" s="1462"/>
      <c r="B763" s="503"/>
      <c r="C763" s="640"/>
      <c r="D763" s="591"/>
      <c r="E763" s="592"/>
      <c r="F763" s="593"/>
      <c r="G763" s="741"/>
      <c r="H763" s="741"/>
      <c r="I763" s="741"/>
      <c r="J763" s="818"/>
      <c r="K763" s="818"/>
      <c r="L763" s="188" t="s">
        <v>904</v>
      </c>
      <c r="M763" s="272">
        <v>153</v>
      </c>
      <c r="N763" s="280">
        <v>81</v>
      </c>
      <c r="O763" s="280">
        <v>81</v>
      </c>
      <c r="P763" s="580"/>
      <c r="Q763" s="580"/>
      <c r="R763" s="580"/>
      <c r="S763" s="580"/>
      <c r="T763" s="580"/>
      <c r="U763" s="580"/>
    </row>
    <row r="764" spans="1:21" s="10" customFormat="1" ht="35.1" customHeight="1">
      <c r="A764" s="1462"/>
      <c r="B764" s="503"/>
      <c r="C764" s="640"/>
      <c r="D764" s="591"/>
      <c r="E764" s="592"/>
      <c r="F764" s="593"/>
      <c r="G764" s="741"/>
      <c r="H764" s="741"/>
      <c r="I764" s="741"/>
      <c r="J764" s="818"/>
      <c r="K764" s="818"/>
      <c r="L764" s="188" t="s">
        <v>905</v>
      </c>
      <c r="M764" s="272">
        <v>64</v>
      </c>
      <c r="N764" s="280">
        <v>0</v>
      </c>
      <c r="O764" s="280">
        <v>0</v>
      </c>
      <c r="P764" s="580"/>
      <c r="Q764" s="580"/>
      <c r="R764" s="580"/>
      <c r="S764" s="580"/>
      <c r="T764" s="580"/>
      <c r="U764" s="580"/>
    </row>
    <row r="765" spans="1:21" s="10" customFormat="1" ht="35.1" customHeight="1">
      <c r="A765" s="1462"/>
      <c r="B765" s="503"/>
      <c r="C765" s="640"/>
      <c r="D765" s="591"/>
      <c r="E765" s="592"/>
      <c r="F765" s="593"/>
      <c r="G765" s="741"/>
      <c r="H765" s="741"/>
      <c r="I765" s="741"/>
      <c r="J765" s="818"/>
      <c r="K765" s="818"/>
      <c r="L765" s="188" t="s">
        <v>84</v>
      </c>
      <c r="M765" s="272">
        <v>575</v>
      </c>
      <c r="N765" s="280">
        <v>100</v>
      </c>
      <c r="O765" s="280">
        <v>87</v>
      </c>
      <c r="P765" s="580"/>
      <c r="Q765" s="580"/>
      <c r="R765" s="580"/>
      <c r="S765" s="580"/>
      <c r="T765" s="580"/>
      <c r="U765" s="580"/>
    </row>
    <row r="766" spans="1:21" s="10" customFormat="1" ht="35.1" customHeight="1">
      <c r="A766" s="1462"/>
      <c r="B766" s="503"/>
      <c r="C766" s="640"/>
      <c r="D766" s="591"/>
      <c r="E766" s="592"/>
      <c r="F766" s="593"/>
      <c r="G766" s="741"/>
      <c r="H766" s="741"/>
      <c r="I766" s="741"/>
      <c r="J766" s="818"/>
      <c r="K766" s="818"/>
      <c r="L766" s="188" t="s">
        <v>83</v>
      </c>
      <c r="M766" s="272">
        <v>300</v>
      </c>
      <c r="N766" s="280">
        <v>74</v>
      </c>
      <c r="O766" s="280">
        <v>68</v>
      </c>
      <c r="P766" s="580"/>
      <c r="Q766" s="580"/>
      <c r="R766" s="580"/>
      <c r="S766" s="580"/>
      <c r="T766" s="580"/>
      <c r="U766" s="580"/>
    </row>
    <row r="767" spans="1:21" s="10" customFormat="1" ht="35.1" customHeight="1">
      <c r="A767" s="1462"/>
      <c r="B767" s="503"/>
      <c r="C767" s="640"/>
      <c r="D767" s="591"/>
      <c r="E767" s="592"/>
      <c r="F767" s="593"/>
      <c r="G767" s="742"/>
      <c r="H767" s="742"/>
      <c r="I767" s="742"/>
      <c r="J767" s="819"/>
      <c r="K767" s="819"/>
      <c r="L767" s="188" t="s">
        <v>82</v>
      </c>
      <c r="M767" s="272">
        <v>110</v>
      </c>
      <c r="N767" s="280">
        <v>40</v>
      </c>
      <c r="O767" s="280">
        <v>38</v>
      </c>
      <c r="P767" s="580"/>
      <c r="Q767" s="580"/>
      <c r="R767" s="580"/>
      <c r="S767" s="580"/>
      <c r="T767" s="580"/>
      <c r="U767" s="580"/>
    </row>
    <row r="768" spans="1:21" s="10" customFormat="1" ht="35.1" customHeight="1">
      <c r="A768" s="1462"/>
      <c r="B768" s="503"/>
      <c r="C768" s="641"/>
      <c r="D768" s="594"/>
      <c r="E768" s="595"/>
      <c r="F768" s="596"/>
      <c r="G768" s="1019" t="s">
        <v>329</v>
      </c>
      <c r="H768" s="1020"/>
      <c r="I768" s="1020"/>
      <c r="J768" s="1020"/>
      <c r="K768" s="1020"/>
      <c r="L768" s="191"/>
      <c r="M768" s="275">
        <f>+SUM(M762:M767)</f>
        <v>1355</v>
      </c>
      <c r="N768" s="276">
        <f>+SUM(N762:N767)</f>
        <v>422</v>
      </c>
      <c r="O768" s="276">
        <f>+SUM(O762:O767)</f>
        <v>401</v>
      </c>
      <c r="P768" s="581"/>
      <c r="Q768" s="581"/>
      <c r="R768" s="581"/>
      <c r="S768" s="581"/>
      <c r="T768" s="581"/>
      <c r="U768" s="581"/>
    </row>
    <row r="769" spans="1:1892" s="10" customFormat="1" ht="35.1" customHeight="1">
      <c r="A769" s="1462"/>
      <c r="B769" s="503"/>
      <c r="C769" s="639" t="s">
        <v>189</v>
      </c>
      <c r="D769" s="588" t="s">
        <v>642</v>
      </c>
      <c r="E769" s="589"/>
      <c r="F769" s="590"/>
      <c r="G769" s="740" t="s">
        <v>189</v>
      </c>
      <c r="H769" s="740" t="s">
        <v>189</v>
      </c>
      <c r="I769" s="740" t="s">
        <v>189</v>
      </c>
      <c r="J769" s="817" t="s">
        <v>67</v>
      </c>
      <c r="K769" s="817" t="s">
        <v>66</v>
      </c>
      <c r="L769" s="188" t="s">
        <v>85</v>
      </c>
      <c r="M769" s="272">
        <v>27</v>
      </c>
      <c r="N769" s="272">
        <v>1</v>
      </c>
      <c r="O769" s="272">
        <v>0</v>
      </c>
      <c r="P769" s="424"/>
      <c r="Q769" s="424"/>
      <c r="R769" s="424"/>
      <c r="S769" s="424"/>
      <c r="T769" s="424"/>
      <c r="U769" s="424"/>
    </row>
    <row r="770" spans="1:1892" s="10" customFormat="1" ht="35.1" customHeight="1">
      <c r="A770" s="1462"/>
      <c r="B770" s="503"/>
      <c r="C770" s="640"/>
      <c r="D770" s="591"/>
      <c r="E770" s="592"/>
      <c r="F770" s="593"/>
      <c r="G770" s="741"/>
      <c r="H770" s="741"/>
      <c r="I770" s="741"/>
      <c r="J770" s="818"/>
      <c r="K770" s="818"/>
      <c r="L770" s="188" t="s">
        <v>103</v>
      </c>
      <c r="M770" s="272">
        <v>17</v>
      </c>
      <c r="N770" s="272">
        <v>1</v>
      </c>
      <c r="O770" s="272">
        <v>0</v>
      </c>
      <c r="P770" s="424"/>
      <c r="Q770" s="424"/>
      <c r="R770" s="424"/>
      <c r="S770" s="424"/>
      <c r="T770" s="424"/>
      <c r="U770" s="424"/>
    </row>
    <row r="771" spans="1:1892" s="10" customFormat="1" ht="35.1" customHeight="1">
      <c r="A771" s="1462"/>
      <c r="B771" s="503"/>
      <c r="C771" s="640"/>
      <c r="D771" s="591"/>
      <c r="E771" s="592"/>
      <c r="F771" s="593"/>
      <c r="G771" s="741"/>
      <c r="H771" s="741"/>
      <c r="I771" s="741"/>
      <c r="J771" s="818"/>
      <c r="K771" s="818"/>
      <c r="L771" s="188" t="s">
        <v>526</v>
      </c>
      <c r="M771" s="272">
        <v>3</v>
      </c>
      <c r="N771" s="272">
        <v>0</v>
      </c>
      <c r="O771" s="272">
        <v>0</v>
      </c>
      <c r="P771" s="424"/>
      <c r="Q771" s="424"/>
      <c r="R771" s="424"/>
      <c r="S771" s="424"/>
      <c r="T771" s="424"/>
      <c r="U771" s="424"/>
    </row>
    <row r="772" spans="1:1892" s="10" customFormat="1" ht="35.1" customHeight="1">
      <c r="A772" s="1462"/>
      <c r="B772" s="503"/>
      <c r="C772" s="640"/>
      <c r="D772" s="591"/>
      <c r="E772" s="592"/>
      <c r="F772" s="593"/>
      <c r="G772" s="741"/>
      <c r="H772" s="741"/>
      <c r="I772" s="741"/>
      <c r="J772" s="818"/>
      <c r="K772" s="818"/>
      <c r="L772" s="188" t="s">
        <v>94</v>
      </c>
      <c r="M772" s="272">
        <v>18</v>
      </c>
      <c r="N772" s="272">
        <v>0</v>
      </c>
      <c r="O772" s="272">
        <v>0</v>
      </c>
      <c r="P772" s="424"/>
      <c r="Q772" s="424"/>
      <c r="R772" s="424"/>
      <c r="S772" s="424"/>
      <c r="T772" s="424"/>
      <c r="U772" s="424"/>
    </row>
    <row r="773" spans="1:1892" s="10" customFormat="1" ht="35.1" customHeight="1">
      <c r="A773" s="1462"/>
      <c r="B773" s="503"/>
      <c r="C773" s="640"/>
      <c r="D773" s="591"/>
      <c r="E773" s="592"/>
      <c r="F773" s="593"/>
      <c r="G773" s="741"/>
      <c r="H773" s="741"/>
      <c r="I773" s="741"/>
      <c r="J773" s="818"/>
      <c r="K773" s="818"/>
      <c r="L773" s="188" t="s">
        <v>84</v>
      </c>
      <c r="M773" s="272">
        <v>42</v>
      </c>
      <c r="N773" s="272">
        <v>34</v>
      </c>
      <c r="O773" s="272">
        <v>0</v>
      </c>
      <c r="P773" s="424"/>
      <c r="Q773" s="424"/>
      <c r="R773" s="424"/>
      <c r="S773" s="424"/>
      <c r="T773" s="424"/>
      <c r="U773" s="424"/>
    </row>
    <row r="774" spans="1:1892" s="10" customFormat="1" ht="35.1" customHeight="1">
      <c r="A774" s="1462"/>
      <c r="B774" s="503"/>
      <c r="C774" s="640"/>
      <c r="D774" s="591"/>
      <c r="E774" s="592"/>
      <c r="F774" s="593"/>
      <c r="G774" s="742"/>
      <c r="H774" s="742"/>
      <c r="I774" s="742"/>
      <c r="J774" s="819"/>
      <c r="K774" s="819"/>
      <c r="L774" s="188" t="s">
        <v>83</v>
      </c>
      <c r="M774" s="272">
        <v>5</v>
      </c>
      <c r="N774" s="272">
        <v>4</v>
      </c>
      <c r="O774" s="272">
        <v>0</v>
      </c>
      <c r="P774" s="424"/>
      <c r="Q774" s="424"/>
      <c r="R774" s="424"/>
      <c r="S774" s="424"/>
      <c r="T774" s="424"/>
      <c r="U774" s="424"/>
    </row>
    <row r="775" spans="1:1892" s="10" customFormat="1" ht="35.1" customHeight="1">
      <c r="A775" s="1462"/>
      <c r="B775" s="503"/>
      <c r="C775" s="641"/>
      <c r="D775" s="594"/>
      <c r="E775" s="595"/>
      <c r="F775" s="596"/>
      <c r="G775" s="425"/>
      <c r="H775" s="426"/>
      <c r="I775" s="426"/>
      <c r="J775" s="426"/>
      <c r="K775" s="426"/>
      <c r="L775" s="191"/>
      <c r="M775" s="275">
        <f>+SUM(M769:M774)</f>
        <v>112</v>
      </c>
      <c r="N775" s="275">
        <f t="shared" ref="N775:O775" si="35">+SUM(N769:N774)</f>
        <v>40</v>
      </c>
      <c r="O775" s="275">
        <f t="shared" si="35"/>
        <v>0</v>
      </c>
      <c r="P775" s="424"/>
      <c r="Q775" s="424"/>
      <c r="R775" s="424"/>
      <c r="S775" s="424"/>
      <c r="T775" s="424"/>
      <c r="U775" s="424"/>
    </row>
    <row r="776" spans="1:1892" s="10" customFormat="1" ht="35.1" customHeight="1">
      <c r="A776" s="1462"/>
      <c r="B776" s="503"/>
      <c r="C776" s="699" t="s">
        <v>72</v>
      </c>
      <c r="D776" s="588" t="s">
        <v>1077</v>
      </c>
      <c r="E776" s="589"/>
      <c r="F776" s="590"/>
      <c r="G776" s="740" t="s">
        <v>1078</v>
      </c>
      <c r="H776" s="740" t="s">
        <v>1078</v>
      </c>
      <c r="I776" s="740" t="s">
        <v>1079</v>
      </c>
      <c r="J776" s="740" t="s">
        <v>11</v>
      </c>
      <c r="K776" s="740" t="s">
        <v>12</v>
      </c>
      <c r="L776" s="188">
        <v>84.727699999999999</v>
      </c>
      <c r="M776" s="272">
        <v>1034</v>
      </c>
      <c r="N776" s="272">
        <v>31</v>
      </c>
      <c r="O776" s="272">
        <v>0</v>
      </c>
      <c r="P776" s="579" t="s">
        <v>1080</v>
      </c>
      <c r="Q776" s="579" t="s">
        <v>1081</v>
      </c>
      <c r="R776" s="579" t="s">
        <v>1082</v>
      </c>
      <c r="S776" s="579" t="s">
        <v>13</v>
      </c>
      <c r="T776" s="579" t="s">
        <v>1083</v>
      </c>
      <c r="U776" s="579" t="s">
        <v>17</v>
      </c>
    </row>
    <row r="777" spans="1:1892" s="10" customFormat="1" ht="35.1" customHeight="1">
      <c r="A777" s="1462"/>
      <c r="B777" s="503"/>
      <c r="C777" s="1040"/>
      <c r="D777" s="591"/>
      <c r="E777" s="592"/>
      <c r="F777" s="593"/>
      <c r="G777" s="741"/>
      <c r="H777" s="741"/>
      <c r="I777" s="741"/>
      <c r="J777" s="741"/>
      <c r="K777" s="741"/>
      <c r="L777" s="188">
        <v>84.934299999999993</v>
      </c>
      <c r="M777" s="272">
        <v>1027</v>
      </c>
      <c r="N777" s="272">
        <v>54</v>
      </c>
      <c r="O777" s="272">
        <v>0</v>
      </c>
      <c r="P777" s="580"/>
      <c r="Q777" s="580"/>
      <c r="R777" s="580"/>
      <c r="S777" s="580"/>
      <c r="T777" s="580"/>
      <c r="U777" s="580"/>
    </row>
    <row r="778" spans="1:1892" s="10" customFormat="1" ht="35.1" customHeight="1">
      <c r="A778" s="1462"/>
      <c r="B778" s="503"/>
      <c r="C778" s="1040"/>
      <c r="D778" s="591"/>
      <c r="E778" s="592"/>
      <c r="F778" s="593"/>
      <c r="G778" s="741"/>
      <c r="H778" s="741"/>
      <c r="I778" s="741"/>
      <c r="J778" s="741"/>
      <c r="K778" s="741"/>
      <c r="L778" s="188">
        <v>128.8451</v>
      </c>
      <c r="M778" s="272">
        <v>368</v>
      </c>
      <c r="N778" s="272">
        <v>102</v>
      </c>
      <c r="O778" s="272">
        <v>93</v>
      </c>
      <c r="P778" s="580"/>
      <c r="Q778" s="580"/>
      <c r="R778" s="580"/>
      <c r="S778" s="580"/>
      <c r="T778" s="580"/>
      <c r="U778" s="580"/>
    </row>
    <row r="779" spans="1:1892" s="10" customFormat="1" ht="35.1" customHeight="1">
      <c r="A779" s="1462"/>
      <c r="B779" s="503"/>
      <c r="C779" s="1040"/>
      <c r="D779" s="591"/>
      <c r="E779" s="592"/>
      <c r="F779" s="593"/>
      <c r="G779" s="741"/>
      <c r="H779" s="741"/>
      <c r="I779" s="741"/>
      <c r="J779" s="741"/>
      <c r="K779" s="741"/>
      <c r="L779" s="188">
        <v>128.6421</v>
      </c>
      <c r="M779" s="272">
        <v>378</v>
      </c>
      <c r="N779" s="272">
        <v>117</v>
      </c>
      <c r="O779" s="272">
        <v>109</v>
      </c>
      <c r="P779" s="580"/>
      <c r="Q779" s="580"/>
      <c r="R779" s="580"/>
      <c r="S779" s="580"/>
      <c r="T779" s="580"/>
      <c r="U779" s="580"/>
    </row>
    <row r="780" spans="1:1892" s="10" customFormat="1" ht="35.1" customHeight="1">
      <c r="A780" s="1462"/>
      <c r="B780" s="503"/>
      <c r="C780" s="1040"/>
      <c r="D780" s="591"/>
      <c r="E780" s="592"/>
      <c r="F780" s="593"/>
      <c r="G780" s="1019" t="s">
        <v>329</v>
      </c>
      <c r="H780" s="1020"/>
      <c r="I780" s="1020"/>
      <c r="J780" s="1020"/>
      <c r="K780" s="1020"/>
      <c r="L780" s="191"/>
      <c r="M780" s="275">
        <f>+SUM(M776:M779)</f>
        <v>2807</v>
      </c>
      <c r="N780" s="275">
        <f t="shared" ref="N780" si="36">+SUM(N776:N779)</f>
        <v>304</v>
      </c>
      <c r="O780" s="275">
        <f t="shared" ref="O780" si="37">+SUM(O776:O779)</f>
        <v>202</v>
      </c>
      <c r="P780" s="580"/>
      <c r="Q780" s="580"/>
      <c r="R780" s="580"/>
      <c r="S780" s="580"/>
      <c r="T780" s="580"/>
      <c r="U780" s="580"/>
    </row>
    <row r="781" spans="1:1892" s="10" customFormat="1" ht="35.1" customHeight="1">
      <c r="A781" s="1462"/>
      <c r="B781" s="503"/>
      <c r="C781" s="1796" t="s">
        <v>54</v>
      </c>
      <c r="D781" s="588" t="s">
        <v>642</v>
      </c>
      <c r="E781" s="589"/>
      <c r="F781" s="590"/>
      <c r="G781" s="755" t="s">
        <v>54</v>
      </c>
      <c r="H781" s="755" t="s">
        <v>54</v>
      </c>
      <c r="I781" s="755" t="s">
        <v>54</v>
      </c>
      <c r="J781" s="740" t="s">
        <v>11</v>
      </c>
      <c r="K781" s="740" t="s">
        <v>12</v>
      </c>
      <c r="L781" s="188">
        <v>84.905100000000004</v>
      </c>
      <c r="M781" s="272">
        <v>322</v>
      </c>
      <c r="N781" s="272">
        <v>242</v>
      </c>
      <c r="O781" s="272">
        <v>239</v>
      </c>
      <c r="P781" s="1797" t="s">
        <v>54</v>
      </c>
      <c r="Q781" s="1797" t="s">
        <v>54</v>
      </c>
      <c r="R781" s="1797" t="s">
        <v>54</v>
      </c>
      <c r="S781" s="1797" t="s">
        <v>54</v>
      </c>
      <c r="T781" s="1797" t="s">
        <v>54</v>
      </c>
      <c r="U781" s="1797" t="s">
        <v>54</v>
      </c>
    </row>
    <row r="782" spans="1:1892" s="10" customFormat="1" ht="35.1" customHeight="1">
      <c r="A782" s="1462"/>
      <c r="B782" s="503"/>
      <c r="C782" s="1040"/>
      <c r="D782" s="591"/>
      <c r="E782" s="592"/>
      <c r="F782" s="593"/>
      <c r="G782" s="757"/>
      <c r="H782" s="757"/>
      <c r="I782" s="757"/>
      <c r="J782" s="741"/>
      <c r="K782" s="741"/>
      <c r="L782" s="188">
        <v>84.938599999999994</v>
      </c>
      <c r="M782" s="272">
        <v>39</v>
      </c>
      <c r="N782" s="272">
        <v>32</v>
      </c>
      <c r="O782" s="272">
        <v>31</v>
      </c>
      <c r="P782" s="580"/>
      <c r="Q782" s="580"/>
      <c r="R782" s="580"/>
      <c r="S782" s="580"/>
      <c r="T782" s="580"/>
      <c r="U782" s="580"/>
    </row>
    <row r="783" spans="1:1892" s="10" customFormat="1" ht="35.1" customHeight="1">
      <c r="A783" s="1462"/>
      <c r="B783" s="504"/>
      <c r="C783" s="1040"/>
      <c r="D783" s="591"/>
      <c r="E783" s="592"/>
      <c r="F783" s="593"/>
      <c r="G783" s="1019" t="s">
        <v>329</v>
      </c>
      <c r="H783" s="1020"/>
      <c r="I783" s="1020"/>
      <c r="J783" s="1020"/>
      <c r="K783" s="1020"/>
      <c r="L783" s="191"/>
      <c r="M783" s="275">
        <f>+SUM(M781:M782)</f>
        <v>361</v>
      </c>
      <c r="N783" s="275">
        <f t="shared" ref="N783" si="38">+SUM(N781:N782)</f>
        <v>274</v>
      </c>
      <c r="O783" s="275">
        <f t="shared" ref="O783" si="39">+SUM(O781:O782)</f>
        <v>270</v>
      </c>
      <c r="P783" s="580"/>
      <c r="Q783" s="580"/>
      <c r="R783" s="580"/>
      <c r="S783" s="580"/>
      <c r="T783" s="580"/>
      <c r="U783" s="580"/>
    </row>
    <row r="784" spans="1:1892" s="9" customFormat="1" ht="35.1" customHeight="1">
      <c r="A784" s="1462"/>
      <c r="B784" s="777" t="s">
        <v>105</v>
      </c>
      <c r="C784" s="778"/>
      <c r="D784" s="778"/>
      <c r="E784" s="778"/>
      <c r="F784" s="778"/>
      <c r="G784" s="778"/>
      <c r="H784" s="778"/>
      <c r="I784" s="778"/>
      <c r="J784" s="778"/>
      <c r="K784" s="779"/>
      <c r="L784" s="122"/>
      <c r="M784" s="399">
        <f>M768+M761+M756+M752+M748+M732+M726+M716+M704+M690+M675+M668+M657+M775+M780+M783</f>
        <v>8230</v>
      </c>
      <c r="N784" s="399">
        <f>N768+N761+N756+N752+N748+N732+N726+N716+N704+N690+N675+N668+N657+N775+N780+N783</f>
        <v>2125</v>
      </c>
      <c r="O784" s="399">
        <f>O768+O761+O756+O752+O748+O732+O726+O716+O704+O690+O675+O668+O657+O775+O780+O783</f>
        <v>1937</v>
      </c>
      <c r="P784" s="161"/>
      <c r="Q784" s="161"/>
      <c r="R784" s="161"/>
      <c r="S784" s="156"/>
      <c r="T784" s="125"/>
      <c r="U784" s="156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  <c r="EF784" s="10"/>
      <c r="EG784" s="10"/>
      <c r="EH784" s="10"/>
      <c r="EI784" s="10"/>
      <c r="EJ784" s="10"/>
      <c r="EK784" s="10"/>
      <c r="EL784" s="10"/>
      <c r="EM784" s="10"/>
      <c r="EN784" s="10"/>
      <c r="EO784" s="10"/>
      <c r="EP784" s="10"/>
      <c r="EQ784" s="10"/>
      <c r="ER784" s="10"/>
      <c r="ES784" s="10"/>
      <c r="ET784" s="10"/>
      <c r="EU784" s="10"/>
      <c r="EV784" s="10"/>
      <c r="EW784" s="10"/>
      <c r="EX784" s="10"/>
      <c r="EY784" s="10"/>
      <c r="EZ784" s="10"/>
      <c r="FA784" s="10"/>
      <c r="FB784" s="10"/>
      <c r="FC784" s="10"/>
      <c r="FD784" s="10"/>
      <c r="FE784" s="10"/>
      <c r="FF784" s="10"/>
      <c r="FG784" s="10"/>
      <c r="FH784" s="10"/>
      <c r="FI784" s="10"/>
      <c r="FJ784" s="10"/>
      <c r="FK784" s="10"/>
      <c r="FL784" s="10"/>
      <c r="FM784" s="10"/>
      <c r="FN784" s="10"/>
      <c r="FO784" s="10"/>
      <c r="FP784" s="10"/>
      <c r="FQ784" s="10"/>
      <c r="FR784" s="10"/>
      <c r="FS784" s="10"/>
      <c r="FT784" s="10"/>
      <c r="FU784" s="10"/>
      <c r="FV784" s="10"/>
      <c r="FW784" s="10"/>
      <c r="FX784" s="10"/>
      <c r="FY784" s="10"/>
      <c r="FZ784" s="10"/>
      <c r="GA784" s="10"/>
      <c r="GB784" s="10"/>
      <c r="GC784" s="10"/>
      <c r="GD784" s="10"/>
      <c r="GE784" s="10"/>
      <c r="GF784" s="10"/>
      <c r="GG784" s="10"/>
      <c r="GH784" s="10"/>
      <c r="GI784" s="10"/>
      <c r="GJ784" s="10"/>
      <c r="GK784" s="10"/>
      <c r="GL784" s="10"/>
      <c r="GM784" s="10"/>
      <c r="GN784" s="10"/>
      <c r="GO784" s="10"/>
      <c r="GP784" s="10"/>
      <c r="GQ784" s="10"/>
      <c r="GR784" s="10"/>
      <c r="GS784" s="10"/>
      <c r="GT784" s="10"/>
      <c r="GU784" s="10"/>
      <c r="GV784" s="10"/>
      <c r="GW784" s="10"/>
      <c r="GX784" s="10"/>
      <c r="GY784" s="10"/>
      <c r="GZ784" s="10"/>
      <c r="HA784" s="10"/>
      <c r="HB784" s="10"/>
      <c r="HC784" s="10"/>
      <c r="HD784" s="10"/>
      <c r="HE784" s="10"/>
      <c r="HF784" s="10"/>
      <c r="HG784" s="10"/>
      <c r="HH784" s="10"/>
      <c r="HI784" s="10"/>
      <c r="HJ784" s="10"/>
      <c r="HK784" s="10"/>
      <c r="HL784" s="10"/>
      <c r="HM784" s="10"/>
      <c r="HN784" s="10"/>
      <c r="HO784" s="10"/>
      <c r="HP784" s="10"/>
      <c r="HQ784" s="10"/>
      <c r="HR784" s="10"/>
      <c r="HS784" s="10"/>
      <c r="HT784" s="10"/>
      <c r="HU784" s="10"/>
      <c r="HV784" s="10"/>
      <c r="HW784" s="10"/>
      <c r="HX784" s="10"/>
      <c r="HY784" s="10"/>
      <c r="HZ784" s="10"/>
      <c r="IA784" s="10"/>
      <c r="IB784" s="10"/>
      <c r="IC784" s="10"/>
      <c r="ID784" s="10"/>
      <c r="IE784" s="10"/>
      <c r="IF784" s="10"/>
      <c r="IG784" s="10"/>
      <c r="IH784" s="10"/>
      <c r="II784" s="10"/>
      <c r="IJ784" s="10"/>
      <c r="IK784" s="10"/>
      <c r="IL784" s="10"/>
      <c r="IM784" s="10"/>
      <c r="IN784" s="10"/>
      <c r="IO784" s="10"/>
      <c r="IP784" s="10"/>
      <c r="IQ784" s="10"/>
      <c r="IR784" s="10"/>
      <c r="IS784" s="10"/>
      <c r="IT784" s="10"/>
      <c r="IU784" s="10"/>
      <c r="IV784" s="10"/>
      <c r="IW784" s="10"/>
      <c r="IX784" s="10"/>
      <c r="IY784" s="10"/>
      <c r="IZ784" s="10"/>
      <c r="JA784" s="10"/>
      <c r="JB784" s="10"/>
      <c r="JC784" s="10"/>
      <c r="JD784" s="10"/>
      <c r="JE784" s="10"/>
      <c r="JF784" s="10"/>
      <c r="JG784" s="10"/>
      <c r="JH784" s="10"/>
      <c r="JI784" s="10"/>
      <c r="JJ784" s="10"/>
      <c r="JK784" s="10"/>
      <c r="JL784" s="10"/>
      <c r="JM784" s="10"/>
      <c r="JN784" s="10"/>
      <c r="JO784" s="10"/>
      <c r="JP784" s="10"/>
      <c r="JQ784" s="10"/>
      <c r="JR784" s="10"/>
      <c r="JS784" s="10"/>
      <c r="JT784" s="10"/>
      <c r="JU784" s="10"/>
      <c r="JV784" s="10"/>
      <c r="JW784" s="10"/>
      <c r="JX784" s="10"/>
      <c r="JY784" s="10"/>
      <c r="JZ784" s="10"/>
      <c r="KA784" s="10"/>
      <c r="KB784" s="10"/>
      <c r="KC784" s="10"/>
      <c r="KD784" s="10"/>
      <c r="KE784" s="10"/>
      <c r="KF784" s="10"/>
      <c r="KG784" s="10"/>
      <c r="KH784" s="10"/>
      <c r="KI784" s="10"/>
      <c r="KJ784" s="10"/>
      <c r="KK784" s="10"/>
      <c r="KL784" s="10"/>
      <c r="KM784" s="10"/>
      <c r="KN784" s="10"/>
      <c r="KO784" s="10"/>
      <c r="KP784" s="10"/>
      <c r="KQ784" s="10"/>
      <c r="KR784" s="10"/>
      <c r="KS784" s="10"/>
      <c r="KT784" s="10"/>
      <c r="KU784" s="10"/>
      <c r="KV784" s="10"/>
      <c r="KW784" s="10"/>
      <c r="KX784" s="10"/>
      <c r="KY784" s="10"/>
      <c r="KZ784" s="10"/>
      <c r="LA784" s="10"/>
      <c r="LB784" s="10"/>
      <c r="LC784" s="10"/>
      <c r="LD784" s="10"/>
      <c r="LE784" s="10"/>
      <c r="LF784" s="10"/>
      <c r="LG784" s="10"/>
      <c r="LH784" s="10"/>
      <c r="LI784" s="10"/>
      <c r="LJ784" s="10"/>
      <c r="LK784" s="10"/>
      <c r="LL784" s="10"/>
      <c r="LM784" s="10"/>
      <c r="LN784" s="10"/>
      <c r="LO784" s="10"/>
      <c r="LP784" s="10"/>
      <c r="LQ784" s="10"/>
      <c r="LR784" s="10"/>
      <c r="LS784" s="10"/>
      <c r="LT784" s="10"/>
      <c r="LU784" s="10"/>
      <c r="LV784" s="10"/>
      <c r="LW784" s="10"/>
      <c r="LX784" s="10"/>
      <c r="LY784" s="10"/>
      <c r="LZ784" s="10"/>
      <c r="MA784" s="10"/>
      <c r="MB784" s="10"/>
      <c r="MC784" s="10"/>
      <c r="MD784" s="10"/>
      <c r="ME784" s="10"/>
      <c r="MF784" s="10"/>
      <c r="MG784" s="10"/>
      <c r="MH784" s="10"/>
      <c r="MI784" s="10"/>
      <c r="MJ784" s="10"/>
      <c r="MK784" s="10"/>
      <c r="ML784" s="10"/>
      <c r="MM784" s="10"/>
      <c r="MN784" s="10"/>
      <c r="MO784" s="10"/>
      <c r="MP784" s="10"/>
      <c r="MQ784" s="10"/>
      <c r="MR784" s="10"/>
      <c r="MS784" s="10"/>
      <c r="MT784" s="10"/>
      <c r="MU784" s="10"/>
      <c r="MV784" s="10"/>
      <c r="MW784" s="10"/>
      <c r="MX784" s="10"/>
      <c r="MY784" s="10"/>
      <c r="MZ784" s="10"/>
      <c r="NA784" s="10"/>
      <c r="NB784" s="10"/>
      <c r="NC784" s="10"/>
      <c r="ND784" s="10"/>
      <c r="NE784" s="10"/>
      <c r="NF784" s="10"/>
      <c r="NG784" s="10"/>
      <c r="NH784" s="10"/>
      <c r="NI784" s="10"/>
      <c r="NJ784" s="10"/>
      <c r="NK784" s="10"/>
      <c r="NL784" s="10"/>
      <c r="NM784" s="10"/>
      <c r="NN784" s="10"/>
      <c r="NO784" s="10"/>
      <c r="NP784" s="10"/>
      <c r="NQ784" s="10"/>
      <c r="NR784" s="10"/>
      <c r="NS784" s="10"/>
      <c r="NT784" s="10"/>
      <c r="NU784" s="10"/>
      <c r="NV784" s="10"/>
      <c r="NW784" s="10"/>
      <c r="NX784" s="10"/>
      <c r="NY784" s="10"/>
      <c r="NZ784" s="10"/>
      <c r="OA784" s="10"/>
      <c r="OB784" s="10"/>
      <c r="OC784" s="10"/>
      <c r="OD784" s="10"/>
      <c r="OE784" s="10"/>
      <c r="OF784" s="10"/>
      <c r="OG784" s="10"/>
      <c r="OH784" s="10"/>
      <c r="OI784" s="10"/>
      <c r="OJ784" s="10"/>
      <c r="OK784" s="10"/>
      <c r="OL784" s="10"/>
      <c r="OM784" s="10"/>
      <c r="ON784" s="10"/>
      <c r="OO784" s="10"/>
      <c r="OP784" s="10"/>
      <c r="OQ784" s="10"/>
      <c r="OR784" s="10"/>
      <c r="OS784" s="10"/>
      <c r="OT784" s="10"/>
      <c r="OU784" s="10"/>
      <c r="OV784" s="10"/>
      <c r="OW784" s="10"/>
      <c r="OX784" s="10"/>
      <c r="OY784" s="10"/>
      <c r="OZ784" s="10"/>
      <c r="PA784" s="10"/>
      <c r="PB784" s="10"/>
      <c r="PC784" s="10"/>
      <c r="PD784" s="10"/>
      <c r="PE784" s="10"/>
      <c r="PF784" s="10"/>
      <c r="PG784" s="10"/>
      <c r="PH784" s="10"/>
      <c r="PI784" s="10"/>
      <c r="PJ784" s="10"/>
      <c r="PK784" s="10"/>
      <c r="PL784" s="10"/>
      <c r="PM784" s="10"/>
      <c r="PN784" s="10"/>
      <c r="PO784" s="10"/>
      <c r="PP784" s="10"/>
      <c r="PQ784" s="10"/>
      <c r="PR784" s="10"/>
      <c r="PS784" s="10"/>
      <c r="PT784" s="10"/>
      <c r="PU784" s="10"/>
      <c r="PV784" s="10"/>
      <c r="PW784" s="10"/>
      <c r="PX784" s="10"/>
      <c r="PY784" s="10"/>
      <c r="PZ784" s="10"/>
      <c r="QA784" s="10"/>
      <c r="QB784" s="10"/>
      <c r="QC784" s="10"/>
      <c r="QD784" s="10"/>
      <c r="QE784" s="10"/>
      <c r="QF784" s="10"/>
      <c r="QG784" s="10"/>
      <c r="QH784" s="10"/>
      <c r="QI784" s="10"/>
      <c r="QJ784" s="10"/>
      <c r="QK784" s="10"/>
      <c r="QL784" s="10"/>
      <c r="QM784" s="10"/>
      <c r="QN784" s="10"/>
      <c r="QO784" s="10"/>
      <c r="QP784" s="10"/>
      <c r="QQ784" s="10"/>
      <c r="QR784" s="10"/>
      <c r="QS784" s="10"/>
      <c r="QT784" s="10"/>
      <c r="QU784" s="10"/>
      <c r="QV784" s="10"/>
      <c r="QW784" s="10"/>
      <c r="QX784" s="10"/>
      <c r="QY784" s="10"/>
      <c r="QZ784" s="10"/>
      <c r="RA784" s="10"/>
      <c r="RB784" s="10"/>
      <c r="RC784" s="10"/>
      <c r="RD784" s="10"/>
      <c r="RE784" s="10"/>
      <c r="RF784" s="10"/>
      <c r="RG784" s="10"/>
      <c r="RH784" s="10"/>
      <c r="RI784" s="10"/>
      <c r="RJ784" s="10"/>
      <c r="RK784" s="10"/>
      <c r="RL784" s="10"/>
      <c r="RM784" s="10"/>
      <c r="RN784" s="10"/>
      <c r="RO784" s="10"/>
      <c r="RP784" s="10"/>
      <c r="RQ784" s="10"/>
      <c r="RR784" s="10"/>
      <c r="RS784" s="10"/>
      <c r="RT784" s="10"/>
      <c r="RU784" s="10"/>
      <c r="RV784" s="10"/>
      <c r="RW784" s="10"/>
      <c r="RX784" s="10"/>
      <c r="RY784" s="10"/>
      <c r="RZ784" s="10"/>
      <c r="SA784" s="10"/>
      <c r="SB784" s="10"/>
      <c r="SC784" s="10"/>
      <c r="SD784" s="10"/>
      <c r="SE784" s="10"/>
      <c r="SF784" s="10"/>
      <c r="SG784" s="10"/>
      <c r="SH784" s="10"/>
      <c r="SI784" s="10"/>
      <c r="SJ784" s="10"/>
      <c r="SK784" s="10"/>
      <c r="SL784" s="10"/>
      <c r="SM784" s="10"/>
      <c r="SN784" s="10"/>
      <c r="SO784" s="10"/>
      <c r="SP784" s="10"/>
      <c r="SQ784" s="10"/>
      <c r="SR784" s="10"/>
      <c r="SS784" s="10"/>
      <c r="ST784" s="10"/>
      <c r="SU784" s="10"/>
      <c r="SV784" s="10"/>
      <c r="SW784" s="10"/>
      <c r="SX784" s="10"/>
      <c r="SY784" s="10"/>
      <c r="SZ784" s="10"/>
      <c r="TA784" s="10"/>
      <c r="TB784" s="10"/>
      <c r="TC784" s="10"/>
      <c r="TD784" s="10"/>
      <c r="TE784" s="10"/>
      <c r="TF784" s="10"/>
      <c r="TG784" s="10"/>
      <c r="TH784" s="10"/>
      <c r="TI784" s="10"/>
      <c r="TJ784" s="10"/>
      <c r="TK784" s="10"/>
      <c r="TL784" s="10"/>
      <c r="TM784" s="10"/>
      <c r="TN784" s="10"/>
      <c r="TO784" s="10"/>
      <c r="TP784" s="10"/>
      <c r="TQ784" s="10"/>
      <c r="TR784" s="10"/>
      <c r="TS784" s="10"/>
      <c r="TT784" s="10"/>
      <c r="TU784" s="10"/>
      <c r="TV784" s="10"/>
      <c r="TW784" s="10"/>
      <c r="TX784" s="10"/>
      <c r="TY784" s="10"/>
      <c r="TZ784" s="10"/>
      <c r="UA784" s="10"/>
      <c r="UB784" s="10"/>
      <c r="UC784" s="10"/>
      <c r="UD784" s="10"/>
      <c r="UE784" s="10"/>
      <c r="UF784" s="10"/>
      <c r="UG784" s="10"/>
      <c r="UH784" s="10"/>
      <c r="UI784" s="10"/>
      <c r="UJ784" s="10"/>
      <c r="UK784" s="10"/>
      <c r="UL784" s="10"/>
      <c r="UM784" s="10"/>
      <c r="UN784" s="10"/>
      <c r="UO784" s="10"/>
      <c r="UP784" s="10"/>
      <c r="UQ784" s="10"/>
      <c r="UR784" s="10"/>
      <c r="US784" s="10"/>
      <c r="UT784" s="10"/>
      <c r="UU784" s="10"/>
      <c r="UV784" s="10"/>
      <c r="UW784" s="10"/>
      <c r="UX784" s="10"/>
      <c r="UY784" s="10"/>
      <c r="UZ784" s="10"/>
      <c r="VA784" s="10"/>
      <c r="VB784" s="10"/>
      <c r="VC784" s="10"/>
      <c r="VD784" s="10"/>
      <c r="VE784" s="10"/>
      <c r="VF784" s="10"/>
      <c r="VG784" s="10"/>
      <c r="VH784" s="10"/>
      <c r="VI784" s="10"/>
      <c r="VJ784" s="10"/>
      <c r="VK784" s="10"/>
      <c r="VL784" s="10"/>
      <c r="VM784" s="10"/>
      <c r="VN784" s="10"/>
      <c r="VO784" s="10"/>
      <c r="VP784" s="10"/>
      <c r="VQ784" s="10"/>
      <c r="VR784" s="10"/>
      <c r="VS784" s="10"/>
      <c r="VT784" s="10"/>
      <c r="VU784" s="10"/>
      <c r="VV784" s="10"/>
      <c r="VW784" s="10"/>
      <c r="VX784" s="10"/>
      <c r="VY784" s="10"/>
      <c r="VZ784" s="10"/>
      <c r="WA784" s="10"/>
      <c r="WB784" s="10"/>
      <c r="WC784" s="10"/>
      <c r="WD784" s="10"/>
      <c r="WE784" s="10"/>
      <c r="WF784" s="10"/>
      <c r="WG784" s="10"/>
      <c r="WH784" s="10"/>
      <c r="WI784" s="10"/>
      <c r="WJ784" s="10"/>
      <c r="WK784" s="10"/>
      <c r="WL784" s="10"/>
      <c r="WM784" s="10"/>
      <c r="WN784" s="10"/>
      <c r="WO784" s="10"/>
      <c r="WP784" s="10"/>
      <c r="WQ784" s="10"/>
      <c r="WR784" s="10"/>
      <c r="WS784" s="10"/>
      <c r="WT784" s="10"/>
      <c r="WU784" s="10"/>
      <c r="WV784" s="10"/>
      <c r="WW784" s="10"/>
      <c r="WX784" s="10"/>
      <c r="WY784" s="10"/>
      <c r="WZ784" s="10"/>
      <c r="XA784" s="10"/>
      <c r="XB784" s="10"/>
      <c r="XC784" s="10"/>
      <c r="XD784" s="10"/>
      <c r="XE784" s="10"/>
      <c r="XF784" s="10"/>
      <c r="XG784" s="10"/>
      <c r="XH784" s="10"/>
      <c r="XI784" s="10"/>
      <c r="XJ784" s="10"/>
      <c r="XK784" s="10"/>
      <c r="XL784" s="10"/>
      <c r="XM784" s="10"/>
      <c r="XN784" s="10"/>
      <c r="XO784" s="10"/>
      <c r="XP784" s="10"/>
      <c r="XQ784" s="10"/>
      <c r="XR784" s="10"/>
      <c r="XS784" s="10"/>
      <c r="XT784" s="10"/>
      <c r="XU784" s="10"/>
      <c r="XV784" s="10"/>
      <c r="XW784" s="10"/>
      <c r="XX784" s="10"/>
      <c r="XY784" s="10"/>
      <c r="XZ784" s="10"/>
      <c r="YA784" s="10"/>
      <c r="YB784" s="10"/>
      <c r="YC784" s="10"/>
      <c r="YD784" s="10"/>
      <c r="YE784" s="10"/>
      <c r="YF784" s="10"/>
      <c r="YG784" s="10"/>
      <c r="YH784" s="10"/>
      <c r="YI784" s="10"/>
      <c r="YJ784" s="10"/>
      <c r="YK784" s="10"/>
      <c r="YL784" s="10"/>
      <c r="YM784" s="10"/>
      <c r="YN784" s="10"/>
      <c r="YO784" s="10"/>
      <c r="YP784" s="10"/>
      <c r="YQ784" s="10"/>
      <c r="YR784" s="10"/>
      <c r="YS784" s="10"/>
      <c r="YT784" s="10"/>
      <c r="YU784" s="10"/>
      <c r="YV784" s="10"/>
      <c r="YW784" s="10"/>
      <c r="YX784" s="10"/>
      <c r="YY784" s="10"/>
      <c r="YZ784" s="10"/>
      <c r="ZA784" s="10"/>
      <c r="ZB784" s="10"/>
      <c r="ZC784" s="10"/>
      <c r="ZD784" s="10"/>
      <c r="ZE784" s="10"/>
      <c r="ZF784" s="10"/>
      <c r="ZG784" s="10"/>
      <c r="ZH784" s="10"/>
      <c r="ZI784" s="10"/>
      <c r="ZJ784" s="10"/>
      <c r="ZK784" s="10"/>
      <c r="ZL784" s="10"/>
      <c r="ZM784" s="10"/>
      <c r="ZN784" s="10"/>
      <c r="ZO784" s="10"/>
      <c r="ZP784" s="10"/>
      <c r="ZQ784" s="10"/>
      <c r="ZR784" s="10"/>
      <c r="ZS784" s="10"/>
      <c r="ZT784" s="10"/>
      <c r="ZU784" s="10"/>
      <c r="ZV784" s="10"/>
      <c r="ZW784" s="10"/>
      <c r="ZX784" s="10"/>
      <c r="ZY784" s="10"/>
      <c r="ZZ784" s="10"/>
      <c r="AAA784" s="10"/>
      <c r="AAB784" s="10"/>
      <c r="AAC784" s="10"/>
      <c r="AAD784" s="10"/>
      <c r="AAE784" s="10"/>
      <c r="AAF784" s="10"/>
      <c r="AAG784" s="10"/>
      <c r="AAH784" s="10"/>
      <c r="AAI784" s="10"/>
      <c r="AAJ784" s="10"/>
      <c r="AAK784" s="10"/>
      <c r="AAL784" s="10"/>
      <c r="AAM784" s="10"/>
      <c r="AAN784" s="10"/>
      <c r="AAO784" s="10"/>
      <c r="AAP784" s="10"/>
      <c r="AAQ784" s="10"/>
      <c r="AAR784" s="10"/>
      <c r="AAS784" s="10"/>
      <c r="AAT784" s="10"/>
      <c r="AAU784" s="10"/>
      <c r="AAV784" s="10"/>
      <c r="AAW784" s="10"/>
      <c r="AAX784" s="10"/>
      <c r="AAY784" s="10"/>
      <c r="AAZ784" s="10"/>
      <c r="ABA784" s="10"/>
      <c r="ABB784" s="10"/>
      <c r="ABC784" s="10"/>
      <c r="ABD784" s="10"/>
      <c r="ABE784" s="10"/>
      <c r="ABF784" s="10"/>
      <c r="ABG784" s="10"/>
      <c r="ABH784" s="10"/>
      <c r="ABI784" s="10"/>
      <c r="ABJ784" s="10"/>
      <c r="ABK784" s="10"/>
      <c r="ABL784" s="10"/>
      <c r="ABM784" s="10"/>
      <c r="ABN784" s="10"/>
      <c r="ABO784" s="10"/>
      <c r="ABP784" s="10"/>
      <c r="ABQ784" s="10"/>
      <c r="ABR784" s="10"/>
      <c r="ABS784" s="10"/>
      <c r="ABT784" s="10"/>
      <c r="ABU784" s="10"/>
      <c r="ABV784" s="10"/>
      <c r="ABW784" s="10"/>
      <c r="ABX784" s="10"/>
      <c r="ABY784" s="10"/>
      <c r="ABZ784" s="10"/>
      <c r="ACA784" s="10"/>
      <c r="ACB784" s="10"/>
      <c r="ACC784" s="10"/>
      <c r="ACD784" s="10"/>
      <c r="ACE784" s="10"/>
      <c r="ACF784" s="10"/>
      <c r="ACG784" s="10"/>
      <c r="ACH784" s="10"/>
      <c r="ACI784" s="10"/>
      <c r="ACJ784" s="10"/>
      <c r="ACK784" s="10"/>
      <c r="ACL784" s="10"/>
      <c r="ACM784" s="10"/>
      <c r="ACN784" s="10"/>
      <c r="ACO784" s="10"/>
      <c r="ACP784" s="10"/>
      <c r="ACQ784" s="10"/>
      <c r="ACR784" s="10"/>
      <c r="ACS784" s="10"/>
      <c r="ACT784" s="10"/>
      <c r="ACU784" s="10"/>
      <c r="ACV784" s="10"/>
      <c r="ACW784" s="10"/>
      <c r="ACX784" s="10"/>
      <c r="ACY784" s="10"/>
      <c r="ACZ784" s="10"/>
      <c r="ADA784" s="10"/>
      <c r="ADB784" s="10"/>
      <c r="ADC784" s="10"/>
      <c r="ADD784" s="10"/>
      <c r="ADE784" s="10"/>
      <c r="ADF784" s="10"/>
      <c r="ADG784" s="10"/>
      <c r="ADH784" s="10"/>
      <c r="ADI784" s="10"/>
      <c r="ADJ784" s="10"/>
      <c r="ADK784" s="10"/>
      <c r="ADL784" s="10"/>
      <c r="ADM784" s="10"/>
      <c r="ADN784" s="10"/>
      <c r="ADO784" s="10"/>
      <c r="ADP784" s="10"/>
      <c r="ADQ784" s="10"/>
      <c r="ADR784" s="10"/>
      <c r="ADS784" s="10"/>
      <c r="ADT784" s="10"/>
      <c r="ADU784" s="10"/>
      <c r="ADV784" s="10"/>
      <c r="ADW784" s="10"/>
      <c r="ADX784" s="10"/>
      <c r="ADY784" s="10"/>
      <c r="ADZ784" s="10"/>
      <c r="AEA784" s="10"/>
      <c r="AEB784" s="10"/>
      <c r="AEC784" s="10"/>
      <c r="AED784" s="10"/>
      <c r="AEE784" s="10"/>
      <c r="AEF784" s="10"/>
      <c r="AEG784" s="10"/>
      <c r="AEH784" s="10"/>
      <c r="AEI784" s="10"/>
      <c r="AEJ784" s="10"/>
      <c r="AEK784" s="10"/>
      <c r="AEL784" s="10"/>
      <c r="AEM784" s="10"/>
      <c r="AEN784" s="10"/>
      <c r="AEO784" s="10"/>
      <c r="AEP784" s="10"/>
      <c r="AEQ784" s="10"/>
      <c r="AER784" s="10"/>
      <c r="AES784" s="10"/>
      <c r="AET784" s="10"/>
      <c r="AEU784" s="10"/>
      <c r="AEV784" s="10"/>
      <c r="AEW784" s="10"/>
      <c r="AEX784" s="10"/>
      <c r="AEY784" s="10"/>
      <c r="AEZ784" s="10"/>
      <c r="AFA784" s="10"/>
      <c r="AFB784" s="10"/>
      <c r="AFC784" s="10"/>
      <c r="AFD784" s="10"/>
      <c r="AFE784" s="10"/>
      <c r="AFF784" s="10"/>
      <c r="AFG784" s="10"/>
      <c r="AFH784" s="10"/>
      <c r="AFI784" s="10"/>
      <c r="AFJ784" s="10"/>
      <c r="AFK784" s="10"/>
      <c r="AFL784" s="10"/>
      <c r="AFM784" s="10"/>
      <c r="AFN784" s="10"/>
      <c r="AFO784" s="10"/>
      <c r="AFP784" s="10"/>
      <c r="AFQ784" s="10"/>
      <c r="AFR784" s="10"/>
      <c r="AFS784" s="10"/>
      <c r="AFT784" s="10"/>
      <c r="AFU784" s="10"/>
      <c r="AFV784" s="10"/>
      <c r="AFW784" s="10"/>
      <c r="AFX784" s="10"/>
      <c r="AFY784" s="10"/>
      <c r="AFZ784" s="10"/>
      <c r="AGA784" s="10"/>
      <c r="AGB784" s="10"/>
      <c r="AGC784" s="10"/>
      <c r="AGD784" s="10"/>
      <c r="AGE784" s="10"/>
      <c r="AGF784" s="10"/>
      <c r="AGG784" s="10"/>
      <c r="AGH784" s="10"/>
      <c r="AGI784" s="10"/>
      <c r="AGJ784" s="10"/>
      <c r="AGK784" s="10"/>
      <c r="AGL784" s="10"/>
      <c r="AGM784" s="10"/>
      <c r="AGN784" s="10"/>
      <c r="AGO784" s="10"/>
      <c r="AGP784" s="10"/>
      <c r="AGQ784" s="10"/>
      <c r="AGR784" s="10"/>
      <c r="AGS784" s="10"/>
      <c r="AGT784" s="10"/>
      <c r="AGU784" s="10"/>
      <c r="AGV784" s="10"/>
      <c r="AGW784" s="10"/>
      <c r="AGX784" s="10"/>
      <c r="AGY784" s="10"/>
      <c r="AGZ784" s="10"/>
      <c r="AHA784" s="10"/>
      <c r="AHB784" s="10"/>
      <c r="AHC784" s="10"/>
      <c r="AHD784" s="10"/>
      <c r="AHE784" s="10"/>
      <c r="AHF784" s="10"/>
      <c r="AHG784" s="10"/>
      <c r="AHH784" s="10"/>
      <c r="AHI784" s="10"/>
      <c r="AHJ784" s="10"/>
      <c r="AHK784" s="10"/>
      <c r="AHL784" s="10"/>
      <c r="AHM784" s="10"/>
      <c r="AHN784" s="10"/>
      <c r="AHO784" s="10"/>
      <c r="AHP784" s="10"/>
      <c r="AHQ784" s="10"/>
      <c r="AHR784" s="10"/>
      <c r="AHS784" s="10"/>
      <c r="AHT784" s="10"/>
      <c r="AHU784" s="10"/>
      <c r="AHV784" s="10"/>
      <c r="AHW784" s="10"/>
      <c r="AHX784" s="10"/>
      <c r="AHY784" s="10"/>
      <c r="AHZ784" s="10"/>
      <c r="AIA784" s="10"/>
      <c r="AIB784" s="10"/>
      <c r="AIC784" s="10"/>
      <c r="AID784" s="10"/>
      <c r="AIE784" s="10"/>
      <c r="AIF784" s="10"/>
      <c r="AIG784" s="10"/>
      <c r="AIH784" s="10"/>
      <c r="AII784" s="10"/>
      <c r="AIJ784" s="10"/>
      <c r="AIK784" s="10"/>
      <c r="AIL784" s="10"/>
      <c r="AIM784" s="10"/>
      <c r="AIN784" s="10"/>
      <c r="AIO784" s="10"/>
      <c r="AIP784" s="10"/>
      <c r="AIQ784" s="10"/>
      <c r="AIR784" s="10"/>
      <c r="AIS784" s="10"/>
      <c r="AIT784" s="10"/>
      <c r="AIU784" s="10"/>
      <c r="AIV784" s="10"/>
      <c r="AIW784" s="10"/>
      <c r="AIX784" s="10"/>
      <c r="AIY784" s="10"/>
      <c r="AIZ784" s="10"/>
      <c r="AJA784" s="10"/>
      <c r="AJB784" s="10"/>
      <c r="AJC784" s="10"/>
      <c r="AJD784" s="10"/>
      <c r="AJE784" s="10"/>
      <c r="AJF784" s="10"/>
      <c r="AJG784" s="10"/>
      <c r="AJH784" s="10"/>
      <c r="AJI784" s="10"/>
      <c r="AJJ784" s="10"/>
      <c r="AJK784" s="10"/>
      <c r="AJL784" s="10"/>
      <c r="AJM784" s="10"/>
      <c r="AJN784" s="10"/>
      <c r="AJO784" s="10"/>
      <c r="AJP784" s="10"/>
      <c r="AJQ784" s="10"/>
      <c r="AJR784" s="10"/>
      <c r="AJS784" s="10"/>
      <c r="AJT784" s="10"/>
      <c r="AJU784" s="10"/>
      <c r="AJV784" s="10"/>
      <c r="AJW784" s="10"/>
      <c r="AJX784" s="10"/>
      <c r="AJY784" s="10"/>
      <c r="AJZ784" s="10"/>
      <c r="AKA784" s="10"/>
      <c r="AKB784" s="10"/>
      <c r="AKC784" s="10"/>
      <c r="AKD784" s="10"/>
      <c r="AKE784" s="10"/>
      <c r="AKF784" s="10"/>
      <c r="AKG784" s="10"/>
      <c r="AKH784" s="10"/>
      <c r="AKI784" s="10"/>
      <c r="AKJ784" s="10"/>
      <c r="AKK784" s="10"/>
      <c r="AKL784" s="10"/>
      <c r="AKM784" s="10"/>
      <c r="AKN784" s="10"/>
      <c r="AKO784" s="10"/>
      <c r="AKP784" s="10"/>
      <c r="AKQ784" s="10"/>
      <c r="AKR784" s="10"/>
      <c r="AKS784" s="10"/>
      <c r="AKT784" s="10"/>
      <c r="AKU784" s="10"/>
      <c r="AKV784" s="10"/>
      <c r="AKW784" s="10"/>
      <c r="AKX784" s="10"/>
      <c r="AKY784" s="10"/>
      <c r="AKZ784" s="10"/>
      <c r="ALA784" s="10"/>
      <c r="ALB784" s="10"/>
      <c r="ALC784" s="10"/>
      <c r="ALD784" s="10"/>
      <c r="ALE784" s="10"/>
      <c r="ALF784" s="10"/>
      <c r="ALG784" s="10"/>
      <c r="ALH784" s="10"/>
      <c r="ALI784" s="10"/>
      <c r="ALJ784" s="10"/>
      <c r="ALK784" s="10"/>
      <c r="ALL784" s="10"/>
      <c r="ALM784" s="10"/>
      <c r="ALN784" s="10"/>
      <c r="ALO784" s="10"/>
      <c r="ALP784" s="10"/>
      <c r="ALQ784" s="10"/>
      <c r="ALR784" s="10"/>
      <c r="ALS784" s="10"/>
      <c r="ALT784" s="10"/>
      <c r="ALU784" s="10"/>
      <c r="ALV784" s="10"/>
      <c r="ALW784" s="10"/>
      <c r="ALX784" s="10"/>
      <c r="ALY784" s="10"/>
      <c r="ALZ784" s="10"/>
      <c r="AMA784" s="10"/>
      <c r="AMB784" s="10"/>
      <c r="AMC784" s="10"/>
      <c r="AMD784" s="10"/>
      <c r="AME784" s="10"/>
      <c r="AMF784" s="10"/>
      <c r="AMG784" s="10"/>
      <c r="AMH784" s="10"/>
      <c r="AMI784" s="10"/>
      <c r="AMJ784" s="10"/>
      <c r="AMK784" s="10"/>
      <c r="AML784" s="10"/>
      <c r="AMM784" s="10"/>
      <c r="AMN784" s="10"/>
      <c r="AMO784" s="10"/>
      <c r="AMP784" s="10"/>
      <c r="AMQ784" s="10"/>
      <c r="AMR784" s="10"/>
      <c r="AMS784" s="10"/>
      <c r="AMT784" s="10"/>
      <c r="AMU784" s="10"/>
      <c r="AMV784" s="10"/>
      <c r="AMW784" s="10"/>
      <c r="AMX784" s="10"/>
      <c r="AMY784" s="10"/>
      <c r="AMZ784" s="10"/>
      <c r="ANA784" s="10"/>
      <c r="ANB784" s="10"/>
      <c r="ANC784" s="10"/>
      <c r="AND784" s="10"/>
      <c r="ANE784" s="10"/>
      <c r="ANF784" s="10"/>
      <c r="ANG784" s="10"/>
      <c r="ANH784" s="10"/>
      <c r="ANI784" s="10"/>
      <c r="ANJ784" s="10"/>
      <c r="ANK784" s="10"/>
      <c r="ANL784" s="10"/>
      <c r="ANM784" s="10"/>
      <c r="ANN784" s="10"/>
      <c r="ANO784" s="10"/>
      <c r="ANP784" s="10"/>
      <c r="ANQ784" s="10"/>
      <c r="ANR784" s="10"/>
      <c r="ANS784" s="10"/>
      <c r="ANT784" s="10"/>
      <c r="ANU784" s="10"/>
      <c r="ANV784" s="10"/>
      <c r="ANW784" s="10"/>
      <c r="ANX784" s="10"/>
      <c r="ANY784" s="10"/>
      <c r="ANZ784" s="10"/>
      <c r="AOA784" s="10"/>
      <c r="AOB784" s="10"/>
      <c r="AOC784" s="10"/>
      <c r="AOD784" s="10"/>
      <c r="AOE784" s="10"/>
      <c r="AOF784" s="10"/>
      <c r="AOG784" s="10"/>
      <c r="AOH784" s="10"/>
      <c r="AOI784" s="10"/>
      <c r="AOJ784" s="10"/>
      <c r="AOK784" s="10"/>
      <c r="AOL784" s="10"/>
      <c r="AOM784" s="10"/>
      <c r="AON784" s="10"/>
      <c r="AOO784" s="10"/>
      <c r="AOP784" s="10"/>
      <c r="AOQ784" s="10"/>
      <c r="AOR784" s="10"/>
      <c r="AOS784" s="10"/>
      <c r="AOT784" s="10"/>
      <c r="AOU784" s="10"/>
      <c r="AOV784" s="10"/>
      <c r="AOW784" s="10"/>
      <c r="AOX784" s="10"/>
      <c r="AOY784" s="10"/>
      <c r="AOZ784" s="10"/>
      <c r="APA784" s="10"/>
      <c r="APB784" s="10"/>
      <c r="APC784" s="10"/>
      <c r="APD784" s="10"/>
      <c r="APE784" s="10"/>
      <c r="APF784" s="10"/>
      <c r="APG784" s="10"/>
      <c r="APH784" s="10"/>
      <c r="API784" s="10"/>
      <c r="APJ784" s="10"/>
      <c r="APK784" s="10"/>
      <c r="APL784" s="10"/>
      <c r="APM784" s="10"/>
      <c r="APN784" s="10"/>
      <c r="APO784" s="10"/>
      <c r="APP784" s="10"/>
      <c r="APQ784" s="10"/>
      <c r="APR784" s="10"/>
      <c r="APS784" s="10"/>
      <c r="APT784" s="10"/>
      <c r="APU784" s="10"/>
      <c r="APV784" s="10"/>
      <c r="APW784" s="10"/>
      <c r="APX784" s="10"/>
      <c r="APY784" s="10"/>
      <c r="APZ784" s="10"/>
      <c r="AQA784" s="10"/>
      <c r="AQB784" s="10"/>
      <c r="AQC784" s="10"/>
      <c r="AQD784" s="10"/>
      <c r="AQE784" s="10"/>
      <c r="AQF784" s="10"/>
      <c r="AQG784" s="10"/>
      <c r="AQH784" s="10"/>
      <c r="AQI784" s="10"/>
      <c r="AQJ784" s="10"/>
      <c r="AQK784" s="10"/>
      <c r="AQL784" s="10"/>
      <c r="AQM784" s="10"/>
      <c r="AQN784" s="10"/>
      <c r="AQO784" s="10"/>
      <c r="AQP784" s="10"/>
      <c r="AQQ784" s="10"/>
      <c r="AQR784" s="10"/>
      <c r="AQS784" s="10"/>
      <c r="AQT784" s="10"/>
      <c r="AQU784" s="10"/>
      <c r="AQV784" s="10"/>
      <c r="AQW784" s="10"/>
      <c r="AQX784" s="10"/>
      <c r="AQY784" s="10"/>
      <c r="AQZ784" s="10"/>
      <c r="ARA784" s="10"/>
      <c r="ARB784" s="10"/>
      <c r="ARC784" s="10"/>
      <c r="ARD784" s="10"/>
      <c r="ARE784" s="10"/>
      <c r="ARF784" s="10"/>
      <c r="ARG784" s="10"/>
      <c r="ARH784" s="10"/>
      <c r="ARI784" s="10"/>
      <c r="ARJ784" s="10"/>
      <c r="ARK784" s="10"/>
      <c r="ARL784" s="10"/>
      <c r="ARM784" s="10"/>
      <c r="ARN784" s="10"/>
      <c r="ARO784" s="10"/>
      <c r="ARP784" s="10"/>
      <c r="ARQ784" s="10"/>
      <c r="ARR784" s="10"/>
      <c r="ARS784" s="10"/>
      <c r="ART784" s="10"/>
      <c r="ARU784" s="10"/>
      <c r="ARV784" s="10"/>
      <c r="ARW784" s="10"/>
      <c r="ARX784" s="10"/>
      <c r="ARY784" s="10"/>
      <c r="ARZ784" s="10"/>
      <c r="ASA784" s="10"/>
      <c r="ASB784" s="10"/>
      <c r="ASC784" s="10"/>
      <c r="ASD784" s="10"/>
      <c r="ASE784" s="10"/>
      <c r="ASF784" s="10"/>
      <c r="ASG784" s="10"/>
      <c r="ASH784" s="10"/>
      <c r="ASI784" s="10"/>
      <c r="ASJ784" s="10"/>
      <c r="ASK784" s="10"/>
      <c r="ASL784" s="10"/>
      <c r="ASM784" s="10"/>
      <c r="ASN784" s="10"/>
      <c r="ASO784" s="10"/>
      <c r="ASP784" s="10"/>
      <c r="ASQ784" s="10"/>
      <c r="ASR784" s="10"/>
      <c r="ASS784" s="10"/>
      <c r="AST784" s="10"/>
      <c r="ASU784" s="10"/>
      <c r="ASV784" s="10"/>
      <c r="ASW784" s="10"/>
      <c r="ASX784" s="10"/>
      <c r="ASY784" s="10"/>
      <c r="ASZ784" s="10"/>
      <c r="ATA784" s="10"/>
      <c r="ATB784" s="10"/>
      <c r="ATC784" s="10"/>
      <c r="ATD784" s="10"/>
      <c r="ATE784" s="10"/>
      <c r="ATF784" s="10"/>
      <c r="ATG784" s="10"/>
      <c r="ATH784" s="10"/>
      <c r="ATI784" s="10"/>
      <c r="ATJ784" s="10"/>
      <c r="ATK784" s="10"/>
      <c r="ATL784" s="10"/>
      <c r="ATM784" s="10"/>
      <c r="ATN784" s="10"/>
      <c r="ATO784" s="10"/>
      <c r="ATP784" s="10"/>
      <c r="ATQ784" s="10"/>
      <c r="ATR784" s="10"/>
      <c r="ATS784" s="10"/>
      <c r="ATT784" s="10"/>
      <c r="ATU784" s="10"/>
      <c r="ATV784" s="10"/>
      <c r="ATW784" s="10"/>
      <c r="ATX784" s="10"/>
      <c r="ATY784" s="10"/>
      <c r="ATZ784" s="10"/>
      <c r="AUA784" s="10"/>
      <c r="AUB784" s="10"/>
      <c r="AUC784" s="10"/>
      <c r="AUD784" s="10"/>
      <c r="AUE784" s="10"/>
      <c r="AUF784" s="10"/>
      <c r="AUG784" s="10"/>
      <c r="AUH784" s="10"/>
      <c r="AUI784" s="10"/>
      <c r="AUJ784" s="10"/>
      <c r="AUK784" s="10"/>
      <c r="AUL784" s="10"/>
      <c r="AUM784" s="10"/>
      <c r="AUN784" s="10"/>
      <c r="AUO784" s="10"/>
      <c r="AUP784" s="10"/>
      <c r="AUQ784" s="10"/>
      <c r="AUR784" s="10"/>
      <c r="AUS784" s="10"/>
      <c r="AUT784" s="10"/>
      <c r="AUU784" s="10"/>
      <c r="AUV784" s="10"/>
      <c r="AUW784" s="10"/>
      <c r="AUX784" s="10"/>
      <c r="AUY784" s="10"/>
      <c r="AUZ784" s="10"/>
      <c r="AVA784" s="10"/>
      <c r="AVB784" s="10"/>
      <c r="AVC784" s="10"/>
      <c r="AVD784" s="10"/>
      <c r="AVE784" s="10"/>
      <c r="AVF784" s="10"/>
      <c r="AVG784" s="10"/>
      <c r="AVH784" s="10"/>
      <c r="AVI784" s="10"/>
      <c r="AVJ784" s="10"/>
      <c r="AVK784" s="10"/>
      <c r="AVL784" s="10"/>
      <c r="AVM784" s="10"/>
      <c r="AVN784" s="10"/>
      <c r="AVO784" s="10"/>
      <c r="AVP784" s="10"/>
      <c r="AVQ784" s="10"/>
      <c r="AVR784" s="10"/>
      <c r="AVS784" s="10"/>
      <c r="AVT784" s="10"/>
      <c r="AVU784" s="10"/>
      <c r="AVV784" s="10"/>
      <c r="AVW784" s="10"/>
      <c r="AVX784" s="10"/>
      <c r="AVY784" s="10"/>
      <c r="AVZ784" s="10"/>
      <c r="AWA784" s="10"/>
      <c r="AWB784" s="10"/>
      <c r="AWC784" s="10"/>
      <c r="AWD784" s="10"/>
      <c r="AWE784" s="10"/>
      <c r="AWF784" s="10"/>
      <c r="AWG784" s="10"/>
      <c r="AWH784" s="10"/>
      <c r="AWI784" s="10"/>
      <c r="AWJ784" s="10"/>
      <c r="AWK784" s="10"/>
      <c r="AWL784" s="10"/>
      <c r="AWM784" s="10"/>
      <c r="AWN784" s="10"/>
      <c r="AWO784" s="10"/>
      <c r="AWP784" s="10"/>
      <c r="AWQ784" s="10"/>
      <c r="AWR784" s="10"/>
      <c r="AWS784" s="10"/>
      <c r="AWT784" s="10"/>
      <c r="AWU784" s="10"/>
      <c r="AWV784" s="10"/>
      <c r="AWW784" s="10"/>
      <c r="AWX784" s="10"/>
      <c r="AWY784" s="10"/>
      <c r="AWZ784" s="10"/>
      <c r="AXA784" s="10"/>
      <c r="AXB784" s="10"/>
      <c r="AXC784" s="10"/>
      <c r="AXD784" s="10"/>
      <c r="AXE784" s="10"/>
      <c r="AXF784" s="10"/>
      <c r="AXG784" s="10"/>
      <c r="AXH784" s="10"/>
      <c r="AXI784" s="10"/>
      <c r="AXJ784" s="10"/>
      <c r="AXK784" s="10"/>
      <c r="AXL784" s="10"/>
      <c r="AXM784" s="10"/>
      <c r="AXN784" s="10"/>
      <c r="AXO784" s="10"/>
      <c r="AXP784" s="10"/>
      <c r="AXQ784" s="10"/>
      <c r="AXR784" s="10"/>
      <c r="AXS784" s="10"/>
      <c r="AXT784" s="10"/>
      <c r="AXU784" s="10"/>
      <c r="AXV784" s="10"/>
      <c r="AXW784" s="10"/>
      <c r="AXX784" s="10"/>
      <c r="AXY784" s="10"/>
      <c r="AXZ784" s="10"/>
      <c r="AYA784" s="10"/>
      <c r="AYB784" s="10"/>
      <c r="AYC784" s="10"/>
      <c r="AYD784" s="10"/>
      <c r="AYE784" s="10"/>
      <c r="AYF784" s="10"/>
      <c r="AYG784" s="10"/>
      <c r="AYH784" s="10"/>
      <c r="AYI784" s="10"/>
      <c r="AYJ784" s="10"/>
      <c r="AYK784" s="10"/>
      <c r="AYL784" s="10"/>
      <c r="AYM784" s="10"/>
      <c r="AYN784" s="10"/>
      <c r="AYO784" s="10"/>
      <c r="AYP784" s="10"/>
      <c r="AYQ784" s="10"/>
      <c r="AYR784" s="10"/>
      <c r="AYS784" s="10"/>
      <c r="AYT784" s="10"/>
      <c r="AYU784" s="10"/>
      <c r="AYV784" s="10"/>
      <c r="AYW784" s="10"/>
      <c r="AYX784" s="10"/>
      <c r="AYY784" s="10"/>
      <c r="AYZ784" s="10"/>
      <c r="AZA784" s="10"/>
      <c r="AZB784" s="10"/>
      <c r="AZC784" s="10"/>
      <c r="AZD784" s="10"/>
      <c r="AZE784" s="10"/>
      <c r="AZF784" s="10"/>
      <c r="AZG784" s="10"/>
      <c r="AZH784" s="10"/>
      <c r="AZI784" s="10"/>
      <c r="AZJ784" s="10"/>
      <c r="AZK784" s="10"/>
      <c r="AZL784" s="10"/>
      <c r="AZM784" s="10"/>
      <c r="AZN784" s="10"/>
      <c r="AZO784" s="10"/>
      <c r="AZP784" s="10"/>
      <c r="AZQ784" s="10"/>
      <c r="AZR784" s="10"/>
      <c r="AZS784" s="10"/>
      <c r="AZT784" s="10"/>
      <c r="AZU784" s="10"/>
      <c r="AZV784" s="10"/>
      <c r="AZW784" s="10"/>
      <c r="AZX784" s="10"/>
      <c r="AZY784" s="10"/>
      <c r="AZZ784" s="10"/>
      <c r="BAA784" s="10"/>
      <c r="BAB784" s="10"/>
      <c r="BAC784" s="10"/>
      <c r="BAD784" s="10"/>
      <c r="BAE784" s="10"/>
      <c r="BAF784" s="10"/>
      <c r="BAG784" s="10"/>
      <c r="BAH784" s="10"/>
      <c r="BAI784" s="10"/>
      <c r="BAJ784" s="10"/>
      <c r="BAK784" s="10"/>
      <c r="BAL784" s="10"/>
      <c r="BAM784" s="10"/>
      <c r="BAN784" s="10"/>
      <c r="BAO784" s="10"/>
      <c r="BAP784" s="10"/>
      <c r="BAQ784" s="10"/>
      <c r="BAR784" s="10"/>
      <c r="BAS784" s="10"/>
      <c r="BAT784" s="10"/>
      <c r="BAU784" s="10"/>
      <c r="BAV784" s="10"/>
      <c r="BAW784" s="10"/>
      <c r="BAX784" s="10"/>
      <c r="BAY784" s="10"/>
      <c r="BAZ784" s="10"/>
      <c r="BBA784" s="10"/>
      <c r="BBB784" s="10"/>
      <c r="BBC784" s="10"/>
      <c r="BBD784" s="10"/>
      <c r="BBE784" s="10"/>
      <c r="BBF784" s="10"/>
      <c r="BBG784" s="10"/>
      <c r="BBH784" s="10"/>
      <c r="BBI784" s="10"/>
      <c r="BBJ784" s="10"/>
      <c r="BBK784" s="10"/>
      <c r="BBL784" s="10"/>
      <c r="BBM784" s="10"/>
      <c r="BBN784" s="10"/>
      <c r="BBO784" s="10"/>
      <c r="BBP784" s="10"/>
      <c r="BBQ784" s="10"/>
      <c r="BBR784" s="10"/>
      <c r="BBS784" s="10"/>
      <c r="BBT784" s="10"/>
      <c r="BBU784" s="10"/>
      <c r="BBV784" s="10"/>
      <c r="BBW784" s="10"/>
      <c r="BBX784" s="10"/>
      <c r="BBY784" s="10"/>
      <c r="BBZ784" s="10"/>
      <c r="BCA784" s="10"/>
      <c r="BCB784" s="10"/>
      <c r="BCC784" s="10"/>
      <c r="BCD784" s="10"/>
      <c r="BCE784" s="10"/>
      <c r="BCF784" s="10"/>
      <c r="BCG784" s="10"/>
      <c r="BCH784" s="10"/>
      <c r="BCI784" s="10"/>
      <c r="BCJ784" s="10"/>
      <c r="BCK784" s="10"/>
      <c r="BCL784" s="10"/>
      <c r="BCM784" s="10"/>
      <c r="BCN784" s="10"/>
      <c r="BCO784" s="10"/>
      <c r="BCP784" s="10"/>
      <c r="BCQ784" s="10"/>
      <c r="BCR784" s="10"/>
      <c r="BCS784" s="10"/>
      <c r="BCT784" s="10"/>
      <c r="BCU784" s="10"/>
      <c r="BCV784" s="10"/>
      <c r="BCW784" s="10"/>
      <c r="BCX784" s="10"/>
      <c r="BCY784" s="10"/>
      <c r="BCZ784" s="10"/>
      <c r="BDA784" s="10"/>
      <c r="BDB784" s="10"/>
      <c r="BDC784" s="10"/>
      <c r="BDD784" s="10"/>
      <c r="BDE784" s="10"/>
      <c r="BDF784" s="10"/>
      <c r="BDG784" s="10"/>
      <c r="BDH784" s="10"/>
      <c r="BDI784" s="10"/>
      <c r="BDJ784" s="10"/>
      <c r="BDK784" s="10"/>
      <c r="BDL784" s="10"/>
      <c r="BDM784" s="10"/>
      <c r="BDN784" s="10"/>
      <c r="BDO784" s="10"/>
      <c r="BDP784" s="10"/>
      <c r="BDQ784" s="10"/>
      <c r="BDR784" s="10"/>
      <c r="BDS784" s="10"/>
      <c r="BDT784" s="10"/>
      <c r="BDU784" s="10"/>
      <c r="BDV784" s="10"/>
      <c r="BDW784" s="10"/>
      <c r="BDX784" s="10"/>
      <c r="BDY784" s="10"/>
      <c r="BDZ784" s="10"/>
      <c r="BEA784" s="10"/>
      <c r="BEB784" s="10"/>
      <c r="BEC784" s="10"/>
      <c r="BED784" s="10"/>
      <c r="BEE784" s="10"/>
      <c r="BEF784" s="10"/>
      <c r="BEG784" s="10"/>
      <c r="BEH784" s="10"/>
      <c r="BEI784" s="10"/>
      <c r="BEJ784" s="10"/>
      <c r="BEK784" s="10"/>
      <c r="BEL784" s="10"/>
      <c r="BEM784" s="10"/>
      <c r="BEN784" s="10"/>
      <c r="BEO784" s="10"/>
      <c r="BEP784" s="10"/>
      <c r="BEQ784" s="10"/>
      <c r="BER784" s="10"/>
      <c r="BES784" s="10"/>
      <c r="BET784" s="10"/>
      <c r="BEU784" s="10"/>
      <c r="BEV784" s="10"/>
      <c r="BEW784" s="10"/>
      <c r="BEX784" s="10"/>
      <c r="BEY784" s="10"/>
      <c r="BEZ784" s="10"/>
      <c r="BFA784" s="10"/>
      <c r="BFB784" s="10"/>
      <c r="BFC784" s="10"/>
      <c r="BFD784" s="10"/>
      <c r="BFE784" s="10"/>
      <c r="BFF784" s="10"/>
      <c r="BFG784" s="10"/>
      <c r="BFH784" s="10"/>
      <c r="BFI784" s="10"/>
      <c r="BFJ784" s="10"/>
      <c r="BFK784" s="10"/>
      <c r="BFL784" s="10"/>
      <c r="BFM784" s="10"/>
      <c r="BFN784" s="10"/>
      <c r="BFO784" s="10"/>
      <c r="BFP784" s="10"/>
      <c r="BFQ784" s="10"/>
      <c r="BFR784" s="10"/>
      <c r="BFS784" s="10"/>
      <c r="BFT784" s="10"/>
      <c r="BFU784" s="10"/>
      <c r="BFV784" s="10"/>
      <c r="BFW784" s="10"/>
      <c r="BFX784" s="10"/>
      <c r="BFY784" s="10"/>
      <c r="BFZ784" s="10"/>
      <c r="BGA784" s="10"/>
      <c r="BGB784" s="10"/>
      <c r="BGC784" s="10"/>
      <c r="BGD784" s="10"/>
      <c r="BGE784" s="10"/>
      <c r="BGF784" s="10"/>
      <c r="BGG784" s="10"/>
      <c r="BGH784" s="10"/>
      <c r="BGI784" s="10"/>
      <c r="BGJ784" s="10"/>
      <c r="BGK784" s="10"/>
      <c r="BGL784" s="10"/>
      <c r="BGM784" s="10"/>
      <c r="BGN784" s="10"/>
      <c r="BGO784" s="10"/>
      <c r="BGP784" s="10"/>
      <c r="BGQ784" s="10"/>
      <c r="BGR784" s="10"/>
      <c r="BGS784" s="10"/>
      <c r="BGT784" s="10"/>
      <c r="BGU784" s="10"/>
      <c r="BGV784" s="10"/>
      <c r="BGW784" s="10"/>
      <c r="BGX784" s="10"/>
      <c r="BGY784" s="10"/>
      <c r="BGZ784" s="10"/>
      <c r="BHA784" s="10"/>
      <c r="BHB784" s="10"/>
      <c r="BHC784" s="10"/>
      <c r="BHD784" s="10"/>
      <c r="BHE784" s="10"/>
      <c r="BHF784" s="10"/>
      <c r="BHG784" s="10"/>
      <c r="BHH784" s="10"/>
      <c r="BHI784" s="10"/>
      <c r="BHJ784" s="10"/>
      <c r="BHK784" s="10"/>
      <c r="BHL784" s="10"/>
      <c r="BHM784" s="10"/>
      <c r="BHN784" s="10"/>
      <c r="BHO784" s="10"/>
      <c r="BHP784" s="10"/>
      <c r="BHQ784" s="10"/>
      <c r="BHR784" s="10"/>
      <c r="BHS784" s="10"/>
      <c r="BHT784" s="10"/>
      <c r="BHU784" s="10"/>
      <c r="BHV784" s="10"/>
      <c r="BHW784" s="10"/>
      <c r="BHX784" s="10"/>
      <c r="BHY784" s="10"/>
      <c r="BHZ784" s="10"/>
      <c r="BIA784" s="10"/>
      <c r="BIB784" s="10"/>
      <c r="BIC784" s="10"/>
      <c r="BID784" s="10"/>
      <c r="BIE784" s="10"/>
      <c r="BIF784" s="10"/>
      <c r="BIG784" s="10"/>
      <c r="BIH784" s="10"/>
      <c r="BII784" s="10"/>
      <c r="BIJ784" s="10"/>
      <c r="BIK784" s="10"/>
      <c r="BIL784" s="10"/>
      <c r="BIM784" s="10"/>
      <c r="BIN784" s="10"/>
      <c r="BIO784" s="10"/>
      <c r="BIP784" s="10"/>
      <c r="BIQ784" s="10"/>
      <c r="BIR784" s="10"/>
      <c r="BIS784" s="10"/>
      <c r="BIT784" s="10"/>
      <c r="BIU784" s="10"/>
      <c r="BIV784" s="10"/>
      <c r="BIW784" s="10"/>
      <c r="BIX784" s="10"/>
      <c r="BIY784" s="10"/>
      <c r="BIZ784" s="10"/>
      <c r="BJA784" s="10"/>
      <c r="BJB784" s="10"/>
      <c r="BJC784" s="10"/>
      <c r="BJD784" s="10"/>
      <c r="BJE784" s="10"/>
      <c r="BJF784" s="10"/>
      <c r="BJG784" s="10"/>
      <c r="BJH784" s="10"/>
      <c r="BJI784" s="10"/>
      <c r="BJJ784" s="10"/>
      <c r="BJK784" s="10"/>
      <c r="BJL784" s="10"/>
      <c r="BJM784" s="10"/>
      <c r="BJN784" s="10"/>
      <c r="BJO784" s="10"/>
      <c r="BJP784" s="10"/>
      <c r="BJQ784" s="10"/>
      <c r="BJR784" s="10"/>
      <c r="BJS784" s="10"/>
      <c r="BJT784" s="10"/>
      <c r="BJU784" s="10"/>
      <c r="BJV784" s="10"/>
      <c r="BJW784" s="10"/>
      <c r="BJX784" s="10"/>
      <c r="BJY784" s="10"/>
      <c r="BJZ784" s="10"/>
      <c r="BKA784" s="10"/>
      <c r="BKB784" s="10"/>
      <c r="BKC784" s="10"/>
      <c r="BKD784" s="10"/>
      <c r="BKE784" s="10"/>
      <c r="BKF784" s="10"/>
      <c r="BKG784" s="10"/>
      <c r="BKH784" s="10"/>
      <c r="BKI784" s="10"/>
      <c r="BKJ784" s="10"/>
      <c r="BKK784" s="10"/>
      <c r="BKL784" s="10"/>
      <c r="BKM784" s="10"/>
      <c r="BKN784" s="10"/>
      <c r="BKO784" s="10"/>
      <c r="BKP784" s="10"/>
      <c r="BKQ784" s="10"/>
      <c r="BKR784" s="10"/>
      <c r="BKS784" s="10"/>
      <c r="BKT784" s="10"/>
      <c r="BKU784" s="10"/>
      <c r="BKV784" s="10"/>
      <c r="BKW784" s="10"/>
      <c r="BKX784" s="10"/>
      <c r="BKY784" s="10"/>
      <c r="BKZ784" s="10"/>
      <c r="BLA784" s="10"/>
      <c r="BLB784" s="10"/>
      <c r="BLC784" s="10"/>
      <c r="BLD784" s="10"/>
      <c r="BLE784" s="10"/>
      <c r="BLF784" s="10"/>
      <c r="BLG784" s="10"/>
      <c r="BLH784" s="10"/>
      <c r="BLI784" s="10"/>
      <c r="BLJ784" s="10"/>
      <c r="BLK784" s="10"/>
      <c r="BLL784" s="10"/>
      <c r="BLM784" s="10"/>
      <c r="BLN784" s="10"/>
      <c r="BLO784" s="10"/>
      <c r="BLP784" s="10"/>
      <c r="BLQ784" s="10"/>
      <c r="BLR784" s="10"/>
      <c r="BLS784" s="10"/>
      <c r="BLT784" s="10"/>
      <c r="BLU784" s="10"/>
      <c r="BLV784" s="10"/>
      <c r="BLW784" s="10"/>
      <c r="BLX784" s="10"/>
      <c r="BLY784" s="10"/>
      <c r="BLZ784" s="10"/>
      <c r="BMA784" s="10"/>
      <c r="BMB784" s="10"/>
      <c r="BMC784" s="10"/>
      <c r="BMD784" s="10"/>
      <c r="BME784" s="10"/>
      <c r="BMF784" s="10"/>
      <c r="BMG784" s="10"/>
      <c r="BMH784" s="10"/>
      <c r="BMI784" s="10"/>
      <c r="BMJ784" s="10"/>
      <c r="BMK784" s="10"/>
      <c r="BML784" s="10"/>
      <c r="BMM784" s="10"/>
      <c r="BMN784" s="10"/>
      <c r="BMO784" s="10"/>
      <c r="BMP784" s="10"/>
      <c r="BMQ784" s="10"/>
      <c r="BMR784" s="10"/>
      <c r="BMS784" s="10"/>
      <c r="BMT784" s="10"/>
      <c r="BMU784" s="10"/>
      <c r="BMV784" s="10"/>
      <c r="BMW784" s="10"/>
      <c r="BMX784" s="10"/>
      <c r="BMY784" s="10"/>
      <c r="BMZ784" s="10"/>
      <c r="BNA784" s="10"/>
      <c r="BNB784" s="10"/>
      <c r="BNC784" s="10"/>
      <c r="BND784" s="10"/>
      <c r="BNE784" s="10"/>
      <c r="BNF784" s="10"/>
      <c r="BNG784" s="10"/>
      <c r="BNH784" s="10"/>
      <c r="BNI784" s="10"/>
      <c r="BNJ784" s="10"/>
      <c r="BNK784" s="10"/>
      <c r="BNL784" s="10"/>
      <c r="BNM784" s="10"/>
      <c r="BNN784" s="10"/>
      <c r="BNO784" s="10"/>
      <c r="BNP784" s="10"/>
      <c r="BNQ784" s="10"/>
      <c r="BNR784" s="10"/>
      <c r="BNS784" s="10"/>
      <c r="BNT784" s="10"/>
      <c r="BNU784" s="10"/>
      <c r="BNV784" s="10"/>
      <c r="BNW784" s="10"/>
      <c r="BNX784" s="10"/>
      <c r="BNY784" s="10"/>
      <c r="BNZ784" s="10"/>
      <c r="BOA784" s="10"/>
      <c r="BOB784" s="10"/>
      <c r="BOC784" s="10"/>
      <c r="BOD784" s="10"/>
      <c r="BOE784" s="10"/>
      <c r="BOF784" s="10"/>
      <c r="BOG784" s="10"/>
      <c r="BOH784" s="10"/>
      <c r="BOI784" s="10"/>
      <c r="BOJ784" s="10"/>
      <c r="BOK784" s="10"/>
      <c r="BOL784" s="10"/>
      <c r="BOM784" s="10"/>
      <c r="BON784" s="10"/>
      <c r="BOO784" s="10"/>
      <c r="BOP784" s="10"/>
      <c r="BOQ784" s="10"/>
      <c r="BOR784" s="10"/>
      <c r="BOS784" s="10"/>
      <c r="BOT784" s="10"/>
      <c r="BOU784" s="10"/>
      <c r="BOV784" s="10"/>
      <c r="BOW784" s="10"/>
      <c r="BOX784" s="10"/>
      <c r="BOY784" s="10"/>
      <c r="BOZ784" s="10"/>
      <c r="BPA784" s="10"/>
      <c r="BPB784" s="10"/>
      <c r="BPC784" s="10"/>
      <c r="BPD784" s="10"/>
      <c r="BPE784" s="10"/>
      <c r="BPF784" s="10"/>
      <c r="BPG784" s="10"/>
      <c r="BPH784" s="10"/>
      <c r="BPI784" s="10"/>
      <c r="BPJ784" s="10"/>
      <c r="BPK784" s="10"/>
      <c r="BPL784" s="10"/>
      <c r="BPM784" s="10"/>
      <c r="BPN784" s="10"/>
      <c r="BPO784" s="10"/>
      <c r="BPP784" s="10"/>
      <c r="BPQ784" s="10"/>
      <c r="BPR784" s="10"/>
      <c r="BPS784" s="10"/>
      <c r="BPT784" s="10"/>
      <c r="BPU784" s="10"/>
      <c r="BPV784" s="10"/>
      <c r="BPW784" s="10"/>
      <c r="BPX784" s="10"/>
      <c r="BPY784" s="10"/>
      <c r="BPZ784" s="10"/>
      <c r="BQA784" s="10"/>
      <c r="BQB784" s="10"/>
      <c r="BQC784" s="10"/>
      <c r="BQD784" s="10"/>
      <c r="BQE784" s="10"/>
      <c r="BQF784" s="10"/>
      <c r="BQG784" s="10"/>
      <c r="BQH784" s="10"/>
      <c r="BQI784" s="10"/>
      <c r="BQJ784" s="10"/>
      <c r="BQK784" s="10"/>
      <c r="BQL784" s="10"/>
      <c r="BQM784" s="10"/>
      <c r="BQN784" s="10"/>
      <c r="BQO784" s="10"/>
      <c r="BQP784" s="10"/>
      <c r="BQQ784" s="10"/>
      <c r="BQR784" s="10"/>
      <c r="BQS784" s="10"/>
      <c r="BQT784" s="10"/>
      <c r="BQU784" s="10"/>
      <c r="BQV784" s="10"/>
      <c r="BQW784" s="10"/>
      <c r="BQX784" s="10"/>
      <c r="BQY784" s="10"/>
      <c r="BQZ784" s="10"/>
      <c r="BRA784" s="10"/>
      <c r="BRB784" s="10"/>
      <c r="BRC784" s="10"/>
      <c r="BRD784" s="10"/>
      <c r="BRE784" s="10"/>
      <c r="BRF784" s="10"/>
      <c r="BRG784" s="10"/>
      <c r="BRH784" s="10"/>
      <c r="BRI784" s="10"/>
      <c r="BRJ784" s="10"/>
      <c r="BRK784" s="10"/>
      <c r="BRL784" s="10"/>
      <c r="BRM784" s="10"/>
      <c r="BRN784" s="10"/>
      <c r="BRO784" s="10"/>
      <c r="BRP784" s="10"/>
      <c r="BRQ784" s="10"/>
      <c r="BRR784" s="10"/>
      <c r="BRS784" s="10"/>
      <c r="BRT784" s="10"/>
      <c r="BRU784" s="10"/>
      <c r="BRV784" s="10"/>
      <c r="BRW784" s="10"/>
      <c r="BRX784" s="10"/>
      <c r="BRY784" s="10"/>
      <c r="BRZ784" s="10"/>
      <c r="BSA784" s="10"/>
      <c r="BSB784" s="10"/>
      <c r="BSC784" s="10"/>
      <c r="BSD784" s="10"/>
      <c r="BSE784" s="10"/>
      <c r="BSF784" s="10"/>
      <c r="BSG784" s="10"/>
      <c r="BSH784" s="10"/>
      <c r="BSI784" s="10"/>
      <c r="BSJ784" s="10"/>
      <c r="BSK784" s="10"/>
      <c r="BSL784" s="10"/>
      <c r="BSM784" s="10"/>
      <c r="BSN784" s="10"/>
      <c r="BSO784" s="10"/>
      <c r="BSP784" s="10"/>
      <c r="BSQ784" s="10"/>
      <c r="BSR784" s="10"/>
      <c r="BSS784" s="10"/>
      <c r="BST784" s="10"/>
      <c r="BSU784" s="10"/>
      <c r="BSV784" s="10"/>
      <c r="BSW784" s="10"/>
      <c r="BSX784" s="10"/>
      <c r="BSY784" s="10"/>
      <c r="BSZ784" s="10"/>
      <c r="BTA784" s="10"/>
      <c r="BTB784" s="10"/>
      <c r="BTC784" s="10"/>
      <c r="BTD784" s="10"/>
      <c r="BTE784" s="10"/>
      <c r="BTF784" s="10"/>
      <c r="BTG784" s="10"/>
      <c r="BTH784" s="10"/>
      <c r="BTI784" s="10"/>
      <c r="BTJ784" s="10"/>
      <c r="BTK784" s="10"/>
      <c r="BTL784" s="10"/>
      <c r="BTM784" s="10"/>
      <c r="BTN784" s="10"/>
      <c r="BTO784" s="10"/>
      <c r="BTP784" s="10"/>
      <c r="BTQ784" s="10"/>
      <c r="BTR784" s="10"/>
      <c r="BTS784" s="10"/>
      <c r="BTT784" s="10"/>
    </row>
    <row r="785" spans="1:1892" s="9" customFormat="1" ht="35.1" customHeight="1">
      <c r="A785" s="1462"/>
      <c r="B785" s="597" t="s">
        <v>301</v>
      </c>
      <c r="C785" s="940" t="s">
        <v>71</v>
      </c>
      <c r="D785" s="543" t="s">
        <v>70</v>
      </c>
      <c r="E785" s="544"/>
      <c r="F785" s="545"/>
      <c r="G785" s="541" t="s">
        <v>296</v>
      </c>
      <c r="H785" s="541" t="s">
        <v>297</v>
      </c>
      <c r="I785" s="541" t="s">
        <v>298</v>
      </c>
      <c r="J785" s="940" t="s">
        <v>11</v>
      </c>
      <c r="K785" s="940" t="s">
        <v>12</v>
      </c>
      <c r="L785" s="131">
        <v>102</v>
      </c>
      <c r="M785" s="231">
        <v>462</v>
      </c>
      <c r="N785" s="132">
        <v>0</v>
      </c>
      <c r="O785" s="132">
        <v>0</v>
      </c>
      <c r="P785" s="560" t="s">
        <v>470</v>
      </c>
      <c r="Q785" s="560" t="s">
        <v>471</v>
      </c>
      <c r="R785" s="560" t="s">
        <v>472</v>
      </c>
      <c r="S785" s="1001" t="s">
        <v>57</v>
      </c>
      <c r="T785" s="805" t="s">
        <v>69</v>
      </c>
      <c r="U785" s="805" t="s">
        <v>17</v>
      </c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  <c r="EF785" s="10"/>
      <c r="EG785" s="10"/>
      <c r="EH785" s="10"/>
      <c r="EI785" s="10"/>
      <c r="EJ785" s="10"/>
      <c r="EK785" s="10"/>
      <c r="EL785" s="10"/>
      <c r="EM785" s="10"/>
      <c r="EN785" s="10"/>
      <c r="EO785" s="10"/>
      <c r="EP785" s="10"/>
      <c r="EQ785" s="10"/>
      <c r="ER785" s="10"/>
      <c r="ES785" s="10"/>
      <c r="ET785" s="10"/>
      <c r="EU785" s="10"/>
      <c r="EV785" s="10"/>
      <c r="EW785" s="10"/>
      <c r="EX785" s="10"/>
      <c r="EY785" s="10"/>
      <c r="EZ785" s="10"/>
      <c r="FA785" s="10"/>
      <c r="FB785" s="10"/>
      <c r="FC785" s="10"/>
      <c r="FD785" s="10"/>
      <c r="FE785" s="10"/>
      <c r="FF785" s="10"/>
      <c r="FG785" s="10"/>
      <c r="FH785" s="10"/>
      <c r="FI785" s="10"/>
      <c r="FJ785" s="10"/>
      <c r="FK785" s="10"/>
      <c r="FL785" s="10"/>
      <c r="FM785" s="10"/>
      <c r="FN785" s="10"/>
      <c r="FO785" s="10"/>
      <c r="FP785" s="10"/>
      <c r="FQ785" s="10"/>
      <c r="FR785" s="10"/>
      <c r="FS785" s="10"/>
      <c r="FT785" s="10"/>
      <c r="FU785" s="10"/>
      <c r="FV785" s="10"/>
      <c r="FW785" s="10"/>
      <c r="FX785" s="10"/>
      <c r="FY785" s="10"/>
      <c r="FZ785" s="10"/>
      <c r="GA785" s="10"/>
      <c r="GB785" s="10"/>
      <c r="GC785" s="10"/>
      <c r="GD785" s="10"/>
      <c r="GE785" s="10"/>
      <c r="GF785" s="10"/>
      <c r="GG785" s="10"/>
      <c r="GH785" s="10"/>
      <c r="GI785" s="10"/>
      <c r="GJ785" s="10"/>
      <c r="GK785" s="10"/>
      <c r="GL785" s="10"/>
      <c r="GM785" s="10"/>
      <c r="GN785" s="10"/>
      <c r="GO785" s="10"/>
      <c r="GP785" s="10"/>
      <c r="GQ785" s="10"/>
      <c r="GR785" s="10"/>
      <c r="GS785" s="10"/>
      <c r="GT785" s="10"/>
      <c r="GU785" s="10"/>
      <c r="GV785" s="10"/>
      <c r="GW785" s="10"/>
      <c r="GX785" s="10"/>
      <c r="GY785" s="10"/>
      <c r="GZ785" s="10"/>
      <c r="HA785" s="10"/>
      <c r="HB785" s="10"/>
      <c r="HC785" s="10"/>
      <c r="HD785" s="10"/>
      <c r="HE785" s="10"/>
      <c r="HF785" s="10"/>
      <c r="HG785" s="10"/>
      <c r="HH785" s="10"/>
      <c r="HI785" s="10"/>
      <c r="HJ785" s="10"/>
      <c r="HK785" s="10"/>
      <c r="HL785" s="10"/>
      <c r="HM785" s="10"/>
      <c r="HN785" s="10"/>
      <c r="HO785" s="10"/>
      <c r="HP785" s="10"/>
      <c r="HQ785" s="10"/>
      <c r="HR785" s="10"/>
      <c r="HS785" s="10"/>
      <c r="HT785" s="10"/>
      <c r="HU785" s="10"/>
      <c r="HV785" s="10"/>
      <c r="HW785" s="10"/>
      <c r="HX785" s="10"/>
      <c r="HY785" s="10"/>
      <c r="HZ785" s="10"/>
      <c r="IA785" s="10"/>
      <c r="IB785" s="10"/>
      <c r="IC785" s="10"/>
      <c r="ID785" s="10"/>
      <c r="IE785" s="10"/>
      <c r="IF785" s="10"/>
      <c r="IG785" s="10"/>
      <c r="IH785" s="10"/>
      <c r="II785" s="10"/>
      <c r="IJ785" s="10"/>
      <c r="IK785" s="10"/>
      <c r="IL785" s="10"/>
      <c r="IM785" s="10"/>
      <c r="IN785" s="10"/>
      <c r="IO785" s="10"/>
      <c r="IP785" s="10"/>
      <c r="IQ785" s="10"/>
      <c r="IR785" s="10"/>
      <c r="IS785" s="10"/>
      <c r="IT785" s="10"/>
      <c r="IU785" s="10"/>
      <c r="IV785" s="10"/>
      <c r="IW785" s="10"/>
      <c r="IX785" s="10"/>
      <c r="IY785" s="10"/>
      <c r="IZ785" s="10"/>
      <c r="JA785" s="10"/>
      <c r="JB785" s="10"/>
      <c r="JC785" s="10"/>
      <c r="JD785" s="10"/>
      <c r="JE785" s="10"/>
      <c r="JF785" s="10"/>
      <c r="JG785" s="10"/>
      <c r="JH785" s="10"/>
      <c r="JI785" s="10"/>
      <c r="JJ785" s="10"/>
      <c r="JK785" s="10"/>
      <c r="JL785" s="10"/>
      <c r="JM785" s="10"/>
      <c r="JN785" s="10"/>
      <c r="JO785" s="10"/>
      <c r="JP785" s="10"/>
      <c r="JQ785" s="10"/>
      <c r="JR785" s="10"/>
      <c r="JS785" s="10"/>
      <c r="JT785" s="10"/>
      <c r="JU785" s="10"/>
      <c r="JV785" s="10"/>
      <c r="JW785" s="10"/>
      <c r="JX785" s="10"/>
      <c r="JY785" s="10"/>
      <c r="JZ785" s="10"/>
      <c r="KA785" s="10"/>
      <c r="KB785" s="10"/>
      <c r="KC785" s="10"/>
      <c r="KD785" s="10"/>
      <c r="KE785" s="10"/>
      <c r="KF785" s="10"/>
      <c r="KG785" s="10"/>
      <c r="KH785" s="10"/>
      <c r="KI785" s="10"/>
      <c r="KJ785" s="10"/>
      <c r="KK785" s="10"/>
      <c r="KL785" s="10"/>
      <c r="KM785" s="10"/>
      <c r="KN785" s="10"/>
      <c r="KO785" s="10"/>
      <c r="KP785" s="10"/>
      <c r="KQ785" s="10"/>
      <c r="KR785" s="10"/>
      <c r="KS785" s="10"/>
      <c r="KT785" s="10"/>
      <c r="KU785" s="10"/>
      <c r="KV785" s="10"/>
      <c r="KW785" s="10"/>
      <c r="KX785" s="10"/>
      <c r="KY785" s="10"/>
      <c r="KZ785" s="10"/>
      <c r="LA785" s="10"/>
      <c r="LB785" s="10"/>
      <c r="LC785" s="10"/>
      <c r="LD785" s="10"/>
      <c r="LE785" s="10"/>
      <c r="LF785" s="10"/>
      <c r="LG785" s="10"/>
      <c r="LH785" s="10"/>
      <c r="LI785" s="10"/>
      <c r="LJ785" s="10"/>
      <c r="LK785" s="10"/>
      <c r="LL785" s="10"/>
      <c r="LM785" s="10"/>
      <c r="LN785" s="10"/>
      <c r="LO785" s="10"/>
      <c r="LP785" s="10"/>
      <c r="LQ785" s="10"/>
      <c r="LR785" s="10"/>
      <c r="LS785" s="10"/>
      <c r="LT785" s="10"/>
      <c r="LU785" s="10"/>
      <c r="LV785" s="10"/>
      <c r="LW785" s="10"/>
      <c r="LX785" s="10"/>
      <c r="LY785" s="10"/>
      <c r="LZ785" s="10"/>
      <c r="MA785" s="10"/>
      <c r="MB785" s="10"/>
      <c r="MC785" s="10"/>
      <c r="MD785" s="10"/>
      <c r="ME785" s="10"/>
      <c r="MF785" s="10"/>
      <c r="MG785" s="10"/>
      <c r="MH785" s="10"/>
      <c r="MI785" s="10"/>
      <c r="MJ785" s="10"/>
      <c r="MK785" s="10"/>
      <c r="ML785" s="10"/>
      <c r="MM785" s="10"/>
      <c r="MN785" s="10"/>
      <c r="MO785" s="10"/>
      <c r="MP785" s="10"/>
      <c r="MQ785" s="10"/>
      <c r="MR785" s="10"/>
      <c r="MS785" s="10"/>
      <c r="MT785" s="10"/>
      <c r="MU785" s="10"/>
      <c r="MV785" s="10"/>
      <c r="MW785" s="10"/>
      <c r="MX785" s="10"/>
      <c r="MY785" s="10"/>
      <c r="MZ785" s="10"/>
      <c r="NA785" s="10"/>
      <c r="NB785" s="10"/>
      <c r="NC785" s="10"/>
      <c r="ND785" s="10"/>
      <c r="NE785" s="10"/>
      <c r="NF785" s="10"/>
      <c r="NG785" s="10"/>
      <c r="NH785" s="10"/>
      <c r="NI785" s="10"/>
      <c r="NJ785" s="10"/>
      <c r="NK785" s="10"/>
      <c r="NL785" s="10"/>
      <c r="NM785" s="10"/>
      <c r="NN785" s="10"/>
      <c r="NO785" s="10"/>
      <c r="NP785" s="10"/>
      <c r="NQ785" s="10"/>
      <c r="NR785" s="10"/>
      <c r="NS785" s="10"/>
      <c r="NT785" s="10"/>
      <c r="NU785" s="10"/>
      <c r="NV785" s="10"/>
      <c r="NW785" s="10"/>
      <c r="NX785" s="10"/>
      <c r="NY785" s="10"/>
      <c r="NZ785" s="10"/>
      <c r="OA785" s="10"/>
      <c r="OB785" s="10"/>
      <c r="OC785" s="10"/>
      <c r="OD785" s="10"/>
      <c r="OE785" s="10"/>
      <c r="OF785" s="10"/>
      <c r="OG785" s="10"/>
      <c r="OH785" s="10"/>
      <c r="OI785" s="10"/>
      <c r="OJ785" s="10"/>
      <c r="OK785" s="10"/>
      <c r="OL785" s="10"/>
      <c r="OM785" s="10"/>
      <c r="ON785" s="10"/>
      <c r="OO785" s="10"/>
      <c r="OP785" s="10"/>
      <c r="OQ785" s="10"/>
      <c r="OR785" s="10"/>
      <c r="OS785" s="10"/>
      <c r="OT785" s="10"/>
      <c r="OU785" s="10"/>
      <c r="OV785" s="10"/>
      <c r="OW785" s="10"/>
      <c r="OX785" s="10"/>
      <c r="OY785" s="10"/>
      <c r="OZ785" s="10"/>
      <c r="PA785" s="10"/>
      <c r="PB785" s="10"/>
      <c r="PC785" s="10"/>
      <c r="PD785" s="10"/>
      <c r="PE785" s="10"/>
      <c r="PF785" s="10"/>
      <c r="PG785" s="10"/>
      <c r="PH785" s="10"/>
      <c r="PI785" s="10"/>
      <c r="PJ785" s="10"/>
      <c r="PK785" s="10"/>
      <c r="PL785" s="10"/>
      <c r="PM785" s="10"/>
      <c r="PN785" s="10"/>
      <c r="PO785" s="10"/>
      <c r="PP785" s="10"/>
      <c r="PQ785" s="10"/>
      <c r="PR785" s="10"/>
      <c r="PS785" s="10"/>
      <c r="PT785" s="10"/>
      <c r="PU785" s="10"/>
      <c r="PV785" s="10"/>
      <c r="PW785" s="10"/>
      <c r="PX785" s="10"/>
      <c r="PY785" s="10"/>
      <c r="PZ785" s="10"/>
      <c r="QA785" s="10"/>
      <c r="QB785" s="10"/>
      <c r="QC785" s="10"/>
      <c r="QD785" s="10"/>
      <c r="QE785" s="10"/>
      <c r="QF785" s="10"/>
      <c r="QG785" s="10"/>
      <c r="QH785" s="10"/>
      <c r="QI785" s="10"/>
      <c r="QJ785" s="10"/>
      <c r="QK785" s="10"/>
      <c r="QL785" s="10"/>
      <c r="QM785" s="10"/>
      <c r="QN785" s="10"/>
      <c r="QO785" s="10"/>
      <c r="QP785" s="10"/>
      <c r="QQ785" s="10"/>
      <c r="QR785" s="10"/>
      <c r="QS785" s="10"/>
      <c r="QT785" s="10"/>
      <c r="QU785" s="10"/>
      <c r="QV785" s="10"/>
      <c r="QW785" s="10"/>
      <c r="QX785" s="10"/>
      <c r="QY785" s="10"/>
      <c r="QZ785" s="10"/>
      <c r="RA785" s="10"/>
      <c r="RB785" s="10"/>
      <c r="RC785" s="10"/>
      <c r="RD785" s="10"/>
      <c r="RE785" s="10"/>
      <c r="RF785" s="10"/>
      <c r="RG785" s="10"/>
      <c r="RH785" s="10"/>
      <c r="RI785" s="10"/>
      <c r="RJ785" s="10"/>
      <c r="RK785" s="10"/>
      <c r="RL785" s="10"/>
      <c r="RM785" s="10"/>
      <c r="RN785" s="10"/>
      <c r="RO785" s="10"/>
      <c r="RP785" s="10"/>
      <c r="RQ785" s="10"/>
      <c r="RR785" s="10"/>
      <c r="RS785" s="10"/>
      <c r="RT785" s="10"/>
      <c r="RU785" s="10"/>
      <c r="RV785" s="10"/>
      <c r="RW785" s="10"/>
      <c r="RX785" s="10"/>
      <c r="RY785" s="10"/>
      <c r="RZ785" s="10"/>
      <c r="SA785" s="10"/>
      <c r="SB785" s="10"/>
      <c r="SC785" s="10"/>
      <c r="SD785" s="10"/>
      <c r="SE785" s="10"/>
      <c r="SF785" s="10"/>
      <c r="SG785" s="10"/>
      <c r="SH785" s="10"/>
      <c r="SI785" s="10"/>
      <c r="SJ785" s="10"/>
      <c r="SK785" s="10"/>
      <c r="SL785" s="10"/>
      <c r="SM785" s="10"/>
      <c r="SN785" s="10"/>
      <c r="SO785" s="10"/>
      <c r="SP785" s="10"/>
      <c r="SQ785" s="10"/>
      <c r="SR785" s="10"/>
      <c r="SS785" s="10"/>
      <c r="ST785" s="10"/>
      <c r="SU785" s="10"/>
      <c r="SV785" s="10"/>
      <c r="SW785" s="10"/>
      <c r="SX785" s="10"/>
      <c r="SY785" s="10"/>
      <c r="SZ785" s="10"/>
      <c r="TA785" s="10"/>
      <c r="TB785" s="10"/>
      <c r="TC785" s="10"/>
      <c r="TD785" s="10"/>
      <c r="TE785" s="10"/>
      <c r="TF785" s="10"/>
      <c r="TG785" s="10"/>
      <c r="TH785" s="10"/>
      <c r="TI785" s="10"/>
      <c r="TJ785" s="10"/>
      <c r="TK785" s="10"/>
      <c r="TL785" s="10"/>
      <c r="TM785" s="10"/>
      <c r="TN785" s="10"/>
      <c r="TO785" s="10"/>
      <c r="TP785" s="10"/>
      <c r="TQ785" s="10"/>
      <c r="TR785" s="10"/>
      <c r="TS785" s="10"/>
      <c r="TT785" s="10"/>
      <c r="TU785" s="10"/>
      <c r="TV785" s="10"/>
      <c r="TW785" s="10"/>
      <c r="TX785" s="10"/>
      <c r="TY785" s="10"/>
      <c r="TZ785" s="10"/>
      <c r="UA785" s="10"/>
      <c r="UB785" s="10"/>
      <c r="UC785" s="10"/>
      <c r="UD785" s="10"/>
      <c r="UE785" s="10"/>
      <c r="UF785" s="10"/>
      <c r="UG785" s="10"/>
      <c r="UH785" s="10"/>
      <c r="UI785" s="10"/>
      <c r="UJ785" s="10"/>
      <c r="UK785" s="10"/>
      <c r="UL785" s="10"/>
      <c r="UM785" s="10"/>
      <c r="UN785" s="10"/>
      <c r="UO785" s="10"/>
      <c r="UP785" s="10"/>
      <c r="UQ785" s="10"/>
      <c r="UR785" s="10"/>
      <c r="US785" s="10"/>
      <c r="UT785" s="10"/>
      <c r="UU785" s="10"/>
      <c r="UV785" s="10"/>
      <c r="UW785" s="10"/>
      <c r="UX785" s="10"/>
      <c r="UY785" s="10"/>
      <c r="UZ785" s="10"/>
      <c r="VA785" s="10"/>
      <c r="VB785" s="10"/>
      <c r="VC785" s="10"/>
      <c r="VD785" s="10"/>
      <c r="VE785" s="10"/>
      <c r="VF785" s="10"/>
      <c r="VG785" s="10"/>
      <c r="VH785" s="10"/>
      <c r="VI785" s="10"/>
      <c r="VJ785" s="10"/>
      <c r="VK785" s="10"/>
      <c r="VL785" s="10"/>
      <c r="VM785" s="10"/>
      <c r="VN785" s="10"/>
      <c r="VO785" s="10"/>
      <c r="VP785" s="10"/>
      <c r="VQ785" s="10"/>
      <c r="VR785" s="10"/>
      <c r="VS785" s="10"/>
      <c r="VT785" s="10"/>
      <c r="VU785" s="10"/>
      <c r="VV785" s="10"/>
      <c r="VW785" s="10"/>
      <c r="VX785" s="10"/>
      <c r="VY785" s="10"/>
      <c r="VZ785" s="10"/>
      <c r="WA785" s="10"/>
      <c r="WB785" s="10"/>
      <c r="WC785" s="10"/>
      <c r="WD785" s="10"/>
      <c r="WE785" s="10"/>
      <c r="WF785" s="10"/>
      <c r="WG785" s="10"/>
      <c r="WH785" s="10"/>
      <c r="WI785" s="10"/>
      <c r="WJ785" s="10"/>
      <c r="WK785" s="10"/>
      <c r="WL785" s="10"/>
      <c r="WM785" s="10"/>
      <c r="WN785" s="10"/>
      <c r="WO785" s="10"/>
      <c r="WP785" s="10"/>
      <c r="WQ785" s="10"/>
      <c r="WR785" s="10"/>
      <c r="WS785" s="10"/>
      <c r="WT785" s="10"/>
      <c r="WU785" s="10"/>
      <c r="WV785" s="10"/>
      <c r="WW785" s="10"/>
      <c r="WX785" s="10"/>
      <c r="WY785" s="10"/>
      <c r="WZ785" s="10"/>
      <c r="XA785" s="10"/>
      <c r="XB785" s="10"/>
      <c r="XC785" s="10"/>
      <c r="XD785" s="10"/>
      <c r="XE785" s="10"/>
      <c r="XF785" s="10"/>
      <c r="XG785" s="10"/>
      <c r="XH785" s="10"/>
      <c r="XI785" s="10"/>
      <c r="XJ785" s="10"/>
      <c r="XK785" s="10"/>
      <c r="XL785" s="10"/>
      <c r="XM785" s="10"/>
      <c r="XN785" s="10"/>
      <c r="XO785" s="10"/>
      <c r="XP785" s="10"/>
      <c r="XQ785" s="10"/>
      <c r="XR785" s="10"/>
      <c r="XS785" s="10"/>
      <c r="XT785" s="10"/>
      <c r="XU785" s="10"/>
      <c r="XV785" s="10"/>
      <c r="XW785" s="10"/>
      <c r="XX785" s="10"/>
      <c r="XY785" s="10"/>
      <c r="XZ785" s="10"/>
      <c r="YA785" s="10"/>
      <c r="YB785" s="10"/>
      <c r="YC785" s="10"/>
      <c r="YD785" s="10"/>
      <c r="YE785" s="10"/>
      <c r="YF785" s="10"/>
      <c r="YG785" s="10"/>
      <c r="YH785" s="10"/>
      <c r="YI785" s="10"/>
      <c r="YJ785" s="10"/>
      <c r="YK785" s="10"/>
      <c r="YL785" s="10"/>
      <c r="YM785" s="10"/>
      <c r="YN785" s="10"/>
      <c r="YO785" s="10"/>
      <c r="YP785" s="10"/>
      <c r="YQ785" s="10"/>
      <c r="YR785" s="10"/>
      <c r="YS785" s="10"/>
      <c r="YT785" s="10"/>
      <c r="YU785" s="10"/>
      <c r="YV785" s="10"/>
      <c r="YW785" s="10"/>
      <c r="YX785" s="10"/>
      <c r="YY785" s="10"/>
      <c r="YZ785" s="10"/>
      <c r="ZA785" s="10"/>
      <c r="ZB785" s="10"/>
      <c r="ZC785" s="10"/>
      <c r="ZD785" s="10"/>
      <c r="ZE785" s="10"/>
      <c r="ZF785" s="10"/>
      <c r="ZG785" s="10"/>
      <c r="ZH785" s="10"/>
      <c r="ZI785" s="10"/>
      <c r="ZJ785" s="10"/>
      <c r="ZK785" s="10"/>
      <c r="ZL785" s="10"/>
      <c r="ZM785" s="10"/>
      <c r="ZN785" s="10"/>
      <c r="ZO785" s="10"/>
      <c r="ZP785" s="10"/>
      <c r="ZQ785" s="10"/>
      <c r="ZR785" s="10"/>
      <c r="ZS785" s="10"/>
      <c r="ZT785" s="10"/>
      <c r="ZU785" s="10"/>
      <c r="ZV785" s="10"/>
      <c r="ZW785" s="10"/>
      <c r="ZX785" s="10"/>
      <c r="ZY785" s="10"/>
      <c r="ZZ785" s="10"/>
      <c r="AAA785" s="10"/>
      <c r="AAB785" s="10"/>
      <c r="AAC785" s="10"/>
      <c r="AAD785" s="10"/>
      <c r="AAE785" s="10"/>
      <c r="AAF785" s="10"/>
      <c r="AAG785" s="10"/>
      <c r="AAH785" s="10"/>
      <c r="AAI785" s="10"/>
      <c r="AAJ785" s="10"/>
      <c r="AAK785" s="10"/>
      <c r="AAL785" s="10"/>
      <c r="AAM785" s="10"/>
      <c r="AAN785" s="10"/>
      <c r="AAO785" s="10"/>
      <c r="AAP785" s="10"/>
      <c r="AAQ785" s="10"/>
      <c r="AAR785" s="10"/>
      <c r="AAS785" s="10"/>
      <c r="AAT785" s="10"/>
      <c r="AAU785" s="10"/>
      <c r="AAV785" s="10"/>
      <c r="AAW785" s="10"/>
      <c r="AAX785" s="10"/>
      <c r="AAY785" s="10"/>
      <c r="AAZ785" s="10"/>
      <c r="ABA785" s="10"/>
      <c r="ABB785" s="10"/>
      <c r="ABC785" s="10"/>
      <c r="ABD785" s="10"/>
      <c r="ABE785" s="10"/>
      <c r="ABF785" s="10"/>
      <c r="ABG785" s="10"/>
      <c r="ABH785" s="10"/>
      <c r="ABI785" s="10"/>
      <c r="ABJ785" s="10"/>
      <c r="ABK785" s="10"/>
      <c r="ABL785" s="10"/>
      <c r="ABM785" s="10"/>
      <c r="ABN785" s="10"/>
      <c r="ABO785" s="10"/>
      <c r="ABP785" s="10"/>
      <c r="ABQ785" s="10"/>
      <c r="ABR785" s="10"/>
      <c r="ABS785" s="10"/>
      <c r="ABT785" s="10"/>
      <c r="ABU785" s="10"/>
      <c r="ABV785" s="10"/>
      <c r="ABW785" s="10"/>
      <c r="ABX785" s="10"/>
      <c r="ABY785" s="10"/>
      <c r="ABZ785" s="10"/>
      <c r="ACA785" s="10"/>
      <c r="ACB785" s="10"/>
      <c r="ACC785" s="10"/>
      <c r="ACD785" s="10"/>
      <c r="ACE785" s="10"/>
      <c r="ACF785" s="10"/>
      <c r="ACG785" s="10"/>
      <c r="ACH785" s="10"/>
      <c r="ACI785" s="10"/>
      <c r="ACJ785" s="10"/>
      <c r="ACK785" s="10"/>
      <c r="ACL785" s="10"/>
      <c r="ACM785" s="10"/>
      <c r="ACN785" s="10"/>
      <c r="ACO785" s="10"/>
      <c r="ACP785" s="10"/>
      <c r="ACQ785" s="10"/>
      <c r="ACR785" s="10"/>
      <c r="ACS785" s="10"/>
      <c r="ACT785" s="10"/>
      <c r="ACU785" s="10"/>
      <c r="ACV785" s="10"/>
      <c r="ACW785" s="10"/>
      <c r="ACX785" s="10"/>
      <c r="ACY785" s="10"/>
      <c r="ACZ785" s="10"/>
      <c r="ADA785" s="10"/>
      <c r="ADB785" s="10"/>
      <c r="ADC785" s="10"/>
      <c r="ADD785" s="10"/>
      <c r="ADE785" s="10"/>
      <c r="ADF785" s="10"/>
      <c r="ADG785" s="10"/>
      <c r="ADH785" s="10"/>
      <c r="ADI785" s="10"/>
      <c r="ADJ785" s="10"/>
      <c r="ADK785" s="10"/>
      <c r="ADL785" s="10"/>
      <c r="ADM785" s="10"/>
      <c r="ADN785" s="10"/>
      <c r="ADO785" s="10"/>
      <c r="ADP785" s="10"/>
      <c r="ADQ785" s="10"/>
      <c r="ADR785" s="10"/>
      <c r="ADS785" s="10"/>
      <c r="ADT785" s="10"/>
      <c r="ADU785" s="10"/>
      <c r="ADV785" s="10"/>
      <c r="ADW785" s="10"/>
      <c r="ADX785" s="10"/>
      <c r="ADY785" s="10"/>
      <c r="ADZ785" s="10"/>
      <c r="AEA785" s="10"/>
      <c r="AEB785" s="10"/>
      <c r="AEC785" s="10"/>
      <c r="AED785" s="10"/>
      <c r="AEE785" s="10"/>
      <c r="AEF785" s="10"/>
      <c r="AEG785" s="10"/>
      <c r="AEH785" s="10"/>
      <c r="AEI785" s="10"/>
      <c r="AEJ785" s="10"/>
      <c r="AEK785" s="10"/>
      <c r="AEL785" s="10"/>
      <c r="AEM785" s="10"/>
      <c r="AEN785" s="10"/>
      <c r="AEO785" s="10"/>
      <c r="AEP785" s="10"/>
      <c r="AEQ785" s="10"/>
      <c r="AER785" s="10"/>
      <c r="AES785" s="10"/>
      <c r="AET785" s="10"/>
      <c r="AEU785" s="10"/>
      <c r="AEV785" s="10"/>
      <c r="AEW785" s="10"/>
      <c r="AEX785" s="10"/>
      <c r="AEY785" s="10"/>
      <c r="AEZ785" s="10"/>
      <c r="AFA785" s="10"/>
      <c r="AFB785" s="10"/>
      <c r="AFC785" s="10"/>
      <c r="AFD785" s="10"/>
      <c r="AFE785" s="10"/>
      <c r="AFF785" s="10"/>
      <c r="AFG785" s="10"/>
      <c r="AFH785" s="10"/>
      <c r="AFI785" s="10"/>
      <c r="AFJ785" s="10"/>
      <c r="AFK785" s="10"/>
      <c r="AFL785" s="10"/>
      <c r="AFM785" s="10"/>
      <c r="AFN785" s="10"/>
      <c r="AFO785" s="10"/>
      <c r="AFP785" s="10"/>
      <c r="AFQ785" s="10"/>
      <c r="AFR785" s="10"/>
      <c r="AFS785" s="10"/>
      <c r="AFT785" s="10"/>
      <c r="AFU785" s="10"/>
      <c r="AFV785" s="10"/>
      <c r="AFW785" s="10"/>
      <c r="AFX785" s="10"/>
      <c r="AFY785" s="10"/>
      <c r="AFZ785" s="10"/>
      <c r="AGA785" s="10"/>
      <c r="AGB785" s="10"/>
      <c r="AGC785" s="10"/>
      <c r="AGD785" s="10"/>
      <c r="AGE785" s="10"/>
      <c r="AGF785" s="10"/>
      <c r="AGG785" s="10"/>
      <c r="AGH785" s="10"/>
      <c r="AGI785" s="10"/>
      <c r="AGJ785" s="10"/>
      <c r="AGK785" s="10"/>
      <c r="AGL785" s="10"/>
      <c r="AGM785" s="10"/>
      <c r="AGN785" s="10"/>
      <c r="AGO785" s="10"/>
      <c r="AGP785" s="10"/>
      <c r="AGQ785" s="10"/>
      <c r="AGR785" s="10"/>
      <c r="AGS785" s="10"/>
      <c r="AGT785" s="10"/>
      <c r="AGU785" s="10"/>
      <c r="AGV785" s="10"/>
      <c r="AGW785" s="10"/>
      <c r="AGX785" s="10"/>
      <c r="AGY785" s="10"/>
      <c r="AGZ785" s="10"/>
      <c r="AHA785" s="10"/>
      <c r="AHB785" s="10"/>
      <c r="AHC785" s="10"/>
      <c r="AHD785" s="10"/>
      <c r="AHE785" s="10"/>
      <c r="AHF785" s="10"/>
      <c r="AHG785" s="10"/>
      <c r="AHH785" s="10"/>
      <c r="AHI785" s="10"/>
      <c r="AHJ785" s="10"/>
      <c r="AHK785" s="10"/>
      <c r="AHL785" s="10"/>
      <c r="AHM785" s="10"/>
      <c r="AHN785" s="10"/>
      <c r="AHO785" s="10"/>
      <c r="AHP785" s="10"/>
      <c r="AHQ785" s="10"/>
      <c r="AHR785" s="10"/>
      <c r="AHS785" s="10"/>
      <c r="AHT785" s="10"/>
      <c r="AHU785" s="10"/>
      <c r="AHV785" s="10"/>
      <c r="AHW785" s="10"/>
      <c r="AHX785" s="10"/>
      <c r="AHY785" s="10"/>
      <c r="AHZ785" s="10"/>
      <c r="AIA785" s="10"/>
      <c r="AIB785" s="10"/>
      <c r="AIC785" s="10"/>
      <c r="AID785" s="10"/>
      <c r="AIE785" s="10"/>
      <c r="AIF785" s="10"/>
      <c r="AIG785" s="10"/>
      <c r="AIH785" s="10"/>
      <c r="AII785" s="10"/>
      <c r="AIJ785" s="10"/>
      <c r="AIK785" s="10"/>
      <c r="AIL785" s="10"/>
      <c r="AIM785" s="10"/>
      <c r="AIN785" s="10"/>
      <c r="AIO785" s="10"/>
      <c r="AIP785" s="10"/>
      <c r="AIQ785" s="10"/>
      <c r="AIR785" s="10"/>
      <c r="AIS785" s="10"/>
      <c r="AIT785" s="10"/>
      <c r="AIU785" s="10"/>
      <c r="AIV785" s="10"/>
      <c r="AIW785" s="10"/>
      <c r="AIX785" s="10"/>
      <c r="AIY785" s="10"/>
      <c r="AIZ785" s="10"/>
      <c r="AJA785" s="10"/>
      <c r="AJB785" s="10"/>
      <c r="AJC785" s="10"/>
      <c r="AJD785" s="10"/>
      <c r="AJE785" s="10"/>
      <c r="AJF785" s="10"/>
      <c r="AJG785" s="10"/>
      <c r="AJH785" s="10"/>
      <c r="AJI785" s="10"/>
      <c r="AJJ785" s="10"/>
      <c r="AJK785" s="10"/>
      <c r="AJL785" s="10"/>
      <c r="AJM785" s="10"/>
      <c r="AJN785" s="10"/>
      <c r="AJO785" s="10"/>
      <c r="AJP785" s="10"/>
      <c r="AJQ785" s="10"/>
      <c r="AJR785" s="10"/>
      <c r="AJS785" s="10"/>
      <c r="AJT785" s="10"/>
      <c r="AJU785" s="10"/>
      <c r="AJV785" s="10"/>
      <c r="AJW785" s="10"/>
      <c r="AJX785" s="10"/>
      <c r="AJY785" s="10"/>
      <c r="AJZ785" s="10"/>
      <c r="AKA785" s="10"/>
      <c r="AKB785" s="10"/>
      <c r="AKC785" s="10"/>
      <c r="AKD785" s="10"/>
      <c r="AKE785" s="10"/>
      <c r="AKF785" s="10"/>
      <c r="AKG785" s="10"/>
      <c r="AKH785" s="10"/>
      <c r="AKI785" s="10"/>
      <c r="AKJ785" s="10"/>
      <c r="AKK785" s="10"/>
      <c r="AKL785" s="10"/>
      <c r="AKM785" s="10"/>
      <c r="AKN785" s="10"/>
      <c r="AKO785" s="10"/>
      <c r="AKP785" s="10"/>
      <c r="AKQ785" s="10"/>
      <c r="AKR785" s="10"/>
      <c r="AKS785" s="10"/>
      <c r="AKT785" s="10"/>
      <c r="AKU785" s="10"/>
      <c r="AKV785" s="10"/>
      <c r="AKW785" s="10"/>
      <c r="AKX785" s="10"/>
      <c r="AKY785" s="10"/>
      <c r="AKZ785" s="10"/>
      <c r="ALA785" s="10"/>
      <c r="ALB785" s="10"/>
      <c r="ALC785" s="10"/>
      <c r="ALD785" s="10"/>
      <c r="ALE785" s="10"/>
      <c r="ALF785" s="10"/>
      <c r="ALG785" s="10"/>
      <c r="ALH785" s="10"/>
      <c r="ALI785" s="10"/>
      <c r="ALJ785" s="10"/>
      <c r="ALK785" s="10"/>
      <c r="ALL785" s="10"/>
      <c r="ALM785" s="10"/>
      <c r="ALN785" s="10"/>
      <c r="ALO785" s="10"/>
      <c r="ALP785" s="10"/>
      <c r="ALQ785" s="10"/>
      <c r="ALR785" s="10"/>
      <c r="ALS785" s="10"/>
      <c r="ALT785" s="10"/>
      <c r="ALU785" s="10"/>
      <c r="ALV785" s="10"/>
      <c r="ALW785" s="10"/>
      <c r="ALX785" s="10"/>
      <c r="ALY785" s="10"/>
      <c r="ALZ785" s="10"/>
      <c r="AMA785" s="10"/>
      <c r="AMB785" s="10"/>
      <c r="AMC785" s="10"/>
      <c r="AMD785" s="10"/>
      <c r="AME785" s="10"/>
      <c r="AMF785" s="10"/>
      <c r="AMG785" s="10"/>
      <c r="AMH785" s="10"/>
      <c r="AMI785" s="10"/>
      <c r="AMJ785" s="10"/>
      <c r="AMK785" s="10"/>
      <c r="AML785" s="10"/>
      <c r="AMM785" s="10"/>
      <c r="AMN785" s="10"/>
      <c r="AMO785" s="10"/>
      <c r="AMP785" s="10"/>
      <c r="AMQ785" s="10"/>
      <c r="AMR785" s="10"/>
      <c r="AMS785" s="10"/>
      <c r="AMT785" s="10"/>
      <c r="AMU785" s="10"/>
      <c r="AMV785" s="10"/>
      <c r="AMW785" s="10"/>
      <c r="AMX785" s="10"/>
      <c r="AMY785" s="10"/>
      <c r="AMZ785" s="10"/>
      <c r="ANA785" s="10"/>
      <c r="ANB785" s="10"/>
      <c r="ANC785" s="10"/>
      <c r="AND785" s="10"/>
      <c r="ANE785" s="10"/>
      <c r="ANF785" s="10"/>
      <c r="ANG785" s="10"/>
      <c r="ANH785" s="10"/>
      <c r="ANI785" s="10"/>
      <c r="ANJ785" s="10"/>
      <c r="ANK785" s="10"/>
      <c r="ANL785" s="10"/>
      <c r="ANM785" s="10"/>
      <c r="ANN785" s="10"/>
      <c r="ANO785" s="10"/>
      <c r="ANP785" s="10"/>
      <c r="ANQ785" s="10"/>
      <c r="ANR785" s="10"/>
      <c r="ANS785" s="10"/>
      <c r="ANT785" s="10"/>
      <c r="ANU785" s="10"/>
      <c r="ANV785" s="10"/>
      <c r="ANW785" s="10"/>
      <c r="ANX785" s="10"/>
      <c r="ANY785" s="10"/>
      <c r="ANZ785" s="10"/>
      <c r="AOA785" s="10"/>
      <c r="AOB785" s="10"/>
      <c r="AOC785" s="10"/>
      <c r="AOD785" s="10"/>
      <c r="AOE785" s="10"/>
      <c r="AOF785" s="10"/>
      <c r="AOG785" s="10"/>
      <c r="AOH785" s="10"/>
      <c r="AOI785" s="10"/>
      <c r="AOJ785" s="10"/>
      <c r="AOK785" s="10"/>
      <c r="AOL785" s="10"/>
      <c r="AOM785" s="10"/>
      <c r="AON785" s="10"/>
      <c r="AOO785" s="10"/>
      <c r="AOP785" s="10"/>
      <c r="AOQ785" s="10"/>
      <c r="AOR785" s="10"/>
      <c r="AOS785" s="10"/>
      <c r="AOT785" s="10"/>
      <c r="AOU785" s="10"/>
      <c r="AOV785" s="10"/>
      <c r="AOW785" s="10"/>
      <c r="AOX785" s="10"/>
      <c r="AOY785" s="10"/>
      <c r="AOZ785" s="10"/>
      <c r="APA785" s="10"/>
      <c r="APB785" s="10"/>
      <c r="APC785" s="10"/>
      <c r="APD785" s="10"/>
      <c r="APE785" s="10"/>
      <c r="APF785" s="10"/>
      <c r="APG785" s="10"/>
      <c r="APH785" s="10"/>
      <c r="API785" s="10"/>
      <c r="APJ785" s="10"/>
      <c r="APK785" s="10"/>
      <c r="APL785" s="10"/>
      <c r="APM785" s="10"/>
      <c r="APN785" s="10"/>
      <c r="APO785" s="10"/>
      <c r="APP785" s="10"/>
      <c r="APQ785" s="10"/>
      <c r="APR785" s="10"/>
      <c r="APS785" s="10"/>
      <c r="APT785" s="10"/>
      <c r="APU785" s="10"/>
      <c r="APV785" s="10"/>
      <c r="APW785" s="10"/>
      <c r="APX785" s="10"/>
      <c r="APY785" s="10"/>
      <c r="APZ785" s="10"/>
      <c r="AQA785" s="10"/>
      <c r="AQB785" s="10"/>
      <c r="AQC785" s="10"/>
      <c r="AQD785" s="10"/>
      <c r="AQE785" s="10"/>
      <c r="AQF785" s="10"/>
      <c r="AQG785" s="10"/>
      <c r="AQH785" s="10"/>
      <c r="AQI785" s="10"/>
      <c r="AQJ785" s="10"/>
      <c r="AQK785" s="10"/>
      <c r="AQL785" s="10"/>
      <c r="AQM785" s="10"/>
      <c r="AQN785" s="10"/>
      <c r="AQO785" s="10"/>
      <c r="AQP785" s="10"/>
      <c r="AQQ785" s="10"/>
      <c r="AQR785" s="10"/>
      <c r="AQS785" s="10"/>
      <c r="AQT785" s="10"/>
      <c r="AQU785" s="10"/>
      <c r="AQV785" s="10"/>
      <c r="AQW785" s="10"/>
      <c r="AQX785" s="10"/>
      <c r="AQY785" s="10"/>
      <c r="AQZ785" s="10"/>
      <c r="ARA785" s="10"/>
      <c r="ARB785" s="10"/>
      <c r="ARC785" s="10"/>
      <c r="ARD785" s="10"/>
      <c r="ARE785" s="10"/>
      <c r="ARF785" s="10"/>
      <c r="ARG785" s="10"/>
      <c r="ARH785" s="10"/>
      <c r="ARI785" s="10"/>
      <c r="ARJ785" s="10"/>
      <c r="ARK785" s="10"/>
      <c r="ARL785" s="10"/>
      <c r="ARM785" s="10"/>
      <c r="ARN785" s="10"/>
      <c r="ARO785" s="10"/>
      <c r="ARP785" s="10"/>
      <c r="ARQ785" s="10"/>
      <c r="ARR785" s="10"/>
      <c r="ARS785" s="10"/>
      <c r="ART785" s="10"/>
      <c r="ARU785" s="10"/>
      <c r="ARV785" s="10"/>
      <c r="ARW785" s="10"/>
      <c r="ARX785" s="10"/>
      <c r="ARY785" s="10"/>
      <c r="ARZ785" s="10"/>
      <c r="ASA785" s="10"/>
      <c r="ASB785" s="10"/>
      <c r="ASC785" s="10"/>
      <c r="ASD785" s="10"/>
      <c r="ASE785" s="10"/>
      <c r="ASF785" s="10"/>
      <c r="ASG785" s="10"/>
      <c r="ASH785" s="10"/>
      <c r="ASI785" s="10"/>
      <c r="ASJ785" s="10"/>
      <c r="ASK785" s="10"/>
      <c r="ASL785" s="10"/>
      <c r="ASM785" s="10"/>
      <c r="ASN785" s="10"/>
      <c r="ASO785" s="10"/>
      <c r="ASP785" s="10"/>
      <c r="ASQ785" s="10"/>
      <c r="ASR785" s="10"/>
      <c r="ASS785" s="10"/>
      <c r="AST785" s="10"/>
      <c r="ASU785" s="10"/>
      <c r="ASV785" s="10"/>
      <c r="ASW785" s="10"/>
      <c r="ASX785" s="10"/>
      <c r="ASY785" s="10"/>
      <c r="ASZ785" s="10"/>
      <c r="ATA785" s="10"/>
      <c r="ATB785" s="10"/>
      <c r="ATC785" s="10"/>
      <c r="ATD785" s="10"/>
      <c r="ATE785" s="10"/>
      <c r="ATF785" s="10"/>
      <c r="ATG785" s="10"/>
      <c r="ATH785" s="10"/>
      <c r="ATI785" s="10"/>
      <c r="ATJ785" s="10"/>
      <c r="ATK785" s="10"/>
      <c r="ATL785" s="10"/>
      <c r="ATM785" s="10"/>
      <c r="ATN785" s="10"/>
      <c r="ATO785" s="10"/>
      <c r="ATP785" s="10"/>
      <c r="ATQ785" s="10"/>
      <c r="ATR785" s="10"/>
      <c r="ATS785" s="10"/>
      <c r="ATT785" s="10"/>
      <c r="ATU785" s="10"/>
      <c r="ATV785" s="10"/>
      <c r="ATW785" s="10"/>
      <c r="ATX785" s="10"/>
      <c r="ATY785" s="10"/>
      <c r="ATZ785" s="10"/>
      <c r="AUA785" s="10"/>
      <c r="AUB785" s="10"/>
      <c r="AUC785" s="10"/>
      <c r="AUD785" s="10"/>
      <c r="AUE785" s="10"/>
      <c r="AUF785" s="10"/>
      <c r="AUG785" s="10"/>
      <c r="AUH785" s="10"/>
      <c r="AUI785" s="10"/>
      <c r="AUJ785" s="10"/>
      <c r="AUK785" s="10"/>
      <c r="AUL785" s="10"/>
      <c r="AUM785" s="10"/>
      <c r="AUN785" s="10"/>
      <c r="AUO785" s="10"/>
      <c r="AUP785" s="10"/>
      <c r="AUQ785" s="10"/>
      <c r="AUR785" s="10"/>
      <c r="AUS785" s="10"/>
      <c r="AUT785" s="10"/>
      <c r="AUU785" s="10"/>
      <c r="AUV785" s="10"/>
      <c r="AUW785" s="10"/>
      <c r="AUX785" s="10"/>
      <c r="AUY785" s="10"/>
      <c r="AUZ785" s="10"/>
      <c r="AVA785" s="10"/>
      <c r="AVB785" s="10"/>
      <c r="AVC785" s="10"/>
      <c r="AVD785" s="10"/>
      <c r="AVE785" s="10"/>
      <c r="AVF785" s="10"/>
      <c r="AVG785" s="10"/>
      <c r="AVH785" s="10"/>
      <c r="AVI785" s="10"/>
      <c r="AVJ785" s="10"/>
      <c r="AVK785" s="10"/>
      <c r="AVL785" s="10"/>
      <c r="AVM785" s="10"/>
      <c r="AVN785" s="10"/>
      <c r="AVO785" s="10"/>
      <c r="AVP785" s="10"/>
      <c r="AVQ785" s="10"/>
      <c r="AVR785" s="10"/>
      <c r="AVS785" s="10"/>
      <c r="AVT785" s="10"/>
      <c r="AVU785" s="10"/>
      <c r="AVV785" s="10"/>
      <c r="AVW785" s="10"/>
      <c r="AVX785" s="10"/>
      <c r="AVY785" s="10"/>
      <c r="AVZ785" s="10"/>
      <c r="AWA785" s="10"/>
      <c r="AWB785" s="10"/>
      <c r="AWC785" s="10"/>
      <c r="AWD785" s="10"/>
      <c r="AWE785" s="10"/>
      <c r="AWF785" s="10"/>
      <c r="AWG785" s="10"/>
      <c r="AWH785" s="10"/>
      <c r="AWI785" s="10"/>
      <c r="AWJ785" s="10"/>
      <c r="AWK785" s="10"/>
      <c r="AWL785" s="10"/>
      <c r="AWM785" s="10"/>
      <c r="AWN785" s="10"/>
      <c r="AWO785" s="10"/>
      <c r="AWP785" s="10"/>
      <c r="AWQ785" s="10"/>
      <c r="AWR785" s="10"/>
      <c r="AWS785" s="10"/>
      <c r="AWT785" s="10"/>
      <c r="AWU785" s="10"/>
      <c r="AWV785" s="10"/>
      <c r="AWW785" s="10"/>
      <c r="AWX785" s="10"/>
      <c r="AWY785" s="10"/>
      <c r="AWZ785" s="10"/>
      <c r="AXA785" s="10"/>
      <c r="AXB785" s="10"/>
      <c r="AXC785" s="10"/>
      <c r="AXD785" s="10"/>
      <c r="AXE785" s="10"/>
      <c r="AXF785" s="10"/>
      <c r="AXG785" s="10"/>
      <c r="AXH785" s="10"/>
      <c r="AXI785" s="10"/>
      <c r="AXJ785" s="10"/>
      <c r="AXK785" s="10"/>
      <c r="AXL785" s="10"/>
      <c r="AXM785" s="10"/>
      <c r="AXN785" s="10"/>
      <c r="AXO785" s="10"/>
      <c r="AXP785" s="10"/>
      <c r="AXQ785" s="10"/>
      <c r="AXR785" s="10"/>
      <c r="AXS785" s="10"/>
      <c r="AXT785" s="10"/>
      <c r="AXU785" s="10"/>
      <c r="AXV785" s="10"/>
      <c r="AXW785" s="10"/>
      <c r="AXX785" s="10"/>
      <c r="AXY785" s="10"/>
      <c r="AXZ785" s="10"/>
      <c r="AYA785" s="10"/>
      <c r="AYB785" s="10"/>
      <c r="AYC785" s="10"/>
      <c r="AYD785" s="10"/>
      <c r="AYE785" s="10"/>
      <c r="AYF785" s="10"/>
      <c r="AYG785" s="10"/>
      <c r="AYH785" s="10"/>
      <c r="AYI785" s="10"/>
      <c r="AYJ785" s="10"/>
      <c r="AYK785" s="10"/>
      <c r="AYL785" s="10"/>
      <c r="AYM785" s="10"/>
      <c r="AYN785" s="10"/>
      <c r="AYO785" s="10"/>
      <c r="AYP785" s="10"/>
      <c r="AYQ785" s="10"/>
      <c r="AYR785" s="10"/>
      <c r="AYS785" s="10"/>
      <c r="AYT785" s="10"/>
      <c r="AYU785" s="10"/>
      <c r="AYV785" s="10"/>
      <c r="AYW785" s="10"/>
      <c r="AYX785" s="10"/>
      <c r="AYY785" s="10"/>
      <c r="AYZ785" s="10"/>
      <c r="AZA785" s="10"/>
      <c r="AZB785" s="10"/>
      <c r="AZC785" s="10"/>
      <c r="AZD785" s="10"/>
      <c r="AZE785" s="10"/>
      <c r="AZF785" s="10"/>
      <c r="AZG785" s="10"/>
      <c r="AZH785" s="10"/>
      <c r="AZI785" s="10"/>
      <c r="AZJ785" s="10"/>
      <c r="AZK785" s="10"/>
      <c r="AZL785" s="10"/>
      <c r="AZM785" s="10"/>
      <c r="AZN785" s="10"/>
      <c r="AZO785" s="10"/>
      <c r="AZP785" s="10"/>
      <c r="AZQ785" s="10"/>
      <c r="AZR785" s="10"/>
      <c r="AZS785" s="10"/>
      <c r="AZT785" s="10"/>
      <c r="AZU785" s="10"/>
      <c r="AZV785" s="10"/>
      <c r="AZW785" s="10"/>
      <c r="AZX785" s="10"/>
      <c r="AZY785" s="10"/>
      <c r="AZZ785" s="10"/>
      <c r="BAA785" s="10"/>
      <c r="BAB785" s="10"/>
      <c r="BAC785" s="10"/>
      <c r="BAD785" s="10"/>
      <c r="BAE785" s="10"/>
      <c r="BAF785" s="10"/>
      <c r="BAG785" s="10"/>
      <c r="BAH785" s="10"/>
      <c r="BAI785" s="10"/>
      <c r="BAJ785" s="10"/>
      <c r="BAK785" s="10"/>
      <c r="BAL785" s="10"/>
      <c r="BAM785" s="10"/>
      <c r="BAN785" s="10"/>
      <c r="BAO785" s="10"/>
      <c r="BAP785" s="10"/>
      <c r="BAQ785" s="10"/>
      <c r="BAR785" s="10"/>
      <c r="BAS785" s="10"/>
      <c r="BAT785" s="10"/>
      <c r="BAU785" s="10"/>
      <c r="BAV785" s="10"/>
      <c r="BAW785" s="10"/>
      <c r="BAX785" s="10"/>
      <c r="BAY785" s="10"/>
      <c r="BAZ785" s="10"/>
      <c r="BBA785" s="10"/>
      <c r="BBB785" s="10"/>
      <c r="BBC785" s="10"/>
      <c r="BBD785" s="10"/>
      <c r="BBE785" s="10"/>
      <c r="BBF785" s="10"/>
      <c r="BBG785" s="10"/>
      <c r="BBH785" s="10"/>
      <c r="BBI785" s="10"/>
      <c r="BBJ785" s="10"/>
      <c r="BBK785" s="10"/>
      <c r="BBL785" s="10"/>
      <c r="BBM785" s="10"/>
      <c r="BBN785" s="10"/>
      <c r="BBO785" s="10"/>
      <c r="BBP785" s="10"/>
      <c r="BBQ785" s="10"/>
      <c r="BBR785" s="10"/>
      <c r="BBS785" s="10"/>
      <c r="BBT785" s="10"/>
      <c r="BBU785" s="10"/>
      <c r="BBV785" s="10"/>
      <c r="BBW785" s="10"/>
      <c r="BBX785" s="10"/>
      <c r="BBY785" s="10"/>
      <c r="BBZ785" s="10"/>
      <c r="BCA785" s="10"/>
      <c r="BCB785" s="10"/>
      <c r="BCC785" s="10"/>
      <c r="BCD785" s="10"/>
      <c r="BCE785" s="10"/>
      <c r="BCF785" s="10"/>
      <c r="BCG785" s="10"/>
      <c r="BCH785" s="10"/>
      <c r="BCI785" s="10"/>
      <c r="BCJ785" s="10"/>
      <c r="BCK785" s="10"/>
      <c r="BCL785" s="10"/>
      <c r="BCM785" s="10"/>
      <c r="BCN785" s="10"/>
      <c r="BCO785" s="10"/>
      <c r="BCP785" s="10"/>
      <c r="BCQ785" s="10"/>
      <c r="BCR785" s="10"/>
      <c r="BCS785" s="10"/>
      <c r="BCT785" s="10"/>
      <c r="BCU785" s="10"/>
      <c r="BCV785" s="10"/>
      <c r="BCW785" s="10"/>
      <c r="BCX785" s="10"/>
      <c r="BCY785" s="10"/>
      <c r="BCZ785" s="10"/>
      <c r="BDA785" s="10"/>
      <c r="BDB785" s="10"/>
      <c r="BDC785" s="10"/>
      <c r="BDD785" s="10"/>
      <c r="BDE785" s="10"/>
      <c r="BDF785" s="10"/>
      <c r="BDG785" s="10"/>
      <c r="BDH785" s="10"/>
      <c r="BDI785" s="10"/>
      <c r="BDJ785" s="10"/>
      <c r="BDK785" s="10"/>
      <c r="BDL785" s="10"/>
      <c r="BDM785" s="10"/>
      <c r="BDN785" s="10"/>
      <c r="BDO785" s="10"/>
      <c r="BDP785" s="10"/>
      <c r="BDQ785" s="10"/>
      <c r="BDR785" s="10"/>
      <c r="BDS785" s="10"/>
      <c r="BDT785" s="10"/>
      <c r="BDU785" s="10"/>
      <c r="BDV785" s="10"/>
      <c r="BDW785" s="10"/>
      <c r="BDX785" s="10"/>
      <c r="BDY785" s="10"/>
      <c r="BDZ785" s="10"/>
      <c r="BEA785" s="10"/>
      <c r="BEB785" s="10"/>
      <c r="BEC785" s="10"/>
      <c r="BED785" s="10"/>
      <c r="BEE785" s="10"/>
      <c r="BEF785" s="10"/>
      <c r="BEG785" s="10"/>
      <c r="BEH785" s="10"/>
      <c r="BEI785" s="10"/>
      <c r="BEJ785" s="10"/>
      <c r="BEK785" s="10"/>
      <c r="BEL785" s="10"/>
      <c r="BEM785" s="10"/>
      <c r="BEN785" s="10"/>
      <c r="BEO785" s="10"/>
      <c r="BEP785" s="10"/>
      <c r="BEQ785" s="10"/>
      <c r="BER785" s="10"/>
      <c r="BES785" s="10"/>
      <c r="BET785" s="10"/>
      <c r="BEU785" s="10"/>
      <c r="BEV785" s="10"/>
      <c r="BEW785" s="10"/>
      <c r="BEX785" s="10"/>
      <c r="BEY785" s="10"/>
      <c r="BEZ785" s="10"/>
      <c r="BFA785" s="10"/>
      <c r="BFB785" s="10"/>
      <c r="BFC785" s="10"/>
      <c r="BFD785" s="10"/>
      <c r="BFE785" s="10"/>
      <c r="BFF785" s="10"/>
      <c r="BFG785" s="10"/>
      <c r="BFH785" s="10"/>
      <c r="BFI785" s="10"/>
      <c r="BFJ785" s="10"/>
      <c r="BFK785" s="10"/>
      <c r="BFL785" s="10"/>
      <c r="BFM785" s="10"/>
      <c r="BFN785" s="10"/>
      <c r="BFO785" s="10"/>
      <c r="BFP785" s="10"/>
      <c r="BFQ785" s="10"/>
      <c r="BFR785" s="10"/>
      <c r="BFS785" s="10"/>
      <c r="BFT785" s="10"/>
      <c r="BFU785" s="10"/>
      <c r="BFV785" s="10"/>
      <c r="BFW785" s="10"/>
      <c r="BFX785" s="10"/>
      <c r="BFY785" s="10"/>
      <c r="BFZ785" s="10"/>
      <c r="BGA785" s="10"/>
      <c r="BGB785" s="10"/>
      <c r="BGC785" s="10"/>
      <c r="BGD785" s="10"/>
      <c r="BGE785" s="10"/>
      <c r="BGF785" s="10"/>
      <c r="BGG785" s="10"/>
      <c r="BGH785" s="10"/>
      <c r="BGI785" s="10"/>
      <c r="BGJ785" s="10"/>
      <c r="BGK785" s="10"/>
      <c r="BGL785" s="10"/>
      <c r="BGM785" s="10"/>
      <c r="BGN785" s="10"/>
      <c r="BGO785" s="10"/>
      <c r="BGP785" s="10"/>
      <c r="BGQ785" s="10"/>
      <c r="BGR785" s="10"/>
      <c r="BGS785" s="10"/>
      <c r="BGT785" s="10"/>
      <c r="BGU785" s="10"/>
      <c r="BGV785" s="10"/>
      <c r="BGW785" s="10"/>
      <c r="BGX785" s="10"/>
      <c r="BGY785" s="10"/>
      <c r="BGZ785" s="10"/>
      <c r="BHA785" s="10"/>
      <c r="BHB785" s="10"/>
      <c r="BHC785" s="10"/>
      <c r="BHD785" s="10"/>
      <c r="BHE785" s="10"/>
      <c r="BHF785" s="10"/>
      <c r="BHG785" s="10"/>
      <c r="BHH785" s="10"/>
      <c r="BHI785" s="10"/>
      <c r="BHJ785" s="10"/>
      <c r="BHK785" s="10"/>
      <c r="BHL785" s="10"/>
      <c r="BHM785" s="10"/>
      <c r="BHN785" s="10"/>
      <c r="BHO785" s="10"/>
      <c r="BHP785" s="10"/>
      <c r="BHQ785" s="10"/>
      <c r="BHR785" s="10"/>
      <c r="BHS785" s="10"/>
      <c r="BHT785" s="10"/>
      <c r="BHU785" s="10"/>
      <c r="BHV785" s="10"/>
      <c r="BHW785" s="10"/>
      <c r="BHX785" s="10"/>
      <c r="BHY785" s="10"/>
      <c r="BHZ785" s="10"/>
      <c r="BIA785" s="10"/>
      <c r="BIB785" s="10"/>
      <c r="BIC785" s="10"/>
      <c r="BID785" s="10"/>
      <c r="BIE785" s="10"/>
      <c r="BIF785" s="10"/>
      <c r="BIG785" s="10"/>
      <c r="BIH785" s="10"/>
      <c r="BII785" s="10"/>
      <c r="BIJ785" s="10"/>
      <c r="BIK785" s="10"/>
      <c r="BIL785" s="10"/>
      <c r="BIM785" s="10"/>
      <c r="BIN785" s="10"/>
      <c r="BIO785" s="10"/>
      <c r="BIP785" s="10"/>
      <c r="BIQ785" s="10"/>
      <c r="BIR785" s="10"/>
      <c r="BIS785" s="10"/>
      <c r="BIT785" s="10"/>
      <c r="BIU785" s="10"/>
      <c r="BIV785" s="10"/>
      <c r="BIW785" s="10"/>
      <c r="BIX785" s="10"/>
      <c r="BIY785" s="10"/>
      <c r="BIZ785" s="10"/>
      <c r="BJA785" s="10"/>
      <c r="BJB785" s="10"/>
      <c r="BJC785" s="10"/>
      <c r="BJD785" s="10"/>
      <c r="BJE785" s="10"/>
      <c r="BJF785" s="10"/>
      <c r="BJG785" s="10"/>
      <c r="BJH785" s="10"/>
      <c r="BJI785" s="10"/>
      <c r="BJJ785" s="10"/>
      <c r="BJK785" s="10"/>
      <c r="BJL785" s="10"/>
      <c r="BJM785" s="10"/>
      <c r="BJN785" s="10"/>
      <c r="BJO785" s="10"/>
      <c r="BJP785" s="10"/>
      <c r="BJQ785" s="10"/>
      <c r="BJR785" s="10"/>
      <c r="BJS785" s="10"/>
      <c r="BJT785" s="10"/>
      <c r="BJU785" s="10"/>
      <c r="BJV785" s="10"/>
      <c r="BJW785" s="10"/>
      <c r="BJX785" s="10"/>
      <c r="BJY785" s="10"/>
      <c r="BJZ785" s="10"/>
      <c r="BKA785" s="10"/>
      <c r="BKB785" s="10"/>
      <c r="BKC785" s="10"/>
      <c r="BKD785" s="10"/>
      <c r="BKE785" s="10"/>
      <c r="BKF785" s="10"/>
      <c r="BKG785" s="10"/>
      <c r="BKH785" s="10"/>
      <c r="BKI785" s="10"/>
      <c r="BKJ785" s="10"/>
      <c r="BKK785" s="10"/>
      <c r="BKL785" s="10"/>
      <c r="BKM785" s="10"/>
      <c r="BKN785" s="10"/>
      <c r="BKO785" s="10"/>
      <c r="BKP785" s="10"/>
      <c r="BKQ785" s="10"/>
      <c r="BKR785" s="10"/>
      <c r="BKS785" s="10"/>
      <c r="BKT785" s="10"/>
      <c r="BKU785" s="10"/>
      <c r="BKV785" s="10"/>
      <c r="BKW785" s="10"/>
      <c r="BKX785" s="10"/>
      <c r="BKY785" s="10"/>
      <c r="BKZ785" s="10"/>
      <c r="BLA785" s="10"/>
      <c r="BLB785" s="10"/>
      <c r="BLC785" s="10"/>
      <c r="BLD785" s="10"/>
      <c r="BLE785" s="10"/>
      <c r="BLF785" s="10"/>
      <c r="BLG785" s="10"/>
      <c r="BLH785" s="10"/>
      <c r="BLI785" s="10"/>
      <c r="BLJ785" s="10"/>
      <c r="BLK785" s="10"/>
      <c r="BLL785" s="10"/>
      <c r="BLM785" s="10"/>
      <c r="BLN785" s="10"/>
      <c r="BLO785" s="10"/>
      <c r="BLP785" s="10"/>
      <c r="BLQ785" s="10"/>
      <c r="BLR785" s="10"/>
      <c r="BLS785" s="10"/>
      <c r="BLT785" s="10"/>
      <c r="BLU785" s="10"/>
      <c r="BLV785" s="10"/>
      <c r="BLW785" s="10"/>
      <c r="BLX785" s="10"/>
      <c r="BLY785" s="10"/>
      <c r="BLZ785" s="10"/>
      <c r="BMA785" s="10"/>
      <c r="BMB785" s="10"/>
      <c r="BMC785" s="10"/>
      <c r="BMD785" s="10"/>
      <c r="BME785" s="10"/>
      <c r="BMF785" s="10"/>
      <c r="BMG785" s="10"/>
      <c r="BMH785" s="10"/>
      <c r="BMI785" s="10"/>
      <c r="BMJ785" s="10"/>
      <c r="BMK785" s="10"/>
      <c r="BML785" s="10"/>
      <c r="BMM785" s="10"/>
      <c r="BMN785" s="10"/>
      <c r="BMO785" s="10"/>
      <c r="BMP785" s="10"/>
      <c r="BMQ785" s="10"/>
      <c r="BMR785" s="10"/>
      <c r="BMS785" s="10"/>
      <c r="BMT785" s="10"/>
      <c r="BMU785" s="10"/>
      <c r="BMV785" s="10"/>
      <c r="BMW785" s="10"/>
      <c r="BMX785" s="10"/>
      <c r="BMY785" s="10"/>
      <c r="BMZ785" s="10"/>
      <c r="BNA785" s="10"/>
      <c r="BNB785" s="10"/>
      <c r="BNC785" s="10"/>
      <c r="BND785" s="10"/>
      <c r="BNE785" s="10"/>
      <c r="BNF785" s="10"/>
      <c r="BNG785" s="10"/>
      <c r="BNH785" s="10"/>
      <c r="BNI785" s="10"/>
      <c r="BNJ785" s="10"/>
      <c r="BNK785" s="10"/>
      <c r="BNL785" s="10"/>
      <c r="BNM785" s="10"/>
      <c r="BNN785" s="10"/>
      <c r="BNO785" s="10"/>
      <c r="BNP785" s="10"/>
      <c r="BNQ785" s="10"/>
      <c r="BNR785" s="10"/>
      <c r="BNS785" s="10"/>
      <c r="BNT785" s="10"/>
      <c r="BNU785" s="10"/>
      <c r="BNV785" s="10"/>
      <c r="BNW785" s="10"/>
      <c r="BNX785" s="10"/>
      <c r="BNY785" s="10"/>
      <c r="BNZ785" s="10"/>
      <c r="BOA785" s="10"/>
      <c r="BOB785" s="10"/>
      <c r="BOC785" s="10"/>
      <c r="BOD785" s="10"/>
      <c r="BOE785" s="10"/>
      <c r="BOF785" s="10"/>
      <c r="BOG785" s="10"/>
      <c r="BOH785" s="10"/>
      <c r="BOI785" s="10"/>
      <c r="BOJ785" s="10"/>
      <c r="BOK785" s="10"/>
      <c r="BOL785" s="10"/>
      <c r="BOM785" s="10"/>
      <c r="BON785" s="10"/>
      <c r="BOO785" s="10"/>
      <c r="BOP785" s="10"/>
      <c r="BOQ785" s="10"/>
      <c r="BOR785" s="10"/>
      <c r="BOS785" s="10"/>
      <c r="BOT785" s="10"/>
      <c r="BOU785" s="10"/>
      <c r="BOV785" s="10"/>
      <c r="BOW785" s="10"/>
      <c r="BOX785" s="10"/>
      <c r="BOY785" s="10"/>
      <c r="BOZ785" s="10"/>
      <c r="BPA785" s="10"/>
      <c r="BPB785" s="10"/>
      <c r="BPC785" s="10"/>
      <c r="BPD785" s="10"/>
      <c r="BPE785" s="10"/>
      <c r="BPF785" s="10"/>
      <c r="BPG785" s="10"/>
      <c r="BPH785" s="10"/>
      <c r="BPI785" s="10"/>
      <c r="BPJ785" s="10"/>
      <c r="BPK785" s="10"/>
      <c r="BPL785" s="10"/>
      <c r="BPM785" s="10"/>
      <c r="BPN785" s="10"/>
      <c r="BPO785" s="10"/>
      <c r="BPP785" s="10"/>
      <c r="BPQ785" s="10"/>
      <c r="BPR785" s="10"/>
      <c r="BPS785" s="10"/>
      <c r="BPT785" s="10"/>
      <c r="BPU785" s="10"/>
      <c r="BPV785" s="10"/>
      <c r="BPW785" s="10"/>
      <c r="BPX785" s="10"/>
      <c r="BPY785" s="10"/>
      <c r="BPZ785" s="10"/>
      <c r="BQA785" s="10"/>
      <c r="BQB785" s="10"/>
      <c r="BQC785" s="10"/>
      <c r="BQD785" s="10"/>
      <c r="BQE785" s="10"/>
      <c r="BQF785" s="10"/>
      <c r="BQG785" s="10"/>
      <c r="BQH785" s="10"/>
      <c r="BQI785" s="10"/>
      <c r="BQJ785" s="10"/>
      <c r="BQK785" s="10"/>
      <c r="BQL785" s="10"/>
      <c r="BQM785" s="10"/>
      <c r="BQN785" s="10"/>
      <c r="BQO785" s="10"/>
      <c r="BQP785" s="10"/>
      <c r="BQQ785" s="10"/>
      <c r="BQR785" s="10"/>
      <c r="BQS785" s="10"/>
      <c r="BQT785" s="10"/>
      <c r="BQU785" s="10"/>
      <c r="BQV785" s="10"/>
      <c r="BQW785" s="10"/>
      <c r="BQX785" s="10"/>
      <c r="BQY785" s="10"/>
      <c r="BQZ785" s="10"/>
      <c r="BRA785" s="10"/>
      <c r="BRB785" s="10"/>
      <c r="BRC785" s="10"/>
      <c r="BRD785" s="10"/>
      <c r="BRE785" s="10"/>
      <c r="BRF785" s="10"/>
      <c r="BRG785" s="10"/>
      <c r="BRH785" s="10"/>
      <c r="BRI785" s="10"/>
      <c r="BRJ785" s="10"/>
      <c r="BRK785" s="10"/>
      <c r="BRL785" s="10"/>
      <c r="BRM785" s="10"/>
      <c r="BRN785" s="10"/>
      <c r="BRO785" s="10"/>
      <c r="BRP785" s="10"/>
      <c r="BRQ785" s="10"/>
      <c r="BRR785" s="10"/>
      <c r="BRS785" s="10"/>
      <c r="BRT785" s="10"/>
      <c r="BRU785" s="10"/>
      <c r="BRV785" s="10"/>
      <c r="BRW785" s="10"/>
      <c r="BRX785" s="10"/>
      <c r="BRY785" s="10"/>
      <c r="BRZ785" s="10"/>
      <c r="BSA785" s="10"/>
      <c r="BSB785" s="10"/>
      <c r="BSC785" s="10"/>
      <c r="BSD785" s="10"/>
      <c r="BSE785" s="10"/>
      <c r="BSF785" s="10"/>
      <c r="BSG785" s="10"/>
      <c r="BSH785" s="10"/>
      <c r="BSI785" s="10"/>
      <c r="BSJ785" s="10"/>
      <c r="BSK785" s="10"/>
      <c r="BSL785" s="10"/>
      <c r="BSM785" s="10"/>
      <c r="BSN785" s="10"/>
      <c r="BSO785" s="10"/>
      <c r="BSP785" s="10"/>
      <c r="BSQ785" s="10"/>
      <c r="BSR785" s="10"/>
      <c r="BSS785" s="10"/>
      <c r="BST785" s="10"/>
      <c r="BSU785" s="10"/>
      <c r="BSV785" s="10"/>
      <c r="BSW785" s="10"/>
      <c r="BSX785" s="10"/>
      <c r="BSY785" s="10"/>
      <c r="BSZ785" s="10"/>
      <c r="BTA785" s="10"/>
      <c r="BTB785" s="10"/>
      <c r="BTC785" s="10"/>
      <c r="BTD785" s="10"/>
      <c r="BTE785" s="10"/>
      <c r="BTF785" s="10"/>
      <c r="BTG785" s="10"/>
      <c r="BTH785" s="10"/>
      <c r="BTI785" s="10"/>
      <c r="BTJ785" s="10"/>
      <c r="BTK785" s="10"/>
      <c r="BTL785" s="10"/>
      <c r="BTM785" s="10"/>
      <c r="BTN785" s="10"/>
      <c r="BTO785" s="10"/>
      <c r="BTP785" s="10"/>
      <c r="BTQ785" s="10"/>
      <c r="BTR785" s="10"/>
      <c r="BTS785" s="10"/>
      <c r="BTT785" s="10"/>
    </row>
    <row r="786" spans="1:1892" s="9" customFormat="1" ht="35.1" customHeight="1">
      <c r="A786" s="1462"/>
      <c r="B786" s="503"/>
      <c r="C786" s="941"/>
      <c r="D786" s="546"/>
      <c r="E786" s="547"/>
      <c r="F786" s="548"/>
      <c r="G786" s="542"/>
      <c r="H786" s="542"/>
      <c r="I786" s="542"/>
      <c r="J786" s="941"/>
      <c r="K786" s="941"/>
      <c r="L786" s="131">
        <v>107</v>
      </c>
      <c r="M786" s="231">
        <v>229</v>
      </c>
      <c r="N786" s="132">
        <v>1</v>
      </c>
      <c r="O786" s="132">
        <v>1</v>
      </c>
      <c r="P786" s="561"/>
      <c r="Q786" s="561"/>
      <c r="R786" s="561"/>
      <c r="S786" s="1002"/>
      <c r="T786" s="806"/>
      <c r="U786" s="806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  <c r="EF786" s="10"/>
      <c r="EG786" s="10"/>
      <c r="EH786" s="10"/>
      <c r="EI786" s="10"/>
      <c r="EJ786" s="10"/>
      <c r="EK786" s="10"/>
      <c r="EL786" s="10"/>
      <c r="EM786" s="10"/>
      <c r="EN786" s="10"/>
      <c r="EO786" s="10"/>
      <c r="EP786" s="10"/>
      <c r="EQ786" s="10"/>
      <c r="ER786" s="10"/>
      <c r="ES786" s="10"/>
      <c r="ET786" s="10"/>
      <c r="EU786" s="10"/>
      <c r="EV786" s="10"/>
      <c r="EW786" s="10"/>
      <c r="EX786" s="10"/>
      <c r="EY786" s="10"/>
      <c r="EZ786" s="10"/>
      <c r="FA786" s="10"/>
      <c r="FB786" s="10"/>
      <c r="FC786" s="10"/>
      <c r="FD786" s="10"/>
      <c r="FE786" s="10"/>
      <c r="FF786" s="10"/>
      <c r="FG786" s="10"/>
      <c r="FH786" s="10"/>
      <c r="FI786" s="10"/>
      <c r="FJ786" s="10"/>
      <c r="FK786" s="10"/>
      <c r="FL786" s="10"/>
      <c r="FM786" s="10"/>
      <c r="FN786" s="10"/>
      <c r="FO786" s="10"/>
      <c r="FP786" s="10"/>
      <c r="FQ786" s="10"/>
      <c r="FR786" s="10"/>
      <c r="FS786" s="10"/>
      <c r="FT786" s="10"/>
      <c r="FU786" s="10"/>
      <c r="FV786" s="10"/>
      <c r="FW786" s="10"/>
      <c r="FX786" s="10"/>
      <c r="FY786" s="10"/>
      <c r="FZ786" s="10"/>
      <c r="GA786" s="10"/>
      <c r="GB786" s="10"/>
      <c r="GC786" s="10"/>
      <c r="GD786" s="10"/>
      <c r="GE786" s="10"/>
      <c r="GF786" s="10"/>
      <c r="GG786" s="10"/>
      <c r="GH786" s="10"/>
      <c r="GI786" s="10"/>
      <c r="GJ786" s="10"/>
      <c r="GK786" s="10"/>
      <c r="GL786" s="10"/>
      <c r="GM786" s="10"/>
      <c r="GN786" s="10"/>
      <c r="GO786" s="10"/>
      <c r="GP786" s="10"/>
      <c r="GQ786" s="10"/>
      <c r="GR786" s="10"/>
      <c r="GS786" s="10"/>
      <c r="GT786" s="10"/>
      <c r="GU786" s="10"/>
      <c r="GV786" s="10"/>
      <c r="GW786" s="10"/>
      <c r="GX786" s="10"/>
      <c r="GY786" s="10"/>
      <c r="GZ786" s="10"/>
      <c r="HA786" s="10"/>
      <c r="HB786" s="10"/>
      <c r="HC786" s="10"/>
      <c r="HD786" s="10"/>
      <c r="HE786" s="10"/>
      <c r="HF786" s="10"/>
      <c r="HG786" s="10"/>
      <c r="HH786" s="10"/>
      <c r="HI786" s="10"/>
      <c r="HJ786" s="10"/>
      <c r="HK786" s="10"/>
      <c r="HL786" s="10"/>
      <c r="HM786" s="10"/>
      <c r="HN786" s="10"/>
      <c r="HO786" s="10"/>
      <c r="HP786" s="10"/>
      <c r="HQ786" s="10"/>
      <c r="HR786" s="10"/>
      <c r="HS786" s="10"/>
      <c r="HT786" s="10"/>
      <c r="HU786" s="10"/>
      <c r="HV786" s="10"/>
      <c r="HW786" s="10"/>
      <c r="HX786" s="10"/>
      <c r="HY786" s="10"/>
      <c r="HZ786" s="10"/>
      <c r="IA786" s="10"/>
      <c r="IB786" s="10"/>
      <c r="IC786" s="10"/>
      <c r="ID786" s="10"/>
      <c r="IE786" s="10"/>
      <c r="IF786" s="10"/>
      <c r="IG786" s="10"/>
      <c r="IH786" s="10"/>
      <c r="II786" s="10"/>
      <c r="IJ786" s="10"/>
      <c r="IK786" s="10"/>
      <c r="IL786" s="10"/>
      <c r="IM786" s="10"/>
      <c r="IN786" s="10"/>
      <c r="IO786" s="10"/>
      <c r="IP786" s="10"/>
      <c r="IQ786" s="10"/>
      <c r="IR786" s="10"/>
      <c r="IS786" s="10"/>
      <c r="IT786" s="10"/>
      <c r="IU786" s="10"/>
      <c r="IV786" s="10"/>
      <c r="IW786" s="10"/>
      <c r="IX786" s="10"/>
      <c r="IY786" s="10"/>
      <c r="IZ786" s="10"/>
      <c r="JA786" s="10"/>
      <c r="JB786" s="10"/>
      <c r="JC786" s="10"/>
      <c r="JD786" s="10"/>
      <c r="JE786" s="10"/>
      <c r="JF786" s="10"/>
      <c r="JG786" s="10"/>
      <c r="JH786" s="10"/>
      <c r="JI786" s="10"/>
      <c r="JJ786" s="10"/>
      <c r="JK786" s="10"/>
      <c r="JL786" s="10"/>
      <c r="JM786" s="10"/>
      <c r="JN786" s="10"/>
      <c r="JO786" s="10"/>
      <c r="JP786" s="10"/>
      <c r="JQ786" s="10"/>
      <c r="JR786" s="10"/>
      <c r="JS786" s="10"/>
      <c r="JT786" s="10"/>
      <c r="JU786" s="10"/>
      <c r="JV786" s="10"/>
      <c r="JW786" s="10"/>
      <c r="JX786" s="10"/>
      <c r="JY786" s="10"/>
      <c r="JZ786" s="10"/>
      <c r="KA786" s="10"/>
      <c r="KB786" s="10"/>
      <c r="KC786" s="10"/>
      <c r="KD786" s="10"/>
      <c r="KE786" s="10"/>
      <c r="KF786" s="10"/>
      <c r="KG786" s="10"/>
      <c r="KH786" s="10"/>
      <c r="KI786" s="10"/>
      <c r="KJ786" s="10"/>
      <c r="KK786" s="10"/>
      <c r="KL786" s="10"/>
      <c r="KM786" s="10"/>
      <c r="KN786" s="10"/>
      <c r="KO786" s="10"/>
      <c r="KP786" s="10"/>
      <c r="KQ786" s="10"/>
      <c r="KR786" s="10"/>
      <c r="KS786" s="10"/>
      <c r="KT786" s="10"/>
      <c r="KU786" s="10"/>
      <c r="KV786" s="10"/>
      <c r="KW786" s="10"/>
      <c r="KX786" s="10"/>
      <c r="KY786" s="10"/>
      <c r="KZ786" s="10"/>
      <c r="LA786" s="10"/>
      <c r="LB786" s="10"/>
      <c r="LC786" s="10"/>
      <c r="LD786" s="10"/>
      <c r="LE786" s="10"/>
      <c r="LF786" s="10"/>
      <c r="LG786" s="10"/>
      <c r="LH786" s="10"/>
      <c r="LI786" s="10"/>
      <c r="LJ786" s="10"/>
      <c r="LK786" s="10"/>
      <c r="LL786" s="10"/>
      <c r="LM786" s="10"/>
      <c r="LN786" s="10"/>
      <c r="LO786" s="10"/>
      <c r="LP786" s="10"/>
      <c r="LQ786" s="10"/>
      <c r="LR786" s="10"/>
      <c r="LS786" s="10"/>
      <c r="LT786" s="10"/>
      <c r="LU786" s="10"/>
      <c r="LV786" s="10"/>
      <c r="LW786" s="10"/>
      <c r="LX786" s="10"/>
      <c r="LY786" s="10"/>
      <c r="LZ786" s="10"/>
      <c r="MA786" s="10"/>
      <c r="MB786" s="10"/>
      <c r="MC786" s="10"/>
      <c r="MD786" s="10"/>
      <c r="ME786" s="10"/>
      <c r="MF786" s="10"/>
      <c r="MG786" s="10"/>
      <c r="MH786" s="10"/>
      <c r="MI786" s="10"/>
      <c r="MJ786" s="10"/>
      <c r="MK786" s="10"/>
      <c r="ML786" s="10"/>
      <c r="MM786" s="10"/>
      <c r="MN786" s="10"/>
      <c r="MO786" s="10"/>
      <c r="MP786" s="10"/>
      <c r="MQ786" s="10"/>
      <c r="MR786" s="10"/>
      <c r="MS786" s="10"/>
      <c r="MT786" s="10"/>
      <c r="MU786" s="10"/>
      <c r="MV786" s="10"/>
      <c r="MW786" s="10"/>
      <c r="MX786" s="10"/>
      <c r="MY786" s="10"/>
      <c r="MZ786" s="10"/>
      <c r="NA786" s="10"/>
      <c r="NB786" s="10"/>
      <c r="NC786" s="10"/>
      <c r="ND786" s="10"/>
      <c r="NE786" s="10"/>
      <c r="NF786" s="10"/>
      <c r="NG786" s="10"/>
      <c r="NH786" s="10"/>
      <c r="NI786" s="10"/>
      <c r="NJ786" s="10"/>
      <c r="NK786" s="10"/>
      <c r="NL786" s="10"/>
      <c r="NM786" s="10"/>
      <c r="NN786" s="10"/>
      <c r="NO786" s="10"/>
      <c r="NP786" s="10"/>
      <c r="NQ786" s="10"/>
      <c r="NR786" s="10"/>
      <c r="NS786" s="10"/>
      <c r="NT786" s="10"/>
      <c r="NU786" s="10"/>
      <c r="NV786" s="10"/>
      <c r="NW786" s="10"/>
      <c r="NX786" s="10"/>
      <c r="NY786" s="10"/>
      <c r="NZ786" s="10"/>
      <c r="OA786" s="10"/>
      <c r="OB786" s="10"/>
      <c r="OC786" s="10"/>
      <c r="OD786" s="10"/>
      <c r="OE786" s="10"/>
      <c r="OF786" s="10"/>
      <c r="OG786" s="10"/>
      <c r="OH786" s="10"/>
      <c r="OI786" s="10"/>
      <c r="OJ786" s="10"/>
      <c r="OK786" s="10"/>
      <c r="OL786" s="10"/>
      <c r="OM786" s="10"/>
      <c r="ON786" s="10"/>
      <c r="OO786" s="10"/>
      <c r="OP786" s="10"/>
      <c r="OQ786" s="10"/>
      <c r="OR786" s="10"/>
      <c r="OS786" s="10"/>
      <c r="OT786" s="10"/>
      <c r="OU786" s="10"/>
      <c r="OV786" s="10"/>
      <c r="OW786" s="10"/>
      <c r="OX786" s="10"/>
      <c r="OY786" s="10"/>
      <c r="OZ786" s="10"/>
      <c r="PA786" s="10"/>
      <c r="PB786" s="10"/>
      <c r="PC786" s="10"/>
      <c r="PD786" s="10"/>
      <c r="PE786" s="10"/>
      <c r="PF786" s="10"/>
      <c r="PG786" s="10"/>
      <c r="PH786" s="10"/>
      <c r="PI786" s="10"/>
      <c r="PJ786" s="10"/>
      <c r="PK786" s="10"/>
      <c r="PL786" s="10"/>
      <c r="PM786" s="10"/>
      <c r="PN786" s="10"/>
      <c r="PO786" s="10"/>
      <c r="PP786" s="10"/>
      <c r="PQ786" s="10"/>
      <c r="PR786" s="10"/>
      <c r="PS786" s="10"/>
      <c r="PT786" s="10"/>
      <c r="PU786" s="10"/>
      <c r="PV786" s="10"/>
      <c r="PW786" s="10"/>
      <c r="PX786" s="10"/>
      <c r="PY786" s="10"/>
      <c r="PZ786" s="10"/>
      <c r="QA786" s="10"/>
      <c r="QB786" s="10"/>
      <c r="QC786" s="10"/>
      <c r="QD786" s="10"/>
      <c r="QE786" s="10"/>
      <c r="QF786" s="10"/>
      <c r="QG786" s="10"/>
      <c r="QH786" s="10"/>
      <c r="QI786" s="10"/>
      <c r="QJ786" s="10"/>
      <c r="QK786" s="10"/>
      <c r="QL786" s="10"/>
      <c r="QM786" s="10"/>
      <c r="QN786" s="10"/>
      <c r="QO786" s="10"/>
      <c r="QP786" s="10"/>
      <c r="QQ786" s="10"/>
      <c r="QR786" s="10"/>
      <c r="QS786" s="10"/>
      <c r="QT786" s="10"/>
      <c r="QU786" s="10"/>
      <c r="QV786" s="10"/>
      <c r="QW786" s="10"/>
      <c r="QX786" s="10"/>
      <c r="QY786" s="10"/>
      <c r="QZ786" s="10"/>
      <c r="RA786" s="10"/>
      <c r="RB786" s="10"/>
      <c r="RC786" s="10"/>
      <c r="RD786" s="10"/>
      <c r="RE786" s="10"/>
      <c r="RF786" s="10"/>
      <c r="RG786" s="10"/>
      <c r="RH786" s="10"/>
      <c r="RI786" s="10"/>
      <c r="RJ786" s="10"/>
      <c r="RK786" s="10"/>
      <c r="RL786" s="10"/>
      <c r="RM786" s="10"/>
      <c r="RN786" s="10"/>
      <c r="RO786" s="10"/>
      <c r="RP786" s="10"/>
      <c r="RQ786" s="10"/>
      <c r="RR786" s="10"/>
      <c r="RS786" s="10"/>
      <c r="RT786" s="10"/>
      <c r="RU786" s="10"/>
      <c r="RV786" s="10"/>
      <c r="RW786" s="10"/>
      <c r="RX786" s="10"/>
      <c r="RY786" s="10"/>
      <c r="RZ786" s="10"/>
      <c r="SA786" s="10"/>
      <c r="SB786" s="10"/>
      <c r="SC786" s="10"/>
      <c r="SD786" s="10"/>
      <c r="SE786" s="10"/>
      <c r="SF786" s="10"/>
      <c r="SG786" s="10"/>
      <c r="SH786" s="10"/>
      <c r="SI786" s="10"/>
      <c r="SJ786" s="10"/>
      <c r="SK786" s="10"/>
      <c r="SL786" s="10"/>
      <c r="SM786" s="10"/>
      <c r="SN786" s="10"/>
      <c r="SO786" s="10"/>
      <c r="SP786" s="10"/>
      <c r="SQ786" s="10"/>
      <c r="SR786" s="10"/>
      <c r="SS786" s="10"/>
      <c r="ST786" s="10"/>
      <c r="SU786" s="10"/>
      <c r="SV786" s="10"/>
      <c r="SW786" s="10"/>
      <c r="SX786" s="10"/>
      <c r="SY786" s="10"/>
      <c r="SZ786" s="10"/>
      <c r="TA786" s="10"/>
      <c r="TB786" s="10"/>
      <c r="TC786" s="10"/>
      <c r="TD786" s="10"/>
      <c r="TE786" s="10"/>
      <c r="TF786" s="10"/>
      <c r="TG786" s="10"/>
      <c r="TH786" s="10"/>
      <c r="TI786" s="10"/>
      <c r="TJ786" s="10"/>
      <c r="TK786" s="10"/>
      <c r="TL786" s="10"/>
      <c r="TM786" s="10"/>
      <c r="TN786" s="10"/>
      <c r="TO786" s="10"/>
      <c r="TP786" s="10"/>
      <c r="TQ786" s="10"/>
      <c r="TR786" s="10"/>
      <c r="TS786" s="10"/>
      <c r="TT786" s="10"/>
      <c r="TU786" s="10"/>
      <c r="TV786" s="10"/>
      <c r="TW786" s="10"/>
      <c r="TX786" s="10"/>
      <c r="TY786" s="10"/>
      <c r="TZ786" s="10"/>
      <c r="UA786" s="10"/>
      <c r="UB786" s="10"/>
      <c r="UC786" s="10"/>
      <c r="UD786" s="10"/>
      <c r="UE786" s="10"/>
      <c r="UF786" s="10"/>
      <c r="UG786" s="10"/>
      <c r="UH786" s="10"/>
      <c r="UI786" s="10"/>
      <c r="UJ786" s="10"/>
      <c r="UK786" s="10"/>
      <c r="UL786" s="10"/>
      <c r="UM786" s="10"/>
      <c r="UN786" s="10"/>
      <c r="UO786" s="10"/>
      <c r="UP786" s="10"/>
      <c r="UQ786" s="10"/>
      <c r="UR786" s="10"/>
      <c r="US786" s="10"/>
      <c r="UT786" s="10"/>
      <c r="UU786" s="10"/>
      <c r="UV786" s="10"/>
      <c r="UW786" s="10"/>
      <c r="UX786" s="10"/>
      <c r="UY786" s="10"/>
      <c r="UZ786" s="10"/>
      <c r="VA786" s="10"/>
      <c r="VB786" s="10"/>
      <c r="VC786" s="10"/>
      <c r="VD786" s="10"/>
      <c r="VE786" s="10"/>
      <c r="VF786" s="10"/>
      <c r="VG786" s="10"/>
      <c r="VH786" s="10"/>
      <c r="VI786" s="10"/>
      <c r="VJ786" s="10"/>
      <c r="VK786" s="10"/>
      <c r="VL786" s="10"/>
      <c r="VM786" s="10"/>
      <c r="VN786" s="10"/>
      <c r="VO786" s="10"/>
      <c r="VP786" s="10"/>
      <c r="VQ786" s="10"/>
      <c r="VR786" s="10"/>
      <c r="VS786" s="10"/>
      <c r="VT786" s="10"/>
      <c r="VU786" s="10"/>
      <c r="VV786" s="10"/>
      <c r="VW786" s="10"/>
      <c r="VX786" s="10"/>
      <c r="VY786" s="10"/>
      <c r="VZ786" s="10"/>
      <c r="WA786" s="10"/>
      <c r="WB786" s="10"/>
      <c r="WC786" s="10"/>
      <c r="WD786" s="10"/>
      <c r="WE786" s="10"/>
      <c r="WF786" s="10"/>
      <c r="WG786" s="10"/>
      <c r="WH786" s="10"/>
      <c r="WI786" s="10"/>
      <c r="WJ786" s="10"/>
      <c r="WK786" s="10"/>
      <c r="WL786" s="10"/>
      <c r="WM786" s="10"/>
      <c r="WN786" s="10"/>
      <c r="WO786" s="10"/>
      <c r="WP786" s="10"/>
      <c r="WQ786" s="10"/>
      <c r="WR786" s="10"/>
      <c r="WS786" s="10"/>
      <c r="WT786" s="10"/>
      <c r="WU786" s="10"/>
      <c r="WV786" s="10"/>
      <c r="WW786" s="10"/>
      <c r="WX786" s="10"/>
      <c r="WY786" s="10"/>
      <c r="WZ786" s="10"/>
      <c r="XA786" s="10"/>
      <c r="XB786" s="10"/>
      <c r="XC786" s="10"/>
      <c r="XD786" s="10"/>
      <c r="XE786" s="10"/>
      <c r="XF786" s="10"/>
      <c r="XG786" s="10"/>
      <c r="XH786" s="10"/>
      <c r="XI786" s="10"/>
      <c r="XJ786" s="10"/>
      <c r="XK786" s="10"/>
      <c r="XL786" s="10"/>
      <c r="XM786" s="10"/>
      <c r="XN786" s="10"/>
      <c r="XO786" s="10"/>
      <c r="XP786" s="10"/>
      <c r="XQ786" s="10"/>
      <c r="XR786" s="10"/>
      <c r="XS786" s="10"/>
      <c r="XT786" s="10"/>
      <c r="XU786" s="10"/>
      <c r="XV786" s="10"/>
      <c r="XW786" s="10"/>
      <c r="XX786" s="10"/>
      <c r="XY786" s="10"/>
      <c r="XZ786" s="10"/>
      <c r="YA786" s="10"/>
      <c r="YB786" s="10"/>
      <c r="YC786" s="10"/>
      <c r="YD786" s="10"/>
      <c r="YE786" s="10"/>
      <c r="YF786" s="10"/>
      <c r="YG786" s="10"/>
      <c r="YH786" s="10"/>
      <c r="YI786" s="10"/>
      <c r="YJ786" s="10"/>
      <c r="YK786" s="10"/>
      <c r="YL786" s="10"/>
      <c r="YM786" s="10"/>
      <c r="YN786" s="10"/>
      <c r="YO786" s="10"/>
      <c r="YP786" s="10"/>
      <c r="YQ786" s="10"/>
      <c r="YR786" s="10"/>
      <c r="YS786" s="10"/>
      <c r="YT786" s="10"/>
      <c r="YU786" s="10"/>
      <c r="YV786" s="10"/>
      <c r="YW786" s="10"/>
      <c r="YX786" s="10"/>
      <c r="YY786" s="10"/>
      <c r="YZ786" s="10"/>
      <c r="ZA786" s="10"/>
      <c r="ZB786" s="10"/>
      <c r="ZC786" s="10"/>
      <c r="ZD786" s="10"/>
      <c r="ZE786" s="10"/>
      <c r="ZF786" s="10"/>
      <c r="ZG786" s="10"/>
      <c r="ZH786" s="10"/>
      <c r="ZI786" s="10"/>
      <c r="ZJ786" s="10"/>
      <c r="ZK786" s="10"/>
      <c r="ZL786" s="10"/>
      <c r="ZM786" s="10"/>
      <c r="ZN786" s="10"/>
      <c r="ZO786" s="10"/>
      <c r="ZP786" s="10"/>
      <c r="ZQ786" s="10"/>
      <c r="ZR786" s="10"/>
      <c r="ZS786" s="10"/>
      <c r="ZT786" s="10"/>
      <c r="ZU786" s="10"/>
      <c r="ZV786" s="10"/>
      <c r="ZW786" s="10"/>
      <c r="ZX786" s="10"/>
      <c r="ZY786" s="10"/>
      <c r="ZZ786" s="10"/>
      <c r="AAA786" s="10"/>
      <c r="AAB786" s="10"/>
      <c r="AAC786" s="10"/>
      <c r="AAD786" s="10"/>
      <c r="AAE786" s="10"/>
      <c r="AAF786" s="10"/>
      <c r="AAG786" s="10"/>
      <c r="AAH786" s="10"/>
      <c r="AAI786" s="10"/>
      <c r="AAJ786" s="10"/>
      <c r="AAK786" s="10"/>
      <c r="AAL786" s="10"/>
      <c r="AAM786" s="10"/>
      <c r="AAN786" s="10"/>
      <c r="AAO786" s="10"/>
      <c r="AAP786" s="10"/>
      <c r="AAQ786" s="10"/>
      <c r="AAR786" s="10"/>
      <c r="AAS786" s="10"/>
      <c r="AAT786" s="10"/>
      <c r="AAU786" s="10"/>
      <c r="AAV786" s="10"/>
      <c r="AAW786" s="10"/>
      <c r="AAX786" s="10"/>
      <c r="AAY786" s="10"/>
      <c r="AAZ786" s="10"/>
      <c r="ABA786" s="10"/>
      <c r="ABB786" s="10"/>
      <c r="ABC786" s="10"/>
      <c r="ABD786" s="10"/>
      <c r="ABE786" s="10"/>
      <c r="ABF786" s="10"/>
      <c r="ABG786" s="10"/>
      <c r="ABH786" s="10"/>
      <c r="ABI786" s="10"/>
      <c r="ABJ786" s="10"/>
      <c r="ABK786" s="10"/>
      <c r="ABL786" s="10"/>
      <c r="ABM786" s="10"/>
      <c r="ABN786" s="10"/>
      <c r="ABO786" s="10"/>
      <c r="ABP786" s="10"/>
      <c r="ABQ786" s="10"/>
      <c r="ABR786" s="10"/>
      <c r="ABS786" s="10"/>
      <c r="ABT786" s="10"/>
      <c r="ABU786" s="10"/>
      <c r="ABV786" s="10"/>
      <c r="ABW786" s="10"/>
      <c r="ABX786" s="10"/>
      <c r="ABY786" s="10"/>
      <c r="ABZ786" s="10"/>
      <c r="ACA786" s="10"/>
      <c r="ACB786" s="10"/>
      <c r="ACC786" s="10"/>
      <c r="ACD786" s="10"/>
      <c r="ACE786" s="10"/>
      <c r="ACF786" s="10"/>
      <c r="ACG786" s="10"/>
      <c r="ACH786" s="10"/>
      <c r="ACI786" s="10"/>
      <c r="ACJ786" s="10"/>
      <c r="ACK786" s="10"/>
      <c r="ACL786" s="10"/>
      <c r="ACM786" s="10"/>
      <c r="ACN786" s="10"/>
      <c r="ACO786" s="10"/>
      <c r="ACP786" s="10"/>
      <c r="ACQ786" s="10"/>
      <c r="ACR786" s="10"/>
      <c r="ACS786" s="10"/>
      <c r="ACT786" s="10"/>
      <c r="ACU786" s="10"/>
      <c r="ACV786" s="10"/>
      <c r="ACW786" s="10"/>
      <c r="ACX786" s="10"/>
      <c r="ACY786" s="10"/>
      <c r="ACZ786" s="10"/>
      <c r="ADA786" s="10"/>
      <c r="ADB786" s="10"/>
      <c r="ADC786" s="10"/>
      <c r="ADD786" s="10"/>
      <c r="ADE786" s="10"/>
      <c r="ADF786" s="10"/>
      <c r="ADG786" s="10"/>
      <c r="ADH786" s="10"/>
      <c r="ADI786" s="10"/>
      <c r="ADJ786" s="10"/>
      <c r="ADK786" s="10"/>
      <c r="ADL786" s="10"/>
      <c r="ADM786" s="10"/>
      <c r="ADN786" s="10"/>
      <c r="ADO786" s="10"/>
      <c r="ADP786" s="10"/>
      <c r="ADQ786" s="10"/>
      <c r="ADR786" s="10"/>
      <c r="ADS786" s="10"/>
      <c r="ADT786" s="10"/>
      <c r="ADU786" s="10"/>
      <c r="ADV786" s="10"/>
      <c r="ADW786" s="10"/>
      <c r="ADX786" s="10"/>
      <c r="ADY786" s="10"/>
      <c r="ADZ786" s="10"/>
      <c r="AEA786" s="10"/>
      <c r="AEB786" s="10"/>
      <c r="AEC786" s="10"/>
      <c r="AED786" s="10"/>
      <c r="AEE786" s="10"/>
      <c r="AEF786" s="10"/>
      <c r="AEG786" s="10"/>
      <c r="AEH786" s="10"/>
      <c r="AEI786" s="10"/>
      <c r="AEJ786" s="10"/>
      <c r="AEK786" s="10"/>
      <c r="AEL786" s="10"/>
      <c r="AEM786" s="10"/>
      <c r="AEN786" s="10"/>
      <c r="AEO786" s="10"/>
      <c r="AEP786" s="10"/>
      <c r="AEQ786" s="10"/>
      <c r="AER786" s="10"/>
      <c r="AES786" s="10"/>
      <c r="AET786" s="10"/>
      <c r="AEU786" s="10"/>
      <c r="AEV786" s="10"/>
      <c r="AEW786" s="10"/>
      <c r="AEX786" s="10"/>
      <c r="AEY786" s="10"/>
      <c r="AEZ786" s="10"/>
      <c r="AFA786" s="10"/>
      <c r="AFB786" s="10"/>
      <c r="AFC786" s="10"/>
      <c r="AFD786" s="10"/>
      <c r="AFE786" s="10"/>
      <c r="AFF786" s="10"/>
      <c r="AFG786" s="10"/>
      <c r="AFH786" s="10"/>
      <c r="AFI786" s="10"/>
      <c r="AFJ786" s="10"/>
      <c r="AFK786" s="10"/>
      <c r="AFL786" s="10"/>
      <c r="AFM786" s="10"/>
      <c r="AFN786" s="10"/>
      <c r="AFO786" s="10"/>
      <c r="AFP786" s="10"/>
      <c r="AFQ786" s="10"/>
      <c r="AFR786" s="10"/>
      <c r="AFS786" s="10"/>
      <c r="AFT786" s="10"/>
      <c r="AFU786" s="10"/>
      <c r="AFV786" s="10"/>
      <c r="AFW786" s="10"/>
      <c r="AFX786" s="10"/>
      <c r="AFY786" s="10"/>
      <c r="AFZ786" s="10"/>
      <c r="AGA786" s="10"/>
      <c r="AGB786" s="10"/>
      <c r="AGC786" s="10"/>
      <c r="AGD786" s="10"/>
      <c r="AGE786" s="10"/>
      <c r="AGF786" s="10"/>
      <c r="AGG786" s="10"/>
      <c r="AGH786" s="10"/>
      <c r="AGI786" s="10"/>
      <c r="AGJ786" s="10"/>
      <c r="AGK786" s="10"/>
      <c r="AGL786" s="10"/>
      <c r="AGM786" s="10"/>
      <c r="AGN786" s="10"/>
      <c r="AGO786" s="10"/>
      <c r="AGP786" s="10"/>
      <c r="AGQ786" s="10"/>
      <c r="AGR786" s="10"/>
      <c r="AGS786" s="10"/>
      <c r="AGT786" s="10"/>
      <c r="AGU786" s="10"/>
      <c r="AGV786" s="10"/>
      <c r="AGW786" s="10"/>
      <c r="AGX786" s="10"/>
      <c r="AGY786" s="10"/>
      <c r="AGZ786" s="10"/>
      <c r="AHA786" s="10"/>
      <c r="AHB786" s="10"/>
      <c r="AHC786" s="10"/>
      <c r="AHD786" s="10"/>
      <c r="AHE786" s="10"/>
      <c r="AHF786" s="10"/>
      <c r="AHG786" s="10"/>
      <c r="AHH786" s="10"/>
      <c r="AHI786" s="10"/>
      <c r="AHJ786" s="10"/>
      <c r="AHK786" s="10"/>
      <c r="AHL786" s="10"/>
      <c r="AHM786" s="10"/>
      <c r="AHN786" s="10"/>
      <c r="AHO786" s="10"/>
      <c r="AHP786" s="10"/>
      <c r="AHQ786" s="10"/>
      <c r="AHR786" s="10"/>
      <c r="AHS786" s="10"/>
      <c r="AHT786" s="10"/>
      <c r="AHU786" s="10"/>
      <c r="AHV786" s="10"/>
      <c r="AHW786" s="10"/>
      <c r="AHX786" s="10"/>
      <c r="AHY786" s="10"/>
      <c r="AHZ786" s="10"/>
      <c r="AIA786" s="10"/>
      <c r="AIB786" s="10"/>
      <c r="AIC786" s="10"/>
      <c r="AID786" s="10"/>
      <c r="AIE786" s="10"/>
      <c r="AIF786" s="10"/>
      <c r="AIG786" s="10"/>
      <c r="AIH786" s="10"/>
      <c r="AII786" s="10"/>
      <c r="AIJ786" s="10"/>
      <c r="AIK786" s="10"/>
      <c r="AIL786" s="10"/>
      <c r="AIM786" s="10"/>
      <c r="AIN786" s="10"/>
      <c r="AIO786" s="10"/>
      <c r="AIP786" s="10"/>
      <c r="AIQ786" s="10"/>
      <c r="AIR786" s="10"/>
      <c r="AIS786" s="10"/>
      <c r="AIT786" s="10"/>
      <c r="AIU786" s="10"/>
      <c r="AIV786" s="10"/>
      <c r="AIW786" s="10"/>
      <c r="AIX786" s="10"/>
      <c r="AIY786" s="10"/>
      <c r="AIZ786" s="10"/>
      <c r="AJA786" s="10"/>
      <c r="AJB786" s="10"/>
      <c r="AJC786" s="10"/>
      <c r="AJD786" s="10"/>
      <c r="AJE786" s="10"/>
      <c r="AJF786" s="10"/>
      <c r="AJG786" s="10"/>
      <c r="AJH786" s="10"/>
      <c r="AJI786" s="10"/>
      <c r="AJJ786" s="10"/>
      <c r="AJK786" s="10"/>
      <c r="AJL786" s="10"/>
      <c r="AJM786" s="10"/>
      <c r="AJN786" s="10"/>
      <c r="AJO786" s="10"/>
      <c r="AJP786" s="10"/>
      <c r="AJQ786" s="10"/>
      <c r="AJR786" s="10"/>
      <c r="AJS786" s="10"/>
      <c r="AJT786" s="10"/>
      <c r="AJU786" s="10"/>
      <c r="AJV786" s="10"/>
      <c r="AJW786" s="10"/>
      <c r="AJX786" s="10"/>
      <c r="AJY786" s="10"/>
      <c r="AJZ786" s="10"/>
      <c r="AKA786" s="10"/>
      <c r="AKB786" s="10"/>
      <c r="AKC786" s="10"/>
      <c r="AKD786" s="10"/>
      <c r="AKE786" s="10"/>
      <c r="AKF786" s="10"/>
      <c r="AKG786" s="10"/>
      <c r="AKH786" s="10"/>
      <c r="AKI786" s="10"/>
      <c r="AKJ786" s="10"/>
      <c r="AKK786" s="10"/>
      <c r="AKL786" s="10"/>
      <c r="AKM786" s="10"/>
      <c r="AKN786" s="10"/>
      <c r="AKO786" s="10"/>
      <c r="AKP786" s="10"/>
      <c r="AKQ786" s="10"/>
      <c r="AKR786" s="10"/>
      <c r="AKS786" s="10"/>
      <c r="AKT786" s="10"/>
      <c r="AKU786" s="10"/>
      <c r="AKV786" s="10"/>
      <c r="AKW786" s="10"/>
      <c r="AKX786" s="10"/>
      <c r="AKY786" s="10"/>
      <c r="AKZ786" s="10"/>
      <c r="ALA786" s="10"/>
      <c r="ALB786" s="10"/>
      <c r="ALC786" s="10"/>
      <c r="ALD786" s="10"/>
      <c r="ALE786" s="10"/>
      <c r="ALF786" s="10"/>
      <c r="ALG786" s="10"/>
      <c r="ALH786" s="10"/>
      <c r="ALI786" s="10"/>
      <c r="ALJ786" s="10"/>
      <c r="ALK786" s="10"/>
      <c r="ALL786" s="10"/>
      <c r="ALM786" s="10"/>
      <c r="ALN786" s="10"/>
      <c r="ALO786" s="10"/>
      <c r="ALP786" s="10"/>
      <c r="ALQ786" s="10"/>
      <c r="ALR786" s="10"/>
      <c r="ALS786" s="10"/>
      <c r="ALT786" s="10"/>
      <c r="ALU786" s="10"/>
      <c r="ALV786" s="10"/>
      <c r="ALW786" s="10"/>
      <c r="ALX786" s="10"/>
      <c r="ALY786" s="10"/>
      <c r="ALZ786" s="10"/>
      <c r="AMA786" s="10"/>
      <c r="AMB786" s="10"/>
      <c r="AMC786" s="10"/>
      <c r="AMD786" s="10"/>
      <c r="AME786" s="10"/>
      <c r="AMF786" s="10"/>
      <c r="AMG786" s="10"/>
      <c r="AMH786" s="10"/>
      <c r="AMI786" s="10"/>
      <c r="AMJ786" s="10"/>
      <c r="AMK786" s="10"/>
      <c r="AML786" s="10"/>
      <c r="AMM786" s="10"/>
      <c r="AMN786" s="10"/>
      <c r="AMO786" s="10"/>
      <c r="AMP786" s="10"/>
      <c r="AMQ786" s="10"/>
      <c r="AMR786" s="10"/>
      <c r="AMS786" s="10"/>
      <c r="AMT786" s="10"/>
      <c r="AMU786" s="10"/>
      <c r="AMV786" s="10"/>
      <c r="AMW786" s="10"/>
      <c r="AMX786" s="10"/>
      <c r="AMY786" s="10"/>
      <c r="AMZ786" s="10"/>
      <c r="ANA786" s="10"/>
      <c r="ANB786" s="10"/>
      <c r="ANC786" s="10"/>
      <c r="AND786" s="10"/>
      <c r="ANE786" s="10"/>
      <c r="ANF786" s="10"/>
      <c r="ANG786" s="10"/>
      <c r="ANH786" s="10"/>
      <c r="ANI786" s="10"/>
      <c r="ANJ786" s="10"/>
      <c r="ANK786" s="10"/>
      <c r="ANL786" s="10"/>
      <c r="ANM786" s="10"/>
      <c r="ANN786" s="10"/>
      <c r="ANO786" s="10"/>
      <c r="ANP786" s="10"/>
      <c r="ANQ786" s="10"/>
      <c r="ANR786" s="10"/>
      <c r="ANS786" s="10"/>
      <c r="ANT786" s="10"/>
      <c r="ANU786" s="10"/>
      <c r="ANV786" s="10"/>
      <c r="ANW786" s="10"/>
      <c r="ANX786" s="10"/>
      <c r="ANY786" s="10"/>
      <c r="ANZ786" s="10"/>
      <c r="AOA786" s="10"/>
      <c r="AOB786" s="10"/>
      <c r="AOC786" s="10"/>
      <c r="AOD786" s="10"/>
      <c r="AOE786" s="10"/>
      <c r="AOF786" s="10"/>
      <c r="AOG786" s="10"/>
      <c r="AOH786" s="10"/>
      <c r="AOI786" s="10"/>
      <c r="AOJ786" s="10"/>
      <c r="AOK786" s="10"/>
      <c r="AOL786" s="10"/>
      <c r="AOM786" s="10"/>
      <c r="AON786" s="10"/>
      <c r="AOO786" s="10"/>
      <c r="AOP786" s="10"/>
      <c r="AOQ786" s="10"/>
      <c r="AOR786" s="10"/>
      <c r="AOS786" s="10"/>
      <c r="AOT786" s="10"/>
      <c r="AOU786" s="10"/>
      <c r="AOV786" s="10"/>
      <c r="AOW786" s="10"/>
      <c r="AOX786" s="10"/>
      <c r="AOY786" s="10"/>
      <c r="AOZ786" s="10"/>
      <c r="APA786" s="10"/>
      <c r="APB786" s="10"/>
      <c r="APC786" s="10"/>
      <c r="APD786" s="10"/>
      <c r="APE786" s="10"/>
      <c r="APF786" s="10"/>
      <c r="APG786" s="10"/>
      <c r="APH786" s="10"/>
      <c r="API786" s="10"/>
      <c r="APJ786" s="10"/>
      <c r="APK786" s="10"/>
      <c r="APL786" s="10"/>
      <c r="APM786" s="10"/>
      <c r="APN786" s="10"/>
      <c r="APO786" s="10"/>
      <c r="APP786" s="10"/>
      <c r="APQ786" s="10"/>
      <c r="APR786" s="10"/>
      <c r="APS786" s="10"/>
      <c r="APT786" s="10"/>
      <c r="APU786" s="10"/>
      <c r="APV786" s="10"/>
      <c r="APW786" s="10"/>
      <c r="APX786" s="10"/>
      <c r="APY786" s="10"/>
      <c r="APZ786" s="10"/>
      <c r="AQA786" s="10"/>
      <c r="AQB786" s="10"/>
      <c r="AQC786" s="10"/>
      <c r="AQD786" s="10"/>
      <c r="AQE786" s="10"/>
      <c r="AQF786" s="10"/>
      <c r="AQG786" s="10"/>
      <c r="AQH786" s="10"/>
      <c r="AQI786" s="10"/>
      <c r="AQJ786" s="10"/>
      <c r="AQK786" s="10"/>
      <c r="AQL786" s="10"/>
      <c r="AQM786" s="10"/>
      <c r="AQN786" s="10"/>
      <c r="AQO786" s="10"/>
      <c r="AQP786" s="10"/>
      <c r="AQQ786" s="10"/>
      <c r="AQR786" s="10"/>
      <c r="AQS786" s="10"/>
      <c r="AQT786" s="10"/>
      <c r="AQU786" s="10"/>
      <c r="AQV786" s="10"/>
      <c r="AQW786" s="10"/>
      <c r="AQX786" s="10"/>
      <c r="AQY786" s="10"/>
      <c r="AQZ786" s="10"/>
      <c r="ARA786" s="10"/>
      <c r="ARB786" s="10"/>
      <c r="ARC786" s="10"/>
      <c r="ARD786" s="10"/>
      <c r="ARE786" s="10"/>
      <c r="ARF786" s="10"/>
      <c r="ARG786" s="10"/>
      <c r="ARH786" s="10"/>
      <c r="ARI786" s="10"/>
      <c r="ARJ786" s="10"/>
      <c r="ARK786" s="10"/>
      <c r="ARL786" s="10"/>
      <c r="ARM786" s="10"/>
      <c r="ARN786" s="10"/>
      <c r="ARO786" s="10"/>
      <c r="ARP786" s="10"/>
      <c r="ARQ786" s="10"/>
      <c r="ARR786" s="10"/>
      <c r="ARS786" s="10"/>
      <c r="ART786" s="10"/>
      <c r="ARU786" s="10"/>
      <c r="ARV786" s="10"/>
      <c r="ARW786" s="10"/>
      <c r="ARX786" s="10"/>
      <c r="ARY786" s="10"/>
      <c r="ARZ786" s="10"/>
      <c r="ASA786" s="10"/>
      <c r="ASB786" s="10"/>
      <c r="ASC786" s="10"/>
      <c r="ASD786" s="10"/>
      <c r="ASE786" s="10"/>
      <c r="ASF786" s="10"/>
      <c r="ASG786" s="10"/>
      <c r="ASH786" s="10"/>
      <c r="ASI786" s="10"/>
      <c r="ASJ786" s="10"/>
      <c r="ASK786" s="10"/>
      <c r="ASL786" s="10"/>
      <c r="ASM786" s="10"/>
      <c r="ASN786" s="10"/>
      <c r="ASO786" s="10"/>
      <c r="ASP786" s="10"/>
      <c r="ASQ786" s="10"/>
      <c r="ASR786" s="10"/>
      <c r="ASS786" s="10"/>
      <c r="AST786" s="10"/>
      <c r="ASU786" s="10"/>
      <c r="ASV786" s="10"/>
      <c r="ASW786" s="10"/>
      <c r="ASX786" s="10"/>
      <c r="ASY786" s="10"/>
      <c r="ASZ786" s="10"/>
      <c r="ATA786" s="10"/>
      <c r="ATB786" s="10"/>
      <c r="ATC786" s="10"/>
      <c r="ATD786" s="10"/>
      <c r="ATE786" s="10"/>
      <c r="ATF786" s="10"/>
      <c r="ATG786" s="10"/>
      <c r="ATH786" s="10"/>
      <c r="ATI786" s="10"/>
      <c r="ATJ786" s="10"/>
      <c r="ATK786" s="10"/>
      <c r="ATL786" s="10"/>
      <c r="ATM786" s="10"/>
      <c r="ATN786" s="10"/>
      <c r="ATO786" s="10"/>
      <c r="ATP786" s="10"/>
      <c r="ATQ786" s="10"/>
      <c r="ATR786" s="10"/>
      <c r="ATS786" s="10"/>
      <c r="ATT786" s="10"/>
      <c r="ATU786" s="10"/>
      <c r="ATV786" s="10"/>
      <c r="ATW786" s="10"/>
      <c r="ATX786" s="10"/>
      <c r="ATY786" s="10"/>
      <c r="ATZ786" s="10"/>
      <c r="AUA786" s="10"/>
      <c r="AUB786" s="10"/>
      <c r="AUC786" s="10"/>
      <c r="AUD786" s="10"/>
      <c r="AUE786" s="10"/>
      <c r="AUF786" s="10"/>
      <c r="AUG786" s="10"/>
      <c r="AUH786" s="10"/>
      <c r="AUI786" s="10"/>
      <c r="AUJ786" s="10"/>
      <c r="AUK786" s="10"/>
      <c r="AUL786" s="10"/>
      <c r="AUM786" s="10"/>
      <c r="AUN786" s="10"/>
      <c r="AUO786" s="10"/>
      <c r="AUP786" s="10"/>
      <c r="AUQ786" s="10"/>
      <c r="AUR786" s="10"/>
      <c r="AUS786" s="10"/>
      <c r="AUT786" s="10"/>
      <c r="AUU786" s="10"/>
      <c r="AUV786" s="10"/>
      <c r="AUW786" s="10"/>
      <c r="AUX786" s="10"/>
      <c r="AUY786" s="10"/>
      <c r="AUZ786" s="10"/>
      <c r="AVA786" s="10"/>
      <c r="AVB786" s="10"/>
      <c r="AVC786" s="10"/>
      <c r="AVD786" s="10"/>
      <c r="AVE786" s="10"/>
      <c r="AVF786" s="10"/>
      <c r="AVG786" s="10"/>
      <c r="AVH786" s="10"/>
      <c r="AVI786" s="10"/>
      <c r="AVJ786" s="10"/>
      <c r="AVK786" s="10"/>
      <c r="AVL786" s="10"/>
      <c r="AVM786" s="10"/>
      <c r="AVN786" s="10"/>
      <c r="AVO786" s="10"/>
      <c r="AVP786" s="10"/>
      <c r="AVQ786" s="10"/>
      <c r="AVR786" s="10"/>
      <c r="AVS786" s="10"/>
      <c r="AVT786" s="10"/>
      <c r="AVU786" s="10"/>
      <c r="AVV786" s="10"/>
      <c r="AVW786" s="10"/>
      <c r="AVX786" s="10"/>
      <c r="AVY786" s="10"/>
      <c r="AVZ786" s="10"/>
      <c r="AWA786" s="10"/>
      <c r="AWB786" s="10"/>
      <c r="AWC786" s="10"/>
      <c r="AWD786" s="10"/>
      <c r="AWE786" s="10"/>
      <c r="AWF786" s="10"/>
      <c r="AWG786" s="10"/>
      <c r="AWH786" s="10"/>
      <c r="AWI786" s="10"/>
      <c r="AWJ786" s="10"/>
      <c r="AWK786" s="10"/>
      <c r="AWL786" s="10"/>
      <c r="AWM786" s="10"/>
      <c r="AWN786" s="10"/>
      <c r="AWO786" s="10"/>
      <c r="AWP786" s="10"/>
      <c r="AWQ786" s="10"/>
      <c r="AWR786" s="10"/>
      <c r="AWS786" s="10"/>
      <c r="AWT786" s="10"/>
      <c r="AWU786" s="10"/>
      <c r="AWV786" s="10"/>
      <c r="AWW786" s="10"/>
      <c r="AWX786" s="10"/>
      <c r="AWY786" s="10"/>
      <c r="AWZ786" s="10"/>
      <c r="AXA786" s="10"/>
      <c r="AXB786" s="10"/>
      <c r="AXC786" s="10"/>
      <c r="AXD786" s="10"/>
      <c r="AXE786" s="10"/>
      <c r="AXF786" s="10"/>
      <c r="AXG786" s="10"/>
      <c r="AXH786" s="10"/>
      <c r="AXI786" s="10"/>
      <c r="AXJ786" s="10"/>
      <c r="AXK786" s="10"/>
      <c r="AXL786" s="10"/>
      <c r="AXM786" s="10"/>
      <c r="AXN786" s="10"/>
      <c r="AXO786" s="10"/>
      <c r="AXP786" s="10"/>
      <c r="AXQ786" s="10"/>
      <c r="AXR786" s="10"/>
      <c r="AXS786" s="10"/>
      <c r="AXT786" s="10"/>
      <c r="AXU786" s="10"/>
      <c r="AXV786" s="10"/>
      <c r="AXW786" s="10"/>
      <c r="AXX786" s="10"/>
      <c r="AXY786" s="10"/>
      <c r="AXZ786" s="10"/>
      <c r="AYA786" s="10"/>
      <c r="AYB786" s="10"/>
      <c r="AYC786" s="10"/>
      <c r="AYD786" s="10"/>
      <c r="AYE786" s="10"/>
      <c r="AYF786" s="10"/>
      <c r="AYG786" s="10"/>
      <c r="AYH786" s="10"/>
      <c r="AYI786" s="10"/>
      <c r="AYJ786" s="10"/>
      <c r="AYK786" s="10"/>
      <c r="AYL786" s="10"/>
      <c r="AYM786" s="10"/>
      <c r="AYN786" s="10"/>
      <c r="AYO786" s="10"/>
      <c r="AYP786" s="10"/>
      <c r="AYQ786" s="10"/>
      <c r="AYR786" s="10"/>
      <c r="AYS786" s="10"/>
      <c r="AYT786" s="10"/>
      <c r="AYU786" s="10"/>
      <c r="AYV786" s="10"/>
      <c r="AYW786" s="10"/>
      <c r="AYX786" s="10"/>
      <c r="AYY786" s="10"/>
      <c r="AYZ786" s="10"/>
      <c r="AZA786" s="10"/>
      <c r="AZB786" s="10"/>
      <c r="AZC786" s="10"/>
      <c r="AZD786" s="10"/>
      <c r="AZE786" s="10"/>
      <c r="AZF786" s="10"/>
      <c r="AZG786" s="10"/>
      <c r="AZH786" s="10"/>
      <c r="AZI786" s="10"/>
      <c r="AZJ786" s="10"/>
      <c r="AZK786" s="10"/>
      <c r="AZL786" s="10"/>
      <c r="AZM786" s="10"/>
      <c r="AZN786" s="10"/>
      <c r="AZO786" s="10"/>
      <c r="AZP786" s="10"/>
      <c r="AZQ786" s="10"/>
      <c r="AZR786" s="10"/>
      <c r="AZS786" s="10"/>
      <c r="AZT786" s="10"/>
      <c r="AZU786" s="10"/>
      <c r="AZV786" s="10"/>
      <c r="AZW786" s="10"/>
      <c r="AZX786" s="10"/>
      <c r="AZY786" s="10"/>
      <c r="AZZ786" s="10"/>
      <c r="BAA786" s="10"/>
      <c r="BAB786" s="10"/>
      <c r="BAC786" s="10"/>
      <c r="BAD786" s="10"/>
      <c r="BAE786" s="10"/>
      <c r="BAF786" s="10"/>
      <c r="BAG786" s="10"/>
      <c r="BAH786" s="10"/>
      <c r="BAI786" s="10"/>
      <c r="BAJ786" s="10"/>
      <c r="BAK786" s="10"/>
      <c r="BAL786" s="10"/>
      <c r="BAM786" s="10"/>
      <c r="BAN786" s="10"/>
      <c r="BAO786" s="10"/>
      <c r="BAP786" s="10"/>
      <c r="BAQ786" s="10"/>
      <c r="BAR786" s="10"/>
      <c r="BAS786" s="10"/>
      <c r="BAT786" s="10"/>
      <c r="BAU786" s="10"/>
      <c r="BAV786" s="10"/>
      <c r="BAW786" s="10"/>
      <c r="BAX786" s="10"/>
      <c r="BAY786" s="10"/>
      <c r="BAZ786" s="10"/>
      <c r="BBA786" s="10"/>
      <c r="BBB786" s="10"/>
      <c r="BBC786" s="10"/>
      <c r="BBD786" s="10"/>
      <c r="BBE786" s="10"/>
      <c r="BBF786" s="10"/>
      <c r="BBG786" s="10"/>
      <c r="BBH786" s="10"/>
      <c r="BBI786" s="10"/>
      <c r="BBJ786" s="10"/>
      <c r="BBK786" s="10"/>
      <c r="BBL786" s="10"/>
      <c r="BBM786" s="10"/>
      <c r="BBN786" s="10"/>
      <c r="BBO786" s="10"/>
      <c r="BBP786" s="10"/>
      <c r="BBQ786" s="10"/>
      <c r="BBR786" s="10"/>
      <c r="BBS786" s="10"/>
      <c r="BBT786" s="10"/>
      <c r="BBU786" s="10"/>
      <c r="BBV786" s="10"/>
      <c r="BBW786" s="10"/>
      <c r="BBX786" s="10"/>
      <c r="BBY786" s="10"/>
      <c r="BBZ786" s="10"/>
      <c r="BCA786" s="10"/>
      <c r="BCB786" s="10"/>
      <c r="BCC786" s="10"/>
      <c r="BCD786" s="10"/>
      <c r="BCE786" s="10"/>
      <c r="BCF786" s="10"/>
      <c r="BCG786" s="10"/>
      <c r="BCH786" s="10"/>
      <c r="BCI786" s="10"/>
      <c r="BCJ786" s="10"/>
      <c r="BCK786" s="10"/>
      <c r="BCL786" s="10"/>
      <c r="BCM786" s="10"/>
      <c r="BCN786" s="10"/>
      <c r="BCO786" s="10"/>
      <c r="BCP786" s="10"/>
      <c r="BCQ786" s="10"/>
      <c r="BCR786" s="10"/>
      <c r="BCS786" s="10"/>
      <c r="BCT786" s="10"/>
      <c r="BCU786" s="10"/>
      <c r="BCV786" s="10"/>
      <c r="BCW786" s="10"/>
      <c r="BCX786" s="10"/>
      <c r="BCY786" s="10"/>
      <c r="BCZ786" s="10"/>
      <c r="BDA786" s="10"/>
      <c r="BDB786" s="10"/>
      <c r="BDC786" s="10"/>
      <c r="BDD786" s="10"/>
      <c r="BDE786" s="10"/>
      <c r="BDF786" s="10"/>
      <c r="BDG786" s="10"/>
      <c r="BDH786" s="10"/>
      <c r="BDI786" s="10"/>
      <c r="BDJ786" s="10"/>
      <c r="BDK786" s="10"/>
      <c r="BDL786" s="10"/>
      <c r="BDM786" s="10"/>
      <c r="BDN786" s="10"/>
      <c r="BDO786" s="10"/>
      <c r="BDP786" s="10"/>
      <c r="BDQ786" s="10"/>
      <c r="BDR786" s="10"/>
      <c r="BDS786" s="10"/>
      <c r="BDT786" s="10"/>
      <c r="BDU786" s="10"/>
      <c r="BDV786" s="10"/>
      <c r="BDW786" s="10"/>
      <c r="BDX786" s="10"/>
      <c r="BDY786" s="10"/>
      <c r="BDZ786" s="10"/>
      <c r="BEA786" s="10"/>
      <c r="BEB786" s="10"/>
      <c r="BEC786" s="10"/>
      <c r="BED786" s="10"/>
      <c r="BEE786" s="10"/>
      <c r="BEF786" s="10"/>
      <c r="BEG786" s="10"/>
      <c r="BEH786" s="10"/>
      <c r="BEI786" s="10"/>
      <c r="BEJ786" s="10"/>
      <c r="BEK786" s="10"/>
      <c r="BEL786" s="10"/>
      <c r="BEM786" s="10"/>
      <c r="BEN786" s="10"/>
      <c r="BEO786" s="10"/>
      <c r="BEP786" s="10"/>
      <c r="BEQ786" s="10"/>
      <c r="BER786" s="10"/>
      <c r="BES786" s="10"/>
      <c r="BET786" s="10"/>
      <c r="BEU786" s="10"/>
      <c r="BEV786" s="10"/>
      <c r="BEW786" s="10"/>
      <c r="BEX786" s="10"/>
      <c r="BEY786" s="10"/>
      <c r="BEZ786" s="10"/>
      <c r="BFA786" s="10"/>
      <c r="BFB786" s="10"/>
      <c r="BFC786" s="10"/>
      <c r="BFD786" s="10"/>
      <c r="BFE786" s="10"/>
      <c r="BFF786" s="10"/>
      <c r="BFG786" s="10"/>
      <c r="BFH786" s="10"/>
      <c r="BFI786" s="10"/>
      <c r="BFJ786" s="10"/>
      <c r="BFK786" s="10"/>
      <c r="BFL786" s="10"/>
      <c r="BFM786" s="10"/>
      <c r="BFN786" s="10"/>
      <c r="BFO786" s="10"/>
      <c r="BFP786" s="10"/>
      <c r="BFQ786" s="10"/>
      <c r="BFR786" s="10"/>
      <c r="BFS786" s="10"/>
      <c r="BFT786" s="10"/>
      <c r="BFU786" s="10"/>
      <c r="BFV786" s="10"/>
      <c r="BFW786" s="10"/>
      <c r="BFX786" s="10"/>
      <c r="BFY786" s="10"/>
      <c r="BFZ786" s="10"/>
      <c r="BGA786" s="10"/>
      <c r="BGB786" s="10"/>
      <c r="BGC786" s="10"/>
      <c r="BGD786" s="10"/>
      <c r="BGE786" s="10"/>
      <c r="BGF786" s="10"/>
      <c r="BGG786" s="10"/>
      <c r="BGH786" s="10"/>
      <c r="BGI786" s="10"/>
      <c r="BGJ786" s="10"/>
      <c r="BGK786" s="10"/>
      <c r="BGL786" s="10"/>
      <c r="BGM786" s="10"/>
      <c r="BGN786" s="10"/>
      <c r="BGO786" s="10"/>
      <c r="BGP786" s="10"/>
      <c r="BGQ786" s="10"/>
      <c r="BGR786" s="10"/>
      <c r="BGS786" s="10"/>
      <c r="BGT786" s="10"/>
      <c r="BGU786" s="10"/>
      <c r="BGV786" s="10"/>
      <c r="BGW786" s="10"/>
      <c r="BGX786" s="10"/>
      <c r="BGY786" s="10"/>
      <c r="BGZ786" s="10"/>
      <c r="BHA786" s="10"/>
      <c r="BHB786" s="10"/>
      <c r="BHC786" s="10"/>
      <c r="BHD786" s="10"/>
      <c r="BHE786" s="10"/>
      <c r="BHF786" s="10"/>
      <c r="BHG786" s="10"/>
      <c r="BHH786" s="10"/>
      <c r="BHI786" s="10"/>
      <c r="BHJ786" s="10"/>
      <c r="BHK786" s="10"/>
      <c r="BHL786" s="10"/>
      <c r="BHM786" s="10"/>
      <c r="BHN786" s="10"/>
      <c r="BHO786" s="10"/>
      <c r="BHP786" s="10"/>
      <c r="BHQ786" s="10"/>
      <c r="BHR786" s="10"/>
      <c r="BHS786" s="10"/>
      <c r="BHT786" s="10"/>
      <c r="BHU786" s="10"/>
      <c r="BHV786" s="10"/>
      <c r="BHW786" s="10"/>
      <c r="BHX786" s="10"/>
      <c r="BHY786" s="10"/>
      <c r="BHZ786" s="10"/>
      <c r="BIA786" s="10"/>
      <c r="BIB786" s="10"/>
      <c r="BIC786" s="10"/>
      <c r="BID786" s="10"/>
      <c r="BIE786" s="10"/>
      <c r="BIF786" s="10"/>
      <c r="BIG786" s="10"/>
      <c r="BIH786" s="10"/>
      <c r="BII786" s="10"/>
      <c r="BIJ786" s="10"/>
      <c r="BIK786" s="10"/>
      <c r="BIL786" s="10"/>
      <c r="BIM786" s="10"/>
      <c r="BIN786" s="10"/>
      <c r="BIO786" s="10"/>
      <c r="BIP786" s="10"/>
      <c r="BIQ786" s="10"/>
      <c r="BIR786" s="10"/>
      <c r="BIS786" s="10"/>
      <c r="BIT786" s="10"/>
      <c r="BIU786" s="10"/>
      <c r="BIV786" s="10"/>
      <c r="BIW786" s="10"/>
      <c r="BIX786" s="10"/>
      <c r="BIY786" s="10"/>
      <c r="BIZ786" s="10"/>
      <c r="BJA786" s="10"/>
      <c r="BJB786" s="10"/>
      <c r="BJC786" s="10"/>
      <c r="BJD786" s="10"/>
      <c r="BJE786" s="10"/>
      <c r="BJF786" s="10"/>
      <c r="BJG786" s="10"/>
      <c r="BJH786" s="10"/>
      <c r="BJI786" s="10"/>
      <c r="BJJ786" s="10"/>
      <c r="BJK786" s="10"/>
      <c r="BJL786" s="10"/>
      <c r="BJM786" s="10"/>
      <c r="BJN786" s="10"/>
      <c r="BJO786" s="10"/>
      <c r="BJP786" s="10"/>
      <c r="BJQ786" s="10"/>
      <c r="BJR786" s="10"/>
      <c r="BJS786" s="10"/>
      <c r="BJT786" s="10"/>
      <c r="BJU786" s="10"/>
      <c r="BJV786" s="10"/>
      <c r="BJW786" s="10"/>
      <c r="BJX786" s="10"/>
      <c r="BJY786" s="10"/>
      <c r="BJZ786" s="10"/>
      <c r="BKA786" s="10"/>
      <c r="BKB786" s="10"/>
      <c r="BKC786" s="10"/>
      <c r="BKD786" s="10"/>
      <c r="BKE786" s="10"/>
      <c r="BKF786" s="10"/>
      <c r="BKG786" s="10"/>
      <c r="BKH786" s="10"/>
      <c r="BKI786" s="10"/>
      <c r="BKJ786" s="10"/>
      <c r="BKK786" s="10"/>
      <c r="BKL786" s="10"/>
      <c r="BKM786" s="10"/>
      <c r="BKN786" s="10"/>
      <c r="BKO786" s="10"/>
      <c r="BKP786" s="10"/>
      <c r="BKQ786" s="10"/>
      <c r="BKR786" s="10"/>
      <c r="BKS786" s="10"/>
      <c r="BKT786" s="10"/>
      <c r="BKU786" s="10"/>
      <c r="BKV786" s="10"/>
      <c r="BKW786" s="10"/>
      <c r="BKX786" s="10"/>
      <c r="BKY786" s="10"/>
      <c r="BKZ786" s="10"/>
      <c r="BLA786" s="10"/>
      <c r="BLB786" s="10"/>
      <c r="BLC786" s="10"/>
      <c r="BLD786" s="10"/>
      <c r="BLE786" s="10"/>
      <c r="BLF786" s="10"/>
      <c r="BLG786" s="10"/>
      <c r="BLH786" s="10"/>
      <c r="BLI786" s="10"/>
      <c r="BLJ786" s="10"/>
      <c r="BLK786" s="10"/>
      <c r="BLL786" s="10"/>
      <c r="BLM786" s="10"/>
      <c r="BLN786" s="10"/>
      <c r="BLO786" s="10"/>
      <c r="BLP786" s="10"/>
      <c r="BLQ786" s="10"/>
      <c r="BLR786" s="10"/>
      <c r="BLS786" s="10"/>
      <c r="BLT786" s="10"/>
      <c r="BLU786" s="10"/>
      <c r="BLV786" s="10"/>
      <c r="BLW786" s="10"/>
      <c r="BLX786" s="10"/>
      <c r="BLY786" s="10"/>
      <c r="BLZ786" s="10"/>
      <c r="BMA786" s="10"/>
      <c r="BMB786" s="10"/>
      <c r="BMC786" s="10"/>
      <c r="BMD786" s="10"/>
      <c r="BME786" s="10"/>
      <c r="BMF786" s="10"/>
      <c r="BMG786" s="10"/>
      <c r="BMH786" s="10"/>
      <c r="BMI786" s="10"/>
      <c r="BMJ786" s="10"/>
      <c r="BMK786" s="10"/>
      <c r="BML786" s="10"/>
      <c r="BMM786" s="10"/>
      <c r="BMN786" s="10"/>
      <c r="BMO786" s="10"/>
      <c r="BMP786" s="10"/>
      <c r="BMQ786" s="10"/>
      <c r="BMR786" s="10"/>
      <c r="BMS786" s="10"/>
      <c r="BMT786" s="10"/>
      <c r="BMU786" s="10"/>
      <c r="BMV786" s="10"/>
      <c r="BMW786" s="10"/>
      <c r="BMX786" s="10"/>
      <c r="BMY786" s="10"/>
      <c r="BMZ786" s="10"/>
      <c r="BNA786" s="10"/>
      <c r="BNB786" s="10"/>
      <c r="BNC786" s="10"/>
      <c r="BND786" s="10"/>
      <c r="BNE786" s="10"/>
      <c r="BNF786" s="10"/>
      <c r="BNG786" s="10"/>
      <c r="BNH786" s="10"/>
      <c r="BNI786" s="10"/>
      <c r="BNJ786" s="10"/>
      <c r="BNK786" s="10"/>
      <c r="BNL786" s="10"/>
      <c r="BNM786" s="10"/>
      <c r="BNN786" s="10"/>
      <c r="BNO786" s="10"/>
      <c r="BNP786" s="10"/>
      <c r="BNQ786" s="10"/>
      <c r="BNR786" s="10"/>
      <c r="BNS786" s="10"/>
      <c r="BNT786" s="10"/>
      <c r="BNU786" s="10"/>
      <c r="BNV786" s="10"/>
      <c r="BNW786" s="10"/>
      <c r="BNX786" s="10"/>
      <c r="BNY786" s="10"/>
      <c r="BNZ786" s="10"/>
      <c r="BOA786" s="10"/>
      <c r="BOB786" s="10"/>
      <c r="BOC786" s="10"/>
      <c r="BOD786" s="10"/>
      <c r="BOE786" s="10"/>
      <c r="BOF786" s="10"/>
      <c r="BOG786" s="10"/>
      <c r="BOH786" s="10"/>
      <c r="BOI786" s="10"/>
      <c r="BOJ786" s="10"/>
      <c r="BOK786" s="10"/>
      <c r="BOL786" s="10"/>
      <c r="BOM786" s="10"/>
      <c r="BON786" s="10"/>
      <c r="BOO786" s="10"/>
      <c r="BOP786" s="10"/>
      <c r="BOQ786" s="10"/>
      <c r="BOR786" s="10"/>
      <c r="BOS786" s="10"/>
      <c r="BOT786" s="10"/>
      <c r="BOU786" s="10"/>
      <c r="BOV786" s="10"/>
      <c r="BOW786" s="10"/>
      <c r="BOX786" s="10"/>
      <c r="BOY786" s="10"/>
      <c r="BOZ786" s="10"/>
      <c r="BPA786" s="10"/>
      <c r="BPB786" s="10"/>
      <c r="BPC786" s="10"/>
      <c r="BPD786" s="10"/>
      <c r="BPE786" s="10"/>
      <c r="BPF786" s="10"/>
      <c r="BPG786" s="10"/>
      <c r="BPH786" s="10"/>
      <c r="BPI786" s="10"/>
      <c r="BPJ786" s="10"/>
      <c r="BPK786" s="10"/>
      <c r="BPL786" s="10"/>
      <c r="BPM786" s="10"/>
      <c r="BPN786" s="10"/>
      <c r="BPO786" s="10"/>
      <c r="BPP786" s="10"/>
      <c r="BPQ786" s="10"/>
      <c r="BPR786" s="10"/>
      <c r="BPS786" s="10"/>
      <c r="BPT786" s="10"/>
      <c r="BPU786" s="10"/>
      <c r="BPV786" s="10"/>
      <c r="BPW786" s="10"/>
      <c r="BPX786" s="10"/>
      <c r="BPY786" s="10"/>
      <c r="BPZ786" s="10"/>
      <c r="BQA786" s="10"/>
      <c r="BQB786" s="10"/>
      <c r="BQC786" s="10"/>
      <c r="BQD786" s="10"/>
      <c r="BQE786" s="10"/>
      <c r="BQF786" s="10"/>
      <c r="BQG786" s="10"/>
      <c r="BQH786" s="10"/>
      <c r="BQI786" s="10"/>
      <c r="BQJ786" s="10"/>
      <c r="BQK786" s="10"/>
      <c r="BQL786" s="10"/>
      <c r="BQM786" s="10"/>
      <c r="BQN786" s="10"/>
      <c r="BQO786" s="10"/>
      <c r="BQP786" s="10"/>
      <c r="BQQ786" s="10"/>
      <c r="BQR786" s="10"/>
      <c r="BQS786" s="10"/>
      <c r="BQT786" s="10"/>
      <c r="BQU786" s="10"/>
      <c r="BQV786" s="10"/>
      <c r="BQW786" s="10"/>
      <c r="BQX786" s="10"/>
      <c r="BQY786" s="10"/>
      <c r="BQZ786" s="10"/>
      <c r="BRA786" s="10"/>
      <c r="BRB786" s="10"/>
      <c r="BRC786" s="10"/>
      <c r="BRD786" s="10"/>
      <c r="BRE786" s="10"/>
      <c r="BRF786" s="10"/>
      <c r="BRG786" s="10"/>
      <c r="BRH786" s="10"/>
      <c r="BRI786" s="10"/>
      <c r="BRJ786" s="10"/>
      <c r="BRK786" s="10"/>
      <c r="BRL786" s="10"/>
      <c r="BRM786" s="10"/>
      <c r="BRN786" s="10"/>
      <c r="BRO786" s="10"/>
      <c r="BRP786" s="10"/>
      <c r="BRQ786" s="10"/>
      <c r="BRR786" s="10"/>
      <c r="BRS786" s="10"/>
      <c r="BRT786" s="10"/>
      <c r="BRU786" s="10"/>
      <c r="BRV786" s="10"/>
      <c r="BRW786" s="10"/>
      <c r="BRX786" s="10"/>
      <c r="BRY786" s="10"/>
      <c r="BRZ786" s="10"/>
      <c r="BSA786" s="10"/>
      <c r="BSB786" s="10"/>
      <c r="BSC786" s="10"/>
      <c r="BSD786" s="10"/>
      <c r="BSE786" s="10"/>
      <c r="BSF786" s="10"/>
      <c r="BSG786" s="10"/>
      <c r="BSH786" s="10"/>
      <c r="BSI786" s="10"/>
      <c r="BSJ786" s="10"/>
      <c r="BSK786" s="10"/>
      <c r="BSL786" s="10"/>
      <c r="BSM786" s="10"/>
      <c r="BSN786" s="10"/>
      <c r="BSO786" s="10"/>
      <c r="BSP786" s="10"/>
      <c r="BSQ786" s="10"/>
      <c r="BSR786" s="10"/>
      <c r="BSS786" s="10"/>
      <c r="BST786" s="10"/>
      <c r="BSU786" s="10"/>
      <c r="BSV786" s="10"/>
      <c r="BSW786" s="10"/>
      <c r="BSX786" s="10"/>
      <c r="BSY786" s="10"/>
      <c r="BSZ786" s="10"/>
      <c r="BTA786" s="10"/>
      <c r="BTB786" s="10"/>
      <c r="BTC786" s="10"/>
      <c r="BTD786" s="10"/>
      <c r="BTE786" s="10"/>
      <c r="BTF786" s="10"/>
      <c r="BTG786" s="10"/>
      <c r="BTH786" s="10"/>
      <c r="BTI786" s="10"/>
      <c r="BTJ786" s="10"/>
      <c r="BTK786" s="10"/>
      <c r="BTL786" s="10"/>
      <c r="BTM786" s="10"/>
      <c r="BTN786" s="10"/>
      <c r="BTO786" s="10"/>
      <c r="BTP786" s="10"/>
      <c r="BTQ786" s="10"/>
      <c r="BTR786" s="10"/>
      <c r="BTS786" s="10"/>
      <c r="BTT786" s="10"/>
    </row>
    <row r="787" spans="1:1892" s="9" customFormat="1" ht="35.1" customHeight="1">
      <c r="A787" s="1462"/>
      <c r="B787" s="503"/>
      <c r="C787" s="941"/>
      <c r="D787" s="546"/>
      <c r="E787" s="547"/>
      <c r="F787" s="548"/>
      <c r="G787" s="542"/>
      <c r="H787" s="542"/>
      <c r="I787" s="542"/>
      <c r="J787" s="941"/>
      <c r="K787" s="941"/>
      <c r="L787" s="131">
        <v>117</v>
      </c>
      <c r="M787" s="231">
        <v>232</v>
      </c>
      <c r="N787" s="132">
        <v>0</v>
      </c>
      <c r="O787" s="132">
        <v>0</v>
      </c>
      <c r="P787" s="561"/>
      <c r="Q787" s="561"/>
      <c r="R787" s="561"/>
      <c r="S787" s="1002"/>
      <c r="T787" s="806"/>
      <c r="U787" s="806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  <c r="EF787" s="10"/>
      <c r="EG787" s="10"/>
      <c r="EH787" s="10"/>
      <c r="EI787" s="10"/>
      <c r="EJ787" s="10"/>
      <c r="EK787" s="10"/>
      <c r="EL787" s="10"/>
      <c r="EM787" s="10"/>
      <c r="EN787" s="10"/>
      <c r="EO787" s="10"/>
      <c r="EP787" s="10"/>
      <c r="EQ787" s="10"/>
      <c r="ER787" s="10"/>
      <c r="ES787" s="10"/>
      <c r="ET787" s="10"/>
      <c r="EU787" s="10"/>
      <c r="EV787" s="10"/>
      <c r="EW787" s="10"/>
      <c r="EX787" s="10"/>
      <c r="EY787" s="10"/>
      <c r="EZ787" s="10"/>
      <c r="FA787" s="10"/>
      <c r="FB787" s="10"/>
      <c r="FC787" s="10"/>
      <c r="FD787" s="10"/>
      <c r="FE787" s="10"/>
      <c r="FF787" s="10"/>
      <c r="FG787" s="10"/>
      <c r="FH787" s="10"/>
      <c r="FI787" s="10"/>
      <c r="FJ787" s="10"/>
      <c r="FK787" s="10"/>
      <c r="FL787" s="10"/>
      <c r="FM787" s="10"/>
      <c r="FN787" s="10"/>
      <c r="FO787" s="10"/>
      <c r="FP787" s="10"/>
      <c r="FQ787" s="10"/>
      <c r="FR787" s="10"/>
      <c r="FS787" s="10"/>
      <c r="FT787" s="10"/>
      <c r="FU787" s="10"/>
      <c r="FV787" s="10"/>
      <c r="FW787" s="10"/>
      <c r="FX787" s="10"/>
      <c r="FY787" s="10"/>
      <c r="FZ787" s="10"/>
      <c r="GA787" s="10"/>
      <c r="GB787" s="10"/>
      <c r="GC787" s="10"/>
      <c r="GD787" s="10"/>
      <c r="GE787" s="10"/>
      <c r="GF787" s="10"/>
      <c r="GG787" s="10"/>
      <c r="GH787" s="10"/>
      <c r="GI787" s="10"/>
      <c r="GJ787" s="10"/>
      <c r="GK787" s="10"/>
      <c r="GL787" s="10"/>
      <c r="GM787" s="10"/>
      <c r="GN787" s="10"/>
      <c r="GO787" s="10"/>
      <c r="GP787" s="10"/>
      <c r="GQ787" s="10"/>
      <c r="GR787" s="10"/>
      <c r="GS787" s="10"/>
      <c r="GT787" s="10"/>
      <c r="GU787" s="10"/>
      <c r="GV787" s="10"/>
      <c r="GW787" s="10"/>
      <c r="GX787" s="10"/>
      <c r="GY787" s="10"/>
      <c r="GZ787" s="10"/>
      <c r="HA787" s="10"/>
      <c r="HB787" s="10"/>
      <c r="HC787" s="10"/>
      <c r="HD787" s="10"/>
      <c r="HE787" s="10"/>
      <c r="HF787" s="10"/>
      <c r="HG787" s="10"/>
      <c r="HH787" s="10"/>
      <c r="HI787" s="10"/>
      <c r="HJ787" s="10"/>
      <c r="HK787" s="10"/>
      <c r="HL787" s="10"/>
      <c r="HM787" s="10"/>
      <c r="HN787" s="10"/>
      <c r="HO787" s="10"/>
      <c r="HP787" s="10"/>
      <c r="HQ787" s="10"/>
      <c r="HR787" s="10"/>
      <c r="HS787" s="10"/>
      <c r="HT787" s="10"/>
      <c r="HU787" s="10"/>
      <c r="HV787" s="10"/>
      <c r="HW787" s="10"/>
      <c r="HX787" s="10"/>
      <c r="HY787" s="10"/>
      <c r="HZ787" s="10"/>
      <c r="IA787" s="10"/>
      <c r="IB787" s="10"/>
      <c r="IC787" s="10"/>
      <c r="ID787" s="10"/>
      <c r="IE787" s="10"/>
      <c r="IF787" s="10"/>
      <c r="IG787" s="10"/>
      <c r="IH787" s="10"/>
      <c r="II787" s="10"/>
      <c r="IJ787" s="10"/>
      <c r="IK787" s="10"/>
      <c r="IL787" s="10"/>
      <c r="IM787" s="10"/>
      <c r="IN787" s="10"/>
      <c r="IO787" s="10"/>
      <c r="IP787" s="10"/>
      <c r="IQ787" s="10"/>
      <c r="IR787" s="10"/>
      <c r="IS787" s="10"/>
      <c r="IT787" s="10"/>
      <c r="IU787" s="10"/>
      <c r="IV787" s="10"/>
      <c r="IW787" s="10"/>
      <c r="IX787" s="10"/>
      <c r="IY787" s="10"/>
      <c r="IZ787" s="10"/>
      <c r="JA787" s="10"/>
      <c r="JB787" s="10"/>
      <c r="JC787" s="10"/>
      <c r="JD787" s="10"/>
      <c r="JE787" s="10"/>
      <c r="JF787" s="10"/>
      <c r="JG787" s="10"/>
      <c r="JH787" s="10"/>
      <c r="JI787" s="10"/>
      <c r="JJ787" s="10"/>
      <c r="JK787" s="10"/>
      <c r="JL787" s="10"/>
      <c r="JM787" s="10"/>
      <c r="JN787" s="10"/>
      <c r="JO787" s="10"/>
      <c r="JP787" s="10"/>
      <c r="JQ787" s="10"/>
      <c r="JR787" s="10"/>
      <c r="JS787" s="10"/>
      <c r="JT787" s="10"/>
      <c r="JU787" s="10"/>
      <c r="JV787" s="10"/>
      <c r="JW787" s="10"/>
      <c r="JX787" s="10"/>
      <c r="JY787" s="10"/>
      <c r="JZ787" s="10"/>
      <c r="KA787" s="10"/>
      <c r="KB787" s="10"/>
      <c r="KC787" s="10"/>
      <c r="KD787" s="10"/>
      <c r="KE787" s="10"/>
      <c r="KF787" s="10"/>
      <c r="KG787" s="10"/>
      <c r="KH787" s="10"/>
      <c r="KI787" s="10"/>
      <c r="KJ787" s="10"/>
      <c r="KK787" s="10"/>
      <c r="KL787" s="10"/>
      <c r="KM787" s="10"/>
      <c r="KN787" s="10"/>
      <c r="KO787" s="10"/>
      <c r="KP787" s="10"/>
      <c r="KQ787" s="10"/>
      <c r="KR787" s="10"/>
      <c r="KS787" s="10"/>
      <c r="KT787" s="10"/>
      <c r="KU787" s="10"/>
      <c r="KV787" s="10"/>
      <c r="KW787" s="10"/>
      <c r="KX787" s="10"/>
      <c r="KY787" s="10"/>
      <c r="KZ787" s="10"/>
      <c r="LA787" s="10"/>
      <c r="LB787" s="10"/>
      <c r="LC787" s="10"/>
      <c r="LD787" s="10"/>
      <c r="LE787" s="10"/>
      <c r="LF787" s="10"/>
      <c r="LG787" s="10"/>
      <c r="LH787" s="10"/>
      <c r="LI787" s="10"/>
      <c r="LJ787" s="10"/>
      <c r="LK787" s="10"/>
      <c r="LL787" s="10"/>
      <c r="LM787" s="10"/>
      <c r="LN787" s="10"/>
      <c r="LO787" s="10"/>
      <c r="LP787" s="10"/>
      <c r="LQ787" s="10"/>
      <c r="LR787" s="10"/>
      <c r="LS787" s="10"/>
      <c r="LT787" s="10"/>
      <c r="LU787" s="10"/>
      <c r="LV787" s="10"/>
      <c r="LW787" s="10"/>
      <c r="LX787" s="10"/>
      <c r="LY787" s="10"/>
      <c r="LZ787" s="10"/>
      <c r="MA787" s="10"/>
      <c r="MB787" s="10"/>
      <c r="MC787" s="10"/>
      <c r="MD787" s="10"/>
      <c r="ME787" s="10"/>
      <c r="MF787" s="10"/>
      <c r="MG787" s="10"/>
      <c r="MH787" s="10"/>
      <c r="MI787" s="10"/>
      <c r="MJ787" s="10"/>
      <c r="MK787" s="10"/>
      <c r="ML787" s="10"/>
      <c r="MM787" s="10"/>
      <c r="MN787" s="10"/>
      <c r="MO787" s="10"/>
      <c r="MP787" s="10"/>
      <c r="MQ787" s="10"/>
      <c r="MR787" s="10"/>
      <c r="MS787" s="10"/>
      <c r="MT787" s="10"/>
      <c r="MU787" s="10"/>
      <c r="MV787" s="10"/>
      <c r="MW787" s="10"/>
      <c r="MX787" s="10"/>
      <c r="MY787" s="10"/>
      <c r="MZ787" s="10"/>
      <c r="NA787" s="10"/>
      <c r="NB787" s="10"/>
      <c r="NC787" s="10"/>
      <c r="ND787" s="10"/>
      <c r="NE787" s="10"/>
      <c r="NF787" s="10"/>
      <c r="NG787" s="10"/>
      <c r="NH787" s="10"/>
      <c r="NI787" s="10"/>
      <c r="NJ787" s="10"/>
      <c r="NK787" s="10"/>
      <c r="NL787" s="10"/>
      <c r="NM787" s="10"/>
      <c r="NN787" s="10"/>
      <c r="NO787" s="10"/>
      <c r="NP787" s="10"/>
      <c r="NQ787" s="10"/>
      <c r="NR787" s="10"/>
      <c r="NS787" s="10"/>
      <c r="NT787" s="10"/>
      <c r="NU787" s="10"/>
      <c r="NV787" s="10"/>
      <c r="NW787" s="10"/>
      <c r="NX787" s="10"/>
      <c r="NY787" s="10"/>
      <c r="NZ787" s="10"/>
      <c r="OA787" s="10"/>
      <c r="OB787" s="10"/>
      <c r="OC787" s="10"/>
      <c r="OD787" s="10"/>
      <c r="OE787" s="10"/>
      <c r="OF787" s="10"/>
      <c r="OG787" s="10"/>
      <c r="OH787" s="10"/>
      <c r="OI787" s="10"/>
      <c r="OJ787" s="10"/>
      <c r="OK787" s="10"/>
      <c r="OL787" s="10"/>
      <c r="OM787" s="10"/>
      <c r="ON787" s="10"/>
      <c r="OO787" s="10"/>
      <c r="OP787" s="10"/>
      <c r="OQ787" s="10"/>
      <c r="OR787" s="10"/>
      <c r="OS787" s="10"/>
      <c r="OT787" s="10"/>
      <c r="OU787" s="10"/>
      <c r="OV787" s="10"/>
      <c r="OW787" s="10"/>
      <c r="OX787" s="10"/>
      <c r="OY787" s="10"/>
      <c r="OZ787" s="10"/>
      <c r="PA787" s="10"/>
      <c r="PB787" s="10"/>
      <c r="PC787" s="10"/>
      <c r="PD787" s="10"/>
      <c r="PE787" s="10"/>
      <c r="PF787" s="10"/>
      <c r="PG787" s="10"/>
      <c r="PH787" s="10"/>
      <c r="PI787" s="10"/>
      <c r="PJ787" s="10"/>
      <c r="PK787" s="10"/>
      <c r="PL787" s="10"/>
      <c r="PM787" s="10"/>
      <c r="PN787" s="10"/>
      <c r="PO787" s="10"/>
      <c r="PP787" s="10"/>
      <c r="PQ787" s="10"/>
      <c r="PR787" s="10"/>
      <c r="PS787" s="10"/>
      <c r="PT787" s="10"/>
      <c r="PU787" s="10"/>
      <c r="PV787" s="10"/>
      <c r="PW787" s="10"/>
      <c r="PX787" s="10"/>
      <c r="PY787" s="10"/>
      <c r="PZ787" s="10"/>
      <c r="QA787" s="10"/>
      <c r="QB787" s="10"/>
      <c r="QC787" s="10"/>
      <c r="QD787" s="10"/>
      <c r="QE787" s="10"/>
      <c r="QF787" s="10"/>
      <c r="QG787" s="10"/>
      <c r="QH787" s="10"/>
      <c r="QI787" s="10"/>
      <c r="QJ787" s="10"/>
      <c r="QK787" s="10"/>
      <c r="QL787" s="10"/>
      <c r="QM787" s="10"/>
      <c r="QN787" s="10"/>
      <c r="QO787" s="10"/>
      <c r="QP787" s="10"/>
      <c r="QQ787" s="10"/>
      <c r="QR787" s="10"/>
      <c r="QS787" s="10"/>
      <c r="QT787" s="10"/>
      <c r="QU787" s="10"/>
      <c r="QV787" s="10"/>
      <c r="QW787" s="10"/>
      <c r="QX787" s="10"/>
      <c r="QY787" s="10"/>
      <c r="QZ787" s="10"/>
      <c r="RA787" s="10"/>
      <c r="RB787" s="10"/>
      <c r="RC787" s="10"/>
      <c r="RD787" s="10"/>
      <c r="RE787" s="10"/>
      <c r="RF787" s="10"/>
      <c r="RG787" s="10"/>
      <c r="RH787" s="10"/>
      <c r="RI787" s="10"/>
      <c r="RJ787" s="10"/>
      <c r="RK787" s="10"/>
      <c r="RL787" s="10"/>
      <c r="RM787" s="10"/>
      <c r="RN787" s="10"/>
      <c r="RO787" s="10"/>
      <c r="RP787" s="10"/>
      <c r="RQ787" s="10"/>
      <c r="RR787" s="10"/>
      <c r="RS787" s="10"/>
      <c r="RT787" s="10"/>
      <c r="RU787" s="10"/>
      <c r="RV787" s="10"/>
      <c r="RW787" s="10"/>
      <c r="RX787" s="10"/>
      <c r="RY787" s="10"/>
      <c r="RZ787" s="10"/>
      <c r="SA787" s="10"/>
      <c r="SB787" s="10"/>
      <c r="SC787" s="10"/>
      <c r="SD787" s="10"/>
      <c r="SE787" s="10"/>
      <c r="SF787" s="10"/>
      <c r="SG787" s="10"/>
      <c r="SH787" s="10"/>
      <c r="SI787" s="10"/>
      <c r="SJ787" s="10"/>
      <c r="SK787" s="10"/>
      <c r="SL787" s="10"/>
      <c r="SM787" s="10"/>
      <c r="SN787" s="10"/>
      <c r="SO787" s="10"/>
      <c r="SP787" s="10"/>
      <c r="SQ787" s="10"/>
      <c r="SR787" s="10"/>
      <c r="SS787" s="10"/>
      <c r="ST787" s="10"/>
      <c r="SU787" s="10"/>
      <c r="SV787" s="10"/>
      <c r="SW787" s="10"/>
      <c r="SX787" s="10"/>
      <c r="SY787" s="10"/>
      <c r="SZ787" s="10"/>
      <c r="TA787" s="10"/>
      <c r="TB787" s="10"/>
      <c r="TC787" s="10"/>
      <c r="TD787" s="10"/>
      <c r="TE787" s="10"/>
      <c r="TF787" s="10"/>
      <c r="TG787" s="10"/>
      <c r="TH787" s="10"/>
      <c r="TI787" s="10"/>
      <c r="TJ787" s="10"/>
      <c r="TK787" s="10"/>
      <c r="TL787" s="10"/>
      <c r="TM787" s="10"/>
      <c r="TN787" s="10"/>
      <c r="TO787" s="10"/>
      <c r="TP787" s="10"/>
      <c r="TQ787" s="10"/>
      <c r="TR787" s="10"/>
      <c r="TS787" s="10"/>
      <c r="TT787" s="10"/>
      <c r="TU787" s="10"/>
      <c r="TV787" s="10"/>
      <c r="TW787" s="10"/>
      <c r="TX787" s="10"/>
      <c r="TY787" s="10"/>
      <c r="TZ787" s="10"/>
      <c r="UA787" s="10"/>
      <c r="UB787" s="10"/>
      <c r="UC787" s="10"/>
      <c r="UD787" s="10"/>
      <c r="UE787" s="10"/>
      <c r="UF787" s="10"/>
      <c r="UG787" s="10"/>
      <c r="UH787" s="10"/>
      <c r="UI787" s="10"/>
      <c r="UJ787" s="10"/>
      <c r="UK787" s="10"/>
      <c r="UL787" s="10"/>
      <c r="UM787" s="10"/>
      <c r="UN787" s="10"/>
      <c r="UO787" s="10"/>
      <c r="UP787" s="10"/>
      <c r="UQ787" s="10"/>
      <c r="UR787" s="10"/>
      <c r="US787" s="10"/>
      <c r="UT787" s="10"/>
      <c r="UU787" s="10"/>
      <c r="UV787" s="10"/>
      <c r="UW787" s="10"/>
      <c r="UX787" s="10"/>
      <c r="UY787" s="10"/>
      <c r="UZ787" s="10"/>
      <c r="VA787" s="10"/>
      <c r="VB787" s="10"/>
      <c r="VC787" s="10"/>
      <c r="VD787" s="10"/>
      <c r="VE787" s="10"/>
      <c r="VF787" s="10"/>
      <c r="VG787" s="10"/>
      <c r="VH787" s="10"/>
      <c r="VI787" s="10"/>
      <c r="VJ787" s="10"/>
      <c r="VK787" s="10"/>
      <c r="VL787" s="10"/>
      <c r="VM787" s="10"/>
      <c r="VN787" s="10"/>
      <c r="VO787" s="10"/>
      <c r="VP787" s="10"/>
      <c r="VQ787" s="10"/>
      <c r="VR787" s="10"/>
      <c r="VS787" s="10"/>
      <c r="VT787" s="10"/>
      <c r="VU787" s="10"/>
      <c r="VV787" s="10"/>
      <c r="VW787" s="10"/>
      <c r="VX787" s="10"/>
      <c r="VY787" s="10"/>
      <c r="VZ787" s="10"/>
      <c r="WA787" s="10"/>
      <c r="WB787" s="10"/>
      <c r="WC787" s="10"/>
      <c r="WD787" s="10"/>
      <c r="WE787" s="10"/>
      <c r="WF787" s="10"/>
      <c r="WG787" s="10"/>
      <c r="WH787" s="10"/>
      <c r="WI787" s="10"/>
      <c r="WJ787" s="10"/>
      <c r="WK787" s="10"/>
      <c r="WL787" s="10"/>
      <c r="WM787" s="10"/>
      <c r="WN787" s="10"/>
      <c r="WO787" s="10"/>
      <c r="WP787" s="10"/>
      <c r="WQ787" s="10"/>
      <c r="WR787" s="10"/>
      <c r="WS787" s="10"/>
      <c r="WT787" s="10"/>
      <c r="WU787" s="10"/>
      <c r="WV787" s="10"/>
      <c r="WW787" s="10"/>
      <c r="WX787" s="10"/>
      <c r="WY787" s="10"/>
      <c r="WZ787" s="10"/>
      <c r="XA787" s="10"/>
      <c r="XB787" s="10"/>
      <c r="XC787" s="10"/>
      <c r="XD787" s="10"/>
      <c r="XE787" s="10"/>
      <c r="XF787" s="10"/>
      <c r="XG787" s="10"/>
      <c r="XH787" s="10"/>
      <c r="XI787" s="10"/>
      <c r="XJ787" s="10"/>
      <c r="XK787" s="10"/>
      <c r="XL787" s="10"/>
      <c r="XM787" s="10"/>
      <c r="XN787" s="10"/>
      <c r="XO787" s="10"/>
      <c r="XP787" s="10"/>
      <c r="XQ787" s="10"/>
      <c r="XR787" s="10"/>
      <c r="XS787" s="10"/>
      <c r="XT787" s="10"/>
      <c r="XU787" s="10"/>
      <c r="XV787" s="10"/>
      <c r="XW787" s="10"/>
      <c r="XX787" s="10"/>
      <c r="XY787" s="10"/>
      <c r="XZ787" s="10"/>
      <c r="YA787" s="10"/>
      <c r="YB787" s="10"/>
      <c r="YC787" s="10"/>
      <c r="YD787" s="10"/>
      <c r="YE787" s="10"/>
      <c r="YF787" s="10"/>
      <c r="YG787" s="10"/>
      <c r="YH787" s="10"/>
      <c r="YI787" s="10"/>
      <c r="YJ787" s="10"/>
      <c r="YK787" s="10"/>
      <c r="YL787" s="10"/>
      <c r="YM787" s="10"/>
      <c r="YN787" s="10"/>
      <c r="YO787" s="10"/>
      <c r="YP787" s="10"/>
      <c r="YQ787" s="10"/>
      <c r="YR787" s="10"/>
      <c r="YS787" s="10"/>
      <c r="YT787" s="10"/>
      <c r="YU787" s="10"/>
      <c r="YV787" s="10"/>
      <c r="YW787" s="10"/>
      <c r="YX787" s="10"/>
      <c r="YY787" s="10"/>
      <c r="YZ787" s="10"/>
      <c r="ZA787" s="10"/>
      <c r="ZB787" s="10"/>
      <c r="ZC787" s="10"/>
      <c r="ZD787" s="10"/>
      <c r="ZE787" s="10"/>
      <c r="ZF787" s="10"/>
      <c r="ZG787" s="10"/>
      <c r="ZH787" s="10"/>
      <c r="ZI787" s="10"/>
      <c r="ZJ787" s="10"/>
      <c r="ZK787" s="10"/>
      <c r="ZL787" s="10"/>
      <c r="ZM787" s="10"/>
      <c r="ZN787" s="10"/>
      <c r="ZO787" s="10"/>
      <c r="ZP787" s="10"/>
      <c r="ZQ787" s="10"/>
      <c r="ZR787" s="10"/>
      <c r="ZS787" s="10"/>
      <c r="ZT787" s="10"/>
      <c r="ZU787" s="10"/>
      <c r="ZV787" s="10"/>
      <c r="ZW787" s="10"/>
      <c r="ZX787" s="10"/>
      <c r="ZY787" s="10"/>
      <c r="ZZ787" s="10"/>
      <c r="AAA787" s="10"/>
      <c r="AAB787" s="10"/>
      <c r="AAC787" s="10"/>
      <c r="AAD787" s="10"/>
      <c r="AAE787" s="10"/>
      <c r="AAF787" s="10"/>
      <c r="AAG787" s="10"/>
      <c r="AAH787" s="10"/>
      <c r="AAI787" s="10"/>
      <c r="AAJ787" s="10"/>
      <c r="AAK787" s="10"/>
      <c r="AAL787" s="10"/>
      <c r="AAM787" s="10"/>
      <c r="AAN787" s="10"/>
      <c r="AAO787" s="10"/>
      <c r="AAP787" s="10"/>
      <c r="AAQ787" s="10"/>
      <c r="AAR787" s="10"/>
      <c r="AAS787" s="10"/>
      <c r="AAT787" s="10"/>
      <c r="AAU787" s="10"/>
      <c r="AAV787" s="10"/>
      <c r="AAW787" s="10"/>
      <c r="AAX787" s="10"/>
      <c r="AAY787" s="10"/>
      <c r="AAZ787" s="10"/>
      <c r="ABA787" s="10"/>
      <c r="ABB787" s="10"/>
      <c r="ABC787" s="10"/>
      <c r="ABD787" s="10"/>
      <c r="ABE787" s="10"/>
      <c r="ABF787" s="10"/>
      <c r="ABG787" s="10"/>
      <c r="ABH787" s="10"/>
      <c r="ABI787" s="10"/>
      <c r="ABJ787" s="10"/>
      <c r="ABK787" s="10"/>
      <c r="ABL787" s="10"/>
      <c r="ABM787" s="10"/>
      <c r="ABN787" s="10"/>
      <c r="ABO787" s="10"/>
      <c r="ABP787" s="10"/>
      <c r="ABQ787" s="10"/>
      <c r="ABR787" s="10"/>
      <c r="ABS787" s="10"/>
      <c r="ABT787" s="10"/>
      <c r="ABU787" s="10"/>
      <c r="ABV787" s="10"/>
      <c r="ABW787" s="10"/>
      <c r="ABX787" s="10"/>
      <c r="ABY787" s="10"/>
      <c r="ABZ787" s="10"/>
      <c r="ACA787" s="10"/>
      <c r="ACB787" s="10"/>
      <c r="ACC787" s="10"/>
      <c r="ACD787" s="10"/>
      <c r="ACE787" s="10"/>
      <c r="ACF787" s="10"/>
      <c r="ACG787" s="10"/>
      <c r="ACH787" s="10"/>
      <c r="ACI787" s="10"/>
      <c r="ACJ787" s="10"/>
      <c r="ACK787" s="10"/>
      <c r="ACL787" s="10"/>
      <c r="ACM787" s="10"/>
      <c r="ACN787" s="10"/>
      <c r="ACO787" s="10"/>
      <c r="ACP787" s="10"/>
      <c r="ACQ787" s="10"/>
      <c r="ACR787" s="10"/>
      <c r="ACS787" s="10"/>
      <c r="ACT787" s="10"/>
      <c r="ACU787" s="10"/>
      <c r="ACV787" s="10"/>
      <c r="ACW787" s="10"/>
      <c r="ACX787" s="10"/>
      <c r="ACY787" s="10"/>
      <c r="ACZ787" s="10"/>
      <c r="ADA787" s="10"/>
      <c r="ADB787" s="10"/>
      <c r="ADC787" s="10"/>
      <c r="ADD787" s="10"/>
      <c r="ADE787" s="10"/>
      <c r="ADF787" s="10"/>
      <c r="ADG787" s="10"/>
      <c r="ADH787" s="10"/>
      <c r="ADI787" s="10"/>
      <c r="ADJ787" s="10"/>
      <c r="ADK787" s="10"/>
      <c r="ADL787" s="10"/>
      <c r="ADM787" s="10"/>
      <c r="ADN787" s="10"/>
      <c r="ADO787" s="10"/>
      <c r="ADP787" s="10"/>
      <c r="ADQ787" s="10"/>
      <c r="ADR787" s="10"/>
      <c r="ADS787" s="10"/>
      <c r="ADT787" s="10"/>
      <c r="ADU787" s="10"/>
      <c r="ADV787" s="10"/>
      <c r="ADW787" s="10"/>
      <c r="ADX787" s="10"/>
      <c r="ADY787" s="10"/>
      <c r="ADZ787" s="10"/>
      <c r="AEA787" s="10"/>
      <c r="AEB787" s="10"/>
      <c r="AEC787" s="10"/>
      <c r="AED787" s="10"/>
      <c r="AEE787" s="10"/>
      <c r="AEF787" s="10"/>
      <c r="AEG787" s="10"/>
      <c r="AEH787" s="10"/>
      <c r="AEI787" s="10"/>
      <c r="AEJ787" s="10"/>
      <c r="AEK787" s="10"/>
      <c r="AEL787" s="10"/>
      <c r="AEM787" s="10"/>
      <c r="AEN787" s="10"/>
      <c r="AEO787" s="10"/>
      <c r="AEP787" s="10"/>
      <c r="AEQ787" s="10"/>
      <c r="AER787" s="10"/>
      <c r="AES787" s="10"/>
      <c r="AET787" s="10"/>
      <c r="AEU787" s="10"/>
      <c r="AEV787" s="10"/>
      <c r="AEW787" s="10"/>
      <c r="AEX787" s="10"/>
      <c r="AEY787" s="10"/>
      <c r="AEZ787" s="10"/>
      <c r="AFA787" s="10"/>
      <c r="AFB787" s="10"/>
      <c r="AFC787" s="10"/>
      <c r="AFD787" s="10"/>
      <c r="AFE787" s="10"/>
      <c r="AFF787" s="10"/>
      <c r="AFG787" s="10"/>
      <c r="AFH787" s="10"/>
      <c r="AFI787" s="10"/>
      <c r="AFJ787" s="10"/>
      <c r="AFK787" s="10"/>
      <c r="AFL787" s="10"/>
      <c r="AFM787" s="10"/>
      <c r="AFN787" s="10"/>
      <c r="AFO787" s="10"/>
      <c r="AFP787" s="10"/>
      <c r="AFQ787" s="10"/>
      <c r="AFR787" s="10"/>
      <c r="AFS787" s="10"/>
      <c r="AFT787" s="10"/>
      <c r="AFU787" s="10"/>
      <c r="AFV787" s="10"/>
      <c r="AFW787" s="10"/>
      <c r="AFX787" s="10"/>
      <c r="AFY787" s="10"/>
      <c r="AFZ787" s="10"/>
      <c r="AGA787" s="10"/>
      <c r="AGB787" s="10"/>
      <c r="AGC787" s="10"/>
      <c r="AGD787" s="10"/>
      <c r="AGE787" s="10"/>
      <c r="AGF787" s="10"/>
      <c r="AGG787" s="10"/>
      <c r="AGH787" s="10"/>
      <c r="AGI787" s="10"/>
      <c r="AGJ787" s="10"/>
      <c r="AGK787" s="10"/>
      <c r="AGL787" s="10"/>
      <c r="AGM787" s="10"/>
      <c r="AGN787" s="10"/>
      <c r="AGO787" s="10"/>
      <c r="AGP787" s="10"/>
      <c r="AGQ787" s="10"/>
      <c r="AGR787" s="10"/>
      <c r="AGS787" s="10"/>
      <c r="AGT787" s="10"/>
      <c r="AGU787" s="10"/>
      <c r="AGV787" s="10"/>
      <c r="AGW787" s="10"/>
      <c r="AGX787" s="10"/>
      <c r="AGY787" s="10"/>
      <c r="AGZ787" s="10"/>
      <c r="AHA787" s="10"/>
      <c r="AHB787" s="10"/>
      <c r="AHC787" s="10"/>
      <c r="AHD787" s="10"/>
      <c r="AHE787" s="10"/>
      <c r="AHF787" s="10"/>
      <c r="AHG787" s="10"/>
      <c r="AHH787" s="10"/>
      <c r="AHI787" s="10"/>
      <c r="AHJ787" s="10"/>
      <c r="AHK787" s="10"/>
      <c r="AHL787" s="10"/>
      <c r="AHM787" s="10"/>
      <c r="AHN787" s="10"/>
      <c r="AHO787" s="10"/>
      <c r="AHP787" s="10"/>
      <c r="AHQ787" s="10"/>
      <c r="AHR787" s="10"/>
      <c r="AHS787" s="10"/>
      <c r="AHT787" s="10"/>
      <c r="AHU787" s="10"/>
      <c r="AHV787" s="10"/>
      <c r="AHW787" s="10"/>
      <c r="AHX787" s="10"/>
      <c r="AHY787" s="10"/>
      <c r="AHZ787" s="10"/>
      <c r="AIA787" s="10"/>
      <c r="AIB787" s="10"/>
      <c r="AIC787" s="10"/>
      <c r="AID787" s="10"/>
      <c r="AIE787" s="10"/>
      <c r="AIF787" s="10"/>
      <c r="AIG787" s="10"/>
      <c r="AIH787" s="10"/>
      <c r="AII787" s="10"/>
      <c r="AIJ787" s="10"/>
      <c r="AIK787" s="10"/>
      <c r="AIL787" s="10"/>
      <c r="AIM787" s="10"/>
      <c r="AIN787" s="10"/>
      <c r="AIO787" s="10"/>
      <c r="AIP787" s="10"/>
      <c r="AIQ787" s="10"/>
      <c r="AIR787" s="10"/>
      <c r="AIS787" s="10"/>
      <c r="AIT787" s="10"/>
      <c r="AIU787" s="10"/>
      <c r="AIV787" s="10"/>
      <c r="AIW787" s="10"/>
      <c r="AIX787" s="10"/>
      <c r="AIY787" s="10"/>
      <c r="AIZ787" s="10"/>
      <c r="AJA787" s="10"/>
      <c r="AJB787" s="10"/>
      <c r="AJC787" s="10"/>
      <c r="AJD787" s="10"/>
      <c r="AJE787" s="10"/>
      <c r="AJF787" s="10"/>
      <c r="AJG787" s="10"/>
      <c r="AJH787" s="10"/>
      <c r="AJI787" s="10"/>
      <c r="AJJ787" s="10"/>
      <c r="AJK787" s="10"/>
      <c r="AJL787" s="10"/>
      <c r="AJM787" s="10"/>
      <c r="AJN787" s="10"/>
      <c r="AJO787" s="10"/>
      <c r="AJP787" s="10"/>
      <c r="AJQ787" s="10"/>
      <c r="AJR787" s="10"/>
      <c r="AJS787" s="10"/>
      <c r="AJT787" s="10"/>
      <c r="AJU787" s="10"/>
      <c r="AJV787" s="10"/>
      <c r="AJW787" s="10"/>
      <c r="AJX787" s="10"/>
      <c r="AJY787" s="10"/>
      <c r="AJZ787" s="10"/>
      <c r="AKA787" s="10"/>
      <c r="AKB787" s="10"/>
      <c r="AKC787" s="10"/>
      <c r="AKD787" s="10"/>
      <c r="AKE787" s="10"/>
      <c r="AKF787" s="10"/>
      <c r="AKG787" s="10"/>
      <c r="AKH787" s="10"/>
      <c r="AKI787" s="10"/>
      <c r="AKJ787" s="10"/>
      <c r="AKK787" s="10"/>
      <c r="AKL787" s="10"/>
      <c r="AKM787" s="10"/>
      <c r="AKN787" s="10"/>
      <c r="AKO787" s="10"/>
      <c r="AKP787" s="10"/>
      <c r="AKQ787" s="10"/>
      <c r="AKR787" s="10"/>
      <c r="AKS787" s="10"/>
      <c r="AKT787" s="10"/>
      <c r="AKU787" s="10"/>
      <c r="AKV787" s="10"/>
      <c r="AKW787" s="10"/>
      <c r="AKX787" s="10"/>
      <c r="AKY787" s="10"/>
      <c r="AKZ787" s="10"/>
      <c r="ALA787" s="10"/>
      <c r="ALB787" s="10"/>
      <c r="ALC787" s="10"/>
      <c r="ALD787" s="10"/>
      <c r="ALE787" s="10"/>
      <c r="ALF787" s="10"/>
      <c r="ALG787" s="10"/>
      <c r="ALH787" s="10"/>
      <c r="ALI787" s="10"/>
      <c r="ALJ787" s="10"/>
      <c r="ALK787" s="10"/>
      <c r="ALL787" s="10"/>
      <c r="ALM787" s="10"/>
      <c r="ALN787" s="10"/>
      <c r="ALO787" s="10"/>
      <c r="ALP787" s="10"/>
      <c r="ALQ787" s="10"/>
      <c r="ALR787" s="10"/>
      <c r="ALS787" s="10"/>
      <c r="ALT787" s="10"/>
      <c r="ALU787" s="10"/>
      <c r="ALV787" s="10"/>
      <c r="ALW787" s="10"/>
      <c r="ALX787" s="10"/>
      <c r="ALY787" s="10"/>
      <c r="ALZ787" s="10"/>
      <c r="AMA787" s="10"/>
      <c r="AMB787" s="10"/>
      <c r="AMC787" s="10"/>
      <c r="AMD787" s="10"/>
      <c r="AME787" s="10"/>
      <c r="AMF787" s="10"/>
      <c r="AMG787" s="10"/>
      <c r="AMH787" s="10"/>
      <c r="AMI787" s="10"/>
      <c r="AMJ787" s="10"/>
      <c r="AMK787" s="10"/>
      <c r="AML787" s="10"/>
      <c r="AMM787" s="10"/>
      <c r="AMN787" s="10"/>
      <c r="AMO787" s="10"/>
      <c r="AMP787" s="10"/>
      <c r="AMQ787" s="10"/>
      <c r="AMR787" s="10"/>
      <c r="AMS787" s="10"/>
      <c r="AMT787" s="10"/>
      <c r="AMU787" s="10"/>
      <c r="AMV787" s="10"/>
      <c r="AMW787" s="10"/>
      <c r="AMX787" s="10"/>
      <c r="AMY787" s="10"/>
      <c r="AMZ787" s="10"/>
      <c r="ANA787" s="10"/>
      <c r="ANB787" s="10"/>
      <c r="ANC787" s="10"/>
      <c r="AND787" s="10"/>
      <c r="ANE787" s="10"/>
      <c r="ANF787" s="10"/>
      <c r="ANG787" s="10"/>
      <c r="ANH787" s="10"/>
      <c r="ANI787" s="10"/>
      <c r="ANJ787" s="10"/>
      <c r="ANK787" s="10"/>
      <c r="ANL787" s="10"/>
      <c r="ANM787" s="10"/>
      <c r="ANN787" s="10"/>
      <c r="ANO787" s="10"/>
      <c r="ANP787" s="10"/>
      <c r="ANQ787" s="10"/>
      <c r="ANR787" s="10"/>
      <c r="ANS787" s="10"/>
      <c r="ANT787" s="10"/>
      <c r="ANU787" s="10"/>
      <c r="ANV787" s="10"/>
      <c r="ANW787" s="10"/>
      <c r="ANX787" s="10"/>
      <c r="ANY787" s="10"/>
      <c r="ANZ787" s="10"/>
      <c r="AOA787" s="10"/>
      <c r="AOB787" s="10"/>
      <c r="AOC787" s="10"/>
      <c r="AOD787" s="10"/>
      <c r="AOE787" s="10"/>
      <c r="AOF787" s="10"/>
      <c r="AOG787" s="10"/>
      <c r="AOH787" s="10"/>
      <c r="AOI787" s="10"/>
      <c r="AOJ787" s="10"/>
      <c r="AOK787" s="10"/>
      <c r="AOL787" s="10"/>
      <c r="AOM787" s="10"/>
      <c r="AON787" s="10"/>
      <c r="AOO787" s="10"/>
      <c r="AOP787" s="10"/>
      <c r="AOQ787" s="10"/>
      <c r="AOR787" s="10"/>
      <c r="AOS787" s="10"/>
      <c r="AOT787" s="10"/>
      <c r="AOU787" s="10"/>
      <c r="AOV787" s="10"/>
      <c r="AOW787" s="10"/>
      <c r="AOX787" s="10"/>
      <c r="AOY787" s="10"/>
      <c r="AOZ787" s="10"/>
      <c r="APA787" s="10"/>
      <c r="APB787" s="10"/>
      <c r="APC787" s="10"/>
      <c r="APD787" s="10"/>
      <c r="APE787" s="10"/>
      <c r="APF787" s="10"/>
      <c r="APG787" s="10"/>
      <c r="APH787" s="10"/>
      <c r="API787" s="10"/>
      <c r="APJ787" s="10"/>
      <c r="APK787" s="10"/>
      <c r="APL787" s="10"/>
      <c r="APM787" s="10"/>
      <c r="APN787" s="10"/>
      <c r="APO787" s="10"/>
      <c r="APP787" s="10"/>
      <c r="APQ787" s="10"/>
      <c r="APR787" s="10"/>
      <c r="APS787" s="10"/>
      <c r="APT787" s="10"/>
      <c r="APU787" s="10"/>
      <c r="APV787" s="10"/>
      <c r="APW787" s="10"/>
      <c r="APX787" s="10"/>
      <c r="APY787" s="10"/>
      <c r="APZ787" s="10"/>
      <c r="AQA787" s="10"/>
      <c r="AQB787" s="10"/>
      <c r="AQC787" s="10"/>
      <c r="AQD787" s="10"/>
      <c r="AQE787" s="10"/>
      <c r="AQF787" s="10"/>
      <c r="AQG787" s="10"/>
      <c r="AQH787" s="10"/>
      <c r="AQI787" s="10"/>
      <c r="AQJ787" s="10"/>
      <c r="AQK787" s="10"/>
      <c r="AQL787" s="10"/>
      <c r="AQM787" s="10"/>
      <c r="AQN787" s="10"/>
      <c r="AQO787" s="10"/>
      <c r="AQP787" s="10"/>
      <c r="AQQ787" s="10"/>
      <c r="AQR787" s="10"/>
      <c r="AQS787" s="10"/>
      <c r="AQT787" s="10"/>
      <c r="AQU787" s="10"/>
      <c r="AQV787" s="10"/>
      <c r="AQW787" s="10"/>
      <c r="AQX787" s="10"/>
      <c r="AQY787" s="10"/>
      <c r="AQZ787" s="10"/>
      <c r="ARA787" s="10"/>
      <c r="ARB787" s="10"/>
      <c r="ARC787" s="10"/>
      <c r="ARD787" s="10"/>
      <c r="ARE787" s="10"/>
      <c r="ARF787" s="10"/>
      <c r="ARG787" s="10"/>
      <c r="ARH787" s="10"/>
      <c r="ARI787" s="10"/>
      <c r="ARJ787" s="10"/>
      <c r="ARK787" s="10"/>
      <c r="ARL787" s="10"/>
      <c r="ARM787" s="10"/>
      <c r="ARN787" s="10"/>
      <c r="ARO787" s="10"/>
      <c r="ARP787" s="10"/>
      <c r="ARQ787" s="10"/>
      <c r="ARR787" s="10"/>
      <c r="ARS787" s="10"/>
      <c r="ART787" s="10"/>
      <c r="ARU787" s="10"/>
      <c r="ARV787" s="10"/>
      <c r="ARW787" s="10"/>
      <c r="ARX787" s="10"/>
      <c r="ARY787" s="10"/>
      <c r="ARZ787" s="10"/>
      <c r="ASA787" s="10"/>
      <c r="ASB787" s="10"/>
      <c r="ASC787" s="10"/>
      <c r="ASD787" s="10"/>
      <c r="ASE787" s="10"/>
      <c r="ASF787" s="10"/>
      <c r="ASG787" s="10"/>
      <c r="ASH787" s="10"/>
      <c r="ASI787" s="10"/>
      <c r="ASJ787" s="10"/>
      <c r="ASK787" s="10"/>
      <c r="ASL787" s="10"/>
      <c r="ASM787" s="10"/>
      <c r="ASN787" s="10"/>
      <c r="ASO787" s="10"/>
      <c r="ASP787" s="10"/>
      <c r="ASQ787" s="10"/>
      <c r="ASR787" s="10"/>
      <c r="ASS787" s="10"/>
      <c r="AST787" s="10"/>
      <c r="ASU787" s="10"/>
      <c r="ASV787" s="10"/>
      <c r="ASW787" s="10"/>
      <c r="ASX787" s="10"/>
      <c r="ASY787" s="10"/>
      <c r="ASZ787" s="10"/>
      <c r="ATA787" s="10"/>
      <c r="ATB787" s="10"/>
      <c r="ATC787" s="10"/>
      <c r="ATD787" s="10"/>
      <c r="ATE787" s="10"/>
      <c r="ATF787" s="10"/>
      <c r="ATG787" s="10"/>
      <c r="ATH787" s="10"/>
      <c r="ATI787" s="10"/>
      <c r="ATJ787" s="10"/>
      <c r="ATK787" s="10"/>
      <c r="ATL787" s="10"/>
      <c r="ATM787" s="10"/>
      <c r="ATN787" s="10"/>
      <c r="ATO787" s="10"/>
      <c r="ATP787" s="10"/>
      <c r="ATQ787" s="10"/>
      <c r="ATR787" s="10"/>
      <c r="ATS787" s="10"/>
      <c r="ATT787" s="10"/>
      <c r="ATU787" s="10"/>
      <c r="ATV787" s="10"/>
      <c r="ATW787" s="10"/>
      <c r="ATX787" s="10"/>
      <c r="ATY787" s="10"/>
      <c r="ATZ787" s="10"/>
      <c r="AUA787" s="10"/>
      <c r="AUB787" s="10"/>
      <c r="AUC787" s="10"/>
      <c r="AUD787" s="10"/>
      <c r="AUE787" s="10"/>
      <c r="AUF787" s="10"/>
      <c r="AUG787" s="10"/>
      <c r="AUH787" s="10"/>
      <c r="AUI787" s="10"/>
      <c r="AUJ787" s="10"/>
      <c r="AUK787" s="10"/>
      <c r="AUL787" s="10"/>
      <c r="AUM787" s="10"/>
      <c r="AUN787" s="10"/>
      <c r="AUO787" s="10"/>
      <c r="AUP787" s="10"/>
      <c r="AUQ787" s="10"/>
      <c r="AUR787" s="10"/>
      <c r="AUS787" s="10"/>
      <c r="AUT787" s="10"/>
      <c r="AUU787" s="10"/>
      <c r="AUV787" s="10"/>
      <c r="AUW787" s="10"/>
      <c r="AUX787" s="10"/>
      <c r="AUY787" s="10"/>
      <c r="AUZ787" s="10"/>
      <c r="AVA787" s="10"/>
      <c r="AVB787" s="10"/>
      <c r="AVC787" s="10"/>
      <c r="AVD787" s="10"/>
      <c r="AVE787" s="10"/>
      <c r="AVF787" s="10"/>
      <c r="AVG787" s="10"/>
      <c r="AVH787" s="10"/>
      <c r="AVI787" s="10"/>
      <c r="AVJ787" s="10"/>
      <c r="AVK787" s="10"/>
      <c r="AVL787" s="10"/>
      <c r="AVM787" s="10"/>
      <c r="AVN787" s="10"/>
      <c r="AVO787" s="10"/>
      <c r="AVP787" s="10"/>
      <c r="AVQ787" s="10"/>
      <c r="AVR787" s="10"/>
      <c r="AVS787" s="10"/>
      <c r="AVT787" s="10"/>
      <c r="AVU787" s="10"/>
      <c r="AVV787" s="10"/>
      <c r="AVW787" s="10"/>
      <c r="AVX787" s="10"/>
      <c r="AVY787" s="10"/>
      <c r="AVZ787" s="10"/>
      <c r="AWA787" s="10"/>
      <c r="AWB787" s="10"/>
      <c r="AWC787" s="10"/>
      <c r="AWD787" s="10"/>
      <c r="AWE787" s="10"/>
      <c r="AWF787" s="10"/>
      <c r="AWG787" s="10"/>
      <c r="AWH787" s="10"/>
      <c r="AWI787" s="10"/>
      <c r="AWJ787" s="10"/>
      <c r="AWK787" s="10"/>
      <c r="AWL787" s="10"/>
      <c r="AWM787" s="10"/>
      <c r="AWN787" s="10"/>
      <c r="AWO787" s="10"/>
      <c r="AWP787" s="10"/>
      <c r="AWQ787" s="10"/>
      <c r="AWR787" s="10"/>
      <c r="AWS787" s="10"/>
      <c r="AWT787" s="10"/>
      <c r="AWU787" s="10"/>
      <c r="AWV787" s="10"/>
      <c r="AWW787" s="10"/>
      <c r="AWX787" s="10"/>
      <c r="AWY787" s="10"/>
      <c r="AWZ787" s="10"/>
      <c r="AXA787" s="10"/>
      <c r="AXB787" s="10"/>
      <c r="AXC787" s="10"/>
      <c r="AXD787" s="10"/>
      <c r="AXE787" s="10"/>
      <c r="AXF787" s="10"/>
      <c r="AXG787" s="10"/>
      <c r="AXH787" s="10"/>
      <c r="AXI787" s="10"/>
      <c r="AXJ787" s="10"/>
      <c r="AXK787" s="10"/>
      <c r="AXL787" s="10"/>
      <c r="AXM787" s="10"/>
      <c r="AXN787" s="10"/>
      <c r="AXO787" s="10"/>
      <c r="AXP787" s="10"/>
      <c r="AXQ787" s="10"/>
      <c r="AXR787" s="10"/>
      <c r="AXS787" s="10"/>
      <c r="AXT787" s="10"/>
      <c r="AXU787" s="10"/>
      <c r="AXV787" s="10"/>
      <c r="AXW787" s="10"/>
      <c r="AXX787" s="10"/>
      <c r="AXY787" s="10"/>
      <c r="AXZ787" s="10"/>
      <c r="AYA787" s="10"/>
      <c r="AYB787" s="10"/>
      <c r="AYC787" s="10"/>
      <c r="AYD787" s="10"/>
      <c r="AYE787" s="10"/>
      <c r="AYF787" s="10"/>
      <c r="AYG787" s="10"/>
      <c r="AYH787" s="10"/>
      <c r="AYI787" s="10"/>
      <c r="AYJ787" s="10"/>
      <c r="AYK787" s="10"/>
      <c r="AYL787" s="10"/>
      <c r="AYM787" s="10"/>
      <c r="AYN787" s="10"/>
      <c r="AYO787" s="10"/>
      <c r="AYP787" s="10"/>
      <c r="AYQ787" s="10"/>
      <c r="AYR787" s="10"/>
      <c r="AYS787" s="10"/>
      <c r="AYT787" s="10"/>
      <c r="AYU787" s="10"/>
      <c r="AYV787" s="10"/>
      <c r="AYW787" s="10"/>
      <c r="AYX787" s="10"/>
      <c r="AYY787" s="10"/>
      <c r="AYZ787" s="10"/>
      <c r="AZA787" s="10"/>
      <c r="AZB787" s="10"/>
      <c r="AZC787" s="10"/>
      <c r="AZD787" s="10"/>
      <c r="AZE787" s="10"/>
      <c r="AZF787" s="10"/>
      <c r="AZG787" s="10"/>
      <c r="AZH787" s="10"/>
      <c r="AZI787" s="10"/>
      <c r="AZJ787" s="10"/>
      <c r="AZK787" s="10"/>
      <c r="AZL787" s="10"/>
      <c r="AZM787" s="10"/>
      <c r="AZN787" s="10"/>
      <c r="AZO787" s="10"/>
      <c r="AZP787" s="10"/>
      <c r="AZQ787" s="10"/>
      <c r="AZR787" s="10"/>
      <c r="AZS787" s="10"/>
      <c r="AZT787" s="10"/>
      <c r="AZU787" s="10"/>
      <c r="AZV787" s="10"/>
      <c r="AZW787" s="10"/>
      <c r="AZX787" s="10"/>
      <c r="AZY787" s="10"/>
      <c r="AZZ787" s="10"/>
      <c r="BAA787" s="10"/>
      <c r="BAB787" s="10"/>
      <c r="BAC787" s="10"/>
      <c r="BAD787" s="10"/>
      <c r="BAE787" s="10"/>
      <c r="BAF787" s="10"/>
      <c r="BAG787" s="10"/>
      <c r="BAH787" s="10"/>
      <c r="BAI787" s="10"/>
      <c r="BAJ787" s="10"/>
      <c r="BAK787" s="10"/>
      <c r="BAL787" s="10"/>
      <c r="BAM787" s="10"/>
      <c r="BAN787" s="10"/>
      <c r="BAO787" s="10"/>
      <c r="BAP787" s="10"/>
      <c r="BAQ787" s="10"/>
      <c r="BAR787" s="10"/>
      <c r="BAS787" s="10"/>
      <c r="BAT787" s="10"/>
      <c r="BAU787" s="10"/>
      <c r="BAV787" s="10"/>
      <c r="BAW787" s="10"/>
      <c r="BAX787" s="10"/>
      <c r="BAY787" s="10"/>
      <c r="BAZ787" s="10"/>
      <c r="BBA787" s="10"/>
      <c r="BBB787" s="10"/>
      <c r="BBC787" s="10"/>
      <c r="BBD787" s="10"/>
      <c r="BBE787" s="10"/>
      <c r="BBF787" s="10"/>
      <c r="BBG787" s="10"/>
      <c r="BBH787" s="10"/>
      <c r="BBI787" s="10"/>
      <c r="BBJ787" s="10"/>
      <c r="BBK787" s="10"/>
      <c r="BBL787" s="10"/>
      <c r="BBM787" s="10"/>
      <c r="BBN787" s="10"/>
      <c r="BBO787" s="10"/>
      <c r="BBP787" s="10"/>
      <c r="BBQ787" s="10"/>
      <c r="BBR787" s="10"/>
      <c r="BBS787" s="10"/>
      <c r="BBT787" s="10"/>
      <c r="BBU787" s="10"/>
      <c r="BBV787" s="10"/>
      <c r="BBW787" s="10"/>
      <c r="BBX787" s="10"/>
      <c r="BBY787" s="10"/>
      <c r="BBZ787" s="10"/>
      <c r="BCA787" s="10"/>
      <c r="BCB787" s="10"/>
      <c r="BCC787" s="10"/>
      <c r="BCD787" s="10"/>
      <c r="BCE787" s="10"/>
      <c r="BCF787" s="10"/>
      <c r="BCG787" s="10"/>
      <c r="BCH787" s="10"/>
      <c r="BCI787" s="10"/>
      <c r="BCJ787" s="10"/>
      <c r="BCK787" s="10"/>
      <c r="BCL787" s="10"/>
      <c r="BCM787" s="10"/>
      <c r="BCN787" s="10"/>
      <c r="BCO787" s="10"/>
      <c r="BCP787" s="10"/>
      <c r="BCQ787" s="10"/>
      <c r="BCR787" s="10"/>
      <c r="BCS787" s="10"/>
      <c r="BCT787" s="10"/>
      <c r="BCU787" s="10"/>
      <c r="BCV787" s="10"/>
      <c r="BCW787" s="10"/>
      <c r="BCX787" s="10"/>
      <c r="BCY787" s="10"/>
      <c r="BCZ787" s="10"/>
      <c r="BDA787" s="10"/>
      <c r="BDB787" s="10"/>
      <c r="BDC787" s="10"/>
      <c r="BDD787" s="10"/>
      <c r="BDE787" s="10"/>
      <c r="BDF787" s="10"/>
      <c r="BDG787" s="10"/>
      <c r="BDH787" s="10"/>
      <c r="BDI787" s="10"/>
      <c r="BDJ787" s="10"/>
      <c r="BDK787" s="10"/>
      <c r="BDL787" s="10"/>
      <c r="BDM787" s="10"/>
      <c r="BDN787" s="10"/>
      <c r="BDO787" s="10"/>
      <c r="BDP787" s="10"/>
      <c r="BDQ787" s="10"/>
      <c r="BDR787" s="10"/>
      <c r="BDS787" s="10"/>
      <c r="BDT787" s="10"/>
      <c r="BDU787" s="10"/>
      <c r="BDV787" s="10"/>
      <c r="BDW787" s="10"/>
      <c r="BDX787" s="10"/>
      <c r="BDY787" s="10"/>
      <c r="BDZ787" s="10"/>
      <c r="BEA787" s="10"/>
      <c r="BEB787" s="10"/>
      <c r="BEC787" s="10"/>
      <c r="BED787" s="10"/>
      <c r="BEE787" s="10"/>
      <c r="BEF787" s="10"/>
      <c r="BEG787" s="10"/>
      <c r="BEH787" s="10"/>
      <c r="BEI787" s="10"/>
      <c r="BEJ787" s="10"/>
      <c r="BEK787" s="10"/>
      <c r="BEL787" s="10"/>
      <c r="BEM787" s="10"/>
      <c r="BEN787" s="10"/>
      <c r="BEO787" s="10"/>
      <c r="BEP787" s="10"/>
      <c r="BEQ787" s="10"/>
      <c r="BER787" s="10"/>
      <c r="BES787" s="10"/>
      <c r="BET787" s="10"/>
      <c r="BEU787" s="10"/>
      <c r="BEV787" s="10"/>
      <c r="BEW787" s="10"/>
      <c r="BEX787" s="10"/>
      <c r="BEY787" s="10"/>
      <c r="BEZ787" s="10"/>
      <c r="BFA787" s="10"/>
      <c r="BFB787" s="10"/>
      <c r="BFC787" s="10"/>
      <c r="BFD787" s="10"/>
      <c r="BFE787" s="10"/>
      <c r="BFF787" s="10"/>
      <c r="BFG787" s="10"/>
      <c r="BFH787" s="10"/>
      <c r="BFI787" s="10"/>
      <c r="BFJ787" s="10"/>
      <c r="BFK787" s="10"/>
      <c r="BFL787" s="10"/>
      <c r="BFM787" s="10"/>
      <c r="BFN787" s="10"/>
      <c r="BFO787" s="10"/>
      <c r="BFP787" s="10"/>
      <c r="BFQ787" s="10"/>
      <c r="BFR787" s="10"/>
      <c r="BFS787" s="10"/>
      <c r="BFT787" s="10"/>
      <c r="BFU787" s="10"/>
      <c r="BFV787" s="10"/>
      <c r="BFW787" s="10"/>
      <c r="BFX787" s="10"/>
      <c r="BFY787" s="10"/>
      <c r="BFZ787" s="10"/>
      <c r="BGA787" s="10"/>
      <c r="BGB787" s="10"/>
      <c r="BGC787" s="10"/>
      <c r="BGD787" s="10"/>
      <c r="BGE787" s="10"/>
      <c r="BGF787" s="10"/>
      <c r="BGG787" s="10"/>
      <c r="BGH787" s="10"/>
      <c r="BGI787" s="10"/>
      <c r="BGJ787" s="10"/>
      <c r="BGK787" s="10"/>
      <c r="BGL787" s="10"/>
      <c r="BGM787" s="10"/>
      <c r="BGN787" s="10"/>
      <c r="BGO787" s="10"/>
      <c r="BGP787" s="10"/>
      <c r="BGQ787" s="10"/>
      <c r="BGR787" s="10"/>
      <c r="BGS787" s="10"/>
      <c r="BGT787" s="10"/>
      <c r="BGU787" s="10"/>
      <c r="BGV787" s="10"/>
      <c r="BGW787" s="10"/>
      <c r="BGX787" s="10"/>
      <c r="BGY787" s="10"/>
      <c r="BGZ787" s="10"/>
      <c r="BHA787" s="10"/>
      <c r="BHB787" s="10"/>
      <c r="BHC787" s="10"/>
      <c r="BHD787" s="10"/>
      <c r="BHE787" s="10"/>
      <c r="BHF787" s="10"/>
      <c r="BHG787" s="10"/>
      <c r="BHH787" s="10"/>
      <c r="BHI787" s="10"/>
      <c r="BHJ787" s="10"/>
      <c r="BHK787" s="10"/>
      <c r="BHL787" s="10"/>
      <c r="BHM787" s="10"/>
      <c r="BHN787" s="10"/>
      <c r="BHO787" s="10"/>
      <c r="BHP787" s="10"/>
      <c r="BHQ787" s="10"/>
      <c r="BHR787" s="10"/>
      <c r="BHS787" s="10"/>
      <c r="BHT787" s="10"/>
      <c r="BHU787" s="10"/>
      <c r="BHV787" s="10"/>
      <c r="BHW787" s="10"/>
      <c r="BHX787" s="10"/>
      <c r="BHY787" s="10"/>
      <c r="BHZ787" s="10"/>
      <c r="BIA787" s="10"/>
      <c r="BIB787" s="10"/>
      <c r="BIC787" s="10"/>
      <c r="BID787" s="10"/>
      <c r="BIE787" s="10"/>
      <c r="BIF787" s="10"/>
      <c r="BIG787" s="10"/>
      <c r="BIH787" s="10"/>
      <c r="BII787" s="10"/>
      <c r="BIJ787" s="10"/>
      <c r="BIK787" s="10"/>
      <c r="BIL787" s="10"/>
      <c r="BIM787" s="10"/>
      <c r="BIN787" s="10"/>
      <c r="BIO787" s="10"/>
      <c r="BIP787" s="10"/>
      <c r="BIQ787" s="10"/>
      <c r="BIR787" s="10"/>
      <c r="BIS787" s="10"/>
      <c r="BIT787" s="10"/>
      <c r="BIU787" s="10"/>
      <c r="BIV787" s="10"/>
      <c r="BIW787" s="10"/>
      <c r="BIX787" s="10"/>
      <c r="BIY787" s="10"/>
      <c r="BIZ787" s="10"/>
      <c r="BJA787" s="10"/>
      <c r="BJB787" s="10"/>
      <c r="BJC787" s="10"/>
      <c r="BJD787" s="10"/>
      <c r="BJE787" s="10"/>
      <c r="BJF787" s="10"/>
      <c r="BJG787" s="10"/>
      <c r="BJH787" s="10"/>
      <c r="BJI787" s="10"/>
      <c r="BJJ787" s="10"/>
      <c r="BJK787" s="10"/>
      <c r="BJL787" s="10"/>
      <c r="BJM787" s="10"/>
      <c r="BJN787" s="10"/>
      <c r="BJO787" s="10"/>
      <c r="BJP787" s="10"/>
      <c r="BJQ787" s="10"/>
      <c r="BJR787" s="10"/>
      <c r="BJS787" s="10"/>
      <c r="BJT787" s="10"/>
      <c r="BJU787" s="10"/>
      <c r="BJV787" s="10"/>
      <c r="BJW787" s="10"/>
      <c r="BJX787" s="10"/>
      <c r="BJY787" s="10"/>
      <c r="BJZ787" s="10"/>
      <c r="BKA787" s="10"/>
      <c r="BKB787" s="10"/>
      <c r="BKC787" s="10"/>
      <c r="BKD787" s="10"/>
      <c r="BKE787" s="10"/>
      <c r="BKF787" s="10"/>
      <c r="BKG787" s="10"/>
      <c r="BKH787" s="10"/>
      <c r="BKI787" s="10"/>
      <c r="BKJ787" s="10"/>
      <c r="BKK787" s="10"/>
      <c r="BKL787" s="10"/>
      <c r="BKM787" s="10"/>
      <c r="BKN787" s="10"/>
      <c r="BKO787" s="10"/>
      <c r="BKP787" s="10"/>
      <c r="BKQ787" s="10"/>
      <c r="BKR787" s="10"/>
      <c r="BKS787" s="10"/>
      <c r="BKT787" s="10"/>
      <c r="BKU787" s="10"/>
      <c r="BKV787" s="10"/>
      <c r="BKW787" s="10"/>
      <c r="BKX787" s="10"/>
      <c r="BKY787" s="10"/>
      <c r="BKZ787" s="10"/>
      <c r="BLA787" s="10"/>
      <c r="BLB787" s="10"/>
      <c r="BLC787" s="10"/>
      <c r="BLD787" s="10"/>
      <c r="BLE787" s="10"/>
      <c r="BLF787" s="10"/>
      <c r="BLG787" s="10"/>
      <c r="BLH787" s="10"/>
      <c r="BLI787" s="10"/>
      <c r="BLJ787" s="10"/>
      <c r="BLK787" s="10"/>
      <c r="BLL787" s="10"/>
      <c r="BLM787" s="10"/>
      <c r="BLN787" s="10"/>
      <c r="BLO787" s="10"/>
      <c r="BLP787" s="10"/>
      <c r="BLQ787" s="10"/>
      <c r="BLR787" s="10"/>
      <c r="BLS787" s="10"/>
      <c r="BLT787" s="10"/>
      <c r="BLU787" s="10"/>
      <c r="BLV787" s="10"/>
      <c r="BLW787" s="10"/>
      <c r="BLX787" s="10"/>
      <c r="BLY787" s="10"/>
      <c r="BLZ787" s="10"/>
      <c r="BMA787" s="10"/>
      <c r="BMB787" s="10"/>
      <c r="BMC787" s="10"/>
      <c r="BMD787" s="10"/>
      <c r="BME787" s="10"/>
      <c r="BMF787" s="10"/>
      <c r="BMG787" s="10"/>
      <c r="BMH787" s="10"/>
      <c r="BMI787" s="10"/>
      <c r="BMJ787" s="10"/>
      <c r="BMK787" s="10"/>
      <c r="BML787" s="10"/>
      <c r="BMM787" s="10"/>
      <c r="BMN787" s="10"/>
      <c r="BMO787" s="10"/>
      <c r="BMP787" s="10"/>
      <c r="BMQ787" s="10"/>
      <c r="BMR787" s="10"/>
      <c r="BMS787" s="10"/>
      <c r="BMT787" s="10"/>
      <c r="BMU787" s="10"/>
      <c r="BMV787" s="10"/>
      <c r="BMW787" s="10"/>
      <c r="BMX787" s="10"/>
      <c r="BMY787" s="10"/>
      <c r="BMZ787" s="10"/>
      <c r="BNA787" s="10"/>
      <c r="BNB787" s="10"/>
      <c r="BNC787" s="10"/>
      <c r="BND787" s="10"/>
      <c r="BNE787" s="10"/>
      <c r="BNF787" s="10"/>
      <c r="BNG787" s="10"/>
      <c r="BNH787" s="10"/>
      <c r="BNI787" s="10"/>
      <c r="BNJ787" s="10"/>
      <c r="BNK787" s="10"/>
      <c r="BNL787" s="10"/>
      <c r="BNM787" s="10"/>
      <c r="BNN787" s="10"/>
      <c r="BNO787" s="10"/>
      <c r="BNP787" s="10"/>
      <c r="BNQ787" s="10"/>
      <c r="BNR787" s="10"/>
      <c r="BNS787" s="10"/>
      <c r="BNT787" s="10"/>
      <c r="BNU787" s="10"/>
      <c r="BNV787" s="10"/>
      <c r="BNW787" s="10"/>
      <c r="BNX787" s="10"/>
      <c r="BNY787" s="10"/>
      <c r="BNZ787" s="10"/>
      <c r="BOA787" s="10"/>
      <c r="BOB787" s="10"/>
      <c r="BOC787" s="10"/>
      <c r="BOD787" s="10"/>
      <c r="BOE787" s="10"/>
      <c r="BOF787" s="10"/>
      <c r="BOG787" s="10"/>
      <c r="BOH787" s="10"/>
      <c r="BOI787" s="10"/>
      <c r="BOJ787" s="10"/>
      <c r="BOK787" s="10"/>
      <c r="BOL787" s="10"/>
      <c r="BOM787" s="10"/>
      <c r="BON787" s="10"/>
      <c r="BOO787" s="10"/>
      <c r="BOP787" s="10"/>
      <c r="BOQ787" s="10"/>
      <c r="BOR787" s="10"/>
      <c r="BOS787" s="10"/>
      <c r="BOT787" s="10"/>
      <c r="BOU787" s="10"/>
      <c r="BOV787" s="10"/>
      <c r="BOW787" s="10"/>
      <c r="BOX787" s="10"/>
      <c r="BOY787" s="10"/>
      <c r="BOZ787" s="10"/>
      <c r="BPA787" s="10"/>
      <c r="BPB787" s="10"/>
      <c r="BPC787" s="10"/>
      <c r="BPD787" s="10"/>
      <c r="BPE787" s="10"/>
      <c r="BPF787" s="10"/>
      <c r="BPG787" s="10"/>
      <c r="BPH787" s="10"/>
      <c r="BPI787" s="10"/>
      <c r="BPJ787" s="10"/>
      <c r="BPK787" s="10"/>
      <c r="BPL787" s="10"/>
      <c r="BPM787" s="10"/>
      <c r="BPN787" s="10"/>
      <c r="BPO787" s="10"/>
      <c r="BPP787" s="10"/>
      <c r="BPQ787" s="10"/>
      <c r="BPR787" s="10"/>
      <c r="BPS787" s="10"/>
      <c r="BPT787" s="10"/>
      <c r="BPU787" s="10"/>
      <c r="BPV787" s="10"/>
      <c r="BPW787" s="10"/>
      <c r="BPX787" s="10"/>
      <c r="BPY787" s="10"/>
      <c r="BPZ787" s="10"/>
      <c r="BQA787" s="10"/>
      <c r="BQB787" s="10"/>
      <c r="BQC787" s="10"/>
      <c r="BQD787" s="10"/>
      <c r="BQE787" s="10"/>
      <c r="BQF787" s="10"/>
      <c r="BQG787" s="10"/>
      <c r="BQH787" s="10"/>
      <c r="BQI787" s="10"/>
      <c r="BQJ787" s="10"/>
      <c r="BQK787" s="10"/>
      <c r="BQL787" s="10"/>
      <c r="BQM787" s="10"/>
      <c r="BQN787" s="10"/>
      <c r="BQO787" s="10"/>
      <c r="BQP787" s="10"/>
      <c r="BQQ787" s="10"/>
      <c r="BQR787" s="10"/>
      <c r="BQS787" s="10"/>
      <c r="BQT787" s="10"/>
      <c r="BQU787" s="10"/>
      <c r="BQV787" s="10"/>
      <c r="BQW787" s="10"/>
      <c r="BQX787" s="10"/>
      <c r="BQY787" s="10"/>
      <c r="BQZ787" s="10"/>
      <c r="BRA787" s="10"/>
      <c r="BRB787" s="10"/>
      <c r="BRC787" s="10"/>
      <c r="BRD787" s="10"/>
      <c r="BRE787" s="10"/>
      <c r="BRF787" s="10"/>
      <c r="BRG787" s="10"/>
      <c r="BRH787" s="10"/>
      <c r="BRI787" s="10"/>
      <c r="BRJ787" s="10"/>
      <c r="BRK787" s="10"/>
      <c r="BRL787" s="10"/>
      <c r="BRM787" s="10"/>
      <c r="BRN787" s="10"/>
      <c r="BRO787" s="10"/>
      <c r="BRP787" s="10"/>
      <c r="BRQ787" s="10"/>
      <c r="BRR787" s="10"/>
      <c r="BRS787" s="10"/>
      <c r="BRT787" s="10"/>
      <c r="BRU787" s="10"/>
      <c r="BRV787" s="10"/>
      <c r="BRW787" s="10"/>
      <c r="BRX787" s="10"/>
      <c r="BRY787" s="10"/>
      <c r="BRZ787" s="10"/>
      <c r="BSA787" s="10"/>
      <c r="BSB787" s="10"/>
      <c r="BSC787" s="10"/>
      <c r="BSD787" s="10"/>
      <c r="BSE787" s="10"/>
      <c r="BSF787" s="10"/>
      <c r="BSG787" s="10"/>
      <c r="BSH787" s="10"/>
      <c r="BSI787" s="10"/>
      <c r="BSJ787" s="10"/>
      <c r="BSK787" s="10"/>
      <c r="BSL787" s="10"/>
      <c r="BSM787" s="10"/>
      <c r="BSN787" s="10"/>
      <c r="BSO787" s="10"/>
      <c r="BSP787" s="10"/>
      <c r="BSQ787" s="10"/>
      <c r="BSR787" s="10"/>
      <c r="BSS787" s="10"/>
      <c r="BST787" s="10"/>
      <c r="BSU787" s="10"/>
      <c r="BSV787" s="10"/>
      <c r="BSW787" s="10"/>
      <c r="BSX787" s="10"/>
      <c r="BSY787" s="10"/>
      <c r="BSZ787" s="10"/>
      <c r="BTA787" s="10"/>
      <c r="BTB787" s="10"/>
      <c r="BTC787" s="10"/>
      <c r="BTD787" s="10"/>
      <c r="BTE787" s="10"/>
      <c r="BTF787" s="10"/>
      <c r="BTG787" s="10"/>
      <c r="BTH787" s="10"/>
      <c r="BTI787" s="10"/>
      <c r="BTJ787" s="10"/>
      <c r="BTK787" s="10"/>
      <c r="BTL787" s="10"/>
      <c r="BTM787" s="10"/>
      <c r="BTN787" s="10"/>
      <c r="BTO787" s="10"/>
      <c r="BTP787" s="10"/>
      <c r="BTQ787" s="10"/>
      <c r="BTR787" s="10"/>
      <c r="BTS787" s="10"/>
      <c r="BTT787" s="10"/>
    </row>
    <row r="788" spans="1:1892" s="9" customFormat="1" ht="35.1" customHeight="1">
      <c r="A788" s="1462"/>
      <c r="B788" s="503"/>
      <c r="C788" s="941"/>
      <c r="D788" s="546"/>
      <c r="E788" s="547"/>
      <c r="F788" s="548"/>
      <c r="G788" s="572"/>
      <c r="H788" s="572"/>
      <c r="I788" s="572"/>
      <c r="J788" s="942"/>
      <c r="K788" s="942"/>
      <c r="L788" s="131">
        <v>195</v>
      </c>
      <c r="M788" s="231">
        <v>2</v>
      </c>
      <c r="N788" s="132">
        <v>2</v>
      </c>
      <c r="O788" s="132">
        <v>2</v>
      </c>
      <c r="P788" s="561"/>
      <c r="Q788" s="561"/>
      <c r="R788" s="561"/>
      <c r="S788" s="1002"/>
      <c r="T788" s="806"/>
      <c r="U788" s="806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  <c r="EF788" s="10"/>
      <c r="EG788" s="10"/>
      <c r="EH788" s="10"/>
      <c r="EI788" s="10"/>
      <c r="EJ788" s="10"/>
      <c r="EK788" s="10"/>
      <c r="EL788" s="10"/>
      <c r="EM788" s="10"/>
      <c r="EN788" s="10"/>
      <c r="EO788" s="10"/>
      <c r="EP788" s="10"/>
      <c r="EQ788" s="10"/>
      <c r="ER788" s="10"/>
      <c r="ES788" s="10"/>
      <c r="ET788" s="10"/>
      <c r="EU788" s="10"/>
      <c r="EV788" s="10"/>
      <c r="EW788" s="10"/>
      <c r="EX788" s="10"/>
      <c r="EY788" s="10"/>
      <c r="EZ788" s="10"/>
      <c r="FA788" s="10"/>
      <c r="FB788" s="10"/>
      <c r="FC788" s="10"/>
      <c r="FD788" s="10"/>
      <c r="FE788" s="10"/>
      <c r="FF788" s="10"/>
      <c r="FG788" s="10"/>
      <c r="FH788" s="10"/>
      <c r="FI788" s="10"/>
      <c r="FJ788" s="10"/>
      <c r="FK788" s="10"/>
      <c r="FL788" s="10"/>
      <c r="FM788" s="10"/>
      <c r="FN788" s="10"/>
      <c r="FO788" s="10"/>
      <c r="FP788" s="10"/>
      <c r="FQ788" s="10"/>
      <c r="FR788" s="10"/>
      <c r="FS788" s="10"/>
      <c r="FT788" s="10"/>
      <c r="FU788" s="10"/>
      <c r="FV788" s="10"/>
      <c r="FW788" s="10"/>
      <c r="FX788" s="10"/>
      <c r="FY788" s="10"/>
      <c r="FZ788" s="10"/>
      <c r="GA788" s="10"/>
      <c r="GB788" s="10"/>
      <c r="GC788" s="10"/>
      <c r="GD788" s="10"/>
      <c r="GE788" s="10"/>
      <c r="GF788" s="10"/>
      <c r="GG788" s="10"/>
      <c r="GH788" s="10"/>
      <c r="GI788" s="10"/>
      <c r="GJ788" s="10"/>
      <c r="GK788" s="10"/>
      <c r="GL788" s="10"/>
      <c r="GM788" s="10"/>
      <c r="GN788" s="10"/>
      <c r="GO788" s="10"/>
      <c r="GP788" s="10"/>
      <c r="GQ788" s="10"/>
      <c r="GR788" s="10"/>
      <c r="GS788" s="10"/>
      <c r="GT788" s="10"/>
      <c r="GU788" s="10"/>
      <c r="GV788" s="10"/>
      <c r="GW788" s="10"/>
      <c r="GX788" s="10"/>
      <c r="GY788" s="10"/>
      <c r="GZ788" s="10"/>
      <c r="HA788" s="10"/>
      <c r="HB788" s="10"/>
      <c r="HC788" s="10"/>
      <c r="HD788" s="10"/>
      <c r="HE788" s="10"/>
      <c r="HF788" s="10"/>
      <c r="HG788" s="10"/>
      <c r="HH788" s="10"/>
      <c r="HI788" s="10"/>
      <c r="HJ788" s="10"/>
      <c r="HK788" s="10"/>
      <c r="HL788" s="10"/>
      <c r="HM788" s="10"/>
      <c r="HN788" s="10"/>
      <c r="HO788" s="10"/>
      <c r="HP788" s="10"/>
      <c r="HQ788" s="10"/>
      <c r="HR788" s="10"/>
      <c r="HS788" s="10"/>
      <c r="HT788" s="10"/>
      <c r="HU788" s="10"/>
      <c r="HV788" s="10"/>
      <c r="HW788" s="10"/>
      <c r="HX788" s="10"/>
      <c r="HY788" s="10"/>
      <c r="HZ788" s="10"/>
      <c r="IA788" s="10"/>
      <c r="IB788" s="10"/>
      <c r="IC788" s="10"/>
      <c r="ID788" s="10"/>
      <c r="IE788" s="10"/>
      <c r="IF788" s="10"/>
      <c r="IG788" s="10"/>
      <c r="IH788" s="10"/>
      <c r="II788" s="10"/>
      <c r="IJ788" s="10"/>
      <c r="IK788" s="10"/>
      <c r="IL788" s="10"/>
      <c r="IM788" s="10"/>
      <c r="IN788" s="10"/>
      <c r="IO788" s="10"/>
      <c r="IP788" s="10"/>
      <c r="IQ788" s="10"/>
      <c r="IR788" s="10"/>
      <c r="IS788" s="10"/>
      <c r="IT788" s="10"/>
      <c r="IU788" s="10"/>
      <c r="IV788" s="10"/>
      <c r="IW788" s="10"/>
      <c r="IX788" s="10"/>
      <c r="IY788" s="10"/>
      <c r="IZ788" s="10"/>
      <c r="JA788" s="10"/>
      <c r="JB788" s="10"/>
      <c r="JC788" s="10"/>
      <c r="JD788" s="10"/>
      <c r="JE788" s="10"/>
      <c r="JF788" s="10"/>
      <c r="JG788" s="10"/>
      <c r="JH788" s="10"/>
      <c r="JI788" s="10"/>
      <c r="JJ788" s="10"/>
      <c r="JK788" s="10"/>
      <c r="JL788" s="10"/>
      <c r="JM788" s="10"/>
      <c r="JN788" s="10"/>
      <c r="JO788" s="10"/>
      <c r="JP788" s="10"/>
      <c r="JQ788" s="10"/>
      <c r="JR788" s="10"/>
      <c r="JS788" s="10"/>
      <c r="JT788" s="10"/>
      <c r="JU788" s="10"/>
      <c r="JV788" s="10"/>
      <c r="JW788" s="10"/>
      <c r="JX788" s="10"/>
      <c r="JY788" s="10"/>
      <c r="JZ788" s="10"/>
      <c r="KA788" s="10"/>
      <c r="KB788" s="10"/>
      <c r="KC788" s="10"/>
      <c r="KD788" s="10"/>
      <c r="KE788" s="10"/>
      <c r="KF788" s="10"/>
      <c r="KG788" s="10"/>
      <c r="KH788" s="10"/>
      <c r="KI788" s="10"/>
      <c r="KJ788" s="10"/>
      <c r="KK788" s="10"/>
      <c r="KL788" s="10"/>
      <c r="KM788" s="10"/>
      <c r="KN788" s="10"/>
      <c r="KO788" s="10"/>
      <c r="KP788" s="10"/>
      <c r="KQ788" s="10"/>
      <c r="KR788" s="10"/>
      <c r="KS788" s="10"/>
      <c r="KT788" s="10"/>
      <c r="KU788" s="10"/>
      <c r="KV788" s="10"/>
      <c r="KW788" s="10"/>
      <c r="KX788" s="10"/>
      <c r="KY788" s="10"/>
      <c r="KZ788" s="10"/>
      <c r="LA788" s="10"/>
      <c r="LB788" s="10"/>
      <c r="LC788" s="10"/>
      <c r="LD788" s="10"/>
      <c r="LE788" s="10"/>
      <c r="LF788" s="10"/>
      <c r="LG788" s="10"/>
      <c r="LH788" s="10"/>
      <c r="LI788" s="10"/>
      <c r="LJ788" s="10"/>
      <c r="LK788" s="10"/>
      <c r="LL788" s="10"/>
      <c r="LM788" s="10"/>
      <c r="LN788" s="10"/>
      <c r="LO788" s="10"/>
      <c r="LP788" s="10"/>
      <c r="LQ788" s="10"/>
      <c r="LR788" s="10"/>
      <c r="LS788" s="10"/>
      <c r="LT788" s="10"/>
      <c r="LU788" s="10"/>
      <c r="LV788" s="10"/>
      <c r="LW788" s="10"/>
      <c r="LX788" s="10"/>
      <c r="LY788" s="10"/>
      <c r="LZ788" s="10"/>
      <c r="MA788" s="10"/>
      <c r="MB788" s="10"/>
      <c r="MC788" s="10"/>
      <c r="MD788" s="10"/>
      <c r="ME788" s="10"/>
      <c r="MF788" s="10"/>
      <c r="MG788" s="10"/>
      <c r="MH788" s="10"/>
      <c r="MI788" s="10"/>
      <c r="MJ788" s="10"/>
      <c r="MK788" s="10"/>
      <c r="ML788" s="10"/>
      <c r="MM788" s="10"/>
      <c r="MN788" s="10"/>
      <c r="MO788" s="10"/>
      <c r="MP788" s="10"/>
      <c r="MQ788" s="10"/>
      <c r="MR788" s="10"/>
      <c r="MS788" s="10"/>
      <c r="MT788" s="10"/>
      <c r="MU788" s="10"/>
      <c r="MV788" s="10"/>
      <c r="MW788" s="10"/>
      <c r="MX788" s="10"/>
      <c r="MY788" s="10"/>
      <c r="MZ788" s="10"/>
      <c r="NA788" s="10"/>
      <c r="NB788" s="10"/>
      <c r="NC788" s="10"/>
      <c r="ND788" s="10"/>
      <c r="NE788" s="10"/>
      <c r="NF788" s="10"/>
      <c r="NG788" s="10"/>
      <c r="NH788" s="10"/>
      <c r="NI788" s="10"/>
      <c r="NJ788" s="10"/>
      <c r="NK788" s="10"/>
      <c r="NL788" s="10"/>
      <c r="NM788" s="10"/>
      <c r="NN788" s="10"/>
      <c r="NO788" s="10"/>
      <c r="NP788" s="10"/>
      <c r="NQ788" s="10"/>
      <c r="NR788" s="10"/>
      <c r="NS788" s="10"/>
      <c r="NT788" s="10"/>
      <c r="NU788" s="10"/>
      <c r="NV788" s="10"/>
      <c r="NW788" s="10"/>
      <c r="NX788" s="10"/>
      <c r="NY788" s="10"/>
      <c r="NZ788" s="10"/>
      <c r="OA788" s="10"/>
      <c r="OB788" s="10"/>
      <c r="OC788" s="10"/>
      <c r="OD788" s="10"/>
      <c r="OE788" s="10"/>
      <c r="OF788" s="10"/>
      <c r="OG788" s="10"/>
      <c r="OH788" s="10"/>
      <c r="OI788" s="10"/>
      <c r="OJ788" s="10"/>
      <c r="OK788" s="10"/>
      <c r="OL788" s="10"/>
      <c r="OM788" s="10"/>
      <c r="ON788" s="10"/>
      <c r="OO788" s="10"/>
      <c r="OP788" s="10"/>
      <c r="OQ788" s="10"/>
      <c r="OR788" s="10"/>
      <c r="OS788" s="10"/>
      <c r="OT788" s="10"/>
      <c r="OU788" s="10"/>
      <c r="OV788" s="10"/>
      <c r="OW788" s="10"/>
      <c r="OX788" s="10"/>
      <c r="OY788" s="10"/>
      <c r="OZ788" s="10"/>
      <c r="PA788" s="10"/>
      <c r="PB788" s="10"/>
      <c r="PC788" s="10"/>
      <c r="PD788" s="10"/>
      <c r="PE788" s="10"/>
      <c r="PF788" s="10"/>
      <c r="PG788" s="10"/>
      <c r="PH788" s="10"/>
      <c r="PI788" s="10"/>
      <c r="PJ788" s="10"/>
      <c r="PK788" s="10"/>
      <c r="PL788" s="10"/>
      <c r="PM788" s="10"/>
      <c r="PN788" s="10"/>
      <c r="PO788" s="10"/>
      <c r="PP788" s="10"/>
      <c r="PQ788" s="10"/>
      <c r="PR788" s="10"/>
      <c r="PS788" s="10"/>
      <c r="PT788" s="10"/>
      <c r="PU788" s="10"/>
      <c r="PV788" s="10"/>
      <c r="PW788" s="10"/>
      <c r="PX788" s="10"/>
      <c r="PY788" s="10"/>
      <c r="PZ788" s="10"/>
      <c r="QA788" s="10"/>
      <c r="QB788" s="10"/>
      <c r="QC788" s="10"/>
      <c r="QD788" s="10"/>
      <c r="QE788" s="10"/>
      <c r="QF788" s="10"/>
      <c r="QG788" s="10"/>
      <c r="QH788" s="10"/>
      <c r="QI788" s="10"/>
      <c r="QJ788" s="10"/>
      <c r="QK788" s="10"/>
      <c r="QL788" s="10"/>
      <c r="QM788" s="10"/>
      <c r="QN788" s="10"/>
      <c r="QO788" s="10"/>
      <c r="QP788" s="10"/>
      <c r="QQ788" s="10"/>
      <c r="QR788" s="10"/>
      <c r="QS788" s="10"/>
      <c r="QT788" s="10"/>
      <c r="QU788" s="10"/>
      <c r="QV788" s="10"/>
      <c r="QW788" s="10"/>
      <c r="QX788" s="10"/>
      <c r="QY788" s="10"/>
      <c r="QZ788" s="10"/>
      <c r="RA788" s="10"/>
      <c r="RB788" s="10"/>
      <c r="RC788" s="10"/>
      <c r="RD788" s="10"/>
      <c r="RE788" s="10"/>
      <c r="RF788" s="10"/>
      <c r="RG788" s="10"/>
      <c r="RH788" s="10"/>
      <c r="RI788" s="10"/>
      <c r="RJ788" s="10"/>
      <c r="RK788" s="10"/>
      <c r="RL788" s="10"/>
      <c r="RM788" s="10"/>
      <c r="RN788" s="10"/>
      <c r="RO788" s="10"/>
      <c r="RP788" s="10"/>
      <c r="RQ788" s="10"/>
      <c r="RR788" s="10"/>
      <c r="RS788" s="10"/>
      <c r="RT788" s="10"/>
      <c r="RU788" s="10"/>
      <c r="RV788" s="10"/>
      <c r="RW788" s="10"/>
      <c r="RX788" s="10"/>
      <c r="RY788" s="10"/>
      <c r="RZ788" s="10"/>
      <c r="SA788" s="10"/>
      <c r="SB788" s="10"/>
      <c r="SC788" s="10"/>
      <c r="SD788" s="10"/>
      <c r="SE788" s="10"/>
      <c r="SF788" s="10"/>
      <c r="SG788" s="10"/>
      <c r="SH788" s="10"/>
      <c r="SI788" s="10"/>
      <c r="SJ788" s="10"/>
      <c r="SK788" s="10"/>
      <c r="SL788" s="10"/>
      <c r="SM788" s="10"/>
      <c r="SN788" s="10"/>
      <c r="SO788" s="10"/>
      <c r="SP788" s="10"/>
      <c r="SQ788" s="10"/>
      <c r="SR788" s="10"/>
      <c r="SS788" s="10"/>
      <c r="ST788" s="10"/>
      <c r="SU788" s="10"/>
      <c r="SV788" s="10"/>
      <c r="SW788" s="10"/>
      <c r="SX788" s="10"/>
      <c r="SY788" s="10"/>
      <c r="SZ788" s="10"/>
      <c r="TA788" s="10"/>
      <c r="TB788" s="10"/>
      <c r="TC788" s="10"/>
      <c r="TD788" s="10"/>
      <c r="TE788" s="10"/>
      <c r="TF788" s="10"/>
      <c r="TG788" s="10"/>
      <c r="TH788" s="10"/>
      <c r="TI788" s="10"/>
      <c r="TJ788" s="10"/>
      <c r="TK788" s="10"/>
      <c r="TL788" s="10"/>
      <c r="TM788" s="10"/>
      <c r="TN788" s="10"/>
      <c r="TO788" s="10"/>
      <c r="TP788" s="10"/>
      <c r="TQ788" s="10"/>
      <c r="TR788" s="10"/>
      <c r="TS788" s="10"/>
      <c r="TT788" s="10"/>
      <c r="TU788" s="10"/>
      <c r="TV788" s="10"/>
      <c r="TW788" s="10"/>
      <c r="TX788" s="10"/>
      <c r="TY788" s="10"/>
      <c r="TZ788" s="10"/>
      <c r="UA788" s="10"/>
      <c r="UB788" s="10"/>
      <c r="UC788" s="10"/>
      <c r="UD788" s="10"/>
      <c r="UE788" s="10"/>
      <c r="UF788" s="10"/>
      <c r="UG788" s="10"/>
      <c r="UH788" s="10"/>
      <c r="UI788" s="10"/>
      <c r="UJ788" s="10"/>
      <c r="UK788" s="10"/>
      <c r="UL788" s="10"/>
      <c r="UM788" s="10"/>
      <c r="UN788" s="10"/>
      <c r="UO788" s="10"/>
      <c r="UP788" s="10"/>
      <c r="UQ788" s="10"/>
      <c r="UR788" s="10"/>
      <c r="US788" s="10"/>
      <c r="UT788" s="10"/>
      <c r="UU788" s="10"/>
      <c r="UV788" s="10"/>
      <c r="UW788" s="10"/>
      <c r="UX788" s="10"/>
      <c r="UY788" s="10"/>
      <c r="UZ788" s="10"/>
      <c r="VA788" s="10"/>
      <c r="VB788" s="10"/>
      <c r="VC788" s="10"/>
      <c r="VD788" s="10"/>
      <c r="VE788" s="10"/>
      <c r="VF788" s="10"/>
      <c r="VG788" s="10"/>
      <c r="VH788" s="10"/>
      <c r="VI788" s="10"/>
      <c r="VJ788" s="10"/>
      <c r="VK788" s="10"/>
      <c r="VL788" s="10"/>
      <c r="VM788" s="10"/>
      <c r="VN788" s="10"/>
      <c r="VO788" s="10"/>
      <c r="VP788" s="10"/>
      <c r="VQ788" s="10"/>
      <c r="VR788" s="10"/>
      <c r="VS788" s="10"/>
      <c r="VT788" s="10"/>
      <c r="VU788" s="10"/>
      <c r="VV788" s="10"/>
      <c r="VW788" s="10"/>
      <c r="VX788" s="10"/>
      <c r="VY788" s="10"/>
      <c r="VZ788" s="10"/>
      <c r="WA788" s="10"/>
      <c r="WB788" s="10"/>
      <c r="WC788" s="10"/>
      <c r="WD788" s="10"/>
      <c r="WE788" s="10"/>
      <c r="WF788" s="10"/>
      <c r="WG788" s="10"/>
      <c r="WH788" s="10"/>
      <c r="WI788" s="10"/>
      <c r="WJ788" s="10"/>
      <c r="WK788" s="10"/>
      <c r="WL788" s="10"/>
      <c r="WM788" s="10"/>
      <c r="WN788" s="10"/>
      <c r="WO788" s="10"/>
      <c r="WP788" s="10"/>
      <c r="WQ788" s="10"/>
      <c r="WR788" s="10"/>
      <c r="WS788" s="10"/>
      <c r="WT788" s="10"/>
      <c r="WU788" s="10"/>
      <c r="WV788" s="10"/>
      <c r="WW788" s="10"/>
      <c r="WX788" s="10"/>
      <c r="WY788" s="10"/>
      <c r="WZ788" s="10"/>
      <c r="XA788" s="10"/>
      <c r="XB788" s="10"/>
      <c r="XC788" s="10"/>
      <c r="XD788" s="10"/>
      <c r="XE788" s="10"/>
      <c r="XF788" s="10"/>
      <c r="XG788" s="10"/>
      <c r="XH788" s="10"/>
      <c r="XI788" s="10"/>
      <c r="XJ788" s="10"/>
      <c r="XK788" s="10"/>
      <c r="XL788" s="10"/>
      <c r="XM788" s="10"/>
      <c r="XN788" s="10"/>
      <c r="XO788" s="10"/>
      <c r="XP788" s="10"/>
      <c r="XQ788" s="10"/>
      <c r="XR788" s="10"/>
      <c r="XS788" s="10"/>
      <c r="XT788" s="10"/>
      <c r="XU788" s="10"/>
      <c r="XV788" s="10"/>
      <c r="XW788" s="10"/>
      <c r="XX788" s="10"/>
      <c r="XY788" s="10"/>
      <c r="XZ788" s="10"/>
      <c r="YA788" s="10"/>
      <c r="YB788" s="10"/>
      <c r="YC788" s="10"/>
      <c r="YD788" s="10"/>
      <c r="YE788" s="10"/>
      <c r="YF788" s="10"/>
      <c r="YG788" s="10"/>
      <c r="YH788" s="10"/>
      <c r="YI788" s="10"/>
      <c r="YJ788" s="10"/>
      <c r="YK788" s="10"/>
      <c r="YL788" s="10"/>
      <c r="YM788" s="10"/>
      <c r="YN788" s="10"/>
      <c r="YO788" s="10"/>
      <c r="YP788" s="10"/>
      <c r="YQ788" s="10"/>
      <c r="YR788" s="10"/>
      <c r="YS788" s="10"/>
      <c r="YT788" s="10"/>
      <c r="YU788" s="10"/>
      <c r="YV788" s="10"/>
      <c r="YW788" s="10"/>
      <c r="YX788" s="10"/>
      <c r="YY788" s="10"/>
      <c r="YZ788" s="10"/>
      <c r="ZA788" s="10"/>
      <c r="ZB788" s="10"/>
      <c r="ZC788" s="10"/>
      <c r="ZD788" s="10"/>
      <c r="ZE788" s="10"/>
      <c r="ZF788" s="10"/>
      <c r="ZG788" s="10"/>
      <c r="ZH788" s="10"/>
      <c r="ZI788" s="10"/>
      <c r="ZJ788" s="10"/>
      <c r="ZK788" s="10"/>
      <c r="ZL788" s="10"/>
      <c r="ZM788" s="10"/>
      <c r="ZN788" s="10"/>
      <c r="ZO788" s="10"/>
      <c r="ZP788" s="10"/>
      <c r="ZQ788" s="10"/>
      <c r="ZR788" s="10"/>
      <c r="ZS788" s="10"/>
      <c r="ZT788" s="10"/>
      <c r="ZU788" s="10"/>
      <c r="ZV788" s="10"/>
      <c r="ZW788" s="10"/>
      <c r="ZX788" s="10"/>
      <c r="ZY788" s="10"/>
      <c r="ZZ788" s="10"/>
      <c r="AAA788" s="10"/>
      <c r="AAB788" s="10"/>
      <c r="AAC788" s="10"/>
      <c r="AAD788" s="10"/>
      <c r="AAE788" s="10"/>
      <c r="AAF788" s="10"/>
      <c r="AAG788" s="10"/>
      <c r="AAH788" s="10"/>
      <c r="AAI788" s="10"/>
      <c r="AAJ788" s="10"/>
      <c r="AAK788" s="10"/>
      <c r="AAL788" s="10"/>
      <c r="AAM788" s="10"/>
      <c r="AAN788" s="10"/>
      <c r="AAO788" s="10"/>
      <c r="AAP788" s="10"/>
      <c r="AAQ788" s="10"/>
      <c r="AAR788" s="10"/>
      <c r="AAS788" s="10"/>
      <c r="AAT788" s="10"/>
      <c r="AAU788" s="10"/>
      <c r="AAV788" s="10"/>
      <c r="AAW788" s="10"/>
      <c r="AAX788" s="10"/>
      <c r="AAY788" s="10"/>
      <c r="AAZ788" s="10"/>
      <c r="ABA788" s="10"/>
      <c r="ABB788" s="10"/>
      <c r="ABC788" s="10"/>
      <c r="ABD788" s="10"/>
      <c r="ABE788" s="10"/>
      <c r="ABF788" s="10"/>
      <c r="ABG788" s="10"/>
      <c r="ABH788" s="10"/>
      <c r="ABI788" s="10"/>
      <c r="ABJ788" s="10"/>
      <c r="ABK788" s="10"/>
      <c r="ABL788" s="10"/>
      <c r="ABM788" s="10"/>
      <c r="ABN788" s="10"/>
      <c r="ABO788" s="10"/>
      <c r="ABP788" s="10"/>
      <c r="ABQ788" s="10"/>
      <c r="ABR788" s="10"/>
      <c r="ABS788" s="10"/>
      <c r="ABT788" s="10"/>
      <c r="ABU788" s="10"/>
      <c r="ABV788" s="10"/>
      <c r="ABW788" s="10"/>
      <c r="ABX788" s="10"/>
      <c r="ABY788" s="10"/>
      <c r="ABZ788" s="10"/>
      <c r="ACA788" s="10"/>
      <c r="ACB788" s="10"/>
      <c r="ACC788" s="10"/>
      <c r="ACD788" s="10"/>
      <c r="ACE788" s="10"/>
      <c r="ACF788" s="10"/>
      <c r="ACG788" s="10"/>
      <c r="ACH788" s="10"/>
      <c r="ACI788" s="10"/>
      <c r="ACJ788" s="10"/>
      <c r="ACK788" s="10"/>
      <c r="ACL788" s="10"/>
      <c r="ACM788" s="10"/>
      <c r="ACN788" s="10"/>
      <c r="ACO788" s="10"/>
      <c r="ACP788" s="10"/>
      <c r="ACQ788" s="10"/>
      <c r="ACR788" s="10"/>
      <c r="ACS788" s="10"/>
      <c r="ACT788" s="10"/>
      <c r="ACU788" s="10"/>
      <c r="ACV788" s="10"/>
      <c r="ACW788" s="10"/>
      <c r="ACX788" s="10"/>
      <c r="ACY788" s="10"/>
      <c r="ACZ788" s="10"/>
      <c r="ADA788" s="10"/>
      <c r="ADB788" s="10"/>
      <c r="ADC788" s="10"/>
      <c r="ADD788" s="10"/>
      <c r="ADE788" s="10"/>
      <c r="ADF788" s="10"/>
      <c r="ADG788" s="10"/>
      <c r="ADH788" s="10"/>
      <c r="ADI788" s="10"/>
      <c r="ADJ788" s="10"/>
      <c r="ADK788" s="10"/>
      <c r="ADL788" s="10"/>
      <c r="ADM788" s="10"/>
      <c r="ADN788" s="10"/>
      <c r="ADO788" s="10"/>
      <c r="ADP788" s="10"/>
      <c r="ADQ788" s="10"/>
      <c r="ADR788" s="10"/>
      <c r="ADS788" s="10"/>
      <c r="ADT788" s="10"/>
      <c r="ADU788" s="10"/>
      <c r="ADV788" s="10"/>
      <c r="ADW788" s="10"/>
      <c r="ADX788" s="10"/>
      <c r="ADY788" s="10"/>
      <c r="ADZ788" s="10"/>
      <c r="AEA788" s="10"/>
      <c r="AEB788" s="10"/>
      <c r="AEC788" s="10"/>
      <c r="AED788" s="10"/>
      <c r="AEE788" s="10"/>
      <c r="AEF788" s="10"/>
      <c r="AEG788" s="10"/>
      <c r="AEH788" s="10"/>
      <c r="AEI788" s="10"/>
      <c r="AEJ788" s="10"/>
      <c r="AEK788" s="10"/>
      <c r="AEL788" s="10"/>
      <c r="AEM788" s="10"/>
      <c r="AEN788" s="10"/>
      <c r="AEO788" s="10"/>
      <c r="AEP788" s="10"/>
      <c r="AEQ788" s="10"/>
      <c r="AER788" s="10"/>
      <c r="AES788" s="10"/>
      <c r="AET788" s="10"/>
      <c r="AEU788" s="10"/>
      <c r="AEV788" s="10"/>
      <c r="AEW788" s="10"/>
      <c r="AEX788" s="10"/>
      <c r="AEY788" s="10"/>
      <c r="AEZ788" s="10"/>
      <c r="AFA788" s="10"/>
      <c r="AFB788" s="10"/>
      <c r="AFC788" s="10"/>
      <c r="AFD788" s="10"/>
      <c r="AFE788" s="10"/>
      <c r="AFF788" s="10"/>
      <c r="AFG788" s="10"/>
      <c r="AFH788" s="10"/>
      <c r="AFI788" s="10"/>
      <c r="AFJ788" s="10"/>
      <c r="AFK788" s="10"/>
      <c r="AFL788" s="10"/>
      <c r="AFM788" s="10"/>
      <c r="AFN788" s="10"/>
      <c r="AFO788" s="10"/>
      <c r="AFP788" s="10"/>
      <c r="AFQ788" s="10"/>
      <c r="AFR788" s="10"/>
      <c r="AFS788" s="10"/>
      <c r="AFT788" s="10"/>
      <c r="AFU788" s="10"/>
      <c r="AFV788" s="10"/>
      <c r="AFW788" s="10"/>
      <c r="AFX788" s="10"/>
      <c r="AFY788" s="10"/>
      <c r="AFZ788" s="10"/>
      <c r="AGA788" s="10"/>
      <c r="AGB788" s="10"/>
      <c r="AGC788" s="10"/>
      <c r="AGD788" s="10"/>
      <c r="AGE788" s="10"/>
      <c r="AGF788" s="10"/>
      <c r="AGG788" s="10"/>
      <c r="AGH788" s="10"/>
      <c r="AGI788" s="10"/>
      <c r="AGJ788" s="10"/>
      <c r="AGK788" s="10"/>
      <c r="AGL788" s="10"/>
      <c r="AGM788" s="10"/>
      <c r="AGN788" s="10"/>
      <c r="AGO788" s="10"/>
      <c r="AGP788" s="10"/>
      <c r="AGQ788" s="10"/>
      <c r="AGR788" s="10"/>
      <c r="AGS788" s="10"/>
      <c r="AGT788" s="10"/>
      <c r="AGU788" s="10"/>
      <c r="AGV788" s="10"/>
      <c r="AGW788" s="10"/>
      <c r="AGX788" s="10"/>
      <c r="AGY788" s="10"/>
      <c r="AGZ788" s="10"/>
      <c r="AHA788" s="10"/>
      <c r="AHB788" s="10"/>
      <c r="AHC788" s="10"/>
      <c r="AHD788" s="10"/>
      <c r="AHE788" s="10"/>
      <c r="AHF788" s="10"/>
      <c r="AHG788" s="10"/>
      <c r="AHH788" s="10"/>
      <c r="AHI788" s="10"/>
      <c r="AHJ788" s="10"/>
      <c r="AHK788" s="10"/>
      <c r="AHL788" s="10"/>
      <c r="AHM788" s="10"/>
      <c r="AHN788" s="10"/>
      <c r="AHO788" s="10"/>
      <c r="AHP788" s="10"/>
      <c r="AHQ788" s="10"/>
      <c r="AHR788" s="10"/>
      <c r="AHS788" s="10"/>
      <c r="AHT788" s="10"/>
      <c r="AHU788" s="10"/>
      <c r="AHV788" s="10"/>
      <c r="AHW788" s="10"/>
      <c r="AHX788" s="10"/>
      <c r="AHY788" s="10"/>
      <c r="AHZ788" s="10"/>
      <c r="AIA788" s="10"/>
      <c r="AIB788" s="10"/>
      <c r="AIC788" s="10"/>
      <c r="AID788" s="10"/>
      <c r="AIE788" s="10"/>
      <c r="AIF788" s="10"/>
      <c r="AIG788" s="10"/>
      <c r="AIH788" s="10"/>
      <c r="AII788" s="10"/>
      <c r="AIJ788" s="10"/>
      <c r="AIK788" s="10"/>
      <c r="AIL788" s="10"/>
      <c r="AIM788" s="10"/>
      <c r="AIN788" s="10"/>
      <c r="AIO788" s="10"/>
      <c r="AIP788" s="10"/>
      <c r="AIQ788" s="10"/>
      <c r="AIR788" s="10"/>
      <c r="AIS788" s="10"/>
      <c r="AIT788" s="10"/>
      <c r="AIU788" s="10"/>
      <c r="AIV788" s="10"/>
      <c r="AIW788" s="10"/>
      <c r="AIX788" s="10"/>
      <c r="AIY788" s="10"/>
      <c r="AIZ788" s="10"/>
      <c r="AJA788" s="10"/>
      <c r="AJB788" s="10"/>
      <c r="AJC788" s="10"/>
      <c r="AJD788" s="10"/>
      <c r="AJE788" s="10"/>
      <c r="AJF788" s="10"/>
      <c r="AJG788" s="10"/>
      <c r="AJH788" s="10"/>
      <c r="AJI788" s="10"/>
      <c r="AJJ788" s="10"/>
      <c r="AJK788" s="10"/>
      <c r="AJL788" s="10"/>
      <c r="AJM788" s="10"/>
      <c r="AJN788" s="10"/>
      <c r="AJO788" s="10"/>
      <c r="AJP788" s="10"/>
      <c r="AJQ788" s="10"/>
      <c r="AJR788" s="10"/>
      <c r="AJS788" s="10"/>
      <c r="AJT788" s="10"/>
      <c r="AJU788" s="10"/>
      <c r="AJV788" s="10"/>
      <c r="AJW788" s="10"/>
      <c r="AJX788" s="10"/>
      <c r="AJY788" s="10"/>
      <c r="AJZ788" s="10"/>
      <c r="AKA788" s="10"/>
      <c r="AKB788" s="10"/>
      <c r="AKC788" s="10"/>
      <c r="AKD788" s="10"/>
      <c r="AKE788" s="10"/>
      <c r="AKF788" s="10"/>
      <c r="AKG788" s="10"/>
      <c r="AKH788" s="10"/>
      <c r="AKI788" s="10"/>
      <c r="AKJ788" s="10"/>
      <c r="AKK788" s="10"/>
      <c r="AKL788" s="10"/>
      <c r="AKM788" s="10"/>
      <c r="AKN788" s="10"/>
      <c r="AKO788" s="10"/>
      <c r="AKP788" s="10"/>
      <c r="AKQ788" s="10"/>
      <c r="AKR788" s="10"/>
      <c r="AKS788" s="10"/>
      <c r="AKT788" s="10"/>
      <c r="AKU788" s="10"/>
      <c r="AKV788" s="10"/>
      <c r="AKW788" s="10"/>
      <c r="AKX788" s="10"/>
      <c r="AKY788" s="10"/>
      <c r="AKZ788" s="10"/>
      <c r="ALA788" s="10"/>
      <c r="ALB788" s="10"/>
      <c r="ALC788" s="10"/>
      <c r="ALD788" s="10"/>
      <c r="ALE788" s="10"/>
      <c r="ALF788" s="10"/>
      <c r="ALG788" s="10"/>
      <c r="ALH788" s="10"/>
      <c r="ALI788" s="10"/>
      <c r="ALJ788" s="10"/>
      <c r="ALK788" s="10"/>
      <c r="ALL788" s="10"/>
      <c r="ALM788" s="10"/>
      <c r="ALN788" s="10"/>
      <c r="ALO788" s="10"/>
      <c r="ALP788" s="10"/>
      <c r="ALQ788" s="10"/>
      <c r="ALR788" s="10"/>
      <c r="ALS788" s="10"/>
      <c r="ALT788" s="10"/>
      <c r="ALU788" s="10"/>
      <c r="ALV788" s="10"/>
      <c r="ALW788" s="10"/>
      <c r="ALX788" s="10"/>
      <c r="ALY788" s="10"/>
      <c r="ALZ788" s="10"/>
      <c r="AMA788" s="10"/>
      <c r="AMB788" s="10"/>
      <c r="AMC788" s="10"/>
      <c r="AMD788" s="10"/>
      <c r="AME788" s="10"/>
      <c r="AMF788" s="10"/>
      <c r="AMG788" s="10"/>
      <c r="AMH788" s="10"/>
      <c r="AMI788" s="10"/>
      <c r="AMJ788" s="10"/>
      <c r="AMK788" s="10"/>
      <c r="AML788" s="10"/>
      <c r="AMM788" s="10"/>
      <c r="AMN788" s="10"/>
      <c r="AMO788" s="10"/>
      <c r="AMP788" s="10"/>
      <c r="AMQ788" s="10"/>
      <c r="AMR788" s="10"/>
      <c r="AMS788" s="10"/>
      <c r="AMT788" s="10"/>
      <c r="AMU788" s="10"/>
      <c r="AMV788" s="10"/>
      <c r="AMW788" s="10"/>
      <c r="AMX788" s="10"/>
      <c r="AMY788" s="10"/>
      <c r="AMZ788" s="10"/>
      <c r="ANA788" s="10"/>
      <c r="ANB788" s="10"/>
      <c r="ANC788" s="10"/>
      <c r="AND788" s="10"/>
      <c r="ANE788" s="10"/>
      <c r="ANF788" s="10"/>
      <c r="ANG788" s="10"/>
      <c r="ANH788" s="10"/>
      <c r="ANI788" s="10"/>
      <c r="ANJ788" s="10"/>
      <c r="ANK788" s="10"/>
      <c r="ANL788" s="10"/>
      <c r="ANM788" s="10"/>
      <c r="ANN788" s="10"/>
      <c r="ANO788" s="10"/>
      <c r="ANP788" s="10"/>
      <c r="ANQ788" s="10"/>
      <c r="ANR788" s="10"/>
      <c r="ANS788" s="10"/>
      <c r="ANT788" s="10"/>
      <c r="ANU788" s="10"/>
      <c r="ANV788" s="10"/>
      <c r="ANW788" s="10"/>
      <c r="ANX788" s="10"/>
      <c r="ANY788" s="10"/>
      <c r="ANZ788" s="10"/>
      <c r="AOA788" s="10"/>
      <c r="AOB788" s="10"/>
      <c r="AOC788" s="10"/>
      <c r="AOD788" s="10"/>
      <c r="AOE788" s="10"/>
      <c r="AOF788" s="10"/>
      <c r="AOG788" s="10"/>
      <c r="AOH788" s="10"/>
      <c r="AOI788" s="10"/>
      <c r="AOJ788" s="10"/>
      <c r="AOK788" s="10"/>
      <c r="AOL788" s="10"/>
      <c r="AOM788" s="10"/>
      <c r="AON788" s="10"/>
      <c r="AOO788" s="10"/>
      <c r="AOP788" s="10"/>
      <c r="AOQ788" s="10"/>
      <c r="AOR788" s="10"/>
      <c r="AOS788" s="10"/>
      <c r="AOT788" s="10"/>
      <c r="AOU788" s="10"/>
      <c r="AOV788" s="10"/>
      <c r="AOW788" s="10"/>
      <c r="AOX788" s="10"/>
      <c r="AOY788" s="10"/>
      <c r="AOZ788" s="10"/>
      <c r="APA788" s="10"/>
      <c r="APB788" s="10"/>
      <c r="APC788" s="10"/>
      <c r="APD788" s="10"/>
      <c r="APE788" s="10"/>
      <c r="APF788" s="10"/>
      <c r="APG788" s="10"/>
      <c r="APH788" s="10"/>
      <c r="API788" s="10"/>
      <c r="APJ788" s="10"/>
      <c r="APK788" s="10"/>
      <c r="APL788" s="10"/>
      <c r="APM788" s="10"/>
      <c r="APN788" s="10"/>
      <c r="APO788" s="10"/>
      <c r="APP788" s="10"/>
      <c r="APQ788" s="10"/>
      <c r="APR788" s="10"/>
      <c r="APS788" s="10"/>
      <c r="APT788" s="10"/>
      <c r="APU788" s="10"/>
      <c r="APV788" s="10"/>
      <c r="APW788" s="10"/>
      <c r="APX788" s="10"/>
      <c r="APY788" s="10"/>
      <c r="APZ788" s="10"/>
      <c r="AQA788" s="10"/>
      <c r="AQB788" s="10"/>
      <c r="AQC788" s="10"/>
      <c r="AQD788" s="10"/>
      <c r="AQE788" s="10"/>
      <c r="AQF788" s="10"/>
      <c r="AQG788" s="10"/>
      <c r="AQH788" s="10"/>
      <c r="AQI788" s="10"/>
      <c r="AQJ788" s="10"/>
      <c r="AQK788" s="10"/>
      <c r="AQL788" s="10"/>
      <c r="AQM788" s="10"/>
      <c r="AQN788" s="10"/>
      <c r="AQO788" s="10"/>
      <c r="AQP788" s="10"/>
      <c r="AQQ788" s="10"/>
      <c r="AQR788" s="10"/>
      <c r="AQS788" s="10"/>
      <c r="AQT788" s="10"/>
      <c r="AQU788" s="10"/>
      <c r="AQV788" s="10"/>
      <c r="AQW788" s="10"/>
      <c r="AQX788" s="10"/>
      <c r="AQY788" s="10"/>
      <c r="AQZ788" s="10"/>
      <c r="ARA788" s="10"/>
      <c r="ARB788" s="10"/>
      <c r="ARC788" s="10"/>
      <c r="ARD788" s="10"/>
      <c r="ARE788" s="10"/>
      <c r="ARF788" s="10"/>
      <c r="ARG788" s="10"/>
      <c r="ARH788" s="10"/>
      <c r="ARI788" s="10"/>
      <c r="ARJ788" s="10"/>
      <c r="ARK788" s="10"/>
      <c r="ARL788" s="10"/>
      <c r="ARM788" s="10"/>
      <c r="ARN788" s="10"/>
      <c r="ARO788" s="10"/>
      <c r="ARP788" s="10"/>
      <c r="ARQ788" s="10"/>
      <c r="ARR788" s="10"/>
      <c r="ARS788" s="10"/>
      <c r="ART788" s="10"/>
      <c r="ARU788" s="10"/>
      <c r="ARV788" s="10"/>
      <c r="ARW788" s="10"/>
      <c r="ARX788" s="10"/>
      <c r="ARY788" s="10"/>
      <c r="ARZ788" s="10"/>
      <c r="ASA788" s="10"/>
      <c r="ASB788" s="10"/>
      <c r="ASC788" s="10"/>
      <c r="ASD788" s="10"/>
      <c r="ASE788" s="10"/>
      <c r="ASF788" s="10"/>
      <c r="ASG788" s="10"/>
      <c r="ASH788" s="10"/>
      <c r="ASI788" s="10"/>
      <c r="ASJ788" s="10"/>
      <c r="ASK788" s="10"/>
      <c r="ASL788" s="10"/>
      <c r="ASM788" s="10"/>
      <c r="ASN788" s="10"/>
      <c r="ASO788" s="10"/>
      <c r="ASP788" s="10"/>
      <c r="ASQ788" s="10"/>
      <c r="ASR788" s="10"/>
      <c r="ASS788" s="10"/>
      <c r="AST788" s="10"/>
      <c r="ASU788" s="10"/>
      <c r="ASV788" s="10"/>
      <c r="ASW788" s="10"/>
      <c r="ASX788" s="10"/>
      <c r="ASY788" s="10"/>
      <c r="ASZ788" s="10"/>
      <c r="ATA788" s="10"/>
      <c r="ATB788" s="10"/>
      <c r="ATC788" s="10"/>
      <c r="ATD788" s="10"/>
      <c r="ATE788" s="10"/>
      <c r="ATF788" s="10"/>
      <c r="ATG788" s="10"/>
      <c r="ATH788" s="10"/>
      <c r="ATI788" s="10"/>
      <c r="ATJ788" s="10"/>
      <c r="ATK788" s="10"/>
      <c r="ATL788" s="10"/>
      <c r="ATM788" s="10"/>
      <c r="ATN788" s="10"/>
      <c r="ATO788" s="10"/>
      <c r="ATP788" s="10"/>
      <c r="ATQ788" s="10"/>
      <c r="ATR788" s="10"/>
      <c r="ATS788" s="10"/>
      <c r="ATT788" s="10"/>
      <c r="ATU788" s="10"/>
      <c r="ATV788" s="10"/>
      <c r="ATW788" s="10"/>
      <c r="ATX788" s="10"/>
      <c r="ATY788" s="10"/>
      <c r="ATZ788" s="10"/>
      <c r="AUA788" s="10"/>
      <c r="AUB788" s="10"/>
      <c r="AUC788" s="10"/>
      <c r="AUD788" s="10"/>
      <c r="AUE788" s="10"/>
      <c r="AUF788" s="10"/>
      <c r="AUG788" s="10"/>
      <c r="AUH788" s="10"/>
      <c r="AUI788" s="10"/>
      <c r="AUJ788" s="10"/>
      <c r="AUK788" s="10"/>
      <c r="AUL788" s="10"/>
      <c r="AUM788" s="10"/>
      <c r="AUN788" s="10"/>
      <c r="AUO788" s="10"/>
      <c r="AUP788" s="10"/>
      <c r="AUQ788" s="10"/>
      <c r="AUR788" s="10"/>
      <c r="AUS788" s="10"/>
      <c r="AUT788" s="10"/>
      <c r="AUU788" s="10"/>
      <c r="AUV788" s="10"/>
      <c r="AUW788" s="10"/>
      <c r="AUX788" s="10"/>
      <c r="AUY788" s="10"/>
      <c r="AUZ788" s="10"/>
      <c r="AVA788" s="10"/>
      <c r="AVB788" s="10"/>
      <c r="AVC788" s="10"/>
      <c r="AVD788" s="10"/>
      <c r="AVE788" s="10"/>
      <c r="AVF788" s="10"/>
      <c r="AVG788" s="10"/>
      <c r="AVH788" s="10"/>
      <c r="AVI788" s="10"/>
      <c r="AVJ788" s="10"/>
      <c r="AVK788" s="10"/>
      <c r="AVL788" s="10"/>
      <c r="AVM788" s="10"/>
      <c r="AVN788" s="10"/>
      <c r="AVO788" s="10"/>
      <c r="AVP788" s="10"/>
      <c r="AVQ788" s="10"/>
      <c r="AVR788" s="10"/>
      <c r="AVS788" s="10"/>
      <c r="AVT788" s="10"/>
      <c r="AVU788" s="10"/>
      <c r="AVV788" s="10"/>
      <c r="AVW788" s="10"/>
      <c r="AVX788" s="10"/>
      <c r="AVY788" s="10"/>
      <c r="AVZ788" s="10"/>
      <c r="AWA788" s="10"/>
      <c r="AWB788" s="10"/>
      <c r="AWC788" s="10"/>
      <c r="AWD788" s="10"/>
      <c r="AWE788" s="10"/>
      <c r="AWF788" s="10"/>
      <c r="AWG788" s="10"/>
      <c r="AWH788" s="10"/>
      <c r="AWI788" s="10"/>
      <c r="AWJ788" s="10"/>
      <c r="AWK788" s="10"/>
      <c r="AWL788" s="10"/>
      <c r="AWM788" s="10"/>
      <c r="AWN788" s="10"/>
      <c r="AWO788" s="10"/>
      <c r="AWP788" s="10"/>
      <c r="AWQ788" s="10"/>
      <c r="AWR788" s="10"/>
      <c r="AWS788" s="10"/>
      <c r="AWT788" s="10"/>
      <c r="AWU788" s="10"/>
      <c r="AWV788" s="10"/>
      <c r="AWW788" s="10"/>
      <c r="AWX788" s="10"/>
      <c r="AWY788" s="10"/>
      <c r="AWZ788" s="10"/>
      <c r="AXA788" s="10"/>
      <c r="AXB788" s="10"/>
      <c r="AXC788" s="10"/>
      <c r="AXD788" s="10"/>
      <c r="AXE788" s="10"/>
      <c r="AXF788" s="10"/>
      <c r="AXG788" s="10"/>
      <c r="AXH788" s="10"/>
      <c r="AXI788" s="10"/>
      <c r="AXJ788" s="10"/>
      <c r="AXK788" s="10"/>
      <c r="AXL788" s="10"/>
      <c r="AXM788" s="10"/>
      <c r="AXN788" s="10"/>
      <c r="AXO788" s="10"/>
      <c r="AXP788" s="10"/>
      <c r="AXQ788" s="10"/>
      <c r="AXR788" s="10"/>
      <c r="AXS788" s="10"/>
      <c r="AXT788" s="10"/>
      <c r="AXU788" s="10"/>
      <c r="AXV788" s="10"/>
      <c r="AXW788" s="10"/>
      <c r="AXX788" s="10"/>
      <c r="AXY788" s="10"/>
      <c r="AXZ788" s="10"/>
      <c r="AYA788" s="10"/>
      <c r="AYB788" s="10"/>
      <c r="AYC788" s="10"/>
      <c r="AYD788" s="10"/>
      <c r="AYE788" s="10"/>
      <c r="AYF788" s="10"/>
      <c r="AYG788" s="10"/>
      <c r="AYH788" s="10"/>
      <c r="AYI788" s="10"/>
      <c r="AYJ788" s="10"/>
      <c r="AYK788" s="10"/>
      <c r="AYL788" s="10"/>
      <c r="AYM788" s="10"/>
      <c r="AYN788" s="10"/>
      <c r="AYO788" s="10"/>
      <c r="AYP788" s="10"/>
      <c r="AYQ788" s="10"/>
      <c r="AYR788" s="10"/>
      <c r="AYS788" s="10"/>
      <c r="AYT788" s="10"/>
      <c r="AYU788" s="10"/>
      <c r="AYV788" s="10"/>
      <c r="AYW788" s="10"/>
      <c r="AYX788" s="10"/>
      <c r="AYY788" s="10"/>
      <c r="AYZ788" s="10"/>
      <c r="AZA788" s="10"/>
      <c r="AZB788" s="10"/>
      <c r="AZC788" s="10"/>
      <c r="AZD788" s="10"/>
      <c r="AZE788" s="10"/>
      <c r="AZF788" s="10"/>
      <c r="AZG788" s="10"/>
      <c r="AZH788" s="10"/>
      <c r="AZI788" s="10"/>
      <c r="AZJ788" s="10"/>
      <c r="AZK788" s="10"/>
      <c r="AZL788" s="10"/>
      <c r="AZM788" s="10"/>
      <c r="AZN788" s="10"/>
      <c r="AZO788" s="10"/>
      <c r="AZP788" s="10"/>
      <c r="AZQ788" s="10"/>
      <c r="AZR788" s="10"/>
      <c r="AZS788" s="10"/>
      <c r="AZT788" s="10"/>
      <c r="AZU788" s="10"/>
      <c r="AZV788" s="10"/>
      <c r="AZW788" s="10"/>
      <c r="AZX788" s="10"/>
      <c r="AZY788" s="10"/>
      <c r="AZZ788" s="10"/>
      <c r="BAA788" s="10"/>
      <c r="BAB788" s="10"/>
      <c r="BAC788" s="10"/>
      <c r="BAD788" s="10"/>
      <c r="BAE788" s="10"/>
      <c r="BAF788" s="10"/>
      <c r="BAG788" s="10"/>
      <c r="BAH788" s="10"/>
      <c r="BAI788" s="10"/>
      <c r="BAJ788" s="10"/>
      <c r="BAK788" s="10"/>
      <c r="BAL788" s="10"/>
      <c r="BAM788" s="10"/>
      <c r="BAN788" s="10"/>
      <c r="BAO788" s="10"/>
      <c r="BAP788" s="10"/>
      <c r="BAQ788" s="10"/>
      <c r="BAR788" s="10"/>
      <c r="BAS788" s="10"/>
      <c r="BAT788" s="10"/>
      <c r="BAU788" s="10"/>
      <c r="BAV788" s="10"/>
      <c r="BAW788" s="10"/>
      <c r="BAX788" s="10"/>
      <c r="BAY788" s="10"/>
      <c r="BAZ788" s="10"/>
      <c r="BBA788" s="10"/>
      <c r="BBB788" s="10"/>
      <c r="BBC788" s="10"/>
      <c r="BBD788" s="10"/>
      <c r="BBE788" s="10"/>
      <c r="BBF788" s="10"/>
      <c r="BBG788" s="10"/>
      <c r="BBH788" s="10"/>
      <c r="BBI788" s="10"/>
      <c r="BBJ788" s="10"/>
      <c r="BBK788" s="10"/>
      <c r="BBL788" s="10"/>
      <c r="BBM788" s="10"/>
      <c r="BBN788" s="10"/>
      <c r="BBO788" s="10"/>
      <c r="BBP788" s="10"/>
      <c r="BBQ788" s="10"/>
      <c r="BBR788" s="10"/>
      <c r="BBS788" s="10"/>
      <c r="BBT788" s="10"/>
      <c r="BBU788" s="10"/>
      <c r="BBV788" s="10"/>
      <c r="BBW788" s="10"/>
      <c r="BBX788" s="10"/>
      <c r="BBY788" s="10"/>
      <c r="BBZ788" s="10"/>
      <c r="BCA788" s="10"/>
      <c r="BCB788" s="10"/>
      <c r="BCC788" s="10"/>
      <c r="BCD788" s="10"/>
      <c r="BCE788" s="10"/>
      <c r="BCF788" s="10"/>
      <c r="BCG788" s="10"/>
      <c r="BCH788" s="10"/>
      <c r="BCI788" s="10"/>
      <c r="BCJ788" s="10"/>
      <c r="BCK788" s="10"/>
      <c r="BCL788" s="10"/>
      <c r="BCM788" s="10"/>
      <c r="BCN788" s="10"/>
      <c r="BCO788" s="10"/>
      <c r="BCP788" s="10"/>
      <c r="BCQ788" s="10"/>
      <c r="BCR788" s="10"/>
      <c r="BCS788" s="10"/>
      <c r="BCT788" s="10"/>
      <c r="BCU788" s="10"/>
      <c r="BCV788" s="10"/>
      <c r="BCW788" s="10"/>
      <c r="BCX788" s="10"/>
      <c r="BCY788" s="10"/>
      <c r="BCZ788" s="10"/>
      <c r="BDA788" s="10"/>
      <c r="BDB788" s="10"/>
      <c r="BDC788" s="10"/>
      <c r="BDD788" s="10"/>
      <c r="BDE788" s="10"/>
      <c r="BDF788" s="10"/>
      <c r="BDG788" s="10"/>
      <c r="BDH788" s="10"/>
      <c r="BDI788" s="10"/>
      <c r="BDJ788" s="10"/>
      <c r="BDK788" s="10"/>
      <c r="BDL788" s="10"/>
      <c r="BDM788" s="10"/>
      <c r="BDN788" s="10"/>
      <c r="BDO788" s="10"/>
      <c r="BDP788" s="10"/>
      <c r="BDQ788" s="10"/>
      <c r="BDR788" s="10"/>
      <c r="BDS788" s="10"/>
      <c r="BDT788" s="10"/>
      <c r="BDU788" s="10"/>
      <c r="BDV788" s="10"/>
      <c r="BDW788" s="10"/>
      <c r="BDX788" s="10"/>
      <c r="BDY788" s="10"/>
      <c r="BDZ788" s="10"/>
      <c r="BEA788" s="10"/>
      <c r="BEB788" s="10"/>
      <c r="BEC788" s="10"/>
      <c r="BED788" s="10"/>
      <c r="BEE788" s="10"/>
      <c r="BEF788" s="10"/>
      <c r="BEG788" s="10"/>
      <c r="BEH788" s="10"/>
      <c r="BEI788" s="10"/>
      <c r="BEJ788" s="10"/>
      <c r="BEK788" s="10"/>
      <c r="BEL788" s="10"/>
      <c r="BEM788" s="10"/>
      <c r="BEN788" s="10"/>
      <c r="BEO788" s="10"/>
      <c r="BEP788" s="10"/>
      <c r="BEQ788" s="10"/>
      <c r="BER788" s="10"/>
      <c r="BES788" s="10"/>
      <c r="BET788" s="10"/>
      <c r="BEU788" s="10"/>
      <c r="BEV788" s="10"/>
      <c r="BEW788" s="10"/>
      <c r="BEX788" s="10"/>
      <c r="BEY788" s="10"/>
      <c r="BEZ788" s="10"/>
      <c r="BFA788" s="10"/>
      <c r="BFB788" s="10"/>
      <c r="BFC788" s="10"/>
      <c r="BFD788" s="10"/>
      <c r="BFE788" s="10"/>
      <c r="BFF788" s="10"/>
      <c r="BFG788" s="10"/>
      <c r="BFH788" s="10"/>
      <c r="BFI788" s="10"/>
      <c r="BFJ788" s="10"/>
      <c r="BFK788" s="10"/>
      <c r="BFL788" s="10"/>
      <c r="BFM788" s="10"/>
      <c r="BFN788" s="10"/>
      <c r="BFO788" s="10"/>
      <c r="BFP788" s="10"/>
      <c r="BFQ788" s="10"/>
      <c r="BFR788" s="10"/>
      <c r="BFS788" s="10"/>
      <c r="BFT788" s="10"/>
      <c r="BFU788" s="10"/>
      <c r="BFV788" s="10"/>
      <c r="BFW788" s="10"/>
      <c r="BFX788" s="10"/>
      <c r="BFY788" s="10"/>
      <c r="BFZ788" s="10"/>
      <c r="BGA788" s="10"/>
      <c r="BGB788" s="10"/>
      <c r="BGC788" s="10"/>
      <c r="BGD788" s="10"/>
      <c r="BGE788" s="10"/>
      <c r="BGF788" s="10"/>
      <c r="BGG788" s="10"/>
      <c r="BGH788" s="10"/>
      <c r="BGI788" s="10"/>
      <c r="BGJ788" s="10"/>
      <c r="BGK788" s="10"/>
      <c r="BGL788" s="10"/>
      <c r="BGM788" s="10"/>
      <c r="BGN788" s="10"/>
      <c r="BGO788" s="10"/>
      <c r="BGP788" s="10"/>
      <c r="BGQ788" s="10"/>
      <c r="BGR788" s="10"/>
      <c r="BGS788" s="10"/>
      <c r="BGT788" s="10"/>
      <c r="BGU788" s="10"/>
      <c r="BGV788" s="10"/>
      <c r="BGW788" s="10"/>
      <c r="BGX788" s="10"/>
      <c r="BGY788" s="10"/>
      <c r="BGZ788" s="10"/>
      <c r="BHA788" s="10"/>
      <c r="BHB788" s="10"/>
      <c r="BHC788" s="10"/>
      <c r="BHD788" s="10"/>
      <c r="BHE788" s="10"/>
      <c r="BHF788" s="10"/>
      <c r="BHG788" s="10"/>
      <c r="BHH788" s="10"/>
      <c r="BHI788" s="10"/>
      <c r="BHJ788" s="10"/>
      <c r="BHK788" s="10"/>
      <c r="BHL788" s="10"/>
      <c r="BHM788" s="10"/>
      <c r="BHN788" s="10"/>
      <c r="BHO788" s="10"/>
      <c r="BHP788" s="10"/>
      <c r="BHQ788" s="10"/>
      <c r="BHR788" s="10"/>
      <c r="BHS788" s="10"/>
      <c r="BHT788" s="10"/>
      <c r="BHU788" s="10"/>
      <c r="BHV788" s="10"/>
      <c r="BHW788" s="10"/>
      <c r="BHX788" s="10"/>
      <c r="BHY788" s="10"/>
      <c r="BHZ788" s="10"/>
      <c r="BIA788" s="10"/>
      <c r="BIB788" s="10"/>
      <c r="BIC788" s="10"/>
      <c r="BID788" s="10"/>
      <c r="BIE788" s="10"/>
      <c r="BIF788" s="10"/>
      <c r="BIG788" s="10"/>
      <c r="BIH788" s="10"/>
      <c r="BII788" s="10"/>
      <c r="BIJ788" s="10"/>
      <c r="BIK788" s="10"/>
      <c r="BIL788" s="10"/>
      <c r="BIM788" s="10"/>
      <c r="BIN788" s="10"/>
      <c r="BIO788" s="10"/>
      <c r="BIP788" s="10"/>
      <c r="BIQ788" s="10"/>
      <c r="BIR788" s="10"/>
      <c r="BIS788" s="10"/>
      <c r="BIT788" s="10"/>
      <c r="BIU788" s="10"/>
      <c r="BIV788" s="10"/>
      <c r="BIW788" s="10"/>
      <c r="BIX788" s="10"/>
      <c r="BIY788" s="10"/>
      <c r="BIZ788" s="10"/>
      <c r="BJA788" s="10"/>
      <c r="BJB788" s="10"/>
      <c r="BJC788" s="10"/>
      <c r="BJD788" s="10"/>
      <c r="BJE788" s="10"/>
      <c r="BJF788" s="10"/>
      <c r="BJG788" s="10"/>
      <c r="BJH788" s="10"/>
      <c r="BJI788" s="10"/>
      <c r="BJJ788" s="10"/>
      <c r="BJK788" s="10"/>
      <c r="BJL788" s="10"/>
      <c r="BJM788" s="10"/>
      <c r="BJN788" s="10"/>
      <c r="BJO788" s="10"/>
      <c r="BJP788" s="10"/>
      <c r="BJQ788" s="10"/>
      <c r="BJR788" s="10"/>
      <c r="BJS788" s="10"/>
      <c r="BJT788" s="10"/>
      <c r="BJU788" s="10"/>
      <c r="BJV788" s="10"/>
      <c r="BJW788" s="10"/>
      <c r="BJX788" s="10"/>
      <c r="BJY788" s="10"/>
      <c r="BJZ788" s="10"/>
      <c r="BKA788" s="10"/>
      <c r="BKB788" s="10"/>
      <c r="BKC788" s="10"/>
      <c r="BKD788" s="10"/>
      <c r="BKE788" s="10"/>
      <c r="BKF788" s="10"/>
      <c r="BKG788" s="10"/>
      <c r="BKH788" s="10"/>
      <c r="BKI788" s="10"/>
      <c r="BKJ788" s="10"/>
      <c r="BKK788" s="10"/>
      <c r="BKL788" s="10"/>
      <c r="BKM788" s="10"/>
      <c r="BKN788" s="10"/>
      <c r="BKO788" s="10"/>
      <c r="BKP788" s="10"/>
      <c r="BKQ788" s="10"/>
      <c r="BKR788" s="10"/>
      <c r="BKS788" s="10"/>
      <c r="BKT788" s="10"/>
      <c r="BKU788" s="10"/>
      <c r="BKV788" s="10"/>
      <c r="BKW788" s="10"/>
      <c r="BKX788" s="10"/>
      <c r="BKY788" s="10"/>
      <c r="BKZ788" s="10"/>
      <c r="BLA788" s="10"/>
      <c r="BLB788" s="10"/>
      <c r="BLC788" s="10"/>
      <c r="BLD788" s="10"/>
      <c r="BLE788" s="10"/>
      <c r="BLF788" s="10"/>
      <c r="BLG788" s="10"/>
      <c r="BLH788" s="10"/>
      <c r="BLI788" s="10"/>
      <c r="BLJ788" s="10"/>
      <c r="BLK788" s="10"/>
      <c r="BLL788" s="10"/>
      <c r="BLM788" s="10"/>
      <c r="BLN788" s="10"/>
      <c r="BLO788" s="10"/>
      <c r="BLP788" s="10"/>
      <c r="BLQ788" s="10"/>
      <c r="BLR788" s="10"/>
      <c r="BLS788" s="10"/>
      <c r="BLT788" s="10"/>
      <c r="BLU788" s="10"/>
      <c r="BLV788" s="10"/>
      <c r="BLW788" s="10"/>
      <c r="BLX788" s="10"/>
      <c r="BLY788" s="10"/>
      <c r="BLZ788" s="10"/>
      <c r="BMA788" s="10"/>
      <c r="BMB788" s="10"/>
      <c r="BMC788" s="10"/>
      <c r="BMD788" s="10"/>
      <c r="BME788" s="10"/>
      <c r="BMF788" s="10"/>
      <c r="BMG788" s="10"/>
      <c r="BMH788" s="10"/>
      <c r="BMI788" s="10"/>
      <c r="BMJ788" s="10"/>
      <c r="BMK788" s="10"/>
      <c r="BML788" s="10"/>
      <c r="BMM788" s="10"/>
      <c r="BMN788" s="10"/>
      <c r="BMO788" s="10"/>
      <c r="BMP788" s="10"/>
      <c r="BMQ788" s="10"/>
      <c r="BMR788" s="10"/>
      <c r="BMS788" s="10"/>
      <c r="BMT788" s="10"/>
      <c r="BMU788" s="10"/>
      <c r="BMV788" s="10"/>
      <c r="BMW788" s="10"/>
      <c r="BMX788" s="10"/>
      <c r="BMY788" s="10"/>
      <c r="BMZ788" s="10"/>
      <c r="BNA788" s="10"/>
      <c r="BNB788" s="10"/>
      <c r="BNC788" s="10"/>
      <c r="BND788" s="10"/>
      <c r="BNE788" s="10"/>
      <c r="BNF788" s="10"/>
      <c r="BNG788" s="10"/>
      <c r="BNH788" s="10"/>
      <c r="BNI788" s="10"/>
      <c r="BNJ788" s="10"/>
      <c r="BNK788" s="10"/>
      <c r="BNL788" s="10"/>
      <c r="BNM788" s="10"/>
      <c r="BNN788" s="10"/>
      <c r="BNO788" s="10"/>
      <c r="BNP788" s="10"/>
      <c r="BNQ788" s="10"/>
      <c r="BNR788" s="10"/>
      <c r="BNS788" s="10"/>
      <c r="BNT788" s="10"/>
      <c r="BNU788" s="10"/>
      <c r="BNV788" s="10"/>
      <c r="BNW788" s="10"/>
      <c r="BNX788" s="10"/>
      <c r="BNY788" s="10"/>
      <c r="BNZ788" s="10"/>
      <c r="BOA788" s="10"/>
      <c r="BOB788" s="10"/>
      <c r="BOC788" s="10"/>
      <c r="BOD788" s="10"/>
      <c r="BOE788" s="10"/>
      <c r="BOF788" s="10"/>
      <c r="BOG788" s="10"/>
      <c r="BOH788" s="10"/>
      <c r="BOI788" s="10"/>
      <c r="BOJ788" s="10"/>
      <c r="BOK788" s="10"/>
      <c r="BOL788" s="10"/>
      <c r="BOM788" s="10"/>
      <c r="BON788" s="10"/>
      <c r="BOO788" s="10"/>
      <c r="BOP788" s="10"/>
      <c r="BOQ788" s="10"/>
      <c r="BOR788" s="10"/>
      <c r="BOS788" s="10"/>
      <c r="BOT788" s="10"/>
      <c r="BOU788" s="10"/>
      <c r="BOV788" s="10"/>
      <c r="BOW788" s="10"/>
      <c r="BOX788" s="10"/>
      <c r="BOY788" s="10"/>
      <c r="BOZ788" s="10"/>
      <c r="BPA788" s="10"/>
      <c r="BPB788" s="10"/>
      <c r="BPC788" s="10"/>
      <c r="BPD788" s="10"/>
      <c r="BPE788" s="10"/>
      <c r="BPF788" s="10"/>
      <c r="BPG788" s="10"/>
      <c r="BPH788" s="10"/>
      <c r="BPI788" s="10"/>
      <c r="BPJ788" s="10"/>
      <c r="BPK788" s="10"/>
      <c r="BPL788" s="10"/>
      <c r="BPM788" s="10"/>
      <c r="BPN788" s="10"/>
      <c r="BPO788" s="10"/>
      <c r="BPP788" s="10"/>
      <c r="BPQ788" s="10"/>
      <c r="BPR788" s="10"/>
      <c r="BPS788" s="10"/>
      <c r="BPT788" s="10"/>
      <c r="BPU788" s="10"/>
      <c r="BPV788" s="10"/>
      <c r="BPW788" s="10"/>
      <c r="BPX788" s="10"/>
      <c r="BPY788" s="10"/>
      <c r="BPZ788" s="10"/>
      <c r="BQA788" s="10"/>
      <c r="BQB788" s="10"/>
      <c r="BQC788" s="10"/>
      <c r="BQD788" s="10"/>
      <c r="BQE788" s="10"/>
      <c r="BQF788" s="10"/>
      <c r="BQG788" s="10"/>
      <c r="BQH788" s="10"/>
      <c r="BQI788" s="10"/>
      <c r="BQJ788" s="10"/>
      <c r="BQK788" s="10"/>
      <c r="BQL788" s="10"/>
      <c r="BQM788" s="10"/>
      <c r="BQN788" s="10"/>
      <c r="BQO788" s="10"/>
      <c r="BQP788" s="10"/>
      <c r="BQQ788" s="10"/>
      <c r="BQR788" s="10"/>
      <c r="BQS788" s="10"/>
      <c r="BQT788" s="10"/>
      <c r="BQU788" s="10"/>
      <c r="BQV788" s="10"/>
      <c r="BQW788" s="10"/>
      <c r="BQX788" s="10"/>
      <c r="BQY788" s="10"/>
      <c r="BQZ788" s="10"/>
      <c r="BRA788" s="10"/>
      <c r="BRB788" s="10"/>
      <c r="BRC788" s="10"/>
      <c r="BRD788" s="10"/>
      <c r="BRE788" s="10"/>
      <c r="BRF788" s="10"/>
      <c r="BRG788" s="10"/>
      <c r="BRH788" s="10"/>
      <c r="BRI788" s="10"/>
      <c r="BRJ788" s="10"/>
      <c r="BRK788" s="10"/>
      <c r="BRL788" s="10"/>
      <c r="BRM788" s="10"/>
      <c r="BRN788" s="10"/>
      <c r="BRO788" s="10"/>
      <c r="BRP788" s="10"/>
      <c r="BRQ788" s="10"/>
      <c r="BRR788" s="10"/>
      <c r="BRS788" s="10"/>
      <c r="BRT788" s="10"/>
      <c r="BRU788" s="10"/>
      <c r="BRV788" s="10"/>
      <c r="BRW788" s="10"/>
      <c r="BRX788" s="10"/>
      <c r="BRY788" s="10"/>
      <c r="BRZ788" s="10"/>
      <c r="BSA788" s="10"/>
      <c r="BSB788" s="10"/>
      <c r="BSC788" s="10"/>
      <c r="BSD788" s="10"/>
      <c r="BSE788" s="10"/>
      <c r="BSF788" s="10"/>
      <c r="BSG788" s="10"/>
      <c r="BSH788" s="10"/>
      <c r="BSI788" s="10"/>
      <c r="BSJ788" s="10"/>
      <c r="BSK788" s="10"/>
      <c r="BSL788" s="10"/>
      <c r="BSM788" s="10"/>
      <c r="BSN788" s="10"/>
      <c r="BSO788" s="10"/>
      <c r="BSP788" s="10"/>
      <c r="BSQ788" s="10"/>
      <c r="BSR788" s="10"/>
      <c r="BSS788" s="10"/>
      <c r="BST788" s="10"/>
      <c r="BSU788" s="10"/>
      <c r="BSV788" s="10"/>
      <c r="BSW788" s="10"/>
      <c r="BSX788" s="10"/>
      <c r="BSY788" s="10"/>
      <c r="BSZ788" s="10"/>
      <c r="BTA788" s="10"/>
      <c r="BTB788" s="10"/>
      <c r="BTC788" s="10"/>
      <c r="BTD788" s="10"/>
      <c r="BTE788" s="10"/>
      <c r="BTF788" s="10"/>
      <c r="BTG788" s="10"/>
      <c r="BTH788" s="10"/>
      <c r="BTI788" s="10"/>
      <c r="BTJ788" s="10"/>
      <c r="BTK788" s="10"/>
      <c r="BTL788" s="10"/>
      <c r="BTM788" s="10"/>
      <c r="BTN788" s="10"/>
      <c r="BTO788" s="10"/>
      <c r="BTP788" s="10"/>
      <c r="BTQ788" s="10"/>
      <c r="BTR788" s="10"/>
      <c r="BTS788" s="10"/>
      <c r="BTT788" s="10"/>
    </row>
    <row r="789" spans="1:1892" s="9" customFormat="1" ht="35.1" customHeight="1">
      <c r="A789" s="1462"/>
      <c r="B789" s="504"/>
      <c r="C789" s="942"/>
      <c r="D789" s="895"/>
      <c r="E789" s="896"/>
      <c r="F789" s="897"/>
      <c r="G789" s="1019" t="s">
        <v>329</v>
      </c>
      <c r="H789" s="1020"/>
      <c r="I789" s="1020"/>
      <c r="J789" s="1020"/>
      <c r="K789" s="1021"/>
      <c r="L789" s="133"/>
      <c r="M789" s="224">
        <f>SUM(M785:M788)</f>
        <v>925</v>
      </c>
      <c r="N789" s="263">
        <f>SUM(N785:N788)</f>
        <v>3</v>
      </c>
      <c r="O789" s="263">
        <f>SUM(O785:O788)</f>
        <v>3</v>
      </c>
      <c r="P789" s="562"/>
      <c r="Q789" s="562"/>
      <c r="R789" s="562"/>
      <c r="S789" s="1003"/>
      <c r="T789" s="807"/>
      <c r="U789" s="807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  <c r="EF789" s="10"/>
      <c r="EG789" s="10"/>
      <c r="EH789" s="10"/>
      <c r="EI789" s="10"/>
      <c r="EJ789" s="10"/>
      <c r="EK789" s="10"/>
      <c r="EL789" s="10"/>
      <c r="EM789" s="10"/>
      <c r="EN789" s="10"/>
      <c r="EO789" s="10"/>
      <c r="EP789" s="10"/>
      <c r="EQ789" s="10"/>
      <c r="ER789" s="10"/>
      <c r="ES789" s="10"/>
      <c r="ET789" s="10"/>
      <c r="EU789" s="10"/>
      <c r="EV789" s="10"/>
      <c r="EW789" s="10"/>
      <c r="EX789" s="10"/>
      <c r="EY789" s="10"/>
      <c r="EZ789" s="10"/>
      <c r="FA789" s="10"/>
      <c r="FB789" s="10"/>
      <c r="FC789" s="10"/>
      <c r="FD789" s="10"/>
      <c r="FE789" s="10"/>
      <c r="FF789" s="10"/>
      <c r="FG789" s="10"/>
      <c r="FH789" s="10"/>
      <c r="FI789" s="10"/>
      <c r="FJ789" s="10"/>
      <c r="FK789" s="10"/>
      <c r="FL789" s="10"/>
      <c r="FM789" s="10"/>
      <c r="FN789" s="10"/>
      <c r="FO789" s="10"/>
      <c r="FP789" s="10"/>
      <c r="FQ789" s="10"/>
      <c r="FR789" s="10"/>
      <c r="FS789" s="10"/>
      <c r="FT789" s="10"/>
      <c r="FU789" s="10"/>
      <c r="FV789" s="10"/>
      <c r="FW789" s="10"/>
      <c r="FX789" s="10"/>
      <c r="FY789" s="10"/>
      <c r="FZ789" s="10"/>
      <c r="GA789" s="10"/>
      <c r="GB789" s="10"/>
      <c r="GC789" s="10"/>
      <c r="GD789" s="10"/>
      <c r="GE789" s="10"/>
      <c r="GF789" s="10"/>
      <c r="GG789" s="10"/>
      <c r="GH789" s="10"/>
      <c r="GI789" s="10"/>
      <c r="GJ789" s="10"/>
      <c r="GK789" s="10"/>
      <c r="GL789" s="10"/>
      <c r="GM789" s="10"/>
      <c r="GN789" s="10"/>
      <c r="GO789" s="10"/>
      <c r="GP789" s="10"/>
      <c r="GQ789" s="10"/>
      <c r="GR789" s="10"/>
      <c r="GS789" s="10"/>
      <c r="GT789" s="10"/>
      <c r="GU789" s="10"/>
      <c r="GV789" s="10"/>
      <c r="GW789" s="10"/>
      <c r="GX789" s="10"/>
      <c r="GY789" s="10"/>
      <c r="GZ789" s="10"/>
      <c r="HA789" s="10"/>
      <c r="HB789" s="10"/>
      <c r="HC789" s="10"/>
      <c r="HD789" s="10"/>
      <c r="HE789" s="10"/>
      <c r="HF789" s="10"/>
      <c r="HG789" s="10"/>
      <c r="HH789" s="10"/>
      <c r="HI789" s="10"/>
      <c r="HJ789" s="10"/>
      <c r="HK789" s="10"/>
      <c r="HL789" s="10"/>
      <c r="HM789" s="10"/>
      <c r="HN789" s="10"/>
      <c r="HO789" s="10"/>
      <c r="HP789" s="10"/>
      <c r="HQ789" s="10"/>
      <c r="HR789" s="10"/>
      <c r="HS789" s="10"/>
      <c r="HT789" s="10"/>
      <c r="HU789" s="10"/>
      <c r="HV789" s="10"/>
      <c r="HW789" s="10"/>
      <c r="HX789" s="10"/>
      <c r="HY789" s="10"/>
      <c r="HZ789" s="10"/>
      <c r="IA789" s="10"/>
      <c r="IB789" s="10"/>
      <c r="IC789" s="10"/>
      <c r="ID789" s="10"/>
      <c r="IE789" s="10"/>
      <c r="IF789" s="10"/>
      <c r="IG789" s="10"/>
      <c r="IH789" s="10"/>
      <c r="II789" s="10"/>
      <c r="IJ789" s="10"/>
      <c r="IK789" s="10"/>
      <c r="IL789" s="10"/>
      <c r="IM789" s="10"/>
      <c r="IN789" s="10"/>
      <c r="IO789" s="10"/>
      <c r="IP789" s="10"/>
      <c r="IQ789" s="10"/>
      <c r="IR789" s="10"/>
      <c r="IS789" s="10"/>
      <c r="IT789" s="10"/>
      <c r="IU789" s="10"/>
      <c r="IV789" s="10"/>
      <c r="IW789" s="10"/>
      <c r="IX789" s="10"/>
      <c r="IY789" s="10"/>
      <c r="IZ789" s="10"/>
      <c r="JA789" s="10"/>
      <c r="JB789" s="10"/>
      <c r="JC789" s="10"/>
      <c r="JD789" s="10"/>
      <c r="JE789" s="10"/>
      <c r="JF789" s="10"/>
      <c r="JG789" s="10"/>
      <c r="JH789" s="10"/>
      <c r="JI789" s="10"/>
      <c r="JJ789" s="10"/>
      <c r="JK789" s="10"/>
      <c r="JL789" s="10"/>
      <c r="JM789" s="10"/>
      <c r="JN789" s="10"/>
      <c r="JO789" s="10"/>
      <c r="JP789" s="10"/>
      <c r="JQ789" s="10"/>
      <c r="JR789" s="10"/>
      <c r="JS789" s="10"/>
      <c r="JT789" s="10"/>
      <c r="JU789" s="10"/>
      <c r="JV789" s="10"/>
      <c r="JW789" s="10"/>
      <c r="JX789" s="10"/>
      <c r="JY789" s="10"/>
      <c r="JZ789" s="10"/>
      <c r="KA789" s="10"/>
      <c r="KB789" s="10"/>
      <c r="KC789" s="10"/>
      <c r="KD789" s="10"/>
      <c r="KE789" s="10"/>
      <c r="KF789" s="10"/>
      <c r="KG789" s="10"/>
      <c r="KH789" s="10"/>
      <c r="KI789" s="10"/>
      <c r="KJ789" s="10"/>
      <c r="KK789" s="10"/>
      <c r="KL789" s="10"/>
      <c r="KM789" s="10"/>
      <c r="KN789" s="10"/>
      <c r="KO789" s="10"/>
      <c r="KP789" s="10"/>
      <c r="KQ789" s="10"/>
      <c r="KR789" s="10"/>
      <c r="KS789" s="10"/>
      <c r="KT789" s="10"/>
      <c r="KU789" s="10"/>
      <c r="KV789" s="10"/>
      <c r="KW789" s="10"/>
      <c r="KX789" s="10"/>
      <c r="KY789" s="10"/>
      <c r="KZ789" s="10"/>
      <c r="LA789" s="10"/>
      <c r="LB789" s="10"/>
      <c r="LC789" s="10"/>
      <c r="LD789" s="10"/>
      <c r="LE789" s="10"/>
      <c r="LF789" s="10"/>
      <c r="LG789" s="10"/>
      <c r="LH789" s="10"/>
      <c r="LI789" s="10"/>
      <c r="LJ789" s="10"/>
      <c r="LK789" s="10"/>
      <c r="LL789" s="10"/>
      <c r="LM789" s="10"/>
      <c r="LN789" s="10"/>
      <c r="LO789" s="10"/>
      <c r="LP789" s="10"/>
      <c r="LQ789" s="10"/>
      <c r="LR789" s="10"/>
      <c r="LS789" s="10"/>
      <c r="LT789" s="10"/>
      <c r="LU789" s="10"/>
      <c r="LV789" s="10"/>
      <c r="LW789" s="10"/>
      <c r="LX789" s="10"/>
      <c r="LY789" s="10"/>
      <c r="LZ789" s="10"/>
      <c r="MA789" s="10"/>
      <c r="MB789" s="10"/>
      <c r="MC789" s="10"/>
      <c r="MD789" s="10"/>
      <c r="ME789" s="10"/>
      <c r="MF789" s="10"/>
      <c r="MG789" s="10"/>
      <c r="MH789" s="10"/>
      <c r="MI789" s="10"/>
      <c r="MJ789" s="10"/>
      <c r="MK789" s="10"/>
      <c r="ML789" s="10"/>
      <c r="MM789" s="10"/>
      <c r="MN789" s="10"/>
      <c r="MO789" s="10"/>
      <c r="MP789" s="10"/>
      <c r="MQ789" s="10"/>
      <c r="MR789" s="10"/>
      <c r="MS789" s="10"/>
      <c r="MT789" s="10"/>
      <c r="MU789" s="10"/>
      <c r="MV789" s="10"/>
      <c r="MW789" s="10"/>
      <c r="MX789" s="10"/>
      <c r="MY789" s="10"/>
      <c r="MZ789" s="10"/>
      <c r="NA789" s="10"/>
      <c r="NB789" s="10"/>
      <c r="NC789" s="10"/>
      <c r="ND789" s="10"/>
      <c r="NE789" s="10"/>
      <c r="NF789" s="10"/>
      <c r="NG789" s="10"/>
      <c r="NH789" s="10"/>
      <c r="NI789" s="10"/>
      <c r="NJ789" s="10"/>
      <c r="NK789" s="10"/>
      <c r="NL789" s="10"/>
      <c r="NM789" s="10"/>
      <c r="NN789" s="10"/>
      <c r="NO789" s="10"/>
      <c r="NP789" s="10"/>
      <c r="NQ789" s="10"/>
      <c r="NR789" s="10"/>
      <c r="NS789" s="10"/>
      <c r="NT789" s="10"/>
      <c r="NU789" s="10"/>
      <c r="NV789" s="10"/>
      <c r="NW789" s="10"/>
      <c r="NX789" s="10"/>
      <c r="NY789" s="10"/>
      <c r="NZ789" s="10"/>
      <c r="OA789" s="10"/>
      <c r="OB789" s="10"/>
      <c r="OC789" s="10"/>
      <c r="OD789" s="10"/>
      <c r="OE789" s="10"/>
      <c r="OF789" s="10"/>
      <c r="OG789" s="10"/>
      <c r="OH789" s="10"/>
      <c r="OI789" s="10"/>
      <c r="OJ789" s="10"/>
      <c r="OK789" s="10"/>
      <c r="OL789" s="10"/>
      <c r="OM789" s="10"/>
      <c r="ON789" s="10"/>
      <c r="OO789" s="10"/>
      <c r="OP789" s="10"/>
      <c r="OQ789" s="10"/>
      <c r="OR789" s="10"/>
      <c r="OS789" s="10"/>
      <c r="OT789" s="10"/>
      <c r="OU789" s="10"/>
      <c r="OV789" s="10"/>
      <c r="OW789" s="10"/>
      <c r="OX789" s="10"/>
      <c r="OY789" s="10"/>
      <c r="OZ789" s="10"/>
      <c r="PA789" s="10"/>
      <c r="PB789" s="10"/>
      <c r="PC789" s="10"/>
      <c r="PD789" s="10"/>
      <c r="PE789" s="10"/>
      <c r="PF789" s="10"/>
      <c r="PG789" s="10"/>
      <c r="PH789" s="10"/>
      <c r="PI789" s="10"/>
      <c r="PJ789" s="10"/>
      <c r="PK789" s="10"/>
      <c r="PL789" s="10"/>
      <c r="PM789" s="10"/>
      <c r="PN789" s="10"/>
      <c r="PO789" s="10"/>
      <c r="PP789" s="10"/>
      <c r="PQ789" s="10"/>
      <c r="PR789" s="10"/>
      <c r="PS789" s="10"/>
      <c r="PT789" s="10"/>
      <c r="PU789" s="10"/>
      <c r="PV789" s="10"/>
      <c r="PW789" s="10"/>
      <c r="PX789" s="10"/>
      <c r="PY789" s="10"/>
      <c r="PZ789" s="10"/>
      <c r="QA789" s="10"/>
      <c r="QB789" s="10"/>
      <c r="QC789" s="10"/>
      <c r="QD789" s="10"/>
      <c r="QE789" s="10"/>
      <c r="QF789" s="10"/>
      <c r="QG789" s="10"/>
      <c r="QH789" s="10"/>
      <c r="QI789" s="10"/>
      <c r="QJ789" s="10"/>
      <c r="QK789" s="10"/>
      <c r="QL789" s="10"/>
      <c r="QM789" s="10"/>
      <c r="QN789" s="10"/>
      <c r="QO789" s="10"/>
      <c r="QP789" s="10"/>
      <c r="QQ789" s="10"/>
      <c r="QR789" s="10"/>
      <c r="QS789" s="10"/>
      <c r="QT789" s="10"/>
      <c r="QU789" s="10"/>
      <c r="QV789" s="10"/>
      <c r="QW789" s="10"/>
      <c r="QX789" s="10"/>
      <c r="QY789" s="10"/>
      <c r="QZ789" s="10"/>
      <c r="RA789" s="10"/>
      <c r="RB789" s="10"/>
      <c r="RC789" s="10"/>
      <c r="RD789" s="10"/>
      <c r="RE789" s="10"/>
      <c r="RF789" s="10"/>
      <c r="RG789" s="10"/>
      <c r="RH789" s="10"/>
      <c r="RI789" s="10"/>
      <c r="RJ789" s="10"/>
      <c r="RK789" s="10"/>
      <c r="RL789" s="10"/>
      <c r="RM789" s="10"/>
      <c r="RN789" s="10"/>
      <c r="RO789" s="10"/>
      <c r="RP789" s="10"/>
      <c r="RQ789" s="10"/>
      <c r="RR789" s="10"/>
      <c r="RS789" s="10"/>
      <c r="RT789" s="10"/>
      <c r="RU789" s="10"/>
      <c r="RV789" s="10"/>
      <c r="RW789" s="10"/>
      <c r="RX789" s="10"/>
      <c r="RY789" s="10"/>
      <c r="RZ789" s="10"/>
      <c r="SA789" s="10"/>
      <c r="SB789" s="10"/>
      <c r="SC789" s="10"/>
      <c r="SD789" s="10"/>
      <c r="SE789" s="10"/>
      <c r="SF789" s="10"/>
      <c r="SG789" s="10"/>
      <c r="SH789" s="10"/>
      <c r="SI789" s="10"/>
      <c r="SJ789" s="10"/>
      <c r="SK789" s="10"/>
      <c r="SL789" s="10"/>
      <c r="SM789" s="10"/>
      <c r="SN789" s="10"/>
      <c r="SO789" s="10"/>
      <c r="SP789" s="10"/>
      <c r="SQ789" s="10"/>
      <c r="SR789" s="10"/>
      <c r="SS789" s="10"/>
      <c r="ST789" s="10"/>
      <c r="SU789" s="10"/>
      <c r="SV789" s="10"/>
      <c r="SW789" s="10"/>
      <c r="SX789" s="10"/>
      <c r="SY789" s="10"/>
      <c r="SZ789" s="10"/>
      <c r="TA789" s="10"/>
      <c r="TB789" s="10"/>
      <c r="TC789" s="10"/>
      <c r="TD789" s="10"/>
      <c r="TE789" s="10"/>
      <c r="TF789" s="10"/>
      <c r="TG789" s="10"/>
      <c r="TH789" s="10"/>
      <c r="TI789" s="10"/>
      <c r="TJ789" s="10"/>
      <c r="TK789" s="10"/>
      <c r="TL789" s="10"/>
      <c r="TM789" s="10"/>
      <c r="TN789" s="10"/>
      <c r="TO789" s="10"/>
      <c r="TP789" s="10"/>
      <c r="TQ789" s="10"/>
      <c r="TR789" s="10"/>
      <c r="TS789" s="10"/>
      <c r="TT789" s="10"/>
      <c r="TU789" s="10"/>
      <c r="TV789" s="10"/>
      <c r="TW789" s="10"/>
      <c r="TX789" s="10"/>
      <c r="TY789" s="10"/>
      <c r="TZ789" s="10"/>
      <c r="UA789" s="10"/>
      <c r="UB789" s="10"/>
      <c r="UC789" s="10"/>
      <c r="UD789" s="10"/>
      <c r="UE789" s="10"/>
      <c r="UF789" s="10"/>
      <c r="UG789" s="10"/>
      <c r="UH789" s="10"/>
      <c r="UI789" s="10"/>
      <c r="UJ789" s="10"/>
      <c r="UK789" s="10"/>
      <c r="UL789" s="10"/>
      <c r="UM789" s="10"/>
      <c r="UN789" s="10"/>
      <c r="UO789" s="10"/>
      <c r="UP789" s="10"/>
      <c r="UQ789" s="10"/>
      <c r="UR789" s="10"/>
      <c r="US789" s="10"/>
      <c r="UT789" s="10"/>
      <c r="UU789" s="10"/>
      <c r="UV789" s="10"/>
      <c r="UW789" s="10"/>
      <c r="UX789" s="10"/>
      <c r="UY789" s="10"/>
      <c r="UZ789" s="10"/>
      <c r="VA789" s="10"/>
      <c r="VB789" s="10"/>
      <c r="VC789" s="10"/>
      <c r="VD789" s="10"/>
      <c r="VE789" s="10"/>
      <c r="VF789" s="10"/>
      <c r="VG789" s="10"/>
      <c r="VH789" s="10"/>
      <c r="VI789" s="10"/>
      <c r="VJ789" s="10"/>
      <c r="VK789" s="10"/>
      <c r="VL789" s="10"/>
      <c r="VM789" s="10"/>
      <c r="VN789" s="10"/>
      <c r="VO789" s="10"/>
      <c r="VP789" s="10"/>
      <c r="VQ789" s="10"/>
      <c r="VR789" s="10"/>
      <c r="VS789" s="10"/>
      <c r="VT789" s="10"/>
      <c r="VU789" s="10"/>
      <c r="VV789" s="10"/>
      <c r="VW789" s="10"/>
      <c r="VX789" s="10"/>
      <c r="VY789" s="10"/>
      <c r="VZ789" s="10"/>
      <c r="WA789" s="10"/>
      <c r="WB789" s="10"/>
      <c r="WC789" s="10"/>
      <c r="WD789" s="10"/>
      <c r="WE789" s="10"/>
      <c r="WF789" s="10"/>
      <c r="WG789" s="10"/>
      <c r="WH789" s="10"/>
      <c r="WI789" s="10"/>
      <c r="WJ789" s="10"/>
      <c r="WK789" s="10"/>
      <c r="WL789" s="10"/>
      <c r="WM789" s="10"/>
      <c r="WN789" s="10"/>
      <c r="WO789" s="10"/>
      <c r="WP789" s="10"/>
      <c r="WQ789" s="10"/>
      <c r="WR789" s="10"/>
      <c r="WS789" s="10"/>
      <c r="WT789" s="10"/>
      <c r="WU789" s="10"/>
      <c r="WV789" s="10"/>
      <c r="WW789" s="10"/>
      <c r="WX789" s="10"/>
      <c r="WY789" s="10"/>
      <c r="WZ789" s="10"/>
      <c r="XA789" s="10"/>
      <c r="XB789" s="10"/>
      <c r="XC789" s="10"/>
      <c r="XD789" s="10"/>
      <c r="XE789" s="10"/>
      <c r="XF789" s="10"/>
      <c r="XG789" s="10"/>
      <c r="XH789" s="10"/>
      <c r="XI789" s="10"/>
      <c r="XJ789" s="10"/>
      <c r="XK789" s="10"/>
      <c r="XL789" s="10"/>
      <c r="XM789" s="10"/>
      <c r="XN789" s="10"/>
      <c r="XO789" s="10"/>
      <c r="XP789" s="10"/>
      <c r="XQ789" s="10"/>
      <c r="XR789" s="10"/>
      <c r="XS789" s="10"/>
      <c r="XT789" s="10"/>
      <c r="XU789" s="10"/>
      <c r="XV789" s="10"/>
      <c r="XW789" s="10"/>
      <c r="XX789" s="10"/>
      <c r="XY789" s="10"/>
      <c r="XZ789" s="10"/>
      <c r="YA789" s="10"/>
      <c r="YB789" s="10"/>
      <c r="YC789" s="10"/>
      <c r="YD789" s="10"/>
      <c r="YE789" s="10"/>
      <c r="YF789" s="10"/>
      <c r="YG789" s="10"/>
      <c r="YH789" s="10"/>
      <c r="YI789" s="10"/>
      <c r="YJ789" s="10"/>
      <c r="YK789" s="10"/>
      <c r="YL789" s="10"/>
      <c r="YM789" s="10"/>
      <c r="YN789" s="10"/>
      <c r="YO789" s="10"/>
      <c r="YP789" s="10"/>
      <c r="YQ789" s="10"/>
      <c r="YR789" s="10"/>
      <c r="YS789" s="10"/>
      <c r="YT789" s="10"/>
      <c r="YU789" s="10"/>
      <c r="YV789" s="10"/>
      <c r="YW789" s="10"/>
      <c r="YX789" s="10"/>
      <c r="YY789" s="10"/>
      <c r="YZ789" s="10"/>
      <c r="ZA789" s="10"/>
      <c r="ZB789" s="10"/>
      <c r="ZC789" s="10"/>
      <c r="ZD789" s="10"/>
      <c r="ZE789" s="10"/>
      <c r="ZF789" s="10"/>
      <c r="ZG789" s="10"/>
      <c r="ZH789" s="10"/>
      <c r="ZI789" s="10"/>
      <c r="ZJ789" s="10"/>
      <c r="ZK789" s="10"/>
      <c r="ZL789" s="10"/>
      <c r="ZM789" s="10"/>
      <c r="ZN789" s="10"/>
      <c r="ZO789" s="10"/>
      <c r="ZP789" s="10"/>
      <c r="ZQ789" s="10"/>
      <c r="ZR789" s="10"/>
      <c r="ZS789" s="10"/>
      <c r="ZT789" s="10"/>
      <c r="ZU789" s="10"/>
      <c r="ZV789" s="10"/>
      <c r="ZW789" s="10"/>
      <c r="ZX789" s="10"/>
      <c r="ZY789" s="10"/>
      <c r="ZZ789" s="10"/>
      <c r="AAA789" s="10"/>
      <c r="AAB789" s="10"/>
      <c r="AAC789" s="10"/>
      <c r="AAD789" s="10"/>
      <c r="AAE789" s="10"/>
      <c r="AAF789" s="10"/>
      <c r="AAG789" s="10"/>
      <c r="AAH789" s="10"/>
      <c r="AAI789" s="10"/>
      <c r="AAJ789" s="10"/>
      <c r="AAK789" s="10"/>
      <c r="AAL789" s="10"/>
      <c r="AAM789" s="10"/>
      <c r="AAN789" s="10"/>
      <c r="AAO789" s="10"/>
      <c r="AAP789" s="10"/>
      <c r="AAQ789" s="10"/>
      <c r="AAR789" s="10"/>
      <c r="AAS789" s="10"/>
      <c r="AAT789" s="10"/>
      <c r="AAU789" s="10"/>
      <c r="AAV789" s="10"/>
      <c r="AAW789" s="10"/>
      <c r="AAX789" s="10"/>
      <c r="AAY789" s="10"/>
      <c r="AAZ789" s="10"/>
      <c r="ABA789" s="10"/>
      <c r="ABB789" s="10"/>
      <c r="ABC789" s="10"/>
      <c r="ABD789" s="10"/>
      <c r="ABE789" s="10"/>
      <c r="ABF789" s="10"/>
      <c r="ABG789" s="10"/>
      <c r="ABH789" s="10"/>
      <c r="ABI789" s="10"/>
      <c r="ABJ789" s="10"/>
      <c r="ABK789" s="10"/>
      <c r="ABL789" s="10"/>
      <c r="ABM789" s="10"/>
      <c r="ABN789" s="10"/>
      <c r="ABO789" s="10"/>
      <c r="ABP789" s="10"/>
      <c r="ABQ789" s="10"/>
      <c r="ABR789" s="10"/>
      <c r="ABS789" s="10"/>
      <c r="ABT789" s="10"/>
      <c r="ABU789" s="10"/>
      <c r="ABV789" s="10"/>
      <c r="ABW789" s="10"/>
      <c r="ABX789" s="10"/>
      <c r="ABY789" s="10"/>
      <c r="ABZ789" s="10"/>
      <c r="ACA789" s="10"/>
      <c r="ACB789" s="10"/>
      <c r="ACC789" s="10"/>
      <c r="ACD789" s="10"/>
      <c r="ACE789" s="10"/>
      <c r="ACF789" s="10"/>
      <c r="ACG789" s="10"/>
      <c r="ACH789" s="10"/>
      <c r="ACI789" s="10"/>
      <c r="ACJ789" s="10"/>
      <c r="ACK789" s="10"/>
      <c r="ACL789" s="10"/>
      <c r="ACM789" s="10"/>
      <c r="ACN789" s="10"/>
      <c r="ACO789" s="10"/>
      <c r="ACP789" s="10"/>
      <c r="ACQ789" s="10"/>
      <c r="ACR789" s="10"/>
      <c r="ACS789" s="10"/>
      <c r="ACT789" s="10"/>
      <c r="ACU789" s="10"/>
      <c r="ACV789" s="10"/>
      <c r="ACW789" s="10"/>
      <c r="ACX789" s="10"/>
      <c r="ACY789" s="10"/>
      <c r="ACZ789" s="10"/>
      <c r="ADA789" s="10"/>
      <c r="ADB789" s="10"/>
      <c r="ADC789" s="10"/>
      <c r="ADD789" s="10"/>
      <c r="ADE789" s="10"/>
      <c r="ADF789" s="10"/>
      <c r="ADG789" s="10"/>
      <c r="ADH789" s="10"/>
      <c r="ADI789" s="10"/>
      <c r="ADJ789" s="10"/>
      <c r="ADK789" s="10"/>
      <c r="ADL789" s="10"/>
      <c r="ADM789" s="10"/>
      <c r="ADN789" s="10"/>
      <c r="ADO789" s="10"/>
      <c r="ADP789" s="10"/>
      <c r="ADQ789" s="10"/>
      <c r="ADR789" s="10"/>
      <c r="ADS789" s="10"/>
      <c r="ADT789" s="10"/>
      <c r="ADU789" s="10"/>
      <c r="ADV789" s="10"/>
      <c r="ADW789" s="10"/>
      <c r="ADX789" s="10"/>
      <c r="ADY789" s="10"/>
      <c r="ADZ789" s="10"/>
      <c r="AEA789" s="10"/>
      <c r="AEB789" s="10"/>
      <c r="AEC789" s="10"/>
      <c r="AED789" s="10"/>
      <c r="AEE789" s="10"/>
      <c r="AEF789" s="10"/>
      <c r="AEG789" s="10"/>
      <c r="AEH789" s="10"/>
      <c r="AEI789" s="10"/>
      <c r="AEJ789" s="10"/>
      <c r="AEK789" s="10"/>
      <c r="AEL789" s="10"/>
      <c r="AEM789" s="10"/>
      <c r="AEN789" s="10"/>
      <c r="AEO789" s="10"/>
      <c r="AEP789" s="10"/>
      <c r="AEQ789" s="10"/>
      <c r="AER789" s="10"/>
      <c r="AES789" s="10"/>
      <c r="AET789" s="10"/>
      <c r="AEU789" s="10"/>
      <c r="AEV789" s="10"/>
      <c r="AEW789" s="10"/>
      <c r="AEX789" s="10"/>
      <c r="AEY789" s="10"/>
      <c r="AEZ789" s="10"/>
      <c r="AFA789" s="10"/>
      <c r="AFB789" s="10"/>
      <c r="AFC789" s="10"/>
      <c r="AFD789" s="10"/>
      <c r="AFE789" s="10"/>
      <c r="AFF789" s="10"/>
      <c r="AFG789" s="10"/>
      <c r="AFH789" s="10"/>
      <c r="AFI789" s="10"/>
      <c r="AFJ789" s="10"/>
      <c r="AFK789" s="10"/>
      <c r="AFL789" s="10"/>
      <c r="AFM789" s="10"/>
      <c r="AFN789" s="10"/>
      <c r="AFO789" s="10"/>
      <c r="AFP789" s="10"/>
      <c r="AFQ789" s="10"/>
      <c r="AFR789" s="10"/>
      <c r="AFS789" s="10"/>
      <c r="AFT789" s="10"/>
      <c r="AFU789" s="10"/>
      <c r="AFV789" s="10"/>
      <c r="AFW789" s="10"/>
      <c r="AFX789" s="10"/>
      <c r="AFY789" s="10"/>
      <c r="AFZ789" s="10"/>
      <c r="AGA789" s="10"/>
      <c r="AGB789" s="10"/>
      <c r="AGC789" s="10"/>
      <c r="AGD789" s="10"/>
      <c r="AGE789" s="10"/>
      <c r="AGF789" s="10"/>
      <c r="AGG789" s="10"/>
      <c r="AGH789" s="10"/>
      <c r="AGI789" s="10"/>
      <c r="AGJ789" s="10"/>
      <c r="AGK789" s="10"/>
      <c r="AGL789" s="10"/>
      <c r="AGM789" s="10"/>
      <c r="AGN789" s="10"/>
      <c r="AGO789" s="10"/>
      <c r="AGP789" s="10"/>
      <c r="AGQ789" s="10"/>
      <c r="AGR789" s="10"/>
      <c r="AGS789" s="10"/>
      <c r="AGT789" s="10"/>
      <c r="AGU789" s="10"/>
      <c r="AGV789" s="10"/>
      <c r="AGW789" s="10"/>
      <c r="AGX789" s="10"/>
      <c r="AGY789" s="10"/>
      <c r="AGZ789" s="10"/>
      <c r="AHA789" s="10"/>
      <c r="AHB789" s="10"/>
      <c r="AHC789" s="10"/>
      <c r="AHD789" s="10"/>
      <c r="AHE789" s="10"/>
      <c r="AHF789" s="10"/>
      <c r="AHG789" s="10"/>
      <c r="AHH789" s="10"/>
      <c r="AHI789" s="10"/>
      <c r="AHJ789" s="10"/>
      <c r="AHK789" s="10"/>
      <c r="AHL789" s="10"/>
      <c r="AHM789" s="10"/>
      <c r="AHN789" s="10"/>
      <c r="AHO789" s="10"/>
      <c r="AHP789" s="10"/>
      <c r="AHQ789" s="10"/>
      <c r="AHR789" s="10"/>
      <c r="AHS789" s="10"/>
      <c r="AHT789" s="10"/>
      <c r="AHU789" s="10"/>
      <c r="AHV789" s="10"/>
      <c r="AHW789" s="10"/>
      <c r="AHX789" s="10"/>
      <c r="AHY789" s="10"/>
      <c r="AHZ789" s="10"/>
      <c r="AIA789" s="10"/>
      <c r="AIB789" s="10"/>
      <c r="AIC789" s="10"/>
      <c r="AID789" s="10"/>
      <c r="AIE789" s="10"/>
      <c r="AIF789" s="10"/>
      <c r="AIG789" s="10"/>
      <c r="AIH789" s="10"/>
      <c r="AII789" s="10"/>
      <c r="AIJ789" s="10"/>
      <c r="AIK789" s="10"/>
      <c r="AIL789" s="10"/>
      <c r="AIM789" s="10"/>
      <c r="AIN789" s="10"/>
      <c r="AIO789" s="10"/>
      <c r="AIP789" s="10"/>
      <c r="AIQ789" s="10"/>
      <c r="AIR789" s="10"/>
      <c r="AIS789" s="10"/>
      <c r="AIT789" s="10"/>
      <c r="AIU789" s="10"/>
      <c r="AIV789" s="10"/>
      <c r="AIW789" s="10"/>
      <c r="AIX789" s="10"/>
      <c r="AIY789" s="10"/>
      <c r="AIZ789" s="10"/>
      <c r="AJA789" s="10"/>
      <c r="AJB789" s="10"/>
      <c r="AJC789" s="10"/>
      <c r="AJD789" s="10"/>
      <c r="AJE789" s="10"/>
      <c r="AJF789" s="10"/>
      <c r="AJG789" s="10"/>
      <c r="AJH789" s="10"/>
      <c r="AJI789" s="10"/>
      <c r="AJJ789" s="10"/>
      <c r="AJK789" s="10"/>
      <c r="AJL789" s="10"/>
      <c r="AJM789" s="10"/>
      <c r="AJN789" s="10"/>
      <c r="AJO789" s="10"/>
      <c r="AJP789" s="10"/>
      <c r="AJQ789" s="10"/>
      <c r="AJR789" s="10"/>
      <c r="AJS789" s="10"/>
      <c r="AJT789" s="10"/>
      <c r="AJU789" s="10"/>
      <c r="AJV789" s="10"/>
      <c r="AJW789" s="10"/>
      <c r="AJX789" s="10"/>
      <c r="AJY789" s="10"/>
      <c r="AJZ789" s="10"/>
      <c r="AKA789" s="10"/>
      <c r="AKB789" s="10"/>
      <c r="AKC789" s="10"/>
      <c r="AKD789" s="10"/>
      <c r="AKE789" s="10"/>
      <c r="AKF789" s="10"/>
      <c r="AKG789" s="10"/>
      <c r="AKH789" s="10"/>
      <c r="AKI789" s="10"/>
      <c r="AKJ789" s="10"/>
      <c r="AKK789" s="10"/>
      <c r="AKL789" s="10"/>
      <c r="AKM789" s="10"/>
      <c r="AKN789" s="10"/>
      <c r="AKO789" s="10"/>
      <c r="AKP789" s="10"/>
      <c r="AKQ789" s="10"/>
      <c r="AKR789" s="10"/>
      <c r="AKS789" s="10"/>
      <c r="AKT789" s="10"/>
      <c r="AKU789" s="10"/>
      <c r="AKV789" s="10"/>
      <c r="AKW789" s="10"/>
      <c r="AKX789" s="10"/>
      <c r="AKY789" s="10"/>
      <c r="AKZ789" s="10"/>
      <c r="ALA789" s="10"/>
      <c r="ALB789" s="10"/>
      <c r="ALC789" s="10"/>
      <c r="ALD789" s="10"/>
      <c r="ALE789" s="10"/>
      <c r="ALF789" s="10"/>
      <c r="ALG789" s="10"/>
      <c r="ALH789" s="10"/>
      <c r="ALI789" s="10"/>
      <c r="ALJ789" s="10"/>
      <c r="ALK789" s="10"/>
      <c r="ALL789" s="10"/>
      <c r="ALM789" s="10"/>
      <c r="ALN789" s="10"/>
      <c r="ALO789" s="10"/>
      <c r="ALP789" s="10"/>
      <c r="ALQ789" s="10"/>
      <c r="ALR789" s="10"/>
      <c r="ALS789" s="10"/>
      <c r="ALT789" s="10"/>
      <c r="ALU789" s="10"/>
      <c r="ALV789" s="10"/>
      <c r="ALW789" s="10"/>
      <c r="ALX789" s="10"/>
      <c r="ALY789" s="10"/>
      <c r="ALZ789" s="10"/>
      <c r="AMA789" s="10"/>
      <c r="AMB789" s="10"/>
      <c r="AMC789" s="10"/>
      <c r="AMD789" s="10"/>
      <c r="AME789" s="10"/>
      <c r="AMF789" s="10"/>
      <c r="AMG789" s="10"/>
      <c r="AMH789" s="10"/>
      <c r="AMI789" s="10"/>
      <c r="AMJ789" s="10"/>
      <c r="AMK789" s="10"/>
      <c r="AML789" s="10"/>
      <c r="AMM789" s="10"/>
      <c r="AMN789" s="10"/>
      <c r="AMO789" s="10"/>
      <c r="AMP789" s="10"/>
      <c r="AMQ789" s="10"/>
      <c r="AMR789" s="10"/>
      <c r="AMS789" s="10"/>
      <c r="AMT789" s="10"/>
      <c r="AMU789" s="10"/>
      <c r="AMV789" s="10"/>
      <c r="AMW789" s="10"/>
      <c r="AMX789" s="10"/>
      <c r="AMY789" s="10"/>
      <c r="AMZ789" s="10"/>
      <c r="ANA789" s="10"/>
      <c r="ANB789" s="10"/>
      <c r="ANC789" s="10"/>
      <c r="AND789" s="10"/>
      <c r="ANE789" s="10"/>
      <c r="ANF789" s="10"/>
      <c r="ANG789" s="10"/>
      <c r="ANH789" s="10"/>
      <c r="ANI789" s="10"/>
      <c r="ANJ789" s="10"/>
      <c r="ANK789" s="10"/>
      <c r="ANL789" s="10"/>
      <c r="ANM789" s="10"/>
      <c r="ANN789" s="10"/>
      <c r="ANO789" s="10"/>
      <c r="ANP789" s="10"/>
      <c r="ANQ789" s="10"/>
      <c r="ANR789" s="10"/>
      <c r="ANS789" s="10"/>
      <c r="ANT789" s="10"/>
      <c r="ANU789" s="10"/>
      <c r="ANV789" s="10"/>
      <c r="ANW789" s="10"/>
      <c r="ANX789" s="10"/>
      <c r="ANY789" s="10"/>
      <c r="ANZ789" s="10"/>
      <c r="AOA789" s="10"/>
      <c r="AOB789" s="10"/>
      <c r="AOC789" s="10"/>
      <c r="AOD789" s="10"/>
      <c r="AOE789" s="10"/>
      <c r="AOF789" s="10"/>
      <c r="AOG789" s="10"/>
      <c r="AOH789" s="10"/>
      <c r="AOI789" s="10"/>
      <c r="AOJ789" s="10"/>
      <c r="AOK789" s="10"/>
      <c r="AOL789" s="10"/>
      <c r="AOM789" s="10"/>
      <c r="AON789" s="10"/>
      <c r="AOO789" s="10"/>
      <c r="AOP789" s="10"/>
      <c r="AOQ789" s="10"/>
      <c r="AOR789" s="10"/>
      <c r="AOS789" s="10"/>
      <c r="AOT789" s="10"/>
      <c r="AOU789" s="10"/>
      <c r="AOV789" s="10"/>
      <c r="AOW789" s="10"/>
      <c r="AOX789" s="10"/>
      <c r="AOY789" s="10"/>
      <c r="AOZ789" s="10"/>
      <c r="APA789" s="10"/>
      <c r="APB789" s="10"/>
      <c r="APC789" s="10"/>
      <c r="APD789" s="10"/>
      <c r="APE789" s="10"/>
      <c r="APF789" s="10"/>
      <c r="APG789" s="10"/>
      <c r="APH789" s="10"/>
      <c r="API789" s="10"/>
      <c r="APJ789" s="10"/>
      <c r="APK789" s="10"/>
      <c r="APL789" s="10"/>
      <c r="APM789" s="10"/>
      <c r="APN789" s="10"/>
      <c r="APO789" s="10"/>
      <c r="APP789" s="10"/>
      <c r="APQ789" s="10"/>
      <c r="APR789" s="10"/>
      <c r="APS789" s="10"/>
      <c r="APT789" s="10"/>
      <c r="APU789" s="10"/>
      <c r="APV789" s="10"/>
      <c r="APW789" s="10"/>
      <c r="APX789" s="10"/>
      <c r="APY789" s="10"/>
      <c r="APZ789" s="10"/>
      <c r="AQA789" s="10"/>
      <c r="AQB789" s="10"/>
      <c r="AQC789" s="10"/>
      <c r="AQD789" s="10"/>
      <c r="AQE789" s="10"/>
      <c r="AQF789" s="10"/>
      <c r="AQG789" s="10"/>
      <c r="AQH789" s="10"/>
      <c r="AQI789" s="10"/>
      <c r="AQJ789" s="10"/>
      <c r="AQK789" s="10"/>
      <c r="AQL789" s="10"/>
      <c r="AQM789" s="10"/>
      <c r="AQN789" s="10"/>
      <c r="AQO789" s="10"/>
      <c r="AQP789" s="10"/>
      <c r="AQQ789" s="10"/>
      <c r="AQR789" s="10"/>
      <c r="AQS789" s="10"/>
      <c r="AQT789" s="10"/>
      <c r="AQU789" s="10"/>
      <c r="AQV789" s="10"/>
      <c r="AQW789" s="10"/>
      <c r="AQX789" s="10"/>
      <c r="AQY789" s="10"/>
      <c r="AQZ789" s="10"/>
      <c r="ARA789" s="10"/>
      <c r="ARB789" s="10"/>
      <c r="ARC789" s="10"/>
      <c r="ARD789" s="10"/>
      <c r="ARE789" s="10"/>
      <c r="ARF789" s="10"/>
      <c r="ARG789" s="10"/>
      <c r="ARH789" s="10"/>
      <c r="ARI789" s="10"/>
      <c r="ARJ789" s="10"/>
      <c r="ARK789" s="10"/>
      <c r="ARL789" s="10"/>
      <c r="ARM789" s="10"/>
      <c r="ARN789" s="10"/>
      <c r="ARO789" s="10"/>
      <c r="ARP789" s="10"/>
      <c r="ARQ789" s="10"/>
      <c r="ARR789" s="10"/>
      <c r="ARS789" s="10"/>
      <c r="ART789" s="10"/>
      <c r="ARU789" s="10"/>
      <c r="ARV789" s="10"/>
      <c r="ARW789" s="10"/>
      <c r="ARX789" s="10"/>
      <c r="ARY789" s="10"/>
      <c r="ARZ789" s="10"/>
      <c r="ASA789" s="10"/>
      <c r="ASB789" s="10"/>
      <c r="ASC789" s="10"/>
      <c r="ASD789" s="10"/>
      <c r="ASE789" s="10"/>
      <c r="ASF789" s="10"/>
      <c r="ASG789" s="10"/>
      <c r="ASH789" s="10"/>
      <c r="ASI789" s="10"/>
      <c r="ASJ789" s="10"/>
      <c r="ASK789" s="10"/>
      <c r="ASL789" s="10"/>
      <c r="ASM789" s="10"/>
      <c r="ASN789" s="10"/>
      <c r="ASO789" s="10"/>
      <c r="ASP789" s="10"/>
      <c r="ASQ789" s="10"/>
      <c r="ASR789" s="10"/>
      <c r="ASS789" s="10"/>
      <c r="AST789" s="10"/>
      <c r="ASU789" s="10"/>
      <c r="ASV789" s="10"/>
      <c r="ASW789" s="10"/>
      <c r="ASX789" s="10"/>
      <c r="ASY789" s="10"/>
      <c r="ASZ789" s="10"/>
      <c r="ATA789" s="10"/>
      <c r="ATB789" s="10"/>
      <c r="ATC789" s="10"/>
      <c r="ATD789" s="10"/>
      <c r="ATE789" s="10"/>
      <c r="ATF789" s="10"/>
      <c r="ATG789" s="10"/>
      <c r="ATH789" s="10"/>
      <c r="ATI789" s="10"/>
      <c r="ATJ789" s="10"/>
      <c r="ATK789" s="10"/>
      <c r="ATL789" s="10"/>
      <c r="ATM789" s="10"/>
      <c r="ATN789" s="10"/>
      <c r="ATO789" s="10"/>
      <c r="ATP789" s="10"/>
      <c r="ATQ789" s="10"/>
      <c r="ATR789" s="10"/>
      <c r="ATS789" s="10"/>
      <c r="ATT789" s="10"/>
      <c r="ATU789" s="10"/>
      <c r="ATV789" s="10"/>
      <c r="ATW789" s="10"/>
      <c r="ATX789" s="10"/>
      <c r="ATY789" s="10"/>
      <c r="ATZ789" s="10"/>
      <c r="AUA789" s="10"/>
      <c r="AUB789" s="10"/>
      <c r="AUC789" s="10"/>
      <c r="AUD789" s="10"/>
      <c r="AUE789" s="10"/>
      <c r="AUF789" s="10"/>
      <c r="AUG789" s="10"/>
      <c r="AUH789" s="10"/>
      <c r="AUI789" s="10"/>
      <c r="AUJ789" s="10"/>
      <c r="AUK789" s="10"/>
      <c r="AUL789" s="10"/>
      <c r="AUM789" s="10"/>
      <c r="AUN789" s="10"/>
      <c r="AUO789" s="10"/>
      <c r="AUP789" s="10"/>
      <c r="AUQ789" s="10"/>
      <c r="AUR789" s="10"/>
      <c r="AUS789" s="10"/>
      <c r="AUT789" s="10"/>
      <c r="AUU789" s="10"/>
      <c r="AUV789" s="10"/>
      <c r="AUW789" s="10"/>
      <c r="AUX789" s="10"/>
      <c r="AUY789" s="10"/>
      <c r="AUZ789" s="10"/>
      <c r="AVA789" s="10"/>
      <c r="AVB789" s="10"/>
      <c r="AVC789" s="10"/>
      <c r="AVD789" s="10"/>
      <c r="AVE789" s="10"/>
      <c r="AVF789" s="10"/>
      <c r="AVG789" s="10"/>
      <c r="AVH789" s="10"/>
      <c r="AVI789" s="10"/>
      <c r="AVJ789" s="10"/>
      <c r="AVK789" s="10"/>
      <c r="AVL789" s="10"/>
      <c r="AVM789" s="10"/>
      <c r="AVN789" s="10"/>
      <c r="AVO789" s="10"/>
      <c r="AVP789" s="10"/>
      <c r="AVQ789" s="10"/>
      <c r="AVR789" s="10"/>
      <c r="AVS789" s="10"/>
      <c r="AVT789" s="10"/>
      <c r="AVU789" s="10"/>
      <c r="AVV789" s="10"/>
      <c r="AVW789" s="10"/>
      <c r="AVX789" s="10"/>
      <c r="AVY789" s="10"/>
      <c r="AVZ789" s="10"/>
      <c r="AWA789" s="10"/>
      <c r="AWB789" s="10"/>
      <c r="AWC789" s="10"/>
      <c r="AWD789" s="10"/>
      <c r="AWE789" s="10"/>
      <c r="AWF789" s="10"/>
      <c r="AWG789" s="10"/>
      <c r="AWH789" s="10"/>
      <c r="AWI789" s="10"/>
      <c r="AWJ789" s="10"/>
      <c r="AWK789" s="10"/>
      <c r="AWL789" s="10"/>
      <c r="AWM789" s="10"/>
      <c r="AWN789" s="10"/>
      <c r="AWO789" s="10"/>
      <c r="AWP789" s="10"/>
      <c r="AWQ789" s="10"/>
      <c r="AWR789" s="10"/>
      <c r="AWS789" s="10"/>
      <c r="AWT789" s="10"/>
      <c r="AWU789" s="10"/>
      <c r="AWV789" s="10"/>
      <c r="AWW789" s="10"/>
      <c r="AWX789" s="10"/>
      <c r="AWY789" s="10"/>
      <c r="AWZ789" s="10"/>
      <c r="AXA789" s="10"/>
      <c r="AXB789" s="10"/>
      <c r="AXC789" s="10"/>
      <c r="AXD789" s="10"/>
      <c r="AXE789" s="10"/>
      <c r="AXF789" s="10"/>
      <c r="AXG789" s="10"/>
      <c r="AXH789" s="10"/>
      <c r="AXI789" s="10"/>
      <c r="AXJ789" s="10"/>
      <c r="AXK789" s="10"/>
      <c r="AXL789" s="10"/>
      <c r="AXM789" s="10"/>
      <c r="AXN789" s="10"/>
      <c r="AXO789" s="10"/>
      <c r="AXP789" s="10"/>
      <c r="AXQ789" s="10"/>
      <c r="AXR789" s="10"/>
      <c r="AXS789" s="10"/>
      <c r="AXT789" s="10"/>
      <c r="AXU789" s="10"/>
      <c r="AXV789" s="10"/>
      <c r="AXW789" s="10"/>
      <c r="AXX789" s="10"/>
      <c r="AXY789" s="10"/>
      <c r="AXZ789" s="10"/>
      <c r="AYA789" s="10"/>
      <c r="AYB789" s="10"/>
      <c r="AYC789" s="10"/>
      <c r="AYD789" s="10"/>
      <c r="AYE789" s="10"/>
      <c r="AYF789" s="10"/>
      <c r="AYG789" s="10"/>
      <c r="AYH789" s="10"/>
      <c r="AYI789" s="10"/>
      <c r="AYJ789" s="10"/>
      <c r="AYK789" s="10"/>
      <c r="AYL789" s="10"/>
      <c r="AYM789" s="10"/>
      <c r="AYN789" s="10"/>
      <c r="AYO789" s="10"/>
      <c r="AYP789" s="10"/>
      <c r="AYQ789" s="10"/>
      <c r="AYR789" s="10"/>
      <c r="AYS789" s="10"/>
      <c r="AYT789" s="10"/>
      <c r="AYU789" s="10"/>
      <c r="AYV789" s="10"/>
      <c r="AYW789" s="10"/>
      <c r="AYX789" s="10"/>
      <c r="AYY789" s="10"/>
      <c r="AYZ789" s="10"/>
      <c r="AZA789" s="10"/>
      <c r="AZB789" s="10"/>
      <c r="AZC789" s="10"/>
      <c r="AZD789" s="10"/>
      <c r="AZE789" s="10"/>
      <c r="AZF789" s="10"/>
      <c r="AZG789" s="10"/>
      <c r="AZH789" s="10"/>
      <c r="AZI789" s="10"/>
      <c r="AZJ789" s="10"/>
      <c r="AZK789" s="10"/>
      <c r="AZL789" s="10"/>
      <c r="AZM789" s="10"/>
      <c r="AZN789" s="10"/>
      <c r="AZO789" s="10"/>
      <c r="AZP789" s="10"/>
      <c r="AZQ789" s="10"/>
      <c r="AZR789" s="10"/>
      <c r="AZS789" s="10"/>
      <c r="AZT789" s="10"/>
      <c r="AZU789" s="10"/>
      <c r="AZV789" s="10"/>
      <c r="AZW789" s="10"/>
      <c r="AZX789" s="10"/>
      <c r="AZY789" s="10"/>
      <c r="AZZ789" s="10"/>
      <c r="BAA789" s="10"/>
      <c r="BAB789" s="10"/>
      <c r="BAC789" s="10"/>
      <c r="BAD789" s="10"/>
      <c r="BAE789" s="10"/>
      <c r="BAF789" s="10"/>
      <c r="BAG789" s="10"/>
      <c r="BAH789" s="10"/>
      <c r="BAI789" s="10"/>
      <c r="BAJ789" s="10"/>
      <c r="BAK789" s="10"/>
      <c r="BAL789" s="10"/>
      <c r="BAM789" s="10"/>
      <c r="BAN789" s="10"/>
      <c r="BAO789" s="10"/>
      <c r="BAP789" s="10"/>
      <c r="BAQ789" s="10"/>
      <c r="BAR789" s="10"/>
      <c r="BAS789" s="10"/>
      <c r="BAT789" s="10"/>
      <c r="BAU789" s="10"/>
      <c r="BAV789" s="10"/>
      <c r="BAW789" s="10"/>
      <c r="BAX789" s="10"/>
      <c r="BAY789" s="10"/>
      <c r="BAZ789" s="10"/>
      <c r="BBA789" s="10"/>
      <c r="BBB789" s="10"/>
      <c r="BBC789" s="10"/>
      <c r="BBD789" s="10"/>
      <c r="BBE789" s="10"/>
      <c r="BBF789" s="10"/>
      <c r="BBG789" s="10"/>
      <c r="BBH789" s="10"/>
      <c r="BBI789" s="10"/>
      <c r="BBJ789" s="10"/>
      <c r="BBK789" s="10"/>
      <c r="BBL789" s="10"/>
      <c r="BBM789" s="10"/>
      <c r="BBN789" s="10"/>
      <c r="BBO789" s="10"/>
      <c r="BBP789" s="10"/>
      <c r="BBQ789" s="10"/>
      <c r="BBR789" s="10"/>
      <c r="BBS789" s="10"/>
      <c r="BBT789" s="10"/>
      <c r="BBU789" s="10"/>
      <c r="BBV789" s="10"/>
      <c r="BBW789" s="10"/>
      <c r="BBX789" s="10"/>
      <c r="BBY789" s="10"/>
      <c r="BBZ789" s="10"/>
      <c r="BCA789" s="10"/>
      <c r="BCB789" s="10"/>
      <c r="BCC789" s="10"/>
      <c r="BCD789" s="10"/>
      <c r="BCE789" s="10"/>
      <c r="BCF789" s="10"/>
      <c r="BCG789" s="10"/>
      <c r="BCH789" s="10"/>
      <c r="BCI789" s="10"/>
      <c r="BCJ789" s="10"/>
      <c r="BCK789" s="10"/>
      <c r="BCL789" s="10"/>
      <c r="BCM789" s="10"/>
      <c r="BCN789" s="10"/>
      <c r="BCO789" s="10"/>
      <c r="BCP789" s="10"/>
      <c r="BCQ789" s="10"/>
      <c r="BCR789" s="10"/>
      <c r="BCS789" s="10"/>
      <c r="BCT789" s="10"/>
      <c r="BCU789" s="10"/>
      <c r="BCV789" s="10"/>
      <c r="BCW789" s="10"/>
      <c r="BCX789" s="10"/>
      <c r="BCY789" s="10"/>
      <c r="BCZ789" s="10"/>
      <c r="BDA789" s="10"/>
      <c r="BDB789" s="10"/>
      <c r="BDC789" s="10"/>
      <c r="BDD789" s="10"/>
      <c r="BDE789" s="10"/>
      <c r="BDF789" s="10"/>
      <c r="BDG789" s="10"/>
      <c r="BDH789" s="10"/>
      <c r="BDI789" s="10"/>
      <c r="BDJ789" s="10"/>
      <c r="BDK789" s="10"/>
      <c r="BDL789" s="10"/>
      <c r="BDM789" s="10"/>
      <c r="BDN789" s="10"/>
      <c r="BDO789" s="10"/>
      <c r="BDP789" s="10"/>
      <c r="BDQ789" s="10"/>
      <c r="BDR789" s="10"/>
      <c r="BDS789" s="10"/>
      <c r="BDT789" s="10"/>
      <c r="BDU789" s="10"/>
      <c r="BDV789" s="10"/>
      <c r="BDW789" s="10"/>
      <c r="BDX789" s="10"/>
      <c r="BDY789" s="10"/>
      <c r="BDZ789" s="10"/>
      <c r="BEA789" s="10"/>
      <c r="BEB789" s="10"/>
      <c r="BEC789" s="10"/>
      <c r="BED789" s="10"/>
      <c r="BEE789" s="10"/>
      <c r="BEF789" s="10"/>
      <c r="BEG789" s="10"/>
      <c r="BEH789" s="10"/>
      <c r="BEI789" s="10"/>
      <c r="BEJ789" s="10"/>
      <c r="BEK789" s="10"/>
      <c r="BEL789" s="10"/>
      <c r="BEM789" s="10"/>
      <c r="BEN789" s="10"/>
      <c r="BEO789" s="10"/>
      <c r="BEP789" s="10"/>
      <c r="BEQ789" s="10"/>
      <c r="BER789" s="10"/>
      <c r="BES789" s="10"/>
      <c r="BET789" s="10"/>
      <c r="BEU789" s="10"/>
      <c r="BEV789" s="10"/>
      <c r="BEW789" s="10"/>
      <c r="BEX789" s="10"/>
      <c r="BEY789" s="10"/>
      <c r="BEZ789" s="10"/>
      <c r="BFA789" s="10"/>
      <c r="BFB789" s="10"/>
      <c r="BFC789" s="10"/>
      <c r="BFD789" s="10"/>
      <c r="BFE789" s="10"/>
      <c r="BFF789" s="10"/>
      <c r="BFG789" s="10"/>
      <c r="BFH789" s="10"/>
      <c r="BFI789" s="10"/>
      <c r="BFJ789" s="10"/>
      <c r="BFK789" s="10"/>
      <c r="BFL789" s="10"/>
      <c r="BFM789" s="10"/>
      <c r="BFN789" s="10"/>
      <c r="BFO789" s="10"/>
      <c r="BFP789" s="10"/>
      <c r="BFQ789" s="10"/>
      <c r="BFR789" s="10"/>
      <c r="BFS789" s="10"/>
      <c r="BFT789" s="10"/>
      <c r="BFU789" s="10"/>
      <c r="BFV789" s="10"/>
      <c r="BFW789" s="10"/>
      <c r="BFX789" s="10"/>
      <c r="BFY789" s="10"/>
      <c r="BFZ789" s="10"/>
      <c r="BGA789" s="10"/>
      <c r="BGB789" s="10"/>
      <c r="BGC789" s="10"/>
      <c r="BGD789" s="10"/>
      <c r="BGE789" s="10"/>
      <c r="BGF789" s="10"/>
      <c r="BGG789" s="10"/>
      <c r="BGH789" s="10"/>
      <c r="BGI789" s="10"/>
      <c r="BGJ789" s="10"/>
      <c r="BGK789" s="10"/>
      <c r="BGL789" s="10"/>
      <c r="BGM789" s="10"/>
      <c r="BGN789" s="10"/>
      <c r="BGO789" s="10"/>
      <c r="BGP789" s="10"/>
      <c r="BGQ789" s="10"/>
      <c r="BGR789" s="10"/>
      <c r="BGS789" s="10"/>
      <c r="BGT789" s="10"/>
      <c r="BGU789" s="10"/>
      <c r="BGV789" s="10"/>
      <c r="BGW789" s="10"/>
      <c r="BGX789" s="10"/>
      <c r="BGY789" s="10"/>
      <c r="BGZ789" s="10"/>
      <c r="BHA789" s="10"/>
      <c r="BHB789" s="10"/>
      <c r="BHC789" s="10"/>
      <c r="BHD789" s="10"/>
      <c r="BHE789" s="10"/>
      <c r="BHF789" s="10"/>
      <c r="BHG789" s="10"/>
      <c r="BHH789" s="10"/>
      <c r="BHI789" s="10"/>
      <c r="BHJ789" s="10"/>
      <c r="BHK789" s="10"/>
      <c r="BHL789" s="10"/>
      <c r="BHM789" s="10"/>
      <c r="BHN789" s="10"/>
      <c r="BHO789" s="10"/>
      <c r="BHP789" s="10"/>
      <c r="BHQ789" s="10"/>
      <c r="BHR789" s="10"/>
      <c r="BHS789" s="10"/>
      <c r="BHT789" s="10"/>
      <c r="BHU789" s="10"/>
      <c r="BHV789" s="10"/>
      <c r="BHW789" s="10"/>
      <c r="BHX789" s="10"/>
      <c r="BHY789" s="10"/>
      <c r="BHZ789" s="10"/>
      <c r="BIA789" s="10"/>
      <c r="BIB789" s="10"/>
      <c r="BIC789" s="10"/>
      <c r="BID789" s="10"/>
      <c r="BIE789" s="10"/>
      <c r="BIF789" s="10"/>
      <c r="BIG789" s="10"/>
      <c r="BIH789" s="10"/>
      <c r="BII789" s="10"/>
      <c r="BIJ789" s="10"/>
      <c r="BIK789" s="10"/>
      <c r="BIL789" s="10"/>
      <c r="BIM789" s="10"/>
      <c r="BIN789" s="10"/>
      <c r="BIO789" s="10"/>
      <c r="BIP789" s="10"/>
      <c r="BIQ789" s="10"/>
      <c r="BIR789" s="10"/>
      <c r="BIS789" s="10"/>
      <c r="BIT789" s="10"/>
      <c r="BIU789" s="10"/>
      <c r="BIV789" s="10"/>
      <c r="BIW789" s="10"/>
      <c r="BIX789" s="10"/>
      <c r="BIY789" s="10"/>
      <c r="BIZ789" s="10"/>
      <c r="BJA789" s="10"/>
      <c r="BJB789" s="10"/>
      <c r="BJC789" s="10"/>
      <c r="BJD789" s="10"/>
      <c r="BJE789" s="10"/>
      <c r="BJF789" s="10"/>
      <c r="BJG789" s="10"/>
      <c r="BJH789" s="10"/>
      <c r="BJI789" s="10"/>
      <c r="BJJ789" s="10"/>
      <c r="BJK789" s="10"/>
      <c r="BJL789" s="10"/>
      <c r="BJM789" s="10"/>
      <c r="BJN789" s="10"/>
      <c r="BJO789" s="10"/>
      <c r="BJP789" s="10"/>
      <c r="BJQ789" s="10"/>
      <c r="BJR789" s="10"/>
      <c r="BJS789" s="10"/>
      <c r="BJT789" s="10"/>
      <c r="BJU789" s="10"/>
      <c r="BJV789" s="10"/>
      <c r="BJW789" s="10"/>
      <c r="BJX789" s="10"/>
      <c r="BJY789" s="10"/>
      <c r="BJZ789" s="10"/>
      <c r="BKA789" s="10"/>
      <c r="BKB789" s="10"/>
      <c r="BKC789" s="10"/>
      <c r="BKD789" s="10"/>
      <c r="BKE789" s="10"/>
      <c r="BKF789" s="10"/>
      <c r="BKG789" s="10"/>
      <c r="BKH789" s="10"/>
      <c r="BKI789" s="10"/>
      <c r="BKJ789" s="10"/>
      <c r="BKK789" s="10"/>
      <c r="BKL789" s="10"/>
      <c r="BKM789" s="10"/>
      <c r="BKN789" s="10"/>
      <c r="BKO789" s="10"/>
      <c r="BKP789" s="10"/>
      <c r="BKQ789" s="10"/>
      <c r="BKR789" s="10"/>
      <c r="BKS789" s="10"/>
      <c r="BKT789" s="10"/>
      <c r="BKU789" s="10"/>
      <c r="BKV789" s="10"/>
      <c r="BKW789" s="10"/>
      <c r="BKX789" s="10"/>
      <c r="BKY789" s="10"/>
      <c r="BKZ789" s="10"/>
      <c r="BLA789" s="10"/>
      <c r="BLB789" s="10"/>
      <c r="BLC789" s="10"/>
      <c r="BLD789" s="10"/>
      <c r="BLE789" s="10"/>
      <c r="BLF789" s="10"/>
      <c r="BLG789" s="10"/>
      <c r="BLH789" s="10"/>
      <c r="BLI789" s="10"/>
      <c r="BLJ789" s="10"/>
      <c r="BLK789" s="10"/>
      <c r="BLL789" s="10"/>
      <c r="BLM789" s="10"/>
      <c r="BLN789" s="10"/>
      <c r="BLO789" s="10"/>
      <c r="BLP789" s="10"/>
      <c r="BLQ789" s="10"/>
      <c r="BLR789" s="10"/>
      <c r="BLS789" s="10"/>
      <c r="BLT789" s="10"/>
      <c r="BLU789" s="10"/>
      <c r="BLV789" s="10"/>
      <c r="BLW789" s="10"/>
      <c r="BLX789" s="10"/>
      <c r="BLY789" s="10"/>
      <c r="BLZ789" s="10"/>
      <c r="BMA789" s="10"/>
      <c r="BMB789" s="10"/>
      <c r="BMC789" s="10"/>
      <c r="BMD789" s="10"/>
      <c r="BME789" s="10"/>
      <c r="BMF789" s="10"/>
      <c r="BMG789" s="10"/>
      <c r="BMH789" s="10"/>
      <c r="BMI789" s="10"/>
      <c r="BMJ789" s="10"/>
      <c r="BMK789" s="10"/>
      <c r="BML789" s="10"/>
      <c r="BMM789" s="10"/>
      <c r="BMN789" s="10"/>
      <c r="BMO789" s="10"/>
      <c r="BMP789" s="10"/>
      <c r="BMQ789" s="10"/>
      <c r="BMR789" s="10"/>
      <c r="BMS789" s="10"/>
      <c r="BMT789" s="10"/>
      <c r="BMU789" s="10"/>
      <c r="BMV789" s="10"/>
      <c r="BMW789" s="10"/>
      <c r="BMX789" s="10"/>
      <c r="BMY789" s="10"/>
      <c r="BMZ789" s="10"/>
      <c r="BNA789" s="10"/>
      <c r="BNB789" s="10"/>
      <c r="BNC789" s="10"/>
      <c r="BND789" s="10"/>
      <c r="BNE789" s="10"/>
      <c r="BNF789" s="10"/>
      <c r="BNG789" s="10"/>
      <c r="BNH789" s="10"/>
      <c r="BNI789" s="10"/>
      <c r="BNJ789" s="10"/>
      <c r="BNK789" s="10"/>
      <c r="BNL789" s="10"/>
      <c r="BNM789" s="10"/>
      <c r="BNN789" s="10"/>
      <c r="BNO789" s="10"/>
      <c r="BNP789" s="10"/>
      <c r="BNQ789" s="10"/>
      <c r="BNR789" s="10"/>
      <c r="BNS789" s="10"/>
      <c r="BNT789" s="10"/>
      <c r="BNU789" s="10"/>
      <c r="BNV789" s="10"/>
      <c r="BNW789" s="10"/>
      <c r="BNX789" s="10"/>
      <c r="BNY789" s="10"/>
      <c r="BNZ789" s="10"/>
      <c r="BOA789" s="10"/>
      <c r="BOB789" s="10"/>
      <c r="BOC789" s="10"/>
      <c r="BOD789" s="10"/>
      <c r="BOE789" s="10"/>
      <c r="BOF789" s="10"/>
      <c r="BOG789" s="10"/>
      <c r="BOH789" s="10"/>
      <c r="BOI789" s="10"/>
      <c r="BOJ789" s="10"/>
      <c r="BOK789" s="10"/>
      <c r="BOL789" s="10"/>
      <c r="BOM789" s="10"/>
      <c r="BON789" s="10"/>
      <c r="BOO789" s="10"/>
      <c r="BOP789" s="10"/>
      <c r="BOQ789" s="10"/>
      <c r="BOR789" s="10"/>
      <c r="BOS789" s="10"/>
      <c r="BOT789" s="10"/>
      <c r="BOU789" s="10"/>
      <c r="BOV789" s="10"/>
      <c r="BOW789" s="10"/>
      <c r="BOX789" s="10"/>
      <c r="BOY789" s="10"/>
      <c r="BOZ789" s="10"/>
      <c r="BPA789" s="10"/>
      <c r="BPB789" s="10"/>
      <c r="BPC789" s="10"/>
      <c r="BPD789" s="10"/>
      <c r="BPE789" s="10"/>
      <c r="BPF789" s="10"/>
      <c r="BPG789" s="10"/>
      <c r="BPH789" s="10"/>
      <c r="BPI789" s="10"/>
      <c r="BPJ789" s="10"/>
      <c r="BPK789" s="10"/>
      <c r="BPL789" s="10"/>
      <c r="BPM789" s="10"/>
      <c r="BPN789" s="10"/>
      <c r="BPO789" s="10"/>
      <c r="BPP789" s="10"/>
      <c r="BPQ789" s="10"/>
      <c r="BPR789" s="10"/>
      <c r="BPS789" s="10"/>
      <c r="BPT789" s="10"/>
      <c r="BPU789" s="10"/>
      <c r="BPV789" s="10"/>
      <c r="BPW789" s="10"/>
      <c r="BPX789" s="10"/>
      <c r="BPY789" s="10"/>
      <c r="BPZ789" s="10"/>
      <c r="BQA789" s="10"/>
      <c r="BQB789" s="10"/>
      <c r="BQC789" s="10"/>
      <c r="BQD789" s="10"/>
      <c r="BQE789" s="10"/>
      <c r="BQF789" s="10"/>
      <c r="BQG789" s="10"/>
      <c r="BQH789" s="10"/>
      <c r="BQI789" s="10"/>
      <c r="BQJ789" s="10"/>
      <c r="BQK789" s="10"/>
      <c r="BQL789" s="10"/>
      <c r="BQM789" s="10"/>
      <c r="BQN789" s="10"/>
      <c r="BQO789" s="10"/>
      <c r="BQP789" s="10"/>
      <c r="BQQ789" s="10"/>
      <c r="BQR789" s="10"/>
      <c r="BQS789" s="10"/>
      <c r="BQT789" s="10"/>
      <c r="BQU789" s="10"/>
      <c r="BQV789" s="10"/>
      <c r="BQW789" s="10"/>
      <c r="BQX789" s="10"/>
      <c r="BQY789" s="10"/>
      <c r="BQZ789" s="10"/>
      <c r="BRA789" s="10"/>
      <c r="BRB789" s="10"/>
      <c r="BRC789" s="10"/>
      <c r="BRD789" s="10"/>
      <c r="BRE789" s="10"/>
      <c r="BRF789" s="10"/>
      <c r="BRG789" s="10"/>
      <c r="BRH789" s="10"/>
      <c r="BRI789" s="10"/>
      <c r="BRJ789" s="10"/>
      <c r="BRK789" s="10"/>
      <c r="BRL789" s="10"/>
      <c r="BRM789" s="10"/>
      <c r="BRN789" s="10"/>
      <c r="BRO789" s="10"/>
      <c r="BRP789" s="10"/>
      <c r="BRQ789" s="10"/>
      <c r="BRR789" s="10"/>
      <c r="BRS789" s="10"/>
      <c r="BRT789" s="10"/>
      <c r="BRU789" s="10"/>
      <c r="BRV789" s="10"/>
      <c r="BRW789" s="10"/>
      <c r="BRX789" s="10"/>
      <c r="BRY789" s="10"/>
      <c r="BRZ789" s="10"/>
      <c r="BSA789" s="10"/>
      <c r="BSB789" s="10"/>
      <c r="BSC789" s="10"/>
      <c r="BSD789" s="10"/>
      <c r="BSE789" s="10"/>
      <c r="BSF789" s="10"/>
      <c r="BSG789" s="10"/>
      <c r="BSH789" s="10"/>
      <c r="BSI789" s="10"/>
      <c r="BSJ789" s="10"/>
      <c r="BSK789" s="10"/>
      <c r="BSL789" s="10"/>
      <c r="BSM789" s="10"/>
      <c r="BSN789" s="10"/>
      <c r="BSO789" s="10"/>
      <c r="BSP789" s="10"/>
      <c r="BSQ789" s="10"/>
      <c r="BSR789" s="10"/>
      <c r="BSS789" s="10"/>
      <c r="BST789" s="10"/>
      <c r="BSU789" s="10"/>
      <c r="BSV789" s="10"/>
      <c r="BSW789" s="10"/>
      <c r="BSX789" s="10"/>
      <c r="BSY789" s="10"/>
      <c r="BSZ789" s="10"/>
      <c r="BTA789" s="10"/>
      <c r="BTB789" s="10"/>
      <c r="BTC789" s="10"/>
      <c r="BTD789" s="10"/>
      <c r="BTE789" s="10"/>
      <c r="BTF789" s="10"/>
      <c r="BTG789" s="10"/>
      <c r="BTH789" s="10"/>
      <c r="BTI789" s="10"/>
      <c r="BTJ789" s="10"/>
      <c r="BTK789" s="10"/>
      <c r="BTL789" s="10"/>
      <c r="BTM789" s="10"/>
      <c r="BTN789" s="10"/>
      <c r="BTO789" s="10"/>
      <c r="BTP789" s="10"/>
      <c r="BTQ789" s="10"/>
      <c r="BTR789" s="10"/>
      <c r="BTS789" s="10"/>
      <c r="BTT789" s="10"/>
    </row>
    <row r="790" spans="1:1892" s="9" customFormat="1" ht="35.1" customHeight="1">
      <c r="A790" s="1462"/>
      <c r="B790" s="777" t="s">
        <v>105</v>
      </c>
      <c r="C790" s="778"/>
      <c r="D790" s="778"/>
      <c r="E790" s="778"/>
      <c r="F790" s="778"/>
      <c r="G790" s="778"/>
      <c r="H790" s="778"/>
      <c r="I790" s="778"/>
      <c r="J790" s="778"/>
      <c r="K790" s="779"/>
      <c r="L790" s="122"/>
      <c r="M790" s="226">
        <f>M789</f>
        <v>925</v>
      </c>
      <c r="N790" s="394">
        <f>N789</f>
        <v>3</v>
      </c>
      <c r="O790" s="394">
        <f>O789</f>
        <v>3</v>
      </c>
      <c r="P790" s="123"/>
      <c r="Q790" s="123"/>
      <c r="R790" s="123"/>
      <c r="S790" s="156"/>
      <c r="T790" s="156"/>
      <c r="U790" s="156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  <c r="EF790" s="10"/>
      <c r="EG790" s="10"/>
      <c r="EH790" s="10"/>
      <c r="EI790" s="10"/>
      <c r="EJ790" s="10"/>
      <c r="EK790" s="10"/>
      <c r="EL790" s="10"/>
      <c r="EM790" s="10"/>
      <c r="EN790" s="10"/>
      <c r="EO790" s="10"/>
      <c r="EP790" s="10"/>
      <c r="EQ790" s="10"/>
      <c r="ER790" s="10"/>
      <c r="ES790" s="10"/>
      <c r="ET790" s="10"/>
      <c r="EU790" s="10"/>
      <c r="EV790" s="10"/>
      <c r="EW790" s="10"/>
      <c r="EX790" s="10"/>
      <c r="EY790" s="10"/>
      <c r="EZ790" s="10"/>
      <c r="FA790" s="10"/>
      <c r="FB790" s="10"/>
      <c r="FC790" s="10"/>
      <c r="FD790" s="10"/>
      <c r="FE790" s="10"/>
      <c r="FF790" s="10"/>
      <c r="FG790" s="10"/>
      <c r="FH790" s="10"/>
      <c r="FI790" s="10"/>
      <c r="FJ790" s="10"/>
      <c r="FK790" s="10"/>
      <c r="FL790" s="10"/>
      <c r="FM790" s="10"/>
      <c r="FN790" s="10"/>
      <c r="FO790" s="10"/>
      <c r="FP790" s="10"/>
      <c r="FQ790" s="10"/>
      <c r="FR790" s="10"/>
      <c r="FS790" s="10"/>
      <c r="FT790" s="10"/>
      <c r="FU790" s="10"/>
      <c r="FV790" s="10"/>
      <c r="FW790" s="10"/>
      <c r="FX790" s="10"/>
      <c r="FY790" s="10"/>
      <c r="FZ790" s="10"/>
      <c r="GA790" s="10"/>
      <c r="GB790" s="10"/>
      <c r="GC790" s="10"/>
      <c r="GD790" s="10"/>
      <c r="GE790" s="10"/>
      <c r="GF790" s="10"/>
      <c r="GG790" s="10"/>
      <c r="GH790" s="10"/>
      <c r="GI790" s="10"/>
      <c r="GJ790" s="10"/>
      <c r="GK790" s="10"/>
      <c r="GL790" s="10"/>
      <c r="GM790" s="10"/>
      <c r="GN790" s="10"/>
      <c r="GO790" s="10"/>
      <c r="GP790" s="10"/>
      <c r="GQ790" s="10"/>
      <c r="GR790" s="10"/>
      <c r="GS790" s="10"/>
      <c r="GT790" s="10"/>
      <c r="GU790" s="10"/>
      <c r="GV790" s="10"/>
      <c r="GW790" s="10"/>
      <c r="GX790" s="10"/>
      <c r="GY790" s="10"/>
      <c r="GZ790" s="10"/>
      <c r="HA790" s="10"/>
      <c r="HB790" s="10"/>
      <c r="HC790" s="10"/>
      <c r="HD790" s="10"/>
      <c r="HE790" s="10"/>
      <c r="HF790" s="10"/>
      <c r="HG790" s="10"/>
      <c r="HH790" s="10"/>
      <c r="HI790" s="10"/>
      <c r="HJ790" s="10"/>
      <c r="HK790" s="10"/>
      <c r="HL790" s="10"/>
      <c r="HM790" s="10"/>
      <c r="HN790" s="10"/>
      <c r="HO790" s="10"/>
      <c r="HP790" s="10"/>
      <c r="HQ790" s="10"/>
      <c r="HR790" s="10"/>
      <c r="HS790" s="10"/>
      <c r="HT790" s="10"/>
      <c r="HU790" s="10"/>
      <c r="HV790" s="10"/>
      <c r="HW790" s="10"/>
      <c r="HX790" s="10"/>
      <c r="HY790" s="10"/>
      <c r="HZ790" s="10"/>
      <c r="IA790" s="10"/>
      <c r="IB790" s="10"/>
      <c r="IC790" s="10"/>
      <c r="ID790" s="10"/>
      <c r="IE790" s="10"/>
      <c r="IF790" s="10"/>
      <c r="IG790" s="10"/>
      <c r="IH790" s="10"/>
      <c r="II790" s="10"/>
      <c r="IJ790" s="10"/>
      <c r="IK790" s="10"/>
      <c r="IL790" s="10"/>
      <c r="IM790" s="10"/>
      <c r="IN790" s="10"/>
      <c r="IO790" s="10"/>
      <c r="IP790" s="10"/>
      <c r="IQ790" s="10"/>
      <c r="IR790" s="10"/>
      <c r="IS790" s="10"/>
      <c r="IT790" s="10"/>
      <c r="IU790" s="10"/>
      <c r="IV790" s="10"/>
      <c r="IW790" s="10"/>
      <c r="IX790" s="10"/>
      <c r="IY790" s="10"/>
      <c r="IZ790" s="10"/>
      <c r="JA790" s="10"/>
      <c r="JB790" s="10"/>
      <c r="JC790" s="10"/>
      <c r="JD790" s="10"/>
      <c r="JE790" s="10"/>
      <c r="JF790" s="10"/>
      <c r="JG790" s="10"/>
      <c r="JH790" s="10"/>
      <c r="JI790" s="10"/>
      <c r="JJ790" s="10"/>
      <c r="JK790" s="10"/>
      <c r="JL790" s="10"/>
      <c r="JM790" s="10"/>
      <c r="JN790" s="10"/>
      <c r="JO790" s="10"/>
      <c r="JP790" s="10"/>
      <c r="JQ790" s="10"/>
      <c r="JR790" s="10"/>
      <c r="JS790" s="10"/>
      <c r="JT790" s="10"/>
      <c r="JU790" s="10"/>
      <c r="JV790" s="10"/>
      <c r="JW790" s="10"/>
      <c r="JX790" s="10"/>
      <c r="JY790" s="10"/>
      <c r="JZ790" s="10"/>
      <c r="KA790" s="10"/>
      <c r="KB790" s="10"/>
      <c r="KC790" s="10"/>
      <c r="KD790" s="10"/>
      <c r="KE790" s="10"/>
      <c r="KF790" s="10"/>
      <c r="KG790" s="10"/>
      <c r="KH790" s="10"/>
      <c r="KI790" s="10"/>
      <c r="KJ790" s="10"/>
      <c r="KK790" s="10"/>
      <c r="KL790" s="10"/>
      <c r="KM790" s="10"/>
      <c r="KN790" s="10"/>
      <c r="KO790" s="10"/>
      <c r="KP790" s="10"/>
      <c r="KQ790" s="10"/>
      <c r="KR790" s="10"/>
      <c r="KS790" s="10"/>
      <c r="KT790" s="10"/>
      <c r="KU790" s="10"/>
      <c r="KV790" s="10"/>
      <c r="KW790" s="10"/>
      <c r="KX790" s="10"/>
      <c r="KY790" s="10"/>
      <c r="KZ790" s="10"/>
      <c r="LA790" s="10"/>
      <c r="LB790" s="10"/>
      <c r="LC790" s="10"/>
      <c r="LD790" s="10"/>
      <c r="LE790" s="10"/>
      <c r="LF790" s="10"/>
      <c r="LG790" s="10"/>
      <c r="LH790" s="10"/>
      <c r="LI790" s="10"/>
      <c r="LJ790" s="10"/>
      <c r="LK790" s="10"/>
      <c r="LL790" s="10"/>
      <c r="LM790" s="10"/>
      <c r="LN790" s="10"/>
      <c r="LO790" s="10"/>
      <c r="LP790" s="10"/>
      <c r="LQ790" s="10"/>
      <c r="LR790" s="10"/>
      <c r="LS790" s="10"/>
      <c r="LT790" s="10"/>
      <c r="LU790" s="10"/>
      <c r="LV790" s="10"/>
      <c r="LW790" s="10"/>
      <c r="LX790" s="10"/>
      <c r="LY790" s="10"/>
      <c r="LZ790" s="10"/>
      <c r="MA790" s="10"/>
      <c r="MB790" s="10"/>
      <c r="MC790" s="10"/>
      <c r="MD790" s="10"/>
      <c r="ME790" s="10"/>
      <c r="MF790" s="10"/>
      <c r="MG790" s="10"/>
      <c r="MH790" s="10"/>
      <c r="MI790" s="10"/>
      <c r="MJ790" s="10"/>
      <c r="MK790" s="10"/>
      <c r="ML790" s="10"/>
      <c r="MM790" s="10"/>
      <c r="MN790" s="10"/>
      <c r="MO790" s="10"/>
      <c r="MP790" s="10"/>
      <c r="MQ790" s="10"/>
      <c r="MR790" s="10"/>
      <c r="MS790" s="10"/>
      <c r="MT790" s="10"/>
      <c r="MU790" s="10"/>
      <c r="MV790" s="10"/>
      <c r="MW790" s="10"/>
      <c r="MX790" s="10"/>
      <c r="MY790" s="10"/>
      <c r="MZ790" s="10"/>
      <c r="NA790" s="10"/>
      <c r="NB790" s="10"/>
      <c r="NC790" s="10"/>
      <c r="ND790" s="10"/>
      <c r="NE790" s="10"/>
      <c r="NF790" s="10"/>
      <c r="NG790" s="10"/>
      <c r="NH790" s="10"/>
      <c r="NI790" s="10"/>
      <c r="NJ790" s="10"/>
      <c r="NK790" s="10"/>
      <c r="NL790" s="10"/>
      <c r="NM790" s="10"/>
      <c r="NN790" s="10"/>
      <c r="NO790" s="10"/>
      <c r="NP790" s="10"/>
      <c r="NQ790" s="10"/>
      <c r="NR790" s="10"/>
      <c r="NS790" s="10"/>
      <c r="NT790" s="10"/>
      <c r="NU790" s="10"/>
      <c r="NV790" s="10"/>
      <c r="NW790" s="10"/>
      <c r="NX790" s="10"/>
      <c r="NY790" s="10"/>
      <c r="NZ790" s="10"/>
      <c r="OA790" s="10"/>
      <c r="OB790" s="10"/>
      <c r="OC790" s="10"/>
      <c r="OD790" s="10"/>
      <c r="OE790" s="10"/>
      <c r="OF790" s="10"/>
      <c r="OG790" s="10"/>
      <c r="OH790" s="10"/>
      <c r="OI790" s="10"/>
      <c r="OJ790" s="10"/>
      <c r="OK790" s="10"/>
      <c r="OL790" s="10"/>
      <c r="OM790" s="10"/>
      <c r="ON790" s="10"/>
      <c r="OO790" s="10"/>
      <c r="OP790" s="10"/>
      <c r="OQ790" s="10"/>
      <c r="OR790" s="10"/>
      <c r="OS790" s="10"/>
      <c r="OT790" s="10"/>
      <c r="OU790" s="10"/>
      <c r="OV790" s="10"/>
      <c r="OW790" s="10"/>
      <c r="OX790" s="10"/>
      <c r="OY790" s="10"/>
      <c r="OZ790" s="10"/>
      <c r="PA790" s="10"/>
      <c r="PB790" s="10"/>
      <c r="PC790" s="10"/>
      <c r="PD790" s="10"/>
      <c r="PE790" s="10"/>
      <c r="PF790" s="10"/>
      <c r="PG790" s="10"/>
      <c r="PH790" s="10"/>
      <c r="PI790" s="10"/>
      <c r="PJ790" s="10"/>
      <c r="PK790" s="10"/>
      <c r="PL790" s="10"/>
      <c r="PM790" s="10"/>
      <c r="PN790" s="10"/>
      <c r="PO790" s="10"/>
      <c r="PP790" s="10"/>
      <c r="PQ790" s="10"/>
      <c r="PR790" s="10"/>
      <c r="PS790" s="10"/>
      <c r="PT790" s="10"/>
      <c r="PU790" s="10"/>
      <c r="PV790" s="10"/>
      <c r="PW790" s="10"/>
      <c r="PX790" s="10"/>
      <c r="PY790" s="10"/>
      <c r="PZ790" s="10"/>
      <c r="QA790" s="10"/>
      <c r="QB790" s="10"/>
      <c r="QC790" s="10"/>
      <c r="QD790" s="10"/>
      <c r="QE790" s="10"/>
      <c r="QF790" s="10"/>
      <c r="QG790" s="10"/>
      <c r="QH790" s="10"/>
      <c r="QI790" s="10"/>
      <c r="QJ790" s="10"/>
      <c r="QK790" s="10"/>
      <c r="QL790" s="10"/>
      <c r="QM790" s="10"/>
      <c r="QN790" s="10"/>
      <c r="QO790" s="10"/>
      <c r="QP790" s="10"/>
      <c r="QQ790" s="10"/>
      <c r="QR790" s="10"/>
      <c r="QS790" s="10"/>
      <c r="QT790" s="10"/>
      <c r="QU790" s="10"/>
      <c r="QV790" s="10"/>
      <c r="QW790" s="10"/>
      <c r="QX790" s="10"/>
      <c r="QY790" s="10"/>
      <c r="QZ790" s="10"/>
      <c r="RA790" s="10"/>
      <c r="RB790" s="10"/>
      <c r="RC790" s="10"/>
      <c r="RD790" s="10"/>
      <c r="RE790" s="10"/>
      <c r="RF790" s="10"/>
      <c r="RG790" s="10"/>
      <c r="RH790" s="10"/>
      <c r="RI790" s="10"/>
      <c r="RJ790" s="10"/>
      <c r="RK790" s="10"/>
      <c r="RL790" s="10"/>
      <c r="RM790" s="10"/>
      <c r="RN790" s="10"/>
      <c r="RO790" s="10"/>
      <c r="RP790" s="10"/>
      <c r="RQ790" s="10"/>
      <c r="RR790" s="10"/>
      <c r="RS790" s="10"/>
      <c r="RT790" s="10"/>
      <c r="RU790" s="10"/>
      <c r="RV790" s="10"/>
      <c r="RW790" s="10"/>
      <c r="RX790" s="10"/>
      <c r="RY790" s="10"/>
      <c r="RZ790" s="10"/>
      <c r="SA790" s="10"/>
      <c r="SB790" s="10"/>
      <c r="SC790" s="10"/>
      <c r="SD790" s="10"/>
      <c r="SE790" s="10"/>
      <c r="SF790" s="10"/>
      <c r="SG790" s="10"/>
      <c r="SH790" s="10"/>
      <c r="SI790" s="10"/>
      <c r="SJ790" s="10"/>
      <c r="SK790" s="10"/>
      <c r="SL790" s="10"/>
      <c r="SM790" s="10"/>
      <c r="SN790" s="10"/>
      <c r="SO790" s="10"/>
      <c r="SP790" s="10"/>
      <c r="SQ790" s="10"/>
      <c r="SR790" s="10"/>
      <c r="SS790" s="10"/>
      <c r="ST790" s="10"/>
      <c r="SU790" s="10"/>
      <c r="SV790" s="10"/>
      <c r="SW790" s="10"/>
      <c r="SX790" s="10"/>
      <c r="SY790" s="10"/>
      <c r="SZ790" s="10"/>
      <c r="TA790" s="10"/>
      <c r="TB790" s="10"/>
      <c r="TC790" s="10"/>
      <c r="TD790" s="10"/>
      <c r="TE790" s="10"/>
      <c r="TF790" s="10"/>
      <c r="TG790" s="10"/>
      <c r="TH790" s="10"/>
      <c r="TI790" s="10"/>
      <c r="TJ790" s="10"/>
      <c r="TK790" s="10"/>
      <c r="TL790" s="10"/>
      <c r="TM790" s="10"/>
      <c r="TN790" s="10"/>
      <c r="TO790" s="10"/>
      <c r="TP790" s="10"/>
      <c r="TQ790" s="10"/>
      <c r="TR790" s="10"/>
      <c r="TS790" s="10"/>
      <c r="TT790" s="10"/>
      <c r="TU790" s="10"/>
      <c r="TV790" s="10"/>
      <c r="TW790" s="10"/>
      <c r="TX790" s="10"/>
      <c r="TY790" s="10"/>
      <c r="TZ790" s="10"/>
      <c r="UA790" s="10"/>
      <c r="UB790" s="10"/>
      <c r="UC790" s="10"/>
      <c r="UD790" s="10"/>
      <c r="UE790" s="10"/>
      <c r="UF790" s="10"/>
      <c r="UG790" s="10"/>
      <c r="UH790" s="10"/>
      <c r="UI790" s="10"/>
      <c r="UJ790" s="10"/>
      <c r="UK790" s="10"/>
      <c r="UL790" s="10"/>
      <c r="UM790" s="10"/>
      <c r="UN790" s="10"/>
      <c r="UO790" s="10"/>
      <c r="UP790" s="10"/>
      <c r="UQ790" s="10"/>
      <c r="UR790" s="10"/>
      <c r="US790" s="10"/>
      <c r="UT790" s="10"/>
      <c r="UU790" s="10"/>
      <c r="UV790" s="10"/>
      <c r="UW790" s="10"/>
      <c r="UX790" s="10"/>
      <c r="UY790" s="10"/>
      <c r="UZ790" s="10"/>
      <c r="VA790" s="10"/>
      <c r="VB790" s="10"/>
      <c r="VC790" s="10"/>
      <c r="VD790" s="10"/>
      <c r="VE790" s="10"/>
      <c r="VF790" s="10"/>
      <c r="VG790" s="10"/>
      <c r="VH790" s="10"/>
      <c r="VI790" s="10"/>
      <c r="VJ790" s="10"/>
      <c r="VK790" s="10"/>
      <c r="VL790" s="10"/>
      <c r="VM790" s="10"/>
      <c r="VN790" s="10"/>
      <c r="VO790" s="10"/>
      <c r="VP790" s="10"/>
      <c r="VQ790" s="10"/>
      <c r="VR790" s="10"/>
      <c r="VS790" s="10"/>
      <c r="VT790" s="10"/>
      <c r="VU790" s="10"/>
      <c r="VV790" s="10"/>
      <c r="VW790" s="10"/>
      <c r="VX790" s="10"/>
      <c r="VY790" s="10"/>
      <c r="VZ790" s="10"/>
      <c r="WA790" s="10"/>
      <c r="WB790" s="10"/>
      <c r="WC790" s="10"/>
      <c r="WD790" s="10"/>
      <c r="WE790" s="10"/>
      <c r="WF790" s="10"/>
      <c r="WG790" s="10"/>
      <c r="WH790" s="10"/>
      <c r="WI790" s="10"/>
      <c r="WJ790" s="10"/>
      <c r="WK790" s="10"/>
      <c r="WL790" s="10"/>
      <c r="WM790" s="10"/>
      <c r="WN790" s="10"/>
      <c r="WO790" s="10"/>
      <c r="WP790" s="10"/>
      <c r="WQ790" s="10"/>
      <c r="WR790" s="10"/>
      <c r="WS790" s="10"/>
      <c r="WT790" s="10"/>
      <c r="WU790" s="10"/>
      <c r="WV790" s="10"/>
      <c r="WW790" s="10"/>
      <c r="WX790" s="10"/>
      <c r="WY790" s="10"/>
      <c r="WZ790" s="10"/>
      <c r="XA790" s="10"/>
      <c r="XB790" s="10"/>
      <c r="XC790" s="10"/>
      <c r="XD790" s="10"/>
      <c r="XE790" s="10"/>
      <c r="XF790" s="10"/>
      <c r="XG790" s="10"/>
      <c r="XH790" s="10"/>
      <c r="XI790" s="10"/>
      <c r="XJ790" s="10"/>
      <c r="XK790" s="10"/>
      <c r="XL790" s="10"/>
      <c r="XM790" s="10"/>
      <c r="XN790" s="10"/>
      <c r="XO790" s="10"/>
      <c r="XP790" s="10"/>
      <c r="XQ790" s="10"/>
      <c r="XR790" s="10"/>
      <c r="XS790" s="10"/>
      <c r="XT790" s="10"/>
      <c r="XU790" s="10"/>
      <c r="XV790" s="10"/>
      <c r="XW790" s="10"/>
      <c r="XX790" s="10"/>
      <c r="XY790" s="10"/>
      <c r="XZ790" s="10"/>
      <c r="YA790" s="10"/>
      <c r="YB790" s="10"/>
      <c r="YC790" s="10"/>
      <c r="YD790" s="10"/>
      <c r="YE790" s="10"/>
      <c r="YF790" s="10"/>
      <c r="YG790" s="10"/>
      <c r="YH790" s="10"/>
      <c r="YI790" s="10"/>
      <c r="YJ790" s="10"/>
      <c r="YK790" s="10"/>
      <c r="YL790" s="10"/>
      <c r="YM790" s="10"/>
      <c r="YN790" s="10"/>
      <c r="YO790" s="10"/>
      <c r="YP790" s="10"/>
      <c r="YQ790" s="10"/>
      <c r="YR790" s="10"/>
      <c r="YS790" s="10"/>
      <c r="YT790" s="10"/>
      <c r="YU790" s="10"/>
      <c r="YV790" s="10"/>
      <c r="YW790" s="10"/>
      <c r="YX790" s="10"/>
      <c r="YY790" s="10"/>
      <c r="YZ790" s="10"/>
      <c r="ZA790" s="10"/>
      <c r="ZB790" s="10"/>
      <c r="ZC790" s="10"/>
      <c r="ZD790" s="10"/>
      <c r="ZE790" s="10"/>
      <c r="ZF790" s="10"/>
      <c r="ZG790" s="10"/>
      <c r="ZH790" s="10"/>
      <c r="ZI790" s="10"/>
      <c r="ZJ790" s="10"/>
      <c r="ZK790" s="10"/>
      <c r="ZL790" s="10"/>
      <c r="ZM790" s="10"/>
      <c r="ZN790" s="10"/>
      <c r="ZO790" s="10"/>
      <c r="ZP790" s="10"/>
      <c r="ZQ790" s="10"/>
      <c r="ZR790" s="10"/>
      <c r="ZS790" s="10"/>
      <c r="ZT790" s="10"/>
      <c r="ZU790" s="10"/>
      <c r="ZV790" s="10"/>
      <c r="ZW790" s="10"/>
      <c r="ZX790" s="10"/>
      <c r="ZY790" s="10"/>
      <c r="ZZ790" s="10"/>
      <c r="AAA790" s="10"/>
      <c r="AAB790" s="10"/>
      <c r="AAC790" s="10"/>
      <c r="AAD790" s="10"/>
      <c r="AAE790" s="10"/>
      <c r="AAF790" s="10"/>
      <c r="AAG790" s="10"/>
      <c r="AAH790" s="10"/>
      <c r="AAI790" s="10"/>
      <c r="AAJ790" s="10"/>
      <c r="AAK790" s="10"/>
      <c r="AAL790" s="10"/>
      <c r="AAM790" s="10"/>
      <c r="AAN790" s="10"/>
      <c r="AAO790" s="10"/>
      <c r="AAP790" s="10"/>
      <c r="AAQ790" s="10"/>
      <c r="AAR790" s="10"/>
      <c r="AAS790" s="10"/>
      <c r="AAT790" s="10"/>
      <c r="AAU790" s="10"/>
      <c r="AAV790" s="10"/>
      <c r="AAW790" s="10"/>
      <c r="AAX790" s="10"/>
      <c r="AAY790" s="10"/>
      <c r="AAZ790" s="10"/>
      <c r="ABA790" s="10"/>
      <c r="ABB790" s="10"/>
      <c r="ABC790" s="10"/>
      <c r="ABD790" s="10"/>
      <c r="ABE790" s="10"/>
      <c r="ABF790" s="10"/>
      <c r="ABG790" s="10"/>
      <c r="ABH790" s="10"/>
      <c r="ABI790" s="10"/>
      <c r="ABJ790" s="10"/>
      <c r="ABK790" s="10"/>
      <c r="ABL790" s="10"/>
      <c r="ABM790" s="10"/>
      <c r="ABN790" s="10"/>
      <c r="ABO790" s="10"/>
      <c r="ABP790" s="10"/>
      <c r="ABQ790" s="10"/>
      <c r="ABR790" s="10"/>
      <c r="ABS790" s="10"/>
      <c r="ABT790" s="10"/>
      <c r="ABU790" s="10"/>
      <c r="ABV790" s="10"/>
      <c r="ABW790" s="10"/>
      <c r="ABX790" s="10"/>
      <c r="ABY790" s="10"/>
      <c r="ABZ790" s="10"/>
      <c r="ACA790" s="10"/>
      <c r="ACB790" s="10"/>
      <c r="ACC790" s="10"/>
      <c r="ACD790" s="10"/>
      <c r="ACE790" s="10"/>
      <c r="ACF790" s="10"/>
      <c r="ACG790" s="10"/>
      <c r="ACH790" s="10"/>
      <c r="ACI790" s="10"/>
      <c r="ACJ790" s="10"/>
      <c r="ACK790" s="10"/>
      <c r="ACL790" s="10"/>
      <c r="ACM790" s="10"/>
      <c r="ACN790" s="10"/>
      <c r="ACO790" s="10"/>
      <c r="ACP790" s="10"/>
      <c r="ACQ790" s="10"/>
      <c r="ACR790" s="10"/>
      <c r="ACS790" s="10"/>
      <c r="ACT790" s="10"/>
      <c r="ACU790" s="10"/>
      <c r="ACV790" s="10"/>
      <c r="ACW790" s="10"/>
      <c r="ACX790" s="10"/>
      <c r="ACY790" s="10"/>
      <c r="ACZ790" s="10"/>
      <c r="ADA790" s="10"/>
      <c r="ADB790" s="10"/>
      <c r="ADC790" s="10"/>
      <c r="ADD790" s="10"/>
      <c r="ADE790" s="10"/>
      <c r="ADF790" s="10"/>
      <c r="ADG790" s="10"/>
      <c r="ADH790" s="10"/>
      <c r="ADI790" s="10"/>
      <c r="ADJ790" s="10"/>
      <c r="ADK790" s="10"/>
      <c r="ADL790" s="10"/>
      <c r="ADM790" s="10"/>
      <c r="ADN790" s="10"/>
      <c r="ADO790" s="10"/>
      <c r="ADP790" s="10"/>
      <c r="ADQ790" s="10"/>
      <c r="ADR790" s="10"/>
      <c r="ADS790" s="10"/>
      <c r="ADT790" s="10"/>
      <c r="ADU790" s="10"/>
      <c r="ADV790" s="10"/>
      <c r="ADW790" s="10"/>
      <c r="ADX790" s="10"/>
      <c r="ADY790" s="10"/>
      <c r="ADZ790" s="10"/>
      <c r="AEA790" s="10"/>
      <c r="AEB790" s="10"/>
      <c r="AEC790" s="10"/>
      <c r="AED790" s="10"/>
      <c r="AEE790" s="10"/>
      <c r="AEF790" s="10"/>
      <c r="AEG790" s="10"/>
      <c r="AEH790" s="10"/>
      <c r="AEI790" s="10"/>
      <c r="AEJ790" s="10"/>
      <c r="AEK790" s="10"/>
      <c r="AEL790" s="10"/>
      <c r="AEM790" s="10"/>
      <c r="AEN790" s="10"/>
      <c r="AEO790" s="10"/>
      <c r="AEP790" s="10"/>
      <c r="AEQ790" s="10"/>
      <c r="AER790" s="10"/>
      <c r="AES790" s="10"/>
      <c r="AET790" s="10"/>
      <c r="AEU790" s="10"/>
      <c r="AEV790" s="10"/>
      <c r="AEW790" s="10"/>
      <c r="AEX790" s="10"/>
      <c r="AEY790" s="10"/>
      <c r="AEZ790" s="10"/>
      <c r="AFA790" s="10"/>
      <c r="AFB790" s="10"/>
      <c r="AFC790" s="10"/>
      <c r="AFD790" s="10"/>
      <c r="AFE790" s="10"/>
      <c r="AFF790" s="10"/>
      <c r="AFG790" s="10"/>
      <c r="AFH790" s="10"/>
      <c r="AFI790" s="10"/>
      <c r="AFJ790" s="10"/>
      <c r="AFK790" s="10"/>
      <c r="AFL790" s="10"/>
      <c r="AFM790" s="10"/>
      <c r="AFN790" s="10"/>
      <c r="AFO790" s="10"/>
      <c r="AFP790" s="10"/>
      <c r="AFQ790" s="10"/>
      <c r="AFR790" s="10"/>
      <c r="AFS790" s="10"/>
      <c r="AFT790" s="10"/>
      <c r="AFU790" s="10"/>
      <c r="AFV790" s="10"/>
      <c r="AFW790" s="10"/>
      <c r="AFX790" s="10"/>
      <c r="AFY790" s="10"/>
      <c r="AFZ790" s="10"/>
      <c r="AGA790" s="10"/>
      <c r="AGB790" s="10"/>
      <c r="AGC790" s="10"/>
      <c r="AGD790" s="10"/>
      <c r="AGE790" s="10"/>
      <c r="AGF790" s="10"/>
      <c r="AGG790" s="10"/>
      <c r="AGH790" s="10"/>
      <c r="AGI790" s="10"/>
      <c r="AGJ790" s="10"/>
      <c r="AGK790" s="10"/>
      <c r="AGL790" s="10"/>
      <c r="AGM790" s="10"/>
      <c r="AGN790" s="10"/>
      <c r="AGO790" s="10"/>
      <c r="AGP790" s="10"/>
      <c r="AGQ790" s="10"/>
      <c r="AGR790" s="10"/>
      <c r="AGS790" s="10"/>
      <c r="AGT790" s="10"/>
      <c r="AGU790" s="10"/>
      <c r="AGV790" s="10"/>
      <c r="AGW790" s="10"/>
      <c r="AGX790" s="10"/>
      <c r="AGY790" s="10"/>
      <c r="AGZ790" s="10"/>
      <c r="AHA790" s="10"/>
      <c r="AHB790" s="10"/>
      <c r="AHC790" s="10"/>
      <c r="AHD790" s="10"/>
      <c r="AHE790" s="10"/>
      <c r="AHF790" s="10"/>
      <c r="AHG790" s="10"/>
      <c r="AHH790" s="10"/>
      <c r="AHI790" s="10"/>
      <c r="AHJ790" s="10"/>
      <c r="AHK790" s="10"/>
      <c r="AHL790" s="10"/>
      <c r="AHM790" s="10"/>
      <c r="AHN790" s="10"/>
      <c r="AHO790" s="10"/>
      <c r="AHP790" s="10"/>
      <c r="AHQ790" s="10"/>
      <c r="AHR790" s="10"/>
      <c r="AHS790" s="10"/>
      <c r="AHT790" s="10"/>
      <c r="AHU790" s="10"/>
      <c r="AHV790" s="10"/>
      <c r="AHW790" s="10"/>
      <c r="AHX790" s="10"/>
      <c r="AHY790" s="10"/>
      <c r="AHZ790" s="10"/>
      <c r="AIA790" s="10"/>
      <c r="AIB790" s="10"/>
      <c r="AIC790" s="10"/>
      <c r="AID790" s="10"/>
      <c r="AIE790" s="10"/>
      <c r="AIF790" s="10"/>
      <c r="AIG790" s="10"/>
      <c r="AIH790" s="10"/>
      <c r="AII790" s="10"/>
      <c r="AIJ790" s="10"/>
      <c r="AIK790" s="10"/>
      <c r="AIL790" s="10"/>
      <c r="AIM790" s="10"/>
      <c r="AIN790" s="10"/>
      <c r="AIO790" s="10"/>
      <c r="AIP790" s="10"/>
      <c r="AIQ790" s="10"/>
      <c r="AIR790" s="10"/>
      <c r="AIS790" s="10"/>
      <c r="AIT790" s="10"/>
      <c r="AIU790" s="10"/>
      <c r="AIV790" s="10"/>
      <c r="AIW790" s="10"/>
      <c r="AIX790" s="10"/>
      <c r="AIY790" s="10"/>
      <c r="AIZ790" s="10"/>
      <c r="AJA790" s="10"/>
      <c r="AJB790" s="10"/>
      <c r="AJC790" s="10"/>
      <c r="AJD790" s="10"/>
      <c r="AJE790" s="10"/>
      <c r="AJF790" s="10"/>
      <c r="AJG790" s="10"/>
      <c r="AJH790" s="10"/>
      <c r="AJI790" s="10"/>
      <c r="AJJ790" s="10"/>
      <c r="AJK790" s="10"/>
      <c r="AJL790" s="10"/>
      <c r="AJM790" s="10"/>
      <c r="AJN790" s="10"/>
      <c r="AJO790" s="10"/>
      <c r="AJP790" s="10"/>
      <c r="AJQ790" s="10"/>
      <c r="AJR790" s="10"/>
      <c r="AJS790" s="10"/>
      <c r="AJT790" s="10"/>
      <c r="AJU790" s="10"/>
      <c r="AJV790" s="10"/>
      <c r="AJW790" s="10"/>
      <c r="AJX790" s="10"/>
      <c r="AJY790" s="10"/>
      <c r="AJZ790" s="10"/>
      <c r="AKA790" s="10"/>
      <c r="AKB790" s="10"/>
      <c r="AKC790" s="10"/>
      <c r="AKD790" s="10"/>
      <c r="AKE790" s="10"/>
      <c r="AKF790" s="10"/>
      <c r="AKG790" s="10"/>
      <c r="AKH790" s="10"/>
      <c r="AKI790" s="10"/>
      <c r="AKJ790" s="10"/>
      <c r="AKK790" s="10"/>
      <c r="AKL790" s="10"/>
      <c r="AKM790" s="10"/>
      <c r="AKN790" s="10"/>
      <c r="AKO790" s="10"/>
      <c r="AKP790" s="10"/>
      <c r="AKQ790" s="10"/>
      <c r="AKR790" s="10"/>
      <c r="AKS790" s="10"/>
      <c r="AKT790" s="10"/>
      <c r="AKU790" s="10"/>
      <c r="AKV790" s="10"/>
      <c r="AKW790" s="10"/>
      <c r="AKX790" s="10"/>
      <c r="AKY790" s="10"/>
      <c r="AKZ790" s="10"/>
      <c r="ALA790" s="10"/>
      <c r="ALB790" s="10"/>
      <c r="ALC790" s="10"/>
      <c r="ALD790" s="10"/>
      <c r="ALE790" s="10"/>
      <c r="ALF790" s="10"/>
      <c r="ALG790" s="10"/>
      <c r="ALH790" s="10"/>
      <c r="ALI790" s="10"/>
      <c r="ALJ790" s="10"/>
      <c r="ALK790" s="10"/>
      <c r="ALL790" s="10"/>
      <c r="ALM790" s="10"/>
      <c r="ALN790" s="10"/>
      <c r="ALO790" s="10"/>
      <c r="ALP790" s="10"/>
      <c r="ALQ790" s="10"/>
      <c r="ALR790" s="10"/>
      <c r="ALS790" s="10"/>
      <c r="ALT790" s="10"/>
      <c r="ALU790" s="10"/>
      <c r="ALV790" s="10"/>
      <c r="ALW790" s="10"/>
      <c r="ALX790" s="10"/>
      <c r="ALY790" s="10"/>
      <c r="ALZ790" s="10"/>
      <c r="AMA790" s="10"/>
      <c r="AMB790" s="10"/>
      <c r="AMC790" s="10"/>
      <c r="AMD790" s="10"/>
      <c r="AME790" s="10"/>
      <c r="AMF790" s="10"/>
      <c r="AMG790" s="10"/>
      <c r="AMH790" s="10"/>
      <c r="AMI790" s="10"/>
      <c r="AMJ790" s="10"/>
      <c r="AMK790" s="10"/>
      <c r="AML790" s="10"/>
      <c r="AMM790" s="10"/>
      <c r="AMN790" s="10"/>
      <c r="AMO790" s="10"/>
      <c r="AMP790" s="10"/>
      <c r="AMQ790" s="10"/>
      <c r="AMR790" s="10"/>
      <c r="AMS790" s="10"/>
      <c r="AMT790" s="10"/>
      <c r="AMU790" s="10"/>
      <c r="AMV790" s="10"/>
      <c r="AMW790" s="10"/>
      <c r="AMX790" s="10"/>
      <c r="AMY790" s="10"/>
      <c r="AMZ790" s="10"/>
      <c r="ANA790" s="10"/>
      <c r="ANB790" s="10"/>
      <c r="ANC790" s="10"/>
      <c r="AND790" s="10"/>
      <c r="ANE790" s="10"/>
      <c r="ANF790" s="10"/>
      <c r="ANG790" s="10"/>
      <c r="ANH790" s="10"/>
      <c r="ANI790" s="10"/>
      <c r="ANJ790" s="10"/>
      <c r="ANK790" s="10"/>
      <c r="ANL790" s="10"/>
      <c r="ANM790" s="10"/>
      <c r="ANN790" s="10"/>
      <c r="ANO790" s="10"/>
      <c r="ANP790" s="10"/>
      <c r="ANQ790" s="10"/>
      <c r="ANR790" s="10"/>
      <c r="ANS790" s="10"/>
      <c r="ANT790" s="10"/>
      <c r="ANU790" s="10"/>
      <c r="ANV790" s="10"/>
      <c r="ANW790" s="10"/>
      <c r="ANX790" s="10"/>
      <c r="ANY790" s="10"/>
      <c r="ANZ790" s="10"/>
      <c r="AOA790" s="10"/>
      <c r="AOB790" s="10"/>
      <c r="AOC790" s="10"/>
      <c r="AOD790" s="10"/>
      <c r="AOE790" s="10"/>
      <c r="AOF790" s="10"/>
      <c r="AOG790" s="10"/>
      <c r="AOH790" s="10"/>
      <c r="AOI790" s="10"/>
      <c r="AOJ790" s="10"/>
      <c r="AOK790" s="10"/>
      <c r="AOL790" s="10"/>
      <c r="AOM790" s="10"/>
      <c r="AON790" s="10"/>
      <c r="AOO790" s="10"/>
      <c r="AOP790" s="10"/>
      <c r="AOQ790" s="10"/>
      <c r="AOR790" s="10"/>
      <c r="AOS790" s="10"/>
      <c r="AOT790" s="10"/>
      <c r="AOU790" s="10"/>
      <c r="AOV790" s="10"/>
      <c r="AOW790" s="10"/>
      <c r="AOX790" s="10"/>
      <c r="AOY790" s="10"/>
      <c r="AOZ790" s="10"/>
      <c r="APA790" s="10"/>
      <c r="APB790" s="10"/>
      <c r="APC790" s="10"/>
      <c r="APD790" s="10"/>
      <c r="APE790" s="10"/>
      <c r="APF790" s="10"/>
      <c r="APG790" s="10"/>
      <c r="APH790" s="10"/>
      <c r="API790" s="10"/>
      <c r="APJ790" s="10"/>
      <c r="APK790" s="10"/>
      <c r="APL790" s="10"/>
      <c r="APM790" s="10"/>
      <c r="APN790" s="10"/>
      <c r="APO790" s="10"/>
      <c r="APP790" s="10"/>
      <c r="APQ790" s="10"/>
      <c r="APR790" s="10"/>
      <c r="APS790" s="10"/>
      <c r="APT790" s="10"/>
      <c r="APU790" s="10"/>
      <c r="APV790" s="10"/>
      <c r="APW790" s="10"/>
      <c r="APX790" s="10"/>
      <c r="APY790" s="10"/>
      <c r="APZ790" s="10"/>
      <c r="AQA790" s="10"/>
      <c r="AQB790" s="10"/>
      <c r="AQC790" s="10"/>
      <c r="AQD790" s="10"/>
      <c r="AQE790" s="10"/>
      <c r="AQF790" s="10"/>
      <c r="AQG790" s="10"/>
      <c r="AQH790" s="10"/>
      <c r="AQI790" s="10"/>
      <c r="AQJ790" s="10"/>
      <c r="AQK790" s="10"/>
      <c r="AQL790" s="10"/>
      <c r="AQM790" s="10"/>
      <c r="AQN790" s="10"/>
      <c r="AQO790" s="10"/>
      <c r="AQP790" s="10"/>
      <c r="AQQ790" s="10"/>
      <c r="AQR790" s="10"/>
      <c r="AQS790" s="10"/>
      <c r="AQT790" s="10"/>
      <c r="AQU790" s="10"/>
      <c r="AQV790" s="10"/>
      <c r="AQW790" s="10"/>
      <c r="AQX790" s="10"/>
      <c r="AQY790" s="10"/>
      <c r="AQZ790" s="10"/>
      <c r="ARA790" s="10"/>
      <c r="ARB790" s="10"/>
      <c r="ARC790" s="10"/>
      <c r="ARD790" s="10"/>
      <c r="ARE790" s="10"/>
      <c r="ARF790" s="10"/>
      <c r="ARG790" s="10"/>
      <c r="ARH790" s="10"/>
      <c r="ARI790" s="10"/>
      <c r="ARJ790" s="10"/>
      <c r="ARK790" s="10"/>
      <c r="ARL790" s="10"/>
      <c r="ARM790" s="10"/>
      <c r="ARN790" s="10"/>
      <c r="ARO790" s="10"/>
      <c r="ARP790" s="10"/>
      <c r="ARQ790" s="10"/>
      <c r="ARR790" s="10"/>
      <c r="ARS790" s="10"/>
      <c r="ART790" s="10"/>
      <c r="ARU790" s="10"/>
      <c r="ARV790" s="10"/>
      <c r="ARW790" s="10"/>
      <c r="ARX790" s="10"/>
      <c r="ARY790" s="10"/>
      <c r="ARZ790" s="10"/>
      <c r="ASA790" s="10"/>
      <c r="ASB790" s="10"/>
      <c r="ASC790" s="10"/>
      <c r="ASD790" s="10"/>
      <c r="ASE790" s="10"/>
      <c r="ASF790" s="10"/>
      <c r="ASG790" s="10"/>
      <c r="ASH790" s="10"/>
      <c r="ASI790" s="10"/>
      <c r="ASJ790" s="10"/>
      <c r="ASK790" s="10"/>
      <c r="ASL790" s="10"/>
      <c r="ASM790" s="10"/>
      <c r="ASN790" s="10"/>
      <c r="ASO790" s="10"/>
      <c r="ASP790" s="10"/>
      <c r="ASQ790" s="10"/>
      <c r="ASR790" s="10"/>
      <c r="ASS790" s="10"/>
      <c r="AST790" s="10"/>
      <c r="ASU790" s="10"/>
      <c r="ASV790" s="10"/>
      <c r="ASW790" s="10"/>
      <c r="ASX790" s="10"/>
      <c r="ASY790" s="10"/>
      <c r="ASZ790" s="10"/>
      <c r="ATA790" s="10"/>
      <c r="ATB790" s="10"/>
      <c r="ATC790" s="10"/>
      <c r="ATD790" s="10"/>
      <c r="ATE790" s="10"/>
      <c r="ATF790" s="10"/>
      <c r="ATG790" s="10"/>
      <c r="ATH790" s="10"/>
      <c r="ATI790" s="10"/>
      <c r="ATJ790" s="10"/>
      <c r="ATK790" s="10"/>
      <c r="ATL790" s="10"/>
      <c r="ATM790" s="10"/>
      <c r="ATN790" s="10"/>
      <c r="ATO790" s="10"/>
      <c r="ATP790" s="10"/>
      <c r="ATQ790" s="10"/>
      <c r="ATR790" s="10"/>
      <c r="ATS790" s="10"/>
      <c r="ATT790" s="10"/>
      <c r="ATU790" s="10"/>
      <c r="ATV790" s="10"/>
      <c r="ATW790" s="10"/>
      <c r="ATX790" s="10"/>
      <c r="ATY790" s="10"/>
      <c r="ATZ790" s="10"/>
      <c r="AUA790" s="10"/>
      <c r="AUB790" s="10"/>
      <c r="AUC790" s="10"/>
      <c r="AUD790" s="10"/>
      <c r="AUE790" s="10"/>
      <c r="AUF790" s="10"/>
      <c r="AUG790" s="10"/>
      <c r="AUH790" s="10"/>
      <c r="AUI790" s="10"/>
      <c r="AUJ790" s="10"/>
      <c r="AUK790" s="10"/>
      <c r="AUL790" s="10"/>
      <c r="AUM790" s="10"/>
      <c r="AUN790" s="10"/>
      <c r="AUO790" s="10"/>
      <c r="AUP790" s="10"/>
      <c r="AUQ790" s="10"/>
      <c r="AUR790" s="10"/>
      <c r="AUS790" s="10"/>
      <c r="AUT790" s="10"/>
      <c r="AUU790" s="10"/>
      <c r="AUV790" s="10"/>
      <c r="AUW790" s="10"/>
      <c r="AUX790" s="10"/>
      <c r="AUY790" s="10"/>
      <c r="AUZ790" s="10"/>
      <c r="AVA790" s="10"/>
      <c r="AVB790" s="10"/>
      <c r="AVC790" s="10"/>
      <c r="AVD790" s="10"/>
      <c r="AVE790" s="10"/>
      <c r="AVF790" s="10"/>
      <c r="AVG790" s="10"/>
      <c r="AVH790" s="10"/>
      <c r="AVI790" s="10"/>
      <c r="AVJ790" s="10"/>
      <c r="AVK790" s="10"/>
      <c r="AVL790" s="10"/>
      <c r="AVM790" s="10"/>
      <c r="AVN790" s="10"/>
      <c r="AVO790" s="10"/>
      <c r="AVP790" s="10"/>
      <c r="AVQ790" s="10"/>
      <c r="AVR790" s="10"/>
      <c r="AVS790" s="10"/>
      <c r="AVT790" s="10"/>
      <c r="AVU790" s="10"/>
      <c r="AVV790" s="10"/>
      <c r="AVW790" s="10"/>
      <c r="AVX790" s="10"/>
      <c r="AVY790" s="10"/>
      <c r="AVZ790" s="10"/>
      <c r="AWA790" s="10"/>
      <c r="AWB790" s="10"/>
      <c r="AWC790" s="10"/>
      <c r="AWD790" s="10"/>
      <c r="AWE790" s="10"/>
      <c r="AWF790" s="10"/>
      <c r="AWG790" s="10"/>
      <c r="AWH790" s="10"/>
      <c r="AWI790" s="10"/>
      <c r="AWJ790" s="10"/>
      <c r="AWK790" s="10"/>
      <c r="AWL790" s="10"/>
      <c r="AWM790" s="10"/>
      <c r="AWN790" s="10"/>
      <c r="AWO790" s="10"/>
      <c r="AWP790" s="10"/>
      <c r="AWQ790" s="10"/>
      <c r="AWR790" s="10"/>
      <c r="AWS790" s="10"/>
      <c r="AWT790" s="10"/>
      <c r="AWU790" s="10"/>
      <c r="AWV790" s="10"/>
      <c r="AWW790" s="10"/>
      <c r="AWX790" s="10"/>
      <c r="AWY790" s="10"/>
      <c r="AWZ790" s="10"/>
      <c r="AXA790" s="10"/>
      <c r="AXB790" s="10"/>
      <c r="AXC790" s="10"/>
      <c r="AXD790" s="10"/>
      <c r="AXE790" s="10"/>
      <c r="AXF790" s="10"/>
      <c r="AXG790" s="10"/>
      <c r="AXH790" s="10"/>
      <c r="AXI790" s="10"/>
      <c r="AXJ790" s="10"/>
      <c r="AXK790" s="10"/>
      <c r="AXL790" s="10"/>
      <c r="AXM790" s="10"/>
      <c r="AXN790" s="10"/>
      <c r="AXO790" s="10"/>
      <c r="AXP790" s="10"/>
      <c r="AXQ790" s="10"/>
      <c r="AXR790" s="10"/>
      <c r="AXS790" s="10"/>
      <c r="AXT790" s="10"/>
      <c r="AXU790" s="10"/>
      <c r="AXV790" s="10"/>
      <c r="AXW790" s="10"/>
      <c r="AXX790" s="10"/>
      <c r="AXY790" s="10"/>
      <c r="AXZ790" s="10"/>
      <c r="AYA790" s="10"/>
      <c r="AYB790" s="10"/>
      <c r="AYC790" s="10"/>
      <c r="AYD790" s="10"/>
      <c r="AYE790" s="10"/>
      <c r="AYF790" s="10"/>
      <c r="AYG790" s="10"/>
      <c r="AYH790" s="10"/>
      <c r="AYI790" s="10"/>
      <c r="AYJ790" s="10"/>
      <c r="AYK790" s="10"/>
      <c r="AYL790" s="10"/>
      <c r="AYM790" s="10"/>
      <c r="AYN790" s="10"/>
      <c r="AYO790" s="10"/>
      <c r="AYP790" s="10"/>
      <c r="AYQ790" s="10"/>
      <c r="AYR790" s="10"/>
      <c r="AYS790" s="10"/>
      <c r="AYT790" s="10"/>
      <c r="AYU790" s="10"/>
      <c r="AYV790" s="10"/>
      <c r="AYW790" s="10"/>
      <c r="AYX790" s="10"/>
      <c r="AYY790" s="10"/>
      <c r="AYZ790" s="10"/>
      <c r="AZA790" s="10"/>
      <c r="AZB790" s="10"/>
      <c r="AZC790" s="10"/>
      <c r="AZD790" s="10"/>
      <c r="AZE790" s="10"/>
      <c r="AZF790" s="10"/>
      <c r="AZG790" s="10"/>
      <c r="AZH790" s="10"/>
      <c r="AZI790" s="10"/>
      <c r="AZJ790" s="10"/>
      <c r="AZK790" s="10"/>
      <c r="AZL790" s="10"/>
      <c r="AZM790" s="10"/>
      <c r="AZN790" s="10"/>
      <c r="AZO790" s="10"/>
      <c r="AZP790" s="10"/>
      <c r="AZQ790" s="10"/>
      <c r="AZR790" s="10"/>
      <c r="AZS790" s="10"/>
      <c r="AZT790" s="10"/>
      <c r="AZU790" s="10"/>
      <c r="AZV790" s="10"/>
      <c r="AZW790" s="10"/>
      <c r="AZX790" s="10"/>
      <c r="AZY790" s="10"/>
      <c r="AZZ790" s="10"/>
      <c r="BAA790" s="10"/>
      <c r="BAB790" s="10"/>
      <c r="BAC790" s="10"/>
      <c r="BAD790" s="10"/>
      <c r="BAE790" s="10"/>
      <c r="BAF790" s="10"/>
      <c r="BAG790" s="10"/>
      <c r="BAH790" s="10"/>
      <c r="BAI790" s="10"/>
      <c r="BAJ790" s="10"/>
      <c r="BAK790" s="10"/>
      <c r="BAL790" s="10"/>
      <c r="BAM790" s="10"/>
      <c r="BAN790" s="10"/>
      <c r="BAO790" s="10"/>
      <c r="BAP790" s="10"/>
      <c r="BAQ790" s="10"/>
      <c r="BAR790" s="10"/>
      <c r="BAS790" s="10"/>
      <c r="BAT790" s="10"/>
      <c r="BAU790" s="10"/>
      <c r="BAV790" s="10"/>
      <c r="BAW790" s="10"/>
      <c r="BAX790" s="10"/>
      <c r="BAY790" s="10"/>
      <c r="BAZ790" s="10"/>
      <c r="BBA790" s="10"/>
      <c r="BBB790" s="10"/>
      <c r="BBC790" s="10"/>
      <c r="BBD790" s="10"/>
      <c r="BBE790" s="10"/>
      <c r="BBF790" s="10"/>
      <c r="BBG790" s="10"/>
      <c r="BBH790" s="10"/>
      <c r="BBI790" s="10"/>
      <c r="BBJ790" s="10"/>
      <c r="BBK790" s="10"/>
      <c r="BBL790" s="10"/>
      <c r="BBM790" s="10"/>
      <c r="BBN790" s="10"/>
      <c r="BBO790" s="10"/>
      <c r="BBP790" s="10"/>
      <c r="BBQ790" s="10"/>
      <c r="BBR790" s="10"/>
      <c r="BBS790" s="10"/>
      <c r="BBT790" s="10"/>
      <c r="BBU790" s="10"/>
      <c r="BBV790" s="10"/>
      <c r="BBW790" s="10"/>
      <c r="BBX790" s="10"/>
      <c r="BBY790" s="10"/>
      <c r="BBZ790" s="10"/>
      <c r="BCA790" s="10"/>
      <c r="BCB790" s="10"/>
      <c r="BCC790" s="10"/>
      <c r="BCD790" s="10"/>
      <c r="BCE790" s="10"/>
      <c r="BCF790" s="10"/>
      <c r="BCG790" s="10"/>
      <c r="BCH790" s="10"/>
      <c r="BCI790" s="10"/>
      <c r="BCJ790" s="10"/>
      <c r="BCK790" s="10"/>
      <c r="BCL790" s="10"/>
      <c r="BCM790" s="10"/>
      <c r="BCN790" s="10"/>
      <c r="BCO790" s="10"/>
      <c r="BCP790" s="10"/>
      <c r="BCQ790" s="10"/>
      <c r="BCR790" s="10"/>
      <c r="BCS790" s="10"/>
      <c r="BCT790" s="10"/>
      <c r="BCU790" s="10"/>
      <c r="BCV790" s="10"/>
      <c r="BCW790" s="10"/>
      <c r="BCX790" s="10"/>
      <c r="BCY790" s="10"/>
      <c r="BCZ790" s="10"/>
      <c r="BDA790" s="10"/>
      <c r="BDB790" s="10"/>
      <c r="BDC790" s="10"/>
      <c r="BDD790" s="10"/>
      <c r="BDE790" s="10"/>
      <c r="BDF790" s="10"/>
      <c r="BDG790" s="10"/>
      <c r="BDH790" s="10"/>
      <c r="BDI790" s="10"/>
      <c r="BDJ790" s="10"/>
      <c r="BDK790" s="10"/>
      <c r="BDL790" s="10"/>
      <c r="BDM790" s="10"/>
      <c r="BDN790" s="10"/>
      <c r="BDO790" s="10"/>
      <c r="BDP790" s="10"/>
      <c r="BDQ790" s="10"/>
      <c r="BDR790" s="10"/>
      <c r="BDS790" s="10"/>
      <c r="BDT790" s="10"/>
      <c r="BDU790" s="10"/>
      <c r="BDV790" s="10"/>
      <c r="BDW790" s="10"/>
      <c r="BDX790" s="10"/>
      <c r="BDY790" s="10"/>
      <c r="BDZ790" s="10"/>
      <c r="BEA790" s="10"/>
      <c r="BEB790" s="10"/>
      <c r="BEC790" s="10"/>
      <c r="BED790" s="10"/>
      <c r="BEE790" s="10"/>
      <c r="BEF790" s="10"/>
      <c r="BEG790" s="10"/>
      <c r="BEH790" s="10"/>
      <c r="BEI790" s="10"/>
      <c r="BEJ790" s="10"/>
      <c r="BEK790" s="10"/>
      <c r="BEL790" s="10"/>
      <c r="BEM790" s="10"/>
      <c r="BEN790" s="10"/>
      <c r="BEO790" s="10"/>
      <c r="BEP790" s="10"/>
      <c r="BEQ790" s="10"/>
      <c r="BER790" s="10"/>
      <c r="BES790" s="10"/>
      <c r="BET790" s="10"/>
      <c r="BEU790" s="10"/>
      <c r="BEV790" s="10"/>
      <c r="BEW790" s="10"/>
      <c r="BEX790" s="10"/>
      <c r="BEY790" s="10"/>
      <c r="BEZ790" s="10"/>
      <c r="BFA790" s="10"/>
      <c r="BFB790" s="10"/>
      <c r="BFC790" s="10"/>
      <c r="BFD790" s="10"/>
      <c r="BFE790" s="10"/>
      <c r="BFF790" s="10"/>
      <c r="BFG790" s="10"/>
      <c r="BFH790" s="10"/>
      <c r="BFI790" s="10"/>
      <c r="BFJ790" s="10"/>
      <c r="BFK790" s="10"/>
      <c r="BFL790" s="10"/>
      <c r="BFM790" s="10"/>
      <c r="BFN790" s="10"/>
      <c r="BFO790" s="10"/>
      <c r="BFP790" s="10"/>
      <c r="BFQ790" s="10"/>
      <c r="BFR790" s="10"/>
      <c r="BFS790" s="10"/>
      <c r="BFT790" s="10"/>
      <c r="BFU790" s="10"/>
      <c r="BFV790" s="10"/>
      <c r="BFW790" s="10"/>
      <c r="BFX790" s="10"/>
      <c r="BFY790" s="10"/>
      <c r="BFZ790" s="10"/>
      <c r="BGA790" s="10"/>
      <c r="BGB790" s="10"/>
      <c r="BGC790" s="10"/>
      <c r="BGD790" s="10"/>
      <c r="BGE790" s="10"/>
      <c r="BGF790" s="10"/>
      <c r="BGG790" s="10"/>
      <c r="BGH790" s="10"/>
      <c r="BGI790" s="10"/>
      <c r="BGJ790" s="10"/>
      <c r="BGK790" s="10"/>
      <c r="BGL790" s="10"/>
      <c r="BGM790" s="10"/>
      <c r="BGN790" s="10"/>
      <c r="BGO790" s="10"/>
      <c r="BGP790" s="10"/>
      <c r="BGQ790" s="10"/>
      <c r="BGR790" s="10"/>
      <c r="BGS790" s="10"/>
      <c r="BGT790" s="10"/>
      <c r="BGU790" s="10"/>
      <c r="BGV790" s="10"/>
      <c r="BGW790" s="10"/>
      <c r="BGX790" s="10"/>
      <c r="BGY790" s="10"/>
      <c r="BGZ790" s="10"/>
      <c r="BHA790" s="10"/>
      <c r="BHB790" s="10"/>
      <c r="BHC790" s="10"/>
      <c r="BHD790" s="10"/>
      <c r="BHE790" s="10"/>
      <c r="BHF790" s="10"/>
      <c r="BHG790" s="10"/>
      <c r="BHH790" s="10"/>
      <c r="BHI790" s="10"/>
      <c r="BHJ790" s="10"/>
      <c r="BHK790" s="10"/>
      <c r="BHL790" s="10"/>
      <c r="BHM790" s="10"/>
      <c r="BHN790" s="10"/>
      <c r="BHO790" s="10"/>
      <c r="BHP790" s="10"/>
      <c r="BHQ790" s="10"/>
      <c r="BHR790" s="10"/>
      <c r="BHS790" s="10"/>
      <c r="BHT790" s="10"/>
      <c r="BHU790" s="10"/>
      <c r="BHV790" s="10"/>
      <c r="BHW790" s="10"/>
      <c r="BHX790" s="10"/>
      <c r="BHY790" s="10"/>
      <c r="BHZ790" s="10"/>
      <c r="BIA790" s="10"/>
      <c r="BIB790" s="10"/>
      <c r="BIC790" s="10"/>
      <c r="BID790" s="10"/>
      <c r="BIE790" s="10"/>
      <c r="BIF790" s="10"/>
      <c r="BIG790" s="10"/>
      <c r="BIH790" s="10"/>
      <c r="BII790" s="10"/>
      <c r="BIJ790" s="10"/>
      <c r="BIK790" s="10"/>
      <c r="BIL790" s="10"/>
      <c r="BIM790" s="10"/>
      <c r="BIN790" s="10"/>
      <c r="BIO790" s="10"/>
      <c r="BIP790" s="10"/>
      <c r="BIQ790" s="10"/>
      <c r="BIR790" s="10"/>
      <c r="BIS790" s="10"/>
      <c r="BIT790" s="10"/>
      <c r="BIU790" s="10"/>
      <c r="BIV790" s="10"/>
      <c r="BIW790" s="10"/>
      <c r="BIX790" s="10"/>
      <c r="BIY790" s="10"/>
      <c r="BIZ790" s="10"/>
      <c r="BJA790" s="10"/>
      <c r="BJB790" s="10"/>
      <c r="BJC790" s="10"/>
      <c r="BJD790" s="10"/>
      <c r="BJE790" s="10"/>
      <c r="BJF790" s="10"/>
      <c r="BJG790" s="10"/>
      <c r="BJH790" s="10"/>
      <c r="BJI790" s="10"/>
      <c r="BJJ790" s="10"/>
      <c r="BJK790" s="10"/>
      <c r="BJL790" s="10"/>
      <c r="BJM790" s="10"/>
      <c r="BJN790" s="10"/>
      <c r="BJO790" s="10"/>
      <c r="BJP790" s="10"/>
      <c r="BJQ790" s="10"/>
      <c r="BJR790" s="10"/>
      <c r="BJS790" s="10"/>
      <c r="BJT790" s="10"/>
      <c r="BJU790" s="10"/>
      <c r="BJV790" s="10"/>
      <c r="BJW790" s="10"/>
      <c r="BJX790" s="10"/>
      <c r="BJY790" s="10"/>
      <c r="BJZ790" s="10"/>
      <c r="BKA790" s="10"/>
      <c r="BKB790" s="10"/>
      <c r="BKC790" s="10"/>
      <c r="BKD790" s="10"/>
      <c r="BKE790" s="10"/>
      <c r="BKF790" s="10"/>
      <c r="BKG790" s="10"/>
      <c r="BKH790" s="10"/>
      <c r="BKI790" s="10"/>
      <c r="BKJ790" s="10"/>
      <c r="BKK790" s="10"/>
      <c r="BKL790" s="10"/>
      <c r="BKM790" s="10"/>
      <c r="BKN790" s="10"/>
      <c r="BKO790" s="10"/>
      <c r="BKP790" s="10"/>
      <c r="BKQ790" s="10"/>
      <c r="BKR790" s="10"/>
      <c r="BKS790" s="10"/>
      <c r="BKT790" s="10"/>
      <c r="BKU790" s="10"/>
      <c r="BKV790" s="10"/>
      <c r="BKW790" s="10"/>
      <c r="BKX790" s="10"/>
      <c r="BKY790" s="10"/>
      <c r="BKZ790" s="10"/>
      <c r="BLA790" s="10"/>
      <c r="BLB790" s="10"/>
      <c r="BLC790" s="10"/>
      <c r="BLD790" s="10"/>
      <c r="BLE790" s="10"/>
      <c r="BLF790" s="10"/>
      <c r="BLG790" s="10"/>
      <c r="BLH790" s="10"/>
      <c r="BLI790" s="10"/>
      <c r="BLJ790" s="10"/>
      <c r="BLK790" s="10"/>
      <c r="BLL790" s="10"/>
      <c r="BLM790" s="10"/>
      <c r="BLN790" s="10"/>
      <c r="BLO790" s="10"/>
      <c r="BLP790" s="10"/>
      <c r="BLQ790" s="10"/>
      <c r="BLR790" s="10"/>
      <c r="BLS790" s="10"/>
      <c r="BLT790" s="10"/>
      <c r="BLU790" s="10"/>
      <c r="BLV790" s="10"/>
      <c r="BLW790" s="10"/>
      <c r="BLX790" s="10"/>
      <c r="BLY790" s="10"/>
      <c r="BLZ790" s="10"/>
      <c r="BMA790" s="10"/>
      <c r="BMB790" s="10"/>
      <c r="BMC790" s="10"/>
      <c r="BMD790" s="10"/>
      <c r="BME790" s="10"/>
      <c r="BMF790" s="10"/>
      <c r="BMG790" s="10"/>
      <c r="BMH790" s="10"/>
      <c r="BMI790" s="10"/>
      <c r="BMJ790" s="10"/>
      <c r="BMK790" s="10"/>
      <c r="BML790" s="10"/>
      <c r="BMM790" s="10"/>
      <c r="BMN790" s="10"/>
      <c r="BMO790" s="10"/>
      <c r="BMP790" s="10"/>
      <c r="BMQ790" s="10"/>
      <c r="BMR790" s="10"/>
      <c r="BMS790" s="10"/>
      <c r="BMT790" s="10"/>
      <c r="BMU790" s="10"/>
      <c r="BMV790" s="10"/>
      <c r="BMW790" s="10"/>
      <c r="BMX790" s="10"/>
      <c r="BMY790" s="10"/>
      <c r="BMZ790" s="10"/>
      <c r="BNA790" s="10"/>
      <c r="BNB790" s="10"/>
      <c r="BNC790" s="10"/>
      <c r="BND790" s="10"/>
      <c r="BNE790" s="10"/>
      <c r="BNF790" s="10"/>
      <c r="BNG790" s="10"/>
      <c r="BNH790" s="10"/>
      <c r="BNI790" s="10"/>
      <c r="BNJ790" s="10"/>
      <c r="BNK790" s="10"/>
      <c r="BNL790" s="10"/>
      <c r="BNM790" s="10"/>
      <c r="BNN790" s="10"/>
      <c r="BNO790" s="10"/>
      <c r="BNP790" s="10"/>
      <c r="BNQ790" s="10"/>
      <c r="BNR790" s="10"/>
      <c r="BNS790" s="10"/>
      <c r="BNT790" s="10"/>
      <c r="BNU790" s="10"/>
      <c r="BNV790" s="10"/>
      <c r="BNW790" s="10"/>
      <c r="BNX790" s="10"/>
      <c r="BNY790" s="10"/>
      <c r="BNZ790" s="10"/>
      <c r="BOA790" s="10"/>
      <c r="BOB790" s="10"/>
      <c r="BOC790" s="10"/>
      <c r="BOD790" s="10"/>
      <c r="BOE790" s="10"/>
      <c r="BOF790" s="10"/>
      <c r="BOG790" s="10"/>
      <c r="BOH790" s="10"/>
      <c r="BOI790" s="10"/>
      <c r="BOJ790" s="10"/>
      <c r="BOK790" s="10"/>
      <c r="BOL790" s="10"/>
      <c r="BOM790" s="10"/>
      <c r="BON790" s="10"/>
      <c r="BOO790" s="10"/>
      <c r="BOP790" s="10"/>
      <c r="BOQ790" s="10"/>
      <c r="BOR790" s="10"/>
      <c r="BOS790" s="10"/>
      <c r="BOT790" s="10"/>
      <c r="BOU790" s="10"/>
      <c r="BOV790" s="10"/>
      <c r="BOW790" s="10"/>
      <c r="BOX790" s="10"/>
      <c r="BOY790" s="10"/>
      <c r="BOZ790" s="10"/>
      <c r="BPA790" s="10"/>
      <c r="BPB790" s="10"/>
      <c r="BPC790" s="10"/>
      <c r="BPD790" s="10"/>
      <c r="BPE790" s="10"/>
      <c r="BPF790" s="10"/>
      <c r="BPG790" s="10"/>
      <c r="BPH790" s="10"/>
      <c r="BPI790" s="10"/>
      <c r="BPJ790" s="10"/>
      <c r="BPK790" s="10"/>
      <c r="BPL790" s="10"/>
      <c r="BPM790" s="10"/>
      <c r="BPN790" s="10"/>
      <c r="BPO790" s="10"/>
      <c r="BPP790" s="10"/>
      <c r="BPQ790" s="10"/>
      <c r="BPR790" s="10"/>
      <c r="BPS790" s="10"/>
      <c r="BPT790" s="10"/>
      <c r="BPU790" s="10"/>
      <c r="BPV790" s="10"/>
      <c r="BPW790" s="10"/>
      <c r="BPX790" s="10"/>
      <c r="BPY790" s="10"/>
      <c r="BPZ790" s="10"/>
      <c r="BQA790" s="10"/>
      <c r="BQB790" s="10"/>
      <c r="BQC790" s="10"/>
      <c r="BQD790" s="10"/>
      <c r="BQE790" s="10"/>
      <c r="BQF790" s="10"/>
      <c r="BQG790" s="10"/>
      <c r="BQH790" s="10"/>
      <c r="BQI790" s="10"/>
      <c r="BQJ790" s="10"/>
      <c r="BQK790" s="10"/>
      <c r="BQL790" s="10"/>
      <c r="BQM790" s="10"/>
      <c r="BQN790" s="10"/>
      <c r="BQO790" s="10"/>
      <c r="BQP790" s="10"/>
      <c r="BQQ790" s="10"/>
      <c r="BQR790" s="10"/>
      <c r="BQS790" s="10"/>
      <c r="BQT790" s="10"/>
      <c r="BQU790" s="10"/>
      <c r="BQV790" s="10"/>
      <c r="BQW790" s="10"/>
      <c r="BQX790" s="10"/>
      <c r="BQY790" s="10"/>
      <c r="BQZ790" s="10"/>
      <c r="BRA790" s="10"/>
      <c r="BRB790" s="10"/>
      <c r="BRC790" s="10"/>
      <c r="BRD790" s="10"/>
      <c r="BRE790" s="10"/>
      <c r="BRF790" s="10"/>
      <c r="BRG790" s="10"/>
      <c r="BRH790" s="10"/>
      <c r="BRI790" s="10"/>
      <c r="BRJ790" s="10"/>
      <c r="BRK790" s="10"/>
      <c r="BRL790" s="10"/>
      <c r="BRM790" s="10"/>
      <c r="BRN790" s="10"/>
      <c r="BRO790" s="10"/>
      <c r="BRP790" s="10"/>
      <c r="BRQ790" s="10"/>
      <c r="BRR790" s="10"/>
      <c r="BRS790" s="10"/>
      <c r="BRT790" s="10"/>
      <c r="BRU790" s="10"/>
      <c r="BRV790" s="10"/>
      <c r="BRW790" s="10"/>
      <c r="BRX790" s="10"/>
      <c r="BRY790" s="10"/>
      <c r="BRZ790" s="10"/>
      <c r="BSA790" s="10"/>
      <c r="BSB790" s="10"/>
      <c r="BSC790" s="10"/>
      <c r="BSD790" s="10"/>
      <c r="BSE790" s="10"/>
      <c r="BSF790" s="10"/>
      <c r="BSG790" s="10"/>
      <c r="BSH790" s="10"/>
      <c r="BSI790" s="10"/>
      <c r="BSJ790" s="10"/>
      <c r="BSK790" s="10"/>
      <c r="BSL790" s="10"/>
      <c r="BSM790" s="10"/>
      <c r="BSN790" s="10"/>
      <c r="BSO790" s="10"/>
      <c r="BSP790" s="10"/>
      <c r="BSQ790" s="10"/>
      <c r="BSR790" s="10"/>
      <c r="BSS790" s="10"/>
      <c r="BST790" s="10"/>
      <c r="BSU790" s="10"/>
      <c r="BSV790" s="10"/>
      <c r="BSW790" s="10"/>
      <c r="BSX790" s="10"/>
      <c r="BSY790" s="10"/>
      <c r="BSZ790" s="10"/>
      <c r="BTA790" s="10"/>
      <c r="BTB790" s="10"/>
      <c r="BTC790" s="10"/>
      <c r="BTD790" s="10"/>
      <c r="BTE790" s="10"/>
      <c r="BTF790" s="10"/>
      <c r="BTG790" s="10"/>
      <c r="BTH790" s="10"/>
      <c r="BTI790" s="10"/>
      <c r="BTJ790" s="10"/>
      <c r="BTK790" s="10"/>
      <c r="BTL790" s="10"/>
      <c r="BTM790" s="10"/>
      <c r="BTN790" s="10"/>
      <c r="BTO790" s="10"/>
      <c r="BTP790" s="10"/>
      <c r="BTQ790" s="10"/>
      <c r="BTR790" s="10"/>
      <c r="BTS790" s="10"/>
      <c r="BTT790" s="10"/>
    </row>
    <row r="791" spans="1:1892" s="10" customFormat="1" ht="35.1" customHeight="1">
      <c r="A791" s="1462"/>
      <c r="B791" s="597" t="s">
        <v>736</v>
      </c>
      <c r="C791" s="903" t="s">
        <v>128</v>
      </c>
      <c r="D791" s="701" t="s">
        <v>129</v>
      </c>
      <c r="E791" s="702"/>
      <c r="F791" s="703"/>
      <c r="G791" s="541" t="s">
        <v>269</v>
      </c>
      <c r="H791" s="541" t="s">
        <v>270</v>
      </c>
      <c r="I791" s="541" t="s">
        <v>271</v>
      </c>
      <c r="J791" s="795" t="s">
        <v>67</v>
      </c>
      <c r="K791" s="795" t="s">
        <v>66</v>
      </c>
      <c r="L791" s="192">
        <v>84.96</v>
      </c>
      <c r="M791" s="281">
        <v>265</v>
      </c>
      <c r="N791" s="282">
        <v>0</v>
      </c>
      <c r="O791" s="282">
        <v>0</v>
      </c>
      <c r="P791" s="560" t="s">
        <v>473</v>
      </c>
      <c r="Q791" s="560" t="s">
        <v>426</v>
      </c>
      <c r="R791" s="560" t="s">
        <v>474</v>
      </c>
      <c r="S791" s="664" t="s">
        <v>853</v>
      </c>
      <c r="T791" s="1004" t="s">
        <v>130</v>
      </c>
      <c r="U791" s="1004" t="s">
        <v>67</v>
      </c>
    </row>
    <row r="792" spans="1:1892" s="10" customFormat="1" ht="35.1" customHeight="1">
      <c r="A792" s="1462"/>
      <c r="B792" s="503"/>
      <c r="C792" s="904"/>
      <c r="D792" s="704"/>
      <c r="E792" s="705"/>
      <c r="F792" s="706"/>
      <c r="G792" s="542"/>
      <c r="H792" s="542"/>
      <c r="I792" s="542"/>
      <c r="J792" s="796"/>
      <c r="K792" s="796"/>
      <c r="L792" s="192">
        <v>84.94</v>
      </c>
      <c r="M792" s="281">
        <v>681</v>
      </c>
      <c r="N792" s="282">
        <v>0</v>
      </c>
      <c r="O792" s="282">
        <v>0</v>
      </c>
      <c r="P792" s="561"/>
      <c r="Q792" s="561"/>
      <c r="R792" s="561"/>
      <c r="S792" s="665"/>
      <c r="T792" s="1005"/>
      <c r="U792" s="1005"/>
    </row>
    <row r="793" spans="1:1892" s="10" customFormat="1" ht="35.1" customHeight="1">
      <c r="A793" s="1462"/>
      <c r="B793" s="503"/>
      <c r="C793" s="904"/>
      <c r="D793" s="704"/>
      <c r="E793" s="705"/>
      <c r="F793" s="706"/>
      <c r="G793" s="572"/>
      <c r="H793" s="572"/>
      <c r="I793" s="572"/>
      <c r="J793" s="797"/>
      <c r="K793" s="797"/>
      <c r="L793" s="192">
        <v>148.93</v>
      </c>
      <c r="M793" s="281">
        <v>2</v>
      </c>
      <c r="N793" s="282">
        <v>2</v>
      </c>
      <c r="O793" s="282">
        <v>2</v>
      </c>
      <c r="P793" s="561"/>
      <c r="Q793" s="561"/>
      <c r="R793" s="561"/>
      <c r="S793" s="665"/>
      <c r="T793" s="1005"/>
      <c r="U793" s="1005"/>
    </row>
    <row r="794" spans="1:1892" s="10" customFormat="1" ht="35.1" customHeight="1">
      <c r="A794" s="1462"/>
      <c r="B794" s="503"/>
      <c r="C794" s="905"/>
      <c r="D794" s="707"/>
      <c r="E794" s="708"/>
      <c r="F794" s="709"/>
      <c r="G794" s="1019" t="s">
        <v>329</v>
      </c>
      <c r="H794" s="1020"/>
      <c r="I794" s="1020"/>
      <c r="J794" s="1020"/>
      <c r="K794" s="1021"/>
      <c r="L794" s="183"/>
      <c r="M794" s="251">
        <f>SUM(M791:M793)</f>
        <v>948</v>
      </c>
      <c r="N794" s="400">
        <v>2</v>
      </c>
      <c r="O794" s="400">
        <v>2</v>
      </c>
      <c r="P794" s="562"/>
      <c r="Q794" s="562"/>
      <c r="R794" s="562"/>
      <c r="S794" s="666"/>
      <c r="T794" s="1006"/>
      <c r="U794" s="1006"/>
    </row>
    <row r="795" spans="1:1892" s="10" customFormat="1" ht="35.1" customHeight="1">
      <c r="A795" s="1462"/>
      <c r="B795" s="503"/>
      <c r="C795" s="892" t="s">
        <v>513</v>
      </c>
      <c r="D795" s="1179" t="s">
        <v>818</v>
      </c>
      <c r="E795" s="1180"/>
      <c r="F795" s="1181"/>
      <c r="G795" s="541" t="s">
        <v>514</v>
      </c>
      <c r="H795" s="1214" t="s">
        <v>515</v>
      </c>
      <c r="I795" s="1214" t="s">
        <v>516</v>
      </c>
      <c r="J795" s="898" t="s">
        <v>11</v>
      </c>
      <c r="K795" s="898" t="s">
        <v>12</v>
      </c>
      <c r="L795" s="193" t="s">
        <v>94</v>
      </c>
      <c r="M795" s="221">
        <v>155</v>
      </c>
      <c r="N795" s="282">
        <v>7</v>
      </c>
      <c r="O795" s="282">
        <v>7</v>
      </c>
      <c r="P795" s="473" t="s">
        <v>431</v>
      </c>
      <c r="Q795" s="473" t="s">
        <v>442</v>
      </c>
      <c r="R795" s="473" t="s">
        <v>517</v>
      </c>
      <c r="S795" s="859" t="s">
        <v>1038</v>
      </c>
      <c r="T795" s="573" t="s">
        <v>518</v>
      </c>
      <c r="U795" s="573" t="s">
        <v>11</v>
      </c>
    </row>
    <row r="796" spans="1:1892" s="10" customFormat="1" ht="35.1" customHeight="1">
      <c r="A796" s="1462"/>
      <c r="B796" s="503"/>
      <c r="C796" s="893"/>
      <c r="D796" s="1182"/>
      <c r="E796" s="1183"/>
      <c r="F796" s="1184"/>
      <c r="G796" s="542"/>
      <c r="H796" s="1215"/>
      <c r="I796" s="1215"/>
      <c r="J796" s="1163"/>
      <c r="K796" s="1163"/>
      <c r="L796" s="193" t="s">
        <v>93</v>
      </c>
      <c r="M796" s="221">
        <v>20</v>
      </c>
      <c r="N796" s="282">
        <v>2</v>
      </c>
      <c r="O796" s="282">
        <v>2</v>
      </c>
      <c r="P796" s="474"/>
      <c r="Q796" s="474"/>
      <c r="R796" s="474"/>
      <c r="S796" s="860"/>
      <c r="T796" s="574"/>
      <c r="U796" s="574"/>
    </row>
    <row r="797" spans="1:1892" s="10" customFormat="1" ht="35.1" customHeight="1">
      <c r="A797" s="1462"/>
      <c r="B797" s="503"/>
      <c r="C797" s="893"/>
      <c r="D797" s="1182"/>
      <c r="E797" s="1183"/>
      <c r="F797" s="1184"/>
      <c r="G797" s="542"/>
      <c r="H797" s="1215"/>
      <c r="I797" s="1215"/>
      <c r="J797" s="1163"/>
      <c r="K797" s="1163"/>
      <c r="L797" s="193" t="s">
        <v>84</v>
      </c>
      <c r="M797" s="221">
        <v>223</v>
      </c>
      <c r="N797" s="282">
        <v>77</v>
      </c>
      <c r="O797" s="282">
        <v>77</v>
      </c>
      <c r="P797" s="474"/>
      <c r="Q797" s="474"/>
      <c r="R797" s="474"/>
      <c r="S797" s="860"/>
      <c r="T797" s="574"/>
      <c r="U797" s="574"/>
    </row>
    <row r="798" spans="1:1892" s="10" customFormat="1" ht="35.1" customHeight="1">
      <c r="A798" s="1462"/>
      <c r="B798" s="503"/>
      <c r="C798" s="893"/>
      <c r="D798" s="1182"/>
      <c r="E798" s="1183"/>
      <c r="F798" s="1184"/>
      <c r="G798" s="572"/>
      <c r="H798" s="1216"/>
      <c r="I798" s="1216"/>
      <c r="J798" s="899"/>
      <c r="K798" s="899"/>
      <c r="L798" s="193" t="s">
        <v>83</v>
      </c>
      <c r="M798" s="221">
        <v>76</v>
      </c>
      <c r="N798" s="282">
        <v>10</v>
      </c>
      <c r="O798" s="282">
        <v>10</v>
      </c>
      <c r="P798" s="474"/>
      <c r="Q798" s="474"/>
      <c r="R798" s="474"/>
      <c r="S798" s="860"/>
      <c r="T798" s="574"/>
      <c r="U798" s="574"/>
    </row>
    <row r="799" spans="1:1892" s="10" customFormat="1" ht="35.1" customHeight="1">
      <c r="A799" s="1462"/>
      <c r="B799" s="503"/>
      <c r="C799" s="894"/>
      <c r="D799" s="1185"/>
      <c r="E799" s="1186"/>
      <c r="F799" s="1187"/>
      <c r="G799" s="1019" t="s">
        <v>329</v>
      </c>
      <c r="H799" s="1020"/>
      <c r="I799" s="1020"/>
      <c r="J799" s="1020"/>
      <c r="K799" s="1021"/>
      <c r="L799" s="145"/>
      <c r="M799" s="249">
        <f>SUM(M795:M798)</f>
        <v>474</v>
      </c>
      <c r="N799" s="246">
        <f>SUM(N795:N798)</f>
        <v>96</v>
      </c>
      <c r="O799" s="246">
        <f>SUM(O795:O798)</f>
        <v>96</v>
      </c>
      <c r="P799" s="475"/>
      <c r="Q799" s="475"/>
      <c r="R799" s="475"/>
      <c r="S799" s="861"/>
      <c r="T799" s="575"/>
      <c r="U799" s="575"/>
    </row>
    <row r="800" spans="1:1892" s="10" customFormat="1" ht="35.1" customHeight="1">
      <c r="A800" s="1462"/>
      <c r="B800" s="503"/>
      <c r="C800" s="892" t="s">
        <v>128</v>
      </c>
      <c r="D800" s="1164" t="s">
        <v>817</v>
      </c>
      <c r="E800" s="1165"/>
      <c r="F800" s="1166"/>
      <c r="G800" s="541" t="s">
        <v>814</v>
      </c>
      <c r="H800" s="541" t="s">
        <v>813</v>
      </c>
      <c r="I800" s="541" t="s">
        <v>812</v>
      </c>
      <c r="J800" s="898" t="s">
        <v>11</v>
      </c>
      <c r="K800" s="898" t="s">
        <v>12</v>
      </c>
      <c r="L800" s="355">
        <v>74.98</v>
      </c>
      <c r="M800" s="357">
        <v>92</v>
      </c>
      <c r="N800" s="282">
        <v>2</v>
      </c>
      <c r="O800" s="282">
        <v>2</v>
      </c>
      <c r="P800" s="473" t="s">
        <v>422</v>
      </c>
      <c r="Q800" s="473" t="s">
        <v>422</v>
      </c>
      <c r="R800" s="473" t="s">
        <v>811</v>
      </c>
      <c r="S800" s="859" t="s">
        <v>188</v>
      </c>
      <c r="T800" s="573" t="s">
        <v>816</v>
      </c>
      <c r="U800" s="573" t="s">
        <v>11</v>
      </c>
    </row>
    <row r="801" spans="1:21" s="10" customFormat="1" ht="35.1" customHeight="1">
      <c r="A801" s="1462"/>
      <c r="B801" s="503"/>
      <c r="C801" s="893"/>
      <c r="D801" s="1167"/>
      <c r="E801" s="1168"/>
      <c r="F801" s="1169"/>
      <c r="G801" s="542"/>
      <c r="H801" s="542"/>
      <c r="I801" s="542"/>
      <c r="J801" s="1163"/>
      <c r="K801" s="1163"/>
      <c r="L801" s="355" t="s">
        <v>809</v>
      </c>
      <c r="M801" s="357">
        <v>105</v>
      </c>
      <c r="N801" s="282">
        <v>2</v>
      </c>
      <c r="O801" s="282">
        <v>2</v>
      </c>
      <c r="P801" s="474"/>
      <c r="Q801" s="474"/>
      <c r="R801" s="474"/>
      <c r="S801" s="860"/>
      <c r="T801" s="574"/>
      <c r="U801" s="574"/>
    </row>
    <row r="802" spans="1:21" s="10" customFormat="1" ht="35.1" customHeight="1">
      <c r="A802" s="1462"/>
      <c r="B802" s="503"/>
      <c r="C802" s="893"/>
      <c r="D802" s="1167"/>
      <c r="E802" s="1168"/>
      <c r="F802" s="1169"/>
      <c r="G802" s="542"/>
      <c r="H802" s="542"/>
      <c r="I802" s="542"/>
      <c r="J802" s="1163"/>
      <c r="K802" s="1163"/>
      <c r="L802" s="355" t="s">
        <v>808</v>
      </c>
      <c r="M802" s="357">
        <v>121</v>
      </c>
      <c r="N802" s="282">
        <v>4</v>
      </c>
      <c r="O802" s="282">
        <v>4</v>
      </c>
      <c r="P802" s="474"/>
      <c r="Q802" s="474"/>
      <c r="R802" s="474"/>
      <c r="S802" s="860"/>
      <c r="T802" s="574"/>
      <c r="U802" s="574"/>
    </row>
    <row r="803" spans="1:21" s="10" customFormat="1" ht="35.1" customHeight="1">
      <c r="A803" s="1462"/>
      <c r="B803" s="503"/>
      <c r="C803" s="893"/>
      <c r="D803" s="1167"/>
      <c r="E803" s="1168"/>
      <c r="F803" s="1169"/>
      <c r="G803" s="572"/>
      <c r="H803" s="572"/>
      <c r="I803" s="572"/>
      <c r="J803" s="899"/>
      <c r="K803" s="899"/>
      <c r="L803" s="355">
        <v>100.97</v>
      </c>
      <c r="M803" s="357">
        <v>37</v>
      </c>
      <c r="N803" s="282">
        <v>2</v>
      </c>
      <c r="O803" s="282">
        <v>2</v>
      </c>
      <c r="P803" s="474"/>
      <c r="Q803" s="474"/>
      <c r="R803" s="474"/>
      <c r="S803" s="860"/>
      <c r="T803" s="574"/>
      <c r="U803" s="574"/>
    </row>
    <row r="804" spans="1:21" s="10" customFormat="1" ht="35.1" customHeight="1">
      <c r="A804" s="1462"/>
      <c r="B804" s="503"/>
      <c r="C804" s="894"/>
      <c r="D804" s="1170"/>
      <c r="E804" s="1171"/>
      <c r="F804" s="1172"/>
      <c r="G804" s="1019" t="s">
        <v>329</v>
      </c>
      <c r="H804" s="1020"/>
      <c r="I804" s="1020"/>
      <c r="J804" s="1020"/>
      <c r="K804" s="1021"/>
      <c r="L804" s="184"/>
      <c r="M804" s="283">
        <f>SUM(M800:M803)</f>
        <v>355</v>
      </c>
      <c r="N804" s="284">
        <f>SUM(N800:N803)</f>
        <v>10</v>
      </c>
      <c r="O804" s="284">
        <f>SUM(O800:O803)</f>
        <v>10</v>
      </c>
      <c r="P804" s="475"/>
      <c r="Q804" s="475"/>
      <c r="R804" s="475"/>
      <c r="S804" s="861"/>
      <c r="T804" s="575"/>
      <c r="U804" s="575"/>
    </row>
    <row r="805" spans="1:21" s="10" customFormat="1" ht="35.1" customHeight="1">
      <c r="A805" s="1462"/>
      <c r="B805" s="503"/>
      <c r="C805" s="892" t="s">
        <v>128</v>
      </c>
      <c r="D805" s="1164" t="s">
        <v>815</v>
      </c>
      <c r="E805" s="1165"/>
      <c r="F805" s="1166"/>
      <c r="G805" s="541" t="s">
        <v>814</v>
      </c>
      <c r="H805" s="541" t="s">
        <v>813</v>
      </c>
      <c r="I805" s="541" t="s">
        <v>812</v>
      </c>
      <c r="J805" s="898" t="s">
        <v>11</v>
      </c>
      <c r="K805" s="898" t="s">
        <v>12</v>
      </c>
      <c r="L805" s="355">
        <v>74.98</v>
      </c>
      <c r="M805" s="357">
        <v>161</v>
      </c>
      <c r="N805" s="282">
        <v>2</v>
      </c>
      <c r="O805" s="282">
        <v>2</v>
      </c>
      <c r="P805" s="473" t="s">
        <v>422</v>
      </c>
      <c r="Q805" s="473" t="s">
        <v>835</v>
      </c>
      <c r="R805" s="473" t="s">
        <v>811</v>
      </c>
      <c r="S805" s="859" t="s">
        <v>188</v>
      </c>
      <c r="T805" s="573" t="s">
        <v>810</v>
      </c>
      <c r="U805" s="573" t="s">
        <v>11</v>
      </c>
    </row>
    <row r="806" spans="1:21" s="10" customFormat="1" ht="35.1" customHeight="1">
      <c r="A806" s="1462"/>
      <c r="B806" s="503"/>
      <c r="C806" s="893"/>
      <c r="D806" s="1167"/>
      <c r="E806" s="1168"/>
      <c r="F806" s="1169"/>
      <c r="G806" s="542"/>
      <c r="H806" s="542"/>
      <c r="I806" s="542"/>
      <c r="J806" s="1163"/>
      <c r="K806" s="1163"/>
      <c r="L806" s="355" t="s">
        <v>809</v>
      </c>
      <c r="M806" s="357">
        <v>293</v>
      </c>
      <c r="N806" s="282">
        <v>5</v>
      </c>
      <c r="O806" s="282">
        <v>5</v>
      </c>
      <c r="P806" s="474"/>
      <c r="Q806" s="474"/>
      <c r="R806" s="474"/>
      <c r="S806" s="860"/>
      <c r="T806" s="574"/>
      <c r="U806" s="574"/>
    </row>
    <row r="807" spans="1:21" s="10" customFormat="1" ht="35.1" customHeight="1">
      <c r="A807" s="1462"/>
      <c r="B807" s="503"/>
      <c r="C807" s="893"/>
      <c r="D807" s="1167"/>
      <c r="E807" s="1168"/>
      <c r="F807" s="1169"/>
      <c r="G807" s="542"/>
      <c r="H807" s="542"/>
      <c r="I807" s="542"/>
      <c r="J807" s="1163"/>
      <c r="K807" s="1163"/>
      <c r="L807" s="355" t="s">
        <v>808</v>
      </c>
      <c r="M807" s="357">
        <v>148</v>
      </c>
      <c r="N807" s="282">
        <v>1</v>
      </c>
      <c r="O807" s="282">
        <v>1</v>
      </c>
      <c r="P807" s="474"/>
      <c r="Q807" s="474"/>
      <c r="R807" s="474"/>
      <c r="S807" s="860"/>
      <c r="T807" s="574"/>
      <c r="U807" s="574"/>
    </row>
    <row r="808" spans="1:21" s="10" customFormat="1" ht="35.1" customHeight="1">
      <c r="A808" s="1462"/>
      <c r="B808" s="503"/>
      <c r="C808" s="893"/>
      <c r="D808" s="1167"/>
      <c r="E808" s="1168"/>
      <c r="F808" s="1169"/>
      <c r="G808" s="572"/>
      <c r="H808" s="572"/>
      <c r="I808" s="572"/>
      <c r="J808" s="899"/>
      <c r="K808" s="899"/>
      <c r="L808" s="355">
        <v>100.97</v>
      </c>
      <c r="M808" s="357">
        <v>35</v>
      </c>
      <c r="N808" s="282">
        <v>6</v>
      </c>
      <c r="O808" s="282">
        <v>6</v>
      </c>
      <c r="P808" s="474"/>
      <c r="Q808" s="474"/>
      <c r="R808" s="474"/>
      <c r="S808" s="860"/>
      <c r="T808" s="574"/>
      <c r="U808" s="574"/>
    </row>
    <row r="809" spans="1:21" s="10" customFormat="1" ht="35.1" customHeight="1">
      <c r="A809" s="1462"/>
      <c r="B809" s="503"/>
      <c r="C809" s="894"/>
      <c r="D809" s="1170"/>
      <c r="E809" s="1171"/>
      <c r="F809" s="1172"/>
      <c r="G809" s="1019" t="s">
        <v>329</v>
      </c>
      <c r="H809" s="1020"/>
      <c r="I809" s="1020"/>
      <c r="J809" s="1020"/>
      <c r="K809" s="1021"/>
      <c r="L809" s="184"/>
      <c r="M809" s="283">
        <f>SUM(M805:M808)</f>
        <v>637</v>
      </c>
      <c r="N809" s="284">
        <f>SUM(N805:N808)</f>
        <v>14</v>
      </c>
      <c r="O809" s="284">
        <f>SUM(O805:O808)</f>
        <v>14</v>
      </c>
      <c r="P809" s="475"/>
      <c r="Q809" s="475"/>
      <c r="R809" s="475"/>
      <c r="S809" s="861"/>
      <c r="T809" s="575"/>
      <c r="U809" s="575"/>
    </row>
    <row r="810" spans="1:21" s="10" customFormat="1" ht="35.1" customHeight="1">
      <c r="A810" s="1462"/>
      <c r="B810" s="503"/>
      <c r="C810" s="1197" t="s">
        <v>867</v>
      </c>
      <c r="D810" s="1191" t="s">
        <v>978</v>
      </c>
      <c r="E810" s="1192"/>
      <c r="F810" s="1193"/>
      <c r="G810" s="334" t="s">
        <v>979</v>
      </c>
      <c r="H810" s="334" t="s">
        <v>979</v>
      </c>
      <c r="I810" s="334" t="s">
        <v>980</v>
      </c>
      <c r="J810" s="335" t="s">
        <v>11</v>
      </c>
      <c r="K810" s="335" t="s">
        <v>12</v>
      </c>
      <c r="L810" s="336">
        <v>84.99</v>
      </c>
      <c r="M810" s="337">
        <v>657</v>
      </c>
      <c r="N810" s="337">
        <v>347</v>
      </c>
      <c r="O810" s="337">
        <v>347</v>
      </c>
      <c r="P810" s="774" t="s">
        <v>984</v>
      </c>
      <c r="Q810" s="675" t="s">
        <v>981</v>
      </c>
      <c r="R810" s="675" t="s">
        <v>982</v>
      </c>
      <c r="S810" s="865" t="s">
        <v>65</v>
      </c>
      <c r="T810" s="662" t="s">
        <v>983</v>
      </c>
      <c r="U810" s="662" t="s">
        <v>17</v>
      </c>
    </row>
    <row r="811" spans="1:21" s="10" customFormat="1" ht="35.1" customHeight="1">
      <c r="A811" s="1462"/>
      <c r="B811" s="503"/>
      <c r="C811" s="1198"/>
      <c r="D811" s="1194"/>
      <c r="E811" s="1195"/>
      <c r="F811" s="1196"/>
      <c r="G811" s="1019" t="s">
        <v>329</v>
      </c>
      <c r="H811" s="1020"/>
      <c r="I811" s="1020"/>
      <c r="J811" s="1020"/>
      <c r="K811" s="1021"/>
      <c r="L811" s="184"/>
      <c r="M811" s="338">
        <f>SUM(M810)</f>
        <v>657</v>
      </c>
      <c r="N811" s="338">
        <f>SUM(N810)</f>
        <v>347</v>
      </c>
      <c r="O811" s="338">
        <f>SUM(O810)</f>
        <v>347</v>
      </c>
      <c r="P811" s="776"/>
      <c r="Q811" s="677"/>
      <c r="R811" s="677"/>
      <c r="S811" s="866"/>
      <c r="T811" s="663"/>
      <c r="U811" s="663"/>
    </row>
    <row r="812" spans="1:21" s="10" customFormat="1" ht="35.1" customHeight="1">
      <c r="A812" s="1462"/>
      <c r="B812" s="503"/>
      <c r="C812" s="892" t="s">
        <v>519</v>
      </c>
      <c r="D812" s="1164" t="s">
        <v>520</v>
      </c>
      <c r="E812" s="1165"/>
      <c r="F812" s="1166"/>
      <c r="G812" s="541" t="s">
        <v>521</v>
      </c>
      <c r="H812" s="541" t="s">
        <v>521</v>
      </c>
      <c r="I812" s="541" t="s">
        <v>522</v>
      </c>
      <c r="J812" s="898" t="s">
        <v>11</v>
      </c>
      <c r="K812" s="898" t="s">
        <v>12</v>
      </c>
      <c r="L812" s="193" t="s">
        <v>84</v>
      </c>
      <c r="M812" s="221">
        <v>660</v>
      </c>
      <c r="N812" s="282">
        <v>117</v>
      </c>
      <c r="O812" s="282">
        <v>117</v>
      </c>
      <c r="P812" s="473" t="s">
        <v>441</v>
      </c>
      <c r="Q812" s="473" t="s">
        <v>431</v>
      </c>
      <c r="R812" s="473" t="s">
        <v>523</v>
      </c>
      <c r="S812" s="867" t="s">
        <v>13</v>
      </c>
      <c r="T812" s="573" t="s">
        <v>524</v>
      </c>
      <c r="U812" s="573" t="s">
        <v>11</v>
      </c>
    </row>
    <row r="813" spans="1:21" s="10" customFormat="1" ht="35.1" customHeight="1">
      <c r="A813" s="1462"/>
      <c r="B813" s="503"/>
      <c r="C813" s="893"/>
      <c r="D813" s="1167"/>
      <c r="E813" s="1168"/>
      <c r="F813" s="1169"/>
      <c r="G813" s="572"/>
      <c r="H813" s="572"/>
      <c r="I813" s="572"/>
      <c r="J813" s="899"/>
      <c r="K813" s="899"/>
      <c r="L813" s="193" t="s">
        <v>83</v>
      </c>
      <c r="M813" s="221">
        <v>316</v>
      </c>
      <c r="N813" s="282">
        <v>82</v>
      </c>
      <c r="O813" s="282">
        <v>82</v>
      </c>
      <c r="P813" s="474"/>
      <c r="Q813" s="474"/>
      <c r="R813" s="474"/>
      <c r="S813" s="652"/>
      <c r="T813" s="574"/>
      <c r="U813" s="574"/>
    </row>
    <row r="814" spans="1:21" s="10" customFormat="1" ht="35.1" customHeight="1">
      <c r="A814" s="1462"/>
      <c r="B814" s="503"/>
      <c r="C814" s="894"/>
      <c r="D814" s="1170"/>
      <c r="E814" s="1171"/>
      <c r="F814" s="1172"/>
      <c r="G814" s="1019" t="s">
        <v>329</v>
      </c>
      <c r="H814" s="1020"/>
      <c r="I814" s="1020"/>
      <c r="J814" s="1020"/>
      <c r="K814" s="1021"/>
      <c r="L814" s="349"/>
      <c r="M814" s="249">
        <f>SUM(M812:M813)</f>
        <v>976</v>
      </c>
      <c r="N814" s="246">
        <f>SUM(N812:N813)</f>
        <v>199</v>
      </c>
      <c r="O814" s="246">
        <f>SUM(O812:O813)</f>
        <v>199</v>
      </c>
      <c r="P814" s="475"/>
      <c r="Q814" s="475"/>
      <c r="R814" s="475"/>
      <c r="S814" s="868"/>
      <c r="T814" s="575"/>
      <c r="U814" s="575"/>
    </row>
    <row r="815" spans="1:21" s="10" customFormat="1" ht="35.1" customHeight="1">
      <c r="A815" s="1462"/>
      <c r="B815" s="503"/>
      <c r="C815" s="892" t="s">
        <v>867</v>
      </c>
      <c r="D815" s="1164" t="s">
        <v>868</v>
      </c>
      <c r="E815" s="1165"/>
      <c r="F815" s="1166"/>
      <c r="G815" s="541" t="s">
        <v>869</v>
      </c>
      <c r="H815" s="541" t="s">
        <v>870</v>
      </c>
      <c r="I815" s="541" t="s">
        <v>871</v>
      </c>
      <c r="J815" s="898" t="s">
        <v>11</v>
      </c>
      <c r="K815" s="898" t="s">
        <v>12</v>
      </c>
      <c r="L815" s="1579">
        <v>84.99</v>
      </c>
      <c r="M815" s="1725">
        <v>288</v>
      </c>
      <c r="N815" s="532">
        <v>251</v>
      </c>
      <c r="O815" s="532">
        <v>251</v>
      </c>
      <c r="P815" s="473" t="s">
        <v>863</v>
      </c>
      <c r="Q815" s="473" t="s">
        <v>444</v>
      </c>
      <c r="R815" s="473" t="s">
        <v>872</v>
      </c>
      <c r="S815" s="867" t="s">
        <v>65</v>
      </c>
      <c r="T815" s="573" t="s">
        <v>873</v>
      </c>
      <c r="U815" s="573" t="s">
        <v>11</v>
      </c>
    </row>
    <row r="816" spans="1:21" s="10" customFormat="1" ht="35.1" customHeight="1">
      <c r="A816" s="1462"/>
      <c r="B816" s="503"/>
      <c r="C816" s="893"/>
      <c r="D816" s="1167"/>
      <c r="E816" s="1168"/>
      <c r="F816" s="1169"/>
      <c r="G816" s="572"/>
      <c r="H816" s="572"/>
      <c r="I816" s="572"/>
      <c r="J816" s="899"/>
      <c r="K816" s="899"/>
      <c r="L816" s="1580"/>
      <c r="M816" s="1726"/>
      <c r="N816" s="534"/>
      <c r="O816" s="534"/>
      <c r="P816" s="474"/>
      <c r="Q816" s="474"/>
      <c r="R816" s="474"/>
      <c r="S816" s="652"/>
      <c r="T816" s="574"/>
      <c r="U816" s="574"/>
    </row>
    <row r="817" spans="1:1892" s="10" customFormat="1" ht="35.1" customHeight="1">
      <c r="A817" s="1462"/>
      <c r="B817" s="504"/>
      <c r="C817" s="894"/>
      <c r="D817" s="1170"/>
      <c r="E817" s="1171"/>
      <c r="F817" s="1172"/>
      <c r="G817" s="1019" t="s">
        <v>329</v>
      </c>
      <c r="H817" s="1020"/>
      <c r="I817" s="1020"/>
      <c r="J817" s="1020"/>
      <c r="K817" s="1021"/>
      <c r="L817" s="184"/>
      <c r="M817" s="283">
        <f>SUM(M815)</f>
        <v>288</v>
      </c>
      <c r="N817" s="284">
        <f>SUM(N815)</f>
        <v>251</v>
      </c>
      <c r="O817" s="284">
        <f>SUM(O815)</f>
        <v>251</v>
      </c>
      <c r="P817" s="475"/>
      <c r="Q817" s="475"/>
      <c r="R817" s="475"/>
      <c r="S817" s="868"/>
      <c r="T817" s="575"/>
      <c r="U817" s="575"/>
    </row>
    <row r="818" spans="1:1892" s="9" customFormat="1" ht="35.1" customHeight="1">
      <c r="A818" s="1462"/>
      <c r="B818" s="777" t="s">
        <v>105</v>
      </c>
      <c r="C818" s="778"/>
      <c r="D818" s="778"/>
      <c r="E818" s="778"/>
      <c r="F818" s="778"/>
      <c r="G818" s="778"/>
      <c r="H818" s="778"/>
      <c r="I818" s="778"/>
      <c r="J818" s="778"/>
      <c r="K818" s="779"/>
      <c r="L818" s="122"/>
      <c r="M818" s="226">
        <f>M794+M799+M804+M809+M811+M814+M817</f>
        <v>4335</v>
      </c>
      <c r="N818" s="226">
        <f t="shared" ref="N818:O818" si="40">N794+N799+N804+N809+N811+N814+N817</f>
        <v>919</v>
      </c>
      <c r="O818" s="226">
        <f t="shared" si="40"/>
        <v>919</v>
      </c>
      <c r="P818" s="123"/>
      <c r="Q818" s="123"/>
      <c r="R818" s="123"/>
      <c r="S818" s="156"/>
      <c r="T818" s="156"/>
      <c r="U818" s="156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  <c r="EF818" s="10"/>
      <c r="EG818" s="10"/>
      <c r="EH818" s="10"/>
      <c r="EI818" s="10"/>
      <c r="EJ818" s="10"/>
      <c r="EK818" s="10"/>
      <c r="EL818" s="10"/>
      <c r="EM818" s="10"/>
      <c r="EN818" s="10"/>
      <c r="EO818" s="10"/>
      <c r="EP818" s="10"/>
      <c r="EQ818" s="10"/>
      <c r="ER818" s="10"/>
      <c r="ES818" s="10"/>
      <c r="ET818" s="10"/>
      <c r="EU818" s="10"/>
      <c r="EV818" s="10"/>
      <c r="EW818" s="10"/>
      <c r="EX818" s="10"/>
      <c r="EY818" s="10"/>
      <c r="EZ818" s="10"/>
      <c r="FA818" s="10"/>
      <c r="FB818" s="10"/>
      <c r="FC818" s="10"/>
      <c r="FD818" s="10"/>
      <c r="FE818" s="10"/>
      <c r="FF818" s="10"/>
      <c r="FG818" s="10"/>
      <c r="FH818" s="10"/>
      <c r="FI818" s="10"/>
      <c r="FJ818" s="10"/>
      <c r="FK818" s="10"/>
      <c r="FL818" s="10"/>
      <c r="FM818" s="10"/>
      <c r="FN818" s="10"/>
      <c r="FO818" s="10"/>
      <c r="FP818" s="10"/>
      <c r="FQ818" s="10"/>
      <c r="FR818" s="10"/>
      <c r="FS818" s="10"/>
      <c r="FT818" s="10"/>
      <c r="FU818" s="10"/>
      <c r="FV818" s="10"/>
      <c r="FW818" s="10"/>
      <c r="FX818" s="10"/>
      <c r="FY818" s="10"/>
      <c r="FZ818" s="10"/>
      <c r="GA818" s="10"/>
      <c r="GB818" s="10"/>
      <c r="GC818" s="10"/>
      <c r="GD818" s="10"/>
      <c r="GE818" s="10"/>
      <c r="GF818" s="10"/>
      <c r="GG818" s="10"/>
      <c r="GH818" s="10"/>
      <c r="GI818" s="10"/>
      <c r="GJ818" s="10"/>
      <c r="GK818" s="10"/>
      <c r="GL818" s="10"/>
      <c r="GM818" s="10"/>
      <c r="GN818" s="10"/>
      <c r="GO818" s="10"/>
      <c r="GP818" s="10"/>
      <c r="GQ818" s="10"/>
      <c r="GR818" s="10"/>
      <c r="GS818" s="10"/>
      <c r="GT818" s="10"/>
      <c r="GU818" s="10"/>
      <c r="GV818" s="10"/>
      <c r="GW818" s="10"/>
      <c r="GX818" s="10"/>
      <c r="GY818" s="10"/>
      <c r="GZ818" s="10"/>
      <c r="HA818" s="10"/>
      <c r="HB818" s="10"/>
      <c r="HC818" s="10"/>
      <c r="HD818" s="10"/>
      <c r="HE818" s="10"/>
      <c r="HF818" s="10"/>
      <c r="HG818" s="10"/>
      <c r="HH818" s="10"/>
      <c r="HI818" s="10"/>
      <c r="HJ818" s="10"/>
      <c r="HK818" s="10"/>
      <c r="HL818" s="10"/>
      <c r="HM818" s="10"/>
      <c r="HN818" s="10"/>
      <c r="HO818" s="10"/>
      <c r="HP818" s="10"/>
      <c r="HQ818" s="10"/>
      <c r="HR818" s="10"/>
      <c r="HS818" s="10"/>
      <c r="HT818" s="10"/>
      <c r="HU818" s="10"/>
      <c r="HV818" s="10"/>
      <c r="HW818" s="10"/>
      <c r="HX818" s="10"/>
      <c r="HY818" s="10"/>
      <c r="HZ818" s="10"/>
      <c r="IA818" s="10"/>
      <c r="IB818" s="10"/>
      <c r="IC818" s="10"/>
      <c r="ID818" s="10"/>
      <c r="IE818" s="10"/>
      <c r="IF818" s="10"/>
      <c r="IG818" s="10"/>
      <c r="IH818" s="10"/>
      <c r="II818" s="10"/>
      <c r="IJ818" s="10"/>
      <c r="IK818" s="10"/>
      <c r="IL818" s="10"/>
      <c r="IM818" s="10"/>
      <c r="IN818" s="10"/>
      <c r="IO818" s="10"/>
      <c r="IP818" s="10"/>
      <c r="IQ818" s="10"/>
      <c r="IR818" s="10"/>
      <c r="IS818" s="10"/>
      <c r="IT818" s="10"/>
      <c r="IU818" s="10"/>
      <c r="IV818" s="10"/>
      <c r="IW818" s="10"/>
      <c r="IX818" s="10"/>
      <c r="IY818" s="10"/>
      <c r="IZ818" s="10"/>
      <c r="JA818" s="10"/>
      <c r="JB818" s="10"/>
      <c r="JC818" s="10"/>
      <c r="JD818" s="10"/>
      <c r="JE818" s="10"/>
      <c r="JF818" s="10"/>
      <c r="JG818" s="10"/>
      <c r="JH818" s="10"/>
      <c r="JI818" s="10"/>
      <c r="JJ818" s="10"/>
      <c r="JK818" s="10"/>
      <c r="JL818" s="10"/>
      <c r="JM818" s="10"/>
      <c r="JN818" s="10"/>
      <c r="JO818" s="10"/>
      <c r="JP818" s="10"/>
      <c r="JQ818" s="10"/>
      <c r="JR818" s="10"/>
      <c r="JS818" s="10"/>
      <c r="JT818" s="10"/>
      <c r="JU818" s="10"/>
      <c r="JV818" s="10"/>
      <c r="JW818" s="10"/>
      <c r="JX818" s="10"/>
      <c r="JY818" s="10"/>
      <c r="JZ818" s="10"/>
      <c r="KA818" s="10"/>
      <c r="KB818" s="10"/>
      <c r="KC818" s="10"/>
      <c r="KD818" s="10"/>
      <c r="KE818" s="10"/>
      <c r="KF818" s="10"/>
      <c r="KG818" s="10"/>
      <c r="KH818" s="10"/>
      <c r="KI818" s="10"/>
      <c r="KJ818" s="10"/>
      <c r="KK818" s="10"/>
      <c r="KL818" s="10"/>
      <c r="KM818" s="10"/>
      <c r="KN818" s="10"/>
      <c r="KO818" s="10"/>
      <c r="KP818" s="10"/>
      <c r="KQ818" s="10"/>
      <c r="KR818" s="10"/>
      <c r="KS818" s="10"/>
      <c r="KT818" s="10"/>
      <c r="KU818" s="10"/>
      <c r="KV818" s="10"/>
      <c r="KW818" s="10"/>
      <c r="KX818" s="10"/>
      <c r="KY818" s="10"/>
      <c r="KZ818" s="10"/>
      <c r="LA818" s="10"/>
      <c r="LB818" s="10"/>
      <c r="LC818" s="10"/>
      <c r="LD818" s="10"/>
      <c r="LE818" s="10"/>
      <c r="LF818" s="10"/>
      <c r="LG818" s="10"/>
      <c r="LH818" s="10"/>
      <c r="LI818" s="10"/>
      <c r="LJ818" s="10"/>
      <c r="LK818" s="10"/>
      <c r="LL818" s="10"/>
      <c r="LM818" s="10"/>
      <c r="LN818" s="10"/>
      <c r="LO818" s="10"/>
      <c r="LP818" s="10"/>
      <c r="LQ818" s="10"/>
      <c r="LR818" s="10"/>
      <c r="LS818" s="10"/>
      <c r="LT818" s="10"/>
      <c r="LU818" s="10"/>
      <c r="LV818" s="10"/>
      <c r="LW818" s="10"/>
      <c r="LX818" s="10"/>
      <c r="LY818" s="10"/>
      <c r="LZ818" s="10"/>
      <c r="MA818" s="10"/>
      <c r="MB818" s="10"/>
      <c r="MC818" s="10"/>
      <c r="MD818" s="10"/>
      <c r="ME818" s="10"/>
      <c r="MF818" s="10"/>
      <c r="MG818" s="10"/>
      <c r="MH818" s="10"/>
      <c r="MI818" s="10"/>
      <c r="MJ818" s="10"/>
      <c r="MK818" s="10"/>
      <c r="ML818" s="10"/>
      <c r="MM818" s="10"/>
      <c r="MN818" s="10"/>
      <c r="MO818" s="10"/>
      <c r="MP818" s="10"/>
      <c r="MQ818" s="10"/>
      <c r="MR818" s="10"/>
      <c r="MS818" s="10"/>
      <c r="MT818" s="10"/>
      <c r="MU818" s="10"/>
      <c r="MV818" s="10"/>
      <c r="MW818" s="10"/>
      <c r="MX818" s="10"/>
      <c r="MY818" s="10"/>
      <c r="MZ818" s="10"/>
      <c r="NA818" s="10"/>
      <c r="NB818" s="10"/>
      <c r="NC818" s="10"/>
      <c r="ND818" s="10"/>
      <c r="NE818" s="10"/>
      <c r="NF818" s="10"/>
      <c r="NG818" s="10"/>
      <c r="NH818" s="10"/>
      <c r="NI818" s="10"/>
      <c r="NJ818" s="10"/>
      <c r="NK818" s="10"/>
      <c r="NL818" s="10"/>
      <c r="NM818" s="10"/>
      <c r="NN818" s="10"/>
      <c r="NO818" s="10"/>
      <c r="NP818" s="10"/>
      <c r="NQ818" s="10"/>
      <c r="NR818" s="10"/>
      <c r="NS818" s="10"/>
      <c r="NT818" s="10"/>
      <c r="NU818" s="10"/>
      <c r="NV818" s="10"/>
      <c r="NW818" s="10"/>
      <c r="NX818" s="10"/>
      <c r="NY818" s="10"/>
      <c r="NZ818" s="10"/>
      <c r="OA818" s="10"/>
      <c r="OB818" s="10"/>
      <c r="OC818" s="10"/>
      <c r="OD818" s="10"/>
      <c r="OE818" s="10"/>
      <c r="OF818" s="10"/>
      <c r="OG818" s="10"/>
      <c r="OH818" s="10"/>
      <c r="OI818" s="10"/>
      <c r="OJ818" s="10"/>
      <c r="OK818" s="10"/>
      <c r="OL818" s="10"/>
      <c r="OM818" s="10"/>
      <c r="ON818" s="10"/>
      <c r="OO818" s="10"/>
      <c r="OP818" s="10"/>
      <c r="OQ818" s="10"/>
      <c r="OR818" s="10"/>
      <c r="OS818" s="10"/>
      <c r="OT818" s="10"/>
      <c r="OU818" s="10"/>
      <c r="OV818" s="10"/>
      <c r="OW818" s="10"/>
      <c r="OX818" s="10"/>
      <c r="OY818" s="10"/>
      <c r="OZ818" s="10"/>
      <c r="PA818" s="10"/>
      <c r="PB818" s="10"/>
      <c r="PC818" s="10"/>
      <c r="PD818" s="10"/>
      <c r="PE818" s="10"/>
      <c r="PF818" s="10"/>
      <c r="PG818" s="10"/>
      <c r="PH818" s="10"/>
      <c r="PI818" s="10"/>
      <c r="PJ818" s="10"/>
      <c r="PK818" s="10"/>
      <c r="PL818" s="10"/>
      <c r="PM818" s="10"/>
      <c r="PN818" s="10"/>
      <c r="PO818" s="10"/>
      <c r="PP818" s="10"/>
      <c r="PQ818" s="10"/>
      <c r="PR818" s="10"/>
      <c r="PS818" s="10"/>
      <c r="PT818" s="10"/>
      <c r="PU818" s="10"/>
      <c r="PV818" s="10"/>
      <c r="PW818" s="10"/>
      <c r="PX818" s="10"/>
      <c r="PY818" s="10"/>
      <c r="PZ818" s="10"/>
      <c r="QA818" s="10"/>
      <c r="QB818" s="10"/>
      <c r="QC818" s="10"/>
      <c r="QD818" s="10"/>
      <c r="QE818" s="10"/>
      <c r="QF818" s="10"/>
      <c r="QG818" s="10"/>
      <c r="QH818" s="10"/>
      <c r="QI818" s="10"/>
      <c r="QJ818" s="10"/>
      <c r="QK818" s="10"/>
      <c r="QL818" s="10"/>
      <c r="QM818" s="10"/>
      <c r="QN818" s="10"/>
      <c r="QO818" s="10"/>
      <c r="QP818" s="10"/>
      <c r="QQ818" s="10"/>
      <c r="QR818" s="10"/>
      <c r="QS818" s="10"/>
      <c r="QT818" s="10"/>
      <c r="QU818" s="10"/>
      <c r="QV818" s="10"/>
      <c r="QW818" s="10"/>
      <c r="QX818" s="10"/>
      <c r="QY818" s="10"/>
      <c r="QZ818" s="10"/>
      <c r="RA818" s="10"/>
      <c r="RB818" s="10"/>
      <c r="RC818" s="10"/>
      <c r="RD818" s="10"/>
      <c r="RE818" s="10"/>
      <c r="RF818" s="10"/>
      <c r="RG818" s="10"/>
      <c r="RH818" s="10"/>
      <c r="RI818" s="10"/>
      <c r="RJ818" s="10"/>
      <c r="RK818" s="10"/>
      <c r="RL818" s="10"/>
      <c r="RM818" s="10"/>
      <c r="RN818" s="10"/>
      <c r="RO818" s="10"/>
      <c r="RP818" s="10"/>
      <c r="RQ818" s="10"/>
      <c r="RR818" s="10"/>
      <c r="RS818" s="10"/>
      <c r="RT818" s="10"/>
      <c r="RU818" s="10"/>
      <c r="RV818" s="10"/>
      <c r="RW818" s="10"/>
      <c r="RX818" s="10"/>
      <c r="RY818" s="10"/>
      <c r="RZ818" s="10"/>
      <c r="SA818" s="10"/>
      <c r="SB818" s="10"/>
      <c r="SC818" s="10"/>
      <c r="SD818" s="10"/>
      <c r="SE818" s="10"/>
      <c r="SF818" s="10"/>
      <c r="SG818" s="10"/>
      <c r="SH818" s="10"/>
      <c r="SI818" s="10"/>
      <c r="SJ818" s="10"/>
      <c r="SK818" s="10"/>
      <c r="SL818" s="10"/>
      <c r="SM818" s="10"/>
      <c r="SN818" s="10"/>
      <c r="SO818" s="10"/>
      <c r="SP818" s="10"/>
      <c r="SQ818" s="10"/>
      <c r="SR818" s="10"/>
      <c r="SS818" s="10"/>
      <c r="ST818" s="10"/>
      <c r="SU818" s="10"/>
      <c r="SV818" s="10"/>
      <c r="SW818" s="10"/>
      <c r="SX818" s="10"/>
      <c r="SY818" s="10"/>
      <c r="SZ818" s="10"/>
      <c r="TA818" s="10"/>
      <c r="TB818" s="10"/>
      <c r="TC818" s="10"/>
      <c r="TD818" s="10"/>
      <c r="TE818" s="10"/>
      <c r="TF818" s="10"/>
      <c r="TG818" s="10"/>
      <c r="TH818" s="10"/>
      <c r="TI818" s="10"/>
      <c r="TJ818" s="10"/>
      <c r="TK818" s="10"/>
      <c r="TL818" s="10"/>
      <c r="TM818" s="10"/>
      <c r="TN818" s="10"/>
      <c r="TO818" s="10"/>
      <c r="TP818" s="10"/>
      <c r="TQ818" s="10"/>
      <c r="TR818" s="10"/>
      <c r="TS818" s="10"/>
      <c r="TT818" s="10"/>
      <c r="TU818" s="10"/>
      <c r="TV818" s="10"/>
      <c r="TW818" s="10"/>
      <c r="TX818" s="10"/>
      <c r="TY818" s="10"/>
      <c r="TZ818" s="10"/>
      <c r="UA818" s="10"/>
      <c r="UB818" s="10"/>
      <c r="UC818" s="10"/>
      <c r="UD818" s="10"/>
      <c r="UE818" s="10"/>
      <c r="UF818" s="10"/>
      <c r="UG818" s="10"/>
      <c r="UH818" s="10"/>
      <c r="UI818" s="10"/>
      <c r="UJ818" s="10"/>
      <c r="UK818" s="10"/>
      <c r="UL818" s="10"/>
      <c r="UM818" s="10"/>
      <c r="UN818" s="10"/>
      <c r="UO818" s="10"/>
      <c r="UP818" s="10"/>
      <c r="UQ818" s="10"/>
      <c r="UR818" s="10"/>
      <c r="US818" s="10"/>
      <c r="UT818" s="10"/>
      <c r="UU818" s="10"/>
      <c r="UV818" s="10"/>
      <c r="UW818" s="10"/>
      <c r="UX818" s="10"/>
      <c r="UY818" s="10"/>
      <c r="UZ818" s="10"/>
      <c r="VA818" s="10"/>
      <c r="VB818" s="10"/>
      <c r="VC818" s="10"/>
      <c r="VD818" s="10"/>
      <c r="VE818" s="10"/>
      <c r="VF818" s="10"/>
      <c r="VG818" s="10"/>
      <c r="VH818" s="10"/>
      <c r="VI818" s="10"/>
      <c r="VJ818" s="10"/>
      <c r="VK818" s="10"/>
      <c r="VL818" s="10"/>
      <c r="VM818" s="10"/>
      <c r="VN818" s="10"/>
      <c r="VO818" s="10"/>
      <c r="VP818" s="10"/>
      <c r="VQ818" s="10"/>
      <c r="VR818" s="10"/>
      <c r="VS818" s="10"/>
      <c r="VT818" s="10"/>
      <c r="VU818" s="10"/>
      <c r="VV818" s="10"/>
      <c r="VW818" s="10"/>
      <c r="VX818" s="10"/>
      <c r="VY818" s="10"/>
      <c r="VZ818" s="10"/>
      <c r="WA818" s="10"/>
      <c r="WB818" s="10"/>
      <c r="WC818" s="10"/>
      <c r="WD818" s="10"/>
      <c r="WE818" s="10"/>
      <c r="WF818" s="10"/>
      <c r="WG818" s="10"/>
      <c r="WH818" s="10"/>
      <c r="WI818" s="10"/>
      <c r="WJ818" s="10"/>
      <c r="WK818" s="10"/>
      <c r="WL818" s="10"/>
      <c r="WM818" s="10"/>
      <c r="WN818" s="10"/>
      <c r="WO818" s="10"/>
      <c r="WP818" s="10"/>
      <c r="WQ818" s="10"/>
      <c r="WR818" s="10"/>
      <c r="WS818" s="10"/>
      <c r="WT818" s="10"/>
      <c r="WU818" s="10"/>
      <c r="WV818" s="10"/>
      <c r="WW818" s="10"/>
      <c r="WX818" s="10"/>
      <c r="WY818" s="10"/>
      <c r="WZ818" s="10"/>
      <c r="XA818" s="10"/>
      <c r="XB818" s="10"/>
      <c r="XC818" s="10"/>
      <c r="XD818" s="10"/>
      <c r="XE818" s="10"/>
      <c r="XF818" s="10"/>
      <c r="XG818" s="10"/>
      <c r="XH818" s="10"/>
      <c r="XI818" s="10"/>
      <c r="XJ818" s="10"/>
      <c r="XK818" s="10"/>
      <c r="XL818" s="10"/>
      <c r="XM818" s="10"/>
      <c r="XN818" s="10"/>
      <c r="XO818" s="10"/>
      <c r="XP818" s="10"/>
      <c r="XQ818" s="10"/>
      <c r="XR818" s="10"/>
      <c r="XS818" s="10"/>
      <c r="XT818" s="10"/>
      <c r="XU818" s="10"/>
      <c r="XV818" s="10"/>
      <c r="XW818" s="10"/>
      <c r="XX818" s="10"/>
      <c r="XY818" s="10"/>
      <c r="XZ818" s="10"/>
      <c r="YA818" s="10"/>
      <c r="YB818" s="10"/>
      <c r="YC818" s="10"/>
      <c r="YD818" s="10"/>
      <c r="YE818" s="10"/>
      <c r="YF818" s="10"/>
      <c r="YG818" s="10"/>
      <c r="YH818" s="10"/>
      <c r="YI818" s="10"/>
      <c r="YJ818" s="10"/>
      <c r="YK818" s="10"/>
      <c r="YL818" s="10"/>
      <c r="YM818" s="10"/>
      <c r="YN818" s="10"/>
      <c r="YO818" s="10"/>
      <c r="YP818" s="10"/>
      <c r="YQ818" s="10"/>
      <c r="YR818" s="10"/>
      <c r="YS818" s="10"/>
      <c r="YT818" s="10"/>
      <c r="YU818" s="10"/>
      <c r="YV818" s="10"/>
      <c r="YW818" s="10"/>
      <c r="YX818" s="10"/>
      <c r="YY818" s="10"/>
      <c r="YZ818" s="10"/>
      <c r="ZA818" s="10"/>
      <c r="ZB818" s="10"/>
      <c r="ZC818" s="10"/>
      <c r="ZD818" s="10"/>
      <c r="ZE818" s="10"/>
      <c r="ZF818" s="10"/>
      <c r="ZG818" s="10"/>
      <c r="ZH818" s="10"/>
      <c r="ZI818" s="10"/>
      <c r="ZJ818" s="10"/>
      <c r="ZK818" s="10"/>
      <c r="ZL818" s="10"/>
      <c r="ZM818" s="10"/>
      <c r="ZN818" s="10"/>
      <c r="ZO818" s="10"/>
      <c r="ZP818" s="10"/>
      <c r="ZQ818" s="10"/>
      <c r="ZR818" s="10"/>
      <c r="ZS818" s="10"/>
      <c r="ZT818" s="10"/>
      <c r="ZU818" s="10"/>
      <c r="ZV818" s="10"/>
      <c r="ZW818" s="10"/>
      <c r="ZX818" s="10"/>
      <c r="ZY818" s="10"/>
      <c r="ZZ818" s="10"/>
      <c r="AAA818" s="10"/>
      <c r="AAB818" s="10"/>
      <c r="AAC818" s="10"/>
      <c r="AAD818" s="10"/>
      <c r="AAE818" s="10"/>
      <c r="AAF818" s="10"/>
      <c r="AAG818" s="10"/>
      <c r="AAH818" s="10"/>
      <c r="AAI818" s="10"/>
      <c r="AAJ818" s="10"/>
      <c r="AAK818" s="10"/>
      <c r="AAL818" s="10"/>
      <c r="AAM818" s="10"/>
      <c r="AAN818" s="10"/>
      <c r="AAO818" s="10"/>
      <c r="AAP818" s="10"/>
      <c r="AAQ818" s="10"/>
      <c r="AAR818" s="10"/>
      <c r="AAS818" s="10"/>
      <c r="AAT818" s="10"/>
      <c r="AAU818" s="10"/>
      <c r="AAV818" s="10"/>
      <c r="AAW818" s="10"/>
      <c r="AAX818" s="10"/>
      <c r="AAY818" s="10"/>
      <c r="AAZ818" s="10"/>
      <c r="ABA818" s="10"/>
      <c r="ABB818" s="10"/>
      <c r="ABC818" s="10"/>
      <c r="ABD818" s="10"/>
      <c r="ABE818" s="10"/>
      <c r="ABF818" s="10"/>
      <c r="ABG818" s="10"/>
      <c r="ABH818" s="10"/>
      <c r="ABI818" s="10"/>
      <c r="ABJ818" s="10"/>
      <c r="ABK818" s="10"/>
      <c r="ABL818" s="10"/>
      <c r="ABM818" s="10"/>
      <c r="ABN818" s="10"/>
      <c r="ABO818" s="10"/>
      <c r="ABP818" s="10"/>
      <c r="ABQ818" s="10"/>
      <c r="ABR818" s="10"/>
      <c r="ABS818" s="10"/>
      <c r="ABT818" s="10"/>
      <c r="ABU818" s="10"/>
      <c r="ABV818" s="10"/>
      <c r="ABW818" s="10"/>
      <c r="ABX818" s="10"/>
      <c r="ABY818" s="10"/>
      <c r="ABZ818" s="10"/>
      <c r="ACA818" s="10"/>
      <c r="ACB818" s="10"/>
      <c r="ACC818" s="10"/>
      <c r="ACD818" s="10"/>
      <c r="ACE818" s="10"/>
      <c r="ACF818" s="10"/>
      <c r="ACG818" s="10"/>
      <c r="ACH818" s="10"/>
      <c r="ACI818" s="10"/>
      <c r="ACJ818" s="10"/>
      <c r="ACK818" s="10"/>
      <c r="ACL818" s="10"/>
      <c r="ACM818" s="10"/>
      <c r="ACN818" s="10"/>
      <c r="ACO818" s="10"/>
      <c r="ACP818" s="10"/>
      <c r="ACQ818" s="10"/>
      <c r="ACR818" s="10"/>
      <c r="ACS818" s="10"/>
      <c r="ACT818" s="10"/>
      <c r="ACU818" s="10"/>
      <c r="ACV818" s="10"/>
      <c r="ACW818" s="10"/>
      <c r="ACX818" s="10"/>
      <c r="ACY818" s="10"/>
      <c r="ACZ818" s="10"/>
      <c r="ADA818" s="10"/>
      <c r="ADB818" s="10"/>
      <c r="ADC818" s="10"/>
      <c r="ADD818" s="10"/>
      <c r="ADE818" s="10"/>
      <c r="ADF818" s="10"/>
      <c r="ADG818" s="10"/>
      <c r="ADH818" s="10"/>
      <c r="ADI818" s="10"/>
      <c r="ADJ818" s="10"/>
      <c r="ADK818" s="10"/>
      <c r="ADL818" s="10"/>
      <c r="ADM818" s="10"/>
      <c r="ADN818" s="10"/>
      <c r="ADO818" s="10"/>
      <c r="ADP818" s="10"/>
      <c r="ADQ818" s="10"/>
      <c r="ADR818" s="10"/>
      <c r="ADS818" s="10"/>
      <c r="ADT818" s="10"/>
      <c r="ADU818" s="10"/>
      <c r="ADV818" s="10"/>
      <c r="ADW818" s="10"/>
      <c r="ADX818" s="10"/>
      <c r="ADY818" s="10"/>
      <c r="ADZ818" s="10"/>
      <c r="AEA818" s="10"/>
      <c r="AEB818" s="10"/>
      <c r="AEC818" s="10"/>
      <c r="AED818" s="10"/>
      <c r="AEE818" s="10"/>
      <c r="AEF818" s="10"/>
      <c r="AEG818" s="10"/>
      <c r="AEH818" s="10"/>
      <c r="AEI818" s="10"/>
      <c r="AEJ818" s="10"/>
      <c r="AEK818" s="10"/>
      <c r="AEL818" s="10"/>
      <c r="AEM818" s="10"/>
      <c r="AEN818" s="10"/>
      <c r="AEO818" s="10"/>
      <c r="AEP818" s="10"/>
      <c r="AEQ818" s="10"/>
      <c r="AER818" s="10"/>
      <c r="AES818" s="10"/>
      <c r="AET818" s="10"/>
      <c r="AEU818" s="10"/>
      <c r="AEV818" s="10"/>
      <c r="AEW818" s="10"/>
      <c r="AEX818" s="10"/>
      <c r="AEY818" s="10"/>
      <c r="AEZ818" s="10"/>
      <c r="AFA818" s="10"/>
      <c r="AFB818" s="10"/>
      <c r="AFC818" s="10"/>
      <c r="AFD818" s="10"/>
      <c r="AFE818" s="10"/>
      <c r="AFF818" s="10"/>
      <c r="AFG818" s="10"/>
      <c r="AFH818" s="10"/>
      <c r="AFI818" s="10"/>
      <c r="AFJ818" s="10"/>
      <c r="AFK818" s="10"/>
      <c r="AFL818" s="10"/>
      <c r="AFM818" s="10"/>
      <c r="AFN818" s="10"/>
      <c r="AFO818" s="10"/>
      <c r="AFP818" s="10"/>
      <c r="AFQ818" s="10"/>
      <c r="AFR818" s="10"/>
      <c r="AFS818" s="10"/>
      <c r="AFT818" s="10"/>
      <c r="AFU818" s="10"/>
      <c r="AFV818" s="10"/>
      <c r="AFW818" s="10"/>
      <c r="AFX818" s="10"/>
      <c r="AFY818" s="10"/>
      <c r="AFZ818" s="10"/>
      <c r="AGA818" s="10"/>
      <c r="AGB818" s="10"/>
      <c r="AGC818" s="10"/>
      <c r="AGD818" s="10"/>
      <c r="AGE818" s="10"/>
      <c r="AGF818" s="10"/>
      <c r="AGG818" s="10"/>
      <c r="AGH818" s="10"/>
      <c r="AGI818" s="10"/>
      <c r="AGJ818" s="10"/>
      <c r="AGK818" s="10"/>
      <c r="AGL818" s="10"/>
      <c r="AGM818" s="10"/>
      <c r="AGN818" s="10"/>
      <c r="AGO818" s="10"/>
      <c r="AGP818" s="10"/>
      <c r="AGQ818" s="10"/>
      <c r="AGR818" s="10"/>
      <c r="AGS818" s="10"/>
      <c r="AGT818" s="10"/>
      <c r="AGU818" s="10"/>
      <c r="AGV818" s="10"/>
      <c r="AGW818" s="10"/>
      <c r="AGX818" s="10"/>
      <c r="AGY818" s="10"/>
      <c r="AGZ818" s="10"/>
      <c r="AHA818" s="10"/>
      <c r="AHB818" s="10"/>
      <c r="AHC818" s="10"/>
      <c r="AHD818" s="10"/>
      <c r="AHE818" s="10"/>
      <c r="AHF818" s="10"/>
      <c r="AHG818" s="10"/>
      <c r="AHH818" s="10"/>
      <c r="AHI818" s="10"/>
      <c r="AHJ818" s="10"/>
      <c r="AHK818" s="10"/>
      <c r="AHL818" s="10"/>
      <c r="AHM818" s="10"/>
      <c r="AHN818" s="10"/>
      <c r="AHO818" s="10"/>
      <c r="AHP818" s="10"/>
      <c r="AHQ818" s="10"/>
      <c r="AHR818" s="10"/>
      <c r="AHS818" s="10"/>
      <c r="AHT818" s="10"/>
      <c r="AHU818" s="10"/>
      <c r="AHV818" s="10"/>
      <c r="AHW818" s="10"/>
      <c r="AHX818" s="10"/>
      <c r="AHY818" s="10"/>
      <c r="AHZ818" s="10"/>
      <c r="AIA818" s="10"/>
      <c r="AIB818" s="10"/>
      <c r="AIC818" s="10"/>
      <c r="AID818" s="10"/>
      <c r="AIE818" s="10"/>
      <c r="AIF818" s="10"/>
      <c r="AIG818" s="10"/>
      <c r="AIH818" s="10"/>
      <c r="AII818" s="10"/>
      <c r="AIJ818" s="10"/>
      <c r="AIK818" s="10"/>
      <c r="AIL818" s="10"/>
      <c r="AIM818" s="10"/>
      <c r="AIN818" s="10"/>
      <c r="AIO818" s="10"/>
      <c r="AIP818" s="10"/>
      <c r="AIQ818" s="10"/>
      <c r="AIR818" s="10"/>
      <c r="AIS818" s="10"/>
      <c r="AIT818" s="10"/>
      <c r="AIU818" s="10"/>
      <c r="AIV818" s="10"/>
      <c r="AIW818" s="10"/>
      <c r="AIX818" s="10"/>
      <c r="AIY818" s="10"/>
      <c r="AIZ818" s="10"/>
      <c r="AJA818" s="10"/>
      <c r="AJB818" s="10"/>
      <c r="AJC818" s="10"/>
      <c r="AJD818" s="10"/>
      <c r="AJE818" s="10"/>
      <c r="AJF818" s="10"/>
      <c r="AJG818" s="10"/>
      <c r="AJH818" s="10"/>
      <c r="AJI818" s="10"/>
      <c r="AJJ818" s="10"/>
      <c r="AJK818" s="10"/>
      <c r="AJL818" s="10"/>
      <c r="AJM818" s="10"/>
      <c r="AJN818" s="10"/>
      <c r="AJO818" s="10"/>
      <c r="AJP818" s="10"/>
      <c r="AJQ818" s="10"/>
      <c r="AJR818" s="10"/>
      <c r="AJS818" s="10"/>
      <c r="AJT818" s="10"/>
      <c r="AJU818" s="10"/>
      <c r="AJV818" s="10"/>
      <c r="AJW818" s="10"/>
      <c r="AJX818" s="10"/>
      <c r="AJY818" s="10"/>
      <c r="AJZ818" s="10"/>
      <c r="AKA818" s="10"/>
      <c r="AKB818" s="10"/>
      <c r="AKC818" s="10"/>
      <c r="AKD818" s="10"/>
      <c r="AKE818" s="10"/>
      <c r="AKF818" s="10"/>
      <c r="AKG818" s="10"/>
      <c r="AKH818" s="10"/>
      <c r="AKI818" s="10"/>
      <c r="AKJ818" s="10"/>
      <c r="AKK818" s="10"/>
      <c r="AKL818" s="10"/>
      <c r="AKM818" s="10"/>
      <c r="AKN818" s="10"/>
      <c r="AKO818" s="10"/>
      <c r="AKP818" s="10"/>
      <c r="AKQ818" s="10"/>
      <c r="AKR818" s="10"/>
      <c r="AKS818" s="10"/>
      <c r="AKT818" s="10"/>
      <c r="AKU818" s="10"/>
      <c r="AKV818" s="10"/>
      <c r="AKW818" s="10"/>
      <c r="AKX818" s="10"/>
      <c r="AKY818" s="10"/>
      <c r="AKZ818" s="10"/>
      <c r="ALA818" s="10"/>
      <c r="ALB818" s="10"/>
      <c r="ALC818" s="10"/>
      <c r="ALD818" s="10"/>
      <c r="ALE818" s="10"/>
      <c r="ALF818" s="10"/>
      <c r="ALG818" s="10"/>
      <c r="ALH818" s="10"/>
      <c r="ALI818" s="10"/>
      <c r="ALJ818" s="10"/>
      <c r="ALK818" s="10"/>
      <c r="ALL818" s="10"/>
      <c r="ALM818" s="10"/>
      <c r="ALN818" s="10"/>
      <c r="ALO818" s="10"/>
      <c r="ALP818" s="10"/>
      <c r="ALQ818" s="10"/>
      <c r="ALR818" s="10"/>
      <c r="ALS818" s="10"/>
      <c r="ALT818" s="10"/>
      <c r="ALU818" s="10"/>
      <c r="ALV818" s="10"/>
      <c r="ALW818" s="10"/>
      <c r="ALX818" s="10"/>
      <c r="ALY818" s="10"/>
      <c r="ALZ818" s="10"/>
      <c r="AMA818" s="10"/>
      <c r="AMB818" s="10"/>
      <c r="AMC818" s="10"/>
      <c r="AMD818" s="10"/>
      <c r="AME818" s="10"/>
      <c r="AMF818" s="10"/>
      <c r="AMG818" s="10"/>
      <c r="AMH818" s="10"/>
      <c r="AMI818" s="10"/>
      <c r="AMJ818" s="10"/>
      <c r="AMK818" s="10"/>
      <c r="AML818" s="10"/>
      <c r="AMM818" s="10"/>
      <c r="AMN818" s="10"/>
      <c r="AMO818" s="10"/>
      <c r="AMP818" s="10"/>
      <c r="AMQ818" s="10"/>
      <c r="AMR818" s="10"/>
      <c r="AMS818" s="10"/>
      <c r="AMT818" s="10"/>
      <c r="AMU818" s="10"/>
      <c r="AMV818" s="10"/>
      <c r="AMW818" s="10"/>
      <c r="AMX818" s="10"/>
      <c r="AMY818" s="10"/>
      <c r="AMZ818" s="10"/>
      <c r="ANA818" s="10"/>
      <c r="ANB818" s="10"/>
      <c r="ANC818" s="10"/>
      <c r="AND818" s="10"/>
      <c r="ANE818" s="10"/>
      <c r="ANF818" s="10"/>
      <c r="ANG818" s="10"/>
      <c r="ANH818" s="10"/>
      <c r="ANI818" s="10"/>
      <c r="ANJ818" s="10"/>
      <c r="ANK818" s="10"/>
      <c r="ANL818" s="10"/>
      <c r="ANM818" s="10"/>
      <c r="ANN818" s="10"/>
      <c r="ANO818" s="10"/>
      <c r="ANP818" s="10"/>
      <c r="ANQ818" s="10"/>
      <c r="ANR818" s="10"/>
      <c r="ANS818" s="10"/>
      <c r="ANT818" s="10"/>
      <c r="ANU818" s="10"/>
      <c r="ANV818" s="10"/>
      <c r="ANW818" s="10"/>
      <c r="ANX818" s="10"/>
      <c r="ANY818" s="10"/>
      <c r="ANZ818" s="10"/>
      <c r="AOA818" s="10"/>
      <c r="AOB818" s="10"/>
      <c r="AOC818" s="10"/>
      <c r="AOD818" s="10"/>
      <c r="AOE818" s="10"/>
      <c r="AOF818" s="10"/>
      <c r="AOG818" s="10"/>
      <c r="AOH818" s="10"/>
      <c r="AOI818" s="10"/>
      <c r="AOJ818" s="10"/>
      <c r="AOK818" s="10"/>
      <c r="AOL818" s="10"/>
      <c r="AOM818" s="10"/>
      <c r="AON818" s="10"/>
      <c r="AOO818" s="10"/>
      <c r="AOP818" s="10"/>
      <c r="AOQ818" s="10"/>
      <c r="AOR818" s="10"/>
      <c r="AOS818" s="10"/>
      <c r="AOT818" s="10"/>
      <c r="AOU818" s="10"/>
      <c r="AOV818" s="10"/>
      <c r="AOW818" s="10"/>
      <c r="AOX818" s="10"/>
      <c r="AOY818" s="10"/>
      <c r="AOZ818" s="10"/>
      <c r="APA818" s="10"/>
      <c r="APB818" s="10"/>
      <c r="APC818" s="10"/>
      <c r="APD818" s="10"/>
      <c r="APE818" s="10"/>
      <c r="APF818" s="10"/>
      <c r="APG818" s="10"/>
      <c r="APH818" s="10"/>
      <c r="API818" s="10"/>
      <c r="APJ818" s="10"/>
      <c r="APK818" s="10"/>
      <c r="APL818" s="10"/>
      <c r="APM818" s="10"/>
      <c r="APN818" s="10"/>
      <c r="APO818" s="10"/>
      <c r="APP818" s="10"/>
      <c r="APQ818" s="10"/>
      <c r="APR818" s="10"/>
      <c r="APS818" s="10"/>
      <c r="APT818" s="10"/>
      <c r="APU818" s="10"/>
      <c r="APV818" s="10"/>
      <c r="APW818" s="10"/>
      <c r="APX818" s="10"/>
      <c r="APY818" s="10"/>
      <c r="APZ818" s="10"/>
      <c r="AQA818" s="10"/>
      <c r="AQB818" s="10"/>
      <c r="AQC818" s="10"/>
      <c r="AQD818" s="10"/>
      <c r="AQE818" s="10"/>
      <c r="AQF818" s="10"/>
      <c r="AQG818" s="10"/>
      <c r="AQH818" s="10"/>
      <c r="AQI818" s="10"/>
      <c r="AQJ818" s="10"/>
      <c r="AQK818" s="10"/>
      <c r="AQL818" s="10"/>
      <c r="AQM818" s="10"/>
      <c r="AQN818" s="10"/>
      <c r="AQO818" s="10"/>
      <c r="AQP818" s="10"/>
      <c r="AQQ818" s="10"/>
      <c r="AQR818" s="10"/>
      <c r="AQS818" s="10"/>
      <c r="AQT818" s="10"/>
      <c r="AQU818" s="10"/>
      <c r="AQV818" s="10"/>
      <c r="AQW818" s="10"/>
      <c r="AQX818" s="10"/>
      <c r="AQY818" s="10"/>
      <c r="AQZ818" s="10"/>
      <c r="ARA818" s="10"/>
      <c r="ARB818" s="10"/>
      <c r="ARC818" s="10"/>
      <c r="ARD818" s="10"/>
      <c r="ARE818" s="10"/>
      <c r="ARF818" s="10"/>
      <c r="ARG818" s="10"/>
      <c r="ARH818" s="10"/>
      <c r="ARI818" s="10"/>
      <c r="ARJ818" s="10"/>
      <c r="ARK818" s="10"/>
      <c r="ARL818" s="10"/>
      <c r="ARM818" s="10"/>
      <c r="ARN818" s="10"/>
      <c r="ARO818" s="10"/>
      <c r="ARP818" s="10"/>
      <c r="ARQ818" s="10"/>
      <c r="ARR818" s="10"/>
      <c r="ARS818" s="10"/>
      <c r="ART818" s="10"/>
      <c r="ARU818" s="10"/>
      <c r="ARV818" s="10"/>
      <c r="ARW818" s="10"/>
      <c r="ARX818" s="10"/>
      <c r="ARY818" s="10"/>
      <c r="ARZ818" s="10"/>
      <c r="ASA818" s="10"/>
      <c r="ASB818" s="10"/>
      <c r="ASC818" s="10"/>
      <c r="ASD818" s="10"/>
      <c r="ASE818" s="10"/>
      <c r="ASF818" s="10"/>
      <c r="ASG818" s="10"/>
      <c r="ASH818" s="10"/>
      <c r="ASI818" s="10"/>
      <c r="ASJ818" s="10"/>
      <c r="ASK818" s="10"/>
      <c r="ASL818" s="10"/>
      <c r="ASM818" s="10"/>
      <c r="ASN818" s="10"/>
      <c r="ASO818" s="10"/>
      <c r="ASP818" s="10"/>
      <c r="ASQ818" s="10"/>
      <c r="ASR818" s="10"/>
      <c r="ASS818" s="10"/>
      <c r="AST818" s="10"/>
      <c r="ASU818" s="10"/>
      <c r="ASV818" s="10"/>
      <c r="ASW818" s="10"/>
      <c r="ASX818" s="10"/>
      <c r="ASY818" s="10"/>
      <c r="ASZ818" s="10"/>
      <c r="ATA818" s="10"/>
      <c r="ATB818" s="10"/>
      <c r="ATC818" s="10"/>
      <c r="ATD818" s="10"/>
      <c r="ATE818" s="10"/>
      <c r="ATF818" s="10"/>
      <c r="ATG818" s="10"/>
      <c r="ATH818" s="10"/>
      <c r="ATI818" s="10"/>
      <c r="ATJ818" s="10"/>
      <c r="ATK818" s="10"/>
      <c r="ATL818" s="10"/>
      <c r="ATM818" s="10"/>
      <c r="ATN818" s="10"/>
      <c r="ATO818" s="10"/>
      <c r="ATP818" s="10"/>
      <c r="ATQ818" s="10"/>
      <c r="ATR818" s="10"/>
      <c r="ATS818" s="10"/>
      <c r="ATT818" s="10"/>
      <c r="ATU818" s="10"/>
      <c r="ATV818" s="10"/>
      <c r="ATW818" s="10"/>
      <c r="ATX818" s="10"/>
      <c r="ATY818" s="10"/>
      <c r="ATZ818" s="10"/>
      <c r="AUA818" s="10"/>
      <c r="AUB818" s="10"/>
      <c r="AUC818" s="10"/>
      <c r="AUD818" s="10"/>
      <c r="AUE818" s="10"/>
      <c r="AUF818" s="10"/>
      <c r="AUG818" s="10"/>
      <c r="AUH818" s="10"/>
      <c r="AUI818" s="10"/>
      <c r="AUJ818" s="10"/>
      <c r="AUK818" s="10"/>
      <c r="AUL818" s="10"/>
      <c r="AUM818" s="10"/>
      <c r="AUN818" s="10"/>
      <c r="AUO818" s="10"/>
      <c r="AUP818" s="10"/>
      <c r="AUQ818" s="10"/>
      <c r="AUR818" s="10"/>
      <c r="AUS818" s="10"/>
      <c r="AUT818" s="10"/>
      <c r="AUU818" s="10"/>
      <c r="AUV818" s="10"/>
      <c r="AUW818" s="10"/>
      <c r="AUX818" s="10"/>
      <c r="AUY818" s="10"/>
      <c r="AUZ818" s="10"/>
      <c r="AVA818" s="10"/>
      <c r="AVB818" s="10"/>
      <c r="AVC818" s="10"/>
      <c r="AVD818" s="10"/>
      <c r="AVE818" s="10"/>
      <c r="AVF818" s="10"/>
      <c r="AVG818" s="10"/>
      <c r="AVH818" s="10"/>
      <c r="AVI818" s="10"/>
      <c r="AVJ818" s="10"/>
      <c r="AVK818" s="10"/>
      <c r="AVL818" s="10"/>
      <c r="AVM818" s="10"/>
      <c r="AVN818" s="10"/>
      <c r="AVO818" s="10"/>
      <c r="AVP818" s="10"/>
      <c r="AVQ818" s="10"/>
      <c r="AVR818" s="10"/>
      <c r="AVS818" s="10"/>
      <c r="AVT818" s="10"/>
      <c r="AVU818" s="10"/>
      <c r="AVV818" s="10"/>
      <c r="AVW818" s="10"/>
      <c r="AVX818" s="10"/>
      <c r="AVY818" s="10"/>
      <c r="AVZ818" s="10"/>
      <c r="AWA818" s="10"/>
      <c r="AWB818" s="10"/>
      <c r="AWC818" s="10"/>
      <c r="AWD818" s="10"/>
      <c r="AWE818" s="10"/>
      <c r="AWF818" s="10"/>
      <c r="AWG818" s="10"/>
      <c r="AWH818" s="10"/>
      <c r="AWI818" s="10"/>
      <c r="AWJ818" s="10"/>
      <c r="AWK818" s="10"/>
      <c r="AWL818" s="10"/>
      <c r="AWM818" s="10"/>
      <c r="AWN818" s="10"/>
      <c r="AWO818" s="10"/>
      <c r="AWP818" s="10"/>
      <c r="AWQ818" s="10"/>
      <c r="AWR818" s="10"/>
      <c r="AWS818" s="10"/>
      <c r="AWT818" s="10"/>
      <c r="AWU818" s="10"/>
      <c r="AWV818" s="10"/>
      <c r="AWW818" s="10"/>
      <c r="AWX818" s="10"/>
      <c r="AWY818" s="10"/>
      <c r="AWZ818" s="10"/>
      <c r="AXA818" s="10"/>
      <c r="AXB818" s="10"/>
      <c r="AXC818" s="10"/>
      <c r="AXD818" s="10"/>
      <c r="AXE818" s="10"/>
      <c r="AXF818" s="10"/>
      <c r="AXG818" s="10"/>
      <c r="AXH818" s="10"/>
      <c r="AXI818" s="10"/>
      <c r="AXJ818" s="10"/>
      <c r="AXK818" s="10"/>
      <c r="AXL818" s="10"/>
      <c r="AXM818" s="10"/>
      <c r="AXN818" s="10"/>
      <c r="AXO818" s="10"/>
      <c r="AXP818" s="10"/>
      <c r="AXQ818" s="10"/>
      <c r="AXR818" s="10"/>
      <c r="AXS818" s="10"/>
      <c r="AXT818" s="10"/>
      <c r="AXU818" s="10"/>
      <c r="AXV818" s="10"/>
      <c r="AXW818" s="10"/>
      <c r="AXX818" s="10"/>
      <c r="AXY818" s="10"/>
      <c r="AXZ818" s="10"/>
      <c r="AYA818" s="10"/>
      <c r="AYB818" s="10"/>
      <c r="AYC818" s="10"/>
      <c r="AYD818" s="10"/>
      <c r="AYE818" s="10"/>
      <c r="AYF818" s="10"/>
      <c r="AYG818" s="10"/>
      <c r="AYH818" s="10"/>
      <c r="AYI818" s="10"/>
      <c r="AYJ818" s="10"/>
      <c r="AYK818" s="10"/>
      <c r="AYL818" s="10"/>
      <c r="AYM818" s="10"/>
      <c r="AYN818" s="10"/>
      <c r="AYO818" s="10"/>
      <c r="AYP818" s="10"/>
      <c r="AYQ818" s="10"/>
      <c r="AYR818" s="10"/>
      <c r="AYS818" s="10"/>
      <c r="AYT818" s="10"/>
      <c r="AYU818" s="10"/>
      <c r="AYV818" s="10"/>
      <c r="AYW818" s="10"/>
      <c r="AYX818" s="10"/>
      <c r="AYY818" s="10"/>
      <c r="AYZ818" s="10"/>
      <c r="AZA818" s="10"/>
      <c r="AZB818" s="10"/>
      <c r="AZC818" s="10"/>
      <c r="AZD818" s="10"/>
      <c r="AZE818" s="10"/>
      <c r="AZF818" s="10"/>
      <c r="AZG818" s="10"/>
      <c r="AZH818" s="10"/>
      <c r="AZI818" s="10"/>
      <c r="AZJ818" s="10"/>
      <c r="AZK818" s="10"/>
      <c r="AZL818" s="10"/>
      <c r="AZM818" s="10"/>
      <c r="AZN818" s="10"/>
      <c r="AZO818" s="10"/>
      <c r="AZP818" s="10"/>
      <c r="AZQ818" s="10"/>
      <c r="AZR818" s="10"/>
      <c r="AZS818" s="10"/>
      <c r="AZT818" s="10"/>
      <c r="AZU818" s="10"/>
      <c r="AZV818" s="10"/>
      <c r="AZW818" s="10"/>
      <c r="AZX818" s="10"/>
      <c r="AZY818" s="10"/>
      <c r="AZZ818" s="10"/>
      <c r="BAA818" s="10"/>
      <c r="BAB818" s="10"/>
      <c r="BAC818" s="10"/>
      <c r="BAD818" s="10"/>
      <c r="BAE818" s="10"/>
      <c r="BAF818" s="10"/>
      <c r="BAG818" s="10"/>
      <c r="BAH818" s="10"/>
      <c r="BAI818" s="10"/>
      <c r="BAJ818" s="10"/>
      <c r="BAK818" s="10"/>
      <c r="BAL818" s="10"/>
      <c r="BAM818" s="10"/>
      <c r="BAN818" s="10"/>
      <c r="BAO818" s="10"/>
      <c r="BAP818" s="10"/>
      <c r="BAQ818" s="10"/>
      <c r="BAR818" s="10"/>
      <c r="BAS818" s="10"/>
      <c r="BAT818" s="10"/>
      <c r="BAU818" s="10"/>
      <c r="BAV818" s="10"/>
      <c r="BAW818" s="10"/>
      <c r="BAX818" s="10"/>
      <c r="BAY818" s="10"/>
      <c r="BAZ818" s="10"/>
      <c r="BBA818" s="10"/>
      <c r="BBB818" s="10"/>
      <c r="BBC818" s="10"/>
      <c r="BBD818" s="10"/>
      <c r="BBE818" s="10"/>
      <c r="BBF818" s="10"/>
      <c r="BBG818" s="10"/>
      <c r="BBH818" s="10"/>
      <c r="BBI818" s="10"/>
      <c r="BBJ818" s="10"/>
      <c r="BBK818" s="10"/>
      <c r="BBL818" s="10"/>
      <c r="BBM818" s="10"/>
      <c r="BBN818" s="10"/>
      <c r="BBO818" s="10"/>
      <c r="BBP818" s="10"/>
      <c r="BBQ818" s="10"/>
      <c r="BBR818" s="10"/>
      <c r="BBS818" s="10"/>
      <c r="BBT818" s="10"/>
      <c r="BBU818" s="10"/>
      <c r="BBV818" s="10"/>
      <c r="BBW818" s="10"/>
      <c r="BBX818" s="10"/>
      <c r="BBY818" s="10"/>
      <c r="BBZ818" s="10"/>
      <c r="BCA818" s="10"/>
      <c r="BCB818" s="10"/>
      <c r="BCC818" s="10"/>
      <c r="BCD818" s="10"/>
      <c r="BCE818" s="10"/>
      <c r="BCF818" s="10"/>
      <c r="BCG818" s="10"/>
      <c r="BCH818" s="10"/>
      <c r="BCI818" s="10"/>
      <c r="BCJ818" s="10"/>
      <c r="BCK818" s="10"/>
      <c r="BCL818" s="10"/>
      <c r="BCM818" s="10"/>
      <c r="BCN818" s="10"/>
      <c r="BCO818" s="10"/>
      <c r="BCP818" s="10"/>
      <c r="BCQ818" s="10"/>
      <c r="BCR818" s="10"/>
      <c r="BCS818" s="10"/>
      <c r="BCT818" s="10"/>
      <c r="BCU818" s="10"/>
      <c r="BCV818" s="10"/>
      <c r="BCW818" s="10"/>
      <c r="BCX818" s="10"/>
      <c r="BCY818" s="10"/>
      <c r="BCZ818" s="10"/>
      <c r="BDA818" s="10"/>
      <c r="BDB818" s="10"/>
      <c r="BDC818" s="10"/>
      <c r="BDD818" s="10"/>
      <c r="BDE818" s="10"/>
      <c r="BDF818" s="10"/>
      <c r="BDG818" s="10"/>
      <c r="BDH818" s="10"/>
      <c r="BDI818" s="10"/>
      <c r="BDJ818" s="10"/>
      <c r="BDK818" s="10"/>
      <c r="BDL818" s="10"/>
      <c r="BDM818" s="10"/>
      <c r="BDN818" s="10"/>
      <c r="BDO818" s="10"/>
      <c r="BDP818" s="10"/>
      <c r="BDQ818" s="10"/>
      <c r="BDR818" s="10"/>
      <c r="BDS818" s="10"/>
      <c r="BDT818" s="10"/>
      <c r="BDU818" s="10"/>
      <c r="BDV818" s="10"/>
      <c r="BDW818" s="10"/>
      <c r="BDX818" s="10"/>
      <c r="BDY818" s="10"/>
      <c r="BDZ818" s="10"/>
      <c r="BEA818" s="10"/>
      <c r="BEB818" s="10"/>
      <c r="BEC818" s="10"/>
      <c r="BED818" s="10"/>
      <c r="BEE818" s="10"/>
      <c r="BEF818" s="10"/>
      <c r="BEG818" s="10"/>
      <c r="BEH818" s="10"/>
      <c r="BEI818" s="10"/>
      <c r="BEJ818" s="10"/>
      <c r="BEK818" s="10"/>
      <c r="BEL818" s="10"/>
      <c r="BEM818" s="10"/>
      <c r="BEN818" s="10"/>
      <c r="BEO818" s="10"/>
      <c r="BEP818" s="10"/>
      <c r="BEQ818" s="10"/>
      <c r="BER818" s="10"/>
      <c r="BES818" s="10"/>
      <c r="BET818" s="10"/>
      <c r="BEU818" s="10"/>
      <c r="BEV818" s="10"/>
      <c r="BEW818" s="10"/>
      <c r="BEX818" s="10"/>
      <c r="BEY818" s="10"/>
      <c r="BEZ818" s="10"/>
      <c r="BFA818" s="10"/>
      <c r="BFB818" s="10"/>
      <c r="BFC818" s="10"/>
      <c r="BFD818" s="10"/>
      <c r="BFE818" s="10"/>
      <c r="BFF818" s="10"/>
      <c r="BFG818" s="10"/>
      <c r="BFH818" s="10"/>
      <c r="BFI818" s="10"/>
      <c r="BFJ818" s="10"/>
      <c r="BFK818" s="10"/>
      <c r="BFL818" s="10"/>
      <c r="BFM818" s="10"/>
      <c r="BFN818" s="10"/>
      <c r="BFO818" s="10"/>
      <c r="BFP818" s="10"/>
      <c r="BFQ818" s="10"/>
      <c r="BFR818" s="10"/>
      <c r="BFS818" s="10"/>
      <c r="BFT818" s="10"/>
      <c r="BFU818" s="10"/>
      <c r="BFV818" s="10"/>
      <c r="BFW818" s="10"/>
      <c r="BFX818" s="10"/>
      <c r="BFY818" s="10"/>
      <c r="BFZ818" s="10"/>
      <c r="BGA818" s="10"/>
      <c r="BGB818" s="10"/>
      <c r="BGC818" s="10"/>
      <c r="BGD818" s="10"/>
      <c r="BGE818" s="10"/>
      <c r="BGF818" s="10"/>
      <c r="BGG818" s="10"/>
      <c r="BGH818" s="10"/>
      <c r="BGI818" s="10"/>
      <c r="BGJ818" s="10"/>
      <c r="BGK818" s="10"/>
      <c r="BGL818" s="10"/>
      <c r="BGM818" s="10"/>
      <c r="BGN818" s="10"/>
      <c r="BGO818" s="10"/>
      <c r="BGP818" s="10"/>
      <c r="BGQ818" s="10"/>
      <c r="BGR818" s="10"/>
      <c r="BGS818" s="10"/>
      <c r="BGT818" s="10"/>
      <c r="BGU818" s="10"/>
      <c r="BGV818" s="10"/>
      <c r="BGW818" s="10"/>
      <c r="BGX818" s="10"/>
      <c r="BGY818" s="10"/>
      <c r="BGZ818" s="10"/>
      <c r="BHA818" s="10"/>
      <c r="BHB818" s="10"/>
      <c r="BHC818" s="10"/>
      <c r="BHD818" s="10"/>
      <c r="BHE818" s="10"/>
      <c r="BHF818" s="10"/>
      <c r="BHG818" s="10"/>
      <c r="BHH818" s="10"/>
      <c r="BHI818" s="10"/>
      <c r="BHJ818" s="10"/>
      <c r="BHK818" s="10"/>
      <c r="BHL818" s="10"/>
      <c r="BHM818" s="10"/>
      <c r="BHN818" s="10"/>
      <c r="BHO818" s="10"/>
      <c r="BHP818" s="10"/>
      <c r="BHQ818" s="10"/>
      <c r="BHR818" s="10"/>
      <c r="BHS818" s="10"/>
      <c r="BHT818" s="10"/>
      <c r="BHU818" s="10"/>
      <c r="BHV818" s="10"/>
      <c r="BHW818" s="10"/>
      <c r="BHX818" s="10"/>
      <c r="BHY818" s="10"/>
      <c r="BHZ818" s="10"/>
      <c r="BIA818" s="10"/>
      <c r="BIB818" s="10"/>
      <c r="BIC818" s="10"/>
      <c r="BID818" s="10"/>
      <c r="BIE818" s="10"/>
      <c r="BIF818" s="10"/>
      <c r="BIG818" s="10"/>
      <c r="BIH818" s="10"/>
      <c r="BII818" s="10"/>
      <c r="BIJ818" s="10"/>
      <c r="BIK818" s="10"/>
      <c r="BIL818" s="10"/>
      <c r="BIM818" s="10"/>
      <c r="BIN818" s="10"/>
      <c r="BIO818" s="10"/>
      <c r="BIP818" s="10"/>
      <c r="BIQ818" s="10"/>
      <c r="BIR818" s="10"/>
      <c r="BIS818" s="10"/>
      <c r="BIT818" s="10"/>
      <c r="BIU818" s="10"/>
      <c r="BIV818" s="10"/>
      <c r="BIW818" s="10"/>
      <c r="BIX818" s="10"/>
      <c r="BIY818" s="10"/>
      <c r="BIZ818" s="10"/>
      <c r="BJA818" s="10"/>
      <c r="BJB818" s="10"/>
      <c r="BJC818" s="10"/>
      <c r="BJD818" s="10"/>
      <c r="BJE818" s="10"/>
      <c r="BJF818" s="10"/>
      <c r="BJG818" s="10"/>
      <c r="BJH818" s="10"/>
      <c r="BJI818" s="10"/>
      <c r="BJJ818" s="10"/>
      <c r="BJK818" s="10"/>
      <c r="BJL818" s="10"/>
      <c r="BJM818" s="10"/>
      <c r="BJN818" s="10"/>
      <c r="BJO818" s="10"/>
      <c r="BJP818" s="10"/>
      <c r="BJQ818" s="10"/>
      <c r="BJR818" s="10"/>
      <c r="BJS818" s="10"/>
      <c r="BJT818" s="10"/>
      <c r="BJU818" s="10"/>
      <c r="BJV818" s="10"/>
      <c r="BJW818" s="10"/>
      <c r="BJX818" s="10"/>
      <c r="BJY818" s="10"/>
      <c r="BJZ818" s="10"/>
      <c r="BKA818" s="10"/>
      <c r="BKB818" s="10"/>
      <c r="BKC818" s="10"/>
      <c r="BKD818" s="10"/>
      <c r="BKE818" s="10"/>
      <c r="BKF818" s="10"/>
      <c r="BKG818" s="10"/>
      <c r="BKH818" s="10"/>
      <c r="BKI818" s="10"/>
      <c r="BKJ818" s="10"/>
      <c r="BKK818" s="10"/>
      <c r="BKL818" s="10"/>
      <c r="BKM818" s="10"/>
      <c r="BKN818" s="10"/>
      <c r="BKO818" s="10"/>
      <c r="BKP818" s="10"/>
      <c r="BKQ818" s="10"/>
      <c r="BKR818" s="10"/>
      <c r="BKS818" s="10"/>
      <c r="BKT818" s="10"/>
      <c r="BKU818" s="10"/>
      <c r="BKV818" s="10"/>
      <c r="BKW818" s="10"/>
      <c r="BKX818" s="10"/>
      <c r="BKY818" s="10"/>
      <c r="BKZ818" s="10"/>
      <c r="BLA818" s="10"/>
      <c r="BLB818" s="10"/>
      <c r="BLC818" s="10"/>
      <c r="BLD818" s="10"/>
      <c r="BLE818" s="10"/>
      <c r="BLF818" s="10"/>
      <c r="BLG818" s="10"/>
      <c r="BLH818" s="10"/>
      <c r="BLI818" s="10"/>
      <c r="BLJ818" s="10"/>
      <c r="BLK818" s="10"/>
      <c r="BLL818" s="10"/>
      <c r="BLM818" s="10"/>
      <c r="BLN818" s="10"/>
      <c r="BLO818" s="10"/>
      <c r="BLP818" s="10"/>
      <c r="BLQ818" s="10"/>
      <c r="BLR818" s="10"/>
      <c r="BLS818" s="10"/>
      <c r="BLT818" s="10"/>
      <c r="BLU818" s="10"/>
      <c r="BLV818" s="10"/>
      <c r="BLW818" s="10"/>
      <c r="BLX818" s="10"/>
      <c r="BLY818" s="10"/>
      <c r="BLZ818" s="10"/>
      <c r="BMA818" s="10"/>
      <c r="BMB818" s="10"/>
      <c r="BMC818" s="10"/>
      <c r="BMD818" s="10"/>
      <c r="BME818" s="10"/>
      <c r="BMF818" s="10"/>
      <c r="BMG818" s="10"/>
      <c r="BMH818" s="10"/>
      <c r="BMI818" s="10"/>
      <c r="BMJ818" s="10"/>
      <c r="BMK818" s="10"/>
      <c r="BML818" s="10"/>
      <c r="BMM818" s="10"/>
      <c r="BMN818" s="10"/>
      <c r="BMO818" s="10"/>
      <c r="BMP818" s="10"/>
      <c r="BMQ818" s="10"/>
      <c r="BMR818" s="10"/>
      <c r="BMS818" s="10"/>
      <c r="BMT818" s="10"/>
      <c r="BMU818" s="10"/>
      <c r="BMV818" s="10"/>
      <c r="BMW818" s="10"/>
      <c r="BMX818" s="10"/>
      <c r="BMY818" s="10"/>
      <c r="BMZ818" s="10"/>
      <c r="BNA818" s="10"/>
      <c r="BNB818" s="10"/>
      <c r="BNC818" s="10"/>
      <c r="BND818" s="10"/>
      <c r="BNE818" s="10"/>
      <c r="BNF818" s="10"/>
      <c r="BNG818" s="10"/>
      <c r="BNH818" s="10"/>
      <c r="BNI818" s="10"/>
      <c r="BNJ818" s="10"/>
      <c r="BNK818" s="10"/>
      <c r="BNL818" s="10"/>
      <c r="BNM818" s="10"/>
      <c r="BNN818" s="10"/>
      <c r="BNO818" s="10"/>
      <c r="BNP818" s="10"/>
      <c r="BNQ818" s="10"/>
      <c r="BNR818" s="10"/>
      <c r="BNS818" s="10"/>
      <c r="BNT818" s="10"/>
      <c r="BNU818" s="10"/>
      <c r="BNV818" s="10"/>
      <c r="BNW818" s="10"/>
      <c r="BNX818" s="10"/>
      <c r="BNY818" s="10"/>
      <c r="BNZ818" s="10"/>
      <c r="BOA818" s="10"/>
      <c r="BOB818" s="10"/>
      <c r="BOC818" s="10"/>
      <c r="BOD818" s="10"/>
      <c r="BOE818" s="10"/>
      <c r="BOF818" s="10"/>
      <c r="BOG818" s="10"/>
      <c r="BOH818" s="10"/>
      <c r="BOI818" s="10"/>
      <c r="BOJ818" s="10"/>
      <c r="BOK818" s="10"/>
      <c r="BOL818" s="10"/>
      <c r="BOM818" s="10"/>
      <c r="BON818" s="10"/>
      <c r="BOO818" s="10"/>
      <c r="BOP818" s="10"/>
      <c r="BOQ818" s="10"/>
      <c r="BOR818" s="10"/>
      <c r="BOS818" s="10"/>
      <c r="BOT818" s="10"/>
      <c r="BOU818" s="10"/>
      <c r="BOV818" s="10"/>
      <c r="BOW818" s="10"/>
      <c r="BOX818" s="10"/>
      <c r="BOY818" s="10"/>
      <c r="BOZ818" s="10"/>
      <c r="BPA818" s="10"/>
      <c r="BPB818" s="10"/>
      <c r="BPC818" s="10"/>
      <c r="BPD818" s="10"/>
      <c r="BPE818" s="10"/>
      <c r="BPF818" s="10"/>
      <c r="BPG818" s="10"/>
      <c r="BPH818" s="10"/>
      <c r="BPI818" s="10"/>
      <c r="BPJ818" s="10"/>
      <c r="BPK818" s="10"/>
      <c r="BPL818" s="10"/>
      <c r="BPM818" s="10"/>
      <c r="BPN818" s="10"/>
      <c r="BPO818" s="10"/>
      <c r="BPP818" s="10"/>
      <c r="BPQ818" s="10"/>
      <c r="BPR818" s="10"/>
      <c r="BPS818" s="10"/>
      <c r="BPT818" s="10"/>
      <c r="BPU818" s="10"/>
      <c r="BPV818" s="10"/>
      <c r="BPW818" s="10"/>
      <c r="BPX818" s="10"/>
      <c r="BPY818" s="10"/>
      <c r="BPZ818" s="10"/>
      <c r="BQA818" s="10"/>
      <c r="BQB818" s="10"/>
      <c r="BQC818" s="10"/>
      <c r="BQD818" s="10"/>
      <c r="BQE818" s="10"/>
      <c r="BQF818" s="10"/>
      <c r="BQG818" s="10"/>
      <c r="BQH818" s="10"/>
      <c r="BQI818" s="10"/>
      <c r="BQJ818" s="10"/>
      <c r="BQK818" s="10"/>
      <c r="BQL818" s="10"/>
      <c r="BQM818" s="10"/>
      <c r="BQN818" s="10"/>
      <c r="BQO818" s="10"/>
      <c r="BQP818" s="10"/>
      <c r="BQQ818" s="10"/>
      <c r="BQR818" s="10"/>
      <c r="BQS818" s="10"/>
      <c r="BQT818" s="10"/>
      <c r="BQU818" s="10"/>
      <c r="BQV818" s="10"/>
      <c r="BQW818" s="10"/>
      <c r="BQX818" s="10"/>
      <c r="BQY818" s="10"/>
      <c r="BQZ818" s="10"/>
      <c r="BRA818" s="10"/>
      <c r="BRB818" s="10"/>
      <c r="BRC818" s="10"/>
      <c r="BRD818" s="10"/>
      <c r="BRE818" s="10"/>
      <c r="BRF818" s="10"/>
      <c r="BRG818" s="10"/>
      <c r="BRH818" s="10"/>
      <c r="BRI818" s="10"/>
      <c r="BRJ818" s="10"/>
      <c r="BRK818" s="10"/>
      <c r="BRL818" s="10"/>
      <c r="BRM818" s="10"/>
      <c r="BRN818" s="10"/>
      <c r="BRO818" s="10"/>
      <c r="BRP818" s="10"/>
      <c r="BRQ818" s="10"/>
      <c r="BRR818" s="10"/>
      <c r="BRS818" s="10"/>
      <c r="BRT818" s="10"/>
      <c r="BRU818" s="10"/>
      <c r="BRV818" s="10"/>
      <c r="BRW818" s="10"/>
      <c r="BRX818" s="10"/>
      <c r="BRY818" s="10"/>
      <c r="BRZ818" s="10"/>
      <c r="BSA818" s="10"/>
      <c r="BSB818" s="10"/>
      <c r="BSC818" s="10"/>
      <c r="BSD818" s="10"/>
      <c r="BSE818" s="10"/>
      <c r="BSF818" s="10"/>
      <c r="BSG818" s="10"/>
      <c r="BSH818" s="10"/>
      <c r="BSI818" s="10"/>
      <c r="BSJ818" s="10"/>
      <c r="BSK818" s="10"/>
      <c r="BSL818" s="10"/>
      <c r="BSM818" s="10"/>
      <c r="BSN818" s="10"/>
      <c r="BSO818" s="10"/>
      <c r="BSP818" s="10"/>
      <c r="BSQ818" s="10"/>
      <c r="BSR818" s="10"/>
      <c r="BSS818" s="10"/>
      <c r="BST818" s="10"/>
      <c r="BSU818" s="10"/>
      <c r="BSV818" s="10"/>
      <c r="BSW818" s="10"/>
      <c r="BSX818" s="10"/>
      <c r="BSY818" s="10"/>
      <c r="BSZ818" s="10"/>
      <c r="BTA818" s="10"/>
      <c r="BTB818" s="10"/>
      <c r="BTC818" s="10"/>
      <c r="BTD818" s="10"/>
      <c r="BTE818" s="10"/>
      <c r="BTF818" s="10"/>
      <c r="BTG818" s="10"/>
      <c r="BTH818" s="10"/>
      <c r="BTI818" s="10"/>
      <c r="BTJ818" s="10"/>
      <c r="BTK818" s="10"/>
      <c r="BTL818" s="10"/>
      <c r="BTM818" s="10"/>
      <c r="BTN818" s="10"/>
      <c r="BTO818" s="10"/>
      <c r="BTP818" s="10"/>
      <c r="BTQ818" s="10"/>
      <c r="BTR818" s="10"/>
      <c r="BTS818" s="10"/>
      <c r="BTT818" s="10"/>
    </row>
    <row r="819" spans="1:1892" s="10" customFormat="1" ht="35.1" customHeight="1">
      <c r="A819" s="1462"/>
      <c r="B819" s="1102" t="s">
        <v>20</v>
      </c>
      <c r="C819" s="639" t="s">
        <v>68</v>
      </c>
      <c r="D819" s="588" t="s">
        <v>118</v>
      </c>
      <c r="E819" s="589"/>
      <c r="F819" s="590"/>
      <c r="G819" s="639" t="s">
        <v>478</v>
      </c>
      <c r="H819" s="639" t="s">
        <v>479</v>
      </c>
      <c r="I819" s="639" t="s">
        <v>299</v>
      </c>
      <c r="J819" s="653" t="s">
        <v>11</v>
      </c>
      <c r="K819" s="653" t="s">
        <v>12</v>
      </c>
      <c r="L819" s="194">
        <v>84.903800000000004</v>
      </c>
      <c r="M819" s="281">
        <v>32</v>
      </c>
      <c r="N819" s="129">
        <v>2</v>
      </c>
      <c r="O819" s="129">
        <v>2</v>
      </c>
      <c r="P819" s="470" t="s">
        <v>707</v>
      </c>
      <c r="Q819" s="470" t="s">
        <v>425</v>
      </c>
      <c r="R819" s="473" t="s">
        <v>407</v>
      </c>
      <c r="S819" s="859" t="s">
        <v>57</v>
      </c>
      <c r="T819" s="473" t="s">
        <v>480</v>
      </c>
      <c r="U819" s="473" t="s">
        <v>17</v>
      </c>
    </row>
    <row r="820" spans="1:1892" s="10" customFormat="1" ht="35.1" customHeight="1">
      <c r="A820" s="1462"/>
      <c r="B820" s="1103"/>
      <c r="C820" s="640"/>
      <c r="D820" s="591"/>
      <c r="E820" s="592"/>
      <c r="F820" s="593"/>
      <c r="G820" s="640"/>
      <c r="H820" s="640"/>
      <c r="I820" s="640"/>
      <c r="J820" s="654"/>
      <c r="K820" s="654"/>
      <c r="L820" s="194">
        <v>84.847800000000007</v>
      </c>
      <c r="M820" s="281">
        <v>18</v>
      </c>
      <c r="N820" s="129">
        <v>2</v>
      </c>
      <c r="O820" s="129">
        <v>2</v>
      </c>
      <c r="P820" s="471"/>
      <c r="Q820" s="471"/>
      <c r="R820" s="474"/>
      <c r="S820" s="860"/>
      <c r="T820" s="474"/>
      <c r="U820" s="474"/>
    </row>
    <row r="821" spans="1:1892" s="10" customFormat="1" ht="35.1" customHeight="1">
      <c r="A821" s="1462"/>
      <c r="B821" s="1103"/>
      <c r="C821" s="640"/>
      <c r="D821" s="591"/>
      <c r="E821" s="592"/>
      <c r="F821" s="593"/>
      <c r="G821" s="640"/>
      <c r="H821" s="640"/>
      <c r="I821" s="640"/>
      <c r="J821" s="654"/>
      <c r="K821" s="654"/>
      <c r="L821" s="194">
        <v>84.847800000000007</v>
      </c>
      <c r="M821" s="281">
        <v>66</v>
      </c>
      <c r="N821" s="129">
        <v>8</v>
      </c>
      <c r="O821" s="129">
        <v>8</v>
      </c>
      <c r="P821" s="471"/>
      <c r="Q821" s="471"/>
      <c r="R821" s="474"/>
      <c r="S821" s="860"/>
      <c r="T821" s="474"/>
      <c r="U821" s="474"/>
    </row>
    <row r="822" spans="1:1892" s="10" customFormat="1" ht="35.1" customHeight="1">
      <c r="A822" s="1462"/>
      <c r="B822" s="1103"/>
      <c r="C822" s="640"/>
      <c r="D822" s="591"/>
      <c r="E822" s="592"/>
      <c r="F822" s="593"/>
      <c r="G822" s="640"/>
      <c r="H822" s="640"/>
      <c r="I822" s="640"/>
      <c r="J822" s="654"/>
      <c r="K822" s="654"/>
      <c r="L822" s="194">
        <v>84.847800000000007</v>
      </c>
      <c r="M822" s="281">
        <v>5</v>
      </c>
      <c r="N822" s="129">
        <v>0</v>
      </c>
      <c r="O822" s="129">
        <v>0</v>
      </c>
      <c r="P822" s="471"/>
      <c r="Q822" s="471"/>
      <c r="R822" s="474"/>
      <c r="S822" s="860"/>
      <c r="T822" s="474"/>
      <c r="U822" s="474"/>
    </row>
    <row r="823" spans="1:1892" s="10" customFormat="1" ht="35.1" customHeight="1">
      <c r="A823" s="1462"/>
      <c r="B823" s="1103"/>
      <c r="C823" s="640"/>
      <c r="D823" s="591"/>
      <c r="E823" s="592"/>
      <c r="F823" s="593"/>
      <c r="G823" s="640"/>
      <c r="H823" s="640"/>
      <c r="I823" s="640"/>
      <c r="J823" s="654"/>
      <c r="K823" s="654"/>
      <c r="L823" s="194">
        <v>84.972499999999997</v>
      </c>
      <c r="M823" s="281">
        <v>111</v>
      </c>
      <c r="N823" s="129">
        <v>5</v>
      </c>
      <c r="O823" s="129">
        <v>5</v>
      </c>
      <c r="P823" s="471"/>
      <c r="Q823" s="471"/>
      <c r="R823" s="474"/>
      <c r="S823" s="860"/>
      <c r="T823" s="474"/>
      <c r="U823" s="474"/>
    </row>
    <row r="824" spans="1:1892" s="10" customFormat="1" ht="35.1" customHeight="1">
      <c r="A824" s="1462"/>
      <c r="B824" s="1103"/>
      <c r="C824" s="640"/>
      <c r="D824" s="591"/>
      <c r="E824" s="592"/>
      <c r="F824" s="593"/>
      <c r="G824" s="640"/>
      <c r="H824" s="640"/>
      <c r="I824" s="640"/>
      <c r="J824" s="654"/>
      <c r="K824" s="654"/>
      <c r="L824" s="194">
        <v>84.931100000000001</v>
      </c>
      <c r="M824" s="281">
        <v>7</v>
      </c>
      <c r="N824" s="129">
        <v>0</v>
      </c>
      <c r="O824" s="129">
        <v>0</v>
      </c>
      <c r="P824" s="471"/>
      <c r="Q824" s="471"/>
      <c r="R824" s="474"/>
      <c r="S824" s="860"/>
      <c r="T824" s="474"/>
      <c r="U824" s="474"/>
    </row>
    <row r="825" spans="1:1892" s="10" customFormat="1" ht="35.1" customHeight="1">
      <c r="A825" s="1462"/>
      <c r="B825" s="1103"/>
      <c r="C825" s="640"/>
      <c r="D825" s="591"/>
      <c r="E825" s="592"/>
      <c r="F825" s="593"/>
      <c r="G825" s="640"/>
      <c r="H825" s="640"/>
      <c r="I825" s="640"/>
      <c r="J825" s="654"/>
      <c r="K825" s="654"/>
      <c r="L825" s="194">
        <v>84.8917</v>
      </c>
      <c r="M825" s="281">
        <v>7</v>
      </c>
      <c r="N825" s="129">
        <v>0</v>
      </c>
      <c r="O825" s="129">
        <v>0</v>
      </c>
      <c r="P825" s="471"/>
      <c r="Q825" s="471"/>
      <c r="R825" s="474"/>
      <c r="S825" s="860"/>
      <c r="T825" s="474"/>
      <c r="U825" s="474"/>
    </row>
    <row r="826" spans="1:1892" s="10" customFormat="1" ht="35.1" customHeight="1">
      <c r="A826" s="1462"/>
      <c r="B826" s="1103"/>
      <c r="C826" s="640"/>
      <c r="D826" s="591"/>
      <c r="E826" s="592"/>
      <c r="F826" s="593"/>
      <c r="G826" s="640"/>
      <c r="H826" s="640"/>
      <c r="I826" s="640"/>
      <c r="J826" s="654"/>
      <c r="K826" s="654"/>
      <c r="L826" s="194">
        <v>84.999600000000001</v>
      </c>
      <c r="M826" s="281">
        <v>6</v>
      </c>
      <c r="N826" s="129">
        <v>0</v>
      </c>
      <c r="O826" s="129">
        <v>0</v>
      </c>
      <c r="P826" s="471"/>
      <c r="Q826" s="471"/>
      <c r="R826" s="474"/>
      <c r="S826" s="860"/>
      <c r="T826" s="474"/>
      <c r="U826" s="474"/>
    </row>
    <row r="827" spans="1:1892" s="10" customFormat="1" ht="35.1" customHeight="1">
      <c r="A827" s="1462"/>
      <c r="B827" s="1103"/>
      <c r="C827" s="640"/>
      <c r="D827" s="591"/>
      <c r="E827" s="592"/>
      <c r="F827" s="593"/>
      <c r="G827" s="640"/>
      <c r="H827" s="640"/>
      <c r="I827" s="640"/>
      <c r="J827" s="654"/>
      <c r="K827" s="654"/>
      <c r="L827" s="194">
        <v>84.957599999999999</v>
      </c>
      <c r="M827" s="281">
        <v>6</v>
      </c>
      <c r="N827" s="129">
        <v>0</v>
      </c>
      <c r="O827" s="129">
        <v>0</v>
      </c>
      <c r="P827" s="471"/>
      <c r="Q827" s="471"/>
      <c r="R827" s="474"/>
      <c r="S827" s="860"/>
      <c r="T827" s="474"/>
      <c r="U827" s="474"/>
    </row>
    <row r="828" spans="1:1892" s="10" customFormat="1" ht="35.1" customHeight="1">
      <c r="A828" s="1462"/>
      <c r="B828" s="1103"/>
      <c r="C828" s="640"/>
      <c r="D828" s="591"/>
      <c r="E828" s="592"/>
      <c r="F828" s="593"/>
      <c r="G828" s="640"/>
      <c r="H828" s="640"/>
      <c r="I828" s="640"/>
      <c r="J828" s="654"/>
      <c r="K828" s="654"/>
      <c r="L828" s="194">
        <v>84.944699999999997</v>
      </c>
      <c r="M828" s="281">
        <v>6</v>
      </c>
      <c r="N828" s="129">
        <v>0</v>
      </c>
      <c r="O828" s="129">
        <v>0</v>
      </c>
      <c r="P828" s="471"/>
      <c r="Q828" s="471"/>
      <c r="R828" s="474"/>
      <c r="S828" s="860"/>
      <c r="T828" s="474"/>
      <c r="U828" s="474"/>
    </row>
    <row r="829" spans="1:1892" s="10" customFormat="1" ht="35.1" customHeight="1">
      <c r="A829" s="1462"/>
      <c r="B829" s="1103"/>
      <c r="C829" s="640"/>
      <c r="D829" s="591"/>
      <c r="E829" s="592"/>
      <c r="F829" s="593"/>
      <c r="G829" s="641"/>
      <c r="H829" s="641"/>
      <c r="I829" s="641"/>
      <c r="J829" s="655"/>
      <c r="K829" s="655"/>
      <c r="L829" s="194">
        <v>84.969099999999997</v>
      </c>
      <c r="M829" s="281">
        <v>22</v>
      </c>
      <c r="N829" s="129">
        <v>1</v>
      </c>
      <c r="O829" s="129">
        <v>1</v>
      </c>
      <c r="P829" s="471"/>
      <c r="Q829" s="471"/>
      <c r="R829" s="474"/>
      <c r="S829" s="860"/>
      <c r="T829" s="474"/>
      <c r="U829" s="474"/>
    </row>
    <row r="830" spans="1:1892" s="10" customFormat="1" ht="35.1" customHeight="1">
      <c r="A830" s="1462"/>
      <c r="B830" s="1103"/>
      <c r="C830" s="641"/>
      <c r="D830" s="594"/>
      <c r="E830" s="595"/>
      <c r="F830" s="596"/>
      <c r="G830" s="1019" t="s">
        <v>329</v>
      </c>
      <c r="H830" s="1020"/>
      <c r="I830" s="1020"/>
      <c r="J830" s="1020"/>
      <c r="K830" s="1020"/>
      <c r="L830" s="139"/>
      <c r="M830" s="249">
        <f>SUM(M819:M829)</f>
        <v>286</v>
      </c>
      <c r="N830" s="246">
        <f>SUM(N819:N829)</f>
        <v>18</v>
      </c>
      <c r="O830" s="246">
        <f>SUM(O819:O829)</f>
        <v>18</v>
      </c>
      <c r="P830" s="472"/>
      <c r="Q830" s="472"/>
      <c r="R830" s="475"/>
      <c r="S830" s="861"/>
      <c r="T830" s="475"/>
      <c r="U830" s="475"/>
    </row>
    <row r="831" spans="1:1892" s="10" customFormat="1" ht="35.1" customHeight="1">
      <c r="A831" s="1462"/>
      <c r="B831" s="1103"/>
      <c r="C831" s="639" t="s">
        <v>54</v>
      </c>
      <c r="D831" s="588" t="s">
        <v>642</v>
      </c>
      <c r="E831" s="589"/>
      <c r="F831" s="590"/>
      <c r="G831" s="1176" t="s">
        <v>54</v>
      </c>
      <c r="H831" s="1176" t="s">
        <v>54</v>
      </c>
      <c r="I831" s="1176" t="s">
        <v>54</v>
      </c>
      <c r="J831" s="1176" t="s">
        <v>54</v>
      </c>
      <c r="K831" s="1160" t="s">
        <v>12</v>
      </c>
      <c r="L831" s="170" t="s">
        <v>858</v>
      </c>
      <c r="M831" s="221">
        <v>619</v>
      </c>
      <c r="N831" s="129">
        <v>0</v>
      </c>
      <c r="O831" s="129">
        <v>0</v>
      </c>
      <c r="P831" s="470" t="s">
        <v>54</v>
      </c>
      <c r="Q831" s="473" t="s">
        <v>54</v>
      </c>
      <c r="R831" s="473" t="s">
        <v>54</v>
      </c>
      <c r="S831" s="473" t="s">
        <v>54</v>
      </c>
      <c r="T831" s="473" t="s">
        <v>54</v>
      </c>
      <c r="U831" s="473" t="s">
        <v>54</v>
      </c>
    </row>
    <row r="832" spans="1:1892" s="10" customFormat="1" ht="35.1" customHeight="1">
      <c r="A832" s="1462"/>
      <c r="B832" s="1103"/>
      <c r="C832" s="640"/>
      <c r="D832" s="591"/>
      <c r="E832" s="592"/>
      <c r="F832" s="593"/>
      <c r="G832" s="1177"/>
      <c r="H832" s="1177"/>
      <c r="I832" s="1177"/>
      <c r="J832" s="1177"/>
      <c r="K832" s="1161"/>
      <c r="L832" s="170" t="s">
        <v>859</v>
      </c>
      <c r="M832" s="221">
        <v>120</v>
      </c>
      <c r="N832" s="129">
        <v>0</v>
      </c>
      <c r="O832" s="129">
        <v>0</v>
      </c>
      <c r="P832" s="471"/>
      <c r="Q832" s="474"/>
      <c r="R832" s="474"/>
      <c r="S832" s="474"/>
      <c r="T832" s="474"/>
      <c r="U832" s="474"/>
    </row>
    <row r="833" spans="1:21" s="10" customFormat="1" ht="35.1" customHeight="1">
      <c r="A833" s="1462"/>
      <c r="B833" s="1103"/>
      <c r="C833" s="640"/>
      <c r="D833" s="591"/>
      <c r="E833" s="592"/>
      <c r="F833" s="593"/>
      <c r="G833" s="1177"/>
      <c r="H833" s="1177"/>
      <c r="I833" s="1177"/>
      <c r="J833" s="1177"/>
      <c r="K833" s="1161"/>
      <c r="L833" s="170" t="s">
        <v>860</v>
      </c>
      <c r="M833" s="221">
        <v>194</v>
      </c>
      <c r="N833" s="129">
        <v>0</v>
      </c>
      <c r="O833" s="129">
        <v>0</v>
      </c>
      <c r="P833" s="471"/>
      <c r="Q833" s="474"/>
      <c r="R833" s="474"/>
      <c r="S833" s="474"/>
      <c r="T833" s="474"/>
      <c r="U833" s="474"/>
    </row>
    <row r="834" spans="1:21" s="10" customFormat="1" ht="35.1" customHeight="1">
      <c r="A834" s="1462"/>
      <c r="B834" s="1103"/>
      <c r="C834" s="640"/>
      <c r="D834" s="591"/>
      <c r="E834" s="592"/>
      <c r="F834" s="593"/>
      <c r="G834" s="1177"/>
      <c r="H834" s="1177"/>
      <c r="I834" s="1177"/>
      <c r="J834" s="1177"/>
      <c r="K834" s="1161"/>
      <c r="L834" s="170" t="s">
        <v>861</v>
      </c>
      <c r="M834" s="221">
        <v>48</v>
      </c>
      <c r="N834" s="129">
        <v>0</v>
      </c>
      <c r="O834" s="129">
        <v>0</v>
      </c>
      <c r="P834" s="471"/>
      <c r="Q834" s="474"/>
      <c r="R834" s="474"/>
      <c r="S834" s="474"/>
      <c r="T834" s="474"/>
      <c r="U834" s="474"/>
    </row>
    <row r="835" spans="1:21" s="10" customFormat="1" ht="35.1" customHeight="1">
      <c r="A835" s="1462"/>
      <c r="B835" s="1103"/>
      <c r="C835" s="640"/>
      <c r="D835" s="591"/>
      <c r="E835" s="592"/>
      <c r="F835" s="593"/>
      <c r="G835" s="1178"/>
      <c r="H835" s="1178"/>
      <c r="I835" s="1178"/>
      <c r="J835" s="1178"/>
      <c r="K835" s="1162"/>
      <c r="L835" s="170" t="s">
        <v>862</v>
      </c>
      <c r="M835" s="221">
        <v>48</v>
      </c>
      <c r="N835" s="129">
        <v>0</v>
      </c>
      <c r="O835" s="129">
        <v>0</v>
      </c>
      <c r="P835" s="471"/>
      <c r="Q835" s="474"/>
      <c r="R835" s="474"/>
      <c r="S835" s="474"/>
      <c r="T835" s="474"/>
      <c r="U835" s="474"/>
    </row>
    <row r="836" spans="1:21" s="10" customFormat="1" ht="35.1" customHeight="1">
      <c r="A836" s="1462"/>
      <c r="B836" s="1103"/>
      <c r="C836" s="641"/>
      <c r="D836" s="594"/>
      <c r="E836" s="595"/>
      <c r="F836" s="596"/>
      <c r="G836" s="1019" t="s">
        <v>329</v>
      </c>
      <c r="H836" s="1020"/>
      <c r="I836" s="1020"/>
      <c r="J836" s="1020"/>
      <c r="K836" s="1020"/>
      <c r="L836" s="139"/>
      <c r="M836" s="249">
        <f>SUM(M831:M835)</f>
        <v>1029</v>
      </c>
      <c r="N836" s="233">
        <f>SUM(N831:N835)</f>
        <v>0</v>
      </c>
      <c r="O836" s="233">
        <f>SUM(O831:O835)</f>
        <v>0</v>
      </c>
      <c r="P836" s="472"/>
      <c r="Q836" s="475"/>
      <c r="R836" s="475"/>
      <c r="S836" s="475"/>
      <c r="T836" s="475"/>
      <c r="U836" s="475"/>
    </row>
    <row r="837" spans="1:21" s="10" customFormat="1" ht="35.1" customHeight="1">
      <c r="A837" s="1462"/>
      <c r="B837" s="1103"/>
      <c r="C837" s="639"/>
      <c r="D837" s="588" t="s">
        <v>726</v>
      </c>
      <c r="E837" s="589"/>
      <c r="F837" s="590"/>
      <c r="G837" s="639" t="s">
        <v>189</v>
      </c>
      <c r="H837" s="639" t="s">
        <v>189</v>
      </c>
      <c r="I837" s="639" t="s">
        <v>189</v>
      </c>
      <c r="J837" s="653" t="s">
        <v>11</v>
      </c>
      <c r="K837" s="653" t="s">
        <v>12</v>
      </c>
      <c r="L837" s="195" t="s">
        <v>792</v>
      </c>
      <c r="M837" s="285">
        <v>267</v>
      </c>
      <c r="N837" s="129">
        <v>0</v>
      </c>
      <c r="O837" s="129">
        <v>0</v>
      </c>
      <c r="P837" s="470" t="s">
        <v>189</v>
      </c>
      <c r="Q837" s="470" t="s">
        <v>189</v>
      </c>
      <c r="R837" s="473" t="s">
        <v>189</v>
      </c>
      <c r="S837" s="867" t="s">
        <v>189</v>
      </c>
      <c r="T837" s="473" t="s">
        <v>189</v>
      </c>
      <c r="U837" s="473" t="s">
        <v>189</v>
      </c>
    </row>
    <row r="838" spans="1:21" s="10" customFormat="1" ht="35.1" customHeight="1">
      <c r="A838" s="1462"/>
      <c r="B838" s="1103"/>
      <c r="C838" s="640"/>
      <c r="D838" s="591"/>
      <c r="E838" s="592"/>
      <c r="F838" s="593"/>
      <c r="G838" s="640"/>
      <c r="H838" s="640"/>
      <c r="I838" s="640"/>
      <c r="J838" s="654"/>
      <c r="K838" s="654"/>
      <c r="L838" s="195" t="s">
        <v>793</v>
      </c>
      <c r="M838" s="285">
        <v>134</v>
      </c>
      <c r="N838" s="129">
        <v>0</v>
      </c>
      <c r="O838" s="129">
        <v>0</v>
      </c>
      <c r="P838" s="471"/>
      <c r="Q838" s="471"/>
      <c r="R838" s="474"/>
      <c r="S838" s="652"/>
      <c r="T838" s="474"/>
      <c r="U838" s="474"/>
    </row>
    <row r="839" spans="1:21" s="10" customFormat="1" ht="35.1" customHeight="1">
      <c r="A839" s="1462"/>
      <c r="B839" s="1103"/>
      <c r="C839" s="640"/>
      <c r="D839" s="591"/>
      <c r="E839" s="592"/>
      <c r="F839" s="593"/>
      <c r="G839" s="640"/>
      <c r="H839" s="640"/>
      <c r="I839" s="640"/>
      <c r="J839" s="654"/>
      <c r="K839" s="654"/>
      <c r="L839" s="195" t="s">
        <v>794</v>
      </c>
      <c r="M839" s="285">
        <v>59</v>
      </c>
      <c r="N839" s="129">
        <v>0</v>
      </c>
      <c r="O839" s="129">
        <v>0</v>
      </c>
      <c r="P839" s="471"/>
      <c r="Q839" s="471"/>
      <c r="R839" s="474"/>
      <c r="S839" s="652"/>
      <c r="T839" s="474"/>
      <c r="U839" s="474"/>
    </row>
    <row r="840" spans="1:21" s="10" customFormat="1" ht="35.1" customHeight="1">
      <c r="A840" s="1462"/>
      <c r="B840" s="1103"/>
      <c r="C840" s="640"/>
      <c r="D840" s="591"/>
      <c r="E840" s="592"/>
      <c r="F840" s="593"/>
      <c r="G840" s="640"/>
      <c r="H840" s="640"/>
      <c r="I840" s="640"/>
      <c r="J840" s="654"/>
      <c r="K840" s="654"/>
      <c r="L840" s="195" t="s">
        <v>795</v>
      </c>
      <c r="M840" s="285">
        <v>39</v>
      </c>
      <c r="N840" s="129">
        <v>0</v>
      </c>
      <c r="O840" s="129">
        <v>0</v>
      </c>
      <c r="P840" s="471"/>
      <c r="Q840" s="471"/>
      <c r="R840" s="474"/>
      <c r="S840" s="652"/>
      <c r="T840" s="474"/>
      <c r="U840" s="474"/>
    </row>
    <row r="841" spans="1:21" s="10" customFormat="1" ht="35.1" customHeight="1">
      <c r="A841" s="1462"/>
      <c r="B841" s="1103"/>
      <c r="C841" s="640"/>
      <c r="D841" s="591"/>
      <c r="E841" s="592"/>
      <c r="F841" s="593"/>
      <c r="G841" s="640"/>
      <c r="H841" s="640"/>
      <c r="I841" s="640"/>
      <c r="J841" s="654"/>
      <c r="K841" s="654"/>
      <c r="L841" s="195" t="s">
        <v>796</v>
      </c>
      <c r="M841" s="285">
        <v>23</v>
      </c>
      <c r="N841" s="129">
        <v>0</v>
      </c>
      <c r="O841" s="129">
        <v>0</v>
      </c>
      <c r="P841" s="471"/>
      <c r="Q841" s="471"/>
      <c r="R841" s="474"/>
      <c r="S841" s="652"/>
      <c r="T841" s="474"/>
      <c r="U841" s="474"/>
    </row>
    <row r="842" spans="1:21" s="10" customFormat="1" ht="35.1" customHeight="1">
      <c r="A842" s="1462"/>
      <c r="B842" s="1103"/>
      <c r="C842" s="640"/>
      <c r="D842" s="591"/>
      <c r="E842" s="592"/>
      <c r="F842" s="593"/>
      <c r="G842" s="640"/>
      <c r="H842" s="640"/>
      <c r="I842" s="640"/>
      <c r="J842" s="654"/>
      <c r="K842" s="654"/>
      <c r="L842" s="195" t="s">
        <v>797</v>
      </c>
      <c r="M842" s="285">
        <v>98</v>
      </c>
      <c r="N842" s="129">
        <v>10</v>
      </c>
      <c r="O842" s="129">
        <v>0</v>
      </c>
      <c r="P842" s="471"/>
      <c r="Q842" s="471"/>
      <c r="R842" s="474"/>
      <c r="S842" s="652"/>
      <c r="T842" s="474"/>
      <c r="U842" s="474"/>
    </row>
    <row r="843" spans="1:21" s="10" customFormat="1" ht="35.1" customHeight="1">
      <c r="A843" s="1462"/>
      <c r="B843" s="1103"/>
      <c r="C843" s="640"/>
      <c r="D843" s="591"/>
      <c r="E843" s="592"/>
      <c r="F843" s="593"/>
      <c r="G843" s="641"/>
      <c r="H843" s="641"/>
      <c r="I843" s="641"/>
      <c r="J843" s="655"/>
      <c r="K843" s="655"/>
      <c r="L843" s="196" t="s">
        <v>798</v>
      </c>
      <c r="M843" s="285">
        <v>100</v>
      </c>
      <c r="N843" s="129">
        <v>1</v>
      </c>
      <c r="O843" s="129">
        <v>0</v>
      </c>
      <c r="P843" s="471"/>
      <c r="Q843" s="471"/>
      <c r="R843" s="474"/>
      <c r="S843" s="652"/>
      <c r="T843" s="474"/>
      <c r="U843" s="474"/>
    </row>
    <row r="844" spans="1:21" s="10" customFormat="1" ht="35.1" customHeight="1">
      <c r="A844" s="1462"/>
      <c r="B844" s="1103"/>
      <c r="C844" s="641"/>
      <c r="D844" s="594"/>
      <c r="E844" s="595"/>
      <c r="F844" s="596"/>
      <c r="G844" s="1019" t="s">
        <v>329</v>
      </c>
      <c r="H844" s="1020"/>
      <c r="I844" s="1020"/>
      <c r="J844" s="1020"/>
      <c r="K844" s="1020"/>
      <c r="L844" s="345"/>
      <c r="M844" s="232">
        <f>SUM(M837:M843)</f>
        <v>720</v>
      </c>
      <c r="N844" s="246">
        <f>SUM(N837:N843)</f>
        <v>11</v>
      </c>
      <c r="O844" s="246">
        <f>SUM(O837:O843)</f>
        <v>0</v>
      </c>
      <c r="P844" s="472"/>
      <c r="Q844" s="472"/>
      <c r="R844" s="475"/>
      <c r="S844" s="868"/>
      <c r="T844" s="475"/>
      <c r="U844" s="475"/>
    </row>
    <row r="845" spans="1:21" s="10" customFormat="1" ht="35.1" customHeight="1">
      <c r="A845" s="1462"/>
      <c r="B845" s="1103"/>
      <c r="C845" s="639" t="s">
        <v>481</v>
      </c>
      <c r="D845" s="588" t="s">
        <v>482</v>
      </c>
      <c r="E845" s="589"/>
      <c r="F845" s="590"/>
      <c r="G845" s="639" t="s">
        <v>483</v>
      </c>
      <c r="H845" s="639" t="s">
        <v>484</v>
      </c>
      <c r="I845" s="639" t="s">
        <v>485</v>
      </c>
      <c r="J845" s="653" t="s">
        <v>11</v>
      </c>
      <c r="K845" s="653" t="s">
        <v>12</v>
      </c>
      <c r="L845" s="197">
        <v>63.9602</v>
      </c>
      <c r="M845" s="281">
        <v>79</v>
      </c>
      <c r="N845" s="132">
        <v>0</v>
      </c>
      <c r="O845" s="132">
        <v>0</v>
      </c>
      <c r="P845" s="1022" t="s">
        <v>410</v>
      </c>
      <c r="Q845" s="1022" t="s">
        <v>457</v>
      </c>
      <c r="R845" s="467" t="s">
        <v>469</v>
      </c>
      <c r="S845" s="602" t="s">
        <v>188</v>
      </c>
      <c r="T845" s="467" t="s">
        <v>486</v>
      </c>
      <c r="U845" s="467" t="s">
        <v>11</v>
      </c>
    </row>
    <row r="846" spans="1:21" s="10" customFormat="1" ht="35.1" customHeight="1">
      <c r="A846" s="1462"/>
      <c r="B846" s="1103"/>
      <c r="C846" s="640"/>
      <c r="D846" s="591"/>
      <c r="E846" s="592"/>
      <c r="F846" s="593"/>
      <c r="G846" s="640"/>
      <c r="H846" s="640"/>
      <c r="I846" s="640"/>
      <c r="J846" s="654"/>
      <c r="K846" s="654"/>
      <c r="L846" s="197" t="s">
        <v>487</v>
      </c>
      <c r="M846" s="281">
        <v>32</v>
      </c>
      <c r="N846" s="129">
        <v>1</v>
      </c>
      <c r="O846" s="129">
        <v>1</v>
      </c>
      <c r="P846" s="1023"/>
      <c r="Q846" s="1023"/>
      <c r="R846" s="468"/>
      <c r="S846" s="603"/>
      <c r="T846" s="468"/>
      <c r="U846" s="468"/>
    </row>
    <row r="847" spans="1:21" s="10" customFormat="1" ht="35.1" customHeight="1">
      <c r="A847" s="1462"/>
      <c r="B847" s="1103"/>
      <c r="C847" s="640"/>
      <c r="D847" s="591"/>
      <c r="E847" s="592"/>
      <c r="F847" s="593"/>
      <c r="G847" s="640"/>
      <c r="H847" s="640"/>
      <c r="I847" s="640"/>
      <c r="J847" s="654"/>
      <c r="K847" s="654"/>
      <c r="L847" s="197" t="s">
        <v>488</v>
      </c>
      <c r="M847" s="281">
        <v>117</v>
      </c>
      <c r="N847" s="129">
        <v>2</v>
      </c>
      <c r="O847" s="129">
        <v>2</v>
      </c>
      <c r="P847" s="1023"/>
      <c r="Q847" s="1023"/>
      <c r="R847" s="468"/>
      <c r="S847" s="603"/>
      <c r="T847" s="468"/>
      <c r="U847" s="468"/>
    </row>
    <row r="848" spans="1:21" s="10" customFormat="1" ht="35.1" customHeight="1">
      <c r="A848" s="1462"/>
      <c r="B848" s="1103"/>
      <c r="C848" s="640"/>
      <c r="D848" s="591"/>
      <c r="E848" s="592"/>
      <c r="F848" s="593"/>
      <c r="G848" s="640"/>
      <c r="H848" s="640"/>
      <c r="I848" s="640"/>
      <c r="J848" s="654"/>
      <c r="K848" s="654"/>
      <c r="L848" s="197" t="s">
        <v>489</v>
      </c>
      <c r="M848" s="281">
        <v>522</v>
      </c>
      <c r="N848" s="129">
        <v>15</v>
      </c>
      <c r="O848" s="129">
        <v>13</v>
      </c>
      <c r="P848" s="1023"/>
      <c r="Q848" s="1023"/>
      <c r="R848" s="468"/>
      <c r="S848" s="603"/>
      <c r="T848" s="468"/>
      <c r="U848" s="468"/>
    </row>
    <row r="849" spans="1:21" s="10" customFormat="1" ht="35.1" customHeight="1">
      <c r="A849" s="1462"/>
      <c r="B849" s="1103"/>
      <c r="C849" s="640"/>
      <c r="D849" s="591"/>
      <c r="E849" s="592"/>
      <c r="F849" s="593"/>
      <c r="G849" s="640"/>
      <c r="H849" s="640"/>
      <c r="I849" s="640"/>
      <c r="J849" s="654"/>
      <c r="K849" s="654"/>
      <c r="L849" s="197" t="s">
        <v>490</v>
      </c>
      <c r="M849" s="281">
        <v>386</v>
      </c>
      <c r="N849" s="129">
        <v>19</v>
      </c>
      <c r="O849" s="129">
        <v>16</v>
      </c>
      <c r="P849" s="1023"/>
      <c r="Q849" s="1023"/>
      <c r="R849" s="468"/>
      <c r="S849" s="603"/>
      <c r="T849" s="468"/>
      <c r="U849" s="468"/>
    </row>
    <row r="850" spans="1:21" s="10" customFormat="1" ht="35.1" customHeight="1">
      <c r="A850" s="1462"/>
      <c r="B850" s="1103"/>
      <c r="C850" s="640"/>
      <c r="D850" s="591"/>
      <c r="E850" s="592"/>
      <c r="F850" s="593"/>
      <c r="G850" s="641"/>
      <c r="H850" s="641"/>
      <c r="I850" s="641"/>
      <c r="J850" s="655"/>
      <c r="K850" s="655"/>
      <c r="L850" s="197">
        <v>105.98520000000001</v>
      </c>
      <c r="M850" s="281">
        <v>161</v>
      </c>
      <c r="N850" s="129">
        <v>2</v>
      </c>
      <c r="O850" s="129">
        <v>2</v>
      </c>
      <c r="P850" s="1023"/>
      <c r="Q850" s="1023"/>
      <c r="R850" s="468"/>
      <c r="S850" s="603"/>
      <c r="T850" s="468"/>
      <c r="U850" s="468"/>
    </row>
    <row r="851" spans="1:21" s="10" customFormat="1" ht="35.1" customHeight="1">
      <c r="A851" s="1462"/>
      <c r="B851" s="1103"/>
      <c r="C851" s="641"/>
      <c r="D851" s="594"/>
      <c r="E851" s="595"/>
      <c r="F851" s="596"/>
      <c r="G851" s="1019" t="s">
        <v>329</v>
      </c>
      <c r="H851" s="1020"/>
      <c r="I851" s="1020"/>
      <c r="J851" s="1020"/>
      <c r="K851" s="1021"/>
      <c r="L851" s="145"/>
      <c r="M851" s="249">
        <f>SUM(M845:M850)</f>
        <v>1297</v>
      </c>
      <c r="N851" s="246">
        <f>SUM(N845:N850)</f>
        <v>39</v>
      </c>
      <c r="O851" s="246">
        <f>SUM(O845:O850)</f>
        <v>34</v>
      </c>
      <c r="P851" s="1024"/>
      <c r="Q851" s="1024"/>
      <c r="R851" s="469"/>
      <c r="S851" s="604"/>
      <c r="T851" s="469"/>
      <c r="U851" s="469"/>
    </row>
    <row r="852" spans="1:21" s="10" customFormat="1" ht="35.1" customHeight="1">
      <c r="A852" s="1462"/>
      <c r="B852" s="1103"/>
      <c r="C852" s="639" t="s">
        <v>54</v>
      </c>
      <c r="D852" s="588" t="s">
        <v>642</v>
      </c>
      <c r="E852" s="589"/>
      <c r="F852" s="590"/>
      <c r="G852" s="1160" t="s">
        <v>54</v>
      </c>
      <c r="H852" s="1160" t="s">
        <v>54</v>
      </c>
      <c r="I852" s="1160" t="s">
        <v>54</v>
      </c>
      <c r="J852" s="1160" t="s">
        <v>54</v>
      </c>
      <c r="K852" s="1160" t="s">
        <v>12</v>
      </c>
      <c r="L852" s="170" t="s">
        <v>874</v>
      </c>
      <c r="M852" s="221">
        <v>94</v>
      </c>
      <c r="N852" s="129">
        <v>2</v>
      </c>
      <c r="O852" s="129">
        <v>0</v>
      </c>
      <c r="P852" s="470" t="s">
        <v>54</v>
      </c>
      <c r="Q852" s="473" t="s">
        <v>54</v>
      </c>
      <c r="R852" s="473" t="s">
        <v>54</v>
      </c>
      <c r="S852" s="473" t="s">
        <v>54</v>
      </c>
      <c r="T852" s="473" t="s">
        <v>54</v>
      </c>
      <c r="U852" s="473" t="s">
        <v>54</v>
      </c>
    </row>
    <row r="853" spans="1:21" s="10" customFormat="1" ht="35.1" customHeight="1">
      <c r="A853" s="1462"/>
      <c r="B853" s="1103"/>
      <c r="C853" s="640"/>
      <c r="D853" s="591"/>
      <c r="E853" s="592"/>
      <c r="F853" s="593"/>
      <c r="G853" s="1161"/>
      <c r="H853" s="1161"/>
      <c r="I853" s="1161"/>
      <c r="J853" s="1161"/>
      <c r="K853" s="1161"/>
      <c r="L853" s="170" t="s">
        <v>875</v>
      </c>
      <c r="M853" s="221">
        <v>49</v>
      </c>
      <c r="N853" s="129">
        <v>3</v>
      </c>
      <c r="O853" s="129">
        <v>0</v>
      </c>
      <c r="P853" s="471"/>
      <c r="Q853" s="474"/>
      <c r="R853" s="474"/>
      <c r="S853" s="474"/>
      <c r="T853" s="474"/>
      <c r="U853" s="474"/>
    </row>
    <row r="854" spans="1:21" s="10" customFormat="1" ht="35.1" customHeight="1">
      <c r="A854" s="1462"/>
      <c r="B854" s="1103"/>
      <c r="C854" s="640"/>
      <c r="D854" s="591"/>
      <c r="E854" s="592"/>
      <c r="F854" s="593"/>
      <c r="G854" s="1161"/>
      <c r="H854" s="1161"/>
      <c r="I854" s="1161"/>
      <c r="J854" s="1161"/>
      <c r="K854" s="1161"/>
      <c r="L854" s="170" t="s">
        <v>876</v>
      </c>
      <c r="M854" s="221">
        <v>46</v>
      </c>
      <c r="N854" s="129">
        <v>3</v>
      </c>
      <c r="O854" s="129">
        <v>0</v>
      </c>
      <c r="P854" s="471"/>
      <c r="Q854" s="474"/>
      <c r="R854" s="474"/>
      <c r="S854" s="474"/>
      <c r="T854" s="474"/>
      <c r="U854" s="474"/>
    </row>
    <row r="855" spans="1:21" s="10" customFormat="1" ht="35.1" customHeight="1">
      <c r="A855" s="1462"/>
      <c r="B855" s="1103"/>
      <c r="C855" s="640"/>
      <c r="D855" s="591"/>
      <c r="E855" s="592"/>
      <c r="F855" s="593"/>
      <c r="G855" s="1161"/>
      <c r="H855" s="1161"/>
      <c r="I855" s="1161"/>
      <c r="J855" s="1161"/>
      <c r="K855" s="1161"/>
      <c r="L855" s="170" t="s">
        <v>877</v>
      </c>
      <c r="M855" s="221">
        <v>266</v>
      </c>
      <c r="N855" s="129">
        <v>65</v>
      </c>
      <c r="O855" s="129">
        <v>62</v>
      </c>
      <c r="P855" s="471"/>
      <c r="Q855" s="474"/>
      <c r="R855" s="474"/>
      <c r="S855" s="474"/>
      <c r="T855" s="474"/>
      <c r="U855" s="474"/>
    </row>
    <row r="856" spans="1:21" s="10" customFormat="1" ht="35.1" customHeight="1">
      <c r="A856" s="1462"/>
      <c r="B856" s="1103"/>
      <c r="C856" s="640"/>
      <c r="D856" s="591"/>
      <c r="E856" s="592"/>
      <c r="F856" s="593"/>
      <c r="G856" s="1161"/>
      <c r="H856" s="1161"/>
      <c r="I856" s="1161"/>
      <c r="J856" s="1161"/>
      <c r="K856" s="1161"/>
      <c r="L856" s="170" t="s">
        <v>878</v>
      </c>
      <c r="M856" s="221">
        <v>124</v>
      </c>
      <c r="N856" s="129">
        <v>47</v>
      </c>
      <c r="O856" s="129">
        <v>44</v>
      </c>
      <c r="P856" s="471"/>
      <c r="Q856" s="474"/>
      <c r="R856" s="474"/>
      <c r="S856" s="474"/>
      <c r="T856" s="474"/>
      <c r="U856" s="474"/>
    </row>
    <row r="857" spans="1:21" s="10" customFormat="1" ht="35.1" customHeight="1">
      <c r="A857" s="1462"/>
      <c r="B857" s="1103"/>
      <c r="C857" s="640"/>
      <c r="D857" s="591"/>
      <c r="E857" s="592"/>
      <c r="F857" s="593"/>
      <c r="G857" s="1162"/>
      <c r="H857" s="1162"/>
      <c r="I857" s="1162"/>
      <c r="J857" s="1162"/>
      <c r="K857" s="1162"/>
      <c r="L857" s="170" t="s">
        <v>879</v>
      </c>
      <c r="M857" s="221">
        <v>91</v>
      </c>
      <c r="N857" s="129">
        <v>26</v>
      </c>
      <c r="O857" s="129">
        <v>22</v>
      </c>
      <c r="P857" s="471"/>
      <c r="Q857" s="474"/>
      <c r="R857" s="474"/>
      <c r="S857" s="474"/>
      <c r="T857" s="474"/>
      <c r="U857" s="474"/>
    </row>
    <row r="858" spans="1:21" s="10" customFormat="1" ht="35.1" customHeight="1">
      <c r="A858" s="1462"/>
      <c r="B858" s="1103"/>
      <c r="C858" s="641"/>
      <c r="D858" s="594"/>
      <c r="E858" s="595"/>
      <c r="F858" s="596"/>
      <c r="G858" s="1019" t="s">
        <v>329</v>
      </c>
      <c r="H858" s="1020"/>
      <c r="I858" s="1020"/>
      <c r="J858" s="1020"/>
      <c r="K858" s="1020"/>
      <c r="L858" s="345"/>
      <c r="M858" s="249">
        <f>SUM(M852:M857)</f>
        <v>670</v>
      </c>
      <c r="N858" s="233">
        <f>SUM(N852:N857)</f>
        <v>146</v>
      </c>
      <c r="O858" s="233">
        <f>SUM(O852:O857)</f>
        <v>128</v>
      </c>
      <c r="P858" s="472"/>
      <c r="Q858" s="475"/>
      <c r="R858" s="475"/>
      <c r="S858" s="475"/>
      <c r="T858" s="475"/>
      <c r="U858" s="475"/>
    </row>
    <row r="859" spans="1:21" s="10" customFormat="1" ht="35.1" customHeight="1">
      <c r="A859" s="1462"/>
      <c r="B859" s="1103"/>
      <c r="C859" s="639" t="s">
        <v>54</v>
      </c>
      <c r="D859" s="588" t="s">
        <v>642</v>
      </c>
      <c r="E859" s="589"/>
      <c r="F859" s="590"/>
      <c r="G859" s="1160" t="s">
        <v>54</v>
      </c>
      <c r="H859" s="1160" t="s">
        <v>54</v>
      </c>
      <c r="I859" s="1160" t="s">
        <v>54</v>
      </c>
      <c r="J859" s="1160" t="s">
        <v>54</v>
      </c>
      <c r="K859" s="1160" t="s">
        <v>12</v>
      </c>
      <c r="L859" s="170" t="s">
        <v>874</v>
      </c>
      <c r="M859" s="221">
        <v>126</v>
      </c>
      <c r="N859" s="129">
        <v>0</v>
      </c>
      <c r="O859" s="129">
        <v>0</v>
      </c>
      <c r="P859" s="470" t="s">
        <v>54</v>
      </c>
      <c r="Q859" s="473" t="s">
        <v>54</v>
      </c>
      <c r="R859" s="473" t="s">
        <v>54</v>
      </c>
      <c r="S859" s="473" t="s">
        <v>54</v>
      </c>
      <c r="T859" s="473" t="s">
        <v>54</v>
      </c>
      <c r="U859" s="473" t="s">
        <v>54</v>
      </c>
    </row>
    <row r="860" spans="1:21" s="10" customFormat="1" ht="35.1" customHeight="1">
      <c r="A860" s="1462"/>
      <c r="B860" s="1103"/>
      <c r="C860" s="640"/>
      <c r="D860" s="591"/>
      <c r="E860" s="592"/>
      <c r="F860" s="593"/>
      <c r="G860" s="1161"/>
      <c r="H860" s="1161"/>
      <c r="I860" s="1161"/>
      <c r="J860" s="1161"/>
      <c r="K860" s="1161"/>
      <c r="L860" s="170" t="s">
        <v>875</v>
      </c>
      <c r="M860" s="221">
        <v>42</v>
      </c>
      <c r="N860" s="129">
        <v>0</v>
      </c>
      <c r="O860" s="129">
        <v>0</v>
      </c>
      <c r="P860" s="471"/>
      <c r="Q860" s="474"/>
      <c r="R860" s="474"/>
      <c r="S860" s="474"/>
      <c r="T860" s="474"/>
      <c r="U860" s="474"/>
    </row>
    <row r="861" spans="1:21" s="10" customFormat="1" ht="35.1" customHeight="1">
      <c r="A861" s="1462"/>
      <c r="B861" s="1103"/>
      <c r="C861" s="640"/>
      <c r="D861" s="591"/>
      <c r="E861" s="592"/>
      <c r="F861" s="593"/>
      <c r="G861" s="1161"/>
      <c r="H861" s="1161"/>
      <c r="I861" s="1161"/>
      <c r="J861" s="1161"/>
      <c r="K861" s="1161"/>
      <c r="L861" s="170" t="s">
        <v>876</v>
      </c>
      <c r="M861" s="221">
        <v>51</v>
      </c>
      <c r="N861" s="129">
        <v>0</v>
      </c>
      <c r="O861" s="129">
        <v>0</v>
      </c>
      <c r="P861" s="471"/>
      <c r="Q861" s="474"/>
      <c r="R861" s="474"/>
      <c r="S861" s="474"/>
      <c r="T861" s="474"/>
      <c r="U861" s="474"/>
    </row>
    <row r="862" spans="1:21" s="10" customFormat="1" ht="35.1" customHeight="1">
      <c r="A862" s="1462"/>
      <c r="B862" s="1103"/>
      <c r="C862" s="640"/>
      <c r="D862" s="591"/>
      <c r="E862" s="592"/>
      <c r="F862" s="593"/>
      <c r="G862" s="1161"/>
      <c r="H862" s="1161"/>
      <c r="I862" s="1161"/>
      <c r="J862" s="1161"/>
      <c r="K862" s="1161"/>
      <c r="L862" s="170" t="s">
        <v>877</v>
      </c>
      <c r="M862" s="221">
        <v>335</v>
      </c>
      <c r="N862" s="129">
        <v>14</v>
      </c>
      <c r="O862" s="129">
        <v>12</v>
      </c>
      <c r="P862" s="471"/>
      <c r="Q862" s="474"/>
      <c r="R862" s="474"/>
      <c r="S862" s="474"/>
      <c r="T862" s="474"/>
      <c r="U862" s="474"/>
    </row>
    <row r="863" spans="1:21" s="10" customFormat="1" ht="35.1" customHeight="1">
      <c r="A863" s="1462"/>
      <c r="B863" s="1103"/>
      <c r="C863" s="640"/>
      <c r="D863" s="591"/>
      <c r="E863" s="592"/>
      <c r="F863" s="593"/>
      <c r="G863" s="1161"/>
      <c r="H863" s="1161"/>
      <c r="I863" s="1161"/>
      <c r="J863" s="1161"/>
      <c r="K863" s="1161"/>
      <c r="L863" s="170" t="s">
        <v>878</v>
      </c>
      <c r="M863" s="221">
        <v>85</v>
      </c>
      <c r="N863" s="129">
        <v>9</v>
      </c>
      <c r="O863" s="129">
        <v>4</v>
      </c>
      <c r="P863" s="471"/>
      <c r="Q863" s="474"/>
      <c r="R863" s="474"/>
      <c r="S863" s="474"/>
      <c r="T863" s="474"/>
      <c r="U863" s="474"/>
    </row>
    <row r="864" spans="1:21" s="10" customFormat="1" ht="35.1" customHeight="1">
      <c r="A864" s="1462"/>
      <c r="B864" s="1103"/>
      <c r="C864" s="640"/>
      <c r="D864" s="591"/>
      <c r="E864" s="592"/>
      <c r="F864" s="593"/>
      <c r="G864" s="1162"/>
      <c r="H864" s="1162"/>
      <c r="I864" s="1162"/>
      <c r="J864" s="1162"/>
      <c r="K864" s="1162"/>
      <c r="L864" s="170" t="s">
        <v>879</v>
      </c>
      <c r="M864" s="221">
        <v>25</v>
      </c>
      <c r="N864" s="129">
        <v>2</v>
      </c>
      <c r="O864" s="129">
        <v>1</v>
      </c>
      <c r="P864" s="471"/>
      <c r="Q864" s="474"/>
      <c r="R864" s="474"/>
      <c r="S864" s="474"/>
      <c r="T864" s="474"/>
      <c r="U864" s="474"/>
    </row>
    <row r="865" spans="1:21" s="10" customFormat="1" ht="35.1" customHeight="1">
      <c r="A865" s="1462"/>
      <c r="B865" s="1103"/>
      <c r="C865" s="641"/>
      <c r="D865" s="594"/>
      <c r="E865" s="595"/>
      <c r="F865" s="596"/>
      <c r="G865" s="1019" t="s">
        <v>329</v>
      </c>
      <c r="H865" s="1020"/>
      <c r="I865" s="1020"/>
      <c r="J865" s="1020"/>
      <c r="K865" s="1020"/>
      <c r="L865" s="345"/>
      <c r="M865" s="249">
        <f>SUM(M859:M864)</f>
        <v>664</v>
      </c>
      <c r="N865" s="233">
        <f>SUM(N859:N864)</f>
        <v>25</v>
      </c>
      <c r="O865" s="233">
        <f>SUM(O859:O864)</f>
        <v>17</v>
      </c>
      <c r="P865" s="472"/>
      <c r="Q865" s="475"/>
      <c r="R865" s="475"/>
      <c r="S865" s="475"/>
      <c r="T865" s="475"/>
      <c r="U865" s="475"/>
    </row>
    <row r="866" spans="1:21" s="10" customFormat="1" ht="35.1" customHeight="1">
      <c r="A866" s="1462"/>
      <c r="B866" s="1103"/>
      <c r="C866" s="1188" t="s">
        <v>932</v>
      </c>
      <c r="D866" s="588" t="s">
        <v>642</v>
      </c>
      <c r="E866" s="589"/>
      <c r="F866" s="590"/>
      <c r="G866" s="1160" t="s">
        <v>54</v>
      </c>
      <c r="H866" s="1160" t="s">
        <v>54</v>
      </c>
      <c r="I866" s="1160" t="s">
        <v>54</v>
      </c>
      <c r="J866" s="1160" t="s">
        <v>54</v>
      </c>
      <c r="K866" s="1160" t="s">
        <v>12</v>
      </c>
      <c r="L866" s="170" t="s">
        <v>880</v>
      </c>
      <c r="M866" s="221">
        <v>40</v>
      </c>
      <c r="N866" s="129">
        <v>0</v>
      </c>
      <c r="O866" s="129">
        <v>0</v>
      </c>
      <c r="P866" s="470" t="s">
        <v>54</v>
      </c>
      <c r="Q866" s="473" t="s">
        <v>54</v>
      </c>
      <c r="R866" s="473" t="s">
        <v>54</v>
      </c>
      <c r="S866" s="473" t="s">
        <v>54</v>
      </c>
      <c r="T866" s="473" t="s">
        <v>54</v>
      </c>
      <c r="U866" s="473" t="s">
        <v>54</v>
      </c>
    </row>
    <row r="867" spans="1:21" s="10" customFormat="1" ht="35.1" customHeight="1">
      <c r="A867" s="1462"/>
      <c r="B867" s="1103"/>
      <c r="C867" s="1189"/>
      <c r="D867" s="591"/>
      <c r="E867" s="592"/>
      <c r="F867" s="593"/>
      <c r="G867" s="1161"/>
      <c r="H867" s="1161"/>
      <c r="I867" s="1161"/>
      <c r="J867" s="1161"/>
      <c r="K867" s="1161"/>
      <c r="L867" s="170" t="s">
        <v>881</v>
      </c>
      <c r="M867" s="221">
        <v>20</v>
      </c>
      <c r="N867" s="129">
        <v>0</v>
      </c>
      <c r="O867" s="129">
        <v>0</v>
      </c>
      <c r="P867" s="471"/>
      <c r="Q867" s="474"/>
      <c r="R867" s="474"/>
      <c r="S867" s="474"/>
      <c r="T867" s="474"/>
      <c r="U867" s="474"/>
    </row>
    <row r="868" spans="1:21" s="10" customFormat="1" ht="35.1" customHeight="1">
      <c r="A868" s="1462"/>
      <c r="B868" s="1103"/>
      <c r="C868" s="1189"/>
      <c r="D868" s="591"/>
      <c r="E868" s="592"/>
      <c r="F868" s="593"/>
      <c r="G868" s="1161"/>
      <c r="H868" s="1161"/>
      <c r="I868" s="1161"/>
      <c r="J868" s="1161"/>
      <c r="K868" s="1161"/>
      <c r="L868" s="170" t="s">
        <v>882</v>
      </c>
      <c r="M868" s="221">
        <v>20</v>
      </c>
      <c r="N868" s="129">
        <v>0</v>
      </c>
      <c r="O868" s="129">
        <v>0</v>
      </c>
      <c r="P868" s="471"/>
      <c r="Q868" s="474"/>
      <c r="R868" s="474"/>
      <c r="S868" s="474"/>
      <c r="T868" s="474"/>
      <c r="U868" s="474"/>
    </row>
    <row r="869" spans="1:21" s="10" customFormat="1" ht="35.1" customHeight="1">
      <c r="A869" s="1462"/>
      <c r="B869" s="1103"/>
      <c r="C869" s="1189"/>
      <c r="D869" s="591"/>
      <c r="E869" s="592"/>
      <c r="F869" s="593"/>
      <c r="G869" s="1161"/>
      <c r="H869" s="1161"/>
      <c r="I869" s="1161"/>
      <c r="J869" s="1161"/>
      <c r="K869" s="1161"/>
      <c r="L869" s="170" t="s">
        <v>874</v>
      </c>
      <c r="M869" s="221">
        <v>80</v>
      </c>
      <c r="N869" s="129">
        <v>0</v>
      </c>
      <c r="O869" s="129">
        <v>0</v>
      </c>
      <c r="P869" s="471"/>
      <c r="Q869" s="474"/>
      <c r="R869" s="474"/>
      <c r="S869" s="474"/>
      <c r="T869" s="474"/>
      <c r="U869" s="474"/>
    </row>
    <row r="870" spans="1:21" s="10" customFormat="1" ht="35.1" customHeight="1">
      <c r="A870" s="1462"/>
      <c r="B870" s="1103"/>
      <c r="C870" s="1189"/>
      <c r="D870" s="591"/>
      <c r="E870" s="592"/>
      <c r="F870" s="593"/>
      <c r="G870" s="1161"/>
      <c r="H870" s="1161"/>
      <c r="I870" s="1161"/>
      <c r="J870" s="1161"/>
      <c r="K870" s="1161"/>
      <c r="L870" s="170" t="s">
        <v>875</v>
      </c>
      <c r="M870" s="221">
        <v>41</v>
      </c>
      <c r="N870" s="129">
        <v>2</v>
      </c>
      <c r="O870" s="129">
        <v>1</v>
      </c>
      <c r="P870" s="471"/>
      <c r="Q870" s="474"/>
      <c r="R870" s="474"/>
      <c r="S870" s="474"/>
      <c r="T870" s="474"/>
      <c r="U870" s="474"/>
    </row>
    <row r="871" spans="1:21" s="10" customFormat="1" ht="35.1" customHeight="1">
      <c r="A871" s="1462"/>
      <c r="B871" s="1103"/>
      <c r="C871" s="1189"/>
      <c r="D871" s="591"/>
      <c r="E871" s="592"/>
      <c r="F871" s="593"/>
      <c r="G871" s="1162"/>
      <c r="H871" s="1162"/>
      <c r="I871" s="1162"/>
      <c r="J871" s="1162"/>
      <c r="K871" s="1162"/>
      <c r="L871" s="170" t="s">
        <v>876</v>
      </c>
      <c r="M871" s="221">
        <v>38</v>
      </c>
      <c r="N871" s="129">
        <v>0</v>
      </c>
      <c r="O871" s="129">
        <v>0</v>
      </c>
      <c r="P871" s="471"/>
      <c r="Q871" s="474"/>
      <c r="R871" s="474"/>
      <c r="S871" s="474"/>
      <c r="T871" s="474"/>
      <c r="U871" s="474"/>
    </row>
    <row r="872" spans="1:21" s="10" customFormat="1" ht="35.1" customHeight="1">
      <c r="A872" s="1462"/>
      <c r="B872" s="1103"/>
      <c r="C872" s="1190"/>
      <c r="D872" s="594"/>
      <c r="E872" s="595"/>
      <c r="F872" s="596"/>
      <c r="G872" s="1019" t="s">
        <v>329</v>
      </c>
      <c r="H872" s="1020"/>
      <c r="I872" s="1020"/>
      <c r="J872" s="1020"/>
      <c r="K872" s="1020"/>
      <c r="L872" s="345"/>
      <c r="M872" s="249">
        <f>SUM(M866:M871)</f>
        <v>239</v>
      </c>
      <c r="N872" s="233">
        <f>SUM(N866:N871)</f>
        <v>2</v>
      </c>
      <c r="O872" s="233">
        <f>SUM(O866:O871)</f>
        <v>1</v>
      </c>
      <c r="P872" s="472"/>
      <c r="Q872" s="475"/>
      <c r="R872" s="475"/>
      <c r="S872" s="475"/>
      <c r="T872" s="475"/>
      <c r="U872" s="475"/>
    </row>
    <row r="873" spans="1:21" s="10" customFormat="1" ht="35.1" customHeight="1">
      <c r="A873" s="1462"/>
      <c r="B873" s="1103"/>
      <c r="C873" s="639" t="s">
        <v>943</v>
      </c>
      <c r="D873" s="588" t="s">
        <v>726</v>
      </c>
      <c r="E873" s="589"/>
      <c r="F873" s="590"/>
      <c r="G873" s="798" t="s">
        <v>54</v>
      </c>
      <c r="H873" s="798" t="s">
        <v>54</v>
      </c>
      <c r="I873" s="798" t="s">
        <v>54</v>
      </c>
      <c r="J873" s="798" t="s">
        <v>54</v>
      </c>
      <c r="K873" s="798" t="s">
        <v>12</v>
      </c>
      <c r="L873" s="319" t="s">
        <v>924</v>
      </c>
      <c r="M873" s="221">
        <v>197</v>
      </c>
      <c r="N873" s="221">
        <v>180</v>
      </c>
      <c r="O873" s="221">
        <v>180</v>
      </c>
      <c r="P873" s="470" t="s">
        <v>189</v>
      </c>
      <c r="Q873" s="473" t="s">
        <v>189</v>
      </c>
      <c r="R873" s="473" t="s">
        <v>189</v>
      </c>
      <c r="S873" s="473" t="s">
        <v>189</v>
      </c>
      <c r="T873" s="473" t="s">
        <v>189</v>
      </c>
      <c r="U873" s="473" t="s">
        <v>189</v>
      </c>
    </row>
    <row r="874" spans="1:21" s="10" customFormat="1" ht="35.1" customHeight="1">
      <c r="A874" s="1462"/>
      <c r="B874" s="1103"/>
      <c r="C874" s="640"/>
      <c r="D874" s="591"/>
      <c r="E874" s="592"/>
      <c r="F874" s="593"/>
      <c r="G874" s="799"/>
      <c r="H874" s="799"/>
      <c r="I874" s="799"/>
      <c r="J874" s="799"/>
      <c r="K874" s="799"/>
      <c r="L874" s="320" t="s">
        <v>925</v>
      </c>
      <c r="M874" s="221">
        <v>118</v>
      </c>
      <c r="N874" s="221">
        <v>118</v>
      </c>
      <c r="O874" s="221">
        <v>118</v>
      </c>
      <c r="P874" s="471"/>
      <c r="Q874" s="474"/>
      <c r="R874" s="474"/>
      <c r="S874" s="474"/>
      <c r="T874" s="474"/>
      <c r="U874" s="474"/>
    </row>
    <row r="875" spans="1:21" s="10" customFormat="1" ht="35.1" customHeight="1">
      <c r="A875" s="1462"/>
      <c r="B875" s="1103"/>
      <c r="C875" s="640"/>
      <c r="D875" s="591"/>
      <c r="E875" s="592"/>
      <c r="F875" s="593"/>
      <c r="G875" s="799"/>
      <c r="H875" s="799"/>
      <c r="I875" s="799"/>
      <c r="J875" s="799"/>
      <c r="K875" s="799"/>
      <c r="L875" s="320" t="s">
        <v>926</v>
      </c>
      <c r="M875" s="221">
        <v>212</v>
      </c>
      <c r="N875" s="221">
        <v>206</v>
      </c>
      <c r="O875" s="221">
        <v>206</v>
      </c>
      <c r="P875" s="471"/>
      <c r="Q875" s="474"/>
      <c r="R875" s="474"/>
      <c r="S875" s="474"/>
      <c r="T875" s="474"/>
      <c r="U875" s="474"/>
    </row>
    <row r="876" spans="1:21" s="10" customFormat="1" ht="35.1" customHeight="1">
      <c r="A876" s="1462"/>
      <c r="B876" s="1103"/>
      <c r="C876" s="640"/>
      <c r="D876" s="591"/>
      <c r="E876" s="592"/>
      <c r="F876" s="593"/>
      <c r="G876" s="799"/>
      <c r="H876" s="799"/>
      <c r="I876" s="799"/>
      <c r="J876" s="799"/>
      <c r="K876" s="799"/>
      <c r="L876" s="320" t="s">
        <v>927</v>
      </c>
      <c r="M876" s="221">
        <v>63</v>
      </c>
      <c r="N876" s="221">
        <v>63</v>
      </c>
      <c r="O876" s="221">
        <v>63</v>
      </c>
      <c r="P876" s="471"/>
      <c r="Q876" s="474"/>
      <c r="R876" s="474"/>
      <c r="S876" s="474"/>
      <c r="T876" s="474"/>
      <c r="U876" s="474"/>
    </row>
    <row r="877" spans="1:21" s="10" customFormat="1" ht="35.1" customHeight="1">
      <c r="A877" s="1462"/>
      <c r="B877" s="1103"/>
      <c r="C877" s="640"/>
      <c r="D877" s="591"/>
      <c r="E877" s="592"/>
      <c r="F877" s="593"/>
      <c r="G877" s="799"/>
      <c r="H877" s="799"/>
      <c r="I877" s="799"/>
      <c r="J877" s="799"/>
      <c r="K877" s="799"/>
      <c r="L877" s="320" t="s">
        <v>928</v>
      </c>
      <c r="M877" s="221">
        <v>10</v>
      </c>
      <c r="N877" s="221">
        <v>10</v>
      </c>
      <c r="O877" s="221">
        <v>10</v>
      </c>
      <c r="P877" s="471"/>
      <c r="Q877" s="474"/>
      <c r="R877" s="474"/>
      <c r="S877" s="474"/>
      <c r="T877" s="474"/>
      <c r="U877" s="474"/>
    </row>
    <row r="878" spans="1:21" s="10" customFormat="1" ht="35.1" customHeight="1">
      <c r="A878" s="1462"/>
      <c r="B878" s="1103"/>
      <c r="C878" s="640"/>
      <c r="D878" s="591"/>
      <c r="E878" s="592"/>
      <c r="F878" s="593"/>
      <c r="G878" s="799"/>
      <c r="H878" s="799"/>
      <c r="I878" s="799"/>
      <c r="J878" s="799"/>
      <c r="K878" s="799"/>
      <c r="L878" s="320" t="s">
        <v>929</v>
      </c>
      <c r="M878" s="221">
        <v>3</v>
      </c>
      <c r="N878" s="221">
        <v>3</v>
      </c>
      <c r="O878" s="221">
        <v>3</v>
      </c>
      <c r="P878" s="471"/>
      <c r="Q878" s="474"/>
      <c r="R878" s="474"/>
      <c r="S878" s="474"/>
      <c r="T878" s="474"/>
      <c r="U878" s="474"/>
    </row>
    <row r="879" spans="1:21" s="10" customFormat="1" ht="35.1" customHeight="1">
      <c r="A879" s="1462"/>
      <c r="B879" s="1103"/>
      <c r="C879" s="640"/>
      <c r="D879" s="591"/>
      <c r="E879" s="592"/>
      <c r="F879" s="593"/>
      <c r="G879" s="799"/>
      <c r="H879" s="799"/>
      <c r="I879" s="799"/>
      <c r="J879" s="799"/>
      <c r="K879" s="799"/>
      <c r="L879" s="320" t="s">
        <v>930</v>
      </c>
      <c r="M879" s="221">
        <v>7</v>
      </c>
      <c r="N879" s="221">
        <v>7</v>
      </c>
      <c r="O879" s="221">
        <v>7</v>
      </c>
      <c r="P879" s="471"/>
      <c r="Q879" s="474"/>
      <c r="R879" s="474"/>
      <c r="S879" s="474"/>
      <c r="T879" s="474"/>
      <c r="U879" s="474"/>
    </row>
    <row r="880" spans="1:21" s="10" customFormat="1" ht="35.1" customHeight="1">
      <c r="A880" s="1462"/>
      <c r="B880" s="1103"/>
      <c r="C880" s="640"/>
      <c r="D880" s="591"/>
      <c r="E880" s="592"/>
      <c r="F880" s="593"/>
      <c r="G880" s="800"/>
      <c r="H880" s="800"/>
      <c r="I880" s="800"/>
      <c r="J880" s="800"/>
      <c r="K880" s="800"/>
      <c r="L880" s="320" t="s">
        <v>931</v>
      </c>
      <c r="M880" s="221">
        <v>2</v>
      </c>
      <c r="N880" s="221">
        <v>2</v>
      </c>
      <c r="O880" s="221">
        <v>2</v>
      </c>
      <c r="P880" s="471"/>
      <c r="Q880" s="474"/>
      <c r="R880" s="474"/>
      <c r="S880" s="474"/>
      <c r="T880" s="474"/>
      <c r="U880" s="474"/>
    </row>
    <row r="881" spans="1:1892" s="10" customFormat="1" ht="35.1" customHeight="1">
      <c r="A881" s="1462"/>
      <c r="B881" s="1103"/>
      <c r="C881" s="641"/>
      <c r="D881" s="594"/>
      <c r="E881" s="595"/>
      <c r="F881" s="596"/>
      <c r="G881" s="1019" t="s">
        <v>329</v>
      </c>
      <c r="H881" s="1020"/>
      <c r="I881" s="1020"/>
      <c r="J881" s="1020"/>
      <c r="K881" s="1020"/>
      <c r="L881" s="316"/>
      <c r="M881" s="249">
        <f>SUM(M873:M880)</f>
        <v>612</v>
      </c>
      <c r="N881" s="249">
        <f>SUM(N873:N880)</f>
        <v>589</v>
      </c>
      <c r="O881" s="249">
        <f>SUM(O873:O880)</f>
        <v>589</v>
      </c>
      <c r="P881" s="472"/>
      <c r="Q881" s="475"/>
      <c r="R881" s="475"/>
      <c r="S881" s="475"/>
      <c r="T881" s="475"/>
      <c r="U881" s="475"/>
    </row>
    <row r="882" spans="1:1892" s="10" customFormat="1" ht="35.1" customHeight="1">
      <c r="A882" s="1462"/>
      <c r="B882" s="1103"/>
      <c r="C882" s="639"/>
      <c r="D882" s="588" t="s">
        <v>726</v>
      </c>
      <c r="E882" s="589"/>
      <c r="F882" s="590"/>
      <c r="G882" s="667" t="s">
        <v>54</v>
      </c>
      <c r="H882" s="667" t="s">
        <v>54</v>
      </c>
      <c r="I882" s="667" t="s">
        <v>54</v>
      </c>
      <c r="J882" s="667" t="s">
        <v>54</v>
      </c>
      <c r="K882" s="1160" t="s">
        <v>12</v>
      </c>
      <c r="L882" s="307" t="s">
        <v>908</v>
      </c>
      <c r="M882" s="119">
        <v>331</v>
      </c>
      <c r="N882" s="129">
        <v>0</v>
      </c>
      <c r="O882" s="129">
        <v>0</v>
      </c>
      <c r="P882" s="774" t="s">
        <v>54</v>
      </c>
      <c r="Q882" s="774" t="s">
        <v>54</v>
      </c>
      <c r="R882" s="774" t="s">
        <v>54</v>
      </c>
      <c r="S882" s="774" t="s">
        <v>54</v>
      </c>
      <c r="T882" s="774" t="s">
        <v>54</v>
      </c>
      <c r="U882" s="774" t="s">
        <v>54</v>
      </c>
    </row>
    <row r="883" spans="1:1892" s="10" customFormat="1" ht="35.1" customHeight="1">
      <c r="A883" s="1462"/>
      <c r="B883" s="1103"/>
      <c r="C883" s="640"/>
      <c r="D883" s="591"/>
      <c r="E883" s="592"/>
      <c r="F883" s="593"/>
      <c r="G883" s="668"/>
      <c r="H883" s="668"/>
      <c r="I883" s="668"/>
      <c r="J883" s="668"/>
      <c r="K883" s="1161"/>
      <c r="L883" s="307" t="s">
        <v>909</v>
      </c>
      <c r="M883" s="119">
        <v>183</v>
      </c>
      <c r="N883" s="129">
        <v>0</v>
      </c>
      <c r="O883" s="129">
        <v>0</v>
      </c>
      <c r="P883" s="775"/>
      <c r="Q883" s="775"/>
      <c r="R883" s="775"/>
      <c r="S883" s="775"/>
      <c r="T883" s="775"/>
      <c r="U883" s="775"/>
    </row>
    <row r="884" spans="1:1892" s="10" customFormat="1" ht="35.1" customHeight="1">
      <c r="A884" s="1462"/>
      <c r="B884" s="1103"/>
      <c r="C884" s="640"/>
      <c r="D884" s="591"/>
      <c r="E884" s="592"/>
      <c r="F884" s="593"/>
      <c r="G884" s="668"/>
      <c r="H884" s="668"/>
      <c r="I884" s="668"/>
      <c r="J884" s="668"/>
      <c r="K884" s="1161"/>
      <c r="L884" s="307" t="s">
        <v>910</v>
      </c>
      <c r="M884" s="119">
        <v>408</v>
      </c>
      <c r="N884" s="129">
        <v>0</v>
      </c>
      <c r="O884" s="129">
        <v>0</v>
      </c>
      <c r="P884" s="775"/>
      <c r="Q884" s="775"/>
      <c r="R884" s="775"/>
      <c r="S884" s="775"/>
      <c r="T884" s="775"/>
      <c r="U884" s="775"/>
    </row>
    <row r="885" spans="1:1892" s="10" customFormat="1" ht="35.1" customHeight="1">
      <c r="A885" s="1462"/>
      <c r="B885" s="1103"/>
      <c r="C885" s="640"/>
      <c r="D885" s="591"/>
      <c r="E885" s="592"/>
      <c r="F885" s="593"/>
      <c r="G885" s="668"/>
      <c r="H885" s="668"/>
      <c r="I885" s="668"/>
      <c r="J885" s="668"/>
      <c r="K885" s="1161"/>
      <c r="L885" s="307" t="s">
        <v>911</v>
      </c>
      <c r="M885" s="119">
        <v>28</v>
      </c>
      <c r="N885" s="129">
        <v>0</v>
      </c>
      <c r="O885" s="129">
        <v>0</v>
      </c>
      <c r="P885" s="775"/>
      <c r="Q885" s="775"/>
      <c r="R885" s="775"/>
      <c r="S885" s="775"/>
      <c r="T885" s="775"/>
      <c r="U885" s="775"/>
    </row>
    <row r="886" spans="1:1892" s="10" customFormat="1" ht="35.1" customHeight="1">
      <c r="A886" s="1462"/>
      <c r="B886" s="1103"/>
      <c r="C886" s="640"/>
      <c r="D886" s="591"/>
      <c r="E886" s="592"/>
      <c r="F886" s="593"/>
      <c r="G886" s="669"/>
      <c r="H886" s="669"/>
      <c r="I886" s="669"/>
      <c r="J886" s="669"/>
      <c r="K886" s="1162"/>
      <c r="L886" s="307" t="s">
        <v>912</v>
      </c>
      <c r="M886" s="119">
        <v>6</v>
      </c>
      <c r="N886" s="129">
        <v>0</v>
      </c>
      <c r="O886" s="129">
        <v>0</v>
      </c>
      <c r="P886" s="775"/>
      <c r="Q886" s="775"/>
      <c r="R886" s="775"/>
      <c r="S886" s="775"/>
      <c r="T886" s="775"/>
      <c r="U886" s="775"/>
    </row>
    <row r="887" spans="1:1892" s="10" customFormat="1" ht="35.1" customHeight="1">
      <c r="A887" s="1462"/>
      <c r="B887" s="1104"/>
      <c r="C887" s="641"/>
      <c r="D887" s="594"/>
      <c r="E887" s="595"/>
      <c r="F887" s="596"/>
      <c r="G887" s="1019" t="s">
        <v>329</v>
      </c>
      <c r="H887" s="1020"/>
      <c r="I887" s="1020"/>
      <c r="J887" s="1020"/>
      <c r="K887" s="1020"/>
      <c r="L887" s="321"/>
      <c r="M887" s="246">
        <f>SUM(M882:M886)</f>
        <v>956</v>
      </c>
      <c r="N887" s="233">
        <f>SUM(N882:N886)</f>
        <v>0</v>
      </c>
      <c r="O887" s="233">
        <f>SUM(O882:O886)</f>
        <v>0</v>
      </c>
      <c r="P887" s="776"/>
      <c r="Q887" s="776"/>
      <c r="R887" s="776"/>
      <c r="S887" s="776"/>
      <c r="T887" s="776"/>
      <c r="U887" s="776"/>
    </row>
    <row r="888" spans="1:1892" s="9" customFormat="1" ht="35.1" customHeight="1">
      <c r="A888" s="1462"/>
      <c r="B888" s="777" t="s">
        <v>105</v>
      </c>
      <c r="C888" s="778"/>
      <c r="D888" s="778"/>
      <c r="E888" s="778"/>
      <c r="F888" s="778"/>
      <c r="G888" s="778"/>
      <c r="H888" s="778"/>
      <c r="I888" s="778"/>
      <c r="J888" s="778"/>
      <c r="K888" s="779"/>
      <c r="L888" s="227">
        <f>L872+L865+L851+L844+L836+L830+L858+L887</f>
        <v>0</v>
      </c>
      <c r="M888" s="394">
        <f>M872+M865+M851+M844+M836+M830+M858+M887+M881</f>
        <v>6473</v>
      </c>
      <c r="N888" s="394">
        <f>N872+N865+N851+N844+N836+N830+N858+N887+N881</f>
        <v>830</v>
      </c>
      <c r="O888" s="394">
        <f>O872+O865+O851+O844+O836+O830+O858+O887+O881</f>
        <v>787</v>
      </c>
      <c r="P888" s="123"/>
      <c r="Q888" s="123"/>
      <c r="R888" s="123"/>
      <c r="S888" s="156"/>
      <c r="T888" s="156"/>
      <c r="U888" s="156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  <c r="EF888" s="10"/>
      <c r="EG888" s="10"/>
      <c r="EH888" s="10"/>
      <c r="EI888" s="10"/>
      <c r="EJ888" s="10"/>
      <c r="EK888" s="10"/>
      <c r="EL888" s="10"/>
      <c r="EM888" s="10"/>
      <c r="EN888" s="10"/>
      <c r="EO888" s="10"/>
      <c r="EP888" s="10"/>
      <c r="EQ888" s="10"/>
      <c r="ER888" s="10"/>
      <c r="ES888" s="10"/>
      <c r="ET888" s="10"/>
      <c r="EU888" s="10"/>
      <c r="EV888" s="10"/>
      <c r="EW888" s="10"/>
      <c r="EX888" s="10"/>
      <c r="EY888" s="10"/>
      <c r="EZ888" s="10"/>
      <c r="FA888" s="10"/>
      <c r="FB888" s="10"/>
      <c r="FC888" s="10"/>
      <c r="FD888" s="10"/>
      <c r="FE888" s="10"/>
      <c r="FF888" s="10"/>
      <c r="FG888" s="10"/>
      <c r="FH888" s="10"/>
      <c r="FI888" s="10"/>
      <c r="FJ888" s="10"/>
      <c r="FK888" s="10"/>
      <c r="FL888" s="10"/>
      <c r="FM888" s="10"/>
      <c r="FN888" s="10"/>
      <c r="FO888" s="10"/>
      <c r="FP888" s="10"/>
      <c r="FQ888" s="10"/>
      <c r="FR888" s="10"/>
      <c r="FS888" s="10"/>
      <c r="FT888" s="10"/>
      <c r="FU888" s="10"/>
      <c r="FV888" s="10"/>
      <c r="FW888" s="10"/>
      <c r="FX888" s="10"/>
      <c r="FY888" s="10"/>
      <c r="FZ888" s="10"/>
      <c r="GA888" s="10"/>
      <c r="GB888" s="10"/>
      <c r="GC888" s="10"/>
      <c r="GD888" s="10"/>
      <c r="GE888" s="10"/>
      <c r="GF888" s="10"/>
      <c r="GG888" s="10"/>
      <c r="GH888" s="10"/>
      <c r="GI888" s="10"/>
      <c r="GJ888" s="10"/>
      <c r="GK888" s="10"/>
      <c r="GL888" s="10"/>
      <c r="GM888" s="10"/>
      <c r="GN888" s="10"/>
      <c r="GO888" s="10"/>
      <c r="GP888" s="10"/>
      <c r="GQ888" s="10"/>
      <c r="GR888" s="10"/>
      <c r="GS888" s="10"/>
      <c r="GT888" s="10"/>
      <c r="GU888" s="10"/>
      <c r="GV888" s="10"/>
      <c r="GW888" s="10"/>
      <c r="GX888" s="10"/>
      <c r="GY888" s="10"/>
      <c r="GZ888" s="10"/>
      <c r="HA888" s="10"/>
      <c r="HB888" s="10"/>
      <c r="HC888" s="10"/>
      <c r="HD888" s="10"/>
      <c r="HE888" s="10"/>
      <c r="HF888" s="10"/>
      <c r="HG888" s="10"/>
      <c r="HH888" s="10"/>
      <c r="HI888" s="10"/>
      <c r="HJ888" s="10"/>
      <c r="HK888" s="10"/>
      <c r="HL888" s="10"/>
      <c r="HM888" s="10"/>
      <c r="HN888" s="10"/>
      <c r="HO888" s="10"/>
      <c r="HP888" s="10"/>
      <c r="HQ888" s="10"/>
      <c r="HR888" s="10"/>
      <c r="HS888" s="10"/>
      <c r="HT888" s="10"/>
      <c r="HU888" s="10"/>
      <c r="HV888" s="10"/>
      <c r="HW888" s="10"/>
      <c r="HX888" s="10"/>
      <c r="HY888" s="10"/>
      <c r="HZ888" s="10"/>
      <c r="IA888" s="10"/>
      <c r="IB888" s="10"/>
      <c r="IC888" s="10"/>
      <c r="ID888" s="10"/>
      <c r="IE888" s="10"/>
      <c r="IF888" s="10"/>
      <c r="IG888" s="10"/>
      <c r="IH888" s="10"/>
      <c r="II888" s="10"/>
      <c r="IJ888" s="10"/>
      <c r="IK888" s="10"/>
      <c r="IL888" s="10"/>
      <c r="IM888" s="10"/>
      <c r="IN888" s="10"/>
      <c r="IO888" s="10"/>
      <c r="IP888" s="10"/>
      <c r="IQ888" s="10"/>
      <c r="IR888" s="10"/>
      <c r="IS888" s="10"/>
      <c r="IT888" s="10"/>
      <c r="IU888" s="10"/>
      <c r="IV888" s="10"/>
      <c r="IW888" s="10"/>
      <c r="IX888" s="10"/>
      <c r="IY888" s="10"/>
      <c r="IZ888" s="10"/>
      <c r="JA888" s="10"/>
      <c r="JB888" s="10"/>
      <c r="JC888" s="10"/>
      <c r="JD888" s="10"/>
      <c r="JE888" s="10"/>
      <c r="JF888" s="10"/>
      <c r="JG888" s="10"/>
      <c r="JH888" s="10"/>
      <c r="JI888" s="10"/>
      <c r="JJ888" s="10"/>
      <c r="JK888" s="10"/>
      <c r="JL888" s="10"/>
      <c r="JM888" s="10"/>
      <c r="JN888" s="10"/>
      <c r="JO888" s="10"/>
      <c r="JP888" s="10"/>
      <c r="JQ888" s="10"/>
      <c r="JR888" s="10"/>
      <c r="JS888" s="10"/>
      <c r="JT888" s="10"/>
      <c r="JU888" s="10"/>
      <c r="JV888" s="10"/>
      <c r="JW888" s="10"/>
      <c r="JX888" s="10"/>
      <c r="JY888" s="10"/>
      <c r="JZ888" s="10"/>
      <c r="KA888" s="10"/>
      <c r="KB888" s="10"/>
      <c r="KC888" s="10"/>
      <c r="KD888" s="10"/>
      <c r="KE888" s="10"/>
      <c r="KF888" s="10"/>
      <c r="KG888" s="10"/>
      <c r="KH888" s="10"/>
      <c r="KI888" s="10"/>
      <c r="KJ888" s="10"/>
      <c r="KK888" s="10"/>
      <c r="KL888" s="10"/>
      <c r="KM888" s="10"/>
      <c r="KN888" s="10"/>
      <c r="KO888" s="10"/>
      <c r="KP888" s="10"/>
      <c r="KQ888" s="10"/>
      <c r="KR888" s="10"/>
      <c r="KS888" s="10"/>
      <c r="KT888" s="10"/>
      <c r="KU888" s="10"/>
      <c r="KV888" s="10"/>
      <c r="KW888" s="10"/>
      <c r="KX888" s="10"/>
      <c r="KY888" s="10"/>
      <c r="KZ888" s="10"/>
      <c r="LA888" s="10"/>
      <c r="LB888" s="10"/>
      <c r="LC888" s="10"/>
      <c r="LD888" s="10"/>
      <c r="LE888" s="10"/>
      <c r="LF888" s="10"/>
      <c r="LG888" s="10"/>
      <c r="LH888" s="10"/>
      <c r="LI888" s="10"/>
      <c r="LJ888" s="10"/>
      <c r="LK888" s="10"/>
      <c r="LL888" s="10"/>
      <c r="LM888" s="10"/>
      <c r="LN888" s="10"/>
      <c r="LO888" s="10"/>
      <c r="LP888" s="10"/>
      <c r="LQ888" s="10"/>
      <c r="LR888" s="10"/>
      <c r="LS888" s="10"/>
      <c r="LT888" s="10"/>
      <c r="LU888" s="10"/>
      <c r="LV888" s="10"/>
      <c r="LW888" s="10"/>
      <c r="LX888" s="10"/>
      <c r="LY888" s="10"/>
      <c r="LZ888" s="10"/>
      <c r="MA888" s="10"/>
      <c r="MB888" s="10"/>
      <c r="MC888" s="10"/>
      <c r="MD888" s="10"/>
      <c r="ME888" s="10"/>
      <c r="MF888" s="10"/>
      <c r="MG888" s="10"/>
      <c r="MH888" s="10"/>
      <c r="MI888" s="10"/>
      <c r="MJ888" s="10"/>
      <c r="MK888" s="10"/>
      <c r="ML888" s="10"/>
      <c r="MM888" s="10"/>
      <c r="MN888" s="10"/>
      <c r="MO888" s="10"/>
      <c r="MP888" s="10"/>
      <c r="MQ888" s="10"/>
      <c r="MR888" s="10"/>
      <c r="MS888" s="10"/>
      <c r="MT888" s="10"/>
      <c r="MU888" s="10"/>
      <c r="MV888" s="10"/>
      <c r="MW888" s="10"/>
      <c r="MX888" s="10"/>
      <c r="MY888" s="10"/>
      <c r="MZ888" s="10"/>
      <c r="NA888" s="10"/>
      <c r="NB888" s="10"/>
      <c r="NC888" s="10"/>
      <c r="ND888" s="10"/>
      <c r="NE888" s="10"/>
      <c r="NF888" s="10"/>
      <c r="NG888" s="10"/>
      <c r="NH888" s="10"/>
      <c r="NI888" s="10"/>
      <c r="NJ888" s="10"/>
      <c r="NK888" s="10"/>
      <c r="NL888" s="10"/>
      <c r="NM888" s="10"/>
      <c r="NN888" s="10"/>
      <c r="NO888" s="10"/>
      <c r="NP888" s="10"/>
      <c r="NQ888" s="10"/>
      <c r="NR888" s="10"/>
      <c r="NS888" s="10"/>
      <c r="NT888" s="10"/>
      <c r="NU888" s="10"/>
      <c r="NV888" s="10"/>
      <c r="NW888" s="10"/>
      <c r="NX888" s="10"/>
      <c r="NY888" s="10"/>
      <c r="NZ888" s="10"/>
      <c r="OA888" s="10"/>
      <c r="OB888" s="10"/>
      <c r="OC888" s="10"/>
      <c r="OD888" s="10"/>
      <c r="OE888" s="10"/>
      <c r="OF888" s="10"/>
      <c r="OG888" s="10"/>
      <c r="OH888" s="10"/>
      <c r="OI888" s="10"/>
      <c r="OJ888" s="10"/>
      <c r="OK888" s="10"/>
      <c r="OL888" s="10"/>
      <c r="OM888" s="10"/>
      <c r="ON888" s="10"/>
      <c r="OO888" s="10"/>
      <c r="OP888" s="10"/>
      <c r="OQ888" s="10"/>
      <c r="OR888" s="10"/>
      <c r="OS888" s="10"/>
      <c r="OT888" s="10"/>
      <c r="OU888" s="10"/>
      <c r="OV888" s="10"/>
      <c r="OW888" s="10"/>
      <c r="OX888" s="10"/>
      <c r="OY888" s="10"/>
      <c r="OZ888" s="10"/>
      <c r="PA888" s="10"/>
      <c r="PB888" s="10"/>
      <c r="PC888" s="10"/>
      <c r="PD888" s="10"/>
      <c r="PE888" s="10"/>
      <c r="PF888" s="10"/>
      <c r="PG888" s="10"/>
      <c r="PH888" s="10"/>
      <c r="PI888" s="10"/>
      <c r="PJ888" s="10"/>
      <c r="PK888" s="10"/>
      <c r="PL888" s="10"/>
      <c r="PM888" s="10"/>
      <c r="PN888" s="10"/>
      <c r="PO888" s="10"/>
      <c r="PP888" s="10"/>
      <c r="PQ888" s="10"/>
      <c r="PR888" s="10"/>
      <c r="PS888" s="10"/>
      <c r="PT888" s="10"/>
      <c r="PU888" s="10"/>
      <c r="PV888" s="10"/>
      <c r="PW888" s="10"/>
      <c r="PX888" s="10"/>
      <c r="PY888" s="10"/>
      <c r="PZ888" s="10"/>
      <c r="QA888" s="10"/>
      <c r="QB888" s="10"/>
      <c r="QC888" s="10"/>
      <c r="QD888" s="10"/>
      <c r="QE888" s="10"/>
      <c r="QF888" s="10"/>
      <c r="QG888" s="10"/>
      <c r="QH888" s="10"/>
      <c r="QI888" s="10"/>
      <c r="QJ888" s="10"/>
      <c r="QK888" s="10"/>
      <c r="QL888" s="10"/>
      <c r="QM888" s="10"/>
      <c r="QN888" s="10"/>
      <c r="QO888" s="10"/>
      <c r="QP888" s="10"/>
      <c r="QQ888" s="10"/>
      <c r="QR888" s="10"/>
      <c r="QS888" s="10"/>
      <c r="QT888" s="10"/>
      <c r="QU888" s="10"/>
      <c r="QV888" s="10"/>
      <c r="QW888" s="10"/>
      <c r="QX888" s="10"/>
      <c r="QY888" s="10"/>
      <c r="QZ888" s="10"/>
      <c r="RA888" s="10"/>
      <c r="RB888" s="10"/>
      <c r="RC888" s="10"/>
      <c r="RD888" s="10"/>
      <c r="RE888" s="10"/>
      <c r="RF888" s="10"/>
      <c r="RG888" s="10"/>
      <c r="RH888" s="10"/>
      <c r="RI888" s="10"/>
      <c r="RJ888" s="10"/>
      <c r="RK888" s="10"/>
      <c r="RL888" s="10"/>
      <c r="RM888" s="10"/>
      <c r="RN888" s="10"/>
      <c r="RO888" s="10"/>
      <c r="RP888" s="10"/>
      <c r="RQ888" s="10"/>
      <c r="RR888" s="10"/>
      <c r="RS888" s="10"/>
      <c r="RT888" s="10"/>
      <c r="RU888" s="10"/>
      <c r="RV888" s="10"/>
      <c r="RW888" s="10"/>
      <c r="RX888" s="10"/>
      <c r="RY888" s="10"/>
      <c r="RZ888" s="10"/>
      <c r="SA888" s="10"/>
      <c r="SB888" s="10"/>
      <c r="SC888" s="10"/>
      <c r="SD888" s="10"/>
      <c r="SE888" s="10"/>
      <c r="SF888" s="10"/>
      <c r="SG888" s="10"/>
      <c r="SH888" s="10"/>
      <c r="SI888" s="10"/>
      <c r="SJ888" s="10"/>
      <c r="SK888" s="10"/>
      <c r="SL888" s="10"/>
      <c r="SM888" s="10"/>
      <c r="SN888" s="10"/>
      <c r="SO888" s="10"/>
      <c r="SP888" s="10"/>
      <c r="SQ888" s="10"/>
      <c r="SR888" s="10"/>
      <c r="SS888" s="10"/>
      <c r="ST888" s="10"/>
      <c r="SU888" s="10"/>
      <c r="SV888" s="10"/>
      <c r="SW888" s="10"/>
      <c r="SX888" s="10"/>
      <c r="SY888" s="10"/>
      <c r="SZ888" s="10"/>
      <c r="TA888" s="10"/>
      <c r="TB888" s="10"/>
      <c r="TC888" s="10"/>
      <c r="TD888" s="10"/>
      <c r="TE888" s="10"/>
      <c r="TF888" s="10"/>
      <c r="TG888" s="10"/>
      <c r="TH888" s="10"/>
      <c r="TI888" s="10"/>
      <c r="TJ888" s="10"/>
      <c r="TK888" s="10"/>
      <c r="TL888" s="10"/>
      <c r="TM888" s="10"/>
      <c r="TN888" s="10"/>
      <c r="TO888" s="10"/>
      <c r="TP888" s="10"/>
      <c r="TQ888" s="10"/>
      <c r="TR888" s="10"/>
      <c r="TS888" s="10"/>
      <c r="TT888" s="10"/>
      <c r="TU888" s="10"/>
      <c r="TV888" s="10"/>
      <c r="TW888" s="10"/>
      <c r="TX888" s="10"/>
      <c r="TY888" s="10"/>
      <c r="TZ888" s="10"/>
      <c r="UA888" s="10"/>
      <c r="UB888" s="10"/>
      <c r="UC888" s="10"/>
      <c r="UD888" s="10"/>
      <c r="UE888" s="10"/>
      <c r="UF888" s="10"/>
      <c r="UG888" s="10"/>
      <c r="UH888" s="10"/>
      <c r="UI888" s="10"/>
      <c r="UJ888" s="10"/>
      <c r="UK888" s="10"/>
      <c r="UL888" s="10"/>
      <c r="UM888" s="10"/>
      <c r="UN888" s="10"/>
      <c r="UO888" s="10"/>
      <c r="UP888" s="10"/>
      <c r="UQ888" s="10"/>
      <c r="UR888" s="10"/>
      <c r="US888" s="10"/>
      <c r="UT888" s="10"/>
      <c r="UU888" s="10"/>
      <c r="UV888" s="10"/>
      <c r="UW888" s="10"/>
      <c r="UX888" s="10"/>
      <c r="UY888" s="10"/>
      <c r="UZ888" s="10"/>
      <c r="VA888" s="10"/>
      <c r="VB888" s="10"/>
      <c r="VC888" s="10"/>
      <c r="VD888" s="10"/>
      <c r="VE888" s="10"/>
      <c r="VF888" s="10"/>
      <c r="VG888" s="10"/>
      <c r="VH888" s="10"/>
      <c r="VI888" s="10"/>
      <c r="VJ888" s="10"/>
      <c r="VK888" s="10"/>
      <c r="VL888" s="10"/>
      <c r="VM888" s="10"/>
      <c r="VN888" s="10"/>
      <c r="VO888" s="10"/>
      <c r="VP888" s="10"/>
      <c r="VQ888" s="10"/>
      <c r="VR888" s="10"/>
      <c r="VS888" s="10"/>
      <c r="VT888" s="10"/>
      <c r="VU888" s="10"/>
      <c r="VV888" s="10"/>
      <c r="VW888" s="10"/>
      <c r="VX888" s="10"/>
      <c r="VY888" s="10"/>
      <c r="VZ888" s="10"/>
      <c r="WA888" s="10"/>
      <c r="WB888" s="10"/>
      <c r="WC888" s="10"/>
      <c r="WD888" s="10"/>
      <c r="WE888" s="10"/>
      <c r="WF888" s="10"/>
      <c r="WG888" s="10"/>
      <c r="WH888" s="10"/>
      <c r="WI888" s="10"/>
      <c r="WJ888" s="10"/>
      <c r="WK888" s="10"/>
      <c r="WL888" s="10"/>
      <c r="WM888" s="10"/>
      <c r="WN888" s="10"/>
      <c r="WO888" s="10"/>
      <c r="WP888" s="10"/>
      <c r="WQ888" s="10"/>
      <c r="WR888" s="10"/>
      <c r="WS888" s="10"/>
      <c r="WT888" s="10"/>
      <c r="WU888" s="10"/>
      <c r="WV888" s="10"/>
      <c r="WW888" s="10"/>
      <c r="WX888" s="10"/>
      <c r="WY888" s="10"/>
      <c r="WZ888" s="10"/>
      <c r="XA888" s="10"/>
      <c r="XB888" s="10"/>
      <c r="XC888" s="10"/>
      <c r="XD888" s="10"/>
      <c r="XE888" s="10"/>
      <c r="XF888" s="10"/>
      <c r="XG888" s="10"/>
      <c r="XH888" s="10"/>
      <c r="XI888" s="10"/>
      <c r="XJ888" s="10"/>
      <c r="XK888" s="10"/>
      <c r="XL888" s="10"/>
      <c r="XM888" s="10"/>
      <c r="XN888" s="10"/>
      <c r="XO888" s="10"/>
      <c r="XP888" s="10"/>
      <c r="XQ888" s="10"/>
      <c r="XR888" s="10"/>
      <c r="XS888" s="10"/>
      <c r="XT888" s="10"/>
      <c r="XU888" s="10"/>
      <c r="XV888" s="10"/>
      <c r="XW888" s="10"/>
      <c r="XX888" s="10"/>
      <c r="XY888" s="10"/>
      <c r="XZ888" s="10"/>
      <c r="YA888" s="10"/>
      <c r="YB888" s="10"/>
      <c r="YC888" s="10"/>
      <c r="YD888" s="10"/>
      <c r="YE888" s="10"/>
      <c r="YF888" s="10"/>
      <c r="YG888" s="10"/>
      <c r="YH888" s="10"/>
      <c r="YI888" s="10"/>
      <c r="YJ888" s="10"/>
      <c r="YK888" s="10"/>
      <c r="YL888" s="10"/>
      <c r="YM888" s="10"/>
      <c r="YN888" s="10"/>
      <c r="YO888" s="10"/>
      <c r="YP888" s="10"/>
      <c r="YQ888" s="10"/>
      <c r="YR888" s="10"/>
      <c r="YS888" s="10"/>
      <c r="YT888" s="10"/>
      <c r="YU888" s="10"/>
      <c r="YV888" s="10"/>
      <c r="YW888" s="10"/>
      <c r="YX888" s="10"/>
      <c r="YY888" s="10"/>
      <c r="YZ888" s="10"/>
      <c r="ZA888" s="10"/>
      <c r="ZB888" s="10"/>
      <c r="ZC888" s="10"/>
      <c r="ZD888" s="10"/>
      <c r="ZE888" s="10"/>
      <c r="ZF888" s="10"/>
      <c r="ZG888" s="10"/>
      <c r="ZH888" s="10"/>
      <c r="ZI888" s="10"/>
      <c r="ZJ888" s="10"/>
      <c r="ZK888" s="10"/>
      <c r="ZL888" s="10"/>
      <c r="ZM888" s="10"/>
      <c r="ZN888" s="10"/>
      <c r="ZO888" s="10"/>
      <c r="ZP888" s="10"/>
      <c r="ZQ888" s="10"/>
      <c r="ZR888" s="10"/>
      <c r="ZS888" s="10"/>
      <c r="ZT888" s="10"/>
      <c r="ZU888" s="10"/>
      <c r="ZV888" s="10"/>
      <c r="ZW888" s="10"/>
      <c r="ZX888" s="10"/>
      <c r="ZY888" s="10"/>
      <c r="ZZ888" s="10"/>
      <c r="AAA888" s="10"/>
      <c r="AAB888" s="10"/>
      <c r="AAC888" s="10"/>
      <c r="AAD888" s="10"/>
      <c r="AAE888" s="10"/>
      <c r="AAF888" s="10"/>
      <c r="AAG888" s="10"/>
      <c r="AAH888" s="10"/>
      <c r="AAI888" s="10"/>
      <c r="AAJ888" s="10"/>
      <c r="AAK888" s="10"/>
      <c r="AAL888" s="10"/>
      <c r="AAM888" s="10"/>
      <c r="AAN888" s="10"/>
      <c r="AAO888" s="10"/>
      <c r="AAP888" s="10"/>
      <c r="AAQ888" s="10"/>
      <c r="AAR888" s="10"/>
      <c r="AAS888" s="10"/>
      <c r="AAT888" s="10"/>
      <c r="AAU888" s="10"/>
      <c r="AAV888" s="10"/>
      <c r="AAW888" s="10"/>
      <c r="AAX888" s="10"/>
      <c r="AAY888" s="10"/>
      <c r="AAZ888" s="10"/>
      <c r="ABA888" s="10"/>
      <c r="ABB888" s="10"/>
      <c r="ABC888" s="10"/>
      <c r="ABD888" s="10"/>
      <c r="ABE888" s="10"/>
      <c r="ABF888" s="10"/>
      <c r="ABG888" s="10"/>
      <c r="ABH888" s="10"/>
      <c r="ABI888" s="10"/>
      <c r="ABJ888" s="10"/>
      <c r="ABK888" s="10"/>
      <c r="ABL888" s="10"/>
      <c r="ABM888" s="10"/>
      <c r="ABN888" s="10"/>
      <c r="ABO888" s="10"/>
      <c r="ABP888" s="10"/>
      <c r="ABQ888" s="10"/>
      <c r="ABR888" s="10"/>
      <c r="ABS888" s="10"/>
      <c r="ABT888" s="10"/>
      <c r="ABU888" s="10"/>
      <c r="ABV888" s="10"/>
      <c r="ABW888" s="10"/>
      <c r="ABX888" s="10"/>
      <c r="ABY888" s="10"/>
      <c r="ABZ888" s="10"/>
      <c r="ACA888" s="10"/>
      <c r="ACB888" s="10"/>
      <c r="ACC888" s="10"/>
      <c r="ACD888" s="10"/>
      <c r="ACE888" s="10"/>
      <c r="ACF888" s="10"/>
      <c r="ACG888" s="10"/>
      <c r="ACH888" s="10"/>
      <c r="ACI888" s="10"/>
      <c r="ACJ888" s="10"/>
      <c r="ACK888" s="10"/>
      <c r="ACL888" s="10"/>
      <c r="ACM888" s="10"/>
      <c r="ACN888" s="10"/>
      <c r="ACO888" s="10"/>
      <c r="ACP888" s="10"/>
      <c r="ACQ888" s="10"/>
      <c r="ACR888" s="10"/>
      <c r="ACS888" s="10"/>
      <c r="ACT888" s="10"/>
      <c r="ACU888" s="10"/>
      <c r="ACV888" s="10"/>
      <c r="ACW888" s="10"/>
      <c r="ACX888" s="10"/>
      <c r="ACY888" s="10"/>
      <c r="ACZ888" s="10"/>
      <c r="ADA888" s="10"/>
      <c r="ADB888" s="10"/>
      <c r="ADC888" s="10"/>
      <c r="ADD888" s="10"/>
      <c r="ADE888" s="10"/>
      <c r="ADF888" s="10"/>
      <c r="ADG888" s="10"/>
      <c r="ADH888" s="10"/>
      <c r="ADI888" s="10"/>
      <c r="ADJ888" s="10"/>
      <c r="ADK888" s="10"/>
      <c r="ADL888" s="10"/>
      <c r="ADM888" s="10"/>
      <c r="ADN888" s="10"/>
      <c r="ADO888" s="10"/>
      <c r="ADP888" s="10"/>
      <c r="ADQ888" s="10"/>
      <c r="ADR888" s="10"/>
      <c r="ADS888" s="10"/>
      <c r="ADT888" s="10"/>
      <c r="ADU888" s="10"/>
      <c r="ADV888" s="10"/>
      <c r="ADW888" s="10"/>
      <c r="ADX888" s="10"/>
      <c r="ADY888" s="10"/>
      <c r="ADZ888" s="10"/>
      <c r="AEA888" s="10"/>
      <c r="AEB888" s="10"/>
      <c r="AEC888" s="10"/>
      <c r="AED888" s="10"/>
      <c r="AEE888" s="10"/>
      <c r="AEF888" s="10"/>
      <c r="AEG888" s="10"/>
      <c r="AEH888" s="10"/>
      <c r="AEI888" s="10"/>
      <c r="AEJ888" s="10"/>
      <c r="AEK888" s="10"/>
      <c r="AEL888" s="10"/>
      <c r="AEM888" s="10"/>
      <c r="AEN888" s="10"/>
      <c r="AEO888" s="10"/>
      <c r="AEP888" s="10"/>
      <c r="AEQ888" s="10"/>
      <c r="AER888" s="10"/>
      <c r="AES888" s="10"/>
      <c r="AET888" s="10"/>
      <c r="AEU888" s="10"/>
      <c r="AEV888" s="10"/>
      <c r="AEW888" s="10"/>
      <c r="AEX888" s="10"/>
      <c r="AEY888" s="10"/>
      <c r="AEZ888" s="10"/>
      <c r="AFA888" s="10"/>
      <c r="AFB888" s="10"/>
      <c r="AFC888" s="10"/>
      <c r="AFD888" s="10"/>
      <c r="AFE888" s="10"/>
      <c r="AFF888" s="10"/>
      <c r="AFG888" s="10"/>
      <c r="AFH888" s="10"/>
      <c r="AFI888" s="10"/>
      <c r="AFJ888" s="10"/>
      <c r="AFK888" s="10"/>
      <c r="AFL888" s="10"/>
      <c r="AFM888" s="10"/>
      <c r="AFN888" s="10"/>
      <c r="AFO888" s="10"/>
      <c r="AFP888" s="10"/>
      <c r="AFQ888" s="10"/>
      <c r="AFR888" s="10"/>
      <c r="AFS888" s="10"/>
      <c r="AFT888" s="10"/>
      <c r="AFU888" s="10"/>
      <c r="AFV888" s="10"/>
      <c r="AFW888" s="10"/>
      <c r="AFX888" s="10"/>
      <c r="AFY888" s="10"/>
      <c r="AFZ888" s="10"/>
      <c r="AGA888" s="10"/>
      <c r="AGB888" s="10"/>
      <c r="AGC888" s="10"/>
      <c r="AGD888" s="10"/>
      <c r="AGE888" s="10"/>
      <c r="AGF888" s="10"/>
      <c r="AGG888" s="10"/>
      <c r="AGH888" s="10"/>
      <c r="AGI888" s="10"/>
      <c r="AGJ888" s="10"/>
      <c r="AGK888" s="10"/>
      <c r="AGL888" s="10"/>
      <c r="AGM888" s="10"/>
      <c r="AGN888" s="10"/>
      <c r="AGO888" s="10"/>
      <c r="AGP888" s="10"/>
      <c r="AGQ888" s="10"/>
      <c r="AGR888" s="10"/>
      <c r="AGS888" s="10"/>
      <c r="AGT888" s="10"/>
      <c r="AGU888" s="10"/>
      <c r="AGV888" s="10"/>
      <c r="AGW888" s="10"/>
      <c r="AGX888" s="10"/>
      <c r="AGY888" s="10"/>
      <c r="AGZ888" s="10"/>
      <c r="AHA888" s="10"/>
      <c r="AHB888" s="10"/>
      <c r="AHC888" s="10"/>
      <c r="AHD888" s="10"/>
      <c r="AHE888" s="10"/>
      <c r="AHF888" s="10"/>
      <c r="AHG888" s="10"/>
      <c r="AHH888" s="10"/>
      <c r="AHI888" s="10"/>
      <c r="AHJ888" s="10"/>
      <c r="AHK888" s="10"/>
      <c r="AHL888" s="10"/>
      <c r="AHM888" s="10"/>
      <c r="AHN888" s="10"/>
      <c r="AHO888" s="10"/>
      <c r="AHP888" s="10"/>
      <c r="AHQ888" s="10"/>
      <c r="AHR888" s="10"/>
      <c r="AHS888" s="10"/>
      <c r="AHT888" s="10"/>
      <c r="AHU888" s="10"/>
      <c r="AHV888" s="10"/>
      <c r="AHW888" s="10"/>
      <c r="AHX888" s="10"/>
      <c r="AHY888" s="10"/>
      <c r="AHZ888" s="10"/>
      <c r="AIA888" s="10"/>
      <c r="AIB888" s="10"/>
      <c r="AIC888" s="10"/>
      <c r="AID888" s="10"/>
      <c r="AIE888" s="10"/>
      <c r="AIF888" s="10"/>
      <c r="AIG888" s="10"/>
      <c r="AIH888" s="10"/>
      <c r="AII888" s="10"/>
      <c r="AIJ888" s="10"/>
      <c r="AIK888" s="10"/>
      <c r="AIL888" s="10"/>
      <c r="AIM888" s="10"/>
      <c r="AIN888" s="10"/>
      <c r="AIO888" s="10"/>
      <c r="AIP888" s="10"/>
      <c r="AIQ888" s="10"/>
      <c r="AIR888" s="10"/>
      <c r="AIS888" s="10"/>
      <c r="AIT888" s="10"/>
      <c r="AIU888" s="10"/>
      <c r="AIV888" s="10"/>
      <c r="AIW888" s="10"/>
      <c r="AIX888" s="10"/>
      <c r="AIY888" s="10"/>
      <c r="AIZ888" s="10"/>
      <c r="AJA888" s="10"/>
      <c r="AJB888" s="10"/>
      <c r="AJC888" s="10"/>
      <c r="AJD888" s="10"/>
      <c r="AJE888" s="10"/>
      <c r="AJF888" s="10"/>
      <c r="AJG888" s="10"/>
      <c r="AJH888" s="10"/>
      <c r="AJI888" s="10"/>
      <c r="AJJ888" s="10"/>
      <c r="AJK888" s="10"/>
      <c r="AJL888" s="10"/>
      <c r="AJM888" s="10"/>
      <c r="AJN888" s="10"/>
      <c r="AJO888" s="10"/>
      <c r="AJP888" s="10"/>
      <c r="AJQ888" s="10"/>
      <c r="AJR888" s="10"/>
      <c r="AJS888" s="10"/>
      <c r="AJT888" s="10"/>
      <c r="AJU888" s="10"/>
      <c r="AJV888" s="10"/>
      <c r="AJW888" s="10"/>
      <c r="AJX888" s="10"/>
      <c r="AJY888" s="10"/>
      <c r="AJZ888" s="10"/>
      <c r="AKA888" s="10"/>
      <c r="AKB888" s="10"/>
      <c r="AKC888" s="10"/>
      <c r="AKD888" s="10"/>
      <c r="AKE888" s="10"/>
      <c r="AKF888" s="10"/>
      <c r="AKG888" s="10"/>
      <c r="AKH888" s="10"/>
      <c r="AKI888" s="10"/>
      <c r="AKJ888" s="10"/>
      <c r="AKK888" s="10"/>
      <c r="AKL888" s="10"/>
      <c r="AKM888" s="10"/>
      <c r="AKN888" s="10"/>
      <c r="AKO888" s="10"/>
      <c r="AKP888" s="10"/>
      <c r="AKQ888" s="10"/>
      <c r="AKR888" s="10"/>
      <c r="AKS888" s="10"/>
      <c r="AKT888" s="10"/>
      <c r="AKU888" s="10"/>
      <c r="AKV888" s="10"/>
      <c r="AKW888" s="10"/>
      <c r="AKX888" s="10"/>
      <c r="AKY888" s="10"/>
      <c r="AKZ888" s="10"/>
      <c r="ALA888" s="10"/>
      <c r="ALB888" s="10"/>
      <c r="ALC888" s="10"/>
      <c r="ALD888" s="10"/>
      <c r="ALE888" s="10"/>
      <c r="ALF888" s="10"/>
      <c r="ALG888" s="10"/>
      <c r="ALH888" s="10"/>
      <c r="ALI888" s="10"/>
      <c r="ALJ888" s="10"/>
      <c r="ALK888" s="10"/>
      <c r="ALL888" s="10"/>
      <c r="ALM888" s="10"/>
      <c r="ALN888" s="10"/>
      <c r="ALO888" s="10"/>
      <c r="ALP888" s="10"/>
      <c r="ALQ888" s="10"/>
      <c r="ALR888" s="10"/>
      <c r="ALS888" s="10"/>
      <c r="ALT888" s="10"/>
      <c r="ALU888" s="10"/>
      <c r="ALV888" s="10"/>
      <c r="ALW888" s="10"/>
      <c r="ALX888" s="10"/>
      <c r="ALY888" s="10"/>
      <c r="ALZ888" s="10"/>
      <c r="AMA888" s="10"/>
      <c r="AMB888" s="10"/>
      <c r="AMC888" s="10"/>
      <c r="AMD888" s="10"/>
      <c r="AME888" s="10"/>
      <c r="AMF888" s="10"/>
      <c r="AMG888" s="10"/>
      <c r="AMH888" s="10"/>
      <c r="AMI888" s="10"/>
      <c r="AMJ888" s="10"/>
      <c r="AMK888" s="10"/>
      <c r="AML888" s="10"/>
      <c r="AMM888" s="10"/>
      <c r="AMN888" s="10"/>
      <c r="AMO888" s="10"/>
      <c r="AMP888" s="10"/>
      <c r="AMQ888" s="10"/>
      <c r="AMR888" s="10"/>
      <c r="AMS888" s="10"/>
      <c r="AMT888" s="10"/>
      <c r="AMU888" s="10"/>
      <c r="AMV888" s="10"/>
      <c r="AMW888" s="10"/>
      <c r="AMX888" s="10"/>
      <c r="AMY888" s="10"/>
      <c r="AMZ888" s="10"/>
      <c r="ANA888" s="10"/>
      <c r="ANB888" s="10"/>
      <c r="ANC888" s="10"/>
      <c r="AND888" s="10"/>
      <c r="ANE888" s="10"/>
      <c r="ANF888" s="10"/>
      <c r="ANG888" s="10"/>
      <c r="ANH888" s="10"/>
      <c r="ANI888" s="10"/>
      <c r="ANJ888" s="10"/>
      <c r="ANK888" s="10"/>
      <c r="ANL888" s="10"/>
      <c r="ANM888" s="10"/>
      <c r="ANN888" s="10"/>
      <c r="ANO888" s="10"/>
      <c r="ANP888" s="10"/>
      <c r="ANQ888" s="10"/>
      <c r="ANR888" s="10"/>
      <c r="ANS888" s="10"/>
      <c r="ANT888" s="10"/>
      <c r="ANU888" s="10"/>
      <c r="ANV888" s="10"/>
      <c r="ANW888" s="10"/>
      <c r="ANX888" s="10"/>
      <c r="ANY888" s="10"/>
      <c r="ANZ888" s="10"/>
      <c r="AOA888" s="10"/>
      <c r="AOB888" s="10"/>
      <c r="AOC888" s="10"/>
      <c r="AOD888" s="10"/>
      <c r="AOE888" s="10"/>
      <c r="AOF888" s="10"/>
      <c r="AOG888" s="10"/>
      <c r="AOH888" s="10"/>
      <c r="AOI888" s="10"/>
      <c r="AOJ888" s="10"/>
      <c r="AOK888" s="10"/>
      <c r="AOL888" s="10"/>
      <c r="AOM888" s="10"/>
      <c r="AON888" s="10"/>
      <c r="AOO888" s="10"/>
      <c r="AOP888" s="10"/>
      <c r="AOQ888" s="10"/>
      <c r="AOR888" s="10"/>
      <c r="AOS888" s="10"/>
      <c r="AOT888" s="10"/>
      <c r="AOU888" s="10"/>
      <c r="AOV888" s="10"/>
      <c r="AOW888" s="10"/>
      <c r="AOX888" s="10"/>
      <c r="AOY888" s="10"/>
      <c r="AOZ888" s="10"/>
      <c r="APA888" s="10"/>
      <c r="APB888" s="10"/>
      <c r="APC888" s="10"/>
      <c r="APD888" s="10"/>
      <c r="APE888" s="10"/>
      <c r="APF888" s="10"/>
      <c r="APG888" s="10"/>
      <c r="APH888" s="10"/>
      <c r="API888" s="10"/>
      <c r="APJ888" s="10"/>
      <c r="APK888" s="10"/>
      <c r="APL888" s="10"/>
      <c r="APM888" s="10"/>
      <c r="APN888" s="10"/>
      <c r="APO888" s="10"/>
      <c r="APP888" s="10"/>
      <c r="APQ888" s="10"/>
      <c r="APR888" s="10"/>
      <c r="APS888" s="10"/>
      <c r="APT888" s="10"/>
      <c r="APU888" s="10"/>
      <c r="APV888" s="10"/>
      <c r="APW888" s="10"/>
      <c r="APX888" s="10"/>
      <c r="APY888" s="10"/>
      <c r="APZ888" s="10"/>
      <c r="AQA888" s="10"/>
      <c r="AQB888" s="10"/>
      <c r="AQC888" s="10"/>
      <c r="AQD888" s="10"/>
      <c r="AQE888" s="10"/>
      <c r="AQF888" s="10"/>
      <c r="AQG888" s="10"/>
      <c r="AQH888" s="10"/>
      <c r="AQI888" s="10"/>
      <c r="AQJ888" s="10"/>
      <c r="AQK888" s="10"/>
      <c r="AQL888" s="10"/>
      <c r="AQM888" s="10"/>
      <c r="AQN888" s="10"/>
      <c r="AQO888" s="10"/>
      <c r="AQP888" s="10"/>
      <c r="AQQ888" s="10"/>
      <c r="AQR888" s="10"/>
      <c r="AQS888" s="10"/>
      <c r="AQT888" s="10"/>
      <c r="AQU888" s="10"/>
      <c r="AQV888" s="10"/>
      <c r="AQW888" s="10"/>
      <c r="AQX888" s="10"/>
      <c r="AQY888" s="10"/>
      <c r="AQZ888" s="10"/>
      <c r="ARA888" s="10"/>
      <c r="ARB888" s="10"/>
      <c r="ARC888" s="10"/>
      <c r="ARD888" s="10"/>
      <c r="ARE888" s="10"/>
      <c r="ARF888" s="10"/>
      <c r="ARG888" s="10"/>
      <c r="ARH888" s="10"/>
      <c r="ARI888" s="10"/>
      <c r="ARJ888" s="10"/>
      <c r="ARK888" s="10"/>
      <c r="ARL888" s="10"/>
      <c r="ARM888" s="10"/>
      <c r="ARN888" s="10"/>
      <c r="ARO888" s="10"/>
      <c r="ARP888" s="10"/>
      <c r="ARQ888" s="10"/>
      <c r="ARR888" s="10"/>
      <c r="ARS888" s="10"/>
      <c r="ART888" s="10"/>
      <c r="ARU888" s="10"/>
      <c r="ARV888" s="10"/>
      <c r="ARW888" s="10"/>
      <c r="ARX888" s="10"/>
      <c r="ARY888" s="10"/>
      <c r="ARZ888" s="10"/>
      <c r="ASA888" s="10"/>
      <c r="ASB888" s="10"/>
      <c r="ASC888" s="10"/>
      <c r="ASD888" s="10"/>
      <c r="ASE888" s="10"/>
      <c r="ASF888" s="10"/>
      <c r="ASG888" s="10"/>
      <c r="ASH888" s="10"/>
      <c r="ASI888" s="10"/>
      <c r="ASJ888" s="10"/>
      <c r="ASK888" s="10"/>
      <c r="ASL888" s="10"/>
      <c r="ASM888" s="10"/>
      <c r="ASN888" s="10"/>
      <c r="ASO888" s="10"/>
      <c r="ASP888" s="10"/>
      <c r="ASQ888" s="10"/>
      <c r="ASR888" s="10"/>
      <c r="ASS888" s="10"/>
      <c r="AST888" s="10"/>
      <c r="ASU888" s="10"/>
      <c r="ASV888" s="10"/>
      <c r="ASW888" s="10"/>
      <c r="ASX888" s="10"/>
      <c r="ASY888" s="10"/>
      <c r="ASZ888" s="10"/>
      <c r="ATA888" s="10"/>
      <c r="ATB888" s="10"/>
      <c r="ATC888" s="10"/>
      <c r="ATD888" s="10"/>
      <c r="ATE888" s="10"/>
      <c r="ATF888" s="10"/>
      <c r="ATG888" s="10"/>
      <c r="ATH888" s="10"/>
      <c r="ATI888" s="10"/>
      <c r="ATJ888" s="10"/>
      <c r="ATK888" s="10"/>
      <c r="ATL888" s="10"/>
      <c r="ATM888" s="10"/>
      <c r="ATN888" s="10"/>
      <c r="ATO888" s="10"/>
      <c r="ATP888" s="10"/>
      <c r="ATQ888" s="10"/>
      <c r="ATR888" s="10"/>
      <c r="ATS888" s="10"/>
      <c r="ATT888" s="10"/>
      <c r="ATU888" s="10"/>
      <c r="ATV888" s="10"/>
      <c r="ATW888" s="10"/>
      <c r="ATX888" s="10"/>
      <c r="ATY888" s="10"/>
      <c r="ATZ888" s="10"/>
      <c r="AUA888" s="10"/>
      <c r="AUB888" s="10"/>
      <c r="AUC888" s="10"/>
      <c r="AUD888" s="10"/>
      <c r="AUE888" s="10"/>
      <c r="AUF888" s="10"/>
      <c r="AUG888" s="10"/>
      <c r="AUH888" s="10"/>
      <c r="AUI888" s="10"/>
      <c r="AUJ888" s="10"/>
      <c r="AUK888" s="10"/>
      <c r="AUL888" s="10"/>
      <c r="AUM888" s="10"/>
      <c r="AUN888" s="10"/>
      <c r="AUO888" s="10"/>
      <c r="AUP888" s="10"/>
      <c r="AUQ888" s="10"/>
      <c r="AUR888" s="10"/>
      <c r="AUS888" s="10"/>
      <c r="AUT888" s="10"/>
      <c r="AUU888" s="10"/>
      <c r="AUV888" s="10"/>
      <c r="AUW888" s="10"/>
      <c r="AUX888" s="10"/>
      <c r="AUY888" s="10"/>
      <c r="AUZ888" s="10"/>
      <c r="AVA888" s="10"/>
      <c r="AVB888" s="10"/>
      <c r="AVC888" s="10"/>
      <c r="AVD888" s="10"/>
      <c r="AVE888" s="10"/>
      <c r="AVF888" s="10"/>
      <c r="AVG888" s="10"/>
      <c r="AVH888" s="10"/>
      <c r="AVI888" s="10"/>
      <c r="AVJ888" s="10"/>
      <c r="AVK888" s="10"/>
      <c r="AVL888" s="10"/>
      <c r="AVM888" s="10"/>
      <c r="AVN888" s="10"/>
      <c r="AVO888" s="10"/>
      <c r="AVP888" s="10"/>
      <c r="AVQ888" s="10"/>
      <c r="AVR888" s="10"/>
      <c r="AVS888" s="10"/>
      <c r="AVT888" s="10"/>
      <c r="AVU888" s="10"/>
      <c r="AVV888" s="10"/>
      <c r="AVW888" s="10"/>
      <c r="AVX888" s="10"/>
      <c r="AVY888" s="10"/>
      <c r="AVZ888" s="10"/>
      <c r="AWA888" s="10"/>
      <c r="AWB888" s="10"/>
      <c r="AWC888" s="10"/>
      <c r="AWD888" s="10"/>
      <c r="AWE888" s="10"/>
      <c r="AWF888" s="10"/>
      <c r="AWG888" s="10"/>
      <c r="AWH888" s="10"/>
      <c r="AWI888" s="10"/>
      <c r="AWJ888" s="10"/>
      <c r="AWK888" s="10"/>
      <c r="AWL888" s="10"/>
      <c r="AWM888" s="10"/>
      <c r="AWN888" s="10"/>
      <c r="AWO888" s="10"/>
      <c r="AWP888" s="10"/>
      <c r="AWQ888" s="10"/>
      <c r="AWR888" s="10"/>
      <c r="AWS888" s="10"/>
      <c r="AWT888" s="10"/>
      <c r="AWU888" s="10"/>
      <c r="AWV888" s="10"/>
      <c r="AWW888" s="10"/>
      <c r="AWX888" s="10"/>
      <c r="AWY888" s="10"/>
      <c r="AWZ888" s="10"/>
      <c r="AXA888" s="10"/>
      <c r="AXB888" s="10"/>
      <c r="AXC888" s="10"/>
      <c r="AXD888" s="10"/>
      <c r="AXE888" s="10"/>
      <c r="AXF888" s="10"/>
      <c r="AXG888" s="10"/>
      <c r="AXH888" s="10"/>
      <c r="AXI888" s="10"/>
      <c r="AXJ888" s="10"/>
      <c r="AXK888" s="10"/>
      <c r="AXL888" s="10"/>
      <c r="AXM888" s="10"/>
      <c r="AXN888" s="10"/>
      <c r="AXO888" s="10"/>
      <c r="AXP888" s="10"/>
      <c r="AXQ888" s="10"/>
      <c r="AXR888" s="10"/>
      <c r="AXS888" s="10"/>
      <c r="AXT888" s="10"/>
      <c r="AXU888" s="10"/>
      <c r="AXV888" s="10"/>
      <c r="AXW888" s="10"/>
      <c r="AXX888" s="10"/>
      <c r="AXY888" s="10"/>
      <c r="AXZ888" s="10"/>
      <c r="AYA888" s="10"/>
      <c r="AYB888" s="10"/>
      <c r="AYC888" s="10"/>
      <c r="AYD888" s="10"/>
      <c r="AYE888" s="10"/>
      <c r="AYF888" s="10"/>
      <c r="AYG888" s="10"/>
      <c r="AYH888" s="10"/>
      <c r="AYI888" s="10"/>
      <c r="AYJ888" s="10"/>
      <c r="AYK888" s="10"/>
      <c r="AYL888" s="10"/>
      <c r="AYM888" s="10"/>
      <c r="AYN888" s="10"/>
      <c r="AYO888" s="10"/>
      <c r="AYP888" s="10"/>
      <c r="AYQ888" s="10"/>
      <c r="AYR888" s="10"/>
      <c r="AYS888" s="10"/>
      <c r="AYT888" s="10"/>
      <c r="AYU888" s="10"/>
      <c r="AYV888" s="10"/>
      <c r="AYW888" s="10"/>
      <c r="AYX888" s="10"/>
      <c r="AYY888" s="10"/>
      <c r="AYZ888" s="10"/>
      <c r="AZA888" s="10"/>
      <c r="AZB888" s="10"/>
      <c r="AZC888" s="10"/>
      <c r="AZD888" s="10"/>
      <c r="AZE888" s="10"/>
      <c r="AZF888" s="10"/>
      <c r="AZG888" s="10"/>
      <c r="AZH888" s="10"/>
      <c r="AZI888" s="10"/>
      <c r="AZJ888" s="10"/>
      <c r="AZK888" s="10"/>
      <c r="AZL888" s="10"/>
      <c r="AZM888" s="10"/>
      <c r="AZN888" s="10"/>
      <c r="AZO888" s="10"/>
      <c r="AZP888" s="10"/>
      <c r="AZQ888" s="10"/>
      <c r="AZR888" s="10"/>
      <c r="AZS888" s="10"/>
      <c r="AZT888" s="10"/>
      <c r="AZU888" s="10"/>
      <c r="AZV888" s="10"/>
      <c r="AZW888" s="10"/>
      <c r="AZX888" s="10"/>
      <c r="AZY888" s="10"/>
      <c r="AZZ888" s="10"/>
      <c r="BAA888" s="10"/>
      <c r="BAB888" s="10"/>
      <c r="BAC888" s="10"/>
      <c r="BAD888" s="10"/>
      <c r="BAE888" s="10"/>
      <c r="BAF888" s="10"/>
      <c r="BAG888" s="10"/>
      <c r="BAH888" s="10"/>
      <c r="BAI888" s="10"/>
      <c r="BAJ888" s="10"/>
      <c r="BAK888" s="10"/>
      <c r="BAL888" s="10"/>
      <c r="BAM888" s="10"/>
      <c r="BAN888" s="10"/>
      <c r="BAO888" s="10"/>
      <c r="BAP888" s="10"/>
      <c r="BAQ888" s="10"/>
      <c r="BAR888" s="10"/>
      <c r="BAS888" s="10"/>
      <c r="BAT888" s="10"/>
      <c r="BAU888" s="10"/>
      <c r="BAV888" s="10"/>
      <c r="BAW888" s="10"/>
      <c r="BAX888" s="10"/>
      <c r="BAY888" s="10"/>
      <c r="BAZ888" s="10"/>
      <c r="BBA888" s="10"/>
      <c r="BBB888" s="10"/>
      <c r="BBC888" s="10"/>
      <c r="BBD888" s="10"/>
      <c r="BBE888" s="10"/>
      <c r="BBF888" s="10"/>
      <c r="BBG888" s="10"/>
      <c r="BBH888" s="10"/>
      <c r="BBI888" s="10"/>
      <c r="BBJ888" s="10"/>
      <c r="BBK888" s="10"/>
      <c r="BBL888" s="10"/>
      <c r="BBM888" s="10"/>
      <c r="BBN888" s="10"/>
      <c r="BBO888" s="10"/>
      <c r="BBP888" s="10"/>
      <c r="BBQ888" s="10"/>
      <c r="BBR888" s="10"/>
      <c r="BBS888" s="10"/>
      <c r="BBT888" s="10"/>
      <c r="BBU888" s="10"/>
      <c r="BBV888" s="10"/>
      <c r="BBW888" s="10"/>
      <c r="BBX888" s="10"/>
      <c r="BBY888" s="10"/>
      <c r="BBZ888" s="10"/>
      <c r="BCA888" s="10"/>
      <c r="BCB888" s="10"/>
      <c r="BCC888" s="10"/>
      <c r="BCD888" s="10"/>
      <c r="BCE888" s="10"/>
      <c r="BCF888" s="10"/>
      <c r="BCG888" s="10"/>
      <c r="BCH888" s="10"/>
      <c r="BCI888" s="10"/>
      <c r="BCJ888" s="10"/>
      <c r="BCK888" s="10"/>
      <c r="BCL888" s="10"/>
      <c r="BCM888" s="10"/>
      <c r="BCN888" s="10"/>
      <c r="BCO888" s="10"/>
      <c r="BCP888" s="10"/>
      <c r="BCQ888" s="10"/>
      <c r="BCR888" s="10"/>
      <c r="BCS888" s="10"/>
      <c r="BCT888" s="10"/>
      <c r="BCU888" s="10"/>
      <c r="BCV888" s="10"/>
      <c r="BCW888" s="10"/>
      <c r="BCX888" s="10"/>
      <c r="BCY888" s="10"/>
      <c r="BCZ888" s="10"/>
      <c r="BDA888" s="10"/>
      <c r="BDB888" s="10"/>
      <c r="BDC888" s="10"/>
      <c r="BDD888" s="10"/>
      <c r="BDE888" s="10"/>
      <c r="BDF888" s="10"/>
      <c r="BDG888" s="10"/>
      <c r="BDH888" s="10"/>
      <c r="BDI888" s="10"/>
      <c r="BDJ888" s="10"/>
      <c r="BDK888" s="10"/>
      <c r="BDL888" s="10"/>
      <c r="BDM888" s="10"/>
      <c r="BDN888" s="10"/>
      <c r="BDO888" s="10"/>
      <c r="BDP888" s="10"/>
      <c r="BDQ888" s="10"/>
      <c r="BDR888" s="10"/>
      <c r="BDS888" s="10"/>
      <c r="BDT888" s="10"/>
      <c r="BDU888" s="10"/>
      <c r="BDV888" s="10"/>
      <c r="BDW888" s="10"/>
      <c r="BDX888" s="10"/>
      <c r="BDY888" s="10"/>
      <c r="BDZ888" s="10"/>
      <c r="BEA888" s="10"/>
      <c r="BEB888" s="10"/>
      <c r="BEC888" s="10"/>
      <c r="BED888" s="10"/>
      <c r="BEE888" s="10"/>
      <c r="BEF888" s="10"/>
      <c r="BEG888" s="10"/>
      <c r="BEH888" s="10"/>
      <c r="BEI888" s="10"/>
      <c r="BEJ888" s="10"/>
      <c r="BEK888" s="10"/>
      <c r="BEL888" s="10"/>
      <c r="BEM888" s="10"/>
      <c r="BEN888" s="10"/>
      <c r="BEO888" s="10"/>
      <c r="BEP888" s="10"/>
      <c r="BEQ888" s="10"/>
      <c r="BER888" s="10"/>
      <c r="BES888" s="10"/>
      <c r="BET888" s="10"/>
      <c r="BEU888" s="10"/>
      <c r="BEV888" s="10"/>
      <c r="BEW888" s="10"/>
      <c r="BEX888" s="10"/>
      <c r="BEY888" s="10"/>
      <c r="BEZ888" s="10"/>
      <c r="BFA888" s="10"/>
      <c r="BFB888" s="10"/>
      <c r="BFC888" s="10"/>
      <c r="BFD888" s="10"/>
      <c r="BFE888" s="10"/>
      <c r="BFF888" s="10"/>
      <c r="BFG888" s="10"/>
      <c r="BFH888" s="10"/>
      <c r="BFI888" s="10"/>
      <c r="BFJ888" s="10"/>
      <c r="BFK888" s="10"/>
      <c r="BFL888" s="10"/>
      <c r="BFM888" s="10"/>
      <c r="BFN888" s="10"/>
      <c r="BFO888" s="10"/>
      <c r="BFP888" s="10"/>
      <c r="BFQ888" s="10"/>
      <c r="BFR888" s="10"/>
      <c r="BFS888" s="10"/>
      <c r="BFT888" s="10"/>
      <c r="BFU888" s="10"/>
      <c r="BFV888" s="10"/>
      <c r="BFW888" s="10"/>
      <c r="BFX888" s="10"/>
      <c r="BFY888" s="10"/>
      <c r="BFZ888" s="10"/>
      <c r="BGA888" s="10"/>
      <c r="BGB888" s="10"/>
      <c r="BGC888" s="10"/>
      <c r="BGD888" s="10"/>
      <c r="BGE888" s="10"/>
      <c r="BGF888" s="10"/>
      <c r="BGG888" s="10"/>
      <c r="BGH888" s="10"/>
      <c r="BGI888" s="10"/>
      <c r="BGJ888" s="10"/>
      <c r="BGK888" s="10"/>
      <c r="BGL888" s="10"/>
      <c r="BGM888" s="10"/>
      <c r="BGN888" s="10"/>
      <c r="BGO888" s="10"/>
      <c r="BGP888" s="10"/>
      <c r="BGQ888" s="10"/>
      <c r="BGR888" s="10"/>
      <c r="BGS888" s="10"/>
      <c r="BGT888" s="10"/>
      <c r="BGU888" s="10"/>
      <c r="BGV888" s="10"/>
      <c r="BGW888" s="10"/>
      <c r="BGX888" s="10"/>
      <c r="BGY888" s="10"/>
      <c r="BGZ888" s="10"/>
      <c r="BHA888" s="10"/>
      <c r="BHB888" s="10"/>
      <c r="BHC888" s="10"/>
      <c r="BHD888" s="10"/>
      <c r="BHE888" s="10"/>
      <c r="BHF888" s="10"/>
      <c r="BHG888" s="10"/>
      <c r="BHH888" s="10"/>
      <c r="BHI888" s="10"/>
      <c r="BHJ888" s="10"/>
      <c r="BHK888" s="10"/>
      <c r="BHL888" s="10"/>
      <c r="BHM888" s="10"/>
      <c r="BHN888" s="10"/>
      <c r="BHO888" s="10"/>
      <c r="BHP888" s="10"/>
      <c r="BHQ888" s="10"/>
      <c r="BHR888" s="10"/>
      <c r="BHS888" s="10"/>
      <c r="BHT888" s="10"/>
      <c r="BHU888" s="10"/>
      <c r="BHV888" s="10"/>
      <c r="BHW888" s="10"/>
      <c r="BHX888" s="10"/>
      <c r="BHY888" s="10"/>
      <c r="BHZ888" s="10"/>
      <c r="BIA888" s="10"/>
      <c r="BIB888" s="10"/>
      <c r="BIC888" s="10"/>
      <c r="BID888" s="10"/>
      <c r="BIE888" s="10"/>
      <c r="BIF888" s="10"/>
      <c r="BIG888" s="10"/>
      <c r="BIH888" s="10"/>
      <c r="BII888" s="10"/>
      <c r="BIJ888" s="10"/>
      <c r="BIK888" s="10"/>
      <c r="BIL888" s="10"/>
      <c r="BIM888" s="10"/>
      <c r="BIN888" s="10"/>
      <c r="BIO888" s="10"/>
      <c r="BIP888" s="10"/>
      <c r="BIQ888" s="10"/>
      <c r="BIR888" s="10"/>
      <c r="BIS888" s="10"/>
      <c r="BIT888" s="10"/>
      <c r="BIU888" s="10"/>
      <c r="BIV888" s="10"/>
      <c r="BIW888" s="10"/>
      <c r="BIX888" s="10"/>
      <c r="BIY888" s="10"/>
      <c r="BIZ888" s="10"/>
      <c r="BJA888" s="10"/>
      <c r="BJB888" s="10"/>
      <c r="BJC888" s="10"/>
      <c r="BJD888" s="10"/>
      <c r="BJE888" s="10"/>
      <c r="BJF888" s="10"/>
      <c r="BJG888" s="10"/>
      <c r="BJH888" s="10"/>
      <c r="BJI888" s="10"/>
      <c r="BJJ888" s="10"/>
      <c r="BJK888" s="10"/>
      <c r="BJL888" s="10"/>
      <c r="BJM888" s="10"/>
      <c r="BJN888" s="10"/>
      <c r="BJO888" s="10"/>
      <c r="BJP888" s="10"/>
      <c r="BJQ888" s="10"/>
      <c r="BJR888" s="10"/>
      <c r="BJS888" s="10"/>
      <c r="BJT888" s="10"/>
      <c r="BJU888" s="10"/>
      <c r="BJV888" s="10"/>
      <c r="BJW888" s="10"/>
      <c r="BJX888" s="10"/>
      <c r="BJY888" s="10"/>
      <c r="BJZ888" s="10"/>
      <c r="BKA888" s="10"/>
      <c r="BKB888" s="10"/>
      <c r="BKC888" s="10"/>
      <c r="BKD888" s="10"/>
      <c r="BKE888" s="10"/>
      <c r="BKF888" s="10"/>
      <c r="BKG888" s="10"/>
      <c r="BKH888" s="10"/>
      <c r="BKI888" s="10"/>
      <c r="BKJ888" s="10"/>
      <c r="BKK888" s="10"/>
      <c r="BKL888" s="10"/>
      <c r="BKM888" s="10"/>
      <c r="BKN888" s="10"/>
      <c r="BKO888" s="10"/>
      <c r="BKP888" s="10"/>
      <c r="BKQ888" s="10"/>
      <c r="BKR888" s="10"/>
      <c r="BKS888" s="10"/>
      <c r="BKT888" s="10"/>
      <c r="BKU888" s="10"/>
      <c r="BKV888" s="10"/>
      <c r="BKW888" s="10"/>
      <c r="BKX888" s="10"/>
      <c r="BKY888" s="10"/>
      <c r="BKZ888" s="10"/>
      <c r="BLA888" s="10"/>
      <c r="BLB888" s="10"/>
      <c r="BLC888" s="10"/>
      <c r="BLD888" s="10"/>
      <c r="BLE888" s="10"/>
      <c r="BLF888" s="10"/>
      <c r="BLG888" s="10"/>
      <c r="BLH888" s="10"/>
      <c r="BLI888" s="10"/>
      <c r="BLJ888" s="10"/>
      <c r="BLK888" s="10"/>
      <c r="BLL888" s="10"/>
      <c r="BLM888" s="10"/>
      <c r="BLN888" s="10"/>
      <c r="BLO888" s="10"/>
      <c r="BLP888" s="10"/>
      <c r="BLQ888" s="10"/>
      <c r="BLR888" s="10"/>
      <c r="BLS888" s="10"/>
      <c r="BLT888" s="10"/>
      <c r="BLU888" s="10"/>
      <c r="BLV888" s="10"/>
      <c r="BLW888" s="10"/>
      <c r="BLX888" s="10"/>
      <c r="BLY888" s="10"/>
      <c r="BLZ888" s="10"/>
      <c r="BMA888" s="10"/>
      <c r="BMB888" s="10"/>
      <c r="BMC888" s="10"/>
      <c r="BMD888" s="10"/>
      <c r="BME888" s="10"/>
      <c r="BMF888" s="10"/>
      <c r="BMG888" s="10"/>
      <c r="BMH888" s="10"/>
      <c r="BMI888" s="10"/>
      <c r="BMJ888" s="10"/>
      <c r="BMK888" s="10"/>
      <c r="BML888" s="10"/>
      <c r="BMM888" s="10"/>
      <c r="BMN888" s="10"/>
      <c r="BMO888" s="10"/>
      <c r="BMP888" s="10"/>
      <c r="BMQ888" s="10"/>
      <c r="BMR888" s="10"/>
      <c r="BMS888" s="10"/>
      <c r="BMT888" s="10"/>
      <c r="BMU888" s="10"/>
      <c r="BMV888" s="10"/>
      <c r="BMW888" s="10"/>
      <c r="BMX888" s="10"/>
      <c r="BMY888" s="10"/>
      <c r="BMZ888" s="10"/>
      <c r="BNA888" s="10"/>
      <c r="BNB888" s="10"/>
      <c r="BNC888" s="10"/>
      <c r="BND888" s="10"/>
      <c r="BNE888" s="10"/>
      <c r="BNF888" s="10"/>
      <c r="BNG888" s="10"/>
      <c r="BNH888" s="10"/>
      <c r="BNI888" s="10"/>
      <c r="BNJ888" s="10"/>
      <c r="BNK888" s="10"/>
      <c r="BNL888" s="10"/>
      <c r="BNM888" s="10"/>
      <c r="BNN888" s="10"/>
      <c r="BNO888" s="10"/>
      <c r="BNP888" s="10"/>
      <c r="BNQ888" s="10"/>
      <c r="BNR888" s="10"/>
      <c r="BNS888" s="10"/>
      <c r="BNT888" s="10"/>
      <c r="BNU888" s="10"/>
      <c r="BNV888" s="10"/>
      <c r="BNW888" s="10"/>
      <c r="BNX888" s="10"/>
      <c r="BNY888" s="10"/>
      <c r="BNZ888" s="10"/>
      <c r="BOA888" s="10"/>
      <c r="BOB888" s="10"/>
      <c r="BOC888" s="10"/>
      <c r="BOD888" s="10"/>
      <c r="BOE888" s="10"/>
      <c r="BOF888" s="10"/>
      <c r="BOG888" s="10"/>
      <c r="BOH888" s="10"/>
      <c r="BOI888" s="10"/>
      <c r="BOJ888" s="10"/>
      <c r="BOK888" s="10"/>
      <c r="BOL888" s="10"/>
      <c r="BOM888" s="10"/>
      <c r="BON888" s="10"/>
      <c r="BOO888" s="10"/>
      <c r="BOP888" s="10"/>
      <c r="BOQ888" s="10"/>
      <c r="BOR888" s="10"/>
      <c r="BOS888" s="10"/>
      <c r="BOT888" s="10"/>
      <c r="BOU888" s="10"/>
      <c r="BOV888" s="10"/>
      <c r="BOW888" s="10"/>
      <c r="BOX888" s="10"/>
      <c r="BOY888" s="10"/>
      <c r="BOZ888" s="10"/>
      <c r="BPA888" s="10"/>
      <c r="BPB888" s="10"/>
      <c r="BPC888" s="10"/>
      <c r="BPD888" s="10"/>
      <c r="BPE888" s="10"/>
      <c r="BPF888" s="10"/>
      <c r="BPG888" s="10"/>
      <c r="BPH888" s="10"/>
      <c r="BPI888" s="10"/>
      <c r="BPJ888" s="10"/>
      <c r="BPK888" s="10"/>
      <c r="BPL888" s="10"/>
      <c r="BPM888" s="10"/>
      <c r="BPN888" s="10"/>
      <c r="BPO888" s="10"/>
      <c r="BPP888" s="10"/>
      <c r="BPQ888" s="10"/>
      <c r="BPR888" s="10"/>
      <c r="BPS888" s="10"/>
      <c r="BPT888" s="10"/>
      <c r="BPU888" s="10"/>
      <c r="BPV888" s="10"/>
      <c r="BPW888" s="10"/>
      <c r="BPX888" s="10"/>
      <c r="BPY888" s="10"/>
      <c r="BPZ888" s="10"/>
      <c r="BQA888" s="10"/>
      <c r="BQB888" s="10"/>
      <c r="BQC888" s="10"/>
      <c r="BQD888" s="10"/>
      <c r="BQE888" s="10"/>
      <c r="BQF888" s="10"/>
      <c r="BQG888" s="10"/>
      <c r="BQH888" s="10"/>
      <c r="BQI888" s="10"/>
      <c r="BQJ888" s="10"/>
      <c r="BQK888" s="10"/>
      <c r="BQL888" s="10"/>
      <c r="BQM888" s="10"/>
      <c r="BQN888" s="10"/>
      <c r="BQO888" s="10"/>
      <c r="BQP888" s="10"/>
      <c r="BQQ888" s="10"/>
      <c r="BQR888" s="10"/>
      <c r="BQS888" s="10"/>
      <c r="BQT888" s="10"/>
      <c r="BQU888" s="10"/>
      <c r="BQV888" s="10"/>
      <c r="BQW888" s="10"/>
      <c r="BQX888" s="10"/>
      <c r="BQY888" s="10"/>
      <c r="BQZ888" s="10"/>
      <c r="BRA888" s="10"/>
      <c r="BRB888" s="10"/>
      <c r="BRC888" s="10"/>
      <c r="BRD888" s="10"/>
      <c r="BRE888" s="10"/>
      <c r="BRF888" s="10"/>
      <c r="BRG888" s="10"/>
      <c r="BRH888" s="10"/>
      <c r="BRI888" s="10"/>
      <c r="BRJ888" s="10"/>
      <c r="BRK888" s="10"/>
      <c r="BRL888" s="10"/>
      <c r="BRM888" s="10"/>
      <c r="BRN888" s="10"/>
      <c r="BRO888" s="10"/>
      <c r="BRP888" s="10"/>
      <c r="BRQ888" s="10"/>
      <c r="BRR888" s="10"/>
      <c r="BRS888" s="10"/>
      <c r="BRT888" s="10"/>
      <c r="BRU888" s="10"/>
      <c r="BRV888" s="10"/>
      <c r="BRW888" s="10"/>
      <c r="BRX888" s="10"/>
      <c r="BRY888" s="10"/>
      <c r="BRZ888" s="10"/>
      <c r="BSA888" s="10"/>
      <c r="BSB888" s="10"/>
      <c r="BSC888" s="10"/>
      <c r="BSD888" s="10"/>
      <c r="BSE888" s="10"/>
      <c r="BSF888" s="10"/>
      <c r="BSG888" s="10"/>
      <c r="BSH888" s="10"/>
      <c r="BSI888" s="10"/>
      <c r="BSJ888" s="10"/>
      <c r="BSK888" s="10"/>
      <c r="BSL888" s="10"/>
      <c r="BSM888" s="10"/>
      <c r="BSN888" s="10"/>
      <c r="BSO888" s="10"/>
      <c r="BSP888" s="10"/>
      <c r="BSQ888" s="10"/>
      <c r="BSR888" s="10"/>
      <c r="BSS888" s="10"/>
      <c r="BST888" s="10"/>
      <c r="BSU888" s="10"/>
      <c r="BSV888" s="10"/>
      <c r="BSW888" s="10"/>
      <c r="BSX888" s="10"/>
      <c r="BSY888" s="10"/>
      <c r="BSZ888" s="10"/>
      <c r="BTA888" s="10"/>
      <c r="BTB888" s="10"/>
      <c r="BTC888" s="10"/>
      <c r="BTD888" s="10"/>
      <c r="BTE888" s="10"/>
      <c r="BTF888" s="10"/>
      <c r="BTG888" s="10"/>
      <c r="BTH888" s="10"/>
      <c r="BTI888" s="10"/>
      <c r="BTJ888" s="10"/>
      <c r="BTK888" s="10"/>
      <c r="BTL888" s="10"/>
      <c r="BTM888" s="10"/>
      <c r="BTN888" s="10"/>
      <c r="BTO888" s="10"/>
      <c r="BTP888" s="10"/>
      <c r="BTQ888" s="10"/>
      <c r="BTR888" s="10"/>
      <c r="BTS888" s="10"/>
      <c r="BTT888" s="10"/>
    </row>
    <row r="889" spans="1:1892" s="10" customFormat="1" ht="35.1" customHeight="1">
      <c r="A889" s="1462"/>
      <c r="B889" s="940" t="s">
        <v>23</v>
      </c>
      <c r="C889" s="940" t="s">
        <v>190</v>
      </c>
      <c r="D889" s="543" t="s">
        <v>64</v>
      </c>
      <c r="E889" s="544"/>
      <c r="F889" s="545"/>
      <c r="G889" s="940" t="s">
        <v>63</v>
      </c>
      <c r="H889" s="940" t="s">
        <v>62</v>
      </c>
      <c r="I889" s="940" t="s">
        <v>62</v>
      </c>
      <c r="J889" s="872" t="s">
        <v>11</v>
      </c>
      <c r="K889" s="872" t="s">
        <v>61</v>
      </c>
      <c r="L889" s="131" t="s">
        <v>60</v>
      </c>
      <c r="M889" s="267">
        <v>44</v>
      </c>
      <c r="N889" s="132">
        <v>0</v>
      </c>
      <c r="O889" s="132">
        <v>0</v>
      </c>
      <c r="P889" s="713" t="s">
        <v>451</v>
      </c>
      <c r="Q889" s="713" t="s">
        <v>475</v>
      </c>
      <c r="R889" s="713" t="s">
        <v>476</v>
      </c>
      <c r="S889" s="1001" t="s">
        <v>57</v>
      </c>
      <c r="T889" s="805" t="s">
        <v>54</v>
      </c>
      <c r="U889" s="805" t="s">
        <v>11</v>
      </c>
    </row>
    <row r="890" spans="1:1892" s="10" customFormat="1" ht="35.1" customHeight="1">
      <c r="A890" s="1462"/>
      <c r="B890" s="941"/>
      <c r="C890" s="941"/>
      <c r="D890" s="546"/>
      <c r="E890" s="547"/>
      <c r="F890" s="548"/>
      <c r="G890" s="941"/>
      <c r="H890" s="941"/>
      <c r="I890" s="941"/>
      <c r="J890" s="873"/>
      <c r="K890" s="873"/>
      <c r="L890" s="131" t="s">
        <v>59</v>
      </c>
      <c r="M890" s="267">
        <v>2</v>
      </c>
      <c r="N890" s="132">
        <v>0</v>
      </c>
      <c r="O890" s="132">
        <v>0</v>
      </c>
      <c r="P890" s="714"/>
      <c r="Q890" s="714"/>
      <c r="R890" s="714"/>
      <c r="S890" s="1002"/>
      <c r="T890" s="806"/>
      <c r="U890" s="806"/>
    </row>
    <row r="891" spans="1:1892" s="10" customFormat="1" ht="35.1" customHeight="1">
      <c r="A891" s="1462"/>
      <c r="B891" s="941"/>
      <c r="C891" s="941"/>
      <c r="D891" s="546"/>
      <c r="E891" s="547"/>
      <c r="F891" s="548"/>
      <c r="G891" s="941"/>
      <c r="H891" s="941"/>
      <c r="I891" s="941"/>
      <c r="J891" s="873"/>
      <c r="K891" s="873"/>
      <c r="L891" s="131" t="s">
        <v>58</v>
      </c>
      <c r="M891" s="267">
        <v>2</v>
      </c>
      <c r="N891" s="132">
        <v>0</v>
      </c>
      <c r="O891" s="132">
        <v>0</v>
      </c>
      <c r="P891" s="714"/>
      <c r="Q891" s="714"/>
      <c r="R891" s="714"/>
      <c r="S891" s="1002"/>
      <c r="T891" s="806"/>
      <c r="U891" s="806"/>
    </row>
    <row r="892" spans="1:1892" s="10" customFormat="1" ht="35.1" customHeight="1">
      <c r="A892" s="1462"/>
      <c r="B892" s="941"/>
      <c r="C892" s="941"/>
      <c r="D892" s="546"/>
      <c r="E892" s="547"/>
      <c r="F892" s="548"/>
      <c r="G892" s="941"/>
      <c r="H892" s="941"/>
      <c r="I892" s="941"/>
      <c r="J892" s="873"/>
      <c r="K892" s="873"/>
      <c r="L892" s="131">
        <v>45</v>
      </c>
      <c r="M892" s="267">
        <v>1</v>
      </c>
      <c r="N892" s="129">
        <v>0</v>
      </c>
      <c r="O892" s="129">
        <v>0</v>
      </c>
      <c r="P892" s="714"/>
      <c r="Q892" s="714"/>
      <c r="R892" s="714"/>
      <c r="S892" s="1002"/>
      <c r="T892" s="806"/>
      <c r="U892" s="806"/>
    </row>
    <row r="893" spans="1:1892" s="10" customFormat="1" ht="35.1" customHeight="1">
      <c r="A893" s="1462"/>
      <c r="B893" s="941"/>
      <c r="C893" s="941"/>
      <c r="D893" s="546"/>
      <c r="E893" s="547"/>
      <c r="F893" s="548"/>
      <c r="G893" s="941"/>
      <c r="H893" s="941"/>
      <c r="I893" s="941"/>
      <c r="J893" s="873"/>
      <c r="K893" s="873"/>
      <c r="L893" s="182">
        <v>50</v>
      </c>
      <c r="M893" s="267">
        <v>1</v>
      </c>
      <c r="N893" s="132">
        <v>0</v>
      </c>
      <c r="O893" s="132">
        <v>0</v>
      </c>
      <c r="P893" s="714"/>
      <c r="Q893" s="714"/>
      <c r="R893" s="714"/>
      <c r="S893" s="1002"/>
      <c r="T893" s="806"/>
      <c r="U893" s="806"/>
    </row>
    <row r="894" spans="1:1892" s="10" customFormat="1" ht="35.1" customHeight="1">
      <c r="A894" s="1462"/>
      <c r="B894" s="941"/>
      <c r="C894" s="941"/>
      <c r="D894" s="546"/>
      <c r="E894" s="547"/>
      <c r="F894" s="548"/>
      <c r="G894" s="941"/>
      <c r="H894" s="941"/>
      <c r="I894" s="941"/>
      <c r="J894" s="873"/>
      <c r="K894" s="873"/>
      <c r="L894" s="182">
        <v>51</v>
      </c>
      <c r="M894" s="267">
        <v>1</v>
      </c>
      <c r="N894" s="129">
        <v>0</v>
      </c>
      <c r="O894" s="129">
        <v>0</v>
      </c>
      <c r="P894" s="714"/>
      <c r="Q894" s="714"/>
      <c r="R894" s="714"/>
      <c r="S894" s="1002"/>
      <c r="T894" s="806"/>
      <c r="U894" s="806"/>
    </row>
    <row r="895" spans="1:1892" s="10" customFormat="1" ht="35.1" customHeight="1">
      <c r="A895" s="1462"/>
      <c r="B895" s="941"/>
      <c r="C895" s="941"/>
      <c r="D895" s="546"/>
      <c r="E895" s="547"/>
      <c r="F895" s="548"/>
      <c r="G895" s="942"/>
      <c r="H895" s="942"/>
      <c r="I895" s="942"/>
      <c r="J895" s="874"/>
      <c r="K895" s="874"/>
      <c r="L895" s="182">
        <v>54</v>
      </c>
      <c r="M895" s="267">
        <v>1</v>
      </c>
      <c r="N895" s="129">
        <v>0</v>
      </c>
      <c r="O895" s="129">
        <v>0</v>
      </c>
      <c r="P895" s="714"/>
      <c r="Q895" s="714"/>
      <c r="R895" s="714"/>
      <c r="S895" s="1002"/>
      <c r="T895" s="806"/>
      <c r="U895" s="806"/>
    </row>
    <row r="896" spans="1:1892" s="10" customFormat="1" ht="35.1" customHeight="1">
      <c r="A896" s="1462"/>
      <c r="B896" s="941"/>
      <c r="C896" s="942"/>
      <c r="D896" s="895"/>
      <c r="E896" s="896"/>
      <c r="F896" s="897"/>
      <c r="G896" s="1019" t="s">
        <v>329</v>
      </c>
      <c r="H896" s="1020"/>
      <c r="I896" s="1020"/>
      <c r="J896" s="1020"/>
      <c r="K896" s="1021"/>
      <c r="L896" s="183"/>
      <c r="M896" s="251">
        <f>SUM(M889:M895)</f>
        <v>52</v>
      </c>
      <c r="N896" s="400">
        <f>SUM(N889:N895)</f>
        <v>0</v>
      </c>
      <c r="O896" s="400">
        <f>SUM(O889:O895)</f>
        <v>0</v>
      </c>
      <c r="P896" s="715"/>
      <c r="Q896" s="715"/>
      <c r="R896" s="715"/>
      <c r="S896" s="1003"/>
      <c r="T896" s="807"/>
      <c r="U896" s="807"/>
    </row>
    <row r="897" spans="1:21" s="10" customFormat="1" ht="35.1" customHeight="1">
      <c r="A897" s="1462"/>
      <c r="B897" s="941"/>
      <c r="C897" s="940" t="s">
        <v>622</v>
      </c>
      <c r="D897" s="1031" t="s">
        <v>621</v>
      </c>
      <c r="E897" s="1032"/>
      <c r="F897" s="1033"/>
      <c r="G897" s="639" t="s">
        <v>619</v>
      </c>
      <c r="H897" s="639" t="s">
        <v>620</v>
      </c>
      <c r="I897" s="639"/>
      <c r="J897" s="653" t="s">
        <v>11</v>
      </c>
      <c r="K897" s="653" t="s">
        <v>12</v>
      </c>
      <c r="L897" s="198" t="s">
        <v>85</v>
      </c>
      <c r="M897" s="230">
        <v>82</v>
      </c>
      <c r="N897" s="119">
        <v>11</v>
      </c>
      <c r="O897" s="119">
        <v>10</v>
      </c>
      <c r="P897" s="869" t="s">
        <v>434</v>
      </c>
      <c r="Q897" s="869" t="s">
        <v>469</v>
      </c>
      <c r="R897" s="869" t="s">
        <v>523</v>
      </c>
      <c r="S897" s="869" t="s">
        <v>65</v>
      </c>
      <c r="T897" s="869" t="s">
        <v>618</v>
      </c>
      <c r="U897" s="805"/>
    </row>
    <row r="898" spans="1:21" s="10" customFormat="1" ht="35.1" customHeight="1">
      <c r="A898" s="1462"/>
      <c r="B898" s="941"/>
      <c r="C898" s="941"/>
      <c r="D898" s="1034"/>
      <c r="E898" s="1035"/>
      <c r="F898" s="1036"/>
      <c r="G898" s="640"/>
      <c r="H898" s="640"/>
      <c r="I898" s="640"/>
      <c r="J898" s="654"/>
      <c r="K898" s="654"/>
      <c r="L898" s="198" t="s">
        <v>103</v>
      </c>
      <c r="M898" s="230">
        <v>10</v>
      </c>
      <c r="N898" s="119">
        <v>2</v>
      </c>
      <c r="O898" s="119">
        <v>2</v>
      </c>
      <c r="P898" s="870"/>
      <c r="Q898" s="870"/>
      <c r="R898" s="870"/>
      <c r="S898" s="870"/>
      <c r="T898" s="870"/>
      <c r="U898" s="806"/>
    </row>
    <row r="899" spans="1:21" s="10" customFormat="1" ht="35.1" customHeight="1">
      <c r="A899" s="1462"/>
      <c r="B899" s="941"/>
      <c r="C899" s="941"/>
      <c r="D899" s="1034"/>
      <c r="E899" s="1035"/>
      <c r="F899" s="1036"/>
      <c r="G899" s="640"/>
      <c r="H899" s="640"/>
      <c r="I899" s="640"/>
      <c r="J899" s="654"/>
      <c r="K899" s="654"/>
      <c r="L899" s="198" t="s">
        <v>94</v>
      </c>
      <c r="M899" s="230">
        <v>44</v>
      </c>
      <c r="N899" s="119">
        <v>3</v>
      </c>
      <c r="O899" s="119">
        <v>3</v>
      </c>
      <c r="P899" s="870"/>
      <c r="Q899" s="870"/>
      <c r="R899" s="870"/>
      <c r="S899" s="870"/>
      <c r="T899" s="870"/>
      <c r="U899" s="806"/>
    </row>
    <row r="900" spans="1:21" s="10" customFormat="1" ht="35.1" customHeight="1">
      <c r="A900" s="1462"/>
      <c r="B900" s="941"/>
      <c r="C900" s="941"/>
      <c r="D900" s="1034"/>
      <c r="E900" s="1035"/>
      <c r="F900" s="1036"/>
      <c r="G900" s="641"/>
      <c r="H900" s="641"/>
      <c r="I900" s="641"/>
      <c r="J900" s="655"/>
      <c r="K900" s="655"/>
      <c r="L900" s="198" t="s">
        <v>93</v>
      </c>
      <c r="M900" s="230">
        <v>97</v>
      </c>
      <c r="N900" s="119">
        <v>12</v>
      </c>
      <c r="O900" s="119">
        <v>11</v>
      </c>
      <c r="P900" s="870"/>
      <c r="Q900" s="870"/>
      <c r="R900" s="870"/>
      <c r="S900" s="870"/>
      <c r="T900" s="870"/>
      <c r="U900" s="806"/>
    </row>
    <row r="901" spans="1:21" s="10" customFormat="1" ht="35.1" customHeight="1">
      <c r="A901" s="1462"/>
      <c r="B901" s="941"/>
      <c r="C901" s="942"/>
      <c r="D901" s="1037"/>
      <c r="E901" s="1038"/>
      <c r="F901" s="1039"/>
      <c r="G901" s="1019" t="s">
        <v>329</v>
      </c>
      <c r="H901" s="1020"/>
      <c r="I901" s="1020"/>
      <c r="J901" s="1020"/>
      <c r="K901" s="1021"/>
      <c r="L901" s="317"/>
      <c r="M901" s="313">
        <f>SUM(M897:M900)</f>
        <v>233</v>
      </c>
      <c r="N901" s="405">
        <f>SUM(N897:N900)</f>
        <v>28</v>
      </c>
      <c r="O901" s="405">
        <f>SUM(O897:O900)</f>
        <v>26</v>
      </c>
      <c r="P901" s="871"/>
      <c r="Q901" s="871"/>
      <c r="R901" s="871"/>
      <c r="S901" s="871"/>
      <c r="T901" s="871"/>
      <c r="U901" s="807"/>
    </row>
    <row r="902" spans="1:21" s="10" customFormat="1" ht="35.1" customHeight="1">
      <c r="A902" s="1462"/>
      <c r="B902" s="941"/>
      <c r="C902" s="1056" t="s">
        <v>191</v>
      </c>
      <c r="D902" s="1031" t="s">
        <v>941</v>
      </c>
      <c r="E902" s="1032"/>
      <c r="F902" s="1033"/>
      <c r="G902" s="1072" t="s">
        <v>933</v>
      </c>
      <c r="H902" s="1072" t="s">
        <v>934</v>
      </c>
      <c r="I902" s="1173"/>
      <c r="J902" s="1072" t="s">
        <v>11</v>
      </c>
      <c r="K902" s="1072" t="s">
        <v>12</v>
      </c>
      <c r="L902" s="322">
        <v>72</v>
      </c>
      <c r="M902" s="318">
        <v>47</v>
      </c>
      <c r="N902" s="318">
        <v>37</v>
      </c>
      <c r="O902" s="318">
        <v>37</v>
      </c>
      <c r="P902" s="605" t="s">
        <v>517</v>
      </c>
      <c r="Q902" s="605" t="s">
        <v>938</v>
      </c>
      <c r="R902" s="605" t="s">
        <v>939</v>
      </c>
      <c r="S902" s="605" t="s">
        <v>13</v>
      </c>
      <c r="T902" s="605" t="s">
        <v>940</v>
      </c>
      <c r="U902" s="805"/>
    </row>
    <row r="903" spans="1:21" s="10" customFormat="1" ht="35.1" customHeight="1">
      <c r="A903" s="1462"/>
      <c r="B903" s="941"/>
      <c r="C903" s="1057"/>
      <c r="D903" s="1034"/>
      <c r="E903" s="1035"/>
      <c r="F903" s="1036"/>
      <c r="G903" s="1073"/>
      <c r="H903" s="1073"/>
      <c r="I903" s="1174"/>
      <c r="J903" s="1073"/>
      <c r="K903" s="1073"/>
      <c r="L903" s="322">
        <v>74</v>
      </c>
      <c r="M903" s="318">
        <v>136</v>
      </c>
      <c r="N903" s="318">
        <v>76</v>
      </c>
      <c r="O903" s="318">
        <v>76</v>
      </c>
      <c r="P903" s="606"/>
      <c r="Q903" s="606"/>
      <c r="R903" s="606"/>
      <c r="S903" s="606"/>
      <c r="T903" s="606"/>
      <c r="U903" s="806"/>
    </row>
    <row r="904" spans="1:21" s="10" customFormat="1" ht="35.1" customHeight="1">
      <c r="A904" s="1462"/>
      <c r="B904" s="941"/>
      <c r="C904" s="1057"/>
      <c r="D904" s="1034"/>
      <c r="E904" s="1035"/>
      <c r="F904" s="1036"/>
      <c r="G904" s="1073"/>
      <c r="H904" s="1073"/>
      <c r="I904" s="1174"/>
      <c r="J904" s="1073"/>
      <c r="K904" s="1073"/>
      <c r="L904" s="322" t="s">
        <v>84</v>
      </c>
      <c r="M904" s="318">
        <v>112</v>
      </c>
      <c r="N904" s="318">
        <v>35</v>
      </c>
      <c r="O904" s="318">
        <v>33</v>
      </c>
      <c r="P904" s="606"/>
      <c r="Q904" s="606"/>
      <c r="R904" s="606"/>
      <c r="S904" s="606"/>
      <c r="T904" s="606"/>
      <c r="U904" s="806"/>
    </row>
    <row r="905" spans="1:21" s="10" customFormat="1" ht="35.1" customHeight="1">
      <c r="A905" s="1462"/>
      <c r="B905" s="941"/>
      <c r="C905" s="1057"/>
      <c r="D905" s="1034"/>
      <c r="E905" s="1035"/>
      <c r="F905" s="1036"/>
      <c r="G905" s="1073"/>
      <c r="H905" s="1073"/>
      <c r="I905" s="1174"/>
      <c r="J905" s="1073"/>
      <c r="K905" s="1073"/>
      <c r="L905" s="322" t="s">
        <v>83</v>
      </c>
      <c r="M905" s="318">
        <v>88</v>
      </c>
      <c r="N905" s="318">
        <v>19</v>
      </c>
      <c r="O905" s="318">
        <v>19</v>
      </c>
      <c r="P905" s="606"/>
      <c r="Q905" s="606"/>
      <c r="R905" s="606"/>
      <c r="S905" s="606"/>
      <c r="T905" s="606"/>
      <c r="U905" s="806"/>
    </row>
    <row r="906" spans="1:21" s="10" customFormat="1" ht="35.1" customHeight="1">
      <c r="A906" s="1462"/>
      <c r="B906" s="941"/>
      <c r="C906" s="1057"/>
      <c r="D906" s="1034"/>
      <c r="E906" s="1035"/>
      <c r="F906" s="1036"/>
      <c r="G906" s="1073"/>
      <c r="H906" s="1073"/>
      <c r="I906" s="1174"/>
      <c r="J906" s="1073"/>
      <c r="K906" s="1073"/>
      <c r="L906" s="322" t="s">
        <v>82</v>
      </c>
      <c r="M906" s="318">
        <v>66</v>
      </c>
      <c r="N906" s="318">
        <v>26</v>
      </c>
      <c r="O906" s="318">
        <v>24</v>
      </c>
      <c r="P906" s="606"/>
      <c r="Q906" s="606"/>
      <c r="R906" s="606"/>
      <c r="S906" s="606"/>
      <c r="T906" s="606"/>
      <c r="U906" s="806"/>
    </row>
    <row r="907" spans="1:21" s="10" customFormat="1" ht="35.1" customHeight="1">
      <c r="A907" s="1462"/>
      <c r="B907" s="941"/>
      <c r="C907" s="1057"/>
      <c r="D907" s="1034"/>
      <c r="E907" s="1035"/>
      <c r="F907" s="1036"/>
      <c r="G907" s="1073"/>
      <c r="H907" s="1073"/>
      <c r="I907" s="1174"/>
      <c r="J907" s="1073"/>
      <c r="K907" s="1073"/>
      <c r="L907" s="322" t="s">
        <v>935</v>
      </c>
      <c r="M907" s="318">
        <v>1</v>
      </c>
      <c r="N907" s="318">
        <v>1</v>
      </c>
      <c r="O907" s="318">
        <v>1</v>
      </c>
      <c r="P907" s="606"/>
      <c r="Q907" s="606"/>
      <c r="R907" s="606"/>
      <c r="S907" s="606"/>
      <c r="T907" s="606"/>
      <c r="U907" s="806"/>
    </row>
    <row r="908" spans="1:21" s="10" customFormat="1" ht="35.1" customHeight="1">
      <c r="A908" s="1462"/>
      <c r="B908" s="941"/>
      <c r="C908" s="1057"/>
      <c r="D908" s="1034"/>
      <c r="E908" s="1035"/>
      <c r="F908" s="1036"/>
      <c r="G908" s="1073"/>
      <c r="H908" s="1073"/>
      <c r="I908" s="1174"/>
      <c r="J908" s="1073"/>
      <c r="K908" s="1073"/>
      <c r="L908" s="322" t="s">
        <v>936</v>
      </c>
      <c r="M908" s="318">
        <v>2</v>
      </c>
      <c r="N908" s="318">
        <v>0</v>
      </c>
      <c r="O908" s="318">
        <v>0</v>
      </c>
      <c r="P908" s="606"/>
      <c r="Q908" s="606"/>
      <c r="R908" s="606"/>
      <c r="S908" s="606"/>
      <c r="T908" s="606"/>
      <c r="U908" s="806"/>
    </row>
    <row r="909" spans="1:21" s="10" customFormat="1" ht="35.1" customHeight="1">
      <c r="A909" s="1462"/>
      <c r="B909" s="941"/>
      <c r="C909" s="1057"/>
      <c r="D909" s="1034"/>
      <c r="E909" s="1035"/>
      <c r="F909" s="1036"/>
      <c r="G909" s="1074"/>
      <c r="H909" s="1074"/>
      <c r="I909" s="1175"/>
      <c r="J909" s="1074"/>
      <c r="K909" s="1074"/>
      <c r="L909" s="322" t="s">
        <v>937</v>
      </c>
      <c r="M909" s="318">
        <v>3</v>
      </c>
      <c r="N909" s="318">
        <v>3</v>
      </c>
      <c r="O909" s="318">
        <v>3</v>
      </c>
      <c r="P909" s="606"/>
      <c r="Q909" s="606"/>
      <c r="R909" s="606"/>
      <c r="S909" s="606"/>
      <c r="T909" s="606"/>
      <c r="U909" s="806"/>
    </row>
    <row r="910" spans="1:21" s="10" customFormat="1" ht="35.1" customHeight="1">
      <c r="A910" s="1462"/>
      <c r="B910" s="941"/>
      <c r="C910" s="1058"/>
      <c r="D910" s="1037"/>
      <c r="E910" s="1038"/>
      <c r="F910" s="1039"/>
      <c r="G910" s="1019" t="s">
        <v>329</v>
      </c>
      <c r="H910" s="1020"/>
      <c r="I910" s="1020"/>
      <c r="J910" s="1020"/>
      <c r="K910" s="1021"/>
      <c r="L910" s="323"/>
      <c r="M910" s="324">
        <f>SUM(M902:M909)</f>
        <v>455</v>
      </c>
      <c r="N910" s="324">
        <f>SUM(N902:N909)</f>
        <v>197</v>
      </c>
      <c r="O910" s="324">
        <f>SUM(O902:O909)</f>
        <v>193</v>
      </c>
      <c r="P910" s="607"/>
      <c r="Q910" s="607"/>
      <c r="R910" s="607"/>
      <c r="S910" s="607"/>
      <c r="T910" s="607"/>
      <c r="U910" s="807"/>
    </row>
    <row r="911" spans="1:21" s="10" customFormat="1" ht="35.1" customHeight="1">
      <c r="A911" s="1462"/>
      <c r="B911" s="941"/>
      <c r="C911" s="940" t="s">
        <v>191</v>
      </c>
      <c r="D911" s="543" t="s">
        <v>726</v>
      </c>
      <c r="E911" s="544"/>
      <c r="F911" s="545"/>
      <c r="G911" s="1055" t="s">
        <v>54</v>
      </c>
      <c r="H911" s="1055" t="s">
        <v>54</v>
      </c>
      <c r="I911" s="1055" t="s">
        <v>54</v>
      </c>
      <c r="J911" s="872" t="s">
        <v>11</v>
      </c>
      <c r="K911" s="872" t="s">
        <v>61</v>
      </c>
      <c r="L911" s="131" t="s">
        <v>192</v>
      </c>
      <c r="M911" s="267">
        <v>64</v>
      </c>
      <c r="N911" s="286">
        <v>0</v>
      </c>
      <c r="O911" s="286">
        <v>0</v>
      </c>
      <c r="P911" s="713" t="s">
        <v>420</v>
      </c>
      <c r="Q911" s="713" t="s">
        <v>429</v>
      </c>
      <c r="R911" s="713" t="s">
        <v>477</v>
      </c>
      <c r="S911" s="1001" t="s">
        <v>188</v>
      </c>
      <c r="T911" s="1041" t="s">
        <v>54</v>
      </c>
      <c r="U911" s="805" t="s">
        <v>67</v>
      </c>
    </row>
    <row r="912" spans="1:21" s="10" customFormat="1" ht="35.1" customHeight="1">
      <c r="A912" s="1462"/>
      <c r="B912" s="941"/>
      <c r="C912" s="941"/>
      <c r="D912" s="546"/>
      <c r="E912" s="547"/>
      <c r="F912" s="548"/>
      <c r="G912" s="941"/>
      <c r="H912" s="941"/>
      <c r="I912" s="941"/>
      <c r="J912" s="873"/>
      <c r="K912" s="873"/>
      <c r="L912" s="131" t="s">
        <v>193</v>
      </c>
      <c r="M912" s="267">
        <v>20</v>
      </c>
      <c r="N912" s="287">
        <v>1</v>
      </c>
      <c r="O912" s="287">
        <v>1</v>
      </c>
      <c r="P912" s="714"/>
      <c r="Q912" s="714"/>
      <c r="R912" s="714"/>
      <c r="S912" s="1002"/>
      <c r="T912" s="806"/>
      <c r="U912" s="806"/>
    </row>
    <row r="913" spans="1:1892" s="10" customFormat="1" ht="35.1" customHeight="1">
      <c r="A913" s="1462"/>
      <c r="B913" s="941"/>
      <c r="C913" s="941"/>
      <c r="D913" s="546"/>
      <c r="E913" s="547"/>
      <c r="F913" s="548"/>
      <c r="G913" s="941"/>
      <c r="H913" s="941"/>
      <c r="I913" s="941"/>
      <c r="J913" s="873"/>
      <c r="K913" s="873"/>
      <c r="L913" s="131" t="s">
        <v>194</v>
      </c>
      <c r="M913" s="267">
        <v>14</v>
      </c>
      <c r="N913" s="287">
        <v>0</v>
      </c>
      <c r="O913" s="287">
        <v>0</v>
      </c>
      <c r="P913" s="714"/>
      <c r="Q913" s="714"/>
      <c r="R913" s="714"/>
      <c r="S913" s="1002"/>
      <c r="T913" s="806"/>
      <c r="U913" s="806"/>
    </row>
    <row r="914" spans="1:1892" s="10" customFormat="1" ht="35.1" customHeight="1">
      <c r="A914" s="1462"/>
      <c r="B914" s="941"/>
      <c r="C914" s="941"/>
      <c r="D914" s="546"/>
      <c r="E914" s="547"/>
      <c r="F914" s="548"/>
      <c r="G914" s="941"/>
      <c r="H914" s="941"/>
      <c r="I914" s="941"/>
      <c r="J914" s="873"/>
      <c r="K914" s="873"/>
      <c r="L914" s="131" t="s">
        <v>195</v>
      </c>
      <c r="M914" s="267">
        <v>191</v>
      </c>
      <c r="N914" s="287">
        <v>27</v>
      </c>
      <c r="O914" s="287">
        <v>27</v>
      </c>
      <c r="P914" s="714"/>
      <c r="Q914" s="714"/>
      <c r="R914" s="714"/>
      <c r="S914" s="1002"/>
      <c r="T914" s="806"/>
      <c r="U914" s="806"/>
    </row>
    <row r="915" spans="1:1892" s="10" customFormat="1" ht="35.1" customHeight="1">
      <c r="A915" s="1462"/>
      <c r="B915" s="941"/>
      <c r="C915" s="941"/>
      <c r="D915" s="546"/>
      <c r="E915" s="547"/>
      <c r="F915" s="548"/>
      <c r="G915" s="941"/>
      <c r="H915" s="941"/>
      <c r="I915" s="941"/>
      <c r="J915" s="873"/>
      <c r="K915" s="873"/>
      <c r="L915" s="182" t="s">
        <v>196</v>
      </c>
      <c r="M915" s="267">
        <v>69</v>
      </c>
      <c r="N915" s="287">
        <v>28</v>
      </c>
      <c r="O915" s="287">
        <v>28</v>
      </c>
      <c r="P915" s="714"/>
      <c r="Q915" s="714"/>
      <c r="R915" s="714"/>
      <c r="S915" s="1002"/>
      <c r="T915" s="806"/>
      <c r="U915" s="806"/>
    </row>
    <row r="916" spans="1:1892" s="10" customFormat="1" ht="35.1" customHeight="1">
      <c r="A916" s="1462"/>
      <c r="B916" s="941"/>
      <c r="C916" s="941"/>
      <c r="D916" s="546"/>
      <c r="E916" s="547"/>
      <c r="F916" s="548"/>
      <c r="G916" s="942"/>
      <c r="H916" s="942"/>
      <c r="I916" s="942"/>
      <c r="J916" s="874"/>
      <c r="K916" s="874"/>
      <c r="L916" s="182" t="s">
        <v>197</v>
      </c>
      <c r="M916" s="267">
        <v>48</v>
      </c>
      <c r="N916" s="287">
        <v>24</v>
      </c>
      <c r="O916" s="287">
        <v>24</v>
      </c>
      <c r="P916" s="714"/>
      <c r="Q916" s="714"/>
      <c r="R916" s="714"/>
      <c r="S916" s="1002"/>
      <c r="T916" s="806"/>
      <c r="U916" s="806"/>
    </row>
    <row r="917" spans="1:1892" s="10" customFormat="1" ht="35.1" customHeight="1">
      <c r="A917" s="1462"/>
      <c r="B917" s="942"/>
      <c r="C917" s="942"/>
      <c r="D917" s="895"/>
      <c r="E917" s="896"/>
      <c r="F917" s="897"/>
      <c r="G917" s="1019" t="s">
        <v>329</v>
      </c>
      <c r="H917" s="1020"/>
      <c r="I917" s="1020"/>
      <c r="J917" s="1020"/>
      <c r="K917" s="1021"/>
      <c r="L917" s="183"/>
      <c r="M917" s="251">
        <f>SUM(M911:M916)</f>
        <v>406</v>
      </c>
      <c r="N917" s="400">
        <f>SUM(N911:N916)</f>
        <v>80</v>
      </c>
      <c r="O917" s="400">
        <f>SUM(O911:O916)</f>
        <v>80</v>
      </c>
      <c r="P917" s="715"/>
      <c r="Q917" s="715"/>
      <c r="R917" s="715"/>
      <c r="S917" s="1003"/>
      <c r="T917" s="807"/>
      <c r="U917" s="807"/>
    </row>
    <row r="918" spans="1:1892" s="9" customFormat="1" ht="35.1" customHeight="1">
      <c r="A918" s="1462"/>
      <c r="B918" s="777" t="s">
        <v>105</v>
      </c>
      <c r="C918" s="778"/>
      <c r="D918" s="778"/>
      <c r="E918" s="778"/>
      <c r="F918" s="778"/>
      <c r="G918" s="778"/>
      <c r="H918" s="778"/>
      <c r="I918" s="778"/>
      <c r="J918" s="778"/>
      <c r="K918" s="779"/>
      <c r="L918" s="122"/>
      <c r="M918" s="250">
        <f>M896+M917+M901+M910</f>
        <v>1146</v>
      </c>
      <c r="N918" s="399">
        <f>N896+N917+N901+N910</f>
        <v>305</v>
      </c>
      <c r="O918" s="399">
        <f>O896+O917+O901+O910</f>
        <v>299</v>
      </c>
      <c r="P918" s="161"/>
      <c r="Q918" s="161"/>
      <c r="R918" s="161"/>
      <c r="S918" s="156"/>
      <c r="T918" s="156"/>
      <c r="U918" s="156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  <c r="EF918" s="10"/>
      <c r="EG918" s="10"/>
      <c r="EH918" s="10"/>
      <c r="EI918" s="10"/>
      <c r="EJ918" s="10"/>
      <c r="EK918" s="10"/>
      <c r="EL918" s="10"/>
      <c r="EM918" s="10"/>
      <c r="EN918" s="10"/>
      <c r="EO918" s="10"/>
      <c r="EP918" s="10"/>
      <c r="EQ918" s="10"/>
      <c r="ER918" s="10"/>
      <c r="ES918" s="10"/>
      <c r="ET918" s="10"/>
      <c r="EU918" s="10"/>
      <c r="EV918" s="10"/>
      <c r="EW918" s="10"/>
      <c r="EX918" s="10"/>
      <c r="EY918" s="10"/>
      <c r="EZ918" s="10"/>
      <c r="FA918" s="10"/>
      <c r="FB918" s="10"/>
      <c r="FC918" s="10"/>
      <c r="FD918" s="10"/>
      <c r="FE918" s="10"/>
      <c r="FF918" s="10"/>
      <c r="FG918" s="10"/>
      <c r="FH918" s="10"/>
      <c r="FI918" s="10"/>
      <c r="FJ918" s="10"/>
      <c r="FK918" s="10"/>
      <c r="FL918" s="10"/>
      <c r="FM918" s="10"/>
      <c r="FN918" s="10"/>
      <c r="FO918" s="10"/>
      <c r="FP918" s="10"/>
      <c r="FQ918" s="10"/>
      <c r="FR918" s="10"/>
      <c r="FS918" s="10"/>
      <c r="FT918" s="10"/>
      <c r="FU918" s="10"/>
      <c r="FV918" s="10"/>
      <c r="FW918" s="10"/>
      <c r="FX918" s="10"/>
      <c r="FY918" s="10"/>
      <c r="FZ918" s="10"/>
      <c r="GA918" s="10"/>
      <c r="GB918" s="10"/>
      <c r="GC918" s="10"/>
      <c r="GD918" s="10"/>
      <c r="GE918" s="10"/>
      <c r="GF918" s="10"/>
      <c r="GG918" s="10"/>
      <c r="GH918" s="10"/>
      <c r="GI918" s="10"/>
      <c r="GJ918" s="10"/>
      <c r="GK918" s="10"/>
      <c r="GL918" s="10"/>
      <c r="GM918" s="10"/>
      <c r="GN918" s="10"/>
      <c r="GO918" s="10"/>
      <c r="GP918" s="10"/>
      <c r="GQ918" s="10"/>
      <c r="GR918" s="10"/>
      <c r="GS918" s="10"/>
      <c r="GT918" s="10"/>
      <c r="GU918" s="10"/>
      <c r="GV918" s="10"/>
      <c r="GW918" s="10"/>
      <c r="GX918" s="10"/>
      <c r="GY918" s="10"/>
      <c r="GZ918" s="10"/>
      <c r="HA918" s="10"/>
      <c r="HB918" s="10"/>
      <c r="HC918" s="10"/>
      <c r="HD918" s="10"/>
      <c r="HE918" s="10"/>
      <c r="HF918" s="10"/>
      <c r="HG918" s="10"/>
      <c r="HH918" s="10"/>
      <c r="HI918" s="10"/>
      <c r="HJ918" s="10"/>
      <c r="HK918" s="10"/>
      <c r="HL918" s="10"/>
      <c r="HM918" s="10"/>
      <c r="HN918" s="10"/>
      <c r="HO918" s="10"/>
      <c r="HP918" s="10"/>
      <c r="HQ918" s="10"/>
      <c r="HR918" s="10"/>
      <c r="HS918" s="10"/>
      <c r="HT918" s="10"/>
      <c r="HU918" s="10"/>
      <c r="HV918" s="10"/>
      <c r="HW918" s="10"/>
      <c r="HX918" s="10"/>
      <c r="HY918" s="10"/>
      <c r="HZ918" s="10"/>
      <c r="IA918" s="10"/>
      <c r="IB918" s="10"/>
      <c r="IC918" s="10"/>
      <c r="ID918" s="10"/>
      <c r="IE918" s="10"/>
      <c r="IF918" s="10"/>
      <c r="IG918" s="10"/>
      <c r="IH918" s="10"/>
      <c r="II918" s="10"/>
      <c r="IJ918" s="10"/>
      <c r="IK918" s="10"/>
      <c r="IL918" s="10"/>
      <c r="IM918" s="10"/>
      <c r="IN918" s="10"/>
      <c r="IO918" s="10"/>
      <c r="IP918" s="10"/>
      <c r="IQ918" s="10"/>
      <c r="IR918" s="10"/>
      <c r="IS918" s="10"/>
      <c r="IT918" s="10"/>
      <c r="IU918" s="10"/>
      <c r="IV918" s="10"/>
      <c r="IW918" s="10"/>
      <c r="IX918" s="10"/>
      <c r="IY918" s="10"/>
      <c r="IZ918" s="10"/>
      <c r="JA918" s="10"/>
      <c r="JB918" s="10"/>
      <c r="JC918" s="10"/>
      <c r="JD918" s="10"/>
      <c r="JE918" s="10"/>
      <c r="JF918" s="10"/>
      <c r="JG918" s="10"/>
      <c r="JH918" s="10"/>
      <c r="JI918" s="10"/>
      <c r="JJ918" s="10"/>
      <c r="JK918" s="10"/>
      <c r="JL918" s="10"/>
      <c r="JM918" s="10"/>
      <c r="JN918" s="10"/>
      <c r="JO918" s="10"/>
      <c r="JP918" s="10"/>
      <c r="JQ918" s="10"/>
      <c r="JR918" s="10"/>
      <c r="JS918" s="10"/>
      <c r="JT918" s="10"/>
      <c r="JU918" s="10"/>
      <c r="JV918" s="10"/>
      <c r="JW918" s="10"/>
      <c r="JX918" s="10"/>
      <c r="JY918" s="10"/>
      <c r="JZ918" s="10"/>
      <c r="KA918" s="10"/>
      <c r="KB918" s="10"/>
      <c r="KC918" s="10"/>
      <c r="KD918" s="10"/>
      <c r="KE918" s="10"/>
      <c r="KF918" s="10"/>
      <c r="KG918" s="10"/>
      <c r="KH918" s="10"/>
      <c r="KI918" s="10"/>
      <c r="KJ918" s="10"/>
      <c r="KK918" s="10"/>
      <c r="KL918" s="10"/>
      <c r="KM918" s="10"/>
      <c r="KN918" s="10"/>
      <c r="KO918" s="10"/>
      <c r="KP918" s="10"/>
      <c r="KQ918" s="10"/>
      <c r="KR918" s="10"/>
      <c r="KS918" s="10"/>
      <c r="KT918" s="10"/>
      <c r="KU918" s="10"/>
      <c r="KV918" s="10"/>
      <c r="KW918" s="10"/>
      <c r="KX918" s="10"/>
      <c r="KY918" s="10"/>
      <c r="KZ918" s="10"/>
      <c r="LA918" s="10"/>
      <c r="LB918" s="10"/>
      <c r="LC918" s="10"/>
      <c r="LD918" s="10"/>
      <c r="LE918" s="10"/>
      <c r="LF918" s="10"/>
      <c r="LG918" s="10"/>
      <c r="LH918" s="10"/>
      <c r="LI918" s="10"/>
      <c r="LJ918" s="10"/>
      <c r="LK918" s="10"/>
      <c r="LL918" s="10"/>
      <c r="LM918" s="10"/>
      <c r="LN918" s="10"/>
      <c r="LO918" s="10"/>
      <c r="LP918" s="10"/>
      <c r="LQ918" s="10"/>
      <c r="LR918" s="10"/>
      <c r="LS918" s="10"/>
      <c r="LT918" s="10"/>
      <c r="LU918" s="10"/>
      <c r="LV918" s="10"/>
      <c r="LW918" s="10"/>
      <c r="LX918" s="10"/>
      <c r="LY918" s="10"/>
      <c r="LZ918" s="10"/>
      <c r="MA918" s="10"/>
      <c r="MB918" s="10"/>
      <c r="MC918" s="10"/>
      <c r="MD918" s="10"/>
      <c r="ME918" s="10"/>
      <c r="MF918" s="10"/>
      <c r="MG918" s="10"/>
      <c r="MH918" s="10"/>
      <c r="MI918" s="10"/>
      <c r="MJ918" s="10"/>
      <c r="MK918" s="10"/>
      <c r="ML918" s="10"/>
      <c r="MM918" s="10"/>
      <c r="MN918" s="10"/>
      <c r="MO918" s="10"/>
      <c r="MP918" s="10"/>
      <c r="MQ918" s="10"/>
      <c r="MR918" s="10"/>
      <c r="MS918" s="10"/>
      <c r="MT918" s="10"/>
      <c r="MU918" s="10"/>
      <c r="MV918" s="10"/>
      <c r="MW918" s="10"/>
      <c r="MX918" s="10"/>
      <c r="MY918" s="10"/>
      <c r="MZ918" s="10"/>
      <c r="NA918" s="10"/>
      <c r="NB918" s="10"/>
      <c r="NC918" s="10"/>
      <c r="ND918" s="10"/>
      <c r="NE918" s="10"/>
      <c r="NF918" s="10"/>
      <c r="NG918" s="10"/>
      <c r="NH918" s="10"/>
      <c r="NI918" s="10"/>
      <c r="NJ918" s="10"/>
      <c r="NK918" s="10"/>
      <c r="NL918" s="10"/>
      <c r="NM918" s="10"/>
      <c r="NN918" s="10"/>
      <c r="NO918" s="10"/>
      <c r="NP918" s="10"/>
      <c r="NQ918" s="10"/>
      <c r="NR918" s="10"/>
      <c r="NS918" s="10"/>
      <c r="NT918" s="10"/>
      <c r="NU918" s="10"/>
      <c r="NV918" s="10"/>
      <c r="NW918" s="10"/>
      <c r="NX918" s="10"/>
      <c r="NY918" s="10"/>
      <c r="NZ918" s="10"/>
      <c r="OA918" s="10"/>
      <c r="OB918" s="10"/>
      <c r="OC918" s="10"/>
      <c r="OD918" s="10"/>
      <c r="OE918" s="10"/>
      <c r="OF918" s="10"/>
      <c r="OG918" s="10"/>
      <c r="OH918" s="10"/>
      <c r="OI918" s="10"/>
      <c r="OJ918" s="10"/>
      <c r="OK918" s="10"/>
      <c r="OL918" s="10"/>
      <c r="OM918" s="10"/>
      <c r="ON918" s="10"/>
      <c r="OO918" s="10"/>
      <c r="OP918" s="10"/>
      <c r="OQ918" s="10"/>
      <c r="OR918" s="10"/>
      <c r="OS918" s="10"/>
      <c r="OT918" s="10"/>
      <c r="OU918" s="10"/>
      <c r="OV918" s="10"/>
      <c r="OW918" s="10"/>
      <c r="OX918" s="10"/>
      <c r="OY918" s="10"/>
      <c r="OZ918" s="10"/>
      <c r="PA918" s="10"/>
      <c r="PB918" s="10"/>
      <c r="PC918" s="10"/>
      <c r="PD918" s="10"/>
      <c r="PE918" s="10"/>
      <c r="PF918" s="10"/>
      <c r="PG918" s="10"/>
      <c r="PH918" s="10"/>
      <c r="PI918" s="10"/>
      <c r="PJ918" s="10"/>
      <c r="PK918" s="10"/>
      <c r="PL918" s="10"/>
      <c r="PM918" s="10"/>
      <c r="PN918" s="10"/>
      <c r="PO918" s="10"/>
      <c r="PP918" s="10"/>
      <c r="PQ918" s="10"/>
      <c r="PR918" s="10"/>
      <c r="PS918" s="10"/>
      <c r="PT918" s="10"/>
      <c r="PU918" s="10"/>
      <c r="PV918" s="10"/>
      <c r="PW918" s="10"/>
      <c r="PX918" s="10"/>
      <c r="PY918" s="10"/>
      <c r="PZ918" s="10"/>
      <c r="QA918" s="10"/>
      <c r="QB918" s="10"/>
      <c r="QC918" s="10"/>
      <c r="QD918" s="10"/>
      <c r="QE918" s="10"/>
      <c r="QF918" s="10"/>
      <c r="QG918" s="10"/>
      <c r="QH918" s="10"/>
      <c r="QI918" s="10"/>
      <c r="QJ918" s="10"/>
      <c r="QK918" s="10"/>
      <c r="QL918" s="10"/>
      <c r="QM918" s="10"/>
      <c r="QN918" s="10"/>
      <c r="QO918" s="10"/>
      <c r="QP918" s="10"/>
      <c r="QQ918" s="10"/>
      <c r="QR918" s="10"/>
      <c r="QS918" s="10"/>
      <c r="QT918" s="10"/>
      <c r="QU918" s="10"/>
      <c r="QV918" s="10"/>
      <c r="QW918" s="10"/>
      <c r="QX918" s="10"/>
      <c r="QY918" s="10"/>
      <c r="QZ918" s="10"/>
      <c r="RA918" s="10"/>
      <c r="RB918" s="10"/>
      <c r="RC918" s="10"/>
      <c r="RD918" s="10"/>
      <c r="RE918" s="10"/>
      <c r="RF918" s="10"/>
      <c r="RG918" s="10"/>
      <c r="RH918" s="10"/>
      <c r="RI918" s="10"/>
      <c r="RJ918" s="10"/>
      <c r="RK918" s="10"/>
      <c r="RL918" s="10"/>
      <c r="RM918" s="10"/>
      <c r="RN918" s="10"/>
      <c r="RO918" s="10"/>
      <c r="RP918" s="10"/>
      <c r="RQ918" s="10"/>
      <c r="RR918" s="10"/>
      <c r="RS918" s="10"/>
      <c r="RT918" s="10"/>
      <c r="RU918" s="10"/>
      <c r="RV918" s="10"/>
      <c r="RW918" s="10"/>
      <c r="RX918" s="10"/>
      <c r="RY918" s="10"/>
      <c r="RZ918" s="10"/>
      <c r="SA918" s="10"/>
      <c r="SB918" s="10"/>
      <c r="SC918" s="10"/>
      <c r="SD918" s="10"/>
      <c r="SE918" s="10"/>
      <c r="SF918" s="10"/>
      <c r="SG918" s="10"/>
      <c r="SH918" s="10"/>
      <c r="SI918" s="10"/>
      <c r="SJ918" s="10"/>
      <c r="SK918" s="10"/>
      <c r="SL918" s="10"/>
      <c r="SM918" s="10"/>
      <c r="SN918" s="10"/>
      <c r="SO918" s="10"/>
      <c r="SP918" s="10"/>
      <c r="SQ918" s="10"/>
      <c r="SR918" s="10"/>
      <c r="SS918" s="10"/>
      <c r="ST918" s="10"/>
      <c r="SU918" s="10"/>
      <c r="SV918" s="10"/>
      <c r="SW918" s="10"/>
      <c r="SX918" s="10"/>
      <c r="SY918" s="10"/>
      <c r="SZ918" s="10"/>
      <c r="TA918" s="10"/>
      <c r="TB918" s="10"/>
      <c r="TC918" s="10"/>
      <c r="TD918" s="10"/>
      <c r="TE918" s="10"/>
      <c r="TF918" s="10"/>
      <c r="TG918" s="10"/>
      <c r="TH918" s="10"/>
      <c r="TI918" s="10"/>
      <c r="TJ918" s="10"/>
      <c r="TK918" s="10"/>
      <c r="TL918" s="10"/>
      <c r="TM918" s="10"/>
      <c r="TN918" s="10"/>
      <c r="TO918" s="10"/>
      <c r="TP918" s="10"/>
      <c r="TQ918" s="10"/>
      <c r="TR918" s="10"/>
      <c r="TS918" s="10"/>
      <c r="TT918" s="10"/>
      <c r="TU918" s="10"/>
      <c r="TV918" s="10"/>
      <c r="TW918" s="10"/>
      <c r="TX918" s="10"/>
      <c r="TY918" s="10"/>
      <c r="TZ918" s="10"/>
      <c r="UA918" s="10"/>
      <c r="UB918" s="10"/>
      <c r="UC918" s="10"/>
      <c r="UD918" s="10"/>
      <c r="UE918" s="10"/>
      <c r="UF918" s="10"/>
      <c r="UG918" s="10"/>
      <c r="UH918" s="10"/>
      <c r="UI918" s="10"/>
      <c r="UJ918" s="10"/>
      <c r="UK918" s="10"/>
      <c r="UL918" s="10"/>
      <c r="UM918" s="10"/>
      <c r="UN918" s="10"/>
      <c r="UO918" s="10"/>
      <c r="UP918" s="10"/>
      <c r="UQ918" s="10"/>
      <c r="UR918" s="10"/>
      <c r="US918" s="10"/>
      <c r="UT918" s="10"/>
      <c r="UU918" s="10"/>
      <c r="UV918" s="10"/>
      <c r="UW918" s="10"/>
      <c r="UX918" s="10"/>
      <c r="UY918" s="10"/>
      <c r="UZ918" s="10"/>
      <c r="VA918" s="10"/>
      <c r="VB918" s="10"/>
      <c r="VC918" s="10"/>
      <c r="VD918" s="10"/>
      <c r="VE918" s="10"/>
      <c r="VF918" s="10"/>
      <c r="VG918" s="10"/>
      <c r="VH918" s="10"/>
      <c r="VI918" s="10"/>
      <c r="VJ918" s="10"/>
      <c r="VK918" s="10"/>
      <c r="VL918" s="10"/>
      <c r="VM918" s="10"/>
      <c r="VN918" s="10"/>
      <c r="VO918" s="10"/>
      <c r="VP918" s="10"/>
      <c r="VQ918" s="10"/>
      <c r="VR918" s="10"/>
      <c r="VS918" s="10"/>
      <c r="VT918" s="10"/>
      <c r="VU918" s="10"/>
      <c r="VV918" s="10"/>
      <c r="VW918" s="10"/>
      <c r="VX918" s="10"/>
      <c r="VY918" s="10"/>
      <c r="VZ918" s="10"/>
      <c r="WA918" s="10"/>
      <c r="WB918" s="10"/>
      <c r="WC918" s="10"/>
      <c r="WD918" s="10"/>
      <c r="WE918" s="10"/>
      <c r="WF918" s="10"/>
      <c r="WG918" s="10"/>
      <c r="WH918" s="10"/>
      <c r="WI918" s="10"/>
      <c r="WJ918" s="10"/>
      <c r="WK918" s="10"/>
      <c r="WL918" s="10"/>
      <c r="WM918" s="10"/>
      <c r="WN918" s="10"/>
      <c r="WO918" s="10"/>
      <c r="WP918" s="10"/>
      <c r="WQ918" s="10"/>
      <c r="WR918" s="10"/>
      <c r="WS918" s="10"/>
      <c r="WT918" s="10"/>
      <c r="WU918" s="10"/>
      <c r="WV918" s="10"/>
      <c r="WW918" s="10"/>
      <c r="WX918" s="10"/>
      <c r="WY918" s="10"/>
      <c r="WZ918" s="10"/>
      <c r="XA918" s="10"/>
      <c r="XB918" s="10"/>
      <c r="XC918" s="10"/>
      <c r="XD918" s="10"/>
      <c r="XE918" s="10"/>
      <c r="XF918" s="10"/>
      <c r="XG918" s="10"/>
      <c r="XH918" s="10"/>
      <c r="XI918" s="10"/>
      <c r="XJ918" s="10"/>
      <c r="XK918" s="10"/>
      <c r="XL918" s="10"/>
      <c r="XM918" s="10"/>
      <c r="XN918" s="10"/>
      <c r="XO918" s="10"/>
      <c r="XP918" s="10"/>
      <c r="XQ918" s="10"/>
      <c r="XR918" s="10"/>
      <c r="XS918" s="10"/>
      <c r="XT918" s="10"/>
      <c r="XU918" s="10"/>
      <c r="XV918" s="10"/>
      <c r="XW918" s="10"/>
      <c r="XX918" s="10"/>
      <c r="XY918" s="10"/>
      <c r="XZ918" s="10"/>
      <c r="YA918" s="10"/>
      <c r="YB918" s="10"/>
      <c r="YC918" s="10"/>
      <c r="YD918" s="10"/>
      <c r="YE918" s="10"/>
      <c r="YF918" s="10"/>
      <c r="YG918" s="10"/>
      <c r="YH918" s="10"/>
      <c r="YI918" s="10"/>
      <c r="YJ918" s="10"/>
      <c r="YK918" s="10"/>
      <c r="YL918" s="10"/>
      <c r="YM918" s="10"/>
      <c r="YN918" s="10"/>
      <c r="YO918" s="10"/>
      <c r="YP918" s="10"/>
      <c r="YQ918" s="10"/>
      <c r="YR918" s="10"/>
      <c r="YS918" s="10"/>
      <c r="YT918" s="10"/>
      <c r="YU918" s="10"/>
      <c r="YV918" s="10"/>
      <c r="YW918" s="10"/>
      <c r="YX918" s="10"/>
      <c r="YY918" s="10"/>
      <c r="YZ918" s="10"/>
      <c r="ZA918" s="10"/>
      <c r="ZB918" s="10"/>
      <c r="ZC918" s="10"/>
      <c r="ZD918" s="10"/>
      <c r="ZE918" s="10"/>
      <c r="ZF918" s="10"/>
      <c r="ZG918" s="10"/>
      <c r="ZH918" s="10"/>
      <c r="ZI918" s="10"/>
      <c r="ZJ918" s="10"/>
      <c r="ZK918" s="10"/>
      <c r="ZL918" s="10"/>
      <c r="ZM918" s="10"/>
      <c r="ZN918" s="10"/>
      <c r="ZO918" s="10"/>
      <c r="ZP918" s="10"/>
      <c r="ZQ918" s="10"/>
      <c r="ZR918" s="10"/>
      <c r="ZS918" s="10"/>
      <c r="ZT918" s="10"/>
      <c r="ZU918" s="10"/>
      <c r="ZV918" s="10"/>
      <c r="ZW918" s="10"/>
      <c r="ZX918" s="10"/>
      <c r="ZY918" s="10"/>
      <c r="ZZ918" s="10"/>
      <c r="AAA918" s="10"/>
      <c r="AAB918" s="10"/>
      <c r="AAC918" s="10"/>
      <c r="AAD918" s="10"/>
      <c r="AAE918" s="10"/>
      <c r="AAF918" s="10"/>
      <c r="AAG918" s="10"/>
      <c r="AAH918" s="10"/>
      <c r="AAI918" s="10"/>
      <c r="AAJ918" s="10"/>
      <c r="AAK918" s="10"/>
      <c r="AAL918" s="10"/>
      <c r="AAM918" s="10"/>
      <c r="AAN918" s="10"/>
      <c r="AAO918" s="10"/>
      <c r="AAP918" s="10"/>
      <c r="AAQ918" s="10"/>
      <c r="AAR918" s="10"/>
      <c r="AAS918" s="10"/>
      <c r="AAT918" s="10"/>
      <c r="AAU918" s="10"/>
      <c r="AAV918" s="10"/>
      <c r="AAW918" s="10"/>
      <c r="AAX918" s="10"/>
      <c r="AAY918" s="10"/>
      <c r="AAZ918" s="10"/>
      <c r="ABA918" s="10"/>
      <c r="ABB918" s="10"/>
      <c r="ABC918" s="10"/>
      <c r="ABD918" s="10"/>
      <c r="ABE918" s="10"/>
      <c r="ABF918" s="10"/>
      <c r="ABG918" s="10"/>
      <c r="ABH918" s="10"/>
      <c r="ABI918" s="10"/>
      <c r="ABJ918" s="10"/>
      <c r="ABK918" s="10"/>
      <c r="ABL918" s="10"/>
      <c r="ABM918" s="10"/>
      <c r="ABN918" s="10"/>
      <c r="ABO918" s="10"/>
      <c r="ABP918" s="10"/>
      <c r="ABQ918" s="10"/>
      <c r="ABR918" s="10"/>
      <c r="ABS918" s="10"/>
      <c r="ABT918" s="10"/>
      <c r="ABU918" s="10"/>
      <c r="ABV918" s="10"/>
      <c r="ABW918" s="10"/>
      <c r="ABX918" s="10"/>
      <c r="ABY918" s="10"/>
      <c r="ABZ918" s="10"/>
      <c r="ACA918" s="10"/>
      <c r="ACB918" s="10"/>
      <c r="ACC918" s="10"/>
      <c r="ACD918" s="10"/>
      <c r="ACE918" s="10"/>
      <c r="ACF918" s="10"/>
      <c r="ACG918" s="10"/>
      <c r="ACH918" s="10"/>
      <c r="ACI918" s="10"/>
      <c r="ACJ918" s="10"/>
      <c r="ACK918" s="10"/>
      <c r="ACL918" s="10"/>
      <c r="ACM918" s="10"/>
      <c r="ACN918" s="10"/>
      <c r="ACO918" s="10"/>
      <c r="ACP918" s="10"/>
      <c r="ACQ918" s="10"/>
      <c r="ACR918" s="10"/>
      <c r="ACS918" s="10"/>
      <c r="ACT918" s="10"/>
      <c r="ACU918" s="10"/>
      <c r="ACV918" s="10"/>
      <c r="ACW918" s="10"/>
      <c r="ACX918" s="10"/>
      <c r="ACY918" s="10"/>
      <c r="ACZ918" s="10"/>
      <c r="ADA918" s="10"/>
      <c r="ADB918" s="10"/>
      <c r="ADC918" s="10"/>
      <c r="ADD918" s="10"/>
      <c r="ADE918" s="10"/>
      <c r="ADF918" s="10"/>
      <c r="ADG918" s="10"/>
      <c r="ADH918" s="10"/>
      <c r="ADI918" s="10"/>
      <c r="ADJ918" s="10"/>
      <c r="ADK918" s="10"/>
      <c r="ADL918" s="10"/>
      <c r="ADM918" s="10"/>
      <c r="ADN918" s="10"/>
      <c r="ADO918" s="10"/>
      <c r="ADP918" s="10"/>
      <c r="ADQ918" s="10"/>
      <c r="ADR918" s="10"/>
      <c r="ADS918" s="10"/>
      <c r="ADT918" s="10"/>
      <c r="ADU918" s="10"/>
      <c r="ADV918" s="10"/>
      <c r="ADW918" s="10"/>
      <c r="ADX918" s="10"/>
      <c r="ADY918" s="10"/>
      <c r="ADZ918" s="10"/>
      <c r="AEA918" s="10"/>
      <c r="AEB918" s="10"/>
      <c r="AEC918" s="10"/>
      <c r="AED918" s="10"/>
      <c r="AEE918" s="10"/>
      <c r="AEF918" s="10"/>
      <c r="AEG918" s="10"/>
      <c r="AEH918" s="10"/>
      <c r="AEI918" s="10"/>
      <c r="AEJ918" s="10"/>
      <c r="AEK918" s="10"/>
      <c r="AEL918" s="10"/>
      <c r="AEM918" s="10"/>
      <c r="AEN918" s="10"/>
      <c r="AEO918" s="10"/>
      <c r="AEP918" s="10"/>
      <c r="AEQ918" s="10"/>
      <c r="AER918" s="10"/>
      <c r="AES918" s="10"/>
      <c r="AET918" s="10"/>
      <c r="AEU918" s="10"/>
      <c r="AEV918" s="10"/>
      <c r="AEW918" s="10"/>
      <c r="AEX918" s="10"/>
      <c r="AEY918" s="10"/>
      <c r="AEZ918" s="10"/>
      <c r="AFA918" s="10"/>
      <c r="AFB918" s="10"/>
      <c r="AFC918" s="10"/>
      <c r="AFD918" s="10"/>
      <c r="AFE918" s="10"/>
      <c r="AFF918" s="10"/>
      <c r="AFG918" s="10"/>
      <c r="AFH918" s="10"/>
      <c r="AFI918" s="10"/>
      <c r="AFJ918" s="10"/>
      <c r="AFK918" s="10"/>
      <c r="AFL918" s="10"/>
      <c r="AFM918" s="10"/>
      <c r="AFN918" s="10"/>
      <c r="AFO918" s="10"/>
      <c r="AFP918" s="10"/>
      <c r="AFQ918" s="10"/>
      <c r="AFR918" s="10"/>
      <c r="AFS918" s="10"/>
      <c r="AFT918" s="10"/>
      <c r="AFU918" s="10"/>
      <c r="AFV918" s="10"/>
      <c r="AFW918" s="10"/>
      <c r="AFX918" s="10"/>
      <c r="AFY918" s="10"/>
      <c r="AFZ918" s="10"/>
      <c r="AGA918" s="10"/>
      <c r="AGB918" s="10"/>
      <c r="AGC918" s="10"/>
      <c r="AGD918" s="10"/>
      <c r="AGE918" s="10"/>
      <c r="AGF918" s="10"/>
      <c r="AGG918" s="10"/>
      <c r="AGH918" s="10"/>
      <c r="AGI918" s="10"/>
      <c r="AGJ918" s="10"/>
      <c r="AGK918" s="10"/>
      <c r="AGL918" s="10"/>
      <c r="AGM918" s="10"/>
      <c r="AGN918" s="10"/>
      <c r="AGO918" s="10"/>
      <c r="AGP918" s="10"/>
      <c r="AGQ918" s="10"/>
      <c r="AGR918" s="10"/>
      <c r="AGS918" s="10"/>
      <c r="AGT918" s="10"/>
      <c r="AGU918" s="10"/>
      <c r="AGV918" s="10"/>
      <c r="AGW918" s="10"/>
      <c r="AGX918" s="10"/>
      <c r="AGY918" s="10"/>
      <c r="AGZ918" s="10"/>
      <c r="AHA918" s="10"/>
      <c r="AHB918" s="10"/>
      <c r="AHC918" s="10"/>
      <c r="AHD918" s="10"/>
      <c r="AHE918" s="10"/>
      <c r="AHF918" s="10"/>
      <c r="AHG918" s="10"/>
      <c r="AHH918" s="10"/>
      <c r="AHI918" s="10"/>
      <c r="AHJ918" s="10"/>
      <c r="AHK918" s="10"/>
      <c r="AHL918" s="10"/>
      <c r="AHM918" s="10"/>
      <c r="AHN918" s="10"/>
      <c r="AHO918" s="10"/>
      <c r="AHP918" s="10"/>
      <c r="AHQ918" s="10"/>
      <c r="AHR918" s="10"/>
      <c r="AHS918" s="10"/>
      <c r="AHT918" s="10"/>
      <c r="AHU918" s="10"/>
      <c r="AHV918" s="10"/>
      <c r="AHW918" s="10"/>
      <c r="AHX918" s="10"/>
      <c r="AHY918" s="10"/>
      <c r="AHZ918" s="10"/>
      <c r="AIA918" s="10"/>
      <c r="AIB918" s="10"/>
      <c r="AIC918" s="10"/>
      <c r="AID918" s="10"/>
      <c r="AIE918" s="10"/>
      <c r="AIF918" s="10"/>
      <c r="AIG918" s="10"/>
      <c r="AIH918" s="10"/>
      <c r="AII918" s="10"/>
      <c r="AIJ918" s="10"/>
      <c r="AIK918" s="10"/>
      <c r="AIL918" s="10"/>
      <c r="AIM918" s="10"/>
      <c r="AIN918" s="10"/>
      <c r="AIO918" s="10"/>
      <c r="AIP918" s="10"/>
      <c r="AIQ918" s="10"/>
      <c r="AIR918" s="10"/>
      <c r="AIS918" s="10"/>
      <c r="AIT918" s="10"/>
      <c r="AIU918" s="10"/>
      <c r="AIV918" s="10"/>
      <c r="AIW918" s="10"/>
      <c r="AIX918" s="10"/>
      <c r="AIY918" s="10"/>
      <c r="AIZ918" s="10"/>
      <c r="AJA918" s="10"/>
      <c r="AJB918" s="10"/>
      <c r="AJC918" s="10"/>
      <c r="AJD918" s="10"/>
      <c r="AJE918" s="10"/>
      <c r="AJF918" s="10"/>
      <c r="AJG918" s="10"/>
      <c r="AJH918" s="10"/>
      <c r="AJI918" s="10"/>
      <c r="AJJ918" s="10"/>
      <c r="AJK918" s="10"/>
      <c r="AJL918" s="10"/>
      <c r="AJM918" s="10"/>
      <c r="AJN918" s="10"/>
      <c r="AJO918" s="10"/>
      <c r="AJP918" s="10"/>
      <c r="AJQ918" s="10"/>
      <c r="AJR918" s="10"/>
      <c r="AJS918" s="10"/>
      <c r="AJT918" s="10"/>
      <c r="AJU918" s="10"/>
      <c r="AJV918" s="10"/>
      <c r="AJW918" s="10"/>
      <c r="AJX918" s="10"/>
      <c r="AJY918" s="10"/>
      <c r="AJZ918" s="10"/>
      <c r="AKA918" s="10"/>
      <c r="AKB918" s="10"/>
      <c r="AKC918" s="10"/>
      <c r="AKD918" s="10"/>
      <c r="AKE918" s="10"/>
      <c r="AKF918" s="10"/>
      <c r="AKG918" s="10"/>
      <c r="AKH918" s="10"/>
      <c r="AKI918" s="10"/>
      <c r="AKJ918" s="10"/>
      <c r="AKK918" s="10"/>
      <c r="AKL918" s="10"/>
      <c r="AKM918" s="10"/>
      <c r="AKN918" s="10"/>
      <c r="AKO918" s="10"/>
      <c r="AKP918" s="10"/>
      <c r="AKQ918" s="10"/>
      <c r="AKR918" s="10"/>
      <c r="AKS918" s="10"/>
      <c r="AKT918" s="10"/>
      <c r="AKU918" s="10"/>
      <c r="AKV918" s="10"/>
      <c r="AKW918" s="10"/>
      <c r="AKX918" s="10"/>
      <c r="AKY918" s="10"/>
      <c r="AKZ918" s="10"/>
      <c r="ALA918" s="10"/>
      <c r="ALB918" s="10"/>
      <c r="ALC918" s="10"/>
      <c r="ALD918" s="10"/>
      <c r="ALE918" s="10"/>
      <c r="ALF918" s="10"/>
      <c r="ALG918" s="10"/>
      <c r="ALH918" s="10"/>
      <c r="ALI918" s="10"/>
      <c r="ALJ918" s="10"/>
      <c r="ALK918" s="10"/>
      <c r="ALL918" s="10"/>
      <c r="ALM918" s="10"/>
      <c r="ALN918" s="10"/>
      <c r="ALO918" s="10"/>
      <c r="ALP918" s="10"/>
      <c r="ALQ918" s="10"/>
      <c r="ALR918" s="10"/>
      <c r="ALS918" s="10"/>
      <c r="ALT918" s="10"/>
      <c r="ALU918" s="10"/>
      <c r="ALV918" s="10"/>
      <c r="ALW918" s="10"/>
      <c r="ALX918" s="10"/>
      <c r="ALY918" s="10"/>
      <c r="ALZ918" s="10"/>
      <c r="AMA918" s="10"/>
      <c r="AMB918" s="10"/>
      <c r="AMC918" s="10"/>
      <c r="AMD918" s="10"/>
      <c r="AME918" s="10"/>
      <c r="AMF918" s="10"/>
      <c r="AMG918" s="10"/>
      <c r="AMH918" s="10"/>
      <c r="AMI918" s="10"/>
      <c r="AMJ918" s="10"/>
      <c r="AMK918" s="10"/>
      <c r="AML918" s="10"/>
      <c r="AMM918" s="10"/>
      <c r="AMN918" s="10"/>
      <c r="AMO918" s="10"/>
      <c r="AMP918" s="10"/>
      <c r="AMQ918" s="10"/>
      <c r="AMR918" s="10"/>
      <c r="AMS918" s="10"/>
      <c r="AMT918" s="10"/>
      <c r="AMU918" s="10"/>
      <c r="AMV918" s="10"/>
      <c r="AMW918" s="10"/>
      <c r="AMX918" s="10"/>
      <c r="AMY918" s="10"/>
      <c r="AMZ918" s="10"/>
      <c r="ANA918" s="10"/>
      <c r="ANB918" s="10"/>
      <c r="ANC918" s="10"/>
      <c r="AND918" s="10"/>
      <c r="ANE918" s="10"/>
      <c r="ANF918" s="10"/>
      <c r="ANG918" s="10"/>
      <c r="ANH918" s="10"/>
      <c r="ANI918" s="10"/>
      <c r="ANJ918" s="10"/>
      <c r="ANK918" s="10"/>
      <c r="ANL918" s="10"/>
      <c r="ANM918" s="10"/>
      <c r="ANN918" s="10"/>
      <c r="ANO918" s="10"/>
      <c r="ANP918" s="10"/>
      <c r="ANQ918" s="10"/>
      <c r="ANR918" s="10"/>
      <c r="ANS918" s="10"/>
      <c r="ANT918" s="10"/>
      <c r="ANU918" s="10"/>
      <c r="ANV918" s="10"/>
      <c r="ANW918" s="10"/>
      <c r="ANX918" s="10"/>
      <c r="ANY918" s="10"/>
      <c r="ANZ918" s="10"/>
      <c r="AOA918" s="10"/>
      <c r="AOB918" s="10"/>
      <c r="AOC918" s="10"/>
      <c r="AOD918" s="10"/>
      <c r="AOE918" s="10"/>
      <c r="AOF918" s="10"/>
      <c r="AOG918" s="10"/>
      <c r="AOH918" s="10"/>
      <c r="AOI918" s="10"/>
      <c r="AOJ918" s="10"/>
      <c r="AOK918" s="10"/>
      <c r="AOL918" s="10"/>
      <c r="AOM918" s="10"/>
      <c r="AON918" s="10"/>
      <c r="AOO918" s="10"/>
      <c r="AOP918" s="10"/>
      <c r="AOQ918" s="10"/>
      <c r="AOR918" s="10"/>
      <c r="AOS918" s="10"/>
      <c r="AOT918" s="10"/>
      <c r="AOU918" s="10"/>
      <c r="AOV918" s="10"/>
      <c r="AOW918" s="10"/>
      <c r="AOX918" s="10"/>
      <c r="AOY918" s="10"/>
      <c r="AOZ918" s="10"/>
      <c r="APA918" s="10"/>
      <c r="APB918" s="10"/>
      <c r="APC918" s="10"/>
      <c r="APD918" s="10"/>
      <c r="APE918" s="10"/>
      <c r="APF918" s="10"/>
      <c r="APG918" s="10"/>
      <c r="APH918" s="10"/>
      <c r="API918" s="10"/>
      <c r="APJ918" s="10"/>
      <c r="APK918" s="10"/>
      <c r="APL918" s="10"/>
      <c r="APM918" s="10"/>
      <c r="APN918" s="10"/>
      <c r="APO918" s="10"/>
      <c r="APP918" s="10"/>
      <c r="APQ918" s="10"/>
      <c r="APR918" s="10"/>
      <c r="APS918" s="10"/>
      <c r="APT918" s="10"/>
      <c r="APU918" s="10"/>
      <c r="APV918" s="10"/>
      <c r="APW918" s="10"/>
      <c r="APX918" s="10"/>
      <c r="APY918" s="10"/>
      <c r="APZ918" s="10"/>
      <c r="AQA918" s="10"/>
      <c r="AQB918" s="10"/>
      <c r="AQC918" s="10"/>
      <c r="AQD918" s="10"/>
      <c r="AQE918" s="10"/>
      <c r="AQF918" s="10"/>
      <c r="AQG918" s="10"/>
      <c r="AQH918" s="10"/>
      <c r="AQI918" s="10"/>
      <c r="AQJ918" s="10"/>
      <c r="AQK918" s="10"/>
      <c r="AQL918" s="10"/>
      <c r="AQM918" s="10"/>
      <c r="AQN918" s="10"/>
      <c r="AQO918" s="10"/>
      <c r="AQP918" s="10"/>
      <c r="AQQ918" s="10"/>
      <c r="AQR918" s="10"/>
      <c r="AQS918" s="10"/>
      <c r="AQT918" s="10"/>
      <c r="AQU918" s="10"/>
      <c r="AQV918" s="10"/>
      <c r="AQW918" s="10"/>
      <c r="AQX918" s="10"/>
      <c r="AQY918" s="10"/>
      <c r="AQZ918" s="10"/>
      <c r="ARA918" s="10"/>
      <c r="ARB918" s="10"/>
      <c r="ARC918" s="10"/>
      <c r="ARD918" s="10"/>
      <c r="ARE918" s="10"/>
      <c r="ARF918" s="10"/>
      <c r="ARG918" s="10"/>
      <c r="ARH918" s="10"/>
      <c r="ARI918" s="10"/>
      <c r="ARJ918" s="10"/>
      <c r="ARK918" s="10"/>
      <c r="ARL918" s="10"/>
      <c r="ARM918" s="10"/>
      <c r="ARN918" s="10"/>
      <c r="ARO918" s="10"/>
      <c r="ARP918" s="10"/>
      <c r="ARQ918" s="10"/>
      <c r="ARR918" s="10"/>
      <c r="ARS918" s="10"/>
      <c r="ART918" s="10"/>
      <c r="ARU918" s="10"/>
      <c r="ARV918" s="10"/>
      <c r="ARW918" s="10"/>
      <c r="ARX918" s="10"/>
      <c r="ARY918" s="10"/>
      <c r="ARZ918" s="10"/>
      <c r="ASA918" s="10"/>
      <c r="ASB918" s="10"/>
      <c r="ASC918" s="10"/>
      <c r="ASD918" s="10"/>
      <c r="ASE918" s="10"/>
      <c r="ASF918" s="10"/>
      <c r="ASG918" s="10"/>
      <c r="ASH918" s="10"/>
      <c r="ASI918" s="10"/>
      <c r="ASJ918" s="10"/>
      <c r="ASK918" s="10"/>
      <c r="ASL918" s="10"/>
      <c r="ASM918" s="10"/>
      <c r="ASN918" s="10"/>
      <c r="ASO918" s="10"/>
      <c r="ASP918" s="10"/>
      <c r="ASQ918" s="10"/>
      <c r="ASR918" s="10"/>
      <c r="ASS918" s="10"/>
      <c r="AST918" s="10"/>
      <c r="ASU918" s="10"/>
      <c r="ASV918" s="10"/>
      <c r="ASW918" s="10"/>
      <c r="ASX918" s="10"/>
      <c r="ASY918" s="10"/>
      <c r="ASZ918" s="10"/>
      <c r="ATA918" s="10"/>
      <c r="ATB918" s="10"/>
      <c r="ATC918" s="10"/>
      <c r="ATD918" s="10"/>
      <c r="ATE918" s="10"/>
      <c r="ATF918" s="10"/>
      <c r="ATG918" s="10"/>
      <c r="ATH918" s="10"/>
      <c r="ATI918" s="10"/>
      <c r="ATJ918" s="10"/>
      <c r="ATK918" s="10"/>
      <c r="ATL918" s="10"/>
      <c r="ATM918" s="10"/>
      <c r="ATN918" s="10"/>
      <c r="ATO918" s="10"/>
      <c r="ATP918" s="10"/>
      <c r="ATQ918" s="10"/>
      <c r="ATR918" s="10"/>
      <c r="ATS918" s="10"/>
      <c r="ATT918" s="10"/>
      <c r="ATU918" s="10"/>
      <c r="ATV918" s="10"/>
      <c r="ATW918" s="10"/>
      <c r="ATX918" s="10"/>
      <c r="ATY918" s="10"/>
      <c r="ATZ918" s="10"/>
      <c r="AUA918" s="10"/>
      <c r="AUB918" s="10"/>
      <c r="AUC918" s="10"/>
      <c r="AUD918" s="10"/>
      <c r="AUE918" s="10"/>
      <c r="AUF918" s="10"/>
      <c r="AUG918" s="10"/>
      <c r="AUH918" s="10"/>
      <c r="AUI918" s="10"/>
      <c r="AUJ918" s="10"/>
      <c r="AUK918" s="10"/>
      <c r="AUL918" s="10"/>
      <c r="AUM918" s="10"/>
      <c r="AUN918" s="10"/>
      <c r="AUO918" s="10"/>
      <c r="AUP918" s="10"/>
      <c r="AUQ918" s="10"/>
      <c r="AUR918" s="10"/>
      <c r="AUS918" s="10"/>
      <c r="AUT918" s="10"/>
      <c r="AUU918" s="10"/>
      <c r="AUV918" s="10"/>
      <c r="AUW918" s="10"/>
      <c r="AUX918" s="10"/>
      <c r="AUY918" s="10"/>
      <c r="AUZ918" s="10"/>
      <c r="AVA918" s="10"/>
      <c r="AVB918" s="10"/>
      <c r="AVC918" s="10"/>
      <c r="AVD918" s="10"/>
      <c r="AVE918" s="10"/>
      <c r="AVF918" s="10"/>
      <c r="AVG918" s="10"/>
      <c r="AVH918" s="10"/>
      <c r="AVI918" s="10"/>
      <c r="AVJ918" s="10"/>
      <c r="AVK918" s="10"/>
      <c r="AVL918" s="10"/>
      <c r="AVM918" s="10"/>
      <c r="AVN918" s="10"/>
      <c r="AVO918" s="10"/>
      <c r="AVP918" s="10"/>
      <c r="AVQ918" s="10"/>
      <c r="AVR918" s="10"/>
      <c r="AVS918" s="10"/>
      <c r="AVT918" s="10"/>
      <c r="AVU918" s="10"/>
      <c r="AVV918" s="10"/>
      <c r="AVW918" s="10"/>
      <c r="AVX918" s="10"/>
      <c r="AVY918" s="10"/>
      <c r="AVZ918" s="10"/>
      <c r="AWA918" s="10"/>
      <c r="AWB918" s="10"/>
      <c r="AWC918" s="10"/>
      <c r="AWD918" s="10"/>
      <c r="AWE918" s="10"/>
      <c r="AWF918" s="10"/>
      <c r="AWG918" s="10"/>
      <c r="AWH918" s="10"/>
      <c r="AWI918" s="10"/>
      <c r="AWJ918" s="10"/>
      <c r="AWK918" s="10"/>
      <c r="AWL918" s="10"/>
      <c r="AWM918" s="10"/>
      <c r="AWN918" s="10"/>
      <c r="AWO918" s="10"/>
      <c r="AWP918" s="10"/>
      <c r="AWQ918" s="10"/>
      <c r="AWR918" s="10"/>
      <c r="AWS918" s="10"/>
      <c r="AWT918" s="10"/>
      <c r="AWU918" s="10"/>
      <c r="AWV918" s="10"/>
      <c r="AWW918" s="10"/>
      <c r="AWX918" s="10"/>
      <c r="AWY918" s="10"/>
      <c r="AWZ918" s="10"/>
      <c r="AXA918" s="10"/>
      <c r="AXB918" s="10"/>
      <c r="AXC918" s="10"/>
      <c r="AXD918" s="10"/>
      <c r="AXE918" s="10"/>
      <c r="AXF918" s="10"/>
      <c r="AXG918" s="10"/>
      <c r="AXH918" s="10"/>
      <c r="AXI918" s="10"/>
      <c r="AXJ918" s="10"/>
      <c r="AXK918" s="10"/>
      <c r="AXL918" s="10"/>
      <c r="AXM918" s="10"/>
      <c r="AXN918" s="10"/>
      <c r="AXO918" s="10"/>
      <c r="AXP918" s="10"/>
      <c r="AXQ918" s="10"/>
      <c r="AXR918" s="10"/>
      <c r="AXS918" s="10"/>
      <c r="AXT918" s="10"/>
      <c r="AXU918" s="10"/>
      <c r="AXV918" s="10"/>
      <c r="AXW918" s="10"/>
      <c r="AXX918" s="10"/>
      <c r="AXY918" s="10"/>
      <c r="AXZ918" s="10"/>
      <c r="AYA918" s="10"/>
      <c r="AYB918" s="10"/>
      <c r="AYC918" s="10"/>
      <c r="AYD918" s="10"/>
      <c r="AYE918" s="10"/>
      <c r="AYF918" s="10"/>
      <c r="AYG918" s="10"/>
      <c r="AYH918" s="10"/>
      <c r="AYI918" s="10"/>
      <c r="AYJ918" s="10"/>
      <c r="AYK918" s="10"/>
      <c r="AYL918" s="10"/>
      <c r="AYM918" s="10"/>
      <c r="AYN918" s="10"/>
      <c r="AYO918" s="10"/>
      <c r="AYP918" s="10"/>
      <c r="AYQ918" s="10"/>
      <c r="AYR918" s="10"/>
      <c r="AYS918" s="10"/>
      <c r="AYT918" s="10"/>
      <c r="AYU918" s="10"/>
      <c r="AYV918" s="10"/>
      <c r="AYW918" s="10"/>
      <c r="AYX918" s="10"/>
      <c r="AYY918" s="10"/>
      <c r="AYZ918" s="10"/>
      <c r="AZA918" s="10"/>
      <c r="AZB918" s="10"/>
      <c r="AZC918" s="10"/>
      <c r="AZD918" s="10"/>
      <c r="AZE918" s="10"/>
      <c r="AZF918" s="10"/>
      <c r="AZG918" s="10"/>
      <c r="AZH918" s="10"/>
      <c r="AZI918" s="10"/>
      <c r="AZJ918" s="10"/>
      <c r="AZK918" s="10"/>
      <c r="AZL918" s="10"/>
      <c r="AZM918" s="10"/>
      <c r="AZN918" s="10"/>
      <c r="AZO918" s="10"/>
      <c r="AZP918" s="10"/>
      <c r="AZQ918" s="10"/>
      <c r="AZR918" s="10"/>
      <c r="AZS918" s="10"/>
      <c r="AZT918" s="10"/>
      <c r="AZU918" s="10"/>
      <c r="AZV918" s="10"/>
      <c r="AZW918" s="10"/>
      <c r="AZX918" s="10"/>
      <c r="AZY918" s="10"/>
      <c r="AZZ918" s="10"/>
      <c r="BAA918" s="10"/>
      <c r="BAB918" s="10"/>
      <c r="BAC918" s="10"/>
      <c r="BAD918" s="10"/>
      <c r="BAE918" s="10"/>
      <c r="BAF918" s="10"/>
      <c r="BAG918" s="10"/>
      <c r="BAH918" s="10"/>
      <c r="BAI918" s="10"/>
      <c r="BAJ918" s="10"/>
      <c r="BAK918" s="10"/>
      <c r="BAL918" s="10"/>
      <c r="BAM918" s="10"/>
      <c r="BAN918" s="10"/>
      <c r="BAO918" s="10"/>
      <c r="BAP918" s="10"/>
      <c r="BAQ918" s="10"/>
      <c r="BAR918" s="10"/>
      <c r="BAS918" s="10"/>
      <c r="BAT918" s="10"/>
      <c r="BAU918" s="10"/>
      <c r="BAV918" s="10"/>
      <c r="BAW918" s="10"/>
      <c r="BAX918" s="10"/>
      <c r="BAY918" s="10"/>
      <c r="BAZ918" s="10"/>
      <c r="BBA918" s="10"/>
      <c r="BBB918" s="10"/>
      <c r="BBC918" s="10"/>
      <c r="BBD918" s="10"/>
      <c r="BBE918" s="10"/>
      <c r="BBF918" s="10"/>
      <c r="BBG918" s="10"/>
      <c r="BBH918" s="10"/>
      <c r="BBI918" s="10"/>
      <c r="BBJ918" s="10"/>
      <c r="BBK918" s="10"/>
      <c r="BBL918" s="10"/>
      <c r="BBM918" s="10"/>
      <c r="BBN918" s="10"/>
      <c r="BBO918" s="10"/>
      <c r="BBP918" s="10"/>
      <c r="BBQ918" s="10"/>
      <c r="BBR918" s="10"/>
      <c r="BBS918" s="10"/>
      <c r="BBT918" s="10"/>
      <c r="BBU918" s="10"/>
      <c r="BBV918" s="10"/>
      <c r="BBW918" s="10"/>
      <c r="BBX918" s="10"/>
      <c r="BBY918" s="10"/>
      <c r="BBZ918" s="10"/>
      <c r="BCA918" s="10"/>
      <c r="BCB918" s="10"/>
      <c r="BCC918" s="10"/>
      <c r="BCD918" s="10"/>
      <c r="BCE918" s="10"/>
      <c r="BCF918" s="10"/>
      <c r="BCG918" s="10"/>
      <c r="BCH918" s="10"/>
      <c r="BCI918" s="10"/>
      <c r="BCJ918" s="10"/>
      <c r="BCK918" s="10"/>
      <c r="BCL918" s="10"/>
      <c r="BCM918" s="10"/>
      <c r="BCN918" s="10"/>
      <c r="BCO918" s="10"/>
      <c r="BCP918" s="10"/>
      <c r="BCQ918" s="10"/>
      <c r="BCR918" s="10"/>
      <c r="BCS918" s="10"/>
      <c r="BCT918" s="10"/>
      <c r="BCU918" s="10"/>
      <c r="BCV918" s="10"/>
      <c r="BCW918" s="10"/>
      <c r="BCX918" s="10"/>
      <c r="BCY918" s="10"/>
      <c r="BCZ918" s="10"/>
      <c r="BDA918" s="10"/>
      <c r="BDB918" s="10"/>
      <c r="BDC918" s="10"/>
      <c r="BDD918" s="10"/>
      <c r="BDE918" s="10"/>
      <c r="BDF918" s="10"/>
      <c r="BDG918" s="10"/>
      <c r="BDH918" s="10"/>
      <c r="BDI918" s="10"/>
      <c r="BDJ918" s="10"/>
      <c r="BDK918" s="10"/>
      <c r="BDL918" s="10"/>
      <c r="BDM918" s="10"/>
      <c r="BDN918" s="10"/>
      <c r="BDO918" s="10"/>
      <c r="BDP918" s="10"/>
      <c r="BDQ918" s="10"/>
      <c r="BDR918" s="10"/>
      <c r="BDS918" s="10"/>
      <c r="BDT918" s="10"/>
      <c r="BDU918" s="10"/>
      <c r="BDV918" s="10"/>
      <c r="BDW918" s="10"/>
      <c r="BDX918" s="10"/>
      <c r="BDY918" s="10"/>
      <c r="BDZ918" s="10"/>
      <c r="BEA918" s="10"/>
      <c r="BEB918" s="10"/>
      <c r="BEC918" s="10"/>
      <c r="BED918" s="10"/>
      <c r="BEE918" s="10"/>
      <c r="BEF918" s="10"/>
      <c r="BEG918" s="10"/>
      <c r="BEH918" s="10"/>
      <c r="BEI918" s="10"/>
      <c r="BEJ918" s="10"/>
      <c r="BEK918" s="10"/>
      <c r="BEL918" s="10"/>
      <c r="BEM918" s="10"/>
      <c r="BEN918" s="10"/>
      <c r="BEO918" s="10"/>
      <c r="BEP918" s="10"/>
      <c r="BEQ918" s="10"/>
      <c r="BER918" s="10"/>
      <c r="BES918" s="10"/>
      <c r="BET918" s="10"/>
      <c r="BEU918" s="10"/>
      <c r="BEV918" s="10"/>
      <c r="BEW918" s="10"/>
      <c r="BEX918" s="10"/>
      <c r="BEY918" s="10"/>
      <c r="BEZ918" s="10"/>
      <c r="BFA918" s="10"/>
      <c r="BFB918" s="10"/>
      <c r="BFC918" s="10"/>
      <c r="BFD918" s="10"/>
      <c r="BFE918" s="10"/>
      <c r="BFF918" s="10"/>
      <c r="BFG918" s="10"/>
      <c r="BFH918" s="10"/>
      <c r="BFI918" s="10"/>
      <c r="BFJ918" s="10"/>
      <c r="BFK918" s="10"/>
      <c r="BFL918" s="10"/>
      <c r="BFM918" s="10"/>
      <c r="BFN918" s="10"/>
      <c r="BFO918" s="10"/>
      <c r="BFP918" s="10"/>
      <c r="BFQ918" s="10"/>
      <c r="BFR918" s="10"/>
      <c r="BFS918" s="10"/>
      <c r="BFT918" s="10"/>
      <c r="BFU918" s="10"/>
      <c r="BFV918" s="10"/>
      <c r="BFW918" s="10"/>
      <c r="BFX918" s="10"/>
      <c r="BFY918" s="10"/>
      <c r="BFZ918" s="10"/>
      <c r="BGA918" s="10"/>
      <c r="BGB918" s="10"/>
      <c r="BGC918" s="10"/>
      <c r="BGD918" s="10"/>
      <c r="BGE918" s="10"/>
      <c r="BGF918" s="10"/>
      <c r="BGG918" s="10"/>
      <c r="BGH918" s="10"/>
      <c r="BGI918" s="10"/>
      <c r="BGJ918" s="10"/>
      <c r="BGK918" s="10"/>
      <c r="BGL918" s="10"/>
      <c r="BGM918" s="10"/>
      <c r="BGN918" s="10"/>
      <c r="BGO918" s="10"/>
      <c r="BGP918" s="10"/>
      <c r="BGQ918" s="10"/>
      <c r="BGR918" s="10"/>
      <c r="BGS918" s="10"/>
      <c r="BGT918" s="10"/>
      <c r="BGU918" s="10"/>
      <c r="BGV918" s="10"/>
      <c r="BGW918" s="10"/>
      <c r="BGX918" s="10"/>
      <c r="BGY918" s="10"/>
      <c r="BGZ918" s="10"/>
      <c r="BHA918" s="10"/>
      <c r="BHB918" s="10"/>
      <c r="BHC918" s="10"/>
      <c r="BHD918" s="10"/>
      <c r="BHE918" s="10"/>
      <c r="BHF918" s="10"/>
      <c r="BHG918" s="10"/>
      <c r="BHH918" s="10"/>
      <c r="BHI918" s="10"/>
      <c r="BHJ918" s="10"/>
      <c r="BHK918" s="10"/>
      <c r="BHL918" s="10"/>
      <c r="BHM918" s="10"/>
      <c r="BHN918" s="10"/>
      <c r="BHO918" s="10"/>
      <c r="BHP918" s="10"/>
      <c r="BHQ918" s="10"/>
      <c r="BHR918" s="10"/>
      <c r="BHS918" s="10"/>
      <c r="BHT918" s="10"/>
      <c r="BHU918" s="10"/>
      <c r="BHV918" s="10"/>
      <c r="BHW918" s="10"/>
      <c r="BHX918" s="10"/>
      <c r="BHY918" s="10"/>
      <c r="BHZ918" s="10"/>
      <c r="BIA918" s="10"/>
      <c r="BIB918" s="10"/>
      <c r="BIC918" s="10"/>
      <c r="BID918" s="10"/>
      <c r="BIE918" s="10"/>
      <c r="BIF918" s="10"/>
      <c r="BIG918" s="10"/>
      <c r="BIH918" s="10"/>
      <c r="BII918" s="10"/>
      <c r="BIJ918" s="10"/>
      <c r="BIK918" s="10"/>
      <c r="BIL918" s="10"/>
      <c r="BIM918" s="10"/>
      <c r="BIN918" s="10"/>
      <c r="BIO918" s="10"/>
      <c r="BIP918" s="10"/>
      <c r="BIQ918" s="10"/>
      <c r="BIR918" s="10"/>
      <c r="BIS918" s="10"/>
      <c r="BIT918" s="10"/>
      <c r="BIU918" s="10"/>
      <c r="BIV918" s="10"/>
      <c r="BIW918" s="10"/>
      <c r="BIX918" s="10"/>
      <c r="BIY918" s="10"/>
      <c r="BIZ918" s="10"/>
      <c r="BJA918" s="10"/>
      <c r="BJB918" s="10"/>
      <c r="BJC918" s="10"/>
      <c r="BJD918" s="10"/>
      <c r="BJE918" s="10"/>
      <c r="BJF918" s="10"/>
      <c r="BJG918" s="10"/>
      <c r="BJH918" s="10"/>
      <c r="BJI918" s="10"/>
      <c r="BJJ918" s="10"/>
      <c r="BJK918" s="10"/>
      <c r="BJL918" s="10"/>
      <c r="BJM918" s="10"/>
      <c r="BJN918" s="10"/>
      <c r="BJO918" s="10"/>
      <c r="BJP918" s="10"/>
      <c r="BJQ918" s="10"/>
      <c r="BJR918" s="10"/>
      <c r="BJS918" s="10"/>
      <c r="BJT918" s="10"/>
      <c r="BJU918" s="10"/>
      <c r="BJV918" s="10"/>
      <c r="BJW918" s="10"/>
      <c r="BJX918" s="10"/>
      <c r="BJY918" s="10"/>
      <c r="BJZ918" s="10"/>
      <c r="BKA918" s="10"/>
      <c r="BKB918" s="10"/>
      <c r="BKC918" s="10"/>
      <c r="BKD918" s="10"/>
      <c r="BKE918" s="10"/>
      <c r="BKF918" s="10"/>
      <c r="BKG918" s="10"/>
      <c r="BKH918" s="10"/>
      <c r="BKI918" s="10"/>
      <c r="BKJ918" s="10"/>
      <c r="BKK918" s="10"/>
      <c r="BKL918" s="10"/>
      <c r="BKM918" s="10"/>
      <c r="BKN918" s="10"/>
      <c r="BKO918" s="10"/>
      <c r="BKP918" s="10"/>
      <c r="BKQ918" s="10"/>
      <c r="BKR918" s="10"/>
      <c r="BKS918" s="10"/>
      <c r="BKT918" s="10"/>
      <c r="BKU918" s="10"/>
      <c r="BKV918" s="10"/>
      <c r="BKW918" s="10"/>
      <c r="BKX918" s="10"/>
      <c r="BKY918" s="10"/>
      <c r="BKZ918" s="10"/>
      <c r="BLA918" s="10"/>
      <c r="BLB918" s="10"/>
      <c r="BLC918" s="10"/>
      <c r="BLD918" s="10"/>
      <c r="BLE918" s="10"/>
      <c r="BLF918" s="10"/>
      <c r="BLG918" s="10"/>
      <c r="BLH918" s="10"/>
      <c r="BLI918" s="10"/>
      <c r="BLJ918" s="10"/>
      <c r="BLK918" s="10"/>
      <c r="BLL918" s="10"/>
      <c r="BLM918" s="10"/>
      <c r="BLN918" s="10"/>
      <c r="BLO918" s="10"/>
      <c r="BLP918" s="10"/>
      <c r="BLQ918" s="10"/>
      <c r="BLR918" s="10"/>
      <c r="BLS918" s="10"/>
      <c r="BLT918" s="10"/>
      <c r="BLU918" s="10"/>
      <c r="BLV918" s="10"/>
      <c r="BLW918" s="10"/>
      <c r="BLX918" s="10"/>
      <c r="BLY918" s="10"/>
      <c r="BLZ918" s="10"/>
      <c r="BMA918" s="10"/>
      <c r="BMB918" s="10"/>
      <c r="BMC918" s="10"/>
      <c r="BMD918" s="10"/>
      <c r="BME918" s="10"/>
      <c r="BMF918" s="10"/>
      <c r="BMG918" s="10"/>
      <c r="BMH918" s="10"/>
      <c r="BMI918" s="10"/>
      <c r="BMJ918" s="10"/>
      <c r="BMK918" s="10"/>
      <c r="BML918" s="10"/>
      <c r="BMM918" s="10"/>
      <c r="BMN918" s="10"/>
      <c r="BMO918" s="10"/>
      <c r="BMP918" s="10"/>
      <c r="BMQ918" s="10"/>
      <c r="BMR918" s="10"/>
      <c r="BMS918" s="10"/>
      <c r="BMT918" s="10"/>
      <c r="BMU918" s="10"/>
      <c r="BMV918" s="10"/>
      <c r="BMW918" s="10"/>
      <c r="BMX918" s="10"/>
      <c r="BMY918" s="10"/>
      <c r="BMZ918" s="10"/>
      <c r="BNA918" s="10"/>
      <c r="BNB918" s="10"/>
      <c r="BNC918" s="10"/>
      <c r="BND918" s="10"/>
      <c r="BNE918" s="10"/>
      <c r="BNF918" s="10"/>
      <c r="BNG918" s="10"/>
      <c r="BNH918" s="10"/>
      <c r="BNI918" s="10"/>
      <c r="BNJ918" s="10"/>
      <c r="BNK918" s="10"/>
      <c r="BNL918" s="10"/>
      <c r="BNM918" s="10"/>
      <c r="BNN918" s="10"/>
      <c r="BNO918" s="10"/>
      <c r="BNP918" s="10"/>
      <c r="BNQ918" s="10"/>
      <c r="BNR918" s="10"/>
      <c r="BNS918" s="10"/>
      <c r="BNT918" s="10"/>
      <c r="BNU918" s="10"/>
      <c r="BNV918" s="10"/>
      <c r="BNW918" s="10"/>
      <c r="BNX918" s="10"/>
      <c r="BNY918" s="10"/>
      <c r="BNZ918" s="10"/>
      <c r="BOA918" s="10"/>
      <c r="BOB918" s="10"/>
      <c r="BOC918" s="10"/>
      <c r="BOD918" s="10"/>
      <c r="BOE918" s="10"/>
      <c r="BOF918" s="10"/>
      <c r="BOG918" s="10"/>
      <c r="BOH918" s="10"/>
      <c r="BOI918" s="10"/>
      <c r="BOJ918" s="10"/>
      <c r="BOK918" s="10"/>
      <c r="BOL918" s="10"/>
      <c r="BOM918" s="10"/>
      <c r="BON918" s="10"/>
      <c r="BOO918" s="10"/>
      <c r="BOP918" s="10"/>
      <c r="BOQ918" s="10"/>
      <c r="BOR918" s="10"/>
      <c r="BOS918" s="10"/>
      <c r="BOT918" s="10"/>
      <c r="BOU918" s="10"/>
      <c r="BOV918" s="10"/>
      <c r="BOW918" s="10"/>
      <c r="BOX918" s="10"/>
      <c r="BOY918" s="10"/>
      <c r="BOZ918" s="10"/>
      <c r="BPA918" s="10"/>
      <c r="BPB918" s="10"/>
      <c r="BPC918" s="10"/>
      <c r="BPD918" s="10"/>
      <c r="BPE918" s="10"/>
      <c r="BPF918" s="10"/>
      <c r="BPG918" s="10"/>
      <c r="BPH918" s="10"/>
      <c r="BPI918" s="10"/>
      <c r="BPJ918" s="10"/>
      <c r="BPK918" s="10"/>
      <c r="BPL918" s="10"/>
      <c r="BPM918" s="10"/>
      <c r="BPN918" s="10"/>
      <c r="BPO918" s="10"/>
      <c r="BPP918" s="10"/>
      <c r="BPQ918" s="10"/>
      <c r="BPR918" s="10"/>
      <c r="BPS918" s="10"/>
      <c r="BPT918" s="10"/>
      <c r="BPU918" s="10"/>
      <c r="BPV918" s="10"/>
      <c r="BPW918" s="10"/>
      <c r="BPX918" s="10"/>
      <c r="BPY918" s="10"/>
      <c r="BPZ918" s="10"/>
      <c r="BQA918" s="10"/>
      <c r="BQB918" s="10"/>
      <c r="BQC918" s="10"/>
      <c r="BQD918" s="10"/>
      <c r="BQE918" s="10"/>
      <c r="BQF918" s="10"/>
      <c r="BQG918" s="10"/>
      <c r="BQH918" s="10"/>
      <c r="BQI918" s="10"/>
      <c r="BQJ918" s="10"/>
      <c r="BQK918" s="10"/>
      <c r="BQL918" s="10"/>
      <c r="BQM918" s="10"/>
      <c r="BQN918" s="10"/>
      <c r="BQO918" s="10"/>
      <c r="BQP918" s="10"/>
      <c r="BQQ918" s="10"/>
      <c r="BQR918" s="10"/>
      <c r="BQS918" s="10"/>
      <c r="BQT918" s="10"/>
      <c r="BQU918" s="10"/>
      <c r="BQV918" s="10"/>
      <c r="BQW918" s="10"/>
      <c r="BQX918" s="10"/>
      <c r="BQY918" s="10"/>
      <c r="BQZ918" s="10"/>
      <c r="BRA918" s="10"/>
      <c r="BRB918" s="10"/>
      <c r="BRC918" s="10"/>
      <c r="BRD918" s="10"/>
      <c r="BRE918" s="10"/>
      <c r="BRF918" s="10"/>
      <c r="BRG918" s="10"/>
      <c r="BRH918" s="10"/>
      <c r="BRI918" s="10"/>
      <c r="BRJ918" s="10"/>
      <c r="BRK918" s="10"/>
      <c r="BRL918" s="10"/>
      <c r="BRM918" s="10"/>
      <c r="BRN918" s="10"/>
      <c r="BRO918" s="10"/>
      <c r="BRP918" s="10"/>
      <c r="BRQ918" s="10"/>
      <c r="BRR918" s="10"/>
      <c r="BRS918" s="10"/>
      <c r="BRT918" s="10"/>
      <c r="BRU918" s="10"/>
      <c r="BRV918" s="10"/>
      <c r="BRW918" s="10"/>
      <c r="BRX918" s="10"/>
      <c r="BRY918" s="10"/>
      <c r="BRZ918" s="10"/>
      <c r="BSA918" s="10"/>
      <c r="BSB918" s="10"/>
      <c r="BSC918" s="10"/>
      <c r="BSD918" s="10"/>
      <c r="BSE918" s="10"/>
      <c r="BSF918" s="10"/>
      <c r="BSG918" s="10"/>
      <c r="BSH918" s="10"/>
      <c r="BSI918" s="10"/>
      <c r="BSJ918" s="10"/>
      <c r="BSK918" s="10"/>
      <c r="BSL918" s="10"/>
      <c r="BSM918" s="10"/>
      <c r="BSN918" s="10"/>
      <c r="BSO918" s="10"/>
      <c r="BSP918" s="10"/>
      <c r="BSQ918" s="10"/>
      <c r="BSR918" s="10"/>
      <c r="BSS918" s="10"/>
      <c r="BST918" s="10"/>
      <c r="BSU918" s="10"/>
      <c r="BSV918" s="10"/>
      <c r="BSW918" s="10"/>
      <c r="BSX918" s="10"/>
      <c r="BSY918" s="10"/>
      <c r="BSZ918" s="10"/>
      <c r="BTA918" s="10"/>
      <c r="BTB918" s="10"/>
      <c r="BTC918" s="10"/>
      <c r="BTD918" s="10"/>
      <c r="BTE918" s="10"/>
      <c r="BTF918" s="10"/>
      <c r="BTG918" s="10"/>
      <c r="BTH918" s="10"/>
      <c r="BTI918" s="10"/>
      <c r="BTJ918" s="10"/>
      <c r="BTK918" s="10"/>
      <c r="BTL918" s="10"/>
      <c r="BTM918" s="10"/>
      <c r="BTN918" s="10"/>
      <c r="BTO918" s="10"/>
      <c r="BTP918" s="10"/>
      <c r="BTQ918" s="10"/>
      <c r="BTR918" s="10"/>
      <c r="BTS918" s="10"/>
      <c r="BTT918" s="10"/>
    </row>
    <row r="919" spans="1:1892" s="10" customFormat="1" ht="35.1" customHeight="1">
      <c r="A919" s="1462"/>
      <c r="B919" s="597" t="s">
        <v>1074</v>
      </c>
      <c r="C919" s="597"/>
      <c r="D919" s="1010" t="s">
        <v>907</v>
      </c>
      <c r="E919" s="1011"/>
      <c r="F919" s="1012"/>
      <c r="G919" s="1028" t="s">
        <v>54</v>
      </c>
      <c r="H919" s="1028" t="s">
        <v>54</v>
      </c>
      <c r="I919" s="1028" t="s">
        <v>54</v>
      </c>
      <c r="J919" s="653" t="s">
        <v>67</v>
      </c>
      <c r="K919" s="653" t="s">
        <v>66</v>
      </c>
      <c r="L919" s="128" t="s">
        <v>624</v>
      </c>
      <c r="M919" s="221">
        <v>85</v>
      </c>
      <c r="N919" s="143">
        <v>0</v>
      </c>
      <c r="O919" s="143">
        <v>0</v>
      </c>
      <c r="P919" s="579" t="s">
        <v>54</v>
      </c>
      <c r="Q919" s="579" t="s">
        <v>54</v>
      </c>
      <c r="R919" s="579" t="s">
        <v>54</v>
      </c>
      <c r="S919" s="579" t="s">
        <v>54</v>
      </c>
      <c r="T919" s="579" t="s">
        <v>54</v>
      </c>
      <c r="U919" s="579" t="s">
        <v>54</v>
      </c>
    </row>
    <row r="920" spans="1:1892" s="10" customFormat="1" ht="35.1" customHeight="1">
      <c r="A920" s="1462"/>
      <c r="B920" s="503"/>
      <c r="C920" s="503"/>
      <c r="D920" s="1013"/>
      <c r="E920" s="1014"/>
      <c r="F920" s="1015"/>
      <c r="G920" s="1029"/>
      <c r="H920" s="1029"/>
      <c r="I920" s="1029"/>
      <c r="J920" s="654"/>
      <c r="K920" s="654"/>
      <c r="L920" s="128" t="s">
        <v>625</v>
      </c>
      <c r="M920" s="221">
        <v>81</v>
      </c>
      <c r="N920" s="143">
        <v>0</v>
      </c>
      <c r="O920" s="143">
        <v>0</v>
      </c>
      <c r="P920" s="580"/>
      <c r="Q920" s="580"/>
      <c r="R920" s="580"/>
      <c r="S920" s="580"/>
      <c r="T920" s="580"/>
      <c r="U920" s="580"/>
    </row>
    <row r="921" spans="1:1892" s="10" customFormat="1" ht="35.1" customHeight="1">
      <c r="A921" s="1462"/>
      <c r="B921" s="503"/>
      <c r="C921" s="503"/>
      <c r="D921" s="1013"/>
      <c r="E921" s="1014"/>
      <c r="F921" s="1015"/>
      <c r="G921" s="1029"/>
      <c r="H921" s="1029"/>
      <c r="I921" s="1029"/>
      <c r="J921" s="654"/>
      <c r="K921" s="654"/>
      <c r="L921" s="128" t="s">
        <v>626</v>
      </c>
      <c r="M921" s="221">
        <v>249</v>
      </c>
      <c r="N921" s="143">
        <v>0</v>
      </c>
      <c r="O921" s="143">
        <v>0</v>
      </c>
      <c r="P921" s="580"/>
      <c r="Q921" s="580"/>
      <c r="R921" s="580"/>
      <c r="S921" s="580"/>
      <c r="T921" s="580"/>
      <c r="U921" s="580"/>
    </row>
    <row r="922" spans="1:1892" s="10" customFormat="1" ht="35.1" customHeight="1">
      <c r="A922" s="1462"/>
      <c r="B922" s="503"/>
      <c r="C922" s="503"/>
      <c r="D922" s="1013"/>
      <c r="E922" s="1014"/>
      <c r="F922" s="1015"/>
      <c r="G922" s="1029"/>
      <c r="H922" s="1029"/>
      <c r="I922" s="1029"/>
      <c r="J922" s="654"/>
      <c r="K922" s="654"/>
      <c r="L922" s="128" t="s">
        <v>627</v>
      </c>
      <c r="M922" s="221">
        <v>248</v>
      </c>
      <c r="N922" s="143">
        <v>0</v>
      </c>
      <c r="O922" s="143">
        <v>0</v>
      </c>
      <c r="P922" s="580"/>
      <c r="Q922" s="580"/>
      <c r="R922" s="580"/>
      <c r="S922" s="580"/>
      <c r="T922" s="580"/>
      <c r="U922" s="580"/>
    </row>
    <row r="923" spans="1:1892" s="10" customFormat="1" ht="35.1" customHeight="1">
      <c r="A923" s="1462"/>
      <c r="B923" s="503"/>
      <c r="C923" s="503"/>
      <c r="D923" s="1013"/>
      <c r="E923" s="1014"/>
      <c r="F923" s="1015"/>
      <c r="G923" s="1029"/>
      <c r="H923" s="1029"/>
      <c r="I923" s="1029"/>
      <c r="J923" s="654"/>
      <c r="K923" s="654"/>
      <c r="L923" s="128" t="s">
        <v>628</v>
      </c>
      <c r="M923" s="221">
        <v>52</v>
      </c>
      <c r="N923" s="143">
        <v>0</v>
      </c>
      <c r="O923" s="143">
        <v>0</v>
      </c>
      <c r="P923" s="580"/>
      <c r="Q923" s="580"/>
      <c r="R923" s="580"/>
      <c r="S923" s="580"/>
      <c r="T923" s="580"/>
      <c r="U923" s="580"/>
    </row>
    <row r="924" spans="1:1892" s="10" customFormat="1" ht="35.1" customHeight="1">
      <c r="A924" s="1462"/>
      <c r="B924" s="503"/>
      <c r="C924" s="503"/>
      <c r="D924" s="1013"/>
      <c r="E924" s="1014"/>
      <c r="F924" s="1015"/>
      <c r="G924" s="1029"/>
      <c r="H924" s="1029"/>
      <c r="I924" s="1029"/>
      <c r="J924" s="654"/>
      <c r="K924" s="654"/>
      <c r="L924" s="128" t="s">
        <v>629</v>
      </c>
      <c r="M924" s="221">
        <v>52</v>
      </c>
      <c r="N924" s="143">
        <v>4</v>
      </c>
      <c r="O924" s="143">
        <v>4</v>
      </c>
      <c r="P924" s="580"/>
      <c r="Q924" s="580"/>
      <c r="R924" s="580"/>
      <c r="S924" s="580"/>
      <c r="T924" s="580"/>
      <c r="U924" s="580"/>
    </row>
    <row r="925" spans="1:1892" s="10" customFormat="1" ht="35.1" customHeight="1">
      <c r="A925" s="1462"/>
      <c r="B925" s="503"/>
      <c r="C925" s="503"/>
      <c r="D925" s="1013"/>
      <c r="E925" s="1014"/>
      <c r="F925" s="1015"/>
      <c r="G925" s="1030"/>
      <c r="H925" s="1030"/>
      <c r="I925" s="1030"/>
      <c r="J925" s="655"/>
      <c r="K925" s="655"/>
      <c r="L925" s="128" t="s">
        <v>630</v>
      </c>
      <c r="M925" s="221">
        <v>2</v>
      </c>
      <c r="N925" s="143">
        <v>1</v>
      </c>
      <c r="O925" s="143">
        <v>1</v>
      </c>
      <c r="P925" s="580"/>
      <c r="Q925" s="580"/>
      <c r="R925" s="580"/>
      <c r="S925" s="580"/>
      <c r="T925" s="580"/>
      <c r="U925" s="580"/>
    </row>
    <row r="926" spans="1:1892" s="10" customFormat="1" ht="35.1" customHeight="1">
      <c r="A926" s="1462"/>
      <c r="B926" s="503"/>
      <c r="C926" s="504"/>
      <c r="D926" s="1016"/>
      <c r="E926" s="1017"/>
      <c r="F926" s="1018"/>
      <c r="G926" s="490"/>
      <c r="H926" s="491"/>
      <c r="I926" s="491"/>
      <c r="J926" s="491"/>
      <c r="K926" s="492"/>
      <c r="L926" s="200"/>
      <c r="M926" s="223">
        <f>SUM(M919:M925)</f>
        <v>769</v>
      </c>
      <c r="N926" s="393">
        <f>SUM(N919:N925)</f>
        <v>5</v>
      </c>
      <c r="O926" s="393">
        <f>SUM(O919:O925)</f>
        <v>5</v>
      </c>
      <c r="P926" s="581"/>
      <c r="Q926" s="581"/>
      <c r="R926" s="581"/>
      <c r="S926" s="581"/>
      <c r="T926" s="581"/>
      <c r="U926" s="581"/>
    </row>
    <row r="927" spans="1:1892" s="10" customFormat="1" ht="35.1" customHeight="1">
      <c r="A927" s="1462"/>
      <c r="B927" s="503"/>
      <c r="C927" s="597"/>
      <c r="D927" s="543" t="s">
        <v>906</v>
      </c>
      <c r="E927" s="544"/>
      <c r="F927" s="545"/>
      <c r="G927" s="639" t="s">
        <v>189</v>
      </c>
      <c r="H927" s="639" t="s">
        <v>189</v>
      </c>
      <c r="I927" s="639" t="s">
        <v>189</v>
      </c>
      <c r="J927" s="653" t="s">
        <v>11</v>
      </c>
      <c r="K927" s="653" t="s">
        <v>12</v>
      </c>
      <c r="L927" s="128" t="s">
        <v>849</v>
      </c>
      <c r="M927" s="221">
        <v>263</v>
      </c>
      <c r="N927" s="143">
        <v>64</v>
      </c>
      <c r="O927" s="143">
        <v>60</v>
      </c>
      <c r="P927" s="579" t="s">
        <v>189</v>
      </c>
      <c r="Q927" s="579" t="s">
        <v>189</v>
      </c>
      <c r="R927" s="579" t="s">
        <v>189</v>
      </c>
      <c r="S927" s="541" t="s">
        <v>189</v>
      </c>
      <c r="T927" s="541" t="s">
        <v>189</v>
      </c>
      <c r="U927" s="541" t="s">
        <v>189</v>
      </c>
    </row>
    <row r="928" spans="1:1892" s="10" customFormat="1" ht="35.1" customHeight="1">
      <c r="A928" s="1462"/>
      <c r="B928" s="503"/>
      <c r="C928" s="503"/>
      <c r="D928" s="546"/>
      <c r="E928" s="547"/>
      <c r="F928" s="548"/>
      <c r="G928" s="640"/>
      <c r="H928" s="640"/>
      <c r="I928" s="640"/>
      <c r="J928" s="654"/>
      <c r="K928" s="654"/>
      <c r="L928" s="128" t="s">
        <v>850</v>
      </c>
      <c r="M928" s="221">
        <v>260</v>
      </c>
      <c r="N928" s="143">
        <v>39</v>
      </c>
      <c r="O928" s="143">
        <v>35</v>
      </c>
      <c r="P928" s="580"/>
      <c r="Q928" s="580"/>
      <c r="R928" s="580"/>
      <c r="S928" s="542"/>
      <c r="T928" s="542"/>
      <c r="U928" s="542"/>
    </row>
    <row r="929" spans="1:1892" s="10" customFormat="1" ht="35.1" customHeight="1">
      <c r="A929" s="1462"/>
      <c r="B929" s="503"/>
      <c r="C929" s="503"/>
      <c r="D929" s="546"/>
      <c r="E929" s="547"/>
      <c r="F929" s="548"/>
      <c r="G929" s="640"/>
      <c r="H929" s="640"/>
      <c r="I929" s="640"/>
      <c r="J929" s="654"/>
      <c r="K929" s="654"/>
      <c r="L929" s="128" t="s">
        <v>851</v>
      </c>
      <c r="M929" s="221">
        <v>137</v>
      </c>
      <c r="N929" s="143">
        <v>70</v>
      </c>
      <c r="O929" s="143">
        <v>66</v>
      </c>
      <c r="P929" s="580"/>
      <c r="Q929" s="580"/>
      <c r="R929" s="580"/>
      <c r="S929" s="542"/>
      <c r="T929" s="542"/>
      <c r="U929" s="542"/>
    </row>
    <row r="930" spans="1:1892" s="10" customFormat="1" ht="35.1" customHeight="1">
      <c r="A930" s="1462"/>
      <c r="B930" s="503"/>
      <c r="C930" s="503"/>
      <c r="D930" s="546"/>
      <c r="E930" s="547"/>
      <c r="F930" s="548"/>
      <c r="G930" s="640"/>
      <c r="H930" s="640"/>
      <c r="I930" s="640"/>
      <c r="J930" s="654"/>
      <c r="K930" s="654"/>
      <c r="L930" s="290">
        <v>113.87</v>
      </c>
      <c r="M930" s="221">
        <v>41</v>
      </c>
      <c r="N930" s="143">
        <v>3</v>
      </c>
      <c r="O930" s="143">
        <v>3</v>
      </c>
      <c r="P930" s="580"/>
      <c r="Q930" s="580"/>
      <c r="R930" s="580"/>
      <c r="S930" s="542"/>
      <c r="T930" s="542"/>
      <c r="U930" s="542"/>
    </row>
    <row r="931" spans="1:1892" s="10" customFormat="1" ht="35.1" customHeight="1">
      <c r="A931" s="1462"/>
      <c r="B931" s="503"/>
      <c r="C931" s="503"/>
      <c r="D931" s="546"/>
      <c r="E931" s="547"/>
      <c r="F931" s="548"/>
      <c r="G931" s="640"/>
      <c r="H931" s="640"/>
      <c r="I931" s="640"/>
      <c r="J931" s="654"/>
      <c r="K931" s="654"/>
      <c r="L931" s="290">
        <v>120.77</v>
      </c>
      <c r="M931" s="221">
        <v>41</v>
      </c>
      <c r="N931" s="143">
        <v>2</v>
      </c>
      <c r="O931" s="143">
        <v>2</v>
      </c>
      <c r="P931" s="580"/>
      <c r="Q931" s="580"/>
      <c r="R931" s="580"/>
      <c r="S931" s="542"/>
      <c r="T931" s="542"/>
      <c r="U931" s="542"/>
    </row>
    <row r="932" spans="1:1892" s="10" customFormat="1" ht="35.1" customHeight="1">
      <c r="A932" s="1462"/>
      <c r="B932" s="503"/>
      <c r="C932" s="503"/>
      <c r="D932" s="546"/>
      <c r="E932" s="547"/>
      <c r="F932" s="548"/>
      <c r="G932" s="641"/>
      <c r="H932" s="641"/>
      <c r="I932" s="641"/>
      <c r="J932" s="655"/>
      <c r="K932" s="655"/>
      <c r="L932" s="128" t="s">
        <v>852</v>
      </c>
      <c r="M932" s="221">
        <v>2</v>
      </c>
      <c r="N932" s="143">
        <v>0</v>
      </c>
      <c r="O932" s="143">
        <v>0</v>
      </c>
      <c r="P932" s="580"/>
      <c r="Q932" s="580"/>
      <c r="R932" s="580"/>
      <c r="S932" s="542"/>
      <c r="T932" s="542"/>
      <c r="U932" s="542"/>
    </row>
    <row r="933" spans="1:1892" s="10" customFormat="1" ht="35.1" customHeight="1">
      <c r="A933" s="1462"/>
      <c r="B933" s="504"/>
      <c r="C933" s="504"/>
      <c r="D933" s="895"/>
      <c r="E933" s="896"/>
      <c r="F933" s="897"/>
      <c r="G933" s="490" t="s">
        <v>329</v>
      </c>
      <c r="H933" s="491"/>
      <c r="I933" s="491"/>
      <c r="J933" s="491"/>
      <c r="K933" s="492"/>
      <c r="L933" s="200"/>
      <c r="M933" s="291">
        <f>SUM(M927:M932)</f>
        <v>744</v>
      </c>
      <c r="N933" s="292">
        <f>SUM(N927:N932)</f>
        <v>178</v>
      </c>
      <c r="O933" s="292">
        <f>SUM(O927:O932)</f>
        <v>166</v>
      </c>
      <c r="P933" s="581"/>
      <c r="Q933" s="581"/>
      <c r="R933" s="581"/>
      <c r="S933" s="572"/>
      <c r="T933" s="572"/>
      <c r="U933" s="572"/>
    </row>
    <row r="934" spans="1:1892" s="9" customFormat="1" ht="35.1" customHeight="1">
      <c r="A934" s="1462"/>
      <c r="B934" s="777" t="s">
        <v>105</v>
      </c>
      <c r="C934" s="778"/>
      <c r="D934" s="778"/>
      <c r="E934" s="778"/>
      <c r="F934" s="778"/>
      <c r="G934" s="778"/>
      <c r="H934" s="778"/>
      <c r="I934" s="778"/>
      <c r="J934" s="778"/>
      <c r="K934" s="779"/>
      <c r="L934" s="140"/>
      <c r="M934" s="226">
        <f>M926+M933</f>
        <v>1513</v>
      </c>
      <c r="N934" s="394">
        <f>N926+N933</f>
        <v>183</v>
      </c>
      <c r="O934" s="394">
        <f>O926+O933</f>
        <v>171</v>
      </c>
      <c r="P934" s="201" t="s">
        <v>446</v>
      </c>
      <c r="Q934" s="123"/>
      <c r="R934" s="123"/>
      <c r="S934" s="156"/>
      <c r="T934" s="156"/>
      <c r="U934" s="156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  <c r="EF934" s="10"/>
      <c r="EG934" s="10"/>
      <c r="EH934" s="10"/>
      <c r="EI934" s="10"/>
      <c r="EJ934" s="10"/>
      <c r="EK934" s="10"/>
      <c r="EL934" s="10"/>
      <c r="EM934" s="10"/>
      <c r="EN934" s="10"/>
      <c r="EO934" s="10"/>
      <c r="EP934" s="10"/>
      <c r="EQ934" s="10"/>
      <c r="ER934" s="10"/>
      <c r="ES934" s="10"/>
      <c r="ET934" s="10"/>
      <c r="EU934" s="10"/>
      <c r="EV934" s="10"/>
      <c r="EW934" s="10"/>
      <c r="EX934" s="10"/>
      <c r="EY934" s="10"/>
      <c r="EZ934" s="10"/>
      <c r="FA934" s="10"/>
      <c r="FB934" s="10"/>
      <c r="FC934" s="10"/>
      <c r="FD934" s="10"/>
      <c r="FE934" s="10"/>
      <c r="FF934" s="10"/>
      <c r="FG934" s="10"/>
      <c r="FH934" s="10"/>
      <c r="FI934" s="10"/>
      <c r="FJ934" s="10"/>
      <c r="FK934" s="10"/>
      <c r="FL934" s="10"/>
      <c r="FM934" s="10"/>
      <c r="FN934" s="10"/>
      <c r="FO934" s="10"/>
      <c r="FP934" s="10"/>
      <c r="FQ934" s="10"/>
      <c r="FR934" s="10"/>
      <c r="FS934" s="10"/>
      <c r="FT934" s="10"/>
      <c r="FU934" s="10"/>
      <c r="FV934" s="10"/>
      <c r="FW934" s="10"/>
      <c r="FX934" s="10"/>
      <c r="FY934" s="10"/>
      <c r="FZ934" s="10"/>
      <c r="GA934" s="10"/>
      <c r="GB934" s="10"/>
      <c r="GC934" s="10"/>
      <c r="GD934" s="10"/>
      <c r="GE934" s="10"/>
      <c r="GF934" s="10"/>
      <c r="GG934" s="10"/>
      <c r="GH934" s="10"/>
      <c r="GI934" s="10"/>
      <c r="GJ934" s="10"/>
      <c r="GK934" s="10"/>
      <c r="GL934" s="10"/>
      <c r="GM934" s="10"/>
      <c r="GN934" s="10"/>
      <c r="GO934" s="10"/>
      <c r="GP934" s="10"/>
      <c r="GQ934" s="10"/>
      <c r="GR934" s="10"/>
      <c r="GS934" s="10"/>
      <c r="GT934" s="10"/>
      <c r="GU934" s="10"/>
      <c r="GV934" s="10"/>
      <c r="GW934" s="10"/>
      <c r="GX934" s="10"/>
      <c r="GY934" s="10"/>
      <c r="GZ934" s="10"/>
      <c r="HA934" s="10"/>
      <c r="HB934" s="10"/>
      <c r="HC934" s="10"/>
      <c r="HD934" s="10"/>
      <c r="HE934" s="10"/>
      <c r="HF934" s="10"/>
      <c r="HG934" s="10"/>
      <c r="HH934" s="10"/>
      <c r="HI934" s="10"/>
      <c r="HJ934" s="10"/>
      <c r="HK934" s="10"/>
      <c r="HL934" s="10"/>
      <c r="HM934" s="10"/>
      <c r="HN934" s="10"/>
      <c r="HO934" s="10"/>
      <c r="HP934" s="10"/>
      <c r="HQ934" s="10"/>
      <c r="HR934" s="10"/>
      <c r="HS934" s="10"/>
      <c r="HT934" s="10"/>
      <c r="HU934" s="10"/>
      <c r="HV934" s="10"/>
      <c r="HW934" s="10"/>
      <c r="HX934" s="10"/>
      <c r="HY934" s="10"/>
      <c r="HZ934" s="10"/>
      <c r="IA934" s="10"/>
      <c r="IB934" s="10"/>
      <c r="IC934" s="10"/>
      <c r="ID934" s="10"/>
      <c r="IE934" s="10"/>
      <c r="IF934" s="10"/>
      <c r="IG934" s="10"/>
      <c r="IH934" s="10"/>
      <c r="II934" s="10"/>
      <c r="IJ934" s="10"/>
      <c r="IK934" s="10"/>
      <c r="IL934" s="10"/>
      <c r="IM934" s="10"/>
      <c r="IN934" s="10"/>
      <c r="IO934" s="10"/>
      <c r="IP934" s="10"/>
      <c r="IQ934" s="10"/>
      <c r="IR934" s="10"/>
      <c r="IS934" s="10"/>
      <c r="IT934" s="10"/>
      <c r="IU934" s="10"/>
      <c r="IV934" s="10"/>
      <c r="IW934" s="10"/>
      <c r="IX934" s="10"/>
      <c r="IY934" s="10"/>
      <c r="IZ934" s="10"/>
      <c r="JA934" s="10"/>
      <c r="JB934" s="10"/>
      <c r="JC934" s="10"/>
      <c r="JD934" s="10"/>
      <c r="JE934" s="10"/>
      <c r="JF934" s="10"/>
      <c r="JG934" s="10"/>
      <c r="JH934" s="10"/>
      <c r="JI934" s="10"/>
      <c r="JJ934" s="10"/>
      <c r="JK934" s="10"/>
      <c r="JL934" s="10"/>
      <c r="JM934" s="10"/>
      <c r="JN934" s="10"/>
      <c r="JO934" s="10"/>
      <c r="JP934" s="10"/>
      <c r="JQ934" s="10"/>
      <c r="JR934" s="10"/>
      <c r="JS934" s="10"/>
      <c r="JT934" s="10"/>
      <c r="JU934" s="10"/>
      <c r="JV934" s="10"/>
      <c r="JW934" s="10"/>
      <c r="JX934" s="10"/>
      <c r="JY934" s="10"/>
      <c r="JZ934" s="10"/>
      <c r="KA934" s="10"/>
      <c r="KB934" s="10"/>
      <c r="KC934" s="10"/>
      <c r="KD934" s="10"/>
      <c r="KE934" s="10"/>
      <c r="KF934" s="10"/>
      <c r="KG934" s="10"/>
      <c r="KH934" s="10"/>
      <c r="KI934" s="10"/>
      <c r="KJ934" s="10"/>
      <c r="KK934" s="10"/>
      <c r="KL934" s="10"/>
      <c r="KM934" s="10"/>
      <c r="KN934" s="10"/>
      <c r="KO934" s="10"/>
      <c r="KP934" s="10"/>
      <c r="KQ934" s="10"/>
      <c r="KR934" s="10"/>
      <c r="KS934" s="10"/>
      <c r="KT934" s="10"/>
      <c r="KU934" s="10"/>
      <c r="KV934" s="10"/>
      <c r="KW934" s="10"/>
      <c r="KX934" s="10"/>
      <c r="KY934" s="10"/>
      <c r="KZ934" s="10"/>
      <c r="LA934" s="10"/>
      <c r="LB934" s="10"/>
      <c r="LC934" s="10"/>
      <c r="LD934" s="10"/>
      <c r="LE934" s="10"/>
      <c r="LF934" s="10"/>
      <c r="LG934" s="10"/>
      <c r="LH934" s="10"/>
      <c r="LI934" s="10"/>
      <c r="LJ934" s="10"/>
      <c r="LK934" s="10"/>
      <c r="LL934" s="10"/>
      <c r="LM934" s="10"/>
      <c r="LN934" s="10"/>
      <c r="LO934" s="10"/>
      <c r="LP934" s="10"/>
      <c r="LQ934" s="10"/>
      <c r="LR934" s="10"/>
      <c r="LS934" s="10"/>
      <c r="LT934" s="10"/>
      <c r="LU934" s="10"/>
      <c r="LV934" s="10"/>
      <c r="LW934" s="10"/>
      <c r="LX934" s="10"/>
      <c r="LY934" s="10"/>
      <c r="LZ934" s="10"/>
      <c r="MA934" s="10"/>
      <c r="MB934" s="10"/>
      <c r="MC934" s="10"/>
      <c r="MD934" s="10"/>
      <c r="ME934" s="10"/>
      <c r="MF934" s="10"/>
      <c r="MG934" s="10"/>
      <c r="MH934" s="10"/>
      <c r="MI934" s="10"/>
      <c r="MJ934" s="10"/>
      <c r="MK934" s="10"/>
      <c r="ML934" s="10"/>
      <c r="MM934" s="10"/>
      <c r="MN934" s="10"/>
      <c r="MO934" s="10"/>
      <c r="MP934" s="10"/>
      <c r="MQ934" s="10"/>
      <c r="MR934" s="10"/>
      <c r="MS934" s="10"/>
      <c r="MT934" s="10"/>
      <c r="MU934" s="10"/>
      <c r="MV934" s="10"/>
      <c r="MW934" s="10"/>
      <c r="MX934" s="10"/>
      <c r="MY934" s="10"/>
      <c r="MZ934" s="10"/>
      <c r="NA934" s="10"/>
      <c r="NB934" s="10"/>
      <c r="NC934" s="10"/>
      <c r="ND934" s="10"/>
      <c r="NE934" s="10"/>
      <c r="NF934" s="10"/>
      <c r="NG934" s="10"/>
      <c r="NH934" s="10"/>
      <c r="NI934" s="10"/>
      <c r="NJ934" s="10"/>
      <c r="NK934" s="10"/>
      <c r="NL934" s="10"/>
      <c r="NM934" s="10"/>
      <c r="NN934" s="10"/>
      <c r="NO934" s="10"/>
      <c r="NP934" s="10"/>
      <c r="NQ934" s="10"/>
      <c r="NR934" s="10"/>
      <c r="NS934" s="10"/>
      <c r="NT934" s="10"/>
      <c r="NU934" s="10"/>
      <c r="NV934" s="10"/>
      <c r="NW934" s="10"/>
      <c r="NX934" s="10"/>
      <c r="NY934" s="10"/>
      <c r="NZ934" s="10"/>
      <c r="OA934" s="10"/>
      <c r="OB934" s="10"/>
      <c r="OC934" s="10"/>
      <c r="OD934" s="10"/>
      <c r="OE934" s="10"/>
      <c r="OF934" s="10"/>
      <c r="OG934" s="10"/>
      <c r="OH934" s="10"/>
      <c r="OI934" s="10"/>
      <c r="OJ934" s="10"/>
      <c r="OK934" s="10"/>
      <c r="OL934" s="10"/>
      <c r="OM934" s="10"/>
      <c r="ON934" s="10"/>
      <c r="OO934" s="10"/>
      <c r="OP934" s="10"/>
      <c r="OQ934" s="10"/>
      <c r="OR934" s="10"/>
      <c r="OS934" s="10"/>
      <c r="OT934" s="10"/>
      <c r="OU934" s="10"/>
      <c r="OV934" s="10"/>
      <c r="OW934" s="10"/>
      <c r="OX934" s="10"/>
      <c r="OY934" s="10"/>
      <c r="OZ934" s="10"/>
      <c r="PA934" s="10"/>
      <c r="PB934" s="10"/>
      <c r="PC934" s="10"/>
      <c r="PD934" s="10"/>
      <c r="PE934" s="10"/>
      <c r="PF934" s="10"/>
      <c r="PG934" s="10"/>
      <c r="PH934" s="10"/>
      <c r="PI934" s="10"/>
      <c r="PJ934" s="10"/>
      <c r="PK934" s="10"/>
      <c r="PL934" s="10"/>
      <c r="PM934" s="10"/>
      <c r="PN934" s="10"/>
      <c r="PO934" s="10"/>
      <c r="PP934" s="10"/>
      <c r="PQ934" s="10"/>
      <c r="PR934" s="10"/>
      <c r="PS934" s="10"/>
      <c r="PT934" s="10"/>
      <c r="PU934" s="10"/>
      <c r="PV934" s="10"/>
      <c r="PW934" s="10"/>
      <c r="PX934" s="10"/>
      <c r="PY934" s="10"/>
      <c r="PZ934" s="10"/>
      <c r="QA934" s="10"/>
      <c r="QB934" s="10"/>
      <c r="QC934" s="10"/>
      <c r="QD934" s="10"/>
      <c r="QE934" s="10"/>
      <c r="QF934" s="10"/>
      <c r="QG934" s="10"/>
      <c r="QH934" s="10"/>
      <c r="QI934" s="10"/>
      <c r="QJ934" s="10"/>
      <c r="QK934" s="10"/>
      <c r="QL934" s="10"/>
      <c r="QM934" s="10"/>
      <c r="QN934" s="10"/>
      <c r="QO934" s="10"/>
      <c r="QP934" s="10"/>
      <c r="QQ934" s="10"/>
      <c r="QR934" s="10"/>
      <c r="QS934" s="10"/>
      <c r="QT934" s="10"/>
      <c r="QU934" s="10"/>
      <c r="QV934" s="10"/>
      <c r="QW934" s="10"/>
      <c r="QX934" s="10"/>
      <c r="QY934" s="10"/>
      <c r="QZ934" s="10"/>
      <c r="RA934" s="10"/>
      <c r="RB934" s="10"/>
      <c r="RC934" s="10"/>
      <c r="RD934" s="10"/>
      <c r="RE934" s="10"/>
      <c r="RF934" s="10"/>
      <c r="RG934" s="10"/>
      <c r="RH934" s="10"/>
      <c r="RI934" s="10"/>
      <c r="RJ934" s="10"/>
      <c r="RK934" s="10"/>
      <c r="RL934" s="10"/>
      <c r="RM934" s="10"/>
      <c r="RN934" s="10"/>
      <c r="RO934" s="10"/>
      <c r="RP934" s="10"/>
      <c r="RQ934" s="10"/>
      <c r="RR934" s="10"/>
      <c r="RS934" s="10"/>
      <c r="RT934" s="10"/>
      <c r="RU934" s="10"/>
      <c r="RV934" s="10"/>
      <c r="RW934" s="10"/>
      <c r="RX934" s="10"/>
      <c r="RY934" s="10"/>
      <c r="RZ934" s="10"/>
      <c r="SA934" s="10"/>
      <c r="SB934" s="10"/>
      <c r="SC934" s="10"/>
      <c r="SD934" s="10"/>
      <c r="SE934" s="10"/>
      <c r="SF934" s="10"/>
      <c r="SG934" s="10"/>
      <c r="SH934" s="10"/>
      <c r="SI934" s="10"/>
      <c r="SJ934" s="10"/>
      <c r="SK934" s="10"/>
      <c r="SL934" s="10"/>
      <c r="SM934" s="10"/>
      <c r="SN934" s="10"/>
      <c r="SO934" s="10"/>
      <c r="SP934" s="10"/>
      <c r="SQ934" s="10"/>
      <c r="SR934" s="10"/>
      <c r="SS934" s="10"/>
      <c r="ST934" s="10"/>
      <c r="SU934" s="10"/>
      <c r="SV934" s="10"/>
      <c r="SW934" s="10"/>
      <c r="SX934" s="10"/>
      <c r="SY934" s="10"/>
      <c r="SZ934" s="10"/>
      <c r="TA934" s="10"/>
      <c r="TB934" s="10"/>
      <c r="TC934" s="10"/>
      <c r="TD934" s="10"/>
      <c r="TE934" s="10"/>
      <c r="TF934" s="10"/>
      <c r="TG934" s="10"/>
      <c r="TH934" s="10"/>
      <c r="TI934" s="10"/>
      <c r="TJ934" s="10"/>
      <c r="TK934" s="10"/>
      <c r="TL934" s="10"/>
      <c r="TM934" s="10"/>
      <c r="TN934" s="10"/>
      <c r="TO934" s="10"/>
      <c r="TP934" s="10"/>
      <c r="TQ934" s="10"/>
      <c r="TR934" s="10"/>
      <c r="TS934" s="10"/>
      <c r="TT934" s="10"/>
      <c r="TU934" s="10"/>
      <c r="TV934" s="10"/>
      <c r="TW934" s="10"/>
      <c r="TX934" s="10"/>
      <c r="TY934" s="10"/>
      <c r="TZ934" s="10"/>
      <c r="UA934" s="10"/>
      <c r="UB934" s="10"/>
      <c r="UC934" s="10"/>
      <c r="UD934" s="10"/>
      <c r="UE934" s="10"/>
      <c r="UF934" s="10"/>
      <c r="UG934" s="10"/>
      <c r="UH934" s="10"/>
      <c r="UI934" s="10"/>
      <c r="UJ934" s="10"/>
      <c r="UK934" s="10"/>
      <c r="UL934" s="10"/>
      <c r="UM934" s="10"/>
      <c r="UN934" s="10"/>
      <c r="UO934" s="10"/>
      <c r="UP934" s="10"/>
      <c r="UQ934" s="10"/>
      <c r="UR934" s="10"/>
      <c r="US934" s="10"/>
      <c r="UT934" s="10"/>
      <c r="UU934" s="10"/>
      <c r="UV934" s="10"/>
      <c r="UW934" s="10"/>
      <c r="UX934" s="10"/>
      <c r="UY934" s="10"/>
      <c r="UZ934" s="10"/>
      <c r="VA934" s="10"/>
      <c r="VB934" s="10"/>
      <c r="VC934" s="10"/>
      <c r="VD934" s="10"/>
      <c r="VE934" s="10"/>
      <c r="VF934" s="10"/>
      <c r="VG934" s="10"/>
      <c r="VH934" s="10"/>
      <c r="VI934" s="10"/>
      <c r="VJ934" s="10"/>
      <c r="VK934" s="10"/>
      <c r="VL934" s="10"/>
      <c r="VM934" s="10"/>
      <c r="VN934" s="10"/>
      <c r="VO934" s="10"/>
      <c r="VP934" s="10"/>
      <c r="VQ934" s="10"/>
      <c r="VR934" s="10"/>
      <c r="VS934" s="10"/>
      <c r="VT934" s="10"/>
      <c r="VU934" s="10"/>
      <c r="VV934" s="10"/>
      <c r="VW934" s="10"/>
      <c r="VX934" s="10"/>
      <c r="VY934" s="10"/>
      <c r="VZ934" s="10"/>
      <c r="WA934" s="10"/>
      <c r="WB934" s="10"/>
      <c r="WC934" s="10"/>
      <c r="WD934" s="10"/>
      <c r="WE934" s="10"/>
      <c r="WF934" s="10"/>
      <c r="WG934" s="10"/>
      <c r="WH934" s="10"/>
      <c r="WI934" s="10"/>
      <c r="WJ934" s="10"/>
      <c r="WK934" s="10"/>
      <c r="WL934" s="10"/>
      <c r="WM934" s="10"/>
      <c r="WN934" s="10"/>
      <c r="WO934" s="10"/>
      <c r="WP934" s="10"/>
      <c r="WQ934" s="10"/>
      <c r="WR934" s="10"/>
      <c r="WS934" s="10"/>
      <c r="WT934" s="10"/>
      <c r="WU934" s="10"/>
      <c r="WV934" s="10"/>
      <c r="WW934" s="10"/>
      <c r="WX934" s="10"/>
      <c r="WY934" s="10"/>
      <c r="WZ934" s="10"/>
      <c r="XA934" s="10"/>
      <c r="XB934" s="10"/>
      <c r="XC934" s="10"/>
      <c r="XD934" s="10"/>
      <c r="XE934" s="10"/>
      <c r="XF934" s="10"/>
      <c r="XG934" s="10"/>
      <c r="XH934" s="10"/>
      <c r="XI934" s="10"/>
      <c r="XJ934" s="10"/>
      <c r="XK934" s="10"/>
      <c r="XL934" s="10"/>
      <c r="XM934" s="10"/>
      <c r="XN934" s="10"/>
      <c r="XO934" s="10"/>
      <c r="XP934" s="10"/>
      <c r="XQ934" s="10"/>
      <c r="XR934" s="10"/>
      <c r="XS934" s="10"/>
      <c r="XT934" s="10"/>
      <c r="XU934" s="10"/>
      <c r="XV934" s="10"/>
      <c r="XW934" s="10"/>
      <c r="XX934" s="10"/>
      <c r="XY934" s="10"/>
      <c r="XZ934" s="10"/>
      <c r="YA934" s="10"/>
      <c r="YB934" s="10"/>
      <c r="YC934" s="10"/>
      <c r="YD934" s="10"/>
      <c r="YE934" s="10"/>
      <c r="YF934" s="10"/>
      <c r="YG934" s="10"/>
      <c r="YH934" s="10"/>
      <c r="YI934" s="10"/>
      <c r="YJ934" s="10"/>
      <c r="YK934" s="10"/>
      <c r="YL934" s="10"/>
      <c r="YM934" s="10"/>
      <c r="YN934" s="10"/>
      <c r="YO934" s="10"/>
      <c r="YP934" s="10"/>
      <c r="YQ934" s="10"/>
      <c r="YR934" s="10"/>
      <c r="YS934" s="10"/>
      <c r="YT934" s="10"/>
      <c r="YU934" s="10"/>
      <c r="YV934" s="10"/>
      <c r="YW934" s="10"/>
      <c r="YX934" s="10"/>
      <c r="YY934" s="10"/>
      <c r="YZ934" s="10"/>
      <c r="ZA934" s="10"/>
      <c r="ZB934" s="10"/>
      <c r="ZC934" s="10"/>
      <c r="ZD934" s="10"/>
      <c r="ZE934" s="10"/>
      <c r="ZF934" s="10"/>
      <c r="ZG934" s="10"/>
      <c r="ZH934" s="10"/>
      <c r="ZI934" s="10"/>
      <c r="ZJ934" s="10"/>
      <c r="ZK934" s="10"/>
      <c r="ZL934" s="10"/>
      <c r="ZM934" s="10"/>
      <c r="ZN934" s="10"/>
      <c r="ZO934" s="10"/>
      <c r="ZP934" s="10"/>
      <c r="ZQ934" s="10"/>
      <c r="ZR934" s="10"/>
      <c r="ZS934" s="10"/>
      <c r="ZT934" s="10"/>
      <c r="ZU934" s="10"/>
      <c r="ZV934" s="10"/>
      <c r="ZW934" s="10"/>
      <c r="ZX934" s="10"/>
      <c r="ZY934" s="10"/>
      <c r="ZZ934" s="10"/>
      <c r="AAA934" s="10"/>
      <c r="AAB934" s="10"/>
      <c r="AAC934" s="10"/>
      <c r="AAD934" s="10"/>
      <c r="AAE934" s="10"/>
      <c r="AAF934" s="10"/>
      <c r="AAG934" s="10"/>
      <c r="AAH934" s="10"/>
      <c r="AAI934" s="10"/>
      <c r="AAJ934" s="10"/>
      <c r="AAK934" s="10"/>
      <c r="AAL934" s="10"/>
      <c r="AAM934" s="10"/>
      <c r="AAN934" s="10"/>
      <c r="AAO934" s="10"/>
      <c r="AAP934" s="10"/>
      <c r="AAQ934" s="10"/>
      <c r="AAR934" s="10"/>
      <c r="AAS934" s="10"/>
      <c r="AAT934" s="10"/>
      <c r="AAU934" s="10"/>
      <c r="AAV934" s="10"/>
      <c r="AAW934" s="10"/>
      <c r="AAX934" s="10"/>
      <c r="AAY934" s="10"/>
      <c r="AAZ934" s="10"/>
      <c r="ABA934" s="10"/>
      <c r="ABB934" s="10"/>
      <c r="ABC934" s="10"/>
      <c r="ABD934" s="10"/>
      <c r="ABE934" s="10"/>
      <c r="ABF934" s="10"/>
      <c r="ABG934" s="10"/>
      <c r="ABH934" s="10"/>
      <c r="ABI934" s="10"/>
      <c r="ABJ934" s="10"/>
      <c r="ABK934" s="10"/>
      <c r="ABL934" s="10"/>
      <c r="ABM934" s="10"/>
      <c r="ABN934" s="10"/>
      <c r="ABO934" s="10"/>
      <c r="ABP934" s="10"/>
      <c r="ABQ934" s="10"/>
      <c r="ABR934" s="10"/>
      <c r="ABS934" s="10"/>
      <c r="ABT934" s="10"/>
      <c r="ABU934" s="10"/>
      <c r="ABV934" s="10"/>
      <c r="ABW934" s="10"/>
      <c r="ABX934" s="10"/>
      <c r="ABY934" s="10"/>
      <c r="ABZ934" s="10"/>
      <c r="ACA934" s="10"/>
      <c r="ACB934" s="10"/>
      <c r="ACC934" s="10"/>
      <c r="ACD934" s="10"/>
      <c r="ACE934" s="10"/>
      <c r="ACF934" s="10"/>
      <c r="ACG934" s="10"/>
      <c r="ACH934" s="10"/>
      <c r="ACI934" s="10"/>
      <c r="ACJ934" s="10"/>
      <c r="ACK934" s="10"/>
      <c r="ACL934" s="10"/>
      <c r="ACM934" s="10"/>
      <c r="ACN934" s="10"/>
      <c r="ACO934" s="10"/>
      <c r="ACP934" s="10"/>
      <c r="ACQ934" s="10"/>
      <c r="ACR934" s="10"/>
      <c r="ACS934" s="10"/>
      <c r="ACT934" s="10"/>
      <c r="ACU934" s="10"/>
      <c r="ACV934" s="10"/>
      <c r="ACW934" s="10"/>
      <c r="ACX934" s="10"/>
      <c r="ACY934" s="10"/>
      <c r="ACZ934" s="10"/>
      <c r="ADA934" s="10"/>
      <c r="ADB934" s="10"/>
      <c r="ADC934" s="10"/>
      <c r="ADD934" s="10"/>
      <c r="ADE934" s="10"/>
      <c r="ADF934" s="10"/>
      <c r="ADG934" s="10"/>
      <c r="ADH934" s="10"/>
      <c r="ADI934" s="10"/>
      <c r="ADJ934" s="10"/>
      <c r="ADK934" s="10"/>
      <c r="ADL934" s="10"/>
      <c r="ADM934" s="10"/>
      <c r="ADN934" s="10"/>
      <c r="ADO934" s="10"/>
      <c r="ADP934" s="10"/>
      <c r="ADQ934" s="10"/>
      <c r="ADR934" s="10"/>
      <c r="ADS934" s="10"/>
      <c r="ADT934" s="10"/>
      <c r="ADU934" s="10"/>
      <c r="ADV934" s="10"/>
      <c r="ADW934" s="10"/>
      <c r="ADX934" s="10"/>
      <c r="ADY934" s="10"/>
      <c r="ADZ934" s="10"/>
      <c r="AEA934" s="10"/>
      <c r="AEB934" s="10"/>
      <c r="AEC934" s="10"/>
      <c r="AED934" s="10"/>
      <c r="AEE934" s="10"/>
      <c r="AEF934" s="10"/>
      <c r="AEG934" s="10"/>
      <c r="AEH934" s="10"/>
      <c r="AEI934" s="10"/>
      <c r="AEJ934" s="10"/>
      <c r="AEK934" s="10"/>
      <c r="AEL934" s="10"/>
      <c r="AEM934" s="10"/>
      <c r="AEN934" s="10"/>
      <c r="AEO934" s="10"/>
      <c r="AEP934" s="10"/>
      <c r="AEQ934" s="10"/>
      <c r="AER934" s="10"/>
      <c r="AES934" s="10"/>
      <c r="AET934" s="10"/>
      <c r="AEU934" s="10"/>
      <c r="AEV934" s="10"/>
      <c r="AEW934" s="10"/>
      <c r="AEX934" s="10"/>
      <c r="AEY934" s="10"/>
      <c r="AEZ934" s="10"/>
      <c r="AFA934" s="10"/>
      <c r="AFB934" s="10"/>
      <c r="AFC934" s="10"/>
      <c r="AFD934" s="10"/>
      <c r="AFE934" s="10"/>
      <c r="AFF934" s="10"/>
      <c r="AFG934" s="10"/>
      <c r="AFH934" s="10"/>
      <c r="AFI934" s="10"/>
      <c r="AFJ934" s="10"/>
      <c r="AFK934" s="10"/>
      <c r="AFL934" s="10"/>
      <c r="AFM934" s="10"/>
      <c r="AFN934" s="10"/>
      <c r="AFO934" s="10"/>
      <c r="AFP934" s="10"/>
      <c r="AFQ934" s="10"/>
      <c r="AFR934" s="10"/>
      <c r="AFS934" s="10"/>
      <c r="AFT934" s="10"/>
      <c r="AFU934" s="10"/>
      <c r="AFV934" s="10"/>
      <c r="AFW934" s="10"/>
      <c r="AFX934" s="10"/>
      <c r="AFY934" s="10"/>
      <c r="AFZ934" s="10"/>
      <c r="AGA934" s="10"/>
      <c r="AGB934" s="10"/>
      <c r="AGC934" s="10"/>
      <c r="AGD934" s="10"/>
      <c r="AGE934" s="10"/>
      <c r="AGF934" s="10"/>
      <c r="AGG934" s="10"/>
      <c r="AGH934" s="10"/>
      <c r="AGI934" s="10"/>
      <c r="AGJ934" s="10"/>
      <c r="AGK934" s="10"/>
      <c r="AGL934" s="10"/>
      <c r="AGM934" s="10"/>
      <c r="AGN934" s="10"/>
      <c r="AGO934" s="10"/>
      <c r="AGP934" s="10"/>
      <c r="AGQ934" s="10"/>
      <c r="AGR934" s="10"/>
      <c r="AGS934" s="10"/>
      <c r="AGT934" s="10"/>
      <c r="AGU934" s="10"/>
      <c r="AGV934" s="10"/>
      <c r="AGW934" s="10"/>
      <c r="AGX934" s="10"/>
      <c r="AGY934" s="10"/>
      <c r="AGZ934" s="10"/>
      <c r="AHA934" s="10"/>
      <c r="AHB934" s="10"/>
      <c r="AHC934" s="10"/>
      <c r="AHD934" s="10"/>
      <c r="AHE934" s="10"/>
      <c r="AHF934" s="10"/>
      <c r="AHG934" s="10"/>
      <c r="AHH934" s="10"/>
      <c r="AHI934" s="10"/>
      <c r="AHJ934" s="10"/>
      <c r="AHK934" s="10"/>
      <c r="AHL934" s="10"/>
      <c r="AHM934" s="10"/>
      <c r="AHN934" s="10"/>
      <c r="AHO934" s="10"/>
      <c r="AHP934" s="10"/>
      <c r="AHQ934" s="10"/>
      <c r="AHR934" s="10"/>
      <c r="AHS934" s="10"/>
      <c r="AHT934" s="10"/>
      <c r="AHU934" s="10"/>
      <c r="AHV934" s="10"/>
      <c r="AHW934" s="10"/>
      <c r="AHX934" s="10"/>
      <c r="AHY934" s="10"/>
      <c r="AHZ934" s="10"/>
      <c r="AIA934" s="10"/>
      <c r="AIB934" s="10"/>
      <c r="AIC934" s="10"/>
      <c r="AID934" s="10"/>
      <c r="AIE934" s="10"/>
      <c r="AIF934" s="10"/>
      <c r="AIG934" s="10"/>
      <c r="AIH934" s="10"/>
      <c r="AII934" s="10"/>
      <c r="AIJ934" s="10"/>
      <c r="AIK934" s="10"/>
      <c r="AIL934" s="10"/>
      <c r="AIM934" s="10"/>
      <c r="AIN934" s="10"/>
      <c r="AIO934" s="10"/>
      <c r="AIP934" s="10"/>
      <c r="AIQ934" s="10"/>
      <c r="AIR934" s="10"/>
      <c r="AIS934" s="10"/>
      <c r="AIT934" s="10"/>
      <c r="AIU934" s="10"/>
      <c r="AIV934" s="10"/>
      <c r="AIW934" s="10"/>
      <c r="AIX934" s="10"/>
      <c r="AIY934" s="10"/>
      <c r="AIZ934" s="10"/>
      <c r="AJA934" s="10"/>
      <c r="AJB934" s="10"/>
      <c r="AJC934" s="10"/>
      <c r="AJD934" s="10"/>
      <c r="AJE934" s="10"/>
      <c r="AJF934" s="10"/>
      <c r="AJG934" s="10"/>
      <c r="AJH934" s="10"/>
      <c r="AJI934" s="10"/>
      <c r="AJJ934" s="10"/>
      <c r="AJK934" s="10"/>
      <c r="AJL934" s="10"/>
      <c r="AJM934" s="10"/>
      <c r="AJN934" s="10"/>
      <c r="AJO934" s="10"/>
      <c r="AJP934" s="10"/>
      <c r="AJQ934" s="10"/>
      <c r="AJR934" s="10"/>
      <c r="AJS934" s="10"/>
      <c r="AJT934" s="10"/>
      <c r="AJU934" s="10"/>
      <c r="AJV934" s="10"/>
      <c r="AJW934" s="10"/>
      <c r="AJX934" s="10"/>
      <c r="AJY934" s="10"/>
      <c r="AJZ934" s="10"/>
      <c r="AKA934" s="10"/>
      <c r="AKB934" s="10"/>
      <c r="AKC934" s="10"/>
      <c r="AKD934" s="10"/>
      <c r="AKE934" s="10"/>
      <c r="AKF934" s="10"/>
      <c r="AKG934" s="10"/>
      <c r="AKH934" s="10"/>
      <c r="AKI934" s="10"/>
      <c r="AKJ934" s="10"/>
      <c r="AKK934" s="10"/>
      <c r="AKL934" s="10"/>
      <c r="AKM934" s="10"/>
      <c r="AKN934" s="10"/>
      <c r="AKO934" s="10"/>
      <c r="AKP934" s="10"/>
      <c r="AKQ934" s="10"/>
      <c r="AKR934" s="10"/>
      <c r="AKS934" s="10"/>
      <c r="AKT934" s="10"/>
      <c r="AKU934" s="10"/>
      <c r="AKV934" s="10"/>
      <c r="AKW934" s="10"/>
      <c r="AKX934" s="10"/>
      <c r="AKY934" s="10"/>
      <c r="AKZ934" s="10"/>
      <c r="ALA934" s="10"/>
      <c r="ALB934" s="10"/>
      <c r="ALC934" s="10"/>
      <c r="ALD934" s="10"/>
      <c r="ALE934" s="10"/>
      <c r="ALF934" s="10"/>
      <c r="ALG934" s="10"/>
      <c r="ALH934" s="10"/>
      <c r="ALI934" s="10"/>
      <c r="ALJ934" s="10"/>
      <c r="ALK934" s="10"/>
      <c r="ALL934" s="10"/>
      <c r="ALM934" s="10"/>
      <c r="ALN934" s="10"/>
      <c r="ALO934" s="10"/>
      <c r="ALP934" s="10"/>
      <c r="ALQ934" s="10"/>
      <c r="ALR934" s="10"/>
      <c r="ALS934" s="10"/>
      <c r="ALT934" s="10"/>
      <c r="ALU934" s="10"/>
      <c r="ALV934" s="10"/>
      <c r="ALW934" s="10"/>
      <c r="ALX934" s="10"/>
      <c r="ALY934" s="10"/>
      <c r="ALZ934" s="10"/>
      <c r="AMA934" s="10"/>
      <c r="AMB934" s="10"/>
      <c r="AMC934" s="10"/>
      <c r="AMD934" s="10"/>
      <c r="AME934" s="10"/>
      <c r="AMF934" s="10"/>
      <c r="AMG934" s="10"/>
      <c r="AMH934" s="10"/>
      <c r="AMI934" s="10"/>
      <c r="AMJ934" s="10"/>
      <c r="AMK934" s="10"/>
      <c r="AML934" s="10"/>
      <c r="AMM934" s="10"/>
      <c r="AMN934" s="10"/>
      <c r="AMO934" s="10"/>
      <c r="AMP934" s="10"/>
      <c r="AMQ934" s="10"/>
      <c r="AMR934" s="10"/>
      <c r="AMS934" s="10"/>
      <c r="AMT934" s="10"/>
      <c r="AMU934" s="10"/>
      <c r="AMV934" s="10"/>
      <c r="AMW934" s="10"/>
      <c r="AMX934" s="10"/>
      <c r="AMY934" s="10"/>
      <c r="AMZ934" s="10"/>
      <c r="ANA934" s="10"/>
      <c r="ANB934" s="10"/>
      <c r="ANC934" s="10"/>
      <c r="AND934" s="10"/>
      <c r="ANE934" s="10"/>
      <c r="ANF934" s="10"/>
      <c r="ANG934" s="10"/>
      <c r="ANH934" s="10"/>
      <c r="ANI934" s="10"/>
      <c r="ANJ934" s="10"/>
      <c r="ANK934" s="10"/>
      <c r="ANL934" s="10"/>
      <c r="ANM934" s="10"/>
      <c r="ANN934" s="10"/>
      <c r="ANO934" s="10"/>
      <c r="ANP934" s="10"/>
      <c r="ANQ934" s="10"/>
      <c r="ANR934" s="10"/>
      <c r="ANS934" s="10"/>
      <c r="ANT934" s="10"/>
      <c r="ANU934" s="10"/>
      <c r="ANV934" s="10"/>
      <c r="ANW934" s="10"/>
      <c r="ANX934" s="10"/>
      <c r="ANY934" s="10"/>
      <c r="ANZ934" s="10"/>
      <c r="AOA934" s="10"/>
      <c r="AOB934" s="10"/>
      <c r="AOC934" s="10"/>
      <c r="AOD934" s="10"/>
      <c r="AOE934" s="10"/>
      <c r="AOF934" s="10"/>
      <c r="AOG934" s="10"/>
      <c r="AOH934" s="10"/>
      <c r="AOI934" s="10"/>
      <c r="AOJ934" s="10"/>
      <c r="AOK934" s="10"/>
      <c r="AOL934" s="10"/>
      <c r="AOM934" s="10"/>
      <c r="AON934" s="10"/>
      <c r="AOO934" s="10"/>
      <c r="AOP934" s="10"/>
      <c r="AOQ934" s="10"/>
      <c r="AOR934" s="10"/>
      <c r="AOS934" s="10"/>
      <c r="AOT934" s="10"/>
      <c r="AOU934" s="10"/>
      <c r="AOV934" s="10"/>
      <c r="AOW934" s="10"/>
      <c r="AOX934" s="10"/>
      <c r="AOY934" s="10"/>
      <c r="AOZ934" s="10"/>
      <c r="APA934" s="10"/>
      <c r="APB934" s="10"/>
      <c r="APC934" s="10"/>
      <c r="APD934" s="10"/>
      <c r="APE934" s="10"/>
      <c r="APF934" s="10"/>
      <c r="APG934" s="10"/>
      <c r="APH934" s="10"/>
      <c r="API934" s="10"/>
      <c r="APJ934" s="10"/>
      <c r="APK934" s="10"/>
      <c r="APL934" s="10"/>
      <c r="APM934" s="10"/>
      <c r="APN934" s="10"/>
      <c r="APO934" s="10"/>
      <c r="APP934" s="10"/>
      <c r="APQ934" s="10"/>
      <c r="APR934" s="10"/>
      <c r="APS934" s="10"/>
      <c r="APT934" s="10"/>
      <c r="APU934" s="10"/>
      <c r="APV934" s="10"/>
      <c r="APW934" s="10"/>
      <c r="APX934" s="10"/>
      <c r="APY934" s="10"/>
      <c r="APZ934" s="10"/>
      <c r="AQA934" s="10"/>
      <c r="AQB934" s="10"/>
      <c r="AQC934" s="10"/>
      <c r="AQD934" s="10"/>
      <c r="AQE934" s="10"/>
      <c r="AQF934" s="10"/>
      <c r="AQG934" s="10"/>
      <c r="AQH934" s="10"/>
      <c r="AQI934" s="10"/>
      <c r="AQJ934" s="10"/>
      <c r="AQK934" s="10"/>
      <c r="AQL934" s="10"/>
      <c r="AQM934" s="10"/>
      <c r="AQN934" s="10"/>
      <c r="AQO934" s="10"/>
      <c r="AQP934" s="10"/>
      <c r="AQQ934" s="10"/>
      <c r="AQR934" s="10"/>
      <c r="AQS934" s="10"/>
      <c r="AQT934" s="10"/>
      <c r="AQU934" s="10"/>
      <c r="AQV934" s="10"/>
      <c r="AQW934" s="10"/>
      <c r="AQX934" s="10"/>
      <c r="AQY934" s="10"/>
      <c r="AQZ934" s="10"/>
      <c r="ARA934" s="10"/>
      <c r="ARB934" s="10"/>
      <c r="ARC934" s="10"/>
      <c r="ARD934" s="10"/>
      <c r="ARE934" s="10"/>
      <c r="ARF934" s="10"/>
      <c r="ARG934" s="10"/>
      <c r="ARH934" s="10"/>
      <c r="ARI934" s="10"/>
      <c r="ARJ934" s="10"/>
      <c r="ARK934" s="10"/>
      <c r="ARL934" s="10"/>
      <c r="ARM934" s="10"/>
      <c r="ARN934" s="10"/>
      <c r="ARO934" s="10"/>
      <c r="ARP934" s="10"/>
      <c r="ARQ934" s="10"/>
      <c r="ARR934" s="10"/>
      <c r="ARS934" s="10"/>
      <c r="ART934" s="10"/>
      <c r="ARU934" s="10"/>
      <c r="ARV934" s="10"/>
      <c r="ARW934" s="10"/>
      <c r="ARX934" s="10"/>
      <c r="ARY934" s="10"/>
      <c r="ARZ934" s="10"/>
      <c r="ASA934" s="10"/>
      <c r="ASB934" s="10"/>
      <c r="ASC934" s="10"/>
      <c r="ASD934" s="10"/>
      <c r="ASE934" s="10"/>
      <c r="ASF934" s="10"/>
      <c r="ASG934" s="10"/>
      <c r="ASH934" s="10"/>
      <c r="ASI934" s="10"/>
      <c r="ASJ934" s="10"/>
      <c r="ASK934" s="10"/>
      <c r="ASL934" s="10"/>
      <c r="ASM934" s="10"/>
      <c r="ASN934" s="10"/>
      <c r="ASO934" s="10"/>
      <c r="ASP934" s="10"/>
      <c r="ASQ934" s="10"/>
      <c r="ASR934" s="10"/>
      <c r="ASS934" s="10"/>
      <c r="AST934" s="10"/>
      <c r="ASU934" s="10"/>
      <c r="ASV934" s="10"/>
      <c r="ASW934" s="10"/>
      <c r="ASX934" s="10"/>
      <c r="ASY934" s="10"/>
      <c r="ASZ934" s="10"/>
      <c r="ATA934" s="10"/>
      <c r="ATB934" s="10"/>
      <c r="ATC934" s="10"/>
      <c r="ATD934" s="10"/>
      <c r="ATE934" s="10"/>
      <c r="ATF934" s="10"/>
      <c r="ATG934" s="10"/>
      <c r="ATH934" s="10"/>
      <c r="ATI934" s="10"/>
      <c r="ATJ934" s="10"/>
      <c r="ATK934" s="10"/>
      <c r="ATL934" s="10"/>
      <c r="ATM934" s="10"/>
      <c r="ATN934" s="10"/>
      <c r="ATO934" s="10"/>
      <c r="ATP934" s="10"/>
      <c r="ATQ934" s="10"/>
      <c r="ATR934" s="10"/>
      <c r="ATS934" s="10"/>
      <c r="ATT934" s="10"/>
      <c r="ATU934" s="10"/>
      <c r="ATV934" s="10"/>
      <c r="ATW934" s="10"/>
      <c r="ATX934" s="10"/>
      <c r="ATY934" s="10"/>
      <c r="ATZ934" s="10"/>
      <c r="AUA934" s="10"/>
      <c r="AUB934" s="10"/>
      <c r="AUC934" s="10"/>
      <c r="AUD934" s="10"/>
      <c r="AUE934" s="10"/>
      <c r="AUF934" s="10"/>
      <c r="AUG934" s="10"/>
      <c r="AUH934" s="10"/>
      <c r="AUI934" s="10"/>
      <c r="AUJ934" s="10"/>
      <c r="AUK934" s="10"/>
      <c r="AUL934" s="10"/>
      <c r="AUM934" s="10"/>
      <c r="AUN934" s="10"/>
      <c r="AUO934" s="10"/>
      <c r="AUP934" s="10"/>
      <c r="AUQ934" s="10"/>
      <c r="AUR934" s="10"/>
      <c r="AUS934" s="10"/>
      <c r="AUT934" s="10"/>
      <c r="AUU934" s="10"/>
      <c r="AUV934" s="10"/>
      <c r="AUW934" s="10"/>
      <c r="AUX934" s="10"/>
      <c r="AUY934" s="10"/>
      <c r="AUZ934" s="10"/>
      <c r="AVA934" s="10"/>
      <c r="AVB934" s="10"/>
      <c r="AVC934" s="10"/>
      <c r="AVD934" s="10"/>
      <c r="AVE934" s="10"/>
      <c r="AVF934" s="10"/>
      <c r="AVG934" s="10"/>
      <c r="AVH934" s="10"/>
      <c r="AVI934" s="10"/>
      <c r="AVJ934" s="10"/>
      <c r="AVK934" s="10"/>
      <c r="AVL934" s="10"/>
      <c r="AVM934" s="10"/>
      <c r="AVN934" s="10"/>
      <c r="AVO934" s="10"/>
      <c r="AVP934" s="10"/>
      <c r="AVQ934" s="10"/>
      <c r="AVR934" s="10"/>
      <c r="AVS934" s="10"/>
      <c r="AVT934" s="10"/>
      <c r="AVU934" s="10"/>
      <c r="AVV934" s="10"/>
      <c r="AVW934" s="10"/>
      <c r="AVX934" s="10"/>
      <c r="AVY934" s="10"/>
      <c r="AVZ934" s="10"/>
      <c r="AWA934" s="10"/>
      <c r="AWB934" s="10"/>
      <c r="AWC934" s="10"/>
      <c r="AWD934" s="10"/>
      <c r="AWE934" s="10"/>
      <c r="AWF934" s="10"/>
      <c r="AWG934" s="10"/>
      <c r="AWH934" s="10"/>
      <c r="AWI934" s="10"/>
      <c r="AWJ934" s="10"/>
      <c r="AWK934" s="10"/>
      <c r="AWL934" s="10"/>
      <c r="AWM934" s="10"/>
      <c r="AWN934" s="10"/>
      <c r="AWO934" s="10"/>
      <c r="AWP934" s="10"/>
      <c r="AWQ934" s="10"/>
      <c r="AWR934" s="10"/>
      <c r="AWS934" s="10"/>
      <c r="AWT934" s="10"/>
      <c r="AWU934" s="10"/>
      <c r="AWV934" s="10"/>
      <c r="AWW934" s="10"/>
      <c r="AWX934" s="10"/>
      <c r="AWY934" s="10"/>
      <c r="AWZ934" s="10"/>
      <c r="AXA934" s="10"/>
      <c r="AXB934" s="10"/>
      <c r="AXC934" s="10"/>
      <c r="AXD934" s="10"/>
      <c r="AXE934" s="10"/>
      <c r="AXF934" s="10"/>
      <c r="AXG934" s="10"/>
      <c r="AXH934" s="10"/>
      <c r="AXI934" s="10"/>
      <c r="AXJ934" s="10"/>
      <c r="AXK934" s="10"/>
      <c r="AXL934" s="10"/>
      <c r="AXM934" s="10"/>
      <c r="AXN934" s="10"/>
      <c r="AXO934" s="10"/>
      <c r="AXP934" s="10"/>
      <c r="AXQ934" s="10"/>
      <c r="AXR934" s="10"/>
      <c r="AXS934" s="10"/>
      <c r="AXT934" s="10"/>
      <c r="AXU934" s="10"/>
      <c r="AXV934" s="10"/>
      <c r="AXW934" s="10"/>
      <c r="AXX934" s="10"/>
      <c r="AXY934" s="10"/>
      <c r="AXZ934" s="10"/>
      <c r="AYA934" s="10"/>
      <c r="AYB934" s="10"/>
      <c r="AYC934" s="10"/>
      <c r="AYD934" s="10"/>
      <c r="AYE934" s="10"/>
      <c r="AYF934" s="10"/>
      <c r="AYG934" s="10"/>
      <c r="AYH934" s="10"/>
      <c r="AYI934" s="10"/>
      <c r="AYJ934" s="10"/>
      <c r="AYK934" s="10"/>
      <c r="AYL934" s="10"/>
      <c r="AYM934" s="10"/>
      <c r="AYN934" s="10"/>
      <c r="AYO934" s="10"/>
      <c r="AYP934" s="10"/>
      <c r="AYQ934" s="10"/>
      <c r="AYR934" s="10"/>
      <c r="AYS934" s="10"/>
      <c r="AYT934" s="10"/>
      <c r="AYU934" s="10"/>
      <c r="AYV934" s="10"/>
      <c r="AYW934" s="10"/>
      <c r="AYX934" s="10"/>
      <c r="AYY934" s="10"/>
      <c r="AYZ934" s="10"/>
      <c r="AZA934" s="10"/>
      <c r="AZB934" s="10"/>
      <c r="AZC934" s="10"/>
      <c r="AZD934" s="10"/>
      <c r="AZE934" s="10"/>
      <c r="AZF934" s="10"/>
      <c r="AZG934" s="10"/>
      <c r="AZH934" s="10"/>
      <c r="AZI934" s="10"/>
      <c r="AZJ934" s="10"/>
      <c r="AZK934" s="10"/>
      <c r="AZL934" s="10"/>
      <c r="AZM934" s="10"/>
      <c r="AZN934" s="10"/>
      <c r="AZO934" s="10"/>
      <c r="AZP934" s="10"/>
      <c r="AZQ934" s="10"/>
      <c r="AZR934" s="10"/>
      <c r="AZS934" s="10"/>
      <c r="AZT934" s="10"/>
      <c r="AZU934" s="10"/>
      <c r="AZV934" s="10"/>
      <c r="AZW934" s="10"/>
      <c r="AZX934" s="10"/>
      <c r="AZY934" s="10"/>
      <c r="AZZ934" s="10"/>
      <c r="BAA934" s="10"/>
      <c r="BAB934" s="10"/>
      <c r="BAC934" s="10"/>
      <c r="BAD934" s="10"/>
      <c r="BAE934" s="10"/>
      <c r="BAF934" s="10"/>
      <c r="BAG934" s="10"/>
      <c r="BAH934" s="10"/>
      <c r="BAI934" s="10"/>
      <c r="BAJ934" s="10"/>
      <c r="BAK934" s="10"/>
      <c r="BAL934" s="10"/>
      <c r="BAM934" s="10"/>
      <c r="BAN934" s="10"/>
      <c r="BAO934" s="10"/>
      <c r="BAP934" s="10"/>
      <c r="BAQ934" s="10"/>
      <c r="BAR934" s="10"/>
      <c r="BAS934" s="10"/>
      <c r="BAT934" s="10"/>
      <c r="BAU934" s="10"/>
      <c r="BAV934" s="10"/>
      <c r="BAW934" s="10"/>
      <c r="BAX934" s="10"/>
      <c r="BAY934" s="10"/>
      <c r="BAZ934" s="10"/>
      <c r="BBA934" s="10"/>
      <c r="BBB934" s="10"/>
      <c r="BBC934" s="10"/>
      <c r="BBD934" s="10"/>
      <c r="BBE934" s="10"/>
      <c r="BBF934" s="10"/>
      <c r="BBG934" s="10"/>
      <c r="BBH934" s="10"/>
      <c r="BBI934" s="10"/>
      <c r="BBJ934" s="10"/>
      <c r="BBK934" s="10"/>
      <c r="BBL934" s="10"/>
      <c r="BBM934" s="10"/>
      <c r="BBN934" s="10"/>
      <c r="BBO934" s="10"/>
      <c r="BBP934" s="10"/>
      <c r="BBQ934" s="10"/>
      <c r="BBR934" s="10"/>
      <c r="BBS934" s="10"/>
      <c r="BBT934" s="10"/>
      <c r="BBU934" s="10"/>
      <c r="BBV934" s="10"/>
      <c r="BBW934" s="10"/>
      <c r="BBX934" s="10"/>
      <c r="BBY934" s="10"/>
      <c r="BBZ934" s="10"/>
      <c r="BCA934" s="10"/>
      <c r="BCB934" s="10"/>
      <c r="BCC934" s="10"/>
      <c r="BCD934" s="10"/>
      <c r="BCE934" s="10"/>
      <c r="BCF934" s="10"/>
      <c r="BCG934" s="10"/>
      <c r="BCH934" s="10"/>
      <c r="BCI934" s="10"/>
      <c r="BCJ934" s="10"/>
      <c r="BCK934" s="10"/>
      <c r="BCL934" s="10"/>
      <c r="BCM934" s="10"/>
      <c r="BCN934" s="10"/>
      <c r="BCO934" s="10"/>
      <c r="BCP934" s="10"/>
      <c r="BCQ934" s="10"/>
      <c r="BCR934" s="10"/>
      <c r="BCS934" s="10"/>
      <c r="BCT934" s="10"/>
      <c r="BCU934" s="10"/>
      <c r="BCV934" s="10"/>
      <c r="BCW934" s="10"/>
      <c r="BCX934" s="10"/>
      <c r="BCY934" s="10"/>
      <c r="BCZ934" s="10"/>
      <c r="BDA934" s="10"/>
      <c r="BDB934" s="10"/>
      <c r="BDC934" s="10"/>
      <c r="BDD934" s="10"/>
      <c r="BDE934" s="10"/>
      <c r="BDF934" s="10"/>
      <c r="BDG934" s="10"/>
      <c r="BDH934" s="10"/>
      <c r="BDI934" s="10"/>
      <c r="BDJ934" s="10"/>
      <c r="BDK934" s="10"/>
      <c r="BDL934" s="10"/>
      <c r="BDM934" s="10"/>
      <c r="BDN934" s="10"/>
      <c r="BDO934" s="10"/>
      <c r="BDP934" s="10"/>
      <c r="BDQ934" s="10"/>
      <c r="BDR934" s="10"/>
      <c r="BDS934" s="10"/>
      <c r="BDT934" s="10"/>
      <c r="BDU934" s="10"/>
      <c r="BDV934" s="10"/>
      <c r="BDW934" s="10"/>
      <c r="BDX934" s="10"/>
      <c r="BDY934" s="10"/>
      <c r="BDZ934" s="10"/>
      <c r="BEA934" s="10"/>
      <c r="BEB934" s="10"/>
      <c r="BEC934" s="10"/>
      <c r="BED934" s="10"/>
      <c r="BEE934" s="10"/>
      <c r="BEF934" s="10"/>
      <c r="BEG934" s="10"/>
      <c r="BEH934" s="10"/>
      <c r="BEI934" s="10"/>
      <c r="BEJ934" s="10"/>
      <c r="BEK934" s="10"/>
      <c r="BEL934" s="10"/>
      <c r="BEM934" s="10"/>
      <c r="BEN934" s="10"/>
      <c r="BEO934" s="10"/>
      <c r="BEP934" s="10"/>
      <c r="BEQ934" s="10"/>
      <c r="BER934" s="10"/>
      <c r="BES934" s="10"/>
      <c r="BET934" s="10"/>
      <c r="BEU934" s="10"/>
      <c r="BEV934" s="10"/>
      <c r="BEW934" s="10"/>
      <c r="BEX934" s="10"/>
      <c r="BEY934" s="10"/>
      <c r="BEZ934" s="10"/>
      <c r="BFA934" s="10"/>
      <c r="BFB934" s="10"/>
      <c r="BFC934" s="10"/>
      <c r="BFD934" s="10"/>
      <c r="BFE934" s="10"/>
      <c r="BFF934" s="10"/>
      <c r="BFG934" s="10"/>
      <c r="BFH934" s="10"/>
      <c r="BFI934" s="10"/>
      <c r="BFJ934" s="10"/>
      <c r="BFK934" s="10"/>
      <c r="BFL934" s="10"/>
      <c r="BFM934" s="10"/>
      <c r="BFN934" s="10"/>
      <c r="BFO934" s="10"/>
      <c r="BFP934" s="10"/>
      <c r="BFQ934" s="10"/>
      <c r="BFR934" s="10"/>
      <c r="BFS934" s="10"/>
      <c r="BFT934" s="10"/>
      <c r="BFU934" s="10"/>
      <c r="BFV934" s="10"/>
      <c r="BFW934" s="10"/>
      <c r="BFX934" s="10"/>
      <c r="BFY934" s="10"/>
      <c r="BFZ934" s="10"/>
      <c r="BGA934" s="10"/>
      <c r="BGB934" s="10"/>
      <c r="BGC934" s="10"/>
      <c r="BGD934" s="10"/>
      <c r="BGE934" s="10"/>
      <c r="BGF934" s="10"/>
      <c r="BGG934" s="10"/>
      <c r="BGH934" s="10"/>
      <c r="BGI934" s="10"/>
      <c r="BGJ934" s="10"/>
      <c r="BGK934" s="10"/>
      <c r="BGL934" s="10"/>
      <c r="BGM934" s="10"/>
      <c r="BGN934" s="10"/>
      <c r="BGO934" s="10"/>
      <c r="BGP934" s="10"/>
      <c r="BGQ934" s="10"/>
      <c r="BGR934" s="10"/>
      <c r="BGS934" s="10"/>
      <c r="BGT934" s="10"/>
      <c r="BGU934" s="10"/>
      <c r="BGV934" s="10"/>
      <c r="BGW934" s="10"/>
      <c r="BGX934" s="10"/>
      <c r="BGY934" s="10"/>
      <c r="BGZ934" s="10"/>
      <c r="BHA934" s="10"/>
      <c r="BHB934" s="10"/>
      <c r="BHC934" s="10"/>
      <c r="BHD934" s="10"/>
      <c r="BHE934" s="10"/>
      <c r="BHF934" s="10"/>
      <c r="BHG934" s="10"/>
      <c r="BHH934" s="10"/>
      <c r="BHI934" s="10"/>
      <c r="BHJ934" s="10"/>
      <c r="BHK934" s="10"/>
      <c r="BHL934" s="10"/>
      <c r="BHM934" s="10"/>
      <c r="BHN934" s="10"/>
      <c r="BHO934" s="10"/>
      <c r="BHP934" s="10"/>
      <c r="BHQ934" s="10"/>
      <c r="BHR934" s="10"/>
      <c r="BHS934" s="10"/>
      <c r="BHT934" s="10"/>
      <c r="BHU934" s="10"/>
      <c r="BHV934" s="10"/>
      <c r="BHW934" s="10"/>
      <c r="BHX934" s="10"/>
      <c r="BHY934" s="10"/>
      <c r="BHZ934" s="10"/>
      <c r="BIA934" s="10"/>
      <c r="BIB934" s="10"/>
      <c r="BIC934" s="10"/>
      <c r="BID934" s="10"/>
      <c r="BIE934" s="10"/>
      <c r="BIF934" s="10"/>
      <c r="BIG934" s="10"/>
      <c r="BIH934" s="10"/>
      <c r="BII934" s="10"/>
      <c r="BIJ934" s="10"/>
      <c r="BIK934" s="10"/>
      <c r="BIL934" s="10"/>
      <c r="BIM934" s="10"/>
      <c r="BIN934" s="10"/>
      <c r="BIO934" s="10"/>
      <c r="BIP934" s="10"/>
      <c r="BIQ934" s="10"/>
      <c r="BIR934" s="10"/>
      <c r="BIS934" s="10"/>
      <c r="BIT934" s="10"/>
      <c r="BIU934" s="10"/>
      <c r="BIV934" s="10"/>
      <c r="BIW934" s="10"/>
      <c r="BIX934" s="10"/>
      <c r="BIY934" s="10"/>
      <c r="BIZ934" s="10"/>
      <c r="BJA934" s="10"/>
      <c r="BJB934" s="10"/>
      <c r="BJC934" s="10"/>
      <c r="BJD934" s="10"/>
      <c r="BJE934" s="10"/>
      <c r="BJF934" s="10"/>
      <c r="BJG934" s="10"/>
      <c r="BJH934" s="10"/>
      <c r="BJI934" s="10"/>
      <c r="BJJ934" s="10"/>
      <c r="BJK934" s="10"/>
      <c r="BJL934" s="10"/>
      <c r="BJM934" s="10"/>
      <c r="BJN934" s="10"/>
      <c r="BJO934" s="10"/>
      <c r="BJP934" s="10"/>
      <c r="BJQ934" s="10"/>
      <c r="BJR934" s="10"/>
      <c r="BJS934" s="10"/>
      <c r="BJT934" s="10"/>
      <c r="BJU934" s="10"/>
      <c r="BJV934" s="10"/>
      <c r="BJW934" s="10"/>
      <c r="BJX934" s="10"/>
      <c r="BJY934" s="10"/>
      <c r="BJZ934" s="10"/>
      <c r="BKA934" s="10"/>
      <c r="BKB934" s="10"/>
      <c r="BKC934" s="10"/>
      <c r="BKD934" s="10"/>
      <c r="BKE934" s="10"/>
      <c r="BKF934" s="10"/>
      <c r="BKG934" s="10"/>
      <c r="BKH934" s="10"/>
      <c r="BKI934" s="10"/>
      <c r="BKJ934" s="10"/>
      <c r="BKK934" s="10"/>
      <c r="BKL934" s="10"/>
      <c r="BKM934" s="10"/>
      <c r="BKN934" s="10"/>
      <c r="BKO934" s="10"/>
      <c r="BKP934" s="10"/>
      <c r="BKQ934" s="10"/>
      <c r="BKR934" s="10"/>
      <c r="BKS934" s="10"/>
      <c r="BKT934" s="10"/>
      <c r="BKU934" s="10"/>
      <c r="BKV934" s="10"/>
      <c r="BKW934" s="10"/>
      <c r="BKX934" s="10"/>
      <c r="BKY934" s="10"/>
      <c r="BKZ934" s="10"/>
      <c r="BLA934" s="10"/>
      <c r="BLB934" s="10"/>
      <c r="BLC934" s="10"/>
      <c r="BLD934" s="10"/>
      <c r="BLE934" s="10"/>
      <c r="BLF934" s="10"/>
      <c r="BLG934" s="10"/>
      <c r="BLH934" s="10"/>
      <c r="BLI934" s="10"/>
      <c r="BLJ934" s="10"/>
      <c r="BLK934" s="10"/>
      <c r="BLL934" s="10"/>
      <c r="BLM934" s="10"/>
      <c r="BLN934" s="10"/>
      <c r="BLO934" s="10"/>
      <c r="BLP934" s="10"/>
      <c r="BLQ934" s="10"/>
      <c r="BLR934" s="10"/>
      <c r="BLS934" s="10"/>
      <c r="BLT934" s="10"/>
      <c r="BLU934" s="10"/>
      <c r="BLV934" s="10"/>
      <c r="BLW934" s="10"/>
      <c r="BLX934" s="10"/>
      <c r="BLY934" s="10"/>
      <c r="BLZ934" s="10"/>
      <c r="BMA934" s="10"/>
      <c r="BMB934" s="10"/>
      <c r="BMC934" s="10"/>
      <c r="BMD934" s="10"/>
      <c r="BME934" s="10"/>
      <c r="BMF934" s="10"/>
      <c r="BMG934" s="10"/>
      <c r="BMH934" s="10"/>
      <c r="BMI934" s="10"/>
      <c r="BMJ934" s="10"/>
      <c r="BMK934" s="10"/>
      <c r="BML934" s="10"/>
      <c r="BMM934" s="10"/>
      <c r="BMN934" s="10"/>
      <c r="BMO934" s="10"/>
      <c r="BMP934" s="10"/>
      <c r="BMQ934" s="10"/>
      <c r="BMR934" s="10"/>
      <c r="BMS934" s="10"/>
      <c r="BMT934" s="10"/>
      <c r="BMU934" s="10"/>
      <c r="BMV934" s="10"/>
      <c r="BMW934" s="10"/>
      <c r="BMX934" s="10"/>
      <c r="BMY934" s="10"/>
      <c r="BMZ934" s="10"/>
      <c r="BNA934" s="10"/>
      <c r="BNB934" s="10"/>
      <c r="BNC934" s="10"/>
      <c r="BND934" s="10"/>
      <c r="BNE934" s="10"/>
      <c r="BNF934" s="10"/>
      <c r="BNG934" s="10"/>
      <c r="BNH934" s="10"/>
      <c r="BNI934" s="10"/>
      <c r="BNJ934" s="10"/>
      <c r="BNK934" s="10"/>
      <c r="BNL934" s="10"/>
      <c r="BNM934" s="10"/>
      <c r="BNN934" s="10"/>
      <c r="BNO934" s="10"/>
      <c r="BNP934" s="10"/>
      <c r="BNQ934" s="10"/>
      <c r="BNR934" s="10"/>
      <c r="BNS934" s="10"/>
      <c r="BNT934" s="10"/>
      <c r="BNU934" s="10"/>
      <c r="BNV934" s="10"/>
      <c r="BNW934" s="10"/>
      <c r="BNX934" s="10"/>
      <c r="BNY934" s="10"/>
      <c r="BNZ934" s="10"/>
      <c r="BOA934" s="10"/>
      <c r="BOB934" s="10"/>
      <c r="BOC934" s="10"/>
      <c r="BOD934" s="10"/>
      <c r="BOE934" s="10"/>
      <c r="BOF934" s="10"/>
      <c r="BOG934" s="10"/>
      <c r="BOH934" s="10"/>
      <c r="BOI934" s="10"/>
      <c r="BOJ934" s="10"/>
      <c r="BOK934" s="10"/>
      <c r="BOL934" s="10"/>
      <c r="BOM934" s="10"/>
      <c r="BON934" s="10"/>
      <c r="BOO934" s="10"/>
      <c r="BOP934" s="10"/>
      <c r="BOQ934" s="10"/>
      <c r="BOR934" s="10"/>
      <c r="BOS934" s="10"/>
      <c r="BOT934" s="10"/>
      <c r="BOU934" s="10"/>
      <c r="BOV934" s="10"/>
      <c r="BOW934" s="10"/>
      <c r="BOX934" s="10"/>
      <c r="BOY934" s="10"/>
      <c r="BOZ934" s="10"/>
      <c r="BPA934" s="10"/>
      <c r="BPB934" s="10"/>
      <c r="BPC934" s="10"/>
      <c r="BPD934" s="10"/>
      <c r="BPE934" s="10"/>
      <c r="BPF934" s="10"/>
      <c r="BPG934" s="10"/>
      <c r="BPH934" s="10"/>
      <c r="BPI934" s="10"/>
      <c r="BPJ934" s="10"/>
      <c r="BPK934" s="10"/>
      <c r="BPL934" s="10"/>
      <c r="BPM934" s="10"/>
      <c r="BPN934" s="10"/>
      <c r="BPO934" s="10"/>
      <c r="BPP934" s="10"/>
      <c r="BPQ934" s="10"/>
      <c r="BPR934" s="10"/>
      <c r="BPS934" s="10"/>
      <c r="BPT934" s="10"/>
      <c r="BPU934" s="10"/>
      <c r="BPV934" s="10"/>
      <c r="BPW934" s="10"/>
      <c r="BPX934" s="10"/>
      <c r="BPY934" s="10"/>
      <c r="BPZ934" s="10"/>
      <c r="BQA934" s="10"/>
      <c r="BQB934" s="10"/>
      <c r="BQC934" s="10"/>
      <c r="BQD934" s="10"/>
      <c r="BQE934" s="10"/>
      <c r="BQF934" s="10"/>
      <c r="BQG934" s="10"/>
      <c r="BQH934" s="10"/>
      <c r="BQI934" s="10"/>
      <c r="BQJ934" s="10"/>
      <c r="BQK934" s="10"/>
      <c r="BQL934" s="10"/>
      <c r="BQM934" s="10"/>
      <c r="BQN934" s="10"/>
      <c r="BQO934" s="10"/>
      <c r="BQP934" s="10"/>
      <c r="BQQ934" s="10"/>
      <c r="BQR934" s="10"/>
      <c r="BQS934" s="10"/>
      <c r="BQT934" s="10"/>
      <c r="BQU934" s="10"/>
      <c r="BQV934" s="10"/>
      <c r="BQW934" s="10"/>
      <c r="BQX934" s="10"/>
      <c r="BQY934" s="10"/>
      <c r="BQZ934" s="10"/>
      <c r="BRA934" s="10"/>
      <c r="BRB934" s="10"/>
      <c r="BRC934" s="10"/>
      <c r="BRD934" s="10"/>
      <c r="BRE934" s="10"/>
      <c r="BRF934" s="10"/>
      <c r="BRG934" s="10"/>
      <c r="BRH934" s="10"/>
      <c r="BRI934" s="10"/>
      <c r="BRJ934" s="10"/>
      <c r="BRK934" s="10"/>
      <c r="BRL934" s="10"/>
      <c r="BRM934" s="10"/>
      <c r="BRN934" s="10"/>
      <c r="BRO934" s="10"/>
      <c r="BRP934" s="10"/>
      <c r="BRQ934" s="10"/>
      <c r="BRR934" s="10"/>
      <c r="BRS934" s="10"/>
      <c r="BRT934" s="10"/>
      <c r="BRU934" s="10"/>
      <c r="BRV934" s="10"/>
      <c r="BRW934" s="10"/>
      <c r="BRX934" s="10"/>
      <c r="BRY934" s="10"/>
      <c r="BRZ934" s="10"/>
      <c r="BSA934" s="10"/>
      <c r="BSB934" s="10"/>
      <c r="BSC934" s="10"/>
      <c r="BSD934" s="10"/>
      <c r="BSE934" s="10"/>
      <c r="BSF934" s="10"/>
      <c r="BSG934" s="10"/>
      <c r="BSH934" s="10"/>
      <c r="BSI934" s="10"/>
      <c r="BSJ934" s="10"/>
      <c r="BSK934" s="10"/>
      <c r="BSL934" s="10"/>
      <c r="BSM934" s="10"/>
      <c r="BSN934" s="10"/>
      <c r="BSO934" s="10"/>
      <c r="BSP934" s="10"/>
      <c r="BSQ934" s="10"/>
      <c r="BSR934" s="10"/>
      <c r="BSS934" s="10"/>
      <c r="BST934" s="10"/>
      <c r="BSU934" s="10"/>
      <c r="BSV934" s="10"/>
      <c r="BSW934" s="10"/>
      <c r="BSX934" s="10"/>
      <c r="BSY934" s="10"/>
      <c r="BSZ934" s="10"/>
      <c r="BTA934" s="10"/>
      <c r="BTB934" s="10"/>
      <c r="BTC934" s="10"/>
      <c r="BTD934" s="10"/>
      <c r="BTE934" s="10"/>
      <c r="BTF934" s="10"/>
      <c r="BTG934" s="10"/>
      <c r="BTH934" s="10"/>
      <c r="BTI934" s="10"/>
      <c r="BTJ934" s="10"/>
      <c r="BTK934" s="10"/>
      <c r="BTL934" s="10"/>
      <c r="BTM934" s="10"/>
      <c r="BTN934" s="10"/>
      <c r="BTO934" s="10"/>
      <c r="BTP934" s="10"/>
      <c r="BTQ934" s="10"/>
      <c r="BTR934" s="10"/>
      <c r="BTS934" s="10"/>
      <c r="BTT934" s="10"/>
    </row>
    <row r="935" spans="1:1892" s="10" customFormat="1" ht="35.1" customHeight="1">
      <c r="A935" s="1462"/>
      <c r="B935" s="597" t="s">
        <v>136</v>
      </c>
      <c r="C935" s="903" t="s">
        <v>137</v>
      </c>
      <c r="D935" s="701" t="s">
        <v>138</v>
      </c>
      <c r="E935" s="702"/>
      <c r="F935" s="703"/>
      <c r="G935" s="639" t="s">
        <v>300</v>
      </c>
      <c r="H935" s="639" t="s">
        <v>139</v>
      </c>
      <c r="I935" s="639" t="s">
        <v>988</v>
      </c>
      <c r="J935" s="795" t="s">
        <v>67</v>
      </c>
      <c r="K935" s="795" t="s">
        <v>66</v>
      </c>
      <c r="L935" s="192">
        <v>49.997100000000003</v>
      </c>
      <c r="M935" s="281">
        <v>16</v>
      </c>
      <c r="N935" s="406">
        <v>5</v>
      </c>
      <c r="O935" s="406">
        <v>5</v>
      </c>
      <c r="P935" s="560" t="s">
        <v>428</v>
      </c>
      <c r="Q935" s="560" t="s">
        <v>419</v>
      </c>
      <c r="R935" s="560" t="s">
        <v>435</v>
      </c>
      <c r="S935" s="664" t="s">
        <v>734</v>
      </c>
      <c r="T935" s="1007" t="s">
        <v>54</v>
      </c>
      <c r="U935" s="1004" t="s">
        <v>11</v>
      </c>
    </row>
    <row r="936" spans="1:1892" s="10" customFormat="1" ht="35.1" customHeight="1">
      <c r="A936" s="1462"/>
      <c r="B936" s="503"/>
      <c r="C936" s="904"/>
      <c r="D936" s="704"/>
      <c r="E936" s="705"/>
      <c r="F936" s="706"/>
      <c r="G936" s="640"/>
      <c r="H936" s="640"/>
      <c r="I936" s="640"/>
      <c r="J936" s="796"/>
      <c r="K936" s="796"/>
      <c r="L936" s="192">
        <v>49.933900000000001</v>
      </c>
      <c r="M936" s="281">
        <v>10</v>
      </c>
      <c r="N936" s="406">
        <v>0</v>
      </c>
      <c r="O936" s="406">
        <v>0</v>
      </c>
      <c r="P936" s="561"/>
      <c r="Q936" s="561"/>
      <c r="R936" s="561"/>
      <c r="S936" s="665"/>
      <c r="T936" s="1008"/>
      <c r="U936" s="1005"/>
    </row>
    <row r="937" spans="1:1892" s="10" customFormat="1" ht="35.1" customHeight="1">
      <c r="A937" s="1462"/>
      <c r="B937" s="503"/>
      <c r="C937" s="904"/>
      <c r="D937" s="704"/>
      <c r="E937" s="705"/>
      <c r="F937" s="706"/>
      <c r="G937" s="640"/>
      <c r="H937" s="640"/>
      <c r="I937" s="640"/>
      <c r="J937" s="796"/>
      <c r="K937" s="796"/>
      <c r="L937" s="192">
        <v>49.787500000000001</v>
      </c>
      <c r="M937" s="281">
        <v>13</v>
      </c>
      <c r="N937" s="406">
        <v>1</v>
      </c>
      <c r="O937" s="406">
        <v>1</v>
      </c>
      <c r="P937" s="561"/>
      <c r="Q937" s="561"/>
      <c r="R937" s="561"/>
      <c r="S937" s="665"/>
      <c r="T937" s="1008"/>
      <c r="U937" s="1005"/>
    </row>
    <row r="938" spans="1:1892" s="10" customFormat="1" ht="35.1" customHeight="1">
      <c r="A938" s="1462"/>
      <c r="B938" s="503"/>
      <c r="C938" s="904"/>
      <c r="D938" s="704"/>
      <c r="E938" s="705"/>
      <c r="F938" s="706"/>
      <c r="G938" s="640"/>
      <c r="H938" s="640"/>
      <c r="I938" s="640"/>
      <c r="J938" s="796"/>
      <c r="K938" s="796"/>
      <c r="L938" s="192">
        <v>49.668100000000003</v>
      </c>
      <c r="M938" s="281">
        <v>4</v>
      </c>
      <c r="N938" s="406">
        <v>2</v>
      </c>
      <c r="O938" s="406">
        <v>2</v>
      </c>
      <c r="P938" s="561"/>
      <c r="Q938" s="561"/>
      <c r="R938" s="561"/>
      <c r="S938" s="665"/>
      <c r="T938" s="1008"/>
      <c r="U938" s="1005"/>
    </row>
    <row r="939" spans="1:1892" s="10" customFormat="1" ht="35.1" customHeight="1">
      <c r="A939" s="1462"/>
      <c r="B939" s="503"/>
      <c r="C939" s="904"/>
      <c r="D939" s="704"/>
      <c r="E939" s="705"/>
      <c r="F939" s="706"/>
      <c r="G939" s="640"/>
      <c r="H939" s="640"/>
      <c r="I939" s="640"/>
      <c r="J939" s="796"/>
      <c r="K939" s="796"/>
      <c r="L939" s="192">
        <v>65.707400000000007</v>
      </c>
      <c r="M939" s="281">
        <v>92</v>
      </c>
      <c r="N939" s="406">
        <v>53</v>
      </c>
      <c r="O939" s="406">
        <v>53</v>
      </c>
      <c r="P939" s="561"/>
      <c r="Q939" s="561"/>
      <c r="R939" s="561"/>
      <c r="S939" s="665"/>
      <c r="T939" s="1008"/>
      <c r="U939" s="1005"/>
    </row>
    <row r="940" spans="1:1892" s="10" customFormat="1" ht="35.1" customHeight="1">
      <c r="A940" s="1462"/>
      <c r="B940" s="503"/>
      <c r="C940" s="904"/>
      <c r="D940" s="704"/>
      <c r="E940" s="705"/>
      <c r="F940" s="706"/>
      <c r="G940" s="640"/>
      <c r="H940" s="640"/>
      <c r="I940" s="640"/>
      <c r="J940" s="796"/>
      <c r="K940" s="796"/>
      <c r="L940" s="192">
        <v>65.849000000000004</v>
      </c>
      <c r="M940" s="281">
        <v>127</v>
      </c>
      <c r="N940" s="406">
        <v>72</v>
      </c>
      <c r="O940" s="406">
        <v>72</v>
      </c>
      <c r="P940" s="561"/>
      <c r="Q940" s="561"/>
      <c r="R940" s="561"/>
      <c r="S940" s="665"/>
      <c r="T940" s="1008"/>
      <c r="U940" s="1005"/>
    </row>
    <row r="941" spans="1:1892" s="10" customFormat="1" ht="35.1" customHeight="1">
      <c r="A941" s="1462"/>
      <c r="B941" s="503"/>
      <c r="C941" s="904"/>
      <c r="D941" s="704"/>
      <c r="E941" s="705"/>
      <c r="F941" s="706"/>
      <c r="G941" s="640"/>
      <c r="H941" s="640"/>
      <c r="I941" s="640"/>
      <c r="J941" s="796"/>
      <c r="K941" s="796"/>
      <c r="L941" s="192">
        <v>65.546700000000001</v>
      </c>
      <c r="M941" s="281">
        <v>54</v>
      </c>
      <c r="N941" s="406">
        <v>4</v>
      </c>
      <c r="O941" s="406">
        <v>4</v>
      </c>
      <c r="P941" s="561"/>
      <c r="Q941" s="561"/>
      <c r="R941" s="561"/>
      <c r="S941" s="665"/>
      <c r="T941" s="1008"/>
      <c r="U941" s="1005"/>
    </row>
    <row r="942" spans="1:1892" s="10" customFormat="1" ht="35.1" customHeight="1">
      <c r="A942" s="1462"/>
      <c r="B942" s="503"/>
      <c r="C942" s="904"/>
      <c r="D942" s="704"/>
      <c r="E942" s="705"/>
      <c r="F942" s="706"/>
      <c r="G942" s="641"/>
      <c r="H942" s="641"/>
      <c r="I942" s="641"/>
      <c r="J942" s="797"/>
      <c r="K942" s="797"/>
      <c r="L942" s="192">
        <v>74.698099999999997</v>
      </c>
      <c r="M942" s="281">
        <v>4</v>
      </c>
      <c r="N942" s="406">
        <v>0</v>
      </c>
      <c r="O942" s="406">
        <v>0</v>
      </c>
      <c r="P942" s="561"/>
      <c r="Q942" s="561"/>
      <c r="R942" s="561"/>
      <c r="S942" s="665"/>
      <c r="T942" s="1008"/>
      <c r="U942" s="1005"/>
    </row>
    <row r="943" spans="1:1892" s="10" customFormat="1" ht="35.1" customHeight="1">
      <c r="A943" s="1462"/>
      <c r="B943" s="504"/>
      <c r="C943" s="905"/>
      <c r="D943" s="707"/>
      <c r="E943" s="708"/>
      <c r="F943" s="709"/>
      <c r="G943" s="490" t="s">
        <v>329</v>
      </c>
      <c r="H943" s="491"/>
      <c r="I943" s="491"/>
      <c r="J943" s="491"/>
      <c r="K943" s="492"/>
      <c r="L943" s="183"/>
      <c r="M943" s="251">
        <f>SUM(M935:M942)</f>
        <v>320</v>
      </c>
      <c r="N943" s="400">
        <f>SUM(N935:N942)</f>
        <v>137</v>
      </c>
      <c r="O943" s="400">
        <f>SUM(O935:O942)</f>
        <v>137</v>
      </c>
      <c r="P943" s="562"/>
      <c r="Q943" s="562"/>
      <c r="R943" s="562"/>
      <c r="S943" s="666"/>
      <c r="T943" s="1009"/>
      <c r="U943" s="1006"/>
    </row>
    <row r="944" spans="1:1892" s="9" customFormat="1" ht="35.1" customHeight="1">
      <c r="A944" s="1462"/>
      <c r="B944" s="202" t="s">
        <v>53</v>
      </c>
      <c r="C944" s="203"/>
      <c r="D944" s="203"/>
      <c r="E944" s="203"/>
      <c r="F944" s="203"/>
      <c r="G944" s="203"/>
      <c r="H944" s="203"/>
      <c r="I944" s="203"/>
      <c r="J944" s="203"/>
      <c r="K944" s="203"/>
      <c r="L944" s="122"/>
      <c r="M944" s="226">
        <f>M943</f>
        <v>320</v>
      </c>
      <c r="N944" s="394">
        <f>N943</f>
        <v>137</v>
      </c>
      <c r="O944" s="394">
        <f>O943</f>
        <v>137</v>
      </c>
      <c r="P944" s="123"/>
      <c r="Q944" s="123"/>
      <c r="R944" s="123"/>
      <c r="S944" s="156"/>
      <c r="T944" s="156"/>
      <c r="U944" s="156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  <c r="EF944" s="10"/>
      <c r="EG944" s="10"/>
      <c r="EH944" s="10"/>
      <c r="EI944" s="10"/>
      <c r="EJ944" s="10"/>
      <c r="EK944" s="10"/>
      <c r="EL944" s="10"/>
      <c r="EM944" s="10"/>
      <c r="EN944" s="10"/>
      <c r="EO944" s="10"/>
      <c r="EP944" s="10"/>
      <c r="EQ944" s="10"/>
      <c r="ER944" s="10"/>
      <c r="ES944" s="10"/>
      <c r="ET944" s="10"/>
      <c r="EU944" s="10"/>
      <c r="EV944" s="10"/>
      <c r="EW944" s="10"/>
      <c r="EX944" s="10"/>
      <c r="EY944" s="10"/>
      <c r="EZ944" s="10"/>
      <c r="FA944" s="10"/>
      <c r="FB944" s="10"/>
      <c r="FC944" s="10"/>
      <c r="FD944" s="10"/>
      <c r="FE944" s="10"/>
      <c r="FF944" s="10"/>
      <c r="FG944" s="10"/>
      <c r="FH944" s="10"/>
      <c r="FI944" s="10"/>
      <c r="FJ944" s="10"/>
      <c r="FK944" s="10"/>
      <c r="FL944" s="10"/>
      <c r="FM944" s="10"/>
      <c r="FN944" s="10"/>
      <c r="FO944" s="10"/>
      <c r="FP944" s="10"/>
      <c r="FQ944" s="10"/>
      <c r="FR944" s="10"/>
      <c r="FS944" s="10"/>
      <c r="FT944" s="10"/>
      <c r="FU944" s="10"/>
      <c r="FV944" s="10"/>
      <c r="FW944" s="10"/>
      <c r="FX944" s="10"/>
      <c r="FY944" s="10"/>
      <c r="FZ944" s="10"/>
      <c r="GA944" s="10"/>
      <c r="GB944" s="10"/>
      <c r="GC944" s="10"/>
      <c r="GD944" s="10"/>
      <c r="GE944" s="10"/>
      <c r="GF944" s="10"/>
      <c r="GG944" s="10"/>
      <c r="GH944" s="10"/>
      <c r="GI944" s="10"/>
      <c r="GJ944" s="10"/>
      <c r="GK944" s="10"/>
      <c r="GL944" s="10"/>
      <c r="GM944" s="10"/>
      <c r="GN944" s="10"/>
      <c r="GO944" s="10"/>
      <c r="GP944" s="10"/>
      <c r="GQ944" s="10"/>
      <c r="GR944" s="10"/>
      <c r="GS944" s="10"/>
      <c r="GT944" s="10"/>
      <c r="GU944" s="10"/>
      <c r="GV944" s="10"/>
      <c r="GW944" s="10"/>
      <c r="GX944" s="10"/>
      <c r="GY944" s="10"/>
      <c r="GZ944" s="10"/>
      <c r="HA944" s="10"/>
      <c r="HB944" s="10"/>
      <c r="HC944" s="10"/>
      <c r="HD944" s="10"/>
      <c r="HE944" s="10"/>
      <c r="HF944" s="10"/>
      <c r="HG944" s="10"/>
      <c r="HH944" s="10"/>
      <c r="HI944" s="10"/>
      <c r="HJ944" s="10"/>
      <c r="HK944" s="10"/>
      <c r="HL944" s="10"/>
      <c r="HM944" s="10"/>
      <c r="HN944" s="10"/>
      <c r="HO944" s="10"/>
      <c r="HP944" s="10"/>
      <c r="HQ944" s="10"/>
      <c r="HR944" s="10"/>
      <c r="HS944" s="10"/>
      <c r="HT944" s="10"/>
      <c r="HU944" s="10"/>
      <c r="HV944" s="10"/>
      <c r="HW944" s="10"/>
      <c r="HX944" s="10"/>
      <c r="HY944" s="10"/>
      <c r="HZ944" s="10"/>
      <c r="IA944" s="10"/>
      <c r="IB944" s="10"/>
      <c r="IC944" s="10"/>
      <c r="ID944" s="10"/>
      <c r="IE944" s="10"/>
      <c r="IF944" s="10"/>
      <c r="IG944" s="10"/>
      <c r="IH944" s="10"/>
      <c r="II944" s="10"/>
      <c r="IJ944" s="10"/>
      <c r="IK944" s="10"/>
      <c r="IL944" s="10"/>
      <c r="IM944" s="10"/>
      <c r="IN944" s="10"/>
      <c r="IO944" s="10"/>
      <c r="IP944" s="10"/>
      <c r="IQ944" s="10"/>
      <c r="IR944" s="10"/>
      <c r="IS944" s="10"/>
      <c r="IT944" s="10"/>
      <c r="IU944" s="10"/>
      <c r="IV944" s="10"/>
      <c r="IW944" s="10"/>
      <c r="IX944" s="10"/>
      <c r="IY944" s="10"/>
      <c r="IZ944" s="10"/>
      <c r="JA944" s="10"/>
      <c r="JB944" s="10"/>
      <c r="JC944" s="10"/>
      <c r="JD944" s="10"/>
      <c r="JE944" s="10"/>
      <c r="JF944" s="10"/>
      <c r="JG944" s="10"/>
      <c r="JH944" s="10"/>
      <c r="JI944" s="10"/>
      <c r="JJ944" s="10"/>
      <c r="JK944" s="10"/>
      <c r="JL944" s="10"/>
      <c r="JM944" s="10"/>
      <c r="JN944" s="10"/>
      <c r="JO944" s="10"/>
      <c r="JP944" s="10"/>
      <c r="JQ944" s="10"/>
      <c r="JR944" s="10"/>
      <c r="JS944" s="10"/>
      <c r="JT944" s="10"/>
      <c r="JU944" s="10"/>
      <c r="JV944" s="10"/>
      <c r="JW944" s="10"/>
      <c r="JX944" s="10"/>
      <c r="JY944" s="10"/>
      <c r="JZ944" s="10"/>
      <c r="KA944" s="10"/>
      <c r="KB944" s="10"/>
      <c r="KC944" s="10"/>
      <c r="KD944" s="10"/>
      <c r="KE944" s="10"/>
      <c r="KF944" s="10"/>
      <c r="KG944" s="10"/>
      <c r="KH944" s="10"/>
      <c r="KI944" s="10"/>
      <c r="KJ944" s="10"/>
      <c r="KK944" s="10"/>
      <c r="KL944" s="10"/>
      <c r="KM944" s="10"/>
      <c r="KN944" s="10"/>
      <c r="KO944" s="10"/>
      <c r="KP944" s="10"/>
      <c r="KQ944" s="10"/>
      <c r="KR944" s="10"/>
      <c r="KS944" s="10"/>
      <c r="KT944" s="10"/>
      <c r="KU944" s="10"/>
      <c r="KV944" s="10"/>
      <c r="KW944" s="10"/>
      <c r="KX944" s="10"/>
      <c r="KY944" s="10"/>
      <c r="KZ944" s="10"/>
      <c r="LA944" s="10"/>
      <c r="LB944" s="10"/>
      <c r="LC944" s="10"/>
      <c r="LD944" s="10"/>
      <c r="LE944" s="10"/>
      <c r="LF944" s="10"/>
      <c r="LG944" s="10"/>
      <c r="LH944" s="10"/>
      <c r="LI944" s="10"/>
      <c r="LJ944" s="10"/>
      <c r="LK944" s="10"/>
      <c r="LL944" s="10"/>
      <c r="LM944" s="10"/>
      <c r="LN944" s="10"/>
      <c r="LO944" s="10"/>
      <c r="LP944" s="10"/>
      <c r="LQ944" s="10"/>
      <c r="LR944" s="10"/>
      <c r="LS944" s="10"/>
      <c r="LT944" s="10"/>
      <c r="LU944" s="10"/>
      <c r="LV944" s="10"/>
      <c r="LW944" s="10"/>
      <c r="LX944" s="10"/>
      <c r="LY944" s="10"/>
      <c r="LZ944" s="10"/>
      <c r="MA944" s="10"/>
      <c r="MB944" s="10"/>
      <c r="MC944" s="10"/>
      <c r="MD944" s="10"/>
      <c r="ME944" s="10"/>
      <c r="MF944" s="10"/>
      <c r="MG944" s="10"/>
      <c r="MH944" s="10"/>
      <c r="MI944" s="10"/>
      <c r="MJ944" s="10"/>
      <c r="MK944" s="10"/>
      <c r="ML944" s="10"/>
      <c r="MM944" s="10"/>
      <c r="MN944" s="10"/>
      <c r="MO944" s="10"/>
      <c r="MP944" s="10"/>
      <c r="MQ944" s="10"/>
      <c r="MR944" s="10"/>
      <c r="MS944" s="10"/>
      <c r="MT944" s="10"/>
      <c r="MU944" s="10"/>
      <c r="MV944" s="10"/>
      <c r="MW944" s="10"/>
      <c r="MX944" s="10"/>
      <c r="MY944" s="10"/>
      <c r="MZ944" s="10"/>
      <c r="NA944" s="10"/>
      <c r="NB944" s="10"/>
      <c r="NC944" s="10"/>
      <c r="ND944" s="10"/>
      <c r="NE944" s="10"/>
      <c r="NF944" s="10"/>
      <c r="NG944" s="10"/>
      <c r="NH944" s="10"/>
      <c r="NI944" s="10"/>
      <c r="NJ944" s="10"/>
      <c r="NK944" s="10"/>
      <c r="NL944" s="10"/>
      <c r="NM944" s="10"/>
      <c r="NN944" s="10"/>
      <c r="NO944" s="10"/>
      <c r="NP944" s="10"/>
      <c r="NQ944" s="10"/>
      <c r="NR944" s="10"/>
      <c r="NS944" s="10"/>
      <c r="NT944" s="10"/>
      <c r="NU944" s="10"/>
      <c r="NV944" s="10"/>
      <c r="NW944" s="10"/>
      <c r="NX944" s="10"/>
      <c r="NY944" s="10"/>
      <c r="NZ944" s="10"/>
      <c r="OA944" s="10"/>
      <c r="OB944" s="10"/>
      <c r="OC944" s="10"/>
      <c r="OD944" s="10"/>
      <c r="OE944" s="10"/>
      <c r="OF944" s="10"/>
      <c r="OG944" s="10"/>
      <c r="OH944" s="10"/>
      <c r="OI944" s="10"/>
      <c r="OJ944" s="10"/>
      <c r="OK944" s="10"/>
      <c r="OL944" s="10"/>
      <c r="OM944" s="10"/>
      <c r="ON944" s="10"/>
      <c r="OO944" s="10"/>
      <c r="OP944" s="10"/>
      <c r="OQ944" s="10"/>
      <c r="OR944" s="10"/>
      <c r="OS944" s="10"/>
      <c r="OT944" s="10"/>
      <c r="OU944" s="10"/>
      <c r="OV944" s="10"/>
      <c r="OW944" s="10"/>
      <c r="OX944" s="10"/>
      <c r="OY944" s="10"/>
      <c r="OZ944" s="10"/>
      <c r="PA944" s="10"/>
      <c r="PB944" s="10"/>
      <c r="PC944" s="10"/>
      <c r="PD944" s="10"/>
      <c r="PE944" s="10"/>
      <c r="PF944" s="10"/>
      <c r="PG944" s="10"/>
      <c r="PH944" s="10"/>
      <c r="PI944" s="10"/>
      <c r="PJ944" s="10"/>
      <c r="PK944" s="10"/>
      <c r="PL944" s="10"/>
      <c r="PM944" s="10"/>
      <c r="PN944" s="10"/>
      <c r="PO944" s="10"/>
      <c r="PP944" s="10"/>
      <c r="PQ944" s="10"/>
      <c r="PR944" s="10"/>
      <c r="PS944" s="10"/>
      <c r="PT944" s="10"/>
      <c r="PU944" s="10"/>
      <c r="PV944" s="10"/>
      <c r="PW944" s="10"/>
      <c r="PX944" s="10"/>
      <c r="PY944" s="10"/>
      <c r="PZ944" s="10"/>
      <c r="QA944" s="10"/>
      <c r="QB944" s="10"/>
      <c r="QC944" s="10"/>
      <c r="QD944" s="10"/>
      <c r="QE944" s="10"/>
      <c r="QF944" s="10"/>
      <c r="QG944" s="10"/>
      <c r="QH944" s="10"/>
      <c r="QI944" s="10"/>
      <c r="QJ944" s="10"/>
      <c r="QK944" s="10"/>
      <c r="QL944" s="10"/>
      <c r="QM944" s="10"/>
      <c r="QN944" s="10"/>
      <c r="QO944" s="10"/>
      <c r="QP944" s="10"/>
      <c r="QQ944" s="10"/>
      <c r="QR944" s="10"/>
      <c r="QS944" s="10"/>
      <c r="QT944" s="10"/>
      <c r="QU944" s="10"/>
      <c r="QV944" s="10"/>
      <c r="QW944" s="10"/>
      <c r="QX944" s="10"/>
      <c r="QY944" s="10"/>
      <c r="QZ944" s="10"/>
      <c r="RA944" s="10"/>
      <c r="RB944" s="10"/>
      <c r="RC944" s="10"/>
      <c r="RD944" s="10"/>
      <c r="RE944" s="10"/>
      <c r="RF944" s="10"/>
      <c r="RG944" s="10"/>
      <c r="RH944" s="10"/>
      <c r="RI944" s="10"/>
      <c r="RJ944" s="10"/>
      <c r="RK944" s="10"/>
      <c r="RL944" s="10"/>
      <c r="RM944" s="10"/>
      <c r="RN944" s="10"/>
      <c r="RO944" s="10"/>
      <c r="RP944" s="10"/>
      <c r="RQ944" s="10"/>
      <c r="RR944" s="10"/>
      <c r="RS944" s="10"/>
      <c r="RT944" s="10"/>
      <c r="RU944" s="10"/>
      <c r="RV944" s="10"/>
      <c r="RW944" s="10"/>
      <c r="RX944" s="10"/>
      <c r="RY944" s="10"/>
      <c r="RZ944" s="10"/>
      <c r="SA944" s="10"/>
      <c r="SB944" s="10"/>
      <c r="SC944" s="10"/>
      <c r="SD944" s="10"/>
      <c r="SE944" s="10"/>
      <c r="SF944" s="10"/>
      <c r="SG944" s="10"/>
      <c r="SH944" s="10"/>
      <c r="SI944" s="10"/>
      <c r="SJ944" s="10"/>
      <c r="SK944" s="10"/>
      <c r="SL944" s="10"/>
      <c r="SM944" s="10"/>
      <c r="SN944" s="10"/>
      <c r="SO944" s="10"/>
      <c r="SP944" s="10"/>
      <c r="SQ944" s="10"/>
      <c r="SR944" s="10"/>
      <c r="SS944" s="10"/>
      <c r="ST944" s="10"/>
      <c r="SU944" s="10"/>
      <c r="SV944" s="10"/>
      <c r="SW944" s="10"/>
      <c r="SX944" s="10"/>
      <c r="SY944" s="10"/>
      <c r="SZ944" s="10"/>
      <c r="TA944" s="10"/>
      <c r="TB944" s="10"/>
      <c r="TC944" s="10"/>
      <c r="TD944" s="10"/>
      <c r="TE944" s="10"/>
      <c r="TF944" s="10"/>
      <c r="TG944" s="10"/>
      <c r="TH944" s="10"/>
      <c r="TI944" s="10"/>
      <c r="TJ944" s="10"/>
      <c r="TK944" s="10"/>
      <c r="TL944" s="10"/>
      <c r="TM944" s="10"/>
      <c r="TN944" s="10"/>
      <c r="TO944" s="10"/>
      <c r="TP944" s="10"/>
      <c r="TQ944" s="10"/>
      <c r="TR944" s="10"/>
      <c r="TS944" s="10"/>
      <c r="TT944" s="10"/>
      <c r="TU944" s="10"/>
      <c r="TV944" s="10"/>
      <c r="TW944" s="10"/>
      <c r="TX944" s="10"/>
      <c r="TY944" s="10"/>
      <c r="TZ944" s="10"/>
      <c r="UA944" s="10"/>
      <c r="UB944" s="10"/>
      <c r="UC944" s="10"/>
      <c r="UD944" s="10"/>
      <c r="UE944" s="10"/>
      <c r="UF944" s="10"/>
      <c r="UG944" s="10"/>
      <c r="UH944" s="10"/>
      <c r="UI944" s="10"/>
      <c r="UJ944" s="10"/>
      <c r="UK944" s="10"/>
      <c r="UL944" s="10"/>
      <c r="UM944" s="10"/>
      <c r="UN944" s="10"/>
      <c r="UO944" s="10"/>
      <c r="UP944" s="10"/>
      <c r="UQ944" s="10"/>
      <c r="UR944" s="10"/>
      <c r="US944" s="10"/>
      <c r="UT944" s="10"/>
      <c r="UU944" s="10"/>
      <c r="UV944" s="10"/>
      <c r="UW944" s="10"/>
      <c r="UX944" s="10"/>
      <c r="UY944" s="10"/>
      <c r="UZ944" s="10"/>
      <c r="VA944" s="10"/>
      <c r="VB944" s="10"/>
      <c r="VC944" s="10"/>
      <c r="VD944" s="10"/>
      <c r="VE944" s="10"/>
      <c r="VF944" s="10"/>
      <c r="VG944" s="10"/>
      <c r="VH944" s="10"/>
      <c r="VI944" s="10"/>
      <c r="VJ944" s="10"/>
      <c r="VK944" s="10"/>
      <c r="VL944" s="10"/>
      <c r="VM944" s="10"/>
      <c r="VN944" s="10"/>
      <c r="VO944" s="10"/>
      <c r="VP944" s="10"/>
      <c r="VQ944" s="10"/>
      <c r="VR944" s="10"/>
      <c r="VS944" s="10"/>
      <c r="VT944" s="10"/>
      <c r="VU944" s="10"/>
      <c r="VV944" s="10"/>
      <c r="VW944" s="10"/>
      <c r="VX944" s="10"/>
      <c r="VY944" s="10"/>
      <c r="VZ944" s="10"/>
      <c r="WA944" s="10"/>
      <c r="WB944" s="10"/>
      <c r="WC944" s="10"/>
      <c r="WD944" s="10"/>
      <c r="WE944" s="10"/>
      <c r="WF944" s="10"/>
      <c r="WG944" s="10"/>
      <c r="WH944" s="10"/>
      <c r="WI944" s="10"/>
      <c r="WJ944" s="10"/>
      <c r="WK944" s="10"/>
      <c r="WL944" s="10"/>
      <c r="WM944" s="10"/>
      <c r="WN944" s="10"/>
      <c r="WO944" s="10"/>
      <c r="WP944" s="10"/>
      <c r="WQ944" s="10"/>
      <c r="WR944" s="10"/>
      <c r="WS944" s="10"/>
      <c r="WT944" s="10"/>
      <c r="WU944" s="10"/>
      <c r="WV944" s="10"/>
      <c r="WW944" s="10"/>
      <c r="WX944" s="10"/>
      <c r="WY944" s="10"/>
      <c r="WZ944" s="10"/>
      <c r="XA944" s="10"/>
      <c r="XB944" s="10"/>
      <c r="XC944" s="10"/>
      <c r="XD944" s="10"/>
      <c r="XE944" s="10"/>
      <c r="XF944" s="10"/>
      <c r="XG944" s="10"/>
      <c r="XH944" s="10"/>
      <c r="XI944" s="10"/>
      <c r="XJ944" s="10"/>
      <c r="XK944" s="10"/>
      <c r="XL944" s="10"/>
      <c r="XM944" s="10"/>
      <c r="XN944" s="10"/>
      <c r="XO944" s="10"/>
      <c r="XP944" s="10"/>
      <c r="XQ944" s="10"/>
      <c r="XR944" s="10"/>
      <c r="XS944" s="10"/>
      <c r="XT944" s="10"/>
      <c r="XU944" s="10"/>
      <c r="XV944" s="10"/>
      <c r="XW944" s="10"/>
      <c r="XX944" s="10"/>
      <c r="XY944" s="10"/>
      <c r="XZ944" s="10"/>
      <c r="YA944" s="10"/>
      <c r="YB944" s="10"/>
      <c r="YC944" s="10"/>
      <c r="YD944" s="10"/>
      <c r="YE944" s="10"/>
      <c r="YF944" s="10"/>
      <c r="YG944" s="10"/>
      <c r="YH944" s="10"/>
      <c r="YI944" s="10"/>
      <c r="YJ944" s="10"/>
      <c r="YK944" s="10"/>
      <c r="YL944" s="10"/>
      <c r="YM944" s="10"/>
      <c r="YN944" s="10"/>
      <c r="YO944" s="10"/>
      <c r="YP944" s="10"/>
      <c r="YQ944" s="10"/>
      <c r="YR944" s="10"/>
      <c r="YS944" s="10"/>
      <c r="YT944" s="10"/>
      <c r="YU944" s="10"/>
      <c r="YV944" s="10"/>
      <c r="YW944" s="10"/>
      <c r="YX944" s="10"/>
      <c r="YY944" s="10"/>
      <c r="YZ944" s="10"/>
      <c r="ZA944" s="10"/>
      <c r="ZB944" s="10"/>
      <c r="ZC944" s="10"/>
      <c r="ZD944" s="10"/>
      <c r="ZE944" s="10"/>
      <c r="ZF944" s="10"/>
      <c r="ZG944" s="10"/>
      <c r="ZH944" s="10"/>
      <c r="ZI944" s="10"/>
      <c r="ZJ944" s="10"/>
      <c r="ZK944" s="10"/>
      <c r="ZL944" s="10"/>
      <c r="ZM944" s="10"/>
      <c r="ZN944" s="10"/>
      <c r="ZO944" s="10"/>
      <c r="ZP944" s="10"/>
      <c r="ZQ944" s="10"/>
      <c r="ZR944" s="10"/>
      <c r="ZS944" s="10"/>
      <c r="ZT944" s="10"/>
      <c r="ZU944" s="10"/>
      <c r="ZV944" s="10"/>
      <c r="ZW944" s="10"/>
      <c r="ZX944" s="10"/>
      <c r="ZY944" s="10"/>
      <c r="ZZ944" s="10"/>
      <c r="AAA944" s="10"/>
      <c r="AAB944" s="10"/>
      <c r="AAC944" s="10"/>
      <c r="AAD944" s="10"/>
      <c r="AAE944" s="10"/>
      <c r="AAF944" s="10"/>
      <c r="AAG944" s="10"/>
      <c r="AAH944" s="10"/>
      <c r="AAI944" s="10"/>
      <c r="AAJ944" s="10"/>
      <c r="AAK944" s="10"/>
      <c r="AAL944" s="10"/>
      <c r="AAM944" s="10"/>
      <c r="AAN944" s="10"/>
      <c r="AAO944" s="10"/>
      <c r="AAP944" s="10"/>
      <c r="AAQ944" s="10"/>
      <c r="AAR944" s="10"/>
      <c r="AAS944" s="10"/>
      <c r="AAT944" s="10"/>
      <c r="AAU944" s="10"/>
      <c r="AAV944" s="10"/>
      <c r="AAW944" s="10"/>
      <c r="AAX944" s="10"/>
      <c r="AAY944" s="10"/>
      <c r="AAZ944" s="10"/>
      <c r="ABA944" s="10"/>
      <c r="ABB944" s="10"/>
      <c r="ABC944" s="10"/>
      <c r="ABD944" s="10"/>
      <c r="ABE944" s="10"/>
      <c r="ABF944" s="10"/>
      <c r="ABG944" s="10"/>
      <c r="ABH944" s="10"/>
      <c r="ABI944" s="10"/>
      <c r="ABJ944" s="10"/>
      <c r="ABK944" s="10"/>
      <c r="ABL944" s="10"/>
      <c r="ABM944" s="10"/>
      <c r="ABN944" s="10"/>
      <c r="ABO944" s="10"/>
      <c r="ABP944" s="10"/>
      <c r="ABQ944" s="10"/>
      <c r="ABR944" s="10"/>
      <c r="ABS944" s="10"/>
      <c r="ABT944" s="10"/>
      <c r="ABU944" s="10"/>
      <c r="ABV944" s="10"/>
      <c r="ABW944" s="10"/>
      <c r="ABX944" s="10"/>
      <c r="ABY944" s="10"/>
      <c r="ABZ944" s="10"/>
      <c r="ACA944" s="10"/>
      <c r="ACB944" s="10"/>
      <c r="ACC944" s="10"/>
      <c r="ACD944" s="10"/>
      <c r="ACE944" s="10"/>
      <c r="ACF944" s="10"/>
      <c r="ACG944" s="10"/>
      <c r="ACH944" s="10"/>
      <c r="ACI944" s="10"/>
      <c r="ACJ944" s="10"/>
      <c r="ACK944" s="10"/>
      <c r="ACL944" s="10"/>
      <c r="ACM944" s="10"/>
      <c r="ACN944" s="10"/>
      <c r="ACO944" s="10"/>
      <c r="ACP944" s="10"/>
      <c r="ACQ944" s="10"/>
      <c r="ACR944" s="10"/>
      <c r="ACS944" s="10"/>
      <c r="ACT944" s="10"/>
      <c r="ACU944" s="10"/>
      <c r="ACV944" s="10"/>
      <c r="ACW944" s="10"/>
      <c r="ACX944" s="10"/>
      <c r="ACY944" s="10"/>
      <c r="ACZ944" s="10"/>
      <c r="ADA944" s="10"/>
      <c r="ADB944" s="10"/>
      <c r="ADC944" s="10"/>
      <c r="ADD944" s="10"/>
      <c r="ADE944" s="10"/>
      <c r="ADF944" s="10"/>
      <c r="ADG944" s="10"/>
      <c r="ADH944" s="10"/>
      <c r="ADI944" s="10"/>
      <c r="ADJ944" s="10"/>
      <c r="ADK944" s="10"/>
      <c r="ADL944" s="10"/>
      <c r="ADM944" s="10"/>
      <c r="ADN944" s="10"/>
      <c r="ADO944" s="10"/>
      <c r="ADP944" s="10"/>
      <c r="ADQ944" s="10"/>
      <c r="ADR944" s="10"/>
      <c r="ADS944" s="10"/>
      <c r="ADT944" s="10"/>
      <c r="ADU944" s="10"/>
      <c r="ADV944" s="10"/>
      <c r="ADW944" s="10"/>
      <c r="ADX944" s="10"/>
      <c r="ADY944" s="10"/>
      <c r="ADZ944" s="10"/>
      <c r="AEA944" s="10"/>
      <c r="AEB944" s="10"/>
      <c r="AEC944" s="10"/>
      <c r="AED944" s="10"/>
      <c r="AEE944" s="10"/>
      <c r="AEF944" s="10"/>
      <c r="AEG944" s="10"/>
      <c r="AEH944" s="10"/>
      <c r="AEI944" s="10"/>
      <c r="AEJ944" s="10"/>
      <c r="AEK944" s="10"/>
      <c r="AEL944" s="10"/>
      <c r="AEM944" s="10"/>
      <c r="AEN944" s="10"/>
      <c r="AEO944" s="10"/>
      <c r="AEP944" s="10"/>
      <c r="AEQ944" s="10"/>
      <c r="AER944" s="10"/>
      <c r="AES944" s="10"/>
      <c r="AET944" s="10"/>
      <c r="AEU944" s="10"/>
      <c r="AEV944" s="10"/>
      <c r="AEW944" s="10"/>
      <c r="AEX944" s="10"/>
      <c r="AEY944" s="10"/>
      <c r="AEZ944" s="10"/>
      <c r="AFA944" s="10"/>
      <c r="AFB944" s="10"/>
      <c r="AFC944" s="10"/>
      <c r="AFD944" s="10"/>
      <c r="AFE944" s="10"/>
      <c r="AFF944" s="10"/>
      <c r="AFG944" s="10"/>
      <c r="AFH944" s="10"/>
      <c r="AFI944" s="10"/>
      <c r="AFJ944" s="10"/>
      <c r="AFK944" s="10"/>
      <c r="AFL944" s="10"/>
      <c r="AFM944" s="10"/>
      <c r="AFN944" s="10"/>
      <c r="AFO944" s="10"/>
      <c r="AFP944" s="10"/>
      <c r="AFQ944" s="10"/>
      <c r="AFR944" s="10"/>
      <c r="AFS944" s="10"/>
      <c r="AFT944" s="10"/>
      <c r="AFU944" s="10"/>
      <c r="AFV944" s="10"/>
      <c r="AFW944" s="10"/>
      <c r="AFX944" s="10"/>
      <c r="AFY944" s="10"/>
      <c r="AFZ944" s="10"/>
      <c r="AGA944" s="10"/>
      <c r="AGB944" s="10"/>
      <c r="AGC944" s="10"/>
      <c r="AGD944" s="10"/>
      <c r="AGE944" s="10"/>
      <c r="AGF944" s="10"/>
      <c r="AGG944" s="10"/>
      <c r="AGH944" s="10"/>
      <c r="AGI944" s="10"/>
      <c r="AGJ944" s="10"/>
      <c r="AGK944" s="10"/>
      <c r="AGL944" s="10"/>
      <c r="AGM944" s="10"/>
      <c r="AGN944" s="10"/>
      <c r="AGO944" s="10"/>
      <c r="AGP944" s="10"/>
      <c r="AGQ944" s="10"/>
      <c r="AGR944" s="10"/>
      <c r="AGS944" s="10"/>
      <c r="AGT944" s="10"/>
      <c r="AGU944" s="10"/>
      <c r="AGV944" s="10"/>
      <c r="AGW944" s="10"/>
      <c r="AGX944" s="10"/>
      <c r="AGY944" s="10"/>
      <c r="AGZ944" s="10"/>
      <c r="AHA944" s="10"/>
      <c r="AHB944" s="10"/>
      <c r="AHC944" s="10"/>
      <c r="AHD944" s="10"/>
      <c r="AHE944" s="10"/>
      <c r="AHF944" s="10"/>
      <c r="AHG944" s="10"/>
      <c r="AHH944" s="10"/>
      <c r="AHI944" s="10"/>
      <c r="AHJ944" s="10"/>
      <c r="AHK944" s="10"/>
      <c r="AHL944" s="10"/>
      <c r="AHM944" s="10"/>
      <c r="AHN944" s="10"/>
      <c r="AHO944" s="10"/>
      <c r="AHP944" s="10"/>
      <c r="AHQ944" s="10"/>
      <c r="AHR944" s="10"/>
      <c r="AHS944" s="10"/>
      <c r="AHT944" s="10"/>
      <c r="AHU944" s="10"/>
      <c r="AHV944" s="10"/>
      <c r="AHW944" s="10"/>
      <c r="AHX944" s="10"/>
      <c r="AHY944" s="10"/>
      <c r="AHZ944" s="10"/>
      <c r="AIA944" s="10"/>
      <c r="AIB944" s="10"/>
      <c r="AIC944" s="10"/>
      <c r="AID944" s="10"/>
      <c r="AIE944" s="10"/>
      <c r="AIF944" s="10"/>
      <c r="AIG944" s="10"/>
      <c r="AIH944" s="10"/>
      <c r="AII944" s="10"/>
      <c r="AIJ944" s="10"/>
      <c r="AIK944" s="10"/>
      <c r="AIL944" s="10"/>
      <c r="AIM944" s="10"/>
      <c r="AIN944" s="10"/>
      <c r="AIO944" s="10"/>
      <c r="AIP944" s="10"/>
      <c r="AIQ944" s="10"/>
      <c r="AIR944" s="10"/>
      <c r="AIS944" s="10"/>
      <c r="AIT944" s="10"/>
      <c r="AIU944" s="10"/>
      <c r="AIV944" s="10"/>
      <c r="AIW944" s="10"/>
      <c r="AIX944" s="10"/>
      <c r="AIY944" s="10"/>
      <c r="AIZ944" s="10"/>
      <c r="AJA944" s="10"/>
      <c r="AJB944" s="10"/>
      <c r="AJC944" s="10"/>
      <c r="AJD944" s="10"/>
      <c r="AJE944" s="10"/>
      <c r="AJF944" s="10"/>
      <c r="AJG944" s="10"/>
      <c r="AJH944" s="10"/>
      <c r="AJI944" s="10"/>
      <c r="AJJ944" s="10"/>
      <c r="AJK944" s="10"/>
      <c r="AJL944" s="10"/>
      <c r="AJM944" s="10"/>
      <c r="AJN944" s="10"/>
      <c r="AJO944" s="10"/>
      <c r="AJP944" s="10"/>
      <c r="AJQ944" s="10"/>
      <c r="AJR944" s="10"/>
      <c r="AJS944" s="10"/>
      <c r="AJT944" s="10"/>
      <c r="AJU944" s="10"/>
      <c r="AJV944" s="10"/>
      <c r="AJW944" s="10"/>
      <c r="AJX944" s="10"/>
      <c r="AJY944" s="10"/>
      <c r="AJZ944" s="10"/>
      <c r="AKA944" s="10"/>
      <c r="AKB944" s="10"/>
      <c r="AKC944" s="10"/>
      <c r="AKD944" s="10"/>
      <c r="AKE944" s="10"/>
      <c r="AKF944" s="10"/>
      <c r="AKG944" s="10"/>
      <c r="AKH944" s="10"/>
      <c r="AKI944" s="10"/>
      <c r="AKJ944" s="10"/>
      <c r="AKK944" s="10"/>
      <c r="AKL944" s="10"/>
      <c r="AKM944" s="10"/>
      <c r="AKN944" s="10"/>
      <c r="AKO944" s="10"/>
      <c r="AKP944" s="10"/>
      <c r="AKQ944" s="10"/>
      <c r="AKR944" s="10"/>
      <c r="AKS944" s="10"/>
      <c r="AKT944" s="10"/>
      <c r="AKU944" s="10"/>
      <c r="AKV944" s="10"/>
      <c r="AKW944" s="10"/>
      <c r="AKX944" s="10"/>
      <c r="AKY944" s="10"/>
      <c r="AKZ944" s="10"/>
      <c r="ALA944" s="10"/>
      <c r="ALB944" s="10"/>
      <c r="ALC944" s="10"/>
      <c r="ALD944" s="10"/>
      <c r="ALE944" s="10"/>
      <c r="ALF944" s="10"/>
      <c r="ALG944" s="10"/>
      <c r="ALH944" s="10"/>
      <c r="ALI944" s="10"/>
      <c r="ALJ944" s="10"/>
      <c r="ALK944" s="10"/>
      <c r="ALL944" s="10"/>
      <c r="ALM944" s="10"/>
      <c r="ALN944" s="10"/>
      <c r="ALO944" s="10"/>
      <c r="ALP944" s="10"/>
      <c r="ALQ944" s="10"/>
      <c r="ALR944" s="10"/>
      <c r="ALS944" s="10"/>
      <c r="ALT944" s="10"/>
      <c r="ALU944" s="10"/>
      <c r="ALV944" s="10"/>
      <c r="ALW944" s="10"/>
      <c r="ALX944" s="10"/>
      <c r="ALY944" s="10"/>
      <c r="ALZ944" s="10"/>
      <c r="AMA944" s="10"/>
      <c r="AMB944" s="10"/>
      <c r="AMC944" s="10"/>
      <c r="AMD944" s="10"/>
      <c r="AME944" s="10"/>
      <c r="AMF944" s="10"/>
      <c r="AMG944" s="10"/>
      <c r="AMH944" s="10"/>
      <c r="AMI944" s="10"/>
      <c r="AMJ944" s="10"/>
      <c r="AMK944" s="10"/>
      <c r="AML944" s="10"/>
      <c r="AMM944" s="10"/>
      <c r="AMN944" s="10"/>
      <c r="AMO944" s="10"/>
      <c r="AMP944" s="10"/>
      <c r="AMQ944" s="10"/>
      <c r="AMR944" s="10"/>
      <c r="AMS944" s="10"/>
      <c r="AMT944" s="10"/>
      <c r="AMU944" s="10"/>
      <c r="AMV944" s="10"/>
      <c r="AMW944" s="10"/>
      <c r="AMX944" s="10"/>
      <c r="AMY944" s="10"/>
      <c r="AMZ944" s="10"/>
      <c r="ANA944" s="10"/>
      <c r="ANB944" s="10"/>
      <c r="ANC944" s="10"/>
      <c r="AND944" s="10"/>
      <c r="ANE944" s="10"/>
      <c r="ANF944" s="10"/>
      <c r="ANG944" s="10"/>
      <c r="ANH944" s="10"/>
      <c r="ANI944" s="10"/>
      <c r="ANJ944" s="10"/>
      <c r="ANK944" s="10"/>
      <c r="ANL944" s="10"/>
      <c r="ANM944" s="10"/>
      <c r="ANN944" s="10"/>
      <c r="ANO944" s="10"/>
      <c r="ANP944" s="10"/>
      <c r="ANQ944" s="10"/>
      <c r="ANR944" s="10"/>
      <c r="ANS944" s="10"/>
      <c r="ANT944" s="10"/>
      <c r="ANU944" s="10"/>
      <c r="ANV944" s="10"/>
      <c r="ANW944" s="10"/>
      <c r="ANX944" s="10"/>
      <c r="ANY944" s="10"/>
      <c r="ANZ944" s="10"/>
      <c r="AOA944" s="10"/>
      <c r="AOB944" s="10"/>
      <c r="AOC944" s="10"/>
      <c r="AOD944" s="10"/>
      <c r="AOE944" s="10"/>
      <c r="AOF944" s="10"/>
      <c r="AOG944" s="10"/>
      <c r="AOH944" s="10"/>
      <c r="AOI944" s="10"/>
      <c r="AOJ944" s="10"/>
      <c r="AOK944" s="10"/>
      <c r="AOL944" s="10"/>
      <c r="AOM944" s="10"/>
      <c r="AON944" s="10"/>
      <c r="AOO944" s="10"/>
      <c r="AOP944" s="10"/>
      <c r="AOQ944" s="10"/>
      <c r="AOR944" s="10"/>
      <c r="AOS944" s="10"/>
      <c r="AOT944" s="10"/>
      <c r="AOU944" s="10"/>
      <c r="AOV944" s="10"/>
      <c r="AOW944" s="10"/>
      <c r="AOX944" s="10"/>
      <c r="AOY944" s="10"/>
      <c r="AOZ944" s="10"/>
      <c r="APA944" s="10"/>
      <c r="APB944" s="10"/>
      <c r="APC944" s="10"/>
      <c r="APD944" s="10"/>
      <c r="APE944" s="10"/>
      <c r="APF944" s="10"/>
      <c r="APG944" s="10"/>
      <c r="APH944" s="10"/>
      <c r="API944" s="10"/>
      <c r="APJ944" s="10"/>
      <c r="APK944" s="10"/>
      <c r="APL944" s="10"/>
      <c r="APM944" s="10"/>
      <c r="APN944" s="10"/>
      <c r="APO944" s="10"/>
      <c r="APP944" s="10"/>
      <c r="APQ944" s="10"/>
      <c r="APR944" s="10"/>
      <c r="APS944" s="10"/>
      <c r="APT944" s="10"/>
      <c r="APU944" s="10"/>
      <c r="APV944" s="10"/>
      <c r="APW944" s="10"/>
      <c r="APX944" s="10"/>
      <c r="APY944" s="10"/>
      <c r="APZ944" s="10"/>
      <c r="AQA944" s="10"/>
      <c r="AQB944" s="10"/>
      <c r="AQC944" s="10"/>
      <c r="AQD944" s="10"/>
      <c r="AQE944" s="10"/>
      <c r="AQF944" s="10"/>
      <c r="AQG944" s="10"/>
      <c r="AQH944" s="10"/>
      <c r="AQI944" s="10"/>
      <c r="AQJ944" s="10"/>
      <c r="AQK944" s="10"/>
      <c r="AQL944" s="10"/>
      <c r="AQM944" s="10"/>
      <c r="AQN944" s="10"/>
      <c r="AQO944" s="10"/>
      <c r="AQP944" s="10"/>
      <c r="AQQ944" s="10"/>
      <c r="AQR944" s="10"/>
      <c r="AQS944" s="10"/>
      <c r="AQT944" s="10"/>
      <c r="AQU944" s="10"/>
      <c r="AQV944" s="10"/>
      <c r="AQW944" s="10"/>
      <c r="AQX944" s="10"/>
      <c r="AQY944" s="10"/>
      <c r="AQZ944" s="10"/>
      <c r="ARA944" s="10"/>
      <c r="ARB944" s="10"/>
      <c r="ARC944" s="10"/>
      <c r="ARD944" s="10"/>
      <c r="ARE944" s="10"/>
      <c r="ARF944" s="10"/>
      <c r="ARG944" s="10"/>
      <c r="ARH944" s="10"/>
      <c r="ARI944" s="10"/>
      <c r="ARJ944" s="10"/>
      <c r="ARK944" s="10"/>
      <c r="ARL944" s="10"/>
      <c r="ARM944" s="10"/>
      <c r="ARN944" s="10"/>
      <c r="ARO944" s="10"/>
      <c r="ARP944" s="10"/>
      <c r="ARQ944" s="10"/>
      <c r="ARR944" s="10"/>
      <c r="ARS944" s="10"/>
      <c r="ART944" s="10"/>
      <c r="ARU944" s="10"/>
      <c r="ARV944" s="10"/>
      <c r="ARW944" s="10"/>
      <c r="ARX944" s="10"/>
      <c r="ARY944" s="10"/>
      <c r="ARZ944" s="10"/>
      <c r="ASA944" s="10"/>
      <c r="ASB944" s="10"/>
      <c r="ASC944" s="10"/>
      <c r="ASD944" s="10"/>
      <c r="ASE944" s="10"/>
      <c r="ASF944" s="10"/>
      <c r="ASG944" s="10"/>
      <c r="ASH944" s="10"/>
      <c r="ASI944" s="10"/>
      <c r="ASJ944" s="10"/>
      <c r="ASK944" s="10"/>
      <c r="ASL944" s="10"/>
      <c r="ASM944" s="10"/>
      <c r="ASN944" s="10"/>
      <c r="ASO944" s="10"/>
      <c r="ASP944" s="10"/>
      <c r="ASQ944" s="10"/>
      <c r="ASR944" s="10"/>
      <c r="ASS944" s="10"/>
      <c r="AST944" s="10"/>
      <c r="ASU944" s="10"/>
      <c r="ASV944" s="10"/>
      <c r="ASW944" s="10"/>
      <c r="ASX944" s="10"/>
      <c r="ASY944" s="10"/>
      <c r="ASZ944" s="10"/>
      <c r="ATA944" s="10"/>
      <c r="ATB944" s="10"/>
      <c r="ATC944" s="10"/>
      <c r="ATD944" s="10"/>
      <c r="ATE944" s="10"/>
      <c r="ATF944" s="10"/>
      <c r="ATG944" s="10"/>
      <c r="ATH944" s="10"/>
      <c r="ATI944" s="10"/>
      <c r="ATJ944" s="10"/>
      <c r="ATK944" s="10"/>
      <c r="ATL944" s="10"/>
      <c r="ATM944" s="10"/>
      <c r="ATN944" s="10"/>
      <c r="ATO944" s="10"/>
      <c r="ATP944" s="10"/>
      <c r="ATQ944" s="10"/>
      <c r="ATR944" s="10"/>
      <c r="ATS944" s="10"/>
      <c r="ATT944" s="10"/>
      <c r="ATU944" s="10"/>
      <c r="ATV944" s="10"/>
      <c r="ATW944" s="10"/>
      <c r="ATX944" s="10"/>
      <c r="ATY944" s="10"/>
      <c r="ATZ944" s="10"/>
      <c r="AUA944" s="10"/>
      <c r="AUB944" s="10"/>
      <c r="AUC944" s="10"/>
      <c r="AUD944" s="10"/>
      <c r="AUE944" s="10"/>
      <c r="AUF944" s="10"/>
      <c r="AUG944" s="10"/>
      <c r="AUH944" s="10"/>
      <c r="AUI944" s="10"/>
      <c r="AUJ944" s="10"/>
      <c r="AUK944" s="10"/>
      <c r="AUL944" s="10"/>
      <c r="AUM944" s="10"/>
      <c r="AUN944" s="10"/>
      <c r="AUO944" s="10"/>
      <c r="AUP944" s="10"/>
      <c r="AUQ944" s="10"/>
      <c r="AUR944" s="10"/>
      <c r="AUS944" s="10"/>
      <c r="AUT944" s="10"/>
      <c r="AUU944" s="10"/>
      <c r="AUV944" s="10"/>
      <c r="AUW944" s="10"/>
      <c r="AUX944" s="10"/>
      <c r="AUY944" s="10"/>
      <c r="AUZ944" s="10"/>
      <c r="AVA944" s="10"/>
      <c r="AVB944" s="10"/>
      <c r="AVC944" s="10"/>
      <c r="AVD944" s="10"/>
      <c r="AVE944" s="10"/>
      <c r="AVF944" s="10"/>
      <c r="AVG944" s="10"/>
      <c r="AVH944" s="10"/>
      <c r="AVI944" s="10"/>
      <c r="AVJ944" s="10"/>
      <c r="AVK944" s="10"/>
      <c r="AVL944" s="10"/>
      <c r="AVM944" s="10"/>
      <c r="AVN944" s="10"/>
      <c r="AVO944" s="10"/>
      <c r="AVP944" s="10"/>
      <c r="AVQ944" s="10"/>
      <c r="AVR944" s="10"/>
      <c r="AVS944" s="10"/>
      <c r="AVT944" s="10"/>
      <c r="AVU944" s="10"/>
      <c r="AVV944" s="10"/>
      <c r="AVW944" s="10"/>
      <c r="AVX944" s="10"/>
      <c r="AVY944" s="10"/>
      <c r="AVZ944" s="10"/>
      <c r="AWA944" s="10"/>
      <c r="AWB944" s="10"/>
      <c r="AWC944" s="10"/>
      <c r="AWD944" s="10"/>
      <c r="AWE944" s="10"/>
      <c r="AWF944" s="10"/>
      <c r="AWG944" s="10"/>
      <c r="AWH944" s="10"/>
      <c r="AWI944" s="10"/>
      <c r="AWJ944" s="10"/>
      <c r="AWK944" s="10"/>
      <c r="AWL944" s="10"/>
      <c r="AWM944" s="10"/>
      <c r="AWN944" s="10"/>
      <c r="AWO944" s="10"/>
      <c r="AWP944" s="10"/>
      <c r="AWQ944" s="10"/>
      <c r="AWR944" s="10"/>
      <c r="AWS944" s="10"/>
      <c r="AWT944" s="10"/>
      <c r="AWU944" s="10"/>
      <c r="AWV944" s="10"/>
      <c r="AWW944" s="10"/>
      <c r="AWX944" s="10"/>
      <c r="AWY944" s="10"/>
      <c r="AWZ944" s="10"/>
      <c r="AXA944" s="10"/>
      <c r="AXB944" s="10"/>
      <c r="AXC944" s="10"/>
      <c r="AXD944" s="10"/>
      <c r="AXE944" s="10"/>
      <c r="AXF944" s="10"/>
      <c r="AXG944" s="10"/>
      <c r="AXH944" s="10"/>
      <c r="AXI944" s="10"/>
      <c r="AXJ944" s="10"/>
      <c r="AXK944" s="10"/>
      <c r="AXL944" s="10"/>
      <c r="AXM944" s="10"/>
      <c r="AXN944" s="10"/>
      <c r="AXO944" s="10"/>
      <c r="AXP944" s="10"/>
      <c r="AXQ944" s="10"/>
      <c r="AXR944" s="10"/>
      <c r="AXS944" s="10"/>
      <c r="AXT944" s="10"/>
      <c r="AXU944" s="10"/>
      <c r="AXV944" s="10"/>
      <c r="AXW944" s="10"/>
      <c r="AXX944" s="10"/>
      <c r="AXY944" s="10"/>
      <c r="AXZ944" s="10"/>
      <c r="AYA944" s="10"/>
      <c r="AYB944" s="10"/>
      <c r="AYC944" s="10"/>
      <c r="AYD944" s="10"/>
      <c r="AYE944" s="10"/>
      <c r="AYF944" s="10"/>
      <c r="AYG944" s="10"/>
      <c r="AYH944" s="10"/>
      <c r="AYI944" s="10"/>
      <c r="AYJ944" s="10"/>
      <c r="AYK944" s="10"/>
      <c r="AYL944" s="10"/>
      <c r="AYM944" s="10"/>
      <c r="AYN944" s="10"/>
      <c r="AYO944" s="10"/>
      <c r="AYP944" s="10"/>
      <c r="AYQ944" s="10"/>
      <c r="AYR944" s="10"/>
      <c r="AYS944" s="10"/>
      <c r="AYT944" s="10"/>
      <c r="AYU944" s="10"/>
      <c r="AYV944" s="10"/>
      <c r="AYW944" s="10"/>
      <c r="AYX944" s="10"/>
      <c r="AYY944" s="10"/>
      <c r="AYZ944" s="10"/>
      <c r="AZA944" s="10"/>
      <c r="AZB944" s="10"/>
      <c r="AZC944" s="10"/>
      <c r="AZD944" s="10"/>
      <c r="AZE944" s="10"/>
      <c r="AZF944" s="10"/>
      <c r="AZG944" s="10"/>
      <c r="AZH944" s="10"/>
      <c r="AZI944" s="10"/>
      <c r="AZJ944" s="10"/>
      <c r="AZK944" s="10"/>
      <c r="AZL944" s="10"/>
      <c r="AZM944" s="10"/>
      <c r="AZN944" s="10"/>
      <c r="AZO944" s="10"/>
      <c r="AZP944" s="10"/>
      <c r="AZQ944" s="10"/>
      <c r="AZR944" s="10"/>
      <c r="AZS944" s="10"/>
      <c r="AZT944" s="10"/>
      <c r="AZU944" s="10"/>
      <c r="AZV944" s="10"/>
      <c r="AZW944" s="10"/>
      <c r="AZX944" s="10"/>
      <c r="AZY944" s="10"/>
      <c r="AZZ944" s="10"/>
      <c r="BAA944" s="10"/>
      <c r="BAB944" s="10"/>
      <c r="BAC944" s="10"/>
      <c r="BAD944" s="10"/>
      <c r="BAE944" s="10"/>
      <c r="BAF944" s="10"/>
      <c r="BAG944" s="10"/>
      <c r="BAH944" s="10"/>
      <c r="BAI944" s="10"/>
      <c r="BAJ944" s="10"/>
      <c r="BAK944" s="10"/>
      <c r="BAL944" s="10"/>
      <c r="BAM944" s="10"/>
      <c r="BAN944" s="10"/>
      <c r="BAO944" s="10"/>
      <c r="BAP944" s="10"/>
      <c r="BAQ944" s="10"/>
      <c r="BAR944" s="10"/>
      <c r="BAS944" s="10"/>
      <c r="BAT944" s="10"/>
      <c r="BAU944" s="10"/>
      <c r="BAV944" s="10"/>
      <c r="BAW944" s="10"/>
      <c r="BAX944" s="10"/>
      <c r="BAY944" s="10"/>
      <c r="BAZ944" s="10"/>
      <c r="BBA944" s="10"/>
      <c r="BBB944" s="10"/>
      <c r="BBC944" s="10"/>
      <c r="BBD944" s="10"/>
      <c r="BBE944" s="10"/>
      <c r="BBF944" s="10"/>
      <c r="BBG944" s="10"/>
      <c r="BBH944" s="10"/>
      <c r="BBI944" s="10"/>
      <c r="BBJ944" s="10"/>
      <c r="BBK944" s="10"/>
      <c r="BBL944" s="10"/>
      <c r="BBM944" s="10"/>
      <c r="BBN944" s="10"/>
      <c r="BBO944" s="10"/>
      <c r="BBP944" s="10"/>
      <c r="BBQ944" s="10"/>
      <c r="BBR944" s="10"/>
      <c r="BBS944" s="10"/>
      <c r="BBT944" s="10"/>
      <c r="BBU944" s="10"/>
      <c r="BBV944" s="10"/>
      <c r="BBW944" s="10"/>
      <c r="BBX944" s="10"/>
      <c r="BBY944" s="10"/>
      <c r="BBZ944" s="10"/>
      <c r="BCA944" s="10"/>
      <c r="BCB944" s="10"/>
      <c r="BCC944" s="10"/>
      <c r="BCD944" s="10"/>
      <c r="BCE944" s="10"/>
      <c r="BCF944" s="10"/>
      <c r="BCG944" s="10"/>
      <c r="BCH944" s="10"/>
      <c r="BCI944" s="10"/>
      <c r="BCJ944" s="10"/>
      <c r="BCK944" s="10"/>
      <c r="BCL944" s="10"/>
      <c r="BCM944" s="10"/>
      <c r="BCN944" s="10"/>
      <c r="BCO944" s="10"/>
      <c r="BCP944" s="10"/>
      <c r="BCQ944" s="10"/>
      <c r="BCR944" s="10"/>
      <c r="BCS944" s="10"/>
      <c r="BCT944" s="10"/>
      <c r="BCU944" s="10"/>
      <c r="BCV944" s="10"/>
      <c r="BCW944" s="10"/>
      <c r="BCX944" s="10"/>
      <c r="BCY944" s="10"/>
      <c r="BCZ944" s="10"/>
      <c r="BDA944" s="10"/>
      <c r="BDB944" s="10"/>
      <c r="BDC944" s="10"/>
      <c r="BDD944" s="10"/>
      <c r="BDE944" s="10"/>
      <c r="BDF944" s="10"/>
      <c r="BDG944" s="10"/>
      <c r="BDH944" s="10"/>
      <c r="BDI944" s="10"/>
      <c r="BDJ944" s="10"/>
      <c r="BDK944" s="10"/>
      <c r="BDL944" s="10"/>
      <c r="BDM944" s="10"/>
      <c r="BDN944" s="10"/>
      <c r="BDO944" s="10"/>
      <c r="BDP944" s="10"/>
      <c r="BDQ944" s="10"/>
      <c r="BDR944" s="10"/>
      <c r="BDS944" s="10"/>
      <c r="BDT944" s="10"/>
      <c r="BDU944" s="10"/>
      <c r="BDV944" s="10"/>
      <c r="BDW944" s="10"/>
      <c r="BDX944" s="10"/>
      <c r="BDY944" s="10"/>
      <c r="BDZ944" s="10"/>
      <c r="BEA944" s="10"/>
      <c r="BEB944" s="10"/>
      <c r="BEC944" s="10"/>
      <c r="BED944" s="10"/>
      <c r="BEE944" s="10"/>
      <c r="BEF944" s="10"/>
      <c r="BEG944" s="10"/>
      <c r="BEH944" s="10"/>
      <c r="BEI944" s="10"/>
      <c r="BEJ944" s="10"/>
      <c r="BEK944" s="10"/>
      <c r="BEL944" s="10"/>
      <c r="BEM944" s="10"/>
      <c r="BEN944" s="10"/>
      <c r="BEO944" s="10"/>
      <c r="BEP944" s="10"/>
      <c r="BEQ944" s="10"/>
      <c r="BER944" s="10"/>
      <c r="BES944" s="10"/>
      <c r="BET944" s="10"/>
      <c r="BEU944" s="10"/>
      <c r="BEV944" s="10"/>
      <c r="BEW944" s="10"/>
      <c r="BEX944" s="10"/>
      <c r="BEY944" s="10"/>
      <c r="BEZ944" s="10"/>
      <c r="BFA944" s="10"/>
      <c r="BFB944" s="10"/>
      <c r="BFC944" s="10"/>
      <c r="BFD944" s="10"/>
      <c r="BFE944" s="10"/>
      <c r="BFF944" s="10"/>
      <c r="BFG944" s="10"/>
      <c r="BFH944" s="10"/>
      <c r="BFI944" s="10"/>
      <c r="BFJ944" s="10"/>
      <c r="BFK944" s="10"/>
      <c r="BFL944" s="10"/>
      <c r="BFM944" s="10"/>
      <c r="BFN944" s="10"/>
      <c r="BFO944" s="10"/>
      <c r="BFP944" s="10"/>
      <c r="BFQ944" s="10"/>
      <c r="BFR944" s="10"/>
      <c r="BFS944" s="10"/>
      <c r="BFT944" s="10"/>
      <c r="BFU944" s="10"/>
      <c r="BFV944" s="10"/>
      <c r="BFW944" s="10"/>
      <c r="BFX944" s="10"/>
      <c r="BFY944" s="10"/>
      <c r="BFZ944" s="10"/>
      <c r="BGA944" s="10"/>
      <c r="BGB944" s="10"/>
      <c r="BGC944" s="10"/>
      <c r="BGD944" s="10"/>
      <c r="BGE944" s="10"/>
      <c r="BGF944" s="10"/>
      <c r="BGG944" s="10"/>
      <c r="BGH944" s="10"/>
      <c r="BGI944" s="10"/>
      <c r="BGJ944" s="10"/>
      <c r="BGK944" s="10"/>
      <c r="BGL944" s="10"/>
      <c r="BGM944" s="10"/>
      <c r="BGN944" s="10"/>
      <c r="BGO944" s="10"/>
      <c r="BGP944" s="10"/>
      <c r="BGQ944" s="10"/>
      <c r="BGR944" s="10"/>
      <c r="BGS944" s="10"/>
      <c r="BGT944" s="10"/>
      <c r="BGU944" s="10"/>
      <c r="BGV944" s="10"/>
      <c r="BGW944" s="10"/>
      <c r="BGX944" s="10"/>
      <c r="BGY944" s="10"/>
      <c r="BGZ944" s="10"/>
      <c r="BHA944" s="10"/>
      <c r="BHB944" s="10"/>
      <c r="BHC944" s="10"/>
      <c r="BHD944" s="10"/>
      <c r="BHE944" s="10"/>
      <c r="BHF944" s="10"/>
      <c r="BHG944" s="10"/>
      <c r="BHH944" s="10"/>
      <c r="BHI944" s="10"/>
      <c r="BHJ944" s="10"/>
      <c r="BHK944" s="10"/>
      <c r="BHL944" s="10"/>
      <c r="BHM944" s="10"/>
      <c r="BHN944" s="10"/>
      <c r="BHO944" s="10"/>
      <c r="BHP944" s="10"/>
      <c r="BHQ944" s="10"/>
      <c r="BHR944" s="10"/>
      <c r="BHS944" s="10"/>
      <c r="BHT944" s="10"/>
      <c r="BHU944" s="10"/>
      <c r="BHV944" s="10"/>
      <c r="BHW944" s="10"/>
      <c r="BHX944" s="10"/>
      <c r="BHY944" s="10"/>
      <c r="BHZ944" s="10"/>
      <c r="BIA944" s="10"/>
      <c r="BIB944" s="10"/>
      <c r="BIC944" s="10"/>
      <c r="BID944" s="10"/>
      <c r="BIE944" s="10"/>
      <c r="BIF944" s="10"/>
      <c r="BIG944" s="10"/>
      <c r="BIH944" s="10"/>
      <c r="BII944" s="10"/>
      <c r="BIJ944" s="10"/>
      <c r="BIK944" s="10"/>
      <c r="BIL944" s="10"/>
      <c r="BIM944" s="10"/>
      <c r="BIN944" s="10"/>
      <c r="BIO944" s="10"/>
      <c r="BIP944" s="10"/>
      <c r="BIQ944" s="10"/>
      <c r="BIR944" s="10"/>
      <c r="BIS944" s="10"/>
      <c r="BIT944" s="10"/>
      <c r="BIU944" s="10"/>
      <c r="BIV944" s="10"/>
      <c r="BIW944" s="10"/>
      <c r="BIX944" s="10"/>
      <c r="BIY944" s="10"/>
      <c r="BIZ944" s="10"/>
      <c r="BJA944" s="10"/>
      <c r="BJB944" s="10"/>
      <c r="BJC944" s="10"/>
      <c r="BJD944" s="10"/>
      <c r="BJE944" s="10"/>
      <c r="BJF944" s="10"/>
      <c r="BJG944" s="10"/>
      <c r="BJH944" s="10"/>
      <c r="BJI944" s="10"/>
      <c r="BJJ944" s="10"/>
      <c r="BJK944" s="10"/>
      <c r="BJL944" s="10"/>
      <c r="BJM944" s="10"/>
      <c r="BJN944" s="10"/>
      <c r="BJO944" s="10"/>
      <c r="BJP944" s="10"/>
      <c r="BJQ944" s="10"/>
      <c r="BJR944" s="10"/>
      <c r="BJS944" s="10"/>
      <c r="BJT944" s="10"/>
      <c r="BJU944" s="10"/>
      <c r="BJV944" s="10"/>
      <c r="BJW944" s="10"/>
      <c r="BJX944" s="10"/>
      <c r="BJY944" s="10"/>
      <c r="BJZ944" s="10"/>
      <c r="BKA944" s="10"/>
      <c r="BKB944" s="10"/>
      <c r="BKC944" s="10"/>
      <c r="BKD944" s="10"/>
      <c r="BKE944" s="10"/>
      <c r="BKF944" s="10"/>
      <c r="BKG944" s="10"/>
      <c r="BKH944" s="10"/>
      <c r="BKI944" s="10"/>
      <c r="BKJ944" s="10"/>
      <c r="BKK944" s="10"/>
      <c r="BKL944" s="10"/>
      <c r="BKM944" s="10"/>
      <c r="BKN944" s="10"/>
      <c r="BKO944" s="10"/>
      <c r="BKP944" s="10"/>
      <c r="BKQ944" s="10"/>
      <c r="BKR944" s="10"/>
      <c r="BKS944" s="10"/>
      <c r="BKT944" s="10"/>
      <c r="BKU944" s="10"/>
      <c r="BKV944" s="10"/>
      <c r="BKW944" s="10"/>
      <c r="BKX944" s="10"/>
      <c r="BKY944" s="10"/>
      <c r="BKZ944" s="10"/>
      <c r="BLA944" s="10"/>
      <c r="BLB944" s="10"/>
      <c r="BLC944" s="10"/>
      <c r="BLD944" s="10"/>
      <c r="BLE944" s="10"/>
      <c r="BLF944" s="10"/>
      <c r="BLG944" s="10"/>
      <c r="BLH944" s="10"/>
      <c r="BLI944" s="10"/>
      <c r="BLJ944" s="10"/>
      <c r="BLK944" s="10"/>
      <c r="BLL944" s="10"/>
      <c r="BLM944" s="10"/>
      <c r="BLN944" s="10"/>
      <c r="BLO944" s="10"/>
      <c r="BLP944" s="10"/>
      <c r="BLQ944" s="10"/>
      <c r="BLR944" s="10"/>
      <c r="BLS944" s="10"/>
      <c r="BLT944" s="10"/>
      <c r="BLU944" s="10"/>
      <c r="BLV944" s="10"/>
      <c r="BLW944" s="10"/>
      <c r="BLX944" s="10"/>
      <c r="BLY944" s="10"/>
      <c r="BLZ944" s="10"/>
      <c r="BMA944" s="10"/>
      <c r="BMB944" s="10"/>
      <c r="BMC944" s="10"/>
      <c r="BMD944" s="10"/>
      <c r="BME944" s="10"/>
      <c r="BMF944" s="10"/>
      <c r="BMG944" s="10"/>
      <c r="BMH944" s="10"/>
      <c r="BMI944" s="10"/>
      <c r="BMJ944" s="10"/>
      <c r="BMK944" s="10"/>
      <c r="BML944" s="10"/>
      <c r="BMM944" s="10"/>
      <c r="BMN944" s="10"/>
      <c r="BMO944" s="10"/>
      <c r="BMP944" s="10"/>
      <c r="BMQ944" s="10"/>
      <c r="BMR944" s="10"/>
      <c r="BMS944" s="10"/>
      <c r="BMT944" s="10"/>
      <c r="BMU944" s="10"/>
      <c r="BMV944" s="10"/>
      <c r="BMW944" s="10"/>
      <c r="BMX944" s="10"/>
      <c r="BMY944" s="10"/>
      <c r="BMZ944" s="10"/>
      <c r="BNA944" s="10"/>
      <c r="BNB944" s="10"/>
      <c r="BNC944" s="10"/>
      <c r="BND944" s="10"/>
      <c r="BNE944" s="10"/>
      <c r="BNF944" s="10"/>
      <c r="BNG944" s="10"/>
      <c r="BNH944" s="10"/>
      <c r="BNI944" s="10"/>
      <c r="BNJ944" s="10"/>
      <c r="BNK944" s="10"/>
      <c r="BNL944" s="10"/>
      <c r="BNM944" s="10"/>
      <c r="BNN944" s="10"/>
      <c r="BNO944" s="10"/>
      <c r="BNP944" s="10"/>
      <c r="BNQ944" s="10"/>
      <c r="BNR944" s="10"/>
      <c r="BNS944" s="10"/>
      <c r="BNT944" s="10"/>
      <c r="BNU944" s="10"/>
      <c r="BNV944" s="10"/>
      <c r="BNW944" s="10"/>
      <c r="BNX944" s="10"/>
      <c r="BNY944" s="10"/>
      <c r="BNZ944" s="10"/>
      <c r="BOA944" s="10"/>
      <c r="BOB944" s="10"/>
      <c r="BOC944" s="10"/>
      <c r="BOD944" s="10"/>
      <c r="BOE944" s="10"/>
      <c r="BOF944" s="10"/>
      <c r="BOG944" s="10"/>
      <c r="BOH944" s="10"/>
      <c r="BOI944" s="10"/>
      <c r="BOJ944" s="10"/>
      <c r="BOK944" s="10"/>
      <c r="BOL944" s="10"/>
      <c r="BOM944" s="10"/>
      <c r="BON944" s="10"/>
      <c r="BOO944" s="10"/>
      <c r="BOP944" s="10"/>
      <c r="BOQ944" s="10"/>
      <c r="BOR944" s="10"/>
      <c r="BOS944" s="10"/>
      <c r="BOT944" s="10"/>
      <c r="BOU944" s="10"/>
      <c r="BOV944" s="10"/>
      <c r="BOW944" s="10"/>
      <c r="BOX944" s="10"/>
      <c r="BOY944" s="10"/>
      <c r="BOZ944" s="10"/>
      <c r="BPA944" s="10"/>
      <c r="BPB944" s="10"/>
      <c r="BPC944" s="10"/>
      <c r="BPD944" s="10"/>
      <c r="BPE944" s="10"/>
      <c r="BPF944" s="10"/>
      <c r="BPG944" s="10"/>
      <c r="BPH944" s="10"/>
      <c r="BPI944" s="10"/>
      <c r="BPJ944" s="10"/>
      <c r="BPK944" s="10"/>
      <c r="BPL944" s="10"/>
      <c r="BPM944" s="10"/>
      <c r="BPN944" s="10"/>
      <c r="BPO944" s="10"/>
      <c r="BPP944" s="10"/>
      <c r="BPQ944" s="10"/>
      <c r="BPR944" s="10"/>
      <c r="BPS944" s="10"/>
      <c r="BPT944" s="10"/>
      <c r="BPU944" s="10"/>
      <c r="BPV944" s="10"/>
      <c r="BPW944" s="10"/>
      <c r="BPX944" s="10"/>
      <c r="BPY944" s="10"/>
      <c r="BPZ944" s="10"/>
      <c r="BQA944" s="10"/>
      <c r="BQB944" s="10"/>
      <c r="BQC944" s="10"/>
      <c r="BQD944" s="10"/>
      <c r="BQE944" s="10"/>
      <c r="BQF944" s="10"/>
      <c r="BQG944" s="10"/>
      <c r="BQH944" s="10"/>
      <c r="BQI944" s="10"/>
      <c r="BQJ944" s="10"/>
      <c r="BQK944" s="10"/>
      <c r="BQL944" s="10"/>
      <c r="BQM944" s="10"/>
      <c r="BQN944" s="10"/>
      <c r="BQO944" s="10"/>
      <c r="BQP944" s="10"/>
      <c r="BQQ944" s="10"/>
      <c r="BQR944" s="10"/>
      <c r="BQS944" s="10"/>
      <c r="BQT944" s="10"/>
      <c r="BQU944" s="10"/>
      <c r="BQV944" s="10"/>
      <c r="BQW944" s="10"/>
      <c r="BQX944" s="10"/>
      <c r="BQY944" s="10"/>
      <c r="BQZ944" s="10"/>
      <c r="BRA944" s="10"/>
      <c r="BRB944" s="10"/>
      <c r="BRC944" s="10"/>
      <c r="BRD944" s="10"/>
      <c r="BRE944" s="10"/>
      <c r="BRF944" s="10"/>
      <c r="BRG944" s="10"/>
      <c r="BRH944" s="10"/>
      <c r="BRI944" s="10"/>
      <c r="BRJ944" s="10"/>
      <c r="BRK944" s="10"/>
      <c r="BRL944" s="10"/>
      <c r="BRM944" s="10"/>
      <c r="BRN944" s="10"/>
      <c r="BRO944" s="10"/>
      <c r="BRP944" s="10"/>
      <c r="BRQ944" s="10"/>
      <c r="BRR944" s="10"/>
      <c r="BRS944" s="10"/>
      <c r="BRT944" s="10"/>
      <c r="BRU944" s="10"/>
      <c r="BRV944" s="10"/>
      <c r="BRW944" s="10"/>
      <c r="BRX944" s="10"/>
      <c r="BRY944" s="10"/>
      <c r="BRZ944" s="10"/>
      <c r="BSA944" s="10"/>
      <c r="BSB944" s="10"/>
      <c r="BSC944" s="10"/>
      <c r="BSD944" s="10"/>
      <c r="BSE944" s="10"/>
      <c r="BSF944" s="10"/>
      <c r="BSG944" s="10"/>
      <c r="BSH944" s="10"/>
      <c r="BSI944" s="10"/>
      <c r="BSJ944" s="10"/>
      <c r="BSK944" s="10"/>
      <c r="BSL944" s="10"/>
      <c r="BSM944" s="10"/>
      <c r="BSN944" s="10"/>
      <c r="BSO944" s="10"/>
      <c r="BSP944" s="10"/>
      <c r="BSQ944" s="10"/>
      <c r="BSR944" s="10"/>
      <c r="BSS944" s="10"/>
      <c r="BST944" s="10"/>
      <c r="BSU944" s="10"/>
      <c r="BSV944" s="10"/>
      <c r="BSW944" s="10"/>
      <c r="BSX944" s="10"/>
      <c r="BSY944" s="10"/>
      <c r="BSZ944" s="10"/>
      <c r="BTA944" s="10"/>
      <c r="BTB944" s="10"/>
      <c r="BTC944" s="10"/>
      <c r="BTD944" s="10"/>
      <c r="BTE944" s="10"/>
      <c r="BTF944" s="10"/>
      <c r="BTG944" s="10"/>
      <c r="BTH944" s="10"/>
      <c r="BTI944" s="10"/>
      <c r="BTJ944" s="10"/>
      <c r="BTK944" s="10"/>
      <c r="BTL944" s="10"/>
      <c r="BTM944" s="10"/>
      <c r="BTN944" s="10"/>
      <c r="BTO944" s="10"/>
      <c r="BTP944" s="10"/>
      <c r="BTQ944" s="10"/>
      <c r="BTR944" s="10"/>
      <c r="BTS944" s="10"/>
      <c r="BTT944" s="10"/>
    </row>
    <row r="945" spans="1:1892" s="10" customFormat="1" ht="35.1" customHeight="1">
      <c r="A945" s="1462"/>
      <c r="B945" s="597" t="s">
        <v>180</v>
      </c>
      <c r="C945" s="903" t="s">
        <v>181</v>
      </c>
      <c r="D945" s="701" t="s">
        <v>182</v>
      </c>
      <c r="E945" s="702"/>
      <c r="F945" s="703"/>
      <c r="G945" s="699" t="s">
        <v>183</v>
      </c>
      <c r="H945" s="699" t="s">
        <v>184</v>
      </c>
      <c r="I945" s="699" t="s">
        <v>184</v>
      </c>
      <c r="J945" s="795" t="s">
        <v>67</v>
      </c>
      <c r="K945" s="795" t="s">
        <v>66</v>
      </c>
      <c r="L945" s="192">
        <v>220.404</v>
      </c>
      <c r="M945" s="281">
        <v>2</v>
      </c>
      <c r="N945" s="119">
        <v>0</v>
      </c>
      <c r="O945" s="119">
        <v>0</v>
      </c>
      <c r="P945" s="560" t="s">
        <v>428</v>
      </c>
      <c r="Q945" s="560" t="s">
        <v>419</v>
      </c>
      <c r="R945" s="560" t="s">
        <v>435</v>
      </c>
      <c r="S945" s="664" t="s">
        <v>57</v>
      </c>
      <c r="T945" s="1004" t="s">
        <v>185</v>
      </c>
      <c r="U945" s="1004" t="s">
        <v>67</v>
      </c>
    </row>
    <row r="946" spans="1:1892" s="10" customFormat="1" ht="35.1" customHeight="1">
      <c r="A946" s="1462"/>
      <c r="B946" s="503"/>
      <c r="C946" s="904"/>
      <c r="D946" s="704"/>
      <c r="E946" s="705"/>
      <c r="F946" s="706"/>
      <c r="G946" s="1040"/>
      <c r="H946" s="1040"/>
      <c r="I946" s="1040"/>
      <c r="J946" s="796"/>
      <c r="K946" s="796"/>
      <c r="L946" s="192">
        <v>108.8292</v>
      </c>
      <c r="M946" s="281">
        <v>125</v>
      </c>
      <c r="N946" s="119">
        <v>24</v>
      </c>
      <c r="O946" s="119">
        <v>24</v>
      </c>
      <c r="P946" s="561"/>
      <c r="Q946" s="561"/>
      <c r="R946" s="561"/>
      <c r="S946" s="665"/>
      <c r="T946" s="1005"/>
      <c r="U946" s="1005"/>
    </row>
    <row r="947" spans="1:1892" s="10" customFormat="1" ht="35.1" customHeight="1">
      <c r="A947" s="1462"/>
      <c r="B947" s="503"/>
      <c r="C947" s="904"/>
      <c r="D947" s="704"/>
      <c r="E947" s="705"/>
      <c r="F947" s="706"/>
      <c r="G947" s="1040"/>
      <c r="H947" s="1040"/>
      <c r="I947" s="1040"/>
      <c r="J947" s="796"/>
      <c r="K947" s="796"/>
      <c r="L947" s="192">
        <v>109.7051</v>
      </c>
      <c r="M947" s="281">
        <v>45</v>
      </c>
      <c r="N947" s="119">
        <v>8</v>
      </c>
      <c r="O947" s="119">
        <v>8</v>
      </c>
      <c r="P947" s="561"/>
      <c r="Q947" s="561"/>
      <c r="R947" s="561"/>
      <c r="S947" s="665"/>
      <c r="T947" s="1005"/>
      <c r="U947" s="1005"/>
    </row>
    <row r="948" spans="1:1892" s="10" customFormat="1" ht="35.1" customHeight="1">
      <c r="A948" s="1462"/>
      <c r="B948" s="503"/>
      <c r="C948" s="904"/>
      <c r="D948" s="704"/>
      <c r="E948" s="705"/>
      <c r="F948" s="706"/>
      <c r="G948" s="1040"/>
      <c r="H948" s="1040"/>
      <c r="I948" s="1040"/>
      <c r="J948" s="796"/>
      <c r="K948" s="796"/>
      <c r="L948" s="192">
        <v>84.977500000000006</v>
      </c>
      <c r="M948" s="281">
        <v>147</v>
      </c>
      <c r="N948" s="119">
        <v>1</v>
      </c>
      <c r="O948" s="119">
        <v>0</v>
      </c>
      <c r="P948" s="561"/>
      <c r="Q948" s="561"/>
      <c r="R948" s="561"/>
      <c r="S948" s="665"/>
      <c r="T948" s="1005"/>
      <c r="U948" s="1005"/>
    </row>
    <row r="949" spans="1:1892" s="10" customFormat="1" ht="35.1" customHeight="1">
      <c r="A949" s="1462"/>
      <c r="B949" s="503"/>
      <c r="C949" s="904"/>
      <c r="D949" s="704"/>
      <c r="E949" s="705"/>
      <c r="F949" s="706"/>
      <c r="G949" s="1040"/>
      <c r="H949" s="1040"/>
      <c r="I949" s="1040"/>
      <c r="J949" s="796"/>
      <c r="K949" s="796"/>
      <c r="L949" s="192">
        <v>84.936000000000007</v>
      </c>
      <c r="M949" s="281">
        <v>445</v>
      </c>
      <c r="N949" s="119">
        <v>0</v>
      </c>
      <c r="O949" s="119">
        <v>0</v>
      </c>
      <c r="P949" s="561"/>
      <c r="Q949" s="561"/>
      <c r="R949" s="561"/>
      <c r="S949" s="665"/>
      <c r="T949" s="1005"/>
      <c r="U949" s="1005"/>
    </row>
    <row r="950" spans="1:1892" s="10" customFormat="1" ht="35.1" customHeight="1">
      <c r="A950" s="1462"/>
      <c r="B950" s="503"/>
      <c r="C950" s="904"/>
      <c r="D950" s="704"/>
      <c r="E950" s="705"/>
      <c r="F950" s="706"/>
      <c r="G950" s="1040"/>
      <c r="H950" s="1040"/>
      <c r="I950" s="1040"/>
      <c r="J950" s="796"/>
      <c r="K950" s="796"/>
      <c r="L950" s="192">
        <v>74.996899999999997</v>
      </c>
      <c r="M950" s="281">
        <v>13</v>
      </c>
      <c r="N950" s="119">
        <v>0</v>
      </c>
      <c r="O950" s="119">
        <v>0</v>
      </c>
      <c r="P950" s="561"/>
      <c r="Q950" s="561"/>
      <c r="R950" s="561"/>
      <c r="S950" s="665"/>
      <c r="T950" s="1005"/>
      <c r="U950" s="1005"/>
    </row>
    <row r="951" spans="1:1892" s="10" customFormat="1" ht="35.1" customHeight="1">
      <c r="A951" s="1462"/>
      <c r="B951" s="503"/>
      <c r="C951" s="904"/>
      <c r="D951" s="704"/>
      <c r="E951" s="705"/>
      <c r="F951" s="706"/>
      <c r="G951" s="1040"/>
      <c r="H951" s="1040"/>
      <c r="I951" s="1040"/>
      <c r="J951" s="796"/>
      <c r="K951" s="796"/>
      <c r="L951" s="192">
        <v>74.139499999999998</v>
      </c>
      <c r="M951" s="281">
        <v>14</v>
      </c>
      <c r="N951" s="119">
        <v>0</v>
      </c>
      <c r="O951" s="119">
        <v>0</v>
      </c>
      <c r="P951" s="561"/>
      <c r="Q951" s="561"/>
      <c r="R951" s="561"/>
      <c r="S951" s="665"/>
      <c r="T951" s="1005"/>
      <c r="U951" s="1005"/>
    </row>
    <row r="952" spans="1:1892" s="10" customFormat="1" ht="35.1" customHeight="1">
      <c r="A952" s="1462"/>
      <c r="B952" s="503"/>
      <c r="C952" s="904"/>
      <c r="D952" s="704"/>
      <c r="E952" s="705"/>
      <c r="F952" s="706"/>
      <c r="G952" s="700"/>
      <c r="H952" s="700"/>
      <c r="I952" s="700"/>
      <c r="J952" s="797"/>
      <c r="K952" s="797"/>
      <c r="L952" s="192">
        <v>65.615700000000004</v>
      </c>
      <c r="M952" s="281">
        <v>54</v>
      </c>
      <c r="N952" s="119">
        <v>0</v>
      </c>
      <c r="O952" s="119">
        <v>0</v>
      </c>
      <c r="P952" s="561"/>
      <c r="Q952" s="561"/>
      <c r="R952" s="561"/>
      <c r="S952" s="665"/>
      <c r="T952" s="1005"/>
      <c r="U952" s="1005"/>
    </row>
    <row r="953" spans="1:1892" s="10" customFormat="1" ht="35.1" customHeight="1">
      <c r="A953" s="1462"/>
      <c r="B953" s="504"/>
      <c r="C953" s="905"/>
      <c r="D953" s="707"/>
      <c r="E953" s="708"/>
      <c r="F953" s="709"/>
      <c r="G953" s="490" t="s">
        <v>329</v>
      </c>
      <c r="H953" s="491"/>
      <c r="I953" s="491"/>
      <c r="J953" s="491"/>
      <c r="K953" s="492"/>
      <c r="L953" s="345"/>
      <c r="M953" s="251">
        <f>SUM(M945:M952)</f>
        <v>845</v>
      </c>
      <c r="N953" s="400">
        <f>SUM(N945:N952)</f>
        <v>33</v>
      </c>
      <c r="O953" s="400">
        <f>SUM(O945:O952)</f>
        <v>32</v>
      </c>
      <c r="P953" s="562"/>
      <c r="Q953" s="562"/>
      <c r="R953" s="562"/>
      <c r="S953" s="666"/>
      <c r="T953" s="1006"/>
      <c r="U953" s="1006"/>
    </row>
    <row r="954" spans="1:1892" s="9" customFormat="1" ht="35.1" customHeight="1">
      <c r="A954" s="1462"/>
      <c r="B954" s="820" t="s">
        <v>105</v>
      </c>
      <c r="C954" s="821"/>
      <c r="D954" s="821"/>
      <c r="E954" s="821"/>
      <c r="F954" s="821"/>
      <c r="G954" s="821"/>
      <c r="H954" s="821"/>
      <c r="I954" s="821"/>
      <c r="J954" s="821"/>
      <c r="K954" s="822"/>
      <c r="L954" s="122"/>
      <c r="M954" s="226">
        <f>M953</f>
        <v>845</v>
      </c>
      <c r="N954" s="394">
        <f>N953</f>
        <v>33</v>
      </c>
      <c r="O954" s="394">
        <f>O953</f>
        <v>32</v>
      </c>
      <c r="P954" s="123"/>
      <c r="Q954" s="123"/>
      <c r="R954" s="123"/>
      <c r="S954" s="156"/>
      <c r="T954" s="156"/>
      <c r="U954" s="156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  <c r="EF954" s="10"/>
      <c r="EG954" s="10"/>
      <c r="EH954" s="10"/>
      <c r="EI954" s="10"/>
      <c r="EJ954" s="10"/>
      <c r="EK954" s="10"/>
      <c r="EL954" s="10"/>
      <c r="EM954" s="10"/>
      <c r="EN954" s="10"/>
      <c r="EO954" s="10"/>
      <c r="EP954" s="10"/>
      <c r="EQ954" s="10"/>
      <c r="ER954" s="10"/>
      <c r="ES954" s="10"/>
      <c r="ET954" s="10"/>
      <c r="EU954" s="10"/>
      <c r="EV954" s="10"/>
      <c r="EW954" s="10"/>
      <c r="EX954" s="10"/>
      <c r="EY954" s="10"/>
      <c r="EZ954" s="10"/>
      <c r="FA954" s="10"/>
      <c r="FB954" s="10"/>
      <c r="FC954" s="10"/>
      <c r="FD954" s="10"/>
      <c r="FE954" s="10"/>
      <c r="FF954" s="10"/>
      <c r="FG954" s="10"/>
      <c r="FH954" s="10"/>
      <c r="FI954" s="10"/>
      <c r="FJ954" s="10"/>
      <c r="FK954" s="10"/>
      <c r="FL954" s="10"/>
      <c r="FM954" s="10"/>
      <c r="FN954" s="10"/>
      <c r="FO954" s="10"/>
      <c r="FP954" s="10"/>
      <c r="FQ954" s="10"/>
      <c r="FR954" s="10"/>
      <c r="FS954" s="10"/>
      <c r="FT954" s="10"/>
      <c r="FU954" s="10"/>
      <c r="FV954" s="10"/>
      <c r="FW954" s="10"/>
      <c r="FX954" s="10"/>
      <c r="FY954" s="10"/>
      <c r="FZ954" s="10"/>
      <c r="GA954" s="10"/>
      <c r="GB954" s="10"/>
      <c r="GC954" s="10"/>
      <c r="GD954" s="10"/>
      <c r="GE954" s="10"/>
      <c r="GF954" s="10"/>
      <c r="GG954" s="10"/>
      <c r="GH954" s="10"/>
      <c r="GI954" s="10"/>
      <c r="GJ954" s="10"/>
      <c r="GK954" s="10"/>
      <c r="GL954" s="10"/>
      <c r="GM954" s="10"/>
      <c r="GN954" s="10"/>
      <c r="GO954" s="10"/>
      <c r="GP954" s="10"/>
      <c r="GQ954" s="10"/>
      <c r="GR954" s="10"/>
      <c r="GS954" s="10"/>
      <c r="GT954" s="10"/>
      <c r="GU954" s="10"/>
      <c r="GV954" s="10"/>
      <c r="GW954" s="10"/>
      <c r="GX954" s="10"/>
      <c r="GY954" s="10"/>
      <c r="GZ954" s="10"/>
      <c r="HA954" s="10"/>
      <c r="HB954" s="10"/>
      <c r="HC954" s="10"/>
      <c r="HD954" s="10"/>
      <c r="HE954" s="10"/>
      <c r="HF954" s="10"/>
      <c r="HG954" s="10"/>
      <c r="HH954" s="10"/>
      <c r="HI954" s="10"/>
      <c r="HJ954" s="10"/>
      <c r="HK954" s="10"/>
      <c r="HL954" s="10"/>
      <c r="HM954" s="10"/>
      <c r="HN954" s="10"/>
      <c r="HO954" s="10"/>
      <c r="HP954" s="10"/>
      <c r="HQ954" s="10"/>
      <c r="HR954" s="10"/>
      <c r="HS954" s="10"/>
      <c r="HT954" s="10"/>
      <c r="HU954" s="10"/>
      <c r="HV954" s="10"/>
      <c r="HW954" s="10"/>
      <c r="HX954" s="10"/>
      <c r="HY954" s="10"/>
      <c r="HZ954" s="10"/>
      <c r="IA954" s="10"/>
      <c r="IB954" s="10"/>
      <c r="IC954" s="10"/>
      <c r="ID954" s="10"/>
      <c r="IE954" s="10"/>
      <c r="IF954" s="10"/>
      <c r="IG954" s="10"/>
      <c r="IH954" s="10"/>
      <c r="II954" s="10"/>
      <c r="IJ954" s="10"/>
      <c r="IK954" s="10"/>
      <c r="IL954" s="10"/>
      <c r="IM954" s="10"/>
      <c r="IN954" s="10"/>
      <c r="IO954" s="10"/>
      <c r="IP954" s="10"/>
      <c r="IQ954" s="10"/>
      <c r="IR954" s="10"/>
      <c r="IS954" s="10"/>
      <c r="IT954" s="10"/>
      <c r="IU954" s="10"/>
      <c r="IV954" s="10"/>
      <c r="IW954" s="10"/>
      <c r="IX954" s="10"/>
      <c r="IY954" s="10"/>
      <c r="IZ954" s="10"/>
      <c r="JA954" s="10"/>
      <c r="JB954" s="10"/>
      <c r="JC954" s="10"/>
      <c r="JD954" s="10"/>
      <c r="JE954" s="10"/>
      <c r="JF954" s="10"/>
      <c r="JG954" s="10"/>
      <c r="JH954" s="10"/>
      <c r="JI954" s="10"/>
      <c r="JJ954" s="10"/>
      <c r="JK954" s="10"/>
      <c r="JL954" s="10"/>
      <c r="JM954" s="10"/>
      <c r="JN954" s="10"/>
      <c r="JO954" s="10"/>
      <c r="JP954" s="10"/>
      <c r="JQ954" s="10"/>
      <c r="JR954" s="10"/>
      <c r="JS954" s="10"/>
      <c r="JT954" s="10"/>
      <c r="JU954" s="10"/>
      <c r="JV954" s="10"/>
      <c r="JW954" s="10"/>
      <c r="JX954" s="10"/>
      <c r="JY954" s="10"/>
      <c r="JZ954" s="10"/>
      <c r="KA954" s="10"/>
      <c r="KB954" s="10"/>
      <c r="KC954" s="10"/>
      <c r="KD954" s="10"/>
      <c r="KE954" s="10"/>
      <c r="KF954" s="10"/>
      <c r="KG954" s="10"/>
      <c r="KH954" s="10"/>
      <c r="KI954" s="10"/>
      <c r="KJ954" s="10"/>
      <c r="KK954" s="10"/>
      <c r="KL954" s="10"/>
      <c r="KM954" s="10"/>
      <c r="KN954" s="10"/>
      <c r="KO954" s="10"/>
      <c r="KP954" s="10"/>
      <c r="KQ954" s="10"/>
      <c r="KR954" s="10"/>
      <c r="KS954" s="10"/>
      <c r="KT954" s="10"/>
      <c r="KU954" s="10"/>
      <c r="KV954" s="10"/>
      <c r="KW954" s="10"/>
      <c r="KX954" s="10"/>
      <c r="KY954" s="10"/>
      <c r="KZ954" s="10"/>
      <c r="LA954" s="10"/>
      <c r="LB954" s="10"/>
      <c r="LC954" s="10"/>
      <c r="LD954" s="10"/>
      <c r="LE954" s="10"/>
      <c r="LF954" s="10"/>
      <c r="LG954" s="10"/>
      <c r="LH954" s="10"/>
      <c r="LI954" s="10"/>
      <c r="LJ954" s="10"/>
      <c r="LK954" s="10"/>
      <c r="LL954" s="10"/>
      <c r="LM954" s="10"/>
      <c r="LN954" s="10"/>
      <c r="LO954" s="10"/>
      <c r="LP954" s="10"/>
      <c r="LQ954" s="10"/>
      <c r="LR954" s="10"/>
      <c r="LS954" s="10"/>
      <c r="LT954" s="10"/>
      <c r="LU954" s="10"/>
      <c r="LV954" s="10"/>
      <c r="LW954" s="10"/>
      <c r="LX954" s="10"/>
      <c r="LY954" s="10"/>
      <c r="LZ954" s="10"/>
      <c r="MA954" s="10"/>
      <c r="MB954" s="10"/>
      <c r="MC954" s="10"/>
      <c r="MD954" s="10"/>
      <c r="ME954" s="10"/>
      <c r="MF954" s="10"/>
      <c r="MG954" s="10"/>
      <c r="MH954" s="10"/>
      <c r="MI954" s="10"/>
      <c r="MJ954" s="10"/>
      <c r="MK954" s="10"/>
      <c r="ML954" s="10"/>
      <c r="MM954" s="10"/>
      <c r="MN954" s="10"/>
      <c r="MO954" s="10"/>
      <c r="MP954" s="10"/>
      <c r="MQ954" s="10"/>
      <c r="MR954" s="10"/>
      <c r="MS954" s="10"/>
      <c r="MT954" s="10"/>
      <c r="MU954" s="10"/>
      <c r="MV954" s="10"/>
      <c r="MW954" s="10"/>
      <c r="MX954" s="10"/>
      <c r="MY954" s="10"/>
      <c r="MZ954" s="10"/>
      <c r="NA954" s="10"/>
      <c r="NB954" s="10"/>
      <c r="NC954" s="10"/>
      <c r="ND954" s="10"/>
      <c r="NE954" s="10"/>
      <c r="NF954" s="10"/>
      <c r="NG954" s="10"/>
      <c r="NH954" s="10"/>
      <c r="NI954" s="10"/>
      <c r="NJ954" s="10"/>
      <c r="NK954" s="10"/>
      <c r="NL954" s="10"/>
      <c r="NM954" s="10"/>
      <c r="NN954" s="10"/>
      <c r="NO954" s="10"/>
      <c r="NP954" s="10"/>
      <c r="NQ954" s="10"/>
      <c r="NR954" s="10"/>
      <c r="NS954" s="10"/>
      <c r="NT954" s="10"/>
      <c r="NU954" s="10"/>
      <c r="NV954" s="10"/>
      <c r="NW954" s="10"/>
      <c r="NX954" s="10"/>
      <c r="NY954" s="10"/>
      <c r="NZ954" s="10"/>
      <c r="OA954" s="10"/>
      <c r="OB954" s="10"/>
      <c r="OC954" s="10"/>
      <c r="OD954" s="10"/>
      <c r="OE954" s="10"/>
      <c r="OF954" s="10"/>
      <c r="OG954" s="10"/>
      <c r="OH954" s="10"/>
      <c r="OI954" s="10"/>
      <c r="OJ954" s="10"/>
      <c r="OK954" s="10"/>
      <c r="OL954" s="10"/>
      <c r="OM954" s="10"/>
      <c r="ON954" s="10"/>
      <c r="OO954" s="10"/>
      <c r="OP954" s="10"/>
      <c r="OQ954" s="10"/>
      <c r="OR954" s="10"/>
      <c r="OS954" s="10"/>
      <c r="OT954" s="10"/>
      <c r="OU954" s="10"/>
      <c r="OV954" s="10"/>
      <c r="OW954" s="10"/>
      <c r="OX954" s="10"/>
      <c r="OY954" s="10"/>
      <c r="OZ954" s="10"/>
      <c r="PA954" s="10"/>
      <c r="PB954" s="10"/>
      <c r="PC954" s="10"/>
      <c r="PD954" s="10"/>
      <c r="PE954" s="10"/>
      <c r="PF954" s="10"/>
      <c r="PG954" s="10"/>
      <c r="PH954" s="10"/>
      <c r="PI954" s="10"/>
      <c r="PJ954" s="10"/>
      <c r="PK954" s="10"/>
      <c r="PL954" s="10"/>
      <c r="PM954" s="10"/>
      <c r="PN954" s="10"/>
      <c r="PO954" s="10"/>
      <c r="PP954" s="10"/>
      <c r="PQ954" s="10"/>
      <c r="PR954" s="10"/>
      <c r="PS954" s="10"/>
      <c r="PT954" s="10"/>
      <c r="PU954" s="10"/>
      <c r="PV954" s="10"/>
      <c r="PW954" s="10"/>
      <c r="PX954" s="10"/>
      <c r="PY954" s="10"/>
      <c r="PZ954" s="10"/>
      <c r="QA954" s="10"/>
      <c r="QB954" s="10"/>
      <c r="QC954" s="10"/>
      <c r="QD954" s="10"/>
      <c r="QE954" s="10"/>
      <c r="QF954" s="10"/>
      <c r="QG954" s="10"/>
      <c r="QH954" s="10"/>
      <c r="QI954" s="10"/>
      <c r="QJ954" s="10"/>
      <c r="QK954" s="10"/>
      <c r="QL954" s="10"/>
      <c r="QM954" s="10"/>
      <c r="QN954" s="10"/>
      <c r="QO954" s="10"/>
      <c r="QP954" s="10"/>
      <c r="QQ954" s="10"/>
      <c r="QR954" s="10"/>
      <c r="QS954" s="10"/>
      <c r="QT954" s="10"/>
      <c r="QU954" s="10"/>
      <c r="QV954" s="10"/>
      <c r="QW954" s="10"/>
      <c r="QX954" s="10"/>
      <c r="QY954" s="10"/>
      <c r="QZ954" s="10"/>
      <c r="RA954" s="10"/>
      <c r="RB954" s="10"/>
      <c r="RC954" s="10"/>
      <c r="RD954" s="10"/>
      <c r="RE954" s="10"/>
      <c r="RF954" s="10"/>
      <c r="RG954" s="10"/>
      <c r="RH954" s="10"/>
      <c r="RI954" s="10"/>
      <c r="RJ954" s="10"/>
      <c r="RK954" s="10"/>
      <c r="RL954" s="10"/>
      <c r="RM954" s="10"/>
      <c r="RN954" s="10"/>
      <c r="RO954" s="10"/>
      <c r="RP954" s="10"/>
      <c r="RQ954" s="10"/>
      <c r="RR954" s="10"/>
      <c r="RS954" s="10"/>
      <c r="RT954" s="10"/>
      <c r="RU954" s="10"/>
      <c r="RV954" s="10"/>
      <c r="RW954" s="10"/>
      <c r="RX954" s="10"/>
      <c r="RY954" s="10"/>
      <c r="RZ954" s="10"/>
      <c r="SA954" s="10"/>
      <c r="SB954" s="10"/>
      <c r="SC954" s="10"/>
      <c r="SD954" s="10"/>
      <c r="SE954" s="10"/>
      <c r="SF954" s="10"/>
      <c r="SG954" s="10"/>
      <c r="SH954" s="10"/>
      <c r="SI954" s="10"/>
      <c r="SJ954" s="10"/>
      <c r="SK954" s="10"/>
      <c r="SL954" s="10"/>
      <c r="SM954" s="10"/>
      <c r="SN954" s="10"/>
      <c r="SO954" s="10"/>
      <c r="SP954" s="10"/>
      <c r="SQ954" s="10"/>
      <c r="SR954" s="10"/>
      <c r="SS954" s="10"/>
      <c r="ST954" s="10"/>
      <c r="SU954" s="10"/>
      <c r="SV954" s="10"/>
      <c r="SW954" s="10"/>
      <c r="SX954" s="10"/>
      <c r="SY954" s="10"/>
      <c r="SZ954" s="10"/>
      <c r="TA954" s="10"/>
      <c r="TB954" s="10"/>
      <c r="TC954" s="10"/>
      <c r="TD954" s="10"/>
      <c r="TE954" s="10"/>
      <c r="TF954" s="10"/>
      <c r="TG954" s="10"/>
      <c r="TH954" s="10"/>
      <c r="TI954" s="10"/>
      <c r="TJ954" s="10"/>
      <c r="TK954" s="10"/>
      <c r="TL954" s="10"/>
      <c r="TM954" s="10"/>
      <c r="TN954" s="10"/>
      <c r="TO954" s="10"/>
      <c r="TP954" s="10"/>
      <c r="TQ954" s="10"/>
      <c r="TR954" s="10"/>
      <c r="TS954" s="10"/>
      <c r="TT954" s="10"/>
      <c r="TU954" s="10"/>
      <c r="TV954" s="10"/>
      <c r="TW954" s="10"/>
      <c r="TX954" s="10"/>
      <c r="TY954" s="10"/>
      <c r="TZ954" s="10"/>
      <c r="UA954" s="10"/>
      <c r="UB954" s="10"/>
      <c r="UC954" s="10"/>
      <c r="UD954" s="10"/>
      <c r="UE954" s="10"/>
      <c r="UF954" s="10"/>
      <c r="UG954" s="10"/>
      <c r="UH954" s="10"/>
      <c r="UI954" s="10"/>
      <c r="UJ954" s="10"/>
      <c r="UK954" s="10"/>
      <c r="UL954" s="10"/>
      <c r="UM954" s="10"/>
      <c r="UN954" s="10"/>
      <c r="UO954" s="10"/>
      <c r="UP954" s="10"/>
      <c r="UQ954" s="10"/>
      <c r="UR954" s="10"/>
      <c r="US954" s="10"/>
      <c r="UT954" s="10"/>
      <c r="UU954" s="10"/>
      <c r="UV954" s="10"/>
      <c r="UW954" s="10"/>
      <c r="UX954" s="10"/>
      <c r="UY954" s="10"/>
      <c r="UZ954" s="10"/>
      <c r="VA954" s="10"/>
      <c r="VB954" s="10"/>
      <c r="VC954" s="10"/>
      <c r="VD954" s="10"/>
      <c r="VE954" s="10"/>
      <c r="VF954" s="10"/>
      <c r="VG954" s="10"/>
      <c r="VH954" s="10"/>
      <c r="VI954" s="10"/>
      <c r="VJ954" s="10"/>
      <c r="VK954" s="10"/>
      <c r="VL954" s="10"/>
      <c r="VM954" s="10"/>
      <c r="VN954" s="10"/>
      <c r="VO954" s="10"/>
      <c r="VP954" s="10"/>
      <c r="VQ954" s="10"/>
      <c r="VR954" s="10"/>
      <c r="VS954" s="10"/>
      <c r="VT954" s="10"/>
      <c r="VU954" s="10"/>
      <c r="VV954" s="10"/>
      <c r="VW954" s="10"/>
      <c r="VX954" s="10"/>
      <c r="VY954" s="10"/>
      <c r="VZ954" s="10"/>
      <c r="WA954" s="10"/>
      <c r="WB954" s="10"/>
      <c r="WC954" s="10"/>
      <c r="WD954" s="10"/>
      <c r="WE954" s="10"/>
      <c r="WF954" s="10"/>
      <c r="WG954" s="10"/>
      <c r="WH954" s="10"/>
      <c r="WI954" s="10"/>
      <c r="WJ954" s="10"/>
      <c r="WK954" s="10"/>
      <c r="WL954" s="10"/>
      <c r="WM954" s="10"/>
      <c r="WN954" s="10"/>
      <c r="WO954" s="10"/>
      <c r="WP954" s="10"/>
      <c r="WQ954" s="10"/>
      <c r="WR954" s="10"/>
      <c r="WS954" s="10"/>
      <c r="WT954" s="10"/>
      <c r="WU954" s="10"/>
      <c r="WV954" s="10"/>
      <c r="WW954" s="10"/>
      <c r="WX954" s="10"/>
      <c r="WY954" s="10"/>
      <c r="WZ954" s="10"/>
      <c r="XA954" s="10"/>
      <c r="XB954" s="10"/>
      <c r="XC954" s="10"/>
      <c r="XD954" s="10"/>
      <c r="XE954" s="10"/>
      <c r="XF954" s="10"/>
      <c r="XG954" s="10"/>
      <c r="XH954" s="10"/>
      <c r="XI954" s="10"/>
      <c r="XJ954" s="10"/>
      <c r="XK954" s="10"/>
      <c r="XL954" s="10"/>
      <c r="XM954" s="10"/>
      <c r="XN954" s="10"/>
      <c r="XO954" s="10"/>
      <c r="XP954" s="10"/>
      <c r="XQ954" s="10"/>
      <c r="XR954" s="10"/>
      <c r="XS954" s="10"/>
      <c r="XT954" s="10"/>
      <c r="XU954" s="10"/>
      <c r="XV954" s="10"/>
      <c r="XW954" s="10"/>
      <c r="XX954" s="10"/>
      <c r="XY954" s="10"/>
      <c r="XZ954" s="10"/>
      <c r="YA954" s="10"/>
      <c r="YB954" s="10"/>
      <c r="YC954" s="10"/>
      <c r="YD954" s="10"/>
      <c r="YE954" s="10"/>
      <c r="YF954" s="10"/>
      <c r="YG954" s="10"/>
      <c r="YH954" s="10"/>
      <c r="YI954" s="10"/>
      <c r="YJ954" s="10"/>
      <c r="YK954" s="10"/>
      <c r="YL954" s="10"/>
      <c r="YM954" s="10"/>
      <c r="YN954" s="10"/>
      <c r="YO954" s="10"/>
      <c r="YP954" s="10"/>
      <c r="YQ954" s="10"/>
      <c r="YR954" s="10"/>
      <c r="YS954" s="10"/>
      <c r="YT954" s="10"/>
      <c r="YU954" s="10"/>
      <c r="YV954" s="10"/>
      <c r="YW954" s="10"/>
      <c r="YX954" s="10"/>
      <c r="YY954" s="10"/>
      <c r="YZ954" s="10"/>
      <c r="ZA954" s="10"/>
      <c r="ZB954" s="10"/>
      <c r="ZC954" s="10"/>
      <c r="ZD954" s="10"/>
      <c r="ZE954" s="10"/>
      <c r="ZF954" s="10"/>
      <c r="ZG954" s="10"/>
      <c r="ZH954" s="10"/>
      <c r="ZI954" s="10"/>
      <c r="ZJ954" s="10"/>
      <c r="ZK954" s="10"/>
      <c r="ZL954" s="10"/>
      <c r="ZM954" s="10"/>
      <c r="ZN954" s="10"/>
      <c r="ZO954" s="10"/>
      <c r="ZP954" s="10"/>
      <c r="ZQ954" s="10"/>
      <c r="ZR954" s="10"/>
      <c r="ZS954" s="10"/>
      <c r="ZT954" s="10"/>
      <c r="ZU954" s="10"/>
      <c r="ZV954" s="10"/>
      <c r="ZW954" s="10"/>
      <c r="ZX954" s="10"/>
      <c r="ZY954" s="10"/>
      <c r="ZZ954" s="10"/>
      <c r="AAA954" s="10"/>
      <c r="AAB954" s="10"/>
      <c r="AAC954" s="10"/>
      <c r="AAD954" s="10"/>
      <c r="AAE954" s="10"/>
      <c r="AAF954" s="10"/>
      <c r="AAG954" s="10"/>
      <c r="AAH954" s="10"/>
      <c r="AAI954" s="10"/>
      <c r="AAJ954" s="10"/>
      <c r="AAK954" s="10"/>
      <c r="AAL954" s="10"/>
      <c r="AAM954" s="10"/>
      <c r="AAN954" s="10"/>
      <c r="AAO954" s="10"/>
      <c r="AAP954" s="10"/>
      <c r="AAQ954" s="10"/>
      <c r="AAR954" s="10"/>
      <c r="AAS954" s="10"/>
      <c r="AAT954" s="10"/>
      <c r="AAU954" s="10"/>
      <c r="AAV954" s="10"/>
      <c r="AAW954" s="10"/>
      <c r="AAX954" s="10"/>
      <c r="AAY954" s="10"/>
      <c r="AAZ954" s="10"/>
      <c r="ABA954" s="10"/>
      <c r="ABB954" s="10"/>
      <c r="ABC954" s="10"/>
      <c r="ABD954" s="10"/>
      <c r="ABE954" s="10"/>
      <c r="ABF954" s="10"/>
      <c r="ABG954" s="10"/>
      <c r="ABH954" s="10"/>
      <c r="ABI954" s="10"/>
      <c r="ABJ954" s="10"/>
      <c r="ABK954" s="10"/>
      <c r="ABL954" s="10"/>
      <c r="ABM954" s="10"/>
      <c r="ABN954" s="10"/>
      <c r="ABO954" s="10"/>
      <c r="ABP954" s="10"/>
      <c r="ABQ954" s="10"/>
      <c r="ABR954" s="10"/>
      <c r="ABS954" s="10"/>
      <c r="ABT954" s="10"/>
      <c r="ABU954" s="10"/>
      <c r="ABV954" s="10"/>
      <c r="ABW954" s="10"/>
      <c r="ABX954" s="10"/>
      <c r="ABY954" s="10"/>
      <c r="ABZ954" s="10"/>
      <c r="ACA954" s="10"/>
      <c r="ACB954" s="10"/>
      <c r="ACC954" s="10"/>
      <c r="ACD954" s="10"/>
      <c r="ACE954" s="10"/>
      <c r="ACF954" s="10"/>
      <c r="ACG954" s="10"/>
      <c r="ACH954" s="10"/>
      <c r="ACI954" s="10"/>
      <c r="ACJ954" s="10"/>
      <c r="ACK954" s="10"/>
      <c r="ACL954" s="10"/>
      <c r="ACM954" s="10"/>
      <c r="ACN954" s="10"/>
      <c r="ACO954" s="10"/>
      <c r="ACP954" s="10"/>
      <c r="ACQ954" s="10"/>
      <c r="ACR954" s="10"/>
      <c r="ACS954" s="10"/>
      <c r="ACT954" s="10"/>
      <c r="ACU954" s="10"/>
      <c r="ACV954" s="10"/>
      <c r="ACW954" s="10"/>
      <c r="ACX954" s="10"/>
      <c r="ACY954" s="10"/>
      <c r="ACZ954" s="10"/>
      <c r="ADA954" s="10"/>
      <c r="ADB954" s="10"/>
      <c r="ADC954" s="10"/>
      <c r="ADD954" s="10"/>
      <c r="ADE954" s="10"/>
      <c r="ADF954" s="10"/>
      <c r="ADG954" s="10"/>
      <c r="ADH954" s="10"/>
      <c r="ADI954" s="10"/>
      <c r="ADJ954" s="10"/>
      <c r="ADK954" s="10"/>
      <c r="ADL954" s="10"/>
      <c r="ADM954" s="10"/>
      <c r="ADN954" s="10"/>
      <c r="ADO954" s="10"/>
      <c r="ADP954" s="10"/>
      <c r="ADQ954" s="10"/>
      <c r="ADR954" s="10"/>
      <c r="ADS954" s="10"/>
      <c r="ADT954" s="10"/>
      <c r="ADU954" s="10"/>
      <c r="ADV954" s="10"/>
      <c r="ADW954" s="10"/>
      <c r="ADX954" s="10"/>
      <c r="ADY954" s="10"/>
      <c r="ADZ954" s="10"/>
      <c r="AEA954" s="10"/>
      <c r="AEB954" s="10"/>
      <c r="AEC954" s="10"/>
      <c r="AED954" s="10"/>
      <c r="AEE954" s="10"/>
      <c r="AEF954" s="10"/>
      <c r="AEG954" s="10"/>
      <c r="AEH954" s="10"/>
      <c r="AEI954" s="10"/>
      <c r="AEJ954" s="10"/>
      <c r="AEK954" s="10"/>
      <c r="AEL954" s="10"/>
      <c r="AEM954" s="10"/>
      <c r="AEN954" s="10"/>
      <c r="AEO954" s="10"/>
      <c r="AEP954" s="10"/>
      <c r="AEQ954" s="10"/>
      <c r="AER954" s="10"/>
      <c r="AES954" s="10"/>
      <c r="AET954" s="10"/>
      <c r="AEU954" s="10"/>
      <c r="AEV954" s="10"/>
      <c r="AEW954" s="10"/>
      <c r="AEX954" s="10"/>
      <c r="AEY954" s="10"/>
      <c r="AEZ954" s="10"/>
      <c r="AFA954" s="10"/>
      <c r="AFB954" s="10"/>
      <c r="AFC954" s="10"/>
      <c r="AFD954" s="10"/>
      <c r="AFE954" s="10"/>
      <c r="AFF954" s="10"/>
      <c r="AFG954" s="10"/>
      <c r="AFH954" s="10"/>
      <c r="AFI954" s="10"/>
      <c r="AFJ954" s="10"/>
      <c r="AFK954" s="10"/>
      <c r="AFL954" s="10"/>
      <c r="AFM954" s="10"/>
      <c r="AFN954" s="10"/>
      <c r="AFO954" s="10"/>
      <c r="AFP954" s="10"/>
      <c r="AFQ954" s="10"/>
      <c r="AFR954" s="10"/>
      <c r="AFS954" s="10"/>
      <c r="AFT954" s="10"/>
      <c r="AFU954" s="10"/>
      <c r="AFV954" s="10"/>
      <c r="AFW954" s="10"/>
      <c r="AFX954" s="10"/>
      <c r="AFY954" s="10"/>
      <c r="AFZ954" s="10"/>
      <c r="AGA954" s="10"/>
      <c r="AGB954" s="10"/>
      <c r="AGC954" s="10"/>
      <c r="AGD954" s="10"/>
      <c r="AGE954" s="10"/>
      <c r="AGF954" s="10"/>
      <c r="AGG954" s="10"/>
      <c r="AGH954" s="10"/>
      <c r="AGI954" s="10"/>
      <c r="AGJ954" s="10"/>
      <c r="AGK954" s="10"/>
      <c r="AGL954" s="10"/>
      <c r="AGM954" s="10"/>
      <c r="AGN954" s="10"/>
      <c r="AGO954" s="10"/>
      <c r="AGP954" s="10"/>
      <c r="AGQ954" s="10"/>
      <c r="AGR954" s="10"/>
      <c r="AGS954" s="10"/>
      <c r="AGT954" s="10"/>
      <c r="AGU954" s="10"/>
      <c r="AGV954" s="10"/>
      <c r="AGW954" s="10"/>
      <c r="AGX954" s="10"/>
      <c r="AGY954" s="10"/>
      <c r="AGZ954" s="10"/>
      <c r="AHA954" s="10"/>
      <c r="AHB954" s="10"/>
      <c r="AHC954" s="10"/>
      <c r="AHD954" s="10"/>
      <c r="AHE954" s="10"/>
      <c r="AHF954" s="10"/>
      <c r="AHG954" s="10"/>
      <c r="AHH954" s="10"/>
      <c r="AHI954" s="10"/>
      <c r="AHJ954" s="10"/>
      <c r="AHK954" s="10"/>
      <c r="AHL954" s="10"/>
      <c r="AHM954" s="10"/>
      <c r="AHN954" s="10"/>
      <c r="AHO954" s="10"/>
      <c r="AHP954" s="10"/>
      <c r="AHQ954" s="10"/>
      <c r="AHR954" s="10"/>
      <c r="AHS954" s="10"/>
      <c r="AHT954" s="10"/>
      <c r="AHU954" s="10"/>
      <c r="AHV954" s="10"/>
      <c r="AHW954" s="10"/>
      <c r="AHX954" s="10"/>
      <c r="AHY954" s="10"/>
      <c r="AHZ954" s="10"/>
      <c r="AIA954" s="10"/>
      <c r="AIB954" s="10"/>
      <c r="AIC954" s="10"/>
      <c r="AID954" s="10"/>
      <c r="AIE954" s="10"/>
      <c r="AIF954" s="10"/>
      <c r="AIG954" s="10"/>
      <c r="AIH954" s="10"/>
      <c r="AII954" s="10"/>
      <c r="AIJ954" s="10"/>
      <c r="AIK954" s="10"/>
      <c r="AIL954" s="10"/>
      <c r="AIM954" s="10"/>
      <c r="AIN954" s="10"/>
      <c r="AIO954" s="10"/>
      <c r="AIP954" s="10"/>
      <c r="AIQ954" s="10"/>
      <c r="AIR954" s="10"/>
      <c r="AIS954" s="10"/>
      <c r="AIT954" s="10"/>
      <c r="AIU954" s="10"/>
      <c r="AIV954" s="10"/>
      <c r="AIW954" s="10"/>
      <c r="AIX954" s="10"/>
      <c r="AIY954" s="10"/>
      <c r="AIZ954" s="10"/>
      <c r="AJA954" s="10"/>
      <c r="AJB954" s="10"/>
      <c r="AJC954" s="10"/>
      <c r="AJD954" s="10"/>
      <c r="AJE954" s="10"/>
      <c r="AJF954" s="10"/>
      <c r="AJG954" s="10"/>
      <c r="AJH954" s="10"/>
      <c r="AJI954" s="10"/>
      <c r="AJJ954" s="10"/>
      <c r="AJK954" s="10"/>
      <c r="AJL954" s="10"/>
      <c r="AJM954" s="10"/>
      <c r="AJN954" s="10"/>
      <c r="AJO954" s="10"/>
      <c r="AJP954" s="10"/>
      <c r="AJQ954" s="10"/>
      <c r="AJR954" s="10"/>
      <c r="AJS954" s="10"/>
      <c r="AJT954" s="10"/>
      <c r="AJU954" s="10"/>
      <c r="AJV954" s="10"/>
      <c r="AJW954" s="10"/>
      <c r="AJX954" s="10"/>
      <c r="AJY954" s="10"/>
      <c r="AJZ954" s="10"/>
      <c r="AKA954" s="10"/>
      <c r="AKB954" s="10"/>
      <c r="AKC954" s="10"/>
      <c r="AKD954" s="10"/>
      <c r="AKE954" s="10"/>
      <c r="AKF954" s="10"/>
      <c r="AKG954" s="10"/>
      <c r="AKH954" s="10"/>
      <c r="AKI954" s="10"/>
      <c r="AKJ954" s="10"/>
      <c r="AKK954" s="10"/>
      <c r="AKL954" s="10"/>
      <c r="AKM954" s="10"/>
      <c r="AKN954" s="10"/>
      <c r="AKO954" s="10"/>
      <c r="AKP954" s="10"/>
      <c r="AKQ954" s="10"/>
      <c r="AKR954" s="10"/>
      <c r="AKS954" s="10"/>
      <c r="AKT954" s="10"/>
      <c r="AKU954" s="10"/>
      <c r="AKV954" s="10"/>
      <c r="AKW954" s="10"/>
      <c r="AKX954" s="10"/>
      <c r="AKY954" s="10"/>
      <c r="AKZ954" s="10"/>
      <c r="ALA954" s="10"/>
      <c r="ALB954" s="10"/>
      <c r="ALC954" s="10"/>
      <c r="ALD954" s="10"/>
      <c r="ALE954" s="10"/>
      <c r="ALF954" s="10"/>
      <c r="ALG954" s="10"/>
      <c r="ALH954" s="10"/>
      <c r="ALI954" s="10"/>
      <c r="ALJ954" s="10"/>
      <c r="ALK954" s="10"/>
      <c r="ALL954" s="10"/>
      <c r="ALM954" s="10"/>
      <c r="ALN954" s="10"/>
      <c r="ALO954" s="10"/>
      <c r="ALP954" s="10"/>
      <c r="ALQ954" s="10"/>
      <c r="ALR954" s="10"/>
      <c r="ALS954" s="10"/>
      <c r="ALT954" s="10"/>
      <c r="ALU954" s="10"/>
      <c r="ALV954" s="10"/>
      <c r="ALW954" s="10"/>
      <c r="ALX954" s="10"/>
      <c r="ALY954" s="10"/>
      <c r="ALZ954" s="10"/>
      <c r="AMA954" s="10"/>
      <c r="AMB954" s="10"/>
      <c r="AMC954" s="10"/>
      <c r="AMD954" s="10"/>
      <c r="AME954" s="10"/>
      <c r="AMF954" s="10"/>
      <c r="AMG954" s="10"/>
      <c r="AMH954" s="10"/>
      <c r="AMI954" s="10"/>
      <c r="AMJ954" s="10"/>
      <c r="AMK954" s="10"/>
      <c r="AML954" s="10"/>
      <c r="AMM954" s="10"/>
      <c r="AMN954" s="10"/>
      <c r="AMO954" s="10"/>
      <c r="AMP954" s="10"/>
      <c r="AMQ954" s="10"/>
      <c r="AMR954" s="10"/>
      <c r="AMS954" s="10"/>
      <c r="AMT954" s="10"/>
      <c r="AMU954" s="10"/>
      <c r="AMV954" s="10"/>
      <c r="AMW954" s="10"/>
      <c r="AMX954" s="10"/>
      <c r="AMY954" s="10"/>
      <c r="AMZ954" s="10"/>
      <c r="ANA954" s="10"/>
      <c r="ANB954" s="10"/>
      <c r="ANC954" s="10"/>
      <c r="AND954" s="10"/>
      <c r="ANE954" s="10"/>
      <c r="ANF954" s="10"/>
      <c r="ANG954" s="10"/>
      <c r="ANH954" s="10"/>
      <c r="ANI954" s="10"/>
      <c r="ANJ954" s="10"/>
      <c r="ANK954" s="10"/>
      <c r="ANL954" s="10"/>
      <c r="ANM954" s="10"/>
      <c r="ANN954" s="10"/>
      <c r="ANO954" s="10"/>
      <c r="ANP954" s="10"/>
      <c r="ANQ954" s="10"/>
      <c r="ANR954" s="10"/>
      <c r="ANS954" s="10"/>
      <c r="ANT954" s="10"/>
      <c r="ANU954" s="10"/>
      <c r="ANV954" s="10"/>
      <c r="ANW954" s="10"/>
      <c r="ANX954" s="10"/>
      <c r="ANY954" s="10"/>
      <c r="ANZ954" s="10"/>
      <c r="AOA954" s="10"/>
      <c r="AOB954" s="10"/>
      <c r="AOC954" s="10"/>
      <c r="AOD954" s="10"/>
      <c r="AOE954" s="10"/>
      <c r="AOF954" s="10"/>
      <c r="AOG954" s="10"/>
      <c r="AOH954" s="10"/>
      <c r="AOI954" s="10"/>
      <c r="AOJ954" s="10"/>
      <c r="AOK954" s="10"/>
      <c r="AOL954" s="10"/>
      <c r="AOM954" s="10"/>
      <c r="AON954" s="10"/>
      <c r="AOO954" s="10"/>
      <c r="AOP954" s="10"/>
      <c r="AOQ954" s="10"/>
      <c r="AOR954" s="10"/>
      <c r="AOS954" s="10"/>
      <c r="AOT954" s="10"/>
      <c r="AOU954" s="10"/>
      <c r="AOV954" s="10"/>
      <c r="AOW954" s="10"/>
      <c r="AOX954" s="10"/>
      <c r="AOY954" s="10"/>
      <c r="AOZ954" s="10"/>
      <c r="APA954" s="10"/>
      <c r="APB954" s="10"/>
      <c r="APC954" s="10"/>
      <c r="APD954" s="10"/>
      <c r="APE954" s="10"/>
      <c r="APF954" s="10"/>
      <c r="APG954" s="10"/>
      <c r="APH954" s="10"/>
      <c r="API954" s="10"/>
      <c r="APJ954" s="10"/>
      <c r="APK954" s="10"/>
      <c r="APL954" s="10"/>
      <c r="APM954" s="10"/>
      <c r="APN954" s="10"/>
      <c r="APO954" s="10"/>
      <c r="APP954" s="10"/>
      <c r="APQ954" s="10"/>
      <c r="APR954" s="10"/>
      <c r="APS954" s="10"/>
      <c r="APT954" s="10"/>
      <c r="APU954" s="10"/>
      <c r="APV954" s="10"/>
      <c r="APW954" s="10"/>
      <c r="APX954" s="10"/>
      <c r="APY954" s="10"/>
      <c r="APZ954" s="10"/>
      <c r="AQA954" s="10"/>
      <c r="AQB954" s="10"/>
      <c r="AQC954" s="10"/>
      <c r="AQD954" s="10"/>
      <c r="AQE954" s="10"/>
      <c r="AQF954" s="10"/>
      <c r="AQG954" s="10"/>
      <c r="AQH954" s="10"/>
      <c r="AQI954" s="10"/>
      <c r="AQJ954" s="10"/>
      <c r="AQK954" s="10"/>
      <c r="AQL954" s="10"/>
      <c r="AQM954" s="10"/>
      <c r="AQN954" s="10"/>
      <c r="AQO954" s="10"/>
      <c r="AQP954" s="10"/>
      <c r="AQQ954" s="10"/>
      <c r="AQR954" s="10"/>
      <c r="AQS954" s="10"/>
      <c r="AQT954" s="10"/>
      <c r="AQU954" s="10"/>
      <c r="AQV954" s="10"/>
      <c r="AQW954" s="10"/>
      <c r="AQX954" s="10"/>
      <c r="AQY954" s="10"/>
      <c r="AQZ954" s="10"/>
      <c r="ARA954" s="10"/>
      <c r="ARB954" s="10"/>
      <c r="ARC954" s="10"/>
      <c r="ARD954" s="10"/>
      <c r="ARE954" s="10"/>
      <c r="ARF954" s="10"/>
      <c r="ARG954" s="10"/>
      <c r="ARH954" s="10"/>
      <c r="ARI954" s="10"/>
      <c r="ARJ954" s="10"/>
      <c r="ARK954" s="10"/>
      <c r="ARL954" s="10"/>
      <c r="ARM954" s="10"/>
      <c r="ARN954" s="10"/>
      <c r="ARO954" s="10"/>
      <c r="ARP954" s="10"/>
      <c r="ARQ954" s="10"/>
      <c r="ARR954" s="10"/>
      <c r="ARS954" s="10"/>
      <c r="ART954" s="10"/>
      <c r="ARU954" s="10"/>
      <c r="ARV954" s="10"/>
      <c r="ARW954" s="10"/>
      <c r="ARX954" s="10"/>
      <c r="ARY954" s="10"/>
      <c r="ARZ954" s="10"/>
      <c r="ASA954" s="10"/>
      <c r="ASB954" s="10"/>
      <c r="ASC954" s="10"/>
      <c r="ASD954" s="10"/>
      <c r="ASE954" s="10"/>
      <c r="ASF954" s="10"/>
      <c r="ASG954" s="10"/>
      <c r="ASH954" s="10"/>
      <c r="ASI954" s="10"/>
      <c r="ASJ954" s="10"/>
      <c r="ASK954" s="10"/>
      <c r="ASL954" s="10"/>
      <c r="ASM954" s="10"/>
      <c r="ASN954" s="10"/>
      <c r="ASO954" s="10"/>
      <c r="ASP954" s="10"/>
      <c r="ASQ954" s="10"/>
      <c r="ASR954" s="10"/>
      <c r="ASS954" s="10"/>
      <c r="AST954" s="10"/>
      <c r="ASU954" s="10"/>
      <c r="ASV954" s="10"/>
      <c r="ASW954" s="10"/>
      <c r="ASX954" s="10"/>
      <c r="ASY954" s="10"/>
      <c r="ASZ954" s="10"/>
      <c r="ATA954" s="10"/>
      <c r="ATB954" s="10"/>
      <c r="ATC954" s="10"/>
      <c r="ATD954" s="10"/>
      <c r="ATE954" s="10"/>
      <c r="ATF954" s="10"/>
      <c r="ATG954" s="10"/>
      <c r="ATH954" s="10"/>
      <c r="ATI954" s="10"/>
      <c r="ATJ954" s="10"/>
      <c r="ATK954" s="10"/>
      <c r="ATL954" s="10"/>
      <c r="ATM954" s="10"/>
      <c r="ATN954" s="10"/>
      <c r="ATO954" s="10"/>
      <c r="ATP954" s="10"/>
      <c r="ATQ954" s="10"/>
      <c r="ATR954" s="10"/>
      <c r="ATS954" s="10"/>
      <c r="ATT954" s="10"/>
      <c r="ATU954" s="10"/>
      <c r="ATV954" s="10"/>
      <c r="ATW954" s="10"/>
      <c r="ATX954" s="10"/>
      <c r="ATY954" s="10"/>
      <c r="ATZ954" s="10"/>
      <c r="AUA954" s="10"/>
      <c r="AUB954" s="10"/>
      <c r="AUC954" s="10"/>
      <c r="AUD954" s="10"/>
      <c r="AUE954" s="10"/>
      <c r="AUF954" s="10"/>
      <c r="AUG954" s="10"/>
      <c r="AUH954" s="10"/>
      <c r="AUI954" s="10"/>
      <c r="AUJ954" s="10"/>
      <c r="AUK954" s="10"/>
      <c r="AUL954" s="10"/>
      <c r="AUM954" s="10"/>
      <c r="AUN954" s="10"/>
      <c r="AUO954" s="10"/>
      <c r="AUP954" s="10"/>
      <c r="AUQ954" s="10"/>
      <c r="AUR954" s="10"/>
      <c r="AUS954" s="10"/>
      <c r="AUT954" s="10"/>
      <c r="AUU954" s="10"/>
      <c r="AUV954" s="10"/>
      <c r="AUW954" s="10"/>
      <c r="AUX954" s="10"/>
      <c r="AUY954" s="10"/>
      <c r="AUZ954" s="10"/>
      <c r="AVA954" s="10"/>
      <c r="AVB954" s="10"/>
      <c r="AVC954" s="10"/>
      <c r="AVD954" s="10"/>
      <c r="AVE954" s="10"/>
      <c r="AVF954" s="10"/>
      <c r="AVG954" s="10"/>
      <c r="AVH954" s="10"/>
      <c r="AVI954" s="10"/>
      <c r="AVJ954" s="10"/>
      <c r="AVK954" s="10"/>
      <c r="AVL954" s="10"/>
      <c r="AVM954" s="10"/>
      <c r="AVN954" s="10"/>
      <c r="AVO954" s="10"/>
      <c r="AVP954" s="10"/>
      <c r="AVQ954" s="10"/>
      <c r="AVR954" s="10"/>
      <c r="AVS954" s="10"/>
      <c r="AVT954" s="10"/>
      <c r="AVU954" s="10"/>
      <c r="AVV954" s="10"/>
      <c r="AVW954" s="10"/>
      <c r="AVX954" s="10"/>
      <c r="AVY954" s="10"/>
      <c r="AVZ954" s="10"/>
      <c r="AWA954" s="10"/>
      <c r="AWB954" s="10"/>
      <c r="AWC954" s="10"/>
      <c r="AWD954" s="10"/>
      <c r="AWE954" s="10"/>
      <c r="AWF954" s="10"/>
      <c r="AWG954" s="10"/>
      <c r="AWH954" s="10"/>
      <c r="AWI954" s="10"/>
      <c r="AWJ954" s="10"/>
      <c r="AWK954" s="10"/>
      <c r="AWL954" s="10"/>
      <c r="AWM954" s="10"/>
      <c r="AWN954" s="10"/>
      <c r="AWO954" s="10"/>
      <c r="AWP954" s="10"/>
      <c r="AWQ954" s="10"/>
      <c r="AWR954" s="10"/>
      <c r="AWS954" s="10"/>
      <c r="AWT954" s="10"/>
      <c r="AWU954" s="10"/>
      <c r="AWV954" s="10"/>
      <c r="AWW954" s="10"/>
      <c r="AWX954" s="10"/>
      <c r="AWY954" s="10"/>
      <c r="AWZ954" s="10"/>
      <c r="AXA954" s="10"/>
      <c r="AXB954" s="10"/>
      <c r="AXC954" s="10"/>
      <c r="AXD954" s="10"/>
      <c r="AXE954" s="10"/>
      <c r="AXF954" s="10"/>
      <c r="AXG954" s="10"/>
      <c r="AXH954" s="10"/>
      <c r="AXI954" s="10"/>
      <c r="AXJ954" s="10"/>
      <c r="AXK954" s="10"/>
      <c r="AXL954" s="10"/>
      <c r="AXM954" s="10"/>
      <c r="AXN954" s="10"/>
      <c r="AXO954" s="10"/>
      <c r="AXP954" s="10"/>
      <c r="AXQ954" s="10"/>
      <c r="AXR954" s="10"/>
      <c r="AXS954" s="10"/>
      <c r="AXT954" s="10"/>
      <c r="AXU954" s="10"/>
      <c r="AXV954" s="10"/>
      <c r="AXW954" s="10"/>
      <c r="AXX954" s="10"/>
      <c r="AXY954" s="10"/>
      <c r="AXZ954" s="10"/>
      <c r="AYA954" s="10"/>
      <c r="AYB954" s="10"/>
      <c r="AYC954" s="10"/>
      <c r="AYD954" s="10"/>
      <c r="AYE954" s="10"/>
      <c r="AYF954" s="10"/>
      <c r="AYG954" s="10"/>
      <c r="AYH954" s="10"/>
      <c r="AYI954" s="10"/>
      <c r="AYJ954" s="10"/>
      <c r="AYK954" s="10"/>
      <c r="AYL954" s="10"/>
      <c r="AYM954" s="10"/>
      <c r="AYN954" s="10"/>
      <c r="AYO954" s="10"/>
      <c r="AYP954" s="10"/>
      <c r="AYQ954" s="10"/>
      <c r="AYR954" s="10"/>
      <c r="AYS954" s="10"/>
      <c r="AYT954" s="10"/>
      <c r="AYU954" s="10"/>
      <c r="AYV954" s="10"/>
      <c r="AYW954" s="10"/>
      <c r="AYX954" s="10"/>
      <c r="AYY954" s="10"/>
      <c r="AYZ954" s="10"/>
      <c r="AZA954" s="10"/>
      <c r="AZB954" s="10"/>
      <c r="AZC954" s="10"/>
      <c r="AZD954" s="10"/>
      <c r="AZE954" s="10"/>
      <c r="AZF954" s="10"/>
      <c r="AZG954" s="10"/>
      <c r="AZH954" s="10"/>
      <c r="AZI954" s="10"/>
      <c r="AZJ954" s="10"/>
      <c r="AZK954" s="10"/>
      <c r="AZL954" s="10"/>
      <c r="AZM954" s="10"/>
      <c r="AZN954" s="10"/>
      <c r="AZO954" s="10"/>
      <c r="AZP954" s="10"/>
      <c r="AZQ954" s="10"/>
      <c r="AZR954" s="10"/>
      <c r="AZS954" s="10"/>
      <c r="AZT954" s="10"/>
      <c r="AZU954" s="10"/>
      <c r="AZV954" s="10"/>
      <c r="AZW954" s="10"/>
      <c r="AZX954" s="10"/>
      <c r="AZY954" s="10"/>
      <c r="AZZ954" s="10"/>
      <c r="BAA954" s="10"/>
      <c r="BAB954" s="10"/>
      <c r="BAC954" s="10"/>
      <c r="BAD954" s="10"/>
      <c r="BAE954" s="10"/>
      <c r="BAF954" s="10"/>
      <c r="BAG954" s="10"/>
      <c r="BAH954" s="10"/>
      <c r="BAI954" s="10"/>
      <c r="BAJ954" s="10"/>
      <c r="BAK954" s="10"/>
      <c r="BAL954" s="10"/>
      <c r="BAM954" s="10"/>
      <c r="BAN954" s="10"/>
      <c r="BAO954" s="10"/>
      <c r="BAP954" s="10"/>
      <c r="BAQ954" s="10"/>
      <c r="BAR954" s="10"/>
      <c r="BAS954" s="10"/>
      <c r="BAT954" s="10"/>
      <c r="BAU954" s="10"/>
      <c r="BAV954" s="10"/>
      <c r="BAW954" s="10"/>
      <c r="BAX954" s="10"/>
      <c r="BAY954" s="10"/>
      <c r="BAZ954" s="10"/>
      <c r="BBA954" s="10"/>
      <c r="BBB954" s="10"/>
      <c r="BBC954" s="10"/>
      <c r="BBD954" s="10"/>
      <c r="BBE954" s="10"/>
      <c r="BBF954" s="10"/>
      <c r="BBG954" s="10"/>
      <c r="BBH954" s="10"/>
      <c r="BBI954" s="10"/>
      <c r="BBJ954" s="10"/>
      <c r="BBK954" s="10"/>
      <c r="BBL954" s="10"/>
      <c r="BBM954" s="10"/>
      <c r="BBN954" s="10"/>
      <c r="BBO954" s="10"/>
      <c r="BBP954" s="10"/>
      <c r="BBQ954" s="10"/>
      <c r="BBR954" s="10"/>
      <c r="BBS954" s="10"/>
      <c r="BBT954" s="10"/>
      <c r="BBU954" s="10"/>
      <c r="BBV954" s="10"/>
      <c r="BBW954" s="10"/>
      <c r="BBX954" s="10"/>
      <c r="BBY954" s="10"/>
      <c r="BBZ954" s="10"/>
      <c r="BCA954" s="10"/>
      <c r="BCB954" s="10"/>
      <c r="BCC954" s="10"/>
      <c r="BCD954" s="10"/>
      <c r="BCE954" s="10"/>
      <c r="BCF954" s="10"/>
      <c r="BCG954" s="10"/>
      <c r="BCH954" s="10"/>
      <c r="BCI954" s="10"/>
      <c r="BCJ954" s="10"/>
      <c r="BCK954" s="10"/>
      <c r="BCL954" s="10"/>
      <c r="BCM954" s="10"/>
      <c r="BCN954" s="10"/>
      <c r="BCO954" s="10"/>
      <c r="BCP954" s="10"/>
      <c r="BCQ954" s="10"/>
      <c r="BCR954" s="10"/>
      <c r="BCS954" s="10"/>
      <c r="BCT954" s="10"/>
      <c r="BCU954" s="10"/>
      <c r="BCV954" s="10"/>
      <c r="BCW954" s="10"/>
      <c r="BCX954" s="10"/>
      <c r="BCY954" s="10"/>
      <c r="BCZ954" s="10"/>
      <c r="BDA954" s="10"/>
      <c r="BDB954" s="10"/>
      <c r="BDC954" s="10"/>
      <c r="BDD954" s="10"/>
      <c r="BDE954" s="10"/>
      <c r="BDF954" s="10"/>
      <c r="BDG954" s="10"/>
      <c r="BDH954" s="10"/>
      <c r="BDI954" s="10"/>
      <c r="BDJ954" s="10"/>
      <c r="BDK954" s="10"/>
      <c r="BDL954" s="10"/>
      <c r="BDM954" s="10"/>
      <c r="BDN954" s="10"/>
      <c r="BDO954" s="10"/>
      <c r="BDP954" s="10"/>
      <c r="BDQ954" s="10"/>
      <c r="BDR954" s="10"/>
      <c r="BDS954" s="10"/>
      <c r="BDT954" s="10"/>
      <c r="BDU954" s="10"/>
      <c r="BDV954" s="10"/>
      <c r="BDW954" s="10"/>
      <c r="BDX954" s="10"/>
      <c r="BDY954" s="10"/>
      <c r="BDZ954" s="10"/>
      <c r="BEA954" s="10"/>
      <c r="BEB954" s="10"/>
      <c r="BEC954" s="10"/>
      <c r="BED954" s="10"/>
      <c r="BEE954" s="10"/>
      <c r="BEF954" s="10"/>
      <c r="BEG954" s="10"/>
      <c r="BEH954" s="10"/>
      <c r="BEI954" s="10"/>
      <c r="BEJ954" s="10"/>
      <c r="BEK954" s="10"/>
      <c r="BEL954" s="10"/>
      <c r="BEM954" s="10"/>
      <c r="BEN954" s="10"/>
      <c r="BEO954" s="10"/>
      <c r="BEP954" s="10"/>
      <c r="BEQ954" s="10"/>
      <c r="BER954" s="10"/>
      <c r="BES954" s="10"/>
      <c r="BET954" s="10"/>
      <c r="BEU954" s="10"/>
      <c r="BEV954" s="10"/>
      <c r="BEW954" s="10"/>
      <c r="BEX954" s="10"/>
      <c r="BEY954" s="10"/>
      <c r="BEZ954" s="10"/>
      <c r="BFA954" s="10"/>
      <c r="BFB954" s="10"/>
      <c r="BFC954" s="10"/>
      <c r="BFD954" s="10"/>
      <c r="BFE954" s="10"/>
      <c r="BFF954" s="10"/>
      <c r="BFG954" s="10"/>
      <c r="BFH954" s="10"/>
      <c r="BFI954" s="10"/>
      <c r="BFJ954" s="10"/>
      <c r="BFK954" s="10"/>
      <c r="BFL954" s="10"/>
      <c r="BFM954" s="10"/>
      <c r="BFN954" s="10"/>
      <c r="BFO954" s="10"/>
      <c r="BFP954" s="10"/>
      <c r="BFQ954" s="10"/>
      <c r="BFR954" s="10"/>
      <c r="BFS954" s="10"/>
      <c r="BFT954" s="10"/>
      <c r="BFU954" s="10"/>
      <c r="BFV954" s="10"/>
      <c r="BFW954" s="10"/>
      <c r="BFX954" s="10"/>
      <c r="BFY954" s="10"/>
      <c r="BFZ954" s="10"/>
      <c r="BGA954" s="10"/>
      <c r="BGB954" s="10"/>
      <c r="BGC954" s="10"/>
      <c r="BGD954" s="10"/>
      <c r="BGE954" s="10"/>
      <c r="BGF954" s="10"/>
      <c r="BGG954" s="10"/>
      <c r="BGH954" s="10"/>
      <c r="BGI954" s="10"/>
      <c r="BGJ954" s="10"/>
      <c r="BGK954" s="10"/>
      <c r="BGL954" s="10"/>
      <c r="BGM954" s="10"/>
      <c r="BGN954" s="10"/>
      <c r="BGO954" s="10"/>
      <c r="BGP954" s="10"/>
      <c r="BGQ954" s="10"/>
      <c r="BGR954" s="10"/>
      <c r="BGS954" s="10"/>
      <c r="BGT954" s="10"/>
      <c r="BGU954" s="10"/>
      <c r="BGV954" s="10"/>
      <c r="BGW954" s="10"/>
      <c r="BGX954" s="10"/>
      <c r="BGY954" s="10"/>
      <c r="BGZ954" s="10"/>
      <c r="BHA954" s="10"/>
      <c r="BHB954" s="10"/>
      <c r="BHC954" s="10"/>
      <c r="BHD954" s="10"/>
      <c r="BHE954" s="10"/>
      <c r="BHF954" s="10"/>
      <c r="BHG954" s="10"/>
      <c r="BHH954" s="10"/>
      <c r="BHI954" s="10"/>
      <c r="BHJ954" s="10"/>
      <c r="BHK954" s="10"/>
      <c r="BHL954" s="10"/>
      <c r="BHM954" s="10"/>
      <c r="BHN954" s="10"/>
      <c r="BHO954" s="10"/>
      <c r="BHP954" s="10"/>
      <c r="BHQ954" s="10"/>
      <c r="BHR954" s="10"/>
      <c r="BHS954" s="10"/>
      <c r="BHT954" s="10"/>
      <c r="BHU954" s="10"/>
      <c r="BHV954" s="10"/>
      <c r="BHW954" s="10"/>
      <c r="BHX954" s="10"/>
      <c r="BHY954" s="10"/>
      <c r="BHZ954" s="10"/>
      <c r="BIA954" s="10"/>
      <c r="BIB954" s="10"/>
      <c r="BIC954" s="10"/>
      <c r="BID954" s="10"/>
      <c r="BIE954" s="10"/>
      <c r="BIF954" s="10"/>
      <c r="BIG954" s="10"/>
      <c r="BIH954" s="10"/>
      <c r="BII954" s="10"/>
      <c r="BIJ954" s="10"/>
      <c r="BIK954" s="10"/>
      <c r="BIL954" s="10"/>
      <c r="BIM954" s="10"/>
      <c r="BIN954" s="10"/>
      <c r="BIO954" s="10"/>
      <c r="BIP954" s="10"/>
      <c r="BIQ954" s="10"/>
      <c r="BIR954" s="10"/>
      <c r="BIS954" s="10"/>
      <c r="BIT954" s="10"/>
      <c r="BIU954" s="10"/>
      <c r="BIV954" s="10"/>
      <c r="BIW954" s="10"/>
      <c r="BIX954" s="10"/>
      <c r="BIY954" s="10"/>
      <c r="BIZ954" s="10"/>
      <c r="BJA954" s="10"/>
      <c r="BJB954" s="10"/>
      <c r="BJC954" s="10"/>
      <c r="BJD954" s="10"/>
      <c r="BJE954" s="10"/>
      <c r="BJF954" s="10"/>
      <c r="BJG954" s="10"/>
      <c r="BJH954" s="10"/>
      <c r="BJI954" s="10"/>
      <c r="BJJ954" s="10"/>
      <c r="BJK954" s="10"/>
      <c r="BJL954" s="10"/>
      <c r="BJM954" s="10"/>
      <c r="BJN954" s="10"/>
      <c r="BJO954" s="10"/>
      <c r="BJP954" s="10"/>
      <c r="BJQ954" s="10"/>
      <c r="BJR954" s="10"/>
      <c r="BJS954" s="10"/>
      <c r="BJT954" s="10"/>
      <c r="BJU954" s="10"/>
      <c r="BJV954" s="10"/>
      <c r="BJW954" s="10"/>
      <c r="BJX954" s="10"/>
      <c r="BJY954" s="10"/>
      <c r="BJZ954" s="10"/>
      <c r="BKA954" s="10"/>
      <c r="BKB954" s="10"/>
      <c r="BKC954" s="10"/>
      <c r="BKD954" s="10"/>
      <c r="BKE954" s="10"/>
      <c r="BKF954" s="10"/>
      <c r="BKG954" s="10"/>
      <c r="BKH954" s="10"/>
      <c r="BKI954" s="10"/>
      <c r="BKJ954" s="10"/>
      <c r="BKK954" s="10"/>
      <c r="BKL954" s="10"/>
      <c r="BKM954" s="10"/>
      <c r="BKN954" s="10"/>
      <c r="BKO954" s="10"/>
      <c r="BKP954" s="10"/>
      <c r="BKQ954" s="10"/>
      <c r="BKR954" s="10"/>
      <c r="BKS954" s="10"/>
      <c r="BKT954" s="10"/>
      <c r="BKU954" s="10"/>
      <c r="BKV954" s="10"/>
      <c r="BKW954" s="10"/>
      <c r="BKX954" s="10"/>
      <c r="BKY954" s="10"/>
      <c r="BKZ954" s="10"/>
      <c r="BLA954" s="10"/>
      <c r="BLB954" s="10"/>
      <c r="BLC954" s="10"/>
      <c r="BLD954" s="10"/>
      <c r="BLE954" s="10"/>
      <c r="BLF954" s="10"/>
      <c r="BLG954" s="10"/>
      <c r="BLH954" s="10"/>
      <c r="BLI954" s="10"/>
      <c r="BLJ954" s="10"/>
      <c r="BLK954" s="10"/>
      <c r="BLL954" s="10"/>
      <c r="BLM954" s="10"/>
      <c r="BLN954" s="10"/>
      <c r="BLO954" s="10"/>
      <c r="BLP954" s="10"/>
      <c r="BLQ954" s="10"/>
      <c r="BLR954" s="10"/>
      <c r="BLS954" s="10"/>
      <c r="BLT954" s="10"/>
      <c r="BLU954" s="10"/>
      <c r="BLV954" s="10"/>
      <c r="BLW954" s="10"/>
      <c r="BLX954" s="10"/>
      <c r="BLY954" s="10"/>
      <c r="BLZ954" s="10"/>
      <c r="BMA954" s="10"/>
      <c r="BMB954" s="10"/>
      <c r="BMC954" s="10"/>
      <c r="BMD954" s="10"/>
      <c r="BME954" s="10"/>
      <c r="BMF954" s="10"/>
      <c r="BMG954" s="10"/>
      <c r="BMH954" s="10"/>
      <c r="BMI954" s="10"/>
      <c r="BMJ954" s="10"/>
      <c r="BMK954" s="10"/>
      <c r="BML954" s="10"/>
      <c r="BMM954" s="10"/>
      <c r="BMN954" s="10"/>
      <c r="BMO954" s="10"/>
      <c r="BMP954" s="10"/>
      <c r="BMQ954" s="10"/>
      <c r="BMR954" s="10"/>
      <c r="BMS954" s="10"/>
      <c r="BMT954" s="10"/>
      <c r="BMU954" s="10"/>
      <c r="BMV954" s="10"/>
      <c r="BMW954" s="10"/>
      <c r="BMX954" s="10"/>
      <c r="BMY954" s="10"/>
      <c r="BMZ954" s="10"/>
      <c r="BNA954" s="10"/>
      <c r="BNB954" s="10"/>
      <c r="BNC954" s="10"/>
      <c r="BND954" s="10"/>
      <c r="BNE954" s="10"/>
      <c r="BNF954" s="10"/>
      <c r="BNG954" s="10"/>
      <c r="BNH954" s="10"/>
      <c r="BNI954" s="10"/>
      <c r="BNJ954" s="10"/>
      <c r="BNK954" s="10"/>
      <c r="BNL954" s="10"/>
      <c r="BNM954" s="10"/>
      <c r="BNN954" s="10"/>
      <c r="BNO954" s="10"/>
      <c r="BNP954" s="10"/>
      <c r="BNQ954" s="10"/>
      <c r="BNR954" s="10"/>
      <c r="BNS954" s="10"/>
      <c r="BNT954" s="10"/>
      <c r="BNU954" s="10"/>
      <c r="BNV954" s="10"/>
      <c r="BNW954" s="10"/>
      <c r="BNX954" s="10"/>
      <c r="BNY954" s="10"/>
      <c r="BNZ954" s="10"/>
      <c r="BOA954" s="10"/>
      <c r="BOB954" s="10"/>
      <c r="BOC954" s="10"/>
      <c r="BOD954" s="10"/>
      <c r="BOE954" s="10"/>
      <c r="BOF954" s="10"/>
      <c r="BOG954" s="10"/>
      <c r="BOH954" s="10"/>
      <c r="BOI954" s="10"/>
      <c r="BOJ954" s="10"/>
      <c r="BOK954" s="10"/>
      <c r="BOL954" s="10"/>
      <c r="BOM954" s="10"/>
      <c r="BON954" s="10"/>
      <c r="BOO954" s="10"/>
      <c r="BOP954" s="10"/>
      <c r="BOQ954" s="10"/>
      <c r="BOR954" s="10"/>
      <c r="BOS954" s="10"/>
      <c r="BOT954" s="10"/>
      <c r="BOU954" s="10"/>
      <c r="BOV954" s="10"/>
      <c r="BOW954" s="10"/>
      <c r="BOX954" s="10"/>
      <c r="BOY954" s="10"/>
      <c r="BOZ954" s="10"/>
      <c r="BPA954" s="10"/>
      <c r="BPB954" s="10"/>
      <c r="BPC954" s="10"/>
      <c r="BPD954" s="10"/>
      <c r="BPE954" s="10"/>
      <c r="BPF954" s="10"/>
      <c r="BPG954" s="10"/>
      <c r="BPH954" s="10"/>
      <c r="BPI954" s="10"/>
      <c r="BPJ954" s="10"/>
      <c r="BPK954" s="10"/>
      <c r="BPL954" s="10"/>
      <c r="BPM954" s="10"/>
      <c r="BPN954" s="10"/>
      <c r="BPO954" s="10"/>
      <c r="BPP954" s="10"/>
      <c r="BPQ954" s="10"/>
      <c r="BPR954" s="10"/>
      <c r="BPS954" s="10"/>
      <c r="BPT954" s="10"/>
      <c r="BPU954" s="10"/>
      <c r="BPV954" s="10"/>
      <c r="BPW954" s="10"/>
      <c r="BPX954" s="10"/>
      <c r="BPY954" s="10"/>
      <c r="BPZ954" s="10"/>
      <c r="BQA954" s="10"/>
      <c r="BQB954" s="10"/>
      <c r="BQC954" s="10"/>
      <c r="BQD954" s="10"/>
      <c r="BQE954" s="10"/>
      <c r="BQF954" s="10"/>
      <c r="BQG954" s="10"/>
      <c r="BQH954" s="10"/>
      <c r="BQI954" s="10"/>
      <c r="BQJ954" s="10"/>
      <c r="BQK954" s="10"/>
      <c r="BQL954" s="10"/>
      <c r="BQM954" s="10"/>
      <c r="BQN954" s="10"/>
      <c r="BQO954" s="10"/>
      <c r="BQP954" s="10"/>
      <c r="BQQ954" s="10"/>
      <c r="BQR954" s="10"/>
      <c r="BQS954" s="10"/>
      <c r="BQT954" s="10"/>
      <c r="BQU954" s="10"/>
      <c r="BQV954" s="10"/>
      <c r="BQW954" s="10"/>
      <c r="BQX954" s="10"/>
      <c r="BQY954" s="10"/>
      <c r="BQZ954" s="10"/>
      <c r="BRA954" s="10"/>
      <c r="BRB954" s="10"/>
      <c r="BRC954" s="10"/>
      <c r="BRD954" s="10"/>
      <c r="BRE954" s="10"/>
      <c r="BRF954" s="10"/>
      <c r="BRG954" s="10"/>
      <c r="BRH954" s="10"/>
      <c r="BRI954" s="10"/>
      <c r="BRJ954" s="10"/>
      <c r="BRK954" s="10"/>
      <c r="BRL954" s="10"/>
      <c r="BRM954" s="10"/>
      <c r="BRN954" s="10"/>
      <c r="BRO954" s="10"/>
      <c r="BRP954" s="10"/>
      <c r="BRQ954" s="10"/>
      <c r="BRR954" s="10"/>
      <c r="BRS954" s="10"/>
      <c r="BRT954" s="10"/>
      <c r="BRU954" s="10"/>
      <c r="BRV954" s="10"/>
      <c r="BRW954" s="10"/>
      <c r="BRX954" s="10"/>
      <c r="BRY954" s="10"/>
      <c r="BRZ954" s="10"/>
      <c r="BSA954" s="10"/>
      <c r="BSB954" s="10"/>
      <c r="BSC954" s="10"/>
      <c r="BSD954" s="10"/>
      <c r="BSE954" s="10"/>
      <c r="BSF954" s="10"/>
      <c r="BSG954" s="10"/>
      <c r="BSH954" s="10"/>
      <c r="BSI954" s="10"/>
      <c r="BSJ954" s="10"/>
      <c r="BSK954" s="10"/>
      <c r="BSL954" s="10"/>
      <c r="BSM954" s="10"/>
      <c r="BSN954" s="10"/>
      <c r="BSO954" s="10"/>
      <c r="BSP954" s="10"/>
      <c r="BSQ954" s="10"/>
      <c r="BSR954" s="10"/>
      <c r="BSS954" s="10"/>
      <c r="BST954" s="10"/>
      <c r="BSU954" s="10"/>
      <c r="BSV954" s="10"/>
      <c r="BSW954" s="10"/>
      <c r="BSX954" s="10"/>
      <c r="BSY954" s="10"/>
      <c r="BSZ954" s="10"/>
      <c r="BTA954" s="10"/>
      <c r="BTB954" s="10"/>
      <c r="BTC954" s="10"/>
      <c r="BTD954" s="10"/>
      <c r="BTE954" s="10"/>
      <c r="BTF954" s="10"/>
      <c r="BTG954" s="10"/>
      <c r="BTH954" s="10"/>
      <c r="BTI954" s="10"/>
      <c r="BTJ954" s="10"/>
      <c r="BTK954" s="10"/>
      <c r="BTL954" s="10"/>
      <c r="BTM954" s="10"/>
      <c r="BTN954" s="10"/>
      <c r="BTO954" s="10"/>
      <c r="BTP954" s="10"/>
      <c r="BTQ954" s="10"/>
      <c r="BTR954" s="10"/>
      <c r="BTS954" s="10"/>
      <c r="BTT954" s="10"/>
    </row>
    <row r="955" spans="1:1892" ht="35.1" customHeight="1">
      <c r="A955" s="1462"/>
      <c r="B955" s="597" t="s">
        <v>272</v>
      </c>
      <c r="C955" s="1054" t="s">
        <v>54</v>
      </c>
      <c r="D955" s="1045" t="s">
        <v>642</v>
      </c>
      <c r="E955" s="1046"/>
      <c r="F955" s="1047"/>
      <c r="G955" s="808" t="s">
        <v>54</v>
      </c>
      <c r="H955" s="1054" t="s">
        <v>54</v>
      </c>
      <c r="I955" s="808" t="s">
        <v>54</v>
      </c>
      <c r="J955" s="789" t="s">
        <v>67</v>
      </c>
      <c r="K955" s="789" t="s">
        <v>66</v>
      </c>
      <c r="L955" s="204">
        <v>39</v>
      </c>
      <c r="M955" s="230">
        <v>10</v>
      </c>
      <c r="N955" s="395">
        <v>0</v>
      </c>
      <c r="O955" s="395">
        <v>0</v>
      </c>
      <c r="P955" s="808" t="s">
        <v>54</v>
      </c>
      <c r="Q955" s="808" t="s">
        <v>54</v>
      </c>
      <c r="R955" s="808" t="s">
        <v>54</v>
      </c>
      <c r="S955" s="808" t="s">
        <v>54</v>
      </c>
      <c r="T955" s="808" t="s">
        <v>54</v>
      </c>
      <c r="U955" s="808" t="s">
        <v>54</v>
      </c>
    </row>
    <row r="956" spans="1:1892" ht="35.1" customHeight="1">
      <c r="A956" s="1462"/>
      <c r="B956" s="503"/>
      <c r="C956" s="809"/>
      <c r="D956" s="1048"/>
      <c r="E956" s="1049"/>
      <c r="F956" s="1050"/>
      <c r="G956" s="809"/>
      <c r="H956" s="809"/>
      <c r="I956" s="809"/>
      <c r="J956" s="790"/>
      <c r="K956" s="790"/>
      <c r="L956" s="205" t="s">
        <v>85</v>
      </c>
      <c r="M956" s="230">
        <v>286</v>
      </c>
      <c r="N956" s="395">
        <v>0</v>
      </c>
      <c r="O956" s="395">
        <v>0</v>
      </c>
      <c r="P956" s="809"/>
      <c r="Q956" s="809"/>
      <c r="R956" s="809"/>
      <c r="S956" s="809"/>
      <c r="T956" s="809"/>
      <c r="U956" s="809"/>
    </row>
    <row r="957" spans="1:1892" ht="35.1" customHeight="1">
      <c r="A957" s="1462"/>
      <c r="B957" s="503"/>
      <c r="C957" s="809"/>
      <c r="D957" s="1048"/>
      <c r="E957" s="1049"/>
      <c r="F957" s="1050"/>
      <c r="G957" s="809"/>
      <c r="H957" s="809"/>
      <c r="I957" s="809"/>
      <c r="J957" s="790"/>
      <c r="K957" s="790"/>
      <c r="L957" s="205" t="s">
        <v>103</v>
      </c>
      <c r="M957" s="230">
        <v>33</v>
      </c>
      <c r="N957" s="395">
        <v>0</v>
      </c>
      <c r="O957" s="395">
        <v>0</v>
      </c>
      <c r="P957" s="809"/>
      <c r="Q957" s="809"/>
      <c r="R957" s="809"/>
      <c r="S957" s="809"/>
      <c r="T957" s="809"/>
      <c r="U957" s="809"/>
    </row>
    <row r="958" spans="1:1892" ht="35.1" customHeight="1">
      <c r="A958" s="1462"/>
      <c r="B958" s="503"/>
      <c r="C958" s="809"/>
      <c r="D958" s="1048"/>
      <c r="E958" s="1049"/>
      <c r="F958" s="1050"/>
      <c r="G958" s="809"/>
      <c r="H958" s="809"/>
      <c r="I958" s="809"/>
      <c r="J958" s="790"/>
      <c r="K958" s="790"/>
      <c r="L958" s="206">
        <v>74</v>
      </c>
      <c r="M958" s="293">
        <v>21</v>
      </c>
      <c r="N958" s="407">
        <v>0</v>
      </c>
      <c r="O958" s="407">
        <v>0</v>
      </c>
      <c r="P958" s="809"/>
      <c r="Q958" s="809"/>
      <c r="R958" s="809"/>
      <c r="S958" s="809"/>
      <c r="T958" s="809"/>
      <c r="U958" s="809"/>
    </row>
    <row r="959" spans="1:1892" ht="35.1" customHeight="1">
      <c r="A959" s="1462"/>
      <c r="B959" s="503"/>
      <c r="C959" s="809"/>
      <c r="D959" s="1048"/>
      <c r="E959" s="1049"/>
      <c r="F959" s="1050"/>
      <c r="G959" s="810"/>
      <c r="H959" s="810"/>
      <c r="I959" s="810"/>
      <c r="J959" s="791"/>
      <c r="K959" s="791"/>
      <c r="L959" s="204">
        <v>84</v>
      </c>
      <c r="M959" s="294">
        <v>41</v>
      </c>
      <c r="N959" s="395">
        <v>0</v>
      </c>
      <c r="O959" s="395">
        <v>0</v>
      </c>
      <c r="P959" s="809"/>
      <c r="Q959" s="809"/>
      <c r="R959" s="809"/>
      <c r="S959" s="809"/>
      <c r="T959" s="809"/>
      <c r="U959" s="809"/>
    </row>
    <row r="960" spans="1:1892" ht="35.1" customHeight="1">
      <c r="A960" s="1462"/>
      <c r="B960" s="503"/>
      <c r="C960" s="810"/>
      <c r="D960" s="1051"/>
      <c r="E960" s="1052"/>
      <c r="F960" s="1053"/>
      <c r="G960" s="490" t="s">
        <v>329</v>
      </c>
      <c r="H960" s="491"/>
      <c r="I960" s="491"/>
      <c r="J960" s="491"/>
      <c r="K960" s="492"/>
      <c r="L960" s="345"/>
      <c r="M960" s="224">
        <f t="shared" ref="M960" si="41">SUM(M955:M959)</f>
        <v>391</v>
      </c>
      <c r="N960" s="263">
        <f t="shared" ref="N960:O960" si="42">SUM(N955:N959)</f>
        <v>0</v>
      </c>
      <c r="O960" s="263">
        <f t="shared" si="42"/>
        <v>0</v>
      </c>
      <c r="P960" s="810"/>
      <c r="Q960" s="810"/>
      <c r="R960" s="810"/>
      <c r="S960" s="810"/>
      <c r="T960" s="810"/>
      <c r="U960" s="810"/>
    </row>
    <row r="961" spans="1:21" ht="35.1" customHeight="1">
      <c r="A961" s="1462"/>
      <c r="B961" s="503"/>
      <c r="C961" s="1059" t="s">
        <v>985</v>
      </c>
      <c r="D961" s="1088" t="s">
        <v>986</v>
      </c>
      <c r="E961" s="1089"/>
      <c r="F961" s="1090"/>
      <c r="G961" s="856" t="s">
        <v>633</v>
      </c>
      <c r="H961" s="856" t="s">
        <v>634</v>
      </c>
      <c r="I961" s="856" t="s">
        <v>635</v>
      </c>
      <c r="J961" s="789" t="s">
        <v>67</v>
      </c>
      <c r="K961" s="789" t="s">
        <v>66</v>
      </c>
      <c r="L961" s="205">
        <v>40.055</v>
      </c>
      <c r="M961" s="230">
        <v>2</v>
      </c>
      <c r="N961" s="395">
        <v>2</v>
      </c>
      <c r="O961" s="395">
        <v>2</v>
      </c>
      <c r="P961" s="658" t="s">
        <v>442</v>
      </c>
      <c r="Q961" s="658" t="s">
        <v>538</v>
      </c>
      <c r="R961" s="658" t="s">
        <v>540</v>
      </c>
      <c r="S961" s="1025" t="s">
        <v>57</v>
      </c>
      <c r="T961" s="802" t="s">
        <v>541</v>
      </c>
      <c r="U961" s="802" t="s">
        <v>11</v>
      </c>
    </row>
    <row r="962" spans="1:21" ht="35.1" customHeight="1">
      <c r="A962" s="1462"/>
      <c r="B962" s="503"/>
      <c r="C962" s="1060"/>
      <c r="D962" s="1091"/>
      <c r="E962" s="1092"/>
      <c r="F962" s="1093"/>
      <c r="G962" s="857"/>
      <c r="H962" s="857"/>
      <c r="I962" s="857"/>
      <c r="J962" s="790"/>
      <c r="K962" s="790"/>
      <c r="L962" s="205">
        <v>40.059399999999997</v>
      </c>
      <c r="M962" s="230">
        <v>2</v>
      </c>
      <c r="N962" s="395">
        <v>2</v>
      </c>
      <c r="O962" s="395">
        <v>2</v>
      </c>
      <c r="P962" s="659"/>
      <c r="Q962" s="659"/>
      <c r="R962" s="659"/>
      <c r="S962" s="1026"/>
      <c r="T962" s="803"/>
      <c r="U962" s="803"/>
    </row>
    <row r="963" spans="1:21" ht="35.1" customHeight="1">
      <c r="A963" s="1462"/>
      <c r="B963" s="503"/>
      <c r="C963" s="1060"/>
      <c r="D963" s="1091"/>
      <c r="E963" s="1092"/>
      <c r="F963" s="1093"/>
      <c r="G963" s="857"/>
      <c r="H963" s="857"/>
      <c r="I963" s="857"/>
      <c r="J963" s="790"/>
      <c r="K963" s="790"/>
      <c r="L963" s="205">
        <v>42.171999999999997</v>
      </c>
      <c r="M963" s="230">
        <v>2</v>
      </c>
      <c r="N963" s="395">
        <v>2</v>
      </c>
      <c r="O963" s="395">
        <v>2</v>
      </c>
      <c r="P963" s="659"/>
      <c r="Q963" s="659"/>
      <c r="R963" s="659"/>
      <c r="S963" s="1026"/>
      <c r="T963" s="803"/>
      <c r="U963" s="803"/>
    </row>
    <row r="964" spans="1:21" ht="35.1" customHeight="1">
      <c r="A964" s="1462"/>
      <c r="B964" s="503"/>
      <c r="C964" s="1060"/>
      <c r="D964" s="1091"/>
      <c r="E964" s="1092"/>
      <c r="F964" s="1093"/>
      <c r="G964" s="857"/>
      <c r="H964" s="857"/>
      <c r="I964" s="857"/>
      <c r="J964" s="790"/>
      <c r="K964" s="790"/>
      <c r="L964" s="207">
        <v>49.178100000000001</v>
      </c>
      <c r="M964" s="293">
        <v>10</v>
      </c>
      <c r="N964" s="407">
        <v>10</v>
      </c>
      <c r="O964" s="407">
        <v>10</v>
      </c>
      <c r="P964" s="659"/>
      <c r="Q964" s="659"/>
      <c r="R964" s="659"/>
      <c r="S964" s="1026"/>
      <c r="T964" s="803"/>
      <c r="U964" s="803"/>
    </row>
    <row r="965" spans="1:21" ht="35.1" customHeight="1">
      <c r="A965" s="1462"/>
      <c r="B965" s="503"/>
      <c r="C965" s="1060"/>
      <c r="D965" s="1091"/>
      <c r="E965" s="1092"/>
      <c r="F965" s="1093"/>
      <c r="G965" s="857"/>
      <c r="H965" s="857"/>
      <c r="I965" s="857"/>
      <c r="J965" s="790"/>
      <c r="K965" s="790"/>
      <c r="L965" s="205">
        <v>49.5655</v>
      </c>
      <c r="M965" s="294">
        <v>10</v>
      </c>
      <c r="N965" s="395">
        <v>10</v>
      </c>
      <c r="O965" s="395">
        <v>10</v>
      </c>
      <c r="P965" s="659"/>
      <c r="Q965" s="659"/>
      <c r="R965" s="659"/>
      <c r="S965" s="1026"/>
      <c r="T965" s="803"/>
      <c r="U965" s="803"/>
    </row>
    <row r="966" spans="1:21" ht="35.1" customHeight="1">
      <c r="A966" s="1462"/>
      <c r="B966" s="503"/>
      <c r="C966" s="1060"/>
      <c r="D966" s="1091"/>
      <c r="E966" s="1092"/>
      <c r="F966" s="1093"/>
      <c r="G966" s="857"/>
      <c r="H966" s="857"/>
      <c r="I966" s="857"/>
      <c r="J966" s="790"/>
      <c r="K966" s="790"/>
      <c r="L966" s="205">
        <v>48.941299999999998</v>
      </c>
      <c r="M966" s="294">
        <v>10</v>
      </c>
      <c r="N966" s="395">
        <v>10</v>
      </c>
      <c r="O966" s="395">
        <v>10</v>
      </c>
      <c r="P966" s="659"/>
      <c r="Q966" s="659"/>
      <c r="R966" s="659"/>
      <c r="S966" s="1026"/>
      <c r="T966" s="803"/>
      <c r="U966" s="803"/>
    </row>
    <row r="967" spans="1:21" ht="35.1" customHeight="1">
      <c r="A967" s="1462"/>
      <c r="B967" s="503"/>
      <c r="C967" s="1060"/>
      <c r="D967" s="1091"/>
      <c r="E967" s="1092"/>
      <c r="F967" s="1093"/>
      <c r="G967" s="857"/>
      <c r="H967" s="857"/>
      <c r="I967" s="857"/>
      <c r="J967" s="790"/>
      <c r="K967" s="790"/>
      <c r="L967" s="205">
        <v>49.686199999999999</v>
      </c>
      <c r="M967" s="294">
        <v>10</v>
      </c>
      <c r="N967" s="395">
        <v>10</v>
      </c>
      <c r="O967" s="395">
        <v>10</v>
      </c>
      <c r="P967" s="659"/>
      <c r="Q967" s="659"/>
      <c r="R967" s="659"/>
      <c r="S967" s="1026"/>
      <c r="T967" s="803"/>
      <c r="U967" s="803"/>
    </row>
    <row r="968" spans="1:21" ht="35.1" customHeight="1">
      <c r="A968" s="1462"/>
      <c r="B968" s="503"/>
      <c r="C968" s="1060"/>
      <c r="D968" s="1091"/>
      <c r="E968" s="1092"/>
      <c r="F968" s="1093"/>
      <c r="G968" s="857"/>
      <c r="H968" s="857"/>
      <c r="I968" s="857"/>
      <c r="J968" s="790"/>
      <c r="K968" s="790"/>
      <c r="L968" s="205">
        <v>49.431199999999997</v>
      </c>
      <c r="M968" s="294">
        <v>10</v>
      </c>
      <c r="N968" s="395">
        <v>10</v>
      </c>
      <c r="O968" s="395">
        <v>10</v>
      </c>
      <c r="P968" s="659"/>
      <c r="Q968" s="659"/>
      <c r="R968" s="659"/>
      <c r="S968" s="1026"/>
      <c r="T968" s="803"/>
      <c r="U968" s="803"/>
    </row>
    <row r="969" spans="1:21" ht="35.1" customHeight="1">
      <c r="A969" s="1462"/>
      <c r="B969" s="503"/>
      <c r="C969" s="1060"/>
      <c r="D969" s="1091"/>
      <c r="E969" s="1092"/>
      <c r="F969" s="1093"/>
      <c r="G969" s="858"/>
      <c r="H969" s="858"/>
      <c r="I969" s="858"/>
      <c r="J969" s="791"/>
      <c r="K969" s="791"/>
      <c r="L969" s="205">
        <v>49.122700000000002</v>
      </c>
      <c r="M969" s="294">
        <v>5</v>
      </c>
      <c r="N969" s="395">
        <v>5</v>
      </c>
      <c r="O969" s="395">
        <v>5</v>
      </c>
      <c r="P969" s="659"/>
      <c r="Q969" s="659"/>
      <c r="R969" s="659"/>
      <c r="S969" s="1026"/>
      <c r="T969" s="803"/>
      <c r="U969" s="803"/>
    </row>
    <row r="970" spans="1:21" ht="35.1" customHeight="1">
      <c r="A970" s="1462"/>
      <c r="B970" s="503"/>
      <c r="C970" s="1061"/>
      <c r="D970" s="1094"/>
      <c r="E970" s="1095"/>
      <c r="F970" s="1096"/>
      <c r="G970" s="1062" t="s">
        <v>329</v>
      </c>
      <c r="H970" s="1063"/>
      <c r="I970" s="1063"/>
      <c r="J970" s="1063"/>
      <c r="K970" s="1064"/>
      <c r="L970" s="345"/>
      <c r="M970" s="224">
        <f>SUM(M961:M969)</f>
        <v>61</v>
      </c>
      <c r="N970" s="263">
        <f>SUM(N961:N969)</f>
        <v>61</v>
      </c>
      <c r="O970" s="263">
        <f>SUM(O961:O969)</f>
        <v>61</v>
      </c>
      <c r="P970" s="660"/>
      <c r="Q970" s="660"/>
      <c r="R970" s="660"/>
      <c r="S970" s="1027"/>
      <c r="T970" s="1071"/>
      <c r="U970" s="804"/>
    </row>
    <row r="971" spans="1:21" ht="35.1" customHeight="1">
      <c r="A971" s="1462"/>
      <c r="B971" s="503"/>
      <c r="C971" s="626" t="s">
        <v>1060</v>
      </c>
      <c r="D971" s="1079" t="s">
        <v>727</v>
      </c>
      <c r="E971" s="1080"/>
      <c r="F971" s="1081"/>
      <c r="G971" s="626" t="s">
        <v>728</v>
      </c>
      <c r="H971" s="626" t="s">
        <v>729</v>
      </c>
      <c r="I971" s="626" t="s">
        <v>730</v>
      </c>
      <c r="J971" s="1068" t="s">
        <v>67</v>
      </c>
      <c r="K971" s="1105" t="s">
        <v>66</v>
      </c>
      <c r="L971" s="365" t="s">
        <v>731</v>
      </c>
      <c r="M971" s="366">
        <v>31</v>
      </c>
      <c r="N971" s="408">
        <v>0</v>
      </c>
      <c r="O971" s="408">
        <v>0</v>
      </c>
      <c r="P971" s="656" t="s">
        <v>790</v>
      </c>
      <c r="Q971" s="656" t="s">
        <v>435</v>
      </c>
      <c r="R971" s="656" t="s">
        <v>458</v>
      </c>
      <c r="S971" s="598" t="s">
        <v>13</v>
      </c>
      <c r="T971" s="617" t="s">
        <v>732</v>
      </c>
      <c r="U971" s="801" t="s">
        <v>67</v>
      </c>
    </row>
    <row r="972" spans="1:21" ht="35.1" customHeight="1">
      <c r="A972" s="1462"/>
      <c r="B972" s="503"/>
      <c r="C972" s="627"/>
      <c r="D972" s="1082"/>
      <c r="E972" s="1083"/>
      <c r="F972" s="1084"/>
      <c r="G972" s="627"/>
      <c r="H972" s="627"/>
      <c r="I972" s="627"/>
      <c r="J972" s="1069"/>
      <c r="K972" s="1069"/>
      <c r="L972" s="367" t="s">
        <v>85</v>
      </c>
      <c r="M972" s="366">
        <v>224</v>
      </c>
      <c r="N972" s="408">
        <v>0</v>
      </c>
      <c r="O972" s="408">
        <v>0</v>
      </c>
      <c r="P972" s="599"/>
      <c r="Q972" s="599"/>
      <c r="R972" s="599"/>
      <c r="S972" s="599"/>
      <c r="T972" s="618"/>
      <c r="U972" s="618"/>
    </row>
    <row r="973" spans="1:21" ht="35.1" customHeight="1">
      <c r="A973" s="1462"/>
      <c r="B973" s="503"/>
      <c r="C973" s="627"/>
      <c r="D973" s="1082"/>
      <c r="E973" s="1083"/>
      <c r="F973" s="1084"/>
      <c r="G973" s="627"/>
      <c r="H973" s="627"/>
      <c r="I973" s="627"/>
      <c r="J973" s="1069"/>
      <c r="K973" s="1069"/>
      <c r="L973" s="367" t="s">
        <v>733</v>
      </c>
      <c r="M973" s="366">
        <v>163</v>
      </c>
      <c r="N973" s="408">
        <v>0</v>
      </c>
      <c r="O973" s="408">
        <v>0</v>
      </c>
      <c r="P973" s="599"/>
      <c r="Q973" s="599"/>
      <c r="R973" s="599"/>
      <c r="S973" s="599"/>
      <c r="T973" s="618"/>
      <c r="U973" s="618"/>
    </row>
    <row r="974" spans="1:21" ht="35.1" customHeight="1">
      <c r="A974" s="1462"/>
      <c r="B974" s="503"/>
      <c r="C974" s="627"/>
      <c r="D974" s="1082"/>
      <c r="E974" s="1083"/>
      <c r="F974" s="1084"/>
      <c r="G974" s="627"/>
      <c r="H974" s="627"/>
      <c r="I974" s="627"/>
      <c r="J974" s="1069"/>
      <c r="K974" s="1069"/>
      <c r="L974" s="368" t="s">
        <v>84</v>
      </c>
      <c r="M974" s="369">
        <v>54</v>
      </c>
      <c r="N974" s="409">
        <v>0</v>
      </c>
      <c r="O974" s="409">
        <v>0</v>
      </c>
      <c r="P974" s="599"/>
      <c r="Q974" s="599"/>
      <c r="R974" s="599"/>
      <c r="S974" s="599"/>
      <c r="T974" s="618"/>
      <c r="U974" s="618"/>
    </row>
    <row r="975" spans="1:21" ht="35.1" customHeight="1">
      <c r="A975" s="1462"/>
      <c r="B975" s="503"/>
      <c r="C975" s="627"/>
      <c r="D975" s="1082"/>
      <c r="E975" s="1083"/>
      <c r="F975" s="1084"/>
      <c r="G975" s="627"/>
      <c r="H975" s="627"/>
      <c r="I975" s="627"/>
      <c r="J975" s="1069"/>
      <c r="K975" s="1069"/>
      <c r="L975" s="370" t="s">
        <v>83</v>
      </c>
      <c r="M975" s="371">
        <v>11</v>
      </c>
      <c r="N975" s="410">
        <v>0</v>
      </c>
      <c r="O975" s="410">
        <v>0</v>
      </c>
      <c r="P975" s="599"/>
      <c r="Q975" s="599"/>
      <c r="R975" s="599"/>
      <c r="S975" s="599"/>
      <c r="T975" s="618"/>
      <c r="U975" s="618"/>
    </row>
    <row r="976" spans="1:21" ht="35.1" customHeight="1">
      <c r="A976" s="1462"/>
      <c r="B976" s="503"/>
      <c r="C976" s="627"/>
      <c r="D976" s="1082"/>
      <c r="E976" s="1083"/>
      <c r="F976" s="1084"/>
      <c r="G976" s="627"/>
      <c r="H976" s="627"/>
      <c r="I976" s="627"/>
      <c r="J976" s="1069"/>
      <c r="K976" s="1069"/>
      <c r="L976" s="370" t="s">
        <v>82</v>
      </c>
      <c r="M976" s="371">
        <v>58</v>
      </c>
      <c r="N976" s="410">
        <v>0</v>
      </c>
      <c r="O976" s="410">
        <v>0</v>
      </c>
      <c r="P976" s="599"/>
      <c r="Q976" s="599"/>
      <c r="R976" s="599"/>
      <c r="S976" s="599"/>
      <c r="T976" s="618"/>
      <c r="U976" s="618"/>
    </row>
    <row r="977" spans="1:21" ht="35.1" customHeight="1">
      <c r="A977" s="1462"/>
      <c r="B977" s="503"/>
      <c r="C977" s="627"/>
      <c r="D977" s="1082"/>
      <c r="E977" s="1083"/>
      <c r="F977" s="1084"/>
      <c r="G977" s="627"/>
      <c r="H977" s="627"/>
      <c r="I977" s="627"/>
      <c r="J977" s="1069"/>
      <c r="K977" s="1069"/>
      <c r="L977" s="370" t="s">
        <v>81</v>
      </c>
      <c r="M977" s="371">
        <v>12</v>
      </c>
      <c r="N977" s="410">
        <v>0</v>
      </c>
      <c r="O977" s="410">
        <v>0</v>
      </c>
      <c r="P977" s="599"/>
      <c r="Q977" s="599"/>
      <c r="R977" s="599"/>
      <c r="S977" s="599"/>
      <c r="T977" s="618"/>
      <c r="U977" s="618"/>
    </row>
    <row r="978" spans="1:21" ht="35.1" customHeight="1">
      <c r="A978" s="1462"/>
      <c r="B978" s="503"/>
      <c r="C978" s="627"/>
      <c r="D978" s="1082"/>
      <c r="E978" s="1083"/>
      <c r="F978" s="1084"/>
      <c r="G978" s="627"/>
      <c r="H978" s="627"/>
      <c r="I978" s="627"/>
      <c r="J978" s="1069"/>
      <c r="K978" s="1069"/>
      <c r="L978" s="370" t="s">
        <v>309</v>
      </c>
      <c r="M978" s="371">
        <v>14</v>
      </c>
      <c r="N978" s="410">
        <v>0</v>
      </c>
      <c r="O978" s="410">
        <v>0</v>
      </c>
      <c r="P978" s="599"/>
      <c r="Q978" s="599"/>
      <c r="R978" s="599"/>
      <c r="S978" s="599"/>
      <c r="T978" s="618"/>
      <c r="U978" s="618"/>
    </row>
    <row r="979" spans="1:21" ht="35.1" customHeight="1">
      <c r="A979" s="1462"/>
      <c r="B979" s="503"/>
      <c r="C979" s="627"/>
      <c r="D979" s="1082"/>
      <c r="E979" s="1083"/>
      <c r="F979" s="1084"/>
      <c r="G979" s="628"/>
      <c r="H979" s="628"/>
      <c r="I979" s="628"/>
      <c r="J979" s="1070"/>
      <c r="K979" s="1070"/>
      <c r="L979" s="370">
        <v>109</v>
      </c>
      <c r="M979" s="371">
        <v>3</v>
      </c>
      <c r="N979" s="410">
        <v>0</v>
      </c>
      <c r="O979" s="410">
        <v>0</v>
      </c>
      <c r="P979" s="599"/>
      <c r="Q979" s="599"/>
      <c r="R979" s="599"/>
      <c r="S979" s="599"/>
      <c r="T979" s="618"/>
      <c r="U979" s="618"/>
    </row>
    <row r="980" spans="1:21" ht="35.1" customHeight="1">
      <c r="A980" s="1462"/>
      <c r="B980" s="503"/>
      <c r="C980" s="628"/>
      <c r="D980" s="1085"/>
      <c r="E980" s="1086"/>
      <c r="F980" s="1087"/>
      <c r="G980" s="1042" t="s">
        <v>329</v>
      </c>
      <c r="H980" s="1043"/>
      <c r="I980" s="1043"/>
      <c r="J980" s="1043"/>
      <c r="K980" s="1044"/>
      <c r="L980" s="372"/>
      <c r="M980" s="373">
        <f>SUM(M971:M979)</f>
        <v>570</v>
      </c>
      <c r="N980" s="411">
        <f>SUM(N971:N979)</f>
        <v>0</v>
      </c>
      <c r="O980" s="411">
        <f>SUM(O971:O979)</f>
        <v>0</v>
      </c>
      <c r="P980" s="657"/>
      <c r="Q980" s="657"/>
      <c r="R980" s="657"/>
      <c r="S980" s="657"/>
      <c r="T980" s="619"/>
      <c r="U980" s="619"/>
    </row>
    <row r="981" spans="1:21" ht="35.1" customHeight="1">
      <c r="A981" s="1462"/>
      <c r="B981" s="503"/>
      <c r="C981" s="1077" t="s">
        <v>1060</v>
      </c>
      <c r="D981" s="1139" t="s">
        <v>1039</v>
      </c>
      <c r="E981" s="1140"/>
      <c r="F981" s="1141"/>
      <c r="G981" s="623" t="s">
        <v>1040</v>
      </c>
      <c r="H981" s="623" t="s">
        <v>1041</v>
      </c>
      <c r="I981" s="623" t="s">
        <v>1040</v>
      </c>
      <c r="J981" s="549" t="s">
        <v>11</v>
      </c>
      <c r="K981" s="549" t="s">
        <v>12</v>
      </c>
      <c r="L981" s="375" t="s">
        <v>1042</v>
      </c>
      <c r="M981" s="376">
        <v>110</v>
      </c>
      <c r="N981" s="412">
        <v>0</v>
      </c>
      <c r="O981" s="412">
        <v>0</v>
      </c>
      <c r="P981" s="598" t="s">
        <v>517</v>
      </c>
      <c r="Q981" s="598" t="s">
        <v>938</v>
      </c>
      <c r="R981" s="598" t="s">
        <v>1043</v>
      </c>
      <c r="S981" s="598" t="s">
        <v>13</v>
      </c>
      <c r="T981" s="598" t="s">
        <v>1044</v>
      </c>
      <c r="U981" s="598" t="s">
        <v>11</v>
      </c>
    </row>
    <row r="982" spans="1:21" ht="35.1" customHeight="1">
      <c r="A982" s="1462"/>
      <c r="B982" s="503"/>
      <c r="C982" s="627"/>
      <c r="D982" s="1142"/>
      <c r="E982" s="1143"/>
      <c r="F982" s="1144"/>
      <c r="G982" s="624"/>
      <c r="H982" s="624"/>
      <c r="I982" s="624"/>
      <c r="J982" s="550"/>
      <c r="K982" s="550"/>
      <c r="L982" s="377" t="s">
        <v>1045</v>
      </c>
      <c r="M982" s="376">
        <v>26</v>
      </c>
      <c r="N982" s="412">
        <v>0</v>
      </c>
      <c r="O982" s="412">
        <v>0</v>
      </c>
      <c r="P982" s="599"/>
      <c r="Q982" s="599"/>
      <c r="R982" s="599"/>
      <c r="S982" s="599"/>
      <c r="T982" s="599"/>
      <c r="U982" s="599"/>
    </row>
    <row r="983" spans="1:21" ht="35.1" customHeight="1">
      <c r="A983" s="1462"/>
      <c r="B983" s="503"/>
      <c r="C983" s="627"/>
      <c r="D983" s="1142"/>
      <c r="E983" s="1143"/>
      <c r="F983" s="1144"/>
      <c r="G983" s="624"/>
      <c r="H983" s="624"/>
      <c r="I983" s="624"/>
      <c r="J983" s="550"/>
      <c r="K983" s="550"/>
      <c r="L983" s="377" t="s">
        <v>1046</v>
      </c>
      <c r="M983" s="376">
        <v>28</v>
      </c>
      <c r="N983" s="412">
        <v>0</v>
      </c>
      <c r="O983" s="412">
        <v>0</v>
      </c>
      <c r="P983" s="599"/>
      <c r="Q983" s="599"/>
      <c r="R983" s="599"/>
      <c r="S983" s="599"/>
      <c r="T983" s="599"/>
      <c r="U983" s="599"/>
    </row>
    <row r="984" spans="1:21" ht="35.1" customHeight="1">
      <c r="A984" s="1462"/>
      <c r="B984" s="503"/>
      <c r="C984" s="627"/>
      <c r="D984" s="1142"/>
      <c r="E984" s="1143"/>
      <c r="F984" s="1144"/>
      <c r="G984" s="624"/>
      <c r="H984" s="624"/>
      <c r="I984" s="624"/>
      <c r="J984" s="550"/>
      <c r="K984" s="550"/>
      <c r="L984" s="378" t="s">
        <v>1047</v>
      </c>
      <c r="M984" s="379">
        <v>196</v>
      </c>
      <c r="N984" s="412">
        <v>0</v>
      </c>
      <c r="O984" s="412">
        <v>0</v>
      </c>
      <c r="P984" s="599"/>
      <c r="Q984" s="599"/>
      <c r="R984" s="599"/>
      <c r="S984" s="599"/>
      <c r="T984" s="599"/>
      <c r="U984" s="599"/>
    </row>
    <row r="985" spans="1:21" ht="35.1" customHeight="1">
      <c r="A985" s="1462"/>
      <c r="B985" s="503"/>
      <c r="C985" s="627"/>
      <c r="D985" s="1142"/>
      <c r="E985" s="1143"/>
      <c r="F985" s="1144"/>
      <c r="G985" s="624"/>
      <c r="H985" s="624"/>
      <c r="I985" s="624"/>
      <c r="J985" s="550"/>
      <c r="K985" s="550"/>
      <c r="L985" s="380" t="s">
        <v>1048</v>
      </c>
      <c r="M985" s="381">
        <v>51</v>
      </c>
      <c r="N985" s="412">
        <v>0</v>
      </c>
      <c r="O985" s="412">
        <v>0</v>
      </c>
      <c r="P985" s="599"/>
      <c r="Q985" s="599"/>
      <c r="R985" s="599"/>
      <c r="S985" s="599"/>
      <c r="T985" s="599"/>
      <c r="U985" s="599"/>
    </row>
    <row r="986" spans="1:21" ht="35.1" customHeight="1">
      <c r="A986" s="1462"/>
      <c r="B986" s="503"/>
      <c r="C986" s="627"/>
      <c r="D986" s="1142"/>
      <c r="E986" s="1143"/>
      <c r="F986" s="1144"/>
      <c r="G986" s="624"/>
      <c r="H986" s="624"/>
      <c r="I986" s="624"/>
      <c r="J986" s="550"/>
      <c r="K986" s="550"/>
      <c r="L986" s="380" t="s">
        <v>1049</v>
      </c>
      <c r="M986" s="381">
        <v>52</v>
      </c>
      <c r="N986" s="412">
        <v>0</v>
      </c>
      <c r="O986" s="412">
        <v>0</v>
      </c>
      <c r="P986" s="599"/>
      <c r="Q986" s="599"/>
      <c r="R986" s="599"/>
      <c r="S986" s="599"/>
      <c r="T986" s="599"/>
      <c r="U986" s="599"/>
    </row>
    <row r="987" spans="1:21" ht="35.1" customHeight="1">
      <c r="A987" s="1462"/>
      <c r="B987" s="503"/>
      <c r="C987" s="627"/>
      <c r="D987" s="1142"/>
      <c r="E987" s="1143"/>
      <c r="F987" s="1144"/>
      <c r="G987" s="624"/>
      <c r="H987" s="624"/>
      <c r="I987" s="624"/>
      <c r="J987" s="550"/>
      <c r="K987" s="550"/>
      <c r="L987" s="380" t="s">
        <v>1050</v>
      </c>
      <c r="M987" s="381">
        <v>105</v>
      </c>
      <c r="N987" s="412">
        <v>0</v>
      </c>
      <c r="O987" s="412">
        <v>0</v>
      </c>
      <c r="P987" s="599"/>
      <c r="Q987" s="599"/>
      <c r="R987" s="599"/>
      <c r="S987" s="599"/>
      <c r="T987" s="599"/>
      <c r="U987" s="599"/>
    </row>
    <row r="988" spans="1:21" ht="35.1" customHeight="1">
      <c r="A988" s="1462"/>
      <c r="B988" s="503"/>
      <c r="C988" s="627"/>
      <c r="D988" s="1142"/>
      <c r="E988" s="1143"/>
      <c r="F988" s="1144"/>
      <c r="G988" s="624"/>
      <c r="H988" s="624"/>
      <c r="I988" s="624"/>
      <c r="J988" s="550"/>
      <c r="K988" s="550"/>
      <c r="L988" s="380" t="s">
        <v>1051</v>
      </c>
      <c r="M988" s="381">
        <v>39</v>
      </c>
      <c r="N988" s="412">
        <v>0</v>
      </c>
      <c r="O988" s="412">
        <v>0</v>
      </c>
      <c r="P988" s="599"/>
      <c r="Q988" s="599"/>
      <c r="R988" s="599"/>
      <c r="S988" s="599"/>
      <c r="T988" s="599"/>
      <c r="U988" s="599"/>
    </row>
    <row r="989" spans="1:21" ht="35.1" customHeight="1">
      <c r="A989" s="1462"/>
      <c r="B989" s="503"/>
      <c r="C989" s="627"/>
      <c r="D989" s="1142"/>
      <c r="E989" s="1143"/>
      <c r="F989" s="1144"/>
      <c r="G989" s="624"/>
      <c r="H989" s="624"/>
      <c r="I989" s="624"/>
      <c r="J989" s="550"/>
      <c r="K989" s="550"/>
      <c r="L989" s="380" t="s">
        <v>1052</v>
      </c>
      <c r="M989" s="381">
        <v>3</v>
      </c>
      <c r="N989" s="412">
        <v>0</v>
      </c>
      <c r="O989" s="412">
        <v>0</v>
      </c>
      <c r="P989" s="599"/>
      <c r="Q989" s="599"/>
      <c r="R989" s="599"/>
      <c r="S989" s="599"/>
      <c r="T989" s="599"/>
      <c r="U989" s="599"/>
    </row>
    <row r="990" spans="1:21" ht="35.1" customHeight="1">
      <c r="A990" s="1462"/>
      <c r="B990" s="503"/>
      <c r="C990" s="627"/>
      <c r="D990" s="1142"/>
      <c r="E990" s="1143"/>
      <c r="F990" s="1144"/>
      <c r="G990" s="624"/>
      <c r="H990" s="624"/>
      <c r="I990" s="624"/>
      <c r="J990" s="550"/>
      <c r="K990" s="550"/>
      <c r="L990" s="380" t="s">
        <v>1053</v>
      </c>
      <c r="M990" s="381">
        <v>22</v>
      </c>
      <c r="N990" s="412">
        <v>0</v>
      </c>
      <c r="O990" s="412">
        <v>0</v>
      </c>
      <c r="P990" s="599"/>
      <c r="Q990" s="599"/>
      <c r="R990" s="599"/>
      <c r="S990" s="599"/>
      <c r="T990" s="599"/>
      <c r="U990" s="599"/>
    </row>
    <row r="991" spans="1:21" ht="35.1" customHeight="1">
      <c r="A991" s="1462"/>
      <c r="B991" s="503"/>
      <c r="C991" s="627"/>
      <c r="D991" s="1142"/>
      <c r="E991" s="1143"/>
      <c r="F991" s="1144"/>
      <c r="G991" s="624"/>
      <c r="H991" s="624"/>
      <c r="I991" s="624"/>
      <c r="J991" s="550"/>
      <c r="K991" s="550"/>
      <c r="L991" s="382">
        <v>101.9909</v>
      </c>
      <c r="M991" s="381">
        <v>7</v>
      </c>
      <c r="N991" s="412">
        <v>0</v>
      </c>
      <c r="O991" s="412">
        <v>0</v>
      </c>
      <c r="P991" s="599"/>
      <c r="Q991" s="599"/>
      <c r="R991" s="599"/>
      <c r="S991" s="599"/>
      <c r="T991" s="599"/>
      <c r="U991" s="599"/>
    </row>
    <row r="992" spans="1:21" ht="35.1" customHeight="1">
      <c r="A992" s="1462"/>
      <c r="B992" s="503"/>
      <c r="C992" s="1078"/>
      <c r="D992" s="1145"/>
      <c r="E992" s="1146"/>
      <c r="F992" s="1147"/>
      <c r="G992" s="1042" t="s">
        <v>329</v>
      </c>
      <c r="H992" s="1043"/>
      <c r="I992" s="1043"/>
      <c r="J992" s="1043"/>
      <c r="K992" s="1044"/>
      <c r="L992" s="372"/>
      <c r="M992" s="374">
        <f>SUM(M981:M991)</f>
        <v>639</v>
      </c>
      <c r="N992" s="411">
        <f>SUM(N981:N991)</f>
        <v>0</v>
      </c>
      <c r="O992" s="411">
        <f>SUM(O981:O991)</f>
        <v>0</v>
      </c>
      <c r="P992" s="599"/>
      <c r="Q992" s="599"/>
      <c r="R992" s="599"/>
      <c r="S992" s="599"/>
      <c r="T992" s="599"/>
      <c r="U992" s="599"/>
    </row>
    <row r="993" spans="1:22" ht="35.1" customHeight="1">
      <c r="A993" s="1462"/>
      <c r="B993" s="503"/>
      <c r="C993" s="626" t="s">
        <v>1054</v>
      </c>
      <c r="D993" s="823" t="s">
        <v>1055</v>
      </c>
      <c r="E993" s="823"/>
      <c r="F993" s="823"/>
      <c r="G993" s="623" t="s">
        <v>1056</v>
      </c>
      <c r="H993" s="623" t="s">
        <v>1057</v>
      </c>
      <c r="I993" s="623" t="s">
        <v>1058</v>
      </c>
      <c r="J993" s="549" t="s">
        <v>11</v>
      </c>
      <c r="K993" s="549"/>
      <c r="L993" s="377">
        <v>39.243699999999997</v>
      </c>
      <c r="M993" s="376">
        <v>14</v>
      </c>
      <c r="N993" s="412">
        <v>0</v>
      </c>
      <c r="O993" s="412">
        <v>0</v>
      </c>
      <c r="P993" s="792" t="s">
        <v>774</v>
      </c>
      <c r="Q993" s="1109" t="s">
        <v>411</v>
      </c>
      <c r="R993" s="1109" t="s">
        <v>1043</v>
      </c>
      <c r="S993" s="1109" t="s">
        <v>13</v>
      </c>
      <c r="T993" s="620" t="s">
        <v>1059</v>
      </c>
      <c r="U993" s="620" t="s">
        <v>67</v>
      </c>
    </row>
    <row r="994" spans="1:22" ht="35.1" customHeight="1">
      <c r="A994" s="1462"/>
      <c r="B994" s="503"/>
      <c r="C994" s="627"/>
      <c r="D994" s="824"/>
      <c r="E994" s="824"/>
      <c r="F994" s="824"/>
      <c r="G994" s="624"/>
      <c r="H994" s="624"/>
      <c r="I994" s="624"/>
      <c r="J994" s="550"/>
      <c r="K994" s="550"/>
      <c r="L994" s="377">
        <v>43.238599999999998</v>
      </c>
      <c r="M994" s="376">
        <v>309</v>
      </c>
      <c r="N994" s="412">
        <v>0</v>
      </c>
      <c r="O994" s="412">
        <v>0</v>
      </c>
      <c r="P994" s="793"/>
      <c r="Q994" s="1110"/>
      <c r="R994" s="1110"/>
      <c r="S994" s="1110"/>
      <c r="T994" s="621"/>
      <c r="U994" s="621"/>
    </row>
    <row r="995" spans="1:22" ht="35.1" customHeight="1">
      <c r="A995" s="1462"/>
      <c r="B995" s="503"/>
      <c r="C995" s="627"/>
      <c r="D995" s="824"/>
      <c r="E995" s="824"/>
      <c r="F995" s="824"/>
      <c r="G995" s="624"/>
      <c r="H995" s="624"/>
      <c r="I995" s="624"/>
      <c r="J995" s="550"/>
      <c r="K995" s="550"/>
      <c r="L995" s="377">
        <v>43.068100000000001</v>
      </c>
      <c r="M995" s="376">
        <v>46</v>
      </c>
      <c r="N995" s="412">
        <v>0</v>
      </c>
      <c r="O995" s="412">
        <v>0</v>
      </c>
      <c r="P995" s="793"/>
      <c r="Q995" s="1110"/>
      <c r="R995" s="1110"/>
      <c r="S995" s="1110"/>
      <c r="T995" s="621"/>
      <c r="U995" s="621"/>
    </row>
    <row r="996" spans="1:22" ht="35.1" customHeight="1">
      <c r="A996" s="1462"/>
      <c r="B996" s="503"/>
      <c r="C996" s="627"/>
      <c r="D996" s="824"/>
      <c r="E996" s="824"/>
      <c r="F996" s="824"/>
      <c r="G996" s="624"/>
      <c r="H996" s="624"/>
      <c r="I996" s="624"/>
      <c r="J996" s="550"/>
      <c r="K996" s="550"/>
      <c r="L996" s="383">
        <v>59.9208</v>
      </c>
      <c r="M996" s="379">
        <v>5</v>
      </c>
      <c r="N996" s="412">
        <v>0</v>
      </c>
      <c r="O996" s="412">
        <v>0</v>
      </c>
      <c r="P996" s="793"/>
      <c r="Q996" s="1110"/>
      <c r="R996" s="1110"/>
      <c r="S996" s="1110"/>
      <c r="T996" s="621"/>
      <c r="U996" s="621"/>
    </row>
    <row r="997" spans="1:22" ht="35.1" customHeight="1">
      <c r="A997" s="1462"/>
      <c r="B997" s="503"/>
      <c r="C997" s="627"/>
      <c r="D997" s="824"/>
      <c r="E997" s="824"/>
      <c r="F997" s="824"/>
      <c r="G997" s="624"/>
      <c r="H997" s="624"/>
      <c r="I997" s="624"/>
      <c r="J997" s="550"/>
      <c r="K997" s="550"/>
      <c r="L997" s="382">
        <v>59.8628</v>
      </c>
      <c r="M997" s="381">
        <v>32</v>
      </c>
      <c r="N997" s="412">
        <v>0</v>
      </c>
      <c r="O997" s="412">
        <v>0</v>
      </c>
      <c r="P997" s="793"/>
      <c r="Q997" s="1110"/>
      <c r="R997" s="1110"/>
      <c r="S997" s="1110"/>
      <c r="T997" s="621"/>
      <c r="U997" s="621"/>
    </row>
    <row r="998" spans="1:22" ht="35.1" customHeight="1">
      <c r="A998" s="1462"/>
      <c r="B998" s="503"/>
      <c r="C998" s="627"/>
      <c r="D998" s="824"/>
      <c r="E998" s="824"/>
      <c r="F998" s="824"/>
      <c r="G998" s="624"/>
      <c r="H998" s="624"/>
      <c r="I998" s="624"/>
      <c r="J998" s="550"/>
      <c r="K998" s="550"/>
      <c r="L998" s="382">
        <v>84.319699999999997</v>
      </c>
      <c r="M998" s="381">
        <v>1</v>
      </c>
      <c r="N998" s="412">
        <v>0</v>
      </c>
      <c r="O998" s="412">
        <v>0</v>
      </c>
      <c r="P998" s="793"/>
      <c r="Q998" s="1110"/>
      <c r="R998" s="1110"/>
      <c r="S998" s="1110"/>
      <c r="T998" s="621"/>
      <c r="U998" s="621"/>
    </row>
    <row r="999" spans="1:22" ht="35.1" customHeight="1">
      <c r="A999" s="1462"/>
      <c r="B999" s="504"/>
      <c r="C999" s="627"/>
      <c r="D999" s="824"/>
      <c r="E999" s="824"/>
      <c r="F999" s="824"/>
      <c r="G999" s="1042" t="s">
        <v>329</v>
      </c>
      <c r="H999" s="1043"/>
      <c r="I999" s="1043"/>
      <c r="J999" s="1043"/>
      <c r="K999" s="1044"/>
      <c r="L999" s="372"/>
      <c r="M999" s="374">
        <f t="shared" ref="M999" si="43">SUM(M993:M998)</f>
        <v>407</v>
      </c>
      <c r="N999" s="411">
        <f>SUM(N993:N998)</f>
        <v>0</v>
      </c>
      <c r="O999" s="411">
        <f>SUM(O993:O998)</f>
        <v>0</v>
      </c>
      <c r="P999" s="794"/>
      <c r="Q999" s="794"/>
      <c r="R999" s="794"/>
      <c r="S999" s="794"/>
      <c r="T999" s="622"/>
      <c r="U999" s="622"/>
    </row>
    <row r="1000" spans="1:22" ht="35.1" customHeight="1">
      <c r="A1000" s="1462"/>
      <c r="B1000" s="777" t="s">
        <v>105</v>
      </c>
      <c r="C1000" s="778"/>
      <c r="D1000" s="778"/>
      <c r="E1000" s="778"/>
      <c r="F1000" s="778"/>
      <c r="G1000" s="778"/>
      <c r="H1000" s="778"/>
      <c r="I1000" s="778"/>
      <c r="J1000" s="778"/>
      <c r="K1000" s="779"/>
      <c r="L1000" s="122"/>
      <c r="M1000" s="394">
        <f>M980+M970+M960+M992+M999</f>
        <v>2068</v>
      </c>
      <c r="N1000" s="394">
        <f>N980+N970+N960+N992+N999</f>
        <v>61</v>
      </c>
      <c r="O1000" s="394">
        <f>O980+O970+O960+O992+O999</f>
        <v>61</v>
      </c>
      <c r="P1000" s="123"/>
      <c r="Q1000" s="123"/>
      <c r="R1000" s="123"/>
      <c r="S1000" s="156"/>
      <c r="T1000" s="156"/>
      <c r="U1000" s="156"/>
    </row>
    <row r="1001" spans="1:22" ht="35.1" customHeight="1">
      <c r="A1001" s="1462"/>
      <c r="B1001" s="1102" t="s">
        <v>378</v>
      </c>
      <c r="C1001" s="639" t="s">
        <v>379</v>
      </c>
      <c r="D1001" s="588" t="s">
        <v>380</v>
      </c>
      <c r="E1001" s="589"/>
      <c r="F1001" s="590"/>
      <c r="G1001" s="639" t="s">
        <v>388</v>
      </c>
      <c r="H1001" s="639" t="s">
        <v>381</v>
      </c>
      <c r="I1001" s="639" t="s">
        <v>382</v>
      </c>
      <c r="J1001" s="653" t="s">
        <v>11</v>
      </c>
      <c r="K1001" s="653" t="s">
        <v>12</v>
      </c>
      <c r="L1001" s="118">
        <v>59.030500000000004</v>
      </c>
      <c r="M1001" s="295">
        <v>59</v>
      </c>
      <c r="N1001" s="119">
        <v>21</v>
      </c>
      <c r="O1001" s="119">
        <v>21</v>
      </c>
      <c r="P1001" s="673" t="s">
        <v>1001</v>
      </c>
      <c r="Q1001" s="673" t="s">
        <v>437</v>
      </c>
      <c r="R1001" s="673" t="s">
        <v>409</v>
      </c>
      <c r="S1001" s="859" t="s">
        <v>57</v>
      </c>
      <c r="T1001" s="473" t="s">
        <v>383</v>
      </c>
      <c r="U1001" s="473" t="s">
        <v>11</v>
      </c>
    </row>
    <row r="1002" spans="1:22" ht="35.1" customHeight="1">
      <c r="A1002" s="1462"/>
      <c r="B1002" s="1103"/>
      <c r="C1002" s="640"/>
      <c r="D1002" s="591"/>
      <c r="E1002" s="592"/>
      <c r="F1002" s="593"/>
      <c r="G1002" s="640"/>
      <c r="H1002" s="640"/>
      <c r="I1002" s="640"/>
      <c r="J1002" s="654"/>
      <c r="K1002" s="654"/>
      <c r="L1002" s="118">
        <v>59.597200000000001</v>
      </c>
      <c r="M1002" s="295">
        <v>52</v>
      </c>
      <c r="N1002" s="119">
        <v>28</v>
      </c>
      <c r="O1002" s="119">
        <v>28</v>
      </c>
      <c r="P1002" s="674"/>
      <c r="Q1002" s="674"/>
      <c r="R1002" s="674"/>
      <c r="S1002" s="860"/>
      <c r="T1002" s="474"/>
      <c r="U1002" s="474"/>
    </row>
    <row r="1003" spans="1:22" ht="35.1" customHeight="1">
      <c r="A1003" s="1462"/>
      <c r="B1003" s="1103"/>
      <c r="C1003" s="640"/>
      <c r="D1003" s="591"/>
      <c r="E1003" s="592"/>
      <c r="F1003" s="593"/>
      <c r="G1003" s="640"/>
      <c r="H1003" s="640"/>
      <c r="I1003" s="640"/>
      <c r="J1003" s="654"/>
      <c r="K1003" s="654"/>
      <c r="L1003" s="118">
        <v>59.884</v>
      </c>
      <c r="M1003" s="295">
        <v>37</v>
      </c>
      <c r="N1003" s="119">
        <v>19</v>
      </c>
      <c r="O1003" s="119">
        <v>19</v>
      </c>
      <c r="P1003" s="674"/>
      <c r="Q1003" s="674"/>
      <c r="R1003" s="674"/>
      <c r="S1003" s="860"/>
      <c r="T1003" s="474"/>
      <c r="U1003" s="474"/>
    </row>
    <row r="1004" spans="1:22" ht="35.1" customHeight="1">
      <c r="A1004" s="1462"/>
      <c r="B1004" s="1103"/>
      <c r="C1004" s="640"/>
      <c r="D1004" s="591"/>
      <c r="E1004" s="592"/>
      <c r="F1004" s="593"/>
      <c r="G1004" s="640"/>
      <c r="H1004" s="640"/>
      <c r="I1004" s="640"/>
      <c r="J1004" s="654"/>
      <c r="K1004" s="654"/>
      <c r="L1004" s="118">
        <v>84.899600000000007</v>
      </c>
      <c r="M1004" s="295">
        <v>10</v>
      </c>
      <c r="N1004" s="119">
        <v>11</v>
      </c>
      <c r="O1004" s="119">
        <v>11</v>
      </c>
      <c r="P1004" s="674"/>
      <c r="Q1004" s="674"/>
      <c r="R1004" s="674"/>
      <c r="S1004" s="860"/>
      <c r="T1004" s="474"/>
      <c r="U1004" s="474"/>
    </row>
    <row r="1005" spans="1:22" ht="35.1" customHeight="1">
      <c r="A1005" s="1462"/>
      <c r="B1005" s="1103"/>
      <c r="C1005" s="640"/>
      <c r="D1005" s="591"/>
      <c r="E1005" s="592"/>
      <c r="F1005" s="593"/>
      <c r="G1005" s="641"/>
      <c r="H1005" s="641"/>
      <c r="I1005" s="641"/>
      <c r="J1005" s="655"/>
      <c r="K1005" s="655"/>
      <c r="L1005" s="118">
        <v>84.866699999999994</v>
      </c>
      <c r="M1005" s="295">
        <v>57</v>
      </c>
      <c r="N1005" s="119">
        <v>44</v>
      </c>
      <c r="O1005" s="119">
        <v>44</v>
      </c>
      <c r="P1005" s="674"/>
      <c r="Q1005" s="674"/>
      <c r="R1005" s="674"/>
      <c r="S1005" s="860"/>
      <c r="T1005" s="474"/>
      <c r="U1005" s="474"/>
    </row>
    <row r="1006" spans="1:22" ht="35.1" customHeight="1">
      <c r="A1006" s="1462"/>
      <c r="B1006" s="1104"/>
      <c r="C1006" s="641"/>
      <c r="D1006" s="594"/>
      <c r="E1006" s="595"/>
      <c r="F1006" s="596"/>
      <c r="G1006" s="490" t="s">
        <v>329</v>
      </c>
      <c r="H1006" s="491"/>
      <c r="I1006" s="491"/>
      <c r="J1006" s="491"/>
      <c r="K1006" s="492"/>
      <c r="L1006" s="345"/>
      <c r="M1006" s="296">
        <f>SUM(M1001:M1005)</f>
        <v>215</v>
      </c>
      <c r="N1006" s="413">
        <f>SUM(N1001:N1005)</f>
        <v>123</v>
      </c>
      <c r="O1006" s="413">
        <f>SUM(O1001:O1005)</f>
        <v>123</v>
      </c>
      <c r="P1006" s="1101"/>
      <c r="Q1006" s="1101"/>
      <c r="R1006" s="1101"/>
      <c r="S1006" s="861"/>
      <c r="T1006" s="475"/>
      <c r="U1006" s="475"/>
    </row>
    <row r="1007" spans="1:22" ht="35.1" customHeight="1">
      <c r="A1007" s="1462"/>
      <c r="B1007" s="777" t="s">
        <v>105</v>
      </c>
      <c r="C1007" s="778"/>
      <c r="D1007" s="778"/>
      <c r="E1007" s="778"/>
      <c r="F1007" s="778"/>
      <c r="G1007" s="778"/>
      <c r="H1007" s="778"/>
      <c r="I1007" s="778"/>
      <c r="J1007" s="778"/>
      <c r="K1007" s="779"/>
      <c r="L1007" s="122"/>
      <c r="M1007" s="226">
        <f>M1006</f>
        <v>215</v>
      </c>
      <c r="N1007" s="394">
        <f>N1006</f>
        <v>123</v>
      </c>
      <c r="O1007" s="394">
        <f>O1006</f>
        <v>123</v>
      </c>
      <c r="P1007" s="123"/>
      <c r="Q1007" s="123"/>
      <c r="R1007" s="123"/>
      <c r="S1007" s="156"/>
      <c r="T1007" s="156"/>
      <c r="U1007" s="156"/>
    </row>
    <row r="1008" spans="1:22" ht="35.1" customHeight="1">
      <c r="A1008" s="1462"/>
      <c r="B1008" s="487" t="s">
        <v>40</v>
      </c>
      <c r="C1008" s="615" t="s">
        <v>976</v>
      </c>
      <c r="D1008" s="780" t="s">
        <v>642</v>
      </c>
      <c r="E1008" s="781"/>
      <c r="F1008" s="782"/>
      <c r="G1008" s="476" t="s">
        <v>189</v>
      </c>
      <c r="H1008" s="476" t="s">
        <v>189</v>
      </c>
      <c r="I1008" s="476" t="s">
        <v>189</v>
      </c>
      <c r="J1008" s="476" t="s">
        <v>11</v>
      </c>
      <c r="K1008" s="476" t="s">
        <v>12</v>
      </c>
      <c r="L1008" s="358" t="s">
        <v>85</v>
      </c>
      <c r="M1008" s="359">
        <v>190</v>
      </c>
      <c r="N1008" s="359">
        <v>0</v>
      </c>
      <c r="O1008" s="359">
        <v>0</v>
      </c>
      <c r="P1008" s="478" t="s">
        <v>54</v>
      </c>
      <c r="Q1008" s="478" t="s">
        <v>54</v>
      </c>
      <c r="R1008" s="481" t="s">
        <v>54</v>
      </c>
      <c r="S1008" s="1111" t="s">
        <v>13</v>
      </c>
      <c r="T1008" s="515" t="s">
        <v>54</v>
      </c>
      <c r="U1008" s="478" t="s">
        <v>11</v>
      </c>
      <c r="V1008" s="814"/>
    </row>
    <row r="1009" spans="1:22" ht="35.1" customHeight="1">
      <c r="A1009" s="1462"/>
      <c r="B1009" s="488"/>
      <c r="C1009" s="906"/>
      <c r="D1009" s="783"/>
      <c r="E1009" s="784"/>
      <c r="F1009" s="785"/>
      <c r="G1009" s="477"/>
      <c r="H1009" s="477"/>
      <c r="I1009" s="477"/>
      <c r="J1009" s="477"/>
      <c r="K1009" s="477"/>
      <c r="L1009" s="358" t="s">
        <v>103</v>
      </c>
      <c r="M1009" s="359">
        <v>192</v>
      </c>
      <c r="N1009" s="359">
        <v>0</v>
      </c>
      <c r="O1009" s="359">
        <v>0</v>
      </c>
      <c r="P1009" s="479"/>
      <c r="Q1009" s="479"/>
      <c r="R1009" s="482"/>
      <c r="S1009" s="1112"/>
      <c r="T1009" s="516"/>
      <c r="U1009" s="479"/>
      <c r="V1009" s="815"/>
    </row>
    <row r="1010" spans="1:22" ht="35.1" customHeight="1">
      <c r="A1010" s="1462"/>
      <c r="B1010" s="488"/>
      <c r="C1010" s="906"/>
      <c r="D1010" s="783"/>
      <c r="E1010" s="784"/>
      <c r="F1010" s="785"/>
      <c r="G1010" s="477"/>
      <c r="H1010" s="477"/>
      <c r="I1010" s="477"/>
      <c r="J1010" s="477"/>
      <c r="K1010" s="477"/>
      <c r="L1010" s="358" t="s">
        <v>94</v>
      </c>
      <c r="M1010" s="359">
        <v>112</v>
      </c>
      <c r="N1010" s="359">
        <v>0</v>
      </c>
      <c r="O1010" s="359">
        <v>0</v>
      </c>
      <c r="P1010" s="479"/>
      <c r="Q1010" s="479"/>
      <c r="R1010" s="482"/>
      <c r="S1010" s="1112"/>
      <c r="T1010" s="516"/>
      <c r="U1010" s="479"/>
      <c r="V1010" s="815"/>
    </row>
    <row r="1011" spans="1:22" ht="35.1" customHeight="1">
      <c r="A1011" s="1462"/>
      <c r="B1011" s="488"/>
      <c r="C1011" s="906"/>
      <c r="D1011" s="783"/>
      <c r="E1011" s="784"/>
      <c r="F1011" s="785"/>
      <c r="G1011" s="477"/>
      <c r="H1011" s="477"/>
      <c r="I1011" s="477"/>
      <c r="J1011" s="477"/>
      <c r="K1011" s="477"/>
      <c r="L1011" s="358" t="s">
        <v>93</v>
      </c>
      <c r="M1011" s="359">
        <v>112</v>
      </c>
      <c r="N1011" s="359">
        <v>0</v>
      </c>
      <c r="O1011" s="359">
        <v>0</v>
      </c>
      <c r="P1011" s="479"/>
      <c r="Q1011" s="479"/>
      <c r="R1011" s="482"/>
      <c r="S1011" s="1112"/>
      <c r="T1011" s="516"/>
      <c r="U1011" s="479"/>
      <c r="V1011" s="815"/>
    </row>
    <row r="1012" spans="1:22" ht="35.1" customHeight="1">
      <c r="A1012" s="1462"/>
      <c r="B1012" s="488"/>
      <c r="C1012" s="906"/>
      <c r="D1012" s="783"/>
      <c r="E1012" s="784"/>
      <c r="F1012" s="785"/>
      <c r="G1012" s="477"/>
      <c r="H1012" s="477"/>
      <c r="I1012" s="477"/>
      <c r="J1012" s="477"/>
      <c r="K1012" s="477"/>
      <c r="L1012" s="358" t="s">
        <v>210</v>
      </c>
      <c r="M1012" s="359">
        <v>56</v>
      </c>
      <c r="N1012" s="359">
        <v>0</v>
      </c>
      <c r="O1012" s="359">
        <v>0</v>
      </c>
      <c r="P1012" s="479"/>
      <c r="Q1012" s="479"/>
      <c r="R1012" s="482"/>
      <c r="S1012" s="1112"/>
      <c r="T1012" s="516"/>
      <c r="U1012" s="479"/>
      <c r="V1012" s="815"/>
    </row>
    <row r="1013" spans="1:22" ht="35.1" customHeight="1">
      <c r="A1013" s="1462"/>
      <c r="B1013" s="488"/>
      <c r="C1013" s="906"/>
      <c r="D1013" s="783"/>
      <c r="E1013" s="784"/>
      <c r="F1013" s="785"/>
      <c r="G1013" s="477"/>
      <c r="H1013" s="477"/>
      <c r="I1013" s="477"/>
      <c r="J1013" s="477"/>
      <c r="K1013" s="477"/>
      <c r="L1013" s="358" t="s">
        <v>84</v>
      </c>
      <c r="M1013" s="359">
        <v>196</v>
      </c>
      <c r="N1013" s="359">
        <v>9</v>
      </c>
      <c r="O1013" s="359">
        <v>0</v>
      </c>
      <c r="P1013" s="479"/>
      <c r="Q1013" s="479"/>
      <c r="R1013" s="482"/>
      <c r="S1013" s="1112"/>
      <c r="T1013" s="516"/>
      <c r="U1013" s="479"/>
      <c r="V1013" s="815"/>
    </row>
    <row r="1014" spans="1:22" ht="35.1" customHeight="1">
      <c r="A1014" s="1462"/>
      <c r="B1014" s="488"/>
      <c r="C1014" s="906"/>
      <c r="D1014" s="783"/>
      <c r="E1014" s="784"/>
      <c r="F1014" s="785"/>
      <c r="G1014" s="477"/>
      <c r="H1014" s="477"/>
      <c r="I1014" s="477"/>
      <c r="J1014" s="477"/>
      <c r="K1014" s="477"/>
      <c r="L1014" s="358" t="s">
        <v>83</v>
      </c>
      <c r="M1014" s="359">
        <v>251</v>
      </c>
      <c r="N1014" s="359">
        <v>8</v>
      </c>
      <c r="O1014" s="359">
        <v>0</v>
      </c>
      <c r="P1014" s="479"/>
      <c r="Q1014" s="479"/>
      <c r="R1014" s="482"/>
      <c r="S1014" s="1112"/>
      <c r="T1014" s="516"/>
      <c r="U1014" s="479"/>
      <c r="V1014" s="815"/>
    </row>
    <row r="1015" spans="1:22" ht="35.1" customHeight="1">
      <c r="A1015" s="1462"/>
      <c r="B1015" s="488"/>
      <c r="C1015" s="906"/>
      <c r="D1015" s="783"/>
      <c r="E1015" s="784"/>
      <c r="F1015" s="785"/>
      <c r="G1015" s="477"/>
      <c r="H1015" s="477"/>
      <c r="I1015" s="477"/>
      <c r="J1015" s="477"/>
      <c r="K1015" s="477"/>
      <c r="L1015" s="358" t="s">
        <v>81</v>
      </c>
      <c r="M1015" s="359">
        <v>55</v>
      </c>
      <c r="N1015" s="359">
        <v>0</v>
      </c>
      <c r="O1015" s="359">
        <v>0</v>
      </c>
      <c r="P1015" s="479"/>
      <c r="Q1015" s="479"/>
      <c r="R1015" s="482"/>
      <c r="S1015" s="1112"/>
      <c r="T1015" s="516"/>
      <c r="U1015" s="479"/>
      <c r="V1015" s="815"/>
    </row>
    <row r="1016" spans="1:22" ht="35.1" customHeight="1">
      <c r="A1016" s="1462"/>
      <c r="B1016" s="488"/>
      <c r="C1016" s="906"/>
      <c r="D1016" s="783"/>
      <c r="E1016" s="784"/>
      <c r="F1016" s="785"/>
      <c r="G1016" s="477"/>
      <c r="H1016" s="477"/>
      <c r="I1016" s="477"/>
      <c r="J1016" s="477"/>
      <c r="K1016" s="477"/>
      <c r="L1016" s="358" t="s">
        <v>998</v>
      </c>
      <c r="M1016" s="359">
        <v>108</v>
      </c>
      <c r="N1016" s="359">
        <v>0</v>
      </c>
      <c r="O1016" s="359">
        <v>0</v>
      </c>
      <c r="P1016" s="479"/>
      <c r="Q1016" s="479"/>
      <c r="R1016" s="482"/>
      <c r="S1016" s="1112"/>
      <c r="T1016" s="516"/>
      <c r="U1016" s="479"/>
      <c r="V1016" s="815"/>
    </row>
    <row r="1017" spans="1:22" ht="35.1" customHeight="1">
      <c r="A1017" s="1462"/>
      <c r="B1017" s="488"/>
      <c r="C1017" s="906"/>
      <c r="D1017" s="783"/>
      <c r="E1017" s="784"/>
      <c r="F1017" s="785"/>
      <c r="G1017" s="477"/>
      <c r="H1017" s="477"/>
      <c r="I1017" s="477"/>
      <c r="J1017" s="477"/>
      <c r="K1017" s="477"/>
      <c r="L1017" s="358" t="s">
        <v>999</v>
      </c>
      <c r="M1017" s="359">
        <v>2</v>
      </c>
      <c r="N1017" s="359">
        <v>1</v>
      </c>
      <c r="O1017" s="359">
        <v>1</v>
      </c>
      <c r="P1017" s="479"/>
      <c r="Q1017" s="479"/>
      <c r="R1017" s="482"/>
      <c r="S1017" s="1112"/>
      <c r="T1017" s="516"/>
      <c r="U1017" s="479"/>
      <c r="V1017" s="815"/>
    </row>
    <row r="1018" spans="1:22" ht="35.1" customHeight="1">
      <c r="A1018" s="1462"/>
      <c r="B1018" s="488"/>
      <c r="C1018" s="906"/>
      <c r="D1018" s="783"/>
      <c r="E1018" s="784"/>
      <c r="F1018" s="785"/>
      <c r="G1018" s="635"/>
      <c r="H1018" s="635"/>
      <c r="I1018" s="635"/>
      <c r="J1018" s="635"/>
      <c r="K1018" s="635"/>
      <c r="L1018" s="358" t="s">
        <v>1000</v>
      </c>
      <c r="M1018" s="359">
        <v>1</v>
      </c>
      <c r="N1018" s="359">
        <v>0</v>
      </c>
      <c r="O1018" s="359">
        <v>0</v>
      </c>
      <c r="P1018" s="479"/>
      <c r="Q1018" s="479"/>
      <c r="R1018" s="482"/>
      <c r="S1018" s="1112"/>
      <c r="T1018" s="516"/>
      <c r="U1018" s="479" t="s">
        <v>67</v>
      </c>
      <c r="V1018" s="815"/>
    </row>
    <row r="1019" spans="1:22" ht="35.1" customHeight="1">
      <c r="A1019" s="1462"/>
      <c r="B1019" s="488"/>
      <c r="C1019" s="907"/>
      <c r="D1019" s="786"/>
      <c r="E1019" s="787"/>
      <c r="F1019" s="788"/>
      <c r="G1019" s="490" t="s">
        <v>329</v>
      </c>
      <c r="H1019" s="491"/>
      <c r="I1019" s="491"/>
      <c r="J1019" s="491"/>
      <c r="K1019" s="492"/>
      <c r="L1019" s="345"/>
      <c r="M1019" s="289">
        <f>SUM(M1008:M1018)</f>
        <v>1275</v>
      </c>
      <c r="N1019" s="414">
        <f>SUM(N1008:N1018)</f>
        <v>18</v>
      </c>
      <c r="O1019" s="414">
        <f>SUM(O1008:O1018)</f>
        <v>1</v>
      </c>
      <c r="P1019" s="480"/>
      <c r="Q1019" s="480"/>
      <c r="R1019" s="483"/>
      <c r="S1019" s="1113"/>
      <c r="T1019" s="517"/>
      <c r="U1019" s="480"/>
      <c r="V1019" s="816"/>
    </row>
    <row r="1020" spans="1:22" ht="35.1" customHeight="1">
      <c r="A1020" s="1462"/>
      <c r="B1020" s="488"/>
      <c r="C1020" s="505" t="s">
        <v>54</v>
      </c>
      <c r="D1020" s="1118" t="s">
        <v>642</v>
      </c>
      <c r="E1020" s="1119"/>
      <c r="F1020" s="1120"/>
      <c r="G1020" s="476" t="s">
        <v>189</v>
      </c>
      <c r="H1020" s="476" t="s">
        <v>189</v>
      </c>
      <c r="I1020" s="476" t="s">
        <v>189</v>
      </c>
      <c r="J1020" s="476" t="s">
        <v>67</v>
      </c>
      <c r="K1020" s="476" t="s">
        <v>66</v>
      </c>
      <c r="L1020" s="297" t="s">
        <v>84</v>
      </c>
      <c r="M1020" s="298">
        <v>389</v>
      </c>
      <c r="N1020" s="330">
        <v>0</v>
      </c>
      <c r="O1020" s="330">
        <v>0</v>
      </c>
      <c r="P1020" s="642" t="s">
        <v>189</v>
      </c>
      <c r="Q1020" s="642" t="s">
        <v>189</v>
      </c>
      <c r="R1020" s="642" t="s">
        <v>189</v>
      </c>
      <c r="S1020" s="1111" t="s">
        <v>13</v>
      </c>
      <c r="T1020" s="505" t="s">
        <v>54</v>
      </c>
      <c r="U1020" s="1696" t="s">
        <v>11</v>
      </c>
    </row>
    <row r="1021" spans="1:22" ht="35.1" customHeight="1">
      <c r="A1021" s="1462"/>
      <c r="B1021" s="488"/>
      <c r="C1021" s="506"/>
      <c r="D1021" s="1121"/>
      <c r="E1021" s="1122"/>
      <c r="F1021" s="1123"/>
      <c r="G1021" s="477"/>
      <c r="H1021" s="477"/>
      <c r="I1021" s="477"/>
      <c r="J1021" s="477"/>
      <c r="K1021" s="477"/>
      <c r="L1021" s="297" t="s">
        <v>83</v>
      </c>
      <c r="M1021" s="298">
        <v>157</v>
      </c>
      <c r="N1021" s="330">
        <v>0</v>
      </c>
      <c r="O1021" s="330">
        <v>0</v>
      </c>
      <c r="P1021" s="643"/>
      <c r="Q1021" s="643"/>
      <c r="R1021" s="643"/>
      <c r="S1021" s="1112"/>
      <c r="T1021" s="506"/>
      <c r="U1021" s="1697"/>
    </row>
    <row r="1022" spans="1:22" ht="35.1" customHeight="1">
      <c r="A1022" s="1462"/>
      <c r="B1022" s="488"/>
      <c r="C1022" s="506"/>
      <c r="D1022" s="1121"/>
      <c r="E1022" s="1122"/>
      <c r="F1022" s="1123"/>
      <c r="G1022" s="477"/>
      <c r="H1022" s="477"/>
      <c r="I1022" s="477"/>
      <c r="J1022" s="477"/>
      <c r="K1022" s="477"/>
      <c r="L1022" s="297" t="s">
        <v>82</v>
      </c>
      <c r="M1022" s="298">
        <v>185</v>
      </c>
      <c r="N1022" s="330">
        <v>0</v>
      </c>
      <c r="O1022" s="330">
        <v>0</v>
      </c>
      <c r="P1022" s="643"/>
      <c r="Q1022" s="643"/>
      <c r="R1022" s="643"/>
      <c r="S1022" s="1112"/>
      <c r="T1022" s="506"/>
      <c r="U1022" s="1697"/>
    </row>
    <row r="1023" spans="1:22" ht="35.1" customHeight="1">
      <c r="A1023" s="1462"/>
      <c r="B1023" s="488"/>
      <c r="C1023" s="506"/>
      <c r="D1023" s="1121"/>
      <c r="E1023" s="1122"/>
      <c r="F1023" s="1123"/>
      <c r="G1023" s="477"/>
      <c r="H1023" s="477"/>
      <c r="I1023" s="477"/>
      <c r="J1023" s="477"/>
      <c r="K1023" s="477"/>
      <c r="L1023" s="297" t="s">
        <v>81</v>
      </c>
      <c r="M1023" s="298">
        <v>216</v>
      </c>
      <c r="N1023" s="330">
        <v>0</v>
      </c>
      <c r="O1023" s="330">
        <v>0</v>
      </c>
      <c r="P1023" s="643"/>
      <c r="Q1023" s="643"/>
      <c r="R1023" s="643"/>
      <c r="S1023" s="1112"/>
      <c r="T1023" s="506"/>
      <c r="U1023" s="1697"/>
    </row>
    <row r="1024" spans="1:22" ht="35.1" customHeight="1">
      <c r="A1024" s="1462"/>
      <c r="B1024" s="488"/>
      <c r="C1024" s="506"/>
      <c r="D1024" s="1121"/>
      <c r="E1024" s="1122"/>
      <c r="F1024" s="1123"/>
      <c r="G1024" s="477"/>
      <c r="H1024" s="477"/>
      <c r="I1024" s="477"/>
      <c r="J1024" s="477"/>
      <c r="K1024" s="477"/>
      <c r="L1024" s="297" t="s">
        <v>386</v>
      </c>
      <c r="M1024" s="298">
        <v>57</v>
      </c>
      <c r="N1024" s="330">
        <v>0</v>
      </c>
      <c r="O1024" s="330">
        <v>0</v>
      </c>
      <c r="P1024" s="643"/>
      <c r="Q1024" s="643"/>
      <c r="R1024" s="643"/>
      <c r="S1024" s="1112"/>
      <c r="T1024" s="506"/>
      <c r="U1024" s="1697"/>
    </row>
    <row r="1025" spans="1:21" ht="35.1" customHeight="1">
      <c r="A1025" s="1462"/>
      <c r="B1025" s="488"/>
      <c r="C1025" s="506"/>
      <c r="D1025" s="1121"/>
      <c r="E1025" s="1122"/>
      <c r="F1025" s="1123"/>
      <c r="G1025" s="477"/>
      <c r="H1025" s="477"/>
      <c r="I1025" s="477"/>
      <c r="J1025" s="477"/>
      <c r="K1025" s="477"/>
      <c r="L1025" s="297" t="s">
        <v>387</v>
      </c>
      <c r="M1025" s="298">
        <v>73</v>
      </c>
      <c r="N1025" s="330">
        <v>0</v>
      </c>
      <c r="O1025" s="330">
        <v>0</v>
      </c>
      <c r="P1025" s="643"/>
      <c r="Q1025" s="643"/>
      <c r="R1025" s="643"/>
      <c r="S1025" s="1112"/>
      <c r="T1025" s="506"/>
      <c r="U1025" s="1697"/>
    </row>
    <row r="1026" spans="1:21" ht="35.1" customHeight="1">
      <c r="A1026" s="1462"/>
      <c r="B1026" s="488"/>
      <c r="C1026" s="506"/>
      <c r="D1026" s="1121"/>
      <c r="E1026" s="1122"/>
      <c r="F1026" s="1123"/>
      <c r="G1026" s="477"/>
      <c r="H1026" s="477"/>
      <c r="I1026" s="477"/>
      <c r="J1026" s="477"/>
      <c r="K1026" s="477"/>
      <c r="L1026" s="297" t="s">
        <v>899</v>
      </c>
      <c r="M1026" s="298">
        <v>61</v>
      </c>
      <c r="N1026" s="330">
        <v>0</v>
      </c>
      <c r="O1026" s="330">
        <v>0</v>
      </c>
      <c r="P1026" s="643"/>
      <c r="Q1026" s="643"/>
      <c r="R1026" s="643"/>
      <c r="S1026" s="1112"/>
      <c r="T1026" s="506"/>
      <c r="U1026" s="1697"/>
    </row>
    <row r="1027" spans="1:21" ht="35.1" customHeight="1">
      <c r="A1027" s="1462"/>
      <c r="B1027" s="488"/>
      <c r="C1027" s="506"/>
      <c r="D1027" s="1121"/>
      <c r="E1027" s="1122"/>
      <c r="F1027" s="1123"/>
      <c r="G1027" s="477"/>
      <c r="H1027" s="477"/>
      <c r="I1027" s="477"/>
      <c r="J1027" s="477"/>
      <c r="K1027" s="477"/>
      <c r="L1027" s="297" t="s">
        <v>900</v>
      </c>
      <c r="M1027" s="298">
        <v>33</v>
      </c>
      <c r="N1027" s="330">
        <v>0</v>
      </c>
      <c r="O1027" s="330">
        <v>0</v>
      </c>
      <c r="P1027" s="643"/>
      <c r="Q1027" s="643"/>
      <c r="R1027" s="643"/>
      <c r="S1027" s="1112"/>
      <c r="T1027" s="506"/>
      <c r="U1027" s="1697"/>
    </row>
    <row r="1028" spans="1:21" ht="35.1" customHeight="1">
      <c r="A1028" s="1462"/>
      <c r="B1028" s="488"/>
      <c r="C1028" s="506"/>
      <c r="D1028" s="1121"/>
      <c r="E1028" s="1122"/>
      <c r="F1028" s="1123"/>
      <c r="G1028" s="477"/>
      <c r="H1028" s="477"/>
      <c r="I1028" s="477"/>
      <c r="J1028" s="477"/>
      <c r="K1028" s="477"/>
      <c r="L1028" s="297" t="s">
        <v>901</v>
      </c>
      <c r="M1028" s="298">
        <v>34</v>
      </c>
      <c r="N1028" s="330">
        <v>0</v>
      </c>
      <c r="O1028" s="330">
        <v>0</v>
      </c>
      <c r="P1028" s="643"/>
      <c r="Q1028" s="643"/>
      <c r="R1028" s="643"/>
      <c r="S1028" s="1112"/>
      <c r="T1028" s="506"/>
      <c r="U1028" s="1697"/>
    </row>
    <row r="1029" spans="1:21" ht="35.1" customHeight="1">
      <c r="A1029" s="1462"/>
      <c r="B1029" s="488"/>
      <c r="C1029" s="506"/>
      <c r="D1029" s="1121"/>
      <c r="E1029" s="1122"/>
      <c r="F1029" s="1123"/>
      <c r="G1029" s="477"/>
      <c r="H1029" s="477"/>
      <c r="I1029" s="477"/>
      <c r="J1029" s="477"/>
      <c r="K1029" s="477"/>
      <c r="L1029" s="297" t="s">
        <v>902</v>
      </c>
      <c r="M1029" s="298">
        <v>54</v>
      </c>
      <c r="N1029" s="330">
        <v>0</v>
      </c>
      <c r="O1029" s="330">
        <v>0</v>
      </c>
      <c r="P1029" s="643"/>
      <c r="Q1029" s="643"/>
      <c r="R1029" s="643"/>
      <c r="S1029" s="1112"/>
      <c r="T1029" s="506"/>
      <c r="U1029" s="1697"/>
    </row>
    <row r="1030" spans="1:21" ht="35.1" customHeight="1">
      <c r="A1030" s="1462"/>
      <c r="B1030" s="488"/>
      <c r="C1030" s="506"/>
      <c r="D1030" s="1121"/>
      <c r="E1030" s="1122"/>
      <c r="F1030" s="1123"/>
      <c r="G1030" s="635"/>
      <c r="H1030" s="635"/>
      <c r="I1030" s="635"/>
      <c r="J1030" s="635"/>
      <c r="K1030" s="635"/>
      <c r="L1030" s="299">
        <v>101</v>
      </c>
      <c r="M1030" s="298">
        <v>165</v>
      </c>
      <c r="N1030" s="330">
        <v>0</v>
      </c>
      <c r="O1030" s="330">
        <v>0</v>
      </c>
      <c r="P1030" s="643"/>
      <c r="Q1030" s="643"/>
      <c r="R1030" s="643"/>
      <c r="S1030" s="1112"/>
      <c r="T1030" s="506"/>
      <c r="U1030" s="1697"/>
    </row>
    <row r="1031" spans="1:21" ht="35.1" customHeight="1">
      <c r="A1031" s="1462"/>
      <c r="B1031" s="488"/>
      <c r="C1031" s="1114"/>
      <c r="D1031" s="1124"/>
      <c r="E1031" s="1125"/>
      <c r="F1031" s="1126"/>
      <c r="G1031" s="490" t="s">
        <v>329</v>
      </c>
      <c r="H1031" s="491"/>
      <c r="I1031" s="491"/>
      <c r="J1031" s="491"/>
      <c r="K1031" s="492"/>
      <c r="L1031" s="345"/>
      <c r="M1031" s="289">
        <f>SUM(M1020:M1030)</f>
        <v>1424</v>
      </c>
      <c r="N1031" s="414">
        <f>SUM(N1020:N1030)</f>
        <v>0</v>
      </c>
      <c r="O1031" s="414">
        <f>SUM(O1020:O1030)</f>
        <v>0</v>
      </c>
      <c r="P1031" s="644"/>
      <c r="Q1031" s="644"/>
      <c r="R1031" s="644"/>
      <c r="S1031" s="1113"/>
      <c r="T1031" s="1114"/>
      <c r="U1031" s="1698"/>
    </row>
    <row r="1032" spans="1:21" ht="35.1" customHeight="1">
      <c r="A1032" s="1462"/>
      <c r="B1032" s="488"/>
      <c r="C1032" s="505" t="s">
        <v>54</v>
      </c>
      <c r="D1032" s="507" t="s">
        <v>726</v>
      </c>
      <c r="E1032" s="508"/>
      <c r="F1032" s="509"/>
      <c r="G1032" s="476" t="s">
        <v>189</v>
      </c>
      <c r="H1032" s="476" t="s">
        <v>189</v>
      </c>
      <c r="I1032" s="476" t="s">
        <v>189</v>
      </c>
      <c r="J1032" s="476" t="s">
        <v>67</v>
      </c>
      <c r="K1032" s="476" t="s">
        <v>66</v>
      </c>
      <c r="L1032" s="208" t="s">
        <v>671</v>
      </c>
      <c r="M1032" s="288">
        <v>736</v>
      </c>
      <c r="N1032" s="215">
        <v>4</v>
      </c>
      <c r="O1032" s="215">
        <v>4</v>
      </c>
      <c r="P1032" s="642" t="s">
        <v>189</v>
      </c>
      <c r="Q1032" s="642" t="s">
        <v>189</v>
      </c>
      <c r="R1032" s="642" t="s">
        <v>189</v>
      </c>
      <c r="S1032" s="513" t="s">
        <v>13</v>
      </c>
      <c r="T1032" s="1065" t="s">
        <v>189</v>
      </c>
      <c r="U1032" s="642" t="s">
        <v>11</v>
      </c>
    </row>
    <row r="1033" spans="1:21" ht="35.1" customHeight="1">
      <c r="A1033" s="1462"/>
      <c r="B1033" s="488"/>
      <c r="C1033" s="506"/>
      <c r="D1033" s="510"/>
      <c r="E1033" s="511"/>
      <c r="F1033" s="512"/>
      <c r="G1033" s="477"/>
      <c r="H1033" s="477"/>
      <c r="I1033" s="477"/>
      <c r="J1033" s="477"/>
      <c r="K1033" s="477"/>
      <c r="L1033" s="208" t="s">
        <v>672</v>
      </c>
      <c r="M1033" s="288">
        <v>168</v>
      </c>
      <c r="N1033" s="215">
        <v>0</v>
      </c>
      <c r="O1033" s="215">
        <v>0</v>
      </c>
      <c r="P1033" s="643"/>
      <c r="Q1033" s="643"/>
      <c r="R1033" s="643"/>
      <c r="S1033" s="514"/>
      <c r="T1033" s="1066"/>
      <c r="U1033" s="643"/>
    </row>
    <row r="1034" spans="1:21" ht="35.1" customHeight="1">
      <c r="A1034" s="1462"/>
      <c r="B1034" s="488"/>
      <c r="C1034" s="506"/>
      <c r="D1034" s="510"/>
      <c r="E1034" s="511"/>
      <c r="F1034" s="512"/>
      <c r="G1034" s="635"/>
      <c r="H1034" s="635"/>
      <c r="I1034" s="635"/>
      <c r="J1034" s="635"/>
      <c r="K1034" s="635"/>
      <c r="L1034" s="208" t="s">
        <v>673</v>
      </c>
      <c r="M1034" s="288">
        <v>66</v>
      </c>
      <c r="N1034" s="215">
        <v>0</v>
      </c>
      <c r="O1034" s="215">
        <v>0</v>
      </c>
      <c r="P1034" s="643"/>
      <c r="Q1034" s="643"/>
      <c r="R1034" s="643"/>
      <c r="S1034" s="514"/>
      <c r="T1034" s="1066"/>
      <c r="U1034" s="643"/>
    </row>
    <row r="1035" spans="1:21" ht="35.1" customHeight="1">
      <c r="A1035" s="1462"/>
      <c r="B1035" s="488"/>
      <c r="C1035" s="506"/>
      <c r="D1035" s="1106"/>
      <c r="E1035" s="1107"/>
      <c r="F1035" s="1108"/>
      <c r="G1035" s="490" t="s">
        <v>329</v>
      </c>
      <c r="H1035" s="491"/>
      <c r="I1035" s="491"/>
      <c r="J1035" s="491"/>
      <c r="K1035" s="492"/>
      <c r="L1035" s="345"/>
      <c r="M1035" s="289">
        <f>SUM(M1032:M1034)</f>
        <v>970</v>
      </c>
      <c r="N1035" s="414">
        <f>SUM(N1032:N1034)</f>
        <v>4</v>
      </c>
      <c r="O1035" s="414">
        <f>SUM(O1032:O1034)</f>
        <v>4</v>
      </c>
      <c r="P1035" s="644"/>
      <c r="Q1035" s="644"/>
      <c r="R1035" s="644"/>
      <c r="S1035" s="625"/>
      <c r="T1035" s="1067"/>
      <c r="U1035" s="644"/>
    </row>
    <row r="1036" spans="1:21" ht="35.1" customHeight="1">
      <c r="A1036" s="1462"/>
      <c r="B1036" s="488"/>
      <c r="C1036" s="615" t="s">
        <v>189</v>
      </c>
      <c r="D1036" s="507" t="s">
        <v>726</v>
      </c>
      <c r="E1036" s="508"/>
      <c r="F1036" s="509"/>
      <c r="G1036" s="493" t="s">
        <v>710</v>
      </c>
      <c r="H1036" s="494"/>
      <c r="I1036" s="495"/>
      <c r="J1036" s="476" t="s">
        <v>67</v>
      </c>
      <c r="K1036" s="476" t="s">
        <v>66</v>
      </c>
      <c r="L1036" s="442" t="s">
        <v>85</v>
      </c>
      <c r="M1036" s="288">
        <v>149</v>
      </c>
      <c r="N1036" s="288">
        <v>41</v>
      </c>
      <c r="O1036" s="288">
        <v>0</v>
      </c>
      <c r="P1036" s="478" t="s">
        <v>54</v>
      </c>
      <c r="Q1036" s="478" t="s">
        <v>54</v>
      </c>
      <c r="R1036" s="481" t="s">
        <v>54</v>
      </c>
      <c r="S1036" s="513" t="s">
        <v>13</v>
      </c>
      <c r="T1036" s="515" t="s">
        <v>54</v>
      </c>
      <c r="U1036" s="513" t="s">
        <v>11</v>
      </c>
    </row>
    <row r="1037" spans="1:21" ht="35.1" customHeight="1">
      <c r="A1037" s="1462"/>
      <c r="B1037" s="488"/>
      <c r="C1037" s="906"/>
      <c r="D1037" s="510"/>
      <c r="E1037" s="511"/>
      <c r="F1037" s="512"/>
      <c r="G1037" s="496"/>
      <c r="H1037" s="497"/>
      <c r="I1037" s="498"/>
      <c r="J1037" s="477"/>
      <c r="K1037" s="477"/>
      <c r="L1037" s="442" t="s">
        <v>103</v>
      </c>
      <c r="M1037" s="288">
        <v>84</v>
      </c>
      <c r="N1037" s="288">
        <v>8</v>
      </c>
      <c r="O1037" s="288">
        <v>0</v>
      </c>
      <c r="P1037" s="479"/>
      <c r="Q1037" s="479"/>
      <c r="R1037" s="482"/>
      <c r="S1037" s="514"/>
      <c r="T1037" s="516"/>
      <c r="U1037" s="514"/>
    </row>
    <row r="1038" spans="1:21" ht="35.1" customHeight="1">
      <c r="A1038" s="1462"/>
      <c r="B1038" s="488"/>
      <c r="C1038" s="906"/>
      <c r="D1038" s="510"/>
      <c r="E1038" s="511"/>
      <c r="F1038" s="512"/>
      <c r="G1038" s="496"/>
      <c r="H1038" s="497"/>
      <c r="I1038" s="498"/>
      <c r="J1038" s="477"/>
      <c r="K1038" s="477"/>
      <c r="L1038" s="442" t="s">
        <v>94</v>
      </c>
      <c r="M1038" s="288">
        <v>196</v>
      </c>
      <c r="N1038" s="288">
        <v>113</v>
      </c>
      <c r="O1038" s="288">
        <v>8</v>
      </c>
      <c r="P1038" s="479"/>
      <c r="Q1038" s="479"/>
      <c r="R1038" s="482"/>
      <c r="S1038" s="514"/>
      <c r="T1038" s="516"/>
      <c r="U1038" s="514"/>
    </row>
    <row r="1039" spans="1:21" ht="35.1" customHeight="1">
      <c r="A1039" s="1462"/>
      <c r="B1039" s="488"/>
      <c r="C1039" s="906"/>
      <c r="D1039" s="510"/>
      <c r="E1039" s="511"/>
      <c r="F1039" s="512"/>
      <c r="G1039" s="496"/>
      <c r="H1039" s="497"/>
      <c r="I1039" s="498"/>
      <c r="J1039" s="477"/>
      <c r="K1039" s="477"/>
      <c r="L1039" s="442" t="s">
        <v>93</v>
      </c>
      <c r="M1039" s="288">
        <v>28</v>
      </c>
      <c r="N1039" s="288">
        <v>1</v>
      </c>
      <c r="O1039" s="288">
        <v>0</v>
      </c>
      <c r="P1039" s="479"/>
      <c r="Q1039" s="479"/>
      <c r="R1039" s="482"/>
      <c r="S1039" s="514"/>
      <c r="T1039" s="516"/>
      <c r="U1039" s="514"/>
    </row>
    <row r="1040" spans="1:21" ht="35.1" customHeight="1">
      <c r="A1040" s="1462"/>
      <c r="B1040" s="488"/>
      <c r="C1040" s="906"/>
      <c r="D1040" s="510"/>
      <c r="E1040" s="511"/>
      <c r="F1040" s="512"/>
      <c r="G1040" s="496"/>
      <c r="H1040" s="497"/>
      <c r="I1040" s="498"/>
      <c r="J1040" s="477"/>
      <c r="K1040" s="477"/>
      <c r="L1040" s="442" t="s">
        <v>210</v>
      </c>
      <c r="M1040" s="288">
        <v>83</v>
      </c>
      <c r="N1040" s="288">
        <v>48</v>
      </c>
      <c r="O1040" s="288">
        <v>18</v>
      </c>
      <c r="P1040" s="479"/>
      <c r="Q1040" s="479"/>
      <c r="R1040" s="482"/>
      <c r="S1040" s="514"/>
      <c r="T1040" s="516"/>
      <c r="U1040" s="514"/>
    </row>
    <row r="1041" spans="1:22" ht="35.1" customHeight="1">
      <c r="A1041" s="1462"/>
      <c r="B1041" s="488"/>
      <c r="C1041" s="906"/>
      <c r="D1041" s="510"/>
      <c r="E1041" s="511"/>
      <c r="F1041" s="512"/>
      <c r="G1041" s="496"/>
      <c r="H1041" s="497"/>
      <c r="I1041" s="498"/>
      <c r="J1041" s="477"/>
      <c r="K1041" s="477"/>
      <c r="L1041" s="442" t="s">
        <v>84</v>
      </c>
      <c r="M1041" s="288">
        <v>560</v>
      </c>
      <c r="N1041" s="288">
        <v>506</v>
      </c>
      <c r="O1041" s="288">
        <v>402</v>
      </c>
      <c r="P1041" s="479"/>
      <c r="Q1041" s="479"/>
      <c r="R1041" s="482"/>
      <c r="S1041" s="514"/>
      <c r="T1041" s="516"/>
      <c r="U1041" s="514"/>
    </row>
    <row r="1042" spans="1:22" ht="35.1" customHeight="1">
      <c r="A1042" s="1462"/>
      <c r="B1042" s="488"/>
      <c r="C1042" s="906"/>
      <c r="D1042" s="510"/>
      <c r="E1042" s="511"/>
      <c r="F1042" s="512"/>
      <c r="G1042" s="496"/>
      <c r="H1042" s="497"/>
      <c r="I1042" s="498"/>
      <c r="J1042" s="477"/>
      <c r="K1042" s="477"/>
      <c r="L1042" s="442" t="s">
        <v>83</v>
      </c>
      <c r="M1042" s="288">
        <v>112</v>
      </c>
      <c r="N1042" s="288">
        <v>71</v>
      </c>
      <c r="O1042" s="288">
        <v>47</v>
      </c>
      <c r="P1042" s="479"/>
      <c r="Q1042" s="479"/>
      <c r="R1042" s="482"/>
      <c r="S1042" s="514"/>
      <c r="T1042" s="516"/>
      <c r="U1042" s="514"/>
    </row>
    <row r="1043" spans="1:22" ht="35.1" customHeight="1">
      <c r="A1043" s="1462"/>
      <c r="B1043" s="488"/>
      <c r="C1043" s="906"/>
      <c r="D1043" s="510"/>
      <c r="E1043" s="511"/>
      <c r="F1043" s="512"/>
      <c r="G1043" s="496"/>
      <c r="H1043" s="497"/>
      <c r="I1043" s="498"/>
      <c r="J1043" s="477"/>
      <c r="K1043" s="477"/>
      <c r="L1043" s="442" t="s">
        <v>82</v>
      </c>
      <c r="M1043" s="288">
        <v>84</v>
      </c>
      <c r="N1043" s="288">
        <v>83</v>
      </c>
      <c r="O1043" s="288">
        <v>75</v>
      </c>
      <c r="P1043" s="479"/>
      <c r="Q1043" s="479"/>
      <c r="R1043" s="482"/>
      <c r="S1043" s="514"/>
      <c r="T1043" s="516"/>
      <c r="U1043" s="514"/>
    </row>
    <row r="1044" spans="1:22" ht="35.1" customHeight="1">
      <c r="A1044" s="1462"/>
      <c r="B1044" s="488"/>
      <c r="C1044" s="906"/>
      <c r="D1044" s="510"/>
      <c r="E1044" s="511"/>
      <c r="F1044" s="512"/>
      <c r="G1044" s="496"/>
      <c r="H1044" s="497"/>
      <c r="I1044" s="498"/>
      <c r="J1044" s="477"/>
      <c r="K1044" s="477"/>
      <c r="L1044" s="442" t="s">
        <v>309</v>
      </c>
      <c r="M1044" s="288">
        <v>163</v>
      </c>
      <c r="N1044" s="288">
        <v>148</v>
      </c>
      <c r="O1044" s="288">
        <v>114</v>
      </c>
      <c r="P1044" s="479"/>
      <c r="Q1044" s="479"/>
      <c r="R1044" s="482"/>
      <c r="S1044" s="514"/>
      <c r="T1044" s="516"/>
      <c r="U1044" s="514"/>
    </row>
    <row r="1045" spans="1:22" ht="35.1" customHeight="1">
      <c r="A1045" s="1462"/>
      <c r="B1045" s="488"/>
      <c r="C1045" s="906"/>
      <c r="D1045" s="510"/>
      <c r="E1045" s="511"/>
      <c r="F1045" s="512"/>
      <c r="G1045" s="496"/>
      <c r="H1045" s="497"/>
      <c r="I1045" s="498"/>
      <c r="J1045" s="477"/>
      <c r="K1045" s="477"/>
      <c r="L1045" s="442" t="s">
        <v>998</v>
      </c>
      <c r="M1045" s="288">
        <v>55</v>
      </c>
      <c r="N1045" s="288">
        <v>39</v>
      </c>
      <c r="O1045" s="288">
        <v>9</v>
      </c>
      <c r="P1045" s="479"/>
      <c r="Q1045" s="479"/>
      <c r="R1045" s="482"/>
      <c r="S1045" s="514"/>
      <c r="T1045" s="516"/>
      <c r="U1045" s="514"/>
    </row>
    <row r="1046" spans="1:22" ht="35.1" customHeight="1">
      <c r="A1046" s="1462"/>
      <c r="B1046" s="488"/>
      <c r="C1046" s="906"/>
      <c r="D1046" s="510"/>
      <c r="E1046" s="511"/>
      <c r="F1046" s="512"/>
      <c r="G1046" s="496"/>
      <c r="H1046" s="497"/>
      <c r="I1046" s="498"/>
      <c r="J1046" s="477"/>
      <c r="K1046" s="477"/>
      <c r="L1046" s="442" t="s">
        <v>1135</v>
      </c>
      <c r="M1046" s="288">
        <v>2</v>
      </c>
      <c r="N1046" s="288">
        <v>2</v>
      </c>
      <c r="O1046" s="288">
        <v>2</v>
      </c>
      <c r="P1046" s="479"/>
      <c r="Q1046" s="479"/>
      <c r="R1046" s="482"/>
      <c r="S1046" s="514"/>
      <c r="T1046" s="516"/>
      <c r="U1046" s="514"/>
    </row>
    <row r="1047" spans="1:22" ht="35.1" customHeight="1">
      <c r="A1047" s="1462"/>
      <c r="B1047" s="488"/>
      <c r="C1047" s="906"/>
      <c r="D1047" s="510"/>
      <c r="E1047" s="511"/>
      <c r="F1047" s="512"/>
      <c r="G1047" s="499"/>
      <c r="H1047" s="500"/>
      <c r="I1047" s="501"/>
      <c r="J1047" s="635"/>
      <c r="K1047" s="635"/>
      <c r="L1047" s="442" t="s">
        <v>1136</v>
      </c>
      <c r="M1047" s="288">
        <v>1</v>
      </c>
      <c r="N1047" s="288">
        <v>0</v>
      </c>
      <c r="O1047" s="288">
        <v>0</v>
      </c>
      <c r="P1047" s="479"/>
      <c r="Q1047" s="479"/>
      <c r="R1047" s="482"/>
      <c r="S1047" s="514"/>
      <c r="T1047" s="516"/>
      <c r="U1047" s="514" t="s">
        <v>67</v>
      </c>
    </row>
    <row r="1048" spans="1:22" ht="35.1" customHeight="1">
      <c r="A1048" s="1462"/>
      <c r="B1048" s="488"/>
      <c r="C1048" s="907"/>
      <c r="D1048" s="1106"/>
      <c r="E1048" s="1107"/>
      <c r="F1048" s="1108"/>
      <c r="G1048" s="490" t="s">
        <v>329</v>
      </c>
      <c r="H1048" s="491"/>
      <c r="I1048" s="491"/>
      <c r="J1048" s="491"/>
      <c r="K1048" s="492"/>
      <c r="L1048" s="438"/>
      <c r="M1048" s="289">
        <f>SUM(M1036:M1047)</f>
        <v>1517</v>
      </c>
      <c r="N1048" s="289">
        <f t="shared" ref="N1048" si="44">SUM(N1036:N1047)</f>
        <v>1060</v>
      </c>
      <c r="O1048" s="289">
        <f t="shared" ref="O1048" si="45">SUM(O1036:O1047)</f>
        <v>675</v>
      </c>
      <c r="P1048" s="480"/>
      <c r="Q1048" s="480"/>
      <c r="R1048" s="483"/>
      <c r="S1048" s="625"/>
      <c r="T1048" s="517"/>
      <c r="U1048" s="625"/>
    </row>
    <row r="1049" spans="1:22" ht="35.1" customHeight="1">
      <c r="A1049" s="1462"/>
      <c r="B1049" s="488"/>
      <c r="C1049" s="505" t="s">
        <v>54</v>
      </c>
      <c r="D1049" s="507" t="s">
        <v>726</v>
      </c>
      <c r="E1049" s="508"/>
      <c r="F1049" s="509"/>
      <c r="G1049" s="507" t="s">
        <v>710</v>
      </c>
      <c r="H1049" s="508"/>
      <c r="I1049" s="509"/>
      <c r="J1049" s="476" t="s">
        <v>67</v>
      </c>
      <c r="K1049" s="476" t="s">
        <v>66</v>
      </c>
      <c r="L1049" s="449">
        <v>75</v>
      </c>
      <c r="M1049" s="288">
        <v>44</v>
      </c>
      <c r="N1049" s="288" t="s">
        <v>54</v>
      </c>
      <c r="O1049" s="288">
        <v>24</v>
      </c>
      <c r="P1049" s="478" t="s">
        <v>54</v>
      </c>
      <c r="Q1049" s="478" t="s">
        <v>54</v>
      </c>
      <c r="R1049" s="481" t="s">
        <v>54</v>
      </c>
      <c r="S1049" s="513" t="s">
        <v>13</v>
      </c>
      <c r="T1049" s="515" t="s">
        <v>54</v>
      </c>
      <c r="U1049" s="513" t="s">
        <v>11</v>
      </c>
      <c r="V1049" s="484"/>
    </row>
    <row r="1050" spans="1:22" ht="35.1" customHeight="1">
      <c r="A1050" s="1462"/>
      <c r="B1050" s="488"/>
      <c r="C1050" s="506"/>
      <c r="D1050" s="510"/>
      <c r="E1050" s="511"/>
      <c r="F1050" s="512"/>
      <c r="G1050" s="510"/>
      <c r="H1050" s="511"/>
      <c r="I1050" s="512"/>
      <c r="J1050" s="477"/>
      <c r="K1050" s="477"/>
      <c r="L1050" s="449" t="s">
        <v>84</v>
      </c>
      <c r="M1050" s="288">
        <v>270</v>
      </c>
      <c r="N1050" s="288" t="s">
        <v>54</v>
      </c>
      <c r="O1050" s="288">
        <v>167</v>
      </c>
      <c r="P1050" s="479"/>
      <c r="Q1050" s="479"/>
      <c r="R1050" s="482"/>
      <c r="S1050" s="514"/>
      <c r="T1050" s="516"/>
      <c r="U1050" s="514"/>
      <c r="V1050" s="485"/>
    </row>
    <row r="1051" spans="1:22" ht="35.1" customHeight="1">
      <c r="A1051" s="1462"/>
      <c r="B1051" s="488"/>
      <c r="C1051" s="506"/>
      <c r="D1051" s="510"/>
      <c r="E1051" s="511"/>
      <c r="F1051" s="512"/>
      <c r="G1051" s="510"/>
      <c r="H1051" s="511"/>
      <c r="I1051" s="512"/>
      <c r="J1051" s="477"/>
      <c r="K1051" s="477"/>
      <c r="L1051" s="449" t="s">
        <v>83</v>
      </c>
      <c r="M1051" s="288">
        <v>260</v>
      </c>
      <c r="N1051" s="288" t="s">
        <v>54</v>
      </c>
      <c r="O1051" s="288">
        <v>127</v>
      </c>
      <c r="P1051" s="479"/>
      <c r="Q1051" s="479"/>
      <c r="R1051" s="482"/>
      <c r="S1051" s="514"/>
      <c r="T1051" s="516"/>
      <c r="U1051" s="514"/>
      <c r="V1051" s="485"/>
    </row>
    <row r="1052" spans="1:22" ht="35.1" customHeight="1">
      <c r="A1052" s="1462"/>
      <c r="B1052" s="488"/>
      <c r="C1052" s="506"/>
      <c r="D1052" s="510"/>
      <c r="E1052" s="511"/>
      <c r="F1052" s="512"/>
      <c r="G1052" s="510"/>
      <c r="H1052" s="511"/>
      <c r="I1052" s="512"/>
      <c r="J1052" s="477"/>
      <c r="K1052" s="477"/>
      <c r="L1052" s="449" t="s">
        <v>82</v>
      </c>
      <c r="M1052" s="288">
        <v>262</v>
      </c>
      <c r="N1052" s="288" t="s">
        <v>54</v>
      </c>
      <c r="O1052" s="288">
        <v>136</v>
      </c>
      <c r="P1052" s="479"/>
      <c r="Q1052" s="479"/>
      <c r="R1052" s="482"/>
      <c r="S1052" s="514"/>
      <c r="T1052" s="516"/>
      <c r="U1052" s="514"/>
      <c r="V1052" s="485"/>
    </row>
    <row r="1053" spans="1:22" ht="35.1" customHeight="1">
      <c r="A1053" s="1462"/>
      <c r="B1053" s="488"/>
      <c r="C1053" s="506"/>
      <c r="D1053" s="510"/>
      <c r="E1053" s="511"/>
      <c r="F1053" s="512"/>
      <c r="G1053" s="510"/>
      <c r="H1053" s="511"/>
      <c r="I1053" s="512"/>
      <c r="J1053" s="477"/>
      <c r="K1053" s="477"/>
      <c r="L1053" s="449" t="s">
        <v>81</v>
      </c>
      <c r="M1053" s="288">
        <v>88</v>
      </c>
      <c r="N1053" s="288" t="s">
        <v>54</v>
      </c>
      <c r="O1053" s="288">
        <v>58</v>
      </c>
      <c r="P1053" s="479"/>
      <c r="Q1053" s="479"/>
      <c r="R1053" s="482"/>
      <c r="S1053" s="514"/>
      <c r="T1053" s="516"/>
      <c r="U1053" s="514"/>
      <c r="V1053" s="485"/>
    </row>
    <row r="1054" spans="1:22" ht="35.1" customHeight="1">
      <c r="A1054" s="1462"/>
      <c r="B1054" s="488"/>
      <c r="C1054" s="506"/>
      <c r="D1054" s="510"/>
      <c r="E1054" s="511"/>
      <c r="F1054" s="512"/>
      <c r="G1054" s="510"/>
      <c r="H1054" s="511"/>
      <c r="I1054" s="512"/>
      <c r="J1054" s="477"/>
      <c r="K1054" s="477"/>
      <c r="L1054" s="449">
        <v>102</v>
      </c>
      <c r="M1054" s="288">
        <v>97</v>
      </c>
      <c r="N1054" s="288" t="s">
        <v>54</v>
      </c>
      <c r="O1054" s="288">
        <v>77</v>
      </c>
      <c r="P1054" s="479"/>
      <c r="Q1054" s="479"/>
      <c r="R1054" s="482"/>
      <c r="S1054" s="514"/>
      <c r="T1054" s="516"/>
      <c r="U1054" s="514"/>
      <c r="V1054" s="485"/>
    </row>
    <row r="1055" spans="1:22" ht="35.1" customHeight="1">
      <c r="A1055" s="1462"/>
      <c r="B1055" s="488"/>
      <c r="C1055" s="506"/>
      <c r="D1055" s="510"/>
      <c r="E1055" s="511"/>
      <c r="F1055" s="512"/>
      <c r="G1055" s="510"/>
      <c r="H1055" s="511"/>
      <c r="I1055" s="512"/>
      <c r="J1055" s="477"/>
      <c r="K1055" s="477"/>
      <c r="L1055" s="449">
        <v>124</v>
      </c>
      <c r="M1055" s="288">
        <v>45</v>
      </c>
      <c r="N1055" s="288" t="s">
        <v>54</v>
      </c>
      <c r="O1055" s="288">
        <v>17</v>
      </c>
      <c r="P1055" s="479"/>
      <c r="Q1055" s="479"/>
      <c r="R1055" s="482"/>
      <c r="S1055" s="514"/>
      <c r="T1055" s="516"/>
      <c r="U1055" s="514"/>
      <c r="V1055" s="485"/>
    </row>
    <row r="1056" spans="1:22" ht="35.1" customHeight="1">
      <c r="A1056" s="1462"/>
      <c r="B1056" s="488"/>
      <c r="C1056" s="506"/>
      <c r="D1056" s="510"/>
      <c r="E1056" s="511"/>
      <c r="F1056" s="512"/>
      <c r="G1056" s="510"/>
      <c r="H1056" s="511"/>
      <c r="I1056" s="512"/>
      <c r="J1056" s="477"/>
      <c r="K1056" s="477"/>
      <c r="L1056" s="449" t="s">
        <v>1167</v>
      </c>
      <c r="M1056" s="288">
        <v>3</v>
      </c>
      <c r="N1056" s="288" t="s">
        <v>54</v>
      </c>
      <c r="O1056" s="288">
        <v>0</v>
      </c>
      <c r="P1056" s="479"/>
      <c r="Q1056" s="479"/>
      <c r="R1056" s="482"/>
      <c r="S1056" s="514"/>
      <c r="T1056" s="516"/>
      <c r="U1056" s="514"/>
      <c r="V1056" s="485"/>
    </row>
    <row r="1057" spans="1:22" ht="35.1" customHeight="1">
      <c r="A1057" s="1462"/>
      <c r="B1057" s="488"/>
      <c r="C1057" s="506"/>
      <c r="D1057" s="510"/>
      <c r="E1057" s="511"/>
      <c r="F1057" s="512"/>
      <c r="G1057" s="490" t="s">
        <v>329</v>
      </c>
      <c r="H1057" s="491"/>
      <c r="I1057" s="491"/>
      <c r="J1057" s="491"/>
      <c r="K1057" s="492"/>
      <c r="L1057" s="448"/>
      <c r="M1057" s="289">
        <f>SUM(M1049:M1056)</f>
        <v>1069</v>
      </c>
      <c r="N1057" s="289">
        <f t="shared" ref="N1057:O1057" si="46">SUM(N1049:N1056)</f>
        <v>0</v>
      </c>
      <c r="O1057" s="289">
        <f t="shared" si="46"/>
        <v>606</v>
      </c>
      <c r="P1057" s="480"/>
      <c r="Q1057" s="480"/>
      <c r="R1057" s="483"/>
      <c r="S1057" s="514"/>
      <c r="T1057" s="517"/>
      <c r="U1057" s="514"/>
      <c r="V1057" s="486"/>
    </row>
    <row r="1058" spans="1:22" ht="35.1" customHeight="1">
      <c r="A1058" s="1462"/>
      <c r="B1058" s="488"/>
      <c r="C1058" s="615" t="s">
        <v>54</v>
      </c>
      <c r="D1058" s="507" t="s">
        <v>710</v>
      </c>
      <c r="E1058" s="508"/>
      <c r="F1058" s="509"/>
      <c r="G1058" s="507" t="s">
        <v>710</v>
      </c>
      <c r="H1058" s="508"/>
      <c r="I1058" s="509"/>
      <c r="J1058" s="476" t="s">
        <v>67</v>
      </c>
      <c r="K1058" s="476" t="s">
        <v>66</v>
      </c>
      <c r="L1058" s="449">
        <v>75</v>
      </c>
      <c r="M1058" s="288">
        <v>47</v>
      </c>
      <c r="N1058" s="288" t="s">
        <v>54</v>
      </c>
      <c r="O1058" s="288">
        <v>28</v>
      </c>
      <c r="P1058" s="478" t="s">
        <v>54</v>
      </c>
      <c r="Q1058" s="478" t="s">
        <v>54</v>
      </c>
      <c r="R1058" s="481" t="s">
        <v>54</v>
      </c>
      <c r="S1058" s="513" t="s">
        <v>13</v>
      </c>
      <c r="T1058" s="515" t="s">
        <v>54</v>
      </c>
      <c r="U1058" s="513" t="s">
        <v>11</v>
      </c>
      <c r="V1058" s="484"/>
    </row>
    <row r="1059" spans="1:22" ht="35.1" customHeight="1">
      <c r="A1059" s="1462"/>
      <c r="B1059" s="488"/>
      <c r="C1059" s="906"/>
      <c r="D1059" s="510"/>
      <c r="E1059" s="511"/>
      <c r="F1059" s="512"/>
      <c r="G1059" s="510"/>
      <c r="H1059" s="511"/>
      <c r="I1059" s="512"/>
      <c r="J1059" s="477"/>
      <c r="K1059" s="477"/>
      <c r="L1059" s="449" t="s">
        <v>84</v>
      </c>
      <c r="M1059" s="288">
        <v>239</v>
      </c>
      <c r="N1059" s="288" t="s">
        <v>54</v>
      </c>
      <c r="O1059" s="288">
        <v>176</v>
      </c>
      <c r="P1059" s="479"/>
      <c r="Q1059" s="479"/>
      <c r="R1059" s="482"/>
      <c r="S1059" s="514"/>
      <c r="T1059" s="516"/>
      <c r="U1059" s="514"/>
      <c r="V1059" s="485"/>
    </row>
    <row r="1060" spans="1:22" ht="35.1" customHeight="1">
      <c r="A1060" s="1462"/>
      <c r="B1060" s="488"/>
      <c r="C1060" s="906"/>
      <c r="D1060" s="510"/>
      <c r="E1060" s="511"/>
      <c r="F1060" s="512"/>
      <c r="G1060" s="510"/>
      <c r="H1060" s="511"/>
      <c r="I1060" s="512"/>
      <c r="J1060" s="477"/>
      <c r="K1060" s="477"/>
      <c r="L1060" s="449" t="s">
        <v>83</v>
      </c>
      <c r="M1060" s="288">
        <v>176</v>
      </c>
      <c r="N1060" s="288" t="s">
        <v>54</v>
      </c>
      <c r="O1060" s="288">
        <v>136</v>
      </c>
      <c r="P1060" s="479"/>
      <c r="Q1060" s="479"/>
      <c r="R1060" s="482"/>
      <c r="S1060" s="514"/>
      <c r="T1060" s="516"/>
      <c r="U1060" s="514"/>
      <c r="V1060" s="485"/>
    </row>
    <row r="1061" spans="1:22" ht="35.1" customHeight="1">
      <c r="A1061" s="1462"/>
      <c r="B1061" s="488"/>
      <c r="C1061" s="906"/>
      <c r="D1061" s="510"/>
      <c r="E1061" s="511"/>
      <c r="F1061" s="512"/>
      <c r="G1061" s="510"/>
      <c r="H1061" s="511"/>
      <c r="I1061" s="512"/>
      <c r="J1061" s="477"/>
      <c r="K1061" s="477"/>
      <c r="L1061" s="449" t="s">
        <v>82</v>
      </c>
      <c r="M1061" s="288">
        <v>184</v>
      </c>
      <c r="N1061" s="288" t="s">
        <v>54</v>
      </c>
      <c r="O1061" s="288">
        <v>158</v>
      </c>
      <c r="P1061" s="479"/>
      <c r="Q1061" s="479"/>
      <c r="R1061" s="482"/>
      <c r="S1061" s="514"/>
      <c r="T1061" s="516"/>
      <c r="U1061" s="514"/>
      <c r="V1061" s="485"/>
    </row>
    <row r="1062" spans="1:22" ht="35.1" customHeight="1">
      <c r="A1062" s="1462"/>
      <c r="B1062" s="488"/>
      <c r="C1062" s="906"/>
      <c r="D1062" s="510"/>
      <c r="E1062" s="511"/>
      <c r="F1062" s="512"/>
      <c r="G1062" s="510"/>
      <c r="H1062" s="511"/>
      <c r="I1062" s="512"/>
      <c r="J1062" s="477"/>
      <c r="K1062" s="477"/>
      <c r="L1062" s="449">
        <v>102</v>
      </c>
      <c r="M1062" s="288">
        <v>43</v>
      </c>
      <c r="N1062" s="288" t="s">
        <v>54</v>
      </c>
      <c r="O1062" s="288">
        <v>39</v>
      </c>
      <c r="P1062" s="479"/>
      <c r="Q1062" s="479"/>
      <c r="R1062" s="482"/>
      <c r="S1062" s="514"/>
      <c r="T1062" s="516"/>
      <c r="U1062" s="514"/>
      <c r="V1062" s="485"/>
    </row>
    <row r="1063" spans="1:22" ht="35.1" customHeight="1">
      <c r="A1063" s="1462"/>
      <c r="B1063" s="488"/>
      <c r="C1063" s="906"/>
      <c r="D1063" s="510"/>
      <c r="E1063" s="511"/>
      <c r="F1063" s="512"/>
      <c r="G1063" s="510"/>
      <c r="H1063" s="511"/>
      <c r="I1063" s="512"/>
      <c r="J1063" s="477"/>
      <c r="K1063" s="477"/>
      <c r="L1063" s="449">
        <v>124</v>
      </c>
      <c r="M1063" s="288">
        <v>23</v>
      </c>
      <c r="N1063" s="288" t="s">
        <v>54</v>
      </c>
      <c r="O1063" s="288">
        <v>21</v>
      </c>
      <c r="P1063" s="479"/>
      <c r="Q1063" s="479"/>
      <c r="R1063" s="482"/>
      <c r="S1063" s="514"/>
      <c r="T1063" s="516"/>
      <c r="U1063" s="514"/>
      <c r="V1063" s="485"/>
    </row>
    <row r="1064" spans="1:22" ht="35.1" customHeight="1">
      <c r="A1064" s="1462"/>
      <c r="B1064" s="488"/>
      <c r="C1064" s="906"/>
      <c r="D1064" s="510"/>
      <c r="E1064" s="511"/>
      <c r="F1064" s="512"/>
      <c r="G1064" s="510"/>
      <c r="H1064" s="511"/>
      <c r="I1064" s="512"/>
      <c r="J1064" s="477"/>
      <c r="K1064" s="477"/>
      <c r="L1064" s="449" t="s">
        <v>1167</v>
      </c>
      <c r="M1064" s="288">
        <v>2</v>
      </c>
      <c r="N1064" s="288" t="s">
        <v>54</v>
      </c>
      <c r="O1064" s="288">
        <v>2</v>
      </c>
      <c r="P1064" s="479"/>
      <c r="Q1064" s="479"/>
      <c r="R1064" s="482"/>
      <c r="S1064" s="514"/>
      <c r="T1064" s="516"/>
      <c r="U1064" s="514"/>
      <c r="V1064" s="485"/>
    </row>
    <row r="1065" spans="1:22" ht="35.1" customHeight="1">
      <c r="A1065" s="1462"/>
      <c r="B1065" s="489"/>
      <c r="C1065" s="907"/>
      <c r="D1065" s="510"/>
      <c r="E1065" s="511"/>
      <c r="F1065" s="512"/>
      <c r="G1065" s="490" t="s">
        <v>329</v>
      </c>
      <c r="H1065" s="491"/>
      <c r="I1065" s="491"/>
      <c r="J1065" s="491"/>
      <c r="K1065" s="492"/>
      <c r="L1065" s="448"/>
      <c r="M1065" s="289">
        <f>SUM(M1058:M1064)</f>
        <v>714</v>
      </c>
      <c r="N1065" s="289">
        <f t="shared" ref="N1065:O1065" si="47">SUM(N1058:N1064)</f>
        <v>0</v>
      </c>
      <c r="O1065" s="289">
        <f t="shared" si="47"/>
        <v>560</v>
      </c>
      <c r="P1065" s="480"/>
      <c r="Q1065" s="480"/>
      <c r="R1065" s="483"/>
      <c r="S1065" s="514"/>
      <c r="T1065" s="517"/>
      <c r="U1065" s="514"/>
      <c r="V1065" s="486"/>
    </row>
    <row r="1066" spans="1:22" ht="35.1" customHeight="1">
      <c r="A1066" s="1462"/>
      <c r="B1066" s="777" t="s">
        <v>105</v>
      </c>
      <c r="C1066" s="778"/>
      <c r="D1066" s="778"/>
      <c r="E1066" s="778"/>
      <c r="F1066" s="778"/>
      <c r="G1066" s="778"/>
      <c r="H1066" s="778"/>
      <c r="I1066" s="778"/>
      <c r="J1066" s="778"/>
      <c r="K1066" s="779"/>
      <c r="L1066" s="122"/>
      <c r="M1066" s="247">
        <f>M1019+M1035+M1031+M1048+M1057+M1065</f>
        <v>6969</v>
      </c>
      <c r="N1066" s="247">
        <f t="shared" ref="N1066:O1066" si="48">N1019+N1035+N1031+N1048+N1057+N1065</f>
        <v>1082</v>
      </c>
      <c r="O1066" s="247">
        <f t="shared" si="48"/>
        <v>1846</v>
      </c>
      <c r="P1066" s="123"/>
      <c r="Q1066" s="123"/>
      <c r="R1066" s="123"/>
      <c r="S1066" s="156"/>
      <c r="T1066" s="156"/>
      <c r="U1066" s="156"/>
    </row>
    <row r="1067" spans="1:22" ht="35.1" customHeight="1">
      <c r="A1067" s="1462"/>
      <c r="B1067" s="487" t="s">
        <v>674</v>
      </c>
      <c r="C1067" s="1097" t="s">
        <v>675</v>
      </c>
      <c r="D1067" s="847" t="s">
        <v>715</v>
      </c>
      <c r="E1067" s="848"/>
      <c r="F1067" s="849"/>
      <c r="G1067" s="645" t="s">
        <v>705</v>
      </c>
      <c r="H1067" s="645" t="s">
        <v>676</v>
      </c>
      <c r="I1067" s="645" t="s">
        <v>677</v>
      </c>
      <c r="J1067" s="841" t="s">
        <v>11</v>
      </c>
      <c r="K1067" s="841" t="s">
        <v>12</v>
      </c>
      <c r="L1067" s="209">
        <v>59</v>
      </c>
      <c r="M1067" s="298">
        <v>46</v>
      </c>
      <c r="N1067" s="415">
        <v>0</v>
      </c>
      <c r="O1067" s="415">
        <v>0</v>
      </c>
      <c r="P1067" s="1115" t="s">
        <v>652</v>
      </c>
      <c r="Q1067" s="1075" t="s">
        <v>408</v>
      </c>
      <c r="R1067" s="1075" t="s">
        <v>725</v>
      </c>
      <c r="S1067" s="1075" t="s">
        <v>13</v>
      </c>
      <c r="T1067" s="1075" t="s">
        <v>678</v>
      </c>
      <c r="U1067" s="1075" t="s">
        <v>11</v>
      </c>
    </row>
    <row r="1068" spans="1:22" ht="35.1" customHeight="1">
      <c r="A1068" s="1462"/>
      <c r="B1068" s="488"/>
      <c r="C1068" s="1098"/>
      <c r="D1068" s="850"/>
      <c r="E1068" s="851"/>
      <c r="F1068" s="852"/>
      <c r="G1068" s="646"/>
      <c r="H1068" s="646"/>
      <c r="I1068" s="646"/>
      <c r="J1068" s="842"/>
      <c r="K1068" s="842"/>
      <c r="L1068" s="209">
        <v>84</v>
      </c>
      <c r="M1068" s="298">
        <v>417</v>
      </c>
      <c r="N1068" s="415">
        <v>58</v>
      </c>
      <c r="O1068" s="415">
        <v>53</v>
      </c>
      <c r="P1068" s="1116"/>
      <c r="Q1068" s="1076"/>
      <c r="R1068" s="1076"/>
      <c r="S1068" s="1076"/>
      <c r="T1068" s="1076"/>
      <c r="U1068" s="1076"/>
    </row>
    <row r="1069" spans="1:22" ht="35.1" customHeight="1">
      <c r="A1069" s="1462"/>
      <c r="B1069" s="488"/>
      <c r="C1069" s="1098"/>
      <c r="D1069" s="850"/>
      <c r="E1069" s="851"/>
      <c r="F1069" s="852"/>
      <c r="G1069" s="647"/>
      <c r="H1069" s="647"/>
      <c r="I1069" s="647"/>
      <c r="J1069" s="843"/>
      <c r="K1069" s="843"/>
      <c r="L1069" s="209">
        <v>113</v>
      </c>
      <c r="M1069" s="298">
        <v>88</v>
      </c>
      <c r="N1069" s="415">
        <v>38</v>
      </c>
      <c r="O1069" s="415">
        <v>38</v>
      </c>
      <c r="P1069" s="1116"/>
      <c r="Q1069" s="1076"/>
      <c r="R1069" s="1076"/>
      <c r="S1069" s="1076"/>
      <c r="T1069" s="1076"/>
      <c r="U1069" s="1076"/>
    </row>
    <row r="1070" spans="1:22" ht="35.1" customHeight="1">
      <c r="A1070" s="1462"/>
      <c r="B1070" s="488"/>
      <c r="C1070" s="1099"/>
      <c r="D1070" s="853"/>
      <c r="E1070" s="854"/>
      <c r="F1070" s="855"/>
      <c r="G1070" s="490" t="s">
        <v>329</v>
      </c>
      <c r="H1070" s="491"/>
      <c r="I1070" s="491"/>
      <c r="J1070" s="491"/>
      <c r="K1070" s="492"/>
      <c r="L1070" s="345"/>
      <c r="M1070" s="300">
        <f>SUM(M1067:M1069)</f>
        <v>551</v>
      </c>
      <c r="N1070" s="416">
        <f>SUM(N1067:N1069)</f>
        <v>96</v>
      </c>
      <c r="O1070" s="416">
        <f>SUM(O1067:O1069)</f>
        <v>91</v>
      </c>
      <c r="P1070" s="1117"/>
      <c r="Q1070" s="1100"/>
      <c r="R1070" s="1100"/>
      <c r="S1070" s="1100"/>
      <c r="T1070" s="1100"/>
      <c r="U1070" s="1100"/>
    </row>
    <row r="1071" spans="1:22" ht="35.1" customHeight="1">
      <c r="A1071" s="1462"/>
      <c r="B1071" s="488"/>
      <c r="C1071" s="1097" t="s">
        <v>716</v>
      </c>
      <c r="D1071" s="847" t="s">
        <v>717</v>
      </c>
      <c r="E1071" s="848"/>
      <c r="F1071" s="849"/>
      <c r="G1071" s="645" t="s">
        <v>718</v>
      </c>
      <c r="H1071" s="645" t="s">
        <v>719</v>
      </c>
      <c r="I1071" s="645" t="s">
        <v>789</v>
      </c>
      <c r="J1071" s="841" t="s">
        <v>11</v>
      </c>
      <c r="K1071" s="841" t="s">
        <v>12</v>
      </c>
      <c r="L1071" s="209">
        <v>84.918199999999999</v>
      </c>
      <c r="M1071" s="298">
        <v>182</v>
      </c>
      <c r="N1071" s="415">
        <v>9</v>
      </c>
      <c r="O1071" s="415">
        <v>9</v>
      </c>
      <c r="P1071" s="1075" t="s">
        <v>429</v>
      </c>
      <c r="Q1071" s="1075" t="s">
        <v>408</v>
      </c>
      <c r="R1071" s="1075" t="s">
        <v>725</v>
      </c>
      <c r="S1071" s="1075" t="s">
        <v>13</v>
      </c>
      <c r="T1071" s="1075" t="s">
        <v>720</v>
      </c>
      <c r="U1071" s="1075" t="s">
        <v>11</v>
      </c>
    </row>
    <row r="1072" spans="1:22" ht="35.1" customHeight="1">
      <c r="A1072" s="1462"/>
      <c r="B1072" s="488"/>
      <c r="C1072" s="1098"/>
      <c r="D1072" s="850"/>
      <c r="E1072" s="851"/>
      <c r="F1072" s="852"/>
      <c r="G1072" s="646"/>
      <c r="H1072" s="646"/>
      <c r="I1072" s="646"/>
      <c r="J1072" s="842"/>
      <c r="K1072" s="842"/>
      <c r="L1072" s="209">
        <v>84.917000000000002</v>
      </c>
      <c r="M1072" s="298">
        <v>53</v>
      </c>
      <c r="N1072" s="415">
        <v>3</v>
      </c>
      <c r="O1072" s="415">
        <v>3</v>
      </c>
      <c r="P1072" s="1076"/>
      <c r="Q1072" s="1076"/>
      <c r="R1072" s="1076"/>
      <c r="S1072" s="1076"/>
      <c r="T1072" s="1076"/>
      <c r="U1072" s="1076"/>
    </row>
    <row r="1073" spans="1:21" ht="35.1" customHeight="1">
      <c r="A1073" s="1462"/>
      <c r="B1073" s="488"/>
      <c r="C1073" s="1098"/>
      <c r="D1073" s="850"/>
      <c r="E1073" s="851"/>
      <c r="F1073" s="852"/>
      <c r="G1073" s="646"/>
      <c r="H1073" s="646"/>
      <c r="I1073" s="646"/>
      <c r="J1073" s="842"/>
      <c r="K1073" s="842"/>
      <c r="L1073" s="209">
        <v>84.917599999999993</v>
      </c>
      <c r="M1073" s="298">
        <v>26</v>
      </c>
      <c r="N1073" s="415">
        <v>1</v>
      </c>
      <c r="O1073" s="415">
        <v>1</v>
      </c>
      <c r="P1073" s="1076"/>
      <c r="Q1073" s="1076"/>
      <c r="R1073" s="1076"/>
      <c r="S1073" s="1076"/>
      <c r="T1073" s="1076"/>
      <c r="U1073" s="1076"/>
    </row>
    <row r="1074" spans="1:21" ht="35.1" customHeight="1">
      <c r="A1074" s="1462"/>
      <c r="B1074" s="488"/>
      <c r="C1074" s="1098"/>
      <c r="D1074" s="850"/>
      <c r="E1074" s="851"/>
      <c r="F1074" s="852"/>
      <c r="G1074" s="646"/>
      <c r="H1074" s="646"/>
      <c r="I1074" s="646"/>
      <c r="J1074" s="842"/>
      <c r="K1074" s="842"/>
      <c r="L1074" s="209">
        <v>104.4224</v>
      </c>
      <c r="M1074" s="298">
        <v>53</v>
      </c>
      <c r="N1074" s="415">
        <v>13</v>
      </c>
      <c r="O1074" s="415">
        <v>13</v>
      </c>
      <c r="P1074" s="1076"/>
      <c r="Q1074" s="1076"/>
      <c r="R1074" s="1076"/>
      <c r="S1074" s="1076"/>
      <c r="T1074" s="1076"/>
      <c r="U1074" s="1076"/>
    </row>
    <row r="1075" spans="1:21" ht="35.1" customHeight="1">
      <c r="A1075" s="1462"/>
      <c r="B1075" s="488"/>
      <c r="C1075" s="1098"/>
      <c r="D1075" s="850"/>
      <c r="E1075" s="851"/>
      <c r="F1075" s="852"/>
      <c r="G1075" s="646"/>
      <c r="H1075" s="646"/>
      <c r="I1075" s="646"/>
      <c r="J1075" s="842"/>
      <c r="K1075" s="842"/>
      <c r="L1075" s="209">
        <v>104.8438</v>
      </c>
      <c r="M1075" s="298">
        <v>26</v>
      </c>
      <c r="N1075" s="415">
        <v>23</v>
      </c>
      <c r="O1075" s="415">
        <v>22</v>
      </c>
      <c r="P1075" s="1076"/>
      <c r="Q1075" s="1076"/>
      <c r="R1075" s="1076"/>
      <c r="S1075" s="1076"/>
      <c r="T1075" s="1076"/>
      <c r="U1075" s="1076"/>
    </row>
    <row r="1076" spans="1:21" ht="35.1" customHeight="1">
      <c r="A1076" s="1462"/>
      <c r="B1076" s="488"/>
      <c r="C1076" s="1098"/>
      <c r="D1076" s="850"/>
      <c r="E1076" s="851"/>
      <c r="F1076" s="852"/>
      <c r="G1076" s="646"/>
      <c r="H1076" s="646"/>
      <c r="I1076" s="646"/>
      <c r="J1076" s="842"/>
      <c r="K1076" s="842"/>
      <c r="L1076" s="209">
        <v>104.5252</v>
      </c>
      <c r="M1076" s="298">
        <v>27</v>
      </c>
      <c r="N1076" s="415">
        <v>0</v>
      </c>
      <c r="O1076" s="415">
        <v>0</v>
      </c>
      <c r="P1076" s="1076"/>
      <c r="Q1076" s="1076"/>
      <c r="R1076" s="1076"/>
      <c r="S1076" s="1076"/>
      <c r="T1076" s="1076"/>
      <c r="U1076" s="1076"/>
    </row>
    <row r="1077" spans="1:21" ht="35.1" customHeight="1">
      <c r="A1077" s="1462"/>
      <c r="B1077" s="488"/>
      <c r="C1077" s="1098"/>
      <c r="D1077" s="850"/>
      <c r="E1077" s="851"/>
      <c r="F1077" s="852"/>
      <c r="G1077" s="646"/>
      <c r="H1077" s="646"/>
      <c r="I1077" s="646"/>
      <c r="J1077" s="842"/>
      <c r="K1077" s="842"/>
      <c r="L1077" s="209">
        <v>130.39099999999999</v>
      </c>
      <c r="M1077" s="298">
        <v>7</v>
      </c>
      <c r="N1077" s="415">
        <v>5</v>
      </c>
      <c r="O1077" s="415">
        <v>5</v>
      </c>
      <c r="P1077" s="1076"/>
      <c r="Q1077" s="1076"/>
      <c r="R1077" s="1076"/>
      <c r="S1077" s="1076"/>
      <c r="T1077" s="1076"/>
      <c r="U1077" s="1076"/>
    </row>
    <row r="1078" spans="1:21" ht="35.1" customHeight="1">
      <c r="A1078" s="1462"/>
      <c r="B1078" s="488"/>
      <c r="C1078" s="1098"/>
      <c r="D1078" s="850"/>
      <c r="E1078" s="851"/>
      <c r="F1078" s="852"/>
      <c r="G1078" s="646"/>
      <c r="H1078" s="646"/>
      <c r="I1078" s="646"/>
      <c r="J1078" s="842"/>
      <c r="K1078" s="842"/>
      <c r="L1078" s="209">
        <v>130.47239999999999</v>
      </c>
      <c r="M1078" s="298">
        <v>2</v>
      </c>
      <c r="N1078" s="415">
        <v>2</v>
      </c>
      <c r="O1078" s="415">
        <v>2</v>
      </c>
      <c r="P1078" s="1076"/>
      <c r="Q1078" s="1076"/>
      <c r="R1078" s="1076"/>
      <c r="S1078" s="1076"/>
      <c r="T1078" s="1076"/>
      <c r="U1078" s="1076"/>
    </row>
    <row r="1079" spans="1:21" ht="35.1" customHeight="1">
      <c r="A1079" s="1462"/>
      <c r="B1079" s="488"/>
      <c r="C1079" s="1098"/>
      <c r="D1079" s="850"/>
      <c r="E1079" s="851"/>
      <c r="F1079" s="852"/>
      <c r="G1079" s="646"/>
      <c r="H1079" s="646"/>
      <c r="I1079" s="646"/>
      <c r="J1079" s="842"/>
      <c r="K1079" s="842"/>
      <c r="L1079" s="209">
        <v>130.08969999999999</v>
      </c>
      <c r="M1079" s="298">
        <v>1</v>
      </c>
      <c r="N1079" s="415">
        <v>0</v>
      </c>
      <c r="O1079" s="415">
        <v>0</v>
      </c>
      <c r="P1079" s="1076"/>
      <c r="Q1079" s="1076"/>
      <c r="R1079" s="1076"/>
      <c r="S1079" s="1076"/>
      <c r="T1079" s="1076"/>
      <c r="U1079" s="1076"/>
    </row>
    <row r="1080" spans="1:21" ht="35.1" customHeight="1">
      <c r="A1080" s="1462"/>
      <c r="B1080" s="488"/>
      <c r="C1080" s="1098"/>
      <c r="D1080" s="850"/>
      <c r="E1080" s="851"/>
      <c r="F1080" s="852"/>
      <c r="G1080" s="646"/>
      <c r="H1080" s="646"/>
      <c r="I1080" s="646"/>
      <c r="J1080" s="842"/>
      <c r="K1080" s="842"/>
      <c r="L1080" s="209">
        <v>153.51060000000001</v>
      </c>
      <c r="M1080" s="298">
        <v>2</v>
      </c>
      <c r="N1080" s="415">
        <v>1</v>
      </c>
      <c r="O1080" s="415">
        <v>1</v>
      </c>
      <c r="P1080" s="1076"/>
      <c r="Q1080" s="1076"/>
      <c r="R1080" s="1076"/>
      <c r="S1080" s="1076"/>
      <c r="T1080" s="1076"/>
      <c r="U1080" s="1076"/>
    </row>
    <row r="1081" spans="1:21" ht="35.1" customHeight="1">
      <c r="A1081" s="1462"/>
      <c r="B1081" s="488"/>
      <c r="C1081" s="1098"/>
      <c r="D1081" s="850"/>
      <c r="E1081" s="851"/>
      <c r="F1081" s="852"/>
      <c r="G1081" s="646"/>
      <c r="H1081" s="646"/>
      <c r="I1081" s="646"/>
      <c r="J1081" s="842"/>
      <c r="K1081" s="842"/>
      <c r="L1081" s="209">
        <v>153.49950000000001</v>
      </c>
      <c r="M1081" s="298">
        <v>1</v>
      </c>
      <c r="N1081" s="415">
        <v>1</v>
      </c>
      <c r="O1081" s="415">
        <v>1</v>
      </c>
      <c r="P1081" s="1076"/>
      <c r="Q1081" s="1076"/>
      <c r="R1081" s="1076"/>
      <c r="S1081" s="1076"/>
      <c r="T1081" s="1076"/>
      <c r="U1081" s="1076"/>
    </row>
    <row r="1082" spans="1:21" ht="35.1" customHeight="1">
      <c r="A1082" s="1462"/>
      <c r="B1082" s="488"/>
      <c r="C1082" s="1098"/>
      <c r="D1082" s="850"/>
      <c r="E1082" s="851"/>
      <c r="F1082" s="852"/>
      <c r="G1082" s="647"/>
      <c r="H1082" s="647"/>
      <c r="I1082" s="647"/>
      <c r="J1082" s="843"/>
      <c r="K1082" s="843"/>
      <c r="L1082" s="209">
        <v>153.77549999999999</v>
      </c>
      <c r="M1082" s="298">
        <v>1</v>
      </c>
      <c r="N1082" s="415">
        <v>0</v>
      </c>
      <c r="O1082" s="415">
        <v>0</v>
      </c>
      <c r="P1082" s="1076"/>
      <c r="Q1082" s="1076"/>
      <c r="R1082" s="1076"/>
      <c r="S1082" s="1076"/>
      <c r="T1082" s="1076"/>
      <c r="U1082" s="1076"/>
    </row>
    <row r="1083" spans="1:21" ht="35.1" customHeight="1">
      <c r="A1083" s="1462"/>
      <c r="B1083" s="488"/>
      <c r="C1083" s="1099"/>
      <c r="D1083" s="853"/>
      <c r="E1083" s="854"/>
      <c r="F1083" s="855"/>
      <c r="G1083" s="490" t="s">
        <v>329</v>
      </c>
      <c r="H1083" s="491"/>
      <c r="I1083" s="491"/>
      <c r="J1083" s="491"/>
      <c r="K1083" s="492"/>
      <c r="L1083" s="345"/>
      <c r="M1083" s="289">
        <f>SUM(M1071:M1082)</f>
        <v>381</v>
      </c>
      <c r="N1083" s="414">
        <f>SUM(N1071:N1082)</f>
        <v>58</v>
      </c>
      <c r="O1083" s="414">
        <f>SUM(O1071:O1082)</f>
        <v>57</v>
      </c>
      <c r="P1083" s="353"/>
      <c r="Q1083" s="353"/>
      <c r="R1083" s="353"/>
      <c r="S1083" s="1100"/>
      <c r="T1083" s="1100"/>
      <c r="U1083" s="353"/>
    </row>
    <row r="1084" spans="1:21" ht="35.1" customHeight="1">
      <c r="A1084" s="1462"/>
      <c r="B1084" s="488"/>
      <c r="C1084" s="773" t="s">
        <v>54</v>
      </c>
      <c r="D1084" s="847"/>
      <c r="E1084" s="848"/>
      <c r="F1084" s="849"/>
      <c r="G1084" s="841" t="s">
        <v>54</v>
      </c>
      <c r="H1084" s="841" t="s">
        <v>54</v>
      </c>
      <c r="I1084" s="841" t="s">
        <v>54</v>
      </c>
      <c r="J1084" s="841" t="s">
        <v>54</v>
      </c>
      <c r="K1084" s="841" t="s">
        <v>12</v>
      </c>
      <c r="L1084" s="421">
        <v>59</v>
      </c>
      <c r="M1084" s="422">
        <v>166</v>
      </c>
      <c r="N1084" s="422">
        <v>36</v>
      </c>
      <c r="O1084" s="422">
        <v>35</v>
      </c>
      <c r="P1084" s="615" t="s">
        <v>54</v>
      </c>
      <c r="Q1084" s="615" t="s">
        <v>54</v>
      </c>
      <c r="R1084" s="615" t="s">
        <v>54</v>
      </c>
      <c r="S1084" s="615" t="s">
        <v>54</v>
      </c>
      <c r="T1084" s="615" t="s">
        <v>54</v>
      </c>
      <c r="U1084" s="615" t="s">
        <v>54</v>
      </c>
    </row>
    <row r="1085" spans="1:21" ht="35.1" customHeight="1">
      <c r="A1085" s="1462"/>
      <c r="B1085" s="488"/>
      <c r="C1085" s="646"/>
      <c r="D1085" s="850"/>
      <c r="E1085" s="851"/>
      <c r="F1085" s="852"/>
      <c r="G1085" s="842"/>
      <c r="H1085" s="842"/>
      <c r="I1085" s="842"/>
      <c r="J1085" s="842"/>
      <c r="K1085" s="842"/>
      <c r="L1085" s="421">
        <v>67</v>
      </c>
      <c r="M1085" s="422">
        <v>43</v>
      </c>
      <c r="N1085" s="422">
        <v>14</v>
      </c>
      <c r="O1085" s="422">
        <v>14</v>
      </c>
      <c r="P1085" s="616"/>
      <c r="Q1085" s="616"/>
      <c r="R1085" s="616"/>
      <c r="S1085" s="616"/>
      <c r="T1085" s="616"/>
      <c r="U1085" s="616"/>
    </row>
    <row r="1086" spans="1:21" ht="35.1" customHeight="1">
      <c r="A1086" s="1462"/>
      <c r="B1086" s="488"/>
      <c r="C1086" s="646"/>
      <c r="D1086" s="850"/>
      <c r="E1086" s="851"/>
      <c r="F1086" s="852"/>
      <c r="G1086" s="842"/>
      <c r="H1086" s="842"/>
      <c r="I1086" s="842"/>
      <c r="J1086" s="842"/>
      <c r="K1086" s="842"/>
      <c r="L1086" s="421" t="s">
        <v>195</v>
      </c>
      <c r="M1086" s="422">
        <v>359</v>
      </c>
      <c r="N1086" s="422">
        <v>254</v>
      </c>
      <c r="O1086" s="422">
        <v>254</v>
      </c>
      <c r="P1086" s="616"/>
      <c r="Q1086" s="616"/>
      <c r="R1086" s="616"/>
      <c r="S1086" s="616"/>
      <c r="T1086" s="616"/>
      <c r="U1086" s="616"/>
    </row>
    <row r="1087" spans="1:21" ht="35.1" customHeight="1">
      <c r="A1087" s="1462"/>
      <c r="B1087" s="488"/>
      <c r="C1087" s="646"/>
      <c r="D1087" s="850"/>
      <c r="E1087" s="851"/>
      <c r="F1087" s="852"/>
      <c r="G1087" s="842"/>
      <c r="H1087" s="842"/>
      <c r="I1087" s="842"/>
      <c r="J1087" s="842"/>
      <c r="K1087" s="842"/>
      <c r="L1087" s="421" t="s">
        <v>196</v>
      </c>
      <c r="M1087" s="422">
        <v>192</v>
      </c>
      <c r="N1087" s="422">
        <v>173</v>
      </c>
      <c r="O1087" s="422">
        <v>173</v>
      </c>
      <c r="P1087" s="616"/>
      <c r="Q1087" s="616"/>
      <c r="R1087" s="616"/>
      <c r="S1087" s="616"/>
      <c r="T1087" s="616"/>
      <c r="U1087" s="616"/>
    </row>
    <row r="1088" spans="1:21" ht="35.1" customHeight="1">
      <c r="A1088" s="1462"/>
      <c r="B1088" s="488"/>
      <c r="C1088" s="646"/>
      <c r="D1088" s="850"/>
      <c r="E1088" s="851"/>
      <c r="F1088" s="852"/>
      <c r="G1088" s="842"/>
      <c r="H1088" s="842"/>
      <c r="I1088" s="842"/>
      <c r="J1088" s="842"/>
      <c r="K1088" s="842"/>
      <c r="L1088" s="421" t="s">
        <v>197</v>
      </c>
      <c r="M1088" s="422">
        <v>63</v>
      </c>
      <c r="N1088" s="422">
        <v>63</v>
      </c>
      <c r="O1088" s="422">
        <v>63</v>
      </c>
      <c r="P1088" s="616"/>
      <c r="Q1088" s="616"/>
      <c r="R1088" s="616"/>
      <c r="S1088" s="616"/>
      <c r="T1088" s="616"/>
      <c r="U1088" s="616"/>
    </row>
    <row r="1089" spans="1:21" ht="35.1" customHeight="1">
      <c r="A1089" s="1462"/>
      <c r="B1089" s="488"/>
      <c r="C1089" s="646"/>
      <c r="D1089" s="850"/>
      <c r="E1089" s="851"/>
      <c r="F1089" s="852"/>
      <c r="G1089" s="842"/>
      <c r="H1089" s="842"/>
      <c r="I1089" s="842"/>
      <c r="J1089" s="842"/>
      <c r="K1089" s="842"/>
      <c r="L1089" s="421">
        <v>94</v>
      </c>
      <c r="M1089" s="422">
        <v>70</v>
      </c>
      <c r="N1089" s="422">
        <v>49</v>
      </c>
      <c r="O1089" s="422">
        <v>48</v>
      </c>
      <c r="P1089" s="616"/>
      <c r="Q1089" s="616"/>
      <c r="R1089" s="616"/>
      <c r="S1089" s="616"/>
      <c r="T1089" s="616"/>
      <c r="U1089" s="616"/>
    </row>
    <row r="1090" spans="1:21" ht="35.1" customHeight="1">
      <c r="A1090" s="1462"/>
      <c r="B1090" s="488"/>
      <c r="C1090" s="646"/>
      <c r="D1090" s="850"/>
      <c r="E1090" s="851"/>
      <c r="F1090" s="852"/>
      <c r="G1090" s="842"/>
      <c r="H1090" s="842"/>
      <c r="I1090" s="842"/>
      <c r="J1090" s="842"/>
      <c r="K1090" s="842"/>
      <c r="L1090" s="421" t="s">
        <v>1075</v>
      </c>
      <c r="M1090" s="422">
        <v>38</v>
      </c>
      <c r="N1090" s="422">
        <v>36</v>
      </c>
      <c r="O1090" s="422">
        <v>35</v>
      </c>
      <c r="P1090" s="616"/>
      <c r="Q1090" s="616"/>
      <c r="R1090" s="616"/>
      <c r="S1090" s="616"/>
      <c r="T1090" s="616"/>
      <c r="U1090" s="616"/>
    </row>
    <row r="1091" spans="1:21" ht="35.1" customHeight="1">
      <c r="A1091" s="1462"/>
      <c r="B1091" s="488"/>
      <c r="C1091" s="646"/>
      <c r="D1091" s="850"/>
      <c r="E1091" s="851"/>
      <c r="F1091" s="852"/>
      <c r="G1091" s="842"/>
      <c r="H1091" s="842"/>
      <c r="I1091" s="842"/>
      <c r="J1091" s="842"/>
      <c r="K1091" s="842"/>
      <c r="L1091" s="421" t="s">
        <v>1076</v>
      </c>
      <c r="M1091" s="422">
        <v>11</v>
      </c>
      <c r="N1091" s="422">
        <v>11</v>
      </c>
      <c r="O1091" s="422">
        <v>11</v>
      </c>
      <c r="P1091" s="616"/>
      <c r="Q1091" s="616"/>
      <c r="R1091" s="616"/>
      <c r="S1091" s="616"/>
      <c r="T1091" s="616"/>
      <c r="U1091" s="616"/>
    </row>
    <row r="1092" spans="1:21" ht="35.1" customHeight="1">
      <c r="A1092" s="1462"/>
      <c r="B1092" s="488"/>
      <c r="C1092" s="646"/>
      <c r="D1092" s="850"/>
      <c r="E1092" s="851"/>
      <c r="F1092" s="852"/>
      <c r="G1092" s="842"/>
      <c r="H1092" s="842"/>
      <c r="I1092" s="842"/>
      <c r="J1092" s="842"/>
      <c r="K1092" s="842"/>
      <c r="L1092" s="421">
        <v>114</v>
      </c>
      <c r="M1092" s="422">
        <v>84</v>
      </c>
      <c r="N1092" s="422">
        <v>82</v>
      </c>
      <c r="O1092" s="422">
        <v>82</v>
      </c>
      <c r="P1092" s="616"/>
      <c r="Q1092" s="616"/>
      <c r="R1092" s="616"/>
      <c r="S1092" s="616"/>
      <c r="T1092" s="616"/>
      <c r="U1092" s="616"/>
    </row>
    <row r="1093" spans="1:21" ht="35.1" customHeight="1">
      <c r="A1093" s="1462"/>
      <c r="B1093" s="488"/>
      <c r="C1093" s="646"/>
      <c r="D1093" s="850"/>
      <c r="E1093" s="851"/>
      <c r="F1093" s="852"/>
      <c r="G1093" s="842"/>
      <c r="H1093" s="842"/>
      <c r="I1093" s="842"/>
      <c r="J1093" s="842"/>
      <c r="K1093" s="842"/>
      <c r="L1093" s="421">
        <v>125</v>
      </c>
      <c r="M1093" s="422">
        <v>13</v>
      </c>
      <c r="N1093" s="422">
        <v>12</v>
      </c>
      <c r="O1093" s="422">
        <v>12</v>
      </c>
      <c r="P1093" s="616"/>
      <c r="Q1093" s="616"/>
      <c r="R1093" s="616"/>
      <c r="S1093" s="616"/>
      <c r="T1093" s="616"/>
      <c r="U1093" s="616"/>
    </row>
    <row r="1094" spans="1:21" ht="35.1" customHeight="1">
      <c r="A1094" s="1462"/>
      <c r="B1094" s="489"/>
      <c r="C1094" s="647"/>
      <c r="D1094" s="853"/>
      <c r="E1094" s="854"/>
      <c r="F1094" s="855"/>
      <c r="G1094" s="417"/>
      <c r="H1094" s="417"/>
      <c r="I1094" s="417"/>
      <c r="J1094" s="417"/>
      <c r="K1094" s="418"/>
      <c r="L1094" s="418"/>
      <c r="M1094" s="289">
        <f>SUM(M1084:M1093)</f>
        <v>1039</v>
      </c>
      <c r="N1094" s="289">
        <f t="shared" ref="N1094" si="49">SUM(N1084:N1093)</f>
        <v>730</v>
      </c>
      <c r="O1094" s="289">
        <f t="shared" ref="O1094" si="50">SUM(O1084:O1093)</f>
        <v>727</v>
      </c>
      <c r="P1094" s="419"/>
      <c r="Q1094" s="419"/>
      <c r="R1094" s="419"/>
      <c r="S1094" s="420"/>
      <c r="T1094" s="420"/>
      <c r="U1094" s="419"/>
    </row>
    <row r="1095" spans="1:21" ht="35.1" customHeight="1">
      <c r="A1095" s="1462"/>
      <c r="B1095" s="777" t="s">
        <v>105</v>
      </c>
      <c r="C1095" s="778"/>
      <c r="D1095" s="778"/>
      <c r="E1095" s="778"/>
      <c r="F1095" s="778"/>
      <c r="G1095" s="778"/>
      <c r="H1095" s="778"/>
      <c r="I1095" s="778"/>
      <c r="J1095" s="778"/>
      <c r="K1095" s="779"/>
      <c r="L1095" s="122"/>
      <c r="M1095" s="394">
        <f t="shared" ref="M1095" si="51">M1070+M1083+M1094</f>
        <v>1971</v>
      </c>
      <c r="N1095" s="394">
        <f>N1070+N1083+N1094</f>
        <v>884</v>
      </c>
      <c r="O1095" s="394">
        <f>O1070+O1083+O1094</f>
        <v>875</v>
      </c>
      <c r="P1095" s="123"/>
      <c r="Q1095" s="123"/>
      <c r="R1095" s="123"/>
      <c r="S1095" s="156"/>
      <c r="T1095" s="156"/>
      <c r="U1095" s="156"/>
    </row>
    <row r="1096" spans="1:21" ht="35.1" customHeight="1">
      <c r="A1096" s="1462"/>
      <c r="B1096" s="710" t="s">
        <v>692</v>
      </c>
      <c r="C1096" s="597" t="s">
        <v>724</v>
      </c>
      <c r="D1096" s="877" t="s">
        <v>726</v>
      </c>
      <c r="E1096" s="878"/>
      <c r="F1096" s="879"/>
      <c r="G1096" s="639" t="s">
        <v>724</v>
      </c>
      <c r="H1096" s="639" t="s">
        <v>724</v>
      </c>
      <c r="I1096" s="639" t="s">
        <v>724</v>
      </c>
      <c r="J1096" s="653" t="s">
        <v>11</v>
      </c>
      <c r="K1096" s="653" t="s">
        <v>12</v>
      </c>
      <c r="L1096" s="128" t="s">
        <v>721</v>
      </c>
      <c r="M1096" s="221">
        <v>201</v>
      </c>
      <c r="N1096" s="301">
        <v>0</v>
      </c>
      <c r="O1096" s="301">
        <v>0</v>
      </c>
      <c r="P1096" s="597" t="s">
        <v>54</v>
      </c>
      <c r="Q1096" s="597" t="s">
        <v>54</v>
      </c>
      <c r="R1096" s="597" t="s">
        <v>54</v>
      </c>
      <c r="S1096" s="597" t="s">
        <v>54</v>
      </c>
      <c r="T1096" s="597" t="s">
        <v>54</v>
      </c>
      <c r="U1096" s="597" t="s">
        <v>54</v>
      </c>
    </row>
    <row r="1097" spans="1:21" ht="35.1" customHeight="1">
      <c r="A1097" s="1462"/>
      <c r="B1097" s="711"/>
      <c r="C1097" s="503"/>
      <c r="D1097" s="880"/>
      <c r="E1097" s="881"/>
      <c r="F1097" s="882"/>
      <c r="G1097" s="640"/>
      <c r="H1097" s="640"/>
      <c r="I1097" s="640"/>
      <c r="J1097" s="654"/>
      <c r="K1097" s="654"/>
      <c r="L1097" s="128" t="s">
        <v>722</v>
      </c>
      <c r="M1097" s="221">
        <v>135</v>
      </c>
      <c r="N1097" s="301">
        <v>0</v>
      </c>
      <c r="O1097" s="301">
        <v>0</v>
      </c>
      <c r="P1097" s="503"/>
      <c r="Q1097" s="503"/>
      <c r="R1097" s="503"/>
      <c r="S1097" s="503"/>
      <c r="T1097" s="503"/>
      <c r="U1097" s="503"/>
    </row>
    <row r="1098" spans="1:21" ht="35.1" customHeight="1">
      <c r="A1098" s="1462"/>
      <c r="B1098" s="711"/>
      <c r="C1098" s="503"/>
      <c r="D1098" s="880"/>
      <c r="E1098" s="881"/>
      <c r="F1098" s="882"/>
      <c r="G1098" s="640"/>
      <c r="H1098" s="640"/>
      <c r="I1098" s="640"/>
      <c r="J1098" s="654"/>
      <c r="K1098" s="654"/>
      <c r="L1098" s="128" t="s">
        <v>723</v>
      </c>
      <c r="M1098" s="221">
        <v>24</v>
      </c>
      <c r="N1098" s="301">
        <v>0</v>
      </c>
      <c r="O1098" s="301">
        <v>0</v>
      </c>
      <c r="P1098" s="503"/>
      <c r="Q1098" s="503"/>
      <c r="R1098" s="503"/>
      <c r="S1098" s="503"/>
      <c r="T1098" s="503"/>
      <c r="U1098" s="503"/>
    </row>
    <row r="1099" spans="1:21" ht="35.1" customHeight="1">
      <c r="A1099" s="1462"/>
      <c r="B1099" s="711"/>
      <c r="C1099" s="503"/>
      <c r="D1099" s="880"/>
      <c r="E1099" s="881"/>
      <c r="F1099" s="882"/>
      <c r="G1099" s="641"/>
      <c r="H1099" s="641"/>
      <c r="I1099" s="641"/>
      <c r="J1099" s="655"/>
      <c r="K1099" s="655"/>
      <c r="L1099" s="210">
        <v>93.614699999999999</v>
      </c>
      <c r="M1099" s="221">
        <f>32+52</f>
        <v>84</v>
      </c>
      <c r="N1099" s="301">
        <v>0</v>
      </c>
      <c r="O1099" s="301">
        <v>0</v>
      </c>
      <c r="P1099" s="503"/>
      <c r="Q1099" s="503"/>
      <c r="R1099" s="503"/>
      <c r="S1099" s="503"/>
      <c r="T1099" s="503"/>
      <c r="U1099" s="503"/>
    </row>
    <row r="1100" spans="1:21" ht="35.1" customHeight="1">
      <c r="A1100" s="1462"/>
      <c r="B1100" s="711"/>
      <c r="C1100" s="504"/>
      <c r="D1100" s="883"/>
      <c r="E1100" s="884"/>
      <c r="F1100" s="885"/>
      <c r="G1100" s="490" t="s">
        <v>329</v>
      </c>
      <c r="H1100" s="491"/>
      <c r="I1100" s="491"/>
      <c r="J1100" s="491"/>
      <c r="K1100" s="492"/>
      <c r="L1100" s="345"/>
      <c r="M1100" s="223">
        <f>SUM(M1096:M1099)</f>
        <v>444</v>
      </c>
      <c r="N1100" s="393">
        <f>SUM(N1096:N1099)</f>
        <v>0</v>
      </c>
      <c r="O1100" s="393">
        <f>SUM(O1096:O1099)</f>
        <v>0</v>
      </c>
      <c r="P1100" s="504"/>
      <c r="Q1100" s="504"/>
      <c r="R1100" s="504"/>
      <c r="S1100" s="504"/>
      <c r="T1100" s="504"/>
      <c r="U1100" s="504"/>
    </row>
    <row r="1101" spans="1:21" ht="35.1" customHeight="1">
      <c r="A1101" s="1462"/>
      <c r="B1101" s="711"/>
      <c r="C1101" s="597" t="s">
        <v>754</v>
      </c>
      <c r="D1101" s="1130" t="s">
        <v>755</v>
      </c>
      <c r="E1101" s="1131"/>
      <c r="F1101" s="1132"/>
      <c r="G1101" s="1127" t="s">
        <v>756</v>
      </c>
      <c r="H1101" s="1127" t="s">
        <v>757</v>
      </c>
      <c r="I1101" s="1127" t="s">
        <v>758</v>
      </c>
      <c r="J1101" s="1154" t="s">
        <v>11</v>
      </c>
      <c r="K1101" s="1127" t="s">
        <v>12</v>
      </c>
      <c r="L1101" s="211" t="s">
        <v>759</v>
      </c>
      <c r="M1101" s="221">
        <v>9</v>
      </c>
      <c r="N1101" s="119">
        <v>0</v>
      </c>
      <c r="O1101" s="119">
        <v>0</v>
      </c>
      <c r="P1101" s="579" t="s">
        <v>409</v>
      </c>
      <c r="Q1101" s="579" t="s">
        <v>431</v>
      </c>
      <c r="R1101" s="579" t="s">
        <v>774</v>
      </c>
      <c r="S1101" s="1157" t="s">
        <v>57</v>
      </c>
      <c r="T1101" s="648" t="s">
        <v>54</v>
      </c>
      <c r="U1101" s="648" t="s">
        <v>11</v>
      </c>
    </row>
    <row r="1102" spans="1:21" ht="35.1" customHeight="1">
      <c r="A1102" s="1462"/>
      <c r="B1102" s="711"/>
      <c r="C1102" s="503"/>
      <c r="D1102" s="1133"/>
      <c r="E1102" s="1134"/>
      <c r="F1102" s="1135"/>
      <c r="G1102" s="1128"/>
      <c r="H1102" s="1128"/>
      <c r="I1102" s="1128"/>
      <c r="J1102" s="1155"/>
      <c r="K1102" s="1128"/>
      <c r="L1102" s="211" t="s">
        <v>760</v>
      </c>
      <c r="M1102" s="221">
        <v>38</v>
      </c>
      <c r="N1102" s="119">
        <v>0</v>
      </c>
      <c r="O1102" s="119">
        <v>0</v>
      </c>
      <c r="P1102" s="580"/>
      <c r="Q1102" s="580"/>
      <c r="R1102" s="580"/>
      <c r="S1102" s="1158"/>
      <c r="T1102" s="649"/>
      <c r="U1102" s="649"/>
    </row>
    <row r="1103" spans="1:21" ht="35.1" customHeight="1">
      <c r="A1103" s="1462"/>
      <c r="B1103" s="711"/>
      <c r="C1103" s="503"/>
      <c r="D1103" s="1133"/>
      <c r="E1103" s="1134"/>
      <c r="F1103" s="1135"/>
      <c r="G1103" s="1128"/>
      <c r="H1103" s="1128"/>
      <c r="I1103" s="1128"/>
      <c r="J1103" s="1155"/>
      <c r="K1103" s="1128"/>
      <c r="L1103" s="211" t="s">
        <v>761</v>
      </c>
      <c r="M1103" s="221">
        <v>76</v>
      </c>
      <c r="N1103" s="119">
        <v>1</v>
      </c>
      <c r="O1103" s="119">
        <v>1</v>
      </c>
      <c r="P1103" s="580"/>
      <c r="Q1103" s="580"/>
      <c r="R1103" s="580"/>
      <c r="S1103" s="1158"/>
      <c r="T1103" s="649"/>
      <c r="U1103" s="649"/>
    </row>
    <row r="1104" spans="1:21" ht="35.1" customHeight="1">
      <c r="A1104" s="1462"/>
      <c r="B1104" s="711"/>
      <c r="C1104" s="503"/>
      <c r="D1104" s="1133"/>
      <c r="E1104" s="1134"/>
      <c r="F1104" s="1135"/>
      <c r="G1104" s="1128"/>
      <c r="H1104" s="1128"/>
      <c r="I1104" s="1128"/>
      <c r="J1104" s="1155"/>
      <c r="K1104" s="1128"/>
      <c r="L1104" s="211" t="s">
        <v>762</v>
      </c>
      <c r="M1104" s="221">
        <v>52</v>
      </c>
      <c r="N1104" s="119">
        <v>1</v>
      </c>
      <c r="O1104" s="119">
        <v>1</v>
      </c>
      <c r="P1104" s="580"/>
      <c r="Q1104" s="580"/>
      <c r="R1104" s="580"/>
      <c r="S1104" s="1158"/>
      <c r="T1104" s="649"/>
      <c r="U1104" s="649"/>
    </row>
    <row r="1105" spans="1:21" ht="35.1" customHeight="1">
      <c r="A1105" s="1462"/>
      <c r="B1105" s="711"/>
      <c r="C1105" s="503"/>
      <c r="D1105" s="1133"/>
      <c r="E1105" s="1134"/>
      <c r="F1105" s="1135"/>
      <c r="G1105" s="1128"/>
      <c r="H1105" s="1128"/>
      <c r="I1105" s="1128"/>
      <c r="J1105" s="1155"/>
      <c r="K1105" s="1128"/>
      <c r="L1105" s="211" t="s">
        <v>763</v>
      </c>
      <c r="M1105" s="221">
        <v>24</v>
      </c>
      <c r="N1105" s="119">
        <v>0</v>
      </c>
      <c r="O1105" s="119">
        <v>0</v>
      </c>
      <c r="P1105" s="580"/>
      <c r="Q1105" s="580"/>
      <c r="R1105" s="580"/>
      <c r="S1105" s="1158"/>
      <c r="T1105" s="649"/>
      <c r="U1105" s="649"/>
    </row>
    <row r="1106" spans="1:21" ht="35.1" customHeight="1">
      <c r="A1106" s="1462"/>
      <c r="B1106" s="711"/>
      <c r="C1106" s="503"/>
      <c r="D1106" s="1133"/>
      <c r="E1106" s="1134"/>
      <c r="F1106" s="1135"/>
      <c r="G1106" s="1128"/>
      <c r="H1106" s="1128"/>
      <c r="I1106" s="1128"/>
      <c r="J1106" s="1155"/>
      <c r="K1106" s="1128"/>
      <c r="L1106" s="211" t="s">
        <v>764</v>
      </c>
      <c r="M1106" s="221">
        <v>2</v>
      </c>
      <c r="N1106" s="119">
        <v>0</v>
      </c>
      <c r="O1106" s="119">
        <v>0</v>
      </c>
      <c r="P1106" s="580"/>
      <c r="Q1106" s="580"/>
      <c r="R1106" s="580"/>
      <c r="S1106" s="1158"/>
      <c r="T1106" s="649"/>
      <c r="U1106" s="649"/>
    </row>
    <row r="1107" spans="1:21" ht="35.1" customHeight="1">
      <c r="A1107" s="1462"/>
      <c r="B1107" s="711"/>
      <c r="C1107" s="503"/>
      <c r="D1107" s="1133"/>
      <c r="E1107" s="1134"/>
      <c r="F1107" s="1135"/>
      <c r="G1107" s="1129"/>
      <c r="H1107" s="1129"/>
      <c r="I1107" s="1129"/>
      <c r="J1107" s="1156"/>
      <c r="K1107" s="1129"/>
      <c r="L1107" s="212" t="s">
        <v>765</v>
      </c>
      <c r="M1107" s="221">
        <v>2</v>
      </c>
      <c r="N1107" s="119">
        <v>0</v>
      </c>
      <c r="O1107" s="119">
        <v>0</v>
      </c>
      <c r="P1107" s="580"/>
      <c r="Q1107" s="580"/>
      <c r="R1107" s="580"/>
      <c r="S1107" s="1158"/>
      <c r="T1107" s="649"/>
      <c r="U1107" s="649"/>
    </row>
    <row r="1108" spans="1:21" ht="35.1" customHeight="1">
      <c r="A1108" s="1462"/>
      <c r="B1108" s="711"/>
      <c r="C1108" s="504"/>
      <c r="D1108" s="1136"/>
      <c r="E1108" s="1137"/>
      <c r="F1108" s="1138"/>
      <c r="G1108" s="490" t="s">
        <v>329</v>
      </c>
      <c r="H1108" s="491"/>
      <c r="I1108" s="491"/>
      <c r="J1108" s="491"/>
      <c r="K1108" s="492"/>
      <c r="L1108" s="199"/>
      <c r="M1108" s="275">
        <f>SUM(M1101:M1107)</f>
        <v>203</v>
      </c>
      <c r="N1108" s="276">
        <f>SUM(N1101:N1107)</f>
        <v>2</v>
      </c>
      <c r="O1108" s="276">
        <f>SUM(O1101:O1107)</f>
        <v>2</v>
      </c>
      <c r="P1108" s="581"/>
      <c r="Q1108" s="581"/>
      <c r="R1108" s="581"/>
      <c r="S1108" s="1159"/>
      <c r="T1108" s="650"/>
      <c r="U1108" s="650"/>
    </row>
    <row r="1109" spans="1:21" ht="35.1" customHeight="1">
      <c r="A1109" s="1462"/>
      <c r="B1109" s="711"/>
      <c r="C1109" s="597" t="s">
        <v>754</v>
      </c>
      <c r="D1109" s="1130" t="s">
        <v>766</v>
      </c>
      <c r="E1109" s="1131"/>
      <c r="F1109" s="1132"/>
      <c r="G1109" s="844" t="s">
        <v>767</v>
      </c>
      <c r="H1109" s="844" t="s">
        <v>768</v>
      </c>
      <c r="I1109" s="844" t="s">
        <v>758</v>
      </c>
      <c r="J1109" s="844" t="s">
        <v>11</v>
      </c>
      <c r="K1109" s="844" t="s">
        <v>12</v>
      </c>
      <c r="L1109" s="211">
        <v>50</v>
      </c>
      <c r="M1109" s="221">
        <v>5</v>
      </c>
      <c r="N1109" s="119">
        <v>0</v>
      </c>
      <c r="O1109" s="119">
        <v>0</v>
      </c>
      <c r="P1109" s="1151" t="s">
        <v>409</v>
      </c>
      <c r="Q1109" s="1151" t="s">
        <v>437</v>
      </c>
      <c r="R1109" s="1151" t="s">
        <v>987</v>
      </c>
      <c r="S1109" s="1148" t="s">
        <v>57</v>
      </c>
      <c r="T1109" s="632" t="s">
        <v>54</v>
      </c>
      <c r="U1109" s="632" t="s">
        <v>11</v>
      </c>
    </row>
    <row r="1110" spans="1:21" ht="35.1" customHeight="1">
      <c r="A1110" s="1462"/>
      <c r="B1110" s="711"/>
      <c r="C1110" s="503"/>
      <c r="D1110" s="1133"/>
      <c r="E1110" s="1134"/>
      <c r="F1110" s="1135"/>
      <c r="G1110" s="845"/>
      <c r="H1110" s="845"/>
      <c r="I1110" s="845"/>
      <c r="J1110" s="845"/>
      <c r="K1110" s="845"/>
      <c r="L1110" s="211">
        <v>51</v>
      </c>
      <c r="M1110" s="221">
        <v>10</v>
      </c>
      <c r="N1110" s="119">
        <v>0</v>
      </c>
      <c r="O1110" s="119">
        <v>0</v>
      </c>
      <c r="P1110" s="1152"/>
      <c r="Q1110" s="1152"/>
      <c r="R1110" s="1152"/>
      <c r="S1110" s="1149"/>
      <c r="T1110" s="633"/>
      <c r="U1110" s="633"/>
    </row>
    <row r="1111" spans="1:21" ht="35.1" customHeight="1">
      <c r="A1111" s="1462"/>
      <c r="B1111" s="711"/>
      <c r="C1111" s="503"/>
      <c r="D1111" s="1133"/>
      <c r="E1111" s="1134"/>
      <c r="F1111" s="1135"/>
      <c r="G1111" s="845"/>
      <c r="H1111" s="845"/>
      <c r="I1111" s="845"/>
      <c r="J1111" s="845"/>
      <c r="K1111" s="845"/>
      <c r="L1111" s="211">
        <v>54</v>
      </c>
      <c r="M1111" s="221">
        <v>13</v>
      </c>
      <c r="N1111" s="119">
        <v>0</v>
      </c>
      <c r="O1111" s="119">
        <v>0</v>
      </c>
      <c r="P1111" s="1152"/>
      <c r="Q1111" s="1152"/>
      <c r="R1111" s="1152"/>
      <c r="S1111" s="1149"/>
      <c r="T1111" s="633"/>
      <c r="U1111" s="633"/>
    </row>
    <row r="1112" spans="1:21" ht="35.1" customHeight="1">
      <c r="A1112" s="1462"/>
      <c r="B1112" s="711"/>
      <c r="C1112" s="503"/>
      <c r="D1112" s="1133"/>
      <c r="E1112" s="1134"/>
      <c r="F1112" s="1135"/>
      <c r="G1112" s="845"/>
      <c r="H1112" s="845"/>
      <c r="I1112" s="845"/>
      <c r="J1112" s="845"/>
      <c r="K1112" s="845"/>
      <c r="L1112" s="211" t="s">
        <v>85</v>
      </c>
      <c r="M1112" s="221">
        <v>73</v>
      </c>
      <c r="N1112" s="119">
        <v>0</v>
      </c>
      <c r="O1112" s="119">
        <v>0</v>
      </c>
      <c r="P1112" s="1152"/>
      <c r="Q1112" s="1152"/>
      <c r="R1112" s="1152"/>
      <c r="S1112" s="1149"/>
      <c r="T1112" s="633"/>
      <c r="U1112" s="633"/>
    </row>
    <row r="1113" spans="1:21" ht="35.1" customHeight="1">
      <c r="A1113" s="1462"/>
      <c r="B1113" s="711"/>
      <c r="C1113" s="503"/>
      <c r="D1113" s="1133"/>
      <c r="E1113" s="1134"/>
      <c r="F1113" s="1135"/>
      <c r="G1113" s="845"/>
      <c r="H1113" s="845"/>
      <c r="I1113" s="845"/>
      <c r="J1113" s="845"/>
      <c r="K1113" s="845"/>
      <c r="L1113" s="213" t="s">
        <v>103</v>
      </c>
      <c r="M1113" s="231">
        <v>38</v>
      </c>
      <c r="N1113" s="132">
        <v>0</v>
      </c>
      <c r="O1113" s="132">
        <v>0</v>
      </c>
      <c r="P1113" s="1152"/>
      <c r="Q1113" s="1152"/>
      <c r="R1113" s="1152"/>
      <c r="S1113" s="1149"/>
      <c r="T1113" s="633"/>
      <c r="U1113" s="633"/>
    </row>
    <row r="1114" spans="1:21" ht="35.1" customHeight="1">
      <c r="A1114" s="1462"/>
      <c r="B1114" s="711"/>
      <c r="C1114" s="503"/>
      <c r="D1114" s="1133"/>
      <c r="E1114" s="1134"/>
      <c r="F1114" s="1135"/>
      <c r="G1114" s="845"/>
      <c r="H1114" s="845"/>
      <c r="I1114" s="845"/>
      <c r="J1114" s="845"/>
      <c r="K1114" s="845"/>
      <c r="L1114" s="214" t="s">
        <v>526</v>
      </c>
      <c r="M1114" s="302">
        <v>5</v>
      </c>
      <c r="N1114" s="119">
        <v>0</v>
      </c>
      <c r="O1114" s="119">
        <v>0</v>
      </c>
      <c r="P1114" s="1152"/>
      <c r="Q1114" s="1152"/>
      <c r="R1114" s="1152"/>
      <c r="S1114" s="1149"/>
      <c r="T1114" s="633"/>
      <c r="U1114" s="633"/>
    </row>
    <row r="1115" spans="1:21" ht="35.1" customHeight="1">
      <c r="A1115" s="1462"/>
      <c r="B1115" s="711"/>
      <c r="C1115" s="503"/>
      <c r="D1115" s="1133"/>
      <c r="E1115" s="1134"/>
      <c r="F1115" s="1135"/>
      <c r="G1115" s="845"/>
      <c r="H1115" s="845"/>
      <c r="I1115" s="845"/>
      <c r="J1115" s="845"/>
      <c r="K1115" s="845"/>
      <c r="L1115" s="214" t="s">
        <v>769</v>
      </c>
      <c r="M1115" s="302">
        <v>5</v>
      </c>
      <c r="N1115" s="119">
        <v>0</v>
      </c>
      <c r="O1115" s="119">
        <v>0</v>
      </c>
      <c r="P1115" s="1152"/>
      <c r="Q1115" s="1152"/>
      <c r="R1115" s="1152"/>
      <c r="S1115" s="1149"/>
      <c r="T1115" s="633"/>
      <c r="U1115" s="633"/>
    </row>
    <row r="1116" spans="1:21" ht="35.1" customHeight="1">
      <c r="A1116" s="1462"/>
      <c r="B1116" s="711"/>
      <c r="C1116" s="503"/>
      <c r="D1116" s="1133"/>
      <c r="E1116" s="1134"/>
      <c r="F1116" s="1135"/>
      <c r="G1116" s="845"/>
      <c r="H1116" s="845"/>
      <c r="I1116" s="845"/>
      <c r="J1116" s="845"/>
      <c r="K1116" s="845"/>
      <c r="L1116" s="214" t="s">
        <v>770</v>
      </c>
      <c r="M1116" s="302">
        <v>1</v>
      </c>
      <c r="N1116" s="119">
        <v>0</v>
      </c>
      <c r="O1116" s="119">
        <v>0</v>
      </c>
      <c r="P1116" s="1152"/>
      <c r="Q1116" s="1152"/>
      <c r="R1116" s="1152"/>
      <c r="S1116" s="1149"/>
      <c r="T1116" s="633"/>
      <c r="U1116" s="633"/>
    </row>
    <row r="1117" spans="1:21" ht="35.1" customHeight="1">
      <c r="A1117" s="1462"/>
      <c r="B1117" s="711"/>
      <c r="C1117" s="503"/>
      <c r="D1117" s="1133"/>
      <c r="E1117" s="1134"/>
      <c r="F1117" s="1135"/>
      <c r="G1117" s="846"/>
      <c r="H1117" s="846"/>
      <c r="I1117" s="846"/>
      <c r="J1117" s="846"/>
      <c r="K1117" s="846"/>
      <c r="L1117" s="214">
        <v>75</v>
      </c>
      <c r="M1117" s="302">
        <v>19</v>
      </c>
      <c r="N1117" s="119">
        <v>0</v>
      </c>
      <c r="O1117" s="119">
        <v>0</v>
      </c>
      <c r="P1117" s="1152"/>
      <c r="Q1117" s="1152"/>
      <c r="R1117" s="1152"/>
      <c r="S1117" s="1149"/>
      <c r="T1117" s="633"/>
      <c r="U1117" s="633"/>
    </row>
    <row r="1118" spans="1:21" ht="35.1" customHeight="1">
      <c r="A1118" s="1462"/>
      <c r="B1118" s="712"/>
      <c r="C1118" s="504"/>
      <c r="D1118" s="1136"/>
      <c r="E1118" s="1137"/>
      <c r="F1118" s="1138"/>
      <c r="G1118" s="490" t="s">
        <v>329</v>
      </c>
      <c r="H1118" s="491"/>
      <c r="I1118" s="491"/>
      <c r="J1118" s="491"/>
      <c r="K1118" s="492"/>
      <c r="L1118" s="199"/>
      <c r="M1118" s="275">
        <f>SUM(M1109:M1117)</f>
        <v>169</v>
      </c>
      <c r="N1118" s="276">
        <f>SUM(N1109:N1117)</f>
        <v>0</v>
      </c>
      <c r="O1118" s="276">
        <f>SUM(O1109:O1117)</f>
        <v>0</v>
      </c>
      <c r="P1118" s="1153"/>
      <c r="Q1118" s="1153"/>
      <c r="R1118" s="1153"/>
      <c r="S1118" s="1150"/>
      <c r="T1118" s="634"/>
      <c r="U1118" s="634"/>
    </row>
    <row r="1119" spans="1:21" ht="35.1" customHeight="1">
      <c r="A1119" s="1462"/>
      <c r="B1119" s="777" t="s">
        <v>105</v>
      </c>
      <c r="C1119" s="778"/>
      <c r="D1119" s="778"/>
      <c r="E1119" s="778"/>
      <c r="F1119" s="778"/>
      <c r="G1119" s="778"/>
      <c r="H1119" s="778"/>
      <c r="I1119" s="778"/>
      <c r="J1119" s="778"/>
      <c r="K1119" s="779"/>
      <c r="L1119" s="122"/>
      <c r="M1119" s="226">
        <f>M1100+M1108+M1118</f>
        <v>816</v>
      </c>
      <c r="N1119" s="394">
        <f>N1100+N1108+N1118</f>
        <v>2</v>
      </c>
      <c r="O1119" s="394">
        <f>O1100+O1108+O1118</f>
        <v>2</v>
      </c>
      <c r="P1119" s="123"/>
      <c r="Q1119" s="123"/>
      <c r="R1119" s="123"/>
      <c r="S1119" s="156"/>
      <c r="T1119" s="156"/>
      <c r="U1119" s="156"/>
    </row>
    <row r="1120" spans="1:21" ht="35.1" customHeight="1">
      <c r="A1120" s="1462"/>
      <c r="B1120" s="1702" t="s">
        <v>698</v>
      </c>
      <c r="C1120" s="1702"/>
      <c r="D1120" s="1705" t="s">
        <v>944</v>
      </c>
      <c r="E1120" s="1706"/>
      <c r="F1120" s="1707"/>
      <c r="G1120" s="1722" t="s">
        <v>751</v>
      </c>
      <c r="H1120" s="1730" t="s">
        <v>752</v>
      </c>
      <c r="I1120" s="1730" t="s">
        <v>753</v>
      </c>
      <c r="J1120" s="1730" t="s">
        <v>744</v>
      </c>
      <c r="K1120" s="1250" t="s">
        <v>745</v>
      </c>
      <c r="L1120" s="350" t="s">
        <v>370</v>
      </c>
      <c r="M1120" s="303">
        <v>64</v>
      </c>
      <c r="N1120" s="132">
        <v>0</v>
      </c>
      <c r="O1120" s="132">
        <v>0</v>
      </c>
      <c r="P1120" s="1693" t="s">
        <v>746</v>
      </c>
      <c r="Q1120" s="1714" t="s">
        <v>747</v>
      </c>
      <c r="R1120" s="1714" t="s">
        <v>748</v>
      </c>
      <c r="S1120" s="1690" t="s">
        <v>65</v>
      </c>
      <c r="T1120" s="1690" t="s">
        <v>749</v>
      </c>
      <c r="U1120" s="1690" t="s">
        <v>750</v>
      </c>
    </row>
    <row r="1121" spans="1:21" ht="35.1" customHeight="1">
      <c r="A1121" s="1462"/>
      <c r="B1121" s="1703"/>
      <c r="C1121" s="1703"/>
      <c r="D1121" s="1708"/>
      <c r="E1121" s="1709"/>
      <c r="F1121" s="1710"/>
      <c r="G1121" s="1723"/>
      <c r="H1121" s="1731"/>
      <c r="I1121" s="1731"/>
      <c r="J1121" s="1731"/>
      <c r="K1121" s="1251"/>
      <c r="L1121" s="356" t="s">
        <v>783</v>
      </c>
      <c r="M1121" s="303">
        <v>36</v>
      </c>
      <c r="N1121" s="132">
        <v>0</v>
      </c>
      <c r="O1121" s="132">
        <v>0</v>
      </c>
      <c r="P1121" s="1694"/>
      <c r="Q1121" s="1715"/>
      <c r="R1121" s="1715"/>
      <c r="S1121" s="1691"/>
      <c r="T1121" s="1691"/>
      <c r="U1121" s="1691"/>
    </row>
    <row r="1122" spans="1:21" ht="35.1" customHeight="1">
      <c r="A1122" s="1462"/>
      <c r="B1122" s="1703"/>
      <c r="C1122" s="1703"/>
      <c r="D1122" s="1708"/>
      <c r="E1122" s="1709"/>
      <c r="F1122" s="1710"/>
      <c r="G1122" s="1723"/>
      <c r="H1122" s="1731"/>
      <c r="I1122" s="1731"/>
      <c r="J1122" s="1731"/>
      <c r="K1122" s="1251"/>
      <c r="L1122" s="350" t="s">
        <v>784</v>
      </c>
      <c r="M1122" s="303">
        <v>35</v>
      </c>
      <c r="N1122" s="132">
        <v>0</v>
      </c>
      <c r="O1122" s="132">
        <v>0</v>
      </c>
      <c r="P1122" s="1694"/>
      <c r="Q1122" s="1715"/>
      <c r="R1122" s="1715"/>
      <c r="S1122" s="1691"/>
      <c r="T1122" s="1691"/>
      <c r="U1122" s="1691"/>
    </row>
    <row r="1123" spans="1:21" ht="35.1" customHeight="1">
      <c r="A1123" s="1462"/>
      <c r="B1123" s="1703"/>
      <c r="C1123" s="1703"/>
      <c r="D1123" s="1708"/>
      <c r="E1123" s="1709"/>
      <c r="F1123" s="1710"/>
      <c r="G1123" s="1723"/>
      <c r="H1123" s="1731"/>
      <c r="I1123" s="1731"/>
      <c r="J1123" s="1731"/>
      <c r="K1123" s="1251"/>
      <c r="L1123" s="350" t="s">
        <v>785</v>
      </c>
      <c r="M1123" s="303">
        <v>144</v>
      </c>
      <c r="N1123" s="132">
        <v>0</v>
      </c>
      <c r="O1123" s="132">
        <v>0</v>
      </c>
      <c r="P1123" s="1694"/>
      <c r="Q1123" s="1715"/>
      <c r="R1123" s="1715"/>
      <c r="S1123" s="1691"/>
      <c r="T1123" s="1691"/>
      <c r="U1123" s="1691"/>
    </row>
    <row r="1124" spans="1:21" ht="35.1" customHeight="1">
      <c r="A1124" s="1462"/>
      <c r="B1124" s="1703"/>
      <c r="C1124" s="1703"/>
      <c r="D1124" s="1708"/>
      <c r="E1124" s="1709"/>
      <c r="F1124" s="1710"/>
      <c r="G1124" s="1723"/>
      <c r="H1124" s="1731"/>
      <c r="I1124" s="1731"/>
      <c r="J1124" s="1731"/>
      <c r="K1124" s="1251"/>
      <c r="L1124" s="350" t="s">
        <v>786</v>
      </c>
      <c r="M1124" s="303">
        <v>139</v>
      </c>
      <c r="N1124" s="132">
        <v>0</v>
      </c>
      <c r="O1124" s="132">
        <v>0</v>
      </c>
      <c r="P1124" s="1694"/>
      <c r="Q1124" s="1715"/>
      <c r="R1124" s="1715"/>
      <c r="S1124" s="1691"/>
      <c r="T1124" s="1691"/>
      <c r="U1124" s="1691"/>
    </row>
    <row r="1125" spans="1:21" ht="35.1" customHeight="1">
      <c r="A1125" s="1462"/>
      <c r="B1125" s="1703"/>
      <c r="C1125" s="1703"/>
      <c r="D1125" s="1708"/>
      <c r="E1125" s="1709"/>
      <c r="F1125" s="1710"/>
      <c r="G1125" s="1723"/>
      <c r="H1125" s="1731"/>
      <c r="I1125" s="1731"/>
      <c r="J1125" s="1731"/>
      <c r="K1125" s="1251"/>
      <c r="L1125" s="350" t="s">
        <v>787</v>
      </c>
      <c r="M1125" s="303">
        <v>142</v>
      </c>
      <c r="N1125" s="132">
        <v>0</v>
      </c>
      <c r="O1125" s="132">
        <v>0</v>
      </c>
      <c r="P1125" s="1694"/>
      <c r="Q1125" s="1715"/>
      <c r="R1125" s="1715"/>
      <c r="S1125" s="1691"/>
      <c r="T1125" s="1691"/>
      <c r="U1125" s="1691"/>
    </row>
    <row r="1126" spans="1:21" ht="35.1" customHeight="1">
      <c r="A1126" s="1462"/>
      <c r="B1126" s="1703"/>
      <c r="C1126" s="1703"/>
      <c r="D1126" s="1708"/>
      <c r="E1126" s="1709"/>
      <c r="F1126" s="1710"/>
      <c r="G1126" s="1724"/>
      <c r="H1126" s="1732"/>
      <c r="I1126" s="1732"/>
      <c r="J1126" s="1732"/>
      <c r="K1126" s="1252"/>
      <c r="L1126" s="350" t="s">
        <v>788</v>
      </c>
      <c r="M1126" s="303">
        <v>142</v>
      </c>
      <c r="N1126" s="132">
        <v>0</v>
      </c>
      <c r="O1126" s="132">
        <v>0</v>
      </c>
      <c r="P1126" s="1694"/>
      <c r="Q1126" s="1715"/>
      <c r="R1126" s="1715"/>
      <c r="S1126" s="1691"/>
      <c r="T1126" s="1691"/>
      <c r="U1126" s="1691"/>
    </row>
    <row r="1127" spans="1:21" ht="35.1" customHeight="1">
      <c r="A1127" s="1462"/>
      <c r="B1127" s="1704"/>
      <c r="C1127" s="1704"/>
      <c r="D1127" s="1711"/>
      <c r="E1127" s="1712"/>
      <c r="F1127" s="1713"/>
      <c r="G1127" s="490" t="s">
        <v>329</v>
      </c>
      <c r="H1127" s="491"/>
      <c r="I1127" s="491"/>
      <c r="J1127" s="491"/>
      <c r="K1127" s="492"/>
      <c r="L1127" s="184"/>
      <c r="M1127" s="224">
        <f>SUM(M1120:M1126)</f>
        <v>702</v>
      </c>
      <c r="N1127" s="263">
        <f>SUM(N1120:N1126)</f>
        <v>0</v>
      </c>
      <c r="O1127" s="263">
        <f>SUM(O1120:O1126)</f>
        <v>0</v>
      </c>
      <c r="P1127" s="1695"/>
      <c r="Q1127" s="1716"/>
      <c r="R1127" s="1716"/>
      <c r="S1127" s="1692"/>
      <c r="T1127" s="1692"/>
      <c r="U1127" s="1692"/>
    </row>
    <row r="1128" spans="1:21" ht="35.1" customHeight="1">
      <c r="A1128" s="1462"/>
      <c r="B1128" s="777" t="s">
        <v>105</v>
      </c>
      <c r="C1128" s="778"/>
      <c r="D1128" s="778"/>
      <c r="E1128" s="778"/>
      <c r="F1128" s="778"/>
      <c r="G1128" s="778"/>
      <c r="H1128" s="778"/>
      <c r="I1128" s="778"/>
      <c r="J1128" s="778"/>
      <c r="K1128" s="779"/>
      <c r="L1128" s="122"/>
      <c r="M1128" s="226">
        <f>M1127</f>
        <v>702</v>
      </c>
      <c r="N1128" s="394">
        <f>N1127</f>
        <v>0</v>
      </c>
      <c r="O1128" s="394">
        <f>O1127</f>
        <v>0</v>
      </c>
      <c r="P1128" s="123"/>
      <c r="Q1128" s="123"/>
      <c r="R1128" s="123"/>
      <c r="S1128" s="156"/>
      <c r="T1128" s="156"/>
      <c r="U1128" s="156"/>
    </row>
    <row r="1129" spans="1:21" ht="35.1" customHeight="1">
      <c r="A1129" s="1462"/>
      <c r="B1129" s="1702" t="s">
        <v>697</v>
      </c>
      <c r="C1129" s="1702" t="s">
        <v>840</v>
      </c>
      <c r="D1129" s="1705" t="s">
        <v>841</v>
      </c>
      <c r="E1129" s="1706"/>
      <c r="F1129" s="1707"/>
      <c r="G1129" s="1722" t="s">
        <v>842</v>
      </c>
      <c r="H1129" s="1730" t="s">
        <v>843</v>
      </c>
      <c r="I1129" s="1730"/>
      <c r="J1129" s="1730" t="s">
        <v>844</v>
      </c>
      <c r="K1129" s="1250" t="s">
        <v>845</v>
      </c>
      <c r="L1129" s="350">
        <v>59</v>
      </c>
      <c r="M1129" s="303">
        <v>39</v>
      </c>
      <c r="N1129" s="215">
        <v>0</v>
      </c>
      <c r="O1129" s="215">
        <v>0</v>
      </c>
      <c r="P1129" s="1693" t="s">
        <v>846</v>
      </c>
      <c r="Q1129" s="1714" t="s">
        <v>847</v>
      </c>
      <c r="R1129" s="1714" t="s">
        <v>848</v>
      </c>
      <c r="S1129" s="1690" t="s">
        <v>13</v>
      </c>
      <c r="T1129" s="1690"/>
      <c r="U1129" s="1690"/>
    </row>
    <row r="1130" spans="1:21" ht="35.1" customHeight="1">
      <c r="A1130" s="1462"/>
      <c r="B1130" s="1703"/>
      <c r="C1130" s="1703"/>
      <c r="D1130" s="1708"/>
      <c r="E1130" s="1709"/>
      <c r="F1130" s="1710"/>
      <c r="G1130" s="1723"/>
      <c r="H1130" s="1731"/>
      <c r="I1130" s="1731"/>
      <c r="J1130" s="1731"/>
      <c r="K1130" s="1251"/>
      <c r="L1130" s="356">
        <v>59</v>
      </c>
      <c r="M1130" s="303">
        <v>3</v>
      </c>
      <c r="N1130" s="215">
        <v>0</v>
      </c>
      <c r="O1130" s="215">
        <v>0</v>
      </c>
      <c r="P1130" s="1694"/>
      <c r="Q1130" s="1715"/>
      <c r="R1130" s="1715"/>
      <c r="S1130" s="1691"/>
      <c r="T1130" s="1691"/>
      <c r="U1130" s="1691"/>
    </row>
    <row r="1131" spans="1:21" ht="35.1" customHeight="1">
      <c r="A1131" s="1462"/>
      <c r="B1131" s="1703"/>
      <c r="C1131" s="1703"/>
      <c r="D1131" s="1708"/>
      <c r="E1131" s="1709"/>
      <c r="F1131" s="1710"/>
      <c r="G1131" s="1724"/>
      <c r="H1131" s="1732"/>
      <c r="I1131" s="1732"/>
      <c r="J1131" s="1732"/>
      <c r="K1131" s="1252"/>
      <c r="L1131" s="350">
        <v>84</v>
      </c>
      <c r="M1131" s="303">
        <v>26</v>
      </c>
      <c r="N1131" s="215">
        <v>12</v>
      </c>
      <c r="O1131" s="215">
        <v>12</v>
      </c>
      <c r="P1131" s="1694"/>
      <c r="Q1131" s="1715"/>
      <c r="R1131" s="1715"/>
      <c r="S1131" s="1691"/>
      <c r="T1131" s="1691"/>
      <c r="U1131" s="1691"/>
    </row>
    <row r="1132" spans="1:21" ht="35.1" customHeight="1">
      <c r="A1132" s="1462"/>
      <c r="B1132" s="1704"/>
      <c r="C1132" s="1704"/>
      <c r="D1132" s="1711"/>
      <c r="E1132" s="1712"/>
      <c r="F1132" s="1713"/>
      <c r="G1132" s="490" t="s">
        <v>329</v>
      </c>
      <c r="H1132" s="491"/>
      <c r="I1132" s="491"/>
      <c r="J1132" s="491"/>
      <c r="K1132" s="492"/>
      <c r="L1132" s="184"/>
      <c r="M1132" s="263">
        <f>SUM(M1129:M1131)</f>
        <v>68</v>
      </c>
      <c r="N1132" s="263">
        <f>SUM(N1129:N1131)</f>
        <v>12</v>
      </c>
      <c r="O1132" s="263">
        <f>SUM(O1129:O1131)</f>
        <v>12</v>
      </c>
      <c r="P1132" s="1695"/>
      <c r="Q1132" s="1716"/>
      <c r="R1132" s="1716"/>
      <c r="S1132" s="1692"/>
      <c r="T1132" s="1692"/>
      <c r="U1132" s="1692"/>
    </row>
    <row r="1133" spans="1:21" ht="35.1" customHeight="1">
      <c r="A1133" s="1462"/>
      <c r="B1133" s="777" t="s">
        <v>105</v>
      </c>
      <c r="C1133" s="778"/>
      <c r="D1133" s="778"/>
      <c r="E1133" s="778"/>
      <c r="F1133" s="778"/>
      <c r="G1133" s="778"/>
      <c r="H1133" s="778"/>
      <c r="I1133" s="778"/>
      <c r="J1133" s="778"/>
      <c r="K1133" s="779"/>
      <c r="L1133" s="122"/>
      <c r="M1133" s="226">
        <f>M1132</f>
        <v>68</v>
      </c>
      <c r="N1133" s="394">
        <f>N1132</f>
        <v>12</v>
      </c>
      <c r="O1133" s="394">
        <f>O1132</f>
        <v>12</v>
      </c>
      <c r="P1133" s="123"/>
      <c r="Q1133" s="123"/>
      <c r="R1133" s="123"/>
      <c r="S1133" s="156"/>
      <c r="T1133" s="156"/>
      <c r="U1133" s="156"/>
    </row>
    <row r="1134" spans="1:21" ht="35.1" customHeight="1">
      <c r="A1134" s="1462"/>
      <c r="B1134" s="1793" t="s">
        <v>32</v>
      </c>
      <c r="C1134" s="825" t="s">
        <v>640</v>
      </c>
      <c r="D1134" s="828" t="s">
        <v>951</v>
      </c>
      <c r="E1134" s="829"/>
      <c r="F1134" s="830"/>
      <c r="G1134" s="755" t="s">
        <v>637</v>
      </c>
      <c r="H1134" s="755" t="s">
        <v>638</v>
      </c>
      <c r="I1134" s="758" t="s">
        <v>952</v>
      </c>
      <c r="J1134" s="755" t="s">
        <v>67</v>
      </c>
      <c r="K1134" s="755" t="s">
        <v>66</v>
      </c>
      <c r="L1134" s="325">
        <v>56.710700000000003</v>
      </c>
      <c r="M1134" s="326">
        <v>123</v>
      </c>
      <c r="N1134" s="327">
        <v>6</v>
      </c>
      <c r="O1134" s="327">
        <v>3</v>
      </c>
      <c r="P1134" s="629" t="s">
        <v>953</v>
      </c>
      <c r="Q1134" s="629" t="s">
        <v>954</v>
      </c>
      <c r="R1134" s="629" t="s">
        <v>955</v>
      </c>
      <c r="S1134" s="636" t="s">
        <v>188</v>
      </c>
      <c r="T1134" s="629" t="s">
        <v>639</v>
      </c>
      <c r="U1134" s="629" t="s">
        <v>11</v>
      </c>
    </row>
    <row r="1135" spans="1:21" ht="35.1" customHeight="1">
      <c r="A1135" s="1462"/>
      <c r="B1135" s="1794"/>
      <c r="C1135" s="826"/>
      <c r="D1135" s="831"/>
      <c r="E1135" s="832"/>
      <c r="F1135" s="833"/>
      <c r="G1135" s="757"/>
      <c r="H1135" s="757"/>
      <c r="I1135" s="760"/>
      <c r="J1135" s="757"/>
      <c r="K1135" s="757"/>
      <c r="L1135" s="325">
        <v>71.021000000000001</v>
      </c>
      <c r="M1135" s="326">
        <v>22</v>
      </c>
      <c r="N1135" s="327">
        <v>4</v>
      </c>
      <c r="O1135" s="327">
        <v>4</v>
      </c>
      <c r="P1135" s="630"/>
      <c r="Q1135" s="630"/>
      <c r="R1135" s="630"/>
      <c r="S1135" s="637"/>
      <c r="T1135" s="630"/>
      <c r="U1135" s="630"/>
    </row>
    <row r="1136" spans="1:21" ht="35.1" customHeight="1">
      <c r="A1136" s="1462"/>
      <c r="B1136" s="1794"/>
      <c r="C1136" s="827"/>
      <c r="D1136" s="834"/>
      <c r="E1136" s="835"/>
      <c r="F1136" s="836"/>
      <c r="G1136" s="490" t="s">
        <v>329</v>
      </c>
      <c r="H1136" s="491"/>
      <c r="I1136" s="491"/>
      <c r="J1136" s="491"/>
      <c r="K1136" s="492"/>
      <c r="L1136" s="341"/>
      <c r="M1136" s="344">
        <f>SUM(M1134:M1135)</f>
        <v>145</v>
      </c>
      <c r="N1136" s="344">
        <f>SUM(N1134:N1135)</f>
        <v>10</v>
      </c>
      <c r="O1136" s="344">
        <f>SUM(O1134:O1135)</f>
        <v>7</v>
      </c>
      <c r="P1136" s="631"/>
      <c r="Q1136" s="631"/>
      <c r="R1136" s="631"/>
      <c r="S1136" s="638"/>
      <c r="T1136" s="631"/>
      <c r="U1136" s="631"/>
    </row>
    <row r="1137" spans="1:21" ht="35.1" customHeight="1">
      <c r="A1137" s="1462"/>
      <c r="B1137" s="1794"/>
      <c r="C1137" s="770" t="s">
        <v>956</v>
      </c>
      <c r="D1137" s="761" t="s">
        <v>957</v>
      </c>
      <c r="E1137" s="762"/>
      <c r="F1137" s="763"/>
      <c r="G1137" s="608" t="s">
        <v>958</v>
      </c>
      <c r="H1137" s="608" t="s">
        <v>958</v>
      </c>
      <c r="I1137" s="610" t="s">
        <v>959</v>
      </c>
      <c r="J1137" s="608" t="s">
        <v>11</v>
      </c>
      <c r="K1137" s="608" t="s">
        <v>12</v>
      </c>
      <c r="L1137" s="328">
        <v>84.958399999999997</v>
      </c>
      <c r="M1137" s="329">
        <v>260</v>
      </c>
      <c r="N1137" s="329">
        <v>42</v>
      </c>
      <c r="O1137" s="329">
        <v>18</v>
      </c>
      <c r="P1137" s="612" t="s">
        <v>960</v>
      </c>
      <c r="Q1137" s="612" t="s">
        <v>961</v>
      </c>
      <c r="R1137" s="612" t="s">
        <v>962</v>
      </c>
      <c r="S1137" s="612" t="s">
        <v>13</v>
      </c>
      <c r="T1137" s="612" t="s">
        <v>963</v>
      </c>
      <c r="U1137" s="612" t="s">
        <v>17</v>
      </c>
    </row>
    <row r="1138" spans="1:21" ht="35.1" customHeight="1">
      <c r="A1138" s="1462"/>
      <c r="B1138" s="1794"/>
      <c r="C1138" s="771"/>
      <c r="D1138" s="764"/>
      <c r="E1138" s="765"/>
      <c r="F1138" s="766"/>
      <c r="G1138" s="609"/>
      <c r="H1138" s="609"/>
      <c r="I1138" s="611"/>
      <c r="J1138" s="609"/>
      <c r="K1138" s="609"/>
      <c r="L1138" s="328">
        <v>112.09010000000001</v>
      </c>
      <c r="M1138" s="329">
        <v>122</v>
      </c>
      <c r="N1138" s="329">
        <v>33</v>
      </c>
      <c r="O1138" s="329">
        <v>26</v>
      </c>
      <c r="P1138" s="613"/>
      <c r="Q1138" s="613"/>
      <c r="R1138" s="613"/>
      <c r="S1138" s="613"/>
      <c r="T1138" s="613"/>
      <c r="U1138" s="613"/>
    </row>
    <row r="1139" spans="1:21" ht="35.1" customHeight="1">
      <c r="A1139" s="1462"/>
      <c r="B1139" s="1794"/>
      <c r="C1139" s="772"/>
      <c r="D1139" s="767"/>
      <c r="E1139" s="768"/>
      <c r="F1139" s="769"/>
      <c r="G1139" s="490" t="s">
        <v>329</v>
      </c>
      <c r="H1139" s="491"/>
      <c r="I1139" s="491"/>
      <c r="J1139" s="491"/>
      <c r="K1139" s="492"/>
      <c r="L1139" s="342"/>
      <c r="M1139" s="344">
        <f>SUM(M1137:M1138)</f>
        <v>382</v>
      </c>
      <c r="N1139" s="344">
        <f>SUM(N1137:N1138)</f>
        <v>75</v>
      </c>
      <c r="O1139" s="344">
        <f>SUM(O1137:O1138)</f>
        <v>44</v>
      </c>
      <c r="P1139" s="614"/>
      <c r="Q1139" s="614"/>
      <c r="R1139" s="614"/>
      <c r="S1139" s="614"/>
      <c r="T1139" s="614"/>
      <c r="U1139" s="614"/>
    </row>
    <row r="1140" spans="1:21" ht="35.1" customHeight="1">
      <c r="A1140" s="1462"/>
      <c r="B1140" s="1794"/>
      <c r="C1140" s="770" t="s">
        <v>964</v>
      </c>
      <c r="D1140" s="761" t="s">
        <v>965</v>
      </c>
      <c r="E1140" s="762"/>
      <c r="F1140" s="763"/>
      <c r="G1140" s="346" t="s">
        <v>958</v>
      </c>
      <c r="H1140" s="346" t="s">
        <v>958</v>
      </c>
      <c r="I1140" s="347" t="s">
        <v>959</v>
      </c>
      <c r="J1140" s="346" t="s">
        <v>11</v>
      </c>
      <c r="K1140" s="346" t="s">
        <v>12</v>
      </c>
      <c r="L1140" s="328">
        <v>84.958399999999997</v>
      </c>
      <c r="M1140" s="329">
        <v>270</v>
      </c>
      <c r="N1140" s="329">
        <v>16</v>
      </c>
      <c r="O1140" s="329">
        <v>13</v>
      </c>
      <c r="P1140" s="612" t="s">
        <v>966</v>
      </c>
      <c r="Q1140" s="612" t="s">
        <v>967</v>
      </c>
      <c r="R1140" s="612" t="s">
        <v>968</v>
      </c>
      <c r="S1140" s="612" t="s">
        <v>13</v>
      </c>
      <c r="T1140" s="612" t="s">
        <v>963</v>
      </c>
      <c r="U1140" s="612" t="s">
        <v>17</v>
      </c>
    </row>
    <row r="1141" spans="1:21" ht="35.1" customHeight="1">
      <c r="A1141" s="1462"/>
      <c r="B1141" s="1794"/>
      <c r="C1141" s="772"/>
      <c r="D1141" s="767"/>
      <c r="E1141" s="768"/>
      <c r="F1141" s="769"/>
      <c r="G1141" s="490" t="s">
        <v>329</v>
      </c>
      <c r="H1141" s="491"/>
      <c r="I1141" s="491"/>
      <c r="J1141" s="491"/>
      <c r="K1141" s="492"/>
      <c r="L1141" s="343"/>
      <c r="M1141" s="344">
        <f>SUM(M1140:M1140)</f>
        <v>270</v>
      </c>
      <c r="N1141" s="344">
        <f>SUM(N1140:N1140)</f>
        <v>16</v>
      </c>
      <c r="O1141" s="344">
        <f>SUM(O1140:O1140)</f>
        <v>13</v>
      </c>
      <c r="P1141" s="614"/>
      <c r="Q1141" s="614"/>
      <c r="R1141" s="614"/>
      <c r="S1141" s="614"/>
      <c r="T1141" s="614"/>
      <c r="U1141" s="614"/>
    </row>
    <row r="1142" spans="1:21" ht="35.1" customHeight="1">
      <c r="A1142" s="1462"/>
      <c r="B1142" s="1794"/>
      <c r="C1142" s="743" t="s">
        <v>956</v>
      </c>
      <c r="D1142" s="746" t="s">
        <v>969</v>
      </c>
      <c r="E1142" s="747"/>
      <c r="F1142" s="748"/>
      <c r="G1142" s="755" t="s">
        <v>970</v>
      </c>
      <c r="H1142" s="755" t="s">
        <v>971</v>
      </c>
      <c r="I1142" s="758" t="s">
        <v>972</v>
      </c>
      <c r="J1142" s="755" t="s">
        <v>11</v>
      </c>
      <c r="K1142" s="755" t="s">
        <v>12</v>
      </c>
      <c r="L1142" s="325">
        <v>61.9953</v>
      </c>
      <c r="M1142" s="326">
        <v>117</v>
      </c>
      <c r="N1142" s="326">
        <v>0</v>
      </c>
      <c r="O1142" s="326">
        <v>0</v>
      </c>
      <c r="P1142" s="551" t="s">
        <v>973</v>
      </c>
      <c r="Q1142" s="551" t="s">
        <v>974</v>
      </c>
      <c r="R1142" s="551" t="s">
        <v>975</v>
      </c>
      <c r="S1142" s="551" t="s">
        <v>13</v>
      </c>
      <c r="T1142" s="551" t="s">
        <v>963</v>
      </c>
      <c r="U1142" s="551" t="s">
        <v>11</v>
      </c>
    </row>
    <row r="1143" spans="1:21" ht="35.1" customHeight="1">
      <c r="A1143" s="1462"/>
      <c r="B1143" s="1794"/>
      <c r="C1143" s="744"/>
      <c r="D1143" s="749"/>
      <c r="E1143" s="750"/>
      <c r="F1143" s="751"/>
      <c r="G1143" s="756"/>
      <c r="H1143" s="756"/>
      <c r="I1143" s="759"/>
      <c r="J1143" s="756"/>
      <c r="K1143" s="756"/>
      <c r="L1143" s="325">
        <v>84.987700000000004</v>
      </c>
      <c r="M1143" s="326">
        <v>268</v>
      </c>
      <c r="N1143" s="326">
        <v>4</v>
      </c>
      <c r="O1143" s="326">
        <v>3</v>
      </c>
      <c r="P1143" s="552"/>
      <c r="Q1143" s="552"/>
      <c r="R1143" s="552"/>
      <c r="S1143" s="552"/>
      <c r="T1143" s="552"/>
      <c r="U1143" s="552"/>
    </row>
    <row r="1144" spans="1:21" ht="35.1" customHeight="1">
      <c r="A1144" s="1462"/>
      <c r="B1144" s="1794"/>
      <c r="C1144" s="744"/>
      <c r="D1144" s="749"/>
      <c r="E1144" s="750"/>
      <c r="F1144" s="751"/>
      <c r="G1144" s="757"/>
      <c r="H1144" s="757"/>
      <c r="I1144" s="760"/>
      <c r="J1144" s="757"/>
      <c r="K1144" s="757"/>
      <c r="L1144" s="325">
        <v>84.990899999999996</v>
      </c>
      <c r="M1144" s="326">
        <v>95</v>
      </c>
      <c r="N1144" s="326">
        <v>1</v>
      </c>
      <c r="O1144" s="326">
        <v>1</v>
      </c>
      <c r="P1144" s="552"/>
      <c r="Q1144" s="552"/>
      <c r="R1144" s="552"/>
      <c r="S1144" s="552"/>
      <c r="T1144" s="552"/>
      <c r="U1144" s="552"/>
    </row>
    <row r="1145" spans="1:21" ht="35.1" customHeight="1">
      <c r="A1145" s="1462"/>
      <c r="B1145" s="1794"/>
      <c r="C1145" s="745"/>
      <c r="D1145" s="752"/>
      <c r="E1145" s="753"/>
      <c r="F1145" s="754"/>
      <c r="G1145" s="490" t="s">
        <v>329</v>
      </c>
      <c r="H1145" s="491"/>
      <c r="I1145" s="491"/>
      <c r="J1145" s="491"/>
      <c r="K1145" s="492"/>
      <c r="L1145" s="341"/>
      <c r="M1145" s="344">
        <f>SUM(M1142:M1144)</f>
        <v>480</v>
      </c>
      <c r="N1145" s="344">
        <f>SUM(N1142:N1144)</f>
        <v>5</v>
      </c>
      <c r="O1145" s="344">
        <f>SUM(O1142:O1144)</f>
        <v>4</v>
      </c>
      <c r="P1145" s="553"/>
      <c r="Q1145" s="553"/>
      <c r="R1145" s="553"/>
      <c r="S1145" s="553"/>
      <c r="T1145" s="553"/>
      <c r="U1145" s="553"/>
    </row>
    <row r="1146" spans="1:21" ht="35.1" customHeight="1">
      <c r="A1146" s="1462"/>
      <c r="B1146" s="1794"/>
      <c r="C1146" s="837" t="s">
        <v>956</v>
      </c>
      <c r="D1146" s="761" t="s">
        <v>1084</v>
      </c>
      <c r="E1146" s="762"/>
      <c r="F1146" s="763"/>
      <c r="G1146" s="608" t="s">
        <v>1085</v>
      </c>
      <c r="H1146" s="608" t="s">
        <v>1086</v>
      </c>
      <c r="I1146" s="610" t="s">
        <v>1087</v>
      </c>
      <c r="J1146" s="608" t="s">
        <v>11</v>
      </c>
      <c r="K1146" s="608" t="s">
        <v>12</v>
      </c>
      <c r="L1146" s="328">
        <v>84.997900000000001</v>
      </c>
      <c r="M1146" s="329">
        <v>233</v>
      </c>
      <c r="N1146" s="329">
        <v>39</v>
      </c>
      <c r="O1146" s="329">
        <v>2</v>
      </c>
      <c r="P1146" s="612" t="s">
        <v>1088</v>
      </c>
      <c r="Q1146" s="612" t="s">
        <v>1089</v>
      </c>
      <c r="R1146" s="612" t="s">
        <v>1090</v>
      </c>
      <c r="S1146" s="612" t="s">
        <v>13</v>
      </c>
      <c r="T1146" s="612" t="s">
        <v>963</v>
      </c>
      <c r="U1146" s="612" t="s">
        <v>17</v>
      </c>
    </row>
    <row r="1147" spans="1:21" ht="35.1" customHeight="1">
      <c r="A1147" s="1462"/>
      <c r="B1147" s="1794"/>
      <c r="C1147" s="838"/>
      <c r="D1147" s="764"/>
      <c r="E1147" s="840"/>
      <c r="F1147" s="766"/>
      <c r="G1147" s="609"/>
      <c r="H1147" s="609"/>
      <c r="I1147" s="611"/>
      <c r="J1147" s="609"/>
      <c r="K1147" s="609"/>
      <c r="L1147" s="328">
        <v>84.931299999999993</v>
      </c>
      <c r="M1147" s="329">
        <v>77</v>
      </c>
      <c r="N1147" s="329">
        <v>22</v>
      </c>
      <c r="O1147" s="329">
        <v>1</v>
      </c>
      <c r="P1147" s="613"/>
      <c r="Q1147" s="613"/>
      <c r="R1147" s="613"/>
      <c r="S1147" s="613"/>
      <c r="T1147" s="613"/>
      <c r="U1147" s="613"/>
    </row>
    <row r="1148" spans="1:21" ht="35.1" customHeight="1">
      <c r="A1148" s="1462"/>
      <c r="B1148" s="1794"/>
      <c r="C1148" s="839"/>
      <c r="D1148" s="767"/>
      <c r="E1148" s="768"/>
      <c r="F1148" s="769"/>
      <c r="G1148" s="490" t="s">
        <v>329</v>
      </c>
      <c r="H1148" s="491"/>
      <c r="I1148" s="491"/>
      <c r="J1148" s="491"/>
      <c r="K1148" s="492"/>
      <c r="L1148" s="341"/>
      <c r="M1148" s="344">
        <f>SUM(M1146:M1147)</f>
        <v>310</v>
      </c>
      <c r="N1148" s="344">
        <f t="shared" ref="N1148" si="52">SUM(N1146:N1147)</f>
        <v>61</v>
      </c>
      <c r="O1148" s="344">
        <f t="shared" ref="O1148" si="53">SUM(O1146:O1147)</f>
        <v>3</v>
      </c>
      <c r="P1148" s="614"/>
      <c r="Q1148" s="614"/>
      <c r="R1148" s="614"/>
      <c r="S1148" s="614"/>
      <c r="T1148" s="614"/>
      <c r="U1148" s="614"/>
    </row>
    <row r="1149" spans="1:21" ht="35.1" customHeight="1">
      <c r="A1149" s="1462"/>
      <c r="B1149" s="1794"/>
      <c r="C1149" s="837" t="s">
        <v>1137</v>
      </c>
      <c r="D1149" s="761" t="s">
        <v>1138</v>
      </c>
      <c r="E1149" s="762"/>
      <c r="F1149" s="763"/>
      <c r="G1149" s="608" t="s">
        <v>1139</v>
      </c>
      <c r="H1149" s="608" t="s">
        <v>1140</v>
      </c>
      <c r="I1149" s="608" t="s">
        <v>1141</v>
      </c>
      <c r="J1149" s="608" t="s">
        <v>11</v>
      </c>
      <c r="K1149" s="1799" t="s">
        <v>12</v>
      </c>
      <c r="L1149" s="328">
        <v>74.659499999999994</v>
      </c>
      <c r="M1149" s="329">
        <v>24</v>
      </c>
      <c r="N1149" s="329">
        <v>21</v>
      </c>
      <c r="O1149" s="329">
        <v>17</v>
      </c>
      <c r="P1149" s="612" t="s">
        <v>1142</v>
      </c>
      <c r="Q1149" s="612" t="s">
        <v>1143</v>
      </c>
      <c r="R1149" s="612" t="s">
        <v>1144</v>
      </c>
      <c r="S1149" s="612" t="s">
        <v>13</v>
      </c>
      <c r="T1149" s="612" t="s">
        <v>1145</v>
      </c>
      <c r="U1149" s="612" t="s">
        <v>11</v>
      </c>
    </row>
    <row r="1150" spans="1:21" ht="35.1" customHeight="1">
      <c r="A1150" s="1462"/>
      <c r="B1150" s="1794"/>
      <c r="C1150" s="838"/>
      <c r="D1150" s="764"/>
      <c r="E1150" s="840"/>
      <c r="F1150" s="766"/>
      <c r="G1150" s="1798"/>
      <c r="H1150" s="1798"/>
      <c r="I1150" s="1798"/>
      <c r="J1150" s="1798"/>
      <c r="K1150" s="1800"/>
      <c r="L1150" s="328">
        <v>84.759900000000002</v>
      </c>
      <c r="M1150" s="329">
        <v>377</v>
      </c>
      <c r="N1150" s="329">
        <v>321</v>
      </c>
      <c r="O1150" s="329">
        <v>287</v>
      </c>
      <c r="P1150" s="613"/>
      <c r="Q1150" s="613"/>
      <c r="R1150" s="613"/>
      <c r="S1150" s="613"/>
      <c r="T1150" s="613"/>
      <c r="U1150" s="613"/>
    </row>
    <row r="1151" spans="1:21" ht="35.1" customHeight="1">
      <c r="A1151" s="1462"/>
      <c r="B1151" s="1794"/>
      <c r="C1151" s="838"/>
      <c r="D1151" s="764"/>
      <c r="E1151" s="840"/>
      <c r="F1151" s="766"/>
      <c r="G1151" s="609"/>
      <c r="H1151" s="609"/>
      <c r="I1151" s="609"/>
      <c r="J1151" s="609"/>
      <c r="K1151" s="1801"/>
      <c r="L1151" s="328">
        <v>84.961500000000001</v>
      </c>
      <c r="M1151" s="329">
        <v>29</v>
      </c>
      <c r="N1151" s="329">
        <v>26</v>
      </c>
      <c r="O1151" s="329">
        <v>25</v>
      </c>
      <c r="P1151" s="613"/>
      <c r="Q1151" s="613"/>
      <c r="R1151" s="613"/>
      <c r="S1151" s="613"/>
      <c r="T1151" s="613"/>
      <c r="U1151" s="613"/>
    </row>
    <row r="1152" spans="1:21" ht="35.1" customHeight="1">
      <c r="A1152" s="1462"/>
      <c r="B1152" s="1795"/>
      <c r="C1152" s="839"/>
      <c r="D1152" s="767"/>
      <c r="E1152" s="768"/>
      <c r="F1152" s="769"/>
      <c r="G1152" s="490" t="s">
        <v>329</v>
      </c>
      <c r="H1152" s="491"/>
      <c r="I1152" s="491"/>
      <c r="J1152" s="491"/>
      <c r="K1152" s="492"/>
      <c r="L1152" s="341"/>
      <c r="M1152" s="344">
        <f>SUM(M1149:M1151)</f>
        <v>430</v>
      </c>
      <c r="N1152" s="344">
        <f>SUM(N1149:N1151)</f>
        <v>368</v>
      </c>
      <c r="O1152" s="344">
        <f>SUM(O1149:O1151)</f>
        <v>329</v>
      </c>
      <c r="P1152" s="614"/>
      <c r="Q1152" s="614"/>
      <c r="R1152" s="614"/>
      <c r="S1152" s="614"/>
      <c r="T1152" s="614"/>
      <c r="U1152" s="614"/>
    </row>
    <row r="1153" spans="1:21" ht="30" customHeight="1">
      <c r="A1153" s="1462"/>
      <c r="B1153" s="777" t="s">
        <v>105</v>
      </c>
      <c r="C1153" s="778"/>
      <c r="D1153" s="778"/>
      <c r="E1153" s="778"/>
      <c r="F1153" s="778"/>
      <c r="G1153" s="778"/>
      <c r="H1153" s="778"/>
      <c r="I1153" s="778"/>
      <c r="J1153" s="778"/>
      <c r="K1153" s="779"/>
      <c r="L1153" s="122"/>
      <c r="M1153" s="394">
        <f>M1145+M1141+M1139+M1136+M1148+M1152</f>
        <v>2017</v>
      </c>
      <c r="N1153" s="394">
        <f>N1145+N1141+N1139+N1136+N1148+N1152</f>
        <v>535</v>
      </c>
      <c r="O1153" s="394">
        <f>O1145+O1141+O1139+O1136+O1148+O1152</f>
        <v>400</v>
      </c>
      <c r="P1153" s="123"/>
      <c r="Q1153" s="123"/>
      <c r="R1153" s="123"/>
      <c r="S1153" s="156"/>
      <c r="T1153" s="156"/>
      <c r="U1153" s="156"/>
    </row>
  </sheetData>
  <mergeCells count="2353">
    <mergeCell ref="J1149:J1151"/>
    <mergeCell ref="K1149:K1151"/>
    <mergeCell ref="P1149:P1152"/>
    <mergeCell ref="Q1149:Q1152"/>
    <mergeCell ref="R1149:R1152"/>
    <mergeCell ref="S1149:S1152"/>
    <mergeCell ref="C1036:C1048"/>
    <mergeCell ref="H317:H321"/>
    <mergeCell ref="R323:R327"/>
    <mergeCell ref="Q323:Q327"/>
    <mergeCell ref="G316:K316"/>
    <mergeCell ref="U323:U327"/>
    <mergeCell ref="S455:S457"/>
    <mergeCell ref="J317:J321"/>
    <mergeCell ref="J332:J335"/>
    <mergeCell ref="T1149:T1152"/>
    <mergeCell ref="U1149:U1152"/>
    <mergeCell ref="G1152:K1152"/>
    <mergeCell ref="C351:C353"/>
    <mergeCell ref="D351:F353"/>
    <mergeCell ref="J365:J367"/>
    <mergeCell ref="C408:C415"/>
    <mergeCell ref="H455:H456"/>
    <mergeCell ref="D347:F350"/>
    <mergeCell ref="D340:F346"/>
    <mergeCell ref="C449:C454"/>
    <mergeCell ref="K328:K330"/>
    <mergeCell ref="H332:H335"/>
    <mergeCell ref="U369:U375"/>
    <mergeCell ref="U423:U430"/>
    <mergeCell ref="S248:S252"/>
    <mergeCell ref="T248:T252"/>
    <mergeCell ref="U408:U415"/>
    <mergeCell ref="J434:J436"/>
    <mergeCell ref="H441:H447"/>
    <mergeCell ref="I434:I436"/>
    <mergeCell ref="B1134:B1152"/>
    <mergeCell ref="C781:C783"/>
    <mergeCell ref="D781:F783"/>
    <mergeCell ref="J781:J782"/>
    <mergeCell ref="K781:K782"/>
    <mergeCell ref="P781:P783"/>
    <mergeCell ref="Q781:Q783"/>
    <mergeCell ref="R781:R783"/>
    <mergeCell ref="S781:S783"/>
    <mergeCell ref="T781:T783"/>
    <mergeCell ref="U781:U783"/>
    <mergeCell ref="G783:K783"/>
    <mergeCell ref="B647:B783"/>
    <mergeCell ref="G781:G782"/>
    <mergeCell ref="H781:H782"/>
    <mergeCell ref="I781:I782"/>
    <mergeCell ref="C1149:C1152"/>
    <mergeCell ref="D1149:F1152"/>
    <mergeCell ref="G1149:G1151"/>
    <mergeCell ref="H1149:H1151"/>
    <mergeCell ref="I1149:I1151"/>
    <mergeCell ref="C727:C732"/>
    <mergeCell ref="C647:C675"/>
    <mergeCell ref="R676:R690"/>
    <mergeCell ref="G690:K690"/>
    <mergeCell ref="B1133:K1133"/>
    <mergeCell ref="U434:U437"/>
    <mergeCell ref="C340:C346"/>
    <mergeCell ref="J369:J374"/>
    <mergeCell ref="S376:S387"/>
    <mergeCell ref="R438:R440"/>
    <mergeCell ref="D328:F331"/>
    <mergeCell ref="C332:C336"/>
    <mergeCell ref="C354:C364"/>
    <mergeCell ref="R354:R364"/>
    <mergeCell ref="P354:P364"/>
    <mergeCell ref="S423:S430"/>
    <mergeCell ref="T354:T364"/>
    <mergeCell ref="S354:S364"/>
    <mergeCell ref="G457:K457"/>
    <mergeCell ref="T423:T430"/>
    <mergeCell ref="S369:S375"/>
    <mergeCell ref="R307:R312"/>
    <mergeCell ref="R423:R430"/>
    <mergeCell ref="U455:U457"/>
    <mergeCell ref="G431:G432"/>
    <mergeCell ref="G375:L375"/>
    <mergeCell ref="G376:I380"/>
    <mergeCell ref="U248:U252"/>
    <mergeCell ref="K397:K400"/>
    <mergeCell ref="B98:B162"/>
    <mergeCell ref="R259:R267"/>
    <mergeCell ref="T232:T239"/>
    <mergeCell ref="K191:K200"/>
    <mergeCell ref="R225:R231"/>
    <mergeCell ref="T225:T231"/>
    <mergeCell ref="T132:T135"/>
    <mergeCell ref="D168:F173"/>
    <mergeCell ref="U179:U186"/>
    <mergeCell ref="U116:U122"/>
    <mergeCell ref="U164:U167"/>
    <mergeCell ref="T259:T267"/>
    <mergeCell ref="U259:U267"/>
    <mergeCell ref="G267:K267"/>
    <mergeCell ref="T282:T287"/>
    <mergeCell ref="U274:U277"/>
    <mergeCell ref="U317:U322"/>
    <mergeCell ref="J382:J386"/>
    <mergeCell ref="R351:R353"/>
    <mergeCell ref="T340:T346"/>
    <mergeCell ref="Q351:Q353"/>
    <mergeCell ref="K332:K335"/>
    <mergeCell ref="U191:U201"/>
    <mergeCell ref="U225:U231"/>
    <mergeCell ref="U156:U162"/>
    <mergeCell ref="G162:L162"/>
    <mergeCell ref="P328:P331"/>
    <mergeCell ref="J323:J326"/>
    <mergeCell ref="U187:U190"/>
    <mergeCell ref="J397:J400"/>
    <mergeCell ref="K369:K374"/>
    <mergeCell ref="V151:V155"/>
    <mergeCell ref="G155:L155"/>
    <mergeCell ref="C259:C267"/>
    <mergeCell ref="D259:F267"/>
    <mergeCell ref="P259:P267"/>
    <mergeCell ref="Q259:Q267"/>
    <mergeCell ref="D202:F224"/>
    <mergeCell ref="C151:C155"/>
    <mergeCell ref="D151:F155"/>
    <mergeCell ref="G151:G154"/>
    <mergeCell ref="H151:H154"/>
    <mergeCell ref="I151:I154"/>
    <mergeCell ref="J151:J154"/>
    <mergeCell ref="K151:K154"/>
    <mergeCell ref="P151:P155"/>
    <mergeCell ref="Q151:Q155"/>
    <mergeCell ref="C156:C162"/>
    <mergeCell ref="D156:F162"/>
    <mergeCell ref="P156:P162"/>
    <mergeCell ref="Q156:Q162"/>
    <mergeCell ref="S253:S258"/>
    <mergeCell ref="P365:P368"/>
    <mergeCell ref="T187:T190"/>
    <mergeCell ref="G369:I374"/>
    <mergeCell ref="R369:R375"/>
    <mergeCell ref="J376:J380"/>
    <mergeCell ref="U351:U353"/>
    <mergeCell ref="R337:R339"/>
    <mergeCell ref="U202:U224"/>
    <mergeCell ref="D365:F368"/>
    <mergeCell ref="D354:F364"/>
    <mergeCell ref="J416:J417"/>
    <mergeCell ref="G430:K430"/>
    <mergeCell ref="J354:J363"/>
    <mergeCell ref="T419:T422"/>
    <mergeCell ref="T369:T375"/>
    <mergeCell ref="T438:T440"/>
    <mergeCell ref="S438:S440"/>
    <mergeCell ref="U441:U448"/>
    <mergeCell ref="S340:S346"/>
    <mergeCell ref="T351:T353"/>
    <mergeCell ref="T416:T418"/>
    <mergeCell ref="T376:T387"/>
    <mergeCell ref="I332:I335"/>
    <mergeCell ref="U438:U440"/>
    <mergeCell ref="S351:S353"/>
    <mergeCell ref="S365:S368"/>
    <mergeCell ref="Q369:Q375"/>
    <mergeCell ref="K365:K367"/>
    <mergeCell ref="D392:F396"/>
    <mergeCell ref="G365:I367"/>
    <mergeCell ref="P416:P418"/>
    <mergeCell ref="H408:H414"/>
    <mergeCell ref="G397:I400"/>
    <mergeCell ref="D408:F415"/>
    <mergeCell ref="G422:K422"/>
    <mergeCell ref="S434:S437"/>
    <mergeCell ref="S431:S433"/>
    <mergeCell ref="R431:R433"/>
    <mergeCell ref="Q416:Q418"/>
    <mergeCell ref="D369:F375"/>
    <mergeCell ref="U473:U482"/>
    <mergeCell ref="R441:R448"/>
    <mergeCell ref="U458:U465"/>
    <mergeCell ref="U500:U503"/>
    <mergeCell ref="T434:T437"/>
    <mergeCell ref="G423:G429"/>
    <mergeCell ref="H419:H421"/>
    <mergeCell ref="G437:K437"/>
    <mergeCell ref="J423:J429"/>
    <mergeCell ref="H466:H471"/>
    <mergeCell ref="P441:P448"/>
    <mergeCell ref="J438:J439"/>
    <mergeCell ref="P449:P454"/>
    <mergeCell ref="K455:K456"/>
    <mergeCell ref="I458:I464"/>
    <mergeCell ref="I455:I456"/>
    <mergeCell ref="J455:J456"/>
    <mergeCell ref="P455:P457"/>
    <mergeCell ref="G458:G464"/>
    <mergeCell ref="H458:H464"/>
    <mergeCell ref="G433:K433"/>
    <mergeCell ref="P431:P433"/>
    <mergeCell ref="R455:R457"/>
    <mergeCell ref="P438:P440"/>
    <mergeCell ref="R449:R454"/>
    <mergeCell ref="Q466:Q472"/>
    <mergeCell ref="T449:T454"/>
    <mergeCell ref="Q441:Q448"/>
    <mergeCell ref="S490:S499"/>
    <mergeCell ref="I431:I432"/>
    <mergeCell ref="K500:K502"/>
    <mergeCell ref="U431:U433"/>
    <mergeCell ref="U545:U549"/>
    <mergeCell ref="T512:T516"/>
    <mergeCell ref="K473:K481"/>
    <mergeCell ref="G473:G481"/>
    <mergeCell ref="T483:T489"/>
    <mergeCell ref="U483:U489"/>
    <mergeCell ref="U490:U499"/>
    <mergeCell ref="Q483:Q489"/>
    <mergeCell ref="R483:R489"/>
    <mergeCell ref="Q490:Q499"/>
    <mergeCell ref="G483:G488"/>
    <mergeCell ref="C490:C499"/>
    <mergeCell ref="S473:S482"/>
    <mergeCell ref="R505:R511"/>
    <mergeCell ref="R517:R523"/>
    <mergeCell ref="S466:S472"/>
    <mergeCell ref="H473:H481"/>
    <mergeCell ref="G499:K499"/>
    <mergeCell ref="U517:U523"/>
    <mergeCell ref="Q530:Q537"/>
    <mergeCell ref="G544:K544"/>
    <mergeCell ref="J539:J543"/>
    <mergeCell ref="B538:K538"/>
    <mergeCell ref="H539:H543"/>
    <mergeCell ref="U530:U537"/>
    <mergeCell ref="U539:U544"/>
    <mergeCell ref="Q500:Q503"/>
    <mergeCell ref="P490:P499"/>
    <mergeCell ref="G530:G536"/>
    <mergeCell ref="I490:I498"/>
    <mergeCell ref="J530:J536"/>
    <mergeCell ref="C539:C544"/>
    <mergeCell ref="T517:T523"/>
    <mergeCell ref="P517:P523"/>
    <mergeCell ref="Q512:Q516"/>
    <mergeCell ref="G524:G527"/>
    <mergeCell ref="J490:J498"/>
    <mergeCell ref="G511:K511"/>
    <mergeCell ref="C512:C516"/>
    <mergeCell ref="D524:F528"/>
    <mergeCell ref="D530:F537"/>
    <mergeCell ref="D455:F457"/>
    <mergeCell ref="J483:J488"/>
    <mergeCell ref="K483:K488"/>
    <mergeCell ref="R490:R499"/>
    <mergeCell ref="B408:B503"/>
    <mergeCell ref="I441:I447"/>
    <mergeCell ref="C434:C437"/>
    <mergeCell ref="Q473:Q482"/>
    <mergeCell ref="R466:R472"/>
    <mergeCell ref="K466:K471"/>
    <mergeCell ref="G418:K418"/>
    <mergeCell ref="K458:K464"/>
    <mergeCell ref="G434:G436"/>
    <mergeCell ref="P458:P465"/>
    <mergeCell ref="I419:I421"/>
    <mergeCell ref="Q434:Q437"/>
    <mergeCell ref="K505:K510"/>
    <mergeCell ref="Q505:Q511"/>
    <mergeCell ref="J449:J453"/>
    <mergeCell ref="G465:K465"/>
    <mergeCell ref="S458:S465"/>
    <mergeCell ref="S419:S422"/>
    <mergeCell ref="Q408:Q415"/>
    <mergeCell ref="K392:K395"/>
    <mergeCell ref="C397:C401"/>
    <mergeCell ref="R458:R465"/>
    <mergeCell ref="I438:I439"/>
    <mergeCell ref="G440:K440"/>
    <mergeCell ref="R434:R437"/>
    <mergeCell ref="H423:H429"/>
    <mergeCell ref="J441:J447"/>
    <mergeCell ref="G408:G414"/>
    <mergeCell ref="I408:I414"/>
    <mergeCell ref="G438:G439"/>
    <mergeCell ref="Q419:Q422"/>
    <mergeCell ref="C455:C457"/>
    <mergeCell ref="C458:C465"/>
    <mergeCell ref="G455:G456"/>
    <mergeCell ref="G401:K401"/>
    <mergeCell ref="R416:R418"/>
    <mergeCell ref="R408:R415"/>
    <mergeCell ref="Q449:Q454"/>
    <mergeCell ref="C423:C430"/>
    <mergeCell ref="P408:P415"/>
    <mergeCell ref="Q455:Q457"/>
    <mergeCell ref="D431:F433"/>
    <mergeCell ref="Q539:Q544"/>
    <mergeCell ref="B919:B933"/>
    <mergeCell ref="S1129:S1132"/>
    <mergeCell ref="G449:G453"/>
    <mergeCell ref="H1120:H1126"/>
    <mergeCell ref="B594:B645"/>
    <mergeCell ref="C717:C726"/>
    <mergeCell ref="J431:J432"/>
    <mergeCell ref="G490:G498"/>
    <mergeCell ref="H490:H498"/>
    <mergeCell ref="D449:F454"/>
    <mergeCell ref="R473:R482"/>
    <mergeCell ref="D397:F401"/>
    <mergeCell ref="C431:C433"/>
    <mergeCell ref="C416:C418"/>
    <mergeCell ref="K419:K421"/>
    <mergeCell ref="D419:F422"/>
    <mergeCell ref="K927:K932"/>
    <mergeCell ref="P927:P933"/>
    <mergeCell ref="G1048:K1048"/>
    <mergeCell ref="I927:I932"/>
    <mergeCell ref="J927:J932"/>
    <mergeCell ref="C598:C601"/>
    <mergeCell ref="T613:T618"/>
    <mergeCell ref="P643:P645"/>
    <mergeCell ref="D643:F645"/>
    <mergeCell ref="H676:H689"/>
    <mergeCell ref="G647:G656"/>
    <mergeCell ref="K669:K674"/>
    <mergeCell ref="H449:H453"/>
    <mergeCell ref="D441:F448"/>
    <mergeCell ref="D434:F437"/>
    <mergeCell ref="B1096:B1118"/>
    <mergeCell ref="J1120:J1126"/>
    <mergeCell ref="K1120:K1126"/>
    <mergeCell ref="T1120:T1127"/>
    <mergeCell ref="B1128:K1128"/>
    <mergeCell ref="G1127:K1127"/>
    <mergeCell ref="B1129:B1132"/>
    <mergeCell ref="C1129:C1132"/>
    <mergeCell ref="D1129:F1132"/>
    <mergeCell ref="G1129:G1131"/>
    <mergeCell ref="H1129:H1131"/>
    <mergeCell ref="I1129:I1131"/>
    <mergeCell ref="J1129:J1131"/>
    <mergeCell ref="B945:B953"/>
    <mergeCell ref="H517:H522"/>
    <mergeCell ref="G523:K523"/>
    <mergeCell ref="K517:K522"/>
    <mergeCell ref="J524:J527"/>
    <mergeCell ref="C927:C933"/>
    <mergeCell ref="D927:F933"/>
    <mergeCell ref="G927:G932"/>
    <mergeCell ref="H927:H932"/>
    <mergeCell ref="I561:I564"/>
    <mergeCell ref="J550:J559"/>
    <mergeCell ref="K594:K596"/>
    <mergeCell ref="S658:S668"/>
    <mergeCell ref="S629:S634"/>
    <mergeCell ref="S669:S675"/>
    <mergeCell ref="S602:S606"/>
    <mergeCell ref="P619:P623"/>
    <mergeCell ref="U561:U565"/>
    <mergeCell ref="R607:R612"/>
    <mergeCell ref="T643:T645"/>
    <mergeCell ref="S647:S657"/>
    <mergeCell ref="U629:U634"/>
    <mergeCell ref="P602:P606"/>
    <mergeCell ref="T602:T606"/>
    <mergeCell ref="U624:U628"/>
    <mergeCell ref="T624:T628"/>
    <mergeCell ref="S566:S569"/>
    <mergeCell ref="U570:U575"/>
    <mergeCell ref="S613:S618"/>
    <mergeCell ref="Q658:Q668"/>
    <mergeCell ref="T658:T668"/>
    <mergeCell ref="Q594:Q597"/>
    <mergeCell ref="S624:S628"/>
    <mergeCell ref="S635:S642"/>
    <mergeCell ref="Q619:Q623"/>
    <mergeCell ref="S607:S612"/>
    <mergeCell ref="J607:J611"/>
    <mergeCell ref="B646:K646"/>
    <mergeCell ref="D598:F601"/>
    <mergeCell ref="C635:C642"/>
    <mergeCell ref="C607:C612"/>
    <mergeCell ref="G602:I605"/>
    <mergeCell ref="G642:K642"/>
    <mergeCell ref="G657:K657"/>
    <mergeCell ref="Q643:Q645"/>
    <mergeCell ref="G1120:G1126"/>
    <mergeCell ref="U815:U817"/>
    <mergeCell ref="U812:U814"/>
    <mergeCell ref="M815:M816"/>
    <mergeCell ref="G866:G871"/>
    <mergeCell ref="P866:P872"/>
    <mergeCell ref="C852:C858"/>
    <mergeCell ref="D852:F858"/>
    <mergeCell ref="G852:G857"/>
    <mergeCell ref="H852:H857"/>
    <mergeCell ref="I852:I857"/>
    <mergeCell ref="J852:J857"/>
    <mergeCell ref="K852:K857"/>
    <mergeCell ref="D647:F657"/>
    <mergeCell ref="H717:H725"/>
    <mergeCell ref="T1101:T1108"/>
    <mergeCell ref="S837:S844"/>
    <mergeCell ref="D819:F830"/>
    <mergeCell ref="G819:G829"/>
    <mergeCell ref="I819:I829"/>
    <mergeCell ref="J819:J829"/>
    <mergeCell ref="B790:K790"/>
    <mergeCell ref="I1120:I1126"/>
    <mergeCell ref="S1120:S1127"/>
    <mergeCell ref="S866:S872"/>
    <mergeCell ref="P919:P926"/>
    <mergeCell ref="C705:C716"/>
    <mergeCell ref="U1036:U1048"/>
    <mergeCell ref="B1120:B1127"/>
    <mergeCell ref="C1120:C1127"/>
    <mergeCell ref="D1120:F1127"/>
    <mergeCell ref="Q1120:Q1127"/>
    <mergeCell ref="R1120:R1127"/>
    <mergeCell ref="P852:P858"/>
    <mergeCell ref="T859:T865"/>
    <mergeCell ref="H866:H871"/>
    <mergeCell ref="R812:R814"/>
    <mergeCell ref="T837:T844"/>
    <mergeCell ref="G831:G835"/>
    <mergeCell ref="U691:U704"/>
    <mergeCell ref="U607:U612"/>
    <mergeCell ref="T927:T933"/>
    <mergeCell ref="T607:T612"/>
    <mergeCell ref="T1071:T1083"/>
    <mergeCell ref="U524:U528"/>
    <mergeCell ref="U566:U569"/>
    <mergeCell ref="U635:U642"/>
    <mergeCell ref="G566:G568"/>
    <mergeCell ref="S815:S817"/>
    <mergeCell ref="U1120:U1127"/>
    <mergeCell ref="S545:S549"/>
    <mergeCell ref="U669:U675"/>
    <mergeCell ref="U598:U601"/>
    <mergeCell ref="S561:S565"/>
    <mergeCell ref="R594:R597"/>
    <mergeCell ref="S643:S645"/>
    <mergeCell ref="R658:R668"/>
    <mergeCell ref="U619:U623"/>
    <mergeCell ref="Q691:Q704"/>
    <mergeCell ref="R669:R675"/>
    <mergeCell ref="H524:H527"/>
    <mergeCell ref="R524:R528"/>
    <mergeCell ref="Q524:Q528"/>
    <mergeCell ref="S505:S511"/>
    <mergeCell ref="T431:T433"/>
    <mergeCell ref="G336:K336"/>
    <mergeCell ref="K354:K363"/>
    <mergeCell ref="S550:S560"/>
    <mergeCell ref="T1129:T1132"/>
    <mergeCell ref="U1129:U1132"/>
    <mergeCell ref="G1132:K1132"/>
    <mergeCell ref="P1120:P1127"/>
    <mergeCell ref="U1020:U1031"/>
    <mergeCell ref="U805:U809"/>
    <mergeCell ref="U852:U858"/>
    <mergeCell ref="D859:F865"/>
    <mergeCell ref="U466:U472"/>
    <mergeCell ref="H550:H559"/>
    <mergeCell ref="G561:G564"/>
    <mergeCell ref="S517:S523"/>
    <mergeCell ref="P1129:P1132"/>
    <mergeCell ref="Q1129:Q1132"/>
    <mergeCell ref="R1129:R1132"/>
    <mergeCell ref="K1129:K1131"/>
    <mergeCell ref="S441:S448"/>
    <mergeCell ref="S449:S454"/>
    <mergeCell ref="U449:U454"/>
    <mergeCell ref="R691:R704"/>
    <mergeCell ref="T629:T634"/>
    <mergeCell ref="U613:U618"/>
    <mergeCell ref="S530:S537"/>
    <mergeCell ref="Q566:Q569"/>
    <mergeCell ref="P500:P503"/>
    <mergeCell ref="K490:K498"/>
    <mergeCell ref="B529:K529"/>
    <mergeCell ref="D490:F499"/>
    <mergeCell ref="H483:H488"/>
    <mergeCell ref="I483:I488"/>
    <mergeCell ref="J408:J414"/>
    <mergeCell ref="T539:T544"/>
    <mergeCell ref="U505:U511"/>
    <mergeCell ref="U512:U516"/>
    <mergeCell ref="S512:S516"/>
    <mergeCell ref="Q607:Q612"/>
    <mergeCell ref="U602:U606"/>
    <mergeCell ref="T1109:T1118"/>
    <mergeCell ref="U297:U299"/>
    <mergeCell ref="J340:J345"/>
    <mergeCell ref="G340:I345"/>
    <mergeCell ref="Q347:Q350"/>
    <mergeCell ref="G322:K322"/>
    <mergeCell ref="G328:G330"/>
    <mergeCell ref="G327:K327"/>
    <mergeCell ref="G323:G326"/>
    <mergeCell ref="G331:K331"/>
    <mergeCell ref="R297:R299"/>
    <mergeCell ref="G332:G335"/>
    <mergeCell ref="S317:S322"/>
    <mergeCell ref="T317:T322"/>
    <mergeCell ref="S337:S339"/>
    <mergeCell ref="J337:J338"/>
    <mergeCell ref="K337:K338"/>
    <mergeCell ref="T524:T528"/>
    <mergeCell ref="P524:P528"/>
    <mergeCell ref="H512:H515"/>
    <mergeCell ref="D483:F489"/>
    <mergeCell ref="K512:K515"/>
    <mergeCell ref="I473:I481"/>
    <mergeCell ref="T455:T457"/>
    <mergeCell ref="R347:R350"/>
    <mergeCell ref="Q376:Q387"/>
    <mergeCell ref="G346:K346"/>
    <mergeCell ref="K340:K345"/>
    <mergeCell ref="S483:S489"/>
    <mergeCell ref="R566:R569"/>
    <mergeCell ref="I530:I536"/>
    <mergeCell ref="T530:T537"/>
    <mergeCell ref="P539:P544"/>
    <mergeCell ref="G550:G559"/>
    <mergeCell ref="R602:R606"/>
    <mergeCell ref="Q602:Q606"/>
    <mergeCell ref="R570:R575"/>
    <mergeCell ref="T594:T597"/>
    <mergeCell ref="P570:P575"/>
    <mergeCell ref="T570:T575"/>
    <mergeCell ref="P594:P597"/>
    <mergeCell ref="J598:J600"/>
    <mergeCell ref="K598:K600"/>
    <mergeCell ref="K530:K536"/>
    <mergeCell ref="R500:R503"/>
    <mergeCell ref="P347:P350"/>
    <mergeCell ref="H570:H574"/>
    <mergeCell ref="K416:K417"/>
    <mergeCell ref="I416:I417"/>
    <mergeCell ref="K449:K453"/>
    <mergeCell ref="R376:R387"/>
    <mergeCell ref="U232:U239"/>
    <mergeCell ref="U288:U293"/>
    <mergeCell ref="U365:U368"/>
    <mergeCell ref="U301:U306"/>
    <mergeCell ref="U313:U316"/>
    <mergeCell ref="S301:S306"/>
    <mergeCell ref="T328:T331"/>
    <mergeCell ref="U240:U247"/>
    <mergeCell ref="U278:U281"/>
    <mergeCell ref="Q354:Q364"/>
    <mergeCell ref="U294:U296"/>
    <mergeCell ref="Q297:Q299"/>
    <mergeCell ref="Q313:Q316"/>
    <mergeCell ref="S232:S239"/>
    <mergeCell ref="S240:S247"/>
    <mergeCell ref="R278:R281"/>
    <mergeCell ref="U307:U312"/>
    <mergeCell ref="S294:S296"/>
    <mergeCell ref="R294:R296"/>
    <mergeCell ref="Q332:Q336"/>
    <mergeCell ref="T294:T296"/>
    <mergeCell ref="R365:R368"/>
    <mergeCell ref="Q365:Q368"/>
    <mergeCell ref="Q288:Q293"/>
    <mergeCell ref="U253:U258"/>
    <mergeCell ref="T288:T293"/>
    <mergeCell ref="R328:R331"/>
    <mergeCell ref="Q337:Q339"/>
    <mergeCell ref="T332:T336"/>
    <mergeCell ref="T240:T247"/>
    <mergeCell ref="S259:S267"/>
    <mergeCell ref="U340:U346"/>
    <mergeCell ref="T274:T277"/>
    <mergeCell ref="U354:U364"/>
    <mergeCell ref="Q282:Q287"/>
    <mergeCell ref="S297:S299"/>
    <mergeCell ref="Q307:Q312"/>
    <mergeCell ref="T323:T327"/>
    <mergeCell ref="S323:S327"/>
    <mergeCell ref="U332:U336"/>
    <mergeCell ref="S282:S287"/>
    <mergeCell ref="U282:U287"/>
    <mergeCell ref="T297:T299"/>
    <mergeCell ref="P307:P312"/>
    <mergeCell ref="K268:K271"/>
    <mergeCell ref="P268:P272"/>
    <mergeCell ref="H307:H311"/>
    <mergeCell ref="H282:H286"/>
    <mergeCell ref="P282:P287"/>
    <mergeCell ref="N278:N280"/>
    <mergeCell ref="J294:J295"/>
    <mergeCell ref="R288:R293"/>
    <mergeCell ref="R274:R277"/>
    <mergeCell ref="P278:P281"/>
    <mergeCell ref="O274:O276"/>
    <mergeCell ref="Q278:Q281"/>
    <mergeCell ref="H278:H280"/>
    <mergeCell ref="I278:I280"/>
    <mergeCell ref="Q274:Q277"/>
    <mergeCell ref="H297:H298"/>
    <mergeCell ref="I294:I295"/>
    <mergeCell ref="S313:S316"/>
    <mergeCell ref="P288:P293"/>
    <mergeCell ref="R332:R336"/>
    <mergeCell ref="R317:R322"/>
    <mergeCell ref="U416:U418"/>
    <mergeCell ref="T365:T368"/>
    <mergeCell ref="U328:U331"/>
    <mergeCell ref="U337:U339"/>
    <mergeCell ref="S328:S331"/>
    <mergeCell ref="T408:T415"/>
    <mergeCell ref="Q545:Q549"/>
    <mergeCell ref="T598:T601"/>
    <mergeCell ref="Q576:Q592"/>
    <mergeCell ref="S570:S575"/>
    <mergeCell ref="S347:S350"/>
    <mergeCell ref="S332:S336"/>
    <mergeCell ref="T337:T339"/>
    <mergeCell ref="Q340:Q346"/>
    <mergeCell ref="R561:R565"/>
    <mergeCell ref="S416:S418"/>
    <mergeCell ref="S408:S415"/>
    <mergeCell ref="R340:R346"/>
    <mergeCell ref="R419:R422"/>
    <mergeCell ref="R530:R537"/>
    <mergeCell ref="U347:U350"/>
    <mergeCell ref="U576:U592"/>
    <mergeCell ref="U376:U387"/>
    <mergeCell ref="T490:T499"/>
    <mergeCell ref="Q561:Q565"/>
    <mergeCell ref="R539:R544"/>
    <mergeCell ref="T545:T549"/>
    <mergeCell ref="T576:T592"/>
    <mergeCell ref="T441:T448"/>
    <mergeCell ref="S594:S597"/>
    <mergeCell ref="R545:R549"/>
    <mergeCell ref="U594:U597"/>
    <mergeCell ref="T635:T642"/>
    <mergeCell ref="Q647:Q657"/>
    <mergeCell ref="P607:P612"/>
    <mergeCell ref="P576:P592"/>
    <mergeCell ref="P598:P601"/>
    <mergeCell ref="P613:P618"/>
    <mergeCell ref="R613:R618"/>
    <mergeCell ref="U643:U645"/>
    <mergeCell ref="T619:T623"/>
    <mergeCell ref="R550:R560"/>
    <mergeCell ref="T561:T565"/>
    <mergeCell ref="P566:P569"/>
    <mergeCell ref="P340:P346"/>
    <mergeCell ref="I505:I510"/>
    <mergeCell ref="S500:S503"/>
    <mergeCell ref="T500:T503"/>
    <mergeCell ref="P624:P628"/>
    <mergeCell ref="R635:R642"/>
    <mergeCell ref="R629:R634"/>
    <mergeCell ref="U419:U422"/>
    <mergeCell ref="S524:S528"/>
    <mergeCell ref="S539:S544"/>
    <mergeCell ref="T505:T511"/>
    <mergeCell ref="U550:U560"/>
    <mergeCell ref="G364:K364"/>
    <mergeCell ref="G354:I363"/>
    <mergeCell ref="H561:H564"/>
    <mergeCell ref="J576:J591"/>
    <mergeCell ref="K576:K591"/>
    <mergeCell ref="K351:K352"/>
    <mergeCell ref="P423:P430"/>
    <mergeCell ref="P369:P375"/>
    <mergeCell ref="P351:P353"/>
    <mergeCell ref="P545:P549"/>
    <mergeCell ref="R512:R516"/>
    <mergeCell ref="T347:T350"/>
    <mergeCell ref="Q598:Q601"/>
    <mergeCell ref="I550:I559"/>
    <mergeCell ref="J545:J548"/>
    <mergeCell ref="T550:T560"/>
    <mergeCell ref="G565:K565"/>
    <mergeCell ref="G560:K560"/>
    <mergeCell ref="I466:I471"/>
    <mergeCell ref="G503:K503"/>
    <mergeCell ref="P550:P560"/>
    <mergeCell ref="T566:T569"/>
    <mergeCell ref="R576:R592"/>
    <mergeCell ref="S576:S592"/>
    <mergeCell ref="H530:H536"/>
    <mergeCell ref="G512:G515"/>
    <mergeCell ref="G396:K396"/>
    <mergeCell ref="G454:K454"/>
    <mergeCell ref="P505:P511"/>
    <mergeCell ref="P473:P482"/>
    <mergeCell ref="G388:I390"/>
    <mergeCell ref="G482:K482"/>
    <mergeCell ref="K434:K436"/>
    <mergeCell ref="H505:H510"/>
    <mergeCell ref="B504:K504"/>
    <mergeCell ref="C505:C511"/>
    <mergeCell ref="J505:J510"/>
    <mergeCell ref="P561:P565"/>
    <mergeCell ref="G545:G548"/>
    <mergeCell ref="D473:F482"/>
    <mergeCell ref="D512:F516"/>
    <mergeCell ref="G517:G522"/>
    <mergeCell ref="G539:G543"/>
    <mergeCell ref="B539:B592"/>
    <mergeCell ref="B505:B528"/>
    <mergeCell ref="C483:C489"/>
    <mergeCell ref="K607:K611"/>
    <mergeCell ref="H566:H568"/>
    <mergeCell ref="D602:F606"/>
    <mergeCell ref="J594:J596"/>
    <mergeCell ref="I566:I568"/>
    <mergeCell ref="K550:K559"/>
    <mergeCell ref="B530:B537"/>
    <mergeCell ref="C466:C472"/>
    <mergeCell ref="Q517:Q523"/>
    <mergeCell ref="P512:P516"/>
    <mergeCell ref="G516:K516"/>
    <mergeCell ref="I570:I574"/>
    <mergeCell ref="G472:K472"/>
    <mergeCell ref="J466:J471"/>
    <mergeCell ref="J602:J605"/>
    <mergeCell ref="G607:I611"/>
    <mergeCell ref="P466:P472"/>
    <mergeCell ref="G528:K528"/>
    <mergeCell ref="G505:G510"/>
    <mergeCell ref="C545:C549"/>
    <mergeCell ref="G466:G471"/>
    <mergeCell ref="I517:I522"/>
    <mergeCell ref="J512:J515"/>
    <mergeCell ref="G597:K597"/>
    <mergeCell ref="Q550:Q560"/>
    <mergeCell ref="C524:C528"/>
    <mergeCell ref="K524:K527"/>
    <mergeCell ref="D517:F523"/>
    <mergeCell ref="I524:I527"/>
    <mergeCell ref="D576:F592"/>
    <mergeCell ref="H576:H591"/>
    <mergeCell ref="I576:I591"/>
    <mergeCell ref="K539:K543"/>
    <mergeCell ref="J517:J522"/>
    <mergeCell ref="K561:K564"/>
    <mergeCell ref="C550:C560"/>
    <mergeCell ref="J629:J633"/>
    <mergeCell ref="Q669:Q675"/>
    <mergeCell ref="B593:K593"/>
    <mergeCell ref="D594:F597"/>
    <mergeCell ref="G569:K569"/>
    <mergeCell ref="D570:F575"/>
    <mergeCell ref="G629:I633"/>
    <mergeCell ref="Q624:Q628"/>
    <mergeCell ref="D624:F628"/>
    <mergeCell ref="C629:C634"/>
    <mergeCell ref="Q629:Q634"/>
    <mergeCell ref="J647:J656"/>
    <mergeCell ref="G668:K668"/>
    <mergeCell ref="G645:K645"/>
    <mergeCell ref="H658:H667"/>
    <mergeCell ref="K643:K644"/>
    <mergeCell ref="H647:H656"/>
    <mergeCell ref="G549:K549"/>
    <mergeCell ref="K613:K617"/>
    <mergeCell ref="G601:K601"/>
    <mergeCell ref="K570:K574"/>
    <mergeCell ref="P629:P634"/>
    <mergeCell ref="K629:K633"/>
    <mergeCell ref="K635:K641"/>
    <mergeCell ref="P658:P668"/>
    <mergeCell ref="J658:J667"/>
    <mergeCell ref="P635:P642"/>
    <mergeCell ref="G635:I641"/>
    <mergeCell ref="J643:J644"/>
    <mergeCell ref="I691:I703"/>
    <mergeCell ref="K647:K656"/>
    <mergeCell ref="U757:U761"/>
    <mergeCell ref="P676:P690"/>
    <mergeCell ref="U733:U748"/>
    <mergeCell ref="Q705:Q716"/>
    <mergeCell ref="U749:U752"/>
    <mergeCell ref="S717:S726"/>
    <mergeCell ref="T727:T732"/>
    <mergeCell ref="U676:U690"/>
    <mergeCell ref="U727:U732"/>
    <mergeCell ref="U705:U716"/>
    <mergeCell ref="U717:U726"/>
    <mergeCell ref="H669:H674"/>
    <mergeCell ref="G748:K748"/>
    <mergeCell ref="K733:K747"/>
    <mergeCell ref="T669:T675"/>
    <mergeCell ref="T749:T752"/>
    <mergeCell ref="U658:U668"/>
    <mergeCell ref="T647:T657"/>
    <mergeCell ref="U647:U657"/>
    <mergeCell ref="T676:T690"/>
    <mergeCell ref="S705:S716"/>
    <mergeCell ref="T757:T761"/>
    <mergeCell ref="I753:I755"/>
    <mergeCell ref="G727:G731"/>
    <mergeCell ref="J733:J747"/>
    <mergeCell ref="G733:G747"/>
    <mergeCell ref="G749:G751"/>
    <mergeCell ref="S727:S732"/>
    <mergeCell ref="P647:P657"/>
    <mergeCell ref="Q733:Q748"/>
    <mergeCell ref="J727:J731"/>
    <mergeCell ref="I749:I751"/>
    <mergeCell ref="G752:K752"/>
    <mergeCell ref="Q676:Q690"/>
    <mergeCell ref="H705:H715"/>
    <mergeCell ref="P691:P704"/>
    <mergeCell ref="T733:T748"/>
    <mergeCell ref="I733:I747"/>
    <mergeCell ref="I717:I725"/>
    <mergeCell ref="H733:H747"/>
    <mergeCell ref="K749:K751"/>
    <mergeCell ref="J705:J715"/>
    <mergeCell ref="J691:J703"/>
    <mergeCell ref="T691:T704"/>
    <mergeCell ref="P717:P726"/>
    <mergeCell ref="Q717:Q726"/>
    <mergeCell ref="G705:G715"/>
    <mergeCell ref="K705:K715"/>
    <mergeCell ref="J749:J751"/>
    <mergeCell ref="J717:J725"/>
    <mergeCell ref="G704:K704"/>
    <mergeCell ref="K676:K689"/>
    <mergeCell ref="K717:K725"/>
    <mergeCell ref="H691:H703"/>
    <mergeCell ref="S691:S704"/>
    <mergeCell ref="P705:P716"/>
    <mergeCell ref="K727:K731"/>
    <mergeCell ref="H753:H755"/>
    <mergeCell ref="D691:F704"/>
    <mergeCell ref="D749:F752"/>
    <mergeCell ref="D676:F690"/>
    <mergeCell ref="D733:F748"/>
    <mergeCell ref="U762:U768"/>
    <mergeCell ref="U791:U794"/>
    <mergeCell ref="Q819:Q830"/>
    <mergeCell ref="R819:R830"/>
    <mergeCell ref="Q812:Q814"/>
    <mergeCell ref="U800:U804"/>
    <mergeCell ref="Q805:Q809"/>
    <mergeCell ref="U819:U830"/>
    <mergeCell ref="S831:S836"/>
    <mergeCell ref="U795:U799"/>
    <mergeCell ref="U776:U780"/>
    <mergeCell ref="K762:K767"/>
    <mergeCell ref="P757:P761"/>
    <mergeCell ref="J753:J755"/>
    <mergeCell ref="S785:S789"/>
    <mergeCell ref="U785:U789"/>
    <mergeCell ref="T795:T799"/>
    <mergeCell ref="T791:T794"/>
    <mergeCell ref="R791:R794"/>
    <mergeCell ref="T831:T836"/>
    <mergeCell ref="Q753:Q756"/>
    <mergeCell ref="Q762:Q768"/>
    <mergeCell ref="R753:R756"/>
    <mergeCell ref="L815:L816"/>
    <mergeCell ref="S753:S756"/>
    <mergeCell ref="U810:U811"/>
    <mergeCell ref="P831:P836"/>
    <mergeCell ref="U753:U756"/>
    <mergeCell ref="T815:T817"/>
    <mergeCell ref="R805:R809"/>
    <mergeCell ref="T785:T789"/>
    <mergeCell ref="R810:R811"/>
    <mergeCell ref="R815:R817"/>
    <mergeCell ref="P805:P809"/>
    <mergeCell ref="H795:H798"/>
    <mergeCell ref="G791:G793"/>
    <mergeCell ref="S762:S768"/>
    <mergeCell ref="S805:S809"/>
    <mergeCell ref="N815:N816"/>
    <mergeCell ref="R727:R732"/>
    <mergeCell ref="G691:G703"/>
    <mergeCell ref="S733:S748"/>
    <mergeCell ref="H749:H751"/>
    <mergeCell ref="Q757:Q761"/>
    <mergeCell ref="S757:S761"/>
    <mergeCell ref="G618:K618"/>
    <mergeCell ref="Q815:Q817"/>
    <mergeCell ref="Q232:Q239"/>
    <mergeCell ref="G168:G172"/>
    <mergeCell ref="S225:S231"/>
    <mergeCell ref="S191:S201"/>
    <mergeCell ref="S187:S190"/>
    <mergeCell ref="S202:S224"/>
    <mergeCell ref="G717:G725"/>
    <mergeCell ref="S676:S690"/>
    <mergeCell ref="I676:I689"/>
    <mergeCell ref="P669:P675"/>
    <mergeCell ref="I705:I715"/>
    <mergeCell ref="G716:K716"/>
    <mergeCell ref="J669:J674"/>
    <mergeCell ref="K691:K703"/>
    <mergeCell ref="J676:J689"/>
    <mergeCell ref="I669:I674"/>
    <mergeCell ref="G634:K634"/>
    <mergeCell ref="S21:S26"/>
    <mergeCell ref="S10:S16"/>
    <mergeCell ref="J70:J74"/>
    <mergeCell ref="Q107:Q115"/>
    <mergeCell ref="R21:R26"/>
    <mergeCell ref="H21:H25"/>
    <mergeCell ref="T141:T146"/>
    <mergeCell ref="H116:H121"/>
    <mergeCell ref="I98:I105"/>
    <mergeCell ref="J54:J68"/>
    <mergeCell ref="H35:H38"/>
    <mergeCell ref="K40:K42"/>
    <mergeCell ref="T116:T122"/>
    <mergeCell ref="I127:I130"/>
    <mergeCell ref="S141:S146"/>
    <mergeCell ref="S107:S115"/>
    <mergeCell ref="H107:H114"/>
    <mergeCell ref="S132:S135"/>
    <mergeCell ref="S98:S106"/>
    <mergeCell ref="P98:P106"/>
    <mergeCell ref="K116:K121"/>
    <mergeCell ref="J48:J51"/>
    <mergeCell ref="T70:T75"/>
    <mergeCell ref="P44:P47"/>
    <mergeCell ref="Q10:Q16"/>
    <mergeCell ref="H123:H125"/>
    <mergeCell ref="S40:S43"/>
    <mergeCell ref="S70:S75"/>
    <mergeCell ref="G16:K16"/>
    <mergeCell ref="R10:R16"/>
    <mergeCell ref="P35:P39"/>
    <mergeCell ref="I136:I139"/>
    <mergeCell ref="I232:I238"/>
    <mergeCell ref="I274:I276"/>
    <mergeCell ref="K225:K230"/>
    <mergeCell ref="D232:F239"/>
    <mergeCell ref="J240:J246"/>
    <mergeCell ref="G156:G161"/>
    <mergeCell ref="H156:H161"/>
    <mergeCell ref="Q268:Q272"/>
    <mergeCell ref="R268:R272"/>
    <mergeCell ref="D136:F140"/>
    <mergeCell ref="Q179:Q186"/>
    <mergeCell ref="J174:J177"/>
    <mergeCell ref="R202:R224"/>
    <mergeCell ref="Q240:Q247"/>
    <mergeCell ref="I202:I223"/>
    <mergeCell ref="J187:J189"/>
    <mergeCell ref="D248:F252"/>
    <mergeCell ref="G248:G251"/>
    <mergeCell ref="I191:I200"/>
    <mergeCell ref="J268:J271"/>
    <mergeCell ref="J164:J166"/>
    <mergeCell ref="P136:P140"/>
    <mergeCell ref="G268:G271"/>
    <mergeCell ref="H268:H271"/>
    <mergeCell ref="I268:I271"/>
    <mergeCell ref="G240:G246"/>
    <mergeCell ref="P248:P252"/>
    <mergeCell ref="G252:K252"/>
    <mergeCell ref="G96:K96"/>
    <mergeCell ref="T202:T224"/>
    <mergeCell ref="S278:S281"/>
    <mergeCell ref="T278:T281"/>
    <mergeCell ref="T191:T201"/>
    <mergeCell ref="J248:J251"/>
    <mergeCell ref="T123:T126"/>
    <mergeCell ref="S274:S277"/>
    <mergeCell ref="S164:S167"/>
    <mergeCell ref="S151:S155"/>
    <mergeCell ref="P76:P96"/>
    <mergeCell ref="H164:H166"/>
    <mergeCell ref="G136:G139"/>
    <mergeCell ref="J147:J149"/>
    <mergeCell ref="K141:K145"/>
    <mergeCell ref="O278:O280"/>
    <mergeCell ref="T151:T155"/>
    <mergeCell ref="Q76:Q96"/>
    <mergeCell ref="G106:K106"/>
    <mergeCell ref="G107:G114"/>
    <mergeCell ref="M274:M276"/>
    <mergeCell ref="M278:M280"/>
    <mergeCell ref="P240:P247"/>
    <mergeCell ref="G167:K167"/>
    <mergeCell ref="L278:L280"/>
    <mergeCell ref="R164:R167"/>
    <mergeCell ref="P187:P190"/>
    <mergeCell ref="Q187:Q190"/>
    <mergeCell ref="R240:R247"/>
    <mergeCell ref="P168:P173"/>
    <mergeCell ref="Q164:Q167"/>
    <mergeCell ref="J179:J185"/>
    <mergeCell ref="D116:F122"/>
    <mergeCell ref="G116:G121"/>
    <mergeCell ref="P202:P224"/>
    <mergeCell ref="H232:H238"/>
    <mergeCell ref="R232:R239"/>
    <mergeCell ref="I156:I161"/>
    <mergeCell ref="J156:J161"/>
    <mergeCell ref="K156:K161"/>
    <mergeCell ref="K168:K172"/>
    <mergeCell ref="Q191:Q201"/>
    <mergeCell ref="I225:I230"/>
    <mergeCell ref="R191:R201"/>
    <mergeCell ref="R248:R252"/>
    <mergeCell ref="K123:K125"/>
    <mergeCell ref="H132:H134"/>
    <mergeCell ref="I132:I134"/>
    <mergeCell ref="Q202:Q224"/>
    <mergeCell ref="K187:K189"/>
    <mergeCell ref="G187:G189"/>
    <mergeCell ref="J225:J230"/>
    <mergeCell ref="G150:L150"/>
    <mergeCell ref="J202:J223"/>
    <mergeCell ref="R187:R190"/>
    <mergeCell ref="K136:K139"/>
    <mergeCell ref="D179:F186"/>
    <mergeCell ref="J116:J121"/>
    <mergeCell ref="K127:K130"/>
    <mergeCell ref="J132:J134"/>
    <mergeCell ref="R132:R135"/>
    <mergeCell ref="G132:G134"/>
    <mergeCell ref="Q248:Q252"/>
    <mergeCell ref="K248:K251"/>
    <mergeCell ref="Q294:Q296"/>
    <mergeCell ref="Q301:Q306"/>
    <mergeCell ref="P301:P306"/>
    <mergeCell ref="L274:L276"/>
    <mergeCell ref="T253:T258"/>
    <mergeCell ref="S268:S272"/>
    <mergeCell ref="R301:R306"/>
    <mergeCell ref="P294:P296"/>
    <mergeCell ref="B300:K300"/>
    <mergeCell ref="B274:B299"/>
    <mergeCell ref="G294:G295"/>
    <mergeCell ref="H313:H315"/>
    <mergeCell ref="I313:I315"/>
    <mergeCell ref="G301:G305"/>
    <mergeCell ref="D301:F306"/>
    <mergeCell ref="I307:I311"/>
    <mergeCell ref="I301:I305"/>
    <mergeCell ref="J307:J311"/>
    <mergeCell ref="K282:K286"/>
    <mergeCell ref="G287:K287"/>
    <mergeCell ref="K288:K292"/>
    <mergeCell ref="G281:K281"/>
    <mergeCell ref="P274:P277"/>
    <mergeCell ref="J274:J276"/>
    <mergeCell ref="C253:C258"/>
    <mergeCell ref="Q253:Q258"/>
    <mergeCell ref="D268:F272"/>
    <mergeCell ref="S288:S293"/>
    <mergeCell ref="T307:T312"/>
    <mergeCell ref="T301:T306"/>
    <mergeCell ref="S307:S312"/>
    <mergeCell ref="T313:T316"/>
    <mergeCell ref="S31:S34"/>
    <mergeCell ref="U31:U34"/>
    <mergeCell ref="S179:S186"/>
    <mergeCell ref="R136:R140"/>
    <mergeCell ref="T136:T140"/>
    <mergeCell ref="S123:S126"/>
    <mergeCell ref="U123:U126"/>
    <mergeCell ref="U127:U131"/>
    <mergeCell ref="U132:U135"/>
    <mergeCell ref="U35:U39"/>
    <mergeCell ref="U40:U43"/>
    <mergeCell ref="R116:R122"/>
    <mergeCell ref="T127:T131"/>
    <mergeCell ref="R127:R131"/>
    <mergeCell ref="T98:T106"/>
    <mergeCell ref="R123:R126"/>
    <mergeCell ref="T179:T186"/>
    <mergeCell ref="R107:R115"/>
    <mergeCell ref="U98:U106"/>
    <mergeCell ref="S136:S140"/>
    <mergeCell ref="U168:U173"/>
    <mergeCell ref="S48:S52"/>
    <mergeCell ref="R44:R47"/>
    <mergeCell ref="T40:T43"/>
    <mergeCell ref="U107:U115"/>
    <mergeCell ref="S76:S96"/>
    <mergeCell ref="U174:U178"/>
    <mergeCell ref="S54:S69"/>
    <mergeCell ref="U48:U52"/>
    <mergeCell ref="T76:T96"/>
    <mergeCell ref="S127:S131"/>
    <mergeCell ref="U76:U96"/>
    <mergeCell ref="T54:T69"/>
    <mergeCell ref="Q70:Q75"/>
    <mergeCell ref="Q174:Q178"/>
    <mergeCell ref="T168:T173"/>
    <mergeCell ref="Q123:Q126"/>
    <mergeCell ref="T164:T167"/>
    <mergeCell ref="P70:P75"/>
    <mergeCell ref="R76:R96"/>
    <mergeCell ref="Q54:Q69"/>
    <mergeCell ref="U151:U155"/>
    <mergeCell ref="R54:R69"/>
    <mergeCell ref="Q48:Q52"/>
    <mergeCell ref="R48:R52"/>
    <mergeCell ref="P141:P146"/>
    <mergeCell ref="Q141:Q146"/>
    <mergeCell ref="P147:P150"/>
    <mergeCell ref="Q147:Q150"/>
    <mergeCell ref="U147:U150"/>
    <mergeCell ref="T147:T150"/>
    <mergeCell ref="R141:R146"/>
    <mergeCell ref="Q132:Q135"/>
    <mergeCell ref="Q116:Q122"/>
    <mergeCell ref="S168:S173"/>
    <mergeCell ref="U136:U140"/>
    <mergeCell ref="T107:T115"/>
    <mergeCell ref="R147:R150"/>
    <mergeCell ref="Q98:Q106"/>
    <mergeCell ref="U141:U146"/>
    <mergeCell ref="S147:S150"/>
    <mergeCell ref="S156:S162"/>
    <mergeCell ref="T156:T162"/>
    <mergeCell ref="P40:P43"/>
    <mergeCell ref="R168:R173"/>
    <mergeCell ref="J10:J15"/>
    <mergeCell ref="K10:K15"/>
    <mergeCell ref="Q7:Q9"/>
    <mergeCell ref="I7:I8"/>
    <mergeCell ref="U27:U30"/>
    <mergeCell ref="R27:R30"/>
    <mergeCell ref="S27:S30"/>
    <mergeCell ref="T27:T30"/>
    <mergeCell ref="T48:T52"/>
    <mergeCell ref="B54:B96"/>
    <mergeCell ref="Q127:Q131"/>
    <mergeCell ref="C174:C178"/>
    <mergeCell ref="G174:G177"/>
    <mergeCell ref="S116:S122"/>
    <mergeCell ref="G76:G95"/>
    <mergeCell ref="G70:G74"/>
    <mergeCell ref="R70:R75"/>
    <mergeCell ref="G140:K140"/>
    <mergeCell ref="I116:I121"/>
    <mergeCell ref="J31:J33"/>
    <mergeCell ref="G44:G46"/>
    <mergeCell ref="H44:H46"/>
    <mergeCell ref="I44:I46"/>
    <mergeCell ref="Q35:Q39"/>
    <mergeCell ref="R35:R39"/>
    <mergeCell ref="H76:H95"/>
    <mergeCell ref="H98:H105"/>
    <mergeCell ref="P123:P126"/>
    <mergeCell ref="P107:P115"/>
    <mergeCell ref="R98:R106"/>
    <mergeCell ref="R31:R34"/>
    <mergeCell ref="H7:H8"/>
    <mergeCell ref="G7:G8"/>
    <mergeCell ref="R7:R9"/>
    <mergeCell ref="D6:F6"/>
    <mergeCell ref="A7:A1153"/>
    <mergeCell ref="B1153:K1153"/>
    <mergeCell ref="C1140:C1141"/>
    <mergeCell ref="U21:U26"/>
    <mergeCell ref="G27:G29"/>
    <mergeCell ref="H27:H29"/>
    <mergeCell ref="I70:I74"/>
    <mergeCell ref="U70:U75"/>
    <mergeCell ref="T44:T47"/>
    <mergeCell ref="T10:T16"/>
    <mergeCell ref="U54:U69"/>
    <mergeCell ref="S44:S47"/>
    <mergeCell ref="R40:R43"/>
    <mergeCell ref="S35:S39"/>
    <mergeCell ref="P48:P52"/>
    <mergeCell ref="G48:G51"/>
    <mergeCell ref="P54:P69"/>
    <mergeCell ref="Q44:Q47"/>
    <mergeCell ref="K48:K51"/>
    <mergeCell ref="T21:T26"/>
    <mergeCell ref="T31:T34"/>
    <mergeCell ref="I27:I29"/>
    <mergeCell ref="J27:J29"/>
    <mergeCell ref="J21:J25"/>
    <mergeCell ref="G26:K26"/>
    <mergeCell ref="K21:K25"/>
    <mergeCell ref="I48:I51"/>
    <mergeCell ref="I10:I15"/>
    <mergeCell ref="A1:U1"/>
    <mergeCell ref="A2:C3"/>
    <mergeCell ref="D2:F5"/>
    <mergeCell ref="G2:I3"/>
    <mergeCell ref="J2:K3"/>
    <mergeCell ref="S2:S5"/>
    <mergeCell ref="T2:T5"/>
    <mergeCell ref="U2:U5"/>
    <mergeCell ref="A4:A5"/>
    <mergeCell ref="B4:B5"/>
    <mergeCell ref="C4:C5"/>
    <mergeCell ref="G4:G5"/>
    <mergeCell ref="I4:I5"/>
    <mergeCell ref="J4:J5"/>
    <mergeCell ref="K4:K5"/>
    <mergeCell ref="L4:L5"/>
    <mergeCell ref="P2:P5"/>
    <mergeCell ref="M4:M5"/>
    <mergeCell ref="R2:R5"/>
    <mergeCell ref="H4:H5"/>
    <mergeCell ref="Q2:Q5"/>
    <mergeCell ref="L2:L3"/>
    <mergeCell ref="M2:O3"/>
    <mergeCell ref="O4:O5"/>
    <mergeCell ref="G10:G15"/>
    <mergeCell ref="H10:H15"/>
    <mergeCell ref="P10:P16"/>
    <mergeCell ref="K7:K8"/>
    <mergeCell ref="J7:J8"/>
    <mergeCell ref="G9:K9"/>
    <mergeCell ref="D7:F9"/>
    <mergeCell ref="P21:P26"/>
    <mergeCell ref="A6:C6"/>
    <mergeCell ref="U44:U47"/>
    <mergeCell ref="N4:N5"/>
    <mergeCell ref="S7:S9"/>
    <mergeCell ref="T35:T39"/>
    <mergeCell ref="G190:K190"/>
    <mergeCell ref="U10:U16"/>
    <mergeCell ref="T7:T9"/>
    <mergeCell ref="U7:U9"/>
    <mergeCell ref="K35:K38"/>
    <mergeCell ref="I35:I38"/>
    <mergeCell ref="Q40:Q43"/>
    <mergeCell ref="R174:R178"/>
    <mergeCell ref="R179:R186"/>
    <mergeCell ref="T174:T178"/>
    <mergeCell ref="S174:S178"/>
    <mergeCell ref="K31:K33"/>
    <mergeCell ref="P31:P34"/>
    <mergeCell ref="Q31:Q34"/>
    <mergeCell ref="H48:H51"/>
    <mergeCell ref="G39:K39"/>
    <mergeCell ref="H40:H42"/>
    <mergeCell ref="I76:I95"/>
    <mergeCell ref="G126:K126"/>
    <mergeCell ref="I187:I189"/>
    <mergeCell ref="G135:K135"/>
    <mergeCell ref="P127:P131"/>
    <mergeCell ref="K174:K177"/>
    <mergeCell ref="K132:K134"/>
    <mergeCell ref="G40:G42"/>
    <mergeCell ref="P7:P9"/>
    <mergeCell ref="I31:I33"/>
    <mergeCell ref="D35:F39"/>
    <mergeCell ref="C123:C126"/>
    <mergeCell ref="C76:C96"/>
    <mergeCell ref="G127:G130"/>
    <mergeCell ref="H127:H130"/>
    <mergeCell ref="G131:K131"/>
    <mergeCell ref="I40:I42"/>
    <mergeCell ref="J40:J42"/>
    <mergeCell ref="G47:K47"/>
    <mergeCell ref="I123:I125"/>
    <mergeCell ref="G122:K122"/>
    <mergeCell ref="G123:G125"/>
    <mergeCell ref="B97:K97"/>
    <mergeCell ref="K76:K95"/>
    <mergeCell ref="C54:C69"/>
    <mergeCell ref="C70:C75"/>
    <mergeCell ref="G115:K115"/>
    <mergeCell ref="C48:C52"/>
    <mergeCell ref="K107:K114"/>
    <mergeCell ref="D54:F69"/>
    <mergeCell ref="D123:F126"/>
    <mergeCell ref="C31:C34"/>
    <mergeCell ref="D31:F34"/>
    <mergeCell ref="C40:C43"/>
    <mergeCell ref="I107:I114"/>
    <mergeCell ref="K44:K46"/>
    <mergeCell ref="D40:F43"/>
    <mergeCell ref="J123:J125"/>
    <mergeCell ref="J127:J130"/>
    <mergeCell ref="C116:C122"/>
    <mergeCell ref="J35:J38"/>
    <mergeCell ref="P27:P30"/>
    <mergeCell ref="G30:K30"/>
    <mergeCell ref="P132:P135"/>
    <mergeCell ref="D10:F16"/>
    <mergeCell ref="C132:C135"/>
    <mergeCell ref="D132:F135"/>
    <mergeCell ref="D98:F106"/>
    <mergeCell ref="C127:C131"/>
    <mergeCell ref="I21:I25"/>
    <mergeCell ref="Q21:Q26"/>
    <mergeCell ref="B20:K20"/>
    <mergeCell ref="B21:B52"/>
    <mergeCell ref="K70:K74"/>
    <mergeCell ref="D44:F47"/>
    <mergeCell ref="B7:B19"/>
    <mergeCell ref="C17:C19"/>
    <mergeCell ref="D127:F131"/>
    <mergeCell ref="K98:K105"/>
    <mergeCell ref="C21:C26"/>
    <mergeCell ref="C27:C30"/>
    <mergeCell ref="H70:H74"/>
    <mergeCell ref="C44:C47"/>
    <mergeCell ref="P116:P122"/>
    <mergeCell ref="B53:K53"/>
    <mergeCell ref="C7:C9"/>
    <mergeCell ref="D76:F96"/>
    <mergeCell ref="D107:F115"/>
    <mergeCell ref="G54:G68"/>
    <mergeCell ref="G75:K75"/>
    <mergeCell ref="G43:K43"/>
    <mergeCell ref="G34:K34"/>
    <mergeCell ref="K54:K68"/>
    <mergeCell ref="Q27:Q30"/>
    <mergeCell ref="H191:H200"/>
    <mergeCell ref="G239:K239"/>
    <mergeCell ref="D240:F247"/>
    <mergeCell ref="D164:F167"/>
    <mergeCell ref="G98:G105"/>
    <mergeCell ref="J76:J95"/>
    <mergeCell ref="J98:J105"/>
    <mergeCell ref="D70:F75"/>
    <mergeCell ref="C35:C39"/>
    <mergeCell ref="D48:F52"/>
    <mergeCell ref="C10:C16"/>
    <mergeCell ref="G52:K52"/>
    <mergeCell ref="G69:K69"/>
    <mergeCell ref="G35:G38"/>
    <mergeCell ref="H174:H177"/>
    <mergeCell ref="C107:C115"/>
    <mergeCell ref="K27:K29"/>
    <mergeCell ref="K240:K246"/>
    <mergeCell ref="H54:H68"/>
    <mergeCell ref="H179:H185"/>
    <mergeCell ref="P179:P186"/>
    <mergeCell ref="P174:P178"/>
    <mergeCell ref="D187:F190"/>
    <mergeCell ref="D27:F30"/>
    <mergeCell ref="J107:J114"/>
    <mergeCell ref="G31:G33"/>
    <mergeCell ref="H31:H33"/>
    <mergeCell ref="Q136:Q140"/>
    <mergeCell ref="G201:K201"/>
    <mergeCell ref="H136:H139"/>
    <mergeCell ref="G173:K173"/>
    <mergeCell ref="J44:J46"/>
    <mergeCell ref="D191:F201"/>
    <mergeCell ref="H168:H172"/>
    <mergeCell ref="I164:I166"/>
    <mergeCell ref="D225:F231"/>
    <mergeCell ref="I174:I177"/>
    <mergeCell ref="G224:K224"/>
    <mergeCell ref="P232:P239"/>
    <mergeCell ref="G225:G230"/>
    <mergeCell ref="K179:K185"/>
    <mergeCell ref="I168:I172"/>
    <mergeCell ref="C179:C186"/>
    <mergeCell ref="G202:G223"/>
    <mergeCell ref="J191:J200"/>
    <mergeCell ref="C147:C150"/>
    <mergeCell ref="J168:J172"/>
    <mergeCell ref="P164:P167"/>
    <mergeCell ref="C191:C201"/>
    <mergeCell ref="D174:F178"/>
    <mergeCell ref="G179:G185"/>
    <mergeCell ref="I179:I185"/>
    <mergeCell ref="J136:J139"/>
    <mergeCell ref="G141:G145"/>
    <mergeCell ref="H141:H145"/>
    <mergeCell ref="I141:I145"/>
    <mergeCell ref="J141:J145"/>
    <mergeCell ref="D141:F146"/>
    <mergeCell ref="P225:P231"/>
    <mergeCell ref="H225:H230"/>
    <mergeCell ref="G164:G166"/>
    <mergeCell ref="K164:K166"/>
    <mergeCell ref="H202:H222"/>
    <mergeCell ref="C141:C146"/>
    <mergeCell ref="C168:C173"/>
    <mergeCell ref="C164:C167"/>
    <mergeCell ref="R151:R155"/>
    <mergeCell ref="R156:R162"/>
    <mergeCell ref="K232:K238"/>
    <mergeCell ref="Q225:Q231"/>
    <mergeCell ref="Q168:Q173"/>
    <mergeCell ref="D274:F277"/>
    <mergeCell ref="P332:P336"/>
    <mergeCell ref="C323:C327"/>
    <mergeCell ref="C313:C316"/>
    <mergeCell ref="C419:C422"/>
    <mergeCell ref="D288:F293"/>
    <mergeCell ref="D323:F327"/>
    <mergeCell ref="C307:C312"/>
    <mergeCell ref="D307:F312"/>
    <mergeCell ref="P297:P299"/>
    <mergeCell ref="J301:J305"/>
    <mergeCell ref="H301:H305"/>
    <mergeCell ref="K274:K276"/>
    <mergeCell ref="R313:R316"/>
    <mergeCell ref="R282:R287"/>
    <mergeCell ref="J282:J286"/>
    <mergeCell ref="N274:N276"/>
    <mergeCell ref="C274:C277"/>
    <mergeCell ref="P323:P327"/>
    <mergeCell ref="I288:I292"/>
    <mergeCell ref="H240:H246"/>
    <mergeCell ref="I240:I246"/>
    <mergeCell ref="G231:K231"/>
    <mergeCell ref="G299:K299"/>
    <mergeCell ref="H187:H189"/>
    <mergeCell ref="G232:G238"/>
    <mergeCell ref="P191:P201"/>
    <mergeCell ref="R253:R258"/>
    <mergeCell ref="G274:G276"/>
    <mergeCell ref="K301:K305"/>
    <mergeCell ref="G178:K178"/>
    <mergeCell ref="G186:K186"/>
    <mergeCell ref="D317:F322"/>
    <mergeCell ref="I323:I326"/>
    <mergeCell ref="G317:G321"/>
    <mergeCell ref="K294:K295"/>
    <mergeCell ref="G253:K257"/>
    <mergeCell ref="C301:C306"/>
    <mergeCell ref="J232:J238"/>
    <mergeCell ref="K202:K223"/>
    <mergeCell ref="C282:C287"/>
    <mergeCell ref="C225:C231"/>
    <mergeCell ref="C297:C299"/>
    <mergeCell ref="D297:F299"/>
    <mergeCell ref="K307:K311"/>
    <mergeCell ref="C248:C252"/>
    <mergeCell ref="G282:G286"/>
    <mergeCell ref="J297:J298"/>
    <mergeCell ref="K323:K326"/>
    <mergeCell ref="G307:G311"/>
    <mergeCell ref="G313:G315"/>
    <mergeCell ref="C268:C272"/>
    <mergeCell ref="H248:H251"/>
    <mergeCell ref="G296:K296"/>
    <mergeCell ref="G297:G298"/>
    <mergeCell ref="J288:J292"/>
    <mergeCell ref="I449:I453"/>
    <mergeCell ref="D458:F465"/>
    <mergeCell ref="D505:F511"/>
    <mergeCell ref="C733:C748"/>
    <mergeCell ref="C561:C565"/>
    <mergeCell ref="C288:C293"/>
    <mergeCell ref="G293:K293"/>
    <mergeCell ref="G312:K312"/>
    <mergeCell ref="G726:K726"/>
    <mergeCell ref="G643:I644"/>
    <mergeCell ref="G575:K575"/>
    <mergeCell ref="Q317:Q322"/>
    <mergeCell ref="P317:P322"/>
    <mergeCell ref="C202:C224"/>
    <mergeCell ref="K423:K429"/>
    <mergeCell ref="D332:F336"/>
    <mergeCell ref="G392:I395"/>
    <mergeCell ref="G351:I352"/>
    <mergeCell ref="C347:C350"/>
    <mergeCell ref="C376:C387"/>
    <mergeCell ref="H328:H330"/>
    <mergeCell ref="D337:F339"/>
    <mergeCell ref="G381:K381"/>
    <mergeCell ref="J328:J330"/>
    <mergeCell ref="D376:F387"/>
    <mergeCell ref="C328:C331"/>
    <mergeCell ref="K347:K349"/>
    <mergeCell ref="K382:K386"/>
    <mergeCell ref="G382:I386"/>
    <mergeCell ref="G350:K350"/>
    <mergeCell ref="C365:C368"/>
    <mergeCell ref="J313:J315"/>
    <mergeCell ref="J347:J349"/>
    <mergeCell ref="K376:K380"/>
    <mergeCell ref="H274:H276"/>
    <mergeCell ref="I282:I286"/>
    <mergeCell ref="C240:C247"/>
    <mergeCell ref="J278:J280"/>
    <mergeCell ref="B273:K273"/>
    <mergeCell ref="G277:K277"/>
    <mergeCell ref="D278:F281"/>
    <mergeCell ref="H294:H295"/>
    <mergeCell ref="C294:C296"/>
    <mergeCell ref="K297:K298"/>
    <mergeCell ref="K278:K280"/>
    <mergeCell ref="H431:H432"/>
    <mergeCell ref="H434:H436"/>
    <mergeCell ref="K438:K439"/>
    <mergeCell ref="G448:K448"/>
    <mergeCell ref="H438:H439"/>
    <mergeCell ref="K441:K447"/>
    <mergeCell ref="G337:I338"/>
    <mergeCell ref="G368:K368"/>
    <mergeCell ref="D282:F287"/>
    <mergeCell ref="G306:K306"/>
    <mergeCell ref="H416:H417"/>
    <mergeCell ref="I423:I429"/>
    <mergeCell ref="I328:I330"/>
    <mergeCell ref="H288:H292"/>
    <mergeCell ref="G288:G292"/>
    <mergeCell ref="K317:K321"/>
    <mergeCell ref="I317:I321"/>
    <mergeCell ref="J392:J395"/>
    <mergeCell ref="C392:C396"/>
    <mergeCell ref="G619:I622"/>
    <mergeCell ref="C570:C575"/>
    <mergeCell ref="G594:I596"/>
    <mergeCell ref="C691:C704"/>
    <mergeCell ref="K619:K622"/>
    <mergeCell ref="C613:C618"/>
    <mergeCell ref="D613:F618"/>
    <mergeCell ref="D607:F612"/>
    <mergeCell ref="C643:C645"/>
    <mergeCell ref="I791:I793"/>
    <mergeCell ref="G794:K794"/>
    <mergeCell ref="J791:J793"/>
    <mergeCell ref="D757:F761"/>
    <mergeCell ref="G675:K675"/>
    <mergeCell ref="J635:J641"/>
    <mergeCell ref="K624:K627"/>
    <mergeCell ref="G598:I600"/>
    <mergeCell ref="D753:F756"/>
    <mergeCell ref="G761:K761"/>
    <mergeCell ref="J757:J760"/>
    <mergeCell ref="J613:J617"/>
    <mergeCell ref="J619:J622"/>
    <mergeCell ref="G612:L612"/>
    <mergeCell ref="D669:F675"/>
    <mergeCell ref="D635:F642"/>
    <mergeCell ref="K753:K755"/>
    <mergeCell ref="D791:F794"/>
    <mergeCell ref="I785:I788"/>
    <mergeCell ref="D727:F732"/>
    <mergeCell ref="D717:F726"/>
    <mergeCell ref="G757:G760"/>
    <mergeCell ref="G623:K623"/>
    <mergeCell ref="C594:C597"/>
    <mergeCell ref="G606:K606"/>
    <mergeCell ref="C602:C606"/>
    <mergeCell ref="C566:C569"/>
    <mergeCell ref="K566:K568"/>
    <mergeCell ref="H800:H803"/>
    <mergeCell ref="G753:G755"/>
    <mergeCell ref="D629:F634"/>
    <mergeCell ref="J570:J574"/>
    <mergeCell ref="G592:K592"/>
    <mergeCell ref="J566:J568"/>
    <mergeCell ref="C576:C592"/>
    <mergeCell ref="D566:F569"/>
    <mergeCell ref="C619:C623"/>
    <mergeCell ref="C757:C761"/>
    <mergeCell ref="G756:K756"/>
    <mergeCell ref="D705:F716"/>
    <mergeCell ref="C676:C690"/>
    <mergeCell ref="D658:F668"/>
    <mergeCell ref="C624:C628"/>
    <mergeCell ref="G676:G689"/>
    <mergeCell ref="G785:G788"/>
    <mergeCell ref="K658:K667"/>
    <mergeCell ref="I658:I667"/>
    <mergeCell ref="G762:G767"/>
    <mergeCell ref="D762:F768"/>
    <mergeCell ref="I795:I798"/>
    <mergeCell ref="G789:K789"/>
    <mergeCell ref="G658:G667"/>
    <mergeCell ref="K602:K605"/>
    <mergeCell ref="J624:J627"/>
    <mergeCell ref="D619:F623"/>
    <mergeCell ref="C762:C768"/>
    <mergeCell ref="C810:C811"/>
    <mergeCell ref="J795:J798"/>
    <mergeCell ref="I859:I864"/>
    <mergeCell ref="J859:J864"/>
    <mergeCell ref="G851:K851"/>
    <mergeCell ref="H845:H850"/>
    <mergeCell ref="J845:J850"/>
    <mergeCell ref="K845:K850"/>
    <mergeCell ref="J837:J843"/>
    <mergeCell ref="G812:G813"/>
    <mergeCell ref="J785:J788"/>
    <mergeCell ref="H762:H767"/>
    <mergeCell ref="I762:I767"/>
    <mergeCell ref="G814:K814"/>
    <mergeCell ref="J805:J808"/>
    <mergeCell ref="B784:K784"/>
    <mergeCell ref="G815:G816"/>
    <mergeCell ref="C859:C865"/>
    <mergeCell ref="C831:C836"/>
    <mergeCell ref="D831:F836"/>
    <mergeCell ref="D812:F814"/>
    <mergeCell ref="I845:I850"/>
    <mergeCell ref="K800:K803"/>
    <mergeCell ref="G768:K768"/>
    <mergeCell ref="I800:I803"/>
    <mergeCell ref="J800:J803"/>
    <mergeCell ref="B818:K818"/>
    <mergeCell ref="B791:B817"/>
    <mergeCell ref="K805:K808"/>
    <mergeCell ref="G836:K836"/>
    <mergeCell ref="C845:C851"/>
    <mergeCell ref="G865:K865"/>
    <mergeCell ref="H791:H793"/>
    <mergeCell ref="D800:F804"/>
    <mergeCell ref="K815:K816"/>
    <mergeCell ref="C776:C780"/>
    <mergeCell ref="D776:F780"/>
    <mergeCell ref="G780:K780"/>
    <mergeCell ref="H859:H864"/>
    <mergeCell ref="B819:B887"/>
    <mergeCell ref="B785:B789"/>
    <mergeCell ref="H819:H829"/>
    <mergeCell ref="H837:H843"/>
    <mergeCell ref="C873:C881"/>
    <mergeCell ref="H815:H816"/>
    <mergeCell ref="I815:I816"/>
    <mergeCell ref="C866:C872"/>
    <mergeCell ref="D810:F811"/>
    <mergeCell ref="D815:F817"/>
    <mergeCell ref="K866:K871"/>
    <mergeCell ref="G830:K830"/>
    <mergeCell ref="G844:K844"/>
    <mergeCell ref="C791:C794"/>
    <mergeCell ref="H831:H835"/>
    <mergeCell ref="C837:C844"/>
    <mergeCell ref="D837:F844"/>
    <mergeCell ref="C812:C814"/>
    <mergeCell ref="G837:G843"/>
    <mergeCell ref="H812:H813"/>
    <mergeCell ref="Q785:Q789"/>
    <mergeCell ref="H897:H900"/>
    <mergeCell ref="H805:H808"/>
    <mergeCell ref="J882:J886"/>
    <mergeCell ref="K882:K886"/>
    <mergeCell ref="P882:P887"/>
    <mergeCell ref="G795:G798"/>
    <mergeCell ref="G799:K799"/>
    <mergeCell ref="K791:K793"/>
    <mergeCell ref="C805:C809"/>
    <mergeCell ref="C819:C830"/>
    <mergeCell ref="G817:K817"/>
    <mergeCell ref="G800:G803"/>
    <mergeCell ref="G804:K804"/>
    <mergeCell ref="I831:I835"/>
    <mergeCell ref="J831:J835"/>
    <mergeCell ref="I897:I900"/>
    <mergeCell ref="D795:F799"/>
    <mergeCell ref="J873:J880"/>
    <mergeCell ref="K873:K880"/>
    <mergeCell ref="C889:C896"/>
    <mergeCell ref="D866:F872"/>
    <mergeCell ref="G858:K858"/>
    <mergeCell ref="G845:G850"/>
    <mergeCell ref="G859:G864"/>
    <mergeCell ref="K859:K864"/>
    <mergeCell ref="H911:H916"/>
    <mergeCell ref="G872:K872"/>
    <mergeCell ref="D902:F910"/>
    <mergeCell ref="G910:K910"/>
    <mergeCell ref="J866:J871"/>
    <mergeCell ref="G887:K887"/>
    <mergeCell ref="P902:P910"/>
    <mergeCell ref="G881:K881"/>
    <mergeCell ref="P873:P881"/>
    <mergeCell ref="H873:H880"/>
    <mergeCell ref="I873:I880"/>
    <mergeCell ref="Q845:Q851"/>
    <mergeCell ref="P810:P811"/>
    <mergeCell ref="G811:K811"/>
    <mergeCell ref="P889:P896"/>
    <mergeCell ref="P815:P817"/>
    <mergeCell ref="I837:I843"/>
    <mergeCell ref="C815:C817"/>
    <mergeCell ref="P819:P830"/>
    <mergeCell ref="C882:C887"/>
    <mergeCell ref="C795:C799"/>
    <mergeCell ref="C785:C789"/>
    <mergeCell ref="K945:K952"/>
    <mergeCell ref="K785:K788"/>
    <mergeCell ref="K897:K900"/>
    <mergeCell ref="H919:H925"/>
    <mergeCell ref="I866:I871"/>
    <mergeCell ref="I911:I916"/>
    <mergeCell ref="K831:K835"/>
    <mergeCell ref="S882:S887"/>
    <mergeCell ref="S795:S799"/>
    <mergeCell ref="K837:K843"/>
    <mergeCell ref="P795:P799"/>
    <mergeCell ref="G809:K809"/>
    <mergeCell ref="K795:K798"/>
    <mergeCell ref="D805:F809"/>
    <mergeCell ref="G805:G808"/>
    <mergeCell ref="G935:G942"/>
    <mergeCell ref="I935:I942"/>
    <mergeCell ref="G882:G886"/>
    <mergeCell ref="D873:F881"/>
    <mergeCell ref="O815:O816"/>
    <mergeCell ref="P859:P865"/>
    <mergeCell ref="D882:F887"/>
    <mergeCell ref="H882:H886"/>
    <mergeCell ref="D911:F917"/>
    <mergeCell ref="D889:F896"/>
    <mergeCell ref="K935:K942"/>
    <mergeCell ref="G902:G909"/>
    <mergeCell ref="P800:P804"/>
    <mergeCell ref="Q831:Q836"/>
    <mergeCell ref="R897:R901"/>
    <mergeCell ref="R1096:R1100"/>
    <mergeCell ref="H1096:H1099"/>
    <mergeCell ref="P1084:P1093"/>
    <mergeCell ref="Q1084:Q1093"/>
    <mergeCell ref="R1084:R1093"/>
    <mergeCell ref="K955:K959"/>
    <mergeCell ref="S1109:S1118"/>
    <mergeCell ref="C1101:C1108"/>
    <mergeCell ref="H1101:H1107"/>
    <mergeCell ref="T1008:T1019"/>
    <mergeCell ref="Q1109:Q1118"/>
    <mergeCell ref="R1109:R1118"/>
    <mergeCell ref="R1101:R1108"/>
    <mergeCell ref="G1108:K1108"/>
    <mergeCell ref="P1101:P1108"/>
    <mergeCell ref="J1096:J1099"/>
    <mergeCell ref="B1000:K1000"/>
    <mergeCell ref="G1001:G1005"/>
    <mergeCell ref="P1109:P1118"/>
    <mergeCell ref="K1008:K1018"/>
    <mergeCell ref="C1001:C1006"/>
    <mergeCell ref="D1032:F1035"/>
    <mergeCell ref="I1101:I1107"/>
    <mergeCell ref="J1101:J1107"/>
    <mergeCell ref="S1101:S1108"/>
    <mergeCell ref="J1001:J1005"/>
    <mergeCell ref="C1032:C1035"/>
    <mergeCell ref="P1001:P1006"/>
    <mergeCell ref="D1101:F1108"/>
    <mergeCell ref="G1101:G1107"/>
    <mergeCell ref="H1067:H1069"/>
    <mergeCell ref="R971:R980"/>
    <mergeCell ref="H961:H969"/>
    <mergeCell ref="P1032:P1035"/>
    <mergeCell ref="Q1032:Q1035"/>
    <mergeCell ref="G1006:K1006"/>
    <mergeCell ref="S955:S960"/>
    <mergeCell ref="S1071:S1083"/>
    <mergeCell ref="S1067:S1070"/>
    <mergeCell ref="D1109:F1118"/>
    <mergeCell ref="G1100:K1100"/>
    <mergeCell ref="D981:F992"/>
    <mergeCell ref="R1067:R1070"/>
    <mergeCell ref="P1071:P1082"/>
    <mergeCell ref="Q1071:Q1082"/>
    <mergeCell ref="Q993:Q999"/>
    <mergeCell ref="R1001:R1006"/>
    <mergeCell ref="G1070:K1070"/>
    <mergeCell ref="K1101:K1107"/>
    <mergeCell ref="S1096:S1100"/>
    <mergeCell ref="S1008:S1019"/>
    <mergeCell ref="K1032:K1034"/>
    <mergeCell ref="G1109:G1117"/>
    <mergeCell ref="Q1101:Q1108"/>
    <mergeCell ref="U981:U992"/>
    <mergeCell ref="U1071:U1082"/>
    <mergeCell ref="U1008:U1019"/>
    <mergeCell ref="T1067:T1070"/>
    <mergeCell ref="T993:T999"/>
    <mergeCell ref="I1067:I1069"/>
    <mergeCell ref="K1067:K1069"/>
    <mergeCell ref="G1032:G1034"/>
    <mergeCell ref="H1001:H1005"/>
    <mergeCell ref="K971:K979"/>
    <mergeCell ref="K1020:K1030"/>
    <mergeCell ref="U1067:U1070"/>
    <mergeCell ref="B1095:K1095"/>
    <mergeCell ref="G1083:K1083"/>
    <mergeCell ref="D1036:F1048"/>
    <mergeCell ref="J1036:J1047"/>
    <mergeCell ref="C1008:C1019"/>
    <mergeCell ref="C1071:C1083"/>
    <mergeCell ref="S971:S980"/>
    <mergeCell ref="I1001:I1005"/>
    <mergeCell ref="R993:R999"/>
    <mergeCell ref="H1032:H1034"/>
    <mergeCell ref="S1020:S1031"/>
    <mergeCell ref="S1001:S1006"/>
    <mergeCell ref="T1020:T1031"/>
    <mergeCell ref="P1067:P1070"/>
    <mergeCell ref="C1020:C1031"/>
    <mergeCell ref="D1020:F1031"/>
    <mergeCell ref="G1020:G1030"/>
    <mergeCell ref="H1020:H1030"/>
    <mergeCell ref="S993:S999"/>
    <mergeCell ref="J1020:J1030"/>
    <mergeCell ref="C1109:C1118"/>
    <mergeCell ref="R1071:R1082"/>
    <mergeCell ref="P961:P970"/>
    <mergeCell ref="C981:C992"/>
    <mergeCell ref="D971:F980"/>
    <mergeCell ref="J955:J959"/>
    <mergeCell ref="P971:P980"/>
    <mergeCell ref="Q955:Q960"/>
    <mergeCell ref="J961:J969"/>
    <mergeCell ref="G980:K980"/>
    <mergeCell ref="D961:F970"/>
    <mergeCell ref="C955:C960"/>
    <mergeCell ref="C1067:C1070"/>
    <mergeCell ref="Q1067:Q1070"/>
    <mergeCell ref="Q1020:Q1031"/>
    <mergeCell ref="G960:K960"/>
    <mergeCell ref="Q1096:Q1100"/>
    <mergeCell ref="D1084:F1094"/>
    <mergeCell ref="G1084:G1093"/>
    <mergeCell ref="H1084:H1093"/>
    <mergeCell ref="I1084:I1093"/>
    <mergeCell ref="J1084:J1093"/>
    <mergeCell ref="K1084:K1093"/>
    <mergeCell ref="Q1001:Q1006"/>
    <mergeCell ref="G1067:G1069"/>
    <mergeCell ref="K1036:K1047"/>
    <mergeCell ref="P1036:P1048"/>
    <mergeCell ref="Q1036:Q1048"/>
    <mergeCell ref="R1036:R1048"/>
    <mergeCell ref="B1066:K1066"/>
    <mergeCell ref="B1001:B1006"/>
    <mergeCell ref="I961:I969"/>
    <mergeCell ref="T1001:T1006"/>
    <mergeCell ref="G971:G979"/>
    <mergeCell ref="H971:H979"/>
    <mergeCell ref="C961:C970"/>
    <mergeCell ref="I1020:I1030"/>
    <mergeCell ref="J1032:J1034"/>
    <mergeCell ref="C971:C980"/>
    <mergeCell ref="G1008:G1018"/>
    <mergeCell ref="H1008:H1018"/>
    <mergeCell ref="G970:K970"/>
    <mergeCell ref="S1036:S1048"/>
    <mergeCell ref="T1036:T1048"/>
    <mergeCell ref="T1032:T1035"/>
    <mergeCell ref="J1067:J1069"/>
    <mergeCell ref="D1067:F1070"/>
    <mergeCell ref="P911:P917"/>
    <mergeCell ref="I889:I895"/>
    <mergeCell ref="H935:H942"/>
    <mergeCell ref="H889:H895"/>
    <mergeCell ref="G896:K896"/>
    <mergeCell ref="P935:P943"/>
    <mergeCell ref="J971:J979"/>
    <mergeCell ref="T961:T970"/>
    <mergeCell ref="T981:T992"/>
    <mergeCell ref="C919:C926"/>
    <mergeCell ref="K902:K909"/>
    <mergeCell ref="G889:G895"/>
    <mergeCell ref="G897:G900"/>
    <mergeCell ref="Q919:Q926"/>
    <mergeCell ref="R889:R896"/>
    <mergeCell ref="H902:H909"/>
    <mergeCell ref="I902:I909"/>
    <mergeCell ref="B955:B999"/>
    <mergeCell ref="G992:K992"/>
    <mergeCell ref="G999:K999"/>
    <mergeCell ref="I955:I959"/>
    <mergeCell ref="D955:F960"/>
    <mergeCell ref="H955:H959"/>
    <mergeCell ref="G919:G925"/>
    <mergeCell ref="B918:K918"/>
    <mergeCell ref="P897:P901"/>
    <mergeCell ref="G926:K926"/>
    <mergeCell ref="G917:K917"/>
    <mergeCell ref="C897:C901"/>
    <mergeCell ref="K911:K916"/>
    <mergeCell ref="J889:J895"/>
    <mergeCell ref="G911:G916"/>
    <mergeCell ref="D935:F943"/>
    <mergeCell ref="G943:K943"/>
    <mergeCell ref="B935:B943"/>
    <mergeCell ref="B889:B917"/>
    <mergeCell ref="I945:I952"/>
    <mergeCell ref="C935:C943"/>
    <mergeCell ref="B934:K934"/>
    <mergeCell ref="C911:C917"/>
    <mergeCell ref="C902:C910"/>
    <mergeCell ref="J902:J909"/>
    <mergeCell ref="G933:K933"/>
    <mergeCell ref="R831:R836"/>
    <mergeCell ref="K889:K895"/>
    <mergeCell ref="D919:F926"/>
    <mergeCell ref="D845:F851"/>
    <mergeCell ref="K812:K813"/>
    <mergeCell ref="G901:K901"/>
    <mergeCell ref="Q800:Q804"/>
    <mergeCell ref="P845:P851"/>
    <mergeCell ref="J815:J816"/>
    <mergeCell ref="R852:R858"/>
    <mergeCell ref="T889:T896"/>
    <mergeCell ref="Q882:Q887"/>
    <mergeCell ref="Q889:Q896"/>
    <mergeCell ref="R882:R887"/>
    <mergeCell ref="S961:S970"/>
    <mergeCell ref="T955:T960"/>
    <mergeCell ref="I919:I925"/>
    <mergeCell ref="D897:F901"/>
    <mergeCell ref="J897:J900"/>
    <mergeCell ref="G945:G952"/>
    <mergeCell ref="K919:K925"/>
    <mergeCell ref="Q902:Q910"/>
    <mergeCell ref="H945:H952"/>
    <mergeCell ref="T873:T881"/>
    <mergeCell ref="Q911:Q917"/>
    <mergeCell ref="S889:S896"/>
    <mergeCell ref="Q945:Q953"/>
    <mergeCell ref="T897:T901"/>
    <mergeCell ref="T882:T887"/>
    <mergeCell ref="T911:T917"/>
    <mergeCell ref="R873:R881"/>
    <mergeCell ref="Q897:Q901"/>
    <mergeCell ref="U873:U881"/>
    <mergeCell ref="S911:S917"/>
    <mergeCell ref="R945:R953"/>
    <mergeCell ref="R859:R865"/>
    <mergeCell ref="S859:S865"/>
    <mergeCell ref="R866:R872"/>
    <mergeCell ref="U945:U953"/>
    <mergeCell ref="R935:R943"/>
    <mergeCell ref="T935:T943"/>
    <mergeCell ref="Q935:Q943"/>
    <mergeCell ref="U919:U926"/>
    <mergeCell ref="U935:U943"/>
    <mergeCell ref="S945:S953"/>
    <mergeCell ref="T945:T953"/>
    <mergeCell ref="T902:T910"/>
    <mergeCell ref="U902:U910"/>
    <mergeCell ref="U859:U865"/>
    <mergeCell ref="U889:U896"/>
    <mergeCell ref="T919:T926"/>
    <mergeCell ref="S935:S943"/>
    <mergeCell ref="S919:S926"/>
    <mergeCell ref="Q873:Q881"/>
    <mergeCell ref="S927:S933"/>
    <mergeCell ref="U927:U933"/>
    <mergeCell ref="U911:U917"/>
    <mergeCell ref="Q927:Q933"/>
    <mergeCell ref="R927:R933"/>
    <mergeCell ref="Q859:Q865"/>
    <mergeCell ref="T866:T872"/>
    <mergeCell ref="U866:U872"/>
    <mergeCell ref="D21:F26"/>
    <mergeCell ref="G21:G25"/>
    <mergeCell ref="C278:C281"/>
    <mergeCell ref="P419:P422"/>
    <mergeCell ref="J419:J421"/>
    <mergeCell ref="C98:C106"/>
    <mergeCell ref="G415:K415"/>
    <mergeCell ref="D416:F418"/>
    <mergeCell ref="I54:I68"/>
    <mergeCell ref="G278:G280"/>
    <mergeCell ref="K431:K432"/>
    <mergeCell ref="G353:K353"/>
    <mergeCell ref="D438:F440"/>
    <mergeCell ref="B163:K163"/>
    <mergeCell ref="C136:C140"/>
    <mergeCell ref="G191:G200"/>
    <mergeCell ref="K147:K149"/>
    <mergeCell ref="G146:K146"/>
    <mergeCell ref="D147:F150"/>
    <mergeCell ref="G147:G149"/>
    <mergeCell ref="H147:H149"/>
    <mergeCell ref="I147:I149"/>
    <mergeCell ref="P313:P316"/>
    <mergeCell ref="P376:P387"/>
    <mergeCell ref="G416:G417"/>
    <mergeCell ref="D313:F316"/>
    <mergeCell ref="C369:C375"/>
    <mergeCell ref="D423:F430"/>
    <mergeCell ref="C187:C190"/>
    <mergeCell ref="C388:C391"/>
    <mergeCell ref="D388:F391"/>
    <mergeCell ref="G391:K391"/>
    <mergeCell ref="C232:C239"/>
    <mergeCell ref="P749:P752"/>
    <mergeCell ref="Q749:Q752"/>
    <mergeCell ref="I248:I251"/>
    <mergeCell ref="G247:K247"/>
    <mergeCell ref="H323:H326"/>
    <mergeCell ref="J388:J390"/>
    <mergeCell ref="K388:K390"/>
    <mergeCell ref="S598:S601"/>
    <mergeCell ref="G628:K628"/>
    <mergeCell ref="R647:R657"/>
    <mergeCell ref="D550:F560"/>
    <mergeCell ref="D561:F565"/>
    <mergeCell ref="G537:K537"/>
    <mergeCell ref="C530:C537"/>
    <mergeCell ref="C517:C523"/>
    <mergeCell ref="J561:J564"/>
    <mergeCell ref="I539:I543"/>
    <mergeCell ref="C402:C406"/>
    <mergeCell ref="D402:F406"/>
    <mergeCell ref="G402:I405"/>
    <mergeCell ref="J402:J405"/>
    <mergeCell ref="K402:K405"/>
    <mergeCell ref="G406:K406"/>
    <mergeCell ref="G500:G502"/>
    <mergeCell ref="H500:H502"/>
    <mergeCell ref="I500:I502"/>
    <mergeCell ref="J500:J502"/>
    <mergeCell ref="D545:F549"/>
    <mergeCell ref="K545:K548"/>
    <mergeCell ref="D539:F544"/>
    <mergeCell ref="J473:J481"/>
    <mergeCell ref="C438:C440"/>
    <mergeCell ref="D1096:F1100"/>
    <mergeCell ref="J1071:J1082"/>
    <mergeCell ref="Q613:Q618"/>
    <mergeCell ref="Q635:Q642"/>
    <mergeCell ref="G489:K489"/>
    <mergeCell ref="J458:J464"/>
    <mergeCell ref="C441:C448"/>
    <mergeCell ref="K408:K414"/>
    <mergeCell ref="G419:G421"/>
    <mergeCell ref="C800:C804"/>
    <mergeCell ref="D785:F789"/>
    <mergeCell ref="J812:J813"/>
    <mergeCell ref="C769:C775"/>
    <mergeCell ref="I805:I808"/>
    <mergeCell ref="C749:C752"/>
    <mergeCell ref="C753:C756"/>
    <mergeCell ref="C945:C953"/>
    <mergeCell ref="P837:P844"/>
    <mergeCell ref="K776:K779"/>
    <mergeCell ref="P776:P780"/>
    <mergeCell ref="Q776:Q780"/>
    <mergeCell ref="I727:I731"/>
    <mergeCell ref="C1058:C1065"/>
    <mergeCell ref="D1058:F1065"/>
    <mergeCell ref="G1058:I1064"/>
    <mergeCell ref="Q852:Q858"/>
    <mergeCell ref="I545:I548"/>
    <mergeCell ref="H545:H548"/>
    <mergeCell ref="G1035:K1035"/>
    <mergeCell ref="J919:J925"/>
    <mergeCell ref="J935:J942"/>
    <mergeCell ref="T776:T780"/>
    <mergeCell ref="K757:K760"/>
    <mergeCell ref="T762:T768"/>
    <mergeCell ref="Q810:Q811"/>
    <mergeCell ref="R785:R789"/>
    <mergeCell ref="I757:I760"/>
    <mergeCell ref="P753:P756"/>
    <mergeCell ref="J762:J767"/>
    <mergeCell ref="R757:R761"/>
    <mergeCell ref="I776:I779"/>
    <mergeCell ref="J776:J779"/>
    <mergeCell ref="S800:S804"/>
    <mergeCell ref="R705:R716"/>
    <mergeCell ref="R749:R752"/>
    <mergeCell ref="Q727:Q732"/>
    <mergeCell ref="R717:R726"/>
    <mergeCell ref="Q1008:Q1019"/>
    <mergeCell ref="P812:P814"/>
    <mergeCell ref="S819:S830"/>
    <mergeCell ref="T800:T804"/>
    <mergeCell ref="S810:S811"/>
    <mergeCell ref="S812:S814"/>
    <mergeCell ref="S897:S901"/>
    <mergeCell ref="J911:J916"/>
    <mergeCell ref="R795:R799"/>
    <mergeCell ref="R762:R768"/>
    <mergeCell ref="R733:R748"/>
    <mergeCell ref="P727:P732"/>
    <mergeCell ref="G732:K732"/>
    <mergeCell ref="G776:G779"/>
    <mergeCell ref="H776:H779"/>
    <mergeCell ref="R845:R851"/>
    <mergeCell ref="C1146:C1148"/>
    <mergeCell ref="D1146:F1148"/>
    <mergeCell ref="G1146:G1147"/>
    <mergeCell ref="G953:K953"/>
    <mergeCell ref="R1008:R1019"/>
    <mergeCell ref="I1071:I1082"/>
    <mergeCell ref="H993:H998"/>
    <mergeCell ref="I993:I998"/>
    <mergeCell ref="J993:J998"/>
    <mergeCell ref="K993:K998"/>
    <mergeCell ref="R1020:R1031"/>
    <mergeCell ref="K1071:K1082"/>
    <mergeCell ref="B1119:K1119"/>
    <mergeCell ref="I1109:I1117"/>
    <mergeCell ref="J1109:J1117"/>
    <mergeCell ref="K1109:K1117"/>
    <mergeCell ref="G955:G959"/>
    <mergeCell ref="R1142:R1145"/>
    <mergeCell ref="B1067:B1094"/>
    <mergeCell ref="P1096:P1100"/>
    <mergeCell ref="D1071:F1083"/>
    <mergeCell ref="G1118:K1118"/>
    <mergeCell ref="P955:P960"/>
    <mergeCell ref="D945:F953"/>
    <mergeCell ref="C1096:C1100"/>
    <mergeCell ref="H1109:H1117"/>
    <mergeCell ref="R955:R960"/>
    <mergeCell ref="G961:G969"/>
    <mergeCell ref="R961:R970"/>
    <mergeCell ref="I1032:I1034"/>
    <mergeCell ref="J1134:J1135"/>
    <mergeCell ref="K1134:K1135"/>
    <mergeCell ref="V500:V503"/>
    <mergeCell ref="T852:T858"/>
    <mergeCell ref="D1001:F1006"/>
    <mergeCell ref="Q866:Q872"/>
    <mergeCell ref="I1137:I1138"/>
    <mergeCell ref="J1137:J1138"/>
    <mergeCell ref="K1137:K1138"/>
    <mergeCell ref="R1137:R1139"/>
    <mergeCell ref="S1137:S1139"/>
    <mergeCell ref="T1137:T1139"/>
    <mergeCell ref="U1137:U1139"/>
    <mergeCell ref="G1139:K1139"/>
    <mergeCell ref="T705:T716"/>
    <mergeCell ref="T717:T726"/>
    <mergeCell ref="V1008:V1019"/>
    <mergeCell ref="G769:G774"/>
    <mergeCell ref="H769:H774"/>
    <mergeCell ref="I769:I774"/>
    <mergeCell ref="J769:J774"/>
    <mergeCell ref="K769:K774"/>
    <mergeCell ref="B954:K954"/>
    <mergeCell ref="C993:C999"/>
    <mergeCell ref="D993:F999"/>
    <mergeCell ref="G993:G998"/>
    <mergeCell ref="B1007:K1007"/>
    <mergeCell ref="S1058:S1065"/>
    <mergeCell ref="T1058:T1065"/>
    <mergeCell ref="C1134:C1136"/>
    <mergeCell ref="D1134:F1136"/>
    <mergeCell ref="G1134:G1135"/>
    <mergeCell ref="H1134:H1135"/>
    <mergeCell ref="I1134:I1135"/>
    <mergeCell ref="P1134:P1136"/>
    <mergeCell ref="Q1134:Q1136"/>
    <mergeCell ref="C1137:C1139"/>
    <mergeCell ref="C1084:C1094"/>
    <mergeCell ref="R1134:R1136"/>
    <mergeCell ref="U882:U887"/>
    <mergeCell ref="S873:S881"/>
    <mergeCell ref="B888:K888"/>
    <mergeCell ref="S902:S910"/>
    <mergeCell ref="K1096:K1099"/>
    <mergeCell ref="R1032:R1035"/>
    <mergeCell ref="D1008:F1019"/>
    <mergeCell ref="J1008:J1018"/>
    <mergeCell ref="P1008:P1019"/>
    <mergeCell ref="G1019:K1019"/>
    <mergeCell ref="P945:P953"/>
    <mergeCell ref="K961:K969"/>
    <mergeCell ref="K981:K991"/>
    <mergeCell ref="P981:P992"/>
    <mergeCell ref="Q981:Q992"/>
    <mergeCell ref="R981:R992"/>
    <mergeCell ref="P993:P999"/>
    <mergeCell ref="K1001:K1005"/>
    <mergeCell ref="T1134:T1136"/>
    <mergeCell ref="R919:R926"/>
    <mergeCell ref="J945:J952"/>
    <mergeCell ref="G873:G880"/>
    <mergeCell ref="U971:U980"/>
    <mergeCell ref="U961:U970"/>
    <mergeCell ref="U897:U901"/>
    <mergeCell ref="R911:R917"/>
    <mergeCell ref="U955:U960"/>
    <mergeCell ref="R1140:R1141"/>
    <mergeCell ref="S1140:S1141"/>
    <mergeCell ref="T1140:T1141"/>
    <mergeCell ref="U1140:U1141"/>
    <mergeCell ref="G1141:K1141"/>
    <mergeCell ref="C1142:C1145"/>
    <mergeCell ref="D1142:F1145"/>
    <mergeCell ref="G1142:G1144"/>
    <mergeCell ref="H1142:H1144"/>
    <mergeCell ref="I1142:I1144"/>
    <mergeCell ref="J1142:J1144"/>
    <mergeCell ref="K1142:K1144"/>
    <mergeCell ref="P1142:P1145"/>
    <mergeCell ref="D1137:F1139"/>
    <mergeCell ref="G1137:G1138"/>
    <mergeCell ref="P1137:P1139"/>
    <mergeCell ref="Q1137:Q1139"/>
    <mergeCell ref="Q1142:Q1145"/>
    <mergeCell ref="H1137:H1138"/>
    <mergeCell ref="G1145:K1145"/>
    <mergeCell ref="D1140:F1141"/>
    <mergeCell ref="P1140:P1141"/>
    <mergeCell ref="Q1140:Q1141"/>
    <mergeCell ref="D17:F19"/>
    <mergeCell ref="G17:G18"/>
    <mergeCell ref="H17:H18"/>
    <mergeCell ref="I17:I18"/>
    <mergeCell ref="J17:J18"/>
    <mergeCell ref="K17:K18"/>
    <mergeCell ref="P17:P19"/>
    <mergeCell ref="Q17:Q19"/>
    <mergeCell ref="R17:R19"/>
    <mergeCell ref="S17:S19"/>
    <mergeCell ref="T17:T19"/>
    <mergeCell ref="U17:U19"/>
    <mergeCell ref="G19:K19"/>
    <mergeCell ref="D769:F775"/>
    <mergeCell ref="D253:F258"/>
    <mergeCell ref="P253:P258"/>
    <mergeCell ref="G258:K258"/>
    <mergeCell ref="G259:K266"/>
    <mergeCell ref="I297:I298"/>
    <mergeCell ref="D294:F296"/>
    <mergeCell ref="T473:T482"/>
    <mergeCell ref="I512:I515"/>
    <mergeCell ref="Q438:Q440"/>
    <mergeCell ref="H727:H731"/>
    <mergeCell ref="P733:P748"/>
    <mergeCell ref="R619:R623"/>
    <mergeCell ref="R624:R628"/>
    <mergeCell ref="R598:R601"/>
    <mergeCell ref="R643:R645"/>
    <mergeCell ref="S619:S623"/>
    <mergeCell ref="G624:I627"/>
    <mergeCell ref="H757:H760"/>
    <mergeCell ref="U1101:U1108"/>
    <mergeCell ref="H1071:H1082"/>
    <mergeCell ref="T805:T809"/>
    <mergeCell ref="Q791:Q794"/>
    <mergeCell ref="P785:P789"/>
    <mergeCell ref="P791:P794"/>
    <mergeCell ref="T268:T272"/>
    <mergeCell ref="U268:U272"/>
    <mergeCell ref="G272:K272"/>
    <mergeCell ref="U831:U836"/>
    <mergeCell ref="I812:I813"/>
    <mergeCell ref="K819:K829"/>
    <mergeCell ref="R776:R780"/>
    <mergeCell ref="S776:S780"/>
    <mergeCell ref="R800:R804"/>
    <mergeCell ref="T819:T830"/>
    <mergeCell ref="Q971:Q980"/>
    <mergeCell ref="Q961:Q970"/>
    <mergeCell ref="J1058:J1064"/>
    <mergeCell ref="U1058:U1065"/>
    <mergeCell ref="Q570:Q575"/>
    <mergeCell ref="G570:G574"/>
    <mergeCell ref="G576:G591"/>
    <mergeCell ref="P530:P537"/>
    <mergeCell ref="I647:I656"/>
    <mergeCell ref="G669:G674"/>
    <mergeCell ref="S749:S752"/>
    <mergeCell ref="T810:T811"/>
    <mergeCell ref="S791:S794"/>
    <mergeCell ref="Q795:Q799"/>
    <mergeCell ref="I882:I886"/>
    <mergeCell ref="U1032:U1035"/>
    <mergeCell ref="H1146:H1147"/>
    <mergeCell ref="I1146:I1147"/>
    <mergeCell ref="J1146:J1147"/>
    <mergeCell ref="K1146:K1147"/>
    <mergeCell ref="P1146:P1148"/>
    <mergeCell ref="S1084:S1093"/>
    <mergeCell ref="T1084:T1093"/>
    <mergeCell ref="U1084:U1093"/>
    <mergeCell ref="T971:T980"/>
    <mergeCell ref="U993:U999"/>
    <mergeCell ref="G981:G991"/>
    <mergeCell ref="H981:H991"/>
    <mergeCell ref="I981:I991"/>
    <mergeCell ref="Q1146:Q1148"/>
    <mergeCell ref="R1146:R1148"/>
    <mergeCell ref="S1146:S1148"/>
    <mergeCell ref="T1146:T1148"/>
    <mergeCell ref="U1146:U1148"/>
    <mergeCell ref="G1148:K1148"/>
    <mergeCell ref="S1032:S1035"/>
    <mergeCell ref="U1096:U1100"/>
    <mergeCell ref="I971:I979"/>
    <mergeCell ref="U1134:U1136"/>
    <mergeCell ref="U1109:U1118"/>
    <mergeCell ref="I1008:I1018"/>
    <mergeCell ref="S1134:S1136"/>
    <mergeCell ref="S1142:S1145"/>
    <mergeCell ref="G1096:G1099"/>
    <mergeCell ref="G1031:K1031"/>
    <mergeCell ref="P1020:P1031"/>
    <mergeCell ref="I1096:I1099"/>
    <mergeCell ref="G1071:G1082"/>
    <mergeCell ref="W500:W503"/>
    <mergeCell ref="C500:C503"/>
    <mergeCell ref="D500:F503"/>
    <mergeCell ref="G1136:K1136"/>
    <mergeCell ref="J981:J991"/>
    <mergeCell ref="T1142:T1145"/>
    <mergeCell ref="U1142:U1145"/>
    <mergeCell ref="U1001:U1006"/>
    <mergeCell ref="X500:X503"/>
    <mergeCell ref="Q328:Q331"/>
    <mergeCell ref="P337:P339"/>
    <mergeCell ref="Q458:Q465"/>
    <mergeCell ref="P434:P437"/>
    <mergeCell ref="Q423:Q430"/>
    <mergeCell ref="Q431:Q433"/>
    <mergeCell ref="G347:I349"/>
    <mergeCell ref="C473:C482"/>
    <mergeCell ref="U845:U851"/>
    <mergeCell ref="H785:H788"/>
    <mergeCell ref="T812:T814"/>
    <mergeCell ref="T753:T756"/>
    <mergeCell ref="P762:P768"/>
    <mergeCell ref="P483:P489"/>
    <mergeCell ref="G441:G447"/>
    <mergeCell ref="D466:F472"/>
    <mergeCell ref="T1096:T1100"/>
    <mergeCell ref="S981:S992"/>
    <mergeCell ref="J351:J352"/>
    <mergeCell ref="S852:S858"/>
    <mergeCell ref="S845:S851"/>
    <mergeCell ref="U837:U844"/>
    <mergeCell ref="R902:R910"/>
    <mergeCell ref="T845:T851"/>
    <mergeCell ref="Q837:Q844"/>
    <mergeCell ref="R837:R844"/>
    <mergeCell ref="K1058:K1064"/>
    <mergeCell ref="P1058:P1065"/>
    <mergeCell ref="Q1058:Q1065"/>
    <mergeCell ref="R1058:R1065"/>
    <mergeCell ref="V1058:V1065"/>
    <mergeCell ref="B1008:B1065"/>
    <mergeCell ref="G1057:K1057"/>
    <mergeCell ref="G1065:K1065"/>
    <mergeCell ref="G1036:I1047"/>
    <mergeCell ref="B164:B272"/>
    <mergeCell ref="C1049:C1057"/>
    <mergeCell ref="D1049:F1057"/>
    <mergeCell ref="G1049:I1056"/>
    <mergeCell ref="J1049:J1056"/>
    <mergeCell ref="K1049:K1056"/>
    <mergeCell ref="P1049:P1057"/>
    <mergeCell ref="Q1049:Q1057"/>
    <mergeCell ref="R1049:R1057"/>
    <mergeCell ref="S1049:S1057"/>
    <mergeCell ref="T1049:T1057"/>
    <mergeCell ref="U1049:U1057"/>
    <mergeCell ref="V1049:V1057"/>
    <mergeCell ref="G613:I617"/>
    <mergeCell ref="B301:B406"/>
    <mergeCell ref="C317:C322"/>
    <mergeCell ref="K313:K315"/>
    <mergeCell ref="C337:C339"/>
    <mergeCell ref="G339:K339"/>
    <mergeCell ref="G387:K387"/>
  </mergeCells>
  <phoneticPr fontId="39" type="noConversion"/>
  <printOptions horizontalCentered="1"/>
  <pageMargins left="0.15748031496062992" right="0.15748031496062992" top="0.59055118110236227" bottom="0.39370078740157483" header="0.59055118110236227" footer="0.19685039370078741"/>
  <pageSetup paperSize="9" scale="47" fitToHeight="0" orientation="landscape" r:id="rId1"/>
  <headerFooter alignWithMargins="0">
    <oddFooter>&amp;C&amp;P/&amp;N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57C34-1FCF-449B-9DA9-565446C09C8A}">
  <sheetPr>
    <tabColor rgb="FFC0504D"/>
    <pageSetUpPr fitToPage="1"/>
  </sheetPr>
  <dimension ref="A1:L73"/>
  <sheetViews>
    <sheetView zoomScale="70" zoomScaleNormal="70" workbookViewId="0">
      <selection activeCell="G27" sqref="G27"/>
    </sheetView>
  </sheetViews>
  <sheetFormatPr defaultColWidth="7.77734375" defaultRowHeight="14.25"/>
  <cols>
    <col min="1" max="2" width="10.77734375" style="58" customWidth="1"/>
    <col min="3" max="3" width="12.5546875" style="58" customWidth="1"/>
    <col min="4" max="5" width="15" style="58" customWidth="1"/>
    <col min="6" max="6" width="14.5546875" style="58" customWidth="1"/>
    <col min="7" max="7" width="15" style="58" customWidth="1"/>
    <col min="8" max="8" width="14" style="58" customWidth="1"/>
    <col min="9" max="10" width="15" style="58" customWidth="1"/>
    <col min="11" max="11" width="14.5546875" style="58" customWidth="1"/>
    <col min="12" max="12" width="15" style="58" customWidth="1"/>
    <col min="13" max="14" width="7.77734375" style="58" customWidth="1"/>
    <col min="15" max="16384" width="7.77734375" style="58"/>
  </cols>
  <sheetData>
    <row r="1" spans="1:12" ht="45" customHeight="1" thickBot="1">
      <c r="A1" s="1803" t="s">
        <v>571</v>
      </c>
      <c r="B1" s="1803"/>
      <c r="C1" s="1803"/>
      <c r="D1" s="1803"/>
      <c r="E1" s="1803"/>
      <c r="F1" s="1803"/>
      <c r="G1" s="1803"/>
      <c r="H1" s="1803"/>
      <c r="I1" s="1803"/>
      <c r="J1" s="1803"/>
      <c r="K1" s="1803"/>
      <c r="L1" s="1803"/>
    </row>
    <row r="2" spans="1:12" s="59" customFormat="1" ht="24.95" customHeight="1">
      <c r="A2" s="1804" t="s">
        <v>2</v>
      </c>
      <c r="B2" s="1806" t="s">
        <v>3</v>
      </c>
      <c r="C2" s="461" t="s">
        <v>706</v>
      </c>
      <c r="D2" s="461"/>
      <c r="E2" s="461"/>
      <c r="F2" s="461"/>
      <c r="G2" s="461"/>
      <c r="H2" s="461" t="s">
        <v>670</v>
      </c>
      <c r="I2" s="461"/>
      <c r="J2" s="461"/>
      <c r="K2" s="461"/>
      <c r="L2" s="461"/>
    </row>
    <row r="3" spans="1:12" s="59" customFormat="1" ht="24.95" customHeight="1">
      <c r="A3" s="1805"/>
      <c r="B3" s="1807"/>
      <c r="C3" s="60" t="s">
        <v>1</v>
      </c>
      <c r="D3" s="61" t="s">
        <v>15</v>
      </c>
      <c r="E3" s="61" t="s">
        <v>16</v>
      </c>
      <c r="F3" s="61" t="s">
        <v>14</v>
      </c>
      <c r="G3" s="61" t="s">
        <v>0</v>
      </c>
      <c r="H3" s="60" t="s">
        <v>1</v>
      </c>
      <c r="I3" s="61" t="s">
        <v>15</v>
      </c>
      <c r="J3" s="61" t="s">
        <v>16</v>
      </c>
      <c r="K3" s="61" t="s">
        <v>14</v>
      </c>
      <c r="L3" s="62" t="s">
        <v>0</v>
      </c>
    </row>
    <row r="4" spans="1:12" s="59" customFormat="1" ht="24.95" customHeight="1">
      <c r="A4" s="63" t="s">
        <v>18</v>
      </c>
      <c r="B4" s="64">
        <f t="shared" ref="B4:B35" si="0">C4-H4</f>
        <v>115</v>
      </c>
      <c r="C4" s="65">
        <f t="shared" ref="C4:L4" si="1">SUM(C5:C35)</f>
        <v>14509</v>
      </c>
      <c r="D4" s="65">
        <f t="shared" si="1"/>
        <v>329</v>
      </c>
      <c r="E4" s="65">
        <f t="shared" si="1"/>
        <v>629</v>
      </c>
      <c r="F4" s="65">
        <f t="shared" si="1"/>
        <v>10804</v>
      </c>
      <c r="G4" s="65">
        <f t="shared" si="1"/>
        <v>2747</v>
      </c>
      <c r="H4" s="65">
        <f t="shared" si="1"/>
        <v>14394</v>
      </c>
      <c r="I4" s="65">
        <f t="shared" si="1"/>
        <v>327</v>
      </c>
      <c r="J4" s="65">
        <f t="shared" si="1"/>
        <v>815</v>
      </c>
      <c r="K4" s="65">
        <f t="shared" si="1"/>
        <v>10710</v>
      </c>
      <c r="L4" s="66">
        <f t="shared" si="1"/>
        <v>2542</v>
      </c>
    </row>
    <row r="5" spans="1:12" ht="24.95" customHeight="1">
      <c r="A5" s="49" t="s">
        <v>25</v>
      </c>
      <c r="B5" s="67">
        <f t="shared" si="0"/>
        <v>-12</v>
      </c>
      <c r="C5" s="23">
        <f t="shared" ref="C5:C7" si="2">SUM(D5:G5)</f>
        <v>43</v>
      </c>
      <c r="D5" s="24">
        <f>'총괄표(경기도)'!D5</f>
        <v>0</v>
      </c>
      <c r="E5" s="24">
        <f>'총괄표(경기도)'!E5</f>
        <v>0</v>
      </c>
      <c r="F5" s="24">
        <f>'총괄표(경기도)'!F5</f>
        <v>43</v>
      </c>
      <c r="G5" s="24">
        <f>'총괄표(경기도)'!G5</f>
        <v>0</v>
      </c>
      <c r="H5" s="23">
        <f>SUM(I5:L5)</f>
        <v>55</v>
      </c>
      <c r="I5" s="24">
        <f>'총괄표(경기도)'!I5</f>
        <v>0</v>
      </c>
      <c r="J5" s="24">
        <f>'총괄표(경기도)'!J5</f>
        <v>0</v>
      </c>
      <c r="K5" s="24">
        <f>'총괄표(경기도)'!K5</f>
        <v>55</v>
      </c>
      <c r="L5" s="53">
        <f>'총괄표(경기도)'!L5</f>
        <v>0</v>
      </c>
    </row>
    <row r="6" spans="1:12" ht="24.95" customHeight="1">
      <c r="A6" s="49" t="s">
        <v>27</v>
      </c>
      <c r="B6" s="67">
        <f t="shared" si="0"/>
        <v>-8</v>
      </c>
      <c r="C6" s="23">
        <f t="shared" si="2"/>
        <v>24</v>
      </c>
      <c r="D6" s="24">
        <f>'총괄표(경기도)'!D8</f>
        <v>2</v>
      </c>
      <c r="E6" s="24">
        <f>'총괄표(경기도)'!E8</f>
        <v>21</v>
      </c>
      <c r="F6" s="24">
        <f>'총괄표(경기도)'!F8</f>
        <v>1</v>
      </c>
      <c r="G6" s="24">
        <f>'총괄표(경기도)'!G8</f>
        <v>0</v>
      </c>
      <c r="H6" s="23">
        <f t="shared" ref="H6:H7" si="3">SUM(I6:L6)</f>
        <v>32</v>
      </c>
      <c r="I6" s="24">
        <f>'총괄표(경기도)'!I8</f>
        <v>0</v>
      </c>
      <c r="J6" s="24">
        <f>'총괄표(경기도)'!J8</f>
        <v>32</v>
      </c>
      <c r="K6" s="24">
        <f>'총괄표(경기도)'!K8</f>
        <v>0</v>
      </c>
      <c r="L6" s="53">
        <f>'총괄표(경기도)'!L8</f>
        <v>0</v>
      </c>
    </row>
    <row r="7" spans="1:12" ht="24.95" customHeight="1">
      <c r="A7" s="49" t="s">
        <v>35</v>
      </c>
      <c r="B7" s="67">
        <f t="shared" si="0"/>
        <v>-29</v>
      </c>
      <c r="C7" s="23">
        <f t="shared" si="2"/>
        <v>800</v>
      </c>
      <c r="D7" s="24">
        <f>'총괄표(경기도)'!D18</f>
        <v>82</v>
      </c>
      <c r="E7" s="24">
        <f>'총괄표(경기도)'!E18</f>
        <v>36</v>
      </c>
      <c r="F7" s="24">
        <f>'총괄표(경기도)'!F18</f>
        <v>630</v>
      </c>
      <c r="G7" s="24">
        <f>'총괄표(경기도)'!G18</f>
        <v>52</v>
      </c>
      <c r="H7" s="23">
        <f t="shared" si="3"/>
        <v>829</v>
      </c>
      <c r="I7" s="24">
        <f>'총괄표(경기도)'!I18</f>
        <v>82</v>
      </c>
      <c r="J7" s="24">
        <f>'총괄표(경기도)'!J18</f>
        <v>36</v>
      </c>
      <c r="K7" s="24">
        <f>'총괄표(경기도)'!K18</f>
        <v>656</v>
      </c>
      <c r="L7" s="53">
        <f>'총괄표(경기도)'!L18</f>
        <v>55</v>
      </c>
    </row>
    <row r="8" spans="1:12" s="72" customFormat="1" ht="24.95" customHeight="1">
      <c r="A8" s="49" t="s">
        <v>31</v>
      </c>
      <c r="B8" s="67">
        <f t="shared" si="0"/>
        <v>0</v>
      </c>
      <c r="C8" s="23">
        <f t="shared" ref="C8:C35" si="4">SUM(D8:G8)</f>
        <v>61</v>
      </c>
      <c r="D8" s="27">
        <f>'총괄표(경기도)'!D14</f>
        <v>0</v>
      </c>
      <c r="E8" s="27">
        <f>'총괄표(경기도)'!E14</f>
        <v>61</v>
      </c>
      <c r="F8" s="27">
        <f>'총괄표(경기도)'!F14</f>
        <v>0</v>
      </c>
      <c r="G8" s="27">
        <f>'총괄표(경기도)'!G14</f>
        <v>0</v>
      </c>
      <c r="H8" s="23">
        <f t="shared" ref="H8:H35" si="5">SUM(I8:L8)</f>
        <v>61</v>
      </c>
      <c r="I8" s="27">
        <f>'총괄표(경기도)'!I14</f>
        <v>0</v>
      </c>
      <c r="J8" s="27">
        <f>'총괄표(경기도)'!J14</f>
        <v>61</v>
      </c>
      <c r="K8" s="27">
        <f>'총괄표(경기도)'!K14</f>
        <v>0</v>
      </c>
      <c r="L8" s="55">
        <f>'총괄표(경기도)'!L14</f>
        <v>0</v>
      </c>
    </row>
    <row r="9" spans="1:12" ht="24.95" customHeight="1">
      <c r="A9" s="49" t="s">
        <v>29</v>
      </c>
      <c r="B9" s="67">
        <f t="shared" si="0"/>
        <v>-266</v>
      </c>
      <c r="C9" s="23">
        <f t="shared" si="4"/>
        <v>79</v>
      </c>
      <c r="D9" s="57">
        <f>'총괄표(경기도)'!D10</f>
        <v>0</v>
      </c>
      <c r="E9" s="57">
        <f>'총괄표(경기도)'!E10</f>
        <v>40</v>
      </c>
      <c r="F9" s="57">
        <f>'총괄표(경기도)'!F10</f>
        <v>39</v>
      </c>
      <c r="G9" s="57">
        <f>'총괄표(경기도)'!G10</f>
        <v>0</v>
      </c>
      <c r="H9" s="23">
        <f t="shared" si="5"/>
        <v>345</v>
      </c>
      <c r="I9" s="57">
        <f>'총괄표(경기도)'!I10</f>
        <v>0</v>
      </c>
      <c r="J9" s="57">
        <f>'총괄표(경기도)'!J10</f>
        <v>163</v>
      </c>
      <c r="K9" s="57">
        <f>'총괄표(경기도)'!K10</f>
        <v>182</v>
      </c>
      <c r="L9" s="96">
        <f>'총괄표(경기도)'!L10</f>
        <v>0</v>
      </c>
    </row>
    <row r="10" spans="1:12" ht="24.95" customHeight="1">
      <c r="A10" s="49" t="s">
        <v>37</v>
      </c>
      <c r="B10" s="67">
        <f t="shared" si="0"/>
        <v>0</v>
      </c>
      <c r="C10" s="23">
        <f t="shared" si="4"/>
        <v>2</v>
      </c>
      <c r="D10" s="24">
        <f>'총괄표(경기도)'!D20</f>
        <v>0</v>
      </c>
      <c r="E10" s="24">
        <f>'총괄표(경기도)'!E20</f>
        <v>1</v>
      </c>
      <c r="F10" s="24">
        <f>'총괄표(경기도)'!F20</f>
        <v>1</v>
      </c>
      <c r="G10" s="24">
        <f>'총괄표(경기도)'!G20</f>
        <v>0</v>
      </c>
      <c r="H10" s="23">
        <f t="shared" si="5"/>
        <v>2</v>
      </c>
      <c r="I10" s="24">
        <f>'총괄표(경기도)'!I20</f>
        <v>0</v>
      </c>
      <c r="J10" s="24">
        <f>'총괄표(경기도)'!J20</f>
        <v>1</v>
      </c>
      <c r="K10" s="24">
        <f>'총괄표(경기도)'!K20</f>
        <v>1</v>
      </c>
      <c r="L10" s="53">
        <f>'총괄표(경기도)'!L20</f>
        <v>0</v>
      </c>
    </row>
    <row r="11" spans="1:12" s="74" customFormat="1" ht="24.95" customHeight="1">
      <c r="A11" s="50" t="s">
        <v>310</v>
      </c>
      <c r="B11" s="43">
        <f t="shared" si="0"/>
        <v>97</v>
      </c>
      <c r="C11" s="23">
        <f t="shared" si="4"/>
        <v>3608</v>
      </c>
      <c r="D11" s="37">
        <f>'총괄표(경기도)'!D13</f>
        <v>0</v>
      </c>
      <c r="E11" s="37">
        <f>'총괄표(경기도)'!E13</f>
        <v>27</v>
      </c>
      <c r="F11" s="37">
        <f>'총괄표(경기도)'!F13</f>
        <v>2372</v>
      </c>
      <c r="G11" s="37">
        <f>'총괄표(경기도)'!G13</f>
        <v>1209</v>
      </c>
      <c r="H11" s="23">
        <f t="shared" si="5"/>
        <v>3511</v>
      </c>
      <c r="I11" s="37">
        <f>'총괄표(경기도)'!I13</f>
        <v>0</v>
      </c>
      <c r="J11" s="37">
        <f>'총괄표(경기도)'!J13</f>
        <v>26</v>
      </c>
      <c r="K11" s="37">
        <f>'총괄표(경기도)'!K13</f>
        <v>2375</v>
      </c>
      <c r="L11" s="73">
        <f>'총괄표(경기도)'!L13</f>
        <v>1110</v>
      </c>
    </row>
    <row r="12" spans="1:12" s="76" customFormat="1" ht="24.95" customHeight="1">
      <c r="A12" s="49" t="s">
        <v>24</v>
      </c>
      <c r="B12" s="67">
        <f t="shared" si="0"/>
        <v>0</v>
      </c>
      <c r="C12" s="23">
        <f t="shared" si="4"/>
        <v>137</v>
      </c>
      <c r="D12" s="38">
        <f>'총괄표(경기도)'!D32</f>
        <v>0</v>
      </c>
      <c r="E12" s="38">
        <f>'총괄표(경기도)'!E32</f>
        <v>8</v>
      </c>
      <c r="F12" s="38">
        <f>'총괄표(경기도)'!F32</f>
        <v>129</v>
      </c>
      <c r="G12" s="38">
        <f>'총괄표(경기도)'!G32</f>
        <v>0</v>
      </c>
      <c r="H12" s="23">
        <f t="shared" si="5"/>
        <v>137</v>
      </c>
      <c r="I12" s="38">
        <f>'총괄표(경기도)'!I32</f>
        <v>0</v>
      </c>
      <c r="J12" s="38">
        <f>'총괄표(경기도)'!J32</f>
        <v>8</v>
      </c>
      <c r="K12" s="38">
        <f>'총괄표(경기도)'!K32</f>
        <v>129</v>
      </c>
      <c r="L12" s="92">
        <f>'총괄표(경기도)'!L32</f>
        <v>0</v>
      </c>
    </row>
    <row r="13" spans="1:12" s="74" customFormat="1" ht="24.95" customHeight="1">
      <c r="A13" s="49" t="s">
        <v>30</v>
      </c>
      <c r="B13" s="67">
        <f t="shared" si="0"/>
        <v>0</v>
      </c>
      <c r="C13" s="68">
        <f t="shared" si="4"/>
        <v>0</v>
      </c>
      <c r="D13" s="69">
        <f>'총괄표(경기도)'!D12</f>
        <v>0</v>
      </c>
      <c r="E13" s="69">
        <f>'총괄표(경기도)'!E12</f>
        <v>0</v>
      </c>
      <c r="F13" s="69">
        <f>'총괄표(경기도)'!F12</f>
        <v>0</v>
      </c>
      <c r="G13" s="69">
        <f>'총괄표(경기도)'!G12</f>
        <v>0</v>
      </c>
      <c r="H13" s="68">
        <f t="shared" si="5"/>
        <v>0</v>
      </c>
      <c r="I13" s="69">
        <f>'총괄표(경기도)'!I12</f>
        <v>0</v>
      </c>
      <c r="J13" s="69">
        <f>'총괄표(경기도)'!J12</f>
        <v>0</v>
      </c>
      <c r="K13" s="69">
        <f>'총괄표(경기도)'!K12</f>
        <v>0</v>
      </c>
      <c r="L13" s="70">
        <f>'총괄표(경기도)'!L12</f>
        <v>0</v>
      </c>
    </row>
    <row r="14" spans="1:12" s="74" customFormat="1" ht="24.95" customHeight="1">
      <c r="A14" s="49" t="s">
        <v>274</v>
      </c>
      <c r="B14" s="67">
        <f t="shared" si="0"/>
        <v>0</v>
      </c>
      <c r="C14" s="23">
        <f t="shared" si="4"/>
        <v>54</v>
      </c>
      <c r="D14" s="24">
        <f>'총괄표(경기도)'!D7</f>
        <v>1</v>
      </c>
      <c r="E14" s="24">
        <f>'총괄표(경기도)'!E7</f>
        <v>0</v>
      </c>
      <c r="F14" s="24">
        <f>'총괄표(경기도)'!F7</f>
        <v>53</v>
      </c>
      <c r="G14" s="24">
        <f>'총괄표(경기도)'!G7</f>
        <v>0</v>
      </c>
      <c r="H14" s="23">
        <f t="shared" si="5"/>
        <v>54</v>
      </c>
      <c r="I14" s="24">
        <f>'총괄표(경기도)'!I7</f>
        <v>1</v>
      </c>
      <c r="J14" s="24">
        <f>'총괄표(경기도)'!J7</f>
        <v>0</v>
      </c>
      <c r="K14" s="24">
        <f>'총괄표(경기도)'!K7</f>
        <v>53</v>
      </c>
      <c r="L14" s="53">
        <f>'총괄표(경기도)'!L7</f>
        <v>0</v>
      </c>
    </row>
    <row r="15" spans="1:12" ht="24.95" customHeight="1">
      <c r="A15" s="49" t="s">
        <v>48</v>
      </c>
      <c r="B15" s="67">
        <f t="shared" si="0"/>
        <v>0</v>
      </c>
      <c r="C15" s="23">
        <f t="shared" si="4"/>
        <v>0</v>
      </c>
      <c r="D15" s="24">
        <f>'총괄표(경기도)'!D33</f>
        <v>0</v>
      </c>
      <c r="E15" s="24">
        <f>'총괄표(경기도)'!E33</f>
        <v>0</v>
      </c>
      <c r="F15" s="24">
        <f>'총괄표(경기도)'!F33</f>
        <v>0</v>
      </c>
      <c r="G15" s="24">
        <f>'총괄표(경기도)'!G33</f>
        <v>0</v>
      </c>
      <c r="H15" s="23">
        <f t="shared" si="5"/>
        <v>0</v>
      </c>
      <c r="I15" s="24">
        <f>'총괄표(경기도)'!I33</f>
        <v>0</v>
      </c>
      <c r="J15" s="24">
        <f>'총괄표(경기도)'!J33</f>
        <v>0</v>
      </c>
      <c r="K15" s="24">
        <f>'총괄표(경기도)'!K33</f>
        <v>0</v>
      </c>
      <c r="L15" s="53">
        <f>'총괄표(경기도)'!L33</f>
        <v>0</v>
      </c>
    </row>
    <row r="16" spans="1:12" ht="24.95" customHeight="1">
      <c r="A16" s="49" t="s">
        <v>42</v>
      </c>
      <c r="B16" s="67">
        <f t="shared" si="0"/>
        <v>0</v>
      </c>
      <c r="C16" s="23">
        <f t="shared" si="4"/>
        <v>12</v>
      </c>
      <c r="D16" s="24">
        <f>'총괄표(경기도)'!D26</f>
        <v>0</v>
      </c>
      <c r="E16" s="24">
        <f>'총괄표(경기도)'!E26</f>
        <v>0</v>
      </c>
      <c r="F16" s="24">
        <f>'총괄표(경기도)'!F26</f>
        <v>12</v>
      </c>
      <c r="G16" s="24">
        <f>'총괄표(경기도)'!G26</f>
        <v>0</v>
      </c>
      <c r="H16" s="23">
        <f t="shared" si="5"/>
        <v>12</v>
      </c>
      <c r="I16" s="24">
        <f>'총괄표(경기도)'!I26</f>
        <v>0</v>
      </c>
      <c r="J16" s="24">
        <f>'총괄표(경기도)'!J26</f>
        <v>0</v>
      </c>
      <c r="K16" s="24">
        <f>'총괄표(경기도)'!K26</f>
        <v>12</v>
      </c>
      <c r="L16" s="53">
        <f>'총괄표(경기도)'!L26</f>
        <v>0</v>
      </c>
    </row>
    <row r="17" spans="1:12" ht="24.95" customHeight="1">
      <c r="A17" s="49" t="s">
        <v>19</v>
      </c>
      <c r="B17" s="67">
        <f t="shared" si="0"/>
        <v>139</v>
      </c>
      <c r="C17" s="23">
        <f t="shared" si="4"/>
        <v>461</v>
      </c>
      <c r="D17" s="24">
        <f>'총괄표(경기도)'!D11</f>
        <v>0</v>
      </c>
      <c r="E17" s="24">
        <f>'총괄표(경기도)'!E11</f>
        <v>113</v>
      </c>
      <c r="F17" s="24">
        <f>'총괄표(경기도)'!F11</f>
        <v>69</v>
      </c>
      <c r="G17" s="24">
        <f>'총괄표(경기도)'!G11</f>
        <v>279</v>
      </c>
      <c r="H17" s="23">
        <f t="shared" si="5"/>
        <v>322</v>
      </c>
      <c r="I17" s="24">
        <f>'총괄표(경기도)'!I11</f>
        <v>0</v>
      </c>
      <c r="J17" s="24">
        <f>'총괄표(경기도)'!J11</f>
        <v>114</v>
      </c>
      <c r="K17" s="24">
        <f>'총괄표(경기도)'!K11</f>
        <v>7</v>
      </c>
      <c r="L17" s="53">
        <f>'총괄표(경기도)'!L11</f>
        <v>201</v>
      </c>
    </row>
    <row r="18" spans="1:12" ht="24.95" customHeight="1">
      <c r="A18" s="49" t="s">
        <v>40</v>
      </c>
      <c r="B18" s="67">
        <f t="shared" si="0"/>
        <v>764</v>
      </c>
      <c r="C18" s="23">
        <f t="shared" si="4"/>
        <v>1846</v>
      </c>
      <c r="D18" s="24">
        <f>'총괄표(경기도)'!D23</f>
        <v>0</v>
      </c>
      <c r="E18" s="24">
        <f>'총괄표(경기도)'!E23</f>
        <v>0</v>
      </c>
      <c r="F18" s="24">
        <f>'총괄표(경기도)'!F23</f>
        <v>1564</v>
      </c>
      <c r="G18" s="24">
        <f>'총괄표(경기도)'!G23</f>
        <v>282</v>
      </c>
      <c r="H18" s="23">
        <f t="shared" si="5"/>
        <v>1082</v>
      </c>
      <c r="I18" s="24">
        <f>'총괄표(경기도)'!I23</f>
        <v>0</v>
      </c>
      <c r="J18" s="24">
        <f>'총괄표(경기도)'!J23</f>
        <v>49</v>
      </c>
      <c r="K18" s="24">
        <f>'총괄표(경기도)'!K23</f>
        <v>843</v>
      </c>
      <c r="L18" s="53">
        <f>'총괄표(경기도)'!L23</f>
        <v>190</v>
      </c>
    </row>
    <row r="19" spans="1:12" ht="24.95" customHeight="1">
      <c r="A19" s="49" t="s">
        <v>32</v>
      </c>
      <c r="B19" s="67">
        <f t="shared" si="0"/>
        <v>-135</v>
      </c>
      <c r="C19" s="23">
        <f t="shared" si="4"/>
        <v>400</v>
      </c>
      <c r="D19" s="51">
        <f>'총괄표(경기도)'!D15</f>
        <v>0</v>
      </c>
      <c r="E19" s="51">
        <f>'총괄표(경기도)'!E15</f>
        <v>3</v>
      </c>
      <c r="F19" s="51">
        <f>'총괄표(경기도)'!F15</f>
        <v>371</v>
      </c>
      <c r="G19" s="51">
        <f>'총괄표(경기도)'!G15</f>
        <v>26</v>
      </c>
      <c r="H19" s="23">
        <f t="shared" si="5"/>
        <v>535</v>
      </c>
      <c r="I19" s="51">
        <f>'총괄표(경기도)'!I15</f>
        <v>0</v>
      </c>
      <c r="J19" s="51">
        <f>'총괄표(경기도)'!J15</f>
        <v>6</v>
      </c>
      <c r="K19" s="51">
        <f>'총괄표(경기도)'!K15</f>
        <v>496</v>
      </c>
      <c r="L19" s="56">
        <f>'총괄표(경기도)'!L15</f>
        <v>33</v>
      </c>
    </row>
    <row r="20" spans="1:12" s="77" customFormat="1" ht="24.95" customHeight="1">
      <c r="A20" s="49" t="s">
        <v>39</v>
      </c>
      <c r="B20" s="67">
        <f t="shared" si="0"/>
        <v>0</v>
      </c>
      <c r="C20" s="23">
        <f t="shared" si="4"/>
        <v>0</v>
      </c>
      <c r="D20" s="24">
        <f>'총괄표(경기도)'!D22</f>
        <v>0</v>
      </c>
      <c r="E20" s="24">
        <f>'총괄표(경기도)'!E22</f>
        <v>0</v>
      </c>
      <c r="F20" s="24">
        <f>'총괄표(경기도)'!F22</f>
        <v>0</v>
      </c>
      <c r="G20" s="24">
        <f>'총괄표(경기도)'!G22</f>
        <v>0</v>
      </c>
      <c r="H20" s="23">
        <f t="shared" si="5"/>
        <v>0</v>
      </c>
      <c r="I20" s="24">
        <f>'총괄표(경기도)'!I22</f>
        <v>0</v>
      </c>
      <c r="J20" s="24">
        <f>'총괄표(경기도)'!J22</f>
        <v>0</v>
      </c>
      <c r="K20" s="24">
        <f>'총괄표(경기도)'!K22</f>
        <v>0</v>
      </c>
      <c r="L20" s="53">
        <f>'총괄표(경기도)'!L22</f>
        <v>0</v>
      </c>
    </row>
    <row r="21" spans="1:12" s="76" customFormat="1" ht="24.95" customHeight="1">
      <c r="A21" s="49" t="s">
        <v>44</v>
      </c>
      <c r="B21" s="67">
        <f t="shared" si="0"/>
        <v>0</v>
      </c>
      <c r="C21" s="23">
        <f t="shared" si="4"/>
        <v>0</v>
      </c>
      <c r="D21" s="27">
        <f>'총괄표(경기도)'!D28</f>
        <v>0</v>
      </c>
      <c r="E21" s="27">
        <f>'총괄표(경기도)'!E28</f>
        <v>0</v>
      </c>
      <c r="F21" s="27">
        <f>'총괄표(경기도)'!F28</f>
        <v>0</v>
      </c>
      <c r="G21" s="27">
        <f>'총괄표(경기도)'!G28</f>
        <v>0</v>
      </c>
      <c r="H21" s="23">
        <f t="shared" si="5"/>
        <v>0</v>
      </c>
      <c r="I21" s="27">
        <f>'총괄표(경기도)'!I28</f>
        <v>0</v>
      </c>
      <c r="J21" s="27">
        <f>'총괄표(경기도)'!J28</f>
        <v>0</v>
      </c>
      <c r="K21" s="27">
        <f>'총괄표(경기도)'!K28</f>
        <v>0</v>
      </c>
      <c r="L21" s="55">
        <f>'총괄표(경기도)'!L28</f>
        <v>0</v>
      </c>
    </row>
    <row r="22" spans="1:12" ht="24.95" customHeight="1">
      <c r="A22" s="49" t="s">
        <v>38</v>
      </c>
      <c r="B22" s="67">
        <f t="shared" si="0"/>
        <v>0</v>
      </c>
      <c r="C22" s="23">
        <f t="shared" si="4"/>
        <v>3</v>
      </c>
      <c r="D22" s="24">
        <f>'총괄표(경기도)'!D21</f>
        <v>0</v>
      </c>
      <c r="E22" s="24">
        <f>'총괄표(경기도)'!E21</f>
        <v>0</v>
      </c>
      <c r="F22" s="24">
        <f>'총괄표(경기도)'!F21</f>
        <v>0</v>
      </c>
      <c r="G22" s="24">
        <f>'총괄표(경기도)'!G21</f>
        <v>3</v>
      </c>
      <c r="H22" s="23">
        <f t="shared" si="5"/>
        <v>3</v>
      </c>
      <c r="I22" s="24">
        <f>'총괄표(경기도)'!I21</f>
        <v>0</v>
      </c>
      <c r="J22" s="24">
        <f>'총괄표(경기도)'!J21</f>
        <v>0</v>
      </c>
      <c r="K22" s="24">
        <f>'총괄표(경기도)'!K21</f>
        <v>0</v>
      </c>
      <c r="L22" s="53">
        <f>'총괄표(경기도)'!L21</f>
        <v>3</v>
      </c>
    </row>
    <row r="23" spans="1:12" ht="24.95" customHeight="1">
      <c r="A23" s="49" t="s">
        <v>26</v>
      </c>
      <c r="B23" s="67">
        <f t="shared" si="0"/>
        <v>25</v>
      </c>
      <c r="C23" s="23">
        <f t="shared" si="4"/>
        <v>692</v>
      </c>
      <c r="D23" s="30">
        <f>'총괄표(경기도)'!D6</f>
        <v>244</v>
      </c>
      <c r="E23" s="30">
        <f>'총괄표(경기도)'!E6</f>
        <v>96</v>
      </c>
      <c r="F23" s="30">
        <f>'총괄표(경기도)'!F6</f>
        <v>340</v>
      </c>
      <c r="G23" s="30">
        <f>'총괄표(경기도)'!G6</f>
        <v>12</v>
      </c>
      <c r="H23" s="23">
        <f t="shared" si="5"/>
        <v>667</v>
      </c>
      <c r="I23" s="30">
        <f>'총괄표(경기도)'!I6</f>
        <v>244</v>
      </c>
      <c r="J23" s="30">
        <f>'총괄표(경기도)'!J6</f>
        <v>83</v>
      </c>
      <c r="K23" s="30">
        <f>'총괄표(경기도)'!K6</f>
        <v>328</v>
      </c>
      <c r="L23" s="54">
        <f>'총괄표(경기도)'!L6</f>
        <v>12</v>
      </c>
    </row>
    <row r="24" spans="1:12" ht="24.95" customHeight="1">
      <c r="A24" s="49" t="s">
        <v>34</v>
      </c>
      <c r="B24" s="67">
        <f t="shared" si="0"/>
        <v>0</v>
      </c>
      <c r="C24" s="23">
        <f t="shared" si="4"/>
        <v>1</v>
      </c>
      <c r="D24" s="24">
        <f>'총괄표(경기도)'!D17</f>
        <v>0</v>
      </c>
      <c r="E24" s="24">
        <f>'총괄표(경기도)'!E17</f>
        <v>0</v>
      </c>
      <c r="F24" s="24">
        <f>'총괄표(경기도)'!F17</f>
        <v>0</v>
      </c>
      <c r="G24" s="24">
        <f>'총괄표(경기도)'!G17</f>
        <v>1</v>
      </c>
      <c r="H24" s="23">
        <f t="shared" si="5"/>
        <v>1</v>
      </c>
      <c r="I24" s="24">
        <f>'총괄표(경기도)'!I17</f>
        <v>0</v>
      </c>
      <c r="J24" s="24">
        <f>'총괄표(경기도)'!J17</f>
        <v>0</v>
      </c>
      <c r="K24" s="24">
        <f>'총괄표(경기도)'!K17</f>
        <v>0</v>
      </c>
      <c r="L24" s="53">
        <f>'총괄표(경기도)'!L17</f>
        <v>1</v>
      </c>
    </row>
    <row r="25" spans="1:12" ht="24.95" customHeight="1">
      <c r="A25" s="49" t="s">
        <v>41</v>
      </c>
      <c r="B25" s="67">
        <f t="shared" si="0"/>
        <v>-166</v>
      </c>
      <c r="C25" s="23">
        <f t="shared" si="4"/>
        <v>1028</v>
      </c>
      <c r="D25" s="24">
        <f>'총괄표(경기도)'!D25</f>
        <v>0</v>
      </c>
      <c r="E25" s="24">
        <f>'총괄표(경기도)'!E25</f>
        <v>16</v>
      </c>
      <c r="F25" s="24">
        <f>'총괄표(경기도)'!F25</f>
        <v>906</v>
      </c>
      <c r="G25" s="24">
        <f>'총괄표(경기도)'!G25</f>
        <v>106</v>
      </c>
      <c r="H25" s="23">
        <f t="shared" si="5"/>
        <v>1194</v>
      </c>
      <c r="I25" s="24">
        <f>'총괄표(경기도)'!I25</f>
        <v>0</v>
      </c>
      <c r="J25" s="24">
        <f>'총괄표(경기도)'!J25</f>
        <v>23</v>
      </c>
      <c r="K25" s="24">
        <f>'총괄표(경기도)'!K25</f>
        <v>1063</v>
      </c>
      <c r="L25" s="53">
        <f>'총괄표(경기도)'!L25</f>
        <v>108</v>
      </c>
    </row>
    <row r="26" spans="1:12" ht="24.95" customHeight="1">
      <c r="A26" s="49" t="s">
        <v>43</v>
      </c>
      <c r="B26" s="67">
        <f t="shared" si="0"/>
        <v>0</v>
      </c>
      <c r="C26" s="23">
        <f t="shared" si="4"/>
        <v>919</v>
      </c>
      <c r="D26" s="24">
        <f>'총괄표(경기도)'!D27</f>
        <v>0</v>
      </c>
      <c r="E26" s="24">
        <f>'총괄표(경기도)'!E27</f>
        <v>0</v>
      </c>
      <c r="F26" s="24">
        <f>'총괄표(경기도)'!F27</f>
        <v>909</v>
      </c>
      <c r="G26" s="24">
        <f>'총괄표(경기도)'!G27</f>
        <v>10</v>
      </c>
      <c r="H26" s="23">
        <f t="shared" si="5"/>
        <v>919</v>
      </c>
      <c r="I26" s="24">
        <f>'총괄표(경기도)'!I27</f>
        <v>0</v>
      </c>
      <c r="J26" s="24">
        <f>'총괄표(경기도)'!J27</f>
        <v>0</v>
      </c>
      <c r="K26" s="24">
        <f>'총괄표(경기도)'!K27</f>
        <v>909</v>
      </c>
      <c r="L26" s="53">
        <f>'총괄표(경기도)'!L27</f>
        <v>10</v>
      </c>
    </row>
    <row r="27" spans="1:12" ht="24.95" customHeight="1">
      <c r="A27" s="49" t="s">
        <v>33</v>
      </c>
      <c r="B27" s="67">
        <f t="shared" si="0"/>
        <v>-43</v>
      </c>
      <c r="C27" s="23">
        <f t="shared" si="4"/>
        <v>787</v>
      </c>
      <c r="D27" s="42">
        <f>'총괄표(경기도)'!D16</f>
        <v>0</v>
      </c>
      <c r="E27" s="42">
        <f>'총괄표(경기도)'!E16</f>
        <v>0</v>
      </c>
      <c r="F27" s="42">
        <f>'총괄표(경기도)'!F16</f>
        <v>763</v>
      </c>
      <c r="G27" s="42">
        <f>'총괄표(경기도)'!G16</f>
        <v>24</v>
      </c>
      <c r="H27" s="23">
        <f t="shared" si="5"/>
        <v>830</v>
      </c>
      <c r="I27" s="42">
        <f>'총괄표(경기도)'!I16</f>
        <v>0</v>
      </c>
      <c r="J27" s="42">
        <f>'총괄표(경기도)'!J16</f>
        <v>0</v>
      </c>
      <c r="K27" s="42">
        <f>'총괄표(경기도)'!K16</f>
        <v>806</v>
      </c>
      <c r="L27" s="75">
        <f>'총괄표(경기도)'!L16</f>
        <v>24</v>
      </c>
    </row>
    <row r="28" spans="1:12" s="72" customFormat="1" ht="24.95" customHeight="1">
      <c r="A28" s="49" t="s">
        <v>341</v>
      </c>
      <c r="B28" s="67">
        <f t="shared" si="0"/>
        <v>-188</v>
      </c>
      <c r="C28" s="23">
        <f t="shared" si="4"/>
        <v>1937</v>
      </c>
      <c r="D28" s="38">
        <f>'총괄표(경기도)'!D24</f>
        <v>0</v>
      </c>
      <c r="E28" s="38">
        <f>'총괄표(경기도)'!E24</f>
        <v>44</v>
      </c>
      <c r="F28" s="38">
        <f>'총괄표(경기도)'!F24</f>
        <v>1483</v>
      </c>
      <c r="G28" s="38">
        <f>'총괄표(경기도)'!G24</f>
        <v>410</v>
      </c>
      <c r="H28" s="23">
        <f t="shared" si="5"/>
        <v>2125</v>
      </c>
      <c r="I28" s="38">
        <f>'총괄표(경기도)'!I24</f>
        <v>0</v>
      </c>
      <c r="J28" s="38">
        <f>'총괄표(경기도)'!J24</f>
        <v>46</v>
      </c>
      <c r="K28" s="38">
        <f>'총괄표(경기도)'!K24</f>
        <v>1652</v>
      </c>
      <c r="L28" s="92">
        <f>'총괄표(경기도)'!L24</f>
        <v>427</v>
      </c>
    </row>
    <row r="29" spans="1:12" ht="24.95" customHeight="1">
      <c r="A29" s="49" t="s">
        <v>47</v>
      </c>
      <c r="B29" s="67">
        <f>C29-H29</f>
        <v>-12</v>
      </c>
      <c r="C29" s="23">
        <f t="shared" si="4"/>
        <v>171</v>
      </c>
      <c r="D29" s="24">
        <f>'총괄표(경기도)'!D31</f>
        <v>0</v>
      </c>
      <c r="E29" s="24">
        <f>'총괄표(경기도)'!E31</f>
        <v>0</v>
      </c>
      <c r="F29" s="24">
        <f>'총괄표(경기도)'!F31</f>
        <v>161</v>
      </c>
      <c r="G29" s="24">
        <f>'총괄표(경기도)'!G31</f>
        <v>10</v>
      </c>
      <c r="H29" s="23">
        <f t="shared" si="5"/>
        <v>183</v>
      </c>
      <c r="I29" s="24">
        <f>'총괄표(경기도)'!I31</f>
        <v>0</v>
      </c>
      <c r="J29" s="24">
        <f>'총괄표(경기도)'!J31</f>
        <v>0</v>
      </c>
      <c r="K29" s="24">
        <f>'총괄표(경기도)'!K31</f>
        <v>173</v>
      </c>
      <c r="L29" s="53">
        <f>'총괄표(경기도)'!L31</f>
        <v>10</v>
      </c>
    </row>
    <row r="30" spans="1:12" s="77" customFormat="1" ht="24.95" customHeight="1">
      <c r="A30" s="49" t="s">
        <v>28</v>
      </c>
      <c r="B30" s="67">
        <f t="shared" si="0"/>
        <v>0</v>
      </c>
      <c r="C30" s="23">
        <f t="shared" ref="C30:C32" si="6">SUM(D30:G30)</f>
        <v>57</v>
      </c>
      <c r="D30" s="39">
        <f>'총괄표(경기도)'!D9</f>
        <v>0</v>
      </c>
      <c r="E30" s="39">
        <f>'총괄표(경기도)'!E9</f>
        <v>41</v>
      </c>
      <c r="F30" s="39">
        <f>'총괄표(경기도)'!F9</f>
        <v>13</v>
      </c>
      <c r="G30" s="39">
        <f>'총괄표(경기도)'!G9</f>
        <v>3</v>
      </c>
      <c r="H30" s="23">
        <f t="shared" ref="H30:H32" si="7">SUM(I30:L30)</f>
        <v>57</v>
      </c>
      <c r="I30" s="39">
        <f>'총괄표(경기도)'!I9</f>
        <v>0</v>
      </c>
      <c r="J30" s="39">
        <f>'총괄표(경기도)'!J9</f>
        <v>41</v>
      </c>
      <c r="K30" s="39">
        <f>'총괄표(경기도)'!K9</f>
        <v>13</v>
      </c>
      <c r="L30" s="93">
        <f>'총괄표(경기도)'!L9</f>
        <v>3</v>
      </c>
    </row>
    <row r="31" spans="1:12" ht="24.95" customHeight="1">
      <c r="A31" s="49" t="s">
        <v>36</v>
      </c>
      <c r="B31" s="67">
        <f t="shared" si="0"/>
        <v>-35</v>
      </c>
      <c r="C31" s="23">
        <f t="shared" si="6"/>
        <v>58</v>
      </c>
      <c r="D31" s="24">
        <f>'총괄표(경기도)'!D19</f>
        <v>0</v>
      </c>
      <c r="E31" s="24">
        <f>'총괄표(경기도)'!E19</f>
        <v>7</v>
      </c>
      <c r="F31" s="24">
        <f>'총괄표(경기도)'!F19</f>
        <v>37</v>
      </c>
      <c r="G31" s="24">
        <f>'총괄표(경기도)'!G19</f>
        <v>14</v>
      </c>
      <c r="H31" s="23">
        <f t="shared" si="7"/>
        <v>93</v>
      </c>
      <c r="I31" s="24">
        <f>'총괄표(경기도)'!I19</f>
        <v>0</v>
      </c>
      <c r="J31" s="24">
        <f>'총괄표(경기도)'!J19</f>
        <v>9</v>
      </c>
      <c r="K31" s="24">
        <f>'총괄표(경기도)'!K19</f>
        <v>38</v>
      </c>
      <c r="L31" s="53">
        <f>'총괄표(경기도)'!L19</f>
        <v>46</v>
      </c>
    </row>
    <row r="32" spans="1:12" ht="24.95" customHeight="1">
      <c r="A32" s="47" t="s">
        <v>50</v>
      </c>
      <c r="B32" s="90">
        <f t="shared" si="0"/>
        <v>-1</v>
      </c>
      <c r="C32" s="91">
        <f t="shared" si="6"/>
        <v>32</v>
      </c>
      <c r="D32" s="39">
        <f>'총괄표(경기도)'!D35</f>
        <v>0</v>
      </c>
      <c r="E32" s="39">
        <f>'총괄표(경기도)'!E35</f>
        <v>0</v>
      </c>
      <c r="F32" s="39">
        <f>'총괄표(경기도)'!F35</f>
        <v>0</v>
      </c>
      <c r="G32" s="39">
        <f>'총괄표(경기도)'!G35</f>
        <v>32</v>
      </c>
      <c r="H32" s="91">
        <f t="shared" si="7"/>
        <v>33</v>
      </c>
      <c r="I32" s="39">
        <f>'총괄표(경기도)'!I35</f>
        <v>0</v>
      </c>
      <c r="J32" s="39">
        <f>'총괄표(경기도)'!J35</f>
        <v>0</v>
      </c>
      <c r="K32" s="39">
        <f>'총괄표(경기도)'!K35</f>
        <v>1</v>
      </c>
      <c r="L32" s="93">
        <f>'총괄표(경기도)'!L35</f>
        <v>32</v>
      </c>
    </row>
    <row r="33" spans="1:12" s="77" customFormat="1" ht="24.95" customHeight="1">
      <c r="A33" s="49" t="s">
        <v>45</v>
      </c>
      <c r="B33" s="67">
        <f t="shared" si="0"/>
        <v>0</v>
      </c>
      <c r="C33" s="23">
        <f t="shared" si="4"/>
        <v>123</v>
      </c>
      <c r="D33" s="24">
        <f>'총괄표(경기도)'!D29</f>
        <v>0</v>
      </c>
      <c r="E33" s="24">
        <f>'총괄표(경기도)'!E29</f>
        <v>68</v>
      </c>
      <c r="F33" s="24">
        <f>'총괄표(경기도)'!F29</f>
        <v>55</v>
      </c>
      <c r="G33" s="24">
        <f>'총괄표(경기도)'!G29</f>
        <v>0</v>
      </c>
      <c r="H33" s="23">
        <f t="shared" si="5"/>
        <v>123</v>
      </c>
      <c r="I33" s="24">
        <f>'총괄표(경기도)'!I29</f>
        <v>0</v>
      </c>
      <c r="J33" s="24">
        <f>'총괄표(경기도)'!J29</f>
        <v>68</v>
      </c>
      <c r="K33" s="24">
        <f>'총괄표(경기도)'!K29</f>
        <v>55</v>
      </c>
      <c r="L33" s="53">
        <f>'총괄표(경기도)'!L29</f>
        <v>0</v>
      </c>
    </row>
    <row r="34" spans="1:12" ht="24.95" customHeight="1">
      <c r="A34" s="78" t="s">
        <v>49</v>
      </c>
      <c r="B34" s="79">
        <f t="shared" si="0"/>
        <v>-9</v>
      </c>
      <c r="C34" s="23">
        <f t="shared" si="4"/>
        <v>875</v>
      </c>
      <c r="D34" s="31">
        <f>'총괄표(경기도)'!D34</f>
        <v>0</v>
      </c>
      <c r="E34" s="31">
        <f>'총괄표(경기도)'!E34</f>
        <v>35</v>
      </c>
      <c r="F34" s="31">
        <f>'총괄표(경기도)'!F34</f>
        <v>570</v>
      </c>
      <c r="G34" s="31">
        <f>'총괄표(경기도)'!G34</f>
        <v>270</v>
      </c>
      <c r="H34" s="23">
        <f t="shared" si="5"/>
        <v>884</v>
      </c>
      <c r="I34" s="31">
        <f>'총괄표(경기도)'!I34</f>
        <v>0</v>
      </c>
      <c r="J34" s="31">
        <f>'총괄표(경기도)'!J34</f>
        <v>36</v>
      </c>
      <c r="K34" s="31">
        <f>'총괄표(경기도)'!K34</f>
        <v>575</v>
      </c>
      <c r="L34" s="94">
        <f>'총괄표(경기도)'!L34</f>
        <v>273</v>
      </c>
    </row>
    <row r="35" spans="1:12" s="76" customFormat="1" ht="24.95" customHeight="1" thickBot="1">
      <c r="A35" s="46" t="s">
        <v>46</v>
      </c>
      <c r="B35" s="81">
        <f t="shared" si="0"/>
        <v>-6</v>
      </c>
      <c r="C35" s="26">
        <f t="shared" si="4"/>
        <v>299</v>
      </c>
      <c r="D35" s="44">
        <f>'총괄표(경기도)'!D30</f>
        <v>0</v>
      </c>
      <c r="E35" s="44">
        <f>'총괄표(경기도)'!E30</f>
        <v>12</v>
      </c>
      <c r="F35" s="44">
        <f>'총괄표(경기도)'!F30</f>
        <v>283</v>
      </c>
      <c r="G35" s="44">
        <f>'총괄표(경기도)'!G30</f>
        <v>4</v>
      </c>
      <c r="H35" s="26">
        <f t="shared" si="5"/>
        <v>305</v>
      </c>
      <c r="I35" s="44">
        <f>'총괄표(경기도)'!I30</f>
        <v>0</v>
      </c>
      <c r="J35" s="44">
        <f>'총괄표(경기도)'!J30</f>
        <v>13</v>
      </c>
      <c r="K35" s="44">
        <f>'총괄표(경기도)'!K30</f>
        <v>288</v>
      </c>
      <c r="L35" s="95">
        <f>'총괄표(경기도)'!L30</f>
        <v>4</v>
      </c>
    </row>
    <row r="36" spans="1:12" ht="24.95" customHeight="1"/>
    <row r="37" spans="1:12" ht="24.95" customHeight="1">
      <c r="A37" s="1803"/>
      <c r="B37" s="1803"/>
      <c r="C37" s="1803"/>
      <c r="D37" s="1803"/>
      <c r="E37" s="1803"/>
      <c r="F37" s="1803"/>
      <c r="G37" s="1803"/>
      <c r="H37" s="1803"/>
      <c r="I37" s="1803"/>
      <c r="J37" s="1803"/>
      <c r="K37" s="1803"/>
      <c r="L37" s="1803"/>
    </row>
    <row r="38" spans="1:12" ht="24.95" customHeight="1" thickBot="1">
      <c r="A38" s="1803" t="s">
        <v>120</v>
      </c>
      <c r="B38" s="1803"/>
      <c r="C38" s="1803"/>
      <c r="D38" s="1803"/>
      <c r="E38" s="1803"/>
      <c r="F38" s="1803"/>
      <c r="G38" s="1803"/>
      <c r="H38" s="1803"/>
      <c r="I38" s="1803"/>
      <c r="J38" s="1803"/>
      <c r="K38" s="1803"/>
      <c r="L38" s="1803"/>
    </row>
    <row r="39" spans="1:12" ht="24.95" customHeight="1">
      <c r="A39" s="1804" t="s">
        <v>2</v>
      </c>
      <c r="B39" s="1808" t="s">
        <v>3</v>
      </c>
      <c r="C39" s="461" t="s">
        <v>706</v>
      </c>
      <c r="D39" s="461"/>
      <c r="E39" s="461"/>
      <c r="F39" s="461"/>
      <c r="G39" s="461"/>
      <c r="H39" s="461" t="s">
        <v>670</v>
      </c>
      <c r="I39" s="461"/>
      <c r="J39" s="461"/>
      <c r="K39" s="461"/>
      <c r="L39" s="461"/>
    </row>
    <row r="40" spans="1:12" ht="24.95" customHeight="1">
      <c r="A40" s="1805"/>
      <c r="B40" s="1809"/>
      <c r="C40" s="60" t="s">
        <v>1</v>
      </c>
      <c r="D40" s="61" t="s">
        <v>15</v>
      </c>
      <c r="E40" s="61" t="s">
        <v>16</v>
      </c>
      <c r="F40" s="61" t="s">
        <v>14</v>
      </c>
      <c r="G40" s="61" t="s">
        <v>0</v>
      </c>
      <c r="H40" s="60" t="s">
        <v>1</v>
      </c>
      <c r="I40" s="61" t="s">
        <v>15</v>
      </c>
      <c r="J40" s="61" t="s">
        <v>16</v>
      </c>
      <c r="K40" s="61" t="s">
        <v>14</v>
      </c>
      <c r="L40" s="62" t="s">
        <v>0</v>
      </c>
    </row>
    <row r="41" spans="1:12" s="59" customFormat="1" ht="25.5" customHeight="1">
      <c r="A41" s="82" t="s">
        <v>18</v>
      </c>
      <c r="B41" s="67">
        <f t="shared" ref="B41:B72" si="8">C41-H41</f>
        <v>-37</v>
      </c>
      <c r="C41" s="83">
        <f t="shared" ref="C41:L41" si="9">SUM(C42:C72)</f>
        <v>2294</v>
      </c>
      <c r="D41" s="83">
        <f t="shared" si="9"/>
        <v>329</v>
      </c>
      <c r="E41" s="83">
        <f t="shared" si="9"/>
        <v>366</v>
      </c>
      <c r="F41" s="83">
        <f t="shared" si="9"/>
        <v>1332</v>
      </c>
      <c r="G41" s="83">
        <f t="shared" si="9"/>
        <v>267</v>
      </c>
      <c r="H41" s="83">
        <f t="shared" si="9"/>
        <v>2331</v>
      </c>
      <c r="I41" s="83">
        <f t="shared" si="9"/>
        <v>327</v>
      </c>
      <c r="J41" s="83">
        <f t="shared" si="9"/>
        <v>384</v>
      </c>
      <c r="K41" s="83">
        <f t="shared" si="9"/>
        <v>1346</v>
      </c>
      <c r="L41" s="84">
        <f t="shared" si="9"/>
        <v>274</v>
      </c>
    </row>
    <row r="42" spans="1:12" ht="25.5" customHeight="1">
      <c r="A42" s="49" t="s">
        <v>25</v>
      </c>
      <c r="B42" s="67">
        <f t="shared" si="8"/>
        <v>-4</v>
      </c>
      <c r="C42" s="85">
        <f t="shared" ref="C42:C72" si="10">SUM(D42:G42)</f>
        <v>17</v>
      </c>
      <c r="D42" s="69">
        <f>'총괄표(경기도)'!D42</f>
        <v>0</v>
      </c>
      <c r="E42" s="69">
        <f>'총괄표(경기도)'!E42</f>
        <v>0</v>
      </c>
      <c r="F42" s="69">
        <f>'총괄표(경기도)'!F42</f>
        <v>17</v>
      </c>
      <c r="G42" s="69">
        <f>'총괄표(경기도)'!G42</f>
        <v>0</v>
      </c>
      <c r="H42" s="68">
        <f>SUM(I42:L42)</f>
        <v>21</v>
      </c>
      <c r="I42" s="69">
        <f>'총괄표(경기도)'!I42</f>
        <v>0</v>
      </c>
      <c r="J42" s="69">
        <f>'총괄표(경기도)'!J42</f>
        <v>0</v>
      </c>
      <c r="K42" s="69">
        <f>'총괄표(경기도)'!K42</f>
        <v>21</v>
      </c>
      <c r="L42" s="69">
        <f>'총괄표(경기도)'!L42</f>
        <v>0</v>
      </c>
    </row>
    <row r="43" spans="1:12" ht="25.5" customHeight="1">
      <c r="A43" s="49" t="s">
        <v>27</v>
      </c>
      <c r="B43" s="33">
        <f t="shared" si="8"/>
        <v>-8</v>
      </c>
      <c r="C43" s="52">
        <f t="shared" si="10"/>
        <v>24</v>
      </c>
      <c r="D43" s="30">
        <f>'총괄표(경기도)'!D45</f>
        <v>2</v>
      </c>
      <c r="E43" s="30">
        <f>'총괄표(경기도)'!E45</f>
        <v>21</v>
      </c>
      <c r="F43" s="30">
        <f>'총괄표(경기도)'!F45</f>
        <v>1</v>
      </c>
      <c r="G43" s="30">
        <f>'총괄표(경기도)'!G45</f>
        <v>0</v>
      </c>
      <c r="H43" s="23">
        <f t="shared" ref="H43:H44" si="11">SUM(I43:L43)</f>
        <v>32</v>
      </c>
      <c r="I43" s="30">
        <f>'총괄표(경기도)'!I45</f>
        <v>0</v>
      </c>
      <c r="J43" s="30">
        <f>'총괄표(경기도)'!J45</f>
        <v>32</v>
      </c>
      <c r="K43" s="30">
        <f>'총괄표(경기도)'!K45</f>
        <v>0</v>
      </c>
      <c r="L43" s="30">
        <f>'총괄표(경기도)'!L45</f>
        <v>0</v>
      </c>
    </row>
    <row r="44" spans="1:12" ht="25.5" customHeight="1">
      <c r="A44" s="304" t="s">
        <v>35</v>
      </c>
      <c r="B44" s="33">
        <f t="shared" si="8"/>
        <v>-2</v>
      </c>
      <c r="C44" s="52">
        <f t="shared" si="10"/>
        <v>526</v>
      </c>
      <c r="D44" s="24">
        <f>'총괄표(경기도)'!D55</f>
        <v>82</v>
      </c>
      <c r="E44" s="24">
        <f>'총괄표(경기도)'!E55</f>
        <v>30</v>
      </c>
      <c r="F44" s="24">
        <f>'총괄표(경기도)'!F55</f>
        <v>414</v>
      </c>
      <c r="G44" s="24">
        <f>'총괄표(경기도)'!G55</f>
        <v>0</v>
      </c>
      <c r="H44" s="23">
        <f t="shared" si="11"/>
        <v>528</v>
      </c>
      <c r="I44" s="24">
        <f>'총괄표(경기도)'!I55</f>
        <v>82</v>
      </c>
      <c r="J44" s="24">
        <f>'총괄표(경기도)'!J55</f>
        <v>30</v>
      </c>
      <c r="K44" s="24">
        <f>'총괄표(경기도)'!K55</f>
        <v>416</v>
      </c>
      <c r="L44" s="24">
        <f>'총괄표(경기도)'!L55</f>
        <v>0</v>
      </c>
    </row>
    <row r="45" spans="1:12" s="76" customFormat="1" ht="25.5" customHeight="1">
      <c r="A45" s="49" t="s">
        <v>31</v>
      </c>
      <c r="B45" s="33">
        <f t="shared" si="8"/>
        <v>0</v>
      </c>
      <c r="C45" s="52">
        <f t="shared" si="10"/>
        <v>61</v>
      </c>
      <c r="D45" s="27">
        <f>'총괄표(경기도)'!D51</f>
        <v>0</v>
      </c>
      <c r="E45" s="27">
        <f>'총괄표(경기도)'!E51</f>
        <v>61</v>
      </c>
      <c r="F45" s="27">
        <f>'총괄표(경기도)'!F51</f>
        <v>0</v>
      </c>
      <c r="G45" s="27">
        <f>'총괄표(경기도)'!G51</f>
        <v>0</v>
      </c>
      <c r="H45" s="23">
        <f t="shared" ref="H45:H72" si="12">SUM(I45:L45)</f>
        <v>61</v>
      </c>
      <c r="I45" s="27">
        <f>'총괄표(경기도)'!I51</f>
        <v>0</v>
      </c>
      <c r="J45" s="27">
        <f>'총괄표(경기도)'!J51</f>
        <v>61</v>
      </c>
      <c r="K45" s="27">
        <f>'총괄표(경기도)'!K51</f>
        <v>0</v>
      </c>
      <c r="L45" s="27">
        <f>'총괄표(경기도)'!L51</f>
        <v>0</v>
      </c>
    </row>
    <row r="46" spans="1:12" s="76" customFormat="1" ht="25.5" customHeight="1">
      <c r="A46" s="49" t="s">
        <v>29</v>
      </c>
      <c r="B46" s="33">
        <f t="shared" si="8"/>
        <v>-1</v>
      </c>
      <c r="C46" s="52">
        <f t="shared" si="10"/>
        <v>8</v>
      </c>
      <c r="D46" s="27">
        <f>'총괄표(경기도)'!D47</f>
        <v>0</v>
      </c>
      <c r="E46" s="27">
        <f>'총괄표(경기도)'!E47</f>
        <v>4</v>
      </c>
      <c r="F46" s="27">
        <f>'총괄표(경기도)'!F47</f>
        <v>4</v>
      </c>
      <c r="G46" s="27">
        <f>'총괄표(경기도)'!G47</f>
        <v>0</v>
      </c>
      <c r="H46" s="23">
        <f t="shared" si="12"/>
        <v>9</v>
      </c>
      <c r="I46" s="27">
        <f>'총괄표(경기도)'!I47</f>
        <v>0</v>
      </c>
      <c r="J46" s="27">
        <f>'총괄표(경기도)'!J47</f>
        <v>5</v>
      </c>
      <c r="K46" s="27">
        <f>'총괄표(경기도)'!K47</f>
        <v>4</v>
      </c>
      <c r="L46" s="27">
        <f>'총괄표(경기도)'!L47</f>
        <v>0</v>
      </c>
    </row>
    <row r="47" spans="1:12" ht="25.5" customHeight="1">
      <c r="A47" s="49" t="s">
        <v>37</v>
      </c>
      <c r="B47" s="67">
        <f t="shared" si="8"/>
        <v>0</v>
      </c>
      <c r="C47" s="85">
        <f t="shared" si="10"/>
        <v>2</v>
      </c>
      <c r="D47" s="69">
        <f>'총괄표(경기도)'!D57</f>
        <v>0</v>
      </c>
      <c r="E47" s="69">
        <f>'총괄표(경기도)'!E57</f>
        <v>1</v>
      </c>
      <c r="F47" s="69">
        <f>'총괄표(경기도)'!F57</f>
        <v>1</v>
      </c>
      <c r="G47" s="69">
        <f>'총괄표(경기도)'!G57</f>
        <v>0</v>
      </c>
      <c r="H47" s="68">
        <f t="shared" si="12"/>
        <v>2</v>
      </c>
      <c r="I47" s="69">
        <f>'총괄표(경기도)'!I57</f>
        <v>0</v>
      </c>
      <c r="J47" s="69">
        <f>'총괄표(경기도)'!J57</f>
        <v>1</v>
      </c>
      <c r="K47" s="69">
        <f>'총괄표(경기도)'!K57</f>
        <v>1</v>
      </c>
      <c r="L47" s="69">
        <f>'총괄표(경기도)'!L57</f>
        <v>0</v>
      </c>
    </row>
    <row r="48" spans="1:12" ht="25.5" customHeight="1">
      <c r="A48" s="50" t="s">
        <v>310</v>
      </c>
      <c r="B48" s="67">
        <f t="shared" si="8"/>
        <v>-2</v>
      </c>
      <c r="C48" s="85">
        <f t="shared" si="10"/>
        <v>61</v>
      </c>
      <c r="D48" s="71">
        <f>'총괄표(경기도)'!D50</f>
        <v>0</v>
      </c>
      <c r="E48" s="71">
        <f>'총괄표(경기도)'!E50</f>
        <v>0</v>
      </c>
      <c r="F48" s="71">
        <f>'총괄표(경기도)'!F50</f>
        <v>60</v>
      </c>
      <c r="G48" s="71">
        <f>'총괄표(경기도)'!G50</f>
        <v>1</v>
      </c>
      <c r="H48" s="68">
        <f t="shared" si="12"/>
        <v>63</v>
      </c>
      <c r="I48" s="71">
        <f>'총괄표(경기도)'!I50</f>
        <v>0</v>
      </c>
      <c r="J48" s="71">
        <f>'총괄표(경기도)'!J50</f>
        <v>0</v>
      </c>
      <c r="K48" s="71">
        <f>'총괄표(경기도)'!K50</f>
        <v>56</v>
      </c>
      <c r="L48" s="71">
        <f>'총괄표(경기도)'!L50</f>
        <v>7</v>
      </c>
    </row>
    <row r="49" spans="1:12" ht="25.5" customHeight="1">
      <c r="A49" s="49" t="s">
        <v>24</v>
      </c>
      <c r="B49" s="67">
        <f t="shared" si="8"/>
        <v>0</v>
      </c>
      <c r="C49" s="85">
        <f t="shared" si="10"/>
        <v>137</v>
      </c>
      <c r="D49" s="69">
        <f>'총괄표(경기도)'!D69</f>
        <v>0</v>
      </c>
      <c r="E49" s="69">
        <f>'총괄표(경기도)'!E69</f>
        <v>8</v>
      </c>
      <c r="F49" s="69">
        <f>'총괄표(경기도)'!F69</f>
        <v>129</v>
      </c>
      <c r="G49" s="69">
        <f>'총괄표(경기도)'!G69</f>
        <v>0</v>
      </c>
      <c r="H49" s="68">
        <f t="shared" si="12"/>
        <v>137</v>
      </c>
      <c r="I49" s="69">
        <f>'총괄표(경기도)'!I69</f>
        <v>0</v>
      </c>
      <c r="J49" s="69">
        <f>'총괄표(경기도)'!J69</f>
        <v>8</v>
      </c>
      <c r="K49" s="69">
        <f>'총괄표(경기도)'!K69</f>
        <v>129</v>
      </c>
      <c r="L49" s="69">
        <f>'총괄표(경기도)'!L69</f>
        <v>0</v>
      </c>
    </row>
    <row r="50" spans="1:12" ht="25.5" customHeight="1">
      <c r="A50" s="49" t="s">
        <v>30</v>
      </c>
      <c r="B50" s="67">
        <f t="shared" si="8"/>
        <v>0</v>
      </c>
      <c r="C50" s="85">
        <f t="shared" si="10"/>
        <v>0</v>
      </c>
      <c r="D50" s="69">
        <f>'총괄표(경기도)'!D49</f>
        <v>0</v>
      </c>
      <c r="E50" s="69">
        <f>'총괄표(경기도)'!E49</f>
        <v>0</v>
      </c>
      <c r="F50" s="69">
        <f>'총괄표(경기도)'!F49</f>
        <v>0</v>
      </c>
      <c r="G50" s="69">
        <f>'총괄표(경기도)'!G49</f>
        <v>0</v>
      </c>
      <c r="H50" s="68">
        <f t="shared" si="12"/>
        <v>0</v>
      </c>
      <c r="I50" s="69">
        <f>'총괄표(경기도)'!I49</f>
        <v>0</v>
      </c>
      <c r="J50" s="69">
        <f>'총괄표(경기도)'!J49</f>
        <v>0</v>
      </c>
      <c r="K50" s="69">
        <f>'총괄표(경기도)'!K49</f>
        <v>0</v>
      </c>
      <c r="L50" s="69">
        <f>'총괄표(경기도)'!L49</f>
        <v>0</v>
      </c>
    </row>
    <row r="51" spans="1:12" ht="25.5" customHeight="1">
      <c r="A51" s="305" t="s">
        <v>274</v>
      </c>
      <c r="B51" s="33">
        <f t="shared" si="8"/>
        <v>0</v>
      </c>
      <c r="C51" s="52">
        <f t="shared" si="10"/>
        <v>54</v>
      </c>
      <c r="D51" s="24">
        <f>'총괄표(경기도)'!D44</f>
        <v>1</v>
      </c>
      <c r="E51" s="24">
        <f>'총괄표(경기도)'!E44</f>
        <v>0</v>
      </c>
      <c r="F51" s="24">
        <f>'총괄표(경기도)'!F44</f>
        <v>53</v>
      </c>
      <c r="G51" s="24">
        <f>'총괄표(경기도)'!G44</f>
        <v>0</v>
      </c>
      <c r="H51" s="23">
        <f t="shared" si="12"/>
        <v>54</v>
      </c>
      <c r="I51" s="24">
        <f>'총괄표(경기도)'!I44</f>
        <v>1</v>
      </c>
      <c r="J51" s="24">
        <f>'총괄표(경기도)'!J44</f>
        <v>0</v>
      </c>
      <c r="K51" s="24">
        <f>'총괄표(경기도)'!K44</f>
        <v>53</v>
      </c>
      <c r="L51" s="24">
        <f>'총괄표(경기도)'!L44</f>
        <v>0</v>
      </c>
    </row>
    <row r="52" spans="1:12" ht="25.5" customHeight="1">
      <c r="A52" s="49" t="s">
        <v>48</v>
      </c>
      <c r="B52" s="67">
        <f t="shared" si="8"/>
        <v>0</v>
      </c>
      <c r="C52" s="85">
        <f t="shared" si="10"/>
        <v>0</v>
      </c>
      <c r="D52" s="69">
        <f>'총괄표(경기도)'!D70</f>
        <v>0</v>
      </c>
      <c r="E52" s="69">
        <f>'총괄표(경기도)'!E70</f>
        <v>0</v>
      </c>
      <c r="F52" s="69">
        <f>'총괄표(경기도)'!F70</f>
        <v>0</v>
      </c>
      <c r="G52" s="69">
        <f>'총괄표(경기도)'!G70</f>
        <v>0</v>
      </c>
      <c r="H52" s="68">
        <f t="shared" si="12"/>
        <v>0</v>
      </c>
      <c r="I52" s="69">
        <f>'총괄표(경기도)'!I70</f>
        <v>0</v>
      </c>
      <c r="J52" s="69">
        <f>'총괄표(경기도)'!J70</f>
        <v>0</v>
      </c>
      <c r="K52" s="69">
        <f>'총괄표(경기도)'!K70</f>
        <v>0</v>
      </c>
      <c r="L52" s="69">
        <f>'총괄표(경기도)'!L70</f>
        <v>0</v>
      </c>
    </row>
    <row r="53" spans="1:12" ht="25.5" customHeight="1">
      <c r="A53" s="49" t="s">
        <v>42</v>
      </c>
      <c r="B53" s="33">
        <f t="shared" si="8"/>
        <v>0</v>
      </c>
      <c r="C53" s="52">
        <f t="shared" si="10"/>
        <v>0</v>
      </c>
      <c r="D53" s="24">
        <f>'총괄표(경기도)'!D63</f>
        <v>0</v>
      </c>
      <c r="E53" s="24">
        <v>0</v>
      </c>
      <c r="F53" s="24">
        <v>0</v>
      </c>
      <c r="G53" s="24">
        <f>'총괄표(경기도)'!G63</f>
        <v>0</v>
      </c>
      <c r="H53" s="23">
        <f t="shared" si="12"/>
        <v>0</v>
      </c>
      <c r="I53" s="24">
        <f>'총괄표(경기도)'!I63</f>
        <v>0</v>
      </c>
      <c r="J53" s="24">
        <f>'총괄표(경기도)'!J63</f>
        <v>0</v>
      </c>
      <c r="K53" s="24">
        <f>'총괄표(경기도)'!K63</f>
        <v>0</v>
      </c>
      <c r="L53" s="24">
        <f>'총괄표(경기도)'!L63</f>
        <v>0</v>
      </c>
    </row>
    <row r="54" spans="1:12" ht="25.5" customHeight="1">
      <c r="A54" s="49" t="s">
        <v>19</v>
      </c>
      <c r="B54" s="33">
        <f t="shared" si="8"/>
        <v>-2</v>
      </c>
      <c r="C54" s="52">
        <f t="shared" si="10"/>
        <v>320</v>
      </c>
      <c r="D54" s="24">
        <f>'총괄표(경기도)'!D48</f>
        <v>0</v>
      </c>
      <c r="E54" s="24">
        <f>'총괄표(경기도)'!E48</f>
        <v>113</v>
      </c>
      <c r="F54" s="24">
        <f>'총괄표(경기도)'!F48</f>
        <v>7</v>
      </c>
      <c r="G54" s="24">
        <f>'총괄표(경기도)'!G48</f>
        <v>200</v>
      </c>
      <c r="H54" s="23">
        <f t="shared" si="12"/>
        <v>322</v>
      </c>
      <c r="I54" s="24">
        <f>'총괄표(경기도)'!I48</f>
        <v>0</v>
      </c>
      <c r="J54" s="24">
        <f>'총괄표(경기도)'!J48</f>
        <v>114</v>
      </c>
      <c r="K54" s="24">
        <f>'총괄표(경기도)'!K48</f>
        <v>7</v>
      </c>
      <c r="L54" s="24">
        <f>'총괄표(경기도)'!L48</f>
        <v>201</v>
      </c>
    </row>
    <row r="55" spans="1:12" s="76" customFormat="1" ht="25.5" customHeight="1">
      <c r="A55" s="49" t="s">
        <v>40</v>
      </c>
      <c r="B55" s="67">
        <f t="shared" si="8"/>
        <v>0</v>
      </c>
      <c r="C55" s="85">
        <f t="shared" si="10"/>
        <v>0</v>
      </c>
      <c r="D55" s="71">
        <f>'총괄표(경기도)'!D60</f>
        <v>0</v>
      </c>
      <c r="E55" s="71">
        <f>'총괄표(경기도)'!E60</f>
        <v>0</v>
      </c>
      <c r="F55" s="71">
        <f>'총괄표(경기도)'!F60</f>
        <v>0</v>
      </c>
      <c r="G55" s="71">
        <f>'총괄표(경기도)'!G60</f>
        <v>0</v>
      </c>
      <c r="H55" s="68">
        <f t="shared" si="12"/>
        <v>0</v>
      </c>
      <c r="I55" s="71">
        <f>'총괄표(경기도)'!I60</f>
        <v>0</v>
      </c>
      <c r="J55" s="71">
        <f>'총괄표(경기도)'!J60</f>
        <v>0</v>
      </c>
      <c r="K55" s="71">
        <f>'총괄표(경기도)'!K60</f>
        <v>0</v>
      </c>
      <c r="L55" s="71">
        <f>'총괄표(경기도)'!L60</f>
        <v>0</v>
      </c>
    </row>
    <row r="56" spans="1:12" ht="25.5" customHeight="1">
      <c r="A56" s="49" t="s">
        <v>32</v>
      </c>
      <c r="B56" s="33">
        <f t="shared" si="8"/>
        <v>-3</v>
      </c>
      <c r="C56" s="52">
        <f t="shared" si="10"/>
        <v>7</v>
      </c>
      <c r="D56" s="51">
        <f>'총괄표(경기도)'!D52</f>
        <v>0</v>
      </c>
      <c r="E56" s="51">
        <f>'총괄표(경기도)'!E52</f>
        <v>3</v>
      </c>
      <c r="F56" s="51">
        <f>'총괄표(경기도)'!F52</f>
        <v>4</v>
      </c>
      <c r="G56" s="51">
        <f>'총괄표(경기도)'!G52</f>
        <v>0</v>
      </c>
      <c r="H56" s="23">
        <f t="shared" si="12"/>
        <v>10</v>
      </c>
      <c r="I56" s="51">
        <f>'총괄표(경기도)'!I52</f>
        <v>0</v>
      </c>
      <c r="J56" s="51">
        <f>'총괄표(경기도)'!J52</f>
        <v>6</v>
      </c>
      <c r="K56" s="51">
        <f>'총괄표(경기도)'!K52</f>
        <v>4</v>
      </c>
      <c r="L56" s="51">
        <f>'총괄표(경기도)'!L52</f>
        <v>0</v>
      </c>
    </row>
    <row r="57" spans="1:12" ht="25.5" customHeight="1">
      <c r="A57" s="49" t="s">
        <v>39</v>
      </c>
      <c r="B57" s="33">
        <f t="shared" si="8"/>
        <v>0</v>
      </c>
      <c r="C57" s="52">
        <f t="shared" si="10"/>
        <v>0</v>
      </c>
      <c r="D57" s="24">
        <f>'총괄표(경기도)'!D59</f>
        <v>0</v>
      </c>
      <c r="E57" s="24">
        <f>'총괄표(경기도)'!E59</f>
        <v>0</v>
      </c>
      <c r="F57" s="24">
        <f>'총괄표(경기도)'!F59</f>
        <v>0</v>
      </c>
      <c r="G57" s="24">
        <f>'총괄표(경기도)'!G59</f>
        <v>0</v>
      </c>
      <c r="H57" s="23">
        <f t="shared" si="12"/>
        <v>0</v>
      </c>
      <c r="I57" s="24">
        <f>'총괄표(경기도)'!I59</f>
        <v>0</v>
      </c>
      <c r="J57" s="24">
        <f>'총괄표(경기도)'!J59</f>
        <v>0</v>
      </c>
      <c r="K57" s="24">
        <f>'총괄표(경기도)'!K59</f>
        <v>0</v>
      </c>
      <c r="L57" s="24">
        <f>'총괄표(경기도)'!L59</f>
        <v>0</v>
      </c>
    </row>
    <row r="58" spans="1:12" ht="25.5" customHeight="1">
      <c r="A58" s="49" t="s">
        <v>44</v>
      </c>
      <c r="B58" s="67">
        <f t="shared" si="8"/>
        <v>0</v>
      </c>
      <c r="C58" s="85">
        <f t="shared" si="10"/>
        <v>0</v>
      </c>
      <c r="D58" s="69">
        <f>'총괄표(경기도)'!D65</f>
        <v>0</v>
      </c>
      <c r="E58" s="69">
        <f>'총괄표(경기도)'!E65</f>
        <v>0</v>
      </c>
      <c r="F58" s="69">
        <f>'총괄표(경기도)'!F65</f>
        <v>0</v>
      </c>
      <c r="G58" s="69">
        <f>'총괄표(경기도)'!G65</f>
        <v>0</v>
      </c>
      <c r="H58" s="68">
        <f t="shared" si="12"/>
        <v>0</v>
      </c>
      <c r="I58" s="69">
        <f>'총괄표(경기도)'!I65</f>
        <v>0</v>
      </c>
      <c r="J58" s="69">
        <f>'총괄표(경기도)'!J65</f>
        <v>0</v>
      </c>
      <c r="K58" s="69">
        <f>'총괄표(경기도)'!K65</f>
        <v>0</v>
      </c>
      <c r="L58" s="69">
        <f>'총괄표(경기도)'!L65</f>
        <v>0</v>
      </c>
    </row>
    <row r="59" spans="1:12" ht="25.5" customHeight="1">
      <c r="A59" s="49" t="s">
        <v>38</v>
      </c>
      <c r="B59" s="33">
        <f t="shared" si="8"/>
        <v>0</v>
      </c>
      <c r="C59" s="52">
        <f t="shared" si="10"/>
        <v>3</v>
      </c>
      <c r="D59" s="24">
        <f>'총괄표(경기도)'!D58</f>
        <v>0</v>
      </c>
      <c r="E59" s="24">
        <f>'총괄표(경기도)'!E58</f>
        <v>0</v>
      </c>
      <c r="F59" s="24">
        <f>'총괄표(경기도)'!F58</f>
        <v>0</v>
      </c>
      <c r="G59" s="24">
        <f>'총괄표(경기도)'!G58</f>
        <v>3</v>
      </c>
      <c r="H59" s="23">
        <f t="shared" si="12"/>
        <v>3</v>
      </c>
      <c r="I59" s="24">
        <f>'총괄표(경기도)'!I58</f>
        <v>0</v>
      </c>
      <c r="J59" s="24">
        <f>'총괄표(경기도)'!J58</f>
        <v>0</v>
      </c>
      <c r="K59" s="24">
        <f>'총괄표(경기도)'!K58</f>
        <v>0</v>
      </c>
      <c r="L59" s="24">
        <f>'총괄표(경기도)'!L58</f>
        <v>3</v>
      </c>
    </row>
    <row r="60" spans="1:12" ht="25.5" customHeight="1">
      <c r="A60" s="49" t="s">
        <v>26</v>
      </c>
      <c r="B60" s="67">
        <f t="shared" si="8"/>
        <v>-6</v>
      </c>
      <c r="C60" s="52">
        <f t="shared" si="10"/>
        <v>382</v>
      </c>
      <c r="D60" s="30">
        <f>'총괄표(경기도)'!D43</f>
        <v>244</v>
      </c>
      <c r="E60" s="30">
        <f>'총괄표(경기도)'!E43</f>
        <v>10</v>
      </c>
      <c r="F60" s="30">
        <f>'총괄표(경기도)'!F43</f>
        <v>116</v>
      </c>
      <c r="G60" s="30">
        <f>'총괄표(경기도)'!G43</f>
        <v>12</v>
      </c>
      <c r="H60" s="23">
        <f t="shared" si="12"/>
        <v>388</v>
      </c>
      <c r="I60" s="30">
        <f>'총괄표(경기도)'!I43</f>
        <v>244</v>
      </c>
      <c r="J60" s="30">
        <f>'총괄표(경기도)'!J43</f>
        <v>10</v>
      </c>
      <c r="K60" s="30">
        <f>'총괄표(경기도)'!K43</f>
        <v>122</v>
      </c>
      <c r="L60" s="30">
        <f>'총괄표(경기도)'!L43</f>
        <v>12</v>
      </c>
    </row>
    <row r="61" spans="1:12" ht="25.5" customHeight="1">
      <c r="A61" s="49" t="s">
        <v>34</v>
      </c>
      <c r="B61" s="33">
        <f t="shared" si="8"/>
        <v>0</v>
      </c>
      <c r="C61" s="52">
        <f t="shared" si="10"/>
        <v>1</v>
      </c>
      <c r="D61" s="24">
        <f>'총괄표(경기도)'!D54</f>
        <v>0</v>
      </c>
      <c r="E61" s="24">
        <f>'총괄표(경기도)'!E54</f>
        <v>0</v>
      </c>
      <c r="F61" s="24">
        <f>'총괄표(경기도)'!F54</f>
        <v>0</v>
      </c>
      <c r="G61" s="24">
        <f>'총괄표(경기도)'!G54</f>
        <v>1</v>
      </c>
      <c r="H61" s="23">
        <f t="shared" si="12"/>
        <v>1</v>
      </c>
      <c r="I61" s="24">
        <f>'총괄표(경기도)'!I54</f>
        <v>0</v>
      </c>
      <c r="J61" s="24">
        <f>'총괄표(경기도)'!J54</f>
        <v>0</v>
      </c>
      <c r="K61" s="24">
        <f>'총괄표(경기도)'!K54</f>
        <v>0</v>
      </c>
      <c r="L61" s="24">
        <f>'총괄표(경기도)'!L54</f>
        <v>1</v>
      </c>
    </row>
    <row r="62" spans="1:12" ht="25.5" customHeight="1">
      <c r="A62" s="49" t="s">
        <v>41</v>
      </c>
      <c r="B62" s="33">
        <f t="shared" si="8"/>
        <v>0</v>
      </c>
      <c r="C62" s="52">
        <f t="shared" si="10"/>
        <v>3</v>
      </c>
      <c r="D62" s="24">
        <f>'총괄표(경기도)'!D62</f>
        <v>0</v>
      </c>
      <c r="E62" s="24">
        <f>'총괄표(경기도)'!E62</f>
        <v>0</v>
      </c>
      <c r="F62" s="24">
        <f>'총괄표(경기도)'!F62</f>
        <v>0</v>
      </c>
      <c r="G62" s="24">
        <f>'총괄표(경기도)'!G62</f>
        <v>3</v>
      </c>
      <c r="H62" s="23">
        <f t="shared" si="12"/>
        <v>3</v>
      </c>
      <c r="I62" s="24">
        <f>'총괄표(경기도)'!I62</f>
        <v>0</v>
      </c>
      <c r="J62" s="24">
        <f>'총괄표(경기도)'!J62</f>
        <v>0</v>
      </c>
      <c r="K62" s="24">
        <f>'총괄표(경기도)'!K62</f>
        <v>0</v>
      </c>
      <c r="L62" s="24">
        <f>'총괄표(경기도)'!L62</f>
        <v>3</v>
      </c>
    </row>
    <row r="63" spans="1:12" ht="25.5" customHeight="1">
      <c r="A63" s="49" t="s">
        <v>43</v>
      </c>
      <c r="B63" s="67">
        <f t="shared" si="8"/>
        <v>0</v>
      </c>
      <c r="C63" s="85">
        <f t="shared" si="10"/>
        <v>122</v>
      </c>
      <c r="D63" s="69">
        <f>'총괄표(경기도)'!D64</f>
        <v>0</v>
      </c>
      <c r="E63" s="69">
        <f>'총괄표(경기도)'!E64</f>
        <v>0</v>
      </c>
      <c r="F63" s="69">
        <f>'총괄표(경기도)'!F64</f>
        <v>112</v>
      </c>
      <c r="G63" s="69">
        <f>'총괄표(경기도)'!G64</f>
        <v>10</v>
      </c>
      <c r="H63" s="68">
        <f t="shared" si="12"/>
        <v>122</v>
      </c>
      <c r="I63" s="69">
        <f>'총괄표(경기도)'!I64</f>
        <v>0</v>
      </c>
      <c r="J63" s="69">
        <f>'총괄표(경기도)'!J64</f>
        <v>0</v>
      </c>
      <c r="K63" s="69">
        <f>'총괄표(경기도)'!K64</f>
        <v>112</v>
      </c>
      <c r="L63" s="69">
        <f>'총괄표(경기도)'!L64</f>
        <v>10</v>
      </c>
    </row>
    <row r="64" spans="1:12" ht="25.5" customHeight="1">
      <c r="A64" s="49" t="s">
        <v>33</v>
      </c>
      <c r="B64" s="33">
        <f t="shared" si="8"/>
        <v>-5</v>
      </c>
      <c r="C64" s="52">
        <f t="shared" si="10"/>
        <v>52</v>
      </c>
      <c r="D64" s="24">
        <f>'총괄표(경기도)'!D53</f>
        <v>0</v>
      </c>
      <c r="E64" s="24">
        <f>'총괄표(경기도)'!E53</f>
        <v>0</v>
      </c>
      <c r="F64" s="24">
        <f>'총괄표(경기도)'!F53</f>
        <v>50</v>
      </c>
      <c r="G64" s="24">
        <f>'총괄표(경기도)'!G53</f>
        <v>2</v>
      </c>
      <c r="H64" s="23">
        <f t="shared" si="12"/>
        <v>57</v>
      </c>
      <c r="I64" s="24">
        <f>'총괄표(경기도)'!I53</f>
        <v>0</v>
      </c>
      <c r="J64" s="24">
        <f>'총괄표(경기도)'!J53</f>
        <v>0</v>
      </c>
      <c r="K64" s="24">
        <f>'총괄표(경기도)'!K53</f>
        <v>55</v>
      </c>
      <c r="L64" s="24">
        <f>'총괄표(경기도)'!L53</f>
        <v>2</v>
      </c>
    </row>
    <row r="65" spans="1:12" ht="25.5" customHeight="1">
      <c r="A65" s="49" t="s">
        <v>341</v>
      </c>
      <c r="B65" s="33">
        <f t="shared" si="8"/>
        <v>0</v>
      </c>
      <c r="C65" s="52">
        <f t="shared" si="10"/>
        <v>199</v>
      </c>
      <c r="D65" s="24">
        <f>'총괄표(경기도)'!D61</f>
        <v>0</v>
      </c>
      <c r="E65" s="24">
        <f>'총괄표(경기도)'!E61</f>
        <v>0</v>
      </c>
      <c r="F65" s="24">
        <f>'총괄표(경기도)'!F61</f>
        <v>199</v>
      </c>
      <c r="G65" s="24">
        <f>'총괄표(경기도)'!G61</f>
        <v>0</v>
      </c>
      <c r="H65" s="23">
        <f t="shared" si="12"/>
        <v>199</v>
      </c>
      <c r="I65" s="24">
        <f>'총괄표(경기도)'!I61</f>
        <v>0</v>
      </c>
      <c r="J65" s="24">
        <f>'총괄표(경기도)'!J61</f>
        <v>0</v>
      </c>
      <c r="K65" s="24">
        <f>'총괄표(경기도)'!K61</f>
        <v>199</v>
      </c>
      <c r="L65" s="24">
        <f>'총괄표(경기도)'!L61</f>
        <v>0</v>
      </c>
    </row>
    <row r="66" spans="1:12" ht="25.5" customHeight="1">
      <c r="A66" s="49" t="s">
        <v>47</v>
      </c>
      <c r="B66" s="67">
        <f>C66-H66</f>
        <v>0</v>
      </c>
      <c r="C66" s="85">
        <f>SUM(D66:G66)</f>
        <v>0</v>
      </c>
      <c r="D66" s="69">
        <f>'총괄표(경기도)'!D68</f>
        <v>0</v>
      </c>
      <c r="E66" s="69">
        <f>'총괄표(경기도)'!E68</f>
        <v>0</v>
      </c>
      <c r="F66" s="69">
        <f>'총괄표(경기도)'!F68</f>
        <v>0</v>
      </c>
      <c r="G66" s="69">
        <f>'총괄표(경기도)'!G68</f>
        <v>0</v>
      </c>
      <c r="H66" s="68">
        <f>SUM(I66:L66)</f>
        <v>0</v>
      </c>
      <c r="I66" s="69">
        <f>'총괄표(경기도)'!I68</f>
        <v>0</v>
      </c>
      <c r="J66" s="69">
        <f>'총괄표(경기도)'!J68</f>
        <v>0</v>
      </c>
      <c r="K66" s="69">
        <f>'총괄표(경기도)'!K68</f>
        <v>0</v>
      </c>
      <c r="L66" s="69">
        <f>'총괄표(경기도)'!L68</f>
        <v>0</v>
      </c>
    </row>
    <row r="67" spans="1:12" ht="25.5" customHeight="1">
      <c r="A67" s="49" t="s">
        <v>28</v>
      </c>
      <c r="B67" s="33">
        <f t="shared" ref="B67:B68" si="13">C67-H67</f>
        <v>0</v>
      </c>
      <c r="C67" s="52">
        <f t="shared" ref="C67:C68" si="14">SUM(D67:G67)</f>
        <v>57</v>
      </c>
      <c r="D67" s="24">
        <f>'총괄표(경기도)'!D46</f>
        <v>0</v>
      </c>
      <c r="E67" s="24">
        <f>'총괄표(경기도)'!E46</f>
        <v>41</v>
      </c>
      <c r="F67" s="24">
        <f>'총괄표(경기도)'!F46</f>
        <v>13</v>
      </c>
      <c r="G67" s="24">
        <f>'총괄표(경기도)'!G46</f>
        <v>3</v>
      </c>
      <c r="H67" s="23">
        <f t="shared" ref="H67:H68" si="15">SUM(I67:L67)</f>
        <v>57</v>
      </c>
      <c r="I67" s="24">
        <f>'총괄표(경기도)'!I46</f>
        <v>0</v>
      </c>
      <c r="J67" s="24">
        <f>'총괄표(경기도)'!J46</f>
        <v>41</v>
      </c>
      <c r="K67" s="24">
        <f>'총괄표(경기도)'!K46</f>
        <v>13</v>
      </c>
      <c r="L67" s="24">
        <f>'총괄표(경기도)'!L46</f>
        <v>3</v>
      </c>
    </row>
    <row r="68" spans="1:12" s="77" customFormat="1" ht="25.5" customHeight="1">
      <c r="A68" s="49" t="s">
        <v>36</v>
      </c>
      <c r="B68" s="33">
        <f t="shared" si="13"/>
        <v>-3</v>
      </c>
      <c r="C68" s="52">
        <f t="shared" si="14"/>
        <v>23</v>
      </c>
      <c r="D68" s="24">
        <f>'총괄표(경기도)'!D56</f>
        <v>0</v>
      </c>
      <c r="E68" s="24">
        <f>'총괄표(경기도)'!E56</f>
        <v>6</v>
      </c>
      <c r="F68" s="24">
        <f>'총괄표(경기도)'!F56</f>
        <v>17</v>
      </c>
      <c r="G68" s="24">
        <f>'총괄표(경기도)'!G56</f>
        <v>0</v>
      </c>
      <c r="H68" s="23">
        <f t="shared" si="15"/>
        <v>26</v>
      </c>
      <c r="I68" s="24">
        <f>'총괄표(경기도)'!I56</f>
        <v>0</v>
      </c>
      <c r="J68" s="24">
        <f>'총괄표(경기도)'!J56</f>
        <v>8</v>
      </c>
      <c r="K68" s="24">
        <f>'총괄표(경기도)'!K56</f>
        <v>18</v>
      </c>
      <c r="L68" s="24">
        <f>'총괄표(경기도)'!L56</f>
        <v>0</v>
      </c>
    </row>
    <row r="69" spans="1:12" ht="25.5" customHeight="1">
      <c r="A69" s="49" t="s">
        <v>50</v>
      </c>
      <c r="B69" s="67">
        <f t="shared" si="8"/>
        <v>-1</v>
      </c>
      <c r="C69" s="85">
        <f t="shared" si="10"/>
        <v>32</v>
      </c>
      <c r="D69" s="69">
        <f>'총괄표(경기도)'!D72</f>
        <v>0</v>
      </c>
      <c r="E69" s="69">
        <f>'총괄표(경기도)'!E72</f>
        <v>0</v>
      </c>
      <c r="F69" s="69">
        <f>'총괄표(경기도)'!F72</f>
        <v>0</v>
      </c>
      <c r="G69" s="69">
        <f>'총괄표(경기도)'!G72</f>
        <v>32</v>
      </c>
      <c r="H69" s="68">
        <f t="shared" si="12"/>
        <v>33</v>
      </c>
      <c r="I69" s="69">
        <f>'총괄표(경기도)'!I72</f>
        <v>0</v>
      </c>
      <c r="J69" s="69">
        <f>'총괄표(경기도)'!J72</f>
        <v>0</v>
      </c>
      <c r="K69" s="69">
        <f>'총괄표(경기도)'!K72</f>
        <v>1</v>
      </c>
      <c r="L69" s="69">
        <f>'총괄표(경기도)'!L72</f>
        <v>32</v>
      </c>
    </row>
    <row r="70" spans="1:12" ht="25.5" customHeight="1">
      <c r="A70" s="49" t="s">
        <v>45</v>
      </c>
      <c r="B70" s="67">
        <f t="shared" si="8"/>
        <v>0</v>
      </c>
      <c r="C70" s="85">
        <f t="shared" si="10"/>
        <v>123</v>
      </c>
      <c r="D70" s="69">
        <f>'총괄표(경기도)'!D66</f>
        <v>0</v>
      </c>
      <c r="E70" s="69">
        <f>'총괄표(경기도)'!E66</f>
        <v>68</v>
      </c>
      <c r="F70" s="69">
        <f>'총괄표(경기도)'!F66</f>
        <v>55</v>
      </c>
      <c r="G70" s="69">
        <f>'총괄표(경기도)'!G66</f>
        <v>0</v>
      </c>
      <c r="H70" s="68">
        <f t="shared" si="12"/>
        <v>123</v>
      </c>
      <c r="I70" s="69">
        <f>'총괄표(경기도)'!I66</f>
        <v>0</v>
      </c>
      <c r="J70" s="69">
        <f>'총괄표(경기도)'!J66</f>
        <v>68</v>
      </c>
      <c r="K70" s="69">
        <f>'총괄표(경기도)'!K66</f>
        <v>55</v>
      </c>
      <c r="L70" s="69">
        <f>'총괄표(경기도)'!L66</f>
        <v>0</v>
      </c>
    </row>
    <row r="71" spans="1:12" ht="25.5" customHeight="1">
      <c r="A71" s="78" t="s">
        <v>49</v>
      </c>
      <c r="B71" s="86">
        <f t="shared" si="8"/>
        <v>0</v>
      </c>
      <c r="C71" s="87">
        <f t="shared" si="10"/>
        <v>0</v>
      </c>
      <c r="D71" s="88">
        <f>'총괄표(경기도)'!D71</f>
        <v>0</v>
      </c>
      <c r="E71" s="88">
        <f>'총괄표(경기도)'!E71</f>
        <v>0</v>
      </c>
      <c r="F71" s="88">
        <f>'총괄표(경기도)'!F71</f>
        <v>0</v>
      </c>
      <c r="G71" s="88">
        <f>'총괄표(경기도)'!G71</f>
        <v>0</v>
      </c>
      <c r="H71" s="80">
        <f t="shared" si="12"/>
        <v>0</v>
      </c>
      <c r="I71" s="88">
        <f>'총괄표(경기도)'!I71</f>
        <v>0</v>
      </c>
      <c r="J71" s="88">
        <f>'총괄표(경기도)'!J71</f>
        <v>0</v>
      </c>
      <c r="K71" s="88">
        <f>'총괄표(경기도)'!K71</f>
        <v>0</v>
      </c>
      <c r="L71" s="88">
        <f>'총괄표(경기도)'!L71</f>
        <v>0</v>
      </c>
    </row>
    <row r="72" spans="1:12" ht="25.5" customHeight="1" thickBot="1">
      <c r="A72" s="49" t="s">
        <v>46</v>
      </c>
      <c r="B72" s="33">
        <f t="shared" si="8"/>
        <v>0</v>
      </c>
      <c r="C72" s="52">
        <f t="shared" si="10"/>
        <v>80</v>
      </c>
      <c r="D72" s="24">
        <f>'총괄표(경기도)'!D67</f>
        <v>0</v>
      </c>
      <c r="E72" s="24">
        <f>'총괄표(경기도)'!E67</f>
        <v>0</v>
      </c>
      <c r="F72" s="24">
        <f>'총괄표(경기도)'!F67</f>
        <v>80</v>
      </c>
      <c r="G72" s="24">
        <f>'총괄표(경기도)'!G67</f>
        <v>0</v>
      </c>
      <c r="H72" s="23">
        <f t="shared" si="12"/>
        <v>80</v>
      </c>
      <c r="I72" s="24">
        <f>'총괄표(경기도)'!I67</f>
        <v>0</v>
      </c>
      <c r="J72" s="24">
        <f>'총괄표(경기도)'!J67</f>
        <v>0</v>
      </c>
      <c r="K72" s="24">
        <f>'총괄표(경기도)'!K67</f>
        <v>80</v>
      </c>
      <c r="L72" s="24">
        <f>'총괄표(경기도)'!L67</f>
        <v>0</v>
      </c>
    </row>
    <row r="73" spans="1:12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</row>
  </sheetData>
  <mergeCells count="11">
    <mergeCell ref="A38:L38"/>
    <mergeCell ref="A39:A40"/>
    <mergeCell ref="B39:B40"/>
    <mergeCell ref="C39:G39"/>
    <mergeCell ref="H39:L39"/>
    <mergeCell ref="A37:L37"/>
    <mergeCell ref="A1:L1"/>
    <mergeCell ref="A2:A3"/>
    <mergeCell ref="B2:B3"/>
    <mergeCell ref="C2:G2"/>
    <mergeCell ref="H2:L2"/>
  </mergeCells>
  <phoneticPr fontId="39" type="noConversion"/>
  <printOptions horizontalCentered="1"/>
  <pageMargins left="0.39370078740157483" right="0.39370078740157483" top="0.74803149606299213" bottom="0.31496062992125984" header="0.27559055118110237" footer="0.23622047244094491"/>
  <pageSetup paperSize="9" scale="4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4</vt:i4>
      </vt:variant>
    </vt:vector>
  </HeadingPairs>
  <TitlesOfParts>
    <vt:vector size="7" baseType="lpstr">
      <vt:lpstr>총괄표(경기도)</vt:lpstr>
      <vt:lpstr>업체별 현황 </vt:lpstr>
      <vt:lpstr>총괄표(국토부통계누리순서)</vt:lpstr>
      <vt:lpstr>'업체별 현황 '!Print_Area</vt:lpstr>
      <vt:lpstr>'총괄표(경기도)'!Print_Area</vt:lpstr>
      <vt:lpstr>'총괄표(국토부통계누리순서)'!Print_Area</vt:lpstr>
      <vt:lpstr>'업체별 현황 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주택과</dc:creator>
  <cp:lastModifiedBy>USER</cp:lastModifiedBy>
  <cp:revision>1004</cp:revision>
  <cp:lastPrinted>2026-02-13T00:48:36Z</cp:lastPrinted>
  <dcterms:created xsi:type="dcterms:W3CDTF">2002-07-29T06:39:56Z</dcterms:created>
  <dcterms:modified xsi:type="dcterms:W3CDTF">2026-09-30T00:05:42Z</dcterms:modified>
</cp:coreProperties>
</file>