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★ 공통업무\★ 주택정책(미분양 등)\★ 주택관련 통계 및 동향\★ (월보) 미분양 통계\2026\8월\홈페이지 게시\"/>
    </mc:Choice>
  </mc:AlternateContent>
  <xr:revisionPtr revIDLastSave="0" documentId="13_ncr:1_{8EB823D5-D81F-4B07-9E39-6848A6C9A9D8}" xr6:coauthVersionLast="47" xr6:coauthVersionMax="47" xr10:uidLastSave="{00000000-0000-0000-0000-000000000000}"/>
  <bookViews>
    <workbookView xWindow="-120" yWindow="-120" windowWidth="29040" windowHeight="15720" tabRatio="407" xr2:uid="{00000000-000D-0000-FFFF-FFFF00000000}"/>
  </bookViews>
  <sheets>
    <sheet name="총괄표" sheetId="1" r:id="rId1"/>
    <sheet name="업체별현황" sheetId="2" r:id="rId2"/>
  </sheets>
  <definedNames>
    <definedName name="_xlnm._FilterDatabase" localSheetId="1" hidden="1">업체별현황!$A$4:$R$4</definedName>
    <definedName name="_xlnm.Print_Area" localSheetId="1">업체별현황!$A$1:$R$362</definedName>
    <definedName name="_xlnm.Print_Area" localSheetId="0">총괄표!$A$1:$L$26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2" i="2" l="1"/>
  <c r="M167" i="2" l="1"/>
  <c r="L51" i="2"/>
  <c r="C11" i="1" l="1"/>
  <c r="C8" i="1"/>
  <c r="L314" i="2" l="1"/>
  <c r="L250" i="2" l="1"/>
  <c r="L329" i="2" l="1"/>
  <c r="L299" i="2" l="1"/>
  <c r="L139" i="2" l="1"/>
  <c r="L361" i="2" l="1"/>
  <c r="L357" i="2"/>
  <c r="L353" i="2"/>
  <c r="L350" i="2"/>
  <c r="L346" i="2"/>
  <c r="L342" i="2"/>
  <c r="L337" i="2"/>
  <c r="L326" i="2"/>
  <c r="L320" i="2"/>
  <c r="L292" i="2"/>
  <c r="L288" i="2"/>
  <c r="L283" i="2"/>
  <c r="L276" i="2"/>
  <c r="L254" i="2"/>
  <c r="N247" i="2"/>
  <c r="M247" i="2"/>
  <c r="L243" i="2"/>
  <c r="L237" i="2"/>
  <c r="L230" i="2"/>
  <c r="L222" i="2"/>
  <c r="L217" i="2"/>
  <c r="L213" i="2"/>
  <c r="L208" i="2"/>
  <c r="L202" i="2"/>
  <c r="L195" i="2"/>
  <c r="L190" i="2"/>
  <c r="L186" i="2"/>
  <c r="N180" i="2"/>
  <c r="M180" i="2"/>
  <c r="L180" i="2"/>
  <c r="L177" i="2"/>
  <c r="N167" i="2"/>
  <c r="L167" i="2"/>
  <c r="L163" i="2"/>
  <c r="L156" i="2"/>
  <c r="L152" i="2"/>
  <c r="L144" i="2"/>
  <c r="L135" i="2"/>
  <c r="L122" i="2"/>
  <c r="L113" i="2"/>
  <c r="L104" i="2"/>
  <c r="L97" i="2"/>
  <c r="L94" i="2"/>
  <c r="L87" i="2"/>
  <c r="L82" i="2"/>
  <c r="L78" i="2"/>
  <c r="L71" i="2"/>
  <c r="L62" i="2"/>
  <c r="L45" i="2"/>
  <c r="L42" i="2"/>
  <c r="L36" i="2"/>
  <c r="L33" i="2"/>
  <c r="L28" i="2"/>
  <c r="L18" i="2"/>
  <c r="L14" i="2"/>
  <c r="L10" i="2"/>
  <c r="L7" i="2"/>
  <c r="H27" i="1"/>
  <c r="C27" i="1"/>
  <c r="H26" i="1"/>
  <c r="C26" i="1"/>
  <c r="H25" i="1"/>
  <c r="C25" i="1"/>
  <c r="H24" i="1"/>
  <c r="C24" i="1"/>
  <c r="B24" i="1" s="1"/>
  <c r="H23" i="1"/>
  <c r="C23" i="1"/>
  <c r="H22" i="1"/>
  <c r="C22" i="1"/>
  <c r="H21" i="1"/>
  <c r="C21" i="1"/>
  <c r="H20" i="1"/>
  <c r="C20" i="1"/>
  <c r="B20" i="1" s="1"/>
  <c r="H19" i="1"/>
  <c r="C19" i="1"/>
  <c r="L18" i="1"/>
  <c r="K18" i="1"/>
  <c r="J18" i="1"/>
  <c r="I18" i="1"/>
  <c r="G18" i="1"/>
  <c r="F18" i="1"/>
  <c r="E18" i="1"/>
  <c r="D18" i="1"/>
  <c r="H16" i="1"/>
  <c r="C16" i="1"/>
  <c r="H13" i="1"/>
  <c r="C13" i="1"/>
  <c r="H12" i="1"/>
  <c r="C12" i="1"/>
  <c r="H11" i="1"/>
  <c r="H10" i="1"/>
  <c r="C10" i="1"/>
  <c r="H9" i="1"/>
  <c r="C9" i="1"/>
  <c r="H8" i="1"/>
  <c r="H7" i="1"/>
  <c r="C7" i="1"/>
  <c r="H6" i="1"/>
  <c r="C6" i="1"/>
  <c r="H5" i="1"/>
  <c r="C5" i="1"/>
  <c r="L4" i="1"/>
  <c r="K4" i="1"/>
  <c r="J4" i="1"/>
  <c r="I4" i="1"/>
  <c r="G4" i="1"/>
  <c r="F4" i="1"/>
  <c r="E4" i="1"/>
  <c r="D4" i="1"/>
  <c r="L358" i="2" l="1"/>
  <c r="L181" i="2"/>
  <c r="L52" i="2"/>
  <c r="L238" i="2"/>
  <c r="L315" i="2"/>
  <c r="B23" i="1"/>
  <c r="B27" i="1"/>
  <c r="L140" i="2"/>
  <c r="B22" i="1"/>
  <c r="L157" i="2"/>
  <c r="B25" i="1"/>
  <c r="B21" i="1"/>
  <c r="C18" i="1"/>
  <c r="B19" i="1"/>
  <c r="B26" i="1"/>
  <c r="B7" i="1"/>
  <c r="B5" i="1"/>
  <c r="B9" i="1"/>
  <c r="B13" i="1"/>
  <c r="B6" i="1"/>
  <c r="B10" i="1"/>
  <c r="B11" i="1"/>
  <c r="B12" i="1"/>
  <c r="B8" i="1"/>
  <c r="C4" i="1"/>
  <c r="H18" i="1"/>
  <c r="H4" i="1"/>
  <c r="B4" i="1" l="1"/>
  <c r="B18" i="1"/>
</calcChain>
</file>

<file path=xl/sharedStrings.xml><?xml version="1.0" encoding="utf-8"?>
<sst xmlns="http://schemas.openxmlformats.org/spreadsheetml/2006/main" count="929" uniqueCount="492">
  <si>
    <t>사업자</t>
  </si>
  <si>
    <t>새길지구
주택재건축정비사업
조합</t>
  </si>
  <si>
    <t>동부건설주식회사</t>
  </si>
  <si>
    <t>두산건설 주식회사</t>
  </si>
  <si>
    <t>신영부동산신탁주식회사</t>
  </si>
  <si>
    <t>내당지역주택조합</t>
  </si>
  <si>
    <t>에스케이
건설(주)</t>
  </si>
  <si>
    <t>주식회사한국토지신탁</t>
  </si>
  <si>
    <t>케이비부동산신탁㈜</t>
  </si>
  <si>
    <t>(유)동인동디엠</t>
  </si>
  <si>
    <t>주식회사 화성개발</t>
  </si>
  <si>
    <t>대우조선
해양건설㈜</t>
  </si>
  <si>
    <t>㈜코람코
자산신탁</t>
  </si>
  <si>
    <t>합   계(서구지역)</t>
  </si>
  <si>
    <t>2018-07-11</t>
  </si>
  <si>
    <t xml:space="preserve">달서구
</t>
  </si>
  <si>
    <t>극동건설㈜</t>
  </si>
  <si>
    <t xml:space="preserve">㈜서한
</t>
  </si>
  <si>
    <t>지에스건설㈜</t>
  </si>
  <si>
    <t>㈜태왕이앤씨</t>
  </si>
  <si>
    <t>㈜문화종합건설</t>
  </si>
  <si>
    <t xml:space="preserve">현대건설㈜ </t>
  </si>
  <si>
    <t>㈜삼은개발</t>
  </si>
  <si>
    <t>현대건설㈜</t>
  </si>
  <si>
    <t>㈜디케이
랜드</t>
  </si>
  <si>
    <t>㈜시온건설</t>
  </si>
  <si>
    <t>㈜엠엘디</t>
  </si>
  <si>
    <t>㈜신세계건설</t>
  </si>
  <si>
    <t>㈜대광건영</t>
  </si>
  <si>
    <t>교보자산신탁㈜</t>
  </si>
  <si>
    <t>GS건설</t>
  </si>
  <si>
    <t>2024-06</t>
  </si>
  <si>
    <t>2023-01</t>
  </si>
  <si>
    <t>아시아신탁㈜</t>
  </si>
  <si>
    <t>소  계</t>
  </si>
  <si>
    <t>2026-04</t>
  </si>
  <si>
    <t>2024-03</t>
  </si>
  <si>
    <t>총분양
가구수</t>
  </si>
  <si>
    <t>동의건설</t>
  </si>
  <si>
    <t>112C</t>
  </si>
  <si>
    <t>㈜에이치알세영</t>
  </si>
  <si>
    <t>아이앤씨씨㈜</t>
  </si>
  <si>
    <t>대우건설</t>
  </si>
  <si>
    <t>노원동1가</t>
  </si>
  <si>
    <t>150B</t>
  </si>
  <si>
    <t>2021-12</t>
  </si>
  <si>
    <t>우리자산신탁㈜</t>
  </si>
  <si>
    <t>140B</t>
  </si>
  <si>
    <t>수성동1가</t>
  </si>
  <si>
    <t>2022-02</t>
  </si>
  <si>
    <t>82A2</t>
  </si>
  <si>
    <t>2022-09</t>
  </si>
  <si>
    <t>2026-06</t>
  </si>
  <si>
    <t>2027-06</t>
  </si>
  <si>
    <t>2021-04</t>
  </si>
  <si>
    <t>효성
중공업㈜</t>
  </si>
  <si>
    <t>코람코자산신탁</t>
  </si>
  <si>
    <t>2024-07</t>
  </si>
  <si>
    <t>칠성동2가</t>
  </si>
  <si>
    <t>㈜한라개발</t>
  </si>
  <si>
    <t>2025-11</t>
  </si>
  <si>
    <t>GS건설㈜</t>
  </si>
  <si>
    <t>150A</t>
  </si>
  <si>
    <t>㈜씨엔에스</t>
  </si>
  <si>
    <t>동광건설㈜</t>
  </si>
  <si>
    <t>140A</t>
  </si>
  <si>
    <t>2020-08</t>
  </si>
  <si>
    <t>2024-09</t>
  </si>
  <si>
    <t>분양 
승인일</t>
  </si>
  <si>
    <t>㈜한국토지신탁</t>
  </si>
  <si>
    <t>2023-03</t>
  </si>
  <si>
    <t>2025-04</t>
  </si>
  <si>
    <t>㈜이테크건설</t>
  </si>
  <si>
    <t>2023-05</t>
  </si>
  <si>
    <t>두류동</t>
  </si>
  <si>
    <t>진천동</t>
  </si>
  <si>
    <t>중구</t>
  </si>
  <si>
    <t>중동</t>
  </si>
  <si>
    <t>신기동</t>
  </si>
  <si>
    <t>94C</t>
  </si>
  <si>
    <t>59B</t>
  </si>
  <si>
    <t>군위군</t>
  </si>
  <si>
    <t>59A</t>
  </si>
  <si>
    <t>78A</t>
  </si>
  <si>
    <t>83A</t>
  </si>
  <si>
    <t>감삼동</t>
  </si>
  <si>
    <t>수성구</t>
  </si>
  <si>
    <t>관음동</t>
  </si>
  <si>
    <t>공평동</t>
  </si>
  <si>
    <t>비산동</t>
  </si>
  <si>
    <t>본동</t>
  </si>
  <si>
    <t>용계동</t>
  </si>
  <si>
    <t>82C</t>
  </si>
  <si>
    <t>82B</t>
  </si>
  <si>
    <t>-</t>
  </si>
  <si>
    <t>84D</t>
  </si>
  <si>
    <t>82D</t>
  </si>
  <si>
    <t>대명동</t>
  </si>
  <si>
    <t>읍내동</t>
  </si>
  <si>
    <t>황금동</t>
  </si>
  <si>
    <t>94B</t>
  </si>
  <si>
    <t>파동</t>
  </si>
  <si>
    <t>범어동</t>
  </si>
  <si>
    <t>준공</t>
  </si>
  <si>
    <t>내당동</t>
  </si>
  <si>
    <t>달성군</t>
  </si>
  <si>
    <r>
      <t>8</t>
    </r>
    <r>
      <rPr>
        <sz val="11"/>
        <color rgb="FF000000"/>
        <rFont val="돋움"/>
        <family val="3"/>
        <charset val="129"/>
      </rPr>
      <t>4A</t>
    </r>
  </si>
  <si>
    <r>
      <t>8</t>
    </r>
    <r>
      <rPr>
        <sz val="11"/>
        <color rgb="FF000000"/>
        <rFont val="돋움"/>
        <family val="3"/>
        <charset val="129"/>
      </rPr>
      <t>4B</t>
    </r>
  </si>
  <si>
    <t>2025-03-13</t>
  </si>
  <si>
    <t>㈜에스디주택건설</t>
  </si>
  <si>
    <t>㈜현대건설</t>
  </si>
  <si>
    <t>2024-02</t>
  </si>
  <si>
    <t>2026-03</t>
  </si>
  <si>
    <t>2025-03</t>
  </si>
  <si>
    <t>미분양가구수</t>
  </si>
  <si>
    <t>분양내용</t>
  </si>
  <si>
    <t>2023-10</t>
  </si>
  <si>
    <r>
      <t>2</t>
    </r>
    <r>
      <rPr>
        <sz val="11"/>
        <color rgb="FF000000"/>
        <rFont val="돋움"/>
        <family val="3"/>
        <charset val="129"/>
      </rPr>
      <t>024-12-27</t>
    </r>
  </si>
  <si>
    <t>2018-10-04</t>
  </si>
  <si>
    <t>84.9198C</t>
  </si>
  <si>
    <t>2022-05-01</t>
  </si>
  <si>
    <t>2024-03-06</t>
  </si>
  <si>
    <t>84.6975A</t>
  </si>
  <si>
    <t>㈜보광종합
건설</t>
  </si>
  <si>
    <t>2021-05-12</t>
  </si>
  <si>
    <t>2022-07-25</t>
  </si>
  <si>
    <t>84.9976I</t>
  </si>
  <si>
    <t>84.6449A</t>
  </si>
  <si>
    <t>2022-07-28</t>
  </si>
  <si>
    <t>2021-08-26</t>
  </si>
  <si>
    <t>현대엔지니어링(주)</t>
  </si>
  <si>
    <t>아시아 
신탁㈜</t>
  </si>
  <si>
    <t>84.9165B</t>
  </si>
  <si>
    <t>84.9463C</t>
  </si>
  <si>
    <t>84.7113A</t>
  </si>
  <si>
    <t>2022-08-11</t>
  </si>
  <si>
    <t>84.8648A</t>
  </si>
  <si>
    <t>84.7934B</t>
  </si>
  <si>
    <t>2022-06-24</t>
  </si>
  <si>
    <t>2021-05-13</t>
  </si>
  <si>
    <t>84.9389A</t>
  </si>
  <si>
    <t>2021-07-08</t>
  </si>
  <si>
    <t>84.8120H</t>
  </si>
  <si>
    <t>84.7772B</t>
  </si>
  <si>
    <t>84.9916B</t>
  </si>
  <si>
    <t>84.9446B</t>
  </si>
  <si>
    <t>84.9979C</t>
  </si>
  <si>
    <t>2023-02-01</t>
  </si>
  <si>
    <t>㈜현창건설
㈜유성건설</t>
  </si>
  <si>
    <t>2022-08-10</t>
  </si>
  <si>
    <t>84.9700B</t>
  </si>
  <si>
    <t>2022-07-07</t>
  </si>
  <si>
    <t>2021-06-03</t>
  </si>
  <si>
    <t>2024-04-30</t>
  </si>
  <si>
    <t>174.9863A</t>
  </si>
  <si>
    <t>2021-11-25</t>
  </si>
  <si>
    <t>2022-03-21</t>
  </si>
  <si>
    <t>84.8891B</t>
  </si>
  <si>
    <t>84.9723A</t>
  </si>
  <si>
    <t>학정동</t>
  </si>
  <si>
    <t>삼덕동</t>
  </si>
  <si>
    <t>북구</t>
  </si>
  <si>
    <t>봉덕동</t>
  </si>
  <si>
    <t>78B</t>
  </si>
  <si>
    <t>시군별</t>
  </si>
  <si>
    <t>유형</t>
  </si>
  <si>
    <t>시행사</t>
  </si>
  <si>
    <t>미준공</t>
  </si>
  <si>
    <t>동구</t>
  </si>
  <si>
    <t>94A</t>
  </si>
  <si>
    <t>신암동</t>
  </si>
  <si>
    <t>율암동</t>
  </si>
  <si>
    <t>74A</t>
  </si>
  <si>
    <t>시군구</t>
  </si>
  <si>
    <t>분양</t>
  </si>
  <si>
    <t>소 계</t>
  </si>
  <si>
    <t>대구</t>
  </si>
  <si>
    <t>효목동</t>
  </si>
  <si>
    <t>84C</t>
  </si>
  <si>
    <t>계</t>
  </si>
  <si>
    <t>84B</t>
  </si>
  <si>
    <t>84A</t>
  </si>
  <si>
    <t>신천동</t>
  </si>
  <si>
    <t>소계</t>
  </si>
  <si>
    <t>남산동</t>
  </si>
  <si>
    <t>서구</t>
  </si>
  <si>
    <t>본리동</t>
  </si>
  <si>
    <t>남구</t>
  </si>
  <si>
    <t>달서구</t>
  </si>
  <si>
    <t>민간</t>
  </si>
  <si>
    <t>읍면동</t>
  </si>
  <si>
    <t>지역</t>
  </si>
  <si>
    <t>소재지</t>
  </si>
  <si>
    <t>99A</t>
  </si>
  <si>
    <t>다사읍</t>
  </si>
  <si>
    <t>대봉동</t>
  </si>
  <si>
    <t>시공사</t>
  </si>
  <si>
    <t>시도</t>
  </si>
  <si>
    <t>2025-08</t>
  </si>
  <si>
    <t>코리아신탁㈜</t>
  </si>
  <si>
    <t>2026-02</t>
  </si>
  <si>
    <t>신한자산신탁</t>
  </si>
  <si>
    <t>2024-11</t>
  </si>
  <si>
    <t>94A-1</t>
  </si>
  <si>
    <t>2022-11</t>
  </si>
  <si>
    <t>142B</t>
  </si>
  <si>
    <t>2023-11</t>
  </si>
  <si>
    <t>2021-05</t>
  </si>
  <si>
    <t>142C</t>
  </si>
  <si>
    <t>82A1</t>
  </si>
  <si>
    <t>2023-12</t>
  </si>
  <si>
    <t>2024-12</t>
  </si>
  <si>
    <t>(주)반도건설</t>
  </si>
  <si>
    <r>
      <t>2</t>
    </r>
    <r>
      <rPr>
        <sz val="11"/>
        <color rgb="FF000000"/>
        <rFont val="돋움"/>
        <family val="3"/>
        <charset val="129"/>
      </rPr>
      <t>025-10</t>
    </r>
  </si>
  <si>
    <t>칠성동2가 321번지 일원
(대구 힐스테이트 칠성 더 오페라)</t>
  </si>
  <si>
    <t>칠성동2가 302-141번지 일원
(대구역 센트레빌 더 오페라)</t>
  </si>
  <si>
    <t>칠성동2가 302-125번지 일원
(신세계 빌리브 루센트)</t>
  </si>
  <si>
    <t>감상동 505-1번지 외 8필지
(해링턴 플레이스 감삼 Ⅲ)</t>
  </si>
  <si>
    <t>관음동 603번지 일원
(성창재건축정비사업
태왕아너스프리미어)</t>
  </si>
  <si>
    <t>e편한세상 동대구역 센텀스퀘어
(신천동 328-1번지 일원)</t>
  </si>
  <si>
    <t>태평로3가 211-1번지 일원
(힐스테이트 대구역 퍼스트2차)</t>
  </si>
  <si>
    <t>주식회사
 케이씨씨건설</t>
  </si>
  <si>
    <t>동대구 푸르지오 브리센트</t>
  </si>
  <si>
    <t>신기역 극동 스타클래스</t>
  </si>
  <si>
    <t>전월대비
미분양
증감현황</t>
  </si>
  <si>
    <t>힐스테이트 동대구 센트럴</t>
  </si>
  <si>
    <t>동대구역 센텀 화성파크드림</t>
  </si>
  <si>
    <t>준공여부
(준공/미준공)</t>
  </si>
  <si>
    <t>㈜대영일루션
PFV</t>
  </si>
  <si>
    <t>2018-05-17</t>
  </si>
  <si>
    <t>84.9697A</t>
  </si>
  <si>
    <t>엠에스
산업개발</t>
  </si>
  <si>
    <t>2022-05-12</t>
  </si>
  <si>
    <t>2021-02-26</t>
  </si>
  <si>
    <t>84.9962E</t>
  </si>
  <si>
    <t>84.9900A</t>
  </si>
  <si>
    <t>주식회사 수성의숲</t>
  </si>
  <si>
    <t>84.8747B</t>
  </si>
  <si>
    <t>2021-04-05</t>
  </si>
  <si>
    <t>2024-02-01</t>
  </si>
  <si>
    <t>84.9389D</t>
  </si>
  <si>
    <t>2021-07-07</t>
  </si>
  <si>
    <t>교보자산
신탁㈜</t>
  </si>
  <si>
    <t>신한자산신탁(주)</t>
  </si>
  <si>
    <t>2018-09-06</t>
  </si>
  <si>
    <t>2022-06-14</t>
  </si>
  <si>
    <t>84.9389F</t>
  </si>
  <si>
    <t>2021-02-02</t>
  </si>
  <si>
    <t>2021-09-03</t>
  </si>
  <si>
    <t>2021-12-23</t>
  </si>
  <si>
    <t>2021-04-09</t>
  </si>
  <si>
    <t>2019-12-12</t>
  </si>
  <si>
    <t>2018-06-14</t>
  </si>
  <si>
    <t>2022-10-30</t>
  </si>
  <si>
    <t>2022-09-21</t>
  </si>
  <si>
    <t>2022-07-19</t>
  </si>
  <si>
    <t>2019-11-14</t>
  </si>
  <si>
    <t>2021-04-06</t>
  </si>
  <si>
    <t>2022-08-31</t>
  </si>
  <si>
    <t>2024-06-06</t>
  </si>
  <si>
    <t>84.7006B</t>
  </si>
  <si>
    <t>2018-08-08</t>
  </si>
  <si>
    <t>84.9396D</t>
  </si>
  <si>
    <t>84.6679A</t>
  </si>
  <si>
    <t>2022-08-18</t>
  </si>
  <si>
    <t>84.8617A</t>
  </si>
  <si>
    <t>2024.05.16</t>
  </si>
  <si>
    <t>84.9485B</t>
  </si>
  <si>
    <t>2021-11-10</t>
  </si>
  <si>
    <t>2021-01-13</t>
  </si>
  <si>
    <t>84.9503C</t>
  </si>
  <si>
    <t>2024.06.19</t>
  </si>
  <si>
    <t>2020-12-09</t>
  </si>
  <si>
    <t>2021-10-12</t>
  </si>
  <si>
    <t>㈜씨케이디
앤씨</t>
  </si>
  <si>
    <t>2022-07-29</t>
  </si>
  <si>
    <t>84.3549B</t>
  </si>
  <si>
    <t>174.9863B</t>
  </si>
  <si>
    <t>84.9928G</t>
  </si>
  <si>
    <r>
      <t xml:space="preserve">본동 752
</t>
    </r>
    <r>
      <rPr>
        <sz val="11"/>
        <color rgb="FF000000"/>
        <rFont val="돋움"/>
        <family val="3"/>
        <charset val="129"/>
      </rPr>
      <t>(달서 코아루 더리브)</t>
    </r>
  </si>
  <si>
    <t>범어동 48-26
(범어자이)</t>
  </si>
  <si>
    <t>용계역 푸르지오 아츠베르 2단지</t>
  </si>
  <si>
    <t>용계역 푸르지오 아츠베르 1단지</t>
  </si>
  <si>
    <t>㈜부호산업개발 / ㈜한국토지신탁</t>
  </si>
  <si>
    <t>㈜강호디앤씨 / ㈜한국토지신탁</t>
  </si>
  <si>
    <t>대봉동590-395번지 일원
(대봉서한이다음)</t>
  </si>
  <si>
    <t>중동 485-1번지 일원
(수성뷰웰 리버파크)</t>
  </si>
  <si>
    <t>대구광역시 남구 대명동 1128
(대명 헤리티지)</t>
  </si>
  <si>
    <t>공평동 58-1번지 일원
(더샵 동성로센트리엘)</t>
  </si>
  <si>
    <t>본동 888-2번지 일원
(더샵 달서 센트엘로)</t>
  </si>
  <si>
    <t>칠성동2가 302-197
(대구역SD아이프라임)</t>
  </si>
  <si>
    <t>두류동 638-19
(두류 센트레빌 더파크)</t>
  </si>
  <si>
    <t>동인동1가 211번지 일원
(힐스테이트 동인)</t>
  </si>
  <si>
    <t>삼덕동2가 5번지 일원
(동성로 SK 리더스 뷰)</t>
  </si>
  <si>
    <t>신천동 481-1번지 일원
(더 팰리스트 데시앙)</t>
  </si>
  <si>
    <t>중동 356-7번지 일원
(수성 골드클래스)</t>
  </si>
  <si>
    <t>칠성동2가 500-2
(대구역자이 더 스타)</t>
  </si>
  <si>
    <t>□ 대구광역시 민간/분양 미분양주택 현황(총괄)</t>
  </si>
  <si>
    <t>남산동 2116-19번지
(명덕역 루지움푸르나임)</t>
  </si>
  <si>
    <t>연경동 994번지
(연경 대광로제비앙 더 퍼스트)</t>
  </si>
  <si>
    <t>주식회사
동부건설
(02-3484-2397)</t>
  </si>
  <si>
    <t>노원동1가 228
(북구청역푸르지오에듀포레)</t>
  </si>
  <si>
    <t>수성동1가 649-19번지 일원
(더샵 수성오클레어)</t>
  </si>
  <si>
    <t>대구광역시 남구 대명동 1623-60
(나나바루아)</t>
  </si>
  <si>
    <t>본리동358-5번지 일원
(달서 푸르지오 시그니처)</t>
  </si>
  <si>
    <t>두류야외음악당
지역주택조합
(053-557-7600)</t>
  </si>
  <si>
    <t>대명동 202-1번지 일원
(힐스테이트 대명 센트럴2차)</t>
  </si>
  <si>
    <t>태평로1가 11번지 일원
(대구역 한라하우젠트 센트로)</t>
  </si>
  <si>
    <t>시행수탁 : 
한국자산신탁(주)
시행위탁:
 ㈜대동개발</t>
  </si>
  <si>
    <t>황금동 891-1번지
(힐스테이트 황금역리저브 1단지)</t>
  </si>
  <si>
    <t>학정동 732-1번지 일원
(두산위브더제니스 센트럴시티)</t>
  </si>
  <si>
    <t>□ 대구광역시 민간/분양 미분양주택 현황 (준공후)</t>
  </si>
  <si>
    <t>내당동 868-1번지
(반고개역 푸르지오 엘리비엔)</t>
  </si>
  <si>
    <t>다사읍 매곡리 233-2번지 일원
(다사 동의센트럴파크)</t>
  </si>
  <si>
    <t>황금동 862-5번지
(힐스테이트 황금역리저브 2단지)</t>
  </si>
  <si>
    <t>파동 118-201외 62필지
(더펜트하우스 수성)</t>
  </si>
  <si>
    <t>비산동 934-1번지
(힐스테이트 서대구역 센트럴)</t>
  </si>
  <si>
    <t>봉덕동 1067-35번지
(힐스테이트 앞산 센트럴)</t>
  </si>
  <si>
    <t>남산동 938-1
(반월당역 반도유보라)</t>
  </si>
  <si>
    <t>내당동 220-1번지
(두류역 자이)</t>
  </si>
  <si>
    <t>2024-06
(2024.1.24.준공)</t>
  </si>
  <si>
    <t>본동 743
(달서 롯데캐슬센트럴스카이)</t>
  </si>
  <si>
    <t>읍내동 1090
(화성파크드림 구수산공원)</t>
  </si>
  <si>
    <t>파동118-119일원
(수성포레스트스위첸)</t>
  </si>
  <si>
    <t>감삼동 573
(죽전 코아루 더리브)</t>
  </si>
  <si>
    <t>신암2재정비촉진구역 주택재개발정비사업</t>
  </si>
  <si>
    <t>신암동 259-5
동대구역 엘크루 에비뉴원</t>
  </si>
  <si>
    <t>진천동 66-1번지
(월배역 우인그레이스)</t>
  </si>
  <si>
    <t>2022-01-13</t>
  </si>
  <si>
    <t>2021-08-25</t>
  </si>
  <si>
    <t>동대구역 골드클래스</t>
  </si>
  <si>
    <t>규모별
(전용 ㎡)</t>
  </si>
  <si>
    <t>84.9741B</t>
  </si>
  <si>
    <t>2021-07-22</t>
  </si>
  <si>
    <t>호반써밋이스텔라</t>
  </si>
  <si>
    <t>84.8213 B</t>
  </si>
  <si>
    <t>2022-12-30</t>
  </si>
  <si>
    <t>전용 40㎡이하</t>
  </si>
  <si>
    <t>84.8664 A</t>
  </si>
  <si>
    <t>84.9941A</t>
  </si>
  <si>
    <t>84.9712B</t>
  </si>
  <si>
    <t>2021-04-01</t>
  </si>
  <si>
    <t>(민간
/공공)</t>
  </si>
  <si>
    <t>(임대
/분양)</t>
  </si>
  <si>
    <t>입주예정
(준공)월</t>
  </si>
  <si>
    <t>2022-01-05</t>
  </si>
  <si>
    <t>2021-03-03</t>
  </si>
  <si>
    <t>전용 85㎡초과</t>
  </si>
  <si>
    <t>84.9432A</t>
  </si>
  <si>
    <t>2021-05-06</t>
  </si>
  <si>
    <t>전용 40-60㎡</t>
  </si>
  <si>
    <t>전용 60-85㎡</t>
  </si>
  <si>
    <t>2021-06-17</t>
  </si>
  <si>
    <t>2021-07-23</t>
  </si>
  <si>
    <t>2021-12-08</t>
  </si>
  <si>
    <t>2025-02-20</t>
  </si>
  <si>
    <t>107.6682B</t>
  </si>
  <si>
    <t>2025-02-11</t>
  </si>
  <si>
    <t>125.7263A</t>
  </si>
  <si>
    <t>125.4919E</t>
  </si>
  <si>
    <t>125.7459C</t>
  </si>
  <si>
    <t>125.8938D</t>
  </si>
  <si>
    <t>79.7740A</t>
  </si>
  <si>
    <t>2025-03-19</t>
  </si>
  <si>
    <t>107.8806A</t>
  </si>
  <si>
    <t>79.8927B</t>
  </si>
  <si>
    <t>보광종합
건설㈜</t>
  </si>
  <si>
    <t>125.9086B</t>
  </si>
  <si>
    <t>KB부동산신탁㈜</t>
  </si>
  <si>
    <t>84.9681B</t>
  </si>
  <si>
    <t>2020-1-22</t>
  </si>
  <si>
    <t>2025-04-16</t>
  </si>
  <si>
    <t>84.9786A</t>
  </si>
  <si>
    <t>연경지구</t>
  </si>
  <si>
    <t>2024-05</t>
  </si>
  <si>
    <t>태평로3가</t>
  </si>
  <si>
    <t>㈜하나자산신탁</t>
  </si>
  <si>
    <t>㈜나나주택</t>
  </si>
  <si>
    <t>동인동1가</t>
  </si>
  <si>
    <t>2025-01</t>
  </si>
  <si>
    <t>삼도주택㈜</t>
  </si>
  <si>
    <t>롯데건설</t>
  </si>
  <si>
    <t>금화종합건설㈜</t>
  </si>
  <si>
    <t>㈜대우건설</t>
  </si>
  <si>
    <t>2021-02</t>
  </si>
  <si>
    <t>태평로1가</t>
  </si>
  <si>
    <t>112B</t>
  </si>
  <si>
    <t>디엘이앤씨㈜</t>
  </si>
  <si>
    <t>(주)태영건설</t>
  </si>
  <si>
    <t>분양결과</t>
  </si>
  <si>
    <t>계약
마감일</t>
  </si>
  <si>
    <t>포스코건설</t>
  </si>
  <si>
    <t>2025-05</t>
  </si>
  <si>
    <t>㈜호반산업</t>
  </si>
  <si>
    <t>2025-12</t>
  </si>
  <si>
    <t>(주)화성산업</t>
  </si>
  <si>
    <t>㈜우인종합건설</t>
  </si>
  <si>
    <t>현대엔지니어링</t>
  </si>
  <si>
    <t>2025-02</t>
  </si>
  <si>
    <t>㈜한라공영</t>
  </si>
  <si>
    <r>
      <t>2</t>
    </r>
    <r>
      <rPr>
        <sz val="11"/>
        <color rgb="FF000000"/>
        <rFont val="돋움"/>
        <family val="3"/>
        <charset val="129"/>
      </rPr>
      <t>019-12-26</t>
    </r>
  </si>
  <si>
    <t>221-5번지 일원
(힐스테이트 대구역 퍼스트)</t>
  </si>
  <si>
    <t>주식회사 화성개발
주식회사 구수산 민간공원 PFV</t>
  </si>
  <si>
    <t>합     계(달서구지역)</t>
  </si>
  <si>
    <t>84B
(116.3468)</t>
  </si>
  <si>
    <t>합    계(북구지역)</t>
  </si>
  <si>
    <t>84A
(114.0835)</t>
  </si>
  <si>
    <t>합     계(중구지역)</t>
  </si>
  <si>
    <t>성창아파트재건축정비사업조합</t>
  </si>
  <si>
    <t>합     계(동구지역)</t>
  </si>
  <si>
    <t>합     계(달성군지역)</t>
  </si>
  <si>
    <t>더 세븐
한국자산신탁㈜</t>
  </si>
  <si>
    <t>합     계(수성구지역)</t>
  </si>
  <si>
    <t>(주0메테우스칠성제1차</t>
  </si>
  <si>
    <t>합     계(남구지역)</t>
  </si>
  <si>
    <t>84C
(113.4081)</t>
  </si>
  <si>
    <t>건설사 요청으로
비공개</t>
  </si>
  <si>
    <t>2026-06</t>
    <phoneticPr fontId="13" type="noConversion"/>
  </si>
  <si>
    <t>벤처벨리 푸르지오
(신천동 311-4일원)</t>
    <phoneticPr fontId="13" type="noConversion"/>
  </si>
  <si>
    <t>대구동구
복합개발
1호㈜</t>
    <phoneticPr fontId="13" type="noConversion"/>
  </si>
  <si>
    <t>84A(84.9261)</t>
  </si>
  <si>
    <t>2025-05-08</t>
  </si>
  <si>
    <t>2025-06-11</t>
  </si>
  <si>
    <t>84B(84.9055)</t>
  </si>
  <si>
    <t>84C(84.9817)</t>
  </si>
  <si>
    <t>건설사 요청으로
비공개</t>
    <phoneticPr fontId="13" type="noConversion"/>
  </si>
  <si>
    <t>지산동</t>
    <phoneticPr fontId="13" type="noConversion"/>
  </si>
  <si>
    <t>1055-1번지 일원
(더파크 수성못)</t>
    <phoneticPr fontId="13" type="noConversion"/>
  </si>
  <si>
    <t>㈜화성개발</t>
    <phoneticPr fontId="13" type="noConversion"/>
  </si>
  <si>
    <t>㈜아영디앤씨</t>
    <phoneticPr fontId="13" type="noConversion"/>
  </si>
  <si>
    <t>민간</t>
    <phoneticPr fontId="13" type="noConversion"/>
  </si>
  <si>
    <t>분양</t>
    <phoneticPr fontId="13" type="noConversion"/>
  </si>
  <si>
    <t>84A</t>
    <phoneticPr fontId="13" type="noConversion"/>
  </si>
  <si>
    <t>25.04.29</t>
    <phoneticPr fontId="13" type="noConversion"/>
  </si>
  <si>
    <t>25.06.05</t>
    <phoneticPr fontId="13" type="noConversion"/>
  </si>
  <si>
    <t>2025-09</t>
    <phoneticPr fontId="13" type="noConversion"/>
  </si>
  <si>
    <t>84B</t>
    <phoneticPr fontId="13" type="noConversion"/>
  </si>
  <si>
    <t>84C</t>
    <phoneticPr fontId="13" type="noConversion"/>
  </si>
  <si>
    <t>132A</t>
    <phoneticPr fontId="13" type="noConversion"/>
  </si>
  <si>
    <t>132B</t>
    <phoneticPr fontId="13" type="noConversion"/>
  </si>
  <si>
    <t>132C</t>
    <phoneticPr fontId="13" type="noConversion"/>
  </si>
  <si>
    <t>소  계</t>
    <phoneticPr fontId="13" type="noConversion"/>
  </si>
  <si>
    <t>준공</t>
    <phoneticPr fontId="13" type="noConversion"/>
  </si>
  <si>
    <t>남산행복
가로주택
정비사업
조합</t>
    <phoneticPr fontId="13" type="noConversion"/>
  </si>
  <si>
    <t>준공
(준공인가전 
사용허가)</t>
    <phoneticPr fontId="13" type="noConversion"/>
  </si>
  <si>
    <t>㈜포스코이앤씨</t>
    <phoneticPr fontId="13" type="noConversion"/>
  </si>
  <si>
    <t>대구엠비씨부지복합개발피에프브리㈜</t>
    <phoneticPr fontId="13" type="noConversion"/>
  </si>
  <si>
    <t>153A</t>
    <phoneticPr fontId="13" type="noConversion"/>
  </si>
  <si>
    <t>153B</t>
    <phoneticPr fontId="13" type="noConversion"/>
  </si>
  <si>
    <t>153C</t>
    <phoneticPr fontId="13" type="noConversion"/>
  </si>
  <si>
    <t>156A1</t>
    <phoneticPr fontId="13" type="noConversion"/>
  </si>
  <si>
    <t>156A2</t>
    <phoneticPr fontId="13" type="noConversion"/>
  </si>
  <si>
    <t>156B</t>
    <phoneticPr fontId="13" type="noConversion"/>
  </si>
  <si>
    <t>156C</t>
    <phoneticPr fontId="13" type="noConversion"/>
  </si>
  <si>
    <t>226P</t>
    <phoneticPr fontId="13" type="noConversion"/>
  </si>
  <si>
    <t>244P</t>
    <phoneticPr fontId="13" type="noConversion"/>
  </si>
  <si>
    <t>범어동</t>
    <phoneticPr fontId="13" type="noConversion"/>
  </si>
  <si>
    <t>범어동 1-0                         
(어나드 범어)</t>
    <phoneticPr fontId="13" type="noConversion"/>
  </si>
  <si>
    <t>2025.06.13</t>
    <phoneticPr fontId="13" type="noConversion"/>
  </si>
  <si>
    <t>2025-07-23</t>
    <phoneticPr fontId="13" type="noConversion"/>
  </si>
  <si>
    <t>26.01</t>
    <phoneticPr fontId="13" type="noConversion"/>
  </si>
  <si>
    <t>건설사 요청으로
비공개</t>
    <phoneticPr fontId="13" type="noConversion"/>
  </si>
  <si>
    <t>준공</t>
    <phoneticPr fontId="13" type="noConversion"/>
  </si>
  <si>
    <t>2025-09</t>
    <phoneticPr fontId="13" type="noConversion"/>
  </si>
  <si>
    <t>준공</t>
    <phoneticPr fontId="13" type="noConversion"/>
  </si>
  <si>
    <t>본리동 1234
(뉴센트럴 두산위브더제니스)</t>
    <phoneticPr fontId="13" type="noConversion"/>
  </si>
  <si>
    <t>두산건설㈜</t>
    <phoneticPr fontId="13" type="noConversion"/>
  </si>
  <si>
    <t>코리아신탁㈜</t>
    <phoneticPr fontId="13" type="noConversion"/>
  </si>
  <si>
    <t>84A</t>
    <phoneticPr fontId="13" type="noConversion"/>
  </si>
  <si>
    <t>84B</t>
    <phoneticPr fontId="13" type="noConversion"/>
  </si>
  <si>
    <t>2020-03-27</t>
    <phoneticPr fontId="13" type="noConversion"/>
  </si>
  <si>
    <t>2024-06</t>
    <phoneticPr fontId="13" type="noConversion"/>
  </si>
  <si>
    <t>준공</t>
    <phoneticPr fontId="13" type="noConversion"/>
  </si>
  <si>
    <t>준공</t>
    <phoneticPr fontId="13" type="noConversion"/>
  </si>
  <si>
    <t>준공</t>
    <phoneticPr fontId="13" type="noConversion"/>
  </si>
  <si>
    <t>준공</t>
    <phoneticPr fontId="13" type="noConversion"/>
  </si>
  <si>
    <t>준공</t>
    <phoneticPr fontId="13" type="noConversion"/>
  </si>
  <si>
    <t>2026-03</t>
    <phoneticPr fontId="13" type="noConversion"/>
  </si>
  <si>
    <t>준공</t>
    <phoneticPr fontId="13" type="noConversion"/>
  </si>
  <si>
    <t>사일동</t>
    <phoneticPr fontId="13" type="noConversion"/>
  </si>
  <si>
    <t>사일동 15-1번지 일원
(더샵 중앙로역센터폴)</t>
    <phoneticPr fontId="13" type="noConversion"/>
  </si>
  <si>
    <t>(주)포스코이앤씨</t>
    <phoneticPr fontId="13" type="noConversion"/>
  </si>
  <si>
    <t>2026.04.30</t>
    <phoneticPr fontId="13" type="noConversion"/>
  </si>
  <si>
    <t>2026.06.05</t>
    <phoneticPr fontId="13" type="noConversion"/>
  </si>
  <si>
    <t>미준공</t>
    <phoneticPr fontId="13" type="noConversion"/>
  </si>
  <si>
    <t>2026-10</t>
    <phoneticPr fontId="13" type="noConversion"/>
  </si>
  <si>
    <t>케이비부동산신탁㈜</t>
    <phoneticPr fontId="13" type="noConversion"/>
  </si>
  <si>
    <t>민간분양 주택('26년 7월)</t>
    <phoneticPr fontId="13" type="noConversion"/>
  </si>
  <si>
    <t>민간분양 주택('26년 8월)</t>
    <phoneticPr fontId="13" type="noConversion"/>
  </si>
  <si>
    <t xml:space="preserve"> □ 2026년 8월말 단지별 미분양 현황</t>
    <phoneticPr fontId="13" type="noConversion"/>
  </si>
  <si>
    <t>전월
('26.7월)</t>
    <phoneticPr fontId="13" type="noConversion"/>
  </si>
  <si>
    <t>당해월
('26.8월)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</si>
</sst>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  <numFmt numFmtId="179" formatCode="0.0000;[Red]0.0000"/>
    <numFmt numFmtId="180" formatCode="0.0000"/>
    <numFmt numFmtId="181" formatCode="0.0000_);[Red]\(0.0000\)"/>
    <numFmt numFmtId="182" formatCode="#,##0.0000_);[Red]\(#,##0.0000\)"/>
    <numFmt numFmtId="183" formatCode="0_);[Red]\(0\)"/>
    <numFmt numFmtId="184" formatCode="0;[Red]0"/>
    <numFmt numFmtId="185" formatCode="#,##0.00_);[Red]\(#,##0.00\)"/>
  </numFmts>
  <fonts count="22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D0D0D"/>
      <name val="돋움"/>
      <family val="3"/>
      <charset val="129"/>
    </font>
    <font>
      <sz val="20"/>
      <color rgb="FF000000"/>
      <name val="HY견고딕"/>
      <family val="1"/>
      <charset val="129"/>
    </font>
    <font>
      <b/>
      <sz val="20"/>
      <color rgb="FF000000"/>
      <name val="맑은 고딕"/>
      <family val="3"/>
      <charset val="129"/>
    </font>
    <font>
      <b/>
      <sz val="12"/>
      <color rgb="FF0D0D0D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D0D0D"/>
      <name val="돋움"/>
      <family val="3"/>
      <charset val="129"/>
    </font>
    <font>
      <sz val="10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1"/>
      <color theme="1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D4C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41" fontId="12" fillId="0" borderId="0">
      <alignment vertical="center"/>
    </xf>
    <xf numFmtId="41" fontId="12" fillId="0" borderId="0">
      <alignment vertical="center"/>
    </xf>
    <xf numFmtId="0" fontId="12" fillId="0" borderId="0"/>
    <xf numFmtId="0" fontId="12" fillId="0" borderId="0"/>
    <xf numFmtId="0" fontId="2" fillId="0" borderId="0">
      <alignment vertical="center"/>
    </xf>
    <xf numFmtId="0" fontId="12" fillId="0" borderId="0">
      <alignment vertical="center"/>
    </xf>
    <xf numFmtId="0" fontId="3" fillId="2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</cellStyleXfs>
  <cellXfs count="599">
    <xf numFmtId="0" fontId="0" fillId="0" borderId="0" xfId="0">
      <alignment vertic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/>
    </xf>
    <xf numFmtId="0" fontId="0" fillId="0" borderId="0" xfId="8" applyNumberFormat="1" applyFont="1" applyAlignment="1">
      <alignment horizontal="center"/>
    </xf>
    <xf numFmtId="177" fontId="4" fillId="3" borderId="1" xfId="6" applyNumberFormat="1" applyFont="1" applyFill="1" applyBorder="1" applyAlignment="1">
      <alignment horizontal="center" vertical="center"/>
    </xf>
    <xf numFmtId="0" fontId="0" fillId="3" borderId="1" xfId="6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0" xfId="8" applyNumberFormat="1" applyFont="1"/>
    <xf numFmtId="0" fontId="0" fillId="0" borderId="0" xfId="0" applyNumberFormat="1" applyFont="1" applyFill="1" applyAlignment="1"/>
    <xf numFmtId="177" fontId="0" fillId="0" borderId="0" xfId="9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0" fillId="3" borderId="1" xfId="4" applyNumberFormat="1" applyFont="1" applyFill="1" applyBorder="1" applyAlignment="1">
      <alignment horizontal="center" vertical="center"/>
    </xf>
    <xf numFmtId="177" fontId="0" fillId="0" borderId="1" xfId="9" applyNumberFormat="1" applyFont="1" applyFill="1" applyBorder="1" applyAlignment="1">
      <alignment horizontal="center" vertical="center"/>
    </xf>
    <xf numFmtId="177" fontId="4" fillId="5" borderId="1" xfId="9" applyNumberFormat="1" applyFont="1" applyFill="1" applyBorder="1" applyAlignment="1">
      <alignment horizontal="center" vertical="center"/>
    </xf>
    <xf numFmtId="0" fontId="0" fillId="0" borderId="0" xfId="8" applyNumberFormat="1" applyFont="1" applyFill="1" applyAlignment="1">
      <alignment horizontal="center"/>
    </xf>
    <xf numFmtId="177" fontId="0" fillId="6" borderId="1" xfId="7" applyNumberFormat="1" applyFont="1" applyFill="1" applyBorder="1" applyAlignment="1">
      <alignment horizontal="center" vertical="center"/>
    </xf>
    <xf numFmtId="0" fontId="0" fillId="0" borderId="1" xfId="8" applyNumberFormat="1" applyFont="1" applyFill="1" applyBorder="1" applyAlignment="1">
      <alignment horizontal="center" vertical="center"/>
    </xf>
    <xf numFmtId="177" fontId="0" fillId="0" borderId="1" xfId="9" applyNumberFormat="1" applyFont="1" applyFill="1" applyBorder="1" applyAlignment="1">
      <alignment horizontal="center" vertical="center"/>
    </xf>
    <xf numFmtId="0" fontId="0" fillId="0" borderId="1" xfId="8" applyNumberFormat="1" applyFont="1" applyFill="1" applyBorder="1" applyAlignment="1">
      <alignment horizontal="center" vertical="center"/>
    </xf>
    <xf numFmtId="177" fontId="0" fillId="7" borderId="1" xfId="9" applyNumberFormat="1" applyFont="1" applyFill="1" applyBorder="1" applyAlignment="1">
      <alignment horizontal="center" vertical="center"/>
    </xf>
    <xf numFmtId="177" fontId="0" fillId="7" borderId="1" xfId="9" applyNumberFormat="1" applyFont="1" applyFill="1" applyBorder="1" applyAlignment="1">
      <alignment horizontal="center" vertical="center"/>
    </xf>
    <xf numFmtId="181" fontId="0" fillId="0" borderId="1" xfId="7" applyNumberFormat="1" applyFont="1" applyFill="1" applyBorder="1" applyAlignment="1">
      <alignment horizontal="center" vertical="center"/>
    </xf>
    <xf numFmtId="177" fontId="0" fillId="0" borderId="1" xfId="7" applyNumberFormat="1" applyFont="1" applyFill="1" applyBorder="1" applyAlignment="1">
      <alignment horizontal="center" vertical="center"/>
    </xf>
    <xf numFmtId="181" fontId="0" fillId="7" borderId="1" xfId="9" applyNumberFormat="1" applyFont="1" applyFill="1" applyBorder="1" applyAlignment="1">
      <alignment horizontal="center" vertical="center"/>
    </xf>
    <xf numFmtId="0" fontId="0" fillId="8" borderId="2" xfId="6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0" fontId="0" fillId="8" borderId="2" xfId="0" applyNumberFormat="1" applyFont="1" applyFill="1" applyBorder="1" applyAlignment="1">
      <alignment horizontal="center" vertical="center"/>
    </xf>
    <xf numFmtId="182" fontId="0" fillId="7" borderId="1" xfId="9" applyNumberFormat="1" applyFont="1" applyFill="1" applyBorder="1" applyAlignment="1">
      <alignment horizontal="center" vertical="center"/>
    </xf>
    <xf numFmtId="177" fontId="4" fillId="5" borderId="1" xfId="9" applyNumberFormat="1" applyFont="1" applyFill="1" applyBorder="1" applyAlignment="1">
      <alignment horizontal="center" vertical="center" shrinkToFit="1"/>
    </xf>
    <xf numFmtId="0" fontId="0" fillId="0" borderId="1" xfId="8" applyNumberFormat="1" applyFont="1" applyFill="1" applyBorder="1" applyAlignment="1">
      <alignment horizontal="center" vertical="center"/>
    </xf>
    <xf numFmtId="178" fontId="0" fillId="0" borderId="1" xfId="7" applyNumberFormat="1" applyFont="1" applyFill="1" applyBorder="1" applyAlignment="1">
      <alignment horizontal="center" vertical="center"/>
    </xf>
    <xf numFmtId="179" fontId="0" fillId="7" borderId="1" xfId="9" applyNumberFormat="1" applyFont="1" applyFill="1" applyBorder="1" applyAlignment="1">
      <alignment horizontal="center" vertical="center"/>
    </xf>
    <xf numFmtId="178" fontId="0" fillId="0" borderId="1" xfId="7" applyNumberFormat="1" applyFont="1" applyFill="1" applyBorder="1" applyAlignment="1">
      <alignment horizontal="center" vertical="center" wrapText="1"/>
    </xf>
    <xf numFmtId="177" fontId="0" fillId="0" borderId="2" xfId="9" applyNumberFormat="1" applyFont="1" applyFill="1" applyBorder="1" applyAlignment="1">
      <alignment horizontal="center" vertical="center"/>
    </xf>
    <xf numFmtId="0" fontId="0" fillId="7" borderId="1" xfId="8" applyNumberFormat="1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4" fillId="5" borderId="3" xfId="8" applyNumberFormat="1" applyFont="1" applyFill="1" applyBorder="1" applyAlignment="1">
      <alignment horizontal="center" vertical="center"/>
    </xf>
    <xf numFmtId="0" fontId="4" fillId="5" borderId="4" xfId="8" applyNumberFormat="1" applyFont="1" applyFill="1" applyBorder="1" applyAlignment="1">
      <alignment horizontal="center" vertical="center"/>
    </xf>
    <xf numFmtId="0" fontId="4" fillId="5" borderId="5" xfId="8" applyNumberFormat="1" applyFont="1" applyFill="1" applyBorder="1" applyAlignment="1">
      <alignment horizontal="center" vertical="center"/>
    </xf>
    <xf numFmtId="0" fontId="0" fillId="3" borderId="2" xfId="6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177" fontId="4" fillId="5" borderId="1" xfId="6" applyNumberFormat="1" applyFont="1" applyFill="1" applyBorder="1" applyAlignment="1">
      <alignment horizontal="center" vertical="center"/>
    </xf>
    <xf numFmtId="177" fontId="0" fillId="7" borderId="1" xfId="6" applyNumberFormat="1" applyFont="1" applyFill="1" applyBorder="1" applyAlignment="1">
      <alignment horizontal="center" vertical="center"/>
    </xf>
    <xf numFmtId="177" fontId="0" fillId="0" borderId="1" xfId="9" applyNumberFormat="1" applyFont="1" applyFill="1" applyBorder="1" applyAlignment="1">
      <alignment horizontal="right" vertical="center"/>
    </xf>
    <xf numFmtId="0" fontId="0" fillId="7" borderId="1" xfId="0" applyNumberFormat="1" applyFont="1" applyFill="1" applyBorder="1" applyAlignment="1">
      <alignment horizontal="center" vertical="center"/>
    </xf>
    <xf numFmtId="177" fontId="0" fillId="0" borderId="1" xfId="7" applyNumberFormat="1" applyFont="1" applyFill="1" applyBorder="1" applyAlignment="1">
      <alignment horizontal="center" vertical="center"/>
    </xf>
    <xf numFmtId="182" fontId="0" fillId="0" borderId="1" xfId="7" applyNumberFormat="1" applyFont="1" applyFill="1" applyBorder="1" applyAlignment="1">
      <alignment horizontal="center" vertical="center"/>
    </xf>
    <xf numFmtId="180" fontId="0" fillId="7" borderId="1" xfId="8" applyNumberFormat="1" applyFont="1" applyFill="1" applyBorder="1" applyAlignment="1">
      <alignment horizontal="center" vertical="center"/>
    </xf>
    <xf numFmtId="179" fontId="0" fillId="7" borderId="1" xfId="9" applyNumberFormat="1" applyFont="1" applyFill="1" applyBorder="1" applyAlignment="1">
      <alignment horizontal="center" vertical="center"/>
    </xf>
    <xf numFmtId="177" fontId="4" fillId="5" borderId="1" xfId="9" applyNumberFormat="1" applyFont="1" applyFill="1" applyBorder="1" applyAlignment="1">
      <alignment horizontal="center" vertical="center"/>
    </xf>
    <xf numFmtId="0" fontId="0" fillId="0" borderId="5" xfId="7" applyNumberFormat="1" applyFont="1" applyFill="1" applyBorder="1" applyAlignment="1">
      <alignment horizontal="center" vertical="center" wrapText="1"/>
    </xf>
    <xf numFmtId="177" fontId="0" fillId="0" borderId="1" xfId="7" applyNumberFormat="1" applyFont="1" applyFill="1" applyBorder="1" applyAlignment="1">
      <alignment horizontal="center" vertical="center" wrapText="1"/>
    </xf>
    <xf numFmtId="0" fontId="0" fillId="0" borderId="6" xfId="7" applyNumberFormat="1" applyFont="1" applyFill="1" applyBorder="1" applyAlignment="1">
      <alignment horizontal="center" vertical="center" wrapText="1"/>
    </xf>
    <xf numFmtId="177" fontId="4" fillId="5" borderId="2" xfId="9" applyNumberFormat="1" applyFont="1" applyFill="1" applyBorder="1" applyAlignment="1">
      <alignment horizontal="center" vertical="center"/>
    </xf>
    <xf numFmtId="0" fontId="0" fillId="0" borderId="7" xfId="7" applyNumberFormat="1" applyFont="1" applyFill="1" applyBorder="1" applyAlignment="1">
      <alignment horizontal="center" vertical="center" wrapText="1"/>
    </xf>
    <xf numFmtId="0" fontId="0" fillId="0" borderId="1" xfId="7" applyNumberFormat="1" applyFont="1" applyFill="1" applyBorder="1" applyAlignment="1">
      <alignment horizontal="center" vertical="center" wrapText="1"/>
    </xf>
    <xf numFmtId="0" fontId="0" fillId="0" borderId="1" xfId="7" applyNumberFormat="1" applyFont="1" applyFill="1" applyBorder="1" applyAlignment="1">
      <alignment horizontal="center" vertical="center" shrinkToFit="1"/>
    </xf>
    <xf numFmtId="180" fontId="0" fillId="0" borderId="6" xfId="7" applyNumberFormat="1" applyFont="1" applyFill="1" applyBorder="1" applyAlignment="1">
      <alignment horizontal="center" vertical="center" wrapText="1"/>
    </xf>
    <xf numFmtId="177" fontId="4" fillId="3" borderId="1" xfId="6" applyNumberFormat="1" applyFont="1" applyFill="1" applyBorder="1" applyAlignment="1">
      <alignment horizontal="center" vertical="center"/>
    </xf>
    <xf numFmtId="177" fontId="4" fillId="9" borderId="1" xfId="9" applyNumberFormat="1" applyFont="1" applyFill="1" applyBorder="1" applyAlignment="1">
      <alignment horizontal="center" vertical="center"/>
    </xf>
    <xf numFmtId="0" fontId="0" fillId="7" borderId="1" xfId="8" applyNumberFormat="1" applyFont="1" applyFill="1" applyBorder="1" applyAlignment="1">
      <alignment horizontal="center" vertical="center"/>
    </xf>
    <xf numFmtId="0" fontId="0" fillId="7" borderId="5" xfId="8" applyNumberFormat="1" applyFont="1" applyFill="1" applyBorder="1" applyAlignment="1">
      <alignment horizontal="center" vertical="center"/>
    </xf>
    <xf numFmtId="177" fontId="4" fillId="5" borderId="1" xfId="8" applyNumberFormat="1" applyFont="1" applyFill="1" applyBorder="1" applyAlignment="1">
      <alignment horizontal="center" vertical="center" shrinkToFit="1"/>
    </xf>
    <xf numFmtId="0" fontId="0" fillId="0" borderId="1" xfId="0" applyNumberFormat="1" applyFont="1" applyFill="1" applyBorder="1" applyAlignment="1">
      <alignment horizontal="center" vertical="center"/>
    </xf>
    <xf numFmtId="41" fontId="0" fillId="0" borderId="1" xfId="1" applyNumberFormat="1" applyFont="1" applyFill="1" applyBorder="1" applyAlignment="1">
      <alignment horizontal="center" vertical="center"/>
    </xf>
    <xf numFmtId="0" fontId="0" fillId="3" borderId="1" xfId="6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4" fillId="5" borderId="1" xfId="8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8" xfId="0" applyNumberFormat="1" applyFont="1" applyFill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center" vertical="center"/>
    </xf>
    <xf numFmtId="0" fontId="0" fillId="0" borderId="5" xfId="8" applyNumberFormat="1" applyFont="1" applyFill="1" applyBorder="1" applyAlignment="1">
      <alignment horizontal="center" vertical="center"/>
    </xf>
    <xf numFmtId="177" fontId="6" fillId="4" borderId="2" xfId="0" applyNumberFormat="1" applyFont="1" applyFill="1" applyBorder="1" applyAlignment="1">
      <alignment horizontal="center" vertical="center"/>
    </xf>
    <xf numFmtId="179" fontId="0" fillId="0" borderId="1" xfId="9" applyNumberFormat="1" applyFont="1" applyBorder="1" applyAlignment="1">
      <alignment horizontal="center" vertical="center"/>
    </xf>
    <xf numFmtId="183" fontId="0" fillId="0" borderId="1" xfId="9" applyNumberFormat="1" applyFont="1" applyBorder="1" applyAlignment="1">
      <alignment horizontal="right" vertical="center"/>
    </xf>
    <xf numFmtId="184" fontId="0" fillId="0" borderId="1" xfId="9" applyNumberFormat="1" applyFont="1" applyBorder="1" applyAlignment="1">
      <alignment horizontal="center" vertical="center"/>
    </xf>
    <xf numFmtId="0" fontId="0" fillId="0" borderId="1" xfId="8" applyNumberFormat="1" applyFont="1" applyFill="1" applyBorder="1" applyAlignment="1">
      <alignment horizontal="center" vertical="center"/>
    </xf>
    <xf numFmtId="0" fontId="0" fillId="0" borderId="2" xfId="8" applyNumberFormat="1" applyFont="1" applyFill="1" applyBorder="1" applyAlignment="1">
      <alignment horizontal="center" vertical="center"/>
    </xf>
    <xf numFmtId="177" fontId="0" fillId="0" borderId="1" xfId="9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/>
    <xf numFmtId="0" fontId="5" fillId="4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41" fontId="6" fillId="0" borderId="10" xfId="2" applyNumberFormat="1" applyFont="1" applyBorder="1" applyAlignment="1">
      <alignment horizontal="center" vertical="center"/>
    </xf>
    <xf numFmtId="0" fontId="6" fillId="0" borderId="0" xfId="5" applyNumberFormat="1" applyFont="1" applyAlignment="1">
      <alignment horizontal="center"/>
    </xf>
    <xf numFmtId="0" fontId="6" fillId="0" borderId="0" xfId="5" applyNumberFormat="1" applyFont="1" applyAlignment="1"/>
    <xf numFmtId="0" fontId="6" fillId="0" borderId="0" xfId="0" applyNumberFormat="1" applyFont="1" applyAlignment="1">
      <alignment horizontal="center" vertical="center"/>
    </xf>
    <xf numFmtId="41" fontId="6" fillId="0" borderId="11" xfId="2" applyNumberFormat="1" applyFont="1" applyBorder="1" applyAlignment="1">
      <alignment horizontal="center" vertical="center"/>
    </xf>
    <xf numFmtId="176" fontId="5" fillId="10" borderId="8" xfId="0" applyNumberFormat="1" applyFont="1" applyFill="1" applyBorder="1" applyAlignment="1">
      <alignment horizontal="center" vertical="center"/>
    </xf>
    <xf numFmtId="41" fontId="6" fillId="0" borderId="12" xfId="2" applyNumberFormat="1" applyFont="1" applyBorder="1" applyAlignment="1">
      <alignment horizontal="center" vertical="center"/>
    </xf>
    <xf numFmtId="176" fontId="5" fillId="10" borderId="2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/>
    <xf numFmtId="177" fontId="6" fillId="0" borderId="1" xfId="0" applyNumberFormat="1" applyFont="1" applyFill="1" applyBorder="1" applyAlignment="1">
      <alignment horizontal="center" vertical="center"/>
    </xf>
    <xf numFmtId="177" fontId="6" fillId="0" borderId="1" xfId="3" applyNumberFormat="1" applyFont="1" applyFill="1" applyBorder="1" applyAlignment="1">
      <alignment horizontal="center" vertical="center"/>
    </xf>
    <xf numFmtId="177" fontId="6" fillId="0" borderId="7" xfId="0" applyNumberFormat="1" applyFont="1" applyFill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0" fontId="0" fillId="0" borderId="13" xfId="7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/>
    <xf numFmtId="185" fontId="0" fillId="0" borderId="2" xfId="7" applyNumberFormat="1" applyFont="1" applyFill="1" applyBorder="1" applyAlignment="1">
      <alignment horizontal="center" vertical="center" wrapText="1"/>
    </xf>
    <xf numFmtId="177" fontId="0" fillId="0" borderId="14" xfId="7" applyNumberFormat="1" applyFont="1" applyFill="1" applyBorder="1" applyAlignment="1">
      <alignment horizontal="center" vertical="center" wrapText="1"/>
    </xf>
    <xf numFmtId="177" fontId="8" fillId="5" borderId="1" xfId="10" applyNumberFormat="1" applyFont="1" applyFill="1" applyBorder="1" applyAlignment="1">
      <alignment horizontal="center" vertical="center"/>
    </xf>
    <xf numFmtId="0" fontId="4" fillId="5" borderId="1" xfId="8" applyNumberFormat="1" applyFont="1" applyFill="1" applyBorder="1" applyAlignment="1">
      <alignment horizontal="center" vertical="center"/>
    </xf>
    <xf numFmtId="0" fontId="4" fillId="11" borderId="26" xfId="0" applyNumberFormat="1" applyFont="1" applyFill="1" applyBorder="1" applyAlignment="1" applyProtection="1">
      <alignment horizontal="center" vertical="center"/>
    </xf>
    <xf numFmtId="177" fontId="1" fillId="6" borderId="1" xfId="7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77" fontId="12" fillId="0" borderId="1" xfId="9" applyNumberFormat="1" applyBorder="1" applyAlignment="1">
      <alignment horizontal="center" vertical="center"/>
    </xf>
    <xf numFmtId="0" fontId="12" fillId="0" borderId="0" xfId="8" applyNumberFormat="1" applyAlignment="1">
      <alignment horizontal="center"/>
    </xf>
    <xf numFmtId="179" fontId="1" fillId="13" borderId="1" xfId="9" applyNumberFormat="1" applyFont="1" applyFill="1" applyBorder="1" applyAlignment="1">
      <alignment horizontal="center" vertical="center"/>
    </xf>
    <xf numFmtId="177" fontId="15" fillId="0" borderId="1" xfId="9" applyNumberFormat="1" applyFont="1" applyFill="1" applyBorder="1" applyAlignment="1">
      <alignment horizontal="center" vertical="center"/>
    </xf>
    <xf numFmtId="0" fontId="16" fillId="0" borderId="0" xfId="0" applyNumberFormat="1" applyFont="1" applyFill="1" applyAlignment="1">
      <alignment horizontal="center"/>
    </xf>
    <xf numFmtId="177" fontId="14" fillId="14" borderId="1" xfId="9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4" fillId="11" borderId="26" xfId="9" applyNumberFormat="1" applyFont="1" applyFill="1" applyBorder="1" applyAlignment="1">
      <alignment horizontal="center" vertical="center"/>
    </xf>
    <xf numFmtId="0" fontId="15" fillId="0" borderId="1" xfId="8" applyFont="1" applyFill="1" applyBorder="1" applyAlignment="1">
      <alignment horizontal="center" vertical="center"/>
    </xf>
    <xf numFmtId="177" fontId="4" fillId="3" borderId="1" xfId="6" applyNumberFormat="1" applyFont="1" applyFill="1" applyBorder="1" applyAlignment="1">
      <alignment horizontal="center" vertical="center" shrinkToFit="1"/>
    </xf>
    <xf numFmtId="177" fontId="19" fillId="0" borderId="1" xfId="0" applyNumberFormat="1" applyFont="1" applyFill="1" applyBorder="1" applyAlignment="1">
      <alignment horizontal="center" vertical="center"/>
    </xf>
    <xf numFmtId="177" fontId="19" fillId="0" borderId="1" xfId="3" applyNumberFormat="1" applyFont="1" applyFill="1" applyBorder="1" applyAlignment="1">
      <alignment horizontal="center" vertical="center"/>
    </xf>
    <xf numFmtId="177" fontId="19" fillId="0" borderId="7" xfId="0" applyNumberFormat="1" applyFont="1" applyFill="1" applyBorder="1" applyAlignment="1">
      <alignment horizontal="center" vertical="center"/>
    </xf>
    <xf numFmtId="177" fontId="19" fillId="0" borderId="8" xfId="0" applyNumberFormat="1" applyFont="1" applyFill="1" applyBorder="1" applyAlignment="1">
      <alignment horizontal="center" vertical="center"/>
    </xf>
    <xf numFmtId="0" fontId="20" fillId="11" borderId="26" xfId="9" applyFont="1" applyFill="1" applyBorder="1" applyAlignment="1">
      <alignment horizontal="center" vertical="center"/>
    </xf>
    <xf numFmtId="178" fontId="16" fillId="0" borderId="1" xfId="7" applyNumberFormat="1" applyFont="1" applyFill="1" applyBorder="1" applyAlignment="1">
      <alignment horizontal="center" vertical="center" wrapText="1"/>
    </xf>
    <xf numFmtId="177" fontId="16" fillId="0" borderId="1" xfId="7" applyNumberFormat="1" applyFont="1" applyFill="1" applyBorder="1" applyAlignment="1">
      <alignment horizontal="center" vertical="center"/>
    </xf>
    <xf numFmtId="0" fontId="16" fillId="0" borderId="0" xfId="8" applyFont="1" applyAlignment="1">
      <alignment horizontal="center"/>
    </xf>
    <xf numFmtId="177" fontId="21" fillId="5" borderId="1" xfId="9" applyNumberFormat="1" applyFont="1" applyFill="1" applyBorder="1" applyAlignment="1">
      <alignment horizontal="center" vertical="center"/>
    </xf>
    <xf numFmtId="177" fontId="19" fillId="0" borderId="0" xfId="0" applyNumberFormat="1" applyFont="1" applyFill="1" applyAlignment="1">
      <alignment horizontal="center"/>
    </xf>
    <xf numFmtId="0" fontId="9" fillId="0" borderId="15" xfId="0" applyNumberFormat="1" applyFont="1" applyBorder="1" applyAlignment="1">
      <alignment horizontal="left" vertical="center"/>
    </xf>
    <xf numFmtId="0" fontId="5" fillId="0" borderId="16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5" fillId="10" borderId="18" xfId="0" applyNumberFormat="1" applyFont="1" applyFill="1" applyBorder="1" applyAlignment="1">
      <alignment horizontal="center" vertical="center" wrapText="1"/>
    </xf>
    <xf numFmtId="0" fontId="5" fillId="10" borderId="7" xfId="0" applyNumberFormat="1" applyFont="1" applyFill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0" fontId="5" fillId="0" borderId="21" xfId="0" applyNumberFormat="1" applyFont="1" applyBorder="1" applyAlignment="1">
      <alignment horizontal="center" vertical="center"/>
    </xf>
    <xf numFmtId="0" fontId="5" fillId="0" borderId="22" xfId="0" applyNumberFormat="1" applyFont="1" applyBorder="1" applyAlignment="1">
      <alignment horizontal="center" vertical="center"/>
    </xf>
    <xf numFmtId="49" fontId="16" fillId="0" borderId="2" xfId="10" applyNumberFormat="1" applyFont="1" applyFill="1" applyBorder="1" applyAlignment="1" applyProtection="1">
      <alignment horizontal="center" vertical="center" wrapText="1"/>
    </xf>
    <xf numFmtId="49" fontId="16" fillId="0" borderId="23" xfId="10" applyNumberFormat="1" applyFont="1" applyFill="1" applyBorder="1" applyAlignment="1" applyProtection="1">
      <alignment horizontal="center" vertical="center" wrapText="1"/>
    </xf>
    <xf numFmtId="49" fontId="16" fillId="0" borderId="7" xfId="10" applyNumberFormat="1" applyFont="1" applyFill="1" applyBorder="1" applyAlignment="1" applyProtection="1">
      <alignment horizontal="center" vertical="center" wrapText="1"/>
    </xf>
    <xf numFmtId="0" fontId="4" fillId="5" borderId="3" xfId="8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177" fontId="1" fillId="0" borderId="24" xfId="7" applyNumberFormat="1" applyFont="1" applyFill="1" applyBorder="1" applyAlignment="1">
      <alignment horizontal="center" vertical="center" wrapText="1"/>
    </xf>
    <xf numFmtId="177" fontId="0" fillId="0" borderId="13" xfId="7" applyNumberFormat="1" applyFont="1" applyFill="1" applyBorder="1" applyAlignment="1">
      <alignment horizontal="center" vertical="center" wrapText="1"/>
    </xf>
    <xf numFmtId="177" fontId="0" fillId="0" borderId="26" xfId="7" applyNumberFormat="1" applyFont="1" applyFill="1" applyBorder="1" applyAlignment="1">
      <alignment horizontal="center" vertical="center" wrapText="1"/>
    </xf>
    <xf numFmtId="177" fontId="0" fillId="0" borderId="28" xfId="7" applyNumberFormat="1" applyFont="1" applyFill="1" applyBorder="1" applyAlignment="1">
      <alignment horizontal="center" vertical="center" wrapText="1"/>
    </xf>
    <xf numFmtId="0" fontId="4" fillId="5" borderId="5" xfId="8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3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7" fontId="17" fillId="0" borderId="24" xfId="10" applyNumberFormat="1" applyFont="1" applyFill="1" applyBorder="1" applyAlignment="1">
      <alignment horizontal="center" vertical="center" wrapText="1"/>
    </xf>
    <xf numFmtId="17" fontId="17" fillId="0" borderId="14" xfId="10" applyNumberFormat="1" applyFont="1" applyFill="1" applyBorder="1" applyAlignment="1">
      <alignment horizontal="center" vertical="center" wrapText="1"/>
    </xf>
    <xf numFmtId="17" fontId="17" fillId="0" borderId="26" xfId="10" applyNumberFormat="1" applyFont="1" applyFill="1" applyBorder="1" applyAlignment="1">
      <alignment horizontal="center" vertical="center" wrapText="1"/>
    </xf>
    <xf numFmtId="17" fontId="17" fillId="0" borderId="0" xfId="10" applyNumberFormat="1" applyFont="1" applyFill="1" applyBorder="1" applyAlignment="1">
      <alignment horizontal="center" vertical="center" wrapText="1"/>
    </xf>
    <xf numFmtId="17" fontId="17" fillId="0" borderId="25" xfId="10" applyNumberFormat="1" applyFont="1" applyFill="1" applyBorder="1" applyAlignment="1">
      <alignment horizontal="center" vertical="center" wrapText="1"/>
    </xf>
    <xf numFmtId="17" fontId="17" fillId="0" borderId="27" xfId="10" applyNumberFormat="1" applyFont="1" applyFill="1" applyBorder="1" applyAlignment="1">
      <alignment horizontal="center" vertical="center" wrapText="1"/>
    </xf>
    <xf numFmtId="0" fontId="17" fillId="0" borderId="2" xfId="10" applyNumberFormat="1" applyFont="1" applyFill="1" applyBorder="1" applyAlignment="1">
      <alignment horizontal="center" vertical="center" wrapText="1"/>
    </xf>
    <xf numFmtId="0" fontId="17" fillId="0" borderId="23" xfId="10" applyNumberFormat="1" applyFont="1" applyFill="1" applyBorder="1" applyAlignment="1">
      <alignment horizontal="center" vertical="center" wrapText="1"/>
    </xf>
    <xf numFmtId="0" fontId="17" fillId="0" borderId="2" xfId="10" applyNumberFormat="1" applyFont="1" applyFill="1" applyBorder="1" applyAlignment="1">
      <alignment horizontal="center" vertical="center"/>
    </xf>
    <xf numFmtId="0" fontId="17" fillId="0" borderId="23" xfId="10" applyNumberFormat="1" applyFont="1" applyFill="1" applyBorder="1" applyAlignment="1">
      <alignment horizontal="center" vertical="center"/>
    </xf>
    <xf numFmtId="49" fontId="17" fillId="0" borderId="2" xfId="10" applyNumberFormat="1" applyFont="1" applyFill="1" applyBorder="1" applyAlignment="1" applyProtection="1">
      <alignment horizontal="center" vertical="center" wrapText="1"/>
    </xf>
    <xf numFmtId="49" fontId="17" fillId="0" borderId="23" xfId="10" applyNumberFormat="1" applyFont="1" applyFill="1" applyBorder="1" applyAlignment="1" applyProtection="1">
      <alignment horizontal="center" vertical="center" wrapText="1"/>
    </xf>
    <xf numFmtId="49" fontId="17" fillId="0" borderId="7" xfId="10" applyNumberFormat="1" applyFont="1" applyFill="1" applyBorder="1" applyAlignment="1" applyProtection="1">
      <alignment horizontal="center" vertical="center" wrapText="1"/>
    </xf>
    <xf numFmtId="14" fontId="17" fillId="0" borderId="2" xfId="10" applyNumberFormat="1" applyFont="1" applyFill="1" applyBorder="1" applyAlignment="1" applyProtection="1">
      <alignment horizontal="center" vertical="center" wrapText="1"/>
    </xf>
    <xf numFmtId="14" fontId="17" fillId="0" borderId="23" xfId="10" applyNumberFormat="1" applyFont="1" applyFill="1" applyBorder="1" applyAlignment="1" applyProtection="1">
      <alignment horizontal="center" vertical="center" wrapText="1"/>
    </xf>
    <xf numFmtId="14" fontId="17" fillId="0" borderId="7" xfId="10" applyNumberFormat="1" applyFont="1" applyFill="1" applyBorder="1" applyAlignment="1" applyProtection="1">
      <alignment horizontal="center" vertical="center" wrapText="1"/>
    </xf>
    <xf numFmtId="49" fontId="1" fillId="0" borderId="2" xfId="9" applyNumberFormat="1" applyFont="1" applyBorder="1" applyAlignment="1">
      <alignment horizontal="center" vertical="center" wrapText="1"/>
    </xf>
    <xf numFmtId="49" fontId="12" fillId="0" borderId="23" xfId="9" applyNumberFormat="1" applyBorder="1" applyAlignment="1">
      <alignment horizontal="center" vertical="center" wrapText="1"/>
    </xf>
    <xf numFmtId="49" fontId="12" fillId="0" borderId="7" xfId="9" applyNumberFormat="1" applyBorder="1" applyAlignment="1">
      <alignment horizontal="center" vertical="center" wrapText="1"/>
    </xf>
    <xf numFmtId="0" fontId="4" fillId="5" borderId="4" xfId="8" applyNumberFormat="1" applyFont="1" applyFill="1" applyBorder="1" applyAlignment="1">
      <alignment horizontal="center" vertical="center"/>
    </xf>
    <xf numFmtId="0" fontId="4" fillId="11" borderId="23" xfId="9" applyNumberFormat="1" applyFont="1" applyFill="1" applyBorder="1" applyAlignment="1" applyProtection="1">
      <alignment horizontal="center" vertical="center"/>
    </xf>
    <xf numFmtId="0" fontId="4" fillId="11" borderId="7" xfId="9" applyNumberFormat="1" applyFont="1" applyFill="1" applyBorder="1" applyAlignment="1" applyProtection="1">
      <alignment horizontal="center" vertical="center"/>
    </xf>
    <xf numFmtId="177" fontId="0" fillId="0" borderId="13" xfId="7" applyNumberFormat="1" applyFont="1" applyFill="1" applyBorder="1" applyAlignment="1">
      <alignment horizontal="center" vertical="center"/>
    </xf>
    <xf numFmtId="177" fontId="0" fillId="0" borderId="26" xfId="7" applyNumberFormat="1" applyFont="1" applyFill="1" applyBorder="1" applyAlignment="1">
      <alignment horizontal="center" vertical="center"/>
    </xf>
    <xf numFmtId="177" fontId="0" fillId="0" borderId="28" xfId="7" applyNumberFormat="1" applyFont="1" applyFill="1" applyBorder="1" applyAlignment="1">
      <alignment horizontal="center" vertical="center"/>
    </xf>
    <xf numFmtId="177" fontId="0" fillId="0" borderId="25" xfId="7" applyNumberFormat="1" applyFont="1" applyFill="1" applyBorder="1" applyAlignment="1">
      <alignment horizontal="center" vertical="center"/>
    </xf>
    <xf numFmtId="177" fontId="0" fillId="0" borderId="6" xfId="7" applyNumberFormat="1" applyFont="1" applyFill="1" applyBorder="1" applyAlignment="1">
      <alignment horizontal="center" vertical="center"/>
    </xf>
    <xf numFmtId="177" fontId="14" fillId="5" borderId="3" xfId="9" applyNumberFormat="1" applyFont="1" applyFill="1" applyBorder="1" applyAlignment="1">
      <alignment horizontal="center" vertical="center"/>
    </xf>
    <xf numFmtId="177" fontId="14" fillId="5" borderId="5" xfId="9" applyNumberFormat="1" applyFont="1" applyFill="1" applyBorder="1" applyAlignment="1">
      <alignment horizontal="center" vertical="center"/>
    </xf>
    <xf numFmtId="0" fontId="1" fillId="13" borderId="2" xfId="9" applyFont="1" applyFill="1" applyBorder="1" applyAlignment="1">
      <alignment horizontal="center" vertical="center" wrapText="1"/>
    </xf>
    <xf numFmtId="0" fontId="1" fillId="13" borderId="23" xfId="9" applyFont="1" applyFill="1" applyBorder="1" applyAlignment="1">
      <alignment horizontal="center" vertical="center" wrapText="1"/>
    </xf>
    <xf numFmtId="0" fontId="1" fillId="13" borderId="7" xfId="9" applyFont="1" applyFill="1" applyBorder="1" applyAlignment="1">
      <alignment horizontal="center" vertical="center" wrapText="1"/>
    </xf>
    <xf numFmtId="17" fontId="1" fillId="0" borderId="24" xfId="9" applyNumberFormat="1" applyFont="1" applyFill="1" applyBorder="1" applyAlignment="1">
      <alignment horizontal="center" vertical="center" wrapText="1"/>
    </xf>
    <xf numFmtId="17" fontId="1" fillId="0" borderId="14" xfId="9" applyNumberFormat="1" applyFont="1" applyFill="1" applyBorder="1" applyAlignment="1">
      <alignment horizontal="center" vertical="center" wrapText="1"/>
    </xf>
    <xf numFmtId="17" fontId="1" fillId="0" borderId="13" xfId="9" applyNumberFormat="1" applyFont="1" applyFill="1" applyBorder="1" applyAlignment="1">
      <alignment horizontal="center" vertical="center" wrapText="1"/>
    </xf>
    <xf numFmtId="17" fontId="1" fillId="0" borderId="26" xfId="9" applyNumberFormat="1" applyFont="1" applyFill="1" applyBorder="1" applyAlignment="1">
      <alignment horizontal="center" vertical="center" wrapText="1"/>
    </xf>
    <xf numFmtId="17" fontId="1" fillId="0" borderId="0" xfId="9" applyNumberFormat="1" applyFont="1" applyFill="1" applyBorder="1" applyAlignment="1">
      <alignment horizontal="center" vertical="center" wrapText="1"/>
    </xf>
    <xf numFmtId="17" fontId="1" fillId="0" borderId="28" xfId="9" applyNumberFormat="1" applyFont="1" applyFill="1" applyBorder="1" applyAlignment="1">
      <alignment horizontal="center" vertical="center" wrapText="1"/>
    </xf>
    <xf numFmtId="17" fontId="1" fillId="0" borderId="25" xfId="9" applyNumberFormat="1" applyFont="1" applyFill="1" applyBorder="1" applyAlignment="1">
      <alignment horizontal="center" vertical="center" wrapText="1"/>
    </xf>
    <xf numFmtId="17" fontId="1" fillId="0" borderId="27" xfId="9" applyNumberFormat="1" applyFont="1" applyFill="1" applyBorder="1" applyAlignment="1">
      <alignment horizontal="center" vertical="center" wrapText="1"/>
    </xf>
    <xf numFmtId="17" fontId="1" fillId="0" borderId="6" xfId="9" applyNumberFormat="1" applyFont="1" applyFill="1" applyBorder="1" applyAlignment="1">
      <alignment horizontal="center" vertical="center" wrapText="1"/>
    </xf>
    <xf numFmtId="0" fontId="1" fillId="0" borderId="2" xfId="9" applyFont="1" applyFill="1" applyBorder="1" applyAlignment="1">
      <alignment horizontal="center" vertical="center" wrapText="1"/>
    </xf>
    <xf numFmtId="0" fontId="1" fillId="0" borderId="23" xfId="9" applyFont="1" applyFill="1" applyBorder="1" applyAlignment="1">
      <alignment horizontal="center" vertical="center" wrapText="1"/>
    </xf>
    <xf numFmtId="0" fontId="1" fillId="0" borderId="7" xfId="9" applyFont="1" applyFill="1" applyBorder="1" applyAlignment="1">
      <alignment horizontal="center" vertical="center" wrapText="1"/>
    </xf>
    <xf numFmtId="0" fontId="1" fillId="0" borderId="2" xfId="9" applyFont="1" applyFill="1" applyBorder="1" applyAlignment="1">
      <alignment horizontal="center" vertical="center"/>
    </xf>
    <xf numFmtId="0" fontId="1" fillId="0" borderId="23" xfId="9" applyFont="1" applyFill="1" applyBorder="1" applyAlignment="1">
      <alignment horizontal="center" vertical="center"/>
    </xf>
    <xf numFmtId="0" fontId="1" fillId="0" borderId="7" xfId="9" applyFont="1" applyFill="1" applyBorder="1" applyAlignment="1">
      <alignment horizontal="center" vertical="center"/>
    </xf>
    <xf numFmtId="49" fontId="15" fillId="0" borderId="2" xfId="9" applyNumberFormat="1" applyFont="1" applyFill="1" applyBorder="1" applyAlignment="1">
      <alignment horizontal="center" vertical="center" wrapText="1"/>
    </xf>
    <xf numFmtId="49" fontId="15" fillId="0" borderId="23" xfId="9" applyNumberFormat="1" applyFont="1" applyFill="1" applyBorder="1" applyAlignment="1">
      <alignment horizontal="center" vertical="center" wrapText="1"/>
    </xf>
    <xf numFmtId="49" fontId="15" fillId="0" borderId="7" xfId="9" applyNumberFormat="1" applyFont="1" applyFill="1" applyBorder="1" applyAlignment="1">
      <alignment horizontal="center" vertical="center" wrapText="1"/>
    </xf>
    <xf numFmtId="49" fontId="16" fillId="0" borderId="2" xfId="9" applyNumberFormat="1" applyFont="1" applyFill="1" applyBorder="1" applyAlignment="1">
      <alignment horizontal="center" vertical="center" wrapText="1"/>
    </xf>
    <xf numFmtId="49" fontId="16" fillId="0" borderId="23" xfId="9" applyNumberFormat="1" applyFont="1" applyFill="1" applyBorder="1" applyAlignment="1">
      <alignment horizontal="center" vertical="center" wrapText="1"/>
    </xf>
    <xf numFmtId="49" fontId="16" fillId="0" borderId="7" xfId="9" applyNumberFormat="1" applyFont="1" applyFill="1" applyBorder="1" applyAlignment="1">
      <alignment horizontal="center" vertical="center" wrapText="1"/>
    </xf>
    <xf numFmtId="0" fontId="14" fillId="14" borderId="1" xfId="8" applyFont="1" applyFill="1" applyBorder="1" applyAlignment="1">
      <alignment horizontal="center" vertical="center"/>
    </xf>
    <xf numFmtId="177" fontId="15" fillId="0" borderId="24" xfId="9" applyNumberFormat="1" applyFont="1" applyFill="1" applyBorder="1" applyAlignment="1">
      <alignment horizontal="center" vertical="center" wrapText="1"/>
    </xf>
    <xf numFmtId="177" fontId="15" fillId="0" borderId="13" xfId="9" applyNumberFormat="1" applyFont="1" applyFill="1" applyBorder="1" applyAlignment="1">
      <alignment horizontal="center" vertical="center"/>
    </xf>
    <xf numFmtId="177" fontId="15" fillId="0" borderId="26" xfId="9" applyNumberFormat="1" applyFont="1" applyFill="1" applyBorder="1" applyAlignment="1">
      <alignment horizontal="center" vertical="center"/>
    </xf>
    <xf numFmtId="177" fontId="15" fillId="0" borderId="28" xfId="9" applyNumberFormat="1" applyFont="1" applyFill="1" applyBorder="1" applyAlignment="1">
      <alignment horizontal="center" vertical="center"/>
    </xf>
    <xf numFmtId="177" fontId="15" fillId="0" borderId="25" xfId="9" applyNumberFormat="1" applyFont="1" applyFill="1" applyBorder="1" applyAlignment="1">
      <alignment horizontal="center" vertical="center"/>
    </xf>
    <xf numFmtId="177" fontId="15" fillId="0" borderId="6" xfId="9" applyNumberFormat="1" applyFont="1" applyFill="1" applyBorder="1" applyAlignment="1">
      <alignment horizontal="center" vertical="center"/>
    </xf>
    <xf numFmtId="177" fontId="14" fillId="14" borderId="3" xfId="9" applyNumberFormat="1" applyFont="1" applyFill="1" applyBorder="1" applyAlignment="1">
      <alignment horizontal="center" vertical="center"/>
    </xf>
    <xf numFmtId="177" fontId="14" fillId="14" borderId="5" xfId="9" applyNumberFormat="1" applyFont="1" applyFill="1" applyBorder="1" applyAlignment="1">
      <alignment horizontal="center" vertical="center"/>
    </xf>
    <xf numFmtId="0" fontId="0" fillId="0" borderId="1" xfId="9" applyNumberFormat="1" applyFont="1" applyBorder="1" applyAlignment="1">
      <alignment horizontal="center" vertical="center" wrapText="1"/>
    </xf>
    <xf numFmtId="0" fontId="12" fillId="0" borderId="1" xfId="9" applyNumberFormat="1" applyBorder="1" applyAlignment="1">
      <alignment horizontal="center" vertical="center" wrapText="1"/>
    </xf>
    <xf numFmtId="17" fontId="1" fillId="0" borderId="1" xfId="9" applyNumberFormat="1" applyFont="1" applyBorder="1" applyAlignment="1">
      <alignment horizontal="center" vertical="center" wrapText="1"/>
    </xf>
    <xf numFmtId="17" fontId="12" fillId="0" borderId="1" xfId="9" applyNumberFormat="1" applyBorder="1" applyAlignment="1">
      <alignment horizontal="center" vertical="center" wrapText="1"/>
    </xf>
    <xf numFmtId="0" fontId="0" fillId="0" borderId="13" xfId="9" applyNumberFormat="1" applyFont="1" applyBorder="1" applyAlignment="1">
      <alignment horizontal="center" vertical="center" wrapText="1"/>
    </xf>
    <xf numFmtId="0" fontId="12" fillId="0" borderId="28" xfId="9" applyNumberFormat="1" applyBorder="1" applyAlignment="1">
      <alignment horizontal="center" vertical="center" wrapText="1"/>
    </xf>
    <xf numFmtId="0" fontId="12" fillId="0" borderId="6" xfId="9" applyNumberFormat="1" applyBorder="1" applyAlignment="1">
      <alignment horizontal="center" vertical="center" wrapText="1"/>
    </xf>
    <xf numFmtId="0" fontId="1" fillId="0" borderId="2" xfId="9" applyNumberFormat="1" applyFont="1" applyBorder="1" applyAlignment="1">
      <alignment horizontal="center" vertical="center" wrapText="1"/>
    </xf>
    <xf numFmtId="0" fontId="12" fillId="0" borderId="23" xfId="9" applyNumberFormat="1" applyBorder="1" applyAlignment="1">
      <alignment horizontal="center" vertical="center" wrapText="1"/>
    </xf>
    <xf numFmtId="0" fontId="12" fillId="0" borderId="7" xfId="9" applyNumberFormat="1" applyBorder="1" applyAlignment="1">
      <alignment horizontal="center" vertical="center" wrapText="1"/>
    </xf>
    <xf numFmtId="0" fontId="12" fillId="0" borderId="2" xfId="9" applyNumberFormat="1" applyBorder="1" applyAlignment="1">
      <alignment horizontal="center" vertical="center"/>
    </xf>
    <xf numFmtId="0" fontId="12" fillId="0" borderId="23" xfId="9" applyNumberFormat="1" applyBorder="1" applyAlignment="1">
      <alignment horizontal="center" vertical="center"/>
    </xf>
    <xf numFmtId="0" fontId="12" fillId="0" borderId="7" xfId="9" applyNumberFormat="1" applyBorder="1" applyAlignment="1">
      <alignment horizontal="center" vertical="center"/>
    </xf>
    <xf numFmtId="49" fontId="0" fillId="0" borderId="2" xfId="9" applyNumberFormat="1" applyFont="1" applyBorder="1" applyAlignment="1">
      <alignment horizontal="center" vertical="center" wrapText="1"/>
    </xf>
    <xf numFmtId="49" fontId="0" fillId="0" borderId="23" xfId="9" applyNumberFormat="1" applyFont="1" applyBorder="1" applyAlignment="1">
      <alignment horizontal="center" vertical="center" wrapText="1"/>
    </xf>
    <xf numFmtId="0" fontId="5" fillId="3" borderId="1" xfId="6" applyNumberFormat="1" applyFont="1" applyFill="1" applyBorder="1" applyAlignment="1">
      <alignment horizontal="center" vertical="center"/>
    </xf>
    <xf numFmtId="49" fontId="0" fillId="0" borderId="2" xfId="8" applyNumberFormat="1" applyFont="1" applyFill="1" applyBorder="1" applyAlignment="1">
      <alignment horizontal="center" vertical="center" wrapText="1"/>
    </xf>
    <xf numFmtId="49" fontId="0" fillId="0" borderId="23" xfId="8" applyNumberFormat="1" applyFont="1" applyFill="1" applyBorder="1" applyAlignment="1">
      <alignment horizontal="center" vertical="center" wrapText="1"/>
    </xf>
    <xf numFmtId="49" fontId="0" fillId="0" borderId="7" xfId="8" applyNumberFormat="1" applyFont="1" applyFill="1" applyBorder="1" applyAlignment="1">
      <alignment horizontal="center" vertical="center" wrapText="1"/>
    </xf>
    <xf numFmtId="49" fontId="0" fillId="0" borderId="1" xfId="9" applyNumberFormat="1" applyFont="1" applyFill="1" applyBorder="1" applyAlignment="1">
      <alignment horizontal="center" vertical="center" wrapText="1"/>
    </xf>
    <xf numFmtId="49" fontId="0" fillId="0" borderId="1" xfId="8" applyNumberFormat="1" applyFont="1" applyFill="1" applyBorder="1" applyAlignment="1">
      <alignment horizontal="center" vertical="center" wrapText="1"/>
    </xf>
    <xf numFmtId="177" fontId="4" fillId="5" borderId="3" xfId="9" applyNumberFormat="1" applyFont="1" applyFill="1" applyBorder="1" applyAlignment="1">
      <alignment horizontal="center" vertical="center"/>
    </xf>
    <xf numFmtId="177" fontId="4" fillId="5" borderId="5" xfId="9" applyNumberFormat="1" applyFont="1" applyFill="1" applyBorder="1" applyAlignment="1">
      <alignment horizontal="center" vertical="center"/>
    </xf>
    <xf numFmtId="0" fontId="5" fillId="3" borderId="3" xfId="6" applyNumberFormat="1" applyFont="1" applyFill="1" applyBorder="1" applyAlignment="1">
      <alignment horizontal="center" vertical="center"/>
    </xf>
    <xf numFmtId="0" fontId="5" fillId="3" borderId="4" xfId="6" applyNumberFormat="1" applyFont="1" applyFill="1" applyBorder="1" applyAlignment="1">
      <alignment horizontal="center" vertical="center"/>
    </xf>
    <xf numFmtId="0" fontId="5" fillId="3" borderId="5" xfId="6" applyNumberFormat="1" applyFont="1" applyFill="1" applyBorder="1" applyAlignment="1">
      <alignment horizontal="center" vertical="center"/>
    </xf>
    <xf numFmtId="0" fontId="4" fillId="11" borderId="2" xfId="9" applyNumberFormat="1" applyFont="1" applyFill="1" applyBorder="1" applyAlignment="1" applyProtection="1">
      <alignment horizontal="center" vertical="center"/>
    </xf>
    <xf numFmtId="17" fontId="0" fillId="7" borderId="24" xfId="9" applyNumberFormat="1" applyFont="1" applyFill="1" applyBorder="1" applyAlignment="1">
      <alignment horizontal="center" vertical="center" wrapText="1"/>
    </xf>
    <xf numFmtId="17" fontId="0" fillId="7" borderId="14" xfId="9" applyNumberFormat="1" applyFont="1" applyFill="1" applyBorder="1" applyAlignment="1">
      <alignment horizontal="center" vertical="center" wrapText="1"/>
    </xf>
    <xf numFmtId="17" fontId="0" fillId="7" borderId="13" xfId="9" applyNumberFormat="1" applyFont="1" applyFill="1" applyBorder="1" applyAlignment="1">
      <alignment horizontal="center" vertical="center" wrapText="1"/>
    </xf>
    <xf numFmtId="17" fontId="0" fillId="7" borderId="26" xfId="9" applyNumberFormat="1" applyFont="1" applyFill="1" applyBorder="1" applyAlignment="1">
      <alignment horizontal="center" vertical="center" wrapText="1"/>
    </xf>
    <xf numFmtId="17" fontId="0" fillId="7" borderId="0" xfId="9" applyNumberFormat="1" applyFont="1" applyFill="1" applyBorder="1" applyAlignment="1">
      <alignment horizontal="center" vertical="center" wrapText="1"/>
    </xf>
    <xf numFmtId="17" fontId="0" fillId="7" borderId="28" xfId="9" applyNumberFormat="1" applyFont="1" applyFill="1" applyBorder="1" applyAlignment="1">
      <alignment horizontal="center" vertical="center" wrapText="1"/>
    </xf>
    <xf numFmtId="17" fontId="0" fillId="7" borderId="25" xfId="9" applyNumberFormat="1" applyFont="1" applyFill="1" applyBorder="1" applyAlignment="1">
      <alignment horizontal="center" vertical="center" wrapText="1"/>
    </xf>
    <xf numFmtId="17" fontId="0" fillId="7" borderId="27" xfId="9" applyNumberFormat="1" applyFont="1" applyFill="1" applyBorder="1" applyAlignment="1">
      <alignment horizontal="center" vertical="center" wrapText="1"/>
    </xf>
    <xf numFmtId="17" fontId="0" fillId="7" borderId="6" xfId="9" applyNumberFormat="1" applyFont="1" applyFill="1" applyBorder="1" applyAlignment="1">
      <alignment horizontal="center" vertical="center" wrapText="1"/>
    </xf>
    <xf numFmtId="0" fontId="0" fillId="0" borderId="2" xfId="8" applyNumberFormat="1" applyFont="1" applyFill="1" applyBorder="1" applyAlignment="1">
      <alignment horizontal="center" vertical="center"/>
    </xf>
    <xf numFmtId="0" fontId="0" fillId="0" borderId="23" xfId="8" applyNumberFormat="1" applyFont="1" applyFill="1" applyBorder="1" applyAlignment="1">
      <alignment horizontal="center" vertical="center"/>
    </xf>
    <xf numFmtId="177" fontId="0" fillId="0" borderId="24" xfId="9" applyNumberFormat="1" applyFont="1" applyFill="1" applyBorder="1" applyAlignment="1">
      <alignment horizontal="center" vertical="center" wrapText="1"/>
    </xf>
    <xf numFmtId="177" fontId="0" fillId="0" borderId="13" xfId="9" applyNumberFormat="1" applyFont="1" applyFill="1" applyBorder="1" applyAlignment="1">
      <alignment horizontal="center" vertical="center"/>
    </xf>
    <xf numFmtId="177" fontId="0" fillId="0" borderId="25" xfId="9" applyNumberFormat="1" applyFont="1" applyFill="1" applyBorder="1" applyAlignment="1">
      <alignment horizontal="center" vertical="center"/>
    </xf>
    <xf numFmtId="177" fontId="0" fillId="0" borderId="6" xfId="9" applyNumberFormat="1" applyFont="1" applyFill="1" applyBorder="1" applyAlignment="1">
      <alignment horizontal="center" vertical="center"/>
    </xf>
    <xf numFmtId="0" fontId="0" fillId="0" borderId="24" xfId="0" applyNumberFormat="1" applyFont="1" applyFill="1" applyBorder="1" applyAlignment="1">
      <alignment horizontal="center" vertical="center" wrapText="1"/>
    </xf>
    <xf numFmtId="0" fontId="0" fillId="0" borderId="14" xfId="0" applyNumberFormat="1" applyFont="1" applyFill="1" applyBorder="1" applyAlignment="1">
      <alignment horizontal="center" vertical="center"/>
    </xf>
    <xf numFmtId="0" fontId="0" fillId="0" borderId="26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25" xfId="0" applyNumberFormat="1" applyFont="1" applyFill="1" applyBorder="1" applyAlignment="1">
      <alignment horizontal="center" vertical="center"/>
    </xf>
    <xf numFmtId="0" fontId="0" fillId="0" borderId="27" xfId="0" applyNumberFormat="1" applyFont="1" applyFill="1" applyBorder="1" applyAlignment="1">
      <alignment horizontal="center" vertical="center"/>
    </xf>
    <xf numFmtId="0" fontId="0" fillId="7" borderId="2" xfId="8" applyNumberFormat="1" applyFont="1" applyFill="1" applyBorder="1" applyAlignment="1">
      <alignment horizontal="center" vertical="center"/>
    </xf>
    <xf numFmtId="0" fontId="0" fillId="7" borderId="2" xfId="0" applyNumberFormat="1" applyFont="1" applyFill="1" applyBorder="1" applyAlignment="1">
      <alignment horizontal="center" vertical="center"/>
    </xf>
    <xf numFmtId="0" fontId="0" fillId="7" borderId="24" xfId="8" applyNumberFormat="1" applyFont="1" applyFill="1" applyBorder="1" applyAlignment="1" applyProtection="1">
      <alignment horizontal="center" vertical="center" wrapText="1"/>
    </xf>
    <xf numFmtId="0" fontId="0" fillId="7" borderId="13" xfId="8" applyNumberFormat="1" applyFont="1" applyFill="1" applyBorder="1" applyAlignment="1" applyProtection="1">
      <alignment horizontal="center" vertical="center"/>
    </xf>
    <xf numFmtId="0" fontId="0" fillId="7" borderId="26" xfId="8" applyNumberFormat="1" applyFont="1" applyFill="1" applyBorder="1" applyAlignment="1" applyProtection="1">
      <alignment horizontal="center" vertical="center"/>
    </xf>
    <xf numFmtId="0" fontId="0" fillId="7" borderId="28" xfId="8" applyNumberFormat="1" applyFont="1" applyFill="1" applyBorder="1" applyAlignment="1" applyProtection="1">
      <alignment horizontal="center" vertical="center"/>
    </xf>
    <xf numFmtId="0" fontId="0" fillId="7" borderId="25" xfId="8" applyNumberFormat="1" applyFont="1" applyFill="1" applyBorder="1" applyAlignment="1" applyProtection="1">
      <alignment horizontal="center" vertical="center"/>
    </xf>
    <xf numFmtId="0" fontId="0" fillId="7" borderId="6" xfId="8" applyNumberFormat="1" applyFont="1" applyFill="1" applyBorder="1" applyAlignment="1" applyProtection="1">
      <alignment horizontal="center" vertical="center"/>
    </xf>
    <xf numFmtId="14" fontId="0" fillId="0" borderId="2" xfId="0" applyNumberFormat="1" applyFont="1" applyFill="1" applyBorder="1" applyAlignment="1" applyProtection="1">
      <alignment horizontal="center" vertical="center"/>
    </xf>
    <xf numFmtId="14" fontId="0" fillId="0" borderId="23" xfId="0" applyNumberFormat="1" applyFont="1" applyFill="1" applyBorder="1" applyAlignment="1" applyProtection="1">
      <alignment horizontal="center" vertical="center"/>
    </xf>
    <xf numFmtId="14" fontId="0" fillId="0" borderId="7" xfId="0" applyNumberFormat="1" applyFont="1" applyFill="1" applyBorder="1" applyAlignment="1" applyProtection="1">
      <alignment horizontal="center" vertical="center"/>
    </xf>
    <xf numFmtId="14" fontId="0" fillId="0" borderId="2" xfId="0" quotePrefix="1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0" borderId="23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14" fontId="0" fillId="0" borderId="2" xfId="0" quotePrefix="1" applyNumberFormat="1" applyFont="1" applyFill="1" applyBorder="1" applyAlignment="1" applyProtection="1">
      <alignment horizontal="center" vertical="center"/>
    </xf>
    <xf numFmtId="0" fontId="0" fillId="7" borderId="24" xfId="8" applyNumberFormat="1" applyFont="1" applyFill="1" applyBorder="1" applyAlignment="1">
      <alignment horizontal="center" vertical="center" wrapText="1"/>
    </xf>
    <xf numFmtId="0" fontId="0" fillId="7" borderId="13" xfId="8" applyNumberFormat="1" applyFont="1" applyFill="1" applyBorder="1" applyAlignment="1">
      <alignment horizontal="center" vertical="center"/>
    </xf>
    <xf numFmtId="0" fontId="0" fillId="7" borderId="26" xfId="8" applyNumberFormat="1" applyFont="1" applyFill="1" applyBorder="1" applyAlignment="1">
      <alignment horizontal="center" vertical="center"/>
    </xf>
    <xf numFmtId="0" fontId="0" fillId="7" borderId="28" xfId="8" applyNumberFormat="1" applyFont="1" applyFill="1" applyBorder="1" applyAlignment="1">
      <alignment horizontal="center" vertical="center"/>
    </xf>
    <xf numFmtId="0" fontId="0" fillId="7" borderId="25" xfId="8" applyNumberFormat="1" applyFont="1" applyFill="1" applyBorder="1" applyAlignment="1">
      <alignment horizontal="center" vertical="center"/>
    </xf>
    <xf numFmtId="0" fontId="0" fillId="7" borderId="6" xfId="8" applyNumberFormat="1" applyFont="1" applyFill="1" applyBorder="1" applyAlignment="1">
      <alignment horizontal="center" vertical="center"/>
    </xf>
    <xf numFmtId="0" fontId="0" fillId="7" borderId="23" xfId="0" applyNumberFormat="1" applyFont="1" applyFill="1" applyBorder="1" applyAlignment="1">
      <alignment horizontal="center" vertical="center"/>
    </xf>
    <xf numFmtId="0" fontId="0" fillId="7" borderId="7" xfId="0" applyNumberFormat="1" applyFont="1" applyFill="1" applyBorder="1" applyAlignment="1">
      <alignment horizontal="center" vertical="center"/>
    </xf>
    <xf numFmtId="0" fontId="0" fillId="7" borderId="24" xfId="0" applyNumberFormat="1" applyFont="1" applyFill="1" applyBorder="1" applyAlignment="1">
      <alignment horizontal="center" vertical="center" wrapText="1"/>
    </xf>
    <xf numFmtId="0" fontId="0" fillId="7" borderId="14" xfId="0" applyNumberFormat="1" applyFont="1" applyFill="1" applyBorder="1" applyAlignment="1">
      <alignment horizontal="center" vertical="center"/>
    </xf>
    <xf numFmtId="0" fontId="0" fillId="7" borderId="13" xfId="0" applyNumberFormat="1" applyFont="1" applyFill="1" applyBorder="1" applyAlignment="1">
      <alignment horizontal="center" vertical="center"/>
    </xf>
    <xf numFmtId="0" fontId="0" fillId="7" borderId="26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Alignment="1">
      <alignment horizontal="center" vertical="center"/>
    </xf>
    <xf numFmtId="0" fontId="0" fillId="7" borderId="28" xfId="0" applyNumberFormat="1" applyFont="1" applyFill="1" applyBorder="1" applyAlignment="1">
      <alignment horizontal="center" vertical="center"/>
    </xf>
    <xf numFmtId="0" fontId="0" fillId="7" borderId="25" xfId="0" applyNumberFormat="1" applyFont="1" applyFill="1" applyBorder="1" applyAlignment="1">
      <alignment horizontal="center" vertical="center"/>
    </xf>
    <xf numFmtId="0" fontId="0" fillId="7" borderId="27" xfId="0" applyNumberFormat="1" applyFont="1" applyFill="1" applyBorder="1" applyAlignment="1">
      <alignment horizontal="center" vertical="center"/>
    </xf>
    <xf numFmtId="0" fontId="0" fillId="7" borderId="6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4" xfId="8" applyNumberFormat="1" applyFont="1" applyFill="1" applyBorder="1" applyAlignment="1">
      <alignment horizontal="center" vertical="center" wrapText="1"/>
    </xf>
    <xf numFmtId="0" fontId="0" fillId="0" borderId="13" xfId="8" applyNumberFormat="1" applyFont="1" applyFill="1" applyBorder="1" applyAlignment="1">
      <alignment horizontal="center" vertical="center"/>
    </xf>
    <xf numFmtId="0" fontId="0" fillId="0" borderId="25" xfId="8" applyNumberFormat="1" applyFont="1" applyFill="1" applyBorder="1" applyAlignment="1">
      <alignment horizontal="center" vertical="center"/>
    </xf>
    <xf numFmtId="0" fontId="0" fillId="0" borderId="6" xfId="8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0" fillId="0" borderId="14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horizontal="center" vertical="center"/>
    </xf>
    <xf numFmtId="0" fontId="0" fillId="0" borderId="28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14" fontId="1" fillId="0" borderId="2" xfId="0" quotePrefix="1" applyNumberFormat="1" applyFont="1" applyFill="1" applyBorder="1" applyAlignment="1" applyProtection="1">
      <alignment horizontal="center" vertical="center"/>
    </xf>
    <xf numFmtId="49" fontId="0" fillId="0" borderId="2" xfId="7" applyNumberFormat="1" applyFont="1" applyFill="1" applyBorder="1" applyAlignment="1">
      <alignment horizontal="center" vertical="center"/>
    </xf>
    <xf numFmtId="49" fontId="0" fillId="0" borderId="23" xfId="7" applyNumberFormat="1" applyFont="1" applyFill="1" applyBorder="1" applyAlignment="1">
      <alignment horizontal="center" vertical="center"/>
    </xf>
    <xf numFmtId="49" fontId="0" fillId="0" borderId="7" xfId="7" applyNumberFormat="1" applyFont="1" applyFill="1" applyBorder="1" applyAlignment="1">
      <alignment horizontal="center" vertical="center"/>
    </xf>
    <xf numFmtId="49" fontId="0" fillId="0" borderId="2" xfId="7" applyNumberFormat="1" applyFont="1" applyFill="1" applyBorder="1" applyAlignment="1">
      <alignment horizontal="center" vertical="center" wrapText="1"/>
    </xf>
    <xf numFmtId="49" fontId="0" fillId="0" borderId="23" xfId="7" applyNumberFormat="1" applyFont="1" applyFill="1" applyBorder="1" applyAlignment="1">
      <alignment horizontal="center" vertical="center" wrapText="1"/>
    </xf>
    <xf numFmtId="49" fontId="0" fillId="0" borderId="7" xfId="7" applyNumberFormat="1" applyFont="1" applyFill="1" applyBorder="1" applyAlignment="1">
      <alignment horizontal="center" vertical="center" wrapText="1"/>
    </xf>
    <xf numFmtId="0" fontId="8" fillId="5" borderId="4" xfId="11" applyNumberFormat="1" applyFont="1" applyFill="1" applyBorder="1" applyAlignment="1">
      <alignment horizontal="center" vertical="center"/>
    </xf>
    <xf numFmtId="0" fontId="8" fillId="5" borderId="5" xfId="11" applyNumberFormat="1" applyFont="1" applyFill="1" applyBorder="1" applyAlignment="1">
      <alignment horizontal="center" vertical="center"/>
    </xf>
    <xf numFmtId="177" fontId="8" fillId="5" borderId="3" xfId="10" applyNumberFormat="1" applyFont="1" applyFill="1" applyBorder="1" applyAlignment="1" applyProtection="1">
      <alignment horizontal="center" vertical="center"/>
    </xf>
    <xf numFmtId="177" fontId="8" fillId="5" borderId="5" xfId="10" applyNumberFormat="1" applyFont="1" applyFill="1" applyBorder="1" applyAlignment="1" applyProtection="1">
      <alignment horizontal="center" vertical="center"/>
    </xf>
    <xf numFmtId="0" fontId="0" fillId="0" borderId="2" xfId="7" applyNumberFormat="1" applyFont="1" applyFill="1" applyBorder="1" applyAlignment="1">
      <alignment horizontal="center" vertical="center"/>
    </xf>
    <xf numFmtId="0" fontId="0" fillId="0" borderId="23" xfId="7" applyNumberFormat="1" applyFont="1" applyFill="1" applyBorder="1" applyAlignment="1">
      <alignment horizontal="center" vertical="center"/>
    </xf>
    <xf numFmtId="0" fontId="0" fillId="0" borderId="7" xfId="7" applyNumberFormat="1" applyFont="1" applyFill="1" applyBorder="1" applyAlignment="1">
      <alignment horizontal="center" vertical="center"/>
    </xf>
    <xf numFmtId="0" fontId="0" fillId="0" borderId="24" xfId="7" applyNumberFormat="1" applyFont="1" applyFill="1" applyBorder="1" applyAlignment="1">
      <alignment horizontal="center" vertical="center" wrapText="1"/>
    </xf>
    <xf numFmtId="0" fontId="0" fillId="0" borderId="14" xfId="7" applyNumberFormat="1" applyFont="1" applyFill="1" applyBorder="1" applyAlignment="1">
      <alignment horizontal="center" vertical="center" wrapText="1"/>
    </xf>
    <xf numFmtId="0" fontId="0" fillId="0" borderId="13" xfId="7" applyNumberFormat="1" applyFont="1" applyFill="1" applyBorder="1" applyAlignment="1">
      <alignment horizontal="center" vertical="center" wrapText="1"/>
    </xf>
    <xf numFmtId="0" fontId="0" fillId="0" borderId="26" xfId="7" applyNumberFormat="1" applyFont="1" applyFill="1" applyBorder="1" applyAlignment="1">
      <alignment horizontal="center" vertical="center" wrapText="1"/>
    </xf>
    <xf numFmtId="0" fontId="0" fillId="0" borderId="0" xfId="7" applyNumberFormat="1" applyFont="1" applyFill="1" applyBorder="1" applyAlignment="1">
      <alignment horizontal="center" vertical="center" wrapText="1"/>
    </xf>
    <xf numFmtId="0" fontId="0" fillId="0" borderId="28" xfId="7" applyNumberFormat="1" applyFont="1" applyFill="1" applyBorder="1" applyAlignment="1">
      <alignment horizontal="center" vertical="center" wrapText="1"/>
    </xf>
    <xf numFmtId="0" fontId="0" fillId="0" borderId="25" xfId="7" applyNumberFormat="1" applyFont="1" applyFill="1" applyBorder="1" applyAlignment="1">
      <alignment horizontal="center" vertical="center" wrapText="1"/>
    </xf>
    <xf numFmtId="0" fontId="0" fillId="0" borderId="27" xfId="7" applyNumberFormat="1" applyFont="1" applyFill="1" applyBorder="1" applyAlignment="1">
      <alignment horizontal="center" vertical="center" wrapText="1"/>
    </xf>
    <xf numFmtId="0" fontId="0" fillId="0" borderId="6" xfId="7" applyNumberFormat="1" applyFont="1" applyFill="1" applyBorder="1" applyAlignment="1">
      <alignment horizontal="center" vertical="center" wrapText="1"/>
    </xf>
    <xf numFmtId="0" fontId="0" fillId="0" borderId="2" xfId="7" applyNumberFormat="1" applyFont="1" applyFill="1" applyBorder="1" applyAlignment="1">
      <alignment horizontal="center" vertical="center" wrapText="1"/>
    </xf>
    <xf numFmtId="0" fontId="0" fillId="0" borderId="23" xfId="7" applyNumberFormat="1" applyFont="1" applyFill="1" applyBorder="1" applyAlignment="1">
      <alignment horizontal="center" vertical="center" wrapText="1"/>
    </xf>
    <xf numFmtId="0" fontId="0" fillId="0" borderId="7" xfId="7" applyNumberFormat="1" applyFont="1" applyFill="1" applyBorder="1" applyAlignment="1">
      <alignment horizontal="center" vertical="center" wrapText="1"/>
    </xf>
    <xf numFmtId="177" fontId="1" fillId="0" borderId="24" xfId="7" applyNumberFormat="1" applyFont="1" applyFill="1" applyBorder="1" applyAlignment="1" applyProtection="1">
      <alignment horizontal="center" vertical="center" wrapText="1"/>
    </xf>
    <xf numFmtId="177" fontId="0" fillId="0" borderId="13" xfId="7" applyNumberFormat="1" applyFont="1" applyFill="1" applyBorder="1" applyAlignment="1" applyProtection="1">
      <alignment horizontal="center" vertical="center" wrapText="1"/>
    </xf>
    <xf numFmtId="177" fontId="0" fillId="0" borderId="26" xfId="7" applyNumberFormat="1" applyFont="1" applyFill="1" applyBorder="1" applyAlignment="1" applyProtection="1">
      <alignment horizontal="center" vertical="center" wrapText="1"/>
    </xf>
    <xf numFmtId="177" fontId="0" fillId="0" borderId="28" xfId="7" applyNumberFormat="1" applyFont="1" applyFill="1" applyBorder="1" applyAlignment="1" applyProtection="1">
      <alignment horizontal="center" vertical="center" wrapText="1"/>
    </xf>
    <xf numFmtId="14" fontId="0" fillId="0" borderId="2" xfId="7" applyNumberFormat="1" applyFont="1" applyFill="1" applyBorder="1" applyAlignment="1">
      <alignment horizontal="center" vertical="center"/>
    </xf>
    <xf numFmtId="14" fontId="0" fillId="0" borderId="23" xfId="7" applyNumberFormat="1" applyFont="1" applyFill="1" applyBorder="1" applyAlignment="1">
      <alignment horizontal="center" vertical="center"/>
    </xf>
    <xf numFmtId="14" fontId="0" fillId="0" borderId="7" xfId="7" applyNumberFormat="1" applyFont="1" applyFill="1" applyBorder="1" applyAlignment="1">
      <alignment horizontal="center" vertical="center"/>
    </xf>
    <xf numFmtId="17" fontId="0" fillId="0" borderId="2" xfId="7" quotePrefix="1" applyNumberFormat="1" applyFont="1" applyFill="1" applyBorder="1" applyAlignment="1">
      <alignment horizontal="center" vertical="center" wrapText="1"/>
    </xf>
    <xf numFmtId="0" fontId="11" fillId="11" borderId="2" xfId="9" applyNumberFormat="1" applyFont="1" applyFill="1" applyBorder="1" applyAlignment="1" applyProtection="1">
      <alignment horizontal="center" vertical="center" wrapText="1"/>
    </xf>
    <xf numFmtId="0" fontId="11" fillId="11" borderId="23" xfId="9" applyNumberFormat="1" applyFont="1" applyFill="1" applyBorder="1" applyAlignment="1" applyProtection="1">
      <alignment horizontal="center" vertical="center" wrapText="1"/>
    </xf>
    <xf numFmtId="0" fontId="4" fillId="11" borderId="23" xfId="0" applyNumberFormat="1" applyFont="1" applyFill="1" applyBorder="1" applyAlignment="1" applyProtection="1">
      <alignment horizontal="center" vertical="center" wrapText="1"/>
    </xf>
    <xf numFmtId="0" fontId="0" fillId="11" borderId="23" xfId="0" applyNumberFormat="1" applyFont="1" applyFill="1" applyBorder="1" applyAlignment="1" applyProtection="1">
      <alignment horizontal="center" vertical="center" wrapText="1"/>
    </xf>
    <xf numFmtId="177" fontId="0" fillId="0" borderId="24" xfId="7" applyNumberFormat="1" applyFont="1" applyFill="1" applyBorder="1" applyAlignment="1" applyProtection="1">
      <alignment horizontal="center" vertical="center" wrapText="1"/>
    </xf>
    <xf numFmtId="0" fontId="0" fillId="0" borderId="2" xfId="8" applyNumberFormat="1" applyFont="1" applyFill="1" applyBorder="1" applyAlignment="1">
      <alignment horizontal="center" vertical="center" wrapText="1" shrinkToFit="1"/>
    </xf>
    <xf numFmtId="0" fontId="0" fillId="0" borderId="23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Fill="1" applyBorder="1" applyAlignment="1">
      <alignment horizontal="center" vertical="center" shrinkToFi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1" xfId="8" applyNumberFormat="1" applyFont="1" applyFill="1" applyBorder="1" applyAlignment="1">
      <alignment horizontal="center" vertical="center"/>
    </xf>
    <xf numFmtId="49" fontId="0" fillId="7" borderId="2" xfId="9" applyNumberFormat="1" applyFont="1" applyFill="1" applyBorder="1" applyAlignment="1">
      <alignment horizontal="center" vertical="center" wrapText="1"/>
    </xf>
    <xf numFmtId="49" fontId="0" fillId="7" borderId="23" xfId="9" applyNumberFormat="1" applyFont="1" applyFill="1" applyBorder="1" applyAlignment="1">
      <alignment horizontal="center" vertical="center" wrapText="1"/>
    </xf>
    <xf numFmtId="49" fontId="0" fillId="7" borderId="7" xfId="9" applyNumberFormat="1" applyFont="1" applyFill="1" applyBorder="1" applyAlignment="1">
      <alignment horizontal="center" vertical="center" wrapText="1"/>
    </xf>
    <xf numFmtId="49" fontId="1" fillId="7" borderId="2" xfId="9" applyNumberFormat="1" applyFont="1" applyFill="1" applyBorder="1" applyAlignment="1">
      <alignment horizontal="center" vertical="center" wrapText="1"/>
    </xf>
    <xf numFmtId="177" fontId="4" fillId="5" borderId="3" xfId="8" applyNumberFormat="1" applyFont="1" applyFill="1" applyBorder="1" applyAlignment="1">
      <alignment horizontal="center" vertical="center" shrinkToFit="1"/>
    </xf>
    <xf numFmtId="177" fontId="4" fillId="5" borderId="5" xfId="8" applyNumberFormat="1" applyFont="1" applyFill="1" applyBorder="1" applyAlignment="1">
      <alignment horizontal="center" vertical="center" shrinkToFit="1"/>
    </xf>
    <xf numFmtId="0" fontId="0" fillId="7" borderId="2" xfId="9" applyNumberFormat="1" applyFont="1" applyFill="1" applyBorder="1" applyAlignment="1">
      <alignment horizontal="center" vertical="center" wrapText="1"/>
    </xf>
    <xf numFmtId="0" fontId="0" fillId="7" borderId="23" xfId="9" applyNumberFormat="1" applyFont="1" applyFill="1" applyBorder="1" applyAlignment="1">
      <alignment horizontal="center" vertical="center" wrapText="1"/>
    </xf>
    <xf numFmtId="0" fontId="0" fillId="7" borderId="7" xfId="9" applyNumberFormat="1" applyFont="1" applyFill="1" applyBorder="1" applyAlignment="1">
      <alignment horizontal="center" vertical="center" wrapText="1"/>
    </xf>
    <xf numFmtId="17" fontId="0" fillId="0" borderId="24" xfId="9" applyNumberFormat="1" applyFont="1" applyFill="1" applyBorder="1" applyAlignment="1">
      <alignment horizontal="center" vertical="center" wrapText="1"/>
    </xf>
    <xf numFmtId="17" fontId="0" fillId="0" borderId="14" xfId="9" applyNumberFormat="1" applyFont="1" applyFill="1" applyBorder="1" applyAlignment="1">
      <alignment horizontal="center" vertical="center" wrapText="1"/>
    </xf>
    <xf numFmtId="17" fontId="0" fillId="0" borderId="13" xfId="9" applyNumberFormat="1" applyFont="1" applyFill="1" applyBorder="1" applyAlignment="1">
      <alignment horizontal="center" vertical="center" wrapText="1"/>
    </xf>
    <xf numFmtId="17" fontId="0" fillId="0" borderId="26" xfId="9" applyNumberFormat="1" applyFont="1" applyFill="1" applyBorder="1" applyAlignment="1">
      <alignment horizontal="center" vertical="center" wrapText="1"/>
    </xf>
    <xf numFmtId="17" fontId="0" fillId="0" borderId="0" xfId="9" applyNumberFormat="1" applyFont="1" applyFill="1" applyBorder="1" applyAlignment="1">
      <alignment horizontal="center" vertical="center" wrapText="1"/>
    </xf>
    <xf numFmtId="17" fontId="0" fillId="0" borderId="28" xfId="9" applyNumberFormat="1" applyFont="1" applyFill="1" applyBorder="1" applyAlignment="1">
      <alignment horizontal="center" vertical="center" wrapText="1"/>
    </xf>
    <xf numFmtId="17" fontId="0" fillId="0" borderId="25" xfId="9" applyNumberFormat="1" applyFont="1" applyFill="1" applyBorder="1" applyAlignment="1">
      <alignment horizontal="center" vertical="center" wrapText="1"/>
    </xf>
    <xf numFmtId="17" fontId="0" fillId="0" borderId="27" xfId="9" applyNumberFormat="1" applyFont="1" applyFill="1" applyBorder="1" applyAlignment="1">
      <alignment horizontal="center" vertical="center" wrapText="1"/>
    </xf>
    <xf numFmtId="17" fontId="0" fillId="0" borderId="6" xfId="9" applyNumberFormat="1" applyFont="1" applyFill="1" applyBorder="1" applyAlignment="1">
      <alignment horizontal="center" vertical="center" wrapText="1"/>
    </xf>
    <xf numFmtId="0" fontId="0" fillId="0" borderId="2" xfId="9" applyNumberFormat="1" applyFont="1" applyFill="1" applyBorder="1" applyAlignment="1">
      <alignment horizontal="center" vertical="center" wrapText="1"/>
    </xf>
    <xf numFmtId="0" fontId="0" fillId="0" borderId="23" xfId="9" applyNumberFormat="1" applyFont="1" applyFill="1" applyBorder="1" applyAlignment="1">
      <alignment horizontal="center" vertical="center" wrapText="1"/>
    </xf>
    <xf numFmtId="0" fontId="0" fillId="7" borderId="23" xfId="8" applyNumberFormat="1" applyFont="1" applyFill="1" applyBorder="1" applyAlignment="1">
      <alignment horizontal="center" vertical="center"/>
    </xf>
    <xf numFmtId="0" fontId="0" fillId="7" borderId="7" xfId="8" applyNumberFormat="1" applyFont="1" applyFill="1" applyBorder="1" applyAlignment="1">
      <alignment horizontal="center" vertical="center"/>
    </xf>
    <xf numFmtId="177" fontId="0" fillId="0" borderId="26" xfId="9" applyNumberFormat="1" applyFont="1" applyFill="1" applyBorder="1" applyAlignment="1">
      <alignment horizontal="center" vertical="center"/>
    </xf>
    <xf numFmtId="177" fontId="0" fillId="0" borderId="28" xfId="9" applyNumberFormat="1" applyFont="1" applyFill="1" applyBorder="1" applyAlignment="1">
      <alignment horizontal="center" vertical="center"/>
    </xf>
    <xf numFmtId="49" fontId="0" fillId="0" borderId="2" xfId="9" applyNumberFormat="1" applyFont="1" applyFill="1" applyBorder="1" applyAlignment="1">
      <alignment horizontal="center" vertical="center" wrapText="1"/>
    </xf>
    <xf numFmtId="49" fontId="0" fillId="0" borderId="23" xfId="9" applyNumberFormat="1" applyFont="1" applyFill="1" applyBorder="1" applyAlignment="1">
      <alignment horizontal="center" vertical="center" wrapText="1"/>
    </xf>
    <xf numFmtId="49" fontId="0" fillId="0" borderId="7" xfId="9" applyNumberFormat="1" applyFont="1" applyFill="1" applyBorder="1" applyAlignment="1">
      <alignment horizontal="center" vertical="center" wrapText="1"/>
    </xf>
    <xf numFmtId="0" fontId="0" fillId="7" borderId="2" xfId="0" applyNumberFormat="1" applyFont="1" applyFill="1" applyBorder="1" applyAlignment="1">
      <alignment horizontal="center" vertical="center" wrapText="1"/>
    </xf>
    <xf numFmtId="41" fontId="0" fillId="0" borderId="24" xfId="1" applyNumberFormat="1" applyFont="1" applyFill="1" applyBorder="1" applyAlignment="1">
      <alignment horizontal="center" vertical="center" wrapText="1"/>
    </xf>
    <xf numFmtId="41" fontId="0" fillId="0" borderId="13" xfId="1" applyNumberFormat="1" applyFont="1" applyFill="1" applyBorder="1" applyAlignment="1">
      <alignment horizontal="center" vertical="center"/>
    </xf>
    <xf numFmtId="41" fontId="0" fillId="0" borderId="26" xfId="1" applyNumberFormat="1" applyFont="1" applyFill="1" applyBorder="1" applyAlignment="1">
      <alignment horizontal="center" vertical="center"/>
    </xf>
    <xf numFmtId="41" fontId="0" fillId="0" borderId="28" xfId="1" applyNumberFormat="1" applyFont="1" applyFill="1" applyBorder="1" applyAlignment="1">
      <alignment horizontal="center" vertical="center"/>
    </xf>
    <xf numFmtId="41" fontId="0" fillId="0" borderId="25" xfId="1" applyNumberFormat="1" applyFont="1" applyFill="1" applyBorder="1" applyAlignment="1">
      <alignment horizontal="center" vertical="center"/>
    </xf>
    <xf numFmtId="41" fontId="0" fillId="0" borderId="6" xfId="1" applyNumberFormat="1" applyFont="1" applyFill="1" applyBorder="1" applyAlignment="1">
      <alignment horizontal="center" vertical="center"/>
    </xf>
    <xf numFmtId="49" fontId="0" fillId="7" borderId="2" xfId="9" applyNumberFormat="1" applyFont="1" applyFill="1" applyBorder="1" applyAlignment="1" applyProtection="1">
      <alignment horizontal="center" vertical="center"/>
    </xf>
    <xf numFmtId="49" fontId="0" fillId="7" borderId="23" xfId="0" applyNumberFormat="1" applyFont="1" applyFill="1" applyBorder="1" applyAlignment="1" applyProtection="1">
      <alignment horizontal="center" vertical="center"/>
    </xf>
    <xf numFmtId="49" fontId="0" fillId="7" borderId="7" xfId="9" applyNumberFormat="1" applyFont="1" applyFill="1" applyBorder="1" applyAlignment="1" applyProtection="1">
      <alignment horizontal="center" vertical="center"/>
    </xf>
    <xf numFmtId="49" fontId="1" fillId="7" borderId="2" xfId="9" applyNumberFormat="1" applyFont="1" applyFill="1" applyBorder="1" applyAlignment="1" applyProtection="1">
      <alignment horizontal="center" vertical="center"/>
    </xf>
    <xf numFmtId="0" fontId="4" fillId="5" borderId="1" xfId="8" applyNumberFormat="1" applyFont="1" applyFill="1" applyBorder="1" applyAlignment="1">
      <alignment horizontal="center" vertical="center"/>
    </xf>
    <xf numFmtId="49" fontId="0" fillId="0" borderId="2" xfId="9" applyNumberFormat="1" applyFont="1" applyFill="1" applyBorder="1" applyAlignment="1" applyProtection="1">
      <alignment horizontal="center" vertical="center" wrapText="1"/>
    </xf>
    <xf numFmtId="49" fontId="0" fillId="0" borderId="23" xfId="9" applyNumberFormat="1" applyFont="1" applyFill="1" applyBorder="1" applyAlignment="1" applyProtection="1">
      <alignment horizontal="center" vertical="center" wrapText="1"/>
    </xf>
    <xf numFmtId="49" fontId="0" fillId="0" borderId="7" xfId="9" applyNumberFormat="1" applyFont="1" applyFill="1" applyBorder="1" applyAlignment="1" applyProtection="1">
      <alignment horizontal="center" vertical="center" wrapText="1"/>
    </xf>
    <xf numFmtId="49" fontId="0" fillId="7" borderId="2" xfId="9" applyNumberFormat="1" applyFont="1" applyFill="1" applyBorder="1" applyAlignment="1" applyProtection="1">
      <alignment horizontal="center" vertical="center" wrapText="1"/>
    </xf>
    <xf numFmtId="49" fontId="0" fillId="7" borderId="23" xfId="9" applyNumberFormat="1" applyFont="1" applyFill="1" applyBorder="1" applyAlignment="1" applyProtection="1">
      <alignment horizontal="center" vertical="center" wrapText="1"/>
    </xf>
    <xf numFmtId="49" fontId="0" fillId="7" borderId="7" xfId="9" applyNumberFormat="1" applyFont="1" applyFill="1" applyBorder="1" applyAlignment="1" applyProtection="1">
      <alignment horizontal="center" vertical="center" wrapText="1"/>
    </xf>
    <xf numFmtId="0" fontId="0" fillId="0" borderId="2" xfId="8" applyNumberFormat="1" applyFont="1" applyFill="1" applyBorder="1" applyAlignment="1">
      <alignment horizontal="center" vertical="center" wrapText="1"/>
    </xf>
    <xf numFmtId="0" fontId="0" fillId="0" borderId="7" xfId="8" applyNumberFormat="1" applyFont="1" applyFill="1" applyBorder="1" applyAlignment="1">
      <alignment horizontal="center" vertical="center"/>
    </xf>
    <xf numFmtId="0" fontId="0" fillId="0" borderId="14" xfId="8" applyNumberFormat="1" applyFont="1" applyFill="1" applyBorder="1" applyAlignment="1">
      <alignment horizontal="center" vertical="center"/>
    </xf>
    <xf numFmtId="0" fontId="0" fillId="0" borderId="0" xfId="8" applyNumberFormat="1" applyFont="1" applyFill="1" applyBorder="1" applyAlignment="1">
      <alignment horizontal="center" vertical="center"/>
    </xf>
    <xf numFmtId="0" fontId="0" fillId="0" borderId="27" xfId="8" applyNumberFormat="1" applyFont="1" applyFill="1" applyBorder="1" applyAlignment="1">
      <alignment horizontal="center" vertical="center"/>
    </xf>
    <xf numFmtId="0" fontId="0" fillId="0" borderId="2" xfId="9" applyNumberFormat="1" applyFont="1" applyFill="1" applyBorder="1" applyAlignment="1">
      <alignment horizontal="center" vertical="center"/>
    </xf>
    <xf numFmtId="0" fontId="0" fillId="0" borderId="23" xfId="9" applyNumberFormat="1" applyFont="1" applyFill="1" applyBorder="1" applyAlignment="1">
      <alignment horizontal="center" vertical="center"/>
    </xf>
    <xf numFmtId="0" fontId="4" fillId="11" borderId="26" xfId="9" applyNumberFormat="1" applyFont="1" applyFill="1" applyBorder="1" applyAlignment="1" applyProtection="1">
      <alignment horizontal="center" vertical="center"/>
    </xf>
    <xf numFmtId="0" fontId="4" fillId="11" borderId="26" xfId="0" applyNumberFormat="1" applyFont="1" applyFill="1" applyBorder="1" applyAlignment="1" applyProtection="1">
      <alignment horizontal="center" vertical="center"/>
    </xf>
    <xf numFmtId="0" fontId="0" fillId="0" borderId="7" xfId="9" applyNumberFormat="1" applyFont="1" applyFill="1" applyBorder="1" applyAlignment="1">
      <alignment horizontal="center" vertical="center" wrapText="1"/>
    </xf>
    <xf numFmtId="0" fontId="0" fillId="0" borderId="7" xfId="9" applyNumberFormat="1" applyFont="1" applyFill="1" applyBorder="1" applyAlignment="1">
      <alignment horizontal="center" vertical="center"/>
    </xf>
    <xf numFmtId="0" fontId="0" fillId="0" borderId="26" xfId="8" applyNumberFormat="1" applyFont="1" applyFill="1" applyBorder="1" applyAlignment="1">
      <alignment horizontal="center" vertical="center"/>
    </xf>
    <xf numFmtId="0" fontId="0" fillId="0" borderId="28" xfId="8" applyNumberFormat="1" applyFont="1" applyFill="1" applyBorder="1" applyAlignment="1">
      <alignment horizontal="center" vertical="center"/>
    </xf>
    <xf numFmtId="177" fontId="0" fillId="7" borderId="24" xfId="9" applyNumberFormat="1" applyFont="1" applyFill="1" applyBorder="1" applyAlignment="1">
      <alignment horizontal="center" vertical="center" wrapText="1"/>
    </xf>
    <xf numFmtId="177" fontId="0" fillId="7" borderId="13" xfId="9" applyNumberFormat="1" applyFont="1" applyFill="1" applyBorder="1" applyAlignment="1">
      <alignment horizontal="center" vertical="center"/>
    </xf>
    <xf numFmtId="177" fontId="0" fillId="7" borderId="25" xfId="9" applyNumberFormat="1" applyFont="1" applyFill="1" applyBorder="1" applyAlignment="1">
      <alignment horizontal="center" vertical="center"/>
    </xf>
    <xf numFmtId="177" fontId="0" fillId="7" borderId="6" xfId="9" applyNumberFormat="1" applyFont="1" applyFill="1" applyBorder="1" applyAlignment="1">
      <alignment horizontal="center" vertical="center"/>
    </xf>
    <xf numFmtId="17" fontId="0" fillId="7" borderId="1" xfId="9" applyNumberFormat="1" applyFont="1" applyFill="1" applyBorder="1" applyAlignment="1">
      <alignment horizontal="center" vertical="center" wrapText="1"/>
    </xf>
    <xf numFmtId="177" fontId="0" fillId="7" borderId="26" xfId="9" applyNumberFormat="1" applyFont="1" applyFill="1" applyBorder="1" applyAlignment="1">
      <alignment horizontal="center" vertical="center"/>
    </xf>
    <xf numFmtId="177" fontId="0" fillId="7" borderId="28" xfId="9" applyNumberFormat="1" applyFont="1" applyFill="1" applyBorder="1" applyAlignment="1">
      <alignment horizontal="center" vertical="center"/>
    </xf>
    <xf numFmtId="49" fontId="1" fillId="0" borderId="2" xfId="9" applyNumberFormat="1" applyFont="1" applyFill="1" applyBorder="1" applyAlignment="1" applyProtection="1">
      <alignment horizontal="center" vertical="center"/>
    </xf>
    <xf numFmtId="49" fontId="0" fillId="0" borderId="23" xfId="0" applyNumberFormat="1" applyFont="1" applyFill="1" applyBorder="1" applyAlignment="1" applyProtection="1">
      <alignment horizontal="center" vertical="center"/>
    </xf>
    <xf numFmtId="49" fontId="0" fillId="0" borderId="7" xfId="9" applyNumberFormat="1" applyFont="1" applyFill="1" applyBorder="1" applyAlignment="1" applyProtection="1">
      <alignment horizontal="center" vertical="center"/>
    </xf>
    <xf numFmtId="49" fontId="1" fillId="0" borderId="2" xfId="7" applyNumberFormat="1" applyFont="1" applyFill="1" applyBorder="1" applyAlignment="1" applyProtection="1">
      <alignment horizontal="center" vertical="center"/>
    </xf>
    <xf numFmtId="49" fontId="0" fillId="0" borderId="7" xfId="7" applyNumberFormat="1" applyFont="1" applyFill="1" applyBorder="1" applyAlignment="1" applyProtection="1">
      <alignment horizontal="center" vertical="center"/>
    </xf>
    <xf numFmtId="0" fontId="4" fillId="5" borderId="25" xfId="7" applyNumberFormat="1" applyFont="1" applyFill="1" applyBorder="1" applyAlignment="1">
      <alignment horizontal="center" vertical="center"/>
    </xf>
    <xf numFmtId="0" fontId="4" fillId="5" borderId="27" xfId="7" applyNumberFormat="1" applyFont="1" applyFill="1" applyBorder="1" applyAlignment="1">
      <alignment horizontal="center" vertical="center"/>
    </xf>
    <xf numFmtId="0" fontId="4" fillId="5" borderId="6" xfId="7" applyNumberFormat="1" applyFont="1" applyFill="1" applyBorder="1" applyAlignment="1">
      <alignment horizontal="center" vertical="center"/>
    </xf>
    <xf numFmtId="49" fontId="0" fillId="0" borderId="2" xfId="9" applyNumberFormat="1" applyFont="1" applyFill="1" applyBorder="1" applyAlignment="1" applyProtection="1">
      <alignment horizontal="center" vertical="center"/>
    </xf>
    <xf numFmtId="49" fontId="0" fillId="0" borderId="2" xfId="7" applyNumberFormat="1" applyFont="1" applyFill="1" applyBorder="1" applyAlignment="1" applyProtection="1">
      <alignment horizontal="center" vertical="center"/>
    </xf>
    <xf numFmtId="0" fontId="4" fillId="5" borderId="1" xfId="7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49" fontId="0" fillId="0" borderId="23" xfId="9" applyNumberFormat="1" applyFont="1" applyFill="1" applyBorder="1" applyAlignment="1" applyProtection="1">
      <alignment horizontal="center" vertical="center"/>
    </xf>
    <xf numFmtId="49" fontId="0" fillId="0" borderId="23" xfId="7" applyNumberFormat="1" applyFont="1" applyFill="1" applyBorder="1" applyAlignment="1" applyProtection="1">
      <alignment horizontal="center" vertical="center"/>
    </xf>
    <xf numFmtId="177" fontId="4" fillId="5" borderId="3" xfId="7" applyNumberFormat="1" applyFont="1" applyFill="1" applyBorder="1" applyAlignment="1">
      <alignment horizontal="center" vertical="center" wrapText="1"/>
    </xf>
    <xf numFmtId="177" fontId="4" fillId="5" borderId="5" xfId="7" applyNumberFormat="1" applyFont="1" applyFill="1" applyBorder="1" applyAlignment="1">
      <alignment horizontal="center" vertical="center" wrapText="1"/>
    </xf>
    <xf numFmtId="0" fontId="4" fillId="5" borderId="2" xfId="8" applyNumberFormat="1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5" fillId="11" borderId="2" xfId="9" applyNumberFormat="1" applyFont="1" applyFill="1" applyBorder="1" applyAlignment="1">
      <alignment horizontal="center" vertical="center"/>
    </xf>
    <xf numFmtId="0" fontId="5" fillId="11" borderId="23" xfId="9" applyNumberFormat="1" applyFont="1" applyFill="1" applyBorder="1" applyAlignment="1">
      <alignment horizontal="center" vertical="center"/>
    </xf>
    <xf numFmtId="0" fontId="5" fillId="11" borderId="7" xfId="9" applyNumberFormat="1" applyFont="1" applyFill="1" applyBorder="1" applyAlignment="1">
      <alignment horizontal="center" vertical="center"/>
    </xf>
    <xf numFmtId="0" fontId="0" fillId="0" borderId="23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7" borderId="2" xfId="8" applyNumberFormat="1" applyFont="1" applyFill="1" applyBorder="1" applyAlignment="1">
      <alignment horizontal="center" vertical="center" wrapText="1"/>
    </xf>
    <xf numFmtId="0" fontId="0" fillId="7" borderId="7" xfId="8" applyNumberFormat="1" applyFont="1" applyFill="1" applyBorder="1" applyAlignment="1">
      <alignment horizontal="center" vertical="center" wrapText="1"/>
    </xf>
    <xf numFmtId="14" fontId="0" fillId="7" borderId="2" xfId="6" applyNumberFormat="1" applyFont="1" applyFill="1" applyBorder="1" applyAlignment="1" applyProtection="1">
      <alignment horizontal="center" vertical="center"/>
    </xf>
    <xf numFmtId="14" fontId="0" fillId="7" borderId="23" xfId="0" applyNumberFormat="1" applyFont="1" applyFill="1" applyBorder="1" applyAlignment="1" applyProtection="1">
      <alignment horizontal="center" vertical="center"/>
    </xf>
    <xf numFmtId="14" fontId="0" fillId="7" borderId="23" xfId="6" applyNumberFormat="1" applyFont="1" applyFill="1" applyBorder="1" applyAlignment="1" applyProtection="1">
      <alignment horizontal="center" vertical="center"/>
    </xf>
    <xf numFmtId="14" fontId="0" fillId="7" borderId="2" xfId="0" quotePrefix="1" applyNumberFormat="1" applyFont="1" applyFill="1" applyBorder="1" applyAlignment="1" applyProtection="1">
      <alignment horizontal="center" vertical="center"/>
    </xf>
    <xf numFmtId="14" fontId="0" fillId="7" borderId="7" xfId="0" applyNumberFormat="1" applyFont="1" applyFill="1" applyBorder="1" applyAlignment="1" applyProtection="1">
      <alignment horizontal="center" vertical="center"/>
    </xf>
    <xf numFmtId="177" fontId="0" fillId="0" borderId="24" xfId="7" applyNumberFormat="1" applyFont="1" applyFill="1" applyBorder="1" applyAlignment="1">
      <alignment horizontal="center" vertical="center" wrapText="1"/>
    </xf>
    <xf numFmtId="49" fontId="0" fillId="0" borderId="1" xfId="8" applyNumberFormat="1" applyFont="1" applyFill="1" applyBorder="1" applyAlignment="1">
      <alignment horizontal="center" vertical="center"/>
    </xf>
    <xf numFmtId="49" fontId="1" fillId="0" borderId="1" xfId="8" applyNumberFormat="1" applyFont="1" applyFill="1" applyBorder="1" applyAlignment="1">
      <alignment horizontal="center" vertical="center" wrapText="1"/>
    </xf>
    <xf numFmtId="177" fontId="4" fillId="5" borderId="3" xfId="9" applyNumberFormat="1" applyFont="1" applyFill="1" applyBorder="1" applyAlignment="1">
      <alignment horizontal="center" vertical="center" shrinkToFit="1"/>
    </xf>
    <xf numFmtId="177" fontId="4" fillId="5" borderId="5" xfId="9" applyNumberFormat="1" applyFont="1" applyFill="1" applyBorder="1" applyAlignment="1">
      <alignment horizontal="center" vertical="center" shrinkToFit="1"/>
    </xf>
    <xf numFmtId="49" fontId="0" fillId="0" borderId="23" xfId="6" applyNumberFormat="1" applyFont="1" applyFill="1" applyBorder="1" applyAlignment="1" applyProtection="1">
      <alignment horizontal="center" vertical="center" wrapText="1"/>
    </xf>
    <xf numFmtId="49" fontId="0" fillId="0" borderId="23" xfId="0" applyNumberFormat="1" applyFont="1" applyFill="1" applyBorder="1" applyAlignment="1" applyProtection="1">
      <alignment horizontal="center" vertical="center" wrapText="1"/>
    </xf>
    <xf numFmtId="177" fontId="4" fillId="5" borderId="3" xfId="6" applyNumberFormat="1" applyFont="1" applyFill="1" applyBorder="1" applyAlignment="1">
      <alignment horizontal="center" vertical="center"/>
    </xf>
    <xf numFmtId="177" fontId="4" fillId="5" borderId="5" xfId="6" applyNumberFormat="1" applyFont="1" applyFill="1" applyBorder="1" applyAlignment="1">
      <alignment horizontal="center" vertical="center"/>
    </xf>
    <xf numFmtId="0" fontId="5" fillId="11" borderId="2" xfId="6" applyNumberFormat="1" applyFont="1" applyFill="1" applyBorder="1" applyAlignment="1">
      <alignment horizontal="center" vertical="center"/>
    </xf>
    <xf numFmtId="0" fontId="6" fillId="7" borderId="2" xfId="6" applyNumberFormat="1" applyFont="1" applyFill="1" applyBorder="1" applyAlignment="1">
      <alignment horizontal="center" vertical="center"/>
    </xf>
    <xf numFmtId="17" fontId="0" fillId="7" borderId="2" xfId="0" quotePrefix="1" applyNumberFormat="1" applyFont="1" applyFill="1" applyBorder="1" applyAlignment="1" applyProtection="1">
      <alignment horizontal="center" vertical="center"/>
    </xf>
    <xf numFmtId="17" fontId="0" fillId="7" borderId="23" xfId="0" applyNumberFormat="1" applyFont="1" applyFill="1" applyBorder="1" applyAlignment="1" applyProtection="1">
      <alignment horizontal="center" vertical="center"/>
    </xf>
    <xf numFmtId="17" fontId="0" fillId="7" borderId="7" xfId="0" applyNumberFormat="1" applyFont="1" applyFill="1" applyBorder="1" applyAlignment="1" applyProtection="1">
      <alignment horizontal="center" vertical="center"/>
    </xf>
    <xf numFmtId="0" fontId="0" fillId="7" borderId="2" xfId="0" applyNumberFormat="1" applyFont="1" applyFill="1" applyBorder="1" applyAlignment="1" applyProtection="1">
      <alignment horizontal="center" vertical="center"/>
    </xf>
    <xf numFmtId="0" fontId="0" fillId="7" borderId="23" xfId="0" applyNumberFormat="1" applyFont="1" applyFill="1" applyBorder="1" applyAlignment="1" applyProtection="1">
      <alignment horizontal="center" vertical="center"/>
    </xf>
    <xf numFmtId="0" fontId="5" fillId="5" borderId="3" xfId="6" applyNumberFormat="1" applyFont="1" applyFill="1" applyBorder="1" applyAlignment="1">
      <alignment horizontal="center" vertical="center"/>
    </xf>
    <xf numFmtId="17" fontId="0" fillId="0" borderId="1" xfId="9" applyNumberFormat="1" applyFont="1" applyFill="1" applyBorder="1" applyAlignment="1">
      <alignment horizontal="center" vertical="center" wrapText="1"/>
    </xf>
    <xf numFmtId="0" fontId="0" fillId="0" borderId="13" xfId="9" applyNumberFormat="1" applyFont="1" applyFill="1" applyBorder="1" applyAlignment="1">
      <alignment horizontal="center" vertical="center" wrapText="1"/>
    </xf>
    <xf numFmtId="0" fontId="0" fillId="0" borderId="28" xfId="9" applyNumberFormat="1" applyFont="1" applyFill="1" applyBorder="1" applyAlignment="1">
      <alignment horizontal="center" vertical="center" wrapText="1"/>
    </xf>
    <xf numFmtId="0" fontId="0" fillId="0" borderId="6" xfId="9" applyNumberFormat="1" applyFont="1" applyFill="1" applyBorder="1" applyAlignment="1">
      <alignment horizontal="center" vertical="center" wrapText="1"/>
    </xf>
    <xf numFmtId="0" fontId="1" fillId="7" borderId="2" xfId="0" applyNumberFormat="1" applyFont="1" applyFill="1" applyBorder="1" applyAlignment="1" applyProtection="1">
      <alignment horizontal="center" vertical="center"/>
    </xf>
    <xf numFmtId="0" fontId="5" fillId="12" borderId="2" xfId="6" applyNumberFormat="1" applyFont="1" applyFill="1" applyBorder="1" applyAlignment="1">
      <alignment horizontal="center" vertical="center"/>
    </xf>
    <xf numFmtId="0" fontId="6" fillId="7" borderId="24" xfId="6" applyNumberFormat="1" applyFont="1" applyFill="1" applyBorder="1" applyAlignment="1">
      <alignment horizontal="center" vertical="center" wrapText="1"/>
    </xf>
    <xf numFmtId="0" fontId="6" fillId="7" borderId="2" xfId="6" applyNumberFormat="1" applyFont="1" applyFill="1" applyBorder="1" applyAlignment="1">
      <alignment horizontal="center" vertical="center" wrapText="1"/>
    </xf>
    <xf numFmtId="17" fontId="0" fillId="0" borderId="14" xfId="9" applyNumberFormat="1" applyFont="1" applyFill="1" applyBorder="1" applyAlignment="1">
      <alignment horizontal="center" vertical="center"/>
    </xf>
    <xf numFmtId="17" fontId="0" fillId="0" borderId="13" xfId="9" applyNumberFormat="1" applyFont="1" applyFill="1" applyBorder="1" applyAlignment="1">
      <alignment horizontal="center" vertical="center"/>
    </xf>
    <xf numFmtId="17" fontId="0" fillId="0" borderId="26" xfId="9" applyNumberFormat="1" applyFont="1" applyFill="1" applyBorder="1" applyAlignment="1">
      <alignment horizontal="center" vertical="center"/>
    </xf>
    <xf numFmtId="17" fontId="0" fillId="0" borderId="0" xfId="9" applyNumberFormat="1" applyFont="1" applyFill="1" applyBorder="1" applyAlignment="1">
      <alignment horizontal="center" vertical="center"/>
    </xf>
    <xf numFmtId="17" fontId="0" fillId="0" borderId="28" xfId="9" applyNumberFormat="1" applyFont="1" applyFill="1" applyBorder="1" applyAlignment="1">
      <alignment horizontal="center" vertical="center"/>
    </xf>
    <xf numFmtId="17" fontId="0" fillId="0" borderId="25" xfId="9" applyNumberFormat="1" applyFont="1" applyFill="1" applyBorder="1" applyAlignment="1">
      <alignment horizontal="center" vertical="center"/>
    </xf>
    <xf numFmtId="17" fontId="0" fillId="0" borderId="27" xfId="9" applyNumberFormat="1" applyFont="1" applyFill="1" applyBorder="1" applyAlignment="1">
      <alignment horizontal="center" vertical="center"/>
    </xf>
    <xf numFmtId="17" fontId="0" fillId="0" borderId="6" xfId="9" applyNumberFormat="1" applyFont="1" applyFill="1" applyBorder="1" applyAlignment="1">
      <alignment horizontal="center" vertical="center"/>
    </xf>
    <xf numFmtId="49" fontId="1" fillId="0" borderId="2" xfId="9" applyNumberFormat="1" applyFont="1" applyFill="1" applyBorder="1" applyAlignment="1" applyProtection="1">
      <alignment horizontal="center" vertical="center" wrapText="1"/>
    </xf>
    <xf numFmtId="177" fontId="4" fillId="5" borderId="3" xfId="9" applyNumberFormat="1" applyFont="1" applyFill="1" applyBorder="1" applyAlignment="1" applyProtection="1">
      <alignment horizontal="center" vertical="center"/>
    </xf>
    <xf numFmtId="177" fontId="4" fillId="5" borderId="5" xfId="9" applyNumberFormat="1" applyFont="1" applyFill="1" applyBorder="1" applyAlignment="1" applyProtection="1">
      <alignment horizontal="center" vertical="center"/>
    </xf>
    <xf numFmtId="17" fontId="0" fillId="0" borderId="1" xfId="9" applyNumberFormat="1" applyFont="1" applyBorder="1" applyAlignment="1">
      <alignment horizontal="center" vertical="center" wrapText="1"/>
    </xf>
    <xf numFmtId="0" fontId="0" fillId="0" borderId="28" xfId="9" applyNumberFormat="1" applyFont="1" applyBorder="1" applyAlignment="1">
      <alignment horizontal="center" vertical="center" wrapText="1"/>
    </xf>
    <xf numFmtId="0" fontId="0" fillId="0" borderId="2" xfId="9" applyNumberFormat="1" applyFont="1" applyBorder="1" applyAlignment="1">
      <alignment horizontal="center" vertical="center" wrapText="1"/>
    </xf>
    <xf numFmtId="0" fontId="0" fillId="0" borderId="23" xfId="9" applyNumberFormat="1" applyFont="1" applyBorder="1" applyAlignment="1">
      <alignment horizontal="center" vertical="center" wrapText="1"/>
    </xf>
    <xf numFmtId="177" fontId="0" fillId="0" borderId="13" xfId="7" applyNumberFormat="1" applyFont="1" applyFill="1" applyBorder="1" applyAlignment="1" applyProtection="1">
      <alignment horizontal="center" vertical="center"/>
    </xf>
    <xf numFmtId="177" fontId="0" fillId="0" borderId="26" xfId="7" applyNumberFormat="1" applyFont="1" applyFill="1" applyBorder="1" applyAlignment="1" applyProtection="1">
      <alignment horizontal="center" vertical="center"/>
    </xf>
    <xf numFmtId="177" fontId="0" fillId="0" borderId="28" xfId="7" applyNumberFormat="1" applyFont="1" applyFill="1" applyBorder="1" applyAlignment="1" applyProtection="1">
      <alignment horizontal="center" vertical="center"/>
    </xf>
    <xf numFmtId="177" fontId="0" fillId="0" borderId="25" xfId="7" applyNumberFormat="1" applyFont="1" applyFill="1" applyBorder="1" applyAlignment="1" applyProtection="1">
      <alignment horizontal="center" vertical="center"/>
    </xf>
    <xf numFmtId="177" fontId="0" fillId="0" borderId="6" xfId="7" applyNumberFormat="1" applyFont="1" applyFill="1" applyBorder="1" applyAlignment="1" applyProtection="1">
      <alignment horizontal="center" vertical="center"/>
    </xf>
    <xf numFmtId="0" fontId="0" fillId="0" borderId="1" xfId="9" applyNumberFormat="1" applyFont="1" applyFill="1" applyBorder="1" applyAlignment="1">
      <alignment horizontal="center" vertical="center" wrapText="1"/>
    </xf>
    <xf numFmtId="49" fontId="0" fillId="0" borderId="2" xfId="9" quotePrefix="1" applyNumberFormat="1" applyFont="1" applyFill="1" applyBorder="1" applyAlignment="1" applyProtection="1">
      <alignment horizontal="center" vertical="center" wrapText="1"/>
    </xf>
    <xf numFmtId="49" fontId="1" fillId="7" borderId="2" xfId="9" applyNumberFormat="1" applyFont="1" applyFill="1" applyBorder="1" applyAlignment="1" applyProtection="1">
      <alignment horizontal="center" vertical="center" wrapText="1"/>
    </xf>
    <xf numFmtId="0" fontId="0" fillId="0" borderId="24" xfId="0" applyNumberFormat="1" applyFont="1" applyFill="1" applyBorder="1" applyAlignment="1">
      <alignment horizontal="center" vertical="center"/>
    </xf>
    <xf numFmtId="0" fontId="0" fillId="0" borderId="1" xfId="9" applyNumberFormat="1" applyFont="1" applyBorder="1" applyAlignment="1">
      <alignment horizontal="center" vertical="center"/>
    </xf>
    <xf numFmtId="183" fontId="0" fillId="7" borderId="24" xfId="9" applyNumberFormat="1" applyFont="1" applyFill="1" applyBorder="1" applyAlignment="1">
      <alignment horizontal="center" vertical="center" wrapText="1"/>
    </xf>
    <xf numFmtId="183" fontId="0" fillId="7" borderId="13" xfId="9" applyNumberFormat="1" applyFont="1" applyFill="1" applyBorder="1" applyAlignment="1">
      <alignment horizontal="center" vertical="center"/>
    </xf>
    <xf numFmtId="183" fontId="0" fillId="7" borderId="26" xfId="9" applyNumberFormat="1" applyFont="1" applyFill="1" applyBorder="1" applyAlignment="1">
      <alignment horizontal="center" vertical="center"/>
    </xf>
    <xf numFmtId="183" fontId="0" fillId="7" borderId="28" xfId="9" applyNumberFormat="1" applyFont="1" applyFill="1" applyBorder="1" applyAlignment="1">
      <alignment horizontal="center" vertical="center"/>
    </xf>
    <xf numFmtId="183" fontId="0" fillId="7" borderId="25" xfId="9" applyNumberFormat="1" applyFont="1" applyFill="1" applyBorder="1" applyAlignment="1">
      <alignment horizontal="center" vertical="center"/>
    </xf>
    <xf numFmtId="183" fontId="0" fillId="7" borderId="6" xfId="9" applyNumberFormat="1" applyFon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26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5" xfId="0" applyNumberFormat="1" applyFill="1" applyBorder="1" applyAlignment="1">
      <alignment horizontal="center" vertical="center"/>
    </xf>
    <xf numFmtId="0" fontId="0" fillId="0" borderId="27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24" xfId="8" applyNumberFormat="1" applyFont="1" applyFill="1" applyBorder="1" applyAlignment="1">
      <alignment horizontal="center" vertical="center"/>
    </xf>
    <xf numFmtId="17" fontId="0" fillId="0" borderId="24" xfId="9" applyNumberFormat="1" applyFont="1" applyFill="1" applyBorder="1" applyAlignment="1">
      <alignment horizontal="center" vertical="center"/>
    </xf>
    <xf numFmtId="0" fontId="0" fillId="0" borderId="23" xfId="8" applyNumberFormat="1" applyFont="1" applyFill="1" applyBorder="1" applyAlignment="1">
      <alignment horizontal="center" vertical="center" wrapText="1"/>
    </xf>
    <xf numFmtId="0" fontId="0" fillId="0" borderId="7" xfId="8" applyNumberFormat="1" applyFont="1" applyFill="1" applyBorder="1" applyAlignment="1">
      <alignment horizontal="center" vertical="center" wrapText="1"/>
    </xf>
    <xf numFmtId="0" fontId="0" fillId="7" borderId="2" xfId="9" applyNumberFormat="1" applyFont="1" applyFill="1" applyBorder="1" applyAlignment="1">
      <alignment horizontal="center" vertical="center"/>
    </xf>
    <xf numFmtId="0" fontId="0" fillId="0" borderId="1" xfId="8" applyNumberFormat="1" applyFont="1" applyFill="1" applyBorder="1" applyAlignment="1">
      <alignment horizontal="center" vertical="center" wrapText="1"/>
    </xf>
    <xf numFmtId="177" fontId="1" fillId="7" borderId="24" xfId="9" applyNumberFormat="1" applyFont="1" applyFill="1" applyBorder="1" applyAlignment="1" applyProtection="1">
      <alignment horizontal="center" vertical="center" wrapText="1"/>
    </xf>
    <xf numFmtId="177" fontId="0" fillId="7" borderId="13" xfId="9" applyNumberFormat="1" applyFont="1" applyFill="1" applyBorder="1" applyAlignment="1" applyProtection="1">
      <alignment horizontal="center" vertical="center"/>
    </xf>
    <xf numFmtId="177" fontId="0" fillId="7" borderId="25" xfId="9" applyNumberFormat="1" applyFont="1" applyFill="1" applyBorder="1" applyAlignment="1" applyProtection="1">
      <alignment horizontal="center" vertical="center"/>
    </xf>
    <xf numFmtId="177" fontId="0" fillId="7" borderId="6" xfId="9" applyNumberFormat="1" applyFont="1" applyFill="1" applyBorder="1" applyAlignment="1" applyProtection="1">
      <alignment horizontal="center" vertical="center"/>
    </xf>
    <xf numFmtId="0" fontId="18" fillId="7" borderId="2" xfId="8" applyNumberFormat="1" applyFont="1" applyFill="1" applyBorder="1" applyAlignment="1">
      <alignment horizontal="center" vertical="center" wrapText="1"/>
    </xf>
    <xf numFmtId="0" fontId="18" fillId="0" borderId="23" xfId="0" applyNumberFormat="1" applyFont="1" applyFill="1" applyBorder="1" applyAlignment="1">
      <alignment horizontal="center" vertical="center"/>
    </xf>
    <xf numFmtId="0" fontId="18" fillId="0" borderId="7" xfId="0" applyNumberFormat="1" applyFont="1" applyFill="1" applyBorder="1" applyAlignment="1">
      <alignment horizontal="center" vertical="center"/>
    </xf>
    <xf numFmtId="177" fontId="0" fillId="7" borderId="13" xfId="9" applyNumberFormat="1" applyFont="1" applyFill="1" applyBorder="1" applyAlignment="1">
      <alignment horizontal="center" vertical="center" wrapText="1"/>
    </xf>
    <xf numFmtId="177" fontId="0" fillId="7" borderId="26" xfId="9" applyNumberFormat="1" applyFont="1" applyFill="1" applyBorder="1" applyAlignment="1">
      <alignment horizontal="center" vertical="center" wrapText="1"/>
    </xf>
    <xf numFmtId="177" fontId="0" fillId="7" borderId="28" xfId="9" applyNumberFormat="1" applyFont="1" applyFill="1" applyBorder="1" applyAlignment="1">
      <alignment horizontal="center" vertical="center" wrapText="1"/>
    </xf>
    <xf numFmtId="177" fontId="0" fillId="7" borderId="25" xfId="9" applyNumberFormat="1" applyFont="1" applyFill="1" applyBorder="1" applyAlignment="1">
      <alignment horizontal="center" vertical="center" wrapText="1"/>
    </xf>
    <xf numFmtId="177" fontId="0" fillId="7" borderId="6" xfId="9" applyNumberFormat="1" applyFont="1" applyFill="1" applyBorder="1" applyAlignment="1">
      <alignment horizontal="center" vertical="center" wrapText="1"/>
    </xf>
    <xf numFmtId="0" fontId="0" fillId="0" borderId="24" xfId="9" applyNumberFormat="1" applyFont="1" applyFill="1" applyBorder="1" applyAlignment="1">
      <alignment horizontal="center" vertical="center" wrapText="1"/>
    </xf>
    <xf numFmtId="177" fontId="0" fillId="0" borderId="25" xfId="7" applyNumberFormat="1" applyFont="1" applyFill="1" applyBorder="1" applyAlignment="1">
      <alignment horizontal="center" vertical="center" wrapText="1"/>
    </xf>
    <xf numFmtId="177" fontId="0" fillId="0" borderId="6" xfId="7" applyNumberFormat="1" applyFont="1" applyFill="1" applyBorder="1" applyAlignment="1">
      <alignment horizontal="center" vertical="center" wrapText="1"/>
    </xf>
    <xf numFmtId="0" fontId="0" fillId="0" borderId="2" xfId="8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23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77" fontId="0" fillId="0" borderId="13" xfId="9" applyNumberFormat="1" applyFont="1" applyFill="1" applyBorder="1" applyAlignment="1">
      <alignment horizontal="center" vertical="center" wrapText="1"/>
    </xf>
    <xf numFmtId="177" fontId="0" fillId="0" borderId="26" xfId="9" applyNumberFormat="1" applyFont="1" applyFill="1" applyBorder="1" applyAlignment="1">
      <alignment horizontal="center" vertical="center" wrapText="1"/>
    </xf>
    <xf numFmtId="177" fontId="0" fillId="0" borderId="28" xfId="9" applyNumberFormat="1" applyFont="1" applyFill="1" applyBorder="1" applyAlignment="1">
      <alignment horizontal="center" vertical="center" wrapText="1"/>
    </xf>
    <xf numFmtId="177" fontId="0" fillId="0" borderId="25" xfId="9" applyNumberFormat="1" applyFont="1" applyFill="1" applyBorder="1" applyAlignment="1">
      <alignment horizontal="center" vertical="center" wrapText="1"/>
    </xf>
    <xf numFmtId="177" fontId="0" fillId="0" borderId="6" xfId="9" applyNumberFormat="1" applyFont="1" applyFill="1" applyBorder="1" applyAlignment="1">
      <alignment horizontal="center" vertical="center" wrapText="1"/>
    </xf>
    <xf numFmtId="14" fontId="0" fillId="0" borderId="2" xfId="9" applyNumberFormat="1" applyFont="1" applyFill="1" applyBorder="1" applyAlignment="1" applyProtection="1">
      <alignment horizontal="center" vertical="center" wrapText="1"/>
    </xf>
    <xf numFmtId="14" fontId="0" fillId="0" borderId="23" xfId="9" applyNumberFormat="1" applyFont="1" applyFill="1" applyBorder="1" applyAlignment="1" applyProtection="1">
      <alignment horizontal="center" vertical="center" wrapText="1"/>
    </xf>
    <xf numFmtId="14" fontId="0" fillId="0" borderId="7" xfId="9" applyNumberFormat="1" applyFont="1" applyFill="1" applyBorder="1" applyAlignment="1" applyProtection="1">
      <alignment horizontal="center" vertical="center" wrapText="1"/>
    </xf>
    <xf numFmtId="178" fontId="0" fillId="6" borderId="1" xfId="7" applyNumberFormat="1" applyFont="1" applyFill="1" applyBorder="1" applyAlignment="1">
      <alignment horizontal="center" vertical="center" wrapText="1"/>
    </xf>
    <xf numFmtId="177" fontId="0" fillId="6" borderId="1" xfId="7" applyNumberFormat="1" applyFont="1" applyFill="1" applyBorder="1" applyAlignment="1">
      <alignment horizontal="center" vertical="center" wrapText="1"/>
    </xf>
    <xf numFmtId="177" fontId="0" fillId="6" borderId="1" xfId="7" applyNumberFormat="1" applyFont="1" applyFill="1" applyBorder="1" applyAlignment="1">
      <alignment horizontal="center" vertical="center"/>
    </xf>
    <xf numFmtId="0" fontId="4" fillId="11" borderId="23" xfId="0" applyNumberFormat="1" applyFont="1" applyFill="1" applyBorder="1" applyAlignment="1" applyProtection="1">
      <alignment horizontal="center" vertical="center"/>
    </xf>
    <xf numFmtId="0" fontId="4" fillId="11" borderId="7" xfId="0" applyNumberFormat="1" applyFont="1" applyFill="1" applyBorder="1" applyAlignment="1" applyProtection="1">
      <alignment horizontal="center" vertical="center"/>
    </xf>
    <xf numFmtId="0" fontId="1" fillId="13" borderId="1" xfId="9" applyFont="1" applyFill="1" applyBorder="1" applyAlignment="1">
      <alignment horizontal="center" vertical="center" wrapText="1"/>
    </xf>
    <xf numFmtId="17" fontId="1" fillId="0" borderId="1" xfId="9" applyNumberFormat="1" applyFont="1" applyFill="1" applyBorder="1" applyAlignment="1">
      <alignment horizontal="center" vertical="center" wrapText="1"/>
    </xf>
    <xf numFmtId="0" fontId="15" fillId="0" borderId="2" xfId="8" applyFont="1" applyFill="1" applyBorder="1" applyAlignment="1">
      <alignment horizontal="center" vertical="center"/>
    </xf>
    <xf numFmtId="0" fontId="15" fillId="0" borderId="23" xfId="8" applyFont="1" applyFill="1" applyBorder="1" applyAlignment="1">
      <alignment horizontal="center" vertical="center"/>
    </xf>
    <xf numFmtId="0" fontId="15" fillId="0" borderId="7" xfId="8" applyFont="1" applyFill="1" applyBorder="1" applyAlignment="1">
      <alignment horizontal="center" vertical="center"/>
    </xf>
    <xf numFmtId="0" fontId="15" fillId="0" borderId="2" xfId="8" applyFont="1" applyFill="1" applyBorder="1" applyAlignment="1">
      <alignment horizontal="center" vertical="center" wrapText="1"/>
    </xf>
    <xf numFmtId="0" fontId="15" fillId="0" borderId="23" xfId="8" applyFont="1" applyFill="1" applyBorder="1" applyAlignment="1">
      <alignment horizontal="center" vertical="center" wrapText="1"/>
    </xf>
    <xf numFmtId="0" fontId="15" fillId="0" borderId="7" xfId="8" applyFont="1" applyFill="1" applyBorder="1" applyAlignment="1">
      <alignment horizontal="center" vertical="center" wrapText="1"/>
    </xf>
    <xf numFmtId="0" fontId="10" fillId="0" borderId="0" xfId="4" applyNumberFormat="1" applyFont="1" applyAlignment="1">
      <alignment horizontal="left" vertical="center"/>
    </xf>
    <xf numFmtId="0" fontId="0" fillId="6" borderId="1" xfId="7" applyNumberFormat="1" applyFont="1" applyFill="1" applyBorder="1" applyAlignment="1">
      <alignment horizontal="center" vertical="center"/>
    </xf>
    <xf numFmtId="0" fontId="0" fillId="6" borderId="1" xfId="7" applyNumberFormat="1" applyFont="1" applyFill="1" applyBorder="1" applyAlignment="1">
      <alignment horizontal="center" vertical="center" wrapText="1"/>
    </xf>
    <xf numFmtId="49" fontId="0" fillId="6" borderId="1" xfId="7" applyNumberFormat="1" applyFont="1" applyFill="1" applyBorder="1" applyAlignment="1">
      <alignment horizontal="center" vertical="center" wrapText="1"/>
    </xf>
    <xf numFmtId="49" fontId="0" fillId="6" borderId="1" xfId="7" applyNumberFormat="1" applyFont="1" applyFill="1" applyBorder="1" applyAlignment="1">
      <alignment horizontal="center" vertical="center"/>
    </xf>
    <xf numFmtId="0" fontId="0" fillId="3" borderId="1" xfId="7" applyNumberFormat="1" applyFont="1" applyFill="1" applyBorder="1" applyAlignment="1">
      <alignment horizontal="center" vertical="center"/>
    </xf>
    <xf numFmtId="14" fontId="16" fillId="0" borderId="2" xfId="9" applyNumberFormat="1" applyFont="1" applyBorder="1" applyAlignment="1">
      <alignment horizontal="center" vertical="center" wrapText="1"/>
    </xf>
    <xf numFmtId="14" fontId="16" fillId="0" borderId="23" xfId="9" applyNumberFormat="1" applyFont="1" applyBorder="1" applyAlignment="1">
      <alignment horizontal="center" vertical="center" wrapText="1"/>
    </xf>
    <xf numFmtId="14" fontId="16" fillId="0" borderId="7" xfId="9" applyNumberFormat="1" applyFont="1" applyBorder="1" applyAlignment="1">
      <alignment horizontal="center" vertical="center" wrapText="1"/>
    </xf>
    <xf numFmtId="49" fontId="16" fillId="0" borderId="2" xfId="9" applyNumberFormat="1" applyFont="1" applyBorder="1" applyAlignment="1">
      <alignment horizontal="center" vertical="center" wrapText="1"/>
    </xf>
    <xf numFmtId="49" fontId="16" fillId="0" borderId="23" xfId="9" applyNumberFormat="1" applyFont="1" applyBorder="1" applyAlignment="1">
      <alignment horizontal="center" vertical="center" wrapText="1"/>
    </xf>
    <xf numFmtId="49" fontId="16" fillId="0" borderId="7" xfId="9" applyNumberFormat="1" applyFont="1" applyBorder="1" applyAlignment="1">
      <alignment horizontal="center" vertical="center" wrapText="1"/>
    </xf>
    <xf numFmtId="49" fontId="16" fillId="13" borderId="2" xfId="9" applyNumberFormat="1" applyFont="1" applyFill="1" applyBorder="1" applyAlignment="1">
      <alignment horizontal="center" vertical="center" wrapText="1"/>
    </xf>
    <xf numFmtId="49" fontId="16" fillId="13" borderId="23" xfId="9" applyNumberFormat="1" applyFont="1" applyFill="1" applyBorder="1" applyAlignment="1">
      <alignment horizontal="center" vertical="center" wrapText="1"/>
    </xf>
    <xf numFmtId="49" fontId="16" fillId="13" borderId="7" xfId="9" applyNumberFormat="1" applyFont="1" applyFill="1" applyBorder="1" applyAlignment="1">
      <alignment horizontal="center" vertical="center" wrapText="1"/>
    </xf>
    <xf numFmtId="49" fontId="15" fillId="13" borderId="2" xfId="9" applyNumberFormat="1" applyFont="1" applyFill="1" applyBorder="1" applyAlignment="1">
      <alignment horizontal="center" vertical="center" wrapText="1"/>
    </xf>
    <xf numFmtId="49" fontId="15" fillId="13" borderId="23" xfId="9" applyNumberFormat="1" applyFont="1" applyFill="1" applyBorder="1" applyAlignment="1">
      <alignment horizontal="center" vertical="center" wrapText="1"/>
    </xf>
    <xf numFmtId="49" fontId="15" fillId="13" borderId="7" xfId="9" applyNumberFormat="1" applyFont="1" applyFill="1" applyBorder="1" applyAlignment="1">
      <alignment horizontal="center" vertical="center" wrapText="1"/>
    </xf>
    <xf numFmtId="0" fontId="14" fillId="14" borderId="3" xfId="8" applyFont="1" applyFill="1" applyBorder="1" applyAlignment="1">
      <alignment horizontal="center" vertical="center"/>
    </xf>
    <xf numFmtId="0" fontId="14" fillId="14" borderId="4" xfId="8" applyFont="1" applyFill="1" applyBorder="1" applyAlignment="1">
      <alignment horizontal="center" vertical="center"/>
    </xf>
    <xf numFmtId="0" fontId="14" fillId="14" borderId="5" xfId="8" applyFont="1" applyFill="1" applyBorder="1" applyAlignment="1">
      <alignment horizontal="center" vertical="center"/>
    </xf>
    <xf numFmtId="0" fontId="21" fillId="5" borderId="3" xfId="8" applyFont="1" applyFill="1" applyBorder="1" applyAlignment="1">
      <alignment horizontal="center" vertical="center"/>
    </xf>
    <xf numFmtId="0" fontId="21" fillId="5" borderId="4" xfId="8" applyFont="1" applyFill="1" applyBorder="1" applyAlignment="1">
      <alignment horizontal="center" vertical="center"/>
    </xf>
    <xf numFmtId="0" fontId="21" fillId="5" borderId="5" xfId="8" applyFont="1" applyFill="1" applyBorder="1" applyAlignment="1">
      <alignment horizontal="center" vertical="center"/>
    </xf>
    <xf numFmtId="177" fontId="16" fillId="0" borderId="24" xfId="7" applyNumberFormat="1" applyFont="1" applyFill="1" applyBorder="1" applyAlignment="1">
      <alignment horizontal="center" vertical="center" wrapText="1"/>
    </xf>
    <xf numFmtId="177" fontId="16" fillId="0" borderId="13" xfId="7" applyNumberFormat="1" applyFont="1" applyFill="1" applyBorder="1" applyAlignment="1">
      <alignment horizontal="center" vertical="center"/>
    </xf>
    <xf numFmtId="177" fontId="16" fillId="0" borderId="26" xfId="7" applyNumberFormat="1" applyFont="1" applyFill="1" applyBorder="1" applyAlignment="1">
      <alignment horizontal="center" vertical="center"/>
    </xf>
    <xf numFmtId="177" fontId="16" fillId="0" borderId="28" xfId="7" applyNumberFormat="1" applyFont="1" applyFill="1" applyBorder="1" applyAlignment="1">
      <alignment horizontal="center" vertical="center"/>
    </xf>
    <xf numFmtId="177" fontId="16" fillId="0" borderId="25" xfId="7" applyNumberFormat="1" applyFont="1" applyFill="1" applyBorder="1" applyAlignment="1">
      <alignment horizontal="center" vertical="center"/>
    </xf>
    <xf numFmtId="177" fontId="16" fillId="0" borderId="6" xfId="7" applyNumberFormat="1" applyFont="1" applyFill="1" applyBorder="1" applyAlignment="1">
      <alignment horizontal="center" vertical="center"/>
    </xf>
    <xf numFmtId="177" fontId="21" fillId="5" borderId="3" xfId="9" applyNumberFormat="1" applyFont="1" applyFill="1" applyBorder="1" applyAlignment="1">
      <alignment horizontal="center" vertical="center"/>
    </xf>
    <xf numFmtId="177" fontId="21" fillId="5" borderId="5" xfId="9" applyNumberFormat="1" applyFont="1" applyFill="1" applyBorder="1" applyAlignment="1">
      <alignment horizontal="center" vertical="center"/>
    </xf>
    <xf numFmtId="0" fontId="15" fillId="0" borderId="1" xfId="9" applyFont="1" applyBorder="1" applyAlignment="1">
      <alignment horizontal="center" vertical="center" wrapText="1"/>
    </xf>
    <xf numFmtId="17" fontId="16" fillId="13" borderId="1" xfId="9" applyNumberFormat="1" applyFont="1" applyFill="1" applyBorder="1" applyAlignment="1">
      <alignment horizontal="center" vertical="center" wrapText="1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 wrapText="1"/>
    </xf>
  </cellXfs>
  <cellStyles count="12">
    <cellStyle name="강조색6 4 7" xfId="7" xr:uid="{00000000-0005-0000-0000-000007000000}"/>
    <cellStyle name="쉼표 [0]" xfId="1" builtinId="6"/>
    <cellStyle name="쉼표 [0] 3" xfId="2" xr:uid="{00000000-0005-0000-0000-000002000000}"/>
    <cellStyle name="표준" xfId="0" builtinId="0"/>
    <cellStyle name="표준 2" xfId="3" xr:uid="{00000000-0005-0000-0000-000003000000}"/>
    <cellStyle name="표준 3 12" xfId="6" xr:uid="{00000000-0005-0000-0000-000006000000}"/>
    <cellStyle name="표준 4" xfId="4" xr:uid="{00000000-0005-0000-0000-000004000000}"/>
    <cellStyle name="표준 4 10" xfId="8" xr:uid="{00000000-0005-0000-0000-000008000000}"/>
    <cellStyle name="표준 4 10 2" xfId="11" xr:uid="{00000000-0005-0000-0000-00000B000000}"/>
    <cellStyle name="표준 5" xfId="5" xr:uid="{00000000-0005-0000-0000-000005000000}"/>
    <cellStyle name="표준_Ⅴ.업체별현황 2" xfId="9" xr:uid="{00000000-0005-0000-0000-000009000000}"/>
    <cellStyle name="표준_Ⅴ.업체별현황 2 2" xfId="10" xr:uid="{00000000-0005-0000-0000-00000A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504D"/>
  </sheetPr>
  <dimension ref="A1:M29"/>
  <sheetViews>
    <sheetView tabSelected="1" zoomScale="85" zoomScaleNormal="85" zoomScaleSheetLayoutView="75" workbookViewId="0">
      <selection activeCell="Q5" sqref="Q5"/>
    </sheetView>
  </sheetViews>
  <sheetFormatPr defaultColWidth="7.77734375" defaultRowHeight="14.25" x14ac:dyDescent="0.15"/>
  <cols>
    <col min="1" max="2" width="10.77734375" style="84" customWidth="1"/>
    <col min="3" max="7" width="12.5546875" style="84" customWidth="1"/>
    <col min="8" max="12" width="14" style="84" customWidth="1"/>
    <col min="13" max="13" width="7.77734375" style="83"/>
    <col min="14" max="16384" width="7.77734375" style="84"/>
  </cols>
  <sheetData>
    <row r="1" spans="1:13" ht="32.25" customHeight="1" x14ac:dyDescent="0.15">
      <c r="A1" s="135" t="s">
        <v>297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3" s="86" customFormat="1" ht="32.25" customHeight="1" x14ac:dyDescent="0.15">
      <c r="A2" s="136" t="s">
        <v>164</v>
      </c>
      <c r="B2" s="138" t="s">
        <v>224</v>
      </c>
      <c r="C2" s="140" t="s">
        <v>488</v>
      </c>
      <c r="D2" s="141"/>
      <c r="E2" s="141"/>
      <c r="F2" s="141"/>
      <c r="G2" s="142"/>
      <c r="H2" s="140" t="s">
        <v>487</v>
      </c>
      <c r="I2" s="141"/>
      <c r="J2" s="141"/>
      <c r="K2" s="141"/>
      <c r="L2" s="143"/>
      <c r="M2" s="85"/>
    </row>
    <row r="3" spans="1:13" s="86" customFormat="1" ht="32.25" customHeight="1" x14ac:dyDescent="0.15">
      <c r="A3" s="137"/>
      <c r="B3" s="139"/>
      <c r="C3" s="87" t="s">
        <v>179</v>
      </c>
      <c r="D3" s="88" t="s">
        <v>337</v>
      </c>
      <c r="E3" s="88" t="s">
        <v>350</v>
      </c>
      <c r="F3" s="88" t="s">
        <v>351</v>
      </c>
      <c r="G3" s="88" t="s">
        <v>347</v>
      </c>
      <c r="H3" s="87" t="s">
        <v>179</v>
      </c>
      <c r="I3" s="88" t="s">
        <v>337</v>
      </c>
      <c r="J3" s="88" t="s">
        <v>350</v>
      </c>
      <c r="K3" s="88" t="s">
        <v>351</v>
      </c>
      <c r="L3" s="89" t="s">
        <v>347</v>
      </c>
      <c r="M3" s="85"/>
    </row>
    <row r="4" spans="1:13" s="86" customFormat="1" ht="32.25" customHeight="1" x14ac:dyDescent="0.15">
      <c r="A4" s="90" t="s">
        <v>176</v>
      </c>
      <c r="B4" s="91">
        <f>C4-H4</f>
        <v>-116</v>
      </c>
      <c r="C4" s="11">
        <f t="shared" ref="C4:G4" si="0">SUM(C5:C12)</f>
        <v>4162</v>
      </c>
      <c r="D4" s="11">
        <f>SUM(D5:D12)</f>
        <v>0</v>
      </c>
      <c r="E4" s="11">
        <f t="shared" si="0"/>
        <v>15</v>
      </c>
      <c r="F4" s="11">
        <f t="shared" si="0"/>
        <v>3002</v>
      </c>
      <c r="G4" s="11">
        <f t="shared" si="0"/>
        <v>1145</v>
      </c>
      <c r="H4" s="11">
        <f>SUM(H5:H12)</f>
        <v>4278</v>
      </c>
      <c r="I4" s="11">
        <f>SUM(I5:I12)</f>
        <v>0</v>
      </c>
      <c r="J4" s="11">
        <f t="shared" ref="J4:L4" si="1">SUM(J5:J12)</f>
        <v>16</v>
      </c>
      <c r="K4" s="11">
        <f t="shared" si="1"/>
        <v>3083</v>
      </c>
      <c r="L4" s="74">
        <f t="shared" si="1"/>
        <v>1179</v>
      </c>
      <c r="M4" s="85"/>
    </row>
    <row r="5" spans="1:13" ht="32.25" customHeight="1" x14ac:dyDescent="0.15">
      <c r="A5" s="92" t="s">
        <v>76</v>
      </c>
      <c r="B5" s="91">
        <f t="shared" ref="B5:B13" si="2">C5-H5</f>
        <v>-3</v>
      </c>
      <c r="C5" s="36">
        <f>SUM(D5:G5)</f>
        <v>722</v>
      </c>
      <c r="D5" s="125">
        <v>0</v>
      </c>
      <c r="E5" s="125">
        <v>0</v>
      </c>
      <c r="F5" s="125">
        <v>716</v>
      </c>
      <c r="G5" s="125">
        <v>6</v>
      </c>
      <c r="H5" s="36">
        <f>SUM(I5:L5)</f>
        <v>725</v>
      </c>
      <c r="I5" s="101">
        <v>0</v>
      </c>
      <c r="J5" s="101">
        <v>0</v>
      </c>
      <c r="K5" s="101">
        <v>719</v>
      </c>
      <c r="L5" s="101">
        <v>6</v>
      </c>
    </row>
    <row r="6" spans="1:13" ht="32.25" customHeight="1" x14ac:dyDescent="0.15">
      <c r="A6" s="92" t="s">
        <v>168</v>
      </c>
      <c r="B6" s="91">
        <f t="shared" si="2"/>
        <v>-21</v>
      </c>
      <c r="C6" s="72">
        <f>SUM(D6:G6)</f>
        <v>470</v>
      </c>
      <c r="D6" s="126">
        <v>0</v>
      </c>
      <c r="E6" s="126">
        <v>0</v>
      </c>
      <c r="F6" s="126">
        <v>265</v>
      </c>
      <c r="G6" s="126">
        <v>205</v>
      </c>
      <c r="H6" s="36">
        <f>SUM(I6:L6)</f>
        <v>491</v>
      </c>
      <c r="I6" s="102">
        <v>0</v>
      </c>
      <c r="J6" s="102">
        <v>0</v>
      </c>
      <c r="K6" s="102">
        <v>267</v>
      </c>
      <c r="L6" s="102">
        <v>224</v>
      </c>
    </row>
    <row r="7" spans="1:13" s="94" customFormat="1" ht="32.25" customHeight="1" x14ac:dyDescent="0.15">
      <c r="A7" s="92" t="s">
        <v>185</v>
      </c>
      <c r="B7" s="91">
        <f t="shared" si="2"/>
        <v>-16</v>
      </c>
      <c r="C7" s="36">
        <f>SUM(D7:G7)</f>
        <v>49</v>
      </c>
      <c r="D7" s="127">
        <v>0</v>
      </c>
      <c r="E7" s="127">
        <v>0</v>
      </c>
      <c r="F7" s="127">
        <v>47</v>
      </c>
      <c r="G7" s="127">
        <v>2</v>
      </c>
      <c r="H7" s="36">
        <f t="shared" ref="H7:H9" si="3">SUM(I7:L7)</f>
        <v>65</v>
      </c>
      <c r="I7" s="103">
        <v>0</v>
      </c>
      <c r="J7" s="103">
        <v>0</v>
      </c>
      <c r="K7" s="103">
        <v>62</v>
      </c>
      <c r="L7" s="103">
        <v>3</v>
      </c>
      <c r="M7" s="93"/>
    </row>
    <row r="8" spans="1:13" s="94" customFormat="1" ht="32.25" customHeight="1" x14ac:dyDescent="0.15">
      <c r="A8" s="92" t="s">
        <v>187</v>
      </c>
      <c r="B8" s="91">
        <f t="shared" si="2"/>
        <v>-8</v>
      </c>
      <c r="C8" s="36">
        <f>SUM(D8:G8)</f>
        <v>516</v>
      </c>
      <c r="D8" s="125">
        <v>0</v>
      </c>
      <c r="E8" s="125">
        <v>13</v>
      </c>
      <c r="F8" s="125">
        <v>227</v>
      </c>
      <c r="G8" s="125">
        <v>276</v>
      </c>
      <c r="H8" s="36">
        <f t="shared" si="3"/>
        <v>524</v>
      </c>
      <c r="I8" s="101">
        <v>0</v>
      </c>
      <c r="J8" s="101">
        <v>14</v>
      </c>
      <c r="K8" s="101">
        <v>225</v>
      </c>
      <c r="L8" s="101">
        <v>285</v>
      </c>
      <c r="M8" s="93"/>
    </row>
    <row r="9" spans="1:13" s="94" customFormat="1" ht="32.25" customHeight="1" x14ac:dyDescent="0.15">
      <c r="A9" s="92" t="s">
        <v>161</v>
      </c>
      <c r="B9" s="91">
        <f t="shared" si="2"/>
        <v>-68</v>
      </c>
      <c r="C9" s="36">
        <f t="shared" ref="C9:C13" si="4">SUM(D9:G9)</f>
        <v>701</v>
      </c>
      <c r="D9" s="125">
        <v>0</v>
      </c>
      <c r="E9" s="125">
        <v>0</v>
      </c>
      <c r="F9" s="125">
        <v>569</v>
      </c>
      <c r="G9" s="125">
        <v>132</v>
      </c>
      <c r="H9" s="36">
        <f t="shared" si="3"/>
        <v>769</v>
      </c>
      <c r="I9" s="101">
        <v>0</v>
      </c>
      <c r="J9" s="101">
        <v>0</v>
      </c>
      <c r="K9" s="101">
        <v>635</v>
      </c>
      <c r="L9" s="101">
        <v>134</v>
      </c>
      <c r="M9" s="93"/>
    </row>
    <row r="10" spans="1:13" s="95" customFormat="1" ht="32.25" customHeight="1" x14ac:dyDescent="0.15">
      <c r="A10" s="92" t="s">
        <v>86</v>
      </c>
      <c r="B10" s="91">
        <f t="shared" si="2"/>
        <v>-3</v>
      </c>
      <c r="C10" s="36">
        <f>SUM(D10:G10)</f>
        <v>507</v>
      </c>
      <c r="D10" s="125">
        <v>0</v>
      </c>
      <c r="E10" s="125">
        <v>0</v>
      </c>
      <c r="F10" s="125">
        <v>32</v>
      </c>
      <c r="G10" s="125">
        <v>475</v>
      </c>
      <c r="H10" s="36">
        <f>SUM(I10:L10)</f>
        <v>510</v>
      </c>
      <c r="I10" s="101">
        <v>0</v>
      </c>
      <c r="J10" s="101">
        <v>0</v>
      </c>
      <c r="K10" s="101">
        <v>32</v>
      </c>
      <c r="L10" s="101">
        <v>478</v>
      </c>
    </row>
    <row r="11" spans="1:13" ht="32.25" customHeight="1" x14ac:dyDescent="0.15">
      <c r="A11" s="92" t="s">
        <v>188</v>
      </c>
      <c r="B11" s="91">
        <f t="shared" si="2"/>
        <v>5</v>
      </c>
      <c r="C11" s="36">
        <f>SUM(D11:G11)</f>
        <v>1169</v>
      </c>
      <c r="D11" s="125">
        <v>0</v>
      </c>
      <c r="E11" s="125">
        <v>2</v>
      </c>
      <c r="F11" s="125">
        <v>1118</v>
      </c>
      <c r="G11" s="125">
        <v>49</v>
      </c>
      <c r="H11" s="36">
        <f>SUM(I11:L11)</f>
        <v>1164</v>
      </c>
      <c r="I11" s="101">
        <v>0</v>
      </c>
      <c r="J11" s="101">
        <v>2</v>
      </c>
      <c r="K11" s="101">
        <v>1113</v>
      </c>
      <c r="L11" s="101">
        <v>49</v>
      </c>
    </row>
    <row r="12" spans="1:13" s="94" customFormat="1" ht="32.25" customHeight="1" x14ac:dyDescent="0.15">
      <c r="A12" s="92" t="s">
        <v>105</v>
      </c>
      <c r="B12" s="91">
        <f t="shared" si="2"/>
        <v>-2</v>
      </c>
      <c r="C12" s="36">
        <f t="shared" si="4"/>
        <v>28</v>
      </c>
      <c r="D12" s="125">
        <v>0</v>
      </c>
      <c r="E12" s="125">
        <v>0</v>
      </c>
      <c r="F12" s="125">
        <v>28</v>
      </c>
      <c r="G12" s="125">
        <v>0</v>
      </c>
      <c r="H12" s="36">
        <f t="shared" ref="H12:H13" si="5">SUM(I12:L12)</f>
        <v>30</v>
      </c>
      <c r="I12" s="101">
        <v>0</v>
      </c>
      <c r="J12" s="101">
        <v>0</v>
      </c>
      <c r="K12" s="101">
        <v>30</v>
      </c>
      <c r="L12" s="101">
        <v>0</v>
      </c>
      <c r="M12" s="93"/>
    </row>
    <row r="13" spans="1:13" s="94" customFormat="1" ht="32.25" customHeight="1" x14ac:dyDescent="0.15">
      <c r="A13" s="96" t="s">
        <v>81</v>
      </c>
      <c r="B13" s="97">
        <f t="shared" si="2"/>
        <v>0</v>
      </c>
      <c r="C13" s="73">
        <f t="shared" si="4"/>
        <v>0</v>
      </c>
      <c r="D13" s="128">
        <v>0</v>
      </c>
      <c r="E13" s="128">
        <v>0</v>
      </c>
      <c r="F13" s="128">
        <v>0</v>
      </c>
      <c r="G13" s="128">
        <v>0</v>
      </c>
      <c r="H13" s="73">
        <f t="shared" si="5"/>
        <v>0</v>
      </c>
      <c r="I13" s="104">
        <v>0</v>
      </c>
      <c r="J13" s="104">
        <v>0</v>
      </c>
      <c r="K13" s="104">
        <v>0</v>
      </c>
      <c r="L13" s="104">
        <v>0</v>
      </c>
      <c r="M13" s="93"/>
    </row>
    <row r="14" spans="1:13" ht="32.25" customHeight="1" x14ac:dyDescent="0.15"/>
    <row r="15" spans="1:13" ht="32.25" customHeight="1" x14ac:dyDescent="0.15">
      <c r="A15" s="135" t="s">
        <v>311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</row>
    <row r="16" spans="1:13" ht="32.25" customHeight="1" x14ac:dyDescent="0.15">
      <c r="A16" s="136" t="s">
        <v>164</v>
      </c>
      <c r="B16" s="138" t="s">
        <v>224</v>
      </c>
      <c r="C16" s="140" t="str">
        <f>C2</f>
        <v>민간분양 주택('26년 8월)</v>
      </c>
      <c r="D16" s="141"/>
      <c r="E16" s="141"/>
      <c r="F16" s="141"/>
      <c r="G16" s="142"/>
      <c r="H16" s="140" t="str">
        <f>H2</f>
        <v>민간분양 주택('26년 7월)</v>
      </c>
      <c r="I16" s="141"/>
      <c r="J16" s="141"/>
      <c r="K16" s="141"/>
      <c r="L16" s="143"/>
    </row>
    <row r="17" spans="1:13" ht="32.25" customHeight="1" x14ac:dyDescent="0.15">
      <c r="A17" s="137"/>
      <c r="B17" s="139"/>
      <c r="C17" s="87" t="s">
        <v>179</v>
      </c>
      <c r="D17" s="88" t="s">
        <v>337</v>
      </c>
      <c r="E17" s="88" t="s">
        <v>350</v>
      </c>
      <c r="F17" s="88" t="s">
        <v>351</v>
      </c>
      <c r="G17" s="88" t="s">
        <v>347</v>
      </c>
      <c r="H17" s="87" t="s">
        <v>179</v>
      </c>
      <c r="I17" s="88" t="s">
        <v>337</v>
      </c>
      <c r="J17" s="88" t="s">
        <v>350</v>
      </c>
      <c r="K17" s="88" t="s">
        <v>351</v>
      </c>
      <c r="L17" s="89" t="s">
        <v>347</v>
      </c>
    </row>
    <row r="18" spans="1:13" s="86" customFormat="1" ht="32.25" customHeight="1" x14ac:dyDescent="0.15">
      <c r="A18" s="90" t="s">
        <v>176</v>
      </c>
      <c r="B18" s="91">
        <f>C18-H18</f>
        <v>-106</v>
      </c>
      <c r="C18" s="11">
        <f t="shared" ref="C18:G18" si="6">SUM(C19:C26)</f>
        <v>3375</v>
      </c>
      <c r="D18" s="11">
        <f>SUM(D19:D26)</f>
        <v>0</v>
      </c>
      <c r="E18" s="11">
        <f t="shared" ref="E18:F18" si="7">SUM(E19:E26)</f>
        <v>15</v>
      </c>
      <c r="F18" s="11">
        <f t="shared" si="7"/>
        <v>2351</v>
      </c>
      <c r="G18" s="11">
        <f t="shared" si="6"/>
        <v>1009</v>
      </c>
      <c r="H18" s="11">
        <f>SUM(H19:H26)</f>
        <v>3481</v>
      </c>
      <c r="I18" s="11">
        <f>SUM(I19:I26)</f>
        <v>0</v>
      </c>
      <c r="J18" s="11">
        <f t="shared" ref="J18:L18" si="8">SUM(J19:J26)</f>
        <v>16</v>
      </c>
      <c r="K18" s="11">
        <f t="shared" si="8"/>
        <v>2424</v>
      </c>
      <c r="L18" s="74">
        <f t="shared" si="8"/>
        <v>1041</v>
      </c>
      <c r="M18" s="85"/>
    </row>
    <row r="19" spans="1:13" ht="32.25" customHeight="1" x14ac:dyDescent="0.15">
      <c r="A19" s="92" t="s">
        <v>76</v>
      </c>
      <c r="B19" s="91">
        <f t="shared" ref="B19:B25" si="9">C19-H19</f>
        <v>-1</v>
      </c>
      <c r="C19" s="36">
        <f>SUM(D19:G19)</f>
        <v>418</v>
      </c>
      <c r="D19" s="101">
        <v>0</v>
      </c>
      <c r="E19" s="101">
        <v>0</v>
      </c>
      <c r="F19" s="101">
        <v>418</v>
      </c>
      <c r="G19" s="101">
        <v>0</v>
      </c>
      <c r="H19" s="36">
        <f>SUM(I19:L19)</f>
        <v>419</v>
      </c>
      <c r="I19" s="101">
        <v>0</v>
      </c>
      <c r="J19" s="101">
        <v>0</v>
      </c>
      <c r="K19" s="101">
        <v>419</v>
      </c>
      <c r="L19" s="101">
        <v>0</v>
      </c>
    </row>
    <row r="20" spans="1:13" ht="32.25" customHeight="1" x14ac:dyDescent="0.15">
      <c r="A20" s="92" t="s">
        <v>168</v>
      </c>
      <c r="B20" s="91">
        <f t="shared" si="9"/>
        <v>-21</v>
      </c>
      <c r="C20" s="36">
        <f>SUM(D20:G20)</f>
        <v>470</v>
      </c>
      <c r="D20" s="101">
        <v>0</v>
      </c>
      <c r="E20" s="101">
        <v>0</v>
      </c>
      <c r="F20" s="101">
        <v>265</v>
      </c>
      <c r="G20" s="101">
        <v>205</v>
      </c>
      <c r="H20" s="36">
        <f>SUM(I20:L20)</f>
        <v>491</v>
      </c>
      <c r="I20" s="101">
        <v>0</v>
      </c>
      <c r="J20" s="101">
        <v>0</v>
      </c>
      <c r="K20" s="101">
        <v>267</v>
      </c>
      <c r="L20" s="101">
        <v>224</v>
      </c>
    </row>
    <row r="21" spans="1:13" s="94" customFormat="1" ht="32.25" customHeight="1" x14ac:dyDescent="0.15">
      <c r="A21" s="92" t="s">
        <v>185</v>
      </c>
      <c r="B21" s="91">
        <f t="shared" si="9"/>
        <v>-16</v>
      </c>
      <c r="C21" s="36">
        <f t="shared" ref="C21:C27" si="10">SUM(D21:G21)</f>
        <v>49</v>
      </c>
      <c r="D21" s="101">
        <v>0</v>
      </c>
      <c r="E21" s="101">
        <v>0</v>
      </c>
      <c r="F21" s="101">
        <v>47</v>
      </c>
      <c r="G21" s="101">
        <v>2</v>
      </c>
      <c r="H21" s="36">
        <f t="shared" ref="H21:H24" si="11">SUM(I21:L21)</f>
        <v>65</v>
      </c>
      <c r="I21" s="101">
        <v>0</v>
      </c>
      <c r="J21" s="101">
        <v>0</v>
      </c>
      <c r="K21" s="101">
        <v>62</v>
      </c>
      <c r="L21" s="101">
        <v>3</v>
      </c>
      <c r="M21" s="93"/>
    </row>
    <row r="22" spans="1:13" s="94" customFormat="1" ht="32.25" customHeight="1" x14ac:dyDescent="0.15">
      <c r="A22" s="92" t="s">
        <v>187</v>
      </c>
      <c r="B22" s="91">
        <f t="shared" si="9"/>
        <v>-8</v>
      </c>
      <c r="C22" s="36">
        <f t="shared" si="10"/>
        <v>516</v>
      </c>
      <c r="D22" s="101">
        <v>0</v>
      </c>
      <c r="E22" s="101">
        <v>13</v>
      </c>
      <c r="F22" s="101">
        <v>227</v>
      </c>
      <c r="G22" s="101">
        <v>276</v>
      </c>
      <c r="H22" s="36">
        <f t="shared" si="11"/>
        <v>524</v>
      </c>
      <c r="I22" s="101">
        <v>0</v>
      </c>
      <c r="J22" s="101">
        <v>14</v>
      </c>
      <c r="K22" s="101">
        <v>225</v>
      </c>
      <c r="L22" s="101">
        <v>285</v>
      </c>
      <c r="M22" s="93"/>
    </row>
    <row r="23" spans="1:13" s="94" customFormat="1" ht="32.25" customHeight="1" x14ac:dyDescent="0.15">
      <c r="A23" s="92" t="s">
        <v>161</v>
      </c>
      <c r="B23" s="91">
        <f t="shared" si="9"/>
        <v>-60</v>
      </c>
      <c r="C23" s="36">
        <f t="shared" si="10"/>
        <v>490</v>
      </c>
      <c r="D23" s="101">
        <v>0</v>
      </c>
      <c r="E23" s="101">
        <v>0</v>
      </c>
      <c r="F23" s="101">
        <v>488</v>
      </c>
      <c r="G23" s="101">
        <v>2</v>
      </c>
      <c r="H23" s="36">
        <f t="shared" si="11"/>
        <v>550</v>
      </c>
      <c r="I23" s="101">
        <v>0</v>
      </c>
      <c r="J23" s="101">
        <v>0</v>
      </c>
      <c r="K23" s="101">
        <v>548</v>
      </c>
      <c r="L23" s="101">
        <v>2</v>
      </c>
      <c r="M23" s="93"/>
    </row>
    <row r="24" spans="1:13" ht="32.25" customHeight="1" x14ac:dyDescent="0.15">
      <c r="A24" s="92" t="s">
        <v>86</v>
      </c>
      <c r="B24" s="91">
        <f t="shared" si="9"/>
        <v>-3</v>
      </c>
      <c r="C24" s="36">
        <f t="shared" si="10"/>
        <v>507</v>
      </c>
      <c r="D24" s="101">
        <v>0</v>
      </c>
      <c r="E24" s="101">
        <v>0</v>
      </c>
      <c r="F24" s="101">
        <v>32</v>
      </c>
      <c r="G24" s="101">
        <v>475</v>
      </c>
      <c r="H24" s="36">
        <f t="shared" si="11"/>
        <v>510</v>
      </c>
      <c r="I24" s="101">
        <v>0</v>
      </c>
      <c r="J24" s="101">
        <v>0</v>
      </c>
      <c r="K24" s="101">
        <v>32</v>
      </c>
      <c r="L24" s="101">
        <v>478</v>
      </c>
    </row>
    <row r="25" spans="1:13" ht="32.25" customHeight="1" x14ac:dyDescent="0.15">
      <c r="A25" s="92" t="s">
        <v>188</v>
      </c>
      <c r="B25" s="91">
        <f t="shared" si="9"/>
        <v>5</v>
      </c>
      <c r="C25" s="36">
        <f>SUM(D25:G25)</f>
        <v>897</v>
      </c>
      <c r="D25" s="101">
        <v>0</v>
      </c>
      <c r="E25" s="101">
        <v>2</v>
      </c>
      <c r="F25" s="101">
        <v>846</v>
      </c>
      <c r="G25" s="101">
        <v>49</v>
      </c>
      <c r="H25" s="36">
        <f>SUM(I25:L25)</f>
        <v>892</v>
      </c>
      <c r="I25" s="101">
        <v>0</v>
      </c>
      <c r="J25" s="101">
        <v>2</v>
      </c>
      <c r="K25" s="101">
        <v>841</v>
      </c>
      <c r="L25" s="101">
        <v>49</v>
      </c>
    </row>
    <row r="26" spans="1:13" s="94" customFormat="1" ht="32.25" customHeight="1" x14ac:dyDescent="0.15">
      <c r="A26" s="98" t="s">
        <v>105</v>
      </c>
      <c r="B26" s="99">
        <f>C26-H26</f>
        <v>-2</v>
      </c>
      <c r="C26" s="76">
        <f t="shared" si="10"/>
        <v>28</v>
      </c>
      <c r="D26" s="105">
        <v>0</v>
      </c>
      <c r="E26" s="105">
        <v>0</v>
      </c>
      <c r="F26" s="105">
        <v>28</v>
      </c>
      <c r="G26" s="105">
        <v>0</v>
      </c>
      <c r="H26" s="76">
        <f t="shared" ref="H26:H27" si="12">SUM(I26:L26)</f>
        <v>30</v>
      </c>
      <c r="I26" s="105">
        <v>0</v>
      </c>
      <c r="J26" s="105">
        <v>0</v>
      </c>
      <c r="K26" s="105">
        <v>30</v>
      </c>
      <c r="L26" s="105">
        <v>0</v>
      </c>
      <c r="M26" s="93"/>
    </row>
    <row r="27" spans="1:13" s="94" customFormat="1" ht="32.25" customHeight="1" x14ac:dyDescent="0.15">
      <c r="A27" s="96" t="s">
        <v>81</v>
      </c>
      <c r="B27" s="97">
        <f>C27-H27</f>
        <v>0</v>
      </c>
      <c r="C27" s="73">
        <f t="shared" si="10"/>
        <v>0</v>
      </c>
      <c r="D27" s="104">
        <v>0</v>
      </c>
      <c r="E27" s="104">
        <v>0</v>
      </c>
      <c r="F27" s="104">
        <v>0</v>
      </c>
      <c r="G27" s="104">
        <v>0</v>
      </c>
      <c r="H27" s="73">
        <f t="shared" si="12"/>
        <v>0</v>
      </c>
      <c r="I27" s="104">
        <v>0</v>
      </c>
      <c r="J27" s="104">
        <v>0</v>
      </c>
      <c r="K27" s="104">
        <v>0</v>
      </c>
      <c r="L27" s="104">
        <v>0</v>
      </c>
      <c r="M27" s="93"/>
    </row>
    <row r="29" spans="1:13" x14ac:dyDescent="0.15">
      <c r="C29" s="100"/>
      <c r="D29" s="100"/>
      <c r="E29" s="100"/>
      <c r="F29" s="100"/>
      <c r="G29" s="100"/>
      <c r="H29" s="100"/>
      <c r="I29" s="100"/>
      <c r="J29" s="100"/>
      <c r="K29" s="100"/>
      <c r="L29" s="100"/>
    </row>
  </sheetData>
  <mergeCells count="10">
    <mergeCell ref="A1:L1"/>
    <mergeCell ref="A2:A3"/>
    <mergeCell ref="B2:B3"/>
    <mergeCell ref="C2:G2"/>
    <mergeCell ref="H2:L2"/>
    <mergeCell ref="A15:L15"/>
    <mergeCell ref="A16:A17"/>
    <mergeCell ref="B16:B17"/>
    <mergeCell ref="C16:G16"/>
    <mergeCell ref="H16:L16"/>
  </mergeCells>
  <phoneticPr fontId="13" type="noConversion"/>
  <pageMargins left="0.23597222566604614" right="0.23597222566604614" top="0.39347222447395325" bottom="0.39347222447395325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364"/>
  <sheetViews>
    <sheetView zoomScale="85" zoomScaleNormal="85" zoomScaleSheetLayoutView="80" workbookViewId="0">
      <pane xSplit="10" ySplit="4" topLeftCell="K5" activePane="bottomRight" state="frozen"/>
      <selection pane="topRight"/>
      <selection pane="bottomLeft"/>
      <selection pane="bottomRight" activeCell="N52" activeCellId="7" sqref="N362 N358 N315 N238 N181 N157 N140 N52"/>
    </sheetView>
  </sheetViews>
  <sheetFormatPr defaultColWidth="8.88671875" defaultRowHeight="13.5" x14ac:dyDescent="0.15"/>
  <cols>
    <col min="1" max="1" width="4.88671875" style="2" bestFit="1" customWidth="1"/>
    <col min="2" max="6" width="8.88671875" style="1"/>
    <col min="7" max="10" width="8.88671875" style="1" customWidth="1"/>
    <col min="11" max="11" width="9.77734375" style="1" customWidth="1"/>
    <col min="12" max="12" width="10.44140625" style="1" customWidth="1"/>
    <col min="13" max="13" width="8.88671875" style="1" customWidth="1"/>
    <col min="14" max="14" width="9" style="1" customWidth="1"/>
    <col min="15" max="18" width="13.33203125" style="1" customWidth="1"/>
    <col min="19" max="16384" width="8.88671875" style="1"/>
  </cols>
  <sheetData>
    <row r="1" spans="1:18" ht="60.75" customHeight="1" x14ac:dyDescent="0.15">
      <c r="A1" s="563" t="s">
        <v>489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</row>
    <row r="2" spans="1:18" ht="29.25" customHeight="1" x14ac:dyDescent="0.15">
      <c r="A2" s="564" t="s">
        <v>191</v>
      </c>
      <c r="B2" s="564"/>
      <c r="C2" s="564"/>
      <c r="D2" s="565" t="s">
        <v>192</v>
      </c>
      <c r="E2" s="565"/>
      <c r="F2" s="565"/>
      <c r="G2" s="565" t="s">
        <v>0</v>
      </c>
      <c r="H2" s="564"/>
      <c r="I2" s="564" t="s">
        <v>165</v>
      </c>
      <c r="J2" s="564"/>
      <c r="K2" s="16" t="s">
        <v>115</v>
      </c>
      <c r="L2" s="552" t="s">
        <v>389</v>
      </c>
      <c r="M2" s="552"/>
      <c r="N2" s="552"/>
      <c r="O2" s="566" t="s">
        <v>68</v>
      </c>
      <c r="P2" s="566" t="s">
        <v>390</v>
      </c>
      <c r="Q2" s="566" t="s">
        <v>344</v>
      </c>
      <c r="R2" s="566" t="s">
        <v>227</v>
      </c>
    </row>
    <row r="3" spans="1:18" ht="32.25" customHeight="1" x14ac:dyDescent="0.15">
      <c r="A3" s="564" t="s">
        <v>197</v>
      </c>
      <c r="B3" s="564" t="s">
        <v>173</v>
      </c>
      <c r="C3" s="568" t="s">
        <v>190</v>
      </c>
      <c r="D3" s="565"/>
      <c r="E3" s="565"/>
      <c r="F3" s="565"/>
      <c r="G3" s="564" t="s">
        <v>196</v>
      </c>
      <c r="H3" s="564" t="s">
        <v>166</v>
      </c>
      <c r="I3" s="565" t="s">
        <v>342</v>
      </c>
      <c r="J3" s="565" t="s">
        <v>343</v>
      </c>
      <c r="K3" s="550" t="s">
        <v>331</v>
      </c>
      <c r="L3" s="551" t="s">
        <v>37</v>
      </c>
      <c r="M3" s="552" t="s">
        <v>114</v>
      </c>
      <c r="N3" s="552"/>
      <c r="O3" s="567"/>
      <c r="P3" s="567"/>
      <c r="Q3" s="567"/>
      <c r="R3" s="567"/>
    </row>
    <row r="4" spans="1:18" ht="34.5" customHeight="1" x14ac:dyDescent="0.15">
      <c r="A4" s="564"/>
      <c r="B4" s="564"/>
      <c r="C4" s="568"/>
      <c r="D4" s="565"/>
      <c r="E4" s="565"/>
      <c r="F4" s="565"/>
      <c r="G4" s="564"/>
      <c r="H4" s="564"/>
      <c r="I4" s="564"/>
      <c r="J4" s="564"/>
      <c r="K4" s="550"/>
      <c r="L4" s="551"/>
      <c r="M4" s="113" t="s">
        <v>490</v>
      </c>
      <c r="N4" s="113" t="s">
        <v>491</v>
      </c>
      <c r="O4" s="567"/>
      <c r="P4" s="567"/>
      <c r="Q4" s="567"/>
      <c r="R4" s="567"/>
    </row>
    <row r="5" spans="1:18" ht="27" customHeight="1" x14ac:dyDescent="0.15">
      <c r="A5" s="324"/>
      <c r="B5" s="246" t="s">
        <v>76</v>
      </c>
      <c r="C5" s="497" t="s">
        <v>160</v>
      </c>
      <c r="D5" s="469" t="s">
        <v>293</v>
      </c>
      <c r="E5" s="469"/>
      <c r="F5" s="469"/>
      <c r="G5" s="470" t="s">
        <v>6</v>
      </c>
      <c r="H5" s="374" t="s">
        <v>69</v>
      </c>
      <c r="I5" s="406" t="s">
        <v>189</v>
      </c>
      <c r="J5" s="406" t="s">
        <v>174</v>
      </c>
      <c r="K5" s="31" t="s">
        <v>235</v>
      </c>
      <c r="L5" s="23">
        <v>167</v>
      </c>
      <c r="M5" s="452" t="s">
        <v>416</v>
      </c>
      <c r="N5" s="509"/>
      <c r="O5" s="395" t="s">
        <v>272</v>
      </c>
      <c r="P5" s="395" t="s">
        <v>269</v>
      </c>
      <c r="Q5" s="395" t="s">
        <v>67</v>
      </c>
      <c r="R5" s="395" t="s">
        <v>103</v>
      </c>
    </row>
    <row r="6" spans="1:18" s="4" customFormat="1" ht="27" customHeight="1" x14ac:dyDescent="0.15">
      <c r="A6" s="324"/>
      <c r="B6" s="178"/>
      <c r="C6" s="497"/>
      <c r="D6" s="469"/>
      <c r="E6" s="469"/>
      <c r="F6" s="469"/>
      <c r="G6" s="472"/>
      <c r="H6" s="410"/>
      <c r="I6" s="411"/>
      <c r="J6" s="411"/>
      <c r="K6" s="32" t="s">
        <v>150</v>
      </c>
      <c r="L6" s="13">
        <v>168</v>
      </c>
      <c r="M6" s="513"/>
      <c r="N6" s="515"/>
      <c r="O6" s="396"/>
      <c r="P6" s="396"/>
      <c r="Q6" s="396"/>
      <c r="R6" s="396"/>
    </row>
    <row r="7" spans="1:18" s="4" customFormat="1" ht="21" customHeight="1" x14ac:dyDescent="0.15">
      <c r="A7" s="324"/>
      <c r="B7" s="178"/>
      <c r="C7" s="497"/>
      <c r="D7" s="469"/>
      <c r="E7" s="469"/>
      <c r="F7" s="469"/>
      <c r="G7" s="177" t="s">
        <v>34</v>
      </c>
      <c r="H7" s="177"/>
      <c r="I7" s="177"/>
      <c r="J7" s="177"/>
      <c r="K7" s="154"/>
      <c r="L7" s="14">
        <f>L5+L6</f>
        <v>335</v>
      </c>
      <c r="M7" s="241"/>
      <c r="N7" s="242"/>
      <c r="O7" s="397"/>
      <c r="P7" s="397"/>
      <c r="Q7" s="397"/>
      <c r="R7" s="397"/>
    </row>
    <row r="8" spans="1:18" s="4" customFormat="1" ht="27" customHeight="1" x14ac:dyDescent="0.15">
      <c r="A8" s="324"/>
      <c r="B8" s="178"/>
      <c r="C8" s="497" t="s">
        <v>385</v>
      </c>
      <c r="D8" s="469" t="s">
        <v>307</v>
      </c>
      <c r="E8" s="469"/>
      <c r="F8" s="469"/>
      <c r="G8" s="470" t="s">
        <v>399</v>
      </c>
      <c r="H8" s="374" t="s">
        <v>59</v>
      </c>
      <c r="I8" s="406" t="s">
        <v>189</v>
      </c>
      <c r="J8" s="406" t="s">
        <v>174</v>
      </c>
      <c r="K8" s="31" t="s">
        <v>127</v>
      </c>
      <c r="L8" s="23">
        <v>66</v>
      </c>
      <c r="M8" s="452" t="s">
        <v>416</v>
      </c>
      <c r="N8" s="509"/>
      <c r="O8" s="395" t="s">
        <v>257</v>
      </c>
      <c r="P8" s="395" t="s">
        <v>124</v>
      </c>
      <c r="Q8" s="395" t="s">
        <v>211</v>
      </c>
      <c r="R8" s="395" t="s">
        <v>103</v>
      </c>
    </row>
    <row r="9" spans="1:18" s="4" customFormat="1" ht="27" customHeight="1" x14ac:dyDescent="0.15">
      <c r="A9" s="324"/>
      <c r="B9" s="178"/>
      <c r="C9" s="497"/>
      <c r="D9" s="469"/>
      <c r="E9" s="469"/>
      <c r="F9" s="469"/>
      <c r="G9" s="472"/>
      <c r="H9" s="410"/>
      <c r="I9" s="411"/>
      <c r="J9" s="411"/>
      <c r="K9" s="32" t="s">
        <v>145</v>
      </c>
      <c r="L9" s="13">
        <v>66</v>
      </c>
      <c r="M9" s="513"/>
      <c r="N9" s="515"/>
      <c r="O9" s="396"/>
      <c r="P9" s="396"/>
      <c r="Q9" s="396"/>
      <c r="R9" s="396"/>
    </row>
    <row r="10" spans="1:18" s="4" customFormat="1" ht="21" customHeight="1" x14ac:dyDescent="0.15">
      <c r="A10" s="324"/>
      <c r="B10" s="178"/>
      <c r="C10" s="497"/>
      <c r="D10" s="469"/>
      <c r="E10" s="469"/>
      <c r="F10" s="469"/>
      <c r="G10" s="177" t="s">
        <v>34</v>
      </c>
      <c r="H10" s="177"/>
      <c r="I10" s="177"/>
      <c r="J10" s="177"/>
      <c r="K10" s="154"/>
      <c r="L10" s="14">
        <f>L8+L9</f>
        <v>132</v>
      </c>
      <c r="M10" s="241"/>
      <c r="N10" s="242"/>
      <c r="O10" s="397"/>
      <c r="P10" s="397"/>
      <c r="Q10" s="397"/>
      <c r="R10" s="397"/>
    </row>
    <row r="11" spans="1:18" s="4" customFormat="1" ht="27" customHeight="1" x14ac:dyDescent="0.15">
      <c r="A11" s="324"/>
      <c r="B11" s="178"/>
      <c r="C11" s="374" t="s">
        <v>375</v>
      </c>
      <c r="D11" s="365" t="s">
        <v>401</v>
      </c>
      <c r="E11" s="366"/>
      <c r="F11" s="366"/>
      <c r="G11" s="374" t="s">
        <v>110</v>
      </c>
      <c r="H11" s="374" t="s">
        <v>376</v>
      </c>
      <c r="I11" s="406" t="s">
        <v>189</v>
      </c>
      <c r="J11" s="406" t="s">
        <v>174</v>
      </c>
      <c r="K11" s="33" t="s">
        <v>263</v>
      </c>
      <c r="L11" s="23">
        <v>72</v>
      </c>
      <c r="M11" s="258" t="s">
        <v>416</v>
      </c>
      <c r="N11" s="259"/>
      <c r="O11" s="395" t="s">
        <v>141</v>
      </c>
      <c r="P11" s="547">
        <v>44420</v>
      </c>
      <c r="Q11" s="395" t="s">
        <v>113</v>
      </c>
      <c r="R11" s="395" t="s">
        <v>103</v>
      </c>
    </row>
    <row r="12" spans="1:18" s="4" customFormat="1" ht="27" customHeight="1" x14ac:dyDescent="0.15">
      <c r="A12" s="324"/>
      <c r="B12" s="178"/>
      <c r="C12" s="375"/>
      <c r="D12" s="368"/>
      <c r="E12" s="369"/>
      <c r="F12" s="369"/>
      <c r="G12" s="375"/>
      <c r="H12" s="375"/>
      <c r="I12" s="407"/>
      <c r="J12" s="407"/>
      <c r="K12" s="33" t="s">
        <v>137</v>
      </c>
      <c r="L12" s="23">
        <v>72</v>
      </c>
      <c r="M12" s="378"/>
      <c r="N12" s="379"/>
      <c r="O12" s="396"/>
      <c r="P12" s="548"/>
      <c r="Q12" s="396"/>
      <c r="R12" s="396"/>
    </row>
    <row r="13" spans="1:18" s="4" customFormat="1" ht="27" customHeight="1" x14ac:dyDescent="0.15">
      <c r="A13" s="324"/>
      <c r="B13" s="178"/>
      <c r="C13" s="375"/>
      <c r="D13" s="368"/>
      <c r="E13" s="369"/>
      <c r="F13" s="369"/>
      <c r="G13" s="410"/>
      <c r="H13" s="410"/>
      <c r="I13" s="411"/>
      <c r="J13" s="411"/>
      <c r="K13" s="33" t="s">
        <v>146</v>
      </c>
      <c r="L13" s="13">
        <v>72</v>
      </c>
      <c r="M13" s="260" t="s">
        <v>416</v>
      </c>
      <c r="N13" s="261"/>
      <c r="O13" s="396"/>
      <c r="P13" s="548"/>
      <c r="Q13" s="396"/>
      <c r="R13" s="396"/>
    </row>
    <row r="14" spans="1:18" s="4" customFormat="1" ht="21" customHeight="1" x14ac:dyDescent="0.15">
      <c r="A14" s="324"/>
      <c r="B14" s="178"/>
      <c r="C14" s="410"/>
      <c r="D14" s="371"/>
      <c r="E14" s="372"/>
      <c r="F14" s="372"/>
      <c r="G14" s="147" t="s">
        <v>34</v>
      </c>
      <c r="H14" s="177"/>
      <c r="I14" s="177"/>
      <c r="J14" s="177"/>
      <c r="K14" s="154"/>
      <c r="L14" s="14">
        <f>L11+L12+L13</f>
        <v>216</v>
      </c>
      <c r="M14" s="241"/>
      <c r="N14" s="242"/>
      <c r="O14" s="397"/>
      <c r="P14" s="549"/>
      <c r="Q14" s="397"/>
      <c r="R14" s="397"/>
    </row>
    <row r="15" spans="1:18" s="4" customFormat="1" ht="27" customHeight="1" x14ac:dyDescent="0.15">
      <c r="A15" s="324"/>
      <c r="B15" s="178"/>
      <c r="C15" s="374" t="s">
        <v>375</v>
      </c>
      <c r="D15" s="365" t="s">
        <v>220</v>
      </c>
      <c r="E15" s="366"/>
      <c r="F15" s="367"/>
      <c r="G15" s="374" t="s">
        <v>110</v>
      </c>
      <c r="H15" s="374" t="s">
        <v>376</v>
      </c>
      <c r="I15" s="406" t="s">
        <v>189</v>
      </c>
      <c r="J15" s="406" t="s">
        <v>174</v>
      </c>
      <c r="K15" s="33" t="s">
        <v>406</v>
      </c>
      <c r="L15" s="23">
        <v>64</v>
      </c>
      <c r="M15" s="452" t="s">
        <v>416</v>
      </c>
      <c r="N15" s="151"/>
      <c r="O15" s="395" t="s">
        <v>129</v>
      </c>
      <c r="P15" s="547">
        <v>44469</v>
      </c>
      <c r="Q15" s="395" t="s">
        <v>113</v>
      </c>
      <c r="R15" s="395" t="s">
        <v>103</v>
      </c>
    </row>
    <row r="16" spans="1:18" s="4" customFormat="1" ht="27" customHeight="1" x14ac:dyDescent="0.15">
      <c r="A16" s="324"/>
      <c r="B16" s="178"/>
      <c r="C16" s="375"/>
      <c r="D16" s="368"/>
      <c r="E16" s="369"/>
      <c r="F16" s="370"/>
      <c r="G16" s="375"/>
      <c r="H16" s="375"/>
      <c r="I16" s="407"/>
      <c r="J16" s="407"/>
      <c r="K16" s="33" t="s">
        <v>404</v>
      </c>
      <c r="L16" s="23">
        <v>48</v>
      </c>
      <c r="M16" s="152"/>
      <c r="N16" s="153"/>
      <c r="O16" s="396"/>
      <c r="P16" s="548"/>
      <c r="Q16" s="396"/>
      <c r="R16" s="396"/>
    </row>
    <row r="17" spans="1:18" s="4" customFormat="1" ht="27" customHeight="1" x14ac:dyDescent="0.15">
      <c r="A17" s="324"/>
      <c r="B17" s="178"/>
      <c r="C17" s="375"/>
      <c r="D17" s="368"/>
      <c r="E17" s="369"/>
      <c r="F17" s="370"/>
      <c r="G17" s="410"/>
      <c r="H17" s="410"/>
      <c r="I17" s="411"/>
      <c r="J17" s="411"/>
      <c r="K17" s="33" t="s">
        <v>415</v>
      </c>
      <c r="L17" s="13">
        <v>62</v>
      </c>
      <c r="M17" s="535" t="s">
        <v>416</v>
      </c>
      <c r="N17" s="536"/>
      <c r="O17" s="396"/>
      <c r="P17" s="548"/>
      <c r="Q17" s="396"/>
      <c r="R17" s="396"/>
    </row>
    <row r="18" spans="1:18" s="4" customFormat="1" ht="21" customHeight="1" x14ac:dyDescent="0.15">
      <c r="A18" s="324"/>
      <c r="B18" s="178"/>
      <c r="C18" s="410"/>
      <c r="D18" s="371"/>
      <c r="E18" s="372"/>
      <c r="F18" s="373"/>
      <c r="G18" s="147" t="s">
        <v>34</v>
      </c>
      <c r="H18" s="177"/>
      <c r="I18" s="177"/>
      <c r="J18" s="177"/>
      <c r="K18" s="154"/>
      <c r="L18" s="14">
        <f>L15+L16+L17</f>
        <v>174</v>
      </c>
      <c r="M18" s="241"/>
      <c r="N18" s="242"/>
      <c r="O18" s="397"/>
      <c r="P18" s="549"/>
      <c r="Q18" s="397"/>
      <c r="R18" s="397"/>
    </row>
    <row r="19" spans="1:18" s="4" customFormat="1" ht="21" customHeight="1" x14ac:dyDescent="0.15">
      <c r="A19" s="324"/>
      <c r="B19" s="178"/>
      <c r="C19" s="497" t="s">
        <v>378</v>
      </c>
      <c r="D19" s="469" t="s">
        <v>292</v>
      </c>
      <c r="E19" s="469"/>
      <c r="F19" s="469"/>
      <c r="G19" s="521" t="s">
        <v>397</v>
      </c>
      <c r="H19" s="521" t="s">
        <v>9</v>
      </c>
      <c r="I19" s="355" t="s">
        <v>189</v>
      </c>
      <c r="J19" s="355" t="s">
        <v>174</v>
      </c>
      <c r="K19" s="30" t="s">
        <v>140</v>
      </c>
      <c r="L19" s="34">
        <v>278</v>
      </c>
      <c r="M19" s="258" t="s">
        <v>416</v>
      </c>
      <c r="N19" s="542"/>
      <c r="O19" s="380" t="s">
        <v>248</v>
      </c>
      <c r="P19" s="380" t="s">
        <v>273</v>
      </c>
      <c r="Q19" s="380" t="s">
        <v>392</v>
      </c>
      <c r="R19" s="380" t="s">
        <v>103</v>
      </c>
    </row>
    <row r="20" spans="1:18" s="4" customFormat="1" ht="21" customHeight="1" x14ac:dyDescent="0.15">
      <c r="A20" s="324"/>
      <c r="B20" s="178"/>
      <c r="C20" s="497"/>
      <c r="D20" s="469"/>
      <c r="E20" s="469"/>
      <c r="F20" s="469"/>
      <c r="G20" s="355"/>
      <c r="H20" s="355"/>
      <c r="I20" s="355"/>
      <c r="J20" s="355"/>
      <c r="K20" s="30" t="s">
        <v>276</v>
      </c>
      <c r="L20" s="34">
        <v>46</v>
      </c>
      <c r="M20" s="543"/>
      <c r="N20" s="544"/>
      <c r="O20" s="381"/>
      <c r="P20" s="381"/>
      <c r="Q20" s="381"/>
      <c r="R20" s="381"/>
    </row>
    <row r="21" spans="1:18" s="4" customFormat="1" ht="21" customHeight="1" x14ac:dyDescent="0.15">
      <c r="A21" s="324"/>
      <c r="B21" s="178"/>
      <c r="C21" s="497"/>
      <c r="D21" s="469"/>
      <c r="E21" s="469"/>
      <c r="F21" s="469"/>
      <c r="G21" s="355"/>
      <c r="H21" s="355"/>
      <c r="I21" s="355"/>
      <c r="J21" s="355"/>
      <c r="K21" s="30" t="s">
        <v>119</v>
      </c>
      <c r="L21" s="13">
        <v>46</v>
      </c>
      <c r="M21" s="543" t="s">
        <v>416</v>
      </c>
      <c r="N21" s="544"/>
      <c r="O21" s="381"/>
      <c r="P21" s="381"/>
      <c r="Q21" s="381"/>
      <c r="R21" s="381"/>
    </row>
    <row r="22" spans="1:18" s="4" customFormat="1" ht="21" customHeight="1" x14ac:dyDescent="0.15">
      <c r="A22" s="324"/>
      <c r="B22" s="178"/>
      <c r="C22" s="497"/>
      <c r="D22" s="469"/>
      <c r="E22" s="469"/>
      <c r="F22" s="469"/>
      <c r="G22" s="355"/>
      <c r="H22" s="355"/>
      <c r="I22" s="355"/>
      <c r="J22" s="355"/>
      <c r="K22" s="30" t="s">
        <v>240</v>
      </c>
      <c r="L22" s="13">
        <v>175</v>
      </c>
      <c r="M22" s="543"/>
      <c r="N22" s="544"/>
      <c r="O22" s="381"/>
      <c r="P22" s="381"/>
      <c r="Q22" s="381"/>
      <c r="R22" s="381"/>
    </row>
    <row r="23" spans="1:18" s="4" customFormat="1" ht="21" customHeight="1" x14ac:dyDescent="0.15">
      <c r="A23" s="324"/>
      <c r="B23" s="178"/>
      <c r="C23" s="497"/>
      <c r="D23" s="469"/>
      <c r="E23" s="469"/>
      <c r="F23" s="469"/>
      <c r="G23" s="355"/>
      <c r="H23" s="355"/>
      <c r="I23" s="355"/>
      <c r="J23" s="355"/>
      <c r="K23" s="30" t="s">
        <v>234</v>
      </c>
      <c r="L23" s="13">
        <v>46</v>
      </c>
      <c r="M23" s="543" t="s">
        <v>416</v>
      </c>
      <c r="N23" s="544"/>
      <c r="O23" s="381"/>
      <c r="P23" s="381"/>
      <c r="Q23" s="381"/>
      <c r="R23" s="381"/>
    </row>
    <row r="24" spans="1:18" s="4" customFormat="1" ht="21" customHeight="1" x14ac:dyDescent="0.15">
      <c r="A24" s="324"/>
      <c r="B24" s="178"/>
      <c r="C24" s="497"/>
      <c r="D24" s="469"/>
      <c r="E24" s="469"/>
      <c r="F24" s="469"/>
      <c r="G24" s="355"/>
      <c r="H24" s="355"/>
      <c r="I24" s="355"/>
      <c r="J24" s="355"/>
      <c r="K24" s="30" t="s">
        <v>246</v>
      </c>
      <c r="L24" s="13">
        <v>129</v>
      </c>
      <c r="M24" s="543"/>
      <c r="N24" s="544"/>
      <c r="O24" s="381"/>
      <c r="P24" s="381"/>
      <c r="Q24" s="381"/>
      <c r="R24" s="381"/>
    </row>
    <row r="25" spans="1:18" s="4" customFormat="1" ht="21" customHeight="1" x14ac:dyDescent="0.15">
      <c r="A25" s="324"/>
      <c r="B25" s="178"/>
      <c r="C25" s="497"/>
      <c r="D25" s="469"/>
      <c r="E25" s="469"/>
      <c r="F25" s="469"/>
      <c r="G25" s="355"/>
      <c r="H25" s="355"/>
      <c r="I25" s="355"/>
      <c r="J25" s="355"/>
      <c r="K25" s="30" t="s">
        <v>278</v>
      </c>
      <c r="L25" s="13">
        <v>46</v>
      </c>
      <c r="M25" s="543" t="s">
        <v>416</v>
      </c>
      <c r="N25" s="544"/>
      <c r="O25" s="381"/>
      <c r="P25" s="381"/>
      <c r="Q25" s="381"/>
      <c r="R25" s="381"/>
    </row>
    <row r="26" spans="1:18" s="4" customFormat="1" ht="21" customHeight="1" x14ac:dyDescent="0.15">
      <c r="A26" s="324"/>
      <c r="B26" s="178"/>
      <c r="C26" s="497"/>
      <c r="D26" s="469"/>
      <c r="E26" s="469"/>
      <c r="F26" s="469"/>
      <c r="G26" s="355"/>
      <c r="H26" s="355"/>
      <c r="I26" s="355"/>
      <c r="J26" s="355"/>
      <c r="K26" s="30" t="s">
        <v>142</v>
      </c>
      <c r="L26" s="13">
        <v>46</v>
      </c>
      <c r="M26" s="543"/>
      <c r="N26" s="544"/>
      <c r="O26" s="381"/>
      <c r="P26" s="381"/>
      <c r="Q26" s="381"/>
      <c r="R26" s="381"/>
    </row>
    <row r="27" spans="1:18" s="4" customFormat="1" ht="21" customHeight="1" x14ac:dyDescent="0.15">
      <c r="A27" s="324"/>
      <c r="B27" s="178"/>
      <c r="C27" s="497"/>
      <c r="D27" s="469"/>
      <c r="E27" s="469"/>
      <c r="F27" s="469"/>
      <c r="G27" s="355"/>
      <c r="H27" s="355"/>
      <c r="I27" s="355"/>
      <c r="J27" s="355"/>
      <c r="K27" s="30" t="s">
        <v>126</v>
      </c>
      <c r="L27" s="34">
        <v>129</v>
      </c>
      <c r="M27" s="545" t="s">
        <v>416</v>
      </c>
      <c r="N27" s="546"/>
      <c r="O27" s="381"/>
      <c r="P27" s="381"/>
      <c r="Q27" s="381"/>
      <c r="R27" s="381"/>
    </row>
    <row r="28" spans="1:18" s="4" customFormat="1" ht="20.25" customHeight="1" x14ac:dyDescent="0.15">
      <c r="A28" s="324"/>
      <c r="B28" s="178"/>
      <c r="C28" s="497"/>
      <c r="D28" s="469"/>
      <c r="E28" s="469"/>
      <c r="F28" s="469"/>
      <c r="G28" s="147" t="s">
        <v>34</v>
      </c>
      <c r="H28" s="177"/>
      <c r="I28" s="177"/>
      <c r="J28" s="177"/>
      <c r="K28" s="154"/>
      <c r="L28" s="14">
        <f>SUM(L19:L27)</f>
        <v>941</v>
      </c>
      <c r="M28" s="241"/>
      <c r="N28" s="242"/>
      <c r="O28" s="382"/>
      <c r="P28" s="382"/>
      <c r="Q28" s="382"/>
      <c r="R28" s="382"/>
    </row>
    <row r="29" spans="1:18" s="4" customFormat="1" ht="20.25" customHeight="1" x14ac:dyDescent="0.15">
      <c r="A29" s="324"/>
      <c r="B29" s="178"/>
      <c r="C29" s="406" t="s">
        <v>195</v>
      </c>
      <c r="D29" s="365" t="s">
        <v>285</v>
      </c>
      <c r="E29" s="263"/>
      <c r="F29" s="309"/>
      <c r="G29" s="537" t="s">
        <v>17</v>
      </c>
      <c r="H29" s="401" t="s">
        <v>376</v>
      </c>
      <c r="I29" s="256" t="s">
        <v>189</v>
      </c>
      <c r="J29" s="256" t="s">
        <v>174</v>
      </c>
      <c r="K29" s="30">
        <v>67.569299999999998</v>
      </c>
      <c r="L29" s="34">
        <v>68</v>
      </c>
      <c r="M29" s="258" t="s">
        <v>416</v>
      </c>
      <c r="N29" s="542"/>
      <c r="O29" s="429" t="s">
        <v>268</v>
      </c>
      <c r="P29" s="429" t="s">
        <v>249</v>
      </c>
      <c r="Q29" s="429" t="s">
        <v>67</v>
      </c>
      <c r="R29" s="429" t="s">
        <v>103</v>
      </c>
    </row>
    <row r="30" spans="1:18" s="4" customFormat="1" ht="20.25" customHeight="1" x14ac:dyDescent="0.15">
      <c r="A30" s="324"/>
      <c r="B30" s="178"/>
      <c r="C30" s="156"/>
      <c r="D30" s="264"/>
      <c r="E30" s="265"/>
      <c r="F30" s="310"/>
      <c r="G30" s="538"/>
      <c r="H30" s="540"/>
      <c r="I30" s="156"/>
      <c r="J30" s="156"/>
      <c r="K30" s="30" t="s">
        <v>122</v>
      </c>
      <c r="L30" s="34">
        <v>221</v>
      </c>
      <c r="M30" s="543"/>
      <c r="N30" s="544"/>
      <c r="O30" s="422"/>
      <c r="P30" s="422"/>
      <c r="Q30" s="422"/>
      <c r="R30" s="422"/>
    </row>
    <row r="31" spans="1:18" s="4" customFormat="1" ht="20.25" customHeight="1" x14ac:dyDescent="0.15">
      <c r="A31" s="324"/>
      <c r="B31" s="178"/>
      <c r="C31" s="156"/>
      <c r="D31" s="264"/>
      <c r="E31" s="265"/>
      <c r="F31" s="310"/>
      <c r="G31" s="538"/>
      <c r="H31" s="540"/>
      <c r="I31" s="156"/>
      <c r="J31" s="156"/>
      <c r="K31" s="30" t="s">
        <v>143</v>
      </c>
      <c r="L31" s="13">
        <v>198</v>
      </c>
      <c r="M31" s="543" t="s">
        <v>416</v>
      </c>
      <c r="N31" s="544"/>
      <c r="O31" s="422"/>
      <c r="P31" s="422"/>
      <c r="Q31" s="422"/>
      <c r="R31" s="422"/>
    </row>
    <row r="32" spans="1:18" s="4" customFormat="1" ht="20.25" customHeight="1" x14ac:dyDescent="0.15">
      <c r="A32" s="324"/>
      <c r="B32" s="178"/>
      <c r="C32" s="156"/>
      <c r="D32" s="264"/>
      <c r="E32" s="265"/>
      <c r="F32" s="310"/>
      <c r="G32" s="539"/>
      <c r="H32" s="541"/>
      <c r="I32" s="157"/>
      <c r="J32" s="157"/>
      <c r="K32" s="30">
        <v>99.7273</v>
      </c>
      <c r="L32" s="13">
        <v>54</v>
      </c>
      <c r="M32" s="545"/>
      <c r="N32" s="546"/>
      <c r="O32" s="422"/>
      <c r="P32" s="422"/>
      <c r="Q32" s="422"/>
      <c r="R32" s="422"/>
    </row>
    <row r="33" spans="1:18" s="4" customFormat="1" ht="20.25" customHeight="1" x14ac:dyDescent="0.15">
      <c r="A33" s="324"/>
      <c r="B33" s="178"/>
      <c r="C33" s="157"/>
      <c r="D33" s="266"/>
      <c r="E33" s="267"/>
      <c r="F33" s="311"/>
      <c r="G33" s="147" t="s">
        <v>34</v>
      </c>
      <c r="H33" s="177"/>
      <c r="I33" s="177"/>
      <c r="J33" s="177"/>
      <c r="K33" s="154"/>
      <c r="L33" s="14">
        <f>SUM(L29:L32)</f>
        <v>541</v>
      </c>
      <c r="M33" s="241"/>
      <c r="N33" s="242"/>
      <c r="O33" s="423"/>
      <c r="P33" s="423"/>
      <c r="Q33" s="423"/>
      <c r="R33" s="423"/>
    </row>
    <row r="34" spans="1:18" s="4" customFormat="1" ht="20.25" customHeight="1" x14ac:dyDescent="0.15">
      <c r="A34" s="324"/>
      <c r="B34" s="178"/>
      <c r="C34" s="406" t="s">
        <v>88</v>
      </c>
      <c r="D34" s="534" t="s">
        <v>288</v>
      </c>
      <c r="E34" s="263"/>
      <c r="F34" s="309"/>
      <c r="G34" s="401" t="s">
        <v>391</v>
      </c>
      <c r="H34" s="401" t="s">
        <v>376</v>
      </c>
      <c r="I34" s="256" t="s">
        <v>189</v>
      </c>
      <c r="J34" s="256" t="s">
        <v>174</v>
      </c>
      <c r="K34" s="30" t="s">
        <v>122</v>
      </c>
      <c r="L34" s="34">
        <v>262</v>
      </c>
      <c r="M34" s="452" t="s">
        <v>416</v>
      </c>
      <c r="N34" s="151"/>
      <c r="O34" s="429" t="s">
        <v>155</v>
      </c>
      <c r="P34" s="429" t="s">
        <v>354</v>
      </c>
      <c r="Q34" s="429" t="s">
        <v>60</v>
      </c>
      <c r="R34" s="421" t="s">
        <v>473</v>
      </c>
    </row>
    <row r="35" spans="1:18" s="4" customFormat="1" ht="20.25" customHeight="1" x14ac:dyDescent="0.15">
      <c r="A35" s="324"/>
      <c r="B35" s="178"/>
      <c r="C35" s="156"/>
      <c r="D35" s="264"/>
      <c r="E35" s="265"/>
      <c r="F35" s="310"/>
      <c r="G35" s="157"/>
      <c r="H35" s="157"/>
      <c r="I35" s="157"/>
      <c r="J35" s="157"/>
      <c r="K35" s="30" t="s">
        <v>157</v>
      </c>
      <c r="L35" s="13">
        <v>130</v>
      </c>
      <c r="M35" s="535"/>
      <c r="N35" s="536"/>
      <c r="O35" s="422"/>
      <c r="P35" s="422"/>
      <c r="Q35" s="422"/>
      <c r="R35" s="422"/>
    </row>
    <row r="36" spans="1:18" s="4" customFormat="1" ht="20.25" customHeight="1" x14ac:dyDescent="0.15">
      <c r="A36" s="324"/>
      <c r="B36" s="178"/>
      <c r="C36" s="157"/>
      <c r="D36" s="266"/>
      <c r="E36" s="267"/>
      <c r="F36" s="311"/>
      <c r="G36" s="147" t="s">
        <v>34</v>
      </c>
      <c r="H36" s="177"/>
      <c r="I36" s="177"/>
      <c r="J36" s="177"/>
      <c r="K36" s="154"/>
      <c r="L36" s="14">
        <f>SUM(L34:L35)</f>
        <v>392</v>
      </c>
      <c r="M36" s="241"/>
      <c r="N36" s="242"/>
      <c r="O36" s="423"/>
      <c r="P36" s="423"/>
      <c r="Q36" s="423"/>
      <c r="R36" s="423"/>
    </row>
    <row r="37" spans="1:18" s="4" customFormat="1" ht="20.25" customHeight="1" x14ac:dyDescent="0.15">
      <c r="A37" s="324"/>
      <c r="B37" s="178"/>
      <c r="C37" s="155" t="s">
        <v>184</v>
      </c>
      <c r="D37" s="262" t="s">
        <v>298</v>
      </c>
      <c r="E37" s="508"/>
      <c r="F37" s="509"/>
      <c r="G37" s="445" t="s">
        <v>148</v>
      </c>
      <c r="H37" s="526" t="s">
        <v>443</v>
      </c>
      <c r="I37" s="268" t="s">
        <v>189</v>
      </c>
      <c r="J37" s="268" t="s">
        <v>174</v>
      </c>
      <c r="K37" s="35">
        <v>59.641399999999997</v>
      </c>
      <c r="L37" s="21">
        <v>24</v>
      </c>
      <c r="M37" s="414" t="s">
        <v>416</v>
      </c>
      <c r="N37" s="529"/>
      <c r="O37" s="429" t="s">
        <v>149</v>
      </c>
      <c r="P37" s="429" t="s">
        <v>254</v>
      </c>
      <c r="Q37" s="429" t="s">
        <v>394</v>
      </c>
      <c r="R37" s="429" t="s">
        <v>167</v>
      </c>
    </row>
    <row r="38" spans="1:18" s="4" customFormat="1" ht="20.25" customHeight="1" x14ac:dyDescent="0.15">
      <c r="A38" s="324"/>
      <c r="B38" s="178"/>
      <c r="C38" s="443"/>
      <c r="D38" s="510"/>
      <c r="E38" s="511"/>
      <c r="F38" s="512"/>
      <c r="G38" s="156"/>
      <c r="H38" s="527"/>
      <c r="I38" s="156"/>
      <c r="J38" s="156"/>
      <c r="K38" s="35">
        <v>65.599999999999994</v>
      </c>
      <c r="L38" s="21">
        <v>13</v>
      </c>
      <c r="M38" s="530"/>
      <c r="N38" s="531"/>
      <c r="O38" s="422"/>
      <c r="P38" s="422"/>
      <c r="Q38" s="422"/>
      <c r="R38" s="422"/>
    </row>
    <row r="39" spans="1:18" s="4" customFormat="1" ht="20.25" customHeight="1" x14ac:dyDescent="0.15">
      <c r="A39" s="324"/>
      <c r="B39" s="178"/>
      <c r="C39" s="443"/>
      <c r="D39" s="510"/>
      <c r="E39" s="511"/>
      <c r="F39" s="512"/>
      <c r="G39" s="156"/>
      <c r="H39" s="527"/>
      <c r="I39" s="156"/>
      <c r="J39" s="156"/>
      <c r="K39" s="35">
        <v>83.7</v>
      </c>
      <c r="L39" s="21">
        <v>12</v>
      </c>
      <c r="M39" s="530" t="s">
        <v>416</v>
      </c>
      <c r="N39" s="531"/>
      <c r="O39" s="422"/>
      <c r="P39" s="422"/>
      <c r="Q39" s="422"/>
      <c r="R39" s="422"/>
    </row>
    <row r="40" spans="1:18" s="4" customFormat="1" ht="20.25" customHeight="1" x14ac:dyDescent="0.15">
      <c r="A40" s="324"/>
      <c r="B40" s="178"/>
      <c r="C40" s="443"/>
      <c r="D40" s="510"/>
      <c r="E40" s="511"/>
      <c r="F40" s="512"/>
      <c r="G40" s="156"/>
      <c r="H40" s="527"/>
      <c r="I40" s="156"/>
      <c r="J40" s="156"/>
      <c r="K40" s="35" t="s">
        <v>230</v>
      </c>
      <c r="L40" s="21">
        <v>23</v>
      </c>
      <c r="M40" s="530"/>
      <c r="N40" s="531"/>
      <c r="O40" s="422"/>
      <c r="P40" s="422"/>
      <c r="Q40" s="422"/>
      <c r="R40" s="422"/>
    </row>
    <row r="41" spans="1:18" s="4" customFormat="1" ht="20.25" customHeight="1" x14ac:dyDescent="0.15">
      <c r="A41" s="324"/>
      <c r="B41" s="178"/>
      <c r="C41" s="443"/>
      <c r="D41" s="510"/>
      <c r="E41" s="511"/>
      <c r="F41" s="512"/>
      <c r="G41" s="157"/>
      <c r="H41" s="528"/>
      <c r="I41" s="157"/>
      <c r="J41" s="157"/>
      <c r="K41" s="35" t="s">
        <v>260</v>
      </c>
      <c r="L41" s="21">
        <v>27</v>
      </c>
      <c r="M41" s="532" t="s">
        <v>416</v>
      </c>
      <c r="N41" s="533"/>
      <c r="O41" s="422"/>
      <c r="P41" s="422"/>
      <c r="Q41" s="422"/>
      <c r="R41" s="422"/>
    </row>
    <row r="42" spans="1:18" s="4" customFormat="1" ht="20.25" customHeight="1" x14ac:dyDescent="0.15">
      <c r="A42" s="324"/>
      <c r="B42" s="178"/>
      <c r="C42" s="444"/>
      <c r="D42" s="513"/>
      <c r="E42" s="514"/>
      <c r="F42" s="515"/>
      <c r="G42" s="37"/>
      <c r="H42" s="38"/>
      <c r="I42" s="38"/>
      <c r="J42" s="38"/>
      <c r="K42" s="39"/>
      <c r="L42" s="14">
        <f>SUM(L37:L41)</f>
        <v>99</v>
      </c>
      <c r="M42" s="241"/>
      <c r="N42" s="242"/>
      <c r="O42" s="423"/>
      <c r="P42" s="423"/>
      <c r="Q42" s="423"/>
      <c r="R42" s="423"/>
    </row>
    <row r="43" spans="1:18" s="4" customFormat="1" ht="18.95" customHeight="1" x14ac:dyDescent="0.15">
      <c r="A43" s="324"/>
      <c r="B43" s="553"/>
      <c r="C43" s="155" t="s">
        <v>184</v>
      </c>
      <c r="D43" s="262" t="s">
        <v>318</v>
      </c>
      <c r="E43" s="508"/>
      <c r="F43" s="509"/>
      <c r="G43" s="445" t="s">
        <v>212</v>
      </c>
      <c r="H43" s="445" t="s">
        <v>212</v>
      </c>
      <c r="I43" s="268" t="s">
        <v>189</v>
      </c>
      <c r="J43" s="268" t="s">
        <v>174</v>
      </c>
      <c r="K43" s="35" t="s">
        <v>372</v>
      </c>
      <c r="L43" s="20">
        <v>98</v>
      </c>
      <c r="M43" s="522" t="s">
        <v>425</v>
      </c>
      <c r="N43" s="523"/>
      <c r="O43" s="429" t="s">
        <v>108</v>
      </c>
      <c r="P43" s="429" t="s">
        <v>371</v>
      </c>
      <c r="Q43" s="429" t="s">
        <v>394</v>
      </c>
      <c r="R43" s="421" t="s">
        <v>473</v>
      </c>
    </row>
    <row r="44" spans="1:18" s="4" customFormat="1" ht="18.95" customHeight="1" x14ac:dyDescent="0.15">
      <c r="A44" s="324"/>
      <c r="B44" s="553"/>
      <c r="C44" s="443"/>
      <c r="D44" s="510"/>
      <c r="E44" s="511"/>
      <c r="F44" s="512"/>
      <c r="G44" s="156"/>
      <c r="H44" s="156"/>
      <c r="I44" s="156"/>
      <c r="J44" s="156"/>
      <c r="K44" s="35" t="s">
        <v>369</v>
      </c>
      <c r="L44" s="20">
        <v>49</v>
      </c>
      <c r="M44" s="524"/>
      <c r="N44" s="525"/>
      <c r="O44" s="422"/>
      <c r="P44" s="422"/>
      <c r="Q44" s="422"/>
      <c r="R44" s="422"/>
    </row>
    <row r="45" spans="1:18" s="4" customFormat="1" ht="18.95" customHeight="1" x14ac:dyDescent="0.15">
      <c r="A45" s="324"/>
      <c r="B45" s="554"/>
      <c r="C45" s="444"/>
      <c r="D45" s="513"/>
      <c r="E45" s="514"/>
      <c r="F45" s="515"/>
      <c r="G45" s="147" t="s">
        <v>34</v>
      </c>
      <c r="H45" s="177"/>
      <c r="I45" s="177"/>
      <c r="J45" s="177"/>
      <c r="K45" s="154"/>
      <c r="L45" s="14">
        <f>SUM(L43:L44)</f>
        <v>147</v>
      </c>
      <c r="M45" s="486"/>
      <c r="N45" s="487"/>
      <c r="O45" s="423"/>
      <c r="P45" s="423"/>
      <c r="Q45" s="423"/>
      <c r="R45" s="423"/>
    </row>
    <row r="46" spans="1:18" s="132" customFormat="1" ht="18.95" customHeight="1" x14ac:dyDescent="0.15">
      <c r="A46" s="324"/>
      <c r="B46" s="129"/>
      <c r="C46" s="595" t="s">
        <v>479</v>
      </c>
      <c r="D46" s="596" t="s">
        <v>480</v>
      </c>
      <c r="E46" s="596"/>
      <c r="F46" s="596"/>
      <c r="G46" s="597" t="s">
        <v>481</v>
      </c>
      <c r="H46" s="598" t="s">
        <v>486</v>
      </c>
      <c r="I46" s="597" t="s">
        <v>430</v>
      </c>
      <c r="J46" s="597" t="s">
        <v>431</v>
      </c>
      <c r="K46" s="130" t="s">
        <v>432</v>
      </c>
      <c r="L46" s="131">
        <v>118</v>
      </c>
      <c r="M46" s="587" t="s">
        <v>425</v>
      </c>
      <c r="N46" s="588"/>
      <c r="O46" s="569" t="s">
        <v>482</v>
      </c>
      <c r="P46" s="569" t="s">
        <v>483</v>
      </c>
      <c r="Q46" s="572" t="s">
        <v>485</v>
      </c>
      <c r="R46" s="575" t="s">
        <v>484</v>
      </c>
    </row>
    <row r="47" spans="1:18" s="132" customFormat="1" ht="18.95" customHeight="1" x14ac:dyDescent="0.15">
      <c r="A47" s="324"/>
      <c r="B47" s="129"/>
      <c r="C47" s="595"/>
      <c r="D47" s="596"/>
      <c r="E47" s="596"/>
      <c r="F47" s="596"/>
      <c r="G47" s="597"/>
      <c r="H47" s="597"/>
      <c r="I47" s="597"/>
      <c r="J47" s="597"/>
      <c r="K47" s="130" t="s">
        <v>436</v>
      </c>
      <c r="L47" s="131">
        <v>115</v>
      </c>
      <c r="M47" s="589"/>
      <c r="N47" s="590"/>
      <c r="O47" s="570"/>
      <c r="P47" s="570"/>
      <c r="Q47" s="573"/>
      <c r="R47" s="576"/>
    </row>
    <row r="48" spans="1:18" s="132" customFormat="1" ht="18.95" customHeight="1" x14ac:dyDescent="0.15">
      <c r="A48" s="324"/>
      <c r="B48" s="129"/>
      <c r="C48" s="595"/>
      <c r="D48" s="596"/>
      <c r="E48" s="596"/>
      <c r="F48" s="596"/>
      <c r="G48" s="597"/>
      <c r="H48" s="597"/>
      <c r="I48" s="597"/>
      <c r="J48" s="597"/>
      <c r="K48" s="130" t="s">
        <v>437</v>
      </c>
      <c r="L48" s="131">
        <v>60</v>
      </c>
      <c r="M48" s="589"/>
      <c r="N48" s="590"/>
      <c r="O48" s="570"/>
      <c r="P48" s="570"/>
      <c r="Q48" s="573"/>
      <c r="R48" s="576"/>
    </row>
    <row r="49" spans="1:18" s="132" customFormat="1" ht="18.95" customHeight="1" x14ac:dyDescent="0.15">
      <c r="A49" s="324"/>
      <c r="B49" s="129"/>
      <c r="C49" s="595"/>
      <c r="D49" s="596"/>
      <c r="E49" s="596"/>
      <c r="F49" s="596"/>
      <c r="G49" s="597"/>
      <c r="H49" s="597"/>
      <c r="I49" s="597"/>
      <c r="J49" s="597"/>
      <c r="K49" s="130">
        <v>142</v>
      </c>
      <c r="L49" s="131">
        <v>2</v>
      </c>
      <c r="M49" s="589"/>
      <c r="N49" s="590"/>
      <c r="O49" s="570"/>
      <c r="P49" s="570"/>
      <c r="Q49" s="573"/>
      <c r="R49" s="576"/>
    </row>
    <row r="50" spans="1:18" s="132" customFormat="1" ht="18.95" customHeight="1" x14ac:dyDescent="0.15">
      <c r="A50" s="324"/>
      <c r="B50" s="129"/>
      <c r="C50" s="595"/>
      <c r="D50" s="596"/>
      <c r="E50" s="596"/>
      <c r="F50" s="596"/>
      <c r="G50" s="597"/>
      <c r="H50" s="597"/>
      <c r="I50" s="597"/>
      <c r="J50" s="597"/>
      <c r="K50" s="130">
        <v>167</v>
      </c>
      <c r="L50" s="131">
        <v>4</v>
      </c>
      <c r="M50" s="591"/>
      <c r="N50" s="592"/>
      <c r="O50" s="570"/>
      <c r="P50" s="570"/>
      <c r="Q50" s="573"/>
      <c r="R50" s="576"/>
    </row>
    <row r="51" spans="1:18" s="132" customFormat="1" ht="18.95" customHeight="1" x14ac:dyDescent="0.15">
      <c r="A51" s="324"/>
      <c r="B51" s="129"/>
      <c r="C51" s="595"/>
      <c r="D51" s="596"/>
      <c r="E51" s="596"/>
      <c r="F51" s="596"/>
      <c r="G51" s="584" t="s">
        <v>441</v>
      </c>
      <c r="H51" s="585"/>
      <c r="I51" s="585"/>
      <c r="J51" s="585"/>
      <c r="K51" s="586"/>
      <c r="L51" s="133">
        <f>SUM(L46:L50)</f>
        <v>299</v>
      </c>
      <c r="M51" s="593"/>
      <c r="N51" s="594"/>
      <c r="O51" s="571"/>
      <c r="P51" s="571"/>
      <c r="Q51" s="574"/>
      <c r="R51" s="577"/>
    </row>
    <row r="52" spans="1:18" s="4" customFormat="1" ht="21" customHeight="1" x14ac:dyDescent="0.15">
      <c r="A52" s="324"/>
      <c r="B52" s="235" t="s">
        <v>407</v>
      </c>
      <c r="C52" s="235"/>
      <c r="D52" s="235"/>
      <c r="E52" s="235"/>
      <c r="F52" s="235"/>
      <c r="G52" s="235"/>
      <c r="H52" s="235"/>
      <c r="I52" s="235"/>
      <c r="J52" s="235"/>
      <c r="K52" s="235"/>
      <c r="L52" s="59">
        <f>SUM(L45,L42,L36,L33,L28,L18,L14,L10,L7,L51)</f>
        <v>3276</v>
      </c>
      <c r="M52" s="5">
        <v>725</v>
      </c>
      <c r="N52" s="59">
        <v>722</v>
      </c>
      <c r="O52" s="6"/>
      <c r="P52" s="6"/>
      <c r="Q52" s="7"/>
      <c r="R52" s="7"/>
    </row>
    <row r="53" spans="1:18" s="8" customFormat="1" ht="24.95" customHeight="1" x14ac:dyDescent="0.15">
      <c r="A53" s="324"/>
      <c r="B53" s="178"/>
      <c r="C53" s="362" t="s">
        <v>170</v>
      </c>
      <c r="D53" s="365" t="s">
        <v>326</v>
      </c>
      <c r="E53" s="366"/>
      <c r="F53" s="367"/>
      <c r="G53" s="401" t="s">
        <v>11</v>
      </c>
      <c r="H53" s="401" t="s">
        <v>8</v>
      </c>
      <c r="I53" s="256" t="s">
        <v>189</v>
      </c>
      <c r="J53" s="256" t="s">
        <v>174</v>
      </c>
      <c r="K53" s="17">
        <v>71.838399999999993</v>
      </c>
      <c r="L53" s="13">
        <v>32</v>
      </c>
      <c r="M53" s="258" t="s">
        <v>416</v>
      </c>
      <c r="N53" s="259"/>
      <c r="O53" s="395" t="s">
        <v>341</v>
      </c>
      <c r="P53" s="395" t="s">
        <v>349</v>
      </c>
      <c r="Q53" s="395" t="s">
        <v>36</v>
      </c>
      <c r="R53" s="395" t="s">
        <v>103</v>
      </c>
    </row>
    <row r="54" spans="1:18" s="8" customFormat="1" ht="24.95" customHeight="1" x14ac:dyDescent="0.15">
      <c r="A54" s="324"/>
      <c r="B54" s="178"/>
      <c r="C54" s="363"/>
      <c r="D54" s="368"/>
      <c r="E54" s="369"/>
      <c r="F54" s="370"/>
      <c r="G54" s="257"/>
      <c r="H54" s="257"/>
      <c r="I54" s="257"/>
      <c r="J54" s="257"/>
      <c r="K54" s="17">
        <v>79.018900000000002</v>
      </c>
      <c r="L54" s="13">
        <v>16</v>
      </c>
      <c r="M54" s="378"/>
      <c r="N54" s="379"/>
      <c r="O54" s="396"/>
      <c r="P54" s="396"/>
      <c r="Q54" s="396"/>
      <c r="R54" s="396"/>
    </row>
    <row r="55" spans="1:18" s="8" customFormat="1" ht="24.95" customHeight="1" x14ac:dyDescent="0.15">
      <c r="A55" s="324"/>
      <c r="B55" s="178"/>
      <c r="C55" s="363"/>
      <c r="D55" s="368"/>
      <c r="E55" s="369"/>
      <c r="F55" s="370"/>
      <c r="G55" s="257"/>
      <c r="H55" s="257"/>
      <c r="I55" s="257"/>
      <c r="J55" s="257"/>
      <c r="K55" s="17">
        <v>81.863200000000006</v>
      </c>
      <c r="L55" s="13">
        <v>32</v>
      </c>
      <c r="M55" s="378"/>
      <c r="N55" s="379"/>
      <c r="O55" s="396"/>
      <c r="P55" s="396"/>
      <c r="Q55" s="396"/>
      <c r="R55" s="396"/>
    </row>
    <row r="56" spans="1:18" s="8" customFormat="1" ht="24.95" customHeight="1" x14ac:dyDescent="0.15">
      <c r="A56" s="324"/>
      <c r="B56" s="178"/>
      <c r="C56" s="363"/>
      <c r="D56" s="368"/>
      <c r="E56" s="369"/>
      <c r="F56" s="370"/>
      <c r="G56" s="257"/>
      <c r="H56" s="257"/>
      <c r="I56" s="257"/>
      <c r="J56" s="257"/>
      <c r="K56" s="17">
        <v>84.974400000000003</v>
      </c>
      <c r="L56" s="13">
        <v>32</v>
      </c>
      <c r="M56" s="378"/>
      <c r="N56" s="379"/>
      <c r="O56" s="396"/>
      <c r="P56" s="396"/>
      <c r="Q56" s="396"/>
      <c r="R56" s="396"/>
    </row>
    <row r="57" spans="1:18" s="8" customFormat="1" ht="24.95" customHeight="1" x14ac:dyDescent="0.15">
      <c r="A57" s="324"/>
      <c r="B57" s="178"/>
      <c r="C57" s="363"/>
      <c r="D57" s="368"/>
      <c r="E57" s="369"/>
      <c r="F57" s="370"/>
      <c r="G57" s="257"/>
      <c r="H57" s="257"/>
      <c r="I57" s="257"/>
      <c r="J57" s="257"/>
      <c r="K57" s="17">
        <v>84.974400000000003</v>
      </c>
      <c r="L57" s="13">
        <v>16</v>
      </c>
      <c r="M57" s="378"/>
      <c r="N57" s="379"/>
      <c r="O57" s="396"/>
      <c r="P57" s="396"/>
      <c r="Q57" s="396"/>
      <c r="R57" s="396"/>
    </row>
    <row r="58" spans="1:18" s="8" customFormat="1" ht="24.95" customHeight="1" x14ac:dyDescent="0.15">
      <c r="A58" s="324"/>
      <c r="B58" s="178"/>
      <c r="C58" s="363"/>
      <c r="D58" s="368"/>
      <c r="E58" s="369"/>
      <c r="F58" s="370"/>
      <c r="G58" s="257"/>
      <c r="H58" s="257"/>
      <c r="I58" s="257"/>
      <c r="J58" s="257"/>
      <c r="K58" s="17">
        <v>84.846000000000004</v>
      </c>
      <c r="L58" s="13">
        <v>15</v>
      </c>
      <c r="M58" s="378"/>
      <c r="N58" s="379"/>
      <c r="O58" s="396"/>
      <c r="P58" s="396"/>
      <c r="Q58" s="396"/>
      <c r="R58" s="396"/>
    </row>
    <row r="59" spans="1:18" s="8" customFormat="1" ht="24.95" customHeight="1" x14ac:dyDescent="0.15">
      <c r="A59" s="324"/>
      <c r="B59" s="178"/>
      <c r="C59" s="363"/>
      <c r="D59" s="368"/>
      <c r="E59" s="369"/>
      <c r="F59" s="370"/>
      <c r="G59" s="257"/>
      <c r="H59" s="257"/>
      <c r="I59" s="257"/>
      <c r="J59" s="257"/>
      <c r="K59" s="17">
        <v>84.929400000000001</v>
      </c>
      <c r="L59" s="13">
        <v>16</v>
      </c>
      <c r="M59" s="378"/>
      <c r="N59" s="379"/>
      <c r="O59" s="396"/>
      <c r="P59" s="396"/>
      <c r="Q59" s="396"/>
      <c r="R59" s="396"/>
    </row>
    <row r="60" spans="1:18" s="8" customFormat="1" ht="24.95" customHeight="1" x14ac:dyDescent="0.15">
      <c r="A60" s="324"/>
      <c r="B60" s="178"/>
      <c r="C60" s="363"/>
      <c r="D60" s="368"/>
      <c r="E60" s="369"/>
      <c r="F60" s="370"/>
      <c r="G60" s="257"/>
      <c r="H60" s="257"/>
      <c r="I60" s="257"/>
      <c r="J60" s="257"/>
      <c r="K60" s="17">
        <v>84.894300000000001</v>
      </c>
      <c r="L60" s="13">
        <v>16</v>
      </c>
      <c r="M60" s="378"/>
      <c r="N60" s="379"/>
      <c r="O60" s="396"/>
      <c r="P60" s="396"/>
      <c r="Q60" s="396"/>
      <c r="R60" s="396"/>
    </row>
    <row r="61" spans="1:18" s="8" customFormat="1" ht="24.95" customHeight="1" x14ac:dyDescent="0.15">
      <c r="A61" s="324"/>
      <c r="B61" s="178"/>
      <c r="C61" s="363"/>
      <c r="D61" s="368"/>
      <c r="E61" s="369"/>
      <c r="F61" s="370"/>
      <c r="G61" s="402"/>
      <c r="H61" s="402"/>
      <c r="I61" s="402"/>
      <c r="J61" s="402"/>
      <c r="K61" s="17">
        <v>131.9186</v>
      </c>
      <c r="L61" s="13">
        <v>16</v>
      </c>
      <c r="M61" s="260"/>
      <c r="N61" s="261"/>
      <c r="O61" s="396"/>
      <c r="P61" s="396"/>
      <c r="Q61" s="396"/>
      <c r="R61" s="396"/>
    </row>
    <row r="62" spans="1:18" s="8" customFormat="1" ht="24.95" customHeight="1" x14ac:dyDescent="0.15">
      <c r="A62" s="324"/>
      <c r="B62" s="178"/>
      <c r="C62" s="364"/>
      <c r="D62" s="371"/>
      <c r="E62" s="372"/>
      <c r="F62" s="373"/>
      <c r="G62" s="394" t="s">
        <v>34</v>
      </c>
      <c r="H62" s="394"/>
      <c r="I62" s="394"/>
      <c r="J62" s="394"/>
      <c r="K62" s="394"/>
      <c r="L62" s="14">
        <f>SUM(L53:L61)</f>
        <v>191</v>
      </c>
      <c r="M62" s="241"/>
      <c r="N62" s="242"/>
      <c r="O62" s="397"/>
      <c r="P62" s="397"/>
      <c r="Q62" s="397"/>
      <c r="R62" s="397"/>
    </row>
    <row r="63" spans="1:18" s="8" customFormat="1" ht="24.95" customHeight="1" x14ac:dyDescent="0.15">
      <c r="A63" s="324"/>
      <c r="B63" s="178"/>
      <c r="C63" s="362" t="s">
        <v>91</v>
      </c>
      <c r="D63" s="365" t="s">
        <v>282</v>
      </c>
      <c r="E63" s="366"/>
      <c r="F63" s="367"/>
      <c r="G63" s="401" t="s">
        <v>383</v>
      </c>
      <c r="H63" s="401" t="s">
        <v>33</v>
      </c>
      <c r="I63" s="256" t="s">
        <v>189</v>
      </c>
      <c r="J63" s="256" t="s">
        <v>174</v>
      </c>
      <c r="K63" s="17" t="s">
        <v>82</v>
      </c>
      <c r="L63" s="13">
        <v>57</v>
      </c>
      <c r="M63" s="258" t="s">
        <v>416</v>
      </c>
      <c r="N63" s="259"/>
      <c r="O63" s="395" t="s">
        <v>352</v>
      </c>
      <c r="P63" s="395" t="s">
        <v>353</v>
      </c>
      <c r="Q63" s="395" t="s">
        <v>116</v>
      </c>
      <c r="R63" s="395" t="s">
        <v>103</v>
      </c>
    </row>
    <row r="64" spans="1:18" s="8" customFormat="1" ht="24.95" customHeight="1" x14ac:dyDescent="0.15">
      <c r="A64" s="324"/>
      <c r="B64" s="178"/>
      <c r="C64" s="363"/>
      <c r="D64" s="368"/>
      <c r="E64" s="369"/>
      <c r="F64" s="370"/>
      <c r="G64" s="518"/>
      <c r="H64" s="518"/>
      <c r="I64" s="257"/>
      <c r="J64" s="257"/>
      <c r="K64" s="17" t="s">
        <v>80</v>
      </c>
      <c r="L64" s="13">
        <v>58</v>
      </c>
      <c r="M64" s="378"/>
      <c r="N64" s="379"/>
      <c r="O64" s="396"/>
      <c r="P64" s="396"/>
      <c r="Q64" s="396"/>
      <c r="R64" s="396"/>
    </row>
    <row r="65" spans="1:18" s="8" customFormat="1" ht="24.95" customHeight="1" x14ac:dyDescent="0.15">
      <c r="A65" s="324"/>
      <c r="B65" s="178"/>
      <c r="C65" s="363"/>
      <c r="D65" s="368"/>
      <c r="E65" s="369"/>
      <c r="F65" s="370"/>
      <c r="G65" s="518"/>
      <c r="H65" s="518"/>
      <c r="I65" s="257"/>
      <c r="J65" s="257"/>
      <c r="K65" s="17" t="s">
        <v>172</v>
      </c>
      <c r="L65" s="13">
        <v>82</v>
      </c>
      <c r="M65" s="378"/>
      <c r="N65" s="379"/>
      <c r="O65" s="396"/>
      <c r="P65" s="396"/>
      <c r="Q65" s="396"/>
      <c r="R65" s="396"/>
    </row>
    <row r="66" spans="1:18" s="8" customFormat="1" ht="24.95" customHeight="1" x14ac:dyDescent="0.15">
      <c r="A66" s="324"/>
      <c r="B66" s="178"/>
      <c r="C66" s="363"/>
      <c r="D66" s="368"/>
      <c r="E66" s="369"/>
      <c r="F66" s="370"/>
      <c r="G66" s="518"/>
      <c r="H66" s="518"/>
      <c r="I66" s="257"/>
      <c r="J66" s="257"/>
      <c r="K66" s="17" t="s">
        <v>181</v>
      </c>
      <c r="L66" s="13">
        <v>258</v>
      </c>
      <c r="M66" s="378"/>
      <c r="N66" s="379"/>
      <c r="O66" s="396"/>
      <c r="P66" s="396"/>
      <c r="Q66" s="396"/>
      <c r="R66" s="396"/>
    </row>
    <row r="67" spans="1:18" s="8" customFormat="1" ht="24.95" customHeight="1" x14ac:dyDescent="0.15">
      <c r="A67" s="324"/>
      <c r="B67" s="178"/>
      <c r="C67" s="363"/>
      <c r="D67" s="368"/>
      <c r="E67" s="369"/>
      <c r="F67" s="370"/>
      <c r="G67" s="518"/>
      <c r="H67" s="518"/>
      <c r="I67" s="257"/>
      <c r="J67" s="257"/>
      <c r="K67" s="17" t="s">
        <v>180</v>
      </c>
      <c r="L67" s="13">
        <v>171</v>
      </c>
      <c r="M67" s="378"/>
      <c r="N67" s="379"/>
      <c r="O67" s="396"/>
      <c r="P67" s="396"/>
      <c r="Q67" s="396"/>
      <c r="R67" s="396"/>
    </row>
    <row r="68" spans="1:18" s="8" customFormat="1" ht="24.95" customHeight="1" x14ac:dyDescent="0.15">
      <c r="A68" s="324"/>
      <c r="B68" s="178"/>
      <c r="C68" s="363"/>
      <c r="D68" s="368"/>
      <c r="E68" s="369"/>
      <c r="F68" s="370"/>
      <c r="G68" s="518"/>
      <c r="H68" s="518"/>
      <c r="I68" s="257"/>
      <c r="J68" s="257"/>
      <c r="K68" s="17" t="s">
        <v>178</v>
      </c>
      <c r="L68" s="13">
        <v>7</v>
      </c>
      <c r="M68" s="378"/>
      <c r="N68" s="379"/>
      <c r="O68" s="396"/>
      <c r="P68" s="396"/>
      <c r="Q68" s="396"/>
      <c r="R68" s="396"/>
    </row>
    <row r="69" spans="1:18" s="8" customFormat="1" ht="24.95" customHeight="1" x14ac:dyDescent="0.15">
      <c r="A69" s="324"/>
      <c r="B69" s="178"/>
      <c r="C69" s="363"/>
      <c r="D69" s="368"/>
      <c r="E69" s="369"/>
      <c r="F69" s="370"/>
      <c r="G69" s="518"/>
      <c r="H69" s="518"/>
      <c r="I69" s="257"/>
      <c r="J69" s="257"/>
      <c r="K69" s="17" t="s">
        <v>95</v>
      </c>
      <c r="L69" s="13">
        <v>69</v>
      </c>
      <c r="M69" s="378"/>
      <c r="N69" s="379"/>
      <c r="O69" s="396"/>
      <c r="P69" s="396"/>
      <c r="Q69" s="396"/>
      <c r="R69" s="396"/>
    </row>
    <row r="70" spans="1:18" s="8" customFormat="1" ht="24.95" customHeight="1" x14ac:dyDescent="0.15">
      <c r="A70" s="324"/>
      <c r="B70" s="178"/>
      <c r="C70" s="363"/>
      <c r="D70" s="368"/>
      <c r="E70" s="369"/>
      <c r="F70" s="370"/>
      <c r="G70" s="519"/>
      <c r="H70" s="519"/>
      <c r="I70" s="402"/>
      <c r="J70" s="402"/>
      <c r="K70" s="17" t="s">
        <v>193</v>
      </c>
      <c r="L70" s="13">
        <v>43</v>
      </c>
      <c r="M70" s="260"/>
      <c r="N70" s="261"/>
      <c r="O70" s="396"/>
      <c r="P70" s="396"/>
      <c r="Q70" s="396"/>
      <c r="R70" s="396"/>
    </row>
    <row r="71" spans="1:18" s="8" customFormat="1" ht="24.95" customHeight="1" x14ac:dyDescent="0.15">
      <c r="A71" s="324"/>
      <c r="B71" s="178"/>
      <c r="C71" s="364"/>
      <c r="D71" s="371"/>
      <c r="E71" s="372"/>
      <c r="F71" s="373"/>
      <c r="G71" s="147" t="s">
        <v>175</v>
      </c>
      <c r="H71" s="177"/>
      <c r="I71" s="177"/>
      <c r="J71" s="177"/>
      <c r="K71" s="154"/>
      <c r="L71" s="14">
        <f>SUM(L63:L70)</f>
        <v>745</v>
      </c>
      <c r="M71" s="241"/>
      <c r="N71" s="242"/>
      <c r="O71" s="397"/>
      <c r="P71" s="397"/>
      <c r="Q71" s="397"/>
      <c r="R71" s="397"/>
    </row>
    <row r="72" spans="1:18" s="8" customFormat="1" ht="24.95" customHeight="1" x14ac:dyDescent="0.15">
      <c r="A72" s="324"/>
      <c r="B72" s="178"/>
      <c r="C72" s="362" t="s">
        <v>91</v>
      </c>
      <c r="D72" s="365" t="s">
        <v>281</v>
      </c>
      <c r="E72" s="366"/>
      <c r="F72" s="367"/>
      <c r="G72" s="401" t="s">
        <v>383</v>
      </c>
      <c r="H72" s="401" t="s">
        <v>33</v>
      </c>
      <c r="I72" s="256" t="s">
        <v>189</v>
      </c>
      <c r="J72" s="256" t="s">
        <v>174</v>
      </c>
      <c r="K72" s="17" t="s">
        <v>82</v>
      </c>
      <c r="L72" s="13">
        <v>39</v>
      </c>
      <c r="M72" s="258" t="s">
        <v>416</v>
      </c>
      <c r="N72" s="259"/>
      <c r="O72" s="395" t="s">
        <v>352</v>
      </c>
      <c r="P72" s="395" t="s">
        <v>353</v>
      </c>
      <c r="Q72" s="395" t="s">
        <v>116</v>
      </c>
      <c r="R72" s="395" t="s">
        <v>103</v>
      </c>
    </row>
    <row r="73" spans="1:18" s="8" customFormat="1" ht="24.95" customHeight="1" x14ac:dyDescent="0.15">
      <c r="A73" s="324"/>
      <c r="B73" s="178"/>
      <c r="C73" s="363"/>
      <c r="D73" s="368"/>
      <c r="E73" s="369"/>
      <c r="F73" s="370"/>
      <c r="G73" s="518"/>
      <c r="H73" s="518"/>
      <c r="I73" s="257"/>
      <c r="J73" s="257"/>
      <c r="K73" s="17" t="s">
        <v>80</v>
      </c>
      <c r="L73" s="13">
        <v>39</v>
      </c>
      <c r="M73" s="378"/>
      <c r="N73" s="379"/>
      <c r="O73" s="396"/>
      <c r="P73" s="396"/>
      <c r="Q73" s="396"/>
      <c r="R73" s="396"/>
    </row>
    <row r="74" spans="1:18" s="8" customFormat="1" ht="24.95" customHeight="1" x14ac:dyDescent="0.15">
      <c r="A74" s="324"/>
      <c r="B74" s="178"/>
      <c r="C74" s="363"/>
      <c r="D74" s="368"/>
      <c r="E74" s="369"/>
      <c r="F74" s="370"/>
      <c r="G74" s="518"/>
      <c r="H74" s="518"/>
      <c r="I74" s="257"/>
      <c r="J74" s="257"/>
      <c r="K74" s="17" t="s">
        <v>181</v>
      </c>
      <c r="L74" s="13">
        <v>242</v>
      </c>
      <c r="M74" s="378"/>
      <c r="N74" s="379"/>
      <c r="O74" s="396"/>
      <c r="P74" s="396"/>
      <c r="Q74" s="396"/>
      <c r="R74" s="396"/>
    </row>
    <row r="75" spans="1:18" s="8" customFormat="1" ht="24.95" customHeight="1" x14ac:dyDescent="0.15">
      <c r="A75" s="324"/>
      <c r="B75" s="178"/>
      <c r="C75" s="363"/>
      <c r="D75" s="368"/>
      <c r="E75" s="369"/>
      <c r="F75" s="370"/>
      <c r="G75" s="518"/>
      <c r="H75" s="518"/>
      <c r="I75" s="257"/>
      <c r="J75" s="257"/>
      <c r="K75" s="17" t="s">
        <v>180</v>
      </c>
      <c r="L75" s="13">
        <v>125</v>
      </c>
      <c r="M75" s="378"/>
      <c r="N75" s="379"/>
      <c r="O75" s="396"/>
      <c r="P75" s="396"/>
      <c r="Q75" s="396"/>
      <c r="R75" s="396"/>
    </row>
    <row r="76" spans="1:18" s="8" customFormat="1" ht="24.95" customHeight="1" x14ac:dyDescent="0.15">
      <c r="A76" s="324"/>
      <c r="B76" s="178"/>
      <c r="C76" s="363"/>
      <c r="D76" s="368"/>
      <c r="E76" s="369"/>
      <c r="F76" s="370"/>
      <c r="G76" s="518"/>
      <c r="H76" s="518"/>
      <c r="I76" s="257"/>
      <c r="J76" s="257"/>
      <c r="K76" s="17" t="s">
        <v>178</v>
      </c>
      <c r="L76" s="13">
        <v>81</v>
      </c>
      <c r="M76" s="378"/>
      <c r="N76" s="379"/>
      <c r="O76" s="396"/>
      <c r="P76" s="396"/>
      <c r="Q76" s="396"/>
      <c r="R76" s="396"/>
    </row>
    <row r="77" spans="1:18" s="8" customFormat="1" ht="24.95" customHeight="1" x14ac:dyDescent="0.15">
      <c r="A77" s="324"/>
      <c r="B77" s="178"/>
      <c r="C77" s="363"/>
      <c r="D77" s="368"/>
      <c r="E77" s="369"/>
      <c r="F77" s="370"/>
      <c r="G77" s="519"/>
      <c r="H77" s="519"/>
      <c r="I77" s="402"/>
      <c r="J77" s="402"/>
      <c r="K77" s="17" t="s">
        <v>193</v>
      </c>
      <c r="L77" s="13">
        <v>42</v>
      </c>
      <c r="M77" s="260"/>
      <c r="N77" s="261"/>
      <c r="O77" s="396"/>
      <c r="P77" s="396"/>
      <c r="Q77" s="396"/>
      <c r="R77" s="396"/>
    </row>
    <row r="78" spans="1:18" s="8" customFormat="1" ht="24.95" customHeight="1" x14ac:dyDescent="0.15">
      <c r="A78" s="324"/>
      <c r="B78" s="178"/>
      <c r="C78" s="364"/>
      <c r="D78" s="371"/>
      <c r="E78" s="372"/>
      <c r="F78" s="373"/>
      <c r="G78" s="147" t="s">
        <v>175</v>
      </c>
      <c r="H78" s="177"/>
      <c r="I78" s="177"/>
      <c r="J78" s="177"/>
      <c r="K78" s="154"/>
      <c r="L78" s="14">
        <f>SUM(L72:L77)</f>
        <v>568</v>
      </c>
      <c r="M78" s="241"/>
      <c r="N78" s="242"/>
      <c r="O78" s="397"/>
      <c r="P78" s="397"/>
      <c r="Q78" s="397"/>
      <c r="R78" s="397"/>
    </row>
    <row r="79" spans="1:18" s="8" customFormat="1" ht="24.95" customHeight="1" x14ac:dyDescent="0.15">
      <c r="A79" s="324"/>
      <c r="B79" s="178"/>
      <c r="C79" s="362" t="s">
        <v>78</v>
      </c>
      <c r="D79" s="365" t="s">
        <v>223</v>
      </c>
      <c r="E79" s="366"/>
      <c r="F79" s="367"/>
      <c r="G79" s="521" t="s">
        <v>16</v>
      </c>
      <c r="H79" s="521" t="s">
        <v>376</v>
      </c>
      <c r="I79" s="355" t="s">
        <v>189</v>
      </c>
      <c r="J79" s="355" t="s">
        <v>174</v>
      </c>
      <c r="K79" s="17">
        <v>64</v>
      </c>
      <c r="L79" s="13">
        <v>6</v>
      </c>
      <c r="M79" s="258" t="s">
        <v>416</v>
      </c>
      <c r="N79" s="259"/>
      <c r="O79" s="395" t="s">
        <v>333</v>
      </c>
      <c r="P79" s="395" t="s">
        <v>329</v>
      </c>
      <c r="Q79" s="395" t="s">
        <v>206</v>
      </c>
      <c r="R79" s="395" t="s">
        <v>103</v>
      </c>
    </row>
    <row r="80" spans="1:18" s="8" customFormat="1" ht="24.95" customHeight="1" x14ac:dyDescent="0.15">
      <c r="A80" s="324"/>
      <c r="B80" s="178"/>
      <c r="C80" s="363"/>
      <c r="D80" s="368"/>
      <c r="E80" s="369"/>
      <c r="F80" s="370"/>
      <c r="G80" s="521"/>
      <c r="H80" s="521"/>
      <c r="I80" s="355"/>
      <c r="J80" s="355"/>
      <c r="K80" s="17" t="s">
        <v>338</v>
      </c>
      <c r="L80" s="13">
        <v>68</v>
      </c>
      <c r="M80" s="378"/>
      <c r="N80" s="379"/>
      <c r="O80" s="396"/>
      <c r="P80" s="396"/>
      <c r="Q80" s="396"/>
      <c r="R80" s="396"/>
    </row>
    <row r="81" spans="1:18" s="8" customFormat="1" ht="24.95" customHeight="1" x14ac:dyDescent="0.15">
      <c r="A81" s="324"/>
      <c r="B81" s="178"/>
      <c r="C81" s="363"/>
      <c r="D81" s="368"/>
      <c r="E81" s="369"/>
      <c r="F81" s="370"/>
      <c r="G81" s="521"/>
      <c r="H81" s="521"/>
      <c r="I81" s="355"/>
      <c r="J81" s="355"/>
      <c r="K81" s="17" t="s">
        <v>335</v>
      </c>
      <c r="L81" s="13">
        <v>68</v>
      </c>
      <c r="M81" s="260"/>
      <c r="N81" s="261"/>
      <c r="O81" s="396"/>
      <c r="P81" s="396"/>
      <c r="Q81" s="396"/>
      <c r="R81" s="396"/>
    </row>
    <row r="82" spans="1:18" s="8" customFormat="1" ht="24.95" customHeight="1" x14ac:dyDescent="0.15">
      <c r="A82" s="324"/>
      <c r="B82" s="178"/>
      <c r="C82" s="364"/>
      <c r="D82" s="371"/>
      <c r="E82" s="372"/>
      <c r="F82" s="373"/>
      <c r="G82" s="147" t="s">
        <v>175</v>
      </c>
      <c r="H82" s="177"/>
      <c r="I82" s="177"/>
      <c r="J82" s="177"/>
      <c r="K82" s="154"/>
      <c r="L82" s="14">
        <f>SUM(L79:L81)</f>
        <v>142</v>
      </c>
      <c r="M82" s="241"/>
      <c r="N82" s="242"/>
      <c r="O82" s="397"/>
      <c r="P82" s="397"/>
      <c r="Q82" s="397"/>
      <c r="R82" s="397"/>
    </row>
    <row r="83" spans="1:18" s="8" customFormat="1" ht="24.95" customHeight="1" x14ac:dyDescent="0.15">
      <c r="A83" s="324"/>
      <c r="B83" s="178"/>
      <c r="C83" s="520" t="s">
        <v>177</v>
      </c>
      <c r="D83" s="517" t="s">
        <v>222</v>
      </c>
      <c r="E83" s="508"/>
      <c r="F83" s="509"/>
      <c r="G83" s="256" t="s">
        <v>383</v>
      </c>
      <c r="H83" s="401" t="s">
        <v>131</v>
      </c>
      <c r="I83" s="256" t="s">
        <v>189</v>
      </c>
      <c r="J83" s="256" t="s">
        <v>174</v>
      </c>
      <c r="K83" s="19">
        <v>78.206199999999995</v>
      </c>
      <c r="L83" s="18">
        <v>138</v>
      </c>
      <c r="M83" s="414" t="s">
        <v>416</v>
      </c>
      <c r="N83" s="415"/>
      <c r="O83" s="395" t="s">
        <v>345</v>
      </c>
      <c r="P83" s="395" t="s">
        <v>345</v>
      </c>
      <c r="Q83" s="395" t="s">
        <v>57</v>
      </c>
      <c r="R83" s="398" t="s">
        <v>103</v>
      </c>
    </row>
    <row r="84" spans="1:18" s="8" customFormat="1" ht="24.95" customHeight="1" x14ac:dyDescent="0.15">
      <c r="A84" s="324"/>
      <c r="B84" s="178"/>
      <c r="C84" s="443"/>
      <c r="D84" s="510"/>
      <c r="E84" s="511"/>
      <c r="F84" s="512"/>
      <c r="G84" s="156"/>
      <c r="H84" s="156"/>
      <c r="I84" s="156"/>
      <c r="J84" s="156"/>
      <c r="K84" s="19" t="s">
        <v>339</v>
      </c>
      <c r="L84" s="18">
        <v>270</v>
      </c>
      <c r="M84" s="419"/>
      <c r="N84" s="420"/>
      <c r="O84" s="396"/>
      <c r="P84" s="396"/>
      <c r="Q84" s="396"/>
      <c r="R84" s="399"/>
    </row>
    <row r="85" spans="1:18" s="8" customFormat="1" ht="24.95" customHeight="1" x14ac:dyDescent="0.15">
      <c r="A85" s="324"/>
      <c r="B85" s="178"/>
      <c r="C85" s="443"/>
      <c r="D85" s="510"/>
      <c r="E85" s="511"/>
      <c r="F85" s="512"/>
      <c r="G85" s="156"/>
      <c r="H85" s="156"/>
      <c r="I85" s="156"/>
      <c r="J85" s="156"/>
      <c r="K85" s="19" t="s">
        <v>340</v>
      </c>
      <c r="L85" s="18">
        <v>247</v>
      </c>
      <c r="M85" s="419"/>
      <c r="N85" s="420"/>
      <c r="O85" s="396"/>
      <c r="P85" s="396"/>
      <c r="Q85" s="396"/>
      <c r="R85" s="399"/>
    </row>
    <row r="86" spans="1:18" s="8" customFormat="1" ht="24.95" customHeight="1" x14ac:dyDescent="0.15">
      <c r="A86" s="324"/>
      <c r="B86" s="178"/>
      <c r="C86" s="443"/>
      <c r="D86" s="510"/>
      <c r="E86" s="511"/>
      <c r="F86" s="512"/>
      <c r="G86" s="157"/>
      <c r="H86" s="157"/>
      <c r="I86" s="157"/>
      <c r="J86" s="157"/>
      <c r="K86" s="19">
        <v>112.39870000000001</v>
      </c>
      <c r="L86" s="18">
        <v>139</v>
      </c>
      <c r="M86" s="416"/>
      <c r="N86" s="417"/>
      <c r="O86" s="396"/>
      <c r="P86" s="396"/>
      <c r="Q86" s="396"/>
      <c r="R86" s="399"/>
    </row>
    <row r="87" spans="1:18" s="8" customFormat="1" ht="24.95" customHeight="1" x14ac:dyDescent="0.15">
      <c r="A87" s="324"/>
      <c r="B87" s="178"/>
      <c r="C87" s="444"/>
      <c r="D87" s="513"/>
      <c r="E87" s="514"/>
      <c r="F87" s="515"/>
      <c r="G87" s="147" t="s">
        <v>175</v>
      </c>
      <c r="H87" s="438"/>
      <c r="I87" s="438"/>
      <c r="J87" s="438"/>
      <c r="K87" s="439"/>
      <c r="L87" s="14">
        <f>SUM(L83:L86)</f>
        <v>794</v>
      </c>
      <c r="M87" s="241"/>
      <c r="N87" s="242"/>
      <c r="O87" s="397"/>
      <c r="P87" s="397"/>
      <c r="Q87" s="397"/>
      <c r="R87" s="400"/>
    </row>
    <row r="88" spans="1:18" s="8" customFormat="1" ht="24.95" customHeight="1" x14ac:dyDescent="0.15">
      <c r="A88" s="324"/>
      <c r="B88" s="178"/>
      <c r="C88" s="520" t="s">
        <v>170</v>
      </c>
      <c r="D88" s="517" t="s">
        <v>226</v>
      </c>
      <c r="E88" s="508"/>
      <c r="F88" s="509"/>
      <c r="G88" s="401" t="s">
        <v>395</v>
      </c>
      <c r="H88" s="401" t="s">
        <v>325</v>
      </c>
      <c r="I88" s="256" t="s">
        <v>189</v>
      </c>
      <c r="J88" s="256" t="s">
        <v>174</v>
      </c>
      <c r="K88" s="19">
        <v>39.9863</v>
      </c>
      <c r="L88" s="18">
        <v>14</v>
      </c>
      <c r="M88" s="414" t="s">
        <v>416</v>
      </c>
      <c r="N88" s="415"/>
      <c r="O88" s="395" t="s">
        <v>354</v>
      </c>
      <c r="P88" s="395" t="s">
        <v>328</v>
      </c>
      <c r="Q88" s="395" t="s">
        <v>374</v>
      </c>
      <c r="R88" s="499" t="s">
        <v>444</v>
      </c>
    </row>
    <row r="89" spans="1:18" s="8" customFormat="1" ht="24.95" customHeight="1" x14ac:dyDescent="0.15">
      <c r="A89" s="324"/>
      <c r="B89" s="178"/>
      <c r="C89" s="443"/>
      <c r="D89" s="510"/>
      <c r="E89" s="511"/>
      <c r="F89" s="512"/>
      <c r="G89" s="257"/>
      <c r="H89" s="518"/>
      <c r="I89" s="257"/>
      <c r="J89" s="257"/>
      <c r="K89" s="19">
        <v>59.999200000000002</v>
      </c>
      <c r="L89" s="18">
        <v>193</v>
      </c>
      <c r="M89" s="419"/>
      <c r="N89" s="420"/>
      <c r="O89" s="396"/>
      <c r="P89" s="396"/>
      <c r="Q89" s="396"/>
      <c r="R89" s="399"/>
    </row>
    <row r="90" spans="1:18" s="8" customFormat="1" ht="24.95" customHeight="1" x14ac:dyDescent="0.15">
      <c r="A90" s="324"/>
      <c r="B90" s="178"/>
      <c r="C90" s="443"/>
      <c r="D90" s="510"/>
      <c r="E90" s="511"/>
      <c r="F90" s="512"/>
      <c r="G90" s="257"/>
      <c r="H90" s="518"/>
      <c r="I90" s="257"/>
      <c r="J90" s="257"/>
      <c r="K90" s="19">
        <v>75.873699999999999</v>
      </c>
      <c r="L90" s="18">
        <v>324</v>
      </c>
      <c r="M90" s="419"/>
      <c r="N90" s="420"/>
      <c r="O90" s="396"/>
      <c r="P90" s="396"/>
      <c r="Q90" s="396"/>
      <c r="R90" s="399"/>
    </row>
    <row r="91" spans="1:18" s="8" customFormat="1" ht="24.95" customHeight="1" x14ac:dyDescent="0.15">
      <c r="A91" s="324"/>
      <c r="B91" s="178"/>
      <c r="C91" s="443"/>
      <c r="D91" s="510"/>
      <c r="E91" s="511"/>
      <c r="F91" s="512"/>
      <c r="G91" s="257"/>
      <c r="H91" s="518"/>
      <c r="I91" s="257"/>
      <c r="J91" s="257"/>
      <c r="K91" s="19" t="s">
        <v>348</v>
      </c>
      <c r="L91" s="18">
        <v>95</v>
      </c>
      <c r="M91" s="419"/>
      <c r="N91" s="420"/>
      <c r="O91" s="396"/>
      <c r="P91" s="396"/>
      <c r="Q91" s="396"/>
      <c r="R91" s="399"/>
    </row>
    <row r="92" spans="1:18" s="8" customFormat="1" ht="24.95" customHeight="1" x14ac:dyDescent="0.15">
      <c r="A92" s="324"/>
      <c r="B92" s="178"/>
      <c r="C92" s="443"/>
      <c r="D92" s="510"/>
      <c r="E92" s="511"/>
      <c r="F92" s="512"/>
      <c r="G92" s="257"/>
      <c r="H92" s="518"/>
      <c r="I92" s="257"/>
      <c r="J92" s="257"/>
      <c r="K92" s="19" t="s">
        <v>332</v>
      </c>
      <c r="L92" s="18">
        <v>320</v>
      </c>
      <c r="M92" s="419"/>
      <c r="N92" s="420"/>
      <c r="O92" s="396"/>
      <c r="P92" s="396"/>
      <c r="Q92" s="396"/>
      <c r="R92" s="399"/>
    </row>
    <row r="93" spans="1:18" s="8" customFormat="1" ht="24.95" customHeight="1" x14ac:dyDescent="0.15">
      <c r="A93" s="324"/>
      <c r="B93" s="178"/>
      <c r="C93" s="443"/>
      <c r="D93" s="510"/>
      <c r="E93" s="511"/>
      <c r="F93" s="512"/>
      <c r="G93" s="402"/>
      <c r="H93" s="519"/>
      <c r="I93" s="402"/>
      <c r="J93" s="402"/>
      <c r="K93" s="19">
        <v>111.2848</v>
      </c>
      <c r="L93" s="18">
        <v>6</v>
      </c>
      <c r="M93" s="416"/>
      <c r="N93" s="417"/>
      <c r="O93" s="396"/>
      <c r="P93" s="396"/>
      <c r="Q93" s="396"/>
      <c r="R93" s="399"/>
    </row>
    <row r="94" spans="1:18" s="8" customFormat="1" ht="24.95" customHeight="1" x14ac:dyDescent="0.15">
      <c r="A94" s="324"/>
      <c r="B94" s="178"/>
      <c r="C94" s="444"/>
      <c r="D94" s="513"/>
      <c r="E94" s="514"/>
      <c r="F94" s="515"/>
      <c r="G94" s="147" t="s">
        <v>175</v>
      </c>
      <c r="H94" s="438"/>
      <c r="I94" s="438"/>
      <c r="J94" s="438"/>
      <c r="K94" s="439"/>
      <c r="L94" s="14">
        <f>SUM(L88:L93)</f>
        <v>952</v>
      </c>
      <c r="M94" s="241"/>
      <c r="N94" s="242"/>
      <c r="O94" s="397"/>
      <c r="P94" s="397"/>
      <c r="Q94" s="397"/>
      <c r="R94" s="400"/>
    </row>
    <row r="95" spans="1:18" s="8" customFormat="1" ht="24.95" customHeight="1" x14ac:dyDescent="0.15">
      <c r="A95" s="324"/>
      <c r="B95" s="178"/>
      <c r="C95" s="155" t="s">
        <v>170</v>
      </c>
      <c r="D95" s="500" t="s">
        <v>330</v>
      </c>
      <c r="E95" s="508"/>
      <c r="F95" s="509"/>
      <c r="G95" s="445" t="s">
        <v>123</v>
      </c>
      <c r="H95" s="383" t="s">
        <v>228</v>
      </c>
      <c r="I95" s="269" t="s">
        <v>189</v>
      </c>
      <c r="J95" s="269" t="s">
        <v>174</v>
      </c>
      <c r="K95" s="45" t="s">
        <v>106</v>
      </c>
      <c r="L95" s="21">
        <v>269</v>
      </c>
      <c r="M95" s="414" t="s">
        <v>416</v>
      </c>
      <c r="N95" s="415"/>
      <c r="O95" s="429" t="s">
        <v>247</v>
      </c>
      <c r="P95" s="429" t="s">
        <v>349</v>
      </c>
      <c r="Q95" s="429" t="s">
        <v>374</v>
      </c>
      <c r="R95" s="390" t="s">
        <v>103</v>
      </c>
    </row>
    <row r="96" spans="1:18" s="8" customFormat="1" ht="24.95" customHeight="1" x14ac:dyDescent="0.15">
      <c r="A96" s="324"/>
      <c r="B96" s="178"/>
      <c r="C96" s="443"/>
      <c r="D96" s="510"/>
      <c r="E96" s="511"/>
      <c r="F96" s="512"/>
      <c r="G96" s="157"/>
      <c r="H96" s="157"/>
      <c r="I96" s="157"/>
      <c r="J96" s="157"/>
      <c r="K96" s="45" t="s">
        <v>107</v>
      </c>
      <c r="L96" s="21">
        <v>60</v>
      </c>
      <c r="M96" s="416"/>
      <c r="N96" s="417"/>
      <c r="O96" s="422"/>
      <c r="P96" s="422"/>
      <c r="Q96" s="422"/>
      <c r="R96" s="391"/>
    </row>
    <row r="97" spans="1:18" s="8" customFormat="1" ht="24.95" customHeight="1" x14ac:dyDescent="0.15">
      <c r="A97" s="324"/>
      <c r="B97" s="178"/>
      <c r="C97" s="444"/>
      <c r="D97" s="513"/>
      <c r="E97" s="514"/>
      <c r="F97" s="515"/>
      <c r="G97" s="147" t="s">
        <v>175</v>
      </c>
      <c r="H97" s="438"/>
      <c r="I97" s="438"/>
      <c r="J97" s="438"/>
      <c r="K97" s="439"/>
      <c r="L97" s="14">
        <f>SUM(L95:L96)</f>
        <v>329</v>
      </c>
      <c r="M97" s="241"/>
      <c r="N97" s="242"/>
      <c r="O97" s="423"/>
      <c r="P97" s="423"/>
      <c r="Q97" s="423"/>
      <c r="R97" s="392"/>
    </row>
    <row r="98" spans="1:18" s="8" customFormat="1" ht="24.95" customHeight="1" x14ac:dyDescent="0.15">
      <c r="A98" s="324"/>
      <c r="B98" s="178"/>
      <c r="C98" s="155" t="s">
        <v>182</v>
      </c>
      <c r="D98" s="500" t="s">
        <v>225</v>
      </c>
      <c r="E98" s="508"/>
      <c r="F98" s="509"/>
      <c r="G98" s="516" t="s">
        <v>110</v>
      </c>
      <c r="H98" s="516" t="s">
        <v>46</v>
      </c>
      <c r="I98" s="256" t="s">
        <v>189</v>
      </c>
      <c r="J98" s="304" t="s">
        <v>174</v>
      </c>
      <c r="K98" s="75" t="s">
        <v>181</v>
      </c>
      <c r="L98" s="44">
        <v>159</v>
      </c>
      <c r="M98" s="258" t="s">
        <v>416</v>
      </c>
      <c r="N98" s="259"/>
      <c r="O98" s="395" t="s">
        <v>336</v>
      </c>
      <c r="P98" s="395" t="s">
        <v>147</v>
      </c>
      <c r="Q98" s="395" t="s">
        <v>35</v>
      </c>
      <c r="R98" s="499" t="s">
        <v>478</v>
      </c>
    </row>
    <row r="99" spans="1:18" s="8" customFormat="1" ht="24.95" customHeight="1" x14ac:dyDescent="0.15">
      <c r="A99" s="324"/>
      <c r="B99" s="178"/>
      <c r="C99" s="443"/>
      <c r="D99" s="510"/>
      <c r="E99" s="511"/>
      <c r="F99" s="512"/>
      <c r="G99" s="412"/>
      <c r="H99" s="412"/>
      <c r="I99" s="257"/>
      <c r="J99" s="413"/>
      <c r="K99" s="75" t="s">
        <v>180</v>
      </c>
      <c r="L99" s="44">
        <v>159</v>
      </c>
      <c r="M99" s="378"/>
      <c r="N99" s="379"/>
      <c r="O99" s="396"/>
      <c r="P99" s="396"/>
      <c r="Q99" s="396"/>
      <c r="R99" s="399"/>
    </row>
    <row r="100" spans="1:18" s="8" customFormat="1" ht="24.95" customHeight="1" x14ac:dyDescent="0.15">
      <c r="A100" s="324"/>
      <c r="B100" s="178"/>
      <c r="C100" s="443"/>
      <c r="D100" s="510"/>
      <c r="E100" s="511"/>
      <c r="F100" s="512"/>
      <c r="G100" s="412"/>
      <c r="H100" s="412"/>
      <c r="I100" s="257"/>
      <c r="J100" s="413"/>
      <c r="K100" s="75" t="s">
        <v>178</v>
      </c>
      <c r="L100" s="44">
        <v>66</v>
      </c>
      <c r="M100" s="378"/>
      <c r="N100" s="379"/>
      <c r="O100" s="396"/>
      <c r="P100" s="396"/>
      <c r="Q100" s="396"/>
      <c r="R100" s="399"/>
    </row>
    <row r="101" spans="1:18" s="8" customFormat="1" ht="24.95" customHeight="1" x14ac:dyDescent="0.15">
      <c r="A101" s="324"/>
      <c r="B101" s="178"/>
      <c r="C101" s="443"/>
      <c r="D101" s="510"/>
      <c r="E101" s="511"/>
      <c r="F101" s="512"/>
      <c r="G101" s="412"/>
      <c r="H101" s="412"/>
      <c r="I101" s="257"/>
      <c r="J101" s="413"/>
      <c r="K101" s="75" t="s">
        <v>95</v>
      </c>
      <c r="L101" s="44">
        <v>32</v>
      </c>
      <c r="M101" s="378"/>
      <c r="N101" s="379"/>
      <c r="O101" s="396"/>
      <c r="P101" s="396"/>
      <c r="Q101" s="396"/>
      <c r="R101" s="399"/>
    </row>
    <row r="102" spans="1:18" s="8" customFormat="1" ht="24.95" customHeight="1" x14ac:dyDescent="0.15">
      <c r="A102" s="324"/>
      <c r="B102" s="178"/>
      <c r="C102" s="443"/>
      <c r="D102" s="510"/>
      <c r="E102" s="511"/>
      <c r="F102" s="512"/>
      <c r="G102" s="412"/>
      <c r="H102" s="412"/>
      <c r="I102" s="257"/>
      <c r="J102" s="413"/>
      <c r="K102" s="75">
        <v>106</v>
      </c>
      <c r="L102" s="44">
        <v>33</v>
      </c>
      <c r="M102" s="378"/>
      <c r="N102" s="379"/>
      <c r="O102" s="396"/>
      <c r="P102" s="396"/>
      <c r="Q102" s="396"/>
      <c r="R102" s="399"/>
    </row>
    <row r="103" spans="1:18" s="8" customFormat="1" ht="24.95" customHeight="1" x14ac:dyDescent="0.15">
      <c r="A103" s="324"/>
      <c r="B103" s="178"/>
      <c r="C103" s="443"/>
      <c r="D103" s="510"/>
      <c r="E103" s="511"/>
      <c r="F103" s="512"/>
      <c r="G103" s="305"/>
      <c r="H103" s="305"/>
      <c r="I103" s="402"/>
      <c r="J103" s="306"/>
      <c r="K103" s="75">
        <v>124</v>
      </c>
      <c r="L103" s="44">
        <v>32</v>
      </c>
      <c r="M103" s="260"/>
      <c r="N103" s="261"/>
      <c r="O103" s="396"/>
      <c r="P103" s="396"/>
      <c r="Q103" s="396"/>
      <c r="R103" s="399"/>
    </row>
    <row r="104" spans="1:18" s="8" customFormat="1" ht="24.95" customHeight="1" x14ac:dyDescent="0.15">
      <c r="A104" s="324"/>
      <c r="B104" s="178"/>
      <c r="C104" s="444"/>
      <c r="D104" s="513"/>
      <c r="E104" s="514"/>
      <c r="F104" s="515"/>
      <c r="G104" s="147" t="s">
        <v>175</v>
      </c>
      <c r="H104" s="438"/>
      <c r="I104" s="438"/>
      <c r="J104" s="438"/>
      <c r="K104" s="439"/>
      <c r="L104" s="14">
        <f>SUM(L98:L103)</f>
        <v>481</v>
      </c>
      <c r="M104" s="241"/>
      <c r="N104" s="242"/>
      <c r="O104" s="397"/>
      <c r="P104" s="397"/>
      <c r="Q104" s="397"/>
      <c r="R104" s="400"/>
    </row>
    <row r="105" spans="1:18" s="8" customFormat="1" ht="24.95" customHeight="1" x14ac:dyDescent="0.15">
      <c r="A105" s="324"/>
      <c r="B105" s="178"/>
      <c r="C105" s="155" t="s">
        <v>171</v>
      </c>
      <c r="D105" s="500" t="s">
        <v>334</v>
      </c>
      <c r="E105" s="263"/>
      <c r="F105" s="309"/>
      <c r="G105" s="220" t="s">
        <v>393</v>
      </c>
      <c r="H105" s="220" t="s">
        <v>393</v>
      </c>
      <c r="I105" s="501" t="s">
        <v>189</v>
      </c>
      <c r="J105" s="501" t="s">
        <v>174</v>
      </c>
      <c r="K105" s="77" t="s">
        <v>181</v>
      </c>
      <c r="L105" s="78">
        <v>111</v>
      </c>
      <c r="M105" s="502" t="s">
        <v>416</v>
      </c>
      <c r="N105" s="503"/>
      <c r="O105" s="498" t="s">
        <v>346</v>
      </c>
      <c r="P105" s="429" t="s">
        <v>94</v>
      </c>
      <c r="Q105" s="498" t="s">
        <v>32</v>
      </c>
      <c r="R105" s="429" t="s">
        <v>103</v>
      </c>
    </row>
    <row r="106" spans="1:18" s="8" customFormat="1" ht="24.95" customHeight="1" x14ac:dyDescent="0.15">
      <c r="A106" s="324"/>
      <c r="B106" s="178"/>
      <c r="C106" s="156"/>
      <c r="D106" s="264"/>
      <c r="E106" s="432"/>
      <c r="F106" s="310"/>
      <c r="G106" s="220"/>
      <c r="H106" s="220"/>
      <c r="I106" s="501"/>
      <c r="J106" s="501"/>
      <c r="K106" s="77" t="s">
        <v>180</v>
      </c>
      <c r="L106" s="78">
        <v>114</v>
      </c>
      <c r="M106" s="504"/>
      <c r="N106" s="505"/>
      <c r="O106" s="396"/>
      <c r="P106" s="433"/>
      <c r="Q106" s="396"/>
      <c r="R106" s="433"/>
    </row>
    <row r="107" spans="1:18" s="8" customFormat="1" ht="24.95" customHeight="1" x14ac:dyDescent="0.15">
      <c r="A107" s="324"/>
      <c r="B107" s="178"/>
      <c r="C107" s="156"/>
      <c r="D107" s="264"/>
      <c r="E107" s="432"/>
      <c r="F107" s="310"/>
      <c r="G107" s="220"/>
      <c r="H107" s="220"/>
      <c r="I107" s="501"/>
      <c r="J107" s="501"/>
      <c r="K107" s="77" t="s">
        <v>178</v>
      </c>
      <c r="L107" s="78">
        <v>47</v>
      </c>
      <c r="M107" s="504"/>
      <c r="N107" s="505"/>
      <c r="O107" s="396"/>
      <c r="P107" s="433"/>
      <c r="Q107" s="396"/>
      <c r="R107" s="433"/>
    </row>
    <row r="108" spans="1:18" s="8" customFormat="1" ht="24.95" customHeight="1" x14ac:dyDescent="0.15">
      <c r="A108" s="324"/>
      <c r="B108" s="178"/>
      <c r="C108" s="156"/>
      <c r="D108" s="264"/>
      <c r="E108" s="432"/>
      <c r="F108" s="310"/>
      <c r="G108" s="220"/>
      <c r="H108" s="220"/>
      <c r="I108" s="501"/>
      <c r="J108" s="501"/>
      <c r="K108" s="77" t="s">
        <v>169</v>
      </c>
      <c r="L108" s="78">
        <v>4</v>
      </c>
      <c r="M108" s="504"/>
      <c r="N108" s="505"/>
      <c r="O108" s="396"/>
      <c r="P108" s="433"/>
      <c r="Q108" s="396"/>
      <c r="R108" s="433"/>
    </row>
    <row r="109" spans="1:18" s="8" customFormat="1" ht="24.95" customHeight="1" x14ac:dyDescent="0.15">
      <c r="A109" s="324"/>
      <c r="B109" s="178"/>
      <c r="C109" s="156"/>
      <c r="D109" s="264"/>
      <c r="E109" s="432"/>
      <c r="F109" s="310"/>
      <c r="G109" s="220"/>
      <c r="H109" s="220"/>
      <c r="I109" s="501"/>
      <c r="J109" s="501"/>
      <c r="K109" s="77" t="s">
        <v>100</v>
      </c>
      <c r="L109" s="78">
        <v>6</v>
      </c>
      <c r="M109" s="504"/>
      <c r="N109" s="505"/>
      <c r="O109" s="396"/>
      <c r="P109" s="433"/>
      <c r="Q109" s="396"/>
      <c r="R109" s="433"/>
    </row>
    <row r="110" spans="1:18" s="8" customFormat="1" ht="24.95" customHeight="1" x14ac:dyDescent="0.15">
      <c r="A110" s="324"/>
      <c r="B110" s="178"/>
      <c r="C110" s="156"/>
      <c r="D110" s="264"/>
      <c r="E110" s="432"/>
      <c r="F110" s="310"/>
      <c r="G110" s="220"/>
      <c r="H110" s="220"/>
      <c r="I110" s="501"/>
      <c r="J110" s="501"/>
      <c r="K110" s="77" t="s">
        <v>79</v>
      </c>
      <c r="L110" s="78">
        <v>1</v>
      </c>
      <c r="M110" s="504"/>
      <c r="N110" s="505"/>
      <c r="O110" s="396"/>
      <c r="P110" s="433"/>
      <c r="Q110" s="396"/>
      <c r="R110" s="433"/>
    </row>
    <row r="111" spans="1:18" s="8" customFormat="1" ht="24.95" customHeight="1" x14ac:dyDescent="0.15">
      <c r="A111" s="324"/>
      <c r="B111" s="178"/>
      <c r="C111" s="156"/>
      <c r="D111" s="264"/>
      <c r="E111" s="432"/>
      <c r="F111" s="310"/>
      <c r="G111" s="220"/>
      <c r="H111" s="220"/>
      <c r="I111" s="501"/>
      <c r="J111" s="501"/>
      <c r="K111" s="79">
        <v>109</v>
      </c>
      <c r="L111" s="78">
        <v>28</v>
      </c>
      <c r="M111" s="504"/>
      <c r="N111" s="505"/>
      <c r="O111" s="396"/>
      <c r="P111" s="433"/>
      <c r="Q111" s="396"/>
      <c r="R111" s="433"/>
    </row>
    <row r="112" spans="1:18" s="8" customFormat="1" ht="24.95" customHeight="1" x14ac:dyDescent="0.15">
      <c r="A112" s="324"/>
      <c r="B112" s="178"/>
      <c r="C112" s="156"/>
      <c r="D112" s="264"/>
      <c r="E112" s="432"/>
      <c r="F112" s="310"/>
      <c r="G112" s="220"/>
      <c r="H112" s="220"/>
      <c r="I112" s="501"/>
      <c r="J112" s="501"/>
      <c r="K112" s="79">
        <v>118</v>
      </c>
      <c r="L112" s="78">
        <v>4</v>
      </c>
      <c r="M112" s="506"/>
      <c r="N112" s="507"/>
      <c r="O112" s="396"/>
      <c r="P112" s="433"/>
      <c r="Q112" s="396"/>
      <c r="R112" s="433"/>
    </row>
    <row r="113" spans="1:18" s="8" customFormat="1" ht="24.95" customHeight="1" x14ac:dyDescent="0.15">
      <c r="A113" s="324"/>
      <c r="B113" s="178"/>
      <c r="C113" s="157"/>
      <c r="D113" s="266"/>
      <c r="E113" s="267"/>
      <c r="F113" s="311"/>
      <c r="G113" s="147" t="s">
        <v>175</v>
      </c>
      <c r="H113" s="438"/>
      <c r="I113" s="438"/>
      <c r="J113" s="438"/>
      <c r="K113" s="439"/>
      <c r="L113" s="14">
        <f>SUM(L105:L112)</f>
        <v>315</v>
      </c>
      <c r="M113" s="241"/>
      <c r="N113" s="242"/>
      <c r="O113" s="397"/>
      <c r="P113" s="423"/>
      <c r="Q113" s="397"/>
      <c r="R113" s="423"/>
    </row>
    <row r="114" spans="1:18" s="8" customFormat="1" ht="24.95" customHeight="1" x14ac:dyDescent="0.15">
      <c r="A114" s="324"/>
      <c r="B114" s="178"/>
      <c r="C114" s="497" t="s">
        <v>182</v>
      </c>
      <c r="D114" s="469" t="s">
        <v>294</v>
      </c>
      <c r="E114" s="469"/>
      <c r="F114" s="469"/>
      <c r="G114" s="470" t="s">
        <v>388</v>
      </c>
      <c r="H114" s="374" t="s">
        <v>308</v>
      </c>
      <c r="I114" s="406" t="s">
        <v>189</v>
      </c>
      <c r="J114" s="406" t="s">
        <v>174</v>
      </c>
      <c r="K114" s="47">
        <v>100.3104</v>
      </c>
      <c r="L114" s="23">
        <v>70</v>
      </c>
      <c r="M114" s="350" t="s">
        <v>416</v>
      </c>
      <c r="N114" s="492"/>
      <c r="O114" s="395" t="s">
        <v>117</v>
      </c>
      <c r="P114" s="498" t="s">
        <v>94</v>
      </c>
      <c r="Q114" s="395" t="s">
        <v>213</v>
      </c>
      <c r="R114" s="485" t="s">
        <v>472</v>
      </c>
    </row>
    <row r="115" spans="1:18" s="8" customFormat="1" ht="24.95" customHeight="1" x14ac:dyDescent="0.15">
      <c r="A115" s="324"/>
      <c r="B115" s="178"/>
      <c r="C115" s="497"/>
      <c r="D115" s="469"/>
      <c r="E115" s="469"/>
      <c r="F115" s="469"/>
      <c r="G115" s="471"/>
      <c r="H115" s="375"/>
      <c r="I115" s="407"/>
      <c r="J115" s="407"/>
      <c r="K115" s="47">
        <v>106.98869999999999</v>
      </c>
      <c r="L115" s="23">
        <v>38</v>
      </c>
      <c r="M115" s="493"/>
      <c r="N115" s="494"/>
      <c r="O115" s="396"/>
      <c r="P115" s="396"/>
      <c r="Q115" s="396"/>
      <c r="R115" s="396"/>
    </row>
    <row r="116" spans="1:18" s="8" customFormat="1" ht="24.95" customHeight="1" x14ac:dyDescent="0.15">
      <c r="A116" s="324"/>
      <c r="B116" s="178"/>
      <c r="C116" s="497"/>
      <c r="D116" s="469"/>
      <c r="E116" s="469"/>
      <c r="F116" s="469"/>
      <c r="G116" s="471"/>
      <c r="H116" s="375"/>
      <c r="I116" s="407"/>
      <c r="J116" s="407"/>
      <c r="K116" s="47">
        <v>109.4462</v>
      </c>
      <c r="L116" s="23">
        <v>38</v>
      </c>
      <c r="M116" s="493"/>
      <c r="N116" s="494"/>
      <c r="O116" s="396"/>
      <c r="P116" s="396"/>
      <c r="Q116" s="396"/>
      <c r="R116" s="396"/>
    </row>
    <row r="117" spans="1:18" s="8" customFormat="1" ht="24.95" customHeight="1" x14ac:dyDescent="0.15">
      <c r="A117" s="324"/>
      <c r="B117" s="178"/>
      <c r="C117" s="497"/>
      <c r="D117" s="469"/>
      <c r="E117" s="469"/>
      <c r="F117" s="469"/>
      <c r="G117" s="471"/>
      <c r="H117" s="375"/>
      <c r="I117" s="407"/>
      <c r="J117" s="407"/>
      <c r="K117" s="47">
        <v>115.7199</v>
      </c>
      <c r="L117" s="23">
        <v>174</v>
      </c>
      <c r="M117" s="493"/>
      <c r="N117" s="494"/>
      <c r="O117" s="396"/>
      <c r="P117" s="396"/>
      <c r="Q117" s="396"/>
      <c r="R117" s="396"/>
    </row>
    <row r="118" spans="1:18" s="8" customFormat="1" ht="24.95" customHeight="1" x14ac:dyDescent="0.15">
      <c r="A118" s="324"/>
      <c r="B118" s="178"/>
      <c r="C118" s="497"/>
      <c r="D118" s="469"/>
      <c r="E118" s="469"/>
      <c r="F118" s="469"/>
      <c r="G118" s="471"/>
      <c r="H118" s="375"/>
      <c r="I118" s="407"/>
      <c r="J118" s="407"/>
      <c r="K118" s="47">
        <v>115.2342</v>
      </c>
      <c r="L118" s="23">
        <v>17</v>
      </c>
      <c r="M118" s="493"/>
      <c r="N118" s="494"/>
      <c r="O118" s="396"/>
      <c r="P118" s="396"/>
      <c r="Q118" s="396"/>
      <c r="R118" s="396"/>
    </row>
    <row r="119" spans="1:18" s="8" customFormat="1" ht="24.95" customHeight="1" x14ac:dyDescent="0.15">
      <c r="A119" s="324"/>
      <c r="B119" s="178"/>
      <c r="C119" s="497"/>
      <c r="D119" s="469"/>
      <c r="E119" s="469"/>
      <c r="F119" s="469"/>
      <c r="G119" s="471"/>
      <c r="H119" s="375"/>
      <c r="I119" s="407"/>
      <c r="J119" s="407"/>
      <c r="K119" s="47">
        <v>115.30629999999999</v>
      </c>
      <c r="L119" s="23">
        <v>16</v>
      </c>
      <c r="M119" s="493"/>
      <c r="N119" s="494"/>
      <c r="O119" s="396"/>
      <c r="P119" s="396"/>
      <c r="Q119" s="396"/>
      <c r="R119" s="396"/>
    </row>
    <row r="120" spans="1:18" s="8" customFormat="1" ht="24.95" customHeight="1" x14ac:dyDescent="0.15">
      <c r="A120" s="324"/>
      <c r="B120" s="178"/>
      <c r="C120" s="497"/>
      <c r="D120" s="469"/>
      <c r="E120" s="469"/>
      <c r="F120" s="469"/>
      <c r="G120" s="471"/>
      <c r="H120" s="375"/>
      <c r="I120" s="407"/>
      <c r="J120" s="407"/>
      <c r="K120" s="47">
        <v>117.5979</v>
      </c>
      <c r="L120" s="23">
        <v>48</v>
      </c>
      <c r="M120" s="493"/>
      <c r="N120" s="494"/>
      <c r="O120" s="396"/>
      <c r="P120" s="396"/>
      <c r="Q120" s="396"/>
      <c r="R120" s="396"/>
    </row>
    <row r="121" spans="1:18" s="8" customFormat="1" ht="24.95" customHeight="1" x14ac:dyDescent="0.15">
      <c r="A121" s="324"/>
      <c r="B121" s="178"/>
      <c r="C121" s="497"/>
      <c r="D121" s="469"/>
      <c r="E121" s="469"/>
      <c r="F121" s="469"/>
      <c r="G121" s="471"/>
      <c r="H121" s="375"/>
      <c r="I121" s="407"/>
      <c r="J121" s="407"/>
      <c r="K121" s="47">
        <v>117.19</v>
      </c>
      <c r="L121" s="23">
        <v>17</v>
      </c>
      <c r="M121" s="495"/>
      <c r="N121" s="496"/>
      <c r="O121" s="396"/>
      <c r="P121" s="396"/>
      <c r="Q121" s="396"/>
      <c r="R121" s="396"/>
    </row>
    <row r="122" spans="1:18" s="8" customFormat="1" ht="24.95" customHeight="1" x14ac:dyDescent="0.15">
      <c r="A122" s="324"/>
      <c r="B122" s="178"/>
      <c r="C122" s="497"/>
      <c r="D122" s="469"/>
      <c r="E122" s="469"/>
      <c r="F122" s="469"/>
      <c r="G122" s="147" t="s">
        <v>175</v>
      </c>
      <c r="H122" s="438"/>
      <c r="I122" s="438"/>
      <c r="J122" s="438"/>
      <c r="K122" s="439"/>
      <c r="L122" s="14">
        <f>SUM(L114:L121)</f>
        <v>418</v>
      </c>
      <c r="M122" s="486"/>
      <c r="N122" s="487"/>
      <c r="O122" s="397"/>
      <c r="P122" s="397"/>
      <c r="Q122" s="397"/>
      <c r="R122" s="397"/>
    </row>
    <row r="123" spans="1:18" s="107" customFormat="1" ht="24.95" customHeight="1" x14ac:dyDescent="0.15">
      <c r="A123" s="324"/>
      <c r="B123" s="178"/>
      <c r="C123" s="220" t="s">
        <v>182</v>
      </c>
      <c r="D123" s="488" t="s">
        <v>219</v>
      </c>
      <c r="E123" s="223"/>
      <c r="F123" s="223"/>
      <c r="G123" s="224" t="s">
        <v>387</v>
      </c>
      <c r="H123" s="490" t="s">
        <v>368</v>
      </c>
      <c r="I123" s="230" t="s">
        <v>189</v>
      </c>
      <c r="J123" s="230" t="s">
        <v>174</v>
      </c>
      <c r="K123" s="31" t="s">
        <v>362</v>
      </c>
      <c r="L123" s="23">
        <v>1</v>
      </c>
      <c r="M123" s="338" t="s">
        <v>425</v>
      </c>
      <c r="N123" s="492"/>
      <c r="O123" s="233" t="s">
        <v>355</v>
      </c>
      <c r="P123" s="233" t="s">
        <v>94</v>
      </c>
      <c r="Q123" s="233" t="s">
        <v>60</v>
      </c>
      <c r="R123" s="174" t="s">
        <v>473</v>
      </c>
    </row>
    <row r="124" spans="1:18" s="107" customFormat="1" ht="24.95" customHeight="1" x14ac:dyDescent="0.15">
      <c r="A124" s="324"/>
      <c r="B124" s="178"/>
      <c r="C124" s="220"/>
      <c r="D124" s="223"/>
      <c r="E124" s="223"/>
      <c r="F124" s="223"/>
      <c r="G124" s="489"/>
      <c r="H124" s="491"/>
      <c r="I124" s="231"/>
      <c r="J124" s="231"/>
      <c r="K124" s="31" t="s">
        <v>365</v>
      </c>
      <c r="L124" s="23">
        <v>1</v>
      </c>
      <c r="M124" s="493"/>
      <c r="N124" s="494"/>
      <c r="O124" s="175"/>
      <c r="P124" s="175"/>
      <c r="Q124" s="175"/>
      <c r="R124" s="175"/>
    </row>
    <row r="125" spans="1:18" s="107" customFormat="1" ht="24.95" customHeight="1" x14ac:dyDescent="0.15">
      <c r="A125" s="324"/>
      <c r="B125" s="178"/>
      <c r="C125" s="220"/>
      <c r="D125" s="223"/>
      <c r="E125" s="223"/>
      <c r="F125" s="223"/>
      <c r="G125" s="489"/>
      <c r="H125" s="491"/>
      <c r="I125" s="231"/>
      <c r="J125" s="231"/>
      <c r="K125" s="31" t="s">
        <v>134</v>
      </c>
      <c r="L125" s="23">
        <v>132</v>
      </c>
      <c r="M125" s="493"/>
      <c r="N125" s="494"/>
      <c r="O125" s="175"/>
      <c r="P125" s="175"/>
      <c r="Q125" s="175"/>
      <c r="R125" s="175"/>
    </row>
    <row r="126" spans="1:18" s="107" customFormat="1" ht="24.95" customHeight="1" x14ac:dyDescent="0.15">
      <c r="A126" s="324"/>
      <c r="B126" s="178"/>
      <c r="C126" s="220"/>
      <c r="D126" s="223"/>
      <c r="E126" s="223"/>
      <c r="F126" s="223"/>
      <c r="G126" s="489"/>
      <c r="H126" s="491"/>
      <c r="I126" s="231"/>
      <c r="J126" s="231"/>
      <c r="K126" s="31" t="s">
        <v>132</v>
      </c>
      <c r="L126" s="23">
        <v>18</v>
      </c>
      <c r="M126" s="493"/>
      <c r="N126" s="494"/>
      <c r="O126" s="175"/>
      <c r="P126" s="175"/>
      <c r="Q126" s="175"/>
      <c r="R126" s="175"/>
    </row>
    <row r="127" spans="1:18" s="107" customFormat="1" ht="24.95" customHeight="1" x14ac:dyDescent="0.15">
      <c r="A127" s="324"/>
      <c r="B127" s="178"/>
      <c r="C127" s="220"/>
      <c r="D127" s="223"/>
      <c r="E127" s="223"/>
      <c r="F127" s="223"/>
      <c r="G127" s="489"/>
      <c r="H127" s="491"/>
      <c r="I127" s="231"/>
      <c r="J127" s="231"/>
      <c r="K127" s="31" t="s">
        <v>133</v>
      </c>
      <c r="L127" s="23">
        <v>18</v>
      </c>
      <c r="M127" s="493"/>
      <c r="N127" s="494"/>
      <c r="O127" s="175"/>
      <c r="P127" s="175"/>
      <c r="Q127" s="175"/>
      <c r="R127" s="175"/>
    </row>
    <row r="128" spans="1:18" s="107" customFormat="1" ht="24.95" customHeight="1" x14ac:dyDescent="0.15">
      <c r="A128" s="324"/>
      <c r="B128" s="178"/>
      <c r="C128" s="220"/>
      <c r="D128" s="223"/>
      <c r="E128" s="223"/>
      <c r="F128" s="223"/>
      <c r="G128" s="489"/>
      <c r="H128" s="491"/>
      <c r="I128" s="231"/>
      <c r="J128" s="231"/>
      <c r="K128" s="31" t="s">
        <v>364</v>
      </c>
      <c r="L128" s="23">
        <v>18</v>
      </c>
      <c r="M128" s="493"/>
      <c r="N128" s="494"/>
      <c r="O128" s="175"/>
      <c r="P128" s="175"/>
      <c r="Q128" s="175"/>
      <c r="R128" s="175"/>
    </row>
    <row r="129" spans="1:18" s="107" customFormat="1" ht="24.95" customHeight="1" x14ac:dyDescent="0.15">
      <c r="A129" s="324"/>
      <c r="B129" s="178"/>
      <c r="C129" s="220"/>
      <c r="D129" s="223"/>
      <c r="E129" s="223"/>
      <c r="F129" s="223"/>
      <c r="G129" s="489"/>
      <c r="H129" s="491"/>
      <c r="I129" s="231"/>
      <c r="J129" s="231"/>
      <c r="K129" s="31" t="s">
        <v>356</v>
      </c>
      <c r="L129" s="23">
        <v>20</v>
      </c>
      <c r="M129" s="493"/>
      <c r="N129" s="494"/>
      <c r="O129" s="175"/>
      <c r="P129" s="175"/>
      <c r="Q129" s="175"/>
      <c r="R129" s="175"/>
    </row>
    <row r="130" spans="1:18" s="107" customFormat="1" ht="24.95" customHeight="1" x14ac:dyDescent="0.15">
      <c r="A130" s="324"/>
      <c r="B130" s="178"/>
      <c r="C130" s="220"/>
      <c r="D130" s="223"/>
      <c r="E130" s="223"/>
      <c r="F130" s="223"/>
      <c r="G130" s="489"/>
      <c r="H130" s="491"/>
      <c r="I130" s="231"/>
      <c r="J130" s="231"/>
      <c r="K130" s="31" t="s">
        <v>358</v>
      </c>
      <c r="L130" s="23">
        <v>38</v>
      </c>
      <c r="M130" s="493"/>
      <c r="N130" s="494"/>
      <c r="O130" s="175"/>
      <c r="P130" s="175"/>
      <c r="Q130" s="175"/>
      <c r="R130" s="175"/>
    </row>
    <row r="131" spans="1:18" s="107" customFormat="1" ht="24.95" customHeight="1" x14ac:dyDescent="0.15">
      <c r="A131" s="324"/>
      <c r="B131" s="178"/>
      <c r="C131" s="220"/>
      <c r="D131" s="223"/>
      <c r="E131" s="223"/>
      <c r="F131" s="223"/>
      <c r="G131" s="489"/>
      <c r="H131" s="491"/>
      <c r="I131" s="231"/>
      <c r="J131" s="231"/>
      <c r="K131" s="31" t="s">
        <v>367</v>
      </c>
      <c r="L131" s="23">
        <v>18</v>
      </c>
      <c r="M131" s="493"/>
      <c r="N131" s="494"/>
      <c r="O131" s="175"/>
      <c r="P131" s="175"/>
      <c r="Q131" s="175"/>
      <c r="R131" s="175"/>
    </row>
    <row r="132" spans="1:18" s="107" customFormat="1" ht="24.95" customHeight="1" x14ac:dyDescent="0.15">
      <c r="A132" s="324"/>
      <c r="B132" s="178"/>
      <c r="C132" s="220"/>
      <c r="D132" s="223"/>
      <c r="E132" s="223"/>
      <c r="F132" s="223"/>
      <c r="G132" s="489"/>
      <c r="H132" s="491"/>
      <c r="I132" s="231"/>
      <c r="J132" s="231"/>
      <c r="K132" s="31" t="s">
        <v>360</v>
      </c>
      <c r="L132" s="23">
        <v>18</v>
      </c>
      <c r="M132" s="493"/>
      <c r="N132" s="494"/>
      <c r="O132" s="175"/>
      <c r="P132" s="175"/>
      <c r="Q132" s="175"/>
      <c r="R132" s="175"/>
    </row>
    <row r="133" spans="1:18" s="107" customFormat="1" ht="24.95" customHeight="1" x14ac:dyDescent="0.15">
      <c r="A133" s="324"/>
      <c r="B133" s="178"/>
      <c r="C133" s="220"/>
      <c r="D133" s="223"/>
      <c r="E133" s="223"/>
      <c r="F133" s="223"/>
      <c r="G133" s="489"/>
      <c r="H133" s="491"/>
      <c r="I133" s="231"/>
      <c r="J133" s="231"/>
      <c r="K133" s="31" t="s">
        <v>361</v>
      </c>
      <c r="L133" s="23">
        <v>20</v>
      </c>
      <c r="M133" s="493"/>
      <c r="N133" s="494"/>
      <c r="O133" s="175"/>
      <c r="P133" s="175"/>
      <c r="Q133" s="175"/>
      <c r="R133" s="175"/>
    </row>
    <row r="134" spans="1:18" s="107" customFormat="1" ht="24.95" customHeight="1" x14ac:dyDescent="0.15">
      <c r="A134" s="324"/>
      <c r="B134" s="178"/>
      <c r="C134" s="220"/>
      <c r="D134" s="223"/>
      <c r="E134" s="223"/>
      <c r="F134" s="223"/>
      <c r="G134" s="489"/>
      <c r="H134" s="491"/>
      <c r="I134" s="231"/>
      <c r="J134" s="231"/>
      <c r="K134" s="31" t="s">
        <v>359</v>
      </c>
      <c r="L134" s="23">
        <v>20</v>
      </c>
      <c r="M134" s="495"/>
      <c r="N134" s="496"/>
      <c r="O134" s="175"/>
      <c r="P134" s="175"/>
      <c r="Q134" s="175"/>
      <c r="R134" s="175"/>
    </row>
    <row r="135" spans="1:18" s="107" customFormat="1" ht="24.95" customHeight="1" x14ac:dyDescent="0.15">
      <c r="A135" s="324"/>
      <c r="B135" s="178"/>
      <c r="C135" s="221"/>
      <c r="D135" s="223"/>
      <c r="E135" s="223"/>
      <c r="F135" s="223"/>
      <c r="G135" s="177" t="s">
        <v>34</v>
      </c>
      <c r="H135" s="177"/>
      <c r="I135" s="177"/>
      <c r="J135" s="177"/>
      <c r="K135" s="154"/>
      <c r="L135" s="14">
        <f>SUM(L123:L134)</f>
        <v>322</v>
      </c>
      <c r="M135" s="486"/>
      <c r="N135" s="487"/>
      <c r="O135" s="176"/>
      <c r="P135" s="176"/>
      <c r="Q135" s="176"/>
      <c r="R135" s="176"/>
    </row>
    <row r="136" spans="1:18" s="114" customFormat="1" ht="18.95" customHeight="1" x14ac:dyDescent="0.15">
      <c r="A136" s="324"/>
      <c r="B136" s="178"/>
      <c r="C136" s="220" t="s">
        <v>182</v>
      </c>
      <c r="D136" s="222" t="s">
        <v>418</v>
      </c>
      <c r="E136" s="223"/>
      <c r="F136" s="223"/>
      <c r="G136" s="224" t="s">
        <v>383</v>
      </c>
      <c r="H136" s="227" t="s">
        <v>419</v>
      </c>
      <c r="I136" s="230" t="s">
        <v>189</v>
      </c>
      <c r="J136" s="230" t="s">
        <v>174</v>
      </c>
      <c r="K136" s="31" t="s">
        <v>420</v>
      </c>
      <c r="L136" s="46">
        <v>182</v>
      </c>
      <c r="M136" s="150" t="s">
        <v>425</v>
      </c>
      <c r="N136" s="180"/>
      <c r="O136" s="233" t="s">
        <v>421</v>
      </c>
      <c r="P136" s="233" t="s">
        <v>422</v>
      </c>
      <c r="Q136" s="174" t="s">
        <v>477</v>
      </c>
      <c r="R136" s="174" t="s">
        <v>476</v>
      </c>
    </row>
    <row r="137" spans="1:18" s="114" customFormat="1" ht="18.95" customHeight="1" x14ac:dyDescent="0.15">
      <c r="A137" s="324"/>
      <c r="B137" s="178"/>
      <c r="C137" s="220"/>
      <c r="D137" s="223"/>
      <c r="E137" s="223"/>
      <c r="F137" s="223"/>
      <c r="G137" s="225"/>
      <c r="H137" s="228"/>
      <c r="I137" s="231"/>
      <c r="J137" s="231"/>
      <c r="K137" s="31" t="s">
        <v>423</v>
      </c>
      <c r="L137" s="46">
        <v>179</v>
      </c>
      <c r="M137" s="181"/>
      <c r="N137" s="182"/>
      <c r="O137" s="234"/>
      <c r="P137" s="175"/>
      <c r="Q137" s="175"/>
      <c r="R137" s="175"/>
    </row>
    <row r="138" spans="1:18" s="116" customFormat="1" ht="18.95" customHeight="1" x14ac:dyDescent="0.15">
      <c r="A138" s="324"/>
      <c r="B138" s="178"/>
      <c r="C138" s="221"/>
      <c r="D138" s="223"/>
      <c r="E138" s="223"/>
      <c r="F138" s="223"/>
      <c r="G138" s="226"/>
      <c r="H138" s="229"/>
      <c r="I138" s="232"/>
      <c r="J138" s="232"/>
      <c r="K138" s="31" t="s">
        <v>424</v>
      </c>
      <c r="L138" s="115">
        <v>179</v>
      </c>
      <c r="M138" s="183"/>
      <c r="N138" s="184"/>
      <c r="O138" s="175"/>
      <c r="P138" s="175"/>
      <c r="Q138" s="175"/>
      <c r="R138" s="175"/>
    </row>
    <row r="139" spans="1:18" s="116" customFormat="1" ht="18.95" customHeight="1" x14ac:dyDescent="0.15">
      <c r="A139" s="324"/>
      <c r="B139" s="179"/>
      <c r="C139" s="221"/>
      <c r="D139" s="223"/>
      <c r="E139" s="223"/>
      <c r="F139" s="223"/>
      <c r="G139" s="177" t="s">
        <v>34</v>
      </c>
      <c r="H139" s="177"/>
      <c r="I139" s="177"/>
      <c r="J139" s="177"/>
      <c r="K139" s="154"/>
      <c r="L139" s="50">
        <f>L136+L137+L138</f>
        <v>540</v>
      </c>
      <c r="M139" s="185"/>
      <c r="N139" s="186"/>
      <c r="O139" s="176"/>
      <c r="P139" s="176"/>
      <c r="Q139" s="176"/>
      <c r="R139" s="176"/>
    </row>
    <row r="140" spans="1:18" s="4" customFormat="1" ht="21" customHeight="1" x14ac:dyDescent="0.15">
      <c r="A140" s="324"/>
      <c r="B140" s="235" t="s">
        <v>409</v>
      </c>
      <c r="C140" s="235"/>
      <c r="D140" s="235"/>
      <c r="E140" s="235"/>
      <c r="F140" s="235"/>
      <c r="G140" s="235"/>
      <c r="H140" s="235"/>
      <c r="I140" s="235"/>
      <c r="J140" s="235"/>
      <c r="K140" s="235"/>
      <c r="L140" s="5">
        <f>SUM(L135,L122,L113,L104,L97,L94,L87,L82,L78,L71,L62,L139)</f>
        <v>5797</v>
      </c>
      <c r="M140" s="5">
        <v>491</v>
      </c>
      <c r="N140" s="5">
        <v>470</v>
      </c>
      <c r="O140" s="6"/>
      <c r="P140" s="6"/>
      <c r="Q140" s="7"/>
      <c r="R140" s="7"/>
    </row>
    <row r="141" spans="1:18" s="4" customFormat="1" ht="21" customHeight="1" x14ac:dyDescent="0.15">
      <c r="A141" s="324"/>
      <c r="B141" s="474" t="s">
        <v>185</v>
      </c>
      <c r="C141" s="462" t="s">
        <v>89</v>
      </c>
      <c r="D141" s="475" t="s">
        <v>316</v>
      </c>
      <c r="E141" s="263"/>
      <c r="F141" s="309"/>
      <c r="G141" s="476" t="s">
        <v>110</v>
      </c>
      <c r="H141" s="476" t="s">
        <v>12</v>
      </c>
      <c r="I141" s="462" t="s">
        <v>189</v>
      </c>
      <c r="J141" s="462" t="s">
        <v>174</v>
      </c>
      <c r="K141" s="31" t="s">
        <v>265</v>
      </c>
      <c r="L141" s="43">
        <v>493</v>
      </c>
      <c r="M141" s="452" t="s">
        <v>416</v>
      </c>
      <c r="N141" s="180"/>
      <c r="O141" s="447">
        <v>44762</v>
      </c>
      <c r="P141" s="447">
        <v>44797</v>
      </c>
      <c r="Q141" s="450" t="s">
        <v>71</v>
      </c>
      <c r="R141" s="466" t="s">
        <v>103</v>
      </c>
    </row>
    <row r="142" spans="1:18" s="4" customFormat="1" ht="21" customHeight="1" x14ac:dyDescent="0.15">
      <c r="A142" s="324"/>
      <c r="B142" s="156"/>
      <c r="C142" s="290"/>
      <c r="D142" s="264"/>
      <c r="E142" s="265"/>
      <c r="F142" s="310"/>
      <c r="G142" s="156"/>
      <c r="H142" s="156"/>
      <c r="I142" s="156"/>
      <c r="J142" s="156"/>
      <c r="K142" s="32" t="s">
        <v>267</v>
      </c>
      <c r="L142" s="43">
        <v>171</v>
      </c>
      <c r="M142" s="181"/>
      <c r="N142" s="182"/>
      <c r="O142" s="448"/>
      <c r="P142" s="448"/>
      <c r="Q142" s="448"/>
      <c r="R142" s="467"/>
    </row>
    <row r="143" spans="1:18" s="4" customFormat="1" ht="21" customHeight="1" x14ac:dyDescent="0.15">
      <c r="A143" s="324"/>
      <c r="B143" s="156"/>
      <c r="C143" s="290"/>
      <c r="D143" s="264"/>
      <c r="E143" s="265"/>
      <c r="F143" s="310"/>
      <c r="G143" s="157"/>
      <c r="H143" s="157"/>
      <c r="I143" s="157"/>
      <c r="J143" s="157"/>
      <c r="K143" s="32">
        <v>102.9187</v>
      </c>
      <c r="L143" s="43">
        <v>98</v>
      </c>
      <c r="M143" s="183"/>
      <c r="N143" s="184"/>
      <c r="O143" s="448"/>
      <c r="P143" s="448"/>
      <c r="Q143" s="448"/>
      <c r="R143" s="467"/>
    </row>
    <row r="144" spans="1:18" s="4" customFormat="1" ht="21" customHeight="1" x14ac:dyDescent="0.15">
      <c r="A144" s="324"/>
      <c r="B144" s="156"/>
      <c r="C144" s="291"/>
      <c r="D144" s="266"/>
      <c r="E144" s="267"/>
      <c r="F144" s="311"/>
      <c r="G144" s="468" t="s">
        <v>175</v>
      </c>
      <c r="H144" s="438"/>
      <c r="I144" s="438"/>
      <c r="J144" s="438"/>
      <c r="K144" s="439"/>
      <c r="L144" s="42">
        <f>SUM(L141:L143)</f>
        <v>762</v>
      </c>
      <c r="M144" s="459"/>
      <c r="N144" s="460"/>
      <c r="O144" s="449"/>
      <c r="P144" s="449"/>
      <c r="Q144" s="448"/>
      <c r="R144" s="467"/>
    </row>
    <row r="145" spans="1:18" s="4" customFormat="1" ht="21" customHeight="1" x14ac:dyDescent="0.15">
      <c r="A145" s="324"/>
      <c r="B145" s="156"/>
      <c r="C145" s="269" t="s">
        <v>104</v>
      </c>
      <c r="D145" s="469" t="s">
        <v>319</v>
      </c>
      <c r="E145" s="469"/>
      <c r="F145" s="469"/>
      <c r="G145" s="470" t="s">
        <v>61</v>
      </c>
      <c r="H145" s="374" t="s">
        <v>5</v>
      </c>
      <c r="I145" s="406" t="s">
        <v>189</v>
      </c>
      <c r="J145" s="406" t="s">
        <v>174</v>
      </c>
      <c r="K145" s="47">
        <v>59.970799999999997</v>
      </c>
      <c r="L145" s="23">
        <v>44</v>
      </c>
      <c r="M145" s="452" t="s">
        <v>416</v>
      </c>
      <c r="N145" s="180"/>
      <c r="O145" s="447">
        <v>44826</v>
      </c>
      <c r="P145" s="447">
        <v>44860</v>
      </c>
      <c r="Q145" s="450" t="s">
        <v>198</v>
      </c>
      <c r="R145" s="473" t="s">
        <v>462</v>
      </c>
    </row>
    <row r="146" spans="1:18" s="4" customFormat="1" ht="21" customHeight="1" x14ac:dyDescent="0.15">
      <c r="A146" s="324"/>
      <c r="B146" s="156"/>
      <c r="C146" s="443"/>
      <c r="D146" s="469"/>
      <c r="E146" s="469"/>
      <c r="F146" s="469"/>
      <c r="G146" s="471"/>
      <c r="H146" s="375"/>
      <c r="I146" s="407"/>
      <c r="J146" s="407"/>
      <c r="K146" s="32" t="s">
        <v>158</v>
      </c>
      <c r="L146" s="23">
        <v>41</v>
      </c>
      <c r="M146" s="181"/>
      <c r="N146" s="182"/>
      <c r="O146" s="448"/>
      <c r="P146" s="448"/>
      <c r="Q146" s="448"/>
      <c r="R146" s="467"/>
    </row>
    <row r="147" spans="1:18" s="4" customFormat="1" ht="21" customHeight="1" x14ac:dyDescent="0.15">
      <c r="A147" s="324"/>
      <c r="B147" s="156"/>
      <c r="C147" s="443"/>
      <c r="D147" s="469"/>
      <c r="E147" s="469"/>
      <c r="F147" s="469"/>
      <c r="G147" s="471"/>
      <c r="H147" s="375"/>
      <c r="I147" s="407"/>
      <c r="J147" s="407"/>
      <c r="K147" s="47" t="s">
        <v>144</v>
      </c>
      <c r="L147" s="23">
        <v>3</v>
      </c>
      <c r="M147" s="181"/>
      <c r="N147" s="182"/>
      <c r="O147" s="448"/>
      <c r="P147" s="448"/>
      <c r="Q147" s="448"/>
      <c r="R147" s="467"/>
    </row>
    <row r="148" spans="1:18" s="4" customFormat="1" ht="21" customHeight="1" x14ac:dyDescent="0.15">
      <c r="A148" s="324"/>
      <c r="B148" s="156"/>
      <c r="C148" s="443"/>
      <c r="D148" s="469"/>
      <c r="E148" s="469"/>
      <c r="F148" s="469"/>
      <c r="G148" s="471"/>
      <c r="H148" s="375"/>
      <c r="I148" s="407"/>
      <c r="J148" s="407"/>
      <c r="K148" s="47" t="s">
        <v>270</v>
      </c>
      <c r="L148" s="23">
        <v>5</v>
      </c>
      <c r="M148" s="181"/>
      <c r="N148" s="182"/>
      <c r="O148" s="448"/>
      <c r="P148" s="448"/>
      <c r="Q148" s="448"/>
      <c r="R148" s="467"/>
    </row>
    <row r="149" spans="1:18" s="4" customFormat="1" ht="21" customHeight="1" x14ac:dyDescent="0.15">
      <c r="A149" s="324"/>
      <c r="B149" s="156"/>
      <c r="C149" s="443"/>
      <c r="D149" s="469"/>
      <c r="E149" s="469"/>
      <c r="F149" s="469"/>
      <c r="G149" s="471"/>
      <c r="H149" s="375"/>
      <c r="I149" s="407"/>
      <c r="J149" s="407"/>
      <c r="K149" s="47" t="s">
        <v>262</v>
      </c>
      <c r="L149" s="23">
        <v>18</v>
      </c>
      <c r="M149" s="181"/>
      <c r="N149" s="182"/>
      <c r="O149" s="448"/>
      <c r="P149" s="448"/>
      <c r="Q149" s="448"/>
      <c r="R149" s="467"/>
    </row>
    <row r="150" spans="1:18" s="4" customFormat="1" ht="21" customHeight="1" x14ac:dyDescent="0.15">
      <c r="A150" s="324"/>
      <c r="B150" s="156"/>
      <c r="C150" s="443"/>
      <c r="D150" s="469"/>
      <c r="E150" s="469"/>
      <c r="F150" s="469"/>
      <c r="G150" s="471"/>
      <c r="H150" s="375"/>
      <c r="I150" s="407"/>
      <c r="J150" s="407"/>
      <c r="K150" s="47">
        <v>138.4564</v>
      </c>
      <c r="L150" s="23">
        <v>2</v>
      </c>
      <c r="M150" s="181"/>
      <c r="N150" s="182"/>
      <c r="O150" s="448"/>
      <c r="P150" s="448"/>
      <c r="Q150" s="448"/>
      <c r="R150" s="467"/>
    </row>
    <row r="151" spans="1:18" s="4" customFormat="1" ht="21" customHeight="1" x14ac:dyDescent="0.15">
      <c r="A151" s="324"/>
      <c r="B151" s="156"/>
      <c r="C151" s="443"/>
      <c r="D151" s="469"/>
      <c r="E151" s="469"/>
      <c r="F151" s="469"/>
      <c r="G151" s="472"/>
      <c r="H151" s="410"/>
      <c r="I151" s="411"/>
      <c r="J151" s="411"/>
      <c r="K151" s="32">
        <v>164.09309999999999</v>
      </c>
      <c r="L151" s="13">
        <v>4</v>
      </c>
      <c r="M151" s="260"/>
      <c r="N151" s="261"/>
      <c r="O151" s="448"/>
      <c r="P151" s="448"/>
      <c r="Q151" s="448"/>
      <c r="R151" s="467"/>
    </row>
    <row r="152" spans="1:18" s="4" customFormat="1" ht="21" customHeight="1" x14ac:dyDescent="0.15">
      <c r="A152" s="324"/>
      <c r="B152" s="156"/>
      <c r="C152" s="444"/>
      <c r="D152" s="469"/>
      <c r="E152" s="469"/>
      <c r="F152" s="469"/>
      <c r="G152" s="147" t="s">
        <v>175</v>
      </c>
      <c r="H152" s="438"/>
      <c r="I152" s="438"/>
      <c r="J152" s="438"/>
      <c r="K152" s="439"/>
      <c r="L152" s="42">
        <f>SUM(L145:L151)</f>
        <v>117</v>
      </c>
      <c r="M152" s="459"/>
      <c r="N152" s="460"/>
      <c r="O152" s="449"/>
      <c r="P152" s="449"/>
      <c r="Q152" s="448"/>
      <c r="R152" s="467"/>
    </row>
    <row r="153" spans="1:18" s="4" customFormat="1" ht="21" customHeight="1" x14ac:dyDescent="0.15">
      <c r="A153" s="324"/>
      <c r="B153" s="156"/>
      <c r="C153" s="155" t="s">
        <v>104</v>
      </c>
      <c r="D153" s="365" t="s">
        <v>312</v>
      </c>
      <c r="E153" s="477"/>
      <c r="F153" s="478"/>
      <c r="G153" s="268" t="s">
        <v>42</v>
      </c>
      <c r="H153" s="269" t="s">
        <v>243</v>
      </c>
      <c r="I153" s="269" t="s">
        <v>189</v>
      </c>
      <c r="J153" s="269" t="s">
        <v>174</v>
      </c>
      <c r="K153" s="80" t="s">
        <v>136</v>
      </c>
      <c r="L153" s="13">
        <v>184</v>
      </c>
      <c r="M153" s="258" t="s">
        <v>416</v>
      </c>
      <c r="N153" s="259"/>
      <c r="O153" s="395" t="s">
        <v>239</v>
      </c>
      <c r="P153" s="395" t="s">
        <v>121</v>
      </c>
      <c r="Q153" s="395" t="s">
        <v>320</v>
      </c>
      <c r="R153" s="395" t="s">
        <v>103</v>
      </c>
    </row>
    <row r="154" spans="1:18" s="4" customFormat="1" ht="21" customHeight="1" x14ac:dyDescent="0.15">
      <c r="A154" s="324"/>
      <c r="B154" s="156"/>
      <c r="C154" s="156"/>
      <c r="D154" s="479"/>
      <c r="E154" s="480"/>
      <c r="F154" s="481"/>
      <c r="G154" s="376"/>
      <c r="H154" s="290"/>
      <c r="I154" s="290"/>
      <c r="J154" s="290"/>
      <c r="K154" s="80" t="s">
        <v>237</v>
      </c>
      <c r="L154" s="2">
        <v>55</v>
      </c>
      <c r="M154" s="378"/>
      <c r="N154" s="379"/>
      <c r="O154" s="396"/>
      <c r="P154" s="396"/>
      <c r="Q154" s="396"/>
      <c r="R154" s="396"/>
    </row>
    <row r="155" spans="1:18" s="4" customFormat="1" ht="21" customHeight="1" x14ac:dyDescent="0.15">
      <c r="A155" s="324"/>
      <c r="B155" s="156"/>
      <c r="C155" s="156"/>
      <c r="D155" s="479"/>
      <c r="E155" s="480"/>
      <c r="F155" s="481"/>
      <c r="G155" s="377"/>
      <c r="H155" s="291"/>
      <c r="I155" s="291"/>
      <c r="J155" s="291"/>
      <c r="K155" s="81">
        <v>157.34299999999999</v>
      </c>
      <c r="L155" s="13">
        <v>1</v>
      </c>
      <c r="M155" s="260"/>
      <c r="N155" s="261"/>
      <c r="O155" s="396"/>
      <c r="P155" s="396"/>
      <c r="Q155" s="396"/>
      <c r="R155" s="396"/>
    </row>
    <row r="156" spans="1:18" s="4" customFormat="1" ht="21" customHeight="1" x14ac:dyDescent="0.15">
      <c r="A156" s="324"/>
      <c r="B156" s="157"/>
      <c r="C156" s="157"/>
      <c r="D156" s="482"/>
      <c r="E156" s="483"/>
      <c r="F156" s="484"/>
      <c r="G156" s="147" t="s">
        <v>175</v>
      </c>
      <c r="H156" s="438"/>
      <c r="I156" s="438"/>
      <c r="J156" s="438"/>
      <c r="K156" s="439"/>
      <c r="L156" s="42">
        <f>SUM(L153:L155)</f>
        <v>240</v>
      </c>
      <c r="M156" s="459"/>
      <c r="N156" s="460"/>
      <c r="O156" s="457"/>
      <c r="P156" s="457"/>
      <c r="Q156" s="458"/>
      <c r="R156" s="458"/>
    </row>
    <row r="157" spans="1:18" s="4" customFormat="1" ht="21" customHeight="1" x14ac:dyDescent="0.15">
      <c r="A157" s="324"/>
      <c r="B157" s="243" t="s">
        <v>13</v>
      </c>
      <c r="C157" s="438"/>
      <c r="D157" s="438"/>
      <c r="E157" s="438"/>
      <c r="F157" s="438"/>
      <c r="G157" s="438"/>
      <c r="H157" s="438"/>
      <c r="I157" s="438"/>
      <c r="J157" s="438"/>
      <c r="K157" s="439"/>
      <c r="L157" s="5">
        <f>L144+L152+L156</f>
        <v>1119</v>
      </c>
      <c r="M157" s="5">
        <v>65</v>
      </c>
      <c r="N157" s="5">
        <v>49</v>
      </c>
      <c r="O157" s="40"/>
      <c r="P157" s="40"/>
      <c r="Q157" s="41"/>
      <c r="R157" s="41"/>
    </row>
    <row r="158" spans="1:18" s="4" customFormat="1" ht="21" customHeight="1" x14ac:dyDescent="0.15">
      <c r="A158" s="324"/>
      <c r="B158" s="461" t="s">
        <v>187</v>
      </c>
      <c r="C158" s="462" t="s">
        <v>162</v>
      </c>
      <c r="D158" s="365" t="s">
        <v>317</v>
      </c>
      <c r="E158" s="366"/>
      <c r="F158" s="367"/>
      <c r="G158" s="374" t="s">
        <v>21</v>
      </c>
      <c r="H158" s="374" t="s">
        <v>1</v>
      </c>
      <c r="I158" s="406" t="s">
        <v>189</v>
      </c>
      <c r="J158" s="406" t="s">
        <v>174</v>
      </c>
      <c r="K158" s="22">
        <v>52.59</v>
      </c>
      <c r="L158" s="23">
        <v>26</v>
      </c>
      <c r="M158" s="452" t="s">
        <v>416</v>
      </c>
      <c r="N158" s="180"/>
      <c r="O158" s="447">
        <v>44497</v>
      </c>
      <c r="P158" s="447">
        <v>44646</v>
      </c>
      <c r="Q158" s="463" t="s">
        <v>374</v>
      </c>
      <c r="R158" s="466" t="s">
        <v>103</v>
      </c>
    </row>
    <row r="159" spans="1:18" s="4" customFormat="1" ht="21" customHeight="1" x14ac:dyDescent="0.15">
      <c r="A159" s="324"/>
      <c r="B159" s="461"/>
      <c r="C159" s="156"/>
      <c r="D159" s="368"/>
      <c r="E159" s="369"/>
      <c r="F159" s="370"/>
      <c r="G159" s="375"/>
      <c r="H159" s="375"/>
      <c r="I159" s="407"/>
      <c r="J159" s="407"/>
      <c r="K159" s="22">
        <v>59.92</v>
      </c>
      <c r="L159" s="23">
        <v>74</v>
      </c>
      <c r="M159" s="181"/>
      <c r="N159" s="182"/>
      <c r="O159" s="448"/>
      <c r="P159" s="448"/>
      <c r="Q159" s="464"/>
      <c r="R159" s="467"/>
    </row>
    <row r="160" spans="1:18" s="4" customFormat="1" ht="21" customHeight="1" x14ac:dyDescent="0.15">
      <c r="A160" s="324"/>
      <c r="B160" s="461"/>
      <c r="C160" s="156"/>
      <c r="D160" s="368"/>
      <c r="E160" s="369"/>
      <c r="F160" s="370"/>
      <c r="G160" s="375"/>
      <c r="H160" s="375"/>
      <c r="I160" s="407"/>
      <c r="J160" s="407"/>
      <c r="K160" s="22">
        <v>59.94</v>
      </c>
      <c r="L160" s="23">
        <v>23</v>
      </c>
      <c r="M160" s="181"/>
      <c r="N160" s="182"/>
      <c r="O160" s="448"/>
      <c r="P160" s="448"/>
      <c r="Q160" s="464"/>
      <c r="R160" s="467"/>
    </row>
    <row r="161" spans="1:18" s="4" customFormat="1" ht="21" customHeight="1" x14ac:dyDescent="0.15">
      <c r="A161" s="324"/>
      <c r="B161" s="461"/>
      <c r="C161" s="156"/>
      <c r="D161" s="368"/>
      <c r="E161" s="369"/>
      <c r="F161" s="370"/>
      <c r="G161" s="375"/>
      <c r="H161" s="375"/>
      <c r="I161" s="407"/>
      <c r="J161" s="407"/>
      <c r="K161" s="22">
        <v>69.55</v>
      </c>
      <c r="L161" s="23">
        <v>57</v>
      </c>
      <c r="M161" s="181"/>
      <c r="N161" s="182"/>
      <c r="O161" s="448"/>
      <c r="P161" s="448"/>
      <c r="Q161" s="464"/>
      <c r="R161" s="467"/>
    </row>
    <row r="162" spans="1:18" s="4" customFormat="1" ht="21" customHeight="1" x14ac:dyDescent="0.15">
      <c r="A162" s="324"/>
      <c r="B162" s="461"/>
      <c r="C162" s="156"/>
      <c r="D162" s="368"/>
      <c r="E162" s="369"/>
      <c r="F162" s="370"/>
      <c r="G162" s="410"/>
      <c r="H162" s="410"/>
      <c r="I162" s="411"/>
      <c r="J162" s="411"/>
      <c r="K162" s="24">
        <v>84.89</v>
      </c>
      <c r="L162" s="13">
        <v>94</v>
      </c>
      <c r="M162" s="183"/>
      <c r="N162" s="184"/>
      <c r="O162" s="448"/>
      <c r="P162" s="448"/>
      <c r="Q162" s="464"/>
      <c r="R162" s="467"/>
    </row>
    <row r="163" spans="1:18" s="4" customFormat="1" ht="21" customHeight="1" x14ac:dyDescent="0.15">
      <c r="A163" s="324"/>
      <c r="B163" s="461"/>
      <c r="C163" s="157"/>
      <c r="D163" s="371"/>
      <c r="E163" s="372"/>
      <c r="F163" s="373"/>
      <c r="G163" s="147" t="s">
        <v>34</v>
      </c>
      <c r="H163" s="177"/>
      <c r="I163" s="177"/>
      <c r="J163" s="177"/>
      <c r="K163" s="154"/>
      <c r="L163" s="14">
        <f>SUM(L158:L162)</f>
        <v>274</v>
      </c>
      <c r="M163" s="455"/>
      <c r="N163" s="456"/>
      <c r="O163" s="449"/>
      <c r="P163" s="449"/>
      <c r="Q163" s="465"/>
      <c r="R163" s="467"/>
    </row>
    <row r="164" spans="1:18" s="4" customFormat="1" ht="21" customHeight="1" x14ac:dyDescent="0.15">
      <c r="A164" s="324"/>
      <c r="B164" s="461"/>
      <c r="C164" s="374" t="s">
        <v>97</v>
      </c>
      <c r="D164" s="365" t="s">
        <v>303</v>
      </c>
      <c r="E164" s="366"/>
      <c r="F164" s="367"/>
      <c r="G164" s="374" t="s">
        <v>382</v>
      </c>
      <c r="H164" s="374" t="s">
        <v>377</v>
      </c>
      <c r="I164" s="406" t="s">
        <v>189</v>
      </c>
      <c r="J164" s="406" t="s">
        <v>174</v>
      </c>
      <c r="K164" s="28">
        <v>54.094000000000001</v>
      </c>
      <c r="L164" s="18">
        <v>12</v>
      </c>
      <c r="M164" s="82">
        <v>2</v>
      </c>
      <c r="N164" s="82">
        <v>2</v>
      </c>
      <c r="O164" s="447">
        <v>44567</v>
      </c>
      <c r="P164" s="447">
        <v>44603</v>
      </c>
      <c r="Q164" s="450" t="s">
        <v>49</v>
      </c>
      <c r="R164" s="280" t="s">
        <v>103</v>
      </c>
    </row>
    <row r="165" spans="1:18" s="4" customFormat="1" ht="21" customHeight="1" x14ac:dyDescent="0.15">
      <c r="A165" s="324"/>
      <c r="B165" s="461"/>
      <c r="C165" s="375"/>
      <c r="D165" s="368"/>
      <c r="E165" s="369"/>
      <c r="F165" s="370"/>
      <c r="G165" s="375"/>
      <c r="H165" s="375"/>
      <c r="I165" s="407"/>
      <c r="J165" s="407"/>
      <c r="K165" s="28">
        <v>84.163300000000007</v>
      </c>
      <c r="L165" s="18">
        <v>24</v>
      </c>
      <c r="M165" s="82">
        <v>15</v>
      </c>
      <c r="N165" s="82">
        <v>15</v>
      </c>
      <c r="O165" s="448"/>
      <c r="P165" s="448"/>
      <c r="Q165" s="448"/>
      <c r="R165" s="281"/>
    </row>
    <row r="166" spans="1:18" s="4" customFormat="1" ht="21" customHeight="1" x14ac:dyDescent="0.15">
      <c r="A166" s="324"/>
      <c r="B166" s="461"/>
      <c r="C166" s="375"/>
      <c r="D166" s="368"/>
      <c r="E166" s="369"/>
      <c r="F166" s="370"/>
      <c r="G166" s="375"/>
      <c r="H166" s="375"/>
      <c r="I166" s="407"/>
      <c r="J166" s="407"/>
      <c r="K166" s="28">
        <v>84.951999999999998</v>
      </c>
      <c r="L166" s="18">
        <v>24</v>
      </c>
      <c r="M166" s="82">
        <v>14</v>
      </c>
      <c r="N166" s="82">
        <v>13</v>
      </c>
      <c r="O166" s="448"/>
      <c r="P166" s="448"/>
      <c r="Q166" s="448"/>
      <c r="R166" s="281"/>
    </row>
    <row r="167" spans="1:18" s="4" customFormat="1" ht="21" customHeight="1" x14ac:dyDescent="0.15">
      <c r="A167" s="324"/>
      <c r="B167" s="461"/>
      <c r="C167" s="410"/>
      <c r="D167" s="371"/>
      <c r="E167" s="372"/>
      <c r="F167" s="373"/>
      <c r="G167" s="147" t="s">
        <v>34</v>
      </c>
      <c r="H167" s="177"/>
      <c r="I167" s="177"/>
      <c r="J167" s="177"/>
      <c r="K167" s="154"/>
      <c r="L167" s="29">
        <f>SUM(L164:L166)</f>
        <v>60</v>
      </c>
      <c r="M167" s="29">
        <f t="shared" ref="M167:N167" si="0">SUM(M164:M166)</f>
        <v>31</v>
      </c>
      <c r="N167" s="29">
        <f t="shared" si="0"/>
        <v>30</v>
      </c>
      <c r="O167" s="449"/>
      <c r="P167" s="449"/>
      <c r="Q167" s="451"/>
      <c r="R167" s="281"/>
    </row>
    <row r="168" spans="1:18" s="4" customFormat="1" ht="21" customHeight="1" x14ac:dyDescent="0.15">
      <c r="A168" s="324"/>
      <c r="B168" s="461"/>
      <c r="C168" s="406" t="s">
        <v>97</v>
      </c>
      <c r="D168" s="365" t="s">
        <v>306</v>
      </c>
      <c r="E168" s="263"/>
      <c r="F168" s="309"/>
      <c r="G168" s="374" t="s">
        <v>23</v>
      </c>
      <c r="H168" s="374" t="s">
        <v>376</v>
      </c>
      <c r="I168" s="406" t="s">
        <v>189</v>
      </c>
      <c r="J168" s="406" t="s">
        <v>174</v>
      </c>
      <c r="K168" s="48">
        <v>84.946399999999997</v>
      </c>
      <c r="L168" s="46">
        <v>180</v>
      </c>
      <c r="M168" s="452" t="s">
        <v>416</v>
      </c>
      <c r="N168" s="180"/>
      <c r="O168" s="240" t="s">
        <v>151</v>
      </c>
      <c r="P168" s="453" t="s">
        <v>135</v>
      </c>
      <c r="Q168" s="240" t="s">
        <v>200</v>
      </c>
      <c r="R168" s="454" t="s">
        <v>475</v>
      </c>
    </row>
    <row r="169" spans="1:18" s="4" customFormat="1" ht="21" customHeight="1" x14ac:dyDescent="0.15">
      <c r="A169" s="324"/>
      <c r="B169" s="461"/>
      <c r="C169" s="443"/>
      <c r="D169" s="264"/>
      <c r="E169" s="265"/>
      <c r="F169" s="310"/>
      <c r="G169" s="375"/>
      <c r="H169" s="375"/>
      <c r="I169" s="407"/>
      <c r="J169" s="407"/>
      <c r="K169" s="48">
        <v>84.927899999999994</v>
      </c>
      <c r="L169" s="46">
        <v>180</v>
      </c>
      <c r="M169" s="181"/>
      <c r="N169" s="182"/>
      <c r="O169" s="240"/>
      <c r="P169" s="453"/>
      <c r="Q169" s="240"/>
      <c r="R169" s="240"/>
    </row>
    <row r="170" spans="1:18" s="4" customFormat="1" ht="21" customHeight="1" x14ac:dyDescent="0.15">
      <c r="A170" s="324"/>
      <c r="B170" s="461"/>
      <c r="C170" s="443"/>
      <c r="D170" s="264"/>
      <c r="E170" s="265"/>
      <c r="F170" s="310"/>
      <c r="G170" s="375"/>
      <c r="H170" s="375"/>
      <c r="I170" s="407"/>
      <c r="J170" s="407"/>
      <c r="K170" s="48">
        <v>84.995199999999997</v>
      </c>
      <c r="L170" s="46">
        <v>133</v>
      </c>
      <c r="M170" s="181"/>
      <c r="N170" s="182"/>
      <c r="O170" s="240"/>
      <c r="P170" s="453"/>
      <c r="Q170" s="240"/>
      <c r="R170" s="240"/>
    </row>
    <row r="171" spans="1:18" s="4" customFormat="1" ht="21" customHeight="1" x14ac:dyDescent="0.15">
      <c r="A171" s="324"/>
      <c r="B171" s="461"/>
      <c r="C171" s="443"/>
      <c r="D171" s="264"/>
      <c r="E171" s="265"/>
      <c r="F171" s="310"/>
      <c r="G171" s="375"/>
      <c r="H171" s="375"/>
      <c r="I171" s="407"/>
      <c r="J171" s="407"/>
      <c r="K171" s="48">
        <v>84.957499999999996</v>
      </c>
      <c r="L171" s="46">
        <v>116</v>
      </c>
      <c r="M171" s="181"/>
      <c r="N171" s="182"/>
      <c r="O171" s="240"/>
      <c r="P171" s="453"/>
      <c r="Q171" s="240"/>
      <c r="R171" s="240"/>
    </row>
    <row r="172" spans="1:18" s="4" customFormat="1" ht="21" customHeight="1" x14ac:dyDescent="0.15">
      <c r="A172" s="324"/>
      <c r="B172" s="461"/>
      <c r="C172" s="443"/>
      <c r="D172" s="264"/>
      <c r="E172" s="265"/>
      <c r="F172" s="310"/>
      <c r="G172" s="375"/>
      <c r="H172" s="375"/>
      <c r="I172" s="407"/>
      <c r="J172" s="407"/>
      <c r="K172" s="48">
        <v>119.9905</v>
      </c>
      <c r="L172" s="46">
        <v>142</v>
      </c>
      <c r="M172" s="181"/>
      <c r="N172" s="182"/>
      <c r="O172" s="240"/>
      <c r="P172" s="453"/>
      <c r="Q172" s="240"/>
      <c r="R172" s="240"/>
    </row>
    <row r="173" spans="1:18" s="4" customFormat="1" ht="21" customHeight="1" x14ac:dyDescent="0.15">
      <c r="A173" s="324"/>
      <c r="B173" s="461"/>
      <c r="C173" s="443"/>
      <c r="D173" s="264"/>
      <c r="E173" s="265"/>
      <c r="F173" s="310"/>
      <c r="G173" s="375"/>
      <c r="H173" s="375"/>
      <c r="I173" s="407"/>
      <c r="J173" s="407"/>
      <c r="K173" s="48">
        <v>119.9855</v>
      </c>
      <c r="L173" s="46">
        <v>138</v>
      </c>
      <c r="M173" s="181"/>
      <c r="N173" s="182"/>
      <c r="O173" s="240"/>
      <c r="P173" s="453"/>
      <c r="Q173" s="240"/>
      <c r="R173" s="240"/>
    </row>
    <row r="174" spans="1:18" s="4" customFormat="1" ht="21" customHeight="1" x14ac:dyDescent="0.15">
      <c r="A174" s="324"/>
      <c r="B174" s="461"/>
      <c r="C174" s="443"/>
      <c r="D174" s="264"/>
      <c r="E174" s="265"/>
      <c r="F174" s="310"/>
      <c r="G174" s="375"/>
      <c r="H174" s="375"/>
      <c r="I174" s="407"/>
      <c r="J174" s="407"/>
      <c r="K174" s="48">
        <v>119.9182</v>
      </c>
      <c r="L174" s="46">
        <v>71</v>
      </c>
      <c r="M174" s="181"/>
      <c r="N174" s="182"/>
      <c r="O174" s="240"/>
      <c r="P174" s="453"/>
      <c r="Q174" s="240"/>
      <c r="R174" s="240"/>
    </row>
    <row r="175" spans="1:18" s="4" customFormat="1" ht="21" customHeight="1" x14ac:dyDescent="0.15">
      <c r="A175" s="324"/>
      <c r="B175" s="461"/>
      <c r="C175" s="443"/>
      <c r="D175" s="264"/>
      <c r="E175" s="265"/>
      <c r="F175" s="310"/>
      <c r="G175" s="375"/>
      <c r="H175" s="375"/>
      <c r="I175" s="407"/>
      <c r="J175" s="407"/>
      <c r="K175" s="48" t="s">
        <v>154</v>
      </c>
      <c r="L175" s="46">
        <v>8</v>
      </c>
      <c r="M175" s="181"/>
      <c r="N175" s="182"/>
      <c r="O175" s="240"/>
      <c r="P175" s="453"/>
      <c r="Q175" s="240"/>
      <c r="R175" s="240"/>
    </row>
    <row r="176" spans="1:18" s="4" customFormat="1" ht="21" customHeight="1" x14ac:dyDescent="0.15">
      <c r="A176" s="324"/>
      <c r="B176" s="461"/>
      <c r="C176" s="443"/>
      <c r="D176" s="264"/>
      <c r="E176" s="265"/>
      <c r="F176" s="310"/>
      <c r="G176" s="375"/>
      <c r="H176" s="375"/>
      <c r="I176" s="407"/>
      <c r="J176" s="407"/>
      <c r="K176" s="48" t="s">
        <v>277</v>
      </c>
      <c r="L176" s="46">
        <v>9</v>
      </c>
      <c r="M176" s="183"/>
      <c r="N176" s="184"/>
      <c r="O176" s="240"/>
      <c r="P176" s="453"/>
      <c r="Q176" s="240"/>
      <c r="R176" s="240"/>
    </row>
    <row r="177" spans="1:18" s="4" customFormat="1" ht="21" customHeight="1" x14ac:dyDescent="0.15">
      <c r="A177" s="324"/>
      <c r="B177" s="461"/>
      <c r="C177" s="444"/>
      <c r="D177" s="266"/>
      <c r="E177" s="267"/>
      <c r="F177" s="311"/>
      <c r="G177" s="147" t="s">
        <v>34</v>
      </c>
      <c r="H177" s="177"/>
      <c r="I177" s="177"/>
      <c r="J177" s="177"/>
      <c r="K177" s="154"/>
      <c r="L177" s="29">
        <f>SUM(L168:L176)</f>
        <v>977</v>
      </c>
      <c r="M177" s="455"/>
      <c r="N177" s="456"/>
      <c r="O177" s="240"/>
      <c r="P177" s="453"/>
      <c r="Q177" s="240"/>
      <c r="R177" s="240"/>
    </row>
    <row r="178" spans="1:18" s="4" customFormat="1" ht="21" customHeight="1" x14ac:dyDescent="0.15">
      <c r="A178" s="324"/>
      <c r="B178" s="461"/>
      <c r="C178" s="406" t="s">
        <v>97</v>
      </c>
      <c r="D178" s="365" t="s">
        <v>287</v>
      </c>
      <c r="E178" s="366"/>
      <c r="F178" s="367"/>
      <c r="G178" s="445" t="s">
        <v>25</v>
      </c>
      <c r="H178" s="445" t="s">
        <v>25</v>
      </c>
      <c r="I178" s="268" t="s">
        <v>189</v>
      </c>
      <c r="J178" s="268" t="s">
        <v>174</v>
      </c>
      <c r="K178" s="48">
        <v>84</v>
      </c>
      <c r="L178" s="20">
        <v>30</v>
      </c>
      <c r="M178" s="20">
        <v>24</v>
      </c>
      <c r="N178" s="20">
        <v>24</v>
      </c>
      <c r="O178" s="240" t="s">
        <v>255</v>
      </c>
      <c r="P178" s="240" t="s">
        <v>258</v>
      </c>
      <c r="Q178" s="240" t="s">
        <v>51</v>
      </c>
      <c r="R178" s="240" t="s">
        <v>103</v>
      </c>
    </row>
    <row r="179" spans="1:18" s="4" customFormat="1" ht="21" customHeight="1" x14ac:dyDescent="0.15">
      <c r="A179" s="324"/>
      <c r="B179" s="461"/>
      <c r="C179" s="443"/>
      <c r="D179" s="368"/>
      <c r="E179" s="369"/>
      <c r="F179" s="370"/>
      <c r="G179" s="446"/>
      <c r="H179" s="446"/>
      <c r="I179" s="377"/>
      <c r="J179" s="377"/>
      <c r="K179" s="48">
        <v>105</v>
      </c>
      <c r="L179" s="20">
        <v>1</v>
      </c>
      <c r="M179" s="20">
        <v>1</v>
      </c>
      <c r="N179" s="20">
        <v>1</v>
      </c>
      <c r="O179" s="240"/>
      <c r="P179" s="240"/>
      <c r="Q179" s="240"/>
      <c r="R179" s="240"/>
    </row>
    <row r="180" spans="1:18" s="4" customFormat="1" ht="21" customHeight="1" x14ac:dyDescent="0.15">
      <c r="A180" s="324"/>
      <c r="B180" s="461"/>
      <c r="C180" s="444"/>
      <c r="D180" s="371"/>
      <c r="E180" s="372"/>
      <c r="F180" s="373"/>
      <c r="G180" s="147" t="s">
        <v>34</v>
      </c>
      <c r="H180" s="438"/>
      <c r="I180" s="438"/>
      <c r="J180" s="438"/>
      <c r="K180" s="439"/>
      <c r="L180" s="29">
        <f>SUM(L178:L179)</f>
        <v>31</v>
      </c>
      <c r="M180" s="29">
        <f>SUM(M178:M179)</f>
        <v>25</v>
      </c>
      <c r="N180" s="29">
        <f>SUM(N178:N179)</f>
        <v>25</v>
      </c>
      <c r="O180" s="240"/>
      <c r="P180" s="240"/>
      <c r="Q180" s="240"/>
      <c r="R180" s="240"/>
    </row>
    <row r="181" spans="1:18" s="4" customFormat="1" ht="21" customHeight="1" x14ac:dyDescent="0.15">
      <c r="A181" s="324"/>
      <c r="B181" s="243" t="s">
        <v>414</v>
      </c>
      <c r="C181" s="438"/>
      <c r="D181" s="438"/>
      <c r="E181" s="438"/>
      <c r="F181" s="438"/>
      <c r="G181" s="438"/>
      <c r="H181" s="438"/>
      <c r="I181" s="438"/>
      <c r="J181" s="438"/>
      <c r="K181" s="439"/>
      <c r="L181" s="124">
        <f>L163+L167+L177+L180</f>
        <v>1342</v>
      </c>
      <c r="M181" s="124">
        <v>524</v>
      </c>
      <c r="N181" s="124">
        <v>516</v>
      </c>
      <c r="O181" s="25"/>
      <c r="P181" s="25"/>
      <c r="Q181" s="26"/>
      <c r="R181" s="27"/>
    </row>
    <row r="182" spans="1:18" s="9" customFormat="1" ht="21" customHeight="1" x14ac:dyDescent="0.15">
      <c r="A182" s="324"/>
      <c r="B182" s="440" t="s">
        <v>161</v>
      </c>
      <c r="C182" s="323" t="s">
        <v>58</v>
      </c>
      <c r="D182" s="326" t="s">
        <v>290</v>
      </c>
      <c r="E182" s="327"/>
      <c r="F182" s="328"/>
      <c r="G182" s="335" t="s">
        <v>20</v>
      </c>
      <c r="H182" s="335" t="s">
        <v>109</v>
      </c>
      <c r="I182" s="406" t="s">
        <v>189</v>
      </c>
      <c r="J182" s="406" t="s">
        <v>174</v>
      </c>
      <c r="K182" s="51">
        <v>72.658699999999996</v>
      </c>
      <c r="L182" s="52">
        <v>20</v>
      </c>
      <c r="M182" s="258" t="s">
        <v>416</v>
      </c>
      <c r="N182" s="259"/>
      <c r="O182" s="430" t="s">
        <v>250</v>
      </c>
      <c r="P182" s="430" t="s">
        <v>139</v>
      </c>
      <c r="Q182" s="395" t="s">
        <v>207</v>
      </c>
      <c r="R182" s="395" t="s">
        <v>103</v>
      </c>
    </row>
    <row r="183" spans="1:18" s="9" customFormat="1" ht="21" customHeight="1" x14ac:dyDescent="0.15">
      <c r="A183" s="324"/>
      <c r="B183" s="441"/>
      <c r="C183" s="324"/>
      <c r="D183" s="329"/>
      <c r="E183" s="330"/>
      <c r="F183" s="331"/>
      <c r="G183" s="336"/>
      <c r="H183" s="336"/>
      <c r="I183" s="407"/>
      <c r="J183" s="407"/>
      <c r="K183" s="51">
        <v>84.324799999999996</v>
      </c>
      <c r="L183" s="52">
        <v>20</v>
      </c>
      <c r="M183" s="378"/>
      <c r="N183" s="379"/>
      <c r="O183" s="434"/>
      <c r="P183" s="434"/>
      <c r="Q183" s="396"/>
      <c r="R183" s="396"/>
    </row>
    <row r="184" spans="1:18" s="9" customFormat="1" ht="21" customHeight="1" x14ac:dyDescent="0.15">
      <c r="A184" s="324"/>
      <c r="B184" s="441"/>
      <c r="C184" s="324"/>
      <c r="D184" s="329"/>
      <c r="E184" s="330"/>
      <c r="F184" s="331"/>
      <c r="G184" s="336"/>
      <c r="H184" s="336"/>
      <c r="I184" s="407"/>
      <c r="J184" s="407"/>
      <c r="K184" s="51">
        <v>84.520799999999994</v>
      </c>
      <c r="L184" s="52">
        <v>20</v>
      </c>
      <c r="M184" s="378"/>
      <c r="N184" s="379"/>
      <c r="O184" s="434"/>
      <c r="P184" s="434"/>
      <c r="Q184" s="396"/>
      <c r="R184" s="396"/>
    </row>
    <row r="185" spans="1:18" s="9" customFormat="1" ht="21" customHeight="1" x14ac:dyDescent="0.15">
      <c r="A185" s="324"/>
      <c r="B185" s="441"/>
      <c r="C185" s="324"/>
      <c r="D185" s="329"/>
      <c r="E185" s="330"/>
      <c r="F185" s="331"/>
      <c r="G185" s="337"/>
      <c r="H185" s="337"/>
      <c r="I185" s="411"/>
      <c r="J185" s="411"/>
      <c r="K185" s="53">
        <v>84.977199999999996</v>
      </c>
      <c r="L185" s="52">
        <v>20</v>
      </c>
      <c r="M185" s="260"/>
      <c r="N185" s="261"/>
      <c r="O185" s="434"/>
      <c r="P185" s="434"/>
      <c r="Q185" s="396"/>
      <c r="R185" s="396"/>
    </row>
    <row r="186" spans="1:18" s="4" customFormat="1" ht="21" customHeight="1" x14ac:dyDescent="0.15">
      <c r="A186" s="324"/>
      <c r="B186" s="441"/>
      <c r="C186" s="325"/>
      <c r="D186" s="332"/>
      <c r="E186" s="333"/>
      <c r="F186" s="334"/>
      <c r="G186" s="394" t="s">
        <v>183</v>
      </c>
      <c r="H186" s="394"/>
      <c r="I186" s="394"/>
      <c r="J186" s="394"/>
      <c r="K186" s="394"/>
      <c r="L186" s="54">
        <f>SUM(L182:L185)</f>
        <v>80</v>
      </c>
      <c r="M186" s="435"/>
      <c r="N186" s="436"/>
      <c r="O186" s="433"/>
      <c r="P186" s="433"/>
      <c r="Q186" s="396"/>
      <c r="R186" s="396"/>
    </row>
    <row r="187" spans="1:18" s="15" customFormat="1" ht="21" customHeight="1" x14ac:dyDescent="0.15">
      <c r="A187" s="324"/>
      <c r="B187" s="441"/>
      <c r="C187" s="323" t="s">
        <v>373</v>
      </c>
      <c r="D187" s="326" t="s">
        <v>299</v>
      </c>
      <c r="E187" s="327"/>
      <c r="F187" s="328"/>
      <c r="G187" s="336" t="s">
        <v>28</v>
      </c>
      <c r="H187" s="336" t="s">
        <v>24</v>
      </c>
      <c r="I187" s="407" t="s">
        <v>189</v>
      </c>
      <c r="J187" s="407" t="s">
        <v>174</v>
      </c>
      <c r="K187" s="55">
        <v>84.980900000000005</v>
      </c>
      <c r="L187" s="52">
        <v>295</v>
      </c>
      <c r="M187" s="258" t="s">
        <v>416</v>
      </c>
      <c r="N187" s="259"/>
      <c r="O187" s="430" t="s">
        <v>229</v>
      </c>
      <c r="P187" s="430" t="s">
        <v>252</v>
      </c>
      <c r="Q187" s="430" t="s">
        <v>66</v>
      </c>
      <c r="R187" s="395" t="s">
        <v>103</v>
      </c>
    </row>
    <row r="188" spans="1:18" s="15" customFormat="1" ht="21" customHeight="1" x14ac:dyDescent="0.15">
      <c r="A188" s="324"/>
      <c r="B188" s="441"/>
      <c r="C188" s="324"/>
      <c r="D188" s="329"/>
      <c r="E188" s="330"/>
      <c r="F188" s="331"/>
      <c r="G188" s="324"/>
      <c r="H188" s="324"/>
      <c r="I188" s="407"/>
      <c r="J188" s="407"/>
      <c r="K188" s="56">
        <v>84.9345</v>
      </c>
      <c r="L188" s="52">
        <v>89</v>
      </c>
      <c r="M188" s="378"/>
      <c r="N188" s="379"/>
      <c r="O188" s="434"/>
      <c r="P188" s="434"/>
      <c r="Q188" s="434"/>
      <c r="R188" s="396"/>
    </row>
    <row r="189" spans="1:18" s="15" customFormat="1" ht="21" customHeight="1" x14ac:dyDescent="0.15">
      <c r="A189" s="324"/>
      <c r="B189" s="441"/>
      <c r="C189" s="324"/>
      <c r="D189" s="329"/>
      <c r="E189" s="330"/>
      <c r="F189" s="331"/>
      <c r="G189" s="325"/>
      <c r="H189" s="325"/>
      <c r="I189" s="411"/>
      <c r="J189" s="411"/>
      <c r="K189" s="56">
        <v>109.5127</v>
      </c>
      <c r="L189" s="52">
        <v>196</v>
      </c>
      <c r="M189" s="260"/>
      <c r="N189" s="261"/>
      <c r="O189" s="434"/>
      <c r="P189" s="434"/>
      <c r="Q189" s="434"/>
      <c r="R189" s="396"/>
    </row>
    <row r="190" spans="1:18" s="15" customFormat="1" ht="21" customHeight="1" x14ac:dyDescent="0.15">
      <c r="A190" s="324"/>
      <c r="B190" s="441"/>
      <c r="C190" s="325"/>
      <c r="D190" s="332"/>
      <c r="E190" s="333"/>
      <c r="F190" s="334"/>
      <c r="G190" s="437" t="s">
        <v>183</v>
      </c>
      <c r="H190" s="437"/>
      <c r="I190" s="437"/>
      <c r="J190" s="437"/>
      <c r="K190" s="437"/>
      <c r="L190" s="54">
        <f>SUM(L187:L189)</f>
        <v>580</v>
      </c>
      <c r="M190" s="435"/>
      <c r="N190" s="436"/>
      <c r="O190" s="433"/>
      <c r="P190" s="433"/>
      <c r="Q190" s="433"/>
      <c r="R190" s="396"/>
    </row>
    <row r="191" spans="1:18" s="15" customFormat="1" ht="21" customHeight="1" x14ac:dyDescent="0.15">
      <c r="A191" s="324"/>
      <c r="B191" s="441"/>
      <c r="C191" s="323" t="s">
        <v>43</v>
      </c>
      <c r="D191" s="326" t="s">
        <v>301</v>
      </c>
      <c r="E191" s="327"/>
      <c r="F191" s="328"/>
      <c r="G191" s="335" t="s">
        <v>383</v>
      </c>
      <c r="H191" s="335" t="s">
        <v>26</v>
      </c>
      <c r="I191" s="406" t="s">
        <v>189</v>
      </c>
      <c r="J191" s="406" t="s">
        <v>174</v>
      </c>
      <c r="K191" s="51" t="s">
        <v>83</v>
      </c>
      <c r="L191" s="52">
        <v>67</v>
      </c>
      <c r="M191" s="258" t="s">
        <v>416</v>
      </c>
      <c r="N191" s="259"/>
      <c r="O191" s="316" t="s">
        <v>152</v>
      </c>
      <c r="P191" s="316" t="s">
        <v>241</v>
      </c>
      <c r="Q191" s="316" t="s">
        <v>111</v>
      </c>
      <c r="R191" s="316" t="s">
        <v>103</v>
      </c>
    </row>
    <row r="192" spans="1:18" s="15" customFormat="1" ht="21" customHeight="1" x14ac:dyDescent="0.15">
      <c r="A192" s="324"/>
      <c r="B192" s="441"/>
      <c r="C192" s="324"/>
      <c r="D192" s="329"/>
      <c r="E192" s="330"/>
      <c r="F192" s="331"/>
      <c r="G192" s="336"/>
      <c r="H192" s="336"/>
      <c r="I192" s="407"/>
      <c r="J192" s="407"/>
      <c r="K192" s="51" t="s">
        <v>163</v>
      </c>
      <c r="L192" s="52">
        <v>21</v>
      </c>
      <c r="M192" s="378"/>
      <c r="N192" s="379"/>
      <c r="O192" s="317"/>
      <c r="P192" s="317"/>
      <c r="Q192" s="317"/>
      <c r="R192" s="317"/>
    </row>
    <row r="193" spans="1:18" s="15" customFormat="1" ht="21" customHeight="1" x14ac:dyDescent="0.15">
      <c r="A193" s="324"/>
      <c r="B193" s="441"/>
      <c r="C193" s="324"/>
      <c r="D193" s="329"/>
      <c r="E193" s="330"/>
      <c r="F193" s="331"/>
      <c r="G193" s="336"/>
      <c r="H193" s="336"/>
      <c r="I193" s="407"/>
      <c r="J193" s="407"/>
      <c r="K193" s="51" t="s">
        <v>181</v>
      </c>
      <c r="L193" s="52">
        <v>340</v>
      </c>
      <c r="M193" s="378"/>
      <c r="N193" s="379"/>
      <c r="O193" s="317"/>
      <c r="P193" s="317"/>
      <c r="Q193" s="317"/>
      <c r="R193" s="317"/>
    </row>
    <row r="194" spans="1:18" s="15" customFormat="1" ht="21" customHeight="1" x14ac:dyDescent="0.15">
      <c r="A194" s="324"/>
      <c r="B194" s="441"/>
      <c r="C194" s="324"/>
      <c r="D194" s="329"/>
      <c r="E194" s="330"/>
      <c r="F194" s="331"/>
      <c r="G194" s="337"/>
      <c r="H194" s="337"/>
      <c r="I194" s="411"/>
      <c r="J194" s="411"/>
      <c r="K194" s="53" t="s">
        <v>180</v>
      </c>
      <c r="L194" s="52">
        <v>71</v>
      </c>
      <c r="M194" s="260"/>
      <c r="N194" s="261"/>
      <c r="O194" s="317"/>
      <c r="P194" s="317"/>
      <c r="Q194" s="317"/>
      <c r="R194" s="317"/>
    </row>
    <row r="195" spans="1:18" s="15" customFormat="1" ht="21" customHeight="1" x14ac:dyDescent="0.15">
      <c r="A195" s="324"/>
      <c r="B195" s="441"/>
      <c r="C195" s="324"/>
      <c r="D195" s="332"/>
      <c r="E195" s="333"/>
      <c r="F195" s="334"/>
      <c r="G195" s="426" t="s">
        <v>183</v>
      </c>
      <c r="H195" s="427"/>
      <c r="I195" s="427"/>
      <c r="J195" s="427"/>
      <c r="K195" s="428"/>
      <c r="L195" s="50">
        <f>SUM(L191:L194)</f>
        <v>499</v>
      </c>
      <c r="M195" s="435"/>
      <c r="N195" s="436"/>
      <c r="O195" s="318"/>
      <c r="P195" s="318"/>
      <c r="Q195" s="318"/>
      <c r="R195" s="318"/>
    </row>
    <row r="196" spans="1:18" s="15" customFormat="1" ht="21" customHeight="1" x14ac:dyDescent="0.15">
      <c r="A196" s="324"/>
      <c r="B196" s="441"/>
      <c r="C196" s="302" t="s">
        <v>58</v>
      </c>
      <c r="D196" s="262" t="s">
        <v>296</v>
      </c>
      <c r="E196" s="263"/>
      <c r="F196" s="309"/>
      <c r="G196" s="374" t="s">
        <v>18</v>
      </c>
      <c r="H196" s="374" t="s">
        <v>411</v>
      </c>
      <c r="I196" s="406" t="s">
        <v>189</v>
      </c>
      <c r="J196" s="406" t="s">
        <v>174</v>
      </c>
      <c r="K196" s="57">
        <v>77.810699999999997</v>
      </c>
      <c r="L196" s="18">
        <v>84</v>
      </c>
      <c r="M196" s="258" t="s">
        <v>416</v>
      </c>
      <c r="N196" s="259"/>
      <c r="O196" s="429" t="s">
        <v>156</v>
      </c>
      <c r="P196" s="429" t="s">
        <v>120</v>
      </c>
      <c r="Q196" s="429" t="s">
        <v>71</v>
      </c>
      <c r="R196" s="430" t="s">
        <v>103</v>
      </c>
    </row>
    <row r="197" spans="1:18" s="15" customFormat="1" ht="21" customHeight="1" x14ac:dyDescent="0.15">
      <c r="A197" s="324"/>
      <c r="B197" s="441"/>
      <c r="C197" s="302"/>
      <c r="D197" s="264"/>
      <c r="E197" s="265"/>
      <c r="F197" s="310"/>
      <c r="G197" s="375"/>
      <c r="H197" s="375"/>
      <c r="I197" s="407"/>
      <c r="J197" s="407"/>
      <c r="K197" s="57">
        <v>84.727000000000004</v>
      </c>
      <c r="L197" s="18">
        <v>84</v>
      </c>
      <c r="M197" s="378"/>
      <c r="N197" s="379"/>
      <c r="O197" s="422"/>
      <c r="P197" s="422"/>
      <c r="Q197" s="422"/>
      <c r="R197" s="422"/>
    </row>
    <row r="198" spans="1:18" s="15" customFormat="1" ht="21" customHeight="1" x14ac:dyDescent="0.15">
      <c r="A198" s="324"/>
      <c r="B198" s="441"/>
      <c r="C198" s="302"/>
      <c r="D198" s="264"/>
      <c r="E198" s="265"/>
      <c r="F198" s="310"/>
      <c r="G198" s="375"/>
      <c r="H198" s="375"/>
      <c r="I198" s="407"/>
      <c r="J198" s="407"/>
      <c r="K198" s="57">
        <v>84.731300000000005</v>
      </c>
      <c r="L198" s="18">
        <v>169</v>
      </c>
      <c r="M198" s="378"/>
      <c r="N198" s="379"/>
      <c r="O198" s="422"/>
      <c r="P198" s="422"/>
      <c r="Q198" s="422"/>
      <c r="R198" s="422"/>
    </row>
    <row r="199" spans="1:18" s="15" customFormat="1" ht="21" customHeight="1" x14ac:dyDescent="0.15">
      <c r="A199" s="324"/>
      <c r="B199" s="441"/>
      <c r="C199" s="302"/>
      <c r="D199" s="264"/>
      <c r="E199" s="265"/>
      <c r="F199" s="310"/>
      <c r="G199" s="375"/>
      <c r="H199" s="375"/>
      <c r="I199" s="407"/>
      <c r="J199" s="407"/>
      <c r="K199" s="57">
        <v>84.924499999999995</v>
      </c>
      <c r="L199" s="18">
        <v>84</v>
      </c>
      <c r="M199" s="378"/>
      <c r="N199" s="379"/>
      <c r="O199" s="422"/>
      <c r="P199" s="422"/>
      <c r="Q199" s="422"/>
      <c r="R199" s="422"/>
    </row>
    <row r="200" spans="1:18" s="15" customFormat="1" ht="21" customHeight="1" x14ac:dyDescent="0.15">
      <c r="A200" s="324"/>
      <c r="B200" s="441"/>
      <c r="C200" s="302"/>
      <c r="D200" s="264"/>
      <c r="E200" s="265"/>
      <c r="F200" s="310"/>
      <c r="G200" s="375"/>
      <c r="H200" s="375"/>
      <c r="I200" s="407"/>
      <c r="J200" s="407"/>
      <c r="K200" s="57">
        <v>113.15560000000001</v>
      </c>
      <c r="L200" s="18">
        <v>2</v>
      </c>
      <c r="M200" s="378"/>
      <c r="N200" s="379"/>
      <c r="O200" s="422"/>
      <c r="P200" s="422"/>
      <c r="Q200" s="422"/>
      <c r="R200" s="422"/>
    </row>
    <row r="201" spans="1:18" s="15" customFormat="1" ht="21" customHeight="1" x14ac:dyDescent="0.15">
      <c r="A201" s="324"/>
      <c r="B201" s="441"/>
      <c r="C201" s="302"/>
      <c r="D201" s="264"/>
      <c r="E201" s="265"/>
      <c r="F201" s="310"/>
      <c r="G201" s="410"/>
      <c r="H201" s="410"/>
      <c r="I201" s="411"/>
      <c r="J201" s="411"/>
      <c r="K201" s="57">
        <v>113.15560000000001</v>
      </c>
      <c r="L201" s="18">
        <v>1</v>
      </c>
      <c r="M201" s="260"/>
      <c r="N201" s="261"/>
      <c r="O201" s="422"/>
      <c r="P201" s="422"/>
      <c r="Q201" s="422"/>
      <c r="R201" s="422"/>
    </row>
    <row r="202" spans="1:18" s="15" customFormat="1" ht="21" customHeight="1" x14ac:dyDescent="0.15">
      <c r="A202" s="324"/>
      <c r="B202" s="441"/>
      <c r="C202" s="302"/>
      <c r="D202" s="266"/>
      <c r="E202" s="267"/>
      <c r="F202" s="311"/>
      <c r="G202" s="426" t="s">
        <v>183</v>
      </c>
      <c r="H202" s="427"/>
      <c r="I202" s="427"/>
      <c r="J202" s="427"/>
      <c r="K202" s="428"/>
      <c r="L202" s="50">
        <f>SUM(L196:L201)</f>
        <v>424</v>
      </c>
      <c r="M202" s="241"/>
      <c r="N202" s="242"/>
      <c r="O202" s="423"/>
      <c r="P202" s="423"/>
      <c r="Q202" s="423"/>
      <c r="R202" s="425"/>
    </row>
    <row r="203" spans="1:18" s="15" customFormat="1" ht="21" customHeight="1" x14ac:dyDescent="0.15">
      <c r="A203" s="324"/>
      <c r="B203" s="441"/>
      <c r="C203" s="374" t="s">
        <v>98</v>
      </c>
      <c r="D203" s="365" t="s">
        <v>322</v>
      </c>
      <c r="E203" s="366"/>
      <c r="F203" s="367"/>
      <c r="G203" s="374" t="s">
        <v>10</v>
      </c>
      <c r="H203" s="374" t="s">
        <v>402</v>
      </c>
      <c r="I203" s="406" t="s">
        <v>189</v>
      </c>
      <c r="J203" s="406" t="s">
        <v>174</v>
      </c>
      <c r="K203" s="51">
        <v>84.998500000000007</v>
      </c>
      <c r="L203" s="13">
        <v>227</v>
      </c>
      <c r="M203" s="258" t="s">
        <v>416</v>
      </c>
      <c r="N203" s="259"/>
      <c r="O203" s="380" t="s">
        <v>125</v>
      </c>
      <c r="P203" s="380" t="s">
        <v>258</v>
      </c>
      <c r="Q203" s="380" t="s">
        <v>398</v>
      </c>
      <c r="R203" s="380" t="s">
        <v>103</v>
      </c>
    </row>
    <row r="204" spans="1:18" s="15" customFormat="1" ht="21" customHeight="1" x14ac:dyDescent="0.15">
      <c r="A204" s="324"/>
      <c r="B204" s="441"/>
      <c r="C204" s="375"/>
      <c r="D204" s="368"/>
      <c r="E204" s="369"/>
      <c r="F204" s="370"/>
      <c r="G204" s="375"/>
      <c r="H204" s="375"/>
      <c r="I204" s="407"/>
      <c r="J204" s="407"/>
      <c r="K204" s="51">
        <v>84.969300000000004</v>
      </c>
      <c r="L204" s="13">
        <v>77</v>
      </c>
      <c r="M204" s="378"/>
      <c r="N204" s="379"/>
      <c r="O204" s="381"/>
      <c r="P204" s="381"/>
      <c r="Q204" s="381"/>
      <c r="R204" s="381"/>
    </row>
    <row r="205" spans="1:18" s="15" customFormat="1" ht="21" customHeight="1" x14ac:dyDescent="0.15">
      <c r="A205" s="324"/>
      <c r="B205" s="441"/>
      <c r="C205" s="375"/>
      <c r="D205" s="368"/>
      <c r="E205" s="369"/>
      <c r="F205" s="370"/>
      <c r="G205" s="375"/>
      <c r="H205" s="375"/>
      <c r="I205" s="407"/>
      <c r="J205" s="407"/>
      <c r="K205" s="51">
        <v>84.993200000000002</v>
      </c>
      <c r="L205" s="13">
        <v>94</v>
      </c>
      <c r="M205" s="378"/>
      <c r="N205" s="379"/>
      <c r="O205" s="381"/>
      <c r="P205" s="381"/>
      <c r="Q205" s="381"/>
      <c r="R205" s="381"/>
    </row>
    <row r="206" spans="1:18" s="15" customFormat="1" ht="21" customHeight="1" x14ac:dyDescent="0.15">
      <c r="A206" s="324"/>
      <c r="B206" s="441"/>
      <c r="C206" s="375"/>
      <c r="D206" s="368"/>
      <c r="E206" s="369"/>
      <c r="F206" s="370"/>
      <c r="G206" s="375"/>
      <c r="H206" s="375"/>
      <c r="I206" s="407"/>
      <c r="J206" s="407"/>
      <c r="K206" s="53">
        <v>84.955600000000004</v>
      </c>
      <c r="L206" s="13">
        <v>49</v>
      </c>
      <c r="M206" s="378"/>
      <c r="N206" s="379"/>
      <c r="O206" s="381"/>
      <c r="P206" s="381"/>
      <c r="Q206" s="381"/>
      <c r="R206" s="381"/>
    </row>
    <row r="207" spans="1:18" s="15" customFormat="1" ht="21" customHeight="1" x14ac:dyDescent="0.15">
      <c r="A207" s="324"/>
      <c r="B207" s="441"/>
      <c r="C207" s="375"/>
      <c r="D207" s="368"/>
      <c r="E207" s="369"/>
      <c r="F207" s="370"/>
      <c r="G207" s="410"/>
      <c r="H207" s="410"/>
      <c r="I207" s="411"/>
      <c r="J207" s="411"/>
      <c r="K207" s="53">
        <v>101.9807</v>
      </c>
      <c r="L207" s="13">
        <v>73</v>
      </c>
      <c r="M207" s="260"/>
      <c r="N207" s="261"/>
      <c r="O207" s="381"/>
      <c r="P207" s="381"/>
      <c r="Q207" s="381"/>
      <c r="R207" s="381"/>
    </row>
    <row r="208" spans="1:18" s="15" customFormat="1" ht="21" customHeight="1" x14ac:dyDescent="0.15">
      <c r="A208" s="324"/>
      <c r="B208" s="441"/>
      <c r="C208" s="410"/>
      <c r="D208" s="371"/>
      <c r="E208" s="372"/>
      <c r="F208" s="373"/>
      <c r="G208" s="426" t="s">
        <v>183</v>
      </c>
      <c r="H208" s="427"/>
      <c r="I208" s="427"/>
      <c r="J208" s="427"/>
      <c r="K208" s="428"/>
      <c r="L208" s="14">
        <f>SUM(L203:L207)</f>
        <v>520</v>
      </c>
      <c r="M208" s="241"/>
      <c r="N208" s="242"/>
      <c r="O208" s="382"/>
      <c r="P208" s="382"/>
      <c r="Q208" s="382"/>
      <c r="R208" s="382"/>
    </row>
    <row r="209" spans="1:18" s="15" customFormat="1" ht="21" customHeight="1" x14ac:dyDescent="0.15">
      <c r="A209" s="324"/>
      <c r="B209" s="441"/>
      <c r="C209" s="374" t="s">
        <v>87</v>
      </c>
      <c r="D209" s="365" t="s">
        <v>218</v>
      </c>
      <c r="E209" s="366"/>
      <c r="F209" s="367"/>
      <c r="G209" s="374" t="s">
        <v>19</v>
      </c>
      <c r="H209" s="374" t="s">
        <v>408</v>
      </c>
      <c r="I209" s="406" t="s">
        <v>189</v>
      </c>
      <c r="J209" s="406" t="s">
        <v>174</v>
      </c>
      <c r="K209" s="51">
        <v>63.2425</v>
      </c>
      <c r="L209" s="13">
        <v>43</v>
      </c>
      <c r="M209" s="258" t="s">
        <v>416</v>
      </c>
      <c r="N209" s="259"/>
      <c r="O209" s="429" t="s">
        <v>151</v>
      </c>
      <c r="P209" s="429" t="s">
        <v>149</v>
      </c>
      <c r="Q209" s="421" t="s">
        <v>417</v>
      </c>
      <c r="R209" s="424" t="s">
        <v>442</v>
      </c>
    </row>
    <row r="210" spans="1:18" s="15" customFormat="1" ht="21" customHeight="1" x14ac:dyDescent="0.15">
      <c r="A210" s="324"/>
      <c r="B210" s="441"/>
      <c r="C210" s="375"/>
      <c r="D210" s="368"/>
      <c r="E210" s="369"/>
      <c r="F210" s="370"/>
      <c r="G210" s="375"/>
      <c r="H210" s="375"/>
      <c r="I210" s="407"/>
      <c r="J210" s="407"/>
      <c r="K210" s="51">
        <v>77.723399999999998</v>
      </c>
      <c r="L210" s="13">
        <v>41</v>
      </c>
      <c r="M210" s="378"/>
      <c r="N210" s="379"/>
      <c r="O210" s="422"/>
      <c r="P210" s="422"/>
      <c r="Q210" s="422"/>
      <c r="R210" s="422"/>
    </row>
    <row r="211" spans="1:18" s="15" customFormat="1" ht="21" customHeight="1" x14ac:dyDescent="0.15">
      <c r="A211" s="324"/>
      <c r="B211" s="441"/>
      <c r="C211" s="375"/>
      <c r="D211" s="368"/>
      <c r="E211" s="369"/>
      <c r="F211" s="370"/>
      <c r="G211" s="375"/>
      <c r="H211" s="375"/>
      <c r="I211" s="407"/>
      <c r="J211" s="407"/>
      <c r="K211" s="51">
        <v>84.966499999999996</v>
      </c>
      <c r="L211" s="13">
        <v>40</v>
      </c>
      <c r="M211" s="378"/>
      <c r="N211" s="379"/>
      <c r="O211" s="422"/>
      <c r="P211" s="422"/>
      <c r="Q211" s="422"/>
      <c r="R211" s="422"/>
    </row>
    <row r="212" spans="1:18" s="15" customFormat="1" ht="21" customHeight="1" x14ac:dyDescent="0.15">
      <c r="A212" s="324"/>
      <c r="B212" s="441"/>
      <c r="C212" s="375"/>
      <c r="D212" s="368"/>
      <c r="E212" s="369"/>
      <c r="F212" s="370"/>
      <c r="G212" s="410"/>
      <c r="H212" s="410"/>
      <c r="I212" s="411"/>
      <c r="J212" s="411"/>
      <c r="K212" s="58">
        <v>84.977000000000004</v>
      </c>
      <c r="L212" s="13">
        <v>12</v>
      </c>
      <c r="M212" s="260"/>
      <c r="N212" s="261"/>
      <c r="O212" s="422"/>
      <c r="P212" s="422"/>
      <c r="Q212" s="422"/>
      <c r="R212" s="422"/>
    </row>
    <row r="213" spans="1:18" s="15" customFormat="1" ht="21" customHeight="1" x14ac:dyDescent="0.15">
      <c r="A213" s="324"/>
      <c r="B213" s="441"/>
      <c r="C213" s="410"/>
      <c r="D213" s="371"/>
      <c r="E213" s="372"/>
      <c r="F213" s="373"/>
      <c r="G213" s="426" t="s">
        <v>183</v>
      </c>
      <c r="H213" s="427"/>
      <c r="I213" s="427"/>
      <c r="J213" s="427"/>
      <c r="K213" s="428"/>
      <c r="L213" s="14">
        <f>SUM(L209:L212)</f>
        <v>136</v>
      </c>
      <c r="M213" s="241"/>
      <c r="N213" s="242"/>
      <c r="O213" s="433"/>
      <c r="P213" s="433"/>
      <c r="Q213" s="433"/>
      <c r="R213" s="434"/>
    </row>
    <row r="214" spans="1:18" s="15" customFormat="1" ht="21" customHeight="1" x14ac:dyDescent="0.15">
      <c r="A214" s="324"/>
      <c r="B214" s="441"/>
      <c r="C214" s="406" t="s">
        <v>58</v>
      </c>
      <c r="D214" s="365" t="s">
        <v>216</v>
      </c>
      <c r="E214" s="263"/>
      <c r="F214" s="309"/>
      <c r="G214" s="374" t="s">
        <v>27</v>
      </c>
      <c r="H214" s="374" t="s">
        <v>199</v>
      </c>
      <c r="I214" s="406" t="s">
        <v>189</v>
      </c>
      <c r="J214" s="406" t="s">
        <v>174</v>
      </c>
      <c r="K214" s="51">
        <v>84.101399999999998</v>
      </c>
      <c r="L214" s="13">
        <v>74</v>
      </c>
      <c r="M214" s="258" t="s">
        <v>416</v>
      </c>
      <c r="N214" s="259"/>
      <c r="O214" s="429" t="s">
        <v>275</v>
      </c>
      <c r="P214" s="429" t="s">
        <v>258</v>
      </c>
      <c r="Q214" s="429" t="s">
        <v>379</v>
      </c>
      <c r="R214" s="430" t="s">
        <v>103</v>
      </c>
    </row>
    <row r="215" spans="1:18" s="15" customFormat="1" ht="21" customHeight="1" x14ac:dyDescent="0.15">
      <c r="A215" s="324"/>
      <c r="B215" s="441"/>
      <c r="C215" s="156"/>
      <c r="D215" s="264"/>
      <c r="E215" s="432"/>
      <c r="F215" s="310"/>
      <c r="G215" s="375"/>
      <c r="H215" s="375"/>
      <c r="I215" s="407"/>
      <c r="J215" s="407"/>
      <c r="K215" s="51">
        <v>108.47490000000001</v>
      </c>
      <c r="L215" s="13">
        <v>76</v>
      </c>
      <c r="M215" s="378"/>
      <c r="N215" s="379"/>
      <c r="O215" s="422"/>
      <c r="P215" s="422"/>
      <c r="Q215" s="422"/>
      <c r="R215" s="422"/>
    </row>
    <row r="216" spans="1:18" s="15" customFormat="1" ht="21" customHeight="1" x14ac:dyDescent="0.15">
      <c r="A216" s="324"/>
      <c r="B216" s="441"/>
      <c r="C216" s="156"/>
      <c r="D216" s="264"/>
      <c r="E216" s="432"/>
      <c r="F216" s="310"/>
      <c r="G216" s="410"/>
      <c r="H216" s="410"/>
      <c r="I216" s="411"/>
      <c r="J216" s="411"/>
      <c r="K216" s="51">
        <v>113.5526</v>
      </c>
      <c r="L216" s="13">
        <v>82</v>
      </c>
      <c r="M216" s="260"/>
      <c r="N216" s="261"/>
      <c r="O216" s="422"/>
      <c r="P216" s="422"/>
      <c r="Q216" s="422"/>
      <c r="R216" s="422"/>
    </row>
    <row r="217" spans="1:18" s="15" customFormat="1" ht="21" customHeight="1" x14ac:dyDescent="0.15">
      <c r="A217" s="324"/>
      <c r="B217" s="441"/>
      <c r="C217" s="157"/>
      <c r="D217" s="266"/>
      <c r="E217" s="267"/>
      <c r="F217" s="311"/>
      <c r="G217" s="426" t="s">
        <v>183</v>
      </c>
      <c r="H217" s="427"/>
      <c r="I217" s="427"/>
      <c r="J217" s="427"/>
      <c r="K217" s="428"/>
      <c r="L217" s="14">
        <f>SUM(L214:L216)</f>
        <v>232</v>
      </c>
      <c r="M217" s="241"/>
      <c r="N217" s="242"/>
      <c r="O217" s="423"/>
      <c r="P217" s="423"/>
      <c r="Q217" s="423"/>
      <c r="R217" s="425"/>
    </row>
    <row r="218" spans="1:18" s="15" customFormat="1" ht="21" customHeight="1" x14ac:dyDescent="0.15">
      <c r="A218" s="324"/>
      <c r="B218" s="441"/>
      <c r="C218" s="374" t="s">
        <v>58</v>
      </c>
      <c r="D218" s="365" t="s">
        <v>215</v>
      </c>
      <c r="E218" s="366"/>
      <c r="F218" s="367"/>
      <c r="G218" s="374" t="s">
        <v>2</v>
      </c>
      <c r="H218" s="374" t="s">
        <v>7</v>
      </c>
      <c r="I218" s="406" t="s">
        <v>189</v>
      </c>
      <c r="J218" s="406" t="s">
        <v>174</v>
      </c>
      <c r="K218" s="51">
        <v>84.343500000000006</v>
      </c>
      <c r="L218" s="13">
        <v>78</v>
      </c>
      <c r="M218" s="258" t="s">
        <v>416</v>
      </c>
      <c r="N218" s="259"/>
      <c r="O218" s="429" t="s">
        <v>254</v>
      </c>
      <c r="P218" s="429" t="s">
        <v>253</v>
      </c>
      <c r="Q218" s="429" t="s">
        <v>35</v>
      </c>
      <c r="R218" s="424" t="s">
        <v>475</v>
      </c>
    </row>
    <row r="219" spans="1:18" s="15" customFormat="1" ht="21" customHeight="1" x14ac:dyDescent="0.15">
      <c r="A219" s="324"/>
      <c r="B219" s="441"/>
      <c r="C219" s="375"/>
      <c r="D219" s="368"/>
      <c r="E219" s="369"/>
      <c r="F219" s="370"/>
      <c r="G219" s="375"/>
      <c r="H219" s="375"/>
      <c r="I219" s="407"/>
      <c r="J219" s="407"/>
      <c r="K219" s="51">
        <v>84.599199999999996</v>
      </c>
      <c r="L219" s="13">
        <v>78</v>
      </c>
      <c r="M219" s="378"/>
      <c r="N219" s="379"/>
      <c r="O219" s="422"/>
      <c r="P219" s="422"/>
      <c r="Q219" s="422"/>
      <c r="R219" s="422"/>
    </row>
    <row r="220" spans="1:18" s="15" customFormat="1" ht="21" customHeight="1" x14ac:dyDescent="0.15">
      <c r="A220" s="324"/>
      <c r="B220" s="441"/>
      <c r="C220" s="375"/>
      <c r="D220" s="368"/>
      <c r="E220" s="369"/>
      <c r="F220" s="370"/>
      <c r="G220" s="375"/>
      <c r="H220" s="375"/>
      <c r="I220" s="407"/>
      <c r="J220" s="407"/>
      <c r="K220" s="51">
        <v>84.057400000000001</v>
      </c>
      <c r="L220" s="13">
        <v>39</v>
      </c>
      <c r="M220" s="378"/>
      <c r="N220" s="379"/>
      <c r="O220" s="422"/>
      <c r="P220" s="422"/>
      <c r="Q220" s="422"/>
      <c r="R220" s="422"/>
    </row>
    <row r="221" spans="1:18" s="15" customFormat="1" ht="21" customHeight="1" x14ac:dyDescent="0.15">
      <c r="A221" s="324"/>
      <c r="B221" s="441"/>
      <c r="C221" s="375"/>
      <c r="D221" s="368"/>
      <c r="E221" s="369"/>
      <c r="F221" s="370"/>
      <c r="G221" s="410"/>
      <c r="H221" s="410"/>
      <c r="I221" s="411"/>
      <c r="J221" s="411"/>
      <c r="K221" s="51">
        <v>84.802199999999999</v>
      </c>
      <c r="L221" s="13">
        <v>50</v>
      </c>
      <c r="M221" s="260"/>
      <c r="N221" s="261"/>
      <c r="O221" s="422"/>
      <c r="P221" s="422"/>
      <c r="Q221" s="422"/>
      <c r="R221" s="422"/>
    </row>
    <row r="222" spans="1:18" s="15" customFormat="1" ht="21" customHeight="1" x14ac:dyDescent="0.15">
      <c r="A222" s="324"/>
      <c r="B222" s="441"/>
      <c r="C222" s="410"/>
      <c r="D222" s="371"/>
      <c r="E222" s="372"/>
      <c r="F222" s="373"/>
      <c r="G222" s="426" t="s">
        <v>183</v>
      </c>
      <c r="H222" s="427"/>
      <c r="I222" s="427"/>
      <c r="J222" s="427"/>
      <c r="K222" s="428"/>
      <c r="L222" s="14">
        <f>SUM(L218:L221)</f>
        <v>245</v>
      </c>
      <c r="M222" s="241"/>
      <c r="N222" s="242"/>
      <c r="O222" s="423"/>
      <c r="P222" s="423"/>
      <c r="Q222" s="423"/>
      <c r="R222" s="425"/>
    </row>
    <row r="223" spans="1:18" s="15" customFormat="1" ht="21" customHeight="1" x14ac:dyDescent="0.15">
      <c r="A223" s="324"/>
      <c r="B223" s="441"/>
      <c r="C223" s="374" t="s">
        <v>58</v>
      </c>
      <c r="D223" s="365" t="s">
        <v>214</v>
      </c>
      <c r="E223" s="366"/>
      <c r="F223" s="367"/>
      <c r="G223" s="374" t="s">
        <v>130</v>
      </c>
      <c r="H223" s="374" t="s">
        <v>413</v>
      </c>
      <c r="I223" s="406" t="s">
        <v>189</v>
      </c>
      <c r="J223" s="406" t="s">
        <v>174</v>
      </c>
      <c r="K223" s="51">
        <v>84.985100000000003</v>
      </c>
      <c r="L223" s="13">
        <v>176</v>
      </c>
      <c r="M223" s="258" t="s">
        <v>416</v>
      </c>
      <c r="N223" s="259"/>
      <c r="O223" s="429" t="s">
        <v>264</v>
      </c>
      <c r="P223" s="429" t="s">
        <v>254</v>
      </c>
      <c r="Q223" s="421" t="s">
        <v>417</v>
      </c>
      <c r="R223" s="424" t="s">
        <v>442</v>
      </c>
    </row>
    <row r="224" spans="1:18" s="15" customFormat="1" ht="21" customHeight="1" x14ac:dyDescent="0.15">
      <c r="A224" s="324"/>
      <c r="B224" s="441"/>
      <c r="C224" s="375"/>
      <c r="D224" s="368"/>
      <c r="E224" s="369"/>
      <c r="F224" s="370"/>
      <c r="G224" s="375"/>
      <c r="H224" s="375"/>
      <c r="I224" s="407"/>
      <c r="J224" s="407"/>
      <c r="K224" s="51">
        <v>84.990600000000001</v>
      </c>
      <c r="L224" s="13">
        <v>90</v>
      </c>
      <c r="M224" s="378"/>
      <c r="N224" s="379"/>
      <c r="O224" s="422"/>
      <c r="P224" s="422"/>
      <c r="Q224" s="422"/>
      <c r="R224" s="422"/>
    </row>
    <row r="225" spans="1:18" s="15" customFormat="1" ht="21" customHeight="1" x14ac:dyDescent="0.15">
      <c r="A225" s="324"/>
      <c r="B225" s="441"/>
      <c r="C225" s="375"/>
      <c r="D225" s="368"/>
      <c r="E225" s="369"/>
      <c r="F225" s="370"/>
      <c r="G225" s="375"/>
      <c r="H225" s="375"/>
      <c r="I225" s="407"/>
      <c r="J225" s="407"/>
      <c r="K225" s="51">
        <v>84.992099999999994</v>
      </c>
      <c r="L225" s="13">
        <v>90</v>
      </c>
      <c r="M225" s="378"/>
      <c r="N225" s="379"/>
      <c r="O225" s="422"/>
      <c r="P225" s="422"/>
      <c r="Q225" s="422"/>
      <c r="R225" s="422"/>
    </row>
    <row r="226" spans="1:18" s="15" customFormat="1" ht="21" customHeight="1" x14ac:dyDescent="0.15">
      <c r="A226" s="324"/>
      <c r="B226" s="441"/>
      <c r="C226" s="375"/>
      <c r="D226" s="368"/>
      <c r="E226" s="369"/>
      <c r="F226" s="370"/>
      <c r="G226" s="375"/>
      <c r="H226" s="375"/>
      <c r="I226" s="407"/>
      <c r="J226" s="407"/>
      <c r="K226" s="51">
        <v>84.981499999999997</v>
      </c>
      <c r="L226" s="13">
        <v>45</v>
      </c>
      <c r="M226" s="378"/>
      <c r="N226" s="379"/>
      <c r="O226" s="422"/>
      <c r="P226" s="422"/>
      <c r="Q226" s="422"/>
      <c r="R226" s="422"/>
    </row>
    <row r="227" spans="1:18" s="15" customFormat="1" ht="21" customHeight="1" x14ac:dyDescent="0.15">
      <c r="A227" s="324"/>
      <c r="B227" s="441"/>
      <c r="C227" s="375"/>
      <c r="D227" s="368"/>
      <c r="E227" s="369"/>
      <c r="F227" s="370"/>
      <c r="G227" s="375"/>
      <c r="H227" s="375"/>
      <c r="I227" s="407"/>
      <c r="J227" s="407"/>
      <c r="K227" s="51">
        <v>84.982100000000003</v>
      </c>
      <c r="L227" s="13">
        <v>86</v>
      </c>
      <c r="M227" s="378"/>
      <c r="N227" s="379"/>
      <c r="O227" s="422"/>
      <c r="P227" s="422"/>
      <c r="Q227" s="422"/>
      <c r="R227" s="422"/>
    </row>
    <row r="228" spans="1:18" s="15" customFormat="1" ht="21" customHeight="1" x14ac:dyDescent="0.15">
      <c r="A228" s="324"/>
      <c r="B228" s="441"/>
      <c r="C228" s="375"/>
      <c r="D228" s="368"/>
      <c r="E228" s="369"/>
      <c r="F228" s="370"/>
      <c r="G228" s="375"/>
      <c r="H228" s="375"/>
      <c r="I228" s="407"/>
      <c r="J228" s="407"/>
      <c r="K228" s="51">
        <v>84.987099999999998</v>
      </c>
      <c r="L228" s="13">
        <v>45</v>
      </c>
      <c r="M228" s="378"/>
      <c r="N228" s="379"/>
      <c r="O228" s="422"/>
      <c r="P228" s="422"/>
      <c r="Q228" s="422"/>
      <c r="R228" s="422"/>
    </row>
    <row r="229" spans="1:18" s="15" customFormat="1" ht="21" customHeight="1" x14ac:dyDescent="0.15">
      <c r="A229" s="324"/>
      <c r="B229" s="441"/>
      <c r="C229" s="375"/>
      <c r="D229" s="368"/>
      <c r="E229" s="369"/>
      <c r="F229" s="370"/>
      <c r="G229" s="410"/>
      <c r="H229" s="410"/>
      <c r="I229" s="411"/>
      <c r="J229" s="411"/>
      <c r="K229" s="51">
        <v>84.9983</v>
      </c>
      <c r="L229" s="13">
        <v>45</v>
      </c>
      <c r="M229" s="260"/>
      <c r="N229" s="261"/>
      <c r="O229" s="422"/>
      <c r="P229" s="422"/>
      <c r="Q229" s="422"/>
      <c r="R229" s="422"/>
    </row>
    <row r="230" spans="1:18" s="15" customFormat="1" ht="21" customHeight="1" x14ac:dyDescent="0.15">
      <c r="A230" s="324"/>
      <c r="B230" s="441"/>
      <c r="C230" s="410"/>
      <c r="D230" s="371"/>
      <c r="E230" s="372"/>
      <c r="F230" s="373"/>
      <c r="G230" s="426" t="s">
        <v>183</v>
      </c>
      <c r="H230" s="427"/>
      <c r="I230" s="427"/>
      <c r="J230" s="427"/>
      <c r="K230" s="428"/>
      <c r="L230" s="14">
        <f>SUM(L223:L229)</f>
        <v>577</v>
      </c>
      <c r="M230" s="241"/>
      <c r="N230" s="242"/>
      <c r="O230" s="423"/>
      <c r="P230" s="423"/>
      <c r="Q230" s="423"/>
      <c r="R230" s="425"/>
    </row>
    <row r="231" spans="1:18" s="15" customFormat="1" ht="21" customHeight="1" x14ac:dyDescent="0.15">
      <c r="A231" s="324"/>
      <c r="B231" s="441"/>
      <c r="C231" s="374" t="s">
        <v>159</v>
      </c>
      <c r="D231" s="365" t="s">
        <v>310</v>
      </c>
      <c r="E231" s="366"/>
      <c r="F231" s="367"/>
      <c r="G231" s="374" t="s">
        <v>3</v>
      </c>
      <c r="H231" s="374" t="s">
        <v>4</v>
      </c>
      <c r="I231" s="406" t="s">
        <v>189</v>
      </c>
      <c r="J231" s="406" t="s">
        <v>174</v>
      </c>
      <c r="K231" s="51">
        <v>84.995099999999994</v>
      </c>
      <c r="L231" s="13">
        <v>436</v>
      </c>
      <c r="M231" s="258" t="s">
        <v>416</v>
      </c>
      <c r="N231" s="259"/>
      <c r="O231" s="429" t="s">
        <v>266</v>
      </c>
      <c r="P231" s="429" t="s">
        <v>271</v>
      </c>
      <c r="Q231" s="429" t="s">
        <v>53</v>
      </c>
      <c r="R231" s="430" t="s">
        <v>167</v>
      </c>
    </row>
    <row r="232" spans="1:18" s="15" customFormat="1" ht="21" customHeight="1" x14ac:dyDescent="0.15">
      <c r="A232" s="324"/>
      <c r="B232" s="441"/>
      <c r="C232" s="375"/>
      <c r="D232" s="368"/>
      <c r="E232" s="369"/>
      <c r="F232" s="370"/>
      <c r="G232" s="375"/>
      <c r="H232" s="375"/>
      <c r="I232" s="407"/>
      <c r="J232" s="407"/>
      <c r="K232" s="51">
        <v>84.999200000000002</v>
      </c>
      <c r="L232" s="13">
        <v>242</v>
      </c>
      <c r="M232" s="378"/>
      <c r="N232" s="379"/>
      <c r="O232" s="422"/>
      <c r="P232" s="422"/>
      <c r="Q232" s="422"/>
      <c r="R232" s="422"/>
    </row>
    <row r="233" spans="1:18" s="15" customFormat="1" ht="21" customHeight="1" x14ac:dyDescent="0.15">
      <c r="A233" s="324"/>
      <c r="B233" s="441"/>
      <c r="C233" s="375"/>
      <c r="D233" s="368"/>
      <c r="E233" s="369"/>
      <c r="F233" s="370"/>
      <c r="G233" s="375"/>
      <c r="H233" s="375"/>
      <c r="I233" s="407"/>
      <c r="J233" s="407"/>
      <c r="K233" s="51">
        <v>84.993899999999996</v>
      </c>
      <c r="L233" s="13">
        <v>167</v>
      </c>
      <c r="M233" s="378"/>
      <c r="N233" s="379"/>
      <c r="O233" s="422"/>
      <c r="P233" s="422"/>
      <c r="Q233" s="422"/>
      <c r="R233" s="422"/>
    </row>
    <row r="234" spans="1:18" s="15" customFormat="1" ht="21" customHeight="1" x14ac:dyDescent="0.15">
      <c r="A234" s="324"/>
      <c r="B234" s="441"/>
      <c r="C234" s="375"/>
      <c r="D234" s="368"/>
      <c r="E234" s="369"/>
      <c r="F234" s="370"/>
      <c r="G234" s="375"/>
      <c r="H234" s="375"/>
      <c r="I234" s="407"/>
      <c r="J234" s="407"/>
      <c r="K234" s="51">
        <v>115.9933</v>
      </c>
      <c r="L234" s="13">
        <v>212</v>
      </c>
      <c r="M234" s="378"/>
      <c r="N234" s="379"/>
      <c r="O234" s="422"/>
      <c r="P234" s="422"/>
      <c r="Q234" s="422"/>
      <c r="R234" s="422"/>
    </row>
    <row r="235" spans="1:18" s="15" customFormat="1" ht="21" customHeight="1" x14ac:dyDescent="0.15">
      <c r="A235" s="324"/>
      <c r="B235" s="441"/>
      <c r="C235" s="375"/>
      <c r="D235" s="368"/>
      <c r="E235" s="369"/>
      <c r="F235" s="370"/>
      <c r="G235" s="375"/>
      <c r="H235" s="375"/>
      <c r="I235" s="407"/>
      <c r="J235" s="407"/>
      <c r="K235" s="51">
        <v>143.9932</v>
      </c>
      <c r="L235" s="13">
        <v>38</v>
      </c>
      <c r="M235" s="378"/>
      <c r="N235" s="379"/>
      <c r="O235" s="422"/>
      <c r="P235" s="422"/>
      <c r="Q235" s="422"/>
      <c r="R235" s="422"/>
    </row>
    <row r="236" spans="1:18" s="15" customFormat="1" ht="21" customHeight="1" x14ac:dyDescent="0.15">
      <c r="A236" s="324"/>
      <c r="B236" s="441"/>
      <c r="C236" s="375"/>
      <c r="D236" s="368"/>
      <c r="E236" s="369"/>
      <c r="F236" s="370"/>
      <c r="G236" s="375"/>
      <c r="H236" s="375"/>
      <c r="I236" s="407"/>
      <c r="J236" s="407"/>
      <c r="K236" s="106">
        <v>191.65190000000001</v>
      </c>
      <c r="L236" s="34">
        <v>3</v>
      </c>
      <c r="M236" s="260"/>
      <c r="N236" s="261"/>
      <c r="O236" s="422"/>
      <c r="P236" s="422"/>
      <c r="Q236" s="422"/>
      <c r="R236" s="422"/>
    </row>
    <row r="237" spans="1:18" s="15" customFormat="1" ht="21" customHeight="1" x14ac:dyDescent="0.15">
      <c r="A237" s="324"/>
      <c r="B237" s="442"/>
      <c r="C237" s="410"/>
      <c r="D237" s="371"/>
      <c r="E237" s="372"/>
      <c r="F237" s="373"/>
      <c r="G237" s="431" t="s">
        <v>183</v>
      </c>
      <c r="H237" s="431"/>
      <c r="I237" s="431"/>
      <c r="J237" s="431"/>
      <c r="K237" s="431"/>
      <c r="L237" s="50">
        <f>SUM(L231:L236)</f>
        <v>1098</v>
      </c>
      <c r="M237" s="241"/>
      <c r="N237" s="242"/>
      <c r="O237" s="423"/>
      <c r="P237" s="423"/>
      <c r="Q237" s="423"/>
      <c r="R237" s="425"/>
    </row>
    <row r="238" spans="1:18" s="4" customFormat="1" ht="21" customHeight="1" x14ac:dyDescent="0.15">
      <c r="A238" s="324"/>
      <c r="B238" s="243" t="s">
        <v>405</v>
      </c>
      <c r="C238" s="244"/>
      <c r="D238" s="244"/>
      <c r="E238" s="244"/>
      <c r="F238" s="244"/>
      <c r="G238" s="244"/>
      <c r="H238" s="244"/>
      <c r="I238" s="244"/>
      <c r="J238" s="244"/>
      <c r="K238" s="245"/>
      <c r="L238" s="59">
        <f>SUM(L237,L230,L222,L217,L213,L208,L202,L195,L190,L186)</f>
        <v>4391</v>
      </c>
      <c r="M238" s="5">
        <v>769</v>
      </c>
      <c r="N238" s="59">
        <v>701</v>
      </c>
      <c r="O238" s="6"/>
      <c r="P238" s="6"/>
      <c r="Q238" s="12"/>
      <c r="R238" s="12"/>
    </row>
    <row r="239" spans="1:18" s="4" customFormat="1" ht="21" customHeight="1" x14ac:dyDescent="0.15">
      <c r="A239" s="324"/>
      <c r="B239" s="408" t="s">
        <v>86</v>
      </c>
      <c r="C239" s="374" t="s">
        <v>101</v>
      </c>
      <c r="D239" s="365" t="s">
        <v>315</v>
      </c>
      <c r="E239" s="366"/>
      <c r="F239" s="367"/>
      <c r="G239" s="374" t="s">
        <v>380</v>
      </c>
      <c r="H239" s="374" t="s">
        <v>56</v>
      </c>
      <c r="I239" s="406" t="s">
        <v>189</v>
      </c>
      <c r="J239" s="406" t="s">
        <v>174</v>
      </c>
      <c r="K239" s="49" t="s">
        <v>65</v>
      </c>
      <c r="L239" s="18">
        <v>81</v>
      </c>
      <c r="M239" s="303" t="s">
        <v>416</v>
      </c>
      <c r="N239" s="304"/>
      <c r="O239" s="395" t="s">
        <v>14</v>
      </c>
      <c r="P239" s="395" t="s">
        <v>261</v>
      </c>
      <c r="Q239" s="395" t="s">
        <v>384</v>
      </c>
      <c r="R239" s="395" t="s">
        <v>103</v>
      </c>
    </row>
    <row r="240" spans="1:18" ht="21" customHeight="1" x14ac:dyDescent="0.15">
      <c r="A240" s="324"/>
      <c r="B240" s="408"/>
      <c r="C240" s="375"/>
      <c r="D240" s="368"/>
      <c r="E240" s="369"/>
      <c r="F240" s="370"/>
      <c r="G240" s="375"/>
      <c r="H240" s="375"/>
      <c r="I240" s="407"/>
      <c r="J240" s="407"/>
      <c r="K240" s="49" t="s">
        <v>47</v>
      </c>
      <c r="L240" s="18">
        <v>3</v>
      </c>
      <c r="M240" s="412"/>
      <c r="N240" s="413"/>
      <c r="O240" s="396"/>
      <c r="P240" s="396"/>
      <c r="Q240" s="396"/>
      <c r="R240" s="396"/>
    </row>
    <row r="241" spans="1:18" ht="21" customHeight="1" x14ac:dyDescent="0.15">
      <c r="A241" s="324"/>
      <c r="B241" s="408"/>
      <c r="C241" s="375"/>
      <c r="D241" s="368"/>
      <c r="E241" s="369"/>
      <c r="F241" s="370"/>
      <c r="G241" s="375"/>
      <c r="H241" s="375"/>
      <c r="I241" s="407"/>
      <c r="J241" s="407"/>
      <c r="K241" s="49" t="s">
        <v>62</v>
      </c>
      <c r="L241" s="18">
        <v>57</v>
      </c>
      <c r="M241" s="412"/>
      <c r="N241" s="413"/>
      <c r="O241" s="396"/>
      <c r="P241" s="396"/>
      <c r="Q241" s="396"/>
      <c r="R241" s="396"/>
    </row>
    <row r="242" spans="1:18" ht="21" customHeight="1" x14ac:dyDescent="0.15">
      <c r="A242" s="324"/>
      <c r="B242" s="408"/>
      <c r="C242" s="375"/>
      <c r="D242" s="368"/>
      <c r="E242" s="369"/>
      <c r="F242" s="370"/>
      <c r="G242" s="410"/>
      <c r="H242" s="410"/>
      <c r="I242" s="411"/>
      <c r="J242" s="411"/>
      <c r="K242" s="49" t="s">
        <v>44</v>
      </c>
      <c r="L242" s="18">
        <v>2</v>
      </c>
      <c r="M242" s="305"/>
      <c r="N242" s="306"/>
      <c r="O242" s="396"/>
      <c r="P242" s="396"/>
      <c r="Q242" s="396"/>
      <c r="R242" s="396"/>
    </row>
    <row r="243" spans="1:18" s="4" customFormat="1" ht="24.75" customHeight="1" x14ac:dyDescent="0.15">
      <c r="A243" s="324"/>
      <c r="B243" s="408"/>
      <c r="C243" s="410"/>
      <c r="D243" s="371"/>
      <c r="E243" s="372"/>
      <c r="F243" s="373"/>
      <c r="G243" s="147" t="s">
        <v>34</v>
      </c>
      <c r="H243" s="177"/>
      <c r="I243" s="177"/>
      <c r="J243" s="177"/>
      <c r="K243" s="154"/>
      <c r="L243" s="50">
        <f>SUM(L239:L242)</f>
        <v>143</v>
      </c>
      <c r="M243" s="241"/>
      <c r="N243" s="242"/>
      <c r="O243" s="397"/>
      <c r="P243" s="397"/>
      <c r="Q243" s="397"/>
      <c r="R243" s="397"/>
    </row>
    <row r="244" spans="1:18" s="4" customFormat="1" ht="21" customHeight="1" x14ac:dyDescent="0.15">
      <c r="A244" s="324"/>
      <c r="B244" s="408"/>
      <c r="C244" s="374" t="s">
        <v>77</v>
      </c>
      <c r="D244" s="247" t="s">
        <v>295</v>
      </c>
      <c r="E244" s="248"/>
      <c r="F244" s="249"/>
      <c r="G244" s="374" t="s">
        <v>366</v>
      </c>
      <c r="H244" s="374" t="s">
        <v>22</v>
      </c>
      <c r="I244" s="406" t="s">
        <v>189</v>
      </c>
      <c r="J244" s="406" t="s">
        <v>174</v>
      </c>
      <c r="K244" s="49">
        <v>84.974000000000004</v>
      </c>
      <c r="L244" s="18">
        <v>364</v>
      </c>
      <c r="M244" s="13">
        <v>1</v>
      </c>
      <c r="N244" s="18">
        <v>1</v>
      </c>
      <c r="O244" s="395" t="s">
        <v>244</v>
      </c>
      <c r="P244" s="395" t="s">
        <v>118</v>
      </c>
      <c r="Q244" s="395" t="s">
        <v>45</v>
      </c>
      <c r="R244" s="395" t="s">
        <v>103</v>
      </c>
    </row>
    <row r="245" spans="1:18" ht="21" customHeight="1" x14ac:dyDescent="0.15">
      <c r="A245" s="324"/>
      <c r="B245" s="408"/>
      <c r="C245" s="375"/>
      <c r="D245" s="250"/>
      <c r="E245" s="251"/>
      <c r="F245" s="252"/>
      <c r="G245" s="375"/>
      <c r="H245" s="375"/>
      <c r="I245" s="407"/>
      <c r="J245" s="407"/>
      <c r="K245" s="49">
        <v>84.668599999999998</v>
      </c>
      <c r="L245" s="18">
        <v>112</v>
      </c>
      <c r="M245" s="13">
        <v>0</v>
      </c>
      <c r="N245" s="18">
        <v>0</v>
      </c>
      <c r="O245" s="396"/>
      <c r="P245" s="396"/>
      <c r="Q245" s="396"/>
      <c r="R245" s="396"/>
    </row>
    <row r="246" spans="1:18" ht="21" customHeight="1" x14ac:dyDescent="0.15">
      <c r="A246" s="324"/>
      <c r="B246" s="408"/>
      <c r="C246" s="375"/>
      <c r="D246" s="250"/>
      <c r="E246" s="251"/>
      <c r="F246" s="252"/>
      <c r="G246" s="375"/>
      <c r="H246" s="375"/>
      <c r="I246" s="407"/>
      <c r="J246" s="407"/>
      <c r="K246" s="49">
        <v>112.10720000000001</v>
      </c>
      <c r="L246" s="18">
        <v>112</v>
      </c>
      <c r="M246" s="13">
        <v>0</v>
      </c>
      <c r="N246" s="18">
        <v>0</v>
      </c>
      <c r="O246" s="396"/>
      <c r="P246" s="396"/>
      <c r="Q246" s="396"/>
      <c r="R246" s="396"/>
    </row>
    <row r="247" spans="1:18" s="4" customFormat="1" ht="24.75" customHeight="1" x14ac:dyDescent="0.15">
      <c r="A247" s="324"/>
      <c r="B247" s="408"/>
      <c r="C247" s="410"/>
      <c r="D247" s="253"/>
      <c r="E247" s="254"/>
      <c r="F247" s="255"/>
      <c r="G247" s="394" t="s">
        <v>34</v>
      </c>
      <c r="H247" s="394"/>
      <c r="I247" s="394"/>
      <c r="J247" s="394"/>
      <c r="K247" s="394"/>
      <c r="L247" s="50">
        <v>588</v>
      </c>
      <c r="M247" s="60">
        <f>SUM(M244:M246)</f>
        <v>1</v>
      </c>
      <c r="N247" s="60">
        <f>SUM(N244:N246)</f>
        <v>1</v>
      </c>
      <c r="O247" s="397"/>
      <c r="P247" s="397"/>
      <c r="Q247" s="397"/>
      <c r="R247" s="397"/>
    </row>
    <row r="248" spans="1:18" s="8" customFormat="1" ht="24.75" customHeight="1" x14ac:dyDescent="0.15">
      <c r="A248" s="324"/>
      <c r="B248" s="408"/>
      <c r="C248" s="362" t="s">
        <v>77</v>
      </c>
      <c r="D248" s="247" t="s">
        <v>286</v>
      </c>
      <c r="E248" s="248"/>
      <c r="F248" s="249"/>
      <c r="G248" s="374" t="s">
        <v>64</v>
      </c>
      <c r="H248" s="374" t="s">
        <v>41</v>
      </c>
      <c r="I248" s="406" t="s">
        <v>189</v>
      </c>
      <c r="J248" s="406" t="s">
        <v>174</v>
      </c>
      <c r="K248" s="49">
        <v>75.729699999999994</v>
      </c>
      <c r="L248" s="18">
        <v>84</v>
      </c>
      <c r="M248" s="414" t="s">
        <v>416</v>
      </c>
      <c r="N248" s="415"/>
      <c r="O248" s="395" t="s">
        <v>256</v>
      </c>
      <c r="P248" s="395" t="s">
        <v>251</v>
      </c>
      <c r="Q248" s="395" t="s">
        <v>70</v>
      </c>
      <c r="R248" s="395" t="s">
        <v>103</v>
      </c>
    </row>
    <row r="249" spans="1:18" s="8" customFormat="1" ht="24.75" customHeight="1" x14ac:dyDescent="0.15">
      <c r="A249" s="324"/>
      <c r="B249" s="408"/>
      <c r="C249" s="363"/>
      <c r="D249" s="250"/>
      <c r="E249" s="251"/>
      <c r="F249" s="252"/>
      <c r="G249" s="375"/>
      <c r="H249" s="375"/>
      <c r="I249" s="407"/>
      <c r="J249" s="407"/>
      <c r="K249" s="49">
        <v>84.777199999999993</v>
      </c>
      <c r="L249" s="18">
        <v>182</v>
      </c>
      <c r="M249" s="416"/>
      <c r="N249" s="417"/>
      <c r="O249" s="396"/>
      <c r="P249" s="396"/>
      <c r="Q249" s="396"/>
      <c r="R249" s="396"/>
    </row>
    <row r="250" spans="1:18" s="8" customFormat="1" ht="24.75" customHeight="1" x14ac:dyDescent="0.15">
      <c r="A250" s="324"/>
      <c r="B250" s="408"/>
      <c r="C250" s="364"/>
      <c r="D250" s="253"/>
      <c r="E250" s="254"/>
      <c r="F250" s="255"/>
      <c r="G250" s="394" t="s">
        <v>34</v>
      </c>
      <c r="H250" s="394"/>
      <c r="I250" s="394"/>
      <c r="J250" s="394"/>
      <c r="K250" s="394"/>
      <c r="L250" s="50">
        <f>SUM(L248:L249)</f>
        <v>266</v>
      </c>
      <c r="M250" s="241"/>
      <c r="N250" s="242"/>
      <c r="O250" s="397"/>
      <c r="P250" s="397"/>
      <c r="Q250" s="397"/>
      <c r="R250" s="397"/>
    </row>
    <row r="251" spans="1:18" s="8" customFormat="1" ht="24.75" customHeight="1" x14ac:dyDescent="0.15">
      <c r="A251" s="324"/>
      <c r="B251" s="408"/>
      <c r="C251" s="362" t="s">
        <v>48</v>
      </c>
      <c r="D251" s="418" t="s">
        <v>302</v>
      </c>
      <c r="E251" s="418"/>
      <c r="F251" s="418"/>
      <c r="G251" s="268" t="s">
        <v>391</v>
      </c>
      <c r="H251" s="268" t="s">
        <v>40</v>
      </c>
      <c r="I251" s="268" t="s">
        <v>189</v>
      </c>
      <c r="J251" s="268" t="s">
        <v>174</v>
      </c>
      <c r="K251" s="62">
        <v>50.6648</v>
      </c>
      <c r="L251" s="20">
        <v>73</v>
      </c>
      <c r="M251" s="414" t="s">
        <v>416</v>
      </c>
      <c r="N251" s="415"/>
      <c r="O251" s="395" t="s">
        <v>152</v>
      </c>
      <c r="P251" s="398" t="s">
        <v>248</v>
      </c>
      <c r="Q251" s="398" t="s">
        <v>210</v>
      </c>
      <c r="R251" s="395" t="s">
        <v>103</v>
      </c>
    </row>
    <row r="252" spans="1:18" s="8" customFormat="1" ht="24.75" customHeight="1" x14ac:dyDescent="0.15">
      <c r="A252" s="324"/>
      <c r="B252" s="408"/>
      <c r="C252" s="363"/>
      <c r="D252" s="418"/>
      <c r="E252" s="418"/>
      <c r="F252" s="418"/>
      <c r="G252" s="376"/>
      <c r="H252" s="376"/>
      <c r="I252" s="376"/>
      <c r="J252" s="376"/>
      <c r="K252" s="62">
        <v>84.9619</v>
      </c>
      <c r="L252" s="20">
        <v>147</v>
      </c>
      <c r="M252" s="419"/>
      <c r="N252" s="420"/>
      <c r="O252" s="396"/>
      <c r="P252" s="399"/>
      <c r="Q252" s="399"/>
      <c r="R252" s="396"/>
    </row>
    <row r="253" spans="1:18" s="8" customFormat="1" ht="24.75" customHeight="1" x14ac:dyDescent="0.15">
      <c r="A253" s="324"/>
      <c r="B253" s="408"/>
      <c r="C253" s="363"/>
      <c r="D253" s="418"/>
      <c r="E253" s="418"/>
      <c r="F253" s="418"/>
      <c r="G253" s="377"/>
      <c r="H253" s="377"/>
      <c r="I253" s="377"/>
      <c r="J253" s="377"/>
      <c r="K253" s="62">
        <v>84.949700000000007</v>
      </c>
      <c r="L253" s="20">
        <v>83</v>
      </c>
      <c r="M253" s="416"/>
      <c r="N253" s="417"/>
      <c r="O253" s="396"/>
      <c r="P253" s="399"/>
      <c r="Q253" s="399"/>
      <c r="R253" s="396"/>
    </row>
    <row r="254" spans="1:18" s="8" customFormat="1" ht="24.75" customHeight="1" x14ac:dyDescent="0.15">
      <c r="A254" s="324"/>
      <c r="B254" s="408"/>
      <c r="C254" s="364"/>
      <c r="D254" s="418"/>
      <c r="E254" s="418"/>
      <c r="F254" s="418"/>
      <c r="G254" s="394" t="s">
        <v>183</v>
      </c>
      <c r="H254" s="394"/>
      <c r="I254" s="394"/>
      <c r="J254" s="394"/>
      <c r="K254" s="394"/>
      <c r="L254" s="50">
        <f>SUM(L251:L253)</f>
        <v>303</v>
      </c>
      <c r="M254" s="241"/>
      <c r="N254" s="242"/>
      <c r="O254" s="397"/>
      <c r="P254" s="400"/>
      <c r="Q254" s="400"/>
      <c r="R254" s="397"/>
    </row>
    <row r="255" spans="1:18" s="8" customFormat="1" ht="24.75" customHeight="1" x14ac:dyDescent="0.15">
      <c r="A255" s="324"/>
      <c r="B255" s="409"/>
      <c r="C255" s="302" t="s">
        <v>101</v>
      </c>
      <c r="D255" s="301" t="s">
        <v>323</v>
      </c>
      <c r="E255" s="302"/>
      <c r="F255" s="302"/>
      <c r="G255" s="401" t="s">
        <v>221</v>
      </c>
      <c r="H255" s="256" t="s">
        <v>236</v>
      </c>
      <c r="I255" s="256" t="s">
        <v>189</v>
      </c>
      <c r="J255" s="403" t="s">
        <v>174</v>
      </c>
      <c r="K255" s="19">
        <v>74</v>
      </c>
      <c r="L255" s="18">
        <v>18</v>
      </c>
      <c r="M255" s="258" t="s">
        <v>416</v>
      </c>
      <c r="N255" s="259"/>
      <c r="O255" s="398" t="s">
        <v>232</v>
      </c>
      <c r="P255" s="398" t="s">
        <v>245</v>
      </c>
      <c r="Q255" s="398" t="s">
        <v>379</v>
      </c>
      <c r="R255" s="398" t="s">
        <v>103</v>
      </c>
    </row>
    <row r="256" spans="1:18" s="8" customFormat="1" ht="24.75" customHeight="1" x14ac:dyDescent="0.15">
      <c r="A256" s="324"/>
      <c r="B256" s="409"/>
      <c r="C256" s="302"/>
      <c r="D256" s="302"/>
      <c r="E256" s="302"/>
      <c r="F256" s="302"/>
      <c r="G256" s="257"/>
      <c r="H256" s="257"/>
      <c r="I256" s="257"/>
      <c r="J256" s="404"/>
      <c r="K256" s="19">
        <v>77</v>
      </c>
      <c r="L256" s="18">
        <v>44</v>
      </c>
      <c r="M256" s="378"/>
      <c r="N256" s="379"/>
      <c r="O256" s="399"/>
      <c r="P256" s="399"/>
      <c r="Q256" s="399"/>
      <c r="R256" s="399"/>
    </row>
    <row r="257" spans="1:18" s="8" customFormat="1" ht="24.75" customHeight="1" x14ac:dyDescent="0.15">
      <c r="A257" s="324"/>
      <c r="B257" s="409"/>
      <c r="C257" s="302"/>
      <c r="D257" s="302"/>
      <c r="E257" s="302"/>
      <c r="F257" s="302"/>
      <c r="G257" s="257"/>
      <c r="H257" s="257"/>
      <c r="I257" s="257"/>
      <c r="J257" s="404"/>
      <c r="K257" s="19" t="s">
        <v>181</v>
      </c>
      <c r="L257" s="18">
        <v>144</v>
      </c>
      <c r="M257" s="378"/>
      <c r="N257" s="379"/>
      <c r="O257" s="399"/>
      <c r="P257" s="399"/>
      <c r="Q257" s="399"/>
      <c r="R257" s="399"/>
    </row>
    <row r="258" spans="1:18" s="8" customFormat="1" ht="24.75" customHeight="1" x14ac:dyDescent="0.15">
      <c r="A258" s="324"/>
      <c r="B258" s="409"/>
      <c r="C258" s="302"/>
      <c r="D258" s="302"/>
      <c r="E258" s="302"/>
      <c r="F258" s="302"/>
      <c r="G258" s="257"/>
      <c r="H258" s="257"/>
      <c r="I258" s="257"/>
      <c r="J258" s="404"/>
      <c r="K258" s="19" t="s">
        <v>180</v>
      </c>
      <c r="L258" s="18">
        <v>196</v>
      </c>
      <c r="M258" s="378"/>
      <c r="N258" s="379"/>
      <c r="O258" s="399"/>
      <c r="P258" s="399"/>
      <c r="Q258" s="399"/>
      <c r="R258" s="399"/>
    </row>
    <row r="259" spans="1:18" s="8" customFormat="1" ht="24.75" customHeight="1" x14ac:dyDescent="0.15">
      <c r="A259" s="324"/>
      <c r="B259" s="409"/>
      <c r="C259" s="302"/>
      <c r="D259" s="302"/>
      <c r="E259" s="302"/>
      <c r="F259" s="302"/>
      <c r="G259" s="257"/>
      <c r="H259" s="257"/>
      <c r="I259" s="257"/>
      <c r="J259" s="404"/>
      <c r="K259" s="19" t="s">
        <v>178</v>
      </c>
      <c r="L259" s="18">
        <v>131</v>
      </c>
      <c r="M259" s="378"/>
      <c r="N259" s="379"/>
      <c r="O259" s="399"/>
      <c r="P259" s="399"/>
      <c r="Q259" s="399"/>
      <c r="R259" s="399"/>
    </row>
    <row r="260" spans="1:18" s="8" customFormat="1" ht="24.75" customHeight="1" x14ac:dyDescent="0.15">
      <c r="A260" s="324"/>
      <c r="B260" s="409"/>
      <c r="C260" s="302"/>
      <c r="D260" s="302"/>
      <c r="E260" s="302"/>
      <c r="F260" s="302"/>
      <c r="G260" s="257"/>
      <c r="H260" s="257"/>
      <c r="I260" s="257"/>
      <c r="J260" s="404"/>
      <c r="K260" s="19" t="s">
        <v>95</v>
      </c>
      <c r="L260" s="18">
        <v>16</v>
      </c>
      <c r="M260" s="378"/>
      <c r="N260" s="379"/>
      <c r="O260" s="399"/>
      <c r="P260" s="399"/>
      <c r="Q260" s="399"/>
      <c r="R260" s="399"/>
    </row>
    <row r="261" spans="1:18" s="8" customFormat="1" ht="24.75" customHeight="1" x14ac:dyDescent="0.15">
      <c r="A261" s="324"/>
      <c r="B261" s="409"/>
      <c r="C261" s="302"/>
      <c r="D261" s="302"/>
      <c r="E261" s="302"/>
      <c r="F261" s="302"/>
      <c r="G261" s="257"/>
      <c r="H261" s="257"/>
      <c r="I261" s="257"/>
      <c r="J261" s="404"/>
      <c r="K261" s="19">
        <v>96</v>
      </c>
      <c r="L261" s="18">
        <v>48</v>
      </c>
      <c r="M261" s="378"/>
      <c r="N261" s="379"/>
      <c r="O261" s="399"/>
      <c r="P261" s="399"/>
      <c r="Q261" s="399"/>
      <c r="R261" s="399"/>
    </row>
    <row r="262" spans="1:18" s="8" customFormat="1" ht="24.75" customHeight="1" x14ac:dyDescent="0.15">
      <c r="A262" s="324"/>
      <c r="B262" s="409"/>
      <c r="C262" s="302"/>
      <c r="D262" s="302"/>
      <c r="E262" s="302"/>
      <c r="F262" s="302"/>
      <c r="G262" s="257"/>
      <c r="H262" s="257"/>
      <c r="I262" s="257"/>
      <c r="J262" s="404"/>
      <c r="K262" s="19">
        <v>100</v>
      </c>
      <c r="L262" s="18">
        <v>10</v>
      </c>
      <c r="M262" s="378" t="s">
        <v>416</v>
      </c>
      <c r="N262" s="379"/>
      <c r="O262" s="399"/>
      <c r="P262" s="399"/>
      <c r="Q262" s="399"/>
      <c r="R262" s="399"/>
    </row>
    <row r="263" spans="1:18" s="8" customFormat="1" ht="24.75" customHeight="1" x14ac:dyDescent="0.15">
      <c r="A263" s="324"/>
      <c r="B263" s="409"/>
      <c r="C263" s="302"/>
      <c r="D263" s="302"/>
      <c r="E263" s="302"/>
      <c r="F263" s="302"/>
      <c r="G263" s="257"/>
      <c r="H263" s="257"/>
      <c r="I263" s="257"/>
      <c r="J263" s="404"/>
      <c r="K263" s="19">
        <v>101</v>
      </c>
      <c r="L263" s="18">
        <v>7</v>
      </c>
      <c r="M263" s="378"/>
      <c r="N263" s="379"/>
      <c r="O263" s="399"/>
      <c r="P263" s="399"/>
      <c r="Q263" s="399"/>
      <c r="R263" s="399"/>
    </row>
    <row r="264" spans="1:18" s="8" customFormat="1" ht="24.75" customHeight="1" x14ac:dyDescent="0.15">
      <c r="A264" s="324"/>
      <c r="B264" s="409"/>
      <c r="C264" s="302"/>
      <c r="D264" s="302"/>
      <c r="E264" s="302"/>
      <c r="F264" s="302"/>
      <c r="G264" s="257"/>
      <c r="H264" s="257"/>
      <c r="I264" s="257"/>
      <c r="J264" s="404"/>
      <c r="K264" s="19">
        <v>110</v>
      </c>
      <c r="L264" s="18">
        <v>36</v>
      </c>
      <c r="M264" s="378"/>
      <c r="N264" s="379"/>
      <c r="O264" s="399"/>
      <c r="P264" s="399"/>
      <c r="Q264" s="399"/>
      <c r="R264" s="399"/>
    </row>
    <row r="265" spans="1:18" s="8" customFormat="1" ht="24.75" customHeight="1" x14ac:dyDescent="0.15">
      <c r="A265" s="324"/>
      <c r="B265" s="409"/>
      <c r="C265" s="302"/>
      <c r="D265" s="302"/>
      <c r="E265" s="302"/>
      <c r="F265" s="302"/>
      <c r="G265" s="257"/>
      <c r="H265" s="257"/>
      <c r="I265" s="257"/>
      <c r="J265" s="404"/>
      <c r="K265" s="19" t="s">
        <v>386</v>
      </c>
      <c r="L265" s="18">
        <v>1</v>
      </c>
      <c r="M265" s="378"/>
      <c r="N265" s="379"/>
      <c r="O265" s="399"/>
      <c r="P265" s="399"/>
      <c r="Q265" s="399"/>
      <c r="R265" s="399"/>
    </row>
    <row r="266" spans="1:18" s="8" customFormat="1" ht="24.75" customHeight="1" x14ac:dyDescent="0.15">
      <c r="A266" s="324"/>
      <c r="B266" s="409"/>
      <c r="C266" s="302"/>
      <c r="D266" s="302"/>
      <c r="E266" s="302"/>
      <c r="F266" s="302"/>
      <c r="G266" s="257"/>
      <c r="H266" s="257"/>
      <c r="I266" s="257"/>
      <c r="J266" s="404"/>
      <c r="K266" s="19" t="s">
        <v>39</v>
      </c>
      <c r="L266" s="18">
        <v>5</v>
      </c>
      <c r="M266" s="378"/>
      <c r="N266" s="379"/>
      <c r="O266" s="399"/>
      <c r="P266" s="399"/>
      <c r="Q266" s="399"/>
      <c r="R266" s="399"/>
    </row>
    <row r="267" spans="1:18" s="8" customFormat="1" ht="24.75" customHeight="1" x14ac:dyDescent="0.15">
      <c r="A267" s="324"/>
      <c r="B267" s="409"/>
      <c r="C267" s="302"/>
      <c r="D267" s="302"/>
      <c r="E267" s="302"/>
      <c r="F267" s="302"/>
      <c r="G267" s="257"/>
      <c r="H267" s="257"/>
      <c r="I267" s="257"/>
      <c r="J267" s="404"/>
      <c r="K267" s="19">
        <v>114</v>
      </c>
      <c r="L267" s="18">
        <v>27</v>
      </c>
      <c r="M267" s="378"/>
      <c r="N267" s="379"/>
      <c r="O267" s="399"/>
      <c r="P267" s="399"/>
      <c r="Q267" s="399"/>
      <c r="R267" s="399"/>
    </row>
    <row r="268" spans="1:18" s="8" customFormat="1" ht="24.75" customHeight="1" x14ac:dyDescent="0.15">
      <c r="A268" s="324"/>
      <c r="B268" s="409"/>
      <c r="C268" s="302"/>
      <c r="D268" s="302"/>
      <c r="E268" s="302"/>
      <c r="F268" s="302"/>
      <c r="G268" s="257"/>
      <c r="H268" s="257"/>
      <c r="I268" s="257"/>
      <c r="J268" s="404"/>
      <c r="K268" s="19">
        <v>130</v>
      </c>
      <c r="L268" s="18">
        <v>13</v>
      </c>
      <c r="M268" s="378"/>
      <c r="N268" s="379"/>
      <c r="O268" s="399"/>
      <c r="P268" s="399"/>
      <c r="Q268" s="399"/>
      <c r="R268" s="399"/>
    </row>
    <row r="269" spans="1:18" s="8" customFormat="1" ht="24.75" customHeight="1" x14ac:dyDescent="0.15">
      <c r="A269" s="324"/>
      <c r="B269" s="409"/>
      <c r="C269" s="302"/>
      <c r="D269" s="302"/>
      <c r="E269" s="302"/>
      <c r="F269" s="302"/>
      <c r="G269" s="257"/>
      <c r="H269" s="257"/>
      <c r="I269" s="257"/>
      <c r="J269" s="404"/>
      <c r="K269" s="19" t="s">
        <v>205</v>
      </c>
      <c r="L269" s="18">
        <v>1</v>
      </c>
      <c r="M269" s="378" t="s">
        <v>416</v>
      </c>
      <c r="N269" s="379"/>
      <c r="O269" s="399"/>
      <c r="P269" s="399"/>
      <c r="Q269" s="399"/>
      <c r="R269" s="399"/>
    </row>
    <row r="270" spans="1:18" s="8" customFormat="1" ht="24.75" customHeight="1" x14ac:dyDescent="0.15">
      <c r="A270" s="324"/>
      <c r="B270" s="409"/>
      <c r="C270" s="302"/>
      <c r="D270" s="302"/>
      <c r="E270" s="302"/>
      <c r="F270" s="302"/>
      <c r="G270" s="257"/>
      <c r="H270" s="257"/>
      <c r="I270" s="257"/>
      <c r="J270" s="404"/>
      <c r="K270" s="19" t="s">
        <v>208</v>
      </c>
      <c r="L270" s="18">
        <v>6</v>
      </c>
      <c r="M270" s="378"/>
      <c r="N270" s="379"/>
      <c r="O270" s="399"/>
      <c r="P270" s="399"/>
      <c r="Q270" s="399"/>
      <c r="R270" s="399"/>
    </row>
    <row r="271" spans="1:18" s="8" customFormat="1" ht="24.75" customHeight="1" x14ac:dyDescent="0.15">
      <c r="A271" s="324"/>
      <c r="B271" s="409"/>
      <c r="C271" s="302"/>
      <c r="D271" s="302"/>
      <c r="E271" s="302"/>
      <c r="F271" s="302"/>
      <c r="G271" s="257"/>
      <c r="H271" s="257"/>
      <c r="I271" s="257"/>
      <c r="J271" s="404"/>
      <c r="K271" s="19">
        <v>155</v>
      </c>
      <c r="L271" s="18">
        <v>17</v>
      </c>
      <c r="M271" s="378"/>
      <c r="N271" s="379"/>
      <c r="O271" s="399"/>
      <c r="P271" s="399"/>
      <c r="Q271" s="399"/>
      <c r="R271" s="399"/>
    </row>
    <row r="272" spans="1:18" s="8" customFormat="1" ht="24.75" customHeight="1" x14ac:dyDescent="0.15">
      <c r="A272" s="324"/>
      <c r="B272" s="409"/>
      <c r="C272" s="302"/>
      <c r="D272" s="302"/>
      <c r="E272" s="302"/>
      <c r="F272" s="302"/>
      <c r="G272" s="257"/>
      <c r="H272" s="257"/>
      <c r="I272" s="257"/>
      <c r="J272" s="404"/>
      <c r="K272" s="19">
        <v>157</v>
      </c>
      <c r="L272" s="18">
        <v>15</v>
      </c>
      <c r="M272" s="378"/>
      <c r="N272" s="379"/>
      <c r="O272" s="399"/>
      <c r="P272" s="399"/>
      <c r="Q272" s="399"/>
      <c r="R272" s="399"/>
    </row>
    <row r="273" spans="1:18" s="8" customFormat="1" ht="24.75" customHeight="1" x14ac:dyDescent="0.15">
      <c r="A273" s="324"/>
      <c r="B273" s="409"/>
      <c r="C273" s="302"/>
      <c r="D273" s="302"/>
      <c r="E273" s="302"/>
      <c r="F273" s="302"/>
      <c r="G273" s="257"/>
      <c r="H273" s="257"/>
      <c r="I273" s="257"/>
      <c r="J273" s="404"/>
      <c r="K273" s="19">
        <v>160</v>
      </c>
      <c r="L273" s="18">
        <v>18</v>
      </c>
      <c r="M273" s="378"/>
      <c r="N273" s="379"/>
      <c r="O273" s="399"/>
      <c r="P273" s="399"/>
      <c r="Q273" s="399"/>
      <c r="R273" s="399"/>
    </row>
    <row r="274" spans="1:18" s="8" customFormat="1" ht="24.75" customHeight="1" x14ac:dyDescent="0.15">
      <c r="A274" s="324"/>
      <c r="B274" s="409"/>
      <c r="C274" s="302"/>
      <c r="D274" s="302"/>
      <c r="E274" s="302"/>
      <c r="F274" s="302"/>
      <c r="G274" s="257"/>
      <c r="H274" s="257"/>
      <c r="I274" s="257"/>
      <c r="J274" s="404"/>
      <c r="K274" s="19">
        <v>188</v>
      </c>
      <c r="L274" s="18">
        <v>1</v>
      </c>
      <c r="M274" s="378"/>
      <c r="N274" s="379"/>
      <c r="O274" s="399"/>
      <c r="P274" s="399"/>
      <c r="Q274" s="399"/>
      <c r="R274" s="399"/>
    </row>
    <row r="275" spans="1:18" s="8" customFormat="1" ht="24.75" customHeight="1" x14ac:dyDescent="0.15">
      <c r="A275" s="324"/>
      <c r="B275" s="409"/>
      <c r="C275" s="302"/>
      <c r="D275" s="302"/>
      <c r="E275" s="302"/>
      <c r="F275" s="302"/>
      <c r="G275" s="402"/>
      <c r="H275" s="402"/>
      <c r="I275" s="402"/>
      <c r="J275" s="405"/>
      <c r="K275" s="19">
        <v>206</v>
      </c>
      <c r="L275" s="18">
        <v>1</v>
      </c>
      <c r="M275" s="260"/>
      <c r="N275" s="261"/>
      <c r="O275" s="399"/>
      <c r="P275" s="399"/>
      <c r="Q275" s="399"/>
      <c r="R275" s="399"/>
    </row>
    <row r="276" spans="1:18" s="8" customFormat="1" ht="24.75" customHeight="1" x14ac:dyDescent="0.15">
      <c r="A276" s="324"/>
      <c r="B276" s="409"/>
      <c r="C276" s="302"/>
      <c r="D276" s="302"/>
      <c r="E276" s="302"/>
      <c r="F276" s="302"/>
      <c r="G276" s="394" t="s">
        <v>183</v>
      </c>
      <c r="H276" s="394"/>
      <c r="I276" s="394"/>
      <c r="J276" s="394"/>
      <c r="K276" s="394"/>
      <c r="L276" s="63">
        <f>SUM(L255:L275)</f>
        <v>755</v>
      </c>
      <c r="M276" s="360"/>
      <c r="N276" s="361"/>
      <c r="O276" s="400"/>
      <c r="P276" s="400"/>
      <c r="Q276" s="400"/>
      <c r="R276" s="400"/>
    </row>
    <row r="277" spans="1:18" s="8" customFormat="1" ht="24.75" customHeight="1" x14ac:dyDescent="0.15">
      <c r="A277" s="324"/>
      <c r="B277" s="409"/>
      <c r="C277" s="269" t="s">
        <v>102</v>
      </c>
      <c r="D277" s="292" t="s">
        <v>280</v>
      </c>
      <c r="E277" s="263"/>
      <c r="F277" s="309"/>
      <c r="G277" s="268" t="s">
        <v>30</v>
      </c>
      <c r="H277" s="383" t="s">
        <v>274</v>
      </c>
      <c r="I277" s="269" t="s">
        <v>189</v>
      </c>
      <c r="J277" s="269" t="s">
        <v>174</v>
      </c>
      <c r="K277" s="64">
        <v>84.963899999999995</v>
      </c>
      <c r="L277" s="65">
        <v>153</v>
      </c>
      <c r="M277" s="384" t="s">
        <v>416</v>
      </c>
      <c r="N277" s="385"/>
      <c r="O277" s="390" t="s">
        <v>138</v>
      </c>
      <c r="P277" s="390" t="s">
        <v>128</v>
      </c>
      <c r="Q277" s="393" t="s">
        <v>477</v>
      </c>
      <c r="R277" s="393" t="s">
        <v>476</v>
      </c>
    </row>
    <row r="278" spans="1:18" s="8" customFormat="1" ht="24.75" customHeight="1" x14ac:dyDescent="0.15">
      <c r="A278" s="324"/>
      <c r="B278" s="409"/>
      <c r="C278" s="156"/>
      <c r="D278" s="264"/>
      <c r="E278" s="265"/>
      <c r="F278" s="310"/>
      <c r="G278" s="156"/>
      <c r="H278" s="156"/>
      <c r="I278" s="156"/>
      <c r="J278" s="156"/>
      <c r="K278" s="64">
        <v>84.939400000000006</v>
      </c>
      <c r="L278" s="65">
        <v>32</v>
      </c>
      <c r="M278" s="386"/>
      <c r="N278" s="387"/>
      <c r="O278" s="391"/>
      <c r="P278" s="391"/>
      <c r="Q278" s="391"/>
      <c r="R278" s="391"/>
    </row>
    <row r="279" spans="1:18" s="8" customFormat="1" ht="24.75" customHeight="1" x14ac:dyDescent="0.15">
      <c r="A279" s="324"/>
      <c r="B279" s="409"/>
      <c r="C279" s="156"/>
      <c r="D279" s="264"/>
      <c r="E279" s="265"/>
      <c r="F279" s="310"/>
      <c r="G279" s="156"/>
      <c r="H279" s="156"/>
      <c r="I279" s="156"/>
      <c r="J279" s="156"/>
      <c r="K279" s="64">
        <v>84.987399999999994</v>
      </c>
      <c r="L279" s="65">
        <v>93</v>
      </c>
      <c r="M279" s="386"/>
      <c r="N279" s="387"/>
      <c r="O279" s="391"/>
      <c r="P279" s="391"/>
      <c r="Q279" s="391"/>
      <c r="R279" s="391"/>
    </row>
    <row r="280" spans="1:18" s="8" customFormat="1" ht="24.75" customHeight="1" x14ac:dyDescent="0.15">
      <c r="A280" s="324"/>
      <c r="B280" s="409"/>
      <c r="C280" s="156"/>
      <c r="D280" s="264"/>
      <c r="E280" s="265"/>
      <c r="F280" s="310"/>
      <c r="G280" s="156"/>
      <c r="H280" s="156"/>
      <c r="I280" s="156"/>
      <c r="J280" s="156"/>
      <c r="K280" s="64">
        <v>84.991399999999999</v>
      </c>
      <c r="L280" s="65">
        <v>60</v>
      </c>
      <c r="M280" s="386"/>
      <c r="N280" s="387"/>
      <c r="O280" s="391"/>
      <c r="P280" s="391"/>
      <c r="Q280" s="391"/>
      <c r="R280" s="391"/>
    </row>
    <row r="281" spans="1:18" s="8" customFormat="1" ht="24.75" customHeight="1" x14ac:dyDescent="0.15">
      <c r="A281" s="324"/>
      <c r="B281" s="409"/>
      <c r="C281" s="156"/>
      <c r="D281" s="264"/>
      <c r="E281" s="265"/>
      <c r="F281" s="310"/>
      <c r="G281" s="156"/>
      <c r="H281" s="156"/>
      <c r="I281" s="156"/>
      <c r="J281" s="156"/>
      <c r="K281" s="64">
        <v>84.996300000000005</v>
      </c>
      <c r="L281" s="65">
        <v>31</v>
      </c>
      <c r="M281" s="386"/>
      <c r="N281" s="387"/>
      <c r="O281" s="391"/>
      <c r="P281" s="391"/>
      <c r="Q281" s="391"/>
      <c r="R281" s="391"/>
    </row>
    <row r="282" spans="1:18" s="8" customFormat="1" ht="24.75" customHeight="1" x14ac:dyDescent="0.15">
      <c r="A282" s="324"/>
      <c r="B282" s="409"/>
      <c r="C282" s="156"/>
      <c r="D282" s="264"/>
      <c r="E282" s="265"/>
      <c r="F282" s="310"/>
      <c r="G282" s="157"/>
      <c r="H282" s="157"/>
      <c r="I282" s="157"/>
      <c r="J282" s="157"/>
      <c r="K282" s="64">
        <v>114.96939999999999</v>
      </c>
      <c r="L282" s="65">
        <v>30</v>
      </c>
      <c r="M282" s="388"/>
      <c r="N282" s="389"/>
      <c r="O282" s="391"/>
      <c r="P282" s="391"/>
      <c r="Q282" s="391"/>
      <c r="R282" s="391"/>
    </row>
    <row r="283" spans="1:18" s="8" customFormat="1" ht="24.75" customHeight="1" x14ac:dyDescent="0.15">
      <c r="A283" s="324"/>
      <c r="B283" s="409"/>
      <c r="C283" s="157"/>
      <c r="D283" s="266"/>
      <c r="E283" s="267"/>
      <c r="F283" s="311"/>
      <c r="G283" s="394" t="s">
        <v>183</v>
      </c>
      <c r="H283" s="394"/>
      <c r="I283" s="394"/>
      <c r="J283" s="394"/>
      <c r="K283" s="394"/>
      <c r="L283" s="63">
        <f>SUM(L277:L282)</f>
        <v>399</v>
      </c>
      <c r="M283" s="360"/>
      <c r="N283" s="361"/>
      <c r="O283" s="392"/>
      <c r="P283" s="392"/>
      <c r="Q283" s="392"/>
      <c r="R283" s="392"/>
    </row>
    <row r="284" spans="1:18" s="8" customFormat="1" ht="24.75" customHeight="1" x14ac:dyDescent="0.15">
      <c r="A284" s="324"/>
      <c r="B284" s="409"/>
      <c r="C284" s="362" t="s">
        <v>99</v>
      </c>
      <c r="D284" s="365" t="s">
        <v>309</v>
      </c>
      <c r="E284" s="366"/>
      <c r="F284" s="367"/>
      <c r="G284" s="374" t="s">
        <v>23</v>
      </c>
      <c r="H284" s="374" t="s">
        <v>29</v>
      </c>
      <c r="I284" s="268" t="s">
        <v>189</v>
      </c>
      <c r="J284" s="268" t="s">
        <v>174</v>
      </c>
      <c r="K284" s="32" t="s">
        <v>93</v>
      </c>
      <c r="L284" s="13">
        <v>60</v>
      </c>
      <c r="M284" s="258" t="s">
        <v>416</v>
      </c>
      <c r="N284" s="259"/>
      <c r="O284" s="380" t="s">
        <v>153</v>
      </c>
      <c r="P284" s="380" t="s">
        <v>259</v>
      </c>
      <c r="Q284" s="356" t="s">
        <v>202</v>
      </c>
      <c r="R284" s="356" t="s">
        <v>103</v>
      </c>
    </row>
    <row r="285" spans="1:18" s="8" customFormat="1" ht="24.75" customHeight="1" x14ac:dyDescent="0.15">
      <c r="A285" s="324"/>
      <c r="B285" s="409"/>
      <c r="C285" s="363"/>
      <c r="D285" s="368"/>
      <c r="E285" s="369"/>
      <c r="F285" s="370"/>
      <c r="G285" s="375"/>
      <c r="H285" s="375"/>
      <c r="I285" s="376"/>
      <c r="J285" s="376"/>
      <c r="K285" s="32" t="s">
        <v>92</v>
      </c>
      <c r="L285" s="13">
        <v>15</v>
      </c>
      <c r="M285" s="378"/>
      <c r="N285" s="379"/>
      <c r="O285" s="381"/>
      <c r="P285" s="381"/>
      <c r="Q285" s="357"/>
      <c r="R285" s="357"/>
    </row>
    <row r="286" spans="1:18" s="8" customFormat="1" ht="24.75" customHeight="1" x14ac:dyDescent="0.15">
      <c r="A286" s="324"/>
      <c r="B286" s="409"/>
      <c r="C286" s="363"/>
      <c r="D286" s="368"/>
      <c r="E286" s="369"/>
      <c r="F286" s="370"/>
      <c r="G286" s="375"/>
      <c r="H286" s="375"/>
      <c r="I286" s="376"/>
      <c r="J286" s="376"/>
      <c r="K286" s="32" t="s">
        <v>96</v>
      </c>
      <c r="L286" s="13">
        <v>15</v>
      </c>
      <c r="M286" s="378"/>
      <c r="N286" s="379"/>
      <c r="O286" s="381"/>
      <c r="P286" s="381"/>
      <c r="Q286" s="357"/>
      <c r="R286" s="357"/>
    </row>
    <row r="287" spans="1:18" s="8" customFormat="1" ht="24.75" customHeight="1" x14ac:dyDescent="0.15">
      <c r="A287" s="324"/>
      <c r="B287" s="409"/>
      <c r="C287" s="363"/>
      <c r="D287" s="368"/>
      <c r="E287" s="369"/>
      <c r="F287" s="370"/>
      <c r="G287" s="375"/>
      <c r="H287" s="375"/>
      <c r="I287" s="377"/>
      <c r="J287" s="377"/>
      <c r="K287" s="32" t="s">
        <v>84</v>
      </c>
      <c r="L287" s="13">
        <v>62</v>
      </c>
      <c r="M287" s="260"/>
      <c r="N287" s="261"/>
      <c r="O287" s="381"/>
      <c r="P287" s="381"/>
      <c r="Q287" s="357"/>
      <c r="R287" s="357"/>
    </row>
    <row r="288" spans="1:18" s="8" customFormat="1" ht="24.75" customHeight="1" x14ac:dyDescent="0.15">
      <c r="A288" s="324"/>
      <c r="B288" s="409"/>
      <c r="C288" s="364"/>
      <c r="D288" s="371"/>
      <c r="E288" s="372"/>
      <c r="F288" s="373"/>
      <c r="G288" s="147" t="s">
        <v>183</v>
      </c>
      <c r="H288" s="148"/>
      <c r="I288" s="148"/>
      <c r="J288" s="148"/>
      <c r="K288" s="149"/>
      <c r="L288" s="63">
        <f>SUM(L284:L287)</f>
        <v>152</v>
      </c>
      <c r="M288" s="360"/>
      <c r="N288" s="361"/>
      <c r="O288" s="382"/>
      <c r="P288" s="382"/>
      <c r="Q288" s="358"/>
      <c r="R288" s="358"/>
    </row>
    <row r="289" spans="1:18" s="8" customFormat="1" ht="24.75" customHeight="1" x14ac:dyDescent="0.15">
      <c r="A289" s="324"/>
      <c r="B289" s="409"/>
      <c r="C289" s="362" t="s">
        <v>99</v>
      </c>
      <c r="D289" s="365" t="s">
        <v>314</v>
      </c>
      <c r="E289" s="366"/>
      <c r="F289" s="367"/>
      <c r="G289" s="374" t="s">
        <v>23</v>
      </c>
      <c r="H289" s="374" t="s">
        <v>29</v>
      </c>
      <c r="I289" s="268" t="s">
        <v>189</v>
      </c>
      <c r="J289" s="268" t="s">
        <v>174</v>
      </c>
      <c r="K289" s="32" t="s">
        <v>209</v>
      </c>
      <c r="L289" s="13">
        <v>61</v>
      </c>
      <c r="M289" s="258" t="s">
        <v>416</v>
      </c>
      <c r="N289" s="259"/>
      <c r="O289" s="380" t="s">
        <v>153</v>
      </c>
      <c r="P289" s="380" t="s">
        <v>259</v>
      </c>
      <c r="Q289" s="356" t="s">
        <v>202</v>
      </c>
      <c r="R289" s="359" t="s">
        <v>442</v>
      </c>
    </row>
    <row r="290" spans="1:18" s="8" customFormat="1" ht="24.75" customHeight="1" x14ac:dyDescent="0.15">
      <c r="A290" s="324"/>
      <c r="B290" s="409"/>
      <c r="C290" s="363"/>
      <c r="D290" s="368"/>
      <c r="E290" s="369"/>
      <c r="F290" s="370"/>
      <c r="G290" s="375"/>
      <c r="H290" s="375"/>
      <c r="I290" s="376"/>
      <c r="J290" s="376"/>
      <c r="K290" s="32" t="s">
        <v>50</v>
      </c>
      <c r="L290" s="13">
        <v>13</v>
      </c>
      <c r="M290" s="378"/>
      <c r="N290" s="379"/>
      <c r="O290" s="381"/>
      <c r="P290" s="381"/>
      <c r="Q290" s="357"/>
      <c r="R290" s="357"/>
    </row>
    <row r="291" spans="1:18" s="8" customFormat="1" ht="24.75" customHeight="1" x14ac:dyDescent="0.15">
      <c r="A291" s="324"/>
      <c r="B291" s="409"/>
      <c r="C291" s="363"/>
      <c r="D291" s="368"/>
      <c r="E291" s="369"/>
      <c r="F291" s="370"/>
      <c r="G291" s="375"/>
      <c r="H291" s="375"/>
      <c r="I291" s="377"/>
      <c r="J291" s="377"/>
      <c r="K291" s="32" t="s">
        <v>93</v>
      </c>
      <c r="L291" s="13">
        <v>111</v>
      </c>
      <c r="M291" s="260"/>
      <c r="N291" s="261"/>
      <c r="O291" s="381"/>
      <c r="P291" s="381"/>
      <c r="Q291" s="357"/>
      <c r="R291" s="357"/>
    </row>
    <row r="292" spans="1:18" s="8" customFormat="1" ht="24.75" customHeight="1" x14ac:dyDescent="0.15">
      <c r="A292" s="324"/>
      <c r="B292" s="409"/>
      <c r="C292" s="364"/>
      <c r="D292" s="371"/>
      <c r="E292" s="372"/>
      <c r="F292" s="373"/>
      <c r="G292" s="147" t="s">
        <v>183</v>
      </c>
      <c r="H292" s="148"/>
      <c r="I292" s="148"/>
      <c r="J292" s="148"/>
      <c r="K292" s="149"/>
      <c r="L292" s="63">
        <f>SUM(L289:L291)</f>
        <v>185</v>
      </c>
      <c r="M292" s="360"/>
      <c r="N292" s="361"/>
      <c r="O292" s="382"/>
      <c r="P292" s="382"/>
      <c r="Q292" s="358"/>
      <c r="R292" s="358"/>
    </row>
    <row r="293" spans="1:18" s="119" customFormat="1" ht="20.25" customHeight="1" x14ac:dyDescent="0.15">
      <c r="A293" s="324"/>
      <c r="B293" s="112"/>
      <c r="C293" s="187" t="s">
        <v>426</v>
      </c>
      <c r="D293" s="190" t="s">
        <v>427</v>
      </c>
      <c r="E293" s="191"/>
      <c r="F293" s="192"/>
      <c r="G293" s="199" t="s">
        <v>428</v>
      </c>
      <c r="H293" s="199" t="s">
        <v>429</v>
      </c>
      <c r="I293" s="202" t="s">
        <v>430</v>
      </c>
      <c r="J293" s="202" t="s">
        <v>431</v>
      </c>
      <c r="K293" s="117" t="s">
        <v>432</v>
      </c>
      <c r="L293" s="118">
        <v>34</v>
      </c>
      <c r="M293" s="212" t="s">
        <v>425</v>
      </c>
      <c r="N293" s="213"/>
      <c r="O293" s="205" t="s">
        <v>433</v>
      </c>
      <c r="P293" s="205" t="s">
        <v>434</v>
      </c>
      <c r="Q293" s="205" t="s">
        <v>435</v>
      </c>
      <c r="R293" s="208" t="s">
        <v>442</v>
      </c>
    </row>
    <row r="294" spans="1:18" s="119" customFormat="1" ht="20.25" customHeight="1" x14ac:dyDescent="0.15">
      <c r="A294" s="324"/>
      <c r="B294" s="112"/>
      <c r="C294" s="188"/>
      <c r="D294" s="193"/>
      <c r="E294" s="194"/>
      <c r="F294" s="195"/>
      <c r="G294" s="200"/>
      <c r="H294" s="200"/>
      <c r="I294" s="203"/>
      <c r="J294" s="203"/>
      <c r="K294" s="117" t="s">
        <v>436</v>
      </c>
      <c r="L294" s="118">
        <v>34</v>
      </c>
      <c r="M294" s="214"/>
      <c r="N294" s="215"/>
      <c r="O294" s="206"/>
      <c r="P294" s="206"/>
      <c r="Q294" s="206"/>
      <c r="R294" s="209"/>
    </row>
    <row r="295" spans="1:18" s="119" customFormat="1" ht="20.25" customHeight="1" x14ac:dyDescent="0.15">
      <c r="A295" s="324"/>
      <c r="B295" s="112"/>
      <c r="C295" s="188"/>
      <c r="D295" s="193"/>
      <c r="E295" s="194"/>
      <c r="F295" s="195"/>
      <c r="G295" s="200"/>
      <c r="H295" s="200"/>
      <c r="I295" s="203"/>
      <c r="J295" s="203"/>
      <c r="K295" s="117" t="s">
        <v>437</v>
      </c>
      <c r="L295" s="118">
        <v>34</v>
      </c>
      <c r="M295" s="214"/>
      <c r="N295" s="215"/>
      <c r="O295" s="206"/>
      <c r="P295" s="206"/>
      <c r="Q295" s="206"/>
      <c r="R295" s="209"/>
    </row>
    <row r="296" spans="1:18" s="119" customFormat="1" ht="20.25" customHeight="1" x14ac:dyDescent="0.15">
      <c r="A296" s="324"/>
      <c r="B296" s="112"/>
      <c r="C296" s="188"/>
      <c r="D296" s="193"/>
      <c r="E296" s="194"/>
      <c r="F296" s="195"/>
      <c r="G296" s="200"/>
      <c r="H296" s="200"/>
      <c r="I296" s="203"/>
      <c r="J296" s="203"/>
      <c r="K296" s="117" t="s">
        <v>438</v>
      </c>
      <c r="L296" s="118">
        <v>2</v>
      </c>
      <c r="M296" s="214"/>
      <c r="N296" s="215"/>
      <c r="O296" s="206"/>
      <c r="P296" s="206"/>
      <c r="Q296" s="206"/>
      <c r="R296" s="209"/>
    </row>
    <row r="297" spans="1:18" s="119" customFormat="1" ht="20.25" customHeight="1" x14ac:dyDescent="0.15">
      <c r="A297" s="324"/>
      <c r="B297" s="112"/>
      <c r="C297" s="188"/>
      <c r="D297" s="193"/>
      <c r="E297" s="194"/>
      <c r="F297" s="195"/>
      <c r="G297" s="200"/>
      <c r="H297" s="200"/>
      <c r="I297" s="203"/>
      <c r="J297" s="203"/>
      <c r="K297" s="117" t="s">
        <v>439</v>
      </c>
      <c r="L297" s="118">
        <v>2</v>
      </c>
      <c r="M297" s="214"/>
      <c r="N297" s="215"/>
      <c r="O297" s="206"/>
      <c r="P297" s="206"/>
      <c r="Q297" s="206"/>
      <c r="R297" s="209"/>
    </row>
    <row r="298" spans="1:18" s="119" customFormat="1" ht="20.25" customHeight="1" x14ac:dyDescent="0.15">
      <c r="A298" s="324"/>
      <c r="B298" s="112"/>
      <c r="C298" s="188"/>
      <c r="D298" s="193"/>
      <c r="E298" s="194"/>
      <c r="F298" s="195"/>
      <c r="G298" s="201"/>
      <c r="H298" s="201"/>
      <c r="I298" s="204"/>
      <c r="J298" s="204"/>
      <c r="K298" s="117" t="s">
        <v>440</v>
      </c>
      <c r="L298" s="118">
        <v>2</v>
      </c>
      <c r="M298" s="216"/>
      <c r="N298" s="217"/>
      <c r="O298" s="206"/>
      <c r="P298" s="206"/>
      <c r="Q298" s="206"/>
      <c r="R298" s="209"/>
    </row>
    <row r="299" spans="1:18" s="119" customFormat="1" ht="20.25" customHeight="1" x14ac:dyDescent="0.15">
      <c r="A299" s="324"/>
      <c r="B299" s="112"/>
      <c r="C299" s="189"/>
      <c r="D299" s="196"/>
      <c r="E299" s="197"/>
      <c r="F299" s="198"/>
      <c r="G299" s="211" t="s">
        <v>441</v>
      </c>
      <c r="H299" s="211"/>
      <c r="I299" s="211"/>
      <c r="J299" s="211"/>
      <c r="K299" s="211"/>
      <c r="L299" s="120">
        <f>SUM(L293:L298)</f>
        <v>108</v>
      </c>
      <c r="M299" s="218"/>
      <c r="N299" s="219"/>
      <c r="O299" s="207"/>
      <c r="P299" s="207"/>
      <c r="Q299" s="207"/>
      <c r="R299" s="210"/>
    </row>
    <row r="300" spans="1:18" s="119" customFormat="1" ht="20.25" customHeight="1" x14ac:dyDescent="0.15">
      <c r="A300" s="324"/>
      <c r="B300" s="122"/>
      <c r="C300" s="555" t="s">
        <v>456</v>
      </c>
      <c r="D300" s="556" t="s">
        <v>457</v>
      </c>
      <c r="E300" s="469"/>
      <c r="F300" s="469"/>
      <c r="G300" s="557" t="s">
        <v>445</v>
      </c>
      <c r="H300" s="560" t="s">
        <v>446</v>
      </c>
      <c r="I300" s="557" t="s">
        <v>430</v>
      </c>
      <c r="J300" s="557" t="s">
        <v>431</v>
      </c>
      <c r="K300" s="123">
        <v>136</v>
      </c>
      <c r="L300" s="118">
        <v>93</v>
      </c>
      <c r="M300" s="212" t="s">
        <v>461</v>
      </c>
      <c r="N300" s="213"/>
      <c r="O300" s="205" t="s">
        <v>458</v>
      </c>
      <c r="P300" s="205" t="s">
        <v>459</v>
      </c>
      <c r="Q300" s="205" t="s">
        <v>460</v>
      </c>
      <c r="R300" s="578" t="s">
        <v>442</v>
      </c>
    </row>
    <row r="301" spans="1:18" s="119" customFormat="1" ht="20.25" customHeight="1" x14ac:dyDescent="0.15">
      <c r="A301" s="324"/>
      <c r="B301" s="122"/>
      <c r="C301" s="555"/>
      <c r="D301" s="469"/>
      <c r="E301" s="469"/>
      <c r="F301" s="469"/>
      <c r="G301" s="558"/>
      <c r="H301" s="561"/>
      <c r="I301" s="558"/>
      <c r="J301" s="558"/>
      <c r="K301" s="123">
        <v>139</v>
      </c>
      <c r="L301" s="118">
        <v>30</v>
      </c>
      <c r="M301" s="214"/>
      <c r="N301" s="215"/>
      <c r="O301" s="206"/>
      <c r="P301" s="206"/>
      <c r="Q301" s="206"/>
      <c r="R301" s="579"/>
    </row>
    <row r="302" spans="1:18" s="119" customFormat="1" ht="20.25" customHeight="1" x14ac:dyDescent="0.15">
      <c r="A302" s="324"/>
      <c r="B302" s="122"/>
      <c r="C302" s="555"/>
      <c r="D302" s="469"/>
      <c r="E302" s="469"/>
      <c r="F302" s="469"/>
      <c r="G302" s="558"/>
      <c r="H302" s="561"/>
      <c r="I302" s="558"/>
      <c r="J302" s="558"/>
      <c r="K302" s="123" t="s">
        <v>447</v>
      </c>
      <c r="L302" s="118">
        <v>61</v>
      </c>
      <c r="M302" s="214"/>
      <c r="N302" s="215"/>
      <c r="O302" s="206"/>
      <c r="P302" s="206"/>
      <c r="Q302" s="206"/>
      <c r="R302" s="579"/>
    </row>
    <row r="303" spans="1:18" s="119" customFormat="1" ht="20.25" customHeight="1" x14ac:dyDescent="0.15">
      <c r="A303" s="324"/>
      <c r="B303" s="122"/>
      <c r="C303" s="555"/>
      <c r="D303" s="469"/>
      <c r="E303" s="469"/>
      <c r="F303" s="469"/>
      <c r="G303" s="558"/>
      <c r="H303" s="561"/>
      <c r="I303" s="558"/>
      <c r="J303" s="558"/>
      <c r="K303" s="123" t="s">
        <v>448</v>
      </c>
      <c r="L303" s="118">
        <v>30</v>
      </c>
      <c r="M303" s="214"/>
      <c r="N303" s="215"/>
      <c r="O303" s="206"/>
      <c r="P303" s="206"/>
      <c r="Q303" s="206"/>
      <c r="R303" s="579"/>
    </row>
    <row r="304" spans="1:18" s="119" customFormat="1" ht="20.25" customHeight="1" x14ac:dyDescent="0.15">
      <c r="A304" s="324"/>
      <c r="B304" s="122"/>
      <c r="C304" s="555"/>
      <c r="D304" s="469"/>
      <c r="E304" s="469"/>
      <c r="F304" s="469"/>
      <c r="G304" s="558"/>
      <c r="H304" s="561"/>
      <c r="I304" s="558"/>
      <c r="J304" s="558"/>
      <c r="K304" s="123" t="s">
        <v>449</v>
      </c>
      <c r="L304" s="118">
        <v>120</v>
      </c>
      <c r="M304" s="214"/>
      <c r="N304" s="215"/>
      <c r="O304" s="206"/>
      <c r="P304" s="206"/>
      <c r="Q304" s="206"/>
      <c r="R304" s="579"/>
    </row>
    <row r="305" spans="1:18" s="119" customFormat="1" ht="20.25" customHeight="1" x14ac:dyDescent="0.15">
      <c r="A305" s="324"/>
      <c r="B305" s="122"/>
      <c r="C305" s="555"/>
      <c r="D305" s="469"/>
      <c r="E305" s="469"/>
      <c r="F305" s="469"/>
      <c r="G305" s="558"/>
      <c r="H305" s="561"/>
      <c r="I305" s="558"/>
      <c r="J305" s="558"/>
      <c r="K305" s="123" t="s">
        <v>450</v>
      </c>
      <c r="L305" s="118">
        <v>53</v>
      </c>
      <c r="M305" s="214"/>
      <c r="N305" s="215"/>
      <c r="O305" s="206"/>
      <c r="P305" s="206"/>
      <c r="Q305" s="206"/>
      <c r="R305" s="579"/>
    </row>
    <row r="306" spans="1:18" s="119" customFormat="1" ht="20.25" customHeight="1" x14ac:dyDescent="0.15">
      <c r="A306" s="324"/>
      <c r="B306" s="122"/>
      <c r="C306" s="555"/>
      <c r="D306" s="469"/>
      <c r="E306" s="469"/>
      <c r="F306" s="469"/>
      <c r="G306" s="558"/>
      <c r="H306" s="561"/>
      <c r="I306" s="558"/>
      <c r="J306" s="558"/>
      <c r="K306" s="123" t="s">
        <v>451</v>
      </c>
      <c r="L306" s="118">
        <v>53</v>
      </c>
      <c r="M306" s="214"/>
      <c r="N306" s="215"/>
      <c r="O306" s="206"/>
      <c r="P306" s="206"/>
      <c r="Q306" s="206"/>
      <c r="R306" s="579"/>
    </row>
    <row r="307" spans="1:18" s="119" customFormat="1" ht="20.25" customHeight="1" x14ac:dyDescent="0.15">
      <c r="A307" s="324"/>
      <c r="B307" s="122"/>
      <c r="C307" s="555"/>
      <c r="D307" s="469"/>
      <c r="E307" s="469"/>
      <c r="F307" s="469"/>
      <c r="G307" s="558"/>
      <c r="H307" s="561"/>
      <c r="I307" s="558"/>
      <c r="J307" s="558"/>
      <c r="K307" s="123" t="s">
        <v>452</v>
      </c>
      <c r="L307" s="118">
        <v>119</v>
      </c>
      <c r="M307" s="214"/>
      <c r="N307" s="215"/>
      <c r="O307" s="206"/>
      <c r="P307" s="206"/>
      <c r="Q307" s="206"/>
      <c r="R307" s="579"/>
    </row>
    <row r="308" spans="1:18" s="119" customFormat="1" ht="20.25" customHeight="1" x14ac:dyDescent="0.15">
      <c r="A308" s="324"/>
      <c r="B308" s="122"/>
      <c r="C308" s="555"/>
      <c r="D308" s="469"/>
      <c r="E308" s="469"/>
      <c r="F308" s="469"/>
      <c r="G308" s="558"/>
      <c r="H308" s="561"/>
      <c r="I308" s="558"/>
      <c r="J308" s="558"/>
      <c r="K308" s="123" t="s">
        <v>453</v>
      </c>
      <c r="L308" s="118">
        <v>30</v>
      </c>
      <c r="M308" s="214"/>
      <c r="N308" s="215"/>
      <c r="O308" s="206"/>
      <c r="P308" s="206"/>
      <c r="Q308" s="206"/>
      <c r="R308" s="579"/>
    </row>
    <row r="309" spans="1:18" s="119" customFormat="1" ht="20.25" customHeight="1" x14ac:dyDescent="0.15">
      <c r="A309" s="324"/>
      <c r="B309" s="122"/>
      <c r="C309" s="555"/>
      <c r="D309" s="469"/>
      <c r="E309" s="469"/>
      <c r="F309" s="469"/>
      <c r="G309" s="558"/>
      <c r="H309" s="561"/>
      <c r="I309" s="558"/>
      <c r="J309" s="558"/>
      <c r="K309" s="123">
        <v>160</v>
      </c>
      <c r="L309" s="118">
        <v>2</v>
      </c>
      <c r="M309" s="214"/>
      <c r="N309" s="215"/>
      <c r="O309" s="206"/>
      <c r="P309" s="206"/>
      <c r="Q309" s="206"/>
      <c r="R309" s="579"/>
    </row>
    <row r="310" spans="1:18" s="119" customFormat="1" ht="20.25" customHeight="1" x14ac:dyDescent="0.15">
      <c r="A310" s="324"/>
      <c r="B310" s="122"/>
      <c r="C310" s="555"/>
      <c r="D310" s="469"/>
      <c r="E310" s="469"/>
      <c r="F310" s="469"/>
      <c r="G310" s="558"/>
      <c r="H310" s="561"/>
      <c r="I310" s="558"/>
      <c r="J310" s="558"/>
      <c r="K310" s="123">
        <v>168</v>
      </c>
      <c r="L310" s="118">
        <v>5</v>
      </c>
      <c r="M310" s="214"/>
      <c r="N310" s="215"/>
      <c r="O310" s="206"/>
      <c r="P310" s="206"/>
      <c r="Q310" s="206"/>
      <c r="R310" s="579"/>
    </row>
    <row r="311" spans="1:18" s="119" customFormat="1" ht="20.25" customHeight="1" x14ac:dyDescent="0.15">
      <c r="A311" s="324"/>
      <c r="B311" s="122"/>
      <c r="C311" s="555"/>
      <c r="D311" s="469"/>
      <c r="E311" s="469"/>
      <c r="F311" s="469"/>
      <c r="G311" s="558"/>
      <c r="H311" s="561"/>
      <c r="I311" s="558"/>
      <c r="J311" s="558"/>
      <c r="K311" s="123">
        <v>170</v>
      </c>
      <c r="L311" s="118">
        <v>5</v>
      </c>
      <c r="M311" s="214"/>
      <c r="N311" s="215"/>
      <c r="O311" s="206"/>
      <c r="P311" s="206"/>
      <c r="Q311" s="206"/>
      <c r="R311" s="579"/>
    </row>
    <row r="312" spans="1:18" s="119" customFormat="1" ht="20.25" customHeight="1" x14ac:dyDescent="0.15">
      <c r="A312" s="324"/>
      <c r="B312" s="122"/>
      <c r="C312" s="555"/>
      <c r="D312" s="469"/>
      <c r="E312" s="469"/>
      <c r="F312" s="469"/>
      <c r="G312" s="558"/>
      <c r="H312" s="561"/>
      <c r="I312" s="558"/>
      <c r="J312" s="558"/>
      <c r="K312" s="123" t="s">
        <v>454</v>
      </c>
      <c r="L312" s="118">
        <v>1</v>
      </c>
      <c r="M312" s="214"/>
      <c r="N312" s="215"/>
      <c r="O312" s="206"/>
      <c r="P312" s="206"/>
      <c r="Q312" s="206"/>
      <c r="R312" s="579"/>
    </row>
    <row r="313" spans="1:18" s="119" customFormat="1" ht="20.25" customHeight="1" x14ac:dyDescent="0.15">
      <c r="A313" s="324"/>
      <c r="B313" s="122"/>
      <c r="C313" s="555"/>
      <c r="D313" s="469"/>
      <c r="E313" s="469"/>
      <c r="F313" s="469"/>
      <c r="G313" s="559"/>
      <c r="H313" s="562"/>
      <c r="I313" s="559"/>
      <c r="J313" s="559"/>
      <c r="K313" s="123" t="s">
        <v>455</v>
      </c>
      <c r="L313" s="118">
        <v>2</v>
      </c>
      <c r="M313" s="216"/>
      <c r="N313" s="217"/>
      <c r="O313" s="206"/>
      <c r="P313" s="206"/>
      <c r="Q313" s="206"/>
      <c r="R313" s="579"/>
    </row>
    <row r="314" spans="1:18" s="119" customFormat="1" ht="20.25" customHeight="1" x14ac:dyDescent="0.15">
      <c r="A314" s="324"/>
      <c r="B314" s="122"/>
      <c r="C314" s="555"/>
      <c r="D314" s="469"/>
      <c r="E314" s="469"/>
      <c r="F314" s="469"/>
      <c r="G314" s="581" t="s">
        <v>441</v>
      </c>
      <c r="H314" s="582"/>
      <c r="I314" s="582"/>
      <c r="J314" s="582"/>
      <c r="K314" s="583"/>
      <c r="L314" s="120">
        <f>SUM(L300:L313)</f>
        <v>604</v>
      </c>
      <c r="M314" s="218"/>
      <c r="N314" s="219"/>
      <c r="O314" s="207"/>
      <c r="P314" s="207"/>
      <c r="Q314" s="207"/>
      <c r="R314" s="580"/>
    </row>
    <row r="315" spans="1:18" s="4" customFormat="1" ht="24.75" customHeight="1" x14ac:dyDescent="0.15">
      <c r="A315" s="324"/>
      <c r="B315" s="243" t="s">
        <v>412</v>
      </c>
      <c r="C315" s="244"/>
      <c r="D315" s="244"/>
      <c r="E315" s="244"/>
      <c r="F315" s="244"/>
      <c r="G315" s="244"/>
      <c r="H315" s="244"/>
      <c r="I315" s="244"/>
      <c r="J315" s="244"/>
      <c r="K315" s="245"/>
      <c r="L315" s="59">
        <f>SUM(L292,L288,L283,L276,L254,L250,L247,L243,L299,L314)</f>
        <v>3503</v>
      </c>
      <c r="M315" s="59">
        <v>510</v>
      </c>
      <c r="N315" s="59">
        <v>507</v>
      </c>
      <c r="O315" s="66"/>
      <c r="P315" s="6"/>
      <c r="Q315" s="7"/>
      <c r="R315" s="7"/>
    </row>
    <row r="316" spans="1:18" ht="18.95" customHeight="1" x14ac:dyDescent="0.15">
      <c r="A316" s="324"/>
      <c r="B316" s="346" t="s">
        <v>15</v>
      </c>
      <c r="C316" s="323" t="s">
        <v>90</v>
      </c>
      <c r="D316" s="326" t="s">
        <v>279</v>
      </c>
      <c r="E316" s="327"/>
      <c r="F316" s="328"/>
      <c r="G316" s="323" t="s">
        <v>72</v>
      </c>
      <c r="H316" s="335" t="s">
        <v>283</v>
      </c>
      <c r="I316" s="323" t="s">
        <v>189</v>
      </c>
      <c r="J316" s="323" t="s">
        <v>174</v>
      </c>
      <c r="K316" s="108">
        <v>84.48</v>
      </c>
      <c r="L316" s="109">
        <v>80</v>
      </c>
      <c r="M316" s="350" t="s">
        <v>416</v>
      </c>
      <c r="N316" s="339"/>
      <c r="O316" s="313" t="s">
        <v>400</v>
      </c>
      <c r="P316" s="313" t="s">
        <v>370</v>
      </c>
      <c r="Q316" s="316" t="s">
        <v>73</v>
      </c>
      <c r="R316" s="316" t="s">
        <v>103</v>
      </c>
    </row>
    <row r="317" spans="1:18" ht="18.95" customHeight="1" x14ac:dyDescent="0.15">
      <c r="A317" s="324"/>
      <c r="B317" s="347"/>
      <c r="C317" s="324"/>
      <c r="D317" s="329"/>
      <c r="E317" s="330"/>
      <c r="F317" s="331"/>
      <c r="G317" s="324"/>
      <c r="H317" s="336"/>
      <c r="I317" s="324"/>
      <c r="J317" s="324"/>
      <c r="K317" s="108">
        <v>84.66</v>
      </c>
      <c r="L317" s="109">
        <v>80</v>
      </c>
      <c r="M317" s="340"/>
      <c r="N317" s="341"/>
      <c r="O317" s="314"/>
      <c r="P317" s="314"/>
      <c r="Q317" s="317"/>
      <c r="R317" s="317"/>
    </row>
    <row r="318" spans="1:18" ht="18.95" customHeight="1" x14ac:dyDescent="0.15">
      <c r="A318" s="324"/>
      <c r="B318" s="347"/>
      <c r="C318" s="324"/>
      <c r="D318" s="329"/>
      <c r="E318" s="330"/>
      <c r="F318" s="331"/>
      <c r="G318" s="324"/>
      <c r="H318" s="336"/>
      <c r="I318" s="324"/>
      <c r="J318" s="324"/>
      <c r="K318" s="108">
        <v>134.71</v>
      </c>
      <c r="L318" s="109">
        <v>1</v>
      </c>
      <c r="M318" s="340"/>
      <c r="N318" s="341"/>
      <c r="O318" s="314"/>
      <c r="P318" s="314"/>
      <c r="Q318" s="317"/>
      <c r="R318" s="317"/>
    </row>
    <row r="319" spans="1:18" ht="18.95" customHeight="1" x14ac:dyDescent="0.15">
      <c r="A319" s="324"/>
      <c r="B319" s="347"/>
      <c r="C319" s="324"/>
      <c r="D319" s="329"/>
      <c r="E319" s="330"/>
      <c r="F319" s="331"/>
      <c r="G319" s="325"/>
      <c r="H319" s="337"/>
      <c r="I319" s="325"/>
      <c r="J319" s="325"/>
      <c r="K319" s="108">
        <v>134.71</v>
      </c>
      <c r="L319" s="109">
        <v>1</v>
      </c>
      <c r="M319" s="340"/>
      <c r="N319" s="341"/>
      <c r="O319" s="314"/>
      <c r="P319" s="314"/>
      <c r="Q319" s="317"/>
      <c r="R319" s="317"/>
    </row>
    <row r="320" spans="1:18" ht="18.95" customHeight="1" x14ac:dyDescent="0.15">
      <c r="A320" s="324"/>
      <c r="B320" s="347"/>
      <c r="C320" s="325"/>
      <c r="D320" s="332"/>
      <c r="E320" s="333"/>
      <c r="F320" s="334"/>
      <c r="G320" s="319"/>
      <c r="H320" s="319"/>
      <c r="I320" s="319"/>
      <c r="J320" s="319"/>
      <c r="K320" s="320"/>
      <c r="L320" s="110">
        <f>SUM(L316:L319)</f>
        <v>162</v>
      </c>
      <c r="M320" s="321"/>
      <c r="N320" s="322"/>
      <c r="O320" s="315"/>
      <c r="P320" s="315"/>
      <c r="Q320" s="318" t="s">
        <v>31</v>
      </c>
      <c r="R320" s="318" t="s">
        <v>103</v>
      </c>
    </row>
    <row r="321" spans="1:18" ht="18.95" customHeight="1" x14ac:dyDescent="0.15">
      <c r="A321" s="324"/>
      <c r="B321" s="347"/>
      <c r="C321" s="323" t="s">
        <v>85</v>
      </c>
      <c r="D321" s="326" t="s">
        <v>324</v>
      </c>
      <c r="E321" s="327"/>
      <c r="F321" s="328"/>
      <c r="G321" s="323" t="s">
        <v>72</v>
      </c>
      <c r="H321" s="335" t="s">
        <v>284</v>
      </c>
      <c r="I321" s="323" t="s">
        <v>189</v>
      </c>
      <c r="J321" s="323" t="s">
        <v>174</v>
      </c>
      <c r="K321" s="108">
        <v>84.942899999999995</v>
      </c>
      <c r="L321" s="109">
        <v>115</v>
      </c>
      <c r="M321" s="338" t="s">
        <v>425</v>
      </c>
      <c r="N321" s="339"/>
      <c r="O321" s="342">
        <v>44034</v>
      </c>
      <c r="P321" s="342">
        <v>44069</v>
      </c>
      <c r="Q321" s="345" t="s">
        <v>206</v>
      </c>
      <c r="R321" s="335" t="s">
        <v>103</v>
      </c>
    </row>
    <row r="322" spans="1:18" ht="18.95" customHeight="1" x14ac:dyDescent="0.15">
      <c r="A322" s="324"/>
      <c r="B322" s="347"/>
      <c r="C322" s="324"/>
      <c r="D322" s="329"/>
      <c r="E322" s="330"/>
      <c r="F322" s="331"/>
      <c r="G322" s="324"/>
      <c r="H322" s="336"/>
      <c r="I322" s="324"/>
      <c r="J322" s="324"/>
      <c r="K322" s="108">
        <v>84.97</v>
      </c>
      <c r="L322" s="109">
        <v>117</v>
      </c>
      <c r="M322" s="340"/>
      <c r="N322" s="341"/>
      <c r="O322" s="343"/>
      <c r="P322" s="343"/>
      <c r="Q322" s="336"/>
      <c r="R322" s="336"/>
    </row>
    <row r="323" spans="1:18" ht="18.95" customHeight="1" x14ac:dyDescent="0.15">
      <c r="A323" s="324"/>
      <c r="B323" s="347"/>
      <c r="C323" s="324"/>
      <c r="D323" s="329"/>
      <c r="E323" s="330"/>
      <c r="F323" s="331"/>
      <c r="G323" s="324"/>
      <c r="H323" s="336"/>
      <c r="I323" s="324"/>
      <c r="J323" s="324"/>
      <c r="K323" s="108">
        <v>108.2</v>
      </c>
      <c r="L323" s="109">
        <v>39</v>
      </c>
      <c r="M323" s="340"/>
      <c r="N323" s="341"/>
      <c r="O323" s="343"/>
      <c r="P323" s="343"/>
      <c r="Q323" s="336"/>
      <c r="R323" s="336"/>
    </row>
    <row r="324" spans="1:18" ht="18.95" customHeight="1" x14ac:dyDescent="0.15">
      <c r="A324" s="324"/>
      <c r="B324" s="347"/>
      <c r="C324" s="324"/>
      <c r="D324" s="329"/>
      <c r="E324" s="330"/>
      <c r="F324" s="331"/>
      <c r="G324" s="324"/>
      <c r="H324" s="336"/>
      <c r="I324" s="324"/>
      <c r="J324" s="324"/>
      <c r="K324" s="108">
        <v>132.57</v>
      </c>
      <c r="L324" s="109">
        <v>2</v>
      </c>
      <c r="M324" s="340"/>
      <c r="N324" s="341"/>
      <c r="O324" s="343"/>
      <c r="P324" s="343"/>
      <c r="Q324" s="336"/>
      <c r="R324" s="336"/>
    </row>
    <row r="325" spans="1:18" ht="18.95" customHeight="1" x14ac:dyDescent="0.15">
      <c r="A325" s="324"/>
      <c r="B325" s="347"/>
      <c r="C325" s="324"/>
      <c r="D325" s="329"/>
      <c r="E325" s="330"/>
      <c r="F325" s="331"/>
      <c r="G325" s="325"/>
      <c r="H325" s="337"/>
      <c r="I325" s="325"/>
      <c r="J325" s="325"/>
      <c r="K325" s="108">
        <v>150.88999999999999</v>
      </c>
      <c r="L325" s="109">
        <v>1</v>
      </c>
      <c r="M325" s="340"/>
      <c r="N325" s="341"/>
      <c r="O325" s="343"/>
      <c r="P325" s="343"/>
      <c r="Q325" s="336" t="s">
        <v>31</v>
      </c>
      <c r="R325" s="336" t="s">
        <v>103</v>
      </c>
    </row>
    <row r="326" spans="1:18" ht="18.95" customHeight="1" x14ac:dyDescent="0.15">
      <c r="A326" s="324"/>
      <c r="B326" s="347"/>
      <c r="C326" s="325"/>
      <c r="D326" s="332"/>
      <c r="E326" s="333"/>
      <c r="F326" s="334"/>
      <c r="G326" s="319"/>
      <c r="H326" s="319"/>
      <c r="I326" s="319"/>
      <c r="J326" s="319"/>
      <c r="K326" s="320"/>
      <c r="L326" s="110">
        <f>SUM(L321:L325)</f>
        <v>274</v>
      </c>
      <c r="M326" s="321"/>
      <c r="N326" s="322"/>
      <c r="O326" s="344"/>
      <c r="P326" s="344"/>
      <c r="Q326" s="337" t="s">
        <v>73</v>
      </c>
      <c r="R326" s="337"/>
    </row>
    <row r="327" spans="1:18" s="9" customFormat="1" ht="21.75" customHeight="1" x14ac:dyDescent="0.15">
      <c r="A327" s="324"/>
      <c r="B327" s="347"/>
      <c r="C327" s="155" t="s">
        <v>186</v>
      </c>
      <c r="D327" s="158" t="s">
        <v>465</v>
      </c>
      <c r="E327" s="159"/>
      <c r="F327" s="159"/>
      <c r="G327" s="164" t="s">
        <v>466</v>
      </c>
      <c r="H327" s="164" t="s">
        <v>467</v>
      </c>
      <c r="I327" s="166" t="s">
        <v>189</v>
      </c>
      <c r="J327" s="166" t="s">
        <v>174</v>
      </c>
      <c r="K327" s="121" t="s">
        <v>468</v>
      </c>
      <c r="L327" s="121">
        <v>158</v>
      </c>
      <c r="M327" s="150" t="s">
        <v>425</v>
      </c>
      <c r="N327" s="151"/>
      <c r="O327" s="168" t="s">
        <v>470</v>
      </c>
      <c r="P327" s="171">
        <v>43950</v>
      </c>
      <c r="Q327" s="168" t="s">
        <v>471</v>
      </c>
      <c r="R327" s="144" t="s">
        <v>103</v>
      </c>
    </row>
    <row r="328" spans="1:18" s="9" customFormat="1" ht="21.75" customHeight="1" x14ac:dyDescent="0.15">
      <c r="A328" s="324"/>
      <c r="B328" s="347"/>
      <c r="C328" s="156"/>
      <c r="D328" s="160"/>
      <c r="E328" s="161"/>
      <c r="F328" s="161"/>
      <c r="G328" s="165"/>
      <c r="H328" s="165"/>
      <c r="I328" s="167"/>
      <c r="J328" s="167"/>
      <c r="K328" s="121" t="s">
        <v>469</v>
      </c>
      <c r="L328" s="121">
        <v>158</v>
      </c>
      <c r="M328" s="152"/>
      <c r="N328" s="153"/>
      <c r="O328" s="169"/>
      <c r="P328" s="172"/>
      <c r="Q328" s="169"/>
      <c r="R328" s="145"/>
    </row>
    <row r="329" spans="1:18" s="9" customFormat="1" ht="21.75" customHeight="1" x14ac:dyDescent="0.15">
      <c r="A329" s="324"/>
      <c r="B329" s="347"/>
      <c r="C329" s="157"/>
      <c r="D329" s="162"/>
      <c r="E329" s="163"/>
      <c r="F329" s="163"/>
      <c r="G329" s="147" t="s">
        <v>175</v>
      </c>
      <c r="H329" s="148"/>
      <c r="I329" s="148"/>
      <c r="J329" s="148"/>
      <c r="K329" s="149"/>
      <c r="L329" s="111">
        <f>SUM(L327:L328)</f>
        <v>316</v>
      </c>
      <c r="M329" s="147"/>
      <c r="N329" s="154"/>
      <c r="O329" s="170"/>
      <c r="P329" s="173"/>
      <c r="Q329" s="170"/>
      <c r="R329" s="146"/>
    </row>
    <row r="330" spans="1:18" s="9" customFormat="1" ht="21.75" customHeight="1" x14ac:dyDescent="0.15">
      <c r="A330" s="324"/>
      <c r="B330" s="348"/>
      <c r="C330" s="302" t="s">
        <v>85</v>
      </c>
      <c r="D330" s="301" t="s">
        <v>217</v>
      </c>
      <c r="E330" s="302"/>
      <c r="F330" s="302"/>
      <c r="G330" s="351" t="s">
        <v>55</v>
      </c>
      <c r="H330" s="354" t="s">
        <v>242</v>
      </c>
      <c r="I330" s="302" t="s">
        <v>189</v>
      </c>
      <c r="J330" s="302" t="s">
        <v>174</v>
      </c>
      <c r="K330" s="69" t="s">
        <v>181</v>
      </c>
      <c r="L330" s="67">
        <v>28</v>
      </c>
      <c r="M330" s="262" t="s">
        <v>416</v>
      </c>
      <c r="N330" s="309"/>
      <c r="O330" s="276">
        <v>44532</v>
      </c>
      <c r="P330" s="276">
        <v>44566</v>
      </c>
      <c r="Q330" s="312" t="s">
        <v>463</v>
      </c>
      <c r="R330" s="307" t="s">
        <v>464</v>
      </c>
    </row>
    <row r="331" spans="1:18" s="9" customFormat="1" ht="21.75" customHeight="1" x14ac:dyDescent="0.15">
      <c r="A331" s="324"/>
      <c r="B331" s="348"/>
      <c r="C331" s="302"/>
      <c r="D331" s="302"/>
      <c r="E331" s="302"/>
      <c r="F331" s="302"/>
      <c r="G331" s="352"/>
      <c r="H331" s="156"/>
      <c r="I331" s="302"/>
      <c r="J331" s="302"/>
      <c r="K331" s="69" t="s">
        <v>180</v>
      </c>
      <c r="L331" s="67">
        <v>32</v>
      </c>
      <c r="M331" s="264"/>
      <c r="N331" s="310"/>
      <c r="O331" s="277"/>
      <c r="P331" s="277"/>
      <c r="Q331" s="277"/>
      <c r="R331" s="281"/>
    </row>
    <row r="332" spans="1:18" s="9" customFormat="1" ht="21.75" customHeight="1" x14ac:dyDescent="0.15">
      <c r="A332" s="324"/>
      <c r="B332" s="348"/>
      <c r="C332" s="302"/>
      <c r="D332" s="302"/>
      <c r="E332" s="302"/>
      <c r="F332" s="302"/>
      <c r="G332" s="352"/>
      <c r="H332" s="156"/>
      <c r="I332" s="302"/>
      <c r="J332" s="302"/>
      <c r="K332" s="69" t="s">
        <v>178</v>
      </c>
      <c r="L332" s="67">
        <v>149</v>
      </c>
      <c r="M332" s="264"/>
      <c r="N332" s="310"/>
      <c r="O332" s="277"/>
      <c r="P332" s="277"/>
      <c r="Q332" s="277"/>
      <c r="R332" s="281"/>
    </row>
    <row r="333" spans="1:18" s="9" customFormat="1" ht="21.75" customHeight="1" x14ac:dyDescent="0.15">
      <c r="A333" s="324"/>
      <c r="B333" s="348"/>
      <c r="C333" s="302"/>
      <c r="D333" s="302"/>
      <c r="E333" s="302"/>
      <c r="F333" s="302"/>
      <c r="G333" s="352"/>
      <c r="H333" s="156"/>
      <c r="I333" s="302"/>
      <c r="J333" s="302"/>
      <c r="K333" s="69" t="s">
        <v>95</v>
      </c>
      <c r="L333" s="67">
        <v>41</v>
      </c>
      <c r="M333" s="264"/>
      <c r="N333" s="310"/>
      <c r="O333" s="277"/>
      <c r="P333" s="277"/>
      <c r="Q333" s="277"/>
      <c r="R333" s="281"/>
    </row>
    <row r="334" spans="1:18" s="9" customFormat="1" ht="21.75" customHeight="1" x14ac:dyDescent="0.15">
      <c r="A334" s="324"/>
      <c r="B334" s="348"/>
      <c r="C334" s="302"/>
      <c r="D334" s="302"/>
      <c r="E334" s="302"/>
      <c r="F334" s="302"/>
      <c r="G334" s="352"/>
      <c r="H334" s="156"/>
      <c r="I334" s="302"/>
      <c r="J334" s="302"/>
      <c r="K334" s="69" t="s">
        <v>169</v>
      </c>
      <c r="L334" s="67">
        <v>33</v>
      </c>
      <c r="M334" s="264"/>
      <c r="N334" s="310"/>
      <c r="O334" s="277"/>
      <c r="P334" s="277"/>
      <c r="Q334" s="277"/>
      <c r="R334" s="281"/>
    </row>
    <row r="335" spans="1:18" s="9" customFormat="1" ht="21.75" customHeight="1" x14ac:dyDescent="0.15">
      <c r="A335" s="324"/>
      <c r="B335" s="348"/>
      <c r="C335" s="302"/>
      <c r="D335" s="302"/>
      <c r="E335" s="302"/>
      <c r="F335" s="302"/>
      <c r="G335" s="352"/>
      <c r="H335" s="156"/>
      <c r="I335" s="302"/>
      <c r="J335" s="302"/>
      <c r="K335" s="69" t="s">
        <v>203</v>
      </c>
      <c r="L335" s="67">
        <v>42</v>
      </c>
      <c r="M335" s="264"/>
      <c r="N335" s="310"/>
      <c r="O335" s="277"/>
      <c r="P335" s="277"/>
      <c r="Q335" s="277"/>
      <c r="R335" s="281"/>
    </row>
    <row r="336" spans="1:18" s="9" customFormat="1" ht="21.75" customHeight="1" x14ac:dyDescent="0.15">
      <c r="A336" s="324"/>
      <c r="B336" s="348"/>
      <c r="C336" s="302"/>
      <c r="D336" s="302"/>
      <c r="E336" s="302"/>
      <c r="F336" s="302"/>
      <c r="G336" s="353"/>
      <c r="H336" s="157"/>
      <c r="I336" s="302"/>
      <c r="J336" s="302"/>
      <c r="K336" s="69" t="s">
        <v>100</v>
      </c>
      <c r="L336" s="67">
        <v>38</v>
      </c>
      <c r="M336" s="266"/>
      <c r="N336" s="311"/>
      <c r="O336" s="277"/>
      <c r="P336" s="277"/>
      <c r="Q336" s="277"/>
      <c r="R336" s="281"/>
    </row>
    <row r="337" spans="1:18" s="9" customFormat="1" ht="21.75" customHeight="1" x14ac:dyDescent="0.15">
      <c r="A337" s="324"/>
      <c r="B337" s="348"/>
      <c r="C337" s="302"/>
      <c r="D337" s="302"/>
      <c r="E337" s="302"/>
      <c r="F337" s="302"/>
      <c r="G337" s="147" t="s">
        <v>175</v>
      </c>
      <c r="H337" s="148"/>
      <c r="I337" s="148"/>
      <c r="J337" s="148"/>
      <c r="K337" s="149"/>
      <c r="L337" s="68">
        <f>SUM(L330:L336)</f>
        <v>363</v>
      </c>
      <c r="M337" s="147"/>
      <c r="N337" s="154"/>
      <c r="O337" s="278"/>
      <c r="P337" s="278"/>
      <c r="Q337" s="278"/>
      <c r="R337" s="282"/>
    </row>
    <row r="338" spans="1:18" s="9" customFormat="1" ht="21.75" customHeight="1" x14ac:dyDescent="0.15">
      <c r="A338" s="324"/>
      <c r="B338" s="348"/>
      <c r="C338" s="302" t="s">
        <v>90</v>
      </c>
      <c r="D338" s="301" t="s">
        <v>321</v>
      </c>
      <c r="E338" s="302"/>
      <c r="F338" s="302"/>
      <c r="G338" s="355" t="s">
        <v>381</v>
      </c>
      <c r="H338" s="301" t="s">
        <v>231</v>
      </c>
      <c r="I338" s="302" t="s">
        <v>189</v>
      </c>
      <c r="J338" s="302" t="s">
        <v>174</v>
      </c>
      <c r="K338" s="69" t="s">
        <v>181</v>
      </c>
      <c r="L338" s="67">
        <v>217</v>
      </c>
      <c r="M338" s="262" t="s">
        <v>416</v>
      </c>
      <c r="N338" s="309"/>
      <c r="O338" s="276">
        <v>44552</v>
      </c>
      <c r="P338" s="276">
        <v>44587</v>
      </c>
      <c r="Q338" s="283" t="s">
        <v>394</v>
      </c>
      <c r="R338" s="307" t="s">
        <v>474</v>
      </c>
    </row>
    <row r="339" spans="1:18" s="9" customFormat="1" ht="21.75" customHeight="1" x14ac:dyDescent="0.15">
      <c r="A339" s="324"/>
      <c r="B339" s="348"/>
      <c r="C339" s="302"/>
      <c r="D339" s="302"/>
      <c r="E339" s="302"/>
      <c r="F339" s="302"/>
      <c r="G339" s="302"/>
      <c r="H339" s="302"/>
      <c r="I339" s="302"/>
      <c r="J339" s="302"/>
      <c r="K339" s="69" t="s">
        <v>180</v>
      </c>
      <c r="L339" s="67">
        <v>180</v>
      </c>
      <c r="M339" s="264"/>
      <c r="N339" s="310"/>
      <c r="O339" s="277"/>
      <c r="P339" s="277"/>
      <c r="Q339" s="277"/>
      <c r="R339" s="281"/>
    </row>
    <row r="340" spans="1:18" s="9" customFormat="1" ht="21.75" customHeight="1" x14ac:dyDescent="0.15">
      <c r="A340" s="324"/>
      <c r="B340" s="348"/>
      <c r="C340" s="302"/>
      <c r="D340" s="302"/>
      <c r="E340" s="302"/>
      <c r="F340" s="302"/>
      <c r="G340" s="302"/>
      <c r="H340" s="302"/>
      <c r="I340" s="302"/>
      <c r="J340" s="302"/>
      <c r="K340" s="69" t="s">
        <v>178</v>
      </c>
      <c r="L340" s="67">
        <v>42</v>
      </c>
      <c r="M340" s="264"/>
      <c r="N340" s="310"/>
      <c r="O340" s="277"/>
      <c r="P340" s="277"/>
      <c r="Q340" s="277"/>
      <c r="R340" s="281"/>
    </row>
    <row r="341" spans="1:18" s="9" customFormat="1" ht="21.75" customHeight="1" x14ac:dyDescent="0.15">
      <c r="A341" s="324"/>
      <c r="B341" s="348"/>
      <c r="C341" s="302"/>
      <c r="D341" s="302"/>
      <c r="E341" s="302"/>
      <c r="F341" s="302"/>
      <c r="G341" s="302"/>
      <c r="H341" s="302"/>
      <c r="I341" s="302"/>
      <c r="J341" s="302"/>
      <c r="K341" s="69" t="s">
        <v>95</v>
      </c>
      <c r="L341" s="67">
        <v>42</v>
      </c>
      <c r="M341" s="266"/>
      <c r="N341" s="311"/>
      <c r="O341" s="277"/>
      <c r="P341" s="277"/>
      <c r="Q341" s="277"/>
      <c r="R341" s="281"/>
    </row>
    <row r="342" spans="1:18" s="9" customFormat="1" ht="21.75" customHeight="1" x14ac:dyDescent="0.15">
      <c r="A342" s="324"/>
      <c r="B342" s="348"/>
      <c r="C342" s="302"/>
      <c r="D342" s="302"/>
      <c r="E342" s="302"/>
      <c r="F342" s="302"/>
      <c r="G342" s="147" t="s">
        <v>175</v>
      </c>
      <c r="H342" s="148"/>
      <c r="I342" s="148"/>
      <c r="J342" s="148"/>
      <c r="K342" s="149"/>
      <c r="L342" s="68">
        <f>SUM(L338:L341)</f>
        <v>481</v>
      </c>
      <c r="M342" s="147"/>
      <c r="N342" s="154"/>
      <c r="O342" s="278"/>
      <c r="P342" s="278"/>
      <c r="Q342" s="278"/>
      <c r="R342" s="282"/>
    </row>
    <row r="343" spans="1:18" s="9" customFormat="1" ht="21.75" customHeight="1" x14ac:dyDescent="0.15">
      <c r="A343" s="324"/>
      <c r="B343" s="348"/>
      <c r="C343" s="155" t="s">
        <v>186</v>
      </c>
      <c r="D343" s="308" t="s">
        <v>304</v>
      </c>
      <c r="E343" s="263"/>
      <c r="F343" s="309"/>
      <c r="G343" s="268" t="s">
        <v>383</v>
      </c>
      <c r="H343" s="269" t="s">
        <v>199</v>
      </c>
      <c r="I343" s="269" t="s">
        <v>189</v>
      </c>
      <c r="J343" s="269" t="s">
        <v>174</v>
      </c>
      <c r="K343" s="69" t="s">
        <v>181</v>
      </c>
      <c r="L343" s="61">
        <v>539</v>
      </c>
      <c r="M343" s="284" t="s">
        <v>416</v>
      </c>
      <c r="N343" s="285"/>
      <c r="O343" s="276">
        <v>44595</v>
      </c>
      <c r="P343" s="276">
        <v>44630</v>
      </c>
      <c r="Q343" s="283" t="s">
        <v>112</v>
      </c>
      <c r="R343" s="307" t="s">
        <v>475</v>
      </c>
    </row>
    <row r="344" spans="1:18" s="9" customFormat="1" ht="21.75" customHeight="1" x14ac:dyDescent="0.15">
      <c r="A344" s="324"/>
      <c r="B344" s="348"/>
      <c r="C344" s="156"/>
      <c r="D344" s="265"/>
      <c r="E344" s="265"/>
      <c r="F344" s="310"/>
      <c r="G344" s="156"/>
      <c r="H344" s="156"/>
      <c r="I344" s="156"/>
      <c r="J344" s="156"/>
      <c r="K344" s="69" t="s">
        <v>180</v>
      </c>
      <c r="L344" s="61">
        <v>184</v>
      </c>
      <c r="M344" s="286"/>
      <c r="N344" s="287"/>
      <c r="O344" s="277"/>
      <c r="P344" s="277"/>
      <c r="Q344" s="277"/>
      <c r="R344" s="281"/>
    </row>
    <row r="345" spans="1:18" s="9" customFormat="1" ht="21.75" customHeight="1" x14ac:dyDescent="0.15">
      <c r="A345" s="324"/>
      <c r="B345" s="348"/>
      <c r="C345" s="156"/>
      <c r="D345" s="265"/>
      <c r="E345" s="265"/>
      <c r="F345" s="310"/>
      <c r="G345" s="157"/>
      <c r="H345" s="157"/>
      <c r="I345" s="157"/>
      <c r="J345" s="157"/>
      <c r="K345" s="69" t="s">
        <v>178</v>
      </c>
      <c r="L345" s="61">
        <v>270</v>
      </c>
      <c r="M345" s="288"/>
      <c r="N345" s="289"/>
      <c r="O345" s="277"/>
      <c r="P345" s="277"/>
      <c r="Q345" s="277"/>
      <c r="R345" s="281"/>
    </row>
    <row r="346" spans="1:18" s="9" customFormat="1" ht="21.75" customHeight="1" x14ac:dyDescent="0.15">
      <c r="A346" s="324"/>
      <c r="B346" s="348"/>
      <c r="C346" s="157"/>
      <c r="D346" s="267"/>
      <c r="E346" s="267"/>
      <c r="F346" s="311"/>
      <c r="G346" s="147" t="s">
        <v>175</v>
      </c>
      <c r="H346" s="148"/>
      <c r="I346" s="148"/>
      <c r="J346" s="148"/>
      <c r="K346" s="149"/>
      <c r="L346" s="68">
        <f>SUM(L343:L345)</f>
        <v>993</v>
      </c>
      <c r="M346" s="147"/>
      <c r="N346" s="154"/>
      <c r="O346" s="278"/>
      <c r="P346" s="278"/>
      <c r="Q346" s="278"/>
      <c r="R346" s="282"/>
    </row>
    <row r="347" spans="1:18" s="9" customFormat="1" ht="21.75" customHeight="1" x14ac:dyDescent="0.15">
      <c r="A347" s="324"/>
      <c r="B347" s="348"/>
      <c r="C347" s="155" t="s">
        <v>90</v>
      </c>
      <c r="D347" s="262" t="s">
        <v>289</v>
      </c>
      <c r="E347" s="263"/>
      <c r="F347" s="263"/>
      <c r="G347" s="268" t="s">
        <v>391</v>
      </c>
      <c r="H347" s="269" t="s">
        <v>201</v>
      </c>
      <c r="I347" s="269" t="s">
        <v>189</v>
      </c>
      <c r="J347" s="269" t="s">
        <v>174</v>
      </c>
      <c r="K347" s="70" t="s">
        <v>181</v>
      </c>
      <c r="L347" s="61">
        <v>74</v>
      </c>
      <c r="M347" s="284" t="s">
        <v>416</v>
      </c>
      <c r="N347" s="285"/>
      <c r="O347" s="276">
        <v>44761</v>
      </c>
      <c r="P347" s="276">
        <v>44791</v>
      </c>
      <c r="Q347" s="283" t="s">
        <v>52</v>
      </c>
      <c r="R347" s="280" t="s">
        <v>167</v>
      </c>
    </row>
    <row r="348" spans="1:18" s="9" customFormat="1" ht="21.75" customHeight="1" x14ac:dyDescent="0.15">
      <c r="A348" s="324"/>
      <c r="B348" s="348"/>
      <c r="C348" s="156"/>
      <c r="D348" s="264"/>
      <c r="E348" s="265"/>
      <c r="F348" s="265"/>
      <c r="G348" s="156"/>
      <c r="H348" s="156"/>
      <c r="I348" s="156"/>
      <c r="J348" s="156"/>
      <c r="K348" s="70" t="s">
        <v>180</v>
      </c>
      <c r="L348" s="61">
        <v>128</v>
      </c>
      <c r="M348" s="286"/>
      <c r="N348" s="287"/>
      <c r="O348" s="277"/>
      <c r="P348" s="277"/>
      <c r="Q348" s="277"/>
      <c r="R348" s="281"/>
    </row>
    <row r="349" spans="1:18" s="9" customFormat="1" ht="21.75" customHeight="1" x14ac:dyDescent="0.15">
      <c r="A349" s="324"/>
      <c r="B349" s="348"/>
      <c r="C349" s="156"/>
      <c r="D349" s="264"/>
      <c r="E349" s="265"/>
      <c r="F349" s="265"/>
      <c r="G349" s="157"/>
      <c r="H349" s="157"/>
      <c r="I349" s="157"/>
      <c r="J349" s="157"/>
      <c r="K349" s="70" t="s">
        <v>178</v>
      </c>
      <c r="L349" s="61">
        <v>70</v>
      </c>
      <c r="M349" s="288"/>
      <c r="N349" s="289"/>
      <c r="O349" s="277"/>
      <c r="P349" s="277"/>
      <c r="Q349" s="277"/>
      <c r="R349" s="281"/>
    </row>
    <row r="350" spans="1:18" s="9" customFormat="1" ht="21.75" customHeight="1" x14ac:dyDescent="0.15">
      <c r="A350" s="324"/>
      <c r="B350" s="348"/>
      <c r="C350" s="157"/>
      <c r="D350" s="266"/>
      <c r="E350" s="267"/>
      <c r="F350" s="267"/>
      <c r="G350" s="147" t="s">
        <v>175</v>
      </c>
      <c r="H350" s="148"/>
      <c r="I350" s="148"/>
      <c r="J350" s="148"/>
      <c r="K350" s="149"/>
      <c r="L350" s="68">
        <f>SUM(L347:L349)</f>
        <v>272</v>
      </c>
      <c r="M350" s="147"/>
      <c r="N350" s="154"/>
      <c r="O350" s="278"/>
      <c r="P350" s="278"/>
      <c r="Q350" s="278"/>
      <c r="R350" s="282"/>
    </row>
    <row r="351" spans="1:18" s="9" customFormat="1" ht="21.75" customHeight="1" x14ac:dyDescent="0.15">
      <c r="A351" s="324"/>
      <c r="B351" s="348"/>
      <c r="C351" s="269" t="s">
        <v>75</v>
      </c>
      <c r="D351" s="292" t="s">
        <v>327</v>
      </c>
      <c r="E351" s="293"/>
      <c r="F351" s="294"/>
      <c r="G351" s="301" t="s">
        <v>396</v>
      </c>
      <c r="H351" s="302" t="s">
        <v>63</v>
      </c>
      <c r="I351" s="302" t="s">
        <v>189</v>
      </c>
      <c r="J351" s="302" t="s">
        <v>174</v>
      </c>
      <c r="K351" s="67" t="s">
        <v>181</v>
      </c>
      <c r="L351" s="19">
        <v>24</v>
      </c>
      <c r="M351" s="303" t="s">
        <v>416</v>
      </c>
      <c r="N351" s="304"/>
      <c r="O351" s="276">
        <v>44841</v>
      </c>
      <c r="P351" s="276">
        <v>44872</v>
      </c>
      <c r="Q351" s="283" t="s">
        <v>204</v>
      </c>
      <c r="R351" s="280" t="s">
        <v>103</v>
      </c>
    </row>
    <row r="352" spans="1:18" s="9" customFormat="1" ht="21.75" customHeight="1" x14ac:dyDescent="0.15">
      <c r="A352" s="324"/>
      <c r="B352" s="348"/>
      <c r="C352" s="290"/>
      <c r="D352" s="295"/>
      <c r="E352" s="296"/>
      <c r="F352" s="297"/>
      <c r="G352" s="301"/>
      <c r="H352" s="302"/>
      <c r="I352" s="302"/>
      <c r="J352" s="302"/>
      <c r="K352" s="67" t="s">
        <v>180</v>
      </c>
      <c r="L352" s="19">
        <v>24</v>
      </c>
      <c r="M352" s="305"/>
      <c r="N352" s="306"/>
      <c r="O352" s="277"/>
      <c r="P352" s="277"/>
      <c r="Q352" s="277"/>
      <c r="R352" s="281"/>
    </row>
    <row r="353" spans="1:18" s="9" customFormat="1" ht="21.75" customHeight="1" x14ac:dyDescent="0.15">
      <c r="A353" s="324"/>
      <c r="B353" s="348"/>
      <c r="C353" s="291"/>
      <c r="D353" s="298"/>
      <c r="E353" s="299"/>
      <c r="F353" s="300"/>
      <c r="G353" s="147" t="s">
        <v>175</v>
      </c>
      <c r="H353" s="148"/>
      <c r="I353" s="148"/>
      <c r="J353" s="148"/>
      <c r="K353" s="149"/>
      <c r="L353" s="68">
        <f>SUM(L351:L352)</f>
        <v>48</v>
      </c>
      <c r="M353" s="147"/>
      <c r="N353" s="154"/>
      <c r="O353" s="278"/>
      <c r="P353" s="278"/>
      <c r="Q353" s="278"/>
      <c r="R353" s="282"/>
    </row>
    <row r="354" spans="1:18" s="9" customFormat="1" ht="18.95" customHeight="1" x14ac:dyDescent="0.15">
      <c r="A354" s="324"/>
      <c r="B354" s="349"/>
      <c r="C354" s="155" t="s">
        <v>74</v>
      </c>
      <c r="D354" s="262" t="s">
        <v>291</v>
      </c>
      <c r="E354" s="263"/>
      <c r="F354" s="263"/>
      <c r="G354" s="268" t="s">
        <v>300</v>
      </c>
      <c r="H354" s="269" t="s">
        <v>305</v>
      </c>
      <c r="I354" s="269" t="s">
        <v>189</v>
      </c>
      <c r="J354" s="269" t="s">
        <v>174</v>
      </c>
      <c r="K354" s="45" t="s">
        <v>82</v>
      </c>
      <c r="L354" s="35">
        <v>19</v>
      </c>
      <c r="M354" s="270" t="s">
        <v>416</v>
      </c>
      <c r="N354" s="271"/>
      <c r="O354" s="276" t="s">
        <v>357</v>
      </c>
      <c r="P354" s="276" t="s">
        <v>363</v>
      </c>
      <c r="Q354" s="279" t="s">
        <v>202</v>
      </c>
      <c r="R354" s="280" t="s">
        <v>103</v>
      </c>
    </row>
    <row r="355" spans="1:18" s="9" customFormat="1" ht="18.95" customHeight="1" x14ac:dyDescent="0.15">
      <c r="A355" s="324"/>
      <c r="B355" s="349"/>
      <c r="C355" s="156"/>
      <c r="D355" s="264"/>
      <c r="E355" s="265"/>
      <c r="F355" s="265"/>
      <c r="G355" s="156"/>
      <c r="H355" s="156"/>
      <c r="I355" s="156"/>
      <c r="J355" s="156"/>
      <c r="K355" s="45" t="s">
        <v>80</v>
      </c>
      <c r="L355" s="35">
        <v>1</v>
      </c>
      <c r="M355" s="272"/>
      <c r="N355" s="273"/>
      <c r="O355" s="277"/>
      <c r="P355" s="277"/>
      <c r="Q355" s="277"/>
      <c r="R355" s="281"/>
    </row>
    <row r="356" spans="1:18" s="9" customFormat="1" ht="18.95" customHeight="1" x14ac:dyDescent="0.15">
      <c r="A356" s="324"/>
      <c r="B356" s="349"/>
      <c r="C356" s="156"/>
      <c r="D356" s="264"/>
      <c r="E356" s="265"/>
      <c r="F356" s="265"/>
      <c r="G356" s="157"/>
      <c r="H356" s="157"/>
      <c r="I356" s="157"/>
      <c r="J356" s="157"/>
      <c r="K356" s="45">
        <v>78</v>
      </c>
      <c r="L356" s="35">
        <v>32</v>
      </c>
      <c r="M356" s="274"/>
      <c r="N356" s="275"/>
      <c r="O356" s="277"/>
      <c r="P356" s="277"/>
      <c r="Q356" s="277"/>
      <c r="R356" s="281"/>
    </row>
    <row r="357" spans="1:18" s="9" customFormat="1" ht="18.95" customHeight="1" x14ac:dyDescent="0.15">
      <c r="A357" s="324"/>
      <c r="B357" s="349"/>
      <c r="C357" s="157"/>
      <c r="D357" s="266"/>
      <c r="E357" s="267"/>
      <c r="F357" s="267"/>
      <c r="G357" s="147" t="s">
        <v>175</v>
      </c>
      <c r="H357" s="148"/>
      <c r="I357" s="148"/>
      <c r="J357" s="148"/>
      <c r="K357" s="149"/>
      <c r="L357" s="68">
        <f>SUM(L354:L356)</f>
        <v>52</v>
      </c>
      <c r="M357" s="147"/>
      <c r="N357" s="154"/>
      <c r="O357" s="278"/>
      <c r="P357" s="278"/>
      <c r="Q357" s="278"/>
      <c r="R357" s="282"/>
    </row>
    <row r="358" spans="1:18" s="4" customFormat="1" ht="21.95" customHeight="1" x14ac:dyDescent="0.15">
      <c r="A358" s="324"/>
      <c r="B358" s="243" t="s">
        <v>403</v>
      </c>
      <c r="C358" s="244"/>
      <c r="D358" s="244"/>
      <c r="E358" s="244"/>
      <c r="F358" s="244"/>
      <c r="G358" s="244"/>
      <c r="H358" s="244"/>
      <c r="I358" s="244"/>
      <c r="J358" s="244"/>
      <c r="K358" s="245"/>
      <c r="L358" s="59">
        <f>SUM(L357,L353,L350,L346,L342,L337,L326,L320,L329)</f>
        <v>2961</v>
      </c>
      <c r="M358" s="59">
        <v>1164</v>
      </c>
      <c r="N358" s="59">
        <v>1169</v>
      </c>
      <c r="O358" s="66"/>
      <c r="P358" s="66"/>
      <c r="Q358" s="71"/>
      <c r="R358" s="71"/>
    </row>
    <row r="359" spans="1:18" ht="21" customHeight="1" x14ac:dyDescent="0.15">
      <c r="A359" s="324"/>
      <c r="B359" s="246" t="s">
        <v>105</v>
      </c>
      <c r="C359" s="155" t="s">
        <v>194</v>
      </c>
      <c r="D359" s="247" t="s">
        <v>313</v>
      </c>
      <c r="E359" s="248"/>
      <c r="F359" s="249"/>
      <c r="G359" s="256" t="s">
        <v>38</v>
      </c>
      <c r="H359" s="256" t="s">
        <v>38</v>
      </c>
      <c r="I359" s="256" t="s">
        <v>189</v>
      </c>
      <c r="J359" s="256" t="s">
        <v>174</v>
      </c>
      <c r="K359" s="19">
        <v>84.39</v>
      </c>
      <c r="L359" s="18">
        <v>65</v>
      </c>
      <c r="M359" s="258" t="s">
        <v>416</v>
      </c>
      <c r="N359" s="259"/>
      <c r="O359" s="236" t="s">
        <v>233</v>
      </c>
      <c r="P359" s="236" t="s">
        <v>238</v>
      </c>
      <c r="Q359" s="236" t="s">
        <v>54</v>
      </c>
      <c r="R359" s="239" t="s">
        <v>103</v>
      </c>
    </row>
    <row r="360" spans="1:18" ht="21" customHeight="1" x14ac:dyDescent="0.15">
      <c r="A360" s="324"/>
      <c r="B360" s="178"/>
      <c r="C360" s="156"/>
      <c r="D360" s="250"/>
      <c r="E360" s="251"/>
      <c r="F360" s="252"/>
      <c r="G360" s="257"/>
      <c r="H360" s="257"/>
      <c r="I360" s="257"/>
      <c r="J360" s="257"/>
      <c r="K360" s="19">
        <v>84.87</v>
      </c>
      <c r="L360" s="18">
        <v>4</v>
      </c>
      <c r="M360" s="260"/>
      <c r="N360" s="261"/>
      <c r="O360" s="237"/>
      <c r="P360" s="237"/>
      <c r="Q360" s="237"/>
      <c r="R360" s="239"/>
    </row>
    <row r="361" spans="1:18" ht="21" customHeight="1" x14ac:dyDescent="0.15">
      <c r="A361" s="324"/>
      <c r="B361" s="178"/>
      <c r="C361" s="157"/>
      <c r="D361" s="253"/>
      <c r="E361" s="254"/>
      <c r="F361" s="255"/>
      <c r="G361" s="147" t="s">
        <v>34</v>
      </c>
      <c r="H361" s="177"/>
      <c r="I361" s="177"/>
      <c r="J361" s="177"/>
      <c r="K361" s="154"/>
      <c r="L361" s="50">
        <f>SUM(L359:L360)</f>
        <v>69</v>
      </c>
      <c r="M361" s="241"/>
      <c r="N361" s="242"/>
      <c r="O361" s="238"/>
      <c r="P361" s="238"/>
      <c r="Q361" s="238"/>
      <c r="R361" s="240"/>
    </row>
    <row r="362" spans="1:18" ht="21" customHeight="1" x14ac:dyDescent="0.15">
      <c r="A362" s="325"/>
      <c r="B362" s="235" t="s">
        <v>410</v>
      </c>
      <c r="C362" s="235"/>
      <c r="D362" s="235"/>
      <c r="E362" s="235"/>
      <c r="F362" s="235"/>
      <c r="G362" s="235"/>
      <c r="H362" s="235"/>
      <c r="I362" s="235"/>
      <c r="J362" s="235"/>
      <c r="K362" s="235"/>
      <c r="L362" s="59">
        <f>L361</f>
        <v>69</v>
      </c>
      <c r="M362" s="5">
        <v>30</v>
      </c>
      <c r="N362" s="59">
        <v>28</v>
      </c>
      <c r="O362" s="66"/>
      <c r="P362" s="66"/>
      <c r="Q362" s="71"/>
      <c r="R362" s="71"/>
    </row>
    <row r="363" spans="1:18" s="2" customFormat="1" ht="29.25" customHeight="1" x14ac:dyDescent="0.15">
      <c r="L363" s="3"/>
      <c r="M363" s="3"/>
      <c r="N363" s="3"/>
      <c r="O363" s="10"/>
    </row>
    <row r="364" spans="1:18" ht="18.75" x14ac:dyDescent="0.25">
      <c r="L364" s="3"/>
      <c r="M364" s="134"/>
      <c r="N364" s="134"/>
    </row>
  </sheetData>
  <mergeCells count="797">
    <mergeCell ref="G51:K51"/>
    <mergeCell ref="M46:N50"/>
    <mergeCell ref="M51:N51"/>
    <mergeCell ref="C46:C51"/>
    <mergeCell ref="D46:F51"/>
    <mergeCell ref="G46:G50"/>
    <mergeCell ref="H46:H50"/>
    <mergeCell ref="I46:I50"/>
    <mergeCell ref="J46:J50"/>
    <mergeCell ref="O46:O51"/>
    <mergeCell ref="P46:P51"/>
    <mergeCell ref="Q46:Q51"/>
    <mergeCell ref="R46:R51"/>
    <mergeCell ref="P300:P314"/>
    <mergeCell ref="Q300:Q314"/>
    <mergeCell ref="R300:R314"/>
    <mergeCell ref="G314:K314"/>
    <mergeCell ref="M314:N314"/>
    <mergeCell ref="M300:N313"/>
    <mergeCell ref="Q53:Q62"/>
    <mergeCell ref="R53:R62"/>
    <mergeCell ref="O63:O71"/>
    <mergeCell ref="P63:P71"/>
    <mergeCell ref="Q63:Q71"/>
    <mergeCell ref="R63:R71"/>
    <mergeCell ref="G71:K71"/>
    <mergeCell ref="M71:N71"/>
    <mergeCell ref="B52:K52"/>
    <mergeCell ref="G72:G77"/>
    <mergeCell ref="H72:H77"/>
    <mergeCell ref="I72:I77"/>
    <mergeCell ref="J72:J77"/>
    <mergeCell ref="M72:N77"/>
    <mergeCell ref="C300:C314"/>
    <mergeCell ref="D300:F314"/>
    <mergeCell ref="G300:G313"/>
    <mergeCell ref="H300:H313"/>
    <mergeCell ref="I300:I313"/>
    <mergeCell ref="J300:J313"/>
    <mergeCell ref="O300:O314"/>
    <mergeCell ref="A1:R1"/>
    <mergeCell ref="A2:C2"/>
    <mergeCell ref="D2:F4"/>
    <mergeCell ref="G2:H2"/>
    <mergeCell ref="I2:J2"/>
    <mergeCell ref="L2:N2"/>
    <mergeCell ref="O2:O4"/>
    <mergeCell ref="P2:P4"/>
    <mergeCell ref="Q2:Q4"/>
    <mergeCell ref="R2:R4"/>
    <mergeCell ref="A3:A4"/>
    <mergeCell ref="B3:B4"/>
    <mergeCell ref="C3:C4"/>
    <mergeCell ref="G3:G4"/>
    <mergeCell ref="H3:H4"/>
    <mergeCell ref="I3:I4"/>
    <mergeCell ref="J3:J4"/>
    <mergeCell ref="K3:K4"/>
    <mergeCell ref="L3:L4"/>
    <mergeCell ref="M3:N3"/>
    <mergeCell ref="A5:A362"/>
    <mergeCell ref="B5:B45"/>
    <mergeCell ref="M19:N27"/>
    <mergeCell ref="C34:C36"/>
    <mergeCell ref="O5:O7"/>
    <mergeCell ref="O11:O14"/>
    <mergeCell ref="O19:O28"/>
    <mergeCell ref="C5:C7"/>
    <mergeCell ref="D5:F7"/>
    <mergeCell ref="G5:G6"/>
    <mergeCell ref="H5:H6"/>
    <mergeCell ref="I5:I6"/>
    <mergeCell ref="J5:J6"/>
    <mergeCell ref="M5:N6"/>
    <mergeCell ref="C11:C14"/>
    <mergeCell ref="D11:F14"/>
    <mergeCell ref="G11:G13"/>
    <mergeCell ref="H11:H13"/>
    <mergeCell ref="I11:I13"/>
    <mergeCell ref="J11:J13"/>
    <mergeCell ref="M11:N13"/>
    <mergeCell ref="C88:C94"/>
    <mergeCell ref="C63:C71"/>
    <mergeCell ref="D63:F71"/>
    <mergeCell ref="P5:P7"/>
    <mergeCell ref="Q5:Q7"/>
    <mergeCell ref="R5:R7"/>
    <mergeCell ref="G7:K7"/>
    <mergeCell ref="M7:N7"/>
    <mergeCell ref="C8:C10"/>
    <mergeCell ref="D8:F10"/>
    <mergeCell ref="G8:G9"/>
    <mergeCell ref="H8:H9"/>
    <mergeCell ref="I8:I9"/>
    <mergeCell ref="J8:J9"/>
    <mergeCell ref="M8:N9"/>
    <mergeCell ref="O8:O10"/>
    <mergeCell ref="P8:P10"/>
    <mergeCell ref="Q8:Q10"/>
    <mergeCell ref="R8:R10"/>
    <mergeCell ref="G10:K10"/>
    <mergeCell ref="M10:N10"/>
    <mergeCell ref="C19:C28"/>
    <mergeCell ref="D19:F28"/>
    <mergeCell ref="G19:G27"/>
    <mergeCell ref="P11:P14"/>
    <mergeCell ref="Q11:Q14"/>
    <mergeCell ref="R11:R14"/>
    <mergeCell ref="G14:K14"/>
    <mergeCell ref="M14:N14"/>
    <mergeCell ref="C15:C18"/>
    <mergeCell ref="D15:F18"/>
    <mergeCell ref="G15:G17"/>
    <mergeCell ref="H15:H17"/>
    <mergeCell ref="I15:I17"/>
    <mergeCell ref="J15:J17"/>
    <mergeCell ref="M15:N17"/>
    <mergeCell ref="O15:O18"/>
    <mergeCell ref="P15:P18"/>
    <mergeCell ref="Q15:Q18"/>
    <mergeCell ref="R15:R18"/>
    <mergeCell ref="G18:K18"/>
    <mergeCell ref="M18:N18"/>
    <mergeCell ref="C29:C33"/>
    <mergeCell ref="D29:F33"/>
    <mergeCell ref="G29:G32"/>
    <mergeCell ref="H29:H32"/>
    <mergeCell ref="I29:I32"/>
    <mergeCell ref="J29:J32"/>
    <mergeCell ref="M29:N32"/>
    <mergeCell ref="O29:O33"/>
    <mergeCell ref="P29:P33"/>
    <mergeCell ref="G33:K33"/>
    <mergeCell ref="M33:N33"/>
    <mergeCell ref="M34:N35"/>
    <mergeCell ref="O34:O36"/>
    <mergeCell ref="P34:P36"/>
    <mergeCell ref="Q34:Q36"/>
    <mergeCell ref="P19:P28"/>
    <mergeCell ref="Q19:Q28"/>
    <mergeCell ref="R19:R28"/>
    <mergeCell ref="G28:K28"/>
    <mergeCell ref="M28:N28"/>
    <mergeCell ref="Q29:Q33"/>
    <mergeCell ref="R29:R33"/>
    <mergeCell ref="H19:H27"/>
    <mergeCell ref="I19:I27"/>
    <mergeCell ref="J19:J27"/>
    <mergeCell ref="Q43:Q45"/>
    <mergeCell ref="R43:R45"/>
    <mergeCell ref="G45:K45"/>
    <mergeCell ref="M45:N45"/>
    <mergeCell ref="R34:R36"/>
    <mergeCell ref="G36:K36"/>
    <mergeCell ref="M36:N36"/>
    <mergeCell ref="C37:C42"/>
    <mergeCell ref="D37:F42"/>
    <mergeCell ref="G37:G41"/>
    <mergeCell ref="H37:H41"/>
    <mergeCell ref="I37:I41"/>
    <mergeCell ref="J37:J41"/>
    <mergeCell ref="M37:N41"/>
    <mergeCell ref="O37:O42"/>
    <mergeCell ref="P37:P42"/>
    <mergeCell ref="Q37:Q42"/>
    <mergeCell ref="R37:R42"/>
    <mergeCell ref="M42:N42"/>
    <mergeCell ref="D34:F36"/>
    <mergeCell ref="G34:G35"/>
    <mergeCell ref="H34:H35"/>
    <mergeCell ref="I34:I35"/>
    <mergeCell ref="J34:J35"/>
    <mergeCell ref="C43:C45"/>
    <mergeCell ref="D43:F45"/>
    <mergeCell ref="G43:G44"/>
    <mergeCell ref="H43:H44"/>
    <mergeCell ref="I43:I44"/>
    <mergeCell ref="J43:J44"/>
    <mergeCell ref="M43:N44"/>
    <mergeCell ref="O43:O45"/>
    <mergeCell ref="P43:P45"/>
    <mergeCell ref="O72:O78"/>
    <mergeCell ref="P72:P78"/>
    <mergeCell ref="C53:C62"/>
    <mergeCell ref="D53:F62"/>
    <mergeCell ref="G53:G61"/>
    <mergeCell ref="H53:H61"/>
    <mergeCell ref="I53:I61"/>
    <mergeCell ref="J53:J61"/>
    <mergeCell ref="M53:N61"/>
    <mergeCell ref="O53:O62"/>
    <mergeCell ref="P53:P62"/>
    <mergeCell ref="G62:K62"/>
    <mergeCell ref="M62:N62"/>
    <mergeCell ref="G63:G70"/>
    <mergeCell ref="H63:H70"/>
    <mergeCell ref="I63:I70"/>
    <mergeCell ref="J63:J70"/>
    <mergeCell ref="M63:N70"/>
    <mergeCell ref="Q72:Q78"/>
    <mergeCell ref="R72:R78"/>
    <mergeCell ref="G78:K78"/>
    <mergeCell ref="M78:N78"/>
    <mergeCell ref="C83:C87"/>
    <mergeCell ref="D83:F87"/>
    <mergeCell ref="G83:G86"/>
    <mergeCell ref="H83:H86"/>
    <mergeCell ref="I83:I86"/>
    <mergeCell ref="J83:J86"/>
    <mergeCell ref="M83:N86"/>
    <mergeCell ref="O83:O87"/>
    <mergeCell ref="P83:P87"/>
    <mergeCell ref="G87:K87"/>
    <mergeCell ref="M87:N87"/>
    <mergeCell ref="C79:C82"/>
    <mergeCell ref="D79:F82"/>
    <mergeCell ref="G79:G81"/>
    <mergeCell ref="H79:H81"/>
    <mergeCell ref="I79:I81"/>
    <mergeCell ref="J79:J81"/>
    <mergeCell ref="M79:N81"/>
    <mergeCell ref="C72:C78"/>
    <mergeCell ref="D72:F78"/>
    <mergeCell ref="J88:J93"/>
    <mergeCell ref="M88:N93"/>
    <mergeCell ref="O88:O94"/>
    <mergeCell ref="P88:P94"/>
    <mergeCell ref="Q88:Q94"/>
    <mergeCell ref="O79:O82"/>
    <mergeCell ref="P79:P82"/>
    <mergeCell ref="Q79:Q82"/>
    <mergeCell ref="R79:R82"/>
    <mergeCell ref="G82:K82"/>
    <mergeCell ref="M82:N82"/>
    <mergeCell ref="Q83:Q87"/>
    <mergeCell ref="R83:R87"/>
    <mergeCell ref="J98:J103"/>
    <mergeCell ref="M98:N103"/>
    <mergeCell ref="O98:O104"/>
    <mergeCell ref="P98:P104"/>
    <mergeCell ref="R88:R94"/>
    <mergeCell ref="G94:K94"/>
    <mergeCell ref="M94:N94"/>
    <mergeCell ref="C95:C97"/>
    <mergeCell ref="D95:F97"/>
    <mergeCell ref="G95:G96"/>
    <mergeCell ref="H95:H96"/>
    <mergeCell ref="I95:I96"/>
    <mergeCell ref="J95:J96"/>
    <mergeCell ref="M95:N96"/>
    <mergeCell ref="O95:O97"/>
    <mergeCell ref="P95:P97"/>
    <mergeCell ref="Q95:Q97"/>
    <mergeCell ref="R95:R97"/>
    <mergeCell ref="G97:K97"/>
    <mergeCell ref="M97:N97"/>
    <mergeCell ref="D88:F94"/>
    <mergeCell ref="G88:G93"/>
    <mergeCell ref="H88:H93"/>
    <mergeCell ref="I88:I93"/>
    <mergeCell ref="O114:O122"/>
    <mergeCell ref="P114:P122"/>
    <mergeCell ref="Q98:Q104"/>
    <mergeCell ref="R98:R104"/>
    <mergeCell ref="G104:K104"/>
    <mergeCell ref="M104:N104"/>
    <mergeCell ref="C105:C113"/>
    <mergeCell ref="D105:F113"/>
    <mergeCell ref="G105:G112"/>
    <mergeCell ref="H105:H112"/>
    <mergeCell ref="I105:I112"/>
    <mergeCell ref="J105:J112"/>
    <mergeCell ref="M105:N112"/>
    <mergeCell ref="O105:O113"/>
    <mergeCell ref="P105:P113"/>
    <mergeCell ref="Q105:Q113"/>
    <mergeCell ref="R105:R113"/>
    <mergeCell ref="G113:K113"/>
    <mergeCell ref="M113:N113"/>
    <mergeCell ref="C98:C104"/>
    <mergeCell ref="D98:F104"/>
    <mergeCell ref="G98:G103"/>
    <mergeCell ref="H98:H103"/>
    <mergeCell ref="I98:I103"/>
    <mergeCell ref="Q114:Q122"/>
    <mergeCell ref="R114:R122"/>
    <mergeCell ref="G122:K122"/>
    <mergeCell ref="M122:N122"/>
    <mergeCell ref="C123:C135"/>
    <mergeCell ref="D123:F135"/>
    <mergeCell ref="G123:G134"/>
    <mergeCell ref="H123:H134"/>
    <mergeCell ref="I123:I134"/>
    <mergeCell ref="J123:J134"/>
    <mergeCell ref="M123:N134"/>
    <mergeCell ref="O123:O135"/>
    <mergeCell ref="P123:P135"/>
    <mergeCell ref="Q123:Q135"/>
    <mergeCell ref="R123:R135"/>
    <mergeCell ref="G135:K135"/>
    <mergeCell ref="M135:N135"/>
    <mergeCell ref="C114:C122"/>
    <mergeCell ref="D114:F122"/>
    <mergeCell ref="G114:G121"/>
    <mergeCell ref="H114:H121"/>
    <mergeCell ref="I114:I121"/>
    <mergeCell ref="J114:J121"/>
    <mergeCell ref="M114:N121"/>
    <mergeCell ref="B140:K140"/>
    <mergeCell ref="B141:B156"/>
    <mergeCell ref="C141:C144"/>
    <mergeCell ref="D141:F144"/>
    <mergeCell ref="G141:G143"/>
    <mergeCell ref="H141:H143"/>
    <mergeCell ref="I141:I143"/>
    <mergeCell ref="J141:J143"/>
    <mergeCell ref="M141:N143"/>
    <mergeCell ref="C153:C156"/>
    <mergeCell ref="D153:F156"/>
    <mergeCell ref="G153:G155"/>
    <mergeCell ref="H153:H155"/>
    <mergeCell ref="I153:I155"/>
    <mergeCell ref="J153:J155"/>
    <mergeCell ref="M153:N155"/>
    <mergeCell ref="O141:O144"/>
    <mergeCell ref="P141:P144"/>
    <mergeCell ref="Q141:Q144"/>
    <mergeCell ref="R141:R144"/>
    <mergeCell ref="G144:K144"/>
    <mergeCell ref="M144:N144"/>
    <mergeCell ref="C145:C152"/>
    <mergeCell ref="D145:F152"/>
    <mergeCell ref="G145:G151"/>
    <mergeCell ref="H145:H151"/>
    <mergeCell ref="I145:I151"/>
    <mergeCell ref="J145:J151"/>
    <mergeCell ref="M145:N151"/>
    <mergeCell ref="O145:O152"/>
    <mergeCell ref="P145:P152"/>
    <mergeCell ref="Q145:Q152"/>
    <mergeCell ref="R145:R152"/>
    <mergeCell ref="G152:K152"/>
    <mergeCell ref="M152:N152"/>
    <mergeCell ref="O153:O156"/>
    <mergeCell ref="P153:P156"/>
    <mergeCell ref="Q153:Q156"/>
    <mergeCell ref="R153:R156"/>
    <mergeCell ref="G156:K156"/>
    <mergeCell ref="M156:N156"/>
    <mergeCell ref="B157:K157"/>
    <mergeCell ref="B158:B180"/>
    <mergeCell ref="C158:C163"/>
    <mergeCell ref="D158:F163"/>
    <mergeCell ref="G158:G162"/>
    <mergeCell ref="H158:H162"/>
    <mergeCell ref="I158:I162"/>
    <mergeCell ref="J158:J162"/>
    <mergeCell ref="M158:N162"/>
    <mergeCell ref="O158:O163"/>
    <mergeCell ref="P158:P163"/>
    <mergeCell ref="Q158:Q163"/>
    <mergeCell ref="R158:R163"/>
    <mergeCell ref="G163:K163"/>
    <mergeCell ref="M163:N163"/>
    <mergeCell ref="C164:C167"/>
    <mergeCell ref="D164:F167"/>
    <mergeCell ref="G164:G166"/>
    <mergeCell ref="H164:H166"/>
    <mergeCell ref="I164:I166"/>
    <mergeCell ref="J164:J166"/>
    <mergeCell ref="O164:O167"/>
    <mergeCell ref="P164:P167"/>
    <mergeCell ref="Q164:Q167"/>
    <mergeCell ref="R164:R167"/>
    <mergeCell ref="G167:K167"/>
    <mergeCell ref="C168:C177"/>
    <mergeCell ref="D168:F177"/>
    <mergeCell ref="G168:G176"/>
    <mergeCell ref="H168:H176"/>
    <mergeCell ref="I168:I176"/>
    <mergeCell ref="J168:J176"/>
    <mergeCell ref="M168:N176"/>
    <mergeCell ref="O168:O177"/>
    <mergeCell ref="P168:P177"/>
    <mergeCell ref="Q168:Q177"/>
    <mergeCell ref="R168:R177"/>
    <mergeCell ref="G177:K177"/>
    <mergeCell ref="M177:N177"/>
    <mergeCell ref="R178:R180"/>
    <mergeCell ref="G180:K180"/>
    <mergeCell ref="C178:C180"/>
    <mergeCell ref="D178:F180"/>
    <mergeCell ref="G178:G179"/>
    <mergeCell ref="H178:H179"/>
    <mergeCell ref="I178:I179"/>
    <mergeCell ref="J178:J179"/>
    <mergeCell ref="O178:O180"/>
    <mergeCell ref="P178:P180"/>
    <mergeCell ref="Q178:Q180"/>
    <mergeCell ref="B181:K181"/>
    <mergeCell ref="B182:B237"/>
    <mergeCell ref="C182:C186"/>
    <mergeCell ref="D182:F186"/>
    <mergeCell ref="G182:G185"/>
    <mergeCell ref="H182:H185"/>
    <mergeCell ref="I182:I185"/>
    <mergeCell ref="J182:J185"/>
    <mergeCell ref="M182:N185"/>
    <mergeCell ref="C191:C195"/>
    <mergeCell ref="D191:F195"/>
    <mergeCell ref="G191:G194"/>
    <mergeCell ref="H191:H194"/>
    <mergeCell ref="I191:I194"/>
    <mergeCell ref="J191:J194"/>
    <mergeCell ref="M191:N194"/>
    <mergeCell ref="C203:C208"/>
    <mergeCell ref="D203:F208"/>
    <mergeCell ref="G203:G207"/>
    <mergeCell ref="H203:H207"/>
    <mergeCell ref="I203:I207"/>
    <mergeCell ref="J203:J207"/>
    <mergeCell ref="M203:N207"/>
    <mergeCell ref="C214:C217"/>
    <mergeCell ref="O182:O186"/>
    <mergeCell ref="P182:P186"/>
    <mergeCell ref="Q182:Q186"/>
    <mergeCell ref="R182:R186"/>
    <mergeCell ref="G186:K186"/>
    <mergeCell ref="M186:N186"/>
    <mergeCell ref="C187:C190"/>
    <mergeCell ref="D187:F190"/>
    <mergeCell ref="G187:G189"/>
    <mergeCell ref="H187:H189"/>
    <mergeCell ref="I187:I189"/>
    <mergeCell ref="J187:J189"/>
    <mergeCell ref="M187:N189"/>
    <mergeCell ref="O187:O190"/>
    <mergeCell ref="P187:P190"/>
    <mergeCell ref="Q187:Q190"/>
    <mergeCell ref="R187:R190"/>
    <mergeCell ref="G190:K190"/>
    <mergeCell ref="M190:N190"/>
    <mergeCell ref="O191:O195"/>
    <mergeCell ref="P191:P195"/>
    <mergeCell ref="Q191:Q195"/>
    <mergeCell ref="R191:R195"/>
    <mergeCell ref="G195:K195"/>
    <mergeCell ref="M195:N195"/>
    <mergeCell ref="C196:C202"/>
    <mergeCell ref="D196:F202"/>
    <mergeCell ref="G196:G201"/>
    <mergeCell ref="H196:H201"/>
    <mergeCell ref="I196:I201"/>
    <mergeCell ref="J196:J201"/>
    <mergeCell ref="M196:N201"/>
    <mergeCell ref="O196:O202"/>
    <mergeCell ref="P196:P202"/>
    <mergeCell ref="Q196:Q202"/>
    <mergeCell ref="R196:R202"/>
    <mergeCell ref="G202:K202"/>
    <mergeCell ref="M202:N202"/>
    <mergeCell ref="C209:C213"/>
    <mergeCell ref="D209:F213"/>
    <mergeCell ref="G209:G212"/>
    <mergeCell ref="H209:H212"/>
    <mergeCell ref="I209:I212"/>
    <mergeCell ref="J209:J212"/>
    <mergeCell ref="M209:N212"/>
    <mergeCell ref="O209:O213"/>
    <mergeCell ref="P209:P213"/>
    <mergeCell ref="G213:K213"/>
    <mergeCell ref="M213:N213"/>
    <mergeCell ref="O214:O217"/>
    <mergeCell ref="P214:P217"/>
    <mergeCell ref="Q214:Q217"/>
    <mergeCell ref="O203:O208"/>
    <mergeCell ref="P203:P208"/>
    <mergeCell ref="Q203:Q208"/>
    <mergeCell ref="R203:R208"/>
    <mergeCell ref="G208:K208"/>
    <mergeCell ref="M208:N208"/>
    <mergeCell ref="Q209:Q213"/>
    <mergeCell ref="R209:R213"/>
    <mergeCell ref="O223:O230"/>
    <mergeCell ref="P223:P230"/>
    <mergeCell ref="R214:R217"/>
    <mergeCell ref="G217:K217"/>
    <mergeCell ref="M217:N217"/>
    <mergeCell ref="C218:C222"/>
    <mergeCell ref="D218:F222"/>
    <mergeCell ref="G218:G221"/>
    <mergeCell ref="H218:H221"/>
    <mergeCell ref="I218:I221"/>
    <mergeCell ref="J218:J221"/>
    <mergeCell ref="M218:N221"/>
    <mergeCell ref="O218:O222"/>
    <mergeCell ref="P218:P222"/>
    <mergeCell ref="Q218:Q222"/>
    <mergeCell ref="R218:R222"/>
    <mergeCell ref="G222:K222"/>
    <mergeCell ref="M222:N222"/>
    <mergeCell ref="D214:F217"/>
    <mergeCell ref="G214:G216"/>
    <mergeCell ref="H214:H216"/>
    <mergeCell ref="I214:I216"/>
    <mergeCell ref="J214:J216"/>
    <mergeCell ref="M214:N216"/>
    <mergeCell ref="Q223:Q230"/>
    <mergeCell ref="R223:R230"/>
    <mergeCell ref="G230:K230"/>
    <mergeCell ref="M230:N230"/>
    <mergeCell ref="C231:C237"/>
    <mergeCell ref="D231:F237"/>
    <mergeCell ref="G231:G236"/>
    <mergeCell ref="H231:H236"/>
    <mergeCell ref="I231:I236"/>
    <mergeCell ref="J231:J236"/>
    <mergeCell ref="M231:N236"/>
    <mergeCell ref="O231:O237"/>
    <mergeCell ref="P231:P237"/>
    <mergeCell ref="Q231:Q237"/>
    <mergeCell ref="R231:R237"/>
    <mergeCell ref="G237:K237"/>
    <mergeCell ref="M237:N237"/>
    <mergeCell ref="C223:C230"/>
    <mergeCell ref="D223:F230"/>
    <mergeCell ref="G223:G229"/>
    <mergeCell ref="H223:H229"/>
    <mergeCell ref="I223:I229"/>
    <mergeCell ref="J223:J229"/>
    <mergeCell ref="M223:N229"/>
    <mergeCell ref="B238:K238"/>
    <mergeCell ref="B239:B292"/>
    <mergeCell ref="C239:C243"/>
    <mergeCell ref="D239:F243"/>
    <mergeCell ref="G239:G242"/>
    <mergeCell ref="H239:H242"/>
    <mergeCell ref="I239:I242"/>
    <mergeCell ref="J239:J242"/>
    <mergeCell ref="M239:N242"/>
    <mergeCell ref="C248:C250"/>
    <mergeCell ref="D248:F250"/>
    <mergeCell ref="G248:G249"/>
    <mergeCell ref="H248:H249"/>
    <mergeCell ref="I248:I249"/>
    <mergeCell ref="J248:J249"/>
    <mergeCell ref="M248:N249"/>
    <mergeCell ref="C251:C254"/>
    <mergeCell ref="D251:F254"/>
    <mergeCell ref="G251:G253"/>
    <mergeCell ref="H251:H253"/>
    <mergeCell ref="I251:I253"/>
    <mergeCell ref="J251:J253"/>
    <mergeCell ref="M251:N253"/>
    <mergeCell ref="C244:C247"/>
    <mergeCell ref="D244:F247"/>
    <mergeCell ref="G244:G246"/>
    <mergeCell ref="H244:H246"/>
    <mergeCell ref="I244:I246"/>
    <mergeCell ref="J244:J246"/>
    <mergeCell ref="O244:O247"/>
    <mergeCell ref="P244:P247"/>
    <mergeCell ref="Q244:Q247"/>
    <mergeCell ref="G247:K247"/>
    <mergeCell ref="O248:O250"/>
    <mergeCell ref="P248:P250"/>
    <mergeCell ref="Q248:Q250"/>
    <mergeCell ref="R248:R250"/>
    <mergeCell ref="G250:K250"/>
    <mergeCell ref="M250:N250"/>
    <mergeCell ref="O239:O243"/>
    <mergeCell ref="P239:P243"/>
    <mergeCell ref="Q239:Q243"/>
    <mergeCell ref="R239:R243"/>
    <mergeCell ref="G243:K243"/>
    <mergeCell ref="M243:N243"/>
    <mergeCell ref="R244:R247"/>
    <mergeCell ref="O251:O254"/>
    <mergeCell ref="P251:P254"/>
    <mergeCell ref="Q251:Q254"/>
    <mergeCell ref="R251:R254"/>
    <mergeCell ref="G254:K254"/>
    <mergeCell ref="M254:N254"/>
    <mergeCell ref="C255:C276"/>
    <mergeCell ref="D255:F276"/>
    <mergeCell ref="G255:G275"/>
    <mergeCell ref="H255:H275"/>
    <mergeCell ref="I255:I275"/>
    <mergeCell ref="J255:J275"/>
    <mergeCell ref="M255:N275"/>
    <mergeCell ref="O255:O276"/>
    <mergeCell ref="P255:P276"/>
    <mergeCell ref="Q255:Q276"/>
    <mergeCell ref="R255:R276"/>
    <mergeCell ref="G276:K276"/>
    <mergeCell ref="M276:N276"/>
    <mergeCell ref="J277:J282"/>
    <mergeCell ref="M277:N282"/>
    <mergeCell ref="O277:O283"/>
    <mergeCell ref="P277:P283"/>
    <mergeCell ref="Q277:Q283"/>
    <mergeCell ref="R277:R283"/>
    <mergeCell ref="G283:K283"/>
    <mergeCell ref="M283:N283"/>
    <mergeCell ref="Q284:Q288"/>
    <mergeCell ref="R284:R288"/>
    <mergeCell ref="G288:K288"/>
    <mergeCell ref="M288:N288"/>
    <mergeCell ref="J284:J287"/>
    <mergeCell ref="M284:N287"/>
    <mergeCell ref="O284:O288"/>
    <mergeCell ref="P284:P288"/>
    <mergeCell ref="C277:C283"/>
    <mergeCell ref="D277:F283"/>
    <mergeCell ref="G277:G282"/>
    <mergeCell ref="H277:H282"/>
    <mergeCell ref="I277:I282"/>
    <mergeCell ref="C284:C288"/>
    <mergeCell ref="D284:F288"/>
    <mergeCell ref="G284:G287"/>
    <mergeCell ref="H284:H287"/>
    <mergeCell ref="I284:I287"/>
    <mergeCell ref="Q289:Q292"/>
    <mergeCell ref="R289:R292"/>
    <mergeCell ref="G292:K292"/>
    <mergeCell ref="M292:N292"/>
    <mergeCell ref="C289:C292"/>
    <mergeCell ref="D289:F292"/>
    <mergeCell ref="G289:G291"/>
    <mergeCell ref="H289:H291"/>
    <mergeCell ref="I289:I291"/>
    <mergeCell ref="J289:J291"/>
    <mergeCell ref="M289:N291"/>
    <mergeCell ref="O289:O292"/>
    <mergeCell ref="P289:P292"/>
    <mergeCell ref="B315:K315"/>
    <mergeCell ref="B316:B357"/>
    <mergeCell ref="C316:C320"/>
    <mergeCell ref="D316:F320"/>
    <mergeCell ref="G316:G319"/>
    <mergeCell ref="H316:H319"/>
    <mergeCell ref="I316:I319"/>
    <mergeCell ref="J316:J319"/>
    <mergeCell ref="M316:N319"/>
    <mergeCell ref="C330:C337"/>
    <mergeCell ref="D330:F337"/>
    <mergeCell ref="G330:G336"/>
    <mergeCell ref="H330:H336"/>
    <mergeCell ref="I330:I336"/>
    <mergeCell ref="J330:J336"/>
    <mergeCell ref="M330:N336"/>
    <mergeCell ref="C338:C342"/>
    <mergeCell ref="D338:F342"/>
    <mergeCell ref="G338:G341"/>
    <mergeCell ref="H338:H341"/>
    <mergeCell ref="I338:I341"/>
    <mergeCell ref="J338:J341"/>
    <mergeCell ref="M338:N341"/>
    <mergeCell ref="C347:C350"/>
    <mergeCell ref="C321:C326"/>
    <mergeCell ref="D321:F326"/>
    <mergeCell ref="G321:G325"/>
    <mergeCell ref="H321:H325"/>
    <mergeCell ref="I321:I325"/>
    <mergeCell ref="J321:J325"/>
    <mergeCell ref="M321:N325"/>
    <mergeCell ref="O321:O326"/>
    <mergeCell ref="P321:P326"/>
    <mergeCell ref="G326:K326"/>
    <mergeCell ref="M326:N326"/>
    <mergeCell ref="O330:O337"/>
    <mergeCell ref="P330:P337"/>
    <mergeCell ref="Q330:Q337"/>
    <mergeCell ref="R330:R337"/>
    <mergeCell ref="G337:K337"/>
    <mergeCell ref="M337:N337"/>
    <mergeCell ref="O316:O320"/>
    <mergeCell ref="P316:P320"/>
    <mergeCell ref="Q316:Q320"/>
    <mergeCell ref="R316:R320"/>
    <mergeCell ref="G320:K320"/>
    <mergeCell ref="M320:N320"/>
    <mergeCell ref="Q321:Q326"/>
    <mergeCell ref="R321:R326"/>
    <mergeCell ref="C343:C346"/>
    <mergeCell ref="D343:F346"/>
    <mergeCell ref="G343:G345"/>
    <mergeCell ref="H343:H345"/>
    <mergeCell ref="I343:I345"/>
    <mergeCell ref="J343:J345"/>
    <mergeCell ref="M343:N345"/>
    <mergeCell ref="O343:O346"/>
    <mergeCell ref="P343:P346"/>
    <mergeCell ref="G346:K346"/>
    <mergeCell ref="M346:N346"/>
    <mergeCell ref="O338:O342"/>
    <mergeCell ref="P338:P342"/>
    <mergeCell ref="Q338:Q342"/>
    <mergeCell ref="R338:R342"/>
    <mergeCell ref="G342:K342"/>
    <mergeCell ref="M342:N342"/>
    <mergeCell ref="Q343:Q346"/>
    <mergeCell ref="R343:R346"/>
    <mergeCell ref="R347:R350"/>
    <mergeCell ref="G350:K350"/>
    <mergeCell ref="M350:N350"/>
    <mergeCell ref="C351:C353"/>
    <mergeCell ref="D351:F353"/>
    <mergeCell ref="G351:G352"/>
    <mergeCell ref="H351:H352"/>
    <mergeCell ref="I351:I352"/>
    <mergeCell ref="J351:J352"/>
    <mergeCell ref="M351:N352"/>
    <mergeCell ref="O351:O353"/>
    <mergeCell ref="P351:P353"/>
    <mergeCell ref="D347:F350"/>
    <mergeCell ref="G347:G349"/>
    <mergeCell ref="H347:H349"/>
    <mergeCell ref="I347:I349"/>
    <mergeCell ref="J347:J349"/>
    <mergeCell ref="M347:N349"/>
    <mergeCell ref="O347:O350"/>
    <mergeCell ref="P347:P350"/>
    <mergeCell ref="Q347:Q350"/>
    <mergeCell ref="J354:J356"/>
    <mergeCell ref="M354:N356"/>
    <mergeCell ref="O354:O357"/>
    <mergeCell ref="P354:P357"/>
    <mergeCell ref="Q354:Q357"/>
    <mergeCell ref="R354:R357"/>
    <mergeCell ref="G357:K357"/>
    <mergeCell ref="M357:N357"/>
    <mergeCell ref="Q351:Q353"/>
    <mergeCell ref="R351:R353"/>
    <mergeCell ref="G353:K353"/>
    <mergeCell ref="M353:N353"/>
    <mergeCell ref="O136:O139"/>
    <mergeCell ref="P136:P139"/>
    <mergeCell ref="Q136:Q139"/>
    <mergeCell ref="B362:K362"/>
    <mergeCell ref="O359:O361"/>
    <mergeCell ref="P359:P361"/>
    <mergeCell ref="Q359:Q361"/>
    <mergeCell ref="R359:R361"/>
    <mergeCell ref="G361:K361"/>
    <mergeCell ref="M361:N361"/>
    <mergeCell ref="B358:K358"/>
    <mergeCell ref="B359:B361"/>
    <mergeCell ref="C359:C361"/>
    <mergeCell ref="D359:F361"/>
    <mergeCell ref="G359:G360"/>
    <mergeCell ref="H359:H360"/>
    <mergeCell ref="I359:I360"/>
    <mergeCell ref="J359:J360"/>
    <mergeCell ref="M359:N360"/>
    <mergeCell ref="C354:C357"/>
    <mergeCell ref="D354:F357"/>
    <mergeCell ref="G354:G356"/>
    <mergeCell ref="H354:H356"/>
    <mergeCell ref="I354:I356"/>
    <mergeCell ref="R136:R139"/>
    <mergeCell ref="G139:K139"/>
    <mergeCell ref="B53:B139"/>
    <mergeCell ref="M136:N138"/>
    <mergeCell ref="M139:N139"/>
    <mergeCell ref="C293:C299"/>
    <mergeCell ref="D293:F299"/>
    <mergeCell ref="G293:G298"/>
    <mergeCell ref="H293:H298"/>
    <mergeCell ref="I293:I298"/>
    <mergeCell ref="J293:J298"/>
    <mergeCell ref="O293:O299"/>
    <mergeCell ref="P293:P299"/>
    <mergeCell ref="Q293:Q299"/>
    <mergeCell ref="R293:R299"/>
    <mergeCell ref="G299:K299"/>
    <mergeCell ref="M293:N298"/>
    <mergeCell ref="M299:N299"/>
    <mergeCell ref="C136:C139"/>
    <mergeCell ref="D136:F139"/>
    <mergeCell ref="G136:G138"/>
    <mergeCell ref="H136:H138"/>
    <mergeCell ref="I136:I138"/>
    <mergeCell ref="J136:J138"/>
    <mergeCell ref="R327:R329"/>
    <mergeCell ref="G329:K329"/>
    <mergeCell ref="M327:N328"/>
    <mergeCell ref="M329:N329"/>
    <mergeCell ref="C327:C329"/>
    <mergeCell ref="D327:F329"/>
    <mergeCell ref="G327:G328"/>
    <mergeCell ref="H327:H328"/>
    <mergeCell ref="I327:I328"/>
    <mergeCell ref="J327:J328"/>
    <mergeCell ref="O327:O329"/>
    <mergeCell ref="P327:P329"/>
    <mergeCell ref="Q327:Q329"/>
  </mergeCells>
  <phoneticPr fontId="13" type="noConversion"/>
  <printOptions horizontalCentered="1"/>
  <pageMargins left="0.25" right="0.25" top="0.75" bottom="0.75" header="0.30000001192092896" footer="0.30000001192092896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5583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총괄표</vt:lpstr>
      <vt:lpstr>업체별현황</vt:lpstr>
      <vt:lpstr>업체별현황!Print_Area</vt:lpstr>
      <vt:lpstr>총괄표!Print_Area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USER</cp:lastModifiedBy>
  <cp:revision>1203</cp:revision>
  <cp:lastPrinted>2022-10-12T00:59:28Z</cp:lastPrinted>
  <dcterms:created xsi:type="dcterms:W3CDTF">2002-07-29T06:39:56Z</dcterms:created>
  <dcterms:modified xsi:type="dcterms:W3CDTF">2026-09-28T00:31:28Z</dcterms:modified>
  <cp:version>1100.0100.01</cp:version>
</cp:coreProperties>
</file>