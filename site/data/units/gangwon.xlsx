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D:\5. 주택팀\008. 주택통계\★월보\26년\8월-월보\★홈페이지(10월초 게시)\"/>
    </mc:Choice>
  </mc:AlternateContent>
  <xr:revisionPtr revIDLastSave="0" documentId="13_ncr:1_{44EC83D4-9712-4CD3-9490-51B55C2A0A28}" xr6:coauthVersionLast="47" xr6:coauthVersionMax="47" xr10:uidLastSave="{00000000-0000-0000-0000-000000000000}"/>
  <bookViews>
    <workbookView xWindow="28680" yWindow="-120" windowWidth="25440" windowHeight="15270" tabRatio="854" xr2:uid="{00000000-000D-0000-FFFF-FFFF00000000}"/>
  </bookViews>
  <sheets>
    <sheet name="미분양(총괄)" sheetId="36" r:id="rId1"/>
    <sheet name="미분양(업체별)" sheetId="37" r:id="rId2"/>
  </sheets>
  <definedNames>
    <definedName name="_xlnm._FilterDatabase" localSheetId="1" hidden="1">'미분양(업체별)'!$A$2:$AH$370</definedName>
    <definedName name="_xlnm.Print_Area" localSheetId="1">'미분양(업체별)'!$B$1:$T$370</definedName>
    <definedName name="_xlnm.Print_Area" localSheetId="0">'미분양(총괄)'!$A$1:$M$46</definedName>
    <definedName name="_xlnm.Print_Titles" localSheetId="1">'미분양(업체별)'!$2:$4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0" i="37" l="1"/>
  <c r="N310" i="37"/>
  <c r="M298" i="37"/>
  <c r="N369" i="37"/>
  <c r="M369" i="37"/>
  <c r="L369" i="37"/>
  <c r="N360" i="37"/>
  <c r="M360" i="37"/>
  <c r="L360" i="37"/>
  <c r="N334" i="37"/>
  <c r="M334" i="37"/>
  <c r="L334" i="37"/>
  <c r="N326" i="37"/>
  <c r="M326" i="37"/>
  <c r="L326" i="37"/>
  <c r="N323" i="37"/>
  <c r="M323" i="37"/>
  <c r="L323" i="37"/>
  <c r="N314" i="37"/>
  <c r="M314" i="37"/>
  <c r="L314" i="37"/>
  <c r="L310" i="37"/>
  <c r="N307" i="37"/>
  <c r="M307" i="37"/>
  <c r="L307" i="37"/>
  <c r="N304" i="37"/>
  <c r="M304" i="37"/>
  <c r="L304" i="37"/>
  <c r="N301" i="37"/>
  <c r="M301" i="37"/>
  <c r="L301" i="37"/>
  <c r="N298" i="37"/>
  <c r="L298" i="37"/>
  <c r="N292" i="37"/>
  <c r="M292" i="37"/>
  <c r="L292" i="37"/>
  <c r="N284" i="37"/>
  <c r="M284" i="37"/>
  <c r="L284" i="37"/>
  <c r="N280" i="37"/>
  <c r="M280" i="37"/>
  <c r="L280" i="37"/>
  <c r="N273" i="37"/>
  <c r="M273" i="37"/>
  <c r="L273" i="37"/>
  <c r="N270" i="37"/>
  <c r="M270" i="37"/>
  <c r="L270" i="37"/>
  <c r="N265" i="37"/>
  <c r="M265" i="37"/>
  <c r="L265" i="37"/>
  <c r="N259" i="37"/>
  <c r="M259" i="37"/>
  <c r="L259" i="37"/>
  <c r="N247" i="37"/>
  <c r="M247" i="37"/>
  <c r="L247" i="37"/>
  <c r="N238" i="37"/>
  <c r="M238" i="37"/>
  <c r="N229" i="37"/>
  <c r="M229" i="37"/>
  <c r="L229" i="37"/>
  <c r="N220" i="37"/>
  <c r="M220" i="37"/>
  <c r="L220" i="37"/>
  <c r="N215" i="37"/>
  <c r="M215" i="37"/>
  <c r="L215" i="37"/>
  <c r="N204" i="37"/>
  <c r="M204" i="37"/>
  <c r="L204" i="37"/>
  <c r="N195" i="37"/>
  <c r="M195" i="37"/>
  <c r="L195" i="37"/>
  <c r="N192" i="37"/>
  <c r="M192" i="37"/>
  <c r="L192" i="37"/>
  <c r="N188" i="37"/>
  <c r="M188" i="37"/>
  <c r="L188" i="37"/>
  <c r="N176" i="37"/>
  <c r="M176" i="37"/>
  <c r="L176" i="37"/>
  <c r="N165" i="37"/>
  <c r="M165" i="37"/>
  <c r="L165" i="37"/>
  <c r="N149" i="37"/>
  <c r="M149" i="37"/>
  <c r="L149" i="37"/>
  <c r="N143" i="37"/>
  <c r="M143" i="37"/>
  <c r="L143" i="37"/>
  <c r="N139" i="37"/>
  <c r="M139" i="37"/>
  <c r="L139" i="37"/>
  <c r="N132" i="37"/>
  <c r="M132" i="37"/>
  <c r="L132" i="37"/>
  <c r="N127" i="37"/>
  <c r="M127" i="37"/>
  <c r="L127" i="37"/>
  <c r="N115" i="37"/>
  <c r="M115" i="37"/>
  <c r="L115" i="37"/>
  <c r="N104" i="37"/>
  <c r="M104" i="37"/>
  <c r="L104" i="37"/>
  <c r="N100" i="37"/>
  <c r="M100" i="37"/>
  <c r="L100" i="37"/>
  <c r="N94" i="37"/>
  <c r="M94" i="37"/>
  <c r="L94" i="37"/>
  <c r="N89" i="37"/>
  <c r="M89" i="37"/>
  <c r="L89" i="37"/>
  <c r="N81" i="37"/>
  <c r="M81" i="37"/>
  <c r="L81" i="37"/>
  <c r="N75" i="37"/>
  <c r="M75" i="37"/>
  <c r="L75" i="37"/>
  <c r="N57" i="37"/>
  <c r="M57" i="37"/>
  <c r="L57" i="37"/>
  <c r="N53" i="37"/>
  <c r="M53" i="37"/>
  <c r="L53" i="37"/>
  <c r="N46" i="37"/>
  <c r="M46" i="37"/>
  <c r="L46" i="37"/>
  <c r="N34" i="37"/>
  <c r="M34" i="37"/>
  <c r="L34" i="37"/>
  <c r="N24" i="37"/>
  <c r="M24" i="37"/>
  <c r="L24" i="37"/>
  <c r="N18" i="37"/>
  <c r="M18" i="37"/>
  <c r="L18" i="37"/>
  <c r="N13" i="37"/>
  <c r="M13" i="37"/>
  <c r="L13" i="37"/>
  <c r="N10" i="37"/>
  <c r="M10" i="37"/>
  <c r="L10" i="37"/>
  <c r="H45" i="36"/>
  <c r="C45" i="36"/>
  <c r="B45" i="36" s="1"/>
  <c r="H44" i="36"/>
  <c r="C44" i="36"/>
  <c r="B44" i="36" s="1"/>
  <c r="H43" i="36"/>
  <c r="C43" i="36"/>
  <c r="B43" i="36" s="1"/>
  <c r="H42" i="36"/>
  <c r="C42" i="36"/>
  <c r="B42" i="36" s="1"/>
  <c r="H41" i="36"/>
  <c r="C41" i="36"/>
  <c r="B41" i="36" s="1"/>
  <c r="H40" i="36"/>
  <c r="C40" i="36"/>
  <c r="B40" i="36" s="1"/>
  <c r="H39" i="36"/>
  <c r="C39" i="36"/>
  <c r="B39" i="36" s="1"/>
  <c r="H38" i="36"/>
  <c r="C38" i="36"/>
  <c r="B38" i="36" s="1"/>
  <c r="H37" i="36"/>
  <c r="C37" i="36"/>
  <c r="B37" i="36" s="1"/>
  <c r="H36" i="36"/>
  <c r="C36" i="36"/>
  <c r="B36" i="36" s="1"/>
  <c r="H35" i="36"/>
  <c r="C35" i="36"/>
  <c r="B35" i="36" s="1"/>
  <c r="H34" i="36"/>
  <c r="C34" i="36"/>
  <c r="B34" i="36" s="1"/>
  <c r="H33" i="36"/>
  <c r="C33" i="36"/>
  <c r="B33" i="36" s="1"/>
  <c r="H32" i="36"/>
  <c r="C32" i="36"/>
  <c r="B32" i="36" s="1"/>
  <c r="H31" i="36"/>
  <c r="C31" i="36"/>
  <c r="B31" i="36" s="1"/>
  <c r="H30" i="36"/>
  <c r="C30" i="36"/>
  <c r="B30" i="36" s="1"/>
  <c r="H29" i="36"/>
  <c r="C29" i="36"/>
  <c r="B29" i="36" s="1"/>
  <c r="H28" i="36"/>
  <c r="C28" i="36"/>
  <c r="B28" i="36" s="1"/>
  <c r="L27" i="36"/>
  <c r="K27" i="36"/>
  <c r="J27" i="36"/>
  <c r="I27" i="36"/>
  <c r="H27" i="36"/>
  <c r="G27" i="36"/>
  <c r="F27" i="36"/>
  <c r="E27" i="36"/>
  <c r="D27" i="36"/>
  <c r="H22" i="36"/>
  <c r="C22" i="36"/>
  <c r="B22" i="36"/>
  <c r="H21" i="36"/>
  <c r="C21" i="36"/>
  <c r="B21" i="36"/>
  <c r="H20" i="36"/>
  <c r="C20" i="36"/>
  <c r="B20" i="36" s="1"/>
  <c r="H19" i="36"/>
  <c r="C19" i="36"/>
  <c r="B19" i="36" s="1"/>
  <c r="H18" i="36"/>
  <c r="C18" i="36"/>
  <c r="B18" i="36"/>
  <c r="H17" i="36"/>
  <c r="C17" i="36"/>
  <c r="B17" i="36"/>
  <c r="H16" i="36"/>
  <c r="C16" i="36"/>
  <c r="B16" i="36" s="1"/>
  <c r="H15" i="36"/>
  <c r="C15" i="36"/>
  <c r="B15" i="36" s="1"/>
  <c r="H14" i="36"/>
  <c r="C14" i="36"/>
  <c r="B14" i="36"/>
  <c r="H13" i="36"/>
  <c r="C13" i="36"/>
  <c r="B13" i="36"/>
  <c r="H12" i="36"/>
  <c r="C12" i="36"/>
  <c r="B12" i="36" s="1"/>
  <c r="H11" i="36"/>
  <c r="C11" i="36"/>
  <c r="B11" i="36" s="1"/>
  <c r="H10" i="36"/>
  <c r="C10" i="36"/>
  <c r="B10" i="36"/>
  <c r="H9" i="36"/>
  <c r="C9" i="36"/>
  <c r="B9" i="36"/>
  <c r="H8" i="36"/>
  <c r="C8" i="36"/>
  <c r="B8" i="36" s="1"/>
  <c r="H7" i="36"/>
  <c r="C7" i="36"/>
  <c r="B7" i="36" s="1"/>
  <c r="H6" i="36"/>
  <c r="C6" i="36"/>
  <c r="B6" i="36"/>
  <c r="H5" i="36"/>
  <c r="C5" i="36"/>
  <c r="B5" i="36"/>
  <c r="L4" i="36"/>
  <c r="K4" i="36"/>
  <c r="J4" i="36"/>
  <c r="I4" i="36"/>
  <c r="H4" i="36" s="1"/>
  <c r="G4" i="36"/>
  <c r="F4" i="36"/>
  <c r="E4" i="36"/>
  <c r="D4" i="36"/>
  <c r="C27" i="36" l="1"/>
  <c r="B27" i="36" s="1"/>
  <c r="C4" i="36"/>
  <c r="B4" i="36" s="1"/>
  <c r="N5" i="37"/>
  <c r="L5" i="37" l="1"/>
  <c r="M5" i="37"/>
</calcChain>
</file>

<file path=xl/sharedStrings.xml><?xml version="1.0" encoding="utf-8"?>
<sst xmlns="http://schemas.openxmlformats.org/spreadsheetml/2006/main" count="852" uniqueCount="494">
  <si>
    <t>민간</t>
    <phoneticPr fontId="1" type="noConversion"/>
  </si>
  <si>
    <t>분양</t>
    <phoneticPr fontId="1" type="noConversion"/>
  </si>
  <si>
    <t>동해시</t>
  </si>
  <si>
    <t>분양</t>
  </si>
  <si>
    <t>민간</t>
  </si>
  <si>
    <t>대한토지신탁㈜</t>
    <phoneticPr fontId="1" type="noConversion"/>
  </si>
  <si>
    <t>삼척시</t>
  </si>
  <si>
    <t>횡성군</t>
  </si>
  <si>
    <t>영월군</t>
  </si>
  <si>
    <t>정선군</t>
  </si>
  <si>
    <t>철원군</t>
  </si>
  <si>
    <t>인제군</t>
  </si>
  <si>
    <t>-</t>
  </si>
  <si>
    <t>-</t>
    <phoneticPr fontId="1" type="noConversion"/>
  </si>
  <si>
    <t>속초시</t>
  </si>
  <si>
    <t>강릉시</t>
    <phoneticPr fontId="1" type="noConversion"/>
  </si>
  <si>
    <t>화천군</t>
  </si>
  <si>
    <t>코리아신탁㈜</t>
    <phoneticPr fontId="1" type="noConversion"/>
  </si>
  <si>
    <t>원주시</t>
  </si>
  <si>
    <t>태백시</t>
  </si>
  <si>
    <t>평창군</t>
  </si>
  <si>
    <t>양구군</t>
  </si>
  <si>
    <t>고성군</t>
  </si>
  <si>
    <t>양양군</t>
  </si>
  <si>
    <t>춘천시</t>
  </si>
  <si>
    <t>유형</t>
  </si>
  <si>
    <t>시군별</t>
  </si>
  <si>
    <t>전월대비
미분양
증감현황</t>
  </si>
  <si>
    <t>계</t>
  </si>
  <si>
    <t>전용 60-85㎡</t>
  </si>
  <si>
    <t>전용 85㎡초과</t>
  </si>
  <si>
    <t>강릉시</t>
    <phoneticPr fontId="12" type="noConversion"/>
  </si>
  <si>
    <t>태백시</t>
    <phoneticPr fontId="12" type="noConversion"/>
  </si>
  <si>
    <t>삼척시</t>
    <phoneticPr fontId="12" type="noConversion"/>
  </si>
  <si>
    <t>횡성군</t>
    <phoneticPr fontId="12" type="noConversion"/>
  </si>
  <si>
    <t>영월군</t>
    <phoneticPr fontId="12" type="noConversion"/>
  </si>
  <si>
    <t>평창군</t>
    <phoneticPr fontId="12" type="noConversion"/>
  </si>
  <si>
    <t>철원군</t>
    <phoneticPr fontId="12" type="noConversion"/>
  </si>
  <si>
    <t>화천군</t>
    <phoneticPr fontId="12" type="noConversion"/>
  </si>
  <si>
    <t>양구군</t>
    <phoneticPr fontId="12" type="noConversion"/>
  </si>
  <si>
    <t>인제군</t>
    <phoneticPr fontId="12" type="noConversion"/>
  </si>
  <si>
    <t>고성군</t>
    <phoneticPr fontId="12" type="noConversion"/>
  </si>
  <si>
    <t>양양군</t>
    <phoneticPr fontId="12" type="noConversion"/>
  </si>
  <si>
    <t>사업자
(전화번호)</t>
  </si>
  <si>
    <t>분양내용</t>
  </si>
  <si>
    <t>분양결과</t>
  </si>
  <si>
    <t>시공사</t>
  </si>
  <si>
    <t>시행사</t>
  </si>
  <si>
    <t>(민간
/공공)</t>
  </si>
  <si>
    <t>(임대
/분양)</t>
  </si>
  <si>
    <t>규모별
(전용 ㎡)</t>
  </si>
  <si>
    <t>총분양
가구수</t>
  </si>
  <si>
    <t>미분양가구수</t>
  </si>
  <si>
    <t>민간</t>
    <phoneticPr fontId="12" type="noConversion"/>
  </si>
  <si>
    <t>준공</t>
    <phoneticPr fontId="12" type="noConversion"/>
  </si>
  <si>
    <t>-</t>
    <phoneticPr fontId="12" type="noConversion"/>
  </si>
  <si>
    <t>미준공</t>
    <phoneticPr fontId="12" type="noConversion"/>
  </si>
  <si>
    <t>준공</t>
  </si>
  <si>
    <t>59A</t>
    <phoneticPr fontId="12" type="noConversion"/>
  </si>
  <si>
    <t>59B</t>
    <phoneticPr fontId="12" type="noConversion"/>
  </si>
  <si>
    <t>2017-12-28</t>
    <phoneticPr fontId="12" type="noConversion"/>
  </si>
  <si>
    <t>원주시</t>
    <phoneticPr fontId="1" type="noConversion"/>
  </si>
  <si>
    <t>준공</t>
    <phoneticPr fontId="1" type="noConversion"/>
  </si>
  <si>
    <t>전용 60-85㎡</t>
    <phoneticPr fontId="12" type="noConversion"/>
  </si>
  <si>
    <t>춘천시</t>
    <phoneticPr fontId="12" type="noConversion"/>
  </si>
  <si>
    <t>원주시</t>
    <phoneticPr fontId="12" type="noConversion"/>
  </si>
  <si>
    <t>홍천군</t>
    <phoneticPr fontId="12" type="noConversion"/>
  </si>
  <si>
    <t>지역</t>
    <phoneticPr fontId="12" type="noConversion"/>
  </si>
  <si>
    <t>시도</t>
    <phoneticPr fontId="12" type="noConversion"/>
  </si>
  <si>
    <t>시군구</t>
    <phoneticPr fontId="12" type="noConversion"/>
  </si>
  <si>
    <t>읍면동</t>
    <phoneticPr fontId="12" type="noConversion"/>
  </si>
  <si>
    <t>강원도</t>
    <phoneticPr fontId="12" type="noConversion"/>
  </si>
  <si>
    <t>합     계</t>
    <phoneticPr fontId="12" type="noConversion"/>
  </si>
  <si>
    <t>분양</t>
    <phoneticPr fontId="12" type="noConversion"/>
  </si>
  <si>
    <t>춘천시 합계</t>
    <phoneticPr fontId="21" type="noConversion"/>
  </si>
  <si>
    <t>84A</t>
    <phoneticPr fontId="12" type="noConversion"/>
  </si>
  <si>
    <t>84B</t>
    <phoneticPr fontId="12" type="noConversion"/>
  </si>
  <si>
    <t>원주시 합계</t>
    <phoneticPr fontId="21" type="noConversion"/>
  </si>
  <si>
    <t>사천면</t>
    <phoneticPr fontId="12" type="noConversion"/>
  </si>
  <si>
    <t>보민글로벌건설㈜</t>
    <phoneticPr fontId="12" type="noConversion"/>
  </si>
  <si>
    <t>㈜한일티앤아이</t>
    <phoneticPr fontId="12" type="noConversion"/>
  </si>
  <si>
    <t>2017-10-27</t>
    <phoneticPr fontId="12" type="noConversion"/>
  </si>
  <si>
    <t>유천동</t>
    <phoneticPr fontId="12" type="noConversion"/>
  </si>
  <si>
    <t>대양종합건설㈜</t>
    <phoneticPr fontId="12" type="noConversion"/>
  </si>
  <si>
    <t>아시아신탁㈜</t>
    <phoneticPr fontId="12" type="noConversion"/>
  </si>
  <si>
    <t>2017-12-06</t>
    <phoneticPr fontId="12" type="noConversion"/>
  </si>
  <si>
    <t>동해시 합계</t>
    <phoneticPr fontId="21" type="noConversion"/>
  </si>
  <si>
    <t>태백시 합계</t>
    <phoneticPr fontId="21" type="noConversion"/>
  </si>
  <si>
    <t>속초시 합계</t>
    <phoneticPr fontId="21" type="noConversion"/>
  </si>
  <si>
    <t>삼척시 합계</t>
    <phoneticPr fontId="21" type="noConversion"/>
  </si>
  <si>
    <t>홍천군 합계</t>
    <phoneticPr fontId="21" type="noConversion"/>
  </si>
  <si>
    <t>횡성군 합계</t>
    <phoneticPr fontId="21" type="noConversion"/>
  </si>
  <si>
    <t>영월군 합계</t>
    <phoneticPr fontId="21" type="noConversion"/>
  </si>
  <si>
    <t>대관령면</t>
    <phoneticPr fontId="12" type="noConversion"/>
  </si>
  <si>
    <t>봉평면</t>
    <phoneticPr fontId="12" type="noConversion"/>
  </si>
  <si>
    <t>면온리 490-5
(거산 노블밸리)</t>
    <phoneticPr fontId="12" type="noConversion"/>
  </si>
  <si>
    <t>거산
종합건설</t>
    <phoneticPr fontId="12" type="noConversion"/>
  </si>
  <si>
    <t>2007-05-25</t>
    <phoneticPr fontId="12" type="noConversion"/>
  </si>
  <si>
    <t>2019-07-26</t>
    <phoneticPr fontId="12" type="noConversion"/>
  </si>
  <si>
    <t>2019-08</t>
    <phoneticPr fontId="12" type="noConversion"/>
  </si>
  <si>
    <t>코리아신탁㈜</t>
    <phoneticPr fontId="12" type="noConversion"/>
  </si>
  <si>
    <t>평창군 합계</t>
    <phoneticPr fontId="21" type="noConversion"/>
  </si>
  <si>
    <t>정선군 합계</t>
    <phoneticPr fontId="21" type="noConversion"/>
  </si>
  <si>
    <t>화천군 합계</t>
    <phoneticPr fontId="21" type="noConversion"/>
  </si>
  <si>
    <t>인제군 합계</t>
    <phoneticPr fontId="21" type="noConversion"/>
  </si>
  <si>
    <t>고성군 합계</t>
    <phoneticPr fontId="21" type="noConversion"/>
  </si>
  <si>
    <t>양양읍</t>
    <phoneticPr fontId="12" type="noConversion"/>
  </si>
  <si>
    <t>양양군 합계</t>
    <phoneticPr fontId="21" type="noConversion"/>
  </si>
  <si>
    <t>정선읍</t>
    <phoneticPr fontId="12" type="noConversion"/>
  </si>
  <si>
    <t>교동</t>
    <phoneticPr fontId="1" type="noConversion"/>
  </si>
  <si>
    <t>횡계리 335-46
(현대힐스700)</t>
    <phoneticPr fontId="12" type="noConversion"/>
  </si>
  <si>
    <t>현대아산㈜</t>
    <phoneticPr fontId="12" type="noConversion"/>
  </si>
  <si>
    <t>2020-06-08</t>
    <phoneticPr fontId="12" type="noConversion"/>
  </si>
  <si>
    <t>2020-06-19</t>
    <phoneticPr fontId="12" type="noConversion"/>
  </si>
  <si>
    <t>84A</t>
    <phoneticPr fontId="1" type="noConversion"/>
  </si>
  <si>
    <t>84B</t>
    <phoneticPr fontId="1" type="noConversion"/>
  </si>
  <si>
    <t>84C</t>
    <phoneticPr fontId="1" type="noConversion"/>
  </si>
  <si>
    <t>84D</t>
    <phoneticPr fontId="1" type="noConversion"/>
  </si>
  <si>
    <t>반곡동</t>
    <phoneticPr fontId="12" type="noConversion"/>
  </si>
  <si>
    <t>주식회사 선</t>
    <phoneticPr fontId="12" type="noConversion"/>
  </si>
  <si>
    <t>SG건설</t>
    <phoneticPr fontId="12" type="noConversion"/>
  </si>
  <si>
    <t>59A</t>
    <phoneticPr fontId="1" type="noConversion"/>
  </si>
  <si>
    <t>미준공</t>
    <phoneticPr fontId="1" type="noConversion"/>
  </si>
  <si>
    <t>2020-06-24</t>
    <phoneticPr fontId="12" type="noConversion"/>
  </si>
  <si>
    <t>송정동</t>
    <phoneticPr fontId="1" type="noConversion"/>
  </si>
  <si>
    <t>㈜우호건설</t>
    <phoneticPr fontId="1" type="noConversion"/>
  </si>
  <si>
    <t>신영부동산신탁㈜</t>
    <phoneticPr fontId="1" type="noConversion"/>
  </si>
  <si>
    <t>22.616(A)</t>
    <phoneticPr fontId="1" type="noConversion"/>
  </si>
  <si>
    <t>22.795(B)</t>
    <phoneticPr fontId="1" type="noConversion"/>
  </si>
  <si>
    <t>22.513(C)</t>
    <phoneticPr fontId="1" type="noConversion"/>
  </si>
  <si>
    <t>23.828(A)</t>
    <phoneticPr fontId="1" type="noConversion"/>
  </si>
  <si>
    <t>23.504(B)</t>
    <phoneticPr fontId="1" type="noConversion"/>
  </si>
  <si>
    <t>36.94(A)</t>
    <phoneticPr fontId="1" type="noConversion"/>
  </si>
  <si>
    <t>36.444(B)</t>
    <phoneticPr fontId="1" type="noConversion"/>
  </si>
  <si>
    <t>36.057(C)</t>
    <phoneticPr fontId="1" type="noConversion"/>
  </si>
  <si>
    <t>송정동 245
(송정동 도시형생활주택)</t>
    <phoneticPr fontId="1" type="noConversion"/>
  </si>
  <si>
    <t>무이리 739-5
(부강아파트)</t>
    <phoneticPr fontId="12" type="noConversion"/>
  </si>
  <si>
    <t>무이리 1182
(평창 엘리엇아파트)</t>
    <phoneticPr fontId="12" type="noConversion"/>
  </si>
  <si>
    <t>2020-02-06
~2020-02-12</t>
    <phoneticPr fontId="12" type="noConversion"/>
  </si>
  <si>
    <t>2020-03-02</t>
    <phoneticPr fontId="12" type="noConversion"/>
  </si>
  <si>
    <t>2019-12-26</t>
    <phoneticPr fontId="12" type="noConversion"/>
  </si>
  <si>
    <t>전용 40㎡이하</t>
    <phoneticPr fontId="1" type="noConversion"/>
  </si>
  <si>
    <t>관설동</t>
    <phoneticPr fontId="12" type="noConversion"/>
  </si>
  <si>
    <t>지변동</t>
    <phoneticPr fontId="1" type="noConversion"/>
  </si>
  <si>
    <t>소  계</t>
    <phoneticPr fontId="12" type="noConversion"/>
  </si>
  <si>
    <t>전용 40㎡-60㎡</t>
    <phoneticPr fontId="1" type="noConversion"/>
  </si>
  <si>
    <t>분양 
승인일</t>
    <phoneticPr fontId="12" type="noConversion"/>
  </si>
  <si>
    <t>계약
마감일</t>
    <phoneticPr fontId="12" type="noConversion"/>
  </si>
  <si>
    <t>준공여부
(준공/미준공)</t>
  </si>
  <si>
    <t>지구명
(OO지구)</t>
    <phoneticPr fontId="12" type="noConversion"/>
  </si>
  <si>
    <r>
      <t>택지종류
(민간</t>
    </r>
    <r>
      <rPr>
        <sz val="11"/>
        <color rgb="FF000000"/>
        <rFont val="돋움"/>
        <family val="3"/>
        <charset val="129"/>
      </rPr>
      <t>/공공)</t>
    </r>
    <phoneticPr fontId="12" type="noConversion"/>
  </si>
  <si>
    <t>제2종일반
주거지역</t>
    <phoneticPr fontId="12" type="noConversion"/>
  </si>
  <si>
    <t>철원군 합계</t>
    <phoneticPr fontId="1" type="noConversion"/>
  </si>
  <si>
    <t>갈말읍</t>
    <phoneticPr fontId="1" type="noConversion"/>
  </si>
  <si>
    <t>지포리 227
(리치먼드 힐)</t>
    <phoneticPr fontId="1" type="noConversion"/>
  </si>
  <si>
    <t>태원건설산업㈜</t>
    <phoneticPr fontId="1" type="noConversion"/>
  </si>
  <si>
    <t>코리아신탁</t>
    <phoneticPr fontId="1" type="noConversion"/>
  </si>
  <si>
    <t>2021-11-24</t>
    <phoneticPr fontId="1" type="noConversion"/>
  </si>
  <si>
    <t>평창읍</t>
    <phoneticPr fontId="1" type="noConversion"/>
  </si>
  <si>
    <t>하리 192-1
(평창 스위트엠 엘크루)</t>
    <phoneticPr fontId="1" type="noConversion"/>
  </si>
  <si>
    <t>2021-10-22</t>
    <phoneticPr fontId="1" type="noConversion"/>
  </si>
  <si>
    <t>진부면</t>
    <phoneticPr fontId="1" type="noConversion"/>
  </si>
  <si>
    <t>2021-06-03</t>
    <phoneticPr fontId="1" type="noConversion"/>
  </si>
  <si>
    <t>2021-07-14</t>
    <phoneticPr fontId="1" type="noConversion"/>
  </si>
  <si>
    <t>평창군</t>
    <phoneticPr fontId="21" type="noConversion"/>
  </si>
  <si>
    <t>온의동</t>
    <phoneticPr fontId="1" type="noConversion"/>
  </si>
  <si>
    <t>케이비부동산신탁</t>
    <phoneticPr fontId="1" type="noConversion"/>
  </si>
  <si>
    <t>삼부토건㈜</t>
    <phoneticPr fontId="1" type="noConversion"/>
  </si>
  <si>
    <t>정선읍 애산리 551
(정선 벨라시티)</t>
    <phoneticPr fontId="12" type="noConversion"/>
  </si>
  <si>
    <t>효자동</t>
    <phoneticPr fontId="1" type="noConversion"/>
  </si>
  <si>
    <t>주식회사 하나자산신탁</t>
    <phoneticPr fontId="1" type="noConversion"/>
  </si>
  <si>
    <t>대보건설㈜</t>
    <phoneticPr fontId="1" type="noConversion"/>
  </si>
  <si>
    <t>연곡면</t>
    <phoneticPr fontId="1" type="noConversion"/>
  </si>
  <si>
    <t>영진리66-1 외 1필지
(씨앤스카이 영진 도시형생활주택)</t>
    <phoneticPr fontId="1" type="noConversion"/>
  </si>
  <si>
    <t>31.0906(A)</t>
    <phoneticPr fontId="1" type="noConversion"/>
  </si>
  <si>
    <t>31.9325(B)</t>
    <phoneticPr fontId="1" type="noConversion"/>
  </si>
  <si>
    <t>34.1325(A)</t>
    <phoneticPr fontId="1" type="noConversion"/>
  </si>
  <si>
    <t>34.1325(B)</t>
    <phoneticPr fontId="1" type="noConversion"/>
  </si>
  <si>
    <t>40.7325(A)</t>
    <phoneticPr fontId="1" type="noConversion"/>
  </si>
  <si>
    <t>40.7325(B)</t>
    <phoneticPr fontId="1" type="noConversion"/>
  </si>
  <si>
    <t>47.904(A)</t>
    <phoneticPr fontId="1" type="noConversion"/>
  </si>
  <si>
    <t>47.5971(B)</t>
    <phoneticPr fontId="1" type="noConversion"/>
  </si>
  <si>
    <t>2022-06-29</t>
    <phoneticPr fontId="1" type="noConversion"/>
  </si>
  <si>
    <t>소재지</t>
    <phoneticPr fontId="1" type="noConversion"/>
  </si>
  <si>
    <t>2022-08-03</t>
    <phoneticPr fontId="1" type="noConversion"/>
  </si>
  <si>
    <t>2024-07</t>
    <phoneticPr fontId="1" type="noConversion"/>
  </si>
  <si>
    <t>2022-07-05</t>
    <phoneticPr fontId="1" type="noConversion"/>
  </si>
  <si>
    <t>2024-11</t>
    <phoneticPr fontId="1" type="noConversion"/>
  </si>
  <si>
    <t>에스지씨이테크건설㈜</t>
    <phoneticPr fontId="1" type="noConversion"/>
  </si>
  <si>
    <t>케이비부동산신탁㈜</t>
    <phoneticPr fontId="1" type="noConversion"/>
  </si>
  <si>
    <t>112.2036(A)</t>
    <phoneticPr fontId="1" type="noConversion"/>
  </si>
  <si>
    <t>112.2268(B)</t>
    <phoneticPr fontId="1" type="noConversion"/>
  </si>
  <si>
    <t>관설동 1361-8
(현대힐스테이트원주레스티지)</t>
    <phoneticPr fontId="12" type="noConversion"/>
  </si>
  <si>
    <t>현대건설㈜</t>
    <phoneticPr fontId="12" type="noConversion"/>
  </si>
  <si>
    <t>우리자산신탁㈜</t>
    <phoneticPr fontId="12" type="noConversion"/>
  </si>
  <si>
    <t>115A</t>
    <phoneticPr fontId="12" type="noConversion"/>
  </si>
  <si>
    <t>115B</t>
    <phoneticPr fontId="12" type="noConversion"/>
  </si>
  <si>
    <t>99A</t>
    <phoneticPr fontId="12" type="noConversion"/>
  </si>
  <si>
    <t>99B</t>
    <phoneticPr fontId="12" type="noConversion"/>
  </si>
  <si>
    <t>청곡리 87-7번지 외
(양양 스위트엠디오션)</t>
    <phoneticPr fontId="1" type="noConversion"/>
  </si>
  <si>
    <t>포남동</t>
    <phoneticPr fontId="1" type="noConversion"/>
  </si>
  <si>
    <t>동아건설산업㈜</t>
    <phoneticPr fontId="1" type="noConversion"/>
  </si>
  <si>
    <t>84.6242(C)</t>
    <phoneticPr fontId="1" type="noConversion"/>
  </si>
  <si>
    <t>84.89(A)</t>
    <phoneticPr fontId="1" type="noConversion"/>
  </si>
  <si>
    <t>84.9392(B)</t>
    <phoneticPr fontId="1" type="noConversion"/>
  </si>
  <si>
    <t>126.2616(A)</t>
    <phoneticPr fontId="1" type="noConversion"/>
  </si>
  <si>
    <t>126.9521(B)</t>
    <phoneticPr fontId="1" type="noConversion"/>
  </si>
  <si>
    <t>㈜유승종합건설</t>
    <phoneticPr fontId="1" type="noConversion"/>
  </si>
  <si>
    <t>115A</t>
    <phoneticPr fontId="1" type="noConversion"/>
  </si>
  <si>
    <t>115B</t>
    <phoneticPr fontId="1" type="noConversion"/>
  </si>
  <si>
    <t>반곡동 1833
(유승한내들 더스카이)</t>
    <phoneticPr fontId="1" type="noConversion"/>
  </si>
  <si>
    <t>금호건설㈜</t>
    <phoneticPr fontId="1" type="noConversion"/>
  </si>
  <si>
    <t>양구군 합계</t>
    <phoneticPr fontId="21" type="noConversion"/>
  </si>
  <si>
    <t>84.9547(B)</t>
    <phoneticPr fontId="1" type="noConversion"/>
  </si>
  <si>
    <t>84.9147(A)</t>
    <phoneticPr fontId="1" type="noConversion"/>
  </si>
  <si>
    <t>무궁화신탁㈜</t>
    <phoneticPr fontId="1" type="noConversion"/>
  </si>
  <si>
    <t>153.63B</t>
    <phoneticPr fontId="1" type="noConversion"/>
  </si>
  <si>
    <t>153.18A</t>
    <phoneticPr fontId="1" type="noConversion"/>
  </si>
  <si>
    <t>114.98C</t>
    <phoneticPr fontId="1" type="noConversion"/>
  </si>
  <si>
    <t>114.43B</t>
    <phoneticPr fontId="1" type="noConversion"/>
  </si>
  <si>
    <t>114.98A</t>
    <phoneticPr fontId="1" type="noConversion"/>
  </si>
  <si>
    <t>99.39B</t>
    <phoneticPr fontId="1" type="noConversion"/>
  </si>
  <si>
    <t>99.39A</t>
    <phoneticPr fontId="1" type="noConversion"/>
  </si>
  <si>
    <t>84.86D</t>
    <phoneticPr fontId="1" type="noConversion"/>
  </si>
  <si>
    <t>84.97C</t>
    <phoneticPr fontId="1" type="noConversion"/>
  </si>
  <si>
    <t>84.86B</t>
    <phoneticPr fontId="1" type="noConversion"/>
  </si>
  <si>
    <t>84.96A</t>
    <phoneticPr fontId="1" type="noConversion"/>
  </si>
  <si>
    <t>㈜롯데건설</t>
    <phoneticPr fontId="1" type="noConversion"/>
  </si>
  <si>
    <t>반곡동 1507-1 일원
(롯데캐슬 시그니처)</t>
    <phoneticPr fontId="1" type="noConversion"/>
  </si>
  <si>
    <t>판부면</t>
    <phoneticPr fontId="12" type="noConversion"/>
  </si>
  <si>
    <t>□ 강원특별자치도 민간/분양 미분양주택 현황 (준공후)</t>
    <phoneticPr fontId="12" type="noConversion"/>
  </si>
  <si>
    <t>2023-07-05</t>
    <phoneticPr fontId="12" type="noConversion"/>
  </si>
  <si>
    <t>2023-06-14</t>
    <phoneticPr fontId="12" type="noConversion"/>
  </si>
  <si>
    <t>한국자산신탁㈜</t>
    <phoneticPr fontId="12" type="noConversion"/>
  </si>
  <si>
    <t>금호건설㈜</t>
    <phoneticPr fontId="12" type="noConversion"/>
  </si>
  <si>
    <t>구교리 57번지 일원
(금호어울림더퍼스트)</t>
    <phoneticPr fontId="1" type="noConversion"/>
  </si>
  <si>
    <t>관설개발㈜</t>
    <phoneticPr fontId="1" type="noConversion"/>
  </si>
  <si>
    <t>㈜동문건설</t>
    <phoneticPr fontId="1" type="noConversion"/>
  </si>
  <si>
    <t>관설동 1298번지 일원
(동문 디 이스트)</t>
    <phoneticPr fontId="1" type="noConversion"/>
  </si>
  <si>
    <t>104A</t>
  </si>
  <si>
    <t>84D</t>
  </si>
  <si>
    <t>84C</t>
  </si>
  <si>
    <t>84B</t>
  </si>
  <si>
    <t>2026-05</t>
  </si>
  <si>
    <t>2023-08-24</t>
  </si>
  <si>
    <t>2023-07-20</t>
  </si>
  <si>
    <t>84A</t>
  </si>
  <si>
    <t>130.7431P</t>
    <phoneticPr fontId="1" type="noConversion"/>
  </si>
  <si>
    <t>84.9876B</t>
    <phoneticPr fontId="1" type="noConversion"/>
  </si>
  <si>
    <t>84.9932A</t>
    <phoneticPr fontId="1" type="noConversion"/>
  </si>
  <si>
    <t>한국투자부동산신탁㈜</t>
    <phoneticPr fontId="1" type="noConversion"/>
  </si>
  <si>
    <t>GS건설</t>
    <phoneticPr fontId="1" type="noConversion"/>
  </si>
  <si>
    <t>단구동 922번지 일원
(자이 센트로)</t>
    <phoneticPr fontId="1" type="noConversion"/>
  </si>
  <si>
    <t>단구동</t>
    <phoneticPr fontId="1" type="noConversion"/>
  </si>
  <si>
    <t>디엘이앤씨㈜</t>
    <phoneticPr fontId="1" type="noConversion"/>
  </si>
  <si>
    <t>판부면 서곡리 산 48 외17번지 일원
(e편한세상)</t>
    <phoneticPr fontId="1" type="noConversion"/>
  </si>
  <si>
    <t>사천면 사천진리 911
(플라주메종)</t>
    <phoneticPr fontId="12" type="noConversion"/>
  </si>
  <si>
    <t>유천동 793
(강릉유천 더 테라스 아리스타)</t>
    <phoneticPr fontId="12" type="noConversion"/>
  </si>
  <si>
    <t>자이에스앤디㈜</t>
    <phoneticPr fontId="1" type="noConversion"/>
  </si>
  <si>
    <t>라일건설㈜</t>
    <phoneticPr fontId="1" type="noConversion"/>
  </si>
  <si>
    <t>84.8855(A)</t>
    <phoneticPr fontId="1" type="noConversion"/>
  </si>
  <si>
    <t>84.9897(B)</t>
    <phoneticPr fontId="1" type="noConversion"/>
  </si>
  <si>
    <t>84.9287(C )</t>
    <phoneticPr fontId="1" type="noConversion"/>
  </si>
  <si>
    <t>84.9815(D)</t>
    <phoneticPr fontId="1" type="noConversion"/>
  </si>
  <si>
    <t>㈜하나자산신탁</t>
    <phoneticPr fontId="1" type="noConversion"/>
  </si>
  <si>
    <t>㈜미래도건설</t>
    <phoneticPr fontId="1" type="noConversion"/>
  </si>
  <si>
    <t>㈜미래도건설
㈜공영</t>
    <phoneticPr fontId="1" type="noConversion"/>
  </si>
  <si>
    <t>84.9727A</t>
    <phoneticPr fontId="1" type="noConversion"/>
  </si>
  <si>
    <t>84.9781B</t>
    <phoneticPr fontId="1" type="noConversion"/>
  </si>
  <si>
    <t>㈜유탑건설</t>
    <phoneticPr fontId="1" type="noConversion"/>
  </si>
  <si>
    <t>강원특별자치도</t>
    <phoneticPr fontId="18" type="noConversion"/>
  </si>
  <si>
    <t>쌍용건설㈜</t>
    <phoneticPr fontId="1" type="noConversion"/>
  </si>
  <si>
    <t>2023-12-22</t>
    <phoneticPr fontId="1" type="noConversion"/>
  </si>
  <si>
    <t>2024-01-24</t>
    <phoneticPr fontId="1" type="noConversion"/>
  </si>
  <si>
    <t>2028-03</t>
    <phoneticPr fontId="1" type="noConversion"/>
  </si>
  <si>
    <t>약사동</t>
    <phoneticPr fontId="1" type="noConversion"/>
  </si>
  <si>
    <t>시군별</t>
    <phoneticPr fontId="1" type="noConversion"/>
  </si>
  <si>
    <t>649-12번지 일원
(속초 중앙하이츠)</t>
    <phoneticPr fontId="12" type="noConversion"/>
  </si>
  <si>
    <t>㈜보미건설</t>
  </si>
  <si>
    <t>2018-09-06</t>
  </si>
  <si>
    <t>2018-10-05</t>
  </si>
  <si>
    <t>2020-03</t>
  </si>
  <si>
    <t>601번지
(휴티스 오션시티)</t>
    <phoneticPr fontId="12" type="noConversion"/>
  </si>
  <si>
    <t>금강종합건설㈜</t>
    <phoneticPr fontId="12" type="noConversion"/>
  </si>
  <si>
    <t>교보자산신탁㈜</t>
    <phoneticPr fontId="12" type="noConversion"/>
  </si>
  <si>
    <t>59A</t>
  </si>
  <si>
    <t>2021-10-12</t>
  </si>
  <si>
    <t>2021-11-17</t>
    <phoneticPr fontId="12" type="noConversion"/>
  </si>
  <si>
    <t>2023-11</t>
  </si>
  <si>
    <t>59B</t>
  </si>
  <si>
    <t>59C</t>
  </si>
  <si>
    <t>59D</t>
  </si>
  <si>
    <t>99PC</t>
  </si>
  <si>
    <t>99PD</t>
  </si>
  <si>
    <t>111PB</t>
  </si>
  <si>
    <t>114PA</t>
  </si>
  <si>
    <t>소  계</t>
  </si>
  <si>
    <t>84E</t>
  </si>
  <si>
    <t>84F</t>
  </si>
  <si>
    <t>84G</t>
  </si>
  <si>
    <t>101A</t>
  </si>
  <si>
    <t>101B</t>
  </si>
  <si>
    <t>622-40번지 일원
(힐스테이트 속초)</t>
    <phoneticPr fontId="12" type="noConversion"/>
  </si>
  <si>
    <t>(주)무궁화신탁</t>
  </si>
  <si>
    <t>교동</t>
  </si>
  <si>
    <t>산145번지외 19필지 
(e편한세상아파트)</t>
  </si>
  <si>
    <t>대림건설㈜</t>
  </si>
  <si>
    <t>대한토지신탁</t>
  </si>
  <si>
    <t>2018-04</t>
  </si>
  <si>
    <t>하진부리 1312
(평창진부 웰라움 더퍼스트)</t>
    <phoneticPr fontId="1" type="noConversion"/>
  </si>
  <si>
    <t>2022-09-13</t>
    <phoneticPr fontId="12" type="noConversion"/>
  </si>
  <si>
    <t>2022-10-15</t>
    <phoneticPr fontId="12" type="noConversion"/>
  </si>
  <si>
    <t>2020-07</t>
    <phoneticPr fontId="12" type="noConversion"/>
  </si>
  <si>
    <t>2024-12</t>
    <phoneticPr fontId="1" type="noConversion"/>
  </si>
  <si>
    <t>2023-08-28</t>
    <phoneticPr fontId="1" type="noConversion"/>
  </si>
  <si>
    <t>소      계</t>
    <phoneticPr fontId="12" type="noConversion"/>
  </si>
  <si>
    <t>2022.09.05.</t>
    <phoneticPr fontId="12" type="noConversion"/>
  </si>
  <si>
    <t>2022.09.29.</t>
    <phoneticPr fontId="12" type="noConversion"/>
  </si>
  <si>
    <t>2022.11.09.</t>
    <phoneticPr fontId="1" type="noConversion"/>
  </si>
  <si>
    <t>2022.12.16.</t>
    <phoneticPr fontId="1" type="noConversion"/>
  </si>
  <si>
    <t>2022.12.05.</t>
    <phoneticPr fontId="1" type="noConversion"/>
  </si>
  <si>
    <t>2022.12.13.</t>
    <phoneticPr fontId="1" type="noConversion"/>
  </si>
  <si>
    <t>2023. 06. 09.</t>
    <phoneticPr fontId="1" type="noConversion"/>
  </si>
  <si>
    <t>2023. 07. 12.</t>
    <phoneticPr fontId="1" type="noConversion"/>
  </si>
  <si>
    <t>2025. 10.</t>
    <phoneticPr fontId="1" type="noConversion"/>
  </si>
  <si>
    <t>㈜효자도시개발</t>
    <phoneticPr fontId="1" type="noConversion"/>
  </si>
  <si>
    <t>분양
(1차)</t>
    <phoneticPr fontId="1" type="noConversion"/>
  </si>
  <si>
    <t>2023.07.24</t>
    <phoneticPr fontId="1" type="noConversion"/>
  </si>
  <si>
    <t>2023.08.18.</t>
    <phoneticPr fontId="1" type="noConversion"/>
  </si>
  <si>
    <t>2025.11.</t>
    <phoneticPr fontId="1" type="noConversion"/>
  </si>
  <si>
    <t>분양
(2차)</t>
    <phoneticPr fontId="1" type="noConversion"/>
  </si>
  <si>
    <t>2024.01.29.</t>
    <phoneticPr fontId="1" type="noConversion"/>
  </si>
  <si>
    <t>2024.02.21.</t>
    <phoneticPr fontId="1" type="noConversion"/>
  </si>
  <si>
    <t>2023.08.08.</t>
    <phoneticPr fontId="1" type="noConversion"/>
  </si>
  <si>
    <t>2023.08.30.</t>
    <phoneticPr fontId="1" type="noConversion"/>
  </si>
  <si>
    <t>2026.06.</t>
    <phoneticPr fontId="1" type="noConversion"/>
  </si>
  <si>
    <t>소      계(도시형생활주택)</t>
    <phoneticPr fontId="12" type="noConversion"/>
  </si>
  <si>
    <t>㈜우신종합건설</t>
    <phoneticPr fontId="1" type="noConversion"/>
  </si>
  <si>
    <t>소        계</t>
    <phoneticPr fontId="1" type="noConversion"/>
  </si>
  <si>
    <t>주문진읍</t>
    <phoneticPr fontId="1" type="noConversion"/>
  </si>
  <si>
    <t>소        계</t>
  </si>
  <si>
    <t>견소동</t>
    <phoneticPr fontId="1" type="noConversion"/>
  </si>
  <si>
    <t>철원군</t>
    <phoneticPr fontId="1" type="noConversion"/>
  </si>
  <si>
    <t>해유건설주식회사</t>
    <phoneticPr fontId="12" type="noConversion"/>
  </si>
  <si>
    <t>대한토지신탁㈜</t>
    <phoneticPr fontId="12" type="noConversion"/>
  </si>
  <si>
    <t>원동</t>
    <phoneticPr fontId="1" type="noConversion"/>
  </si>
  <si>
    <t>단구동 531-8번지 일원
(모아엘가 그랑데)</t>
    <phoneticPr fontId="1" type="noConversion"/>
  </si>
  <si>
    <t>2019-07-11</t>
    <phoneticPr fontId="1" type="noConversion"/>
  </si>
  <si>
    <t>2021-03-25</t>
    <phoneticPr fontId="1" type="noConversion"/>
  </si>
  <si>
    <t>2022-07</t>
    <phoneticPr fontId="1" type="noConversion"/>
  </si>
  <si>
    <t>2024-09-24</t>
    <phoneticPr fontId="1" type="noConversion"/>
  </si>
  <si>
    <t>인제군</t>
    <phoneticPr fontId="21" type="noConversion"/>
  </si>
  <si>
    <t>북면</t>
    <phoneticPr fontId="1" type="noConversion"/>
  </si>
  <si>
    <t>북면 원통리 1980
(인제라포레아파트)</t>
    <phoneticPr fontId="1" type="noConversion"/>
  </si>
  <si>
    <t>주식회사종합건설목금토</t>
    <phoneticPr fontId="1" type="noConversion"/>
  </si>
  <si>
    <t>주식회사항상위드</t>
    <phoneticPr fontId="1" type="noConversion"/>
  </si>
  <si>
    <t>59.85A</t>
    <phoneticPr fontId="1" type="noConversion"/>
  </si>
  <si>
    <t>59.60B</t>
    <phoneticPr fontId="1" type="noConversion"/>
  </si>
  <si>
    <t>대상건설㈜</t>
    <phoneticPr fontId="1" type="noConversion"/>
  </si>
  <si>
    <t>대우조선해양건설㈜</t>
    <phoneticPr fontId="1" type="noConversion"/>
  </si>
  <si>
    <t>㈜안스460</t>
    <phoneticPr fontId="12" type="noConversion"/>
  </si>
  <si>
    <t>에이치아이건설㈜</t>
    <phoneticPr fontId="12" type="noConversion"/>
  </si>
  <si>
    <t>㈜흥화토건</t>
    <phoneticPr fontId="12" type="noConversion"/>
  </si>
  <si>
    <t>국제자산신탁㈜</t>
    <phoneticPr fontId="12" type="noConversion"/>
  </si>
  <si>
    <t>2027.2.</t>
    <phoneticPr fontId="1" type="noConversion"/>
  </si>
  <si>
    <t>2024.08.19.</t>
    <phoneticPr fontId="1" type="noConversion"/>
  </si>
  <si>
    <t>2024.07.29.</t>
    <phoneticPr fontId="1" type="noConversion"/>
  </si>
  <si>
    <t>단구동14통 주택재개발 정비사업</t>
    <phoneticPr fontId="1" type="noConversion"/>
  </si>
  <si>
    <t>㈜혜림건설</t>
    <phoneticPr fontId="1" type="noConversion"/>
  </si>
  <si>
    <t>동면</t>
    <phoneticPr fontId="1" type="noConversion"/>
  </si>
  <si>
    <t>2023-11-02</t>
    <phoneticPr fontId="1" type="noConversion"/>
  </si>
  <si>
    <t>2023-12-06</t>
    <phoneticPr fontId="1" type="noConversion"/>
  </si>
  <si>
    <t>2026-09</t>
    <phoneticPr fontId="1" type="noConversion"/>
  </si>
  <si>
    <t>2024-07-19</t>
    <phoneticPr fontId="1" type="noConversion"/>
  </si>
  <si>
    <t>2024-08-21</t>
    <phoneticPr fontId="1" type="noConversion"/>
  </si>
  <si>
    <t>2027-06</t>
    <phoneticPr fontId="1" type="noConversion"/>
  </si>
  <si>
    <t>회산동</t>
    <phoneticPr fontId="1" type="noConversion"/>
  </si>
  <si>
    <t>한국투자부동산신탁㈜</t>
  </si>
  <si>
    <t>146P</t>
    <phoneticPr fontId="1" type="noConversion"/>
  </si>
  <si>
    <t>147P</t>
    <phoneticPr fontId="1" type="noConversion"/>
  </si>
  <si>
    <t>166P</t>
    <phoneticPr fontId="1" type="noConversion"/>
  </si>
  <si>
    <t>강릉시 합계</t>
    <phoneticPr fontId="12" type="noConversion"/>
  </si>
  <si>
    <t>주문진 교항리 1270번지 일대
(삼부르네상스 오션포레)</t>
    <phoneticPr fontId="1" type="noConversion"/>
  </si>
  <si>
    <t>77A</t>
    <phoneticPr fontId="1" type="noConversion"/>
  </si>
  <si>
    <t>77B</t>
    <phoneticPr fontId="1" type="noConversion"/>
  </si>
  <si>
    <t>효자동 302-14
(하우스디시그니처98)</t>
    <phoneticPr fontId="1" type="noConversion"/>
  </si>
  <si>
    <t>노학동</t>
  </si>
  <si>
    <t>1326번지
(속초 테르바움)</t>
    <phoneticPr fontId="1" type="noConversion"/>
  </si>
  <si>
    <t>소      계</t>
  </si>
  <si>
    <t>동명동</t>
  </si>
  <si>
    <t>장사동</t>
  </si>
  <si>
    <t>2022-07-22</t>
  </si>
  <si>
    <t>2022-08-24</t>
  </si>
  <si>
    <t>금호동</t>
  </si>
  <si>
    <t>소 계</t>
  </si>
  <si>
    <t>홍제동</t>
    <phoneticPr fontId="1" type="noConversion"/>
  </si>
  <si>
    <t>홍제동 571 일원
연립주택(도시형생활주택)</t>
    <phoneticPr fontId="1" type="noConversion"/>
  </si>
  <si>
    <t>대명건설㈜</t>
    <phoneticPr fontId="1" type="noConversion"/>
  </si>
  <si>
    <t>72A</t>
    <phoneticPr fontId="1" type="noConversion"/>
  </si>
  <si>
    <t>72A1</t>
    <phoneticPr fontId="1" type="noConversion"/>
  </si>
  <si>
    <t>84A1</t>
    <phoneticPr fontId="1" type="noConversion"/>
  </si>
  <si>
    <t>84D1</t>
    <phoneticPr fontId="1" type="noConversion"/>
  </si>
  <si>
    <t>84E</t>
    <phoneticPr fontId="1" type="noConversion"/>
  </si>
  <si>
    <t>84E1</t>
    <phoneticPr fontId="1" type="noConversion"/>
  </si>
  <si>
    <t>소        계(도시형생활주택)</t>
    <phoneticPr fontId="1" type="noConversion"/>
  </si>
  <si>
    <t>보훈종합건설㈜
→ 대신건설㈜</t>
    <phoneticPr fontId="12" type="noConversion"/>
  </si>
  <si>
    <t>소학타운개발㈜</t>
    <phoneticPr fontId="12" type="noConversion"/>
  </si>
  <si>
    <t>현대엔지니어링㈜</t>
    <phoneticPr fontId="12" type="noConversion"/>
  </si>
  <si>
    <t>온의동 산5-1번지 일원
(삼부르네상스 더테라스)</t>
    <phoneticPr fontId="1" type="noConversion"/>
  </si>
  <si>
    <t>동면 만천리 785번지 일원
(금호어울림더퍼스트)</t>
    <phoneticPr fontId="1" type="noConversion"/>
  </si>
  <si>
    <t>동면 만천리 770-6번지 일원
(금호아테라에듀파크)</t>
    <phoneticPr fontId="1" type="noConversion"/>
  </si>
  <si>
    <t>약사동 150-10번지 일원
(쌍용더플래티넘스카이)</t>
    <phoneticPr fontId="1" type="noConversion"/>
  </si>
  <si>
    <t>지변동 729번지 공동주택
(더리브 퍼스티지)</t>
    <phoneticPr fontId="1" type="noConversion"/>
  </si>
  <si>
    <t>포남동 852번지 일원 공동주택
(경남아너스빌)</t>
    <phoneticPr fontId="1" type="noConversion"/>
  </si>
  <si>
    <t>송정동 산77-3번지 일원
공동주택
(강릉자이르네디오션)</t>
    <phoneticPr fontId="1" type="noConversion"/>
  </si>
  <si>
    <t>주문진읍 주문리 762-5번지 일원
공동주택
(주문진라일폴로리스벨뱃)</t>
    <phoneticPr fontId="1" type="noConversion"/>
  </si>
  <si>
    <t>견소동 219번지 일원
공동주택
(강릉모아미래도오션리버)</t>
    <phoneticPr fontId="1" type="noConversion"/>
  </si>
  <si>
    <t>포남동 1153일원
공동주택
(강릉유블레스리센트)</t>
    <phoneticPr fontId="1" type="noConversion"/>
  </si>
  <si>
    <t>회산동 536 일원 
공동주택
(강릉아테라)</t>
    <phoneticPr fontId="1" type="noConversion"/>
  </si>
  <si>
    <t>교동 2003번지 일원 공동주택
(강릉 교동 아테라)</t>
    <phoneticPr fontId="1" type="noConversion"/>
  </si>
  <si>
    <t>2025-08</t>
    <phoneticPr fontId="12" type="noConversion"/>
  </si>
  <si>
    <t>205-6번지 외 15필지
(삼척 두산트리븐)</t>
    <phoneticPr fontId="1" type="noConversion"/>
  </si>
  <si>
    <t>두산에너빌리티㈜</t>
    <phoneticPr fontId="1" type="noConversion"/>
  </si>
  <si>
    <t>2028-06</t>
    <phoneticPr fontId="1" type="noConversion"/>
  </si>
  <si>
    <t>홍천군</t>
    <phoneticPr fontId="1" type="noConversion"/>
  </si>
  <si>
    <t>준공
(25.10.30.)</t>
    <phoneticPr fontId="1" type="noConversion"/>
  </si>
  <si>
    <t xml:space="preserve">
준공일
(준공예정일)</t>
    <phoneticPr fontId="12" type="noConversion"/>
  </si>
  <si>
    <t>2025-11</t>
  </si>
  <si>
    <t>2025-11</t>
    <phoneticPr fontId="12" type="noConversion"/>
  </si>
  <si>
    <t>2025.02.17.</t>
    <phoneticPr fontId="12" type="noConversion"/>
  </si>
  <si>
    <t>2025.9.12.</t>
    <phoneticPr fontId="1" type="noConversion"/>
  </si>
  <si>
    <t>2025.12.30.</t>
    <phoneticPr fontId="1" type="noConversion"/>
  </si>
  <si>
    <t>정선군</t>
    <phoneticPr fontId="12" type="noConversion"/>
  </si>
  <si>
    <t>2021-12-28</t>
    <phoneticPr fontId="12" type="noConversion"/>
  </si>
  <si>
    <t>2021-04-23</t>
    <phoneticPr fontId="1" type="noConversion"/>
  </si>
  <si>
    <t>2021-05-25</t>
    <phoneticPr fontId="1" type="noConversion"/>
  </si>
  <si>
    <t>2024-04</t>
    <phoneticPr fontId="12" type="noConversion"/>
  </si>
  <si>
    <t>홍천읍</t>
    <phoneticPr fontId="1" type="noConversion"/>
  </si>
  <si>
    <t>금강종합건설㈜</t>
    <phoneticPr fontId="1" type="noConversion"/>
  </si>
  <si>
    <t>소계</t>
    <phoneticPr fontId="1" type="noConversion"/>
  </si>
  <si>
    <t>대신자산신탁</t>
    <phoneticPr fontId="1" type="noConversion"/>
  </si>
  <si>
    <t>홍천읍 희망리 396-9번지
(중앙하이츠 45)</t>
    <phoneticPr fontId="1" type="noConversion"/>
  </si>
  <si>
    <t>동우건설(주)</t>
  </si>
  <si>
    <t>㈜무궁화신탁</t>
    <phoneticPr fontId="1" type="noConversion"/>
  </si>
  <si>
    <t>2026-10</t>
    <phoneticPr fontId="1" type="noConversion"/>
  </si>
  <si>
    <t>2026-07</t>
    <phoneticPr fontId="1" type="noConversion"/>
  </si>
  <si>
    <t xml:space="preserve"> 84㎡A</t>
  </si>
  <si>
    <t>84㎡B</t>
  </si>
  <si>
    <t>108㎡</t>
  </si>
  <si>
    <t xml:space="preserve"> 81㎡</t>
  </si>
  <si>
    <t>133㎡</t>
  </si>
  <si>
    <t>84㎡C</t>
  </si>
  <si>
    <t>104㎡</t>
  </si>
  <si>
    <t>137㎥</t>
  </si>
  <si>
    <t>143㎡</t>
  </si>
  <si>
    <t>162㎡</t>
  </si>
  <si>
    <t>홍제동 산22-1 일원
공동주택
(강릉홍제동 성보필리오)</t>
  </si>
  <si>
    <t>성보건설산업㈜</t>
  </si>
  <si>
    <t>홍제지역주택조합,
성보건설산업㈜</t>
  </si>
  <si>
    <t>59B</t>
    <phoneticPr fontId="1" type="noConversion"/>
  </si>
  <si>
    <t>㈜한국투자부동산신탁</t>
  </si>
  <si>
    <t>고성군</t>
    <phoneticPr fontId="21" type="noConversion"/>
  </si>
  <si>
    <t>117A</t>
    <phoneticPr fontId="1" type="noConversion"/>
  </si>
  <si>
    <t>117B</t>
    <phoneticPr fontId="1" type="noConversion"/>
  </si>
  <si>
    <t>삼척시</t>
    <phoneticPr fontId="21" type="noConversion"/>
  </si>
  <si>
    <t>준공
(26. 6. 26.)</t>
  </si>
  <si>
    <t>송정동 1048 일원 
공동주택
(강릉 우미 린 더 프리미어)</t>
    <phoneticPr fontId="1" type="noConversion"/>
  </si>
  <si>
    <t>우미건설㈜</t>
    <phoneticPr fontId="1" type="noConversion"/>
  </si>
  <si>
    <t>㈜한국토지신탁</t>
    <phoneticPr fontId="1" type="noConversion"/>
  </si>
  <si>
    <t>125A</t>
    <phoneticPr fontId="1" type="noConversion"/>
  </si>
  <si>
    <t>민간분양 주택('26. 7월말)</t>
    <phoneticPr fontId="12" type="noConversion"/>
  </si>
  <si>
    <t>주택건설사업계획승인 취소 검토중(토지사용권원 상실)</t>
    <phoneticPr fontId="1" type="noConversion"/>
  </si>
  <si>
    <t>남양건설</t>
    <phoneticPr fontId="1" type="noConversion"/>
  </si>
  <si>
    <t>토담건축사사무소</t>
    <phoneticPr fontId="1" type="noConversion"/>
  </si>
  <si>
    <t>''2026. 7. 8.</t>
  </si>
  <si>
    <t>소양동</t>
    <phoneticPr fontId="12" type="noConversion"/>
  </si>
  <si>
    <t>소양로1가 102-5번지 일원
(더리치먼드리버센트소양)</t>
    <phoneticPr fontId="12" type="noConversion"/>
  </si>
  <si>
    <t>태원건설산업㈜</t>
  </si>
  <si>
    <t>케이비부동산신탁 주식회사</t>
  </si>
  <si>
    <t>2026-05-20</t>
    <phoneticPr fontId="1" type="noConversion"/>
  </si>
  <si>
    <t>2026-06-24</t>
    <phoneticPr fontId="1" type="noConversion"/>
  </si>
  <si>
    <t>2029-06</t>
    <phoneticPr fontId="12" type="noConversion"/>
  </si>
  <si>
    <r>
      <t xml:space="preserve">□ 강원특별자치도 민간/분양 미분양주택 현황(총괄)                                                                                   </t>
    </r>
    <r>
      <rPr>
        <sz val="12"/>
        <color rgb="FF000000"/>
        <rFont val="HY견고딕"/>
        <family val="1"/>
        <charset val="129"/>
      </rPr>
      <t>(작성기준일 : '26.8 월 말 기준)</t>
    </r>
    <phoneticPr fontId="12" type="noConversion"/>
  </si>
  <si>
    <t>민간분양 주택('26. 8월말)</t>
    <phoneticPr fontId="12" type="noConversion"/>
  </si>
  <si>
    <t xml:space="preserve"> □ 업체별 현황 ('26. 8월말 기준)   </t>
    <phoneticPr fontId="12" type="noConversion"/>
  </si>
  <si>
    <t>당월
('26. 8월말)</t>
    <phoneticPr fontId="12" type="noConversion"/>
  </si>
  <si>
    <t>전월
('26. 7월말)</t>
    <phoneticPr fontId="12" type="noConversion"/>
  </si>
  <si>
    <t>홍천읍 갈마곡리 562번지
(에듀포레 휴티스)</t>
  </si>
  <si>
    <t>2026-8</t>
  </si>
  <si>
    <t>홍천읍 갈마곡리 561번지
(대상 웰라움)</t>
  </si>
  <si>
    <t>사업주체 
비공개요청</t>
    <phoneticPr fontId="12" type="noConversion"/>
  </si>
  <si>
    <t>사업주체 
비공개요청</t>
  </si>
  <si>
    <t>사업주체
비공개요청</t>
    <phoneticPr fontId="12" type="noConversion"/>
  </si>
  <si>
    <t>사업주체 
비공개요청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</si>
</sst>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#,##0_ "/>
    <numFmt numFmtId="181" formatCode="#,##0_);[Red]\(#,##0\)"/>
    <numFmt numFmtId="182" formatCode="#,##0.0_);[Red]\(#,##0.0\)"/>
    <numFmt numFmtId="183" formatCode="#,##0.00_);[Red]\(#,##0.00\)"/>
    <numFmt numFmtId="184" formatCode="0.000000"/>
    <numFmt numFmtId="185" formatCode="0.000"/>
    <numFmt numFmtId="186" formatCode="0_ "/>
    <numFmt numFmtId="187" formatCode="0.0000"/>
    <numFmt numFmtId="188" formatCode="0_);[Red]\(0\)"/>
    <numFmt numFmtId="189" formatCode="#,##0.0000_);[Red]\(#,##0.0000\)"/>
  </numFmts>
  <fonts count="4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Times New Roman"/>
      <family val="1"/>
    </font>
    <font>
      <sz val="11"/>
      <color indexed="17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20"/>
      <color rgb="FF000000"/>
      <name val="HY견고딕"/>
      <family val="1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3"/>
      <charset val="129"/>
    </font>
    <font>
      <sz val="14"/>
      <color rgb="FF00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2"/>
      <color rgb="FF000000"/>
      <name val="HY견고딕"/>
      <family val="1"/>
      <charset val="129"/>
    </font>
    <font>
      <sz val="12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20"/>
      <color theme="1"/>
      <name val="맑은 고딕"/>
      <family val="3"/>
      <charset val="129"/>
    </font>
    <font>
      <b/>
      <sz val="12"/>
      <color theme="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000000"/>
      <name val="돋음"/>
      <family val="3"/>
      <charset val="129"/>
    </font>
    <font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11"/>
      <color rgb="FFFF0000"/>
      <name val="돋움"/>
      <family val="3"/>
      <charset val="129"/>
    </font>
    <font>
      <b/>
      <sz val="11"/>
      <color rgb="FF3F3F3F"/>
      <name val="맑은 고딕"/>
      <family val="2"/>
      <charset val="129"/>
      <scheme val="minor"/>
    </font>
    <font>
      <sz val="11"/>
      <color rgb="FF3F3F3F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3"/>
      </patternFill>
    </fill>
    <fill>
      <patternFill patternType="solid">
        <fgColor rgb="FFFFCC99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indexed="64"/>
      </bottom>
      <diagonal/>
    </border>
    <border>
      <left style="dashed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ouble">
        <color auto="1"/>
      </right>
      <top/>
      <bottom style="thin">
        <color auto="1"/>
      </bottom>
      <diagonal/>
    </border>
  </borders>
  <cellStyleXfs count="111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3" fillId="0" borderId="0"/>
    <xf numFmtId="0" fontId="6" fillId="0" borderId="0"/>
    <xf numFmtId="0" fontId="7" fillId="0" borderId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8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/>
    <xf numFmtId="0" fontId="5" fillId="0" borderId="0">
      <alignment vertical="center"/>
    </xf>
    <xf numFmtId="41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4" fillId="0" borderId="0" applyFont="0" applyFill="0" applyBorder="0" applyAlignment="0" applyProtection="0"/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20" fillId="0" borderId="0" applyFill="0" applyAlignment="0"/>
    <xf numFmtId="0" fontId="4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10" fillId="0" borderId="0"/>
    <xf numFmtId="0" fontId="25" fillId="0" borderId="0">
      <alignment vertical="center"/>
    </xf>
    <xf numFmtId="0" fontId="10" fillId="0" borderId="0"/>
    <xf numFmtId="41" fontId="10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26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41" fontId="10" fillId="0" borderId="0" applyFont="0" applyFill="0" applyBorder="0" applyAlignment="0" applyProtection="0">
      <alignment vertical="center"/>
    </xf>
    <xf numFmtId="0" fontId="10" fillId="0" borderId="0"/>
    <xf numFmtId="0" fontId="4" fillId="0" borderId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9" fillId="17" borderId="25" applyNumberFormat="0" applyAlignment="0" applyProtection="0">
      <alignment vertical="center"/>
    </xf>
  </cellStyleXfs>
  <cellXfs count="628">
    <xf numFmtId="0" fontId="0" fillId="0" borderId="0" xfId="0">
      <alignment vertical="center"/>
    </xf>
    <xf numFmtId="183" fontId="13" fillId="2" borderId="8" xfId="81" applyNumberFormat="1" applyFont="1" applyFill="1" applyBorder="1" applyAlignment="1">
      <alignment horizontal="center" vertical="center"/>
    </xf>
    <xf numFmtId="49" fontId="13" fillId="10" borderId="8" xfId="80" applyNumberFormat="1" applyFont="1" applyFill="1" applyBorder="1" applyAlignment="1">
      <alignment horizontal="center" vertical="center"/>
    </xf>
    <xf numFmtId="0" fontId="23" fillId="12" borderId="8" xfId="87" applyFont="1" applyFill="1" applyBorder="1" applyAlignment="1">
      <alignment vertical="center"/>
    </xf>
    <xf numFmtId="41" fontId="24" fillId="2" borderId="8" xfId="87" applyNumberFormat="1" applyFont="1" applyFill="1" applyBorder="1" applyAlignment="1">
      <alignment horizontal="right" vertical="center"/>
    </xf>
    <xf numFmtId="41" fontId="24" fillId="2" borderId="8" xfId="0" applyNumberFormat="1" applyFont="1" applyFill="1" applyBorder="1" applyAlignment="1">
      <alignment horizontal="right" vertical="center"/>
    </xf>
    <xf numFmtId="181" fontId="13" fillId="9" borderId="8" xfId="80" applyNumberFormat="1" applyFont="1" applyFill="1" applyBorder="1" applyAlignment="1">
      <alignment horizontal="center" vertical="center"/>
    </xf>
    <xf numFmtId="181" fontId="34" fillId="9" borderId="8" xfId="80" applyNumberFormat="1" applyFont="1" applyFill="1" applyBorder="1" applyAlignment="1">
      <alignment horizontal="center" vertical="center" wrapText="1"/>
    </xf>
    <xf numFmtId="180" fontId="31" fillId="0" borderId="8" xfId="79" applyNumberFormat="1" applyFont="1" applyFill="1" applyBorder="1" applyAlignment="1">
      <alignment horizontal="center" vertical="center"/>
    </xf>
    <xf numFmtId="0" fontId="10" fillId="0" borderId="8" xfId="79" applyNumberFormat="1" applyFont="1" applyBorder="1" applyAlignment="1">
      <alignment horizontal="center" vertical="center"/>
    </xf>
    <xf numFmtId="0" fontId="23" fillId="12" borderId="8" xfId="83" applyFont="1" applyFill="1" applyBorder="1" applyAlignment="1">
      <alignment horizontal="center" vertical="center"/>
    </xf>
    <xf numFmtId="41" fontId="31" fillId="0" borderId="8" xfId="78" applyFont="1" applyFill="1" applyBorder="1" applyAlignment="1">
      <alignment horizontal="center" vertical="center"/>
    </xf>
    <xf numFmtId="181" fontId="13" fillId="0" borderId="8" xfId="90" applyNumberFormat="1" applyFont="1" applyFill="1" applyBorder="1" applyAlignment="1">
      <alignment horizontal="right" vertical="center"/>
    </xf>
    <xf numFmtId="181" fontId="23" fillId="11" borderId="8" xfId="90" applyNumberFormat="1" applyFont="1" applyFill="1" applyBorder="1" applyAlignment="1">
      <alignment horizontal="right" vertical="center"/>
    </xf>
    <xf numFmtId="181" fontId="18" fillId="11" borderId="8" xfId="90" applyNumberFormat="1" applyFont="1" applyFill="1" applyBorder="1" applyAlignment="1">
      <alignment horizontal="right" vertical="center"/>
    </xf>
    <xf numFmtId="181" fontId="23" fillId="12" borderId="8" xfId="90" applyNumberFormat="1" applyFont="1" applyFill="1" applyBorder="1" applyAlignment="1">
      <alignment horizontal="right" vertical="center"/>
    </xf>
    <xf numFmtId="181" fontId="4" fillId="2" borderId="8" xfId="90" applyNumberFormat="1" applyFont="1" applyFill="1" applyBorder="1" applyAlignment="1">
      <alignment horizontal="right" vertical="center"/>
    </xf>
    <xf numFmtId="181" fontId="34" fillId="16" borderId="8" xfId="90" applyNumberFormat="1" applyFont="1" applyFill="1" applyBorder="1" applyAlignment="1">
      <alignment horizontal="right" vertical="center"/>
    </xf>
    <xf numFmtId="181" fontId="10" fillId="0" borderId="8" xfId="85" applyNumberFormat="1" applyFont="1" applyBorder="1" applyAlignment="1">
      <alignment horizontal="right" vertical="center" wrapText="1"/>
    </xf>
    <xf numFmtId="181" fontId="23" fillId="16" borderId="8" xfId="90" applyNumberFormat="1" applyFont="1" applyFill="1" applyBorder="1" applyAlignment="1">
      <alignment horizontal="right" vertical="center"/>
    </xf>
    <xf numFmtId="181" fontId="10" fillId="0" borderId="9" xfId="90" applyNumberFormat="1" applyFont="1" applyFill="1" applyBorder="1" applyAlignment="1">
      <alignment horizontal="right" vertical="center"/>
    </xf>
    <xf numFmtId="181" fontId="23" fillId="11" borderId="9" xfId="90" applyNumberFormat="1" applyFont="1" applyFill="1" applyBorder="1" applyAlignment="1">
      <alignment horizontal="right" vertical="center"/>
    </xf>
    <xf numFmtId="41" fontId="30" fillId="4" borderId="10" xfId="64" applyFont="1" applyFill="1" applyBorder="1" applyAlignment="1">
      <alignment horizontal="center" vertical="center"/>
    </xf>
    <xf numFmtId="41" fontId="4" fillId="0" borderId="8" xfId="90" applyFont="1" applyFill="1" applyBorder="1" applyAlignment="1">
      <alignment horizontal="right" vertical="center"/>
    </xf>
    <xf numFmtId="41" fontId="18" fillId="11" borderId="8" xfId="90" applyFont="1" applyFill="1" applyBorder="1" applyAlignment="1">
      <alignment vertical="center"/>
    </xf>
    <xf numFmtId="41" fontId="13" fillId="0" borderId="8" xfId="90" applyFont="1" applyFill="1" applyBorder="1" applyAlignment="1">
      <alignment vertical="center"/>
    </xf>
    <xf numFmtId="41" fontId="23" fillId="11" borderId="8" xfId="90" applyFont="1" applyFill="1" applyBorder="1" applyAlignment="1">
      <alignment vertical="center"/>
    </xf>
    <xf numFmtId="41" fontId="4" fillId="2" borderId="8" xfId="90" applyFont="1" applyFill="1" applyBorder="1" applyAlignment="1">
      <alignment horizontal="right" vertical="center"/>
    </xf>
    <xf numFmtId="41" fontId="18" fillId="11" borderId="8" xfId="90" applyFont="1" applyFill="1" applyBorder="1" applyAlignment="1">
      <alignment horizontal="right" vertical="center"/>
    </xf>
    <xf numFmtId="41" fontId="18" fillId="11" borderId="8" xfId="87" applyNumberFormat="1" applyFont="1" applyFill="1" applyBorder="1" applyAlignment="1">
      <alignment vertical="center"/>
    </xf>
    <xf numFmtId="41" fontId="18" fillId="11" borderId="8" xfId="87" applyNumberFormat="1" applyFont="1" applyFill="1" applyBorder="1" applyAlignment="1">
      <alignment horizontal="right" vertical="center"/>
    </xf>
    <xf numFmtId="0" fontId="23" fillId="11" borderId="8" xfId="82" applyFont="1" applyFill="1" applyBorder="1" applyAlignment="1">
      <alignment vertical="center"/>
    </xf>
    <xf numFmtId="181" fontId="38" fillId="9" borderId="8" xfId="80" applyNumberFormat="1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181" fontId="10" fillId="0" borderId="8" xfId="85" applyNumberFormat="1" applyFont="1" applyFill="1" applyBorder="1" applyAlignment="1">
      <alignment horizontal="right" vertical="center" wrapText="1"/>
    </xf>
    <xf numFmtId="41" fontId="13" fillId="2" borderId="8" xfId="90" applyFont="1" applyFill="1" applyBorder="1" applyAlignment="1">
      <alignment horizontal="right" vertical="center"/>
    </xf>
    <xf numFmtId="41" fontId="23" fillId="13" borderId="8" xfId="90" applyFont="1" applyFill="1" applyBorder="1" applyAlignment="1">
      <alignment horizontal="right" vertical="center"/>
    </xf>
    <xf numFmtId="186" fontId="18" fillId="11" borderId="8" xfId="87" applyNumberFormat="1" applyFont="1" applyFill="1" applyBorder="1" applyAlignment="1">
      <alignment vertical="center"/>
    </xf>
    <xf numFmtId="41" fontId="10" fillId="0" borderId="8" xfId="90" applyFont="1" applyFill="1" applyBorder="1" applyAlignment="1">
      <alignment vertical="center"/>
    </xf>
    <xf numFmtId="41" fontId="10" fillId="15" borderId="8" xfId="90" applyFont="1" applyFill="1" applyBorder="1" applyAlignment="1">
      <alignment horizontal="right" vertical="center"/>
    </xf>
    <xf numFmtId="41" fontId="34" fillId="16" borderId="8" xfId="90" applyFont="1" applyFill="1" applyBorder="1" applyAlignment="1">
      <alignment vertical="center"/>
    </xf>
    <xf numFmtId="0" fontId="10" fillId="0" borderId="11" xfId="82" applyFont="1" applyBorder="1" applyAlignment="1">
      <alignment horizontal="center" vertical="center"/>
    </xf>
    <xf numFmtId="41" fontId="10" fillId="0" borderId="8" xfId="90" applyFont="1" applyFill="1" applyBorder="1" applyAlignment="1">
      <alignment horizontal="right" vertical="center"/>
    </xf>
    <xf numFmtId="41" fontId="34" fillId="16" borderId="8" xfId="90" applyFont="1" applyFill="1" applyBorder="1" applyAlignment="1">
      <alignment horizontal="right" vertical="center"/>
    </xf>
    <xf numFmtId="181" fontId="23" fillId="12" borderId="9" xfId="90" applyNumberFormat="1" applyFont="1" applyFill="1" applyBorder="1" applyAlignment="1">
      <alignment horizontal="right" vertical="center"/>
    </xf>
    <xf numFmtId="181" fontId="23" fillId="12" borderId="3" xfId="90" applyNumberFormat="1" applyFont="1" applyFill="1" applyBorder="1" applyAlignment="1">
      <alignment horizontal="right" vertical="center"/>
    </xf>
    <xf numFmtId="189" fontId="0" fillId="18" borderId="8" xfId="80" applyNumberFormat="1" applyFont="1" applyFill="1" applyBorder="1" applyAlignment="1">
      <alignment horizontal="center" vertical="center" wrapText="1"/>
    </xf>
    <xf numFmtId="0" fontId="0" fillId="11" borderId="8" xfId="0" applyFill="1" applyBorder="1">
      <alignment vertical="center"/>
    </xf>
    <xf numFmtId="189" fontId="42" fillId="18" borderId="8" xfId="80" applyNumberFormat="1" applyFont="1" applyFill="1" applyBorder="1" applyAlignment="1">
      <alignment horizontal="center" vertical="center" wrapText="1"/>
    </xf>
    <xf numFmtId="0" fontId="23" fillId="12" borderId="3" xfId="87" applyFont="1" applyFill="1" applyBorder="1" applyAlignment="1">
      <alignment vertical="center"/>
    </xf>
    <xf numFmtId="181" fontId="34" fillId="13" borderId="8" xfId="80" applyNumberFormat="1" applyFont="1" applyFill="1" applyBorder="1" applyAlignment="1">
      <alignment horizontal="right" vertical="center" wrapText="1"/>
    </xf>
    <xf numFmtId="181" fontId="34" fillId="11" borderId="8" xfId="80" applyNumberFormat="1" applyFont="1" applyFill="1" applyBorder="1" applyAlignment="1">
      <alignment horizontal="right" vertical="center" wrapText="1"/>
    </xf>
    <xf numFmtId="0" fontId="13" fillId="2" borderId="8" xfId="82" applyFont="1" applyFill="1" applyBorder="1" applyAlignment="1">
      <alignment horizontal="center" vertical="center"/>
    </xf>
    <xf numFmtId="0" fontId="13" fillId="2" borderId="8" xfId="90" applyNumberFormat="1" applyFont="1" applyFill="1" applyBorder="1" applyAlignment="1">
      <alignment horizontal="right" vertical="center"/>
    </xf>
    <xf numFmtId="188" fontId="13" fillId="2" borderId="8" xfId="90" applyNumberFormat="1" applyFont="1" applyFill="1" applyBorder="1" applyAlignment="1">
      <alignment horizontal="right" vertical="center"/>
    </xf>
    <xf numFmtId="41" fontId="13" fillId="2" borderId="8" xfId="90" applyFont="1" applyFill="1" applyBorder="1" applyAlignment="1">
      <alignment horizontal="center" vertical="center"/>
    </xf>
    <xf numFmtId="41" fontId="10" fillId="2" borderId="8" xfId="90" applyFont="1" applyFill="1" applyBorder="1" applyAlignment="1">
      <alignment horizontal="center" vertical="center"/>
    </xf>
    <xf numFmtId="184" fontId="35" fillId="0" borderId="8" xfId="0" applyNumberFormat="1" applyFont="1" applyBorder="1" applyAlignment="1">
      <alignment horizontal="center" vertical="center" wrapText="1"/>
    </xf>
    <xf numFmtId="0" fontId="35" fillId="0" borderId="8" xfId="0" applyFont="1" applyBorder="1" applyAlignment="1">
      <alignment horizontal="right" vertical="center" wrapText="1"/>
    </xf>
    <xf numFmtId="185" fontId="35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3" fillId="2" borderId="8" xfId="82" quotePrefix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86" fontId="13" fillId="2" borderId="8" xfId="90" applyNumberFormat="1" applyFont="1" applyFill="1" applyBorder="1" applyAlignment="1">
      <alignment horizontal="right" vertical="center"/>
    </xf>
    <xf numFmtId="41" fontId="34" fillId="11" borderId="8" xfId="79" applyFont="1" applyFill="1" applyBorder="1" applyAlignment="1">
      <alignment horizontal="center" vertical="center"/>
    </xf>
    <xf numFmtId="0" fontId="13" fillId="10" borderId="8" xfId="80" applyNumberFormat="1" applyFont="1" applyFill="1" applyBorder="1" applyAlignment="1">
      <alignment horizontal="center" vertical="center"/>
    </xf>
    <xf numFmtId="0" fontId="23" fillId="11" borderId="10" xfId="82" applyFont="1" applyFill="1" applyBorder="1" applyAlignment="1">
      <alignment horizontal="center" vertical="center"/>
    </xf>
    <xf numFmtId="0" fontId="23" fillId="11" borderId="15" xfId="82" applyFont="1" applyFill="1" applyBorder="1" applyAlignment="1">
      <alignment horizontal="center" vertical="center"/>
    </xf>
    <xf numFmtId="0" fontId="23" fillId="11" borderId="11" xfId="82" applyFont="1" applyFill="1" applyBorder="1" applyAlignment="1">
      <alignment horizontal="center" vertical="center"/>
    </xf>
    <xf numFmtId="0" fontId="13" fillId="2" borderId="8" xfId="83" applyFont="1" applyFill="1" applyBorder="1" applyAlignment="1">
      <alignment horizontal="center" vertical="center"/>
    </xf>
    <xf numFmtId="0" fontId="10" fillId="0" borderId="8" xfId="87" applyBorder="1" applyAlignment="1">
      <alignment horizontal="center" vertical="center"/>
    </xf>
    <xf numFmtId="0" fontId="10" fillId="0" borderId="8" xfId="82" applyFont="1" applyBorder="1" applyAlignment="1">
      <alignment horizontal="center" vertical="center"/>
    </xf>
    <xf numFmtId="181" fontId="13" fillId="0" borderId="9" xfId="90" applyNumberFormat="1" applyFont="1" applyFill="1" applyBorder="1" applyAlignment="1">
      <alignment horizontal="right" vertical="center"/>
    </xf>
    <xf numFmtId="0" fontId="43" fillId="2" borderId="29" xfId="0" applyFont="1" applyFill="1" applyBorder="1" applyAlignment="1">
      <alignment horizontal="center" vertical="center"/>
    </xf>
    <xf numFmtId="0" fontId="40" fillId="0" borderId="25" xfId="110" applyFont="1" applyFill="1" applyAlignment="1">
      <alignment horizontal="center" vertical="center"/>
    </xf>
    <xf numFmtId="0" fontId="43" fillId="2" borderId="30" xfId="0" applyFont="1" applyFill="1" applyBorder="1" applyAlignment="1">
      <alignment horizontal="center" vertical="center"/>
    </xf>
    <xf numFmtId="0" fontId="15" fillId="0" borderId="0" xfId="87" applyFont="1"/>
    <xf numFmtId="0" fontId="17" fillId="0" borderId="0" xfId="87" applyFont="1"/>
    <xf numFmtId="0" fontId="16" fillId="6" borderId="19" xfId="87" applyFont="1" applyFill="1" applyBorder="1" applyAlignment="1">
      <alignment horizontal="center" vertical="center"/>
    </xf>
    <xf numFmtId="0" fontId="16" fillId="0" borderId="8" xfId="87" applyFont="1" applyBorder="1" applyAlignment="1">
      <alignment horizontal="center" vertical="center"/>
    </xf>
    <xf numFmtId="0" fontId="16" fillId="0" borderId="20" xfId="87" applyFont="1" applyBorder="1" applyAlignment="1">
      <alignment horizontal="center" vertical="center"/>
    </xf>
    <xf numFmtId="0" fontId="16" fillId="6" borderId="11" xfId="87" applyFont="1" applyFill="1" applyBorder="1" applyAlignment="1">
      <alignment horizontal="center" vertical="center"/>
    </xf>
    <xf numFmtId="0" fontId="30" fillId="0" borderId="8" xfId="87" applyFont="1" applyBorder="1" applyAlignment="1">
      <alignment horizontal="center" vertical="center"/>
    </xf>
    <xf numFmtId="41" fontId="30" fillId="7" borderId="19" xfId="64" applyFont="1" applyFill="1" applyBorder="1" applyAlignment="1">
      <alignment horizontal="right" vertical="center"/>
    </xf>
    <xf numFmtId="41" fontId="30" fillId="7" borderId="8" xfId="64" applyFont="1" applyFill="1" applyBorder="1" applyAlignment="1">
      <alignment horizontal="right" vertical="center" indent="4"/>
    </xf>
    <xf numFmtId="41" fontId="30" fillId="7" borderId="20" xfId="64" applyFont="1" applyFill="1" applyBorder="1" applyAlignment="1">
      <alignment horizontal="right" vertical="center" indent="4"/>
    </xf>
    <xf numFmtId="41" fontId="30" fillId="7" borderId="11" xfId="64" applyFont="1" applyFill="1" applyBorder="1" applyAlignment="1">
      <alignment horizontal="right" vertical="center"/>
    </xf>
    <xf numFmtId="41" fontId="30" fillId="7" borderId="8" xfId="64" applyFont="1" applyFill="1" applyBorder="1" applyAlignment="1">
      <alignment horizontal="right" vertical="center"/>
    </xf>
    <xf numFmtId="41" fontId="33" fillId="7" borderId="19" xfId="64" applyFont="1" applyFill="1" applyBorder="1" applyAlignment="1">
      <alignment horizontal="right" vertical="center"/>
    </xf>
    <xf numFmtId="41" fontId="24" fillId="0" borderId="8" xfId="64" applyFont="1" applyFill="1" applyBorder="1" applyAlignment="1">
      <alignment horizontal="right" vertical="center"/>
    </xf>
    <xf numFmtId="41" fontId="24" fillId="0" borderId="20" xfId="64" applyFont="1" applyFill="1" applyBorder="1" applyAlignment="1">
      <alignment horizontal="right" vertical="center"/>
    </xf>
    <xf numFmtId="41" fontId="33" fillId="7" borderId="11" xfId="64" applyFont="1" applyFill="1" applyBorder="1" applyAlignment="1">
      <alignment horizontal="right" vertical="center"/>
    </xf>
    <xf numFmtId="0" fontId="28" fillId="0" borderId="0" xfId="87" applyFont="1"/>
    <xf numFmtId="41" fontId="15" fillId="0" borderId="8" xfId="87" applyNumberFormat="1" applyFont="1" applyBorder="1" applyAlignment="1">
      <alignment horizontal="right" vertical="center"/>
    </xf>
    <xf numFmtId="41" fontId="15" fillId="0" borderId="20" xfId="87" applyNumberFormat="1" applyFont="1" applyBorder="1" applyAlignment="1">
      <alignment horizontal="right" vertical="center"/>
    </xf>
    <xf numFmtId="41" fontId="24" fillId="0" borderId="8" xfId="87" applyNumberFormat="1" applyFont="1" applyBorder="1" applyAlignment="1">
      <alignment horizontal="right" vertical="center"/>
    </xf>
    <xf numFmtId="41" fontId="24" fillId="2" borderId="8" xfId="64" applyFont="1" applyFill="1" applyBorder="1" applyAlignment="1">
      <alignment horizontal="right" vertical="center"/>
    </xf>
    <xf numFmtId="41" fontId="24" fillId="2" borderId="20" xfId="64" applyFont="1" applyFill="1" applyBorder="1" applyAlignment="1">
      <alignment horizontal="right" vertical="center"/>
    </xf>
    <xf numFmtId="41" fontId="31" fillId="2" borderId="8" xfId="64" applyFont="1" applyFill="1" applyBorder="1" applyAlignment="1">
      <alignment horizontal="right" vertical="center"/>
    </xf>
    <xf numFmtId="41" fontId="33" fillId="7" borderId="21" xfId="64" applyFont="1" applyFill="1" applyBorder="1" applyAlignment="1">
      <alignment horizontal="right" vertical="center"/>
    </xf>
    <xf numFmtId="41" fontId="24" fillId="2" borderId="22" xfId="64" applyFont="1" applyFill="1" applyBorder="1" applyAlignment="1">
      <alignment horizontal="right" vertical="center"/>
    </xf>
    <xf numFmtId="41" fontId="24" fillId="2" borderId="23" xfId="64" applyFont="1" applyFill="1" applyBorder="1" applyAlignment="1">
      <alignment horizontal="right" vertical="center"/>
    </xf>
    <xf numFmtId="0" fontId="15" fillId="0" borderId="0" xfId="88" applyFont="1" applyAlignment="1"/>
    <xf numFmtId="0" fontId="16" fillId="7" borderId="19" xfId="87" applyFont="1" applyFill="1" applyBorder="1" applyAlignment="1">
      <alignment horizontal="center" vertical="center"/>
    </xf>
    <xf numFmtId="0" fontId="16" fillId="7" borderId="11" xfId="87" applyFont="1" applyFill="1" applyBorder="1" applyAlignment="1">
      <alignment horizontal="center" vertical="center"/>
    </xf>
    <xf numFmtId="41" fontId="30" fillId="7" borderId="20" xfId="64" applyFont="1" applyFill="1" applyBorder="1" applyAlignment="1">
      <alignment horizontal="right" vertical="center"/>
    </xf>
    <xf numFmtId="0" fontId="29" fillId="0" borderId="0" xfId="87" applyFont="1"/>
    <xf numFmtId="41" fontId="31" fillId="2" borderId="20" xfId="64" applyFont="1" applyFill="1" applyBorder="1" applyAlignment="1">
      <alignment horizontal="right" vertical="center"/>
    </xf>
    <xf numFmtId="41" fontId="30" fillId="7" borderId="21" xfId="64" applyFont="1" applyFill="1" applyBorder="1" applyAlignment="1">
      <alignment horizontal="right" vertical="center"/>
    </xf>
    <xf numFmtId="0" fontId="15" fillId="0" borderId="0" xfId="87" applyFont="1" applyAlignment="1">
      <alignment horizontal="right"/>
    </xf>
    <xf numFmtId="9" fontId="15" fillId="0" borderId="0" xfId="87" applyNumberFormat="1" applyFont="1"/>
    <xf numFmtId="0" fontId="10" fillId="0" borderId="0" xfId="87"/>
    <xf numFmtId="0" fontId="10" fillId="0" borderId="0" xfId="87" applyAlignment="1">
      <alignment vertical="center"/>
    </xf>
    <xf numFmtId="41" fontId="13" fillId="10" borderId="8" xfId="90" applyFont="1" applyFill="1" applyBorder="1" applyAlignment="1">
      <alignment horizontal="right" vertical="center" wrapText="1"/>
    </xf>
    <xf numFmtId="0" fontId="10" fillId="0" borderId="8" xfId="87" applyBorder="1"/>
    <xf numFmtId="0" fontId="13" fillId="0" borderId="8" xfId="82" applyFont="1" applyBorder="1" applyAlignment="1">
      <alignment horizontal="center" vertical="center"/>
    </xf>
    <xf numFmtId="0" fontId="4" fillId="0" borderId="0" xfId="82"/>
    <xf numFmtId="187" fontId="13" fillId="0" borderId="8" xfId="82" applyNumberFormat="1" applyFont="1" applyBorder="1" applyAlignment="1">
      <alignment horizontal="center" vertical="center"/>
    </xf>
    <xf numFmtId="41" fontId="23" fillId="12" borderId="8" xfId="90" applyFont="1" applyFill="1" applyBorder="1" applyAlignment="1">
      <alignment vertical="center"/>
    </xf>
    <xf numFmtId="0" fontId="4" fillId="2" borderId="8" xfId="82" applyFill="1" applyBorder="1" applyAlignment="1">
      <alignment horizontal="center" vertical="center"/>
    </xf>
    <xf numFmtId="0" fontId="4" fillId="0" borderId="8" xfId="82" applyBorder="1" applyAlignment="1">
      <alignment horizontal="center" vertical="center"/>
    </xf>
    <xf numFmtId="0" fontId="4" fillId="0" borderId="11" xfId="82" applyBorder="1" applyAlignment="1">
      <alignment horizontal="center" vertical="center"/>
    </xf>
    <xf numFmtId="41" fontId="23" fillId="12" borderId="8" xfId="90" applyFont="1" applyFill="1" applyBorder="1" applyAlignment="1">
      <alignment horizontal="right" vertical="center"/>
    </xf>
    <xf numFmtId="41" fontId="13" fillId="0" borderId="8" xfId="84" applyFont="1" applyFill="1" applyBorder="1" applyAlignment="1">
      <alignment horizontal="center" vertical="center" wrapText="1"/>
    </xf>
    <xf numFmtId="0" fontId="4" fillId="0" borderId="8" xfId="82" applyBorder="1" applyAlignment="1">
      <alignment vertical="center"/>
    </xf>
    <xf numFmtId="0" fontId="4" fillId="0" borderId="8" xfId="87" applyFont="1" applyBorder="1" applyAlignment="1">
      <alignment horizontal="center" vertical="center"/>
    </xf>
    <xf numFmtId="0" fontId="4" fillId="0" borderId="8" xfId="87" applyFont="1" applyBorder="1" applyAlignment="1">
      <alignment vertical="center"/>
    </xf>
    <xf numFmtId="9" fontId="10" fillId="0" borderId="0" xfId="87" applyNumberFormat="1"/>
    <xf numFmtId="0" fontId="22" fillId="0" borderId="0" xfId="87" applyFont="1"/>
    <xf numFmtId="0" fontId="4" fillId="2" borderId="8" xfId="87" applyFont="1" applyFill="1" applyBorder="1" applyAlignment="1">
      <alignment vertical="center"/>
    </xf>
    <xf numFmtId="0" fontId="18" fillId="11" borderId="8" xfId="87" applyFont="1" applyFill="1" applyBorder="1" applyAlignment="1">
      <alignment vertical="center"/>
    </xf>
    <xf numFmtId="0" fontId="10" fillId="0" borderId="8" xfId="87" applyBorder="1" applyAlignment="1">
      <alignment vertical="center"/>
    </xf>
    <xf numFmtId="188" fontId="10" fillId="0" borderId="8" xfId="87" applyNumberFormat="1" applyBorder="1" applyAlignment="1">
      <alignment horizontal="right" vertical="center"/>
    </xf>
    <xf numFmtId="0" fontId="10" fillId="2" borderId="8" xfId="87" applyFill="1" applyBorder="1" applyAlignment="1">
      <alignment horizontal="center" vertical="center"/>
    </xf>
    <xf numFmtId="0" fontId="4" fillId="2" borderId="8" xfId="82" applyFill="1" applyBorder="1" applyAlignment="1">
      <alignment vertical="center"/>
    </xf>
    <xf numFmtId="0" fontId="34" fillId="0" borderId="0" xfId="87" applyFont="1" applyAlignment="1">
      <alignment vertical="center"/>
    </xf>
    <xf numFmtId="41" fontId="34" fillId="0" borderId="0" xfId="87" applyNumberFormat="1" applyFont="1" applyAlignment="1">
      <alignment vertical="center"/>
    </xf>
    <xf numFmtId="41" fontId="4" fillId="0" borderId="8" xfId="87" applyNumberFormat="1" applyFont="1" applyBorder="1" applyAlignment="1">
      <alignment vertical="center"/>
    </xf>
    <xf numFmtId="0" fontId="10" fillId="0" borderId="8" xfId="87" applyBorder="1" applyAlignment="1">
      <alignment horizontal="right" vertical="center"/>
    </xf>
    <xf numFmtId="0" fontId="10" fillId="2" borderId="8" xfId="87" applyFill="1" applyBorder="1" applyAlignment="1">
      <alignment vertical="center"/>
    </xf>
    <xf numFmtId="0" fontId="34" fillId="11" borderId="8" xfId="87" applyFont="1" applyFill="1" applyBorder="1" applyAlignment="1">
      <alignment vertical="center"/>
    </xf>
    <xf numFmtId="0" fontId="13" fillId="2" borderId="0" xfId="83" applyFont="1" applyFill="1" applyAlignment="1">
      <alignment horizontal="center" vertical="center"/>
    </xf>
    <xf numFmtId="0" fontId="34" fillId="11" borderId="8" xfId="87" applyFont="1" applyFill="1" applyBorder="1" applyAlignment="1">
      <alignment horizontal="right" vertical="center"/>
    </xf>
    <xf numFmtId="0" fontId="10" fillId="15" borderId="9" xfId="81" applyFont="1" applyFill="1" applyBorder="1" applyAlignment="1">
      <alignment horizontal="center" vertical="center"/>
    </xf>
    <xf numFmtId="41" fontId="23" fillId="11" borderId="8" xfId="90" applyFont="1" applyFill="1" applyBorder="1" applyAlignment="1">
      <alignment horizontal="right" vertical="center"/>
    </xf>
    <xf numFmtId="0" fontId="13" fillId="0" borderId="9" xfId="82" applyFont="1" applyBorder="1" applyAlignment="1">
      <alignment horizontal="center" vertical="center"/>
    </xf>
    <xf numFmtId="41" fontId="23" fillId="11" borderId="9" xfId="90" applyFont="1" applyFill="1" applyBorder="1" applyAlignment="1">
      <alignment horizontal="right" vertical="center"/>
    </xf>
    <xf numFmtId="0" fontId="10" fillId="0" borderId="0" xfId="87" applyAlignment="1">
      <alignment horizontal="center" vertical="center"/>
    </xf>
    <xf numFmtId="0" fontId="10" fillId="0" borderId="0" xfId="87" applyAlignment="1">
      <alignment horizontal="center"/>
    </xf>
    <xf numFmtId="0" fontId="16" fillId="0" borderId="8" xfId="87" applyFont="1" applyBorder="1" applyAlignment="1">
      <alignment horizontal="center" vertical="center"/>
    </xf>
    <xf numFmtId="0" fontId="16" fillId="5" borderId="10" xfId="87" applyFont="1" applyFill="1" applyBorder="1" applyAlignment="1">
      <alignment horizontal="center" vertical="center" wrapText="1"/>
    </xf>
    <xf numFmtId="0" fontId="16" fillId="5" borderId="10" xfId="87" applyFont="1" applyFill="1" applyBorder="1" applyAlignment="1">
      <alignment horizontal="center" vertical="center"/>
    </xf>
    <xf numFmtId="0" fontId="16" fillId="0" borderId="16" xfId="87" applyFont="1" applyBorder="1" applyAlignment="1">
      <alignment horizontal="center" vertical="center"/>
    </xf>
    <xf numFmtId="0" fontId="16" fillId="0" borderId="17" xfId="87" applyFont="1" applyBorder="1" applyAlignment="1">
      <alignment horizontal="center" vertical="center"/>
    </xf>
    <xf numFmtId="0" fontId="16" fillId="0" borderId="18" xfId="87" applyFont="1" applyBorder="1" applyAlignment="1">
      <alignment horizontal="center" vertical="center"/>
    </xf>
    <xf numFmtId="0" fontId="16" fillId="0" borderId="11" xfId="87" applyFont="1" applyBorder="1" applyAlignment="1">
      <alignment horizontal="center" vertical="center"/>
    </xf>
    <xf numFmtId="0" fontId="14" fillId="0" borderId="0" xfId="87" applyFont="1" applyAlignment="1">
      <alignment horizontal="left" vertical="center"/>
    </xf>
    <xf numFmtId="0" fontId="16" fillId="0" borderId="24" xfId="87" applyFont="1" applyBorder="1" applyAlignment="1">
      <alignment horizontal="center" vertical="center"/>
    </xf>
    <xf numFmtId="0" fontId="16" fillId="0" borderId="15" xfId="87" applyFont="1" applyBorder="1" applyAlignment="1">
      <alignment horizontal="center" vertical="center"/>
    </xf>
    <xf numFmtId="0" fontId="23" fillId="12" borderId="10" xfId="83" applyFont="1" applyFill="1" applyBorder="1" applyAlignment="1">
      <alignment horizontal="center" vertical="center"/>
    </xf>
    <xf numFmtId="0" fontId="23" fillId="12" borderId="15" xfId="83" applyFont="1" applyFill="1" applyBorder="1" applyAlignment="1">
      <alignment horizontal="center" vertical="center"/>
    </xf>
    <xf numFmtId="0" fontId="23" fillId="12" borderId="11" xfId="83" applyFont="1" applyFill="1" applyBorder="1" applyAlignment="1">
      <alignment horizontal="center" vertical="center"/>
    </xf>
    <xf numFmtId="0" fontId="4" fillId="2" borderId="9" xfId="82" applyFill="1" applyBorder="1" applyAlignment="1">
      <alignment horizontal="center" vertical="center"/>
    </xf>
    <xf numFmtId="0" fontId="4" fillId="2" borderId="1" xfId="82" applyFill="1" applyBorder="1" applyAlignment="1">
      <alignment horizontal="center" vertical="center"/>
    </xf>
    <xf numFmtId="0" fontId="4" fillId="2" borderId="3" xfId="82" applyFill="1" applyBorder="1" applyAlignment="1">
      <alignment horizontal="center" vertical="center"/>
    </xf>
    <xf numFmtId="49" fontId="4" fillId="0" borderId="9" xfId="81" applyNumberFormat="1" applyFont="1" applyFill="1" applyBorder="1" applyAlignment="1">
      <alignment horizontal="center" vertical="center" wrapText="1"/>
    </xf>
    <xf numFmtId="49" fontId="4" fillId="0" borderId="1" xfId="81" applyNumberFormat="1" applyFont="1" applyFill="1" applyBorder="1" applyAlignment="1">
      <alignment horizontal="center" vertical="center" wrapText="1"/>
    </xf>
    <xf numFmtId="49" fontId="4" fillId="0" borderId="3" xfId="81" applyNumberFormat="1" applyFont="1" applyFill="1" applyBorder="1" applyAlignment="1">
      <alignment horizontal="center" vertical="center" wrapText="1"/>
    </xf>
    <xf numFmtId="49" fontId="4" fillId="2" borderId="9" xfId="81" applyNumberFormat="1" applyFont="1" applyFill="1" applyBorder="1" applyAlignment="1">
      <alignment horizontal="center" vertical="center" wrapText="1"/>
    </xf>
    <xf numFmtId="49" fontId="4" fillId="2" borderId="1" xfId="81" applyNumberFormat="1" applyFont="1" applyFill="1" applyBorder="1" applyAlignment="1">
      <alignment horizontal="center" vertical="center" wrapText="1"/>
    </xf>
    <xf numFmtId="49" fontId="4" fillId="2" borderId="3" xfId="81" applyNumberFormat="1" applyFont="1" applyFill="1" applyBorder="1" applyAlignment="1">
      <alignment horizontal="center" vertical="center" wrapText="1"/>
    </xf>
    <xf numFmtId="0" fontId="4" fillId="2" borderId="9" xfId="82" applyFill="1" applyBorder="1" applyAlignment="1">
      <alignment horizontal="center" vertical="center" wrapText="1"/>
    </xf>
    <xf numFmtId="0" fontId="4" fillId="2" borderId="1" xfId="82" applyFill="1" applyBorder="1" applyAlignment="1">
      <alignment horizontal="center" vertical="center" wrapText="1"/>
    </xf>
    <xf numFmtId="0" fontId="4" fillId="2" borderId="3" xfId="82" applyFill="1" applyBorder="1" applyAlignment="1">
      <alignment horizontal="center" vertical="center" wrapText="1"/>
    </xf>
    <xf numFmtId="0" fontId="23" fillId="11" borderId="10" xfId="82" applyFont="1" applyFill="1" applyBorder="1" applyAlignment="1">
      <alignment horizontal="center" vertical="center"/>
    </xf>
    <xf numFmtId="0" fontId="23" fillId="11" borderId="15" xfId="82" applyFont="1" applyFill="1" applyBorder="1" applyAlignment="1">
      <alignment horizontal="center" vertical="center"/>
    </xf>
    <xf numFmtId="0" fontId="23" fillId="11" borderId="11" xfId="82" applyFont="1" applyFill="1" applyBorder="1" applyAlignment="1">
      <alignment horizontal="center" vertical="center"/>
    </xf>
    <xf numFmtId="49" fontId="13" fillId="0" borderId="9" xfId="82" applyNumberFormat="1" applyFont="1" applyBorder="1" applyAlignment="1">
      <alignment horizontal="center" vertical="center" wrapText="1"/>
    </xf>
    <xf numFmtId="49" fontId="13" fillId="0" borderId="1" xfId="82" applyNumberFormat="1" applyFont="1" applyBorder="1" applyAlignment="1">
      <alignment horizontal="center" vertical="center" wrapText="1"/>
    </xf>
    <xf numFmtId="49" fontId="13" fillId="0" borderId="3" xfId="82" applyNumberFormat="1" applyFont="1" applyBorder="1" applyAlignment="1">
      <alignment horizontal="center" vertical="center" wrapText="1"/>
    </xf>
    <xf numFmtId="0" fontId="13" fillId="0" borderId="9" xfId="87" applyFont="1" applyBorder="1" applyAlignment="1">
      <alignment horizontal="center" vertical="center"/>
    </xf>
    <xf numFmtId="0" fontId="13" fillId="0" borderId="1" xfId="87" applyFont="1" applyBorder="1" applyAlignment="1">
      <alignment horizontal="center" vertical="center"/>
    </xf>
    <xf numFmtId="0" fontId="13" fillId="0" borderId="3" xfId="87" applyFont="1" applyBorder="1" applyAlignment="1">
      <alignment horizontal="center" vertical="center"/>
    </xf>
    <xf numFmtId="0" fontId="10" fillId="2" borderId="9" xfId="81" applyFont="1" applyFill="1" applyBorder="1" applyAlignment="1">
      <alignment horizontal="center" vertical="center"/>
    </xf>
    <xf numFmtId="0" fontId="10" fillId="2" borderId="1" xfId="81" applyFont="1" applyFill="1" applyBorder="1" applyAlignment="1">
      <alignment horizontal="center" vertical="center"/>
    </xf>
    <xf numFmtId="0" fontId="10" fillId="2" borderId="3" xfId="81" applyFont="1" applyFill="1" applyBorder="1" applyAlignment="1">
      <alignment horizontal="center" vertical="center"/>
    </xf>
    <xf numFmtId="0" fontId="10" fillId="2" borderId="9" xfId="81" applyFont="1" applyFill="1" applyBorder="1" applyAlignment="1">
      <alignment horizontal="center" vertical="center" wrapText="1"/>
    </xf>
    <xf numFmtId="0" fontId="10" fillId="2" borderId="1" xfId="81" applyFont="1" applyFill="1" applyBorder="1" applyAlignment="1">
      <alignment horizontal="center" vertical="center" wrapText="1"/>
    </xf>
    <xf numFmtId="0" fontId="10" fillId="2" borderId="3" xfId="81" applyFont="1" applyFill="1" applyBorder="1" applyAlignment="1">
      <alignment horizontal="center" vertical="center" wrapText="1"/>
    </xf>
    <xf numFmtId="0" fontId="13" fillId="2" borderId="12" xfId="83" applyFont="1" applyFill="1" applyBorder="1" applyAlignment="1">
      <alignment horizontal="center" vertical="center" wrapText="1"/>
    </xf>
    <xf numFmtId="0" fontId="13" fillId="2" borderId="13" xfId="83" applyFont="1" applyFill="1" applyBorder="1" applyAlignment="1">
      <alignment horizontal="center" vertical="center" wrapText="1"/>
    </xf>
    <xf numFmtId="0" fontId="13" fillId="2" borderId="14" xfId="83" applyFont="1" applyFill="1" applyBorder="1" applyAlignment="1">
      <alignment horizontal="center" vertical="center" wrapText="1"/>
    </xf>
    <xf numFmtId="0" fontId="13" fillId="2" borderId="5" xfId="83" applyFont="1" applyFill="1" applyBorder="1" applyAlignment="1">
      <alignment horizontal="center" vertical="center" wrapText="1"/>
    </xf>
    <xf numFmtId="0" fontId="13" fillId="2" borderId="0" xfId="83" applyFont="1" applyFill="1" applyAlignment="1">
      <alignment horizontal="center" vertical="center" wrapText="1"/>
    </xf>
    <xf numFmtId="0" fontId="13" fillId="2" borderId="2" xfId="83" applyFont="1" applyFill="1" applyBorder="1" applyAlignment="1">
      <alignment horizontal="center" vertical="center" wrapText="1"/>
    </xf>
    <xf numFmtId="0" fontId="13" fillId="2" borderId="6" xfId="83" applyFont="1" applyFill="1" applyBorder="1" applyAlignment="1">
      <alignment horizontal="center" vertical="center" wrapText="1"/>
    </xf>
    <xf numFmtId="0" fontId="13" fillId="2" borderId="7" xfId="83" applyFont="1" applyFill="1" applyBorder="1" applyAlignment="1">
      <alignment horizontal="center" vertical="center" wrapText="1"/>
    </xf>
    <xf numFmtId="0" fontId="13" fillId="2" borderId="4" xfId="83" applyFont="1" applyFill="1" applyBorder="1" applyAlignment="1">
      <alignment horizontal="center" vertical="center" wrapText="1"/>
    </xf>
    <xf numFmtId="0" fontId="36" fillId="2" borderId="9" xfId="82" applyFont="1" applyFill="1" applyBorder="1" applyAlignment="1">
      <alignment horizontal="center" vertical="center"/>
    </xf>
    <xf numFmtId="0" fontId="36" fillId="2" borderId="1" xfId="82" applyFont="1" applyFill="1" applyBorder="1" applyAlignment="1">
      <alignment horizontal="center" vertical="center"/>
    </xf>
    <xf numFmtId="0" fontId="36" fillId="2" borderId="3" xfId="82" applyFont="1" applyFill="1" applyBorder="1" applyAlignment="1">
      <alignment horizontal="center" vertical="center"/>
    </xf>
    <xf numFmtId="0" fontId="13" fillId="0" borderId="9" xfId="83" applyFont="1" applyBorder="1" applyAlignment="1">
      <alignment horizontal="center" vertical="center"/>
    </xf>
    <xf numFmtId="0" fontId="13" fillId="0" borderId="1" xfId="83" applyFont="1" applyBorder="1" applyAlignment="1">
      <alignment horizontal="center" vertical="center"/>
    </xf>
    <xf numFmtId="0" fontId="13" fillId="0" borderId="3" xfId="83" applyFont="1" applyBorder="1" applyAlignment="1">
      <alignment horizontal="center" vertical="center"/>
    </xf>
    <xf numFmtId="0" fontId="23" fillId="2" borderId="9" xfId="87" applyFont="1" applyFill="1" applyBorder="1" applyAlignment="1">
      <alignment horizontal="center" vertical="center"/>
    </xf>
    <xf numFmtId="0" fontId="23" fillId="2" borderId="1" xfId="87" applyFont="1" applyFill="1" applyBorder="1" applyAlignment="1">
      <alignment horizontal="center" vertical="center"/>
    </xf>
    <xf numFmtId="0" fontId="23" fillId="2" borderId="3" xfId="87" applyFont="1" applyFill="1" applyBorder="1" applyAlignment="1">
      <alignment horizontal="center" vertical="center"/>
    </xf>
    <xf numFmtId="0" fontId="13" fillId="2" borderId="9" xfId="87" applyFont="1" applyFill="1" applyBorder="1" applyAlignment="1">
      <alignment horizontal="center" vertical="center"/>
    </xf>
    <xf numFmtId="0" fontId="13" fillId="2" borderId="1" xfId="87" applyFont="1" applyFill="1" applyBorder="1" applyAlignment="1">
      <alignment horizontal="center" vertical="center"/>
    </xf>
    <xf numFmtId="0" fontId="13" fillId="2" borderId="3" xfId="87" applyFont="1" applyFill="1" applyBorder="1" applyAlignment="1">
      <alignment horizontal="center" vertical="center"/>
    </xf>
    <xf numFmtId="0" fontId="13" fillId="0" borderId="12" xfId="83" applyFont="1" applyBorder="1" applyAlignment="1">
      <alignment horizontal="center" vertical="center"/>
    </xf>
    <xf numFmtId="0" fontId="13" fillId="0" borderId="5" xfId="83" applyFont="1" applyBorder="1" applyAlignment="1">
      <alignment horizontal="center" vertical="center"/>
    </xf>
    <xf numFmtId="0" fontId="13" fillId="0" borderId="6" xfId="83" applyFont="1" applyBorder="1" applyAlignment="1">
      <alignment horizontal="center" vertical="center"/>
    </xf>
    <xf numFmtId="0" fontId="13" fillId="0" borderId="14" xfId="83" applyFont="1" applyBorder="1" applyAlignment="1">
      <alignment horizontal="center" vertical="center"/>
    </xf>
    <xf numFmtId="0" fontId="13" fillId="0" borderId="2" xfId="83" applyFont="1" applyBorder="1" applyAlignment="1">
      <alignment horizontal="center" vertical="center"/>
    </xf>
    <xf numFmtId="17" fontId="13" fillId="0" borderId="12" xfId="81" applyNumberFormat="1" applyFont="1" applyFill="1" applyBorder="1" applyAlignment="1">
      <alignment horizontal="center" vertical="center" wrapText="1"/>
    </xf>
    <xf numFmtId="17" fontId="13" fillId="0" borderId="13" xfId="81" applyNumberFormat="1" applyFont="1" applyFill="1" applyBorder="1" applyAlignment="1">
      <alignment horizontal="center" vertical="center" wrapText="1"/>
    </xf>
    <xf numFmtId="17" fontId="13" fillId="0" borderId="14" xfId="81" applyNumberFormat="1" applyFont="1" applyFill="1" applyBorder="1" applyAlignment="1">
      <alignment horizontal="center" vertical="center" wrapText="1"/>
    </xf>
    <xf numFmtId="17" fontId="13" fillId="0" borderId="5" xfId="81" applyNumberFormat="1" applyFont="1" applyFill="1" applyBorder="1" applyAlignment="1">
      <alignment horizontal="center" vertical="center" wrapText="1"/>
    </xf>
    <xf numFmtId="17" fontId="13" fillId="0" borderId="0" xfId="81" applyNumberFormat="1" applyFont="1" applyFill="1" applyAlignment="1">
      <alignment horizontal="center" vertical="center" wrapText="1"/>
    </xf>
    <xf numFmtId="17" fontId="13" fillId="0" borderId="2" xfId="81" applyNumberFormat="1" applyFont="1" applyFill="1" applyBorder="1" applyAlignment="1">
      <alignment horizontal="center" vertical="center" wrapText="1"/>
    </xf>
    <xf numFmtId="17" fontId="13" fillId="0" borderId="6" xfId="81" applyNumberFormat="1" applyFont="1" applyFill="1" applyBorder="1" applyAlignment="1">
      <alignment horizontal="center" vertical="center" wrapText="1"/>
    </xf>
    <xf numFmtId="17" fontId="13" fillId="0" borderId="7" xfId="81" applyNumberFormat="1" applyFont="1" applyFill="1" applyBorder="1" applyAlignment="1">
      <alignment horizontal="center" vertical="center" wrapText="1"/>
    </xf>
    <xf numFmtId="17" fontId="13" fillId="0" borderId="4" xfId="81" applyNumberFormat="1" applyFont="1" applyFill="1" applyBorder="1" applyAlignment="1">
      <alignment horizontal="center" vertical="center" wrapText="1"/>
    </xf>
    <xf numFmtId="0" fontId="13" fillId="0" borderId="9" xfId="82" applyFont="1" applyBorder="1" applyAlignment="1">
      <alignment horizontal="center" vertical="center"/>
    </xf>
    <xf numFmtId="0" fontId="13" fillId="0" borderId="1" xfId="82" applyFont="1" applyBorder="1" applyAlignment="1">
      <alignment horizontal="center" vertical="center"/>
    </xf>
    <xf numFmtId="0" fontId="13" fillId="0" borderId="3" xfId="82" applyFont="1" applyBorder="1" applyAlignment="1">
      <alignment horizontal="center" vertical="center"/>
    </xf>
    <xf numFmtId="0" fontId="13" fillId="2" borderId="9" xfId="83" applyFont="1" applyFill="1" applyBorder="1" applyAlignment="1">
      <alignment horizontal="center" vertical="center"/>
    </xf>
    <xf numFmtId="0" fontId="13" fillId="2" borderId="3" xfId="83" applyFont="1" applyFill="1" applyBorder="1" applyAlignment="1">
      <alignment horizontal="center" vertical="center"/>
    </xf>
    <xf numFmtId="49" fontId="13" fillId="0" borderId="8" xfId="81" applyNumberFormat="1" applyFont="1" applyFill="1" applyBorder="1" applyAlignment="1">
      <alignment horizontal="center" vertical="center" wrapText="1"/>
    </xf>
    <xf numFmtId="49" fontId="13" fillId="0" borderId="8" xfId="82" applyNumberFormat="1" applyFont="1" applyBorder="1" applyAlignment="1">
      <alignment horizontal="center" vertical="center" wrapText="1"/>
    </xf>
    <xf numFmtId="0" fontId="13" fillId="2" borderId="1" xfId="83" applyFont="1" applyFill="1" applyBorder="1" applyAlignment="1">
      <alignment horizontal="center" vertical="center"/>
    </xf>
    <xf numFmtId="0" fontId="13" fillId="0" borderId="9" xfId="82" applyFont="1" applyBorder="1" applyAlignment="1">
      <alignment horizontal="center" vertical="center" wrapText="1" shrinkToFit="1"/>
    </xf>
    <xf numFmtId="0" fontId="13" fillId="0" borderId="3" xfId="82" applyFont="1" applyBorder="1" applyAlignment="1">
      <alignment horizontal="center" vertical="center" wrapText="1" shrinkToFit="1"/>
    </xf>
    <xf numFmtId="49" fontId="13" fillId="0" borderId="9" xfId="81" applyNumberFormat="1" applyFont="1" applyFill="1" applyBorder="1" applyAlignment="1">
      <alignment horizontal="center" vertical="center" wrapText="1"/>
    </xf>
    <xf numFmtId="49" fontId="13" fillId="0" borderId="1" xfId="81" applyNumberFormat="1" applyFont="1" applyFill="1" applyBorder="1" applyAlignment="1">
      <alignment horizontal="center" vertical="center" wrapText="1"/>
    </xf>
    <xf numFmtId="49" fontId="13" fillId="0" borderId="3" xfId="81" applyNumberFormat="1" applyFont="1" applyFill="1" applyBorder="1" applyAlignment="1">
      <alignment horizontal="center" vertical="center" wrapText="1"/>
    </xf>
    <xf numFmtId="0" fontId="13" fillId="0" borderId="9" xfId="81" applyFont="1" applyFill="1" applyBorder="1" applyAlignment="1">
      <alignment horizontal="center" vertical="center" wrapText="1"/>
    </xf>
    <xf numFmtId="0" fontId="13" fillId="0" borderId="1" xfId="81" applyFont="1" applyFill="1" applyBorder="1" applyAlignment="1">
      <alignment horizontal="center" vertical="center" wrapText="1"/>
    </xf>
    <xf numFmtId="0" fontId="13" fillId="0" borderId="3" xfId="81" applyFont="1" applyFill="1" applyBorder="1" applyAlignment="1">
      <alignment horizontal="center" vertical="center" wrapText="1"/>
    </xf>
    <xf numFmtId="0" fontId="13" fillId="0" borderId="1" xfId="82" applyFont="1" applyBorder="1" applyAlignment="1">
      <alignment horizontal="center" vertical="center" wrapText="1" shrinkToFit="1"/>
    </xf>
    <xf numFmtId="0" fontId="13" fillId="0" borderId="9" xfId="82" applyFont="1" applyBorder="1" applyAlignment="1">
      <alignment horizontal="center" vertical="center" wrapText="1"/>
    </xf>
    <xf numFmtId="0" fontId="13" fillId="0" borderId="1" xfId="82" applyFont="1" applyBorder="1" applyAlignment="1">
      <alignment horizontal="center" vertical="center" wrapText="1"/>
    </xf>
    <xf numFmtId="0" fontId="13" fillId="0" borderId="3" xfId="82" applyFont="1" applyBorder="1" applyAlignment="1">
      <alignment horizontal="center" vertical="center" wrapText="1"/>
    </xf>
    <xf numFmtId="181" fontId="13" fillId="0" borderId="9" xfId="90" applyNumberFormat="1" applyFont="1" applyFill="1" applyBorder="1" applyAlignment="1">
      <alignment horizontal="right" vertical="center"/>
    </xf>
    <xf numFmtId="181" fontId="13" fillId="0" borderId="3" xfId="90" applyNumberFormat="1" applyFont="1" applyFill="1" applyBorder="1" applyAlignment="1">
      <alignment horizontal="right" vertical="center"/>
    </xf>
    <xf numFmtId="0" fontId="13" fillId="0" borderId="9" xfId="81" applyFont="1" applyFill="1" applyBorder="1" applyAlignment="1">
      <alignment horizontal="center" vertical="center"/>
    </xf>
    <xf numFmtId="0" fontId="13" fillId="0" borderId="3" xfId="8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18" borderId="9" xfId="80" applyNumberFormat="1" applyFont="1" applyFill="1" applyBorder="1" applyAlignment="1">
      <alignment horizontal="center" vertical="center"/>
    </xf>
    <xf numFmtId="49" fontId="0" fillId="18" borderId="1" xfId="80" applyNumberFormat="1" applyFont="1" applyFill="1" applyBorder="1" applyAlignment="1">
      <alignment horizontal="center" vertical="center"/>
    </xf>
    <xf numFmtId="49" fontId="0" fillId="18" borderId="3" xfId="80" applyNumberFormat="1" applyFont="1" applyFill="1" applyBorder="1" applyAlignment="1">
      <alignment horizontal="center" vertical="center"/>
    </xf>
    <xf numFmtId="49" fontId="0" fillId="18" borderId="9" xfId="80" quotePrefix="1" applyNumberFormat="1" applyFont="1" applyFill="1" applyBorder="1" applyAlignment="1">
      <alignment horizontal="center" vertical="center"/>
    </xf>
    <xf numFmtId="189" fontId="0" fillId="13" borderId="8" xfId="80" applyNumberFormat="1" applyFont="1" applyFill="1" applyBorder="1" applyAlignment="1">
      <alignment horizontal="center" vertical="center" wrapText="1"/>
    </xf>
    <xf numFmtId="0" fontId="23" fillId="12" borderId="4" xfId="83" applyFont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2" borderId="9" xfId="80" quotePrefix="1" applyNumberFormat="1" applyFont="1" applyFill="1" applyBorder="1" applyAlignment="1">
      <alignment horizontal="center" vertical="center"/>
    </xf>
    <xf numFmtId="49" fontId="0" fillId="2" borderId="1" xfId="80" quotePrefix="1" applyNumberFormat="1" applyFont="1" applyFill="1" applyBorder="1" applyAlignment="1">
      <alignment horizontal="center" vertical="center"/>
    </xf>
    <xf numFmtId="49" fontId="0" fillId="2" borderId="1" xfId="80" applyNumberFormat="1" applyFont="1" applyFill="1" applyBorder="1" applyAlignment="1">
      <alignment horizontal="center" vertical="center"/>
    </xf>
    <xf numFmtId="49" fontId="0" fillId="2" borderId="3" xfId="80" applyNumberFormat="1" applyFont="1" applyFill="1" applyBorder="1" applyAlignment="1">
      <alignment horizontal="center" vertical="center"/>
    </xf>
    <xf numFmtId="0" fontId="10" fillId="18" borderId="9" xfId="80" applyNumberFormat="1" applyFont="1" applyFill="1" applyBorder="1" applyAlignment="1">
      <alignment horizontal="center" vertical="center"/>
    </xf>
    <xf numFmtId="0" fontId="10" fillId="18" borderId="1" xfId="80" applyNumberFormat="1" applyFont="1" applyFill="1" applyBorder="1" applyAlignment="1">
      <alignment horizontal="center" vertical="center"/>
    </xf>
    <xf numFmtId="0" fontId="10" fillId="18" borderId="3" xfId="80" applyNumberFormat="1" applyFont="1" applyFill="1" applyBorder="1" applyAlignment="1">
      <alignment horizontal="center" vertical="center"/>
    </xf>
    <xf numFmtId="0" fontId="0" fillId="2" borderId="9" xfId="80" applyNumberFormat="1" applyFont="1" applyFill="1" applyBorder="1" applyAlignment="1">
      <alignment horizontal="center" vertical="center"/>
    </xf>
    <xf numFmtId="0" fontId="0" fillId="2" borderId="1" xfId="80" applyNumberFormat="1" applyFont="1" applyFill="1" applyBorder="1" applyAlignment="1">
      <alignment horizontal="center" vertical="center"/>
    </xf>
    <xf numFmtId="0" fontId="0" fillId="2" borderId="3" xfId="8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/>
    </xf>
    <xf numFmtId="0" fontId="0" fillId="2" borderId="8" xfId="80" applyNumberFormat="1" applyFont="1" applyFill="1" applyBorder="1" applyAlignment="1">
      <alignment horizontal="center" vertical="center"/>
    </xf>
    <xf numFmtId="0" fontId="0" fillId="18" borderId="8" xfId="8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9" xfId="83" applyFont="1" applyBorder="1" applyAlignment="1">
      <alignment horizontal="center" vertical="center"/>
    </xf>
    <xf numFmtId="0" fontId="10" fillId="0" borderId="1" xfId="83" applyFont="1" applyBorder="1" applyAlignment="1">
      <alignment horizontal="center" vertical="center"/>
    </xf>
    <xf numFmtId="0" fontId="10" fillId="0" borderId="3" xfId="83" applyFont="1" applyBorder="1" applyAlignment="1">
      <alignment horizontal="center" vertical="center"/>
    </xf>
    <xf numFmtId="49" fontId="4" fillId="0" borderId="9" xfId="81" quotePrefix="1" applyNumberFormat="1" applyFont="1" applyFill="1" applyBorder="1" applyAlignment="1">
      <alignment horizontal="center" vertical="center" wrapText="1"/>
    </xf>
    <xf numFmtId="49" fontId="4" fillId="0" borderId="1" xfId="81" quotePrefix="1" applyNumberFormat="1" applyFont="1" applyFill="1" applyBorder="1" applyAlignment="1">
      <alignment horizontal="center" vertical="center" wrapText="1"/>
    </xf>
    <xf numFmtId="49" fontId="4" fillId="0" borderId="3" xfId="81" quotePrefix="1" applyNumberFormat="1" applyFont="1" applyFill="1" applyBorder="1" applyAlignment="1">
      <alignment horizontal="center" vertical="center" wrapText="1"/>
    </xf>
    <xf numFmtId="0" fontId="34" fillId="16" borderId="10" xfId="82" applyFont="1" applyFill="1" applyBorder="1" applyAlignment="1">
      <alignment horizontal="center" vertical="center"/>
    </xf>
    <xf numFmtId="0" fontId="34" fillId="16" borderId="15" xfId="82" applyFont="1" applyFill="1" applyBorder="1" applyAlignment="1">
      <alignment horizontal="center" vertical="center"/>
    </xf>
    <xf numFmtId="0" fontId="34" fillId="16" borderId="11" xfId="82" applyFont="1" applyFill="1" applyBorder="1" applyAlignment="1">
      <alignment horizontal="center" vertical="center"/>
    </xf>
    <xf numFmtId="0" fontId="23" fillId="12" borderId="14" xfId="83" applyFont="1" applyFill="1" applyBorder="1" applyAlignment="1">
      <alignment horizontal="center" vertical="center"/>
    </xf>
    <xf numFmtId="0" fontId="10" fillId="18" borderId="8" xfId="80" applyNumberFormat="1" applyFont="1" applyFill="1" applyBorder="1" applyAlignment="1">
      <alignment horizontal="center" vertical="center"/>
    </xf>
    <xf numFmtId="49" fontId="10" fillId="0" borderId="1" xfId="81" quotePrefix="1" applyNumberFormat="1" applyFont="1" applyFill="1" applyBorder="1" applyAlignment="1">
      <alignment horizontal="center" vertical="center" wrapText="1"/>
    </xf>
    <xf numFmtId="49" fontId="10" fillId="0" borderId="1" xfId="81" applyNumberFormat="1" applyFont="1" applyFill="1" applyBorder="1" applyAlignment="1">
      <alignment horizontal="center" vertical="center" wrapText="1"/>
    </xf>
    <xf numFmtId="49" fontId="10" fillId="0" borderId="3" xfId="81" applyNumberFormat="1" applyFont="1" applyFill="1" applyBorder="1" applyAlignment="1">
      <alignment horizontal="center" vertical="center" wrapText="1"/>
    </xf>
    <xf numFmtId="0" fontId="4" fillId="0" borderId="1" xfId="83" applyBorder="1" applyAlignment="1">
      <alignment horizontal="center" vertical="center"/>
    </xf>
    <xf numFmtId="0" fontId="4" fillId="0" borderId="3" xfId="83" applyBorder="1" applyAlignment="1">
      <alignment horizontal="center" vertical="center"/>
    </xf>
    <xf numFmtId="0" fontId="10" fillId="15" borderId="12" xfId="83" applyFont="1" applyFill="1" applyBorder="1" applyAlignment="1">
      <alignment horizontal="center" vertical="center" wrapText="1"/>
    </xf>
    <xf numFmtId="0" fontId="10" fillId="15" borderId="13" xfId="83" applyFont="1" applyFill="1" applyBorder="1" applyAlignment="1">
      <alignment horizontal="center" vertical="center" wrapText="1"/>
    </xf>
    <xf numFmtId="0" fontId="10" fillId="15" borderId="14" xfId="83" applyFont="1" applyFill="1" applyBorder="1" applyAlignment="1">
      <alignment horizontal="center" vertical="center" wrapText="1"/>
    </xf>
    <xf numFmtId="0" fontId="10" fillId="15" borderId="5" xfId="83" applyFont="1" applyFill="1" applyBorder="1" applyAlignment="1">
      <alignment horizontal="center" vertical="center" wrapText="1"/>
    </xf>
    <xf numFmtId="0" fontId="10" fillId="15" borderId="0" xfId="83" applyFont="1" applyFill="1" applyAlignment="1">
      <alignment horizontal="center" vertical="center" wrapText="1"/>
    </xf>
    <xf numFmtId="0" fontId="10" fillId="15" borderId="2" xfId="83" applyFont="1" applyFill="1" applyBorder="1" applyAlignment="1">
      <alignment horizontal="center" vertical="center" wrapText="1"/>
    </xf>
    <xf numFmtId="0" fontId="10" fillId="15" borderId="6" xfId="83" applyFont="1" applyFill="1" applyBorder="1" applyAlignment="1">
      <alignment horizontal="center" vertical="center" wrapText="1"/>
    </xf>
    <xf numFmtId="0" fontId="10" fillId="15" borderId="7" xfId="83" applyFont="1" applyFill="1" applyBorder="1" applyAlignment="1">
      <alignment horizontal="center" vertical="center" wrapText="1"/>
    </xf>
    <xf numFmtId="0" fontId="10" fillId="15" borderId="4" xfId="83" applyFont="1" applyFill="1" applyBorder="1" applyAlignment="1">
      <alignment horizontal="center" vertical="center" wrapText="1"/>
    </xf>
    <xf numFmtId="0" fontId="10" fillId="15" borderId="9" xfId="83" applyFont="1" applyFill="1" applyBorder="1" applyAlignment="1">
      <alignment horizontal="center" vertical="center" wrapText="1"/>
    </xf>
    <xf numFmtId="0" fontId="10" fillId="15" borderId="1" xfId="83" applyFont="1" applyFill="1" applyBorder="1" applyAlignment="1">
      <alignment horizontal="center" vertical="center" wrapText="1"/>
    </xf>
    <xf numFmtId="0" fontId="10" fillId="15" borderId="3" xfId="83" applyFont="1" applyFill="1" applyBorder="1" applyAlignment="1">
      <alignment horizontal="center" vertical="center" wrapText="1"/>
    </xf>
    <xf numFmtId="0" fontId="10" fillId="0" borderId="9" xfId="87" applyBorder="1" applyAlignment="1">
      <alignment horizontal="center" vertical="center" wrapText="1"/>
    </xf>
    <xf numFmtId="0" fontId="10" fillId="0" borderId="1" xfId="87" applyBorder="1" applyAlignment="1">
      <alignment horizontal="center" vertical="center" wrapText="1"/>
    </xf>
    <xf numFmtId="0" fontId="10" fillId="0" borderId="3" xfId="87" applyBorder="1" applyAlignment="1">
      <alignment horizontal="center" vertical="center" wrapText="1"/>
    </xf>
    <xf numFmtId="0" fontId="10" fillId="0" borderId="9" xfId="87" applyBorder="1" applyAlignment="1">
      <alignment horizontal="center" vertical="center"/>
    </xf>
    <xf numFmtId="0" fontId="10" fillId="0" borderId="1" xfId="87" applyBorder="1" applyAlignment="1">
      <alignment horizontal="center" vertical="center"/>
    </xf>
    <xf numFmtId="0" fontId="10" fillId="0" borderId="3" xfId="87" applyBorder="1" applyAlignment="1">
      <alignment horizontal="center" vertical="center"/>
    </xf>
    <xf numFmtId="49" fontId="10" fillId="0" borderId="1" xfId="82" applyNumberFormat="1" applyFont="1" applyBorder="1" applyAlignment="1">
      <alignment horizontal="center" vertical="center" wrapText="1"/>
    </xf>
    <xf numFmtId="0" fontId="10" fillId="15" borderId="14" xfId="83" applyFont="1" applyFill="1" applyBorder="1" applyAlignment="1">
      <alignment horizontal="center" vertical="center"/>
    </xf>
    <xf numFmtId="0" fontId="10" fillId="15" borderId="2" xfId="83" applyFont="1" applyFill="1" applyBorder="1" applyAlignment="1">
      <alignment horizontal="center" vertical="center"/>
    </xf>
    <xf numFmtId="0" fontId="10" fillId="0" borderId="1" xfId="81" applyFont="1" applyFill="1" applyBorder="1" applyAlignment="1">
      <alignment horizontal="center" vertical="center" wrapText="1"/>
    </xf>
    <xf numFmtId="0" fontId="10" fillId="0" borderId="3" xfId="81" applyFont="1" applyFill="1" applyBorder="1" applyAlignment="1">
      <alignment horizontal="center" vertical="center" wrapText="1"/>
    </xf>
    <xf numFmtId="17" fontId="10" fillId="0" borderId="5" xfId="81" applyNumberFormat="1" applyFont="1" applyFill="1" applyBorder="1" applyAlignment="1">
      <alignment horizontal="center" vertical="center" wrapText="1"/>
    </xf>
    <xf numFmtId="17" fontId="10" fillId="0" borderId="0" xfId="81" applyNumberFormat="1" applyFont="1" applyFill="1" applyAlignment="1">
      <alignment horizontal="center" vertical="center" wrapText="1"/>
    </xf>
    <xf numFmtId="17" fontId="10" fillId="0" borderId="2" xfId="81" applyNumberFormat="1" applyFont="1" applyFill="1" applyBorder="1" applyAlignment="1">
      <alignment horizontal="center" vertical="center" wrapText="1"/>
    </xf>
    <xf numFmtId="17" fontId="10" fillId="0" borderId="6" xfId="81" applyNumberFormat="1" applyFont="1" applyFill="1" applyBorder="1" applyAlignment="1">
      <alignment horizontal="center" vertical="center" wrapText="1"/>
    </xf>
    <xf numFmtId="17" fontId="10" fillId="0" borderId="7" xfId="81" applyNumberFormat="1" applyFont="1" applyFill="1" applyBorder="1" applyAlignment="1">
      <alignment horizontal="center" vertical="center" wrapText="1"/>
    </xf>
    <xf numFmtId="17" fontId="10" fillId="0" borderId="4" xfId="81" applyNumberFormat="1" applyFont="1" applyFill="1" applyBorder="1" applyAlignment="1">
      <alignment horizontal="center" vertical="center" wrapText="1"/>
    </xf>
    <xf numFmtId="0" fontId="10" fillId="0" borderId="1" xfId="81" applyFont="1" applyFill="1" applyBorder="1" applyAlignment="1">
      <alignment horizontal="center" vertical="center"/>
    </xf>
    <xf numFmtId="14" fontId="10" fillId="0" borderId="1" xfId="81" applyNumberFormat="1" applyFont="1" applyFill="1" applyBorder="1" applyAlignment="1">
      <alignment horizontal="center" vertical="center" wrapText="1"/>
    </xf>
    <xf numFmtId="14" fontId="10" fillId="0" borderId="3" xfId="81" applyNumberFormat="1" applyFont="1" applyFill="1" applyBorder="1" applyAlignment="1">
      <alignment horizontal="center" vertical="center" wrapText="1"/>
    </xf>
    <xf numFmtId="14" fontId="10" fillId="15" borderId="9" xfId="83" applyNumberFormat="1" applyFont="1" applyFill="1" applyBorder="1" applyAlignment="1">
      <alignment horizontal="center" vertical="center"/>
    </xf>
    <xf numFmtId="14" fontId="10" fillId="15" borderId="1" xfId="83" applyNumberFormat="1" applyFont="1" applyFill="1" applyBorder="1" applyAlignment="1">
      <alignment horizontal="center" vertical="center"/>
    </xf>
    <xf numFmtId="14" fontId="10" fillId="15" borderId="3" xfId="83" applyNumberFormat="1" applyFont="1" applyFill="1" applyBorder="1" applyAlignment="1">
      <alignment horizontal="center" vertical="center"/>
    </xf>
    <xf numFmtId="49" fontId="10" fillId="0" borderId="9" xfId="83" applyNumberFormat="1" applyFont="1" applyBorder="1" applyAlignment="1">
      <alignment horizontal="center" vertical="center"/>
    </xf>
    <xf numFmtId="49" fontId="10" fillId="0" borderId="1" xfId="83" applyNumberFormat="1" applyFont="1" applyBorder="1" applyAlignment="1">
      <alignment horizontal="center" vertical="center"/>
    </xf>
    <xf numFmtId="49" fontId="10" fillId="0" borderId="3" xfId="83" applyNumberFormat="1" applyFont="1" applyBorder="1" applyAlignment="1">
      <alignment horizontal="center" vertical="center"/>
    </xf>
    <xf numFmtId="49" fontId="10" fillId="0" borderId="3" xfId="82" applyNumberFormat="1" applyFont="1" applyBorder="1" applyAlignment="1">
      <alignment horizontal="center" vertical="center" wrapText="1"/>
    </xf>
    <xf numFmtId="0" fontId="10" fillId="0" borderId="12" xfId="87" applyBorder="1" applyAlignment="1">
      <alignment horizontal="center" vertical="center"/>
    </xf>
    <xf numFmtId="0" fontId="10" fillId="0" borderId="5" xfId="87" applyBorder="1" applyAlignment="1">
      <alignment horizontal="center" vertical="center"/>
    </xf>
    <xf numFmtId="0" fontId="10" fillId="0" borderId="6" xfId="87" applyBorder="1" applyAlignment="1">
      <alignment horizontal="center" vertical="center"/>
    </xf>
    <xf numFmtId="17" fontId="10" fillId="0" borderId="8" xfId="81" applyNumberFormat="1" applyFont="1" applyFill="1" applyBorder="1" applyAlignment="1">
      <alignment horizontal="center" vertical="center" wrapText="1"/>
    </xf>
    <xf numFmtId="0" fontId="10" fillId="0" borderId="9" xfId="82" applyFont="1" applyBorder="1" applyAlignment="1">
      <alignment horizontal="center" vertical="center" wrapText="1"/>
    </xf>
    <xf numFmtId="0" fontId="10" fillId="0" borderId="1" xfId="82" applyFont="1" applyBorder="1" applyAlignment="1">
      <alignment horizontal="center" vertical="center" wrapText="1"/>
    </xf>
    <xf numFmtId="0" fontId="10" fillId="0" borderId="8" xfId="82" applyFont="1" applyBorder="1" applyAlignment="1">
      <alignment horizontal="center" vertical="center"/>
    </xf>
    <xf numFmtId="49" fontId="10" fillId="0" borderId="9" xfId="82" applyNumberFormat="1" applyFont="1" applyBorder="1" applyAlignment="1">
      <alignment horizontal="center" vertical="center" wrapText="1"/>
    </xf>
    <xf numFmtId="0" fontId="10" fillId="0" borderId="8" xfId="87" applyBorder="1" applyAlignment="1">
      <alignment horizontal="center" vertical="center"/>
    </xf>
    <xf numFmtId="49" fontId="10" fillId="0" borderId="8" xfId="82" applyNumberFormat="1" applyFont="1" applyBorder="1" applyAlignment="1">
      <alignment horizontal="center" vertical="center" wrapText="1"/>
    </xf>
    <xf numFmtId="0" fontId="34" fillId="16" borderId="8" xfId="82" applyFont="1" applyFill="1" applyBorder="1" applyAlignment="1">
      <alignment horizontal="center" vertical="center"/>
    </xf>
    <xf numFmtId="0" fontId="10" fillId="0" borderId="8" xfId="82" applyFont="1" applyBorder="1" applyAlignment="1">
      <alignment horizontal="center" vertical="center" wrapText="1"/>
    </xf>
    <xf numFmtId="0" fontId="18" fillId="12" borderId="10" xfId="83" applyFont="1" applyFill="1" applyBorder="1" applyAlignment="1">
      <alignment horizontal="center" vertical="center"/>
    </xf>
    <xf numFmtId="0" fontId="18" fillId="12" borderId="15" xfId="83" applyFont="1" applyFill="1" applyBorder="1" applyAlignment="1">
      <alignment horizontal="center" vertical="center"/>
    </xf>
    <xf numFmtId="0" fontId="18" fillId="12" borderId="11" xfId="83" applyFont="1" applyFill="1" applyBorder="1" applyAlignment="1">
      <alignment horizontal="center" vertical="center"/>
    </xf>
    <xf numFmtId="14" fontId="10" fillId="0" borderId="8" xfId="87" applyNumberFormat="1" applyBorder="1" applyAlignment="1">
      <alignment horizontal="center" vertical="center"/>
    </xf>
    <xf numFmtId="0" fontId="23" fillId="0" borderId="8" xfId="87" applyFont="1" applyBorder="1" applyAlignment="1">
      <alignment horizontal="center" vertical="center" wrapText="1"/>
    </xf>
    <xf numFmtId="0" fontId="23" fillId="0" borderId="8" xfId="87" applyFont="1" applyBorder="1" applyAlignment="1">
      <alignment horizontal="center" vertical="center"/>
    </xf>
    <xf numFmtId="0" fontId="10" fillId="0" borderId="8" xfId="87" applyBorder="1" applyAlignment="1">
      <alignment horizontal="center" vertical="center" wrapText="1"/>
    </xf>
    <xf numFmtId="0" fontId="34" fillId="11" borderId="10" xfId="87" applyFont="1" applyFill="1" applyBorder="1" applyAlignment="1">
      <alignment horizontal="center" vertical="center"/>
    </xf>
    <xf numFmtId="0" fontId="34" fillId="11" borderId="15" xfId="87" applyFont="1" applyFill="1" applyBorder="1" applyAlignment="1">
      <alignment horizontal="center" vertical="center"/>
    </xf>
    <xf numFmtId="0" fontId="34" fillId="11" borderId="11" xfId="87" applyFont="1" applyFill="1" applyBorder="1" applyAlignment="1">
      <alignment horizontal="center" vertical="center"/>
    </xf>
    <xf numFmtId="0" fontId="23" fillId="2" borderId="9" xfId="87" applyFont="1" applyFill="1" applyBorder="1" applyAlignment="1">
      <alignment horizontal="center" vertical="center" wrapText="1"/>
    </xf>
    <xf numFmtId="0" fontId="23" fillId="2" borderId="1" xfId="87" applyFont="1" applyFill="1" applyBorder="1" applyAlignment="1">
      <alignment horizontal="center" vertical="center" wrapText="1"/>
    </xf>
    <xf numFmtId="0" fontId="23" fillId="2" borderId="3" xfId="87" applyFont="1" applyFill="1" applyBorder="1" applyAlignment="1">
      <alignment horizontal="center" vertical="center" wrapText="1"/>
    </xf>
    <xf numFmtId="0" fontId="34" fillId="11" borderId="8" xfId="87" applyFont="1" applyFill="1" applyBorder="1" applyAlignment="1">
      <alignment horizontal="center" vertical="center"/>
    </xf>
    <xf numFmtId="14" fontId="10" fillId="0" borderId="9" xfId="87" applyNumberFormat="1" applyBorder="1" applyAlignment="1">
      <alignment horizontal="center" vertical="center"/>
    </xf>
    <xf numFmtId="0" fontId="10" fillId="0" borderId="12" xfId="87" applyBorder="1" applyAlignment="1">
      <alignment horizontal="center" vertical="center" wrapText="1"/>
    </xf>
    <xf numFmtId="0" fontId="10" fillId="0" borderId="13" xfId="87" applyBorder="1" applyAlignment="1">
      <alignment horizontal="center" vertical="center"/>
    </xf>
    <xf numFmtId="0" fontId="10" fillId="0" borderId="14" xfId="87" applyBorder="1" applyAlignment="1">
      <alignment horizontal="center" vertical="center"/>
    </xf>
    <xf numFmtId="0" fontId="10" fillId="0" borderId="0" xfId="87" applyAlignment="1">
      <alignment horizontal="center" vertical="center"/>
    </xf>
    <xf numFmtId="0" fontId="10" fillId="0" borderId="2" xfId="87" applyBorder="1" applyAlignment="1">
      <alignment horizontal="center" vertical="center"/>
    </xf>
    <xf numFmtId="0" fontId="10" fillId="0" borderId="7" xfId="87" applyBorder="1" applyAlignment="1">
      <alignment horizontal="center" vertical="center"/>
    </xf>
    <xf numFmtId="0" fontId="10" fillId="0" borderId="4" xfId="87" applyBorder="1" applyAlignment="1">
      <alignment horizontal="center" vertical="center"/>
    </xf>
    <xf numFmtId="0" fontId="10" fillId="2" borderId="9" xfId="87" applyFill="1" applyBorder="1" applyAlignment="1">
      <alignment horizontal="center" vertical="center"/>
    </xf>
    <xf numFmtId="0" fontId="10" fillId="2" borderId="1" xfId="87" applyFill="1" applyBorder="1" applyAlignment="1">
      <alignment horizontal="center" vertical="center"/>
    </xf>
    <xf numFmtId="0" fontId="10" fillId="2" borderId="3" xfId="87" applyFill="1" applyBorder="1" applyAlignment="1">
      <alignment horizontal="center" vertical="center"/>
    </xf>
    <xf numFmtId="0" fontId="10" fillId="2" borderId="12" xfId="87" applyFill="1" applyBorder="1" applyAlignment="1">
      <alignment horizontal="center" vertical="center" wrapText="1"/>
    </xf>
    <xf numFmtId="0" fontId="10" fillId="2" borderId="13" xfId="87" applyFill="1" applyBorder="1" applyAlignment="1">
      <alignment horizontal="center" vertical="center" wrapText="1"/>
    </xf>
    <xf numFmtId="0" fontId="10" fillId="2" borderId="14" xfId="87" applyFill="1" applyBorder="1" applyAlignment="1">
      <alignment horizontal="center" vertical="center" wrapText="1"/>
    </xf>
    <xf numFmtId="0" fontId="10" fillId="2" borderId="5" xfId="87" applyFill="1" applyBorder="1" applyAlignment="1">
      <alignment horizontal="center" vertical="center" wrapText="1"/>
    </xf>
    <xf numFmtId="0" fontId="10" fillId="2" borderId="0" xfId="87" applyFill="1" applyAlignment="1">
      <alignment horizontal="center" vertical="center" wrapText="1"/>
    </xf>
    <xf numFmtId="0" fontId="10" fillId="2" borderId="2" xfId="87" applyFill="1" applyBorder="1" applyAlignment="1">
      <alignment horizontal="center" vertical="center" wrapText="1"/>
    </xf>
    <xf numFmtId="0" fontId="10" fillId="2" borderId="6" xfId="87" applyFill="1" applyBorder="1" applyAlignment="1">
      <alignment horizontal="center" vertical="center" wrapText="1"/>
    </xf>
    <xf numFmtId="0" fontId="10" fillId="2" borderId="7" xfId="87" applyFill="1" applyBorder="1" applyAlignment="1">
      <alignment horizontal="center" vertical="center" wrapText="1"/>
    </xf>
    <xf numFmtId="0" fontId="10" fillId="2" borderId="4" xfId="87" applyFill="1" applyBorder="1" applyAlignment="1">
      <alignment horizontal="center" vertical="center" wrapText="1"/>
    </xf>
    <xf numFmtId="0" fontId="4" fillId="2" borderId="9" xfId="87" applyFont="1" applyFill="1" applyBorder="1" applyAlignment="1">
      <alignment horizontal="center" vertical="center"/>
    </xf>
    <xf numFmtId="0" fontId="4" fillId="2" borderId="1" xfId="87" applyFont="1" applyFill="1" applyBorder="1" applyAlignment="1">
      <alignment horizontal="center" vertical="center"/>
    </xf>
    <xf numFmtId="0" fontId="4" fillId="2" borderId="3" xfId="87" applyFont="1" applyFill="1" applyBorder="1" applyAlignment="1">
      <alignment horizontal="center" vertical="center"/>
    </xf>
    <xf numFmtId="0" fontId="10" fillId="2" borderId="12" xfId="87" applyFill="1" applyBorder="1" applyAlignment="1">
      <alignment horizontal="center" vertical="center"/>
    </xf>
    <xf numFmtId="0" fontId="10" fillId="2" borderId="5" xfId="87" applyFill="1" applyBorder="1" applyAlignment="1">
      <alignment horizontal="center" vertical="center"/>
    </xf>
    <xf numFmtId="0" fontId="10" fillId="2" borderId="6" xfId="87" applyFill="1" applyBorder="1" applyAlignment="1">
      <alignment horizontal="center" vertical="center"/>
    </xf>
    <xf numFmtId="0" fontId="23" fillId="0" borderId="9" xfId="87" applyFont="1" applyBorder="1" applyAlignment="1">
      <alignment horizontal="center" vertical="center"/>
    </xf>
    <xf numFmtId="0" fontId="23" fillId="0" borderId="1" xfId="87" applyFont="1" applyBorder="1" applyAlignment="1">
      <alignment horizontal="center" vertical="center"/>
    </xf>
    <xf numFmtId="0" fontId="23" fillId="0" borderId="3" xfId="87" applyFont="1" applyBorder="1" applyAlignment="1">
      <alignment horizontal="center" vertical="center"/>
    </xf>
    <xf numFmtId="0" fontId="23" fillId="0" borderId="9" xfId="87" applyFont="1" applyBorder="1" applyAlignment="1">
      <alignment horizontal="center" vertical="center" wrapText="1"/>
    </xf>
    <xf numFmtId="0" fontId="23" fillId="0" borderId="1" xfId="87" applyFont="1" applyBorder="1" applyAlignment="1">
      <alignment horizontal="center" vertical="center" wrapText="1"/>
    </xf>
    <xf numFmtId="0" fontId="23" fillId="0" borderId="3" xfId="87" applyFont="1" applyBorder="1" applyAlignment="1">
      <alignment horizontal="center" vertical="center" wrapText="1"/>
    </xf>
    <xf numFmtId="14" fontId="13" fillId="2" borderId="9" xfId="83" applyNumberFormat="1" applyFont="1" applyFill="1" applyBorder="1" applyAlignment="1">
      <alignment horizontal="center" vertical="center"/>
    </xf>
    <xf numFmtId="14" fontId="13" fillId="2" borderId="1" xfId="83" applyNumberFormat="1" applyFont="1" applyFill="1" applyBorder="1" applyAlignment="1">
      <alignment horizontal="center" vertical="center"/>
    </xf>
    <xf numFmtId="14" fontId="13" fillId="2" borderId="3" xfId="83" applyNumberFormat="1" applyFont="1" applyFill="1" applyBorder="1" applyAlignment="1">
      <alignment horizontal="center" vertical="center"/>
    </xf>
    <xf numFmtId="14" fontId="13" fillId="2" borderId="9" xfId="87" applyNumberFormat="1" applyFont="1" applyFill="1" applyBorder="1" applyAlignment="1">
      <alignment horizontal="center" vertical="center"/>
    </xf>
    <xf numFmtId="14" fontId="13" fillId="2" borderId="1" xfId="87" applyNumberFormat="1" applyFont="1" applyFill="1" applyBorder="1" applyAlignment="1">
      <alignment horizontal="center" vertical="center"/>
    </xf>
    <xf numFmtId="14" fontId="13" fillId="2" borderId="3" xfId="87" applyNumberFormat="1" applyFont="1" applyFill="1" applyBorder="1" applyAlignment="1">
      <alignment horizontal="center" vertical="center"/>
    </xf>
    <xf numFmtId="0" fontId="13" fillId="2" borderId="9" xfId="87" applyFont="1" applyFill="1" applyBorder="1" applyAlignment="1">
      <alignment horizontal="center" vertical="center" wrapText="1"/>
    </xf>
    <xf numFmtId="0" fontId="13" fillId="2" borderId="1" xfId="87" applyFont="1" applyFill="1" applyBorder="1" applyAlignment="1">
      <alignment horizontal="center" vertical="center" wrapText="1"/>
    </xf>
    <xf numFmtId="0" fontId="13" fillId="2" borderId="3" xfId="87" applyFont="1" applyFill="1" applyBorder="1" applyAlignment="1">
      <alignment horizontal="center" vertical="center" wrapText="1"/>
    </xf>
    <xf numFmtId="0" fontId="4" fillId="0" borderId="9" xfId="82" applyBorder="1" applyAlignment="1">
      <alignment horizontal="center" vertical="center"/>
    </xf>
    <xf numFmtId="0" fontId="4" fillId="0" borderId="1" xfId="82" applyBorder="1" applyAlignment="1">
      <alignment horizontal="center" vertical="center"/>
    </xf>
    <xf numFmtId="0" fontId="4" fillId="0" borderId="3" xfId="82" applyBorder="1" applyAlignment="1">
      <alignment horizontal="center" vertical="center"/>
    </xf>
    <xf numFmtId="14" fontId="4" fillId="0" borderId="3" xfId="82" applyNumberFormat="1" applyBorder="1" applyAlignment="1">
      <alignment horizontal="center" vertical="center"/>
    </xf>
    <xf numFmtId="14" fontId="4" fillId="0" borderId="8" xfId="82" applyNumberFormat="1" applyBorder="1" applyAlignment="1">
      <alignment horizontal="center" vertical="center"/>
    </xf>
    <xf numFmtId="0" fontId="4" fillId="0" borderId="8" xfId="82" applyBorder="1" applyAlignment="1">
      <alignment horizontal="center" vertical="center"/>
    </xf>
    <xf numFmtId="0" fontId="4" fillId="0" borderId="12" xfId="82" applyBorder="1" applyAlignment="1">
      <alignment horizontal="center" vertical="center" wrapText="1"/>
    </xf>
    <xf numFmtId="0" fontId="4" fillId="0" borderId="13" xfId="82" applyBorder="1" applyAlignment="1">
      <alignment horizontal="center" vertical="center" wrapText="1"/>
    </xf>
    <xf numFmtId="0" fontId="4" fillId="0" borderId="14" xfId="82" applyBorder="1" applyAlignment="1">
      <alignment horizontal="center" vertical="center" wrapText="1"/>
    </xf>
    <xf numFmtId="0" fontId="4" fillId="0" borderId="5" xfId="82" applyBorder="1" applyAlignment="1">
      <alignment horizontal="center" vertical="center" wrapText="1"/>
    </xf>
    <xf numFmtId="0" fontId="4" fillId="0" borderId="0" xfId="82" applyAlignment="1">
      <alignment horizontal="center" vertical="center" wrapText="1"/>
    </xf>
    <xf numFmtId="0" fontId="4" fillId="0" borderId="2" xfId="82" applyBorder="1" applyAlignment="1">
      <alignment horizontal="center" vertical="center" wrapText="1"/>
    </xf>
    <xf numFmtId="0" fontId="4" fillId="0" borderId="6" xfId="82" applyBorder="1" applyAlignment="1">
      <alignment horizontal="center" vertical="center" wrapText="1"/>
    </xf>
    <xf numFmtId="0" fontId="4" fillId="0" borderId="7" xfId="82" applyBorder="1" applyAlignment="1">
      <alignment horizontal="center" vertical="center" wrapText="1"/>
    </xf>
    <xf numFmtId="0" fontId="4" fillId="0" borderId="4" xfId="82" applyBorder="1" applyAlignment="1">
      <alignment horizontal="center" vertical="center" wrapText="1"/>
    </xf>
    <xf numFmtId="14" fontId="13" fillId="2" borderId="8" xfId="83" applyNumberFormat="1" applyFont="1" applyFill="1" applyBorder="1" applyAlignment="1">
      <alignment horizontal="center" vertical="center"/>
    </xf>
    <xf numFmtId="0" fontId="13" fillId="2" borderId="8" xfId="83" applyFont="1" applyFill="1" applyBorder="1" applyAlignment="1">
      <alignment horizontal="center" vertical="center"/>
    </xf>
    <xf numFmtId="0" fontId="13" fillId="2" borderId="13" xfId="83" applyFont="1" applyFill="1" applyBorder="1" applyAlignment="1">
      <alignment horizontal="center" vertical="center"/>
    </xf>
    <xf numFmtId="0" fontId="13" fillId="2" borderId="14" xfId="83" applyFont="1" applyFill="1" applyBorder="1" applyAlignment="1">
      <alignment horizontal="center" vertical="center"/>
    </xf>
    <xf numFmtId="0" fontId="13" fillId="2" borderId="5" xfId="83" applyFont="1" applyFill="1" applyBorder="1" applyAlignment="1">
      <alignment horizontal="center" vertical="center"/>
    </xf>
    <xf numFmtId="0" fontId="13" fillId="2" borderId="0" xfId="83" applyFont="1" applyFill="1" applyAlignment="1">
      <alignment horizontal="center" vertical="center"/>
    </xf>
    <xf numFmtId="0" fontId="13" fillId="2" borderId="2" xfId="83" applyFont="1" applyFill="1" applyBorder="1" applyAlignment="1">
      <alignment horizontal="center" vertical="center"/>
    </xf>
    <xf numFmtId="0" fontId="13" fillId="2" borderId="6" xfId="83" applyFont="1" applyFill="1" applyBorder="1" applyAlignment="1">
      <alignment horizontal="center" vertical="center"/>
    </xf>
    <xf numFmtId="0" fontId="13" fillId="2" borderId="7" xfId="83" applyFont="1" applyFill="1" applyBorder="1" applyAlignment="1">
      <alignment horizontal="center" vertical="center"/>
    </xf>
    <xf numFmtId="0" fontId="13" fillId="2" borderId="4" xfId="83" applyFont="1" applyFill="1" applyBorder="1" applyAlignment="1">
      <alignment horizontal="center" vertical="center"/>
    </xf>
    <xf numFmtId="0" fontId="13" fillId="2" borderId="9" xfId="82" applyFont="1" applyFill="1" applyBorder="1" applyAlignment="1">
      <alignment horizontal="center" vertical="center"/>
    </xf>
    <xf numFmtId="0" fontId="13" fillId="2" borderId="1" xfId="82" applyFont="1" applyFill="1" applyBorder="1" applyAlignment="1">
      <alignment horizontal="center" vertical="center"/>
    </xf>
    <xf numFmtId="0" fontId="13" fillId="2" borderId="3" xfId="82" applyFont="1" applyFill="1" applyBorder="1" applyAlignment="1">
      <alignment horizontal="center" vertical="center"/>
    </xf>
    <xf numFmtId="14" fontId="13" fillId="2" borderId="8" xfId="87" applyNumberFormat="1" applyFont="1" applyFill="1" applyBorder="1" applyAlignment="1">
      <alignment horizontal="center" vertical="center"/>
    </xf>
    <xf numFmtId="0" fontId="13" fillId="2" borderId="8" xfId="87" applyFont="1" applyFill="1" applyBorder="1" applyAlignment="1">
      <alignment horizontal="center" vertical="center"/>
    </xf>
    <xf numFmtId="0" fontId="13" fillId="0" borderId="9" xfId="83" applyFont="1" applyBorder="1" applyAlignment="1">
      <alignment horizontal="center" vertical="center" wrapText="1"/>
    </xf>
    <xf numFmtId="14" fontId="4" fillId="0" borderId="9" xfId="82" applyNumberFormat="1" applyBorder="1" applyAlignment="1">
      <alignment horizontal="center" vertical="center"/>
    </xf>
    <xf numFmtId="14" fontId="4" fillId="0" borderId="1" xfId="82" applyNumberFormat="1" applyBorder="1" applyAlignment="1">
      <alignment horizontal="center" vertical="center"/>
    </xf>
    <xf numFmtId="0" fontId="23" fillId="2" borderId="9" xfId="82" applyFont="1" applyFill="1" applyBorder="1" applyAlignment="1">
      <alignment horizontal="center" vertical="center" wrapText="1"/>
    </xf>
    <xf numFmtId="0" fontId="23" fillId="2" borderId="1" xfId="82" applyFont="1" applyFill="1" applyBorder="1" applyAlignment="1">
      <alignment horizontal="center" vertical="center" wrapText="1"/>
    </xf>
    <xf numFmtId="0" fontId="23" fillId="2" borderId="3" xfId="82" applyFont="1" applyFill="1" applyBorder="1" applyAlignment="1">
      <alignment horizontal="center" vertical="center" wrapText="1"/>
    </xf>
    <xf numFmtId="0" fontId="18" fillId="2" borderId="9" xfId="87" applyFont="1" applyFill="1" applyBorder="1" applyAlignment="1">
      <alignment horizontal="center" vertical="center" wrapText="1"/>
    </xf>
    <xf numFmtId="0" fontId="18" fillId="2" borderId="1" xfId="87" applyFont="1" applyFill="1" applyBorder="1" applyAlignment="1">
      <alignment horizontal="center" vertical="center"/>
    </xf>
    <xf numFmtId="0" fontId="18" fillId="2" borderId="3" xfId="87" applyFont="1" applyFill="1" applyBorder="1" applyAlignment="1">
      <alignment horizontal="center" vertical="center"/>
    </xf>
    <xf numFmtId="49" fontId="13" fillId="2" borderId="8" xfId="82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3" fillId="2" borderId="9" xfId="82" applyNumberFormat="1" applyFont="1" applyFill="1" applyBorder="1" applyAlignment="1">
      <alignment horizontal="center" vertical="center" wrapText="1"/>
    </xf>
    <xf numFmtId="49" fontId="13" fillId="2" borderId="1" xfId="82" applyNumberFormat="1" applyFont="1" applyFill="1" applyBorder="1" applyAlignment="1">
      <alignment horizontal="center" vertical="center" wrapText="1"/>
    </xf>
    <xf numFmtId="49" fontId="13" fillId="2" borderId="3" xfId="82" applyNumberFormat="1" applyFont="1" applyFill="1" applyBorder="1" applyAlignment="1">
      <alignment horizontal="center" vertical="center" wrapText="1"/>
    </xf>
    <xf numFmtId="49" fontId="4" fillId="0" borderId="9" xfId="82" applyNumberFormat="1" applyBorder="1" applyAlignment="1">
      <alignment horizontal="center" vertical="center" wrapText="1"/>
    </xf>
    <xf numFmtId="49" fontId="4" fillId="0" borderId="1" xfId="82" applyNumberFormat="1" applyBorder="1" applyAlignment="1">
      <alignment horizontal="center" vertical="center" wrapText="1"/>
    </xf>
    <xf numFmtId="49" fontId="4" fillId="0" borderId="3" xfId="82" applyNumberFormat="1" applyBorder="1" applyAlignment="1">
      <alignment horizontal="center" vertical="center" wrapText="1"/>
    </xf>
    <xf numFmtId="49" fontId="4" fillId="2" borderId="9" xfId="82" applyNumberFormat="1" applyFill="1" applyBorder="1" applyAlignment="1">
      <alignment horizontal="center" vertical="center" wrapText="1"/>
    </xf>
    <xf numFmtId="49" fontId="4" fillId="2" borderId="1" xfId="82" applyNumberFormat="1" applyFill="1" applyBorder="1" applyAlignment="1">
      <alignment horizontal="center" vertical="center" wrapText="1"/>
    </xf>
    <xf numFmtId="49" fontId="4" fillId="2" borderId="3" xfId="82" applyNumberForma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3" fillId="2" borderId="9" xfId="81" applyNumberFormat="1" applyFont="1" applyFill="1" applyBorder="1" applyAlignment="1">
      <alignment horizontal="center" vertical="center" wrapText="1"/>
    </xf>
    <xf numFmtId="49" fontId="13" fillId="2" borderId="1" xfId="81" applyNumberFormat="1" applyFont="1" applyFill="1" applyBorder="1" applyAlignment="1">
      <alignment horizontal="center" vertical="center" wrapText="1"/>
    </xf>
    <xf numFmtId="49" fontId="13" fillId="2" borderId="3" xfId="81" applyNumberFormat="1" applyFont="1" applyFill="1" applyBorder="1" applyAlignment="1">
      <alignment horizontal="center" vertical="center" wrapText="1"/>
    </xf>
    <xf numFmtId="0" fontId="18" fillId="11" borderId="10" xfId="82" applyFont="1" applyFill="1" applyBorder="1" applyAlignment="1">
      <alignment horizontal="center" vertical="center"/>
    </xf>
    <xf numFmtId="0" fontId="18" fillId="11" borderId="15" xfId="82" applyFont="1" applyFill="1" applyBorder="1" applyAlignment="1">
      <alignment horizontal="center" vertical="center"/>
    </xf>
    <xf numFmtId="0" fontId="18" fillId="11" borderId="11" xfId="82" applyFont="1" applyFill="1" applyBorder="1" applyAlignment="1">
      <alignment horizontal="center" vertical="center"/>
    </xf>
    <xf numFmtId="0" fontId="4" fillId="2" borderId="12" xfId="82" applyFill="1" applyBorder="1" applyAlignment="1">
      <alignment horizontal="center" vertical="center" wrapText="1"/>
    </xf>
    <xf numFmtId="0" fontId="4" fillId="2" borderId="13" xfId="82" applyFill="1" applyBorder="1" applyAlignment="1">
      <alignment horizontal="center" vertical="center" wrapText="1"/>
    </xf>
    <xf numFmtId="0" fontId="4" fillId="2" borderId="14" xfId="82" applyFill="1" applyBorder="1" applyAlignment="1">
      <alignment horizontal="center" vertical="center" wrapText="1"/>
    </xf>
    <xf numFmtId="0" fontId="4" fillId="2" borderId="5" xfId="82" applyFill="1" applyBorder="1" applyAlignment="1">
      <alignment horizontal="center" vertical="center" wrapText="1"/>
    </xf>
    <xf numFmtId="0" fontId="4" fillId="2" borderId="0" xfId="82" applyFill="1" applyAlignment="1">
      <alignment horizontal="center" vertical="center" wrapText="1"/>
    </xf>
    <xf numFmtId="0" fontId="4" fillId="2" borderId="2" xfId="82" applyFill="1" applyBorder="1" applyAlignment="1">
      <alignment horizontal="center" vertical="center" wrapText="1"/>
    </xf>
    <xf numFmtId="0" fontId="4" fillId="2" borderId="6" xfId="82" applyFill="1" applyBorder="1" applyAlignment="1">
      <alignment horizontal="center" vertical="center" wrapText="1"/>
    </xf>
    <xf numFmtId="0" fontId="4" fillId="2" borderId="7" xfId="82" applyFill="1" applyBorder="1" applyAlignment="1">
      <alignment horizontal="center" vertical="center" wrapText="1"/>
    </xf>
    <xf numFmtId="0" fontId="4" fillId="2" borderId="4" xfId="82" applyFill="1" applyBorder="1" applyAlignment="1">
      <alignment horizontal="center" vertical="center" wrapText="1"/>
    </xf>
    <xf numFmtId="0" fontId="23" fillId="2" borderId="9" xfId="82" applyFont="1" applyFill="1" applyBorder="1" applyAlignment="1">
      <alignment horizontal="center" vertical="center"/>
    </xf>
    <xf numFmtId="0" fontId="23" fillId="2" borderId="1" xfId="82" applyFont="1" applyFill="1" applyBorder="1" applyAlignment="1">
      <alignment horizontal="center" vertical="center"/>
    </xf>
    <xf numFmtId="0" fontId="23" fillId="2" borderId="3" xfId="82" applyFont="1" applyFill="1" applyBorder="1" applyAlignment="1">
      <alignment horizontal="center" vertical="center"/>
    </xf>
    <xf numFmtId="49" fontId="4" fillId="2" borderId="8" xfId="81" applyNumberFormat="1" applyFont="1" applyFill="1" applyBorder="1" applyAlignment="1">
      <alignment horizontal="center" vertical="center" wrapText="1"/>
    </xf>
    <xf numFmtId="17" fontId="10" fillId="0" borderId="12" xfId="81" applyNumberFormat="1" applyFont="1" applyFill="1" applyBorder="1" applyAlignment="1">
      <alignment horizontal="center" vertical="center" wrapText="1"/>
    </xf>
    <xf numFmtId="17" fontId="10" fillId="0" borderId="13" xfId="81" applyNumberFormat="1" applyFont="1" applyFill="1" applyBorder="1" applyAlignment="1">
      <alignment horizontal="center" vertical="center" wrapText="1"/>
    </xf>
    <xf numFmtId="17" fontId="10" fillId="0" borderId="14" xfId="81" applyNumberFormat="1" applyFont="1" applyFill="1" applyBorder="1" applyAlignment="1">
      <alignment horizontal="center" vertical="center" wrapText="1"/>
    </xf>
    <xf numFmtId="0" fontId="4" fillId="0" borderId="9" xfId="82" applyBorder="1" applyAlignment="1">
      <alignment horizontal="center" vertical="center" wrapText="1"/>
    </xf>
    <xf numFmtId="0" fontId="4" fillId="0" borderId="1" xfId="82" applyBorder="1" applyAlignment="1">
      <alignment horizontal="center" vertical="center" wrapText="1"/>
    </xf>
    <xf numFmtId="0" fontId="4" fillId="0" borderId="3" xfId="82" applyBorder="1" applyAlignment="1">
      <alignment horizontal="center" vertical="center" wrapText="1"/>
    </xf>
    <xf numFmtId="17" fontId="10" fillId="2" borderId="12" xfId="81" applyNumberFormat="1" applyFont="1" applyFill="1" applyBorder="1" applyAlignment="1">
      <alignment horizontal="center" vertical="center" wrapText="1"/>
    </xf>
    <xf numFmtId="17" fontId="10" fillId="2" borderId="13" xfId="81" applyNumberFormat="1" applyFont="1" applyFill="1" applyBorder="1" applyAlignment="1">
      <alignment horizontal="center" vertical="center" wrapText="1"/>
    </xf>
    <xf numFmtId="17" fontId="10" fillId="2" borderId="14" xfId="81" applyNumberFormat="1" applyFont="1" applyFill="1" applyBorder="1" applyAlignment="1">
      <alignment horizontal="center" vertical="center" wrapText="1"/>
    </xf>
    <xf numFmtId="17" fontId="10" fillId="2" borderId="5" xfId="81" applyNumberFormat="1" applyFont="1" applyFill="1" applyBorder="1" applyAlignment="1">
      <alignment horizontal="center" vertical="center" wrapText="1"/>
    </xf>
    <xf numFmtId="17" fontId="10" fillId="2" borderId="0" xfId="81" applyNumberFormat="1" applyFont="1" applyFill="1" applyAlignment="1">
      <alignment horizontal="center" vertical="center" wrapText="1"/>
    </xf>
    <xf numFmtId="17" fontId="10" fillId="2" borderId="2" xfId="81" applyNumberFormat="1" applyFont="1" applyFill="1" applyBorder="1" applyAlignment="1">
      <alignment horizontal="center" vertical="center" wrapText="1"/>
    </xf>
    <xf numFmtId="17" fontId="10" fillId="2" borderId="6" xfId="81" applyNumberFormat="1" applyFont="1" applyFill="1" applyBorder="1" applyAlignment="1">
      <alignment horizontal="center" vertical="center" wrapText="1"/>
    </xf>
    <xf numFmtId="17" fontId="10" fillId="2" borderId="7" xfId="81" applyNumberFormat="1" applyFont="1" applyFill="1" applyBorder="1" applyAlignment="1">
      <alignment horizontal="center" vertical="center" wrapText="1"/>
    </xf>
    <xf numFmtId="17" fontId="10" fillId="2" borderId="4" xfId="81" applyNumberFormat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40" fillId="0" borderId="26" xfId="110" applyFont="1" applyFill="1" applyBorder="1" applyAlignment="1">
      <alignment horizontal="center" vertical="center"/>
    </xf>
    <xf numFmtId="0" fontId="40" fillId="0" borderId="27" xfId="110" applyFont="1" applyFill="1" applyBorder="1" applyAlignment="1">
      <alignment horizontal="center" vertical="center"/>
    </xf>
    <xf numFmtId="0" fontId="40" fillId="0" borderId="28" xfId="110" applyFont="1" applyFill="1" applyBorder="1" applyAlignment="1">
      <alignment horizontal="center" vertical="center"/>
    </xf>
    <xf numFmtId="0" fontId="40" fillId="0" borderId="25" xfId="110" applyFont="1" applyFill="1" applyAlignment="1">
      <alignment horizontal="center" vertical="center" wrapText="1"/>
    </xf>
    <xf numFmtId="0" fontId="13" fillId="10" borderId="8" xfId="80" applyNumberFormat="1" applyFont="1" applyFill="1" applyBorder="1" applyAlignment="1">
      <alignment horizontal="center" vertical="center"/>
    </xf>
    <xf numFmtId="0" fontId="13" fillId="10" borderId="8" xfId="80" applyNumberFormat="1" applyFont="1" applyFill="1" applyBorder="1" applyAlignment="1">
      <alignment horizontal="center" vertical="center" wrapText="1"/>
    </xf>
    <xf numFmtId="49" fontId="10" fillId="9" borderId="8" xfId="80" applyNumberFormat="1" applyFont="1" applyFill="1" applyBorder="1" applyAlignment="1">
      <alignment horizontal="center" vertical="center" wrapText="1"/>
    </xf>
    <xf numFmtId="49" fontId="0" fillId="9" borderId="8" xfId="80" applyNumberFormat="1" applyFont="1" applyFill="1" applyBorder="1" applyAlignment="1">
      <alignment horizontal="center" vertical="center"/>
    </xf>
    <xf numFmtId="0" fontId="13" fillId="0" borderId="0" xfId="80" applyNumberFormat="1" applyFont="1" applyFill="1" applyBorder="1" applyAlignment="1">
      <alignment horizontal="center" vertical="center"/>
    </xf>
    <xf numFmtId="0" fontId="13" fillId="0" borderId="7" xfId="80" applyNumberFormat="1" applyFont="1" applyFill="1" applyBorder="1" applyAlignment="1">
      <alignment horizontal="center" vertical="center"/>
    </xf>
    <xf numFmtId="0" fontId="13" fillId="0" borderId="1" xfId="81" applyFont="1" applyFill="1" applyBorder="1" applyAlignment="1">
      <alignment horizontal="center" vertical="center"/>
    </xf>
    <xf numFmtId="0" fontId="13" fillId="9" borderId="8" xfId="80" applyNumberFormat="1" applyFont="1" applyFill="1" applyBorder="1" applyAlignment="1">
      <alignment horizontal="center" vertical="center"/>
    </xf>
    <xf numFmtId="0" fontId="2" fillId="9" borderId="8" xfId="80" applyNumberFormat="1" applyFont="1" applyFill="1" applyBorder="1" applyAlignment="1">
      <alignment horizontal="center" vertical="center"/>
    </xf>
    <xf numFmtId="0" fontId="2" fillId="9" borderId="8" xfId="80" applyNumberFormat="1" applyFont="1" applyFill="1" applyBorder="1" applyAlignment="1">
      <alignment horizontal="center" vertical="center" wrapText="1"/>
    </xf>
    <xf numFmtId="0" fontId="32" fillId="0" borderId="7" xfId="89" applyFont="1" applyBorder="1" applyAlignment="1">
      <alignment horizontal="left" vertical="center"/>
    </xf>
    <xf numFmtId="0" fontId="0" fillId="9" borderId="8" xfId="80" applyNumberFormat="1" applyFont="1" applyFill="1" applyBorder="1" applyAlignment="1">
      <alignment horizontal="center" vertical="center" wrapText="1"/>
    </xf>
    <xf numFmtId="181" fontId="2" fillId="9" borderId="8" xfId="80" applyNumberFormat="1" applyFont="1" applyFill="1" applyBorder="1" applyAlignment="1">
      <alignment horizontal="center" vertical="center"/>
    </xf>
    <xf numFmtId="49" fontId="0" fillId="9" borderId="8" xfId="80" applyNumberFormat="1" applyFont="1" applyFill="1" applyBorder="1" applyAlignment="1">
      <alignment horizontal="center" vertical="center" wrapText="1"/>
    </xf>
    <xf numFmtId="182" fontId="13" fillId="9" borderId="8" xfId="80" applyNumberFormat="1" applyFont="1" applyFill="1" applyBorder="1" applyAlignment="1">
      <alignment horizontal="center" vertical="center" wrapText="1"/>
    </xf>
    <xf numFmtId="181" fontId="2" fillId="9" borderId="8" xfId="80" applyNumberFormat="1" applyFont="1" applyFill="1" applyBorder="1" applyAlignment="1">
      <alignment horizontal="center" vertical="center" wrapText="1"/>
    </xf>
    <xf numFmtId="181" fontId="34" fillId="9" borderId="8" xfId="80" applyNumberFormat="1" applyFont="1" applyFill="1" applyBorder="1" applyAlignment="1">
      <alignment horizontal="center" vertical="center"/>
    </xf>
    <xf numFmtId="41" fontId="38" fillId="0" borderId="12" xfId="90" applyFont="1" applyFill="1" applyBorder="1" applyAlignment="1">
      <alignment horizontal="center" vertical="center" wrapText="1"/>
    </xf>
    <xf numFmtId="41" fontId="38" fillId="0" borderId="14" xfId="90" applyFont="1" applyFill="1" applyBorder="1" applyAlignment="1">
      <alignment horizontal="center" vertical="center"/>
    </xf>
    <xf numFmtId="41" fontId="38" fillId="0" borderId="5" xfId="90" applyFont="1" applyFill="1" applyBorder="1" applyAlignment="1">
      <alignment horizontal="center" vertical="center"/>
    </xf>
    <xf numFmtId="41" fontId="38" fillId="0" borderId="2" xfId="90" applyFont="1" applyFill="1" applyBorder="1" applyAlignment="1">
      <alignment horizontal="center" vertical="center"/>
    </xf>
    <xf numFmtId="41" fontId="38" fillId="0" borderId="6" xfId="90" applyFont="1" applyFill="1" applyBorder="1" applyAlignment="1">
      <alignment horizontal="center" vertical="center"/>
    </xf>
    <xf numFmtId="41" fontId="38" fillId="0" borderId="4" xfId="90" applyFont="1" applyFill="1" applyBorder="1" applyAlignment="1">
      <alignment horizontal="center" vertical="center"/>
    </xf>
    <xf numFmtId="0" fontId="38" fillId="0" borderId="12" xfId="81" applyFont="1" applyFill="1" applyBorder="1" applyAlignment="1">
      <alignment horizontal="center" vertical="center" wrapText="1"/>
    </xf>
    <xf numFmtId="0" fontId="38" fillId="0" borderId="13" xfId="81" applyFont="1" applyFill="1" applyBorder="1" applyAlignment="1">
      <alignment horizontal="center" vertical="center" wrapText="1"/>
    </xf>
    <xf numFmtId="0" fontId="38" fillId="0" borderId="14" xfId="81" applyFont="1" applyFill="1" applyBorder="1" applyAlignment="1">
      <alignment horizontal="center" vertical="center" wrapText="1"/>
    </xf>
    <xf numFmtId="0" fontId="38" fillId="0" borderId="5" xfId="81" applyFont="1" applyFill="1" applyBorder="1" applyAlignment="1">
      <alignment horizontal="center" vertical="center" wrapText="1"/>
    </xf>
    <xf numFmtId="0" fontId="38" fillId="0" borderId="0" xfId="81" applyFont="1" applyFill="1" applyAlignment="1">
      <alignment horizontal="center" vertical="center" wrapText="1"/>
    </xf>
    <xf numFmtId="0" fontId="38" fillId="0" borderId="2" xfId="81" applyFont="1" applyFill="1" applyBorder="1" applyAlignment="1">
      <alignment horizontal="center" vertical="center" wrapText="1"/>
    </xf>
    <xf numFmtId="0" fontId="38" fillId="0" borderId="6" xfId="81" applyFont="1" applyFill="1" applyBorder="1" applyAlignment="1">
      <alignment horizontal="center" vertical="center" wrapText="1"/>
    </xf>
    <xf numFmtId="0" fontId="38" fillId="0" borderId="7" xfId="81" applyFont="1" applyFill="1" applyBorder="1" applyAlignment="1">
      <alignment horizontal="center" vertical="center" wrapText="1"/>
    </xf>
    <xf numFmtId="0" fontId="38" fillId="0" borderId="4" xfId="81" applyFont="1" applyFill="1" applyBorder="1" applyAlignment="1">
      <alignment horizontal="center" vertical="center" wrapText="1"/>
    </xf>
    <xf numFmtId="41" fontId="38" fillId="0" borderId="12" xfId="87" applyNumberFormat="1" applyFont="1" applyBorder="1" applyAlignment="1">
      <alignment horizontal="center" vertical="center" wrapText="1"/>
    </xf>
    <xf numFmtId="41" fontId="10" fillId="0" borderId="14" xfId="87" applyNumberFormat="1" applyBorder="1" applyAlignment="1">
      <alignment horizontal="center" vertical="center"/>
    </xf>
    <xf numFmtId="41" fontId="10" fillId="0" borderId="5" xfId="87" applyNumberFormat="1" applyBorder="1" applyAlignment="1">
      <alignment horizontal="center" vertical="center"/>
    </xf>
    <xf numFmtId="41" fontId="10" fillId="0" borderId="2" xfId="87" applyNumberFormat="1" applyBorder="1" applyAlignment="1">
      <alignment horizontal="center" vertical="center"/>
    </xf>
    <xf numFmtId="41" fontId="10" fillId="0" borderId="6" xfId="87" applyNumberFormat="1" applyBorder="1" applyAlignment="1">
      <alignment horizontal="center" vertical="center"/>
    </xf>
    <xf numFmtId="41" fontId="10" fillId="0" borderId="4" xfId="87" applyNumberFormat="1" applyBorder="1" applyAlignment="1">
      <alignment horizontal="center" vertical="center"/>
    </xf>
    <xf numFmtId="41" fontId="4" fillId="0" borderId="14" xfId="90" applyFont="1" applyFill="1" applyBorder="1" applyAlignment="1">
      <alignment horizontal="center" vertical="center"/>
    </xf>
    <xf numFmtId="41" fontId="4" fillId="0" borderId="5" xfId="90" applyFont="1" applyFill="1" applyBorder="1" applyAlignment="1">
      <alignment horizontal="center" vertical="center"/>
    </xf>
    <xf numFmtId="41" fontId="4" fillId="0" borderId="2" xfId="90" applyFont="1" applyFill="1" applyBorder="1" applyAlignment="1">
      <alignment horizontal="center" vertical="center"/>
    </xf>
    <xf numFmtId="41" fontId="4" fillId="0" borderId="6" xfId="90" applyFont="1" applyFill="1" applyBorder="1" applyAlignment="1">
      <alignment horizontal="center" vertical="center"/>
    </xf>
    <xf numFmtId="41" fontId="4" fillId="0" borderId="4" xfId="90" applyFont="1" applyFill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41" fontId="13" fillId="0" borderId="14" xfId="90" applyFont="1" applyFill="1" applyBorder="1" applyAlignment="1">
      <alignment horizontal="center" vertical="center"/>
    </xf>
    <xf numFmtId="41" fontId="13" fillId="0" borderId="5" xfId="90" applyFont="1" applyFill="1" applyBorder="1" applyAlignment="1">
      <alignment horizontal="center" vertical="center"/>
    </xf>
    <xf numFmtId="41" fontId="13" fillId="0" borderId="2" xfId="90" applyFont="1" applyFill="1" applyBorder="1" applyAlignment="1">
      <alignment horizontal="center" vertical="center"/>
    </xf>
    <xf numFmtId="41" fontId="13" fillId="0" borderId="6" xfId="90" applyFont="1" applyFill="1" applyBorder="1" applyAlignment="1">
      <alignment horizontal="center" vertical="center"/>
    </xf>
    <xf numFmtId="41" fontId="13" fillId="0" borderId="4" xfId="90" applyFont="1" applyFill="1" applyBorder="1" applyAlignment="1">
      <alignment horizontal="center" vertical="center"/>
    </xf>
    <xf numFmtId="0" fontId="38" fillId="0" borderId="12" xfId="87" applyFont="1" applyBorder="1" applyAlignment="1">
      <alignment horizontal="center" vertical="center" wrapText="1"/>
    </xf>
    <xf numFmtId="0" fontId="4" fillId="0" borderId="14" xfId="87" applyFont="1" applyBorder="1" applyAlignment="1">
      <alignment horizontal="center" vertical="center"/>
    </xf>
    <xf numFmtId="0" fontId="4" fillId="0" borderId="5" xfId="87" applyFont="1" applyBorder="1" applyAlignment="1">
      <alignment horizontal="center" vertical="center"/>
    </xf>
    <xf numFmtId="0" fontId="4" fillId="0" borderId="2" xfId="87" applyFont="1" applyBorder="1" applyAlignment="1">
      <alignment horizontal="center" vertical="center"/>
    </xf>
    <xf numFmtId="0" fontId="4" fillId="0" borderId="6" xfId="87" applyFont="1" applyBorder="1" applyAlignment="1">
      <alignment horizontal="center" vertical="center"/>
    </xf>
    <xf numFmtId="0" fontId="4" fillId="0" borderId="4" xfId="87" applyFont="1" applyBorder="1" applyAlignment="1">
      <alignment horizontal="center" vertical="center"/>
    </xf>
    <xf numFmtId="0" fontId="38" fillId="2" borderId="12" xfId="87" applyFont="1" applyFill="1" applyBorder="1" applyAlignment="1">
      <alignment horizontal="center" vertical="center" wrapText="1"/>
    </xf>
    <xf numFmtId="0" fontId="4" fillId="2" borderId="14" xfId="87" applyFont="1" applyFill="1" applyBorder="1" applyAlignment="1">
      <alignment horizontal="center" vertical="center"/>
    </xf>
    <xf numFmtId="0" fontId="4" fillId="2" borderId="5" xfId="87" applyFont="1" applyFill="1" applyBorder="1" applyAlignment="1">
      <alignment horizontal="center" vertical="center"/>
    </xf>
    <xf numFmtId="0" fontId="4" fillId="2" borderId="2" xfId="87" applyFont="1" applyFill="1" applyBorder="1" applyAlignment="1">
      <alignment horizontal="center" vertical="center"/>
    </xf>
    <xf numFmtId="0" fontId="4" fillId="2" borderId="6" xfId="87" applyFont="1" applyFill="1" applyBorder="1" applyAlignment="1">
      <alignment horizontal="center" vertical="center"/>
    </xf>
    <xf numFmtId="0" fontId="4" fillId="2" borderId="4" xfId="87" applyFont="1" applyFill="1" applyBorder="1" applyAlignment="1">
      <alignment horizontal="center" vertical="center"/>
    </xf>
    <xf numFmtId="41" fontId="38" fillId="2" borderId="12" xfId="90" applyFont="1" applyFill="1" applyBorder="1" applyAlignment="1">
      <alignment horizontal="center" vertical="center" wrapText="1"/>
    </xf>
    <xf numFmtId="41" fontId="13" fillId="2" borderId="14" xfId="90" applyFont="1" applyFill="1" applyBorder="1" applyAlignment="1">
      <alignment horizontal="center" vertical="center"/>
    </xf>
    <xf numFmtId="41" fontId="13" fillId="2" borderId="5" xfId="90" applyFont="1" applyFill="1" applyBorder="1" applyAlignment="1">
      <alignment horizontal="center" vertical="center"/>
    </xf>
    <xf numFmtId="41" fontId="13" fillId="2" borderId="2" xfId="90" applyFont="1" applyFill="1" applyBorder="1" applyAlignment="1">
      <alignment horizontal="center" vertical="center"/>
    </xf>
    <xf numFmtId="41" fontId="13" fillId="2" borderId="6" xfId="90" applyFont="1" applyFill="1" applyBorder="1" applyAlignment="1">
      <alignment horizontal="center" vertical="center"/>
    </xf>
    <xf numFmtId="41" fontId="13" fillId="2" borderId="4" xfId="90" applyFont="1" applyFill="1" applyBorder="1" applyAlignment="1">
      <alignment horizontal="center" vertical="center"/>
    </xf>
    <xf numFmtId="188" fontId="38" fillId="2" borderId="12" xfId="90" applyNumberFormat="1" applyFont="1" applyFill="1" applyBorder="1" applyAlignment="1">
      <alignment horizontal="center" vertical="center" wrapText="1"/>
    </xf>
    <xf numFmtId="188" fontId="13" fillId="2" borderId="14" xfId="90" applyNumberFormat="1" applyFont="1" applyFill="1" applyBorder="1" applyAlignment="1">
      <alignment horizontal="center" vertical="center"/>
    </xf>
    <xf numFmtId="188" fontId="13" fillId="2" borderId="5" xfId="90" applyNumberFormat="1" applyFont="1" applyFill="1" applyBorder="1" applyAlignment="1">
      <alignment horizontal="center" vertical="center"/>
    </xf>
    <xf numFmtId="188" fontId="13" fillId="2" borderId="2" xfId="90" applyNumberFormat="1" applyFont="1" applyFill="1" applyBorder="1" applyAlignment="1">
      <alignment horizontal="center" vertical="center"/>
    </xf>
    <xf numFmtId="188" fontId="13" fillId="2" borderId="6" xfId="90" applyNumberFormat="1" applyFont="1" applyFill="1" applyBorder="1" applyAlignment="1">
      <alignment horizontal="center" vertical="center"/>
    </xf>
    <xf numFmtId="188" fontId="13" fillId="2" borderId="4" xfId="90" applyNumberFormat="1" applyFont="1" applyFill="1" applyBorder="1" applyAlignment="1">
      <alignment horizontal="center" vertical="center"/>
    </xf>
    <xf numFmtId="41" fontId="38" fillId="0" borderId="12" xfId="79" applyFont="1" applyFill="1" applyBorder="1" applyAlignment="1">
      <alignment horizontal="center" vertical="center" wrapText="1"/>
    </xf>
    <xf numFmtId="41" fontId="38" fillId="0" borderId="14" xfId="79" applyFont="1" applyFill="1" applyBorder="1" applyAlignment="1">
      <alignment horizontal="center" vertical="center"/>
    </xf>
    <xf numFmtId="41" fontId="38" fillId="0" borderId="5" xfId="79" applyFont="1" applyFill="1" applyBorder="1" applyAlignment="1">
      <alignment horizontal="center" vertical="center"/>
    </xf>
    <xf numFmtId="41" fontId="38" fillId="0" borderId="2" xfId="79" applyFont="1" applyFill="1" applyBorder="1" applyAlignment="1">
      <alignment horizontal="center" vertical="center"/>
    </xf>
    <xf numFmtId="41" fontId="38" fillId="0" borderId="6" xfId="79" applyFont="1" applyFill="1" applyBorder="1" applyAlignment="1">
      <alignment horizontal="center" vertical="center"/>
    </xf>
    <xf numFmtId="41" fontId="38" fillId="0" borderId="4" xfId="79" applyFont="1" applyFill="1" applyBorder="1" applyAlignment="1">
      <alignment horizontal="center" vertical="center"/>
    </xf>
    <xf numFmtId="41" fontId="38" fillId="15" borderId="12" xfId="90" applyFont="1" applyFill="1" applyBorder="1" applyAlignment="1">
      <alignment horizontal="center" vertical="center" wrapText="1"/>
    </xf>
    <xf numFmtId="41" fontId="10" fillId="15" borderId="14" xfId="90" applyFont="1" applyFill="1" applyBorder="1" applyAlignment="1">
      <alignment horizontal="center" vertical="center"/>
    </xf>
    <xf numFmtId="41" fontId="10" fillId="15" borderId="5" xfId="90" applyFont="1" applyFill="1" applyBorder="1" applyAlignment="1">
      <alignment horizontal="center" vertical="center"/>
    </xf>
    <xf numFmtId="41" fontId="10" fillId="15" borderId="2" xfId="90" applyFont="1" applyFill="1" applyBorder="1" applyAlignment="1">
      <alignment horizontal="center" vertical="center"/>
    </xf>
    <xf numFmtId="41" fontId="10" fillId="15" borderId="6" xfId="90" applyFont="1" applyFill="1" applyBorder="1" applyAlignment="1">
      <alignment horizontal="center" vertical="center"/>
    </xf>
    <xf numFmtId="41" fontId="10" fillId="15" borderId="4" xfId="90" applyFont="1" applyFill="1" applyBorder="1" applyAlignment="1">
      <alignment horizontal="center" vertical="center"/>
    </xf>
    <xf numFmtId="41" fontId="10" fillId="0" borderId="14" xfId="90" applyFont="1" applyFill="1" applyBorder="1" applyAlignment="1">
      <alignment horizontal="center" vertical="center"/>
    </xf>
    <xf numFmtId="41" fontId="10" fillId="0" borderId="5" xfId="90" applyFont="1" applyFill="1" applyBorder="1" applyAlignment="1">
      <alignment horizontal="center" vertical="center"/>
    </xf>
    <xf numFmtId="41" fontId="10" fillId="0" borderId="2" xfId="90" applyFont="1" applyFill="1" applyBorder="1" applyAlignment="1">
      <alignment horizontal="center" vertical="center"/>
    </xf>
    <xf numFmtId="41" fontId="10" fillId="0" borderId="6" xfId="90" applyFont="1" applyFill="1" applyBorder="1" applyAlignment="1">
      <alignment horizontal="center" vertical="center"/>
    </xf>
    <xf numFmtId="41" fontId="10" fillId="0" borderId="4" xfId="90" applyFont="1" applyFill="1" applyBorder="1" applyAlignment="1">
      <alignment horizontal="center" vertical="center"/>
    </xf>
    <xf numFmtId="181" fontId="38" fillId="0" borderId="12" xfId="85" applyNumberFormat="1" applyFont="1" applyBorder="1" applyAlignment="1">
      <alignment horizontal="center" vertical="center" wrapText="1"/>
    </xf>
    <xf numFmtId="181" fontId="38" fillId="0" borderId="14" xfId="85" applyNumberFormat="1" applyFont="1" applyBorder="1" applyAlignment="1">
      <alignment horizontal="center" vertical="center"/>
    </xf>
    <xf numFmtId="181" fontId="38" fillId="0" borderId="5" xfId="85" applyNumberFormat="1" applyFont="1" applyBorder="1" applyAlignment="1">
      <alignment horizontal="center" vertical="center"/>
    </xf>
    <xf numFmtId="181" fontId="38" fillId="0" borderId="2" xfId="85" applyNumberFormat="1" applyFont="1" applyBorder="1" applyAlignment="1">
      <alignment horizontal="center" vertical="center"/>
    </xf>
    <xf numFmtId="181" fontId="38" fillId="0" borderId="6" xfId="85" applyNumberFormat="1" applyFont="1" applyBorder="1" applyAlignment="1">
      <alignment horizontal="center" vertical="center"/>
    </xf>
    <xf numFmtId="181" fontId="38" fillId="0" borderId="4" xfId="85" applyNumberFormat="1" applyFont="1" applyBorder="1" applyAlignment="1">
      <alignment horizontal="center" vertical="center"/>
    </xf>
    <xf numFmtId="0" fontId="44" fillId="2" borderId="12" xfId="0" applyFont="1" applyFill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/>
    </xf>
    <xf numFmtId="0" fontId="44" fillId="0" borderId="12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38" fillId="0" borderId="12" xfId="83" applyFont="1" applyBorder="1" applyAlignment="1">
      <alignment horizontal="center" vertical="center" wrapText="1"/>
    </xf>
    <xf numFmtId="0" fontId="38" fillId="0" borderId="13" xfId="83" applyFont="1" applyBorder="1" applyAlignment="1">
      <alignment horizontal="center" vertical="center"/>
    </xf>
    <xf numFmtId="0" fontId="38" fillId="0" borderId="14" xfId="83" applyFont="1" applyBorder="1" applyAlignment="1">
      <alignment horizontal="center" vertical="center"/>
    </xf>
    <xf numFmtId="0" fontId="38" fillId="0" borderId="5" xfId="83" applyFont="1" applyBorder="1" applyAlignment="1">
      <alignment horizontal="center" vertical="center"/>
    </xf>
    <xf numFmtId="0" fontId="38" fillId="0" borderId="0" xfId="83" applyFont="1" applyAlignment="1">
      <alignment horizontal="center" vertical="center"/>
    </xf>
    <xf numFmtId="0" fontId="38" fillId="0" borderId="2" xfId="83" applyFont="1" applyBorder="1" applyAlignment="1">
      <alignment horizontal="center" vertical="center"/>
    </xf>
    <xf numFmtId="0" fontId="38" fillId="0" borderId="6" xfId="83" applyFont="1" applyBorder="1" applyAlignment="1">
      <alignment horizontal="center" vertical="center"/>
    </xf>
    <xf numFmtId="0" fontId="38" fillId="0" borderId="7" xfId="83" applyFont="1" applyBorder="1" applyAlignment="1">
      <alignment horizontal="center" vertical="center"/>
    </xf>
    <xf numFmtId="0" fontId="38" fillId="0" borderId="4" xfId="83" applyFont="1" applyBorder="1" applyAlignment="1">
      <alignment horizontal="center" vertical="center"/>
    </xf>
    <xf numFmtId="41" fontId="4" fillId="2" borderId="14" xfId="90" applyFont="1" applyFill="1" applyBorder="1" applyAlignment="1">
      <alignment horizontal="center" vertical="center"/>
    </xf>
    <xf numFmtId="41" fontId="4" fillId="2" borderId="5" xfId="90" applyFont="1" applyFill="1" applyBorder="1" applyAlignment="1">
      <alignment horizontal="center" vertical="center"/>
    </xf>
    <xf numFmtId="41" fontId="4" fillId="2" borderId="2" xfId="90" applyFont="1" applyFill="1" applyBorder="1" applyAlignment="1">
      <alignment horizontal="center" vertical="center"/>
    </xf>
    <xf numFmtId="41" fontId="4" fillId="2" borderId="6" xfId="90" applyFont="1" applyFill="1" applyBorder="1" applyAlignment="1">
      <alignment horizontal="center" vertical="center"/>
    </xf>
    <xf numFmtId="41" fontId="4" fillId="2" borderId="4" xfId="90" applyFont="1" applyFill="1" applyBorder="1" applyAlignment="1">
      <alignment horizontal="center" vertical="center"/>
    </xf>
  </cellXfs>
  <cellStyles count="111">
    <cellStyle name="??&amp;O?&amp;H?_x0008_??_x0007__x0001__x0001_" xfId="37" xr:uid="{00000000-0005-0000-0000-000000000000}"/>
    <cellStyle name="Comma [0]_laroux" xfId="38" xr:uid="{00000000-0005-0000-0000-000001000000}"/>
    <cellStyle name="Comma_laroux" xfId="39" xr:uid="{00000000-0005-0000-0000-000002000000}"/>
    <cellStyle name="Currency [0]_laroux" xfId="40" xr:uid="{00000000-0005-0000-0000-000003000000}"/>
    <cellStyle name="Currency_laroux" xfId="41" xr:uid="{00000000-0005-0000-0000-000004000000}"/>
    <cellStyle name="Normal_Certs Q2" xfId="42" xr:uid="{00000000-0005-0000-0000-000005000000}"/>
    <cellStyle name="강조색6 4 7" xfId="80" xr:uid="{00000000-0005-0000-0000-000006000000}"/>
    <cellStyle name="강조색6 4 7 2" xfId="100" xr:uid="{00000000-0005-0000-0000-000007000000}"/>
    <cellStyle name="쉼표 [0]" xfId="64" builtinId="6"/>
    <cellStyle name="쉼표 [0] 10 10 2" xfId="79" xr:uid="{00000000-0005-0000-0000-000009000000}"/>
    <cellStyle name="쉼표 [0] 10 14" xfId="78" xr:uid="{00000000-0005-0000-0000-00000A000000}"/>
    <cellStyle name="쉼표 [0] 17" xfId="85" xr:uid="{00000000-0005-0000-0000-00000B000000}"/>
    <cellStyle name="쉼표 [0] 2" xfId="19" xr:uid="{00000000-0005-0000-0000-00000C000000}"/>
    <cellStyle name="쉼표 [0] 2 10" xfId="86" xr:uid="{00000000-0005-0000-0000-00000D000000}"/>
    <cellStyle name="쉼표 [0] 2 2" xfId="55" xr:uid="{00000000-0005-0000-0000-00000E000000}"/>
    <cellStyle name="쉼표 [0] 2 3" xfId="49" xr:uid="{00000000-0005-0000-0000-00000F000000}"/>
    <cellStyle name="쉼표 [0] 2 4" xfId="47" xr:uid="{00000000-0005-0000-0000-000010000000}"/>
    <cellStyle name="쉼표 [0] 3" xfId="52" xr:uid="{00000000-0005-0000-0000-000011000000}"/>
    <cellStyle name="쉼표 [0] 3 10" xfId="84" xr:uid="{00000000-0005-0000-0000-000012000000}"/>
    <cellStyle name="쉼표 [0] 4" xfId="61" xr:uid="{00000000-0005-0000-0000-000013000000}"/>
    <cellStyle name="쉼표 [0] 4 2" xfId="62" xr:uid="{00000000-0005-0000-0000-000014000000}"/>
    <cellStyle name="쉼표 [0] 5" xfId="76" xr:uid="{00000000-0005-0000-0000-000015000000}"/>
    <cellStyle name="쉼표 [0] 6" xfId="90" xr:uid="{00000000-0005-0000-0000-000016000000}"/>
    <cellStyle name="쉼표 [0] 6 11" xfId="103" xr:uid="{00000000-0005-0000-0000-000017000000}"/>
    <cellStyle name="쉼표 [0] 6 2" xfId="107" xr:uid="{00000000-0005-0000-0000-000018000000}"/>
    <cellStyle name="쉼표 [0] 7" xfId="106" xr:uid="{00000000-0005-0000-0000-000019000000}"/>
    <cellStyle name="좋음 3" xfId="45" xr:uid="{00000000-0005-0000-0000-00001A000000}"/>
    <cellStyle name="출력" xfId="110" builtinId="21"/>
    <cellStyle name="콤마 [0]_10월2주 " xfId="43" xr:uid="{00000000-0005-0000-0000-00001C000000}"/>
    <cellStyle name="콤마_10월2주 " xfId="44" xr:uid="{00000000-0005-0000-0000-00001D000000}"/>
    <cellStyle name="통화 [0] 2" xfId="58" xr:uid="{00000000-0005-0000-0000-00001E000000}"/>
    <cellStyle name="통화 [0] 2 2" xfId="56" xr:uid="{00000000-0005-0000-0000-00001F000000}"/>
    <cellStyle name="통화 [0] 2 3" xfId="57" xr:uid="{00000000-0005-0000-0000-000020000000}"/>
    <cellStyle name="표준" xfId="0" builtinId="0"/>
    <cellStyle name="표준 10" xfId="16" xr:uid="{00000000-0005-0000-0000-000022000000}"/>
    <cellStyle name="표준 10 2" xfId="99" xr:uid="{00000000-0005-0000-0000-000023000000}"/>
    <cellStyle name="표준 11" xfId="17" xr:uid="{00000000-0005-0000-0000-000024000000}"/>
    <cellStyle name="표준 12" xfId="18" xr:uid="{00000000-0005-0000-0000-000025000000}"/>
    <cellStyle name="표준 13" xfId="26" xr:uid="{00000000-0005-0000-0000-000026000000}"/>
    <cellStyle name="표준 13 2 2 2 2" xfId="77" xr:uid="{00000000-0005-0000-0000-000027000000}"/>
    <cellStyle name="표준 14" xfId="35" xr:uid="{00000000-0005-0000-0000-000028000000}"/>
    <cellStyle name="표준 15" xfId="46" xr:uid="{00000000-0005-0000-0000-000029000000}"/>
    <cellStyle name="표준 15 2" xfId="63" xr:uid="{00000000-0005-0000-0000-00002A000000}"/>
    <cellStyle name="표준 15 3" xfId="60" xr:uid="{00000000-0005-0000-0000-00002B000000}"/>
    <cellStyle name="표준 16" xfId="29" xr:uid="{00000000-0005-0000-0000-00002C000000}"/>
    <cellStyle name="표준 17" xfId="31" xr:uid="{00000000-0005-0000-0000-00002D000000}"/>
    <cellStyle name="표준 18" xfId="33" xr:uid="{00000000-0005-0000-0000-00002E000000}"/>
    <cellStyle name="표준 19" xfId="32" xr:uid="{00000000-0005-0000-0000-00002F000000}"/>
    <cellStyle name="표준 2" xfId="1" xr:uid="{00000000-0005-0000-0000-000030000000}"/>
    <cellStyle name="표준 2 2" xfId="34" xr:uid="{00000000-0005-0000-0000-000031000000}"/>
    <cellStyle name="표준 2 2 2" xfId="59" xr:uid="{00000000-0005-0000-0000-000032000000}"/>
    <cellStyle name="표준 2 2 3" xfId="48" xr:uid="{00000000-0005-0000-0000-000033000000}"/>
    <cellStyle name="표준 2 2 4" xfId="66" xr:uid="{00000000-0005-0000-0000-000034000000}"/>
    <cellStyle name="표준 2 3" xfId="51" xr:uid="{00000000-0005-0000-0000-000035000000}"/>
    <cellStyle name="표준 2 3 2" xfId="67" xr:uid="{00000000-0005-0000-0000-000036000000}"/>
    <cellStyle name="표준 2 4" xfId="50" xr:uid="{00000000-0005-0000-0000-000037000000}"/>
    <cellStyle name="표준 2 4 2" xfId="68" xr:uid="{00000000-0005-0000-0000-000038000000}"/>
    <cellStyle name="표준 2 5" xfId="54" xr:uid="{00000000-0005-0000-0000-000039000000}"/>
    <cellStyle name="표준 2 5 2" xfId="69" xr:uid="{00000000-0005-0000-0000-00003A000000}"/>
    <cellStyle name="표준 2 6" xfId="70" xr:uid="{00000000-0005-0000-0000-00003B000000}"/>
    <cellStyle name="표준 2 7" xfId="65" xr:uid="{00000000-0005-0000-0000-00003C000000}"/>
    <cellStyle name="표준 2 8" xfId="101" xr:uid="{00000000-0005-0000-0000-00003D000000}"/>
    <cellStyle name="표준 20" xfId="30" xr:uid="{00000000-0005-0000-0000-00003E000000}"/>
    <cellStyle name="표준 21" xfId="25" xr:uid="{00000000-0005-0000-0000-00003F000000}"/>
    <cellStyle name="표준 22" xfId="87" xr:uid="{00000000-0005-0000-0000-000040000000}"/>
    <cellStyle name="표준 22 4" xfId="102" xr:uid="{00000000-0005-0000-0000-000041000000}"/>
    <cellStyle name="표준 23" xfId="109" xr:uid="{00000000-0005-0000-0000-000042000000}"/>
    <cellStyle name="표준 25" xfId="108" xr:uid="{00000000-0005-0000-0000-000043000000}"/>
    <cellStyle name="표준 27" xfId="97" xr:uid="{00000000-0005-0000-0000-000044000000}"/>
    <cellStyle name="표준 29" xfId="6" xr:uid="{00000000-0005-0000-0000-000045000000}"/>
    <cellStyle name="표준 29 2" xfId="27" xr:uid="{00000000-0005-0000-0000-000046000000}"/>
    <cellStyle name="표준 29 3" xfId="96" xr:uid="{00000000-0005-0000-0000-000047000000}"/>
    <cellStyle name="표준 3" xfId="2" xr:uid="{00000000-0005-0000-0000-000048000000}"/>
    <cellStyle name="표준 3 12" xfId="83" xr:uid="{00000000-0005-0000-0000-000049000000}"/>
    <cellStyle name="표준 3 2" xfId="36" xr:uid="{00000000-0005-0000-0000-00004A000000}"/>
    <cellStyle name="표준 3 3" xfId="71" xr:uid="{00000000-0005-0000-0000-00004B000000}"/>
    <cellStyle name="표준 3 3 2" xfId="98" xr:uid="{00000000-0005-0000-0000-00004C000000}"/>
    <cellStyle name="표준 30" xfId="7" xr:uid="{00000000-0005-0000-0000-00004D000000}"/>
    <cellStyle name="표준 30 2" xfId="28" xr:uid="{00000000-0005-0000-0000-00004E000000}"/>
    <cellStyle name="표준 30 3" xfId="95" xr:uid="{00000000-0005-0000-0000-00004F000000}"/>
    <cellStyle name="표준 31" xfId="8" xr:uid="{00000000-0005-0000-0000-000050000000}"/>
    <cellStyle name="표준 31 2" xfId="20" xr:uid="{00000000-0005-0000-0000-000051000000}"/>
    <cellStyle name="표준 32" xfId="94" xr:uid="{00000000-0005-0000-0000-000052000000}"/>
    <cellStyle name="표준 33" xfId="9" xr:uid="{00000000-0005-0000-0000-000053000000}"/>
    <cellStyle name="표준 33 2" xfId="21" xr:uid="{00000000-0005-0000-0000-000054000000}"/>
    <cellStyle name="표준 33 3" xfId="93" xr:uid="{00000000-0005-0000-0000-000055000000}"/>
    <cellStyle name="표준 34" xfId="10" xr:uid="{00000000-0005-0000-0000-000056000000}"/>
    <cellStyle name="표준 34 2" xfId="22" xr:uid="{00000000-0005-0000-0000-000057000000}"/>
    <cellStyle name="표준 34 3" xfId="92" xr:uid="{00000000-0005-0000-0000-000058000000}"/>
    <cellStyle name="표준 35" xfId="11" xr:uid="{00000000-0005-0000-0000-000059000000}"/>
    <cellStyle name="표준 35 2" xfId="23" xr:uid="{00000000-0005-0000-0000-00005A000000}"/>
    <cellStyle name="표준 36" xfId="12" xr:uid="{00000000-0005-0000-0000-00005B000000}"/>
    <cellStyle name="표준 36 2" xfId="24" xr:uid="{00000000-0005-0000-0000-00005C000000}"/>
    <cellStyle name="표준 36 3" xfId="91" xr:uid="{00000000-0005-0000-0000-00005D000000}"/>
    <cellStyle name="표준 4" xfId="3" xr:uid="{00000000-0005-0000-0000-00005E000000}"/>
    <cellStyle name="표준 4 10" xfId="82" xr:uid="{00000000-0005-0000-0000-00005F000000}"/>
    <cellStyle name="표준 4 10 2" xfId="105" xr:uid="{00000000-0005-0000-0000-000060000000}"/>
    <cellStyle name="표준 4 2" xfId="72" xr:uid="{00000000-0005-0000-0000-000061000000}"/>
    <cellStyle name="표준 4 3" xfId="89" xr:uid="{00000000-0005-0000-0000-000062000000}"/>
    <cellStyle name="표준 4 3 3" xfId="104" xr:uid="{00000000-0005-0000-0000-000063000000}"/>
    <cellStyle name="표준 5" xfId="4" xr:uid="{00000000-0005-0000-0000-000064000000}"/>
    <cellStyle name="표준 5 2" xfId="73" xr:uid="{00000000-0005-0000-0000-000065000000}"/>
    <cellStyle name="표준 5 3" xfId="88" xr:uid="{00000000-0005-0000-0000-000066000000}"/>
    <cellStyle name="표준 6" xfId="5" xr:uid="{00000000-0005-0000-0000-000067000000}"/>
    <cellStyle name="표준 6 2" xfId="74" xr:uid="{00000000-0005-0000-0000-000068000000}"/>
    <cellStyle name="표준 7" xfId="13" xr:uid="{00000000-0005-0000-0000-000069000000}"/>
    <cellStyle name="표준 7 2" xfId="75" xr:uid="{00000000-0005-0000-0000-00006A000000}"/>
    <cellStyle name="표준 8" xfId="14" xr:uid="{00000000-0005-0000-0000-00006B000000}"/>
    <cellStyle name="표준 9" xfId="15" xr:uid="{00000000-0005-0000-0000-00006C000000}"/>
    <cellStyle name="표준_Ⅴ.업체별현황 2" xfId="81" xr:uid="{00000000-0005-0000-0000-00006D000000}"/>
    <cellStyle name="하이퍼링크 2" xfId="53" xr:uid="{00000000-0005-0000-0000-00006E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FCF9-C134-46C4-B4DE-7B96077E43ED}">
  <sheetPr>
    <tabColor theme="0" tint="-0.14999847407452621"/>
    <pageSetUpPr fitToPage="1"/>
  </sheetPr>
  <dimension ref="A1:AA116"/>
  <sheetViews>
    <sheetView tabSelected="1" zoomScale="70" zoomScaleNormal="70" zoomScaleSheetLayoutView="70" workbookViewId="0">
      <selection activeCell="M1" sqref="M1"/>
    </sheetView>
  </sheetViews>
  <sheetFormatPr defaultColWidth="8.75" defaultRowHeight="14.25"/>
  <cols>
    <col min="1" max="1" width="18" style="76" bestFit="1" customWidth="1"/>
    <col min="2" max="2" width="12.125" style="76" customWidth="1"/>
    <col min="3" max="12" width="17.625" style="76" customWidth="1"/>
    <col min="13" max="16384" width="8.75" style="76"/>
  </cols>
  <sheetData>
    <row r="1" spans="1:21" ht="34.5" customHeight="1" thickBot="1">
      <c r="A1" s="156" t="s">
        <v>482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21" s="77" customFormat="1" ht="54" customHeight="1" thickTop="1">
      <c r="A2" s="149" t="s">
        <v>276</v>
      </c>
      <c r="B2" s="150" t="s">
        <v>27</v>
      </c>
      <c r="C2" s="152" t="s">
        <v>483</v>
      </c>
      <c r="D2" s="153"/>
      <c r="E2" s="153"/>
      <c r="F2" s="153"/>
      <c r="G2" s="154"/>
      <c r="H2" s="157" t="s">
        <v>470</v>
      </c>
      <c r="I2" s="158"/>
      <c r="J2" s="158"/>
      <c r="K2" s="158"/>
      <c r="L2" s="155"/>
    </row>
    <row r="3" spans="1:21" s="77" customFormat="1" ht="24.95" customHeight="1">
      <c r="A3" s="149"/>
      <c r="B3" s="151"/>
      <c r="C3" s="78" t="s">
        <v>28</v>
      </c>
      <c r="D3" s="79" t="s">
        <v>141</v>
      </c>
      <c r="E3" s="79" t="s">
        <v>145</v>
      </c>
      <c r="F3" s="79" t="s">
        <v>29</v>
      </c>
      <c r="G3" s="80" t="s">
        <v>30</v>
      </c>
      <c r="H3" s="81" t="s">
        <v>28</v>
      </c>
      <c r="I3" s="79" t="s">
        <v>141</v>
      </c>
      <c r="J3" s="79" t="s">
        <v>145</v>
      </c>
      <c r="K3" s="79" t="s">
        <v>29</v>
      </c>
      <c r="L3" s="79" t="s">
        <v>30</v>
      </c>
    </row>
    <row r="4" spans="1:21" s="77" customFormat="1" ht="24.95" customHeight="1">
      <c r="A4" s="82" t="s">
        <v>270</v>
      </c>
      <c r="B4" s="22">
        <f t="shared" ref="B4:B22" si="0">C4-H4</f>
        <v>-230</v>
      </c>
      <c r="C4" s="83">
        <f>D4+E4+F4+G4</f>
        <v>3018</v>
      </c>
      <c r="D4" s="84">
        <f>SUM(D5:D22)</f>
        <v>89</v>
      </c>
      <c r="E4" s="84">
        <f>SUM(E5:E22)</f>
        <v>345</v>
      </c>
      <c r="F4" s="84">
        <f>SUM(F5:F22)</f>
        <v>1927</v>
      </c>
      <c r="G4" s="85">
        <f>SUM(G5:G22)</f>
        <v>657</v>
      </c>
      <c r="H4" s="86">
        <f t="shared" ref="H4:H22" si="1">SUM(I4:L4)</f>
        <v>3248</v>
      </c>
      <c r="I4" s="87">
        <f>SUM(I5:I22)</f>
        <v>115</v>
      </c>
      <c r="J4" s="87">
        <f>SUM(J5:J22)</f>
        <v>345</v>
      </c>
      <c r="K4" s="87">
        <f>SUM(K5:K22)</f>
        <v>2089</v>
      </c>
      <c r="L4" s="87">
        <f>SUM(L5:L22)</f>
        <v>699</v>
      </c>
    </row>
    <row r="5" spans="1:21" s="92" customFormat="1" ht="24.95" customHeight="1">
      <c r="A5" s="11" t="s">
        <v>24</v>
      </c>
      <c r="B5" s="22">
        <f t="shared" si="0"/>
        <v>-2</v>
      </c>
      <c r="C5" s="88">
        <f t="shared" ref="C5:C22" si="2">SUM(D5:G5)</f>
        <v>260</v>
      </c>
      <c r="D5" s="89"/>
      <c r="E5" s="89"/>
      <c r="F5" s="89">
        <v>208</v>
      </c>
      <c r="G5" s="90">
        <v>52</v>
      </c>
      <c r="H5" s="91">
        <f t="shared" si="1"/>
        <v>262</v>
      </c>
      <c r="I5" s="89"/>
      <c r="J5" s="89"/>
      <c r="K5" s="89">
        <v>210</v>
      </c>
      <c r="L5" s="89">
        <v>52</v>
      </c>
    </row>
    <row r="6" spans="1:21" s="92" customFormat="1" ht="24.95" customHeight="1">
      <c r="A6" s="11" t="s">
        <v>18</v>
      </c>
      <c r="B6" s="22">
        <f t="shared" si="0"/>
        <v>-27</v>
      </c>
      <c r="C6" s="88">
        <f t="shared" si="2"/>
        <v>298</v>
      </c>
      <c r="D6" s="89"/>
      <c r="E6" s="89">
        <v>3</v>
      </c>
      <c r="F6" s="89">
        <v>175</v>
      </c>
      <c r="G6" s="90">
        <v>120</v>
      </c>
      <c r="H6" s="91">
        <f t="shared" si="1"/>
        <v>325</v>
      </c>
      <c r="I6" s="89"/>
      <c r="J6" s="89">
        <v>3</v>
      </c>
      <c r="K6" s="89">
        <v>196</v>
      </c>
      <c r="L6" s="89">
        <v>126</v>
      </c>
    </row>
    <row r="7" spans="1:21" s="92" customFormat="1" ht="24.95" customHeight="1">
      <c r="A7" s="11" t="s">
        <v>31</v>
      </c>
      <c r="B7" s="22">
        <f t="shared" si="0"/>
        <v>-157</v>
      </c>
      <c r="C7" s="88">
        <f t="shared" si="2"/>
        <v>1154</v>
      </c>
      <c r="D7" s="93">
        <v>89</v>
      </c>
      <c r="E7" s="93">
        <v>173</v>
      </c>
      <c r="F7" s="93">
        <v>612</v>
      </c>
      <c r="G7" s="94">
        <v>280</v>
      </c>
      <c r="H7" s="91">
        <f t="shared" si="1"/>
        <v>1311</v>
      </c>
      <c r="I7" s="93">
        <v>115</v>
      </c>
      <c r="J7" s="93">
        <v>173</v>
      </c>
      <c r="K7" s="93">
        <v>710</v>
      </c>
      <c r="L7" s="93">
        <v>313</v>
      </c>
    </row>
    <row r="8" spans="1:21" s="92" customFormat="1" ht="24.95" customHeight="1">
      <c r="A8" s="11" t="s">
        <v>2</v>
      </c>
      <c r="B8" s="22">
        <f t="shared" si="0"/>
        <v>0</v>
      </c>
      <c r="C8" s="88">
        <f t="shared" si="2"/>
        <v>0</v>
      </c>
      <c r="D8" s="89"/>
      <c r="E8" s="95"/>
      <c r="F8" s="89"/>
      <c r="G8" s="90"/>
      <c r="H8" s="91">
        <f t="shared" si="1"/>
        <v>0</v>
      </c>
      <c r="I8" s="89"/>
      <c r="J8" s="95"/>
      <c r="K8" s="89"/>
      <c r="L8" s="89"/>
    </row>
    <row r="9" spans="1:21" ht="24.95" customHeight="1">
      <c r="A9" s="11" t="s">
        <v>19</v>
      </c>
      <c r="B9" s="22">
        <f t="shared" si="0"/>
        <v>0</v>
      </c>
      <c r="C9" s="88">
        <f t="shared" si="2"/>
        <v>0</v>
      </c>
      <c r="D9" s="96"/>
      <c r="E9" s="96"/>
      <c r="F9" s="96"/>
      <c r="G9" s="97"/>
      <c r="H9" s="91">
        <f t="shared" si="1"/>
        <v>0</v>
      </c>
      <c r="I9" s="96"/>
      <c r="J9" s="96"/>
      <c r="K9" s="96"/>
      <c r="L9" s="96"/>
    </row>
    <row r="10" spans="1:21" s="92" customFormat="1" ht="24.95" customHeight="1">
      <c r="A10" s="11" t="s">
        <v>14</v>
      </c>
      <c r="B10" s="22">
        <f t="shared" si="0"/>
        <v>-5</v>
      </c>
      <c r="C10" s="88">
        <f t="shared" si="2"/>
        <v>551</v>
      </c>
      <c r="D10" s="96"/>
      <c r="E10" s="96">
        <v>11</v>
      </c>
      <c r="F10" s="5">
        <v>442</v>
      </c>
      <c r="G10" s="97">
        <v>98</v>
      </c>
      <c r="H10" s="91">
        <f t="shared" si="1"/>
        <v>556</v>
      </c>
      <c r="I10" s="96"/>
      <c r="J10" s="96">
        <v>11</v>
      </c>
      <c r="K10" s="5">
        <v>447</v>
      </c>
      <c r="L10" s="96">
        <v>98</v>
      </c>
      <c r="Q10" s="76"/>
      <c r="R10" s="76"/>
      <c r="S10" s="76"/>
      <c r="T10" s="76"/>
      <c r="U10" s="76"/>
    </row>
    <row r="11" spans="1:21" s="92" customFormat="1" ht="24.95" customHeight="1">
      <c r="A11" s="11" t="s">
        <v>6</v>
      </c>
      <c r="B11" s="22">
        <f t="shared" si="0"/>
        <v>-15</v>
      </c>
      <c r="C11" s="88">
        <f t="shared" si="2"/>
        <v>73</v>
      </c>
      <c r="D11" s="96"/>
      <c r="E11" s="96"/>
      <c r="F11" s="96">
        <v>73</v>
      </c>
      <c r="G11" s="97"/>
      <c r="H11" s="91">
        <f t="shared" si="1"/>
        <v>88</v>
      </c>
      <c r="I11" s="96"/>
      <c r="J11" s="96"/>
      <c r="K11" s="96">
        <v>88</v>
      </c>
      <c r="L11" s="96"/>
      <c r="Q11" s="76"/>
      <c r="R11" s="76"/>
      <c r="S11" s="76"/>
      <c r="T11" s="76"/>
      <c r="U11" s="76"/>
    </row>
    <row r="12" spans="1:21" s="92" customFormat="1" ht="24.95" customHeight="1">
      <c r="A12" s="11" t="s">
        <v>424</v>
      </c>
      <c r="B12" s="22">
        <f t="shared" si="0"/>
        <v>-4</v>
      </c>
      <c r="C12" s="83">
        <f t="shared" si="2"/>
        <v>100</v>
      </c>
      <c r="D12" s="98"/>
      <c r="E12" s="98"/>
      <c r="F12" s="98">
        <v>54</v>
      </c>
      <c r="G12" s="97">
        <v>46</v>
      </c>
      <c r="H12" s="91">
        <f t="shared" si="1"/>
        <v>104</v>
      </c>
      <c r="I12" s="98"/>
      <c r="J12" s="98"/>
      <c r="K12" s="98">
        <v>56</v>
      </c>
      <c r="L12" s="96">
        <v>48</v>
      </c>
      <c r="Q12" s="76"/>
      <c r="R12" s="76"/>
      <c r="S12" s="76"/>
      <c r="T12" s="76"/>
      <c r="U12" s="76"/>
    </row>
    <row r="13" spans="1:21" s="92" customFormat="1" ht="24.95" customHeight="1">
      <c r="A13" s="11" t="s">
        <v>7</v>
      </c>
      <c r="B13" s="22">
        <f t="shared" si="0"/>
        <v>0</v>
      </c>
      <c r="C13" s="88">
        <f t="shared" si="2"/>
        <v>0</v>
      </c>
      <c r="D13" s="96"/>
      <c r="E13" s="4"/>
      <c r="F13" s="4"/>
      <c r="G13" s="97"/>
      <c r="H13" s="91">
        <f t="shared" si="1"/>
        <v>0</v>
      </c>
      <c r="I13" s="96"/>
      <c r="J13" s="4"/>
      <c r="K13" s="4"/>
      <c r="L13" s="96"/>
      <c r="Q13" s="76"/>
      <c r="R13" s="76"/>
      <c r="S13" s="76"/>
      <c r="T13" s="76"/>
      <c r="U13" s="76"/>
    </row>
    <row r="14" spans="1:21" s="92" customFormat="1" ht="24.95" customHeight="1">
      <c r="A14" s="11" t="s">
        <v>8</v>
      </c>
      <c r="B14" s="22">
        <f t="shared" si="0"/>
        <v>0</v>
      </c>
      <c r="C14" s="88">
        <f t="shared" si="2"/>
        <v>0</v>
      </c>
      <c r="D14" s="89"/>
      <c r="E14" s="89"/>
      <c r="F14" s="95"/>
      <c r="G14" s="90"/>
      <c r="H14" s="91">
        <f t="shared" si="1"/>
        <v>0</v>
      </c>
      <c r="I14" s="89"/>
      <c r="J14" s="89"/>
      <c r="K14" s="95"/>
      <c r="L14" s="89"/>
      <c r="Q14" s="76"/>
      <c r="R14" s="76"/>
      <c r="S14" s="76"/>
      <c r="T14" s="76"/>
      <c r="U14" s="76"/>
    </row>
    <row r="15" spans="1:21" s="92" customFormat="1" ht="24.95" customHeight="1">
      <c r="A15" s="11" t="s">
        <v>20</v>
      </c>
      <c r="B15" s="22">
        <f t="shared" si="0"/>
        <v>0</v>
      </c>
      <c r="C15" s="88">
        <f t="shared" si="2"/>
        <v>237</v>
      </c>
      <c r="D15" s="89"/>
      <c r="E15" s="89">
        <v>125</v>
      </c>
      <c r="F15" s="89">
        <v>86</v>
      </c>
      <c r="G15" s="90">
        <v>26</v>
      </c>
      <c r="H15" s="91">
        <f t="shared" si="1"/>
        <v>237</v>
      </c>
      <c r="I15" s="89"/>
      <c r="J15" s="89">
        <v>125</v>
      </c>
      <c r="K15" s="89">
        <v>86</v>
      </c>
      <c r="L15" s="89">
        <v>26</v>
      </c>
      <c r="Q15" s="76"/>
      <c r="R15" s="76"/>
      <c r="S15" s="76"/>
      <c r="T15" s="76"/>
      <c r="U15" s="76"/>
    </row>
    <row r="16" spans="1:21" s="92" customFormat="1" ht="24.95" customHeight="1">
      <c r="A16" s="11" t="s">
        <v>9</v>
      </c>
      <c r="B16" s="22">
        <f t="shared" si="0"/>
        <v>0</v>
      </c>
      <c r="C16" s="88">
        <f t="shared" si="2"/>
        <v>0</v>
      </c>
      <c r="D16" s="89"/>
      <c r="E16" s="95"/>
      <c r="F16" s="95"/>
      <c r="G16" s="90"/>
      <c r="H16" s="91">
        <f t="shared" si="1"/>
        <v>0</v>
      </c>
      <c r="I16" s="89"/>
      <c r="J16" s="95"/>
      <c r="K16" s="95"/>
      <c r="L16" s="89"/>
      <c r="Q16" s="76"/>
      <c r="R16" s="76"/>
      <c r="S16" s="76"/>
      <c r="T16" s="76"/>
      <c r="U16" s="76"/>
    </row>
    <row r="17" spans="1:12" ht="24.95" customHeight="1">
      <c r="A17" s="11" t="s">
        <v>10</v>
      </c>
      <c r="B17" s="22">
        <f t="shared" si="0"/>
        <v>-1</v>
      </c>
      <c r="C17" s="88">
        <f t="shared" si="2"/>
        <v>11</v>
      </c>
      <c r="D17" s="96"/>
      <c r="E17" s="96"/>
      <c r="F17" s="96">
        <v>11</v>
      </c>
      <c r="G17" s="97"/>
      <c r="H17" s="91">
        <f t="shared" si="1"/>
        <v>12</v>
      </c>
      <c r="I17" s="96"/>
      <c r="J17" s="96"/>
      <c r="K17" s="96">
        <v>12</v>
      </c>
      <c r="L17" s="96"/>
    </row>
    <row r="18" spans="1:12" ht="24.95" customHeight="1">
      <c r="A18" s="11" t="s">
        <v>16</v>
      </c>
      <c r="B18" s="22">
        <f t="shared" si="0"/>
        <v>0</v>
      </c>
      <c r="C18" s="88">
        <f t="shared" si="2"/>
        <v>0</v>
      </c>
      <c r="D18" s="96"/>
      <c r="E18" s="96"/>
      <c r="F18" s="96"/>
      <c r="G18" s="97"/>
      <c r="H18" s="91">
        <f t="shared" si="1"/>
        <v>0</v>
      </c>
      <c r="I18" s="96"/>
      <c r="J18" s="96"/>
      <c r="K18" s="96"/>
      <c r="L18" s="96"/>
    </row>
    <row r="19" spans="1:12" ht="24.95" customHeight="1">
      <c r="A19" s="11" t="s">
        <v>21</v>
      </c>
      <c r="B19" s="22">
        <f t="shared" si="0"/>
        <v>0</v>
      </c>
      <c r="C19" s="88">
        <f t="shared" si="2"/>
        <v>0</v>
      </c>
      <c r="D19" s="96"/>
      <c r="E19" s="96"/>
      <c r="F19" s="96"/>
      <c r="G19" s="97"/>
      <c r="H19" s="91">
        <f t="shared" si="1"/>
        <v>0</v>
      </c>
      <c r="I19" s="96"/>
      <c r="J19" s="96"/>
      <c r="K19" s="96"/>
      <c r="L19" s="96"/>
    </row>
    <row r="20" spans="1:12" ht="24.95" customHeight="1">
      <c r="A20" s="11" t="s">
        <v>11</v>
      </c>
      <c r="B20" s="22">
        <f t="shared" si="0"/>
        <v>-3</v>
      </c>
      <c r="C20" s="88">
        <f t="shared" si="2"/>
        <v>49</v>
      </c>
      <c r="D20" s="96"/>
      <c r="E20" s="96">
        <v>26</v>
      </c>
      <c r="F20" s="96">
        <v>23</v>
      </c>
      <c r="G20" s="97"/>
      <c r="H20" s="91">
        <f t="shared" si="1"/>
        <v>52</v>
      </c>
      <c r="I20" s="96"/>
      <c r="J20" s="96">
        <v>28</v>
      </c>
      <c r="K20" s="96">
        <v>24</v>
      </c>
      <c r="L20" s="96"/>
    </row>
    <row r="21" spans="1:12" ht="24.95" customHeight="1">
      <c r="A21" s="11" t="s">
        <v>22</v>
      </c>
      <c r="B21" s="22">
        <f t="shared" si="0"/>
        <v>-14</v>
      </c>
      <c r="C21" s="88">
        <f t="shared" si="2"/>
        <v>172</v>
      </c>
      <c r="D21" s="96"/>
      <c r="E21" s="96"/>
      <c r="F21" s="4">
        <v>149</v>
      </c>
      <c r="G21" s="97">
        <v>23</v>
      </c>
      <c r="H21" s="91">
        <f t="shared" si="1"/>
        <v>186</v>
      </c>
      <c r="I21" s="96"/>
      <c r="J21" s="96"/>
      <c r="K21" s="4">
        <v>162</v>
      </c>
      <c r="L21" s="96">
        <v>24</v>
      </c>
    </row>
    <row r="22" spans="1:12" s="102" customFormat="1" ht="24.95" customHeight="1" thickBot="1">
      <c r="A22" s="11" t="s">
        <v>23</v>
      </c>
      <c r="B22" s="22">
        <f t="shared" si="0"/>
        <v>-2</v>
      </c>
      <c r="C22" s="99">
        <f t="shared" si="2"/>
        <v>113</v>
      </c>
      <c r="D22" s="100"/>
      <c r="E22" s="100">
        <v>7</v>
      </c>
      <c r="F22" s="100">
        <v>94</v>
      </c>
      <c r="G22" s="101">
        <v>12</v>
      </c>
      <c r="H22" s="91">
        <f t="shared" si="1"/>
        <v>115</v>
      </c>
      <c r="I22" s="96"/>
      <c r="J22" s="96">
        <v>5</v>
      </c>
      <c r="K22" s="96">
        <v>98</v>
      </c>
      <c r="L22" s="96">
        <v>12</v>
      </c>
    </row>
    <row r="23" spans="1:12" ht="17.45" customHeight="1" thickTop="1"/>
    <row r="24" spans="1:12" ht="24.95" customHeight="1" thickBot="1">
      <c r="A24" s="156" t="s">
        <v>230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2" ht="24.95" customHeight="1" thickTop="1">
      <c r="A25" s="149" t="s">
        <v>26</v>
      </c>
      <c r="B25" s="150" t="s">
        <v>27</v>
      </c>
      <c r="C25" s="152" t="s">
        <v>483</v>
      </c>
      <c r="D25" s="153"/>
      <c r="E25" s="153"/>
      <c r="F25" s="153"/>
      <c r="G25" s="154"/>
      <c r="H25" s="155" t="s">
        <v>470</v>
      </c>
      <c r="I25" s="149"/>
      <c r="J25" s="149"/>
      <c r="K25" s="149"/>
      <c r="L25" s="149"/>
    </row>
    <row r="26" spans="1:12" ht="24.95" customHeight="1">
      <c r="A26" s="149"/>
      <c r="B26" s="151"/>
      <c r="C26" s="103" t="s">
        <v>28</v>
      </c>
      <c r="D26" s="79" t="s">
        <v>141</v>
      </c>
      <c r="E26" s="79" t="s">
        <v>145</v>
      </c>
      <c r="F26" s="79" t="s">
        <v>63</v>
      </c>
      <c r="G26" s="80" t="s">
        <v>30</v>
      </c>
      <c r="H26" s="104" t="s">
        <v>28</v>
      </c>
      <c r="I26" s="79" t="s">
        <v>141</v>
      </c>
      <c r="J26" s="79" t="s">
        <v>145</v>
      </c>
      <c r="K26" s="79" t="s">
        <v>63</v>
      </c>
      <c r="L26" s="79" t="s">
        <v>30</v>
      </c>
    </row>
    <row r="27" spans="1:12" s="77" customFormat="1" ht="24.95" customHeight="1">
      <c r="A27" s="82" t="s">
        <v>270</v>
      </c>
      <c r="B27" s="22">
        <f t="shared" ref="B27:B45" si="3">C27-H27</f>
        <v>-38</v>
      </c>
      <c r="C27" s="83">
        <f t="shared" ref="C27:C45" si="4">SUM(D27:G27)</f>
        <v>1531</v>
      </c>
      <c r="D27" s="87">
        <f>SUM(D28:D45)</f>
        <v>1</v>
      </c>
      <c r="E27" s="87">
        <f>SUM(E28:E45)</f>
        <v>170</v>
      </c>
      <c r="F27" s="87">
        <f>SUM(F28:F45)</f>
        <v>1022</v>
      </c>
      <c r="G27" s="105">
        <f>SUM(G28:G45)</f>
        <v>338</v>
      </c>
      <c r="H27" s="86">
        <f t="shared" ref="H27:H45" si="5">SUM(I27:L27)</f>
        <v>1569</v>
      </c>
      <c r="I27" s="87">
        <f>SUM(I28:I45)</f>
        <v>27</v>
      </c>
      <c r="J27" s="87">
        <f>SUM(J28:J45)</f>
        <v>170</v>
      </c>
      <c r="K27" s="87">
        <f>SUM(K28:K45)</f>
        <v>1001</v>
      </c>
      <c r="L27" s="87">
        <f>SUM(L28:L45)</f>
        <v>371</v>
      </c>
    </row>
    <row r="28" spans="1:12" s="106" customFormat="1" ht="24.95" customHeight="1">
      <c r="A28" s="8" t="s">
        <v>64</v>
      </c>
      <c r="B28" s="22">
        <f t="shared" si="3"/>
        <v>0</v>
      </c>
      <c r="C28" s="83">
        <f t="shared" si="4"/>
        <v>52</v>
      </c>
      <c r="D28" s="89"/>
      <c r="E28" s="95"/>
      <c r="F28" s="89">
        <v>9</v>
      </c>
      <c r="G28" s="90">
        <v>43</v>
      </c>
      <c r="H28" s="91">
        <f t="shared" si="5"/>
        <v>52</v>
      </c>
      <c r="I28" s="89"/>
      <c r="J28" s="95"/>
      <c r="K28" s="89">
        <v>9</v>
      </c>
      <c r="L28" s="89">
        <v>43</v>
      </c>
    </row>
    <row r="29" spans="1:12" s="106" customFormat="1" ht="24.95" customHeight="1">
      <c r="A29" s="8" t="s">
        <v>65</v>
      </c>
      <c r="B29" s="22">
        <f t="shared" si="3"/>
        <v>-27</v>
      </c>
      <c r="C29" s="83">
        <f t="shared" si="4"/>
        <v>283</v>
      </c>
      <c r="D29" s="89"/>
      <c r="E29" s="89">
        <v>1</v>
      </c>
      <c r="F29" s="96">
        <v>162</v>
      </c>
      <c r="G29" s="90">
        <v>120</v>
      </c>
      <c r="H29" s="91">
        <f t="shared" si="5"/>
        <v>310</v>
      </c>
      <c r="I29" s="89"/>
      <c r="J29" s="89">
        <v>1</v>
      </c>
      <c r="K29" s="96">
        <v>183</v>
      </c>
      <c r="L29" s="89">
        <v>126</v>
      </c>
    </row>
    <row r="30" spans="1:12" s="106" customFormat="1" ht="24.95" customHeight="1">
      <c r="A30" s="8" t="s">
        <v>31</v>
      </c>
      <c r="B30" s="22">
        <f t="shared" si="3"/>
        <v>-55</v>
      </c>
      <c r="C30" s="83">
        <f t="shared" si="4"/>
        <v>154</v>
      </c>
      <c r="D30" s="93">
        <v>1</v>
      </c>
      <c r="E30" s="93"/>
      <c r="F30" s="93">
        <v>139</v>
      </c>
      <c r="G30" s="94">
        <v>14</v>
      </c>
      <c r="H30" s="91">
        <f t="shared" si="5"/>
        <v>209</v>
      </c>
      <c r="I30" s="93">
        <v>27</v>
      </c>
      <c r="J30" s="93"/>
      <c r="K30" s="93">
        <v>140</v>
      </c>
      <c r="L30" s="93">
        <v>42</v>
      </c>
    </row>
    <row r="31" spans="1:12" s="106" customFormat="1" ht="24.95" customHeight="1">
      <c r="A31" s="8" t="s">
        <v>2</v>
      </c>
      <c r="B31" s="22">
        <f t="shared" si="3"/>
        <v>0</v>
      </c>
      <c r="C31" s="83">
        <f t="shared" si="4"/>
        <v>0</v>
      </c>
      <c r="D31" s="89"/>
      <c r="E31" s="95"/>
      <c r="F31" s="89"/>
      <c r="G31" s="90"/>
      <c r="H31" s="91">
        <f t="shared" si="5"/>
        <v>0</v>
      </c>
      <c r="I31" s="89"/>
      <c r="J31" s="95"/>
      <c r="K31" s="89"/>
      <c r="L31" s="89"/>
    </row>
    <row r="32" spans="1:12" s="77" customFormat="1" ht="24.95" customHeight="1">
      <c r="A32" s="8" t="s">
        <v>32</v>
      </c>
      <c r="B32" s="22">
        <f t="shared" si="3"/>
        <v>0</v>
      </c>
      <c r="C32" s="83">
        <f t="shared" si="4"/>
        <v>0</v>
      </c>
      <c r="D32" s="96"/>
      <c r="E32" s="96"/>
      <c r="F32" s="96"/>
      <c r="G32" s="97"/>
      <c r="H32" s="91">
        <f t="shared" si="5"/>
        <v>0</v>
      </c>
      <c r="I32" s="96"/>
      <c r="J32" s="96"/>
      <c r="K32" s="96"/>
      <c r="L32" s="96"/>
    </row>
    <row r="33" spans="1:12" s="106" customFormat="1" ht="24.95" customHeight="1">
      <c r="A33" s="8" t="s">
        <v>14</v>
      </c>
      <c r="B33" s="22">
        <f t="shared" si="3"/>
        <v>-5</v>
      </c>
      <c r="C33" s="83">
        <f t="shared" si="4"/>
        <v>551</v>
      </c>
      <c r="D33" s="96"/>
      <c r="E33" s="96">
        <v>11</v>
      </c>
      <c r="F33" s="5">
        <v>442</v>
      </c>
      <c r="G33" s="97">
        <v>98</v>
      </c>
      <c r="H33" s="91">
        <f t="shared" si="5"/>
        <v>556</v>
      </c>
      <c r="I33" s="96"/>
      <c r="J33" s="96">
        <v>11</v>
      </c>
      <c r="K33" s="5">
        <v>447</v>
      </c>
      <c r="L33" s="96">
        <v>98</v>
      </c>
    </row>
    <row r="34" spans="1:12" s="106" customFormat="1" ht="24.95" customHeight="1">
      <c r="A34" s="8" t="s">
        <v>33</v>
      </c>
      <c r="B34" s="22">
        <f t="shared" si="3"/>
        <v>0</v>
      </c>
      <c r="C34" s="83">
        <f t="shared" si="4"/>
        <v>2</v>
      </c>
      <c r="D34" s="96"/>
      <c r="E34" s="96"/>
      <c r="F34" s="96">
        <v>2</v>
      </c>
      <c r="G34" s="97"/>
      <c r="H34" s="91">
        <f t="shared" si="5"/>
        <v>2</v>
      </c>
      <c r="I34" s="96"/>
      <c r="J34" s="96"/>
      <c r="K34" s="96">
        <v>2</v>
      </c>
      <c r="L34" s="96"/>
    </row>
    <row r="35" spans="1:12" s="106" customFormat="1" ht="24.95" customHeight="1">
      <c r="A35" s="8" t="s">
        <v>66</v>
      </c>
      <c r="B35" s="22">
        <f t="shared" si="3"/>
        <v>55</v>
      </c>
      <c r="C35" s="83">
        <f t="shared" si="4"/>
        <v>79</v>
      </c>
      <c r="D35" s="98"/>
      <c r="E35" s="98"/>
      <c r="F35" s="98">
        <v>54</v>
      </c>
      <c r="G35" s="107">
        <v>25</v>
      </c>
      <c r="H35" s="91">
        <f t="shared" si="5"/>
        <v>24</v>
      </c>
      <c r="I35" s="98"/>
      <c r="J35" s="98"/>
      <c r="K35" s="98"/>
      <c r="L35" s="98">
        <v>24</v>
      </c>
    </row>
    <row r="36" spans="1:12" s="106" customFormat="1" ht="24.95" customHeight="1">
      <c r="A36" s="8" t="s">
        <v>34</v>
      </c>
      <c r="B36" s="22">
        <f t="shared" si="3"/>
        <v>0</v>
      </c>
      <c r="C36" s="83">
        <f t="shared" si="4"/>
        <v>0</v>
      </c>
      <c r="D36" s="96"/>
      <c r="E36" s="4"/>
      <c r="F36" s="4"/>
      <c r="G36" s="97"/>
      <c r="H36" s="91">
        <f t="shared" si="5"/>
        <v>0</v>
      </c>
      <c r="I36" s="96"/>
      <c r="J36" s="4"/>
      <c r="K36" s="4"/>
      <c r="L36" s="96"/>
    </row>
    <row r="37" spans="1:12" s="106" customFormat="1" ht="24.95" customHeight="1">
      <c r="A37" s="8" t="s">
        <v>35</v>
      </c>
      <c r="B37" s="22">
        <f t="shared" si="3"/>
        <v>0</v>
      </c>
      <c r="C37" s="83">
        <f t="shared" si="4"/>
        <v>0</v>
      </c>
      <c r="D37" s="89"/>
      <c r="E37" s="89"/>
      <c r="F37" s="95"/>
      <c r="G37" s="90"/>
      <c r="H37" s="91">
        <f t="shared" si="5"/>
        <v>0</v>
      </c>
      <c r="I37" s="89"/>
      <c r="J37" s="89"/>
      <c r="K37" s="95"/>
      <c r="L37" s="89"/>
    </row>
    <row r="38" spans="1:12" s="106" customFormat="1" ht="24.95" customHeight="1">
      <c r="A38" s="8" t="s">
        <v>36</v>
      </c>
      <c r="B38" s="22">
        <f t="shared" si="3"/>
        <v>0</v>
      </c>
      <c r="C38" s="83">
        <f t="shared" si="4"/>
        <v>237</v>
      </c>
      <c r="D38" s="89"/>
      <c r="E38" s="89">
        <v>125</v>
      </c>
      <c r="F38" s="89">
        <v>86</v>
      </c>
      <c r="G38" s="90">
        <v>26</v>
      </c>
      <c r="H38" s="91">
        <f t="shared" si="5"/>
        <v>237</v>
      </c>
      <c r="I38" s="89"/>
      <c r="J38" s="89">
        <v>125</v>
      </c>
      <c r="K38" s="89">
        <v>86</v>
      </c>
      <c r="L38" s="89">
        <v>26</v>
      </c>
    </row>
    <row r="39" spans="1:12" s="106" customFormat="1" ht="24.95" customHeight="1">
      <c r="A39" s="8" t="s">
        <v>9</v>
      </c>
      <c r="B39" s="22">
        <f t="shared" si="3"/>
        <v>0</v>
      </c>
      <c r="C39" s="83">
        <f t="shared" si="4"/>
        <v>0</v>
      </c>
      <c r="D39" s="89"/>
      <c r="E39" s="95"/>
      <c r="F39" s="95"/>
      <c r="G39" s="90"/>
      <c r="H39" s="91">
        <f t="shared" si="5"/>
        <v>0</v>
      </c>
      <c r="I39" s="89"/>
      <c r="J39" s="95"/>
      <c r="K39" s="95"/>
      <c r="L39" s="89"/>
    </row>
    <row r="40" spans="1:12" s="77" customFormat="1" ht="24.95" customHeight="1">
      <c r="A40" s="8" t="s">
        <v>37</v>
      </c>
      <c r="B40" s="22">
        <f t="shared" si="3"/>
        <v>-1</v>
      </c>
      <c r="C40" s="83">
        <f t="shared" si="4"/>
        <v>11</v>
      </c>
      <c r="D40" s="96"/>
      <c r="E40" s="96"/>
      <c r="F40" s="96">
        <v>11</v>
      </c>
      <c r="G40" s="97"/>
      <c r="H40" s="91">
        <f t="shared" si="5"/>
        <v>12</v>
      </c>
      <c r="I40" s="96"/>
      <c r="J40" s="96"/>
      <c r="K40" s="96">
        <v>12</v>
      </c>
      <c r="L40" s="96"/>
    </row>
    <row r="41" spans="1:12" s="77" customFormat="1" ht="24.95" customHeight="1">
      <c r="A41" s="8" t="s">
        <v>38</v>
      </c>
      <c r="B41" s="22">
        <f t="shared" si="3"/>
        <v>0</v>
      </c>
      <c r="C41" s="83">
        <f t="shared" si="4"/>
        <v>0</v>
      </c>
      <c r="D41" s="96"/>
      <c r="E41" s="96"/>
      <c r="F41" s="96"/>
      <c r="G41" s="97"/>
      <c r="H41" s="91">
        <f t="shared" si="5"/>
        <v>0</v>
      </c>
      <c r="I41" s="96"/>
      <c r="J41" s="96"/>
      <c r="K41" s="96"/>
      <c r="L41" s="96"/>
    </row>
    <row r="42" spans="1:12" s="77" customFormat="1" ht="24.95" customHeight="1">
      <c r="A42" s="8" t="s">
        <v>39</v>
      </c>
      <c r="B42" s="22">
        <f t="shared" si="3"/>
        <v>0</v>
      </c>
      <c r="C42" s="83">
        <f t="shared" si="4"/>
        <v>0</v>
      </c>
      <c r="D42" s="96"/>
      <c r="E42" s="96"/>
      <c r="F42" s="96"/>
      <c r="G42" s="97"/>
      <c r="H42" s="91">
        <f t="shared" si="5"/>
        <v>0</v>
      </c>
      <c r="I42" s="96"/>
      <c r="J42" s="96"/>
      <c r="K42" s="96"/>
      <c r="L42" s="96"/>
    </row>
    <row r="43" spans="1:12" s="77" customFormat="1" ht="24.95" customHeight="1">
      <c r="A43" s="8" t="s">
        <v>40</v>
      </c>
      <c r="B43" s="22">
        <f t="shared" si="3"/>
        <v>-3</v>
      </c>
      <c r="C43" s="83">
        <f t="shared" si="4"/>
        <v>49</v>
      </c>
      <c r="D43" s="96"/>
      <c r="E43" s="96">
        <v>26</v>
      </c>
      <c r="F43" s="96">
        <v>23</v>
      </c>
      <c r="G43" s="97"/>
      <c r="H43" s="91">
        <f t="shared" si="5"/>
        <v>52</v>
      </c>
      <c r="I43" s="96"/>
      <c r="J43" s="96">
        <v>28</v>
      </c>
      <c r="K43" s="96">
        <v>24</v>
      </c>
      <c r="L43" s="96"/>
    </row>
    <row r="44" spans="1:12" s="77" customFormat="1" ht="24.95" customHeight="1">
      <c r="A44" s="8" t="s">
        <v>41</v>
      </c>
      <c r="B44" s="22">
        <f t="shared" si="3"/>
        <v>0</v>
      </c>
      <c r="C44" s="83">
        <f t="shared" si="4"/>
        <v>0</v>
      </c>
      <c r="D44" s="96"/>
      <c r="E44" s="96"/>
      <c r="F44" s="4"/>
      <c r="G44" s="97"/>
      <c r="H44" s="91">
        <f t="shared" si="5"/>
        <v>0</v>
      </c>
      <c r="I44" s="96"/>
      <c r="J44" s="96"/>
      <c r="K44" s="4"/>
      <c r="L44" s="96"/>
    </row>
    <row r="45" spans="1:12" s="77" customFormat="1" ht="24.75" customHeight="1" thickBot="1">
      <c r="A45" s="8" t="s">
        <v>42</v>
      </c>
      <c r="B45" s="22">
        <f t="shared" si="3"/>
        <v>-2</v>
      </c>
      <c r="C45" s="108">
        <f t="shared" si="4"/>
        <v>113</v>
      </c>
      <c r="D45" s="100"/>
      <c r="E45" s="100">
        <v>7</v>
      </c>
      <c r="F45" s="100">
        <v>94</v>
      </c>
      <c r="G45" s="101">
        <v>12</v>
      </c>
      <c r="H45" s="91">
        <f t="shared" si="5"/>
        <v>115</v>
      </c>
      <c r="I45" s="96"/>
      <c r="J45" s="96">
        <v>5</v>
      </c>
      <c r="K45" s="96">
        <v>98</v>
      </c>
      <c r="L45" s="96">
        <v>12</v>
      </c>
    </row>
    <row r="46" spans="1:12" ht="15" thickTop="1">
      <c r="E46" s="109"/>
      <c r="F46" s="109"/>
      <c r="G46" s="109"/>
      <c r="J46" s="109"/>
      <c r="K46" s="109"/>
      <c r="L46" s="109"/>
    </row>
    <row r="112" spans="27:27" ht="16.5">
      <c r="AA112" s="73" t="s">
        <v>471</v>
      </c>
    </row>
    <row r="113" spans="6:26">
      <c r="Z113" s="110">
        <v>0.4</v>
      </c>
    </row>
    <row r="114" spans="6:26">
      <c r="Z114" s="110">
        <v>0.08</v>
      </c>
    </row>
    <row r="116" spans="6:26">
      <c r="F116" s="76" t="s">
        <v>472</v>
      </c>
      <c r="G116" s="76" t="s">
        <v>473</v>
      </c>
      <c r="X116" s="76" t="s">
        <v>474</v>
      </c>
      <c r="Z116" s="110">
        <v>0.04</v>
      </c>
    </row>
  </sheetData>
  <mergeCells count="10">
    <mergeCell ref="A25:A26"/>
    <mergeCell ref="B25:B26"/>
    <mergeCell ref="C25:G25"/>
    <mergeCell ref="H25:L25"/>
    <mergeCell ref="A1:L1"/>
    <mergeCell ref="A2:A3"/>
    <mergeCell ref="B2:B3"/>
    <mergeCell ref="C2:G2"/>
    <mergeCell ref="H2:L2"/>
    <mergeCell ref="A24:L24"/>
  </mergeCells>
  <phoneticPr fontId="1" type="noConversion"/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722C-B897-487B-B25B-6EE0AB6CA6D5}">
  <sheetPr>
    <tabColor theme="0" tint="-0.14999847407452621"/>
    <pageSetUpPr fitToPage="1"/>
  </sheetPr>
  <dimension ref="A1:AH376"/>
  <sheetViews>
    <sheetView topLeftCell="B1" zoomScale="70" zoomScaleNormal="70" zoomScaleSheetLayoutView="85" workbookViewId="0">
      <pane xSplit="5" ySplit="5" topLeftCell="G6" activePane="bottomRight" state="frozen"/>
      <selection activeCell="AA113" sqref="AA113"/>
      <selection pane="topRight" activeCell="AA113" sqref="AA113"/>
      <selection pane="bottomLeft" activeCell="AA113" sqref="AA113"/>
      <selection pane="bottomRight" sqref="A1:R1"/>
    </sheetView>
  </sheetViews>
  <sheetFormatPr defaultRowHeight="13.5"/>
  <cols>
    <col min="1" max="1" width="0" style="147" hidden="1" customWidth="1"/>
    <col min="2" max="2" width="9" style="111"/>
    <col min="3" max="3" width="9" style="111" customWidth="1"/>
    <col min="4" max="6" width="9" style="111"/>
    <col min="7" max="7" width="21.75" style="111" customWidth="1"/>
    <col min="8" max="8" width="36.125" style="111" bestFit="1" customWidth="1"/>
    <col min="9" max="10" width="9" style="111"/>
    <col min="11" max="11" width="14.25" style="148" bestFit="1" customWidth="1"/>
    <col min="12" max="12" width="16.25" style="111" customWidth="1"/>
    <col min="13" max="13" width="15.375" style="111" customWidth="1"/>
    <col min="14" max="14" width="16.75" style="111" customWidth="1"/>
    <col min="15" max="15" width="18" style="111" bestFit="1" customWidth="1"/>
    <col min="16" max="16" width="17" style="111" bestFit="1" customWidth="1"/>
    <col min="17" max="17" width="18.25" style="111" customWidth="1"/>
    <col min="18" max="18" width="12.75" style="111" customWidth="1"/>
    <col min="19" max="19" width="10" style="111" bestFit="1" customWidth="1"/>
    <col min="20" max="20" width="11.625" style="111" customWidth="1"/>
    <col min="21" max="16384" width="9" style="111"/>
  </cols>
  <sheetData>
    <row r="1" spans="1:20" ht="31.5">
      <c r="A1" s="511" t="s">
        <v>484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</row>
    <row r="2" spans="1:20" ht="29.25" customHeight="1">
      <c r="A2" s="508" t="s">
        <v>67</v>
      </c>
      <c r="B2" s="509"/>
      <c r="C2" s="509"/>
      <c r="D2" s="512" t="s">
        <v>183</v>
      </c>
      <c r="E2" s="510"/>
      <c r="F2" s="510"/>
      <c r="G2" s="510" t="s">
        <v>43</v>
      </c>
      <c r="H2" s="509"/>
      <c r="I2" s="509" t="s">
        <v>25</v>
      </c>
      <c r="J2" s="509"/>
      <c r="K2" s="6" t="s">
        <v>44</v>
      </c>
      <c r="L2" s="513" t="s">
        <v>45</v>
      </c>
      <c r="M2" s="513"/>
      <c r="N2" s="513"/>
      <c r="O2" s="503" t="s">
        <v>146</v>
      </c>
      <c r="P2" s="503" t="s">
        <v>147</v>
      </c>
      <c r="Q2" s="503" t="s">
        <v>426</v>
      </c>
      <c r="R2" s="514" t="s">
        <v>148</v>
      </c>
      <c r="S2" s="503" t="s">
        <v>149</v>
      </c>
      <c r="T2" s="503" t="s">
        <v>150</v>
      </c>
    </row>
    <row r="3" spans="1:20" ht="32.25" customHeight="1">
      <c r="A3" s="508" t="s">
        <v>68</v>
      </c>
      <c r="B3" s="508" t="s">
        <v>69</v>
      </c>
      <c r="C3" s="509" t="s">
        <v>70</v>
      </c>
      <c r="D3" s="510"/>
      <c r="E3" s="510"/>
      <c r="F3" s="510"/>
      <c r="G3" s="509" t="s">
        <v>46</v>
      </c>
      <c r="H3" s="509" t="s">
        <v>47</v>
      </c>
      <c r="I3" s="510" t="s">
        <v>48</v>
      </c>
      <c r="J3" s="510" t="s">
        <v>49</v>
      </c>
      <c r="K3" s="515" t="s">
        <v>50</v>
      </c>
      <c r="L3" s="516" t="s">
        <v>51</v>
      </c>
      <c r="M3" s="517" t="s">
        <v>52</v>
      </c>
      <c r="N3" s="517"/>
      <c r="O3" s="504"/>
      <c r="P3" s="504"/>
      <c r="Q3" s="504"/>
      <c r="R3" s="504"/>
      <c r="S3" s="504"/>
      <c r="T3" s="504"/>
    </row>
    <row r="4" spans="1:20" ht="34.5" customHeight="1">
      <c r="A4" s="509"/>
      <c r="B4" s="509"/>
      <c r="C4" s="509"/>
      <c r="D4" s="510"/>
      <c r="E4" s="510"/>
      <c r="F4" s="510"/>
      <c r="G4" s="509"/>
      <c r="H4" s="509"/>
      <c r="I4" s="509"/>
      <c r="J4" s="509"/>
      <c r="K4" s="515"/>
      <c r="L4" s="516"/>
      <c r="M4" s="32" t="s">
        <v>485</v>
      </c>
      <c r="N4" s="7" t="s">
        <v>486</v>
      </c>
      <c r="O4" s="504"/>
      <c r="P4" s="504"/>
      <c r="Q4" s="504"/>
      <c r="R4" s="504"/>
      <c r="S4" s="504"/>
      <c r="T4" s="504"/>
    </row>
    <row r="5" spans="1:20" ht="34.5" customHeight="1">
      <c r="A5" s="65" t="s">
        <v>71</v>
      </c>
      <c r="B5" s="501"/>
      <c r="C5" s="501"/>
      <c r="D5" s="502" t="s">
        <v>72</v>
      </c>
      <c r="E5" s="502"/>
      <c r="F5" s="502"/>
      <c r="G5" s="502"/>
      <c r="H5" s="502"/>
      <c r="I5" s="502"/>
      <c r="J5" s="502"/>
      <c r="K5" s="502"/>
      <c r="L5" s="113">
        <f>SUM(L47,L101,L230,L231,L232,L266,L274,L293,L294,L295,L315,L324,L327,L328,L329,L335,L352,L370)</f>
        <v>15790</v>
      </c>
      <c r="M5" s="113">
        <f>SUM(M47,M101,M230,M231,M232,M266,M274,M293,M294,M295,M315,M324,M328,M335,M352,M370,M327,M329)</f>
        <v>3018</v>
      </c>
      <c r="N5" s="113">
        <f>SUM(N47,N101,N230,N231,N232,N266,N274,N293,N294,N295,N315,N324,N328,N335,N352,N370,N327,N329)</f>
        <v>3248</v>
      </c>
      <c r="O5" s="2"/>
      <c r="P5" s="2"/>
      <c r="Q5" s="2"/>
      <c r="R5" s="2"/>
      <c r="S5" s="2"/>
      <c r="T5" s="2"/>
    </row>
    <row r="6" spans="1:20" s="116" customFormat="1" ht="21" customHeight="1">
      <c r="A6" s="505"/>
      <c r="B6" s="246" t="s">
        <v>64</v>
      </c>
      <c r="C6" s="237" t="s">
        <v>165</v>
      </c>
      <c r="D6" s="215" t="s">
        <v>408</v>
      </c>
      <c r="E6" s="216"/>
      <c r="F6" s="217"/>
      <c r="G6" s="224" t="s">
        <v>167</v>
      </c>
      <c r="H6" s="224" t="s">
        <v>166</v>
      </c>
      <c r="I6" s="224" t="s">
        <v>0</v>
      </c>
      <c r="J6" s="224" t="s">
        <v>1</v>
      </c>
      <c r="K6" s="115">
        <v>84.4666</v>
      </c>
      <c r="L6" s="25">
        <v>27</v>
      </c>
      <c r="M6" s="518" t="s">
        <v>490</v>
      </c>
      <c r="N6" s="519"/>
      <c r="O6" s="177" t="s">
        <v>182</v>
      </c>
      <c r="P6" s="177" t="s">
        <v>184</v>
      </c>
      <c r="Q6" s="177" t="s">
        <v>185</v>
      </c>
      <c r="R6" s="177" t="s">
        <v>62</v>
      </c>
      <c r="S6" s="177"/>
      <c r="T6" s="177" t="s">
        <v>4</v>
      </c>
    </row>
    <row r="7" spans="1:20" s="116" customFormat="1" ht="21.2" customHeight="1">
      <c r="A7" s="505"/>
      <c r="B7" s="507"/>
      <c r="C7" s="238"/>
      <c r="D7" s="218"/>
      <c r="E7" s="219"/>
      <c r="F7" s="220"/>
      <c r="G7" s="225"/>
      <c r="H7" s="225"/>
      <c r="I7" s="225"/>
      <c r="J7" s="225"/>
      <c r="K7" s="115">
        <v>84.2149</v>
      </c>
      <c r="L7" s="25">
        <v>27</v>
      </c>
      <c r="M7" s="520"/>
      <c r="N7" s="521"/>
      <c r="O7" s="178"/>
      <c r="P7" s="178"/>
      <c r="Q7" s="178"/>
      <c r="R7" s="178"/>
      <c r="S7" s="178"/>
      <c r="T7" s="178"/>
    </row>
    <row r="8" spans="1:20" s="116" customFormat="1" ht="21.2" customHeight="1">
      <c r="A8" s="505"/>
      <c r="B8" s="507"/>
      <c r="C8" s="238"/>
      <c r="D8" s="218"/>
      <c r="E8" s="219"/>
      <c r="F8" s="220"/>
      <c r="G8" s="225"/>
      <c r="H8" s="225"/>
      <c r="I8" s="225"/>
      <c r="J8" s="225"/>
      <c r="K8" s="115">
        <v>122.0903</v>
      </c>
      <c r="L8" s="25">
        <v>18</v>
      </c>
      <c r="M8" s="520"/>
      <c r="N8" s="521"/>
      <c r="O8" s="178"/>
      <c r="P8" s="178"/>
      <c r="Q8" s="178"/>
      <c r="R8" s="178"/>
      <c r="S8" s="178"/>
      <c r="T8" s="178"/>
    </row>
    <row r="9" spans="1:20" s="116" customFormat="1" ht="21.2" customHeight="1">
      <c r="A9" s="505"/>
      <c r="B9" s="507"/>
      <c r="C9" s="238"/>
      <c r="D9" s="218"/>
      <c r="E9" s="219"/>
      <c r="F9" s="220"/>
      <c r="G9" s="226"/>
      <c r="H9" s="226"/>
      <c r="I9" s="226"/>
      <c r="J9" s="226"/>
      <c r="K9" s="115">
        <v>140.45529999999999</v>
      </c>
      <c r="L9" s="25">
        <v>27</v>
      </c>
      <c r="M9" s="522"/>
      <c r="N9" s="523"/>
      <c r="O9" s="178"/>
      <c r="P9" s="178"/>
      <c r="Q9" s="178"/>
      <c r="R9" s="178"/>
      <c r="S9" s="178"/>
      <c r="T9" s="178"/>
    </row>
    <row r="10" spans="1:20" s="116" customFormat="1" ht="21.2" customHeight="1">
      <c r="A10" s="505"/>
      <c r="B10" s="507"/>
      <c r="C10" s="239"/>
      <c r="D10" s="221"/>
      <c r="E10" s="222"/>
      <c r="F10" s="223"/>
      <c r="G10" s="174" t="s">
        <v>144</v>
      </c>
      <c r="H10" s="175"/>
      <c r="I10" s="175"/>
      <c r="J10" s="175"/>
      <c r="K10" s="176"/>
      <c r="L10" s="26">
        <f>SUM(L6:L9)</f>
        <v>99</v>
      </c>
      <c r="M10" s="24">
        <f>SUM(M6:M9)</f>
        <v>0</v>
      </c>
      <c r="N10" s="24">
        <f>SUM(N6:N9)</f>
        <v>0</v>
      </c>
      <c r="O10" s="179"/>
      <c r="P10" s="179"/>
      <c r="Q10" s="179"/>
      <c r="R10" s="179"/>
      <c r="S10" s="179"/>
      <c r="T10" s="179"/>
    </row>
    <row r="11" spans="1:20" s="116" customFormat="1" ht="21.2" customHeight="1">
      <c r="A11" s="505"/>
      <c r="B11" s="507"/>
      <c r="C11" s="237" t="s">
        <v>169</v>
      </c>
      <c r="D11" s="215" t="s">
        <v>385</v>
      </c>
      <c r="E11" s="216"/>
      <c r="F11" s="217"/>
      <c r="G11" s="224" t="s">
        <v>171</v>
      </c>
      <c r="H11" s="224" t="s">
        <v>170</v>
      </c>
      <c r="I11" s="224" t="s">
        <v>0</v>
      </c>
      <c r="J11" s="224" t="s">
        <v>1</v>
      </c>
      <c r="K11" s="115">
        <v>106.55289999999999</v>
      </c>
      <c r="L11" s="25">
        <v>96</v>
      </c>
      <c r="M11" s="518" t="s">
        <v>490</v>
      </c>
      <c r="N11" s="519"/>
      <c r="O11" s="177" t="s">
        <v>186</v>
      </c>
      <c r="P11" s="177" t="s">
        <v>184</v>
      </c>
      <c r="Q11" s="177" t="s">
        <v>187</v>
      </c>
      <c r="R11" s="177" t="s">
        <v>62</v>
      </c>
      <c r="S11" s="177"/>
      <c r="T11" s="177" t="s">
        <v>0</v>
      </c>
    </row>
    <row r="12" spans="1:20" s="116" customFormat="1" ht="21.2" customHeight="1">
      <c r="A12" s="505"/>
      <c r="B12" s="507"/>
      <c r="C12" s="238"/>
      <c r="D12" s="218"/>
      <c r="E12" s="219"/>
      <c r="F12" s="220"/>
      <c r="G12" s="226"/>
      <c r="H12" s="226"/>
      <c r="I12" s="226"/>
      <c r="J12" s="226"/>
      <c r="K12" s="115">
        <v>206.11850000000001</v>
      </c>
      <c r="L12" s="25">
        <v>2</v>
      </c>
      <c r="M12" s="522"/>
      <c r="N12" s="523"/>
      <c r="O12" s="178"/>
      <c r="P12" s="178"/>
      <c r="Q12" s="178"/>
      <c r="R12" s="178"/>
      <c r="S12" s="178"/>
      <c r="T12" s="178"/>
    </row>
    <row r="13" spans="1:20" s="116" customFormat="1" ht="21.2" customHeight="1">
      <c r="A13" s="505"/>
      <c r="B13" s="507"/>
      <c r="C13" s="239"/>
      <c r="D13" s="221"/>
      <c r="E13" s="222"/>
      <c r="F13" s="223"/>
      <c r="G13" s="174" t="s">
        <v>144</v>
      </c>
      <c r="H13" s="175"/>
      <c r="I13" s="175"/>
      <c r="J13" s="175"/>
      <c r="K13" s="176"/>
      <c r="L13" s="26">
        <f>SUM(L11:L12)</f>
        <v>98</v>
      </c>
      <c r="M13" s="24">
        <f>SUM(M11:M12)</f>
        <v>0</v>
      </c>
      <c r="N13" s="24">
        <f>SUM(N11:N12)</f>
        <v>0</v>
      </c>
      <c r="O13" s="179"/>
      <c r="P13" s="179"/>
      <c r="Q13" s="179"/>
      <c r="R13" s="179"/>
      <c r="S13" s="179"/>
      <c r="T13" s="179"/>
    </row>
    <row r="14" spans="1:20" s="116" customFormat="1" ht="21.2" customHeight="1">
      <c r="A14" s="505"/>
      <c r="B14" s="507"/>
      <c r="C14" s="237" t="s">
        <v>369</v>
      </c>
      <c r="D14" s="215" t="s">
        <v>409</v>
      </c>
      <c r="E14" s="216"/>
      <c r="F14" s="217"/>
      <c r="G14" s="224" t="s">
        <v>211</v>
      </c>
      <c r="H14" s="224" t="s">
        <v>170</v>
      </c>
      <c r="I14" s="224" t="s">
        <v>0</v>
      </c>
      <c r="J14" s="224" t="s">
        <v>1</v>
      </c>
      <c r="K14" s="117">
        <v>59.9666</v>
      </c>
      <c r="L14" s="25">
        <v>46</v>
      </c>
      <c r="M14" s="518" t="s">
        <v>491</v>
      </c>
      <c r="N14" s="519"/>
      <c r="O14" s="177" t="s">
        <v>370</v>
      </c>
      <c r="P14" s="177" t="s">
        <v>371</v>
      </c>
      <c r="Q14" s="177" t="s">
        <v>372</v>
      </c>
      <c r="R14" s="177" t="s">
        <v>122</v>
      </c>
      <c r="S14" s="177"/>
      <c r="T14" s="177" t="s">
        <v>0</v>
      </c>
    </row>
    <row r="15" spans="1:20" s="116" customFormat="1" ht="21.2" customHeight="1">
      <c r="A15" s="505"/>
      <c r="B15" s="507"/>
      <c r="C15" s="238"/>
      <c r="D15" s="218"/>
      <c r="E15" s="219"/>
      <c r="F15" s="220"/>
      <c r="G15" s="225"/>
      <c r="H15" s="225"/>
      <c r="I15" s="225"/>
      <c r="J15" s="225"/>
      <c r="K15" s="117">
        <v>84.941999999999993</v>
      </c>
      <c r="L15" s="25">
        <v>364</v>
      </c>
      <c r="M15" s="520"/>
      <c r="N15" s="521"/>
      <c r="O15" s="178"/>
      <c r="P15" s="178"/>
      <c r="Q15" s="178"/>
      <c r="R15" s="178"/>
      <c r="S15" s="178"/>
      <c r="T15" s="178"/>
    </row>
    <row r="16" spans="1:20" s="116" customFormat="1" ht="21.2" customHeight="1">
      <c r="A16" s="505"/>
      <c r="B16" s="507"/>
      <c r="C16" s="238"/>
      <c r="D16" s="218"/>
      <c r="E16" s="219"/>
      <c r="F16" s="220"/>
      <c r="G16" s="225"/>
      <c r="H16" s="225"/>
      <c r="I16" s="225"/>
      <c r="J16" s="225"/>
      <c r="K16" s="117">
        <v>84.871099999999998</v>
      </c>
      <c r="L16" s="25">
        <v>87</v>
      </c>
      <c r="M16" s="520"/>
      <c r="N16" s="521"/>
      <c r="O16" s="178"/>
      <c r="P16" s="178"/>
      <c r="Q16" s="178"/>
      <c r="R16" s="178"/>
      <c r="S16" s="178"/>
      <c r="T16" s="178"/>
    </row>
    <row r="17" spans="1:20" s="116" customFormat="1" ht="21.2" customHeight="1">
      <c r="A17" s="505"/>
      <c r="B17" s="507"/>
      <c r="C17" s="238"/>
      <c r="D17" s="218"/>
      <c r="E17" s="219"/>
      <c r="F17" s="220"/>
      <c r="G17" s="226"/>
      <c r="H17" s="226"/>
      <c r="I17" s="226"/>
      <c r="J17" s="226"/>
      <c r="K17" s="117">
        <v>116.59399999999999</v>
      </c>
      <c r="L17" s="25">
        <v>46</v>
      </c>
      <c r="M17" s="522"/>
      <c r="N17" s="523"/>
      <c r="O17" s="178"/>
      <c r="P17" s="178"/>
      <c r="Q17" s="178"/>
      <c r="R17" s="178"/>
      <c r="S17" s="178"/>
      <c r="T17" s="178"/>
    </row>
    <row r="18" spans="1:20" s="116" customFormat="1" ht="21.2" customHeight="1">
      <c r="A18" s="505"/>
      <c r="B18" s="507"/>
      <c r="C18" s="239"/>
      <c r="D18" s="221"/>
      <c r="E18" s="222"/>
      <c r="F18" s="223"/>
      <c r="G18" s="174" t="s">
        <v>144</v>
      </c>
      <c r="H18" s="175"/>
      <c r="I18" s="175"/>
      <c r="J18" s="176"/>
      <c r="K18" s="31"/>
      <c r="L18" s="26">
        <f>SUM(L14:L17)</f>
        <v>543</v>
      </c>
      <c r="M18" s="26">
        <f t="shared" ref="M18:N18" si="0">SUM(M14:M17)</f>
        <v>0</v>
      </c>
      <c r="N18" s="26">
        <f t="shared" si="0"/>
        <v>0</v>
      </c>
      <c r="O18" s="179"/>
      <c r="P18" s="179"/>
      <c r="Q18" s="179"/>
      <c r="R18" s="179"/>
      <c r="S18" s="179"/>
      <c r="T18" s="179"/>
    </row>
    <row r="19" spans="1:20" s="116" customFormat="1" ht="21.2" customHeight="1">
      <c r="A19" s="505"/>
      <c r="B19" s="507"/>
      <c r="C19" s="237" t="s">
        <v>369</v>
      </c>
      <c r="D19" s="215" t="s">
        <v>410</v>
      </c>
      <c r="E19" s="216"/>
      <c r="F19" s="217"/>
      <c r="G19" s="224" t="s">
        <v>211</v>
      </c>
      <c r="H19" s="224" t="s">
        <v>170</v>
      </c>
      <c r="I19" s="224" t="s">
        <v>0</v>
      </c>
      <c r="J19" s="224" t="s">
        <v>1</v>
      </c>
      <c r="K19" s="115">
        <v>72.953199999999995</v>
      </c>
      <c r="L19" s="25">
        <v>80</v>
      </c>
      <c r="M19" s="518" t="s">
        <v>491</v>
      </c>
      <c r="N19" s="519"/>
      <c r="O19" s="177" t="s">
        <v>373</v>
      </c>
      <c r="P19" s="177" t="s">
        <v>374</v>
      </c>
      <c r="Q19" s="177" t="s">
        <v>375</v>
      </c>
      <c r="R19" s="177" t="s">
        <v>122</v>
      </c>
      <c r="S19" s="177"/>
      <c r="T19" s="177" t="s">
        <v>0</v>
      </c>
    </row>
    <row r="20" spans="1:20" s="116" customFormat="1" ht="21.2" customHeight="1">
      <c r="A20" s="505"/>
      <c r="B20" s="507"/>
      <c r="C20" s="238"/>
      <c r="D20" s="218"/>
      <c r="E20" s="219"/>
      <c r="F20" s="220"/>
      <c r="G20" s="225"/>
      <c r="H20" s="225"/>
      <c r="I20" s="225"/>
      <c r="J20" s="225"/>
      <c r="K20" s="115">
        <v>84.946299999999994</v>
      </c>
      <c r="L20" s="25">
        <v>228</v>
      </c>
      <c r="M20" s="520"/>
      <c r="N20" s="521"/>
      <c r="O20" s="178"/>
      <c r="P20" s="178"/>
      <c r="Q20" s="178"/>
      <c r="R20" s="178"/>
      <c r="S20" s="178"/>
      <c r="T20" s="178"/>
    </row>
    <row r="21" spans="1:20" s="116" customFormat="1" ht="21.2" customHeight="1">
      <c r="A21" s="505"/>
      <c r="B21" s="507"/>
      <c r="C21" s="238"/>
      <c r="D21" s="218"/>
      <c r="E21" s="219"/>
      <c r="F21" s="220"/>
      <c r="G21" s="225"/>
      <c r="H21" s="225"/>
      <c r="I21" s="225"/>
      <c r="J21" s="225"/>
      <c r="K21" s="115">
        <v>84.945400000000006</v>
      </c>
      <c r="L21" s="25">
        <v>125</v>
      </c>
      <c r="M21" s="520"/>
      <c r="N21" s="521"/>
      <c r="O21" s="178"/>
      <c r="P21" s="178"/>
      <c r="Q21" s="178"/>
      <c r="R21" s="178"/>
      <c r="S21" s="178"/>
      <c r="T21" s="178"/>
    </row>
    <row r="22" spans="1:20" s="116" customFormat="1" ht="21.2" customHeight="1">
      <c r="A22" s="505"/>
      <c r="B22" s="507"/>
      <c r="C22" s="238"/>
      <c r="D22" s="218"/>
      <c r="E22" s="219"/>
      <c r="F22" s="220"/>
      <c r="G22" s="225"/>
      <c r="H22" s="225"/>
      <c r="I22" s="225"/>
      <c r="J22" s="225"/>
      <c r="K22" s="115">
        <v>97.4833</v>
      </c>
      <c r="L22" s="25">
        <v>22</v>
      </c>
      <c r="M22" s="520"/>
      <c r="N22" s="521"/>
      <c r="O22" s="178"/>
      <c r="P22" s="178"/>
      <c r="Q22" s="178"/>
      <c r="R22" s="178"/>
      <c r="S22" s="178"/>
      <c r="T22" s="178"/>
    </row>
    <row r="23" spans="1:20" s="116" customFormat="1" ht="21.2" customHeight="1">
      <c r="A23" s="505"/>
      <c r="B23" s="507"/>
      <c r="C23" s="238"/>
      <c r="D23" s="218"/>
      <c r="E23" s="219"/>
      <c r="F23" s="220"/>
      <c r="G23" s="226"/>
      <c r="H23" s="226"/>
      <c r="I23" s="226"/>
      <c r="J23" s="226"/>
      <c r="K23" s="115">
        <v>116.88720000000001</v>
      </c>
      <c r="L23" s="25">
        <v>22</v>
      </c>
      <c r="M23" s="522"/>
      <c r="N23" s="523"/>
      <c r="O23" s="178"/>
      <c r="P23" s="178"/>
      <c r="Q23" s="178"/>
      <c r="R23" s="178"/>
      <c r="S23" s="178"/>
      <c r="T23" s="178"/>
    </row>
    <row r="24" spans="1:20" s="116" customFormat="1" ht="21.2" customHeight="1">
      <c r="A24" s="505"/>
      <c r="B24" s="507"/>
      <c r="C24" s="239"/>
      <c r="D24" s="221"/>
      <c r="E24" s="222"/>
      <c r="F24" s="223"/>
      <c r="G24" s="174" t="s">
        <v>144</v>
      </c>
      <c r="H24" s="175"/>
      <c r="I24" s="175"/>
      <c r="J24" s="176"/>
      <c r="K24" s="31"/>
      <c r="L24" s="26">
        <f>SUM(L19:L23)</f>
        <v>477</v>
      </c>
      <c r="M24" s="26">
        <f t="shared" ref="M24:N24" si="1">SUM(M19:M23)</f>
        <v>0</v>
      </c>
      <c r="N24" s="26">
        <f t="shared" si="1"/>
        <v>0</v>
      </c>
      <c r="O24" s="179"/>
      <c r="P24" s="179"/>
      <c r="Q24" s="179"/>
      <c r="R24" s="179"/>
      <c r="S24" s="179"/>
      <c r="T24" s="179"/>
    </row>
    <row r="25" spans="1:20" s="116" customFormat="1" ht="21.2" customHeight="1">
      <c r="A25" s="505"/>
      <c r="B25" s="507"/>
      <c r="C25" s="237" t="s">
        <v>275</v>
      </c>
      <c r="D25" s="215" t="s">
        <v>411</v>
      </c>
      <c r="E25" s="216"/>
      <c r="F25" s="217"/>
      <c r="G25" s="224" t="s">
        <v>271</v>
      </c>
      <c r="H25" s="224" t="s">
        <v>5</v>
      </c>
      <c r="I25" s="224" t="s">
        <v>0</v>
      </c>
      <c r="J25" s="224" t="s">
        <v>1</v>
      </c>
      <c r="K25" s="115">
        <v>84.940600000000003</v>
      </c>
      <c r="L25" s="25">
        <v>31</v>
      </c>
      <c r="M25" s="518" t="s">
        <v>490</v>
      </c>
      <c r="N25" s="519"/>
      <c r="O25" s="177" t="s">
        <v>272</v>
      </c>
      <c r="P25" s="177" t="s">
        <v>273</v>
      </c>
      <c r="Q25" s="177" t="s">
        <v>274</v>
      </c>
      <c r="R25" s="177" t="s">
        <v>122</v>
      </c>
      <c r="S25" s="177"/>
      <c r="T25" s="177" t="s">
        <v>4</v>
      </c>
    </row>
    <row r="26" spans="1:20" s="116" customFormat="1" ht="21.2" customHeight="1">
      <c r="A26" s="505"/>
      <c r="B26" s="507"/>
      <c r="C26" s="238"/>
      <c r="D26" s="218"/>
      <c r="E26" s="219"/>
      <c r="F26" s="220"/>
      <c r="G26" s="225"/>
      <c r="H26" s="225"/>
      <c r="I26" s="225"/>
      <c r="J26" s="225"/>
      <c r="K26" s="115">
        <v>84.906700000000001</v>
      </c>
      <c r="L26" s="25">
        <v>30</v>
      </c>
      <c r="M26" s="520"/>
      <c r="N26" s="521"/>
      <c r="O26" s="178"/>
      <c r="P26" s="178"/>
      <c r="Q26" s="178"/>
      <c r="R26" s="178"/>
      <c r="S26" s="178"/>
      <c r="T26" s="178"/>
    </row>
    <row r="27" spans="1:20" s="116" customFormat="1" ht="21.2" customHeight="1">
      <c r="A27" s="505"/>
      <c r="B27" s="507"/>
      <c r="C27" s="238"/>
      <c r="D27" s="218"/>
      <c r="E27" s="219"/>
      <c r="F27" s="220"/>
      <c r="G27" s="225"/>
      <c r="H27" s="225"/>
      <c r="I27" s="225"/>
      <c r="J27" s="225"/>
      <c r="K27" s="115">
        <v>84.979799999999997</v>
      </c>
      <c r="L27" s="25">
        <v>32</v>
      </c>
      <c r="M27" s="520"/>
      <c r="N27" s="521"/>
      <c r="O27" s="178"/>
      <c r="P27" s="178"/>
      <c r="Q27" s="178"/>
      <c r="R27" s="178"/>
      <c r="S27" s="178"/>
      <c r="T27" s="178"/>
    </row>
    <row r="28" spans="1:20" s="116" customFormat="1" ht="21.2" customHeight="1">
      <c r="A28" s="505"/>
      <c r="B28" s="507"/>
      <c r="C28" s="238"/>
      <c r="D28" s="218"/>
      <c r="E28" s="219"/>
      <c r="F28" s="220"/>
      <c r="G28" s="225"/>
      <c r="H28" s="225"/>
      <c r="I28" s="225"/>
      <c r="J28" s="225"/>
      <c r="K28" s="115">
        <v>84.986500000000007</v>
      </c>
      <c r="L28" s="25">
        <v>34</v>
      </c>
      <c r="M28" s="520"/>
      <c r="N28" s="521"/>
      <c r="O28" s="178"/>
      <c r="P28" s="178"/>
      <c r="Q28" s="178"/>
      <c r="R28" s="178"/>
      <c r="S28" s="178"/>
      <c r="T28" s="178"/>
    </row>
    <row r="29" spans="1:20" s="116" customFormat="1" ht="21.2" customHeight="1">
      <c r="A29" s="505"/>
      <c r="B29" s="507"/>
      <c r="C29" s="238"/>
      <c r="D29" s="218"/>
      <c r="E29" s="219"/>
      <c r="F29" s="220"/>
      <c r="G29" s="225"/>
      <c r="H29" s="225"/>
      <c r="I29" s="225"/>
      <c r="J29" s="225"/>
      <c r="K29" s="115">
        <v>84.930700000000002</v>
      </c>
      <c r="L29" s="25">
        <v>34</v>
      </c>
      <c r="M29" s="520"/>
      <c r="N29" s="521"/>
      <c r="O29" s="178"/>
      <c r="P29" s="178"/>
      <c r="Q29" s="178"/>
      <c r="R29" s="178"/>
      <c r="S29" s="178"/>
      <c r="T29" s="178"/>
    </row>
    <row r="30" spans="1:20" s="116" customFormat="1" ht="21.2" customHeight="1">
      <c r="A30" s="505"/>
      <c r="B30" s="507"/>
      <c r="C30" s="238"/>
      <c r="D30" s="218"/>
      <c r="E30" s="219"/>
      <c r="F30" s="220"/>
      <c r="G30" s="225"/>
      <c r="H30" s="225"/>
      <c r="I30" s="225"/>
      <c r="J30" s="225"/>
      <c r="K30" s="115">
        <v>84.981800000000007</v>
      </c>
      <c r="L30" s="25">
        <v>33</v>
      </c>
      <c r="M30" s="520"/>
      <c r="N30" s="521"/>
      <c r="O30" s="178"/>
      <c r="P30" s="178"/>
      <c r="Q30" s="178"/>
      <c r="R30" s="178"/>
      <c r="S30" s="178"/>
      <c r="T30" s="178"/>
    </row>
    <row r="31" spans="1:20" s="116" customFormat="1" ht="21.2" customHeight="1">
      <c r="A31" s="505"/>
      <c r="B31" s="507"/>
      <c r="C31" s="238"/>
      <c r="D31" s="218"/>
      <c r="E31" s="219"/>
      <c r="F31" s="220"/>
      <c r="G31" s="225"/>
      <c r="H31" s="225"/>
      <c r="I31" s="225"/>
      <c r="J31" s="225"/>
      <c r="K31" s="115">
        <v>100.9883</v>
      </c>
      <c r="L31" s="25">
        <v>32</v>
      </c>
      <c r="M31" s="520"/>
      <c r="N31" s="521"/>
      <c r="O31" s="178"/>
      <c r="P31" s="178"/>
      <c r="Q31" s="178"/>
      <c r="R31" s="178"/>
      <c r="S31" s="178"/>
      <c r="T31" s="178"/>
    </row>
    <row r="32" spans="1:20" s="116" customFormat="1" ht="21.2" customHeight="1">
      <c r="A32" s="505"/>
      <c r="B32" s="507"/>
      <c r="C32" s="238"/>
      <c r="D32" s="218"/>
      <c r="E32" s="219"/>
      <c r="F32" s="220"/>
      <c r="G32" s="225"/>
      <c r="H32" s="225"/>
      <c r="I32" s="225"/>
      <c r="J32" s="225"/>
      <c r="K32" s="115">
        <v>140.69720000000001</v>
      </c>
      <c r="L32" s="25">
        <v>1</v>
      </c>
      <c r="M32" s="520"/>
      <c r="N32" s="521"/>
      <c r="O32" s="178"/>
      <c r="P32" s="178"/>
      <c r="Q32" s="178"/>
      <c r="R32" s="178"/>
      <c r="S32" s="178"/>
      <c r="T32" s="178"/>
    </row>
    <row r="33" spans="1:20" s="116" customFormat="1" ht="21.2" customHeight="1">
      <c r="A33" s="505"/>
      <c r="B33" s="507"/>
      <c r="C33" s="238"/>
      <c r="D33" s="218"/>
      <c r="E33" s="219"/>
      <c r="F33" s="220"/>
      <c r="G33" s="226"/>
      <c r="H33" s="226"/>
      <c r="I33" s="226"/>
      <c r="J33" s="226"/>
      <c r="K33" s="115">
        <v>140.9485</v>
      </c>
      <c r="L33" s="25">
        <v>1</v>
      </c>
      <c r="M33" s="522"/>
      <c r="N33" s="523"/>
      <c r="O33" s="178"/>
      <c r="P33" s="178"/>
      <c r="Q33" s="178"/>
      <c r="R33" s="178"/>
      <c r="S33" s="178"/>
      <c r="T33" s="178"/>
    </row>
    <row r="34" spans="1:20" s="116" customFormat="1" ht="21.2" customHeight="1">
      <c r="A34" s="505"/>
      <c r="B34" s="507"/>
      <c r="C34" s="239"/>
      <c r="D34" s="221"/>
      <c r="E34" s="222"/>
      <c r="F34" s="223"/>
      <c r="G34" s="66"/>
      <c r="H34" s="67"/>
      <c r="I34" s="67"/>
      <c r="J34" s="67"/>
      <c r="K34" s="68"/>
      <c r="L34" s="24">
        <f>SUM(L25:L33)</f>
        <v>228</v>
      </c>
      <c r="M34" s="24">
        <f>SUM(M25:M33)</f>
        <v>0</v>
      </c>
      <c r="N34" s="24">
        <f>SUM(N25:N33)</f>
        <v>0</v>
      </c>
      <c r="O34" s="179"/>
      <c r="P34" s="179"/>
      <c r="Q34" s="179"/>
      <c r="R34" s="179"/>
      <c r="S34" s="179"/>
      <c r="T34" s="179"/>
    </row>
    <row r="35" spans="1:20" s="116" customFormat="1" ht="21" customHeight="1">
      <c r="A35" s="505"/>
      <c r="B35" s="507"/>
      <c r="C35" s="524" t="s">
        <v>492</v>
      </c>
      <c r="D35" s="525"/>
      <c r="E35" s="525"/>
      <c r="F35" s="525"/>
      <c r="G35" s="525"/>
      <c r="H35" s="525"/>
      <c r="I35" s="525"/>
      <c r="J35" s="525"/>
      <c r="K35" s="525"/>
      <c r="L35" s="525"/>
      <c r="M35" s="525"/>
      <c r="N35" s="525"/>
      <c r="O35" s="525"/>
      <c r="P35" s="525"/>
      <c r="Q35" s="525"/>
      <c r="R35" s="525"/>
      <c r="S35" s="525"/>
      <c r="T35" s="526"/>
    </row>
    <row r="36" spans="1:20" s="116" customFormat="1" ht="21" customHeight="1">
      <c r="A36" s="505"/>
      <c r="B36" s="507"/>
      <c r="C36" s="527"/>
      <c r="D36" s="528"/>
      <c r="E36" s="528"/>
      <c r="F36" s="528"/>
      <c r="G36" s="528"/>
      <c r="H36" s="528"/>
      <c r="I36" s="528"/>
      <c r="J36" s="528"/>
      <c r="K36" s="528"/>
      <c r="L36" s="528"/>
      <c r="M36" s="528"/>
      <c r="N36" s="528"/>
      <c r="O36" s="528"/>
      <c r="P36" s="528"/>
      <c r="Q36" s="528"/>
      <c r="R36" s="528"/>
      <c r="S36" s="528"/>
      <c r="T36" s="529"/>
    </row>
    <row r="37" spans="1:20" s="116" customFormat="1" ht="21" customHeight="1">
      <c r="A37" s="505"/>
      <c r="B37" s="507"/>
      <c r="C37" s="527"/>
      <c r="D37" s="528"/>
      <c r="E37" s="528"/>
      <c r="F37" s="528"/>
      <c r="G37" s="528"/>
      <c r="H37" s="528"/>
      <c r="I37" s="528"/>
      <c r="J37" s="528"/>
      <c r="K37" s="528"/>
      <c r="L37" s="528"/>
      <c r="M37" s="528"/>
      <c r="N37" s="528"/>
      <c r="O37" s="528"/>
      <c r="P37" s="528"/>
      <c r="Q37" s="528"/>
      <c r="R37" s="528"/>
      <c r="S37" s="528"/>
      <c r="T37" s="529"/>
    </row>
    <row r="38" spans="1:20" s="116" customFormat="1" ht="21.2" customHeight="1">
      <c r="A38" s="505"/>
      <c r="B38" s="507"/>
      <c r="C38" s="530"/>
      <c r="D38" s="531"/>
      <c r="E38" s="531"/>
      <c r="F38" s="531"/>
      <c r="G38" s="531"/>
      <c r="H38" s="531"/>
      <c r="I38" s="531"/>
      <c r="J38" s="531"/>
      <c r="K38" s="531"/>
      <c r="L38" s="531"/>
      <c r="M38" s="531"/>
      <c r="N38" s="531"/>
      <c r="O38" s="531"/>
      <c r="P38" s="531"/>
      <c r="Q38" s="531"/>
      <c r="R38" s="531"/>
      <c r="S38" s="531"/>
      <c r="T38" s="532"/>
    </row>
    <row r="39" spans="1:20" s="116" customFormat="1" ht="21.2" customHeight="1">
      <c r="A39" s="505"/>
      <c r="B39" s="507"/>
      <c r="C39" s="237" t="s">
        <v>475</v>
      </c>
      <c r="D39" s="215" t="s">
        <v>476</v>
      </c>
      <c r="E39" s="216"/>
      <c r="F39" s="217"/>
      <c r="G39" s="500" t="s">
        <v>477</v>
      </c>
      <c r="H39" s="500" t="s">
        <v>478</v>
      </c>
      <c r="I39" s="497" t="s">
        <v>53</v>
      </c>
      <c r="J39" s="497" t="s">
        <v>73</v>
      </c>
      <c r="K39" s="74">
        <v>84.921099999999996</v>
      </c>
      <c r="L39" s="25">
        <v>26</v>
      </c>
      <c r="M39" s="23">
        <v>8</v>
      </c>
      <c r="N39" s="23">
        <v>8</v>
      </c>
      <c r="O39" s="234" t="s">
        <v>479</v>
      </c>
      <c r="P39" s="234" t="s">
        <v>480</v>
      </c>
      <c r="Q39" s="234" t="s">
        <v>481</v>
      </c>
      <c r="R39" s="234" t="s">
        <v>56</v>
      </c>
      <c r="S39" s="234" t="s">
        <v>55</v>
      </c>
      <c r="T39" s="234" t="s">
        <v>4</v>
      </c>
    </row>
    <row r="40" spans="1:20" s="116" customFormat="1" ht="21.2" customHeight="1">
      <c r="A40" s="505"/>
      <c r="B40" s="507"/>
      <c r="C40" s="238"/>
      <c r="D40" s="218"/>
      <c r="E40" s="219"/>
      <c r="F40" s="220"/>
      <c r="G40" s="500"/>
      <c r="H40" s="500"/>
      <c r="I40" s="498"/>
      <c r="J40" s="498"/>
      <c r="K40" s="74">
        <v>84.711200000000005</v>
      </c>
      <c r="L40" s="25">
        <v>25</v>
      </c>
      <c r="M40" s="23">
        <v>12</v>
      </c>
      <c r="N40" s="23">
        <v>12</v>
      </c>
      <c r="O40" s="235"/>
      <c r="P40" s="235"/>
      <c r="Q40" s="235"/>
      <c r="R40" s="235"/>
      <c r="S40" s="235"/>
      <c r="T40" s="235"/>
    </row>
    <row r="41" spans="1:20" s="116" customFormat="1" ht="21.2" customHeight="1">
      <c r="A41" s="505"/>
      <c r="B41" s="507"/>
      <c r="C41" s="238"/>
      <c r="D41" s="218"/>
      <c r="E41" s="219"/>
      <c r="F41" s="220"/>
      <c r="G41" s="500"/>
      <c r="H41" s="500"/>
      <c r="I41" s="498"/>
      <c r="J41" s="498"/>
      <c r="K41" s="74">
        <v>84.930400000000006</v>
      </c>
      <c r="L41" s="25">
        <v>25</v>
      </c>
      <c r="M41" s="23">
        <v>17</v>
      </c>
      <c r="N41" s="23">
        <v>17</v>
      </c>
      <c r="O41" s="235"/>
      <c r="P41" s="235"/>
      <c r="Q41" s="235"/>
      <c r="R41" s="235"/>
      <c r="S41" s="235"/>
      <c r="T41" s="235"/>
    </row>
    <row r="42" spans="1:20" s="116" customFormat="1" ht="21.2" customHeight="1">
      <c r="A42" s="505"/>
      <c r="B42" s="507"/>
      <c r="C42" s="238"/>
      <c r="D42" s="218"/>
      <c r="E42" s="219"/>
      <c r="F42" s="220"/>
      <c r="G42" s="500"/>
      <c r="H42" s="500"/>
      <c r="I42" s="498"/>
      <c r="J42" s="498"/>
      <c r="K42" s="74">
        <v>84.989099999999993</v>
      </c>
      <c r="L42" s="25">
        <v>25</v>
      </c>
      <c r="M42" s="23">
        <v>18</v>
      </c>
      <c r="N42" s="23">
        <v>18</v>
      </c>
      <c r="O42" s="235"/>
      <c r="P42" s="235"/>
      <c r="Q42" s="235"/>
      <c r="R42" s="235"/>
      <c r="S42" s="235"/>
      <c r="T42" s="235"/>
    </row>
    <row r="43" spans="1:20" s="116" customFormat="1" ht="21.2" customHeight="1">
      <c r="A43" s="505"/>
      <c r="B43" s="507"/>
      <c r="C43" s="238"/>
      <c r="D43" s="218"/>
      <c r="E43" s="219"/>
      <c r="F43" s="220"/>
      <c r="G43" s="500"/>
      <c r="H43" s="500"/>
      <c r="I43" s="498"/>
      <c r="J43" s="498"/>
      <c r="K43" s="74">
        <v>84.897300000000001</v>
      </c>
      <c r="L43" s="25">
        <v>25</v>
      </c>
      <c r="M43" s="23">
        <v>20</v>
      </c>
      <c r="N43" s="23">
        <v>20</v>
      </c>
      <c r="O43" s="235"/>
      <c r="P43" s="235"/>
      <c r="Q43" s="235"/>
      <c r="R43" s="235"/>
      <c r="S43" s="235"/>
      <c r="T43" s="235"/>
    </row>
    <row r="44" spans="1:20" s="116" customFormat="1" ht="21.2" customHeight="1">
      <c r="A44" s="505"/>
      <c r="B44" s="507"/>
      <c r="C44" s="238"/>
      <c r="D44" s="218"/>
      <c r="E44" s="219"/>
      <c r="F44" s="220"/>
      <c r="G44" s="500"/>
      <c r="H44" s="500"/>
      <c r="I44" s="498"/>
      <c r="J44" s="498"/>
      <c r="K44" s="74">
        <v>84.972499999999997</v>
      </c>
      <c r="L44" s="25">
        <v>26</v>
      </c>
      <c r="M44" s="23">
        <v>8</v>
      </c>
      <c r="N44" s="23">
        <v>8</v>
      </c>
      <c r="O44" s="235"/>
      <c r="P44" s="235"/>
      <c r="Q44" s="235"/>
      <c r="R44" s="235"/>
      <c r="S44" s="235"/>
      <c r="T44" s="235"/>
    </row>
    <row r="45" spans="1:20" s="116" customFormat="1" ht="21.2" customHeight="1">
      <c r="A45" s="505"/>
      <c r="B45" s="507"/>
      <c r="C45" s="238"/>
      <c r="D45" s="218"/>
      <c r="E45" s="219"/>
      <c r="F45" s="220"/>
      <c r="G45" s="500"/>
      <c r="H45" s="500"/>
      <c r="I45" s="499"/>
      <c r="J45" s="499"/>
      <c r="K45" s="74">
        <v>84.982600000000005</v>
      </c>
      <c r="L45" s="25">
        <v>26</v>
      </c>
      <c r="M45" s="23">
        <v>12</v>
      </c>
      <c r="N45" s="23">
        <v>12</v>
      </c>
      <c r="O45" s="235"/>
      <c r="P45" s="235"/>
      <c r="Q45" s="235"/>
      <c r="R45" s="235"/>
      <c r="S45" s="235"/>
      <c r="T45" s="235"/>
    </row>
    <row r="46" spans="1:20" s="116" customFormat="1" ht="21.2" customHeight="1">
      <c r="A46" s="505"/>
      <c r="B46" s="247"/>
      <c r="C46" s="239"/>
      <c r="D46" s="221"/>
      <c r="E46" s="222"/>
      <c r="F46" s="223"/>
      <c r="G46" s="174" t="s">
        <v>144</v>
      </c>
      <c r="H46" s="175"/>
      <c r="I46" s="175"/>
      <c r="J46" s="175"/>
      <c r="K46" s="176"/>
      <c r="L46" s="26">
        <f>SUM(L39:L45)</f>
        <v>178</v>
      </c>
      <c r="M46" s="24">
        <f>SUM(M39:M45)</f>
        <v>95</v>
      </c>
      <c r="N46" s="24">
        <f>SUM(N39:N45)</f>
        <v>95</v>
      </c>
      <c r="O46" s="236"/>
      <c r="P46" s="236"/>
      <c r="Q46" s="236"/>
      <c r="R46" s="236"/>
      <c r="S46" s="236"/>
      <c r="T46" s="236"/>
    </row>
    <row r="47" spans="1:20" s="116" customFormat="1" ht="21" customHeight="1">
      <c r="A47" s="505"/>
      <c r="B47" s="159" t="s">
        <v>74</v>
      </c>
      <c r="C47" s="160"/>
      <c r="D47" s="160"/>
      <c r="E47" s="160"/>
      <c r="F47" s="160"/>
      <c r="G47" s="160"/>
      <c r="H47" s="160"/>
      <c r="I47" s="160"/>
      <c r="J47" s="160"/>
      <c r="K47" s="161"/>
      <c r="L47" s="118">
        <v>1841</v>
      </c>
      <c r="M47" s="118">
        <v>260</v>
      </c>
      <c r="N47" s="118">
        <v>262</v>
      </c>
      <c r="O47" s="10"/>
      <c r="P47" s="10"/>
      <c r="Q47" s="3"/>
      <c r="R47" s="3"/>
      <c r="S47" s="3"/>
      <c r="T47" s="3"/>
    </row>
    <row r="48" spans="1:20" s="116" customFormat="1" ht="21.2" customHeight="1">
      <c r="A48" s="505"/>
      <c r="B48" s="213" t="s">
        <v>61</v>
      </c>
      <c r="C48" s="454" t="s">
        <v>142</v>
      </c>
      <c r="D48" s="485" t="s">
        <v>192</v>
      </c>
      <c r="E48" s="486"/>
      <c r="F48" s="487"/>
      <c r="G48" s="314" t="s">
        <v>193</v>
      </c>
      <c r="H48" s="482" t="s">
        <v>194</v>
      </c>
      <c r="I48" s="405" t="s">
        <v>53</v>
      </c>
      <c r="J48" s="405" t="s">
        <v>73</v>
      </c>
      <c r="K48" s="119" t="s">
        <v>75</v>
      </c>
      <c r="L48" s="27">
        <v>244</v>
      </c>
      <c r="M48" s="533" t="s">
        <v>490</v>
      </c>
      <c r="N48" s="534"/>
      <c r="O48" s="454" t="s">
        <v>316</v>
      </c>
      <c r="P48" s="454" t="s">
        <v>317</v>
      </c>
      <c r="Q48" s="454" t="s">
        <v>429</v>
      </c>
      <c r="R48" s="168" t="s">
        <v>54</v>
      </c>
      <c r="S48" s="390" t="s">
        <v>13</v>
      </c>
      <c r="T48" s="180" t="s">
        <v>0</v>
      </c>
    </row>
    <row r="49" spans="1:20" s="116" customFormat="1" ht="21.2" customHeight="1">
      <c r="A49" s="505"/>
      <c r="B49" s="214"/>
      <c r="C49" s="455"/>
      <c r="D49" s="488"/>
      <c r="E49" s="489"/>
      <c r="F49" s="490"/>
      <c r="G49" s="315"/>
      <c r="H49" s="483"/>
      <c r="I49" s="406"/>
      <c r="J49" s="406"/>
      <c r="K49" s="119" t="s">
        <v>76</v>
      </c>
      <c r="L49" s="27">
        <v>356</v>
      </c>
      <c r="M49" s="535"/>
      <c r="N49" s="536"/>
      <c r="O49" s="455"/>
      <c r="P49" s="455"/>
      <c r="Q49" s="455"/>
      <c r="R49" s="169"/>
      <c r="S49" s="391"/>
      <c r="T49" s="181"/>
    </row>
    <row r="50" spans="1:20" s="116" customFormat="1" ht="21.2" customHeight="1">
      <c r="A50" s="505"/>
      <c r="B50" s="214"/>
      <c r="C50" s="455"/>
      <c r="D50" s="488"/>
      <c r="E50" s="489"/>
      <c r="F50" s="490"/>
      <c r="G50" s="315"/>
      <c r="H50" s="483"/>
      <c r="I50" s="406"/>
      <c r="J50" s="406"/>
      <c r="K50" s="119" t="s">
        <v>195</v>
      </c>
      <c r="L50" s="27">
        <v>217</v>
      </c>
      <c r="M50" s="535"/>
      <c r="N50" s="536"/>
      <c r="O50" s="455"/>
      <c r="P50" s="455"/>
      <c r="Q50" s="455"/>
      <c r="R50" s="169"/>
      <c r="S50" s="391"/>
      <c r="T50" s="181"/>
    </row>
    <row r="51" spans="1:20" s="116" customFormat="1" ht="21.2" customHeight="1">
      <c r="A51" s="505"/>
      <c r="B51" s="214"/>
      <c r="C51" s="455"/>
      <c r="D51" s="488"/>
      <c r="E51" s="489"/>
      <c r="F51" s="490"/>
      <c r="G51" s="315"/>
      <c r="H51" s="483"/>
      <c r="I51" s="406"/>
      <c r="J51" s="406"/>
      <c r="K51" s="119" t="s">
        <v>196</v>
      </c>
      <c r="L51" s="27">
        <v>31</v>
      </c>
      <c r="M51" s="535"/>
      <c r="N51" s="536"/>
      <c r="O51" s="455"/>
      <c r="P51" s="455"/>
      <c r="Q51" s="455"/>
      <c r="R51" s="169"/>
      <c r="S51" s="391"/>
      <c r="T51" s="181"/>
    </row>
    <row r="52" spans="1:20" s="116" customFormat="1" ht="21.2" customHeight="1">
      <c r="A52" s="505"/>
      <c r="B52" s="214"/>
      <c r="C52" s="455"/>
      <c r="D52" s="488"/>
      <c r="E52" s="489"/>
      <c r="F52" s="490"/>
      <c r="G52" s="316"/>
      <c r="H52" s="484"/>
      <c r="I52" s="407"/>
      <c r="J52" s="407"/>
      <c r="K52" s="119">
        <v>136</v>
      </c>
      <c r="L52" s="27">
        <v>127</v>
      </c>
      <c r="M52" s="537"/>
      <c r="N52" s="538"/>
      <c r="O52" s="455"/>
      <c r="P52" s="455"/>
      <c r="Q52" s="455"/>
      <c r="R52" s="169"/>
      <c r="S52" s="391"/>
      <c r="T52" s="181"/>
    </row>
    <row r="53" spans="1:20" s="116" customFormat="1" ht="21.2" customHeight="1">
      <c r="A53" s="505"/>
      <c r="B53" s="214"/>
      <c r="C53" s="456"/>
      <c r="D53" s="491"/>
      <c r="E53" s="492"/>
      <c r="F53" s="493"/>
      <c r="G53" s="463" t="s">
        <v>144</v>
      </c>
      <c r="H53" s="464"/>
      <c r="I53" s="464"/>
      <c r="J53" s="464"/>
      <c r="K53" s="465"/>
      <c r="L53" s="28">
        <f>SUM(L48:L52)</f>
        <v>975</v>
      </c>
      <c r="M53" s="28">
        <f>SUM(M48:M52)</f>
        <v>0</v>
      </c>
      <c r="N53" s="28">
        <f>SUM(N48:N52)</f>
        <v>0</v>
      </c>
      <c r="O53" s="456"/>
      <c r="P53" s="456"/>
      <c r="Q53" s="456"/>
      <c r="R53" s="170"/>
      <c r="S53" s="392"/>
      <c r="T53" s="182"/>
    </row>
    <row r="54" spans="1:20" s="116" customFormat="1" ht="21.2" customHeight="1">
      <c r="A54" s="505"/>
      <c r="B54" s="214"/>
      <c r="C54" s="454" t="s">
        <v>118</v>
      </c>
      <c r="D54" s="485" t="s">
        <v>210</v>
      </c>
      <c r="E54" s="486"/>
      <c r="F54" s="487"/>
      <c r="G54" s="457" t="s">
        <v>207</v>
      </c>
      <c r="H54" s="405" t="s">
        <v>207</v>
      </c>
      <c r="I54" s="405" t="s">
        <v>0</v>
      </c>
      <c r="J54" s="405" t="s">
        <v>1</v>
      </c>
      <c r="K54" s="120">
        <v>95</v>
      </c>
      <c r="L54" s="23">
        <v>71</v>
      </c>
      <c r="M54" s="518" t="s">
        <v>490</v>
      </c>
      <c r="N54" s="539"/>
      <c r="O54" s="454" t="s">
        <v>318</v>
      </c>
      <c r="P54" s="454" t="s">
        <v>319</v>
      </c>
      <c r="Q54" s="454" t="s">
        <v>430</v>
      </c>
      <c r="R54" s="168" t="s">
        <v>54</v>
      </c>
      <c r="S54" s="390"/>
      <c r="T54" s="180" t="s">
        <v>0</v>
      </c>
    </row>
    <row r="55" spans="1:20" s="116" customFormat="1" ht="21.2" customHeight="1">
      <c r="A55" s="505"/>
      <c r="B55" s="214"/>
      <c r="C55" s="455"/>
      <c r="D55" s="488"/>
      <c r="E55" s="489"/>
      <c r="F55" s="490"/>
      <c r="G55" s="458"/>
      <c r="H55" s="406"/>
      <c r="I55" s="406"/>
      <c r="J55" s="406"/>
      <c r="K55" s="120" t="s">
        <v>208</v>
      </c>
      <c r="L55" s="23">
        <v>210</v>
      </c>
      <c r="M55" s="540"/>
      <c r="N55" s="541"/>
      <c r="O55" s="455"/>
      <c r="P55" s="455"/>
      <c r="Q55" s="455"/>
      <c r="R55" s="169"/>
      <c r="S55" s="391"/>
      <c r="T55" s="181"/>
    </row>
    <row r="56" spans="1:20" s="116" customFormat="1" ht="21.2" customHeight="1">
      <c r="A56" s="505"/>
      <c r="B56" s="214"/>
      <c r="C56" s="455"/>
      <c r="D56" s="488"/>
      <c r="E56" s="489"/>
      <c r="F56" s="490"/>
      <c r="G56" s="459"/>
      <c r="H56" s="407"/>
      <c r="I56" s="407"/>
      <c r="J56" s="407"/>
      <c r="K56" s="120" t="s">
        <v>209</v>
      </c>
      <c r="L56" s="23">
        <v>105</v>
      </c>
      <c r="M56" s="542"/>
      <c r="N56" s="543"/>
      <c r="O56" s="455"/>
      <c r="P56" s="455"/>
      <c r="Q56" s="455"/>
      <c r="R56" s="169"/>
      <c r="S56" s="391"/>
      <c r="T56" s="181"/>
    </row>
    <row r="57" spans="1:20" s="116" customFormat="1" ht="21.2" customHeight="1">
      <c r="A57" s="505"/>
      <c r="B57" s="214"/>
      <c r="C57" s="456"/>
      <c r="D57" s="491"/>
      <c r="E57" s="492"/>
      <c r="F57" s="493"/>
      <c r="G57" s="463" t="s">
        <v>144</v>
      </c>
      <c r="H57" s="464"/>
      <c r="I57" s="464"/>
      <c r="J57" s="464"/>
      <c r="K57" s="465"/>
      <c r="L57" s="28">
        <f>SUM(L54:L56)</f>
        <v>386</v>
      </c>
      <c r="M57" s="28">
        <f>SUM(M54:M56)</f>
        <v>0</v>
      </c>
      <c r="N57" s="28">
        <f>SUM(N54:N56)</f>
        <v>0</v>
      </c>
      <c r="O57" s="456"/>
      <c r="P57" s="456"/>
      <c r="Q57" s="456"/>
      <c r="R57" s="170"/>
      <c r="S57" s="392"/>
      <c r="T57" s="182"/>
    </row>
    <row r="58" spans="1:20" customFormat="1" ht="16.5" customHeight="1">
      <c r="A58" s="505"/>
      <c r="B58" s="214"/>
      <c r="C58" s="454" t="s">
        <v>118</v>
      </c>
      <c r="D58" s="485" t="s">
        <v>228</v>
      </c>
      <c r="E58" s="486"/>
      <c r="F58" s="487"/>
      <c r="G58" s="494" t="s">
        <v>227</v>
      </c>
      <c r="H58" s="405" t="s">
        <v>194</v>
      </c>
      <c r="I58" s="405" t="s">
        <v>0</v>
      </c>
      <c r="J58" s="405" t="s">
        <v>1</v>
      </c>
      <c r="K58" s="120" t="s">
        <v>226</v>
      </c>
      <c r="L58" s="23">
        <v>410</v>
      </c>
      <c r="M58" s="544" t="s">
        <v>490</v>
      </c>
      <c r="N58" s="545"/>
      <c r="O58" s="454" t="s">
        <v>320</v>
      </c>
      <c r="P58" s="454" t="s">
        <v>321</v>
      </c>
      <c r="Q58" s="454" t="s">
        <v>431</v>
      </c>
      <c r="R58" s="168" t="s">
        <v>62</v>
      </c>
      <c r="S58" s="457"/>
      <c r="T58" s="457" t="s">
        <v>0</v>
      </c>
    </row>
    <row r="59" spans="1:20" customFormat="1" ht="16.5">
      <c r="A59" s="505"/>
      <c r="B59" s="214"/>
      <c r="C59" s="455"/>
      <c r="D59" s="488"/>
      <c r="E59" s="489"/>
      <c r="F59" s="490"/>
      <c r="G59" s="495"/>
      <c r="H59" s="406"/>
      <c r="I59" s="406"/>
      <c r="J59" s="406"/>
      <c r="K59" s="120" t="s">
        <v>225</v>
      </c>
      <c r="L59" s="23">
        <v>256</v>
      </c>
      <c r="M59" s="546"/>
      <c r="N59" s="547"/>
      <c r="O59" s="455"/>
      <c r="P59" s="455"/>
      <c r="Q59" s="455"/>
      <c r="R59" s="169"/>
      <c r="S59" s="458"/>
      <c r="T59" s="458"/>
    </row>
    <row r="60" spans="1:20" customFormat="1" ht="16.5">
      <c r="A60" s="505"/>
      <c r="B60" s="214"/>
      <c r="C60" s="455"/>
      <c r="D60" s="488"/>
      <c r="E60" s="489"/>
      <c r="F60" s="490"/>
      <c r="G60" s="495"/>
      <c r="H60" s="406"/>
      <c r="I60" s="406"/>
      <c r="J60" s="406"/>
      <c r="K60" s="120" t="s">
        <v>224</v>
      </c>
      <c r="L60" s="23">
        <v>51</v>
      </c>
      <c r="M60" s="546"/>
      <c r="N60" s="547"/>
      <c r="O60" s="455"/>
      <c r="P60" s="455"/>
      <c r="Q60" s="455"/>
      <c r="R60" s="169"/>
      <c r="S60" s="458"/>
      <c r="T60" s="458"/>
    </row>
    <row r="61" spans="1:20" customFormat="1" ht="16.5">
      <c r="A61" s="505"/>
      <c r="B61" s="214"/>
      <c r="C61" s="455"/>
      <c r="D61" s="488"/>
      <c r="E61" s="489"/>
      <c r="F61" s="490"/>
      <c r="G61" s="495"/>
      <c r="H61" s="406"/>
      <c r="I61" s="406"/>
      <c r="J61" s="406"/>
      <c r="K61" s="120" t="s">
        <v>223</v>
      </c>
      <c r="L61" s="23">
        <v>64</v>
      </c>
      <c r="M61" s="546"/>
      <c r="N61" s="547"/>
      <c r="O61" s="455"/>
      <c r="P61" s="455"/>
      <c r="Q61" s="455"/>
      <c r="R61" s="169"/>
      <c r="S61" s="458"/>
      <c r="T61" s="458"/>
    </row>
    <row r="62" spans="1:20" customFormat="1" ht="16.5">
      <c r="A62" s="505"/>
      <c r="B62" s="214"/>
      <c r="C62" s="455"/>
      <c r="D62" s="488"/>
      <c r="E62" s="489"/>
      <c r="F62" s="490"/>
      <c r="G62" s="495"/>
      <c r="H62" s="406"/>
      <c r="I62" s="406"/>
      <c r="J62" s="406"/>
      <c r="K62" s="120">
        <v>96.32</v>
      </c>
      <c r="L62" s="23">
        <v>3</v>
      </c>
      <c r="M62" s="546"/>
      <c r="N62" s="547"/>
      <c r="O62" s="455"/>
      <c r="P62" s="455"/>
      <c r="Q62" s="455"/>
      <c r="R62" s="169"/>
      <c r="S62" s="458"/>
      <c r="T62" s="458"/>
    </row>
    <row r="63" spans="1:20" customFormat="1" ht="16.5">
      <c r="A63" s="505"/>
      <c r="B63" s="214"/>
      <c r="C63" s="455"/>
      <c r="D63" s="488"/>
      <c r="E63" s="489"/>
      <c r="F63" s="490"/>
      <c r="G63" s="495"/>
      <c r="H63" s="406"/>
      <c r="I63" s="406"/>
      <c r="J63" s="406"/>
      <c r="K63" s="120" t="s">
        <v>222</v>
      </c>
      <c r="L63" s="23">
        <v>7</v>
      </c>
      <c r="M63" s="546"/>
      <c r="N63" s="547"/>
      <c r="O63" s="455"/>
      <c r="P63" s="455"/>
      <c r="Q63" s="455"/>
      <c r="R63" s="169"/>
      <c r="S63" s="458"/>
      <c r="T63" s="458"/>
    </row>
    <row r="64" spans="1:20" customFormat="1" ht="16.5">
      <c r="A64" s="505"/>
      <c r="B64" s="214"/>
      <c r="C64" s="455"/>
      <c r="D64" s="488"/>
      <c r="E64" s="489"/>
      <c r="F64" s="490"/>
      <c r="G64" s="495"/>
      <c r="H64" s="406"/>
      <c r="I64" s="406"/>
      <c r="J64" s="406"/>
      <c r="K64" s="120" t="s">
        <v>221</v>
      </c>
      <c r="L64" s="23">
        <v>2</v>
      </c>
      <c r="M64" s="546"/>
      <c r="N64" s="547"/>
      <c r="O64" s="455"/>
      <c r="P64" s="455"/>
      <c r="Q64" s="455"/>
      <c r="R64" s="169"/>
      <c r="S64" s="458"/>
      <c r="T64" s="458"/>
    </row>
    <row r="65" spans="1:20" customFormat="1" ht="16.5">
      <c r="A65" s="505"/>
      <c r="B65" s="214"/>
      <c r="C65" s="455"/>
      <c r="D65" s="488"/>
      <c r="E65" s="489"/>
      <c r="F65" s="490"/>
      <c r="G65" s="495"/>
      <c r="H65" s="406"/>
      <c r="I65" s="406"/>
      <c r="J65" s="406"/>
      <c r="K65" s="120" t="s">
        <v>220</v>
      </c>
      <c r="L65" s="23">
        <v>52</v>
      </c>
      <c r="M65" s="546"/>
      <c r="N65" s="547"/>
      <c r="O65" s="455"/>
      <c r="P65" s="455"/>
      <c r="Q65" s="455"/>
      <c r="R65" s="169"/>
      <c r="S65" s="458"/>
      <c r="T65" s="458"/>
    </row>
    <row r="66" spans="1:20" customFormat="1" ht="16.5">
      <c r="A66" s="505"/>
      <c r="B66" s="214"/>
      <c r="C66" s="455"/>
      <c r="D66" s="488"/>
      <c r="E66" s="489"/>
      <c r="F66" s="490"/>
      <c r="G66" s="495"/>
      <c r="H66" s="406"/>
      <c r="I66" s="406"/>
      <c r="J66" s="406"/>
      <c r="K66" s="120" t="s">
        <v>219</v>
      </c>
      <c r="L66" s="23">
        <v>28</v>
      </c>
      <c r="M66" s="546"/>
      <c r="N66" s="547"/>
      <c r="O66" s="455"/>
      <c r="P66" s="455"/>
      <c r="Q66" s="455"/>
      <c r="R66" s="169"/>
      <c r="S66" s="458"/>
      <c r="T66" s="458"/>
    </row>
    <row r="67" spans="1:20" customFormat="1" ht="16.5">
      <c r="A67" s="505"/>
      <c r="B67" s="214"/>
      <c r="C67" s="455"/>
      <c r="D67" s="488"/>
      <c r="E67" s="489"/>
      <c r="F67" s="490"/>
      <c r="G67" s="495"/>
      <c r="H67" s="406"/>
      <c r="I67" s="406"/>
      <c r="J67" s="406"/>
      <c r="K67" s="120" t="s">
        <v>218</v>
      </c>
      <c r="L67" s="23">
        <v>23</v>
      </c>
      <c r="M67" s="546"/>
      <c r="N67" s="547"/>
      <c r="O67" s="455"/>
      <c r="P67" s="455"/>
      <c r="Q67" s="455"/>
      <c r="R67" s="169"/>
      <c r="S67" s="458"/>
      <c r="T67" s="458"/>
    </row>
    <row r="68" spans="1:20" customFormat="1" ht="16.5">
      <c r="A68" s="505"/>
      <c r="B68" s="214"/>
      <c r="C68" s="455"/>
      <c r="D68" s="488"/>
      <c r="E68" s="489"/>
      <c r="F68" s="490"/>
      <c r="G68" s="495"/>
      <c r="H68" s="406"/>
      <c r="I68" s="406"/>
      <c r="J68" s="406"/>
      <c r="K68" s="120">
        <v>120.75</v>
      </c>
      <c r="L68" s="23">
        <v>12</v>
      </c>
      <c r="M68" s="546"/>
      <c r="N68" s="547"/>
      <c r="O68" s="455"/>
      <c r="P68" s="455"/>
      <c r="Q68" s="455"/>
      <c r="R68" s="169"/>
      <c r="S68" s="458"/>
      <c r="T68" s="458"/>
    </row>
    <row r="69" spans="1:20" customFormat="1" ht="16.5">
      <c r="A69" s="505"/>
      <c r="B69" s="214"/>
      <c r="C69" s="455"/>
      <c r="D69" s="488"/>
      <c r="E69" s="489"/>
      <c r="F69" s="490"/>
      <c r="G69" s="495"/>
      <c r="H69" s="406"/>
      <c r="I69" s="406"/>
      <c r="J69" s="406"/>
      <c r="K69" s="120">
        <v>132.33000000000001</v>
      </c>
      <c r="L69" s="23">
        <v>2</v>
      </c>
      <c r="M69" s="546"/>
      <c r="N69" s="547"/>
      <c r="O69" s="455"/>
      <c r="P69" s="455"/>
      <c r="Q69" s="455"/>
      <c r="R69" s="169"/>
      <c r="S69" s="458"/>
      <c r="T69" s="458"/>
    </row>
    <row r="70" spans="1:20" customFormat="1" ht="16.5">
      <c r="A70" s="505"/>
      <c r="B70" s="214"/>
      <c r="C70" s="455"/>
      <c r="D70" s="488"/>
      <c r="E70" s="489"/>
      <c r="F70" s="490"/>
      <c r="G70" s="495"/>
      <c r="H70" s="406"/>
      <c r="I70" s="406"/>
      <c r="J70" s="406"/>
      <c r="K70" s="120">
        <v>148.29</v>
      </c>
      <c r="L70" s="23">
        <v>2</v>
      </c>
      <c r="M70" s="546"/>
      <c r="N70" s="547"/>
      <c r="O70" s="455"/>
      <c r="P70" s="455"/>
      <c r="Q70" s="455"/>
      <c r="R70" s="169"/>
      <c r="S70" s="458"/>
      <c r="T70" s="458"/>
    </row>
    <row r="71" spans="1:20" customFormat="1" ht="16.5">
      <c r="A71" s="505"/>
      <c r="B71" s="214"/>
      <c r="C71" s="455"/>
      <c r="D71" s="488"/>
      <c r="E71" s="489"/>
      <c r="F71" s="490"/>
      <c r="G71" s="495"/>
      <c r="H71" s="406"/>
      <c r="I71" s="406"/>
      <c r="J71" s="406"/>
      <c r="K71" s="120" t="s">
        <v>217</v>
      </c>
      <c r="L71" s="23">
        <v>1</v>
      </c>
      <c r="M71" s="546"/>
      <c r="N71" s="547"/>
      <c r="O71" s="455"/>
      <c r="P71" s="455"/>
      <c r="Q71" s="455"/>
      <c r="R71" s="169"/>
      <c r="S71" s="458"/>
      <c r="T71" s="458"/>
    </row>
    <row r="72" spans="1:20" customFormat="1" ht="16.5">
      <c r="A72" s="505"/>
      <c r="B72" s="214"/>
      <c r="C72" s="455"/>
      <c r="D72" s="488"/>
      <c r="E72" s="489"/>
      <c r="F72" s="490"/>
      <c r="G72" s="495"/>
      <c r="H72" s="406"/>
      <c r="I72" s="406"/>
      <c r="J72" s="406"/>
      <c r="K72" s="120" t="s">
        <v>216</v>
      </c>
      <c r="L72" s="23">
        <v>1</v>
      </c>
      <c r="M72" s="546"/>
      <c r="N72" s="547"/>
      <c r="O72" s="455"/>
      <c r="P72" s="455"/>
      <c r="Q72" s="455"/>
      <c r="R72" s="169"/>
      <c r="S72" s="458"/>
      <c r="T72" s="458"/>
    </row>
    <row r="73" spans="1:20" customFormat="1" ht="16.5">
      <c r="A73" s="505"/>
      <c r="B73" s="214"/>
      <c r="C73" s="455"/>
      <c r="D73" s="488"/>
      <c r="E73" s="489"/>
      <c r="F73" s="490"/>
      <c r="G73" s="495"/>
      <c r="H73" s="406"/>
      <c r="I73" s="406"/>
      <c r="J73" s="406"/>
      <c r="K73" s="120">
        <v>165.15</v>
      </c>
      <c r="L73" s="23">
        <v>7</v>
      </c>
      <c r="M73" s="546"/>
      <c r="N73" s="547"/>
      <c r="O73" s="455"/>
      <c r="P73" s="455"/>
      <c r="Q73" s="455"/>
      <c r="R73" s="169"/>
      <c r="S73" s="458"/>
      <c r="T73" s="458"/>
    </row>
    <row r="74" spans="1:20" customFormat="1" ht="16.5">
      <c r="A74" s="505"/>
      <c r="B74" s="214"/>
      <c r="C74" s="455"/>
      <c r="D74" s="488"/>
      <c r="E74" s="489"/>
      <c r="F74" s="490"/>
      <c r="G74" s="496"/>
      <c r="H74" s="407"/>
      <c r="I74" s="407"/>
      <c r="J74" s="407"/>
      <c r="K74" s="120">
        <v>202.35</v>
      </c>
      <c r="L74" s="23">
        <v>1</v>
      </c>
      <c r="M74" s="548"/>
      <c r="N74" s="549"/>
      <c r="O74" s="455"/>
      <c r="P74" s="455"/>
      <c r="Q74" s="455"/>
      <c r="R74" s="169"/>
      <c r="S74" s="458"/>
      <c r="T74" s="458"/>
    </row>
    <row r="75" spans="1:20" customFormat="1" ht="16.5">
      <c r="A75" s="505"/>
      <c r="B75" s="214"/>
      <c r="C75" s="455"/>
      <c r="D75" s="491"/>
      <c r="E75" s="492"/>
      <c r="F75" s="493"/>
      <c r="G75" s="463" t="s">
        <v>144</v>
      </c>
      <c r="H75" s="464"/>
      <c r="I75" s="464"/>
      <c r="J75" s="464"/>
      <c r="K75" s="465"/>
      <c r="L75" s="28">
        <f>SUM(L58:L74)</f>
        <v>922</v>
      </c>
      <c r="M75" s="28">
        <f>SUM(M58:M74)</f>
        <v>0</v>
      </c>
      <c r="N75" s="28">
        <f>SUM(N58:N74)</f>
        <v>0</v>
      </c>
      <c r="O75" s="456"/>
      <c r="P75" s="456"/>
      <c r="Q75" s="456"/>
      <c r="R75" s="170"/>
      <c r="S75" s="459"/>
      <c r="T75" s="459"/>
    </row>
    <row r="76" spans="1:20" customFormat="1" ht="16.5" customHeight="1">
      <c r="A76" s="505"/>
      <c r="B76" s="214"/>
      <c r="C76" s="455"/>
      <c r="D76" s="485" t="s">
        <v>238</v>
      </c>
      <c r="E76" s="486"/>
      <c r="F76" s="487"/>
      <c r="G76" s="494" t="s">
        <v>237</v>
      </c>
      <c r="H76" s="405" t="s">
        <v>236</v>
      </c>
      <c r="I76" s="405" t="s">
        <v>0</v>
      </c>
      <c r="J76" s="405" t="s">
        <v>1</v>
      </c>
      <c r="K76" s="120">
        <v>80.865700000000004</v>
      </c>
      <c r="L76" s="23">
        <v>144</v>
      </c>
      <c r="M76" s="518" t="s">
        <v>490</v>
      </c>
      <c r="N76" s="539"/>
      <c r="O76" s="454" t="s">
        <v>322</v>
      </c>
      <c r="P76" s="451" t="s">
        <v>323</v>
      </c>
      <c r="Q76" s="454" t="s">
        <v>324</v>
      </c>
      <c r="R76" s="168" t="s">
        <v>425</v>
      </c>
      <c r="S76" s="457"/>
      <c r="T76" s="457"/>
    </row>
    <row r="77" spans="1:20" customFormat="1" ht="16.5">
      <c r="A77" s="505"/>
      <c r="B77" s="214"/>
      <c r="C77" s="455"/>
      <c r="D77" s="488"/>
      <c r="E77" s="489"/>
      <c r="F77" s="490"/>
      <c r="G77" s="495"/>
      <c r="H77" s="406"/>
      <c r="I77" s="406"/>
      <c r="J77" s="406"/>
      <c r="K77" s="120">
        <v>84.969200000000001</v>
      </c>
      <c r="L77" s="23">
        <v>232</v>
      </c>
      <c r="M77" s="540"/>
      <c r="N77" s="541"/>
      <c r="O77" s="455"/>
      <c r="P77" s="452"/>
      <c r="Q77" s="455"/>
      <c r="R77" s="169"/>
      <c r="S77" s="458"/>
      <c r="T77" s="458"/>
    </row>
    <row r="78" spans="1:20" customFormat="1" ht="16.5">
      <c r="A78" s="505"/>
      <c r="B78" s="214"/>
      <c r="C78" s="455"/>
      <c r="D78" s="488"/>
      <c r="E78" s="489"/>
      <c r="F78" s="490"/>
      <c r="G78" s="495"/>
      <c r="H78" s="406"/>
      <c r="I78" s="406"/>
      <c r="J78" s="406"/>
      <c r="K78" s="120">
        <v>84.970799999999997</v>
      </c>
      <c r="L78" s="23">
        <v>311</v>
      </c>
      <c r="M78" s="540"/>
      <c r="N78" s="541"/>
      <c r="O78" s="455"/>
      <c r="P78" s="452"/>
      <c r="Q78" s="455"/>
      <c r="R78" s="169"/>
      <c r="S78" s="458"/>
      <c r="T78" s="458"/>
    </row>
    <row r="79" spans="1:20" customFormat="1" ht="16.5">
      <c r="A79" s="505"/>
      <c r="B79" s="214"/>
      <c r="C79" s="455"/>
      <c r="D79" s="488"/>
      <c r="E79" s="489"/>
      <c r="F79" s="490"/>
      <c r="G79" s="495"/>
      <c r="H79" s="406"/>
      <c r="I79" s="406"/>
      <c r="J79" s="406"/>
      <c r="K79" s="120">
        <v>84.9739</v>
      </c>
      <c r="L79" s="23">
        <v>99</v>
      </c>
      <c r="M79" s="540"/>
      <c r="N79" s="541"/>
      <c r="O79" s="455"/>
      <c r="P79" s="452"/>
      <c r="Q79" s="455"/>
      <c r="R79" s="169"/>
      <c r="S79" s="458"/>
      <c r="T79" s="458"/>
    </row>
    <row r="80" spans="1:20" customFormat="1" ht="16.5">
      <c r="A80" s="505"/>
      <c r="B80" s="214"/>
      <c r="C80" s="455"/>
      <c r="D80" s="488"/>
      <c r="E80" s="489"/>
      <c r="F80" s="490"/>
      <c r="G80" s="496"/>
      <c r="H80" s="407"/>
      <c r="I80" s="407"/>
      <c r="J80" s="407"/>
      <c r="K80" s="120">
        <v>115.9517</v>
      </c>
      <c r="L80" s="23">
        <v>87</v>
      </c>
      <c r="M80" s="542"/>
      <c r="N80" s="543"/>
      <c r="O80" s="455"/>
      <c r="P80" s="452"/>
      <c r="Q80" s="455"/>
      <c r="R80" s="169"/>
      <c r="S80" s="458"/>
      <c r="T80" s="458"/>
    </row>
    <row r="81" spans="1:20" customFormat="1" ht="16.5" customHeight="1">
      <c r="A81" s="505"/>
      <c r="B81" s="214"/>
      <c r="C81" s="456"/>
      <c r="D81" s="491"/>
      <c r="E81" s="492"/>
      <c r="F81" s="493"/>
      <c r="G81" s="463" t="s">
        <v>144</v>
      </c>
      <c r="H81" s="464"/>
      <c r="I81" s="464"/>
      <c r="J81" s="464"/>
      <c r="K81" s="465"/>
      <c r="L81" s="28">
        <f>SUM(L76:L80)</f>
        <v>873</v>
      </c>
      <c r="M81" s="28">
        <f>SUM(M76:M80)</f>
        <v>0</v>
      </c>
      <c r="N81" s="28">
        <f>SUM(N76:N80)</f>
        <v>0</v>
      </c>
      <c r="O81" s="456"/>
      <c r="P81" s="453"/>
      <c r="Q81" s="456"/>
      <c r="R81" s="170"/>
      <c r="S81" s="459"/>
      <c r="T81" s="459"/>
    </row>
    <row r="82" spans="1:20" customFormat="1" ht="16.5" customHeight="1">
      <c r="A82" s="505"/>
      <c r="B82" s="214"/>
      <c r="C82" s="454" t="s">
        <v>229</v>
      </c>
      <c r="D82" s="485" t="s">
        <v>255</v>
      </c>
      <c r="E82" s="486"/>
      <c r="F82" s="487"/>
      <c r="G82" s="405" t="s">
        <v>254</v>
      </c>
      <c r="H82" s="405" t="s">
        <v>325</v>
      </c>
      <c r="I82" s="405" t="s">
        <v>53</v>
      </c>
      <c r="J82" s="482" t="s">
        <v>326</v>
      </c>
      <c r="K82" s="121">
        <v>59.987499999999997</v>
      </c>
      <c r="L82" s="23">
        <v>88</v>
      </c>
      <c r="M82" s="518" t="s">
        <v>490</v>
      </c>
      <c r="N82" s="519"/>
      <c r="O82" s="454" t="s">
        <v>327</v>
      </c>
      <c r="P82" s="451" t="s">
        <v>328</v>
      </c>
      <c r="Q82" s="454" t="s">
        <v>329</v>
      </c>
      <c r="R82" s="478" t="s">
        <v>425</v>
      </c>
      <c r="S82" s="457"/>
      <c r="T82" s="457"/>
    </row>
    <row r="83" spans="1:20" customFormat="1" ht="16.5">
      <c r="A83" s="505"/>
      <c r="B83" s="214"/>
      <c r="C83" s="455"/>
      <c r="D83" s="488"/>
      <c r="E83" s="489"/>
      <c r="F83" s="490"/>
      <c r="G83" s="406"/>
      <c r="H83" s="406"/>
      <c r="I83" s="406"/>
      <c r="J83" s="483"/>
      <c r="K83" s="121">
        <v>59.844799999999999</v>
      </c>
      <c r="L83" s="23">
        <v>49</v>
      </c>
      <c r="M83" s="520"/>
      <c r="N83" s="521"/>
      <c r="O83" s="455"/>
      <c r="P83" s="452"/>
      <c r="Q83" s="455"/>
      <c r="R83" s="478"/>
      <c r="S83" s="458"/>
      <c r="T83" s="458"/>
    </row>
    <row r="84" spans="1:20" customFormat="1" ht="16.5">
      <c r="A84" s="505"/>
      <c r="B84" s="214"/>
      <c r="C84" s="455"/>
      <c r="D84" s="488"/>
      <c r="E84" s="489"/>
      <c r="F84" s="490"/>
      <c r="G84" s="406"/>
      <c r="H84" s="406"/>
      <c r="I84" s="406"/>
      <c r="J84" s="483"/>
      <c r="K84" s="121">
        <v>74.511700000000005</v>
      </c>
      <c r="L84" s="23">
        <v>191</v>
      </c>
      <c r="M84" s="520"/>
      <c r="N84" s="521"/>
      <c r="O84" s="455"/>
      <c r="P84" s="452"/>
      <c r="Q84" s="455"/>
      <c r="R84" s="478"/>
      <c r="S84" s="458"/>
      <c r="T84" s="458"/>
    </row>
    <row r="85" spans="1:20" customFormat="1" ht="16.5">
      <c r="A85" s="505"/>
      <c r="B85" s="214"/>
      <c r="C85" s="455"/>
      <c r="D85" s="488"/>
      <c r="E85" s="489"/>
      <c r="F85" s="490"/>
      <c r="G85" s="406"/>
      <c r="H85" s="406"/>
      <c r="I85" s="406"/>
      <c r="J85" s="484"/>
      <c r="K85" s="121">
        <v>74.992900000000006</v>
      </c>
      <c r="L85" s="23">
        <v>22</v>
      </c>
      <c r="M85" s="520"/>
      <c r="N85" s="521"/>
      <c r="O85" s="456"/>
      <c r="P85" s="453"/>
      <c r="Q85" s="455"/>
      <c r="R85" s="478"/>
      <c r="S85" s="458"/>
      <c r="T85" s="458"/>
    </row>
    <row r="86" spans="1:20" customFormat="1" ht="16.5" customHeight="1">
      <c r="A86" s="505"/>
      <c r="B86" s="214"/>
      <c r="C86" s="455"/>
      <c r="D86" s="488"/>
      <c r="E86" s="489"/>
      <c r="F86" s="490"/>
      <c r="G86" s="406"/>
      <c r="H86" s="406"/>
      <c r="I86" s="406"/>
      <c r="J86" s="482" t="s">
        <v>330</v>
      </c>
      <c r="K86" s="121">
        <v>84.224199999999996</v>
      </c>
      <c r="L86" s="23">
        <v>103</v>
      </c>
      <c r="M86" s="520"/>
      <c r="N86" s="521"/>
      <c r="O86" s="454" t="s">
        <v>331</v>
      </c>
      <c r="P86" s="451" t="s">
        <v>332</v>
      </c>
      <c r="Q86" s="455"/>
      <c r="R86" s="478"/>
      <c r="S86" s="458"/>
      <c r="T86" s="458"/>
    </row>
    <row r="87" spans="1:20" customFormat="1" ht="16.5">
      <c r="A87" s="505"/>
      <c r="B87" s="214"/>
      <c r="C87" s="455"/>
      <c r="D87" s="488"/>
      <c r="E87" s="489"/>
      <c r="F87" s="490"/>
      <c r="G87" s="406"/>
      <c r="H87" s="406"/>
      <c r="I87" s="406"/>
      <c r="J87" s="483"/>
      <c r="K87" s="121">
        <v>84.963899999999995</v>
      </c>
      <c r="L87" s="23">
        <v>69</v>
      </c>
      <c r="M87" s="520"/>
      <c r="N87" s="521"/>
      <c r="O87" s="455"/>
      <c r="P87" s="452"/>
      <c r="Q87" s="455"/>
      <c r="R87" s="478"/>
      <c r="S87" s="458"/>
      <c r="T87" s="458"/>
    </row>
    <row r="88" spans="1:20" customFormat="1" ht="16.5">
      <c r="A88" s="505"/>
      <c r="B88" s="214"/>
      <c r="C88" s="455"/>
      <c r="D88" s="488"/>
      <c r="E88" s="489"/>
      <c r="F88" s="490"/>
      <c r="G88" s="407"/>
      <c r="H88" s="407"/>
      <c r="I88" s="407"/>
      <c r="J88" s="484"/>
      <c r="K88" s="121">
        <v>102.2704</v>
      </c>
      <c r="L88" s="23">
        <v>50</v>
      </c>
      <c r="M88" s="522"/>
      <c r="N88" s="523"/>
      <c r="O88" s="455"/>
      <c r="P88" s="452"/>
      <c r="Q88" s="455"/>
      <c r="R88" s="478"/>
      <c r="S88" s="458"/>
      <c r="T88" s="458"/>
    </row>
    <row r="89" spans="1:20" customFormat="1" ht="16.5">
      <c r="A89" s="505"/>
      <c r="B89" s="214"/>
      <c r="C89" s="456"/>
      <c r="D89" s="491"/>
      <c r="E89" s="492"/>
      <c r="F89" s="493"/>
      <c r="G89" s="463" t="s">
        <v>144</v>
      </c>
      <c r="H89" s="464"/>
      <c r="I89" s="464"/>
      <c r="J89" s="464"/>
      <c r="K89" s="465"/>
      <c r="L89" s="28">
        <f>SUM(L82:L88)</f>
        <v>572</v>
      </c>
      <c r="M89" s="28">
        <f>SUM(M82:M88)</f>
        <v>0</v>
      </c>
      <c r="N89" s="28">
        <f>SUM(N82:N88)</f>
        <v>0</v>
      </c>
      <c r="O89" s="456"/>
      <c r="P89" s="453"/>
      <c r="Q89" s="456"/>
      <c r="R89" s="478"/>
      <c r="S89" s="459"/>
      <c r="T89" s="459"/>
    </row>
    <row r="90" spans="1:20" customFormat="1" ht="16.5" customHeight="1">
      <c r="A90" s="505"/>
      <c r="B90" s="214"/>
      <c r="C90" s="454" t="s">
        <v>253</v>
      </c>
      <c r="D90" s="479" t="s">
        <v>252</v>
      </c>
      <c r="E90" s="480"/>
      <c r="F90" s="481"/>
      <c r="G90" s="405" t="s">
        <v>251</v>
      </c>
      <c r="H90" s="405" t="s">
        <v>250</v>
      </c>
      <c r="I90" s="405" t="s">
        <v>0</v>
      </c>
      <c r="J90" s="405" t="s">
        <v>1</v>
      </c>
      <c r="K90" s="121" t="s">
        <v>249</v>
      </c>
      <c r="L90" s="23">
        <v>470</v>
      </c>
      <c r="M90" s="518" t="s">
        <v>490</v>
      </c>
      <c r="N90" s="550"/>
      <c r="O90" s="454" t="s">
        <v>333</v>
      </c>
      <c r="P90" s="451" t="s">
        <v>334</v>
      </c>
      <c r="Q90" s="454" t="s">
        <v>335</v>
      </c>
      <c r="R90" s="168" t="s">
        <v>465</v>
      </c>
      <c r="S90" s="457"/>
      <c r="T90" s="457"/>
    </row>
    <row r="91" spans="1:20" customFormat="1" ht="16.5">
      <c r="A91" s="505"/>
      <c r="B91" s="214"/>
      <c r="C91" s="455"/>
      <c r="D91" s="322"/>
      <c r="E91" s="323"/>
      <c r="F91" s="324"/>
      <c r="G91" s="406"/>
      <c r="H91" s="406"/>
      <c r="I91" s="406"/>
      <c r="J91" s="406"/>
      <c r="K91" s="121" t="s">
        <v>248</v>
      </c>
      <c r="L91" s="23">
        <v>386</v>
      </c>
      <c r="M91" s="551"/>
      <c r="N91" s="552"/>
      <c r="O91" s="455"/>
      <c r="P91" s="452"/>
      <c r="Q91" s="455"/>
      <c r="R91" s="169"/>
      <c r="S91" s="458"/>
      <c r="T91" s="458"/>
    </row>
    <row r="92" spans="1:20" customFormat="1" ht="16.5">
      <c r="A92" s="505"/>
      <c r="B92" s="214"/>
      <c r="C92" s="455"/>
      <c r="D92" s="322"/>
      <c r="E92" s="323"/>
      <c r="F92" s="324"/>
      <c r="G92" s="406"/>
      <c r="H92" s="406"/>
      <c r="I92" s="406"/>
      <c r="J92" s="406"/>
      <c r="K92" s="121">
        <v>109.99509999999999</v>
      </c>
      <c r="L92" s="23">
        <v>110</v>
      </c>
      <c r="M92" s="551"/>
      <c r="N92" s="552"/>
      <c r="O92" s="455"/>
      <c r="P92" s="452"/>
      <c r="Q92" s="455"/>
      <c r="R92" s="169"/>
      <c r="S92" s="458"/>
      <c r="T92" s="458"/>
    </row>
    <row r="93" spans="1:20" customFormat="1" ht="16.5">
      <c r="A93" s="505"/>
      <c r="B93" s="214"/>
      <c r="C93" s="455"/>
      <c r="D93" s="322"/>
      <c r="E93" s="323"/>
      <c r="F93" s="324"/>
      <c r="G93" s="407"/>
      <c r="H93" s="407"/>
      <c r="I93" s="407"/>
      <c r="J93" s="407"/>
      <c r="K93" s="121" t="s">
        <v>247</v>
      </c>
      <c r="L93" s="23">
        <v>4</v>
      </c>
      <c r="M93" s="553"/>
      <c r="N93" s="554"/>
      <c r="O93" s="455"/>
      <c r="P93" s="452"/>
      <c r="Q93" s="455"/>
      <c r="R93" s="169"/>
      <c r="S93" s="458"/>
      <c r="T93" s="458"/>
    </row>
    <row r="94" spans="1:20" customFormat="1" ht="16.5">
      <c r="A94" s="505"/>
      <c r="B94" s="214"/>
      <c r="C94" s="456"/>
      <c r="D94" s="325"/>
      <c r="E94" s="326"/>
      <c r="F94" s="327"/>
      <c r="G94" s="463" t="s">
        <v>144</v>
      </c>
      <c r="H94" s="464"/>
      <c r="I94" s="464"/>
      <c r="J94" s="464"/>
      <c r="K94" s="465"/>
      <c r="L94" s="28">
        <f>SUM(L90:L93)</f>
        <v>970</v>
      </c>
      <c r="M94" s="28">
        <f>SUM(M90:M93)</f>
        <v>0</v>
      </c>
      <c r="N94" s="28">
        <f>SUM(N90:N93)</f>
        <v>0</v>
      </c>
      <c r="O94" s="456"/>
      <c r="P94" s="453"/>
      <c r="Q94" s="456"/>
      <c r="R94" s="170"/>
      <c r="S94" s="459"/>
      <c r="T94" s="459"/>
    </row>
    <row r="95" spans="1:20" customFormat="1" ht="16.5" customHeight="1">
      <c r="A95" s="505"/>
      <c r="B95" s="214"/>
      <c r="C95" s="454" t="s">
        <v>345</v>
      </c>
      <c r="D95" s="479" t="s">
        <v>346</v>
      </c>
      <c r="E95" s="480"/>
      <c r="F95" s="481"/>
      <c r="G95" s="482" t="s">
        <v>368</v>
      </c>
      <c r="H95" s="482" t="s">
        <v>367</v>
      </c>
      <c r="I95" s="405" t="s">
        <v>0</v>
      </c>
      <c r="J95" s="405" t="s">
        <v>1</v>
      </c>
      <c r="K95" s="120">
        <v>59.92</v>
      </c>
      <c r="L95" s="23">
        <v>164</v>
      </c>
      <c r="M95" s="518" t="s">
        <v>490</v>
      </c>
      <c r="N95" s="519"/>
      <c r="O95" s="454" t="s">
        <v>366</v>
      </c>
      <c r="P95" s="451" t="s">
        <v>365</v>
      </c>
      <c r="Q95" s="454" t="s">
        <v>364</v>
      </c>
      <c r="R95" s="168" t="s">
        <v>122</v>
      </c>
      <c r="S95" s="457"/>
      <c r="T95" s="457"/>
    </row>
    <row r="96" spans="1:20" customFormat="1" ht="16.5">
      <c r="A96" s="505"/>
      <c r="B96" s="214"/>
      <c r="C96" s="455"/>
      <c r="D96" s="322"/>
      <c r="E96" s="323"/>
      <c r="F96" s="324"/>
      <c r="G96" s="483"/>
      <c r="H96" s="483"/>
      <c r="I96" s="406"/>
      <c r="J96" s="406"/>
      <c r="K96" s="120">
        <v>59.94</v>
      </c>
      <c r="L96" s="23">
        <v>63</v>
      </c>
      <c r="M96" s="520"/>
      <c r="N96" s="521"/>
      <c r="O96" s="455"/>
      <c r="P96" s="452"/>
      <c r="Q96" s="455"/>
      <c r="R96" s="169"/>
      <c r="S96" s="458"/>
      <c r="T96" s="458"/>
    </row>
    <row r="97" spans="1:20" customFormat="1" ht="16.5">
      <c r="A97" s="505"/>
      <c r="B97" s="214"/>
      <c r="C97" s="455"/>
      <c r="D97" s="322"/>
      <c r="E97" s="323"/>
      <c r="F97" s="324"/>
      <c r="G97" s="483"/>
      <c r="H97" s="483"/>
      <c r="I97" s="406"/>
      <c r="J97" s="406"/>
      <c r="K97" s="120">
        <v>78.89</v>
      </c>
      <c r="L97" s="23">
        <v>20</v>
      </c>
      <c r="M97" s="520"/>
      <c r="N97" s="521"/>
      <c r="O97" s="455"/>
      <c r="P97" s="452"/>
      <c r="Q97" s="455"/>
      <c r="R97" s="169"/>
      <c r="S97" s="458"/>
      <c r="T97" s="458"/>
    </row>
    <row r="98" spans="1:20" customFormat="1" ht="16.5">
      <c r="A98" s="505"/>
      <c r="B98" s="214"/>
      <c r="C98" s="455"/>
      <c r="D98" s="322"/>
      <c r="E98" s="323"/>
      <c r="F98" s="324"/>
      <c r="G98" s="483"/>
      <c r="H98" s="483"/>
      <c r="I98" s="406"/>
      <c r="J98" s="406"/>
      <c r="K98" s="120">
        <v>84.89</v>
      </c>
      <c r="L98" s="23">
        <v>30</v>
      </c>
      <c r="M98" s="520"/>
      <c r="N98" s="521"/>
      <c r="O98" s="455"/>
      <c r="P98" s="452"/>
      <c r="Q98" s="455"/>
      <c r="R98" s="169"/>
      <c r="S98" s="458"/>
      <c r="T98" s="458"/>
    </row>
    <row r="99" spans="1:20" customFormat="1" ht="16.5">
      <c r="A99" s="505"/>
      <c r="B99" s="214"/>
      <c r="C99" s="455"/>
      <c r="D99" s="322"/>
      <c r="E99" s="323"/>
      <c r="F99" s="324"/>
      <c r="G99" s="484"/>
      <c r="H99" s="484"/>
      <c r="I99" s="407"/>
      <c r="J99" s="407"/>
      <c r="K99" s="120">
        <v>84.95</v>
      </c>
      <c r="L99" s="23">
        <v>4</v>
      </c>
      <c r="M99" s="522"/>
      <c r="N99" s="523"/>
      <c r="O99" s="455"/>
      <c r="P99" s="452"/>
      <c r="Q99" s="455"/>
      <c r="R99" s="169"/>
      <c r="S99" s="458"/>
      <c r="T99" s="458"/>
    </row>
    <row r="100" spans="1:20" customFormat="1" ht="16.5">
      <c r="A100" s="505"/>
      <c r="B100" s="214"/>
      <c r="C100" s="456"/>
      <c r="D100" s="325"/>
      <c r="E100" s="326"/>
      <c r="F100" s="327"/>
      <c r="G100" s="463" t="s">
        <v>144</v>
      </c>
      <c r="H100" s="464"/>
      <c r="I100" s="464"/>
      <c r="J100" s="464"/>
      <c r="K100" s="465"/>
      <c r="L100" s="28">
        <f>SUM(L95:L99)</f>
        <v>281</v>
      </c>
      <c r="M100" s="28">
        <f>SUM(M95:M99)</f>
        <v>0</v>
      </c>
      <c r="N100" s="28">
        <f>SUM(N95:N99)</f>
        <v>0</v>
      </c>
      <c r="O100" s="456"/>
      <c r="P100" s="453"/>
      <c r="Q100" s="456"/>
      <c r="R100" s="170"/>
      <c r="S100" s="459"/>
      <c r="T100" s="459"/>
    </row>
    <row r="101" spans="1:20" s="116" customFormat="1" ht="21.2" customHeight="1">
      <c r="A101" s="505"/>
      <c r="B101" s="159" t="s">
        <v>77</v>
      </c>
      <c r="C101" s="160"/>
      <c r="D101" s="160"/>
      <c r="E101" s="160"/>
      <c r="F101" s="160"/>
      <c r="G101" s="160"/>
      <c r="H101" s="160"/>
      <c r="I101" s="160"/>
      <c r="J101" s="160"/>
      <c r="K101" s="161"/>
      <c r="L101" s="122">
        <v>4979</v>
      </c>
      <c r="M101" s="122">
        <v>298</v>
      </c>
      <c r="N101" s="122">
        <v>325</v>
      </c>
      <c r="O101" s="10"/>
      <c r="P101" s="10"/>
      <c r="Q101" s="3"/>
      <c r="R101" s="3"/>
      <c r="S101" s="3"/>
      <c r="T101" s="3"/>
    </row>
    <row r="102" spans="1:20" s="116" customFormat="1" ht="21.2" customHeight="1">
      <c r="A102" s="505"/>
      <c r="B102" s="423" t="s">
        <v>15</v>
      </c>
      <c r="C102" s="180" t="s">
        <v>78</v>
      </c>
      <c r="D102" s="215" t="s">
        <v>256</v>
      </c>
      <c r="E102" s="216"/>
      <c r="F102" s="217"/>
      <c r="G102" s="224" t="s">
        <v>79</v>
      </c>
      <c r="H102" s="224" t="s">
        <v>80</v>
      </c>
      <c r="I102" s="224" t="s">
        <v>53</v>
      </c>
      <c r="J102" s="224" t="s">
        <v>73</v>
      </c>
      <c r="K102" s="115">
        <v>31.316700000000001</v>
      </c>
      <c r="L102" s="25">
        <v>159</v>
      </c>
      <c r="M102" s="35">
        <v>0</v>
      </c>
      <c r="N102" s="35">
        <v>23</v>
      </c>
      <c r="O102" s="230" t="s">
        <v>81</v>
      </c>
      <c r="P102" s="230" t="s">
        <v>81</v>
      </c>
      <c r="Q102" s="444" t="s">
        <v>433</v>
      </c>
      <c r="R102" s="444" t="s">
        <v>54</v>
      </c>
      <c r="S102" s="445"/>
      <c r="T102" s="460" t="s">
        <v>53</v>
      </c>
    </row>
    <row r="103" spans="1:20" s="116" customFormat="1" ht="21.2" customHeight="1">
      <c r="A103" s="505"/>
      <c r="B103" s="426"/>
      <c r="C103" s="181"/>
      <c r="D103" s="218"/>
      <c r="E103" s="219"/>
      <c r="F103" s="220"/>
      <c r="G103" s="226"/>
      <c r="H103" s="226"/>
      <c r="I103" s="226"/>
      <c r="J103" s="226"/>
      <c r="K103" s="115">
        <v>41.462600000000002</v>
      </c>
      <c r="L103" s="25">
        <v>6</v>
      </c>
      <c r="M103" s="123">
        <v>0</v>
      </c>
      <c r="N103" s="123">
        <v>0</v>
      </c>
      <c r="O103" s="230"/>
      <c r="P103" s="230"/>
      <c r="Q103" s="444"/>
      <c r="R103" s="444"/>
      <c r="S103" s="446"/>
      <c r="T103" s="461"/>
    </row>
    <row r="104" spans="1:20" s="116" customFormat="1" ht="21.2" customHeight="1">
      <c r="A104" s="505"/>
      <c r="B104" s="426"/>
      <c r="C104" s="182"/>
      <c r="D104" s="221"/>
      <c r="E104" s="222"/>
      <c r="F104" s="223"/>
      <c r="G104" s="174" t="s">
        <v>336</v>
      </c>
      <c r="H104" s="175"/>
      <c r="I104" s="175"/>
      <c r="J104" s="175"/>
      <c r="K104" s="176"/>
      <c r="L104" s="24">
        <f>L102+L103</f>
        <v>165</v>
      </c>
      <c r="M104" s="28">
        <f>SUM(M102:M103)</f>
        <v>0</v>
      </c>
      <c r="N104" s="28">
        <f>SUM(N102:N103)</f>
        <v>23</v>
      </c>
      <c r="O104" s="230"/>
      <c r="P104" s="230"/>
      <c r="Q104" s="444"/>
      <c r="R104" s="444"/>
      <c r="S104" s="447"/>
      <c r="T104" s="462"/>
    </row>
    <row r="105" spans="1:20" s="116" customFormat="1" ht="21.2" customHeight="1">
      <c r="A105" s="505"/>
      <c r="B105" s="426"/>
      <c r="C105" s="180" t="s">
        <v>82</v>
      </c>
      <c r="D105" s="215" t="s">
        <v>257</v>
      </c>
      <c r="E105" s="216"/>
      <c r="F105" s="217"/>
      <c r="G105" s="224" t="s">
        <v>83</v>
      </c>
      <c r="H105" s="224" t="s">
        <v>84</v>
      </c>
      <c r="I105" s="224" t="s">
        <v>53</v>
      </c>
      <c r="J105" s="224" t="s">
        <v>73</v>
      </c>
      <c r="K105" s="115">
        <v>19.335599999999999</v>
      </c>
      <c r="L105" s="25">
        <v>1</v>
      </c>
      <c r="M105" s="35"/>
      <c r="N105" s="35"/>
      <c r="O105" s="230" t="s">
        <v>85</v>
      </c>
      <c r="P105" s="230" t="s">
        <v>60</v>
      </c>
      <c r="Q105" s="444" t="s">
        <v>123</v>
      </c>
      <c r="R105" s="444" t="s">
        <v>54</v>
      </c>
      <c r="S105" s="445"/>
      <c r="T105" s="448" t="s">
        <v>4</v>
      </c>
    </row>
    <row r="106" spans="1:20" s="116" customFormat="1" ht="21.2" customHeight="1">
      <c r="A106" s="505"/>
      <c r="B106" s="426"/>
      <c r="C106" s="181"/>
      <c r="D106" s="218"/>
      <c r="E106" s="219"/>
      <c r="F106" s="220"/>
      <c r="G106" s="225"/>
      <c r="H106" s="225"/>
      <c r="I106" s="225"/>
      <c r="J106" s="225"/>
      <c r="K106" s="115">
        <v>55.668100000000003</v>
      </c>
      <c r="L106" s="25">
        <v>1</v>
      </c>
      <c r="M106" s="35"/>
      <c r="N106" s="35"/>
      <c r="O106" s="230"/>
      <c r="P106" s="230"/>
      <c r="Q106" s="444"/>
      <c r="R106" s="444"/>
      <c r="S106" s="446"/>
      <c r="T106" s="449"/>
    </row>
    <row r="107" spans="1:20" s="116" customFormat="1" ht="21.2" customHeight="1">
      <c r="A107" s="505"/>
      <c r="B107" s="426"/>
      <c r="C107" s="181"/>
      <c r="D107" s="218"/>
      <c r="E107" s="219"/>
      <c r="F107" s="220"/>
      <c r="G107" s="225"/>
      <c r="H107" s="225"/>
      <c r="I107" s="225"/>
      <c r="J107" s="225"/>
      <c r="K107" s="115">
        <v>63.872399999999999</v>
      </c>
      <c r="L107" s="25">
        <v>1</v>
      </c>
      <c r="M107" s="35"/>
      <c r="N107" s="35"/>
      <c r="O107" s="230"/>
      <c r="P107" s="230"/>
      <c r="Q107" s="444"/>
      <c r="R107" s="444"/>
      <c r="S107" s="446"/>
      <c r="T107" s="449"/>
    </row>
    <row r="108" spans="1:20" s="116" customFormat="1" ht="21.2" customHeight="1">
      <c r="A108" s="505"/>
      <c r="B108" s="426"/>
      <c r="C108" s="181"/>
      <c r="D108" s="218"/>
      <c r="E108" s="219"/>
      <c r="F108" s="220"/>
      <c r="G108" s="225"/>
      <c r="H108" s="225"/>
      <c r="I108" s="225"/>
      <c r="J108" s="225"/>
      <c r="K108" s="115">
        <v>84.899000000000001</v>
      </c>
      <c r="L108" s="25">
        <v>32</v>
      </c>
      <c r="M108" s="35"/>
      <c r="N108" s="35"/>
      <c r="O108" s="230"/>
      <c r="P108" s="230"/>
      <c r="Q108" s="444"/>
      <c r="R108" s="444"/>
      <c r="S108" s="446"/>
      <c r="T108" s="449"/>
    </row>
    <row r="109" spans="1:20" s="116" customFormat="1" ht="21.2" customHeight="1">
      <c r="A109" s="505"/>
      <c r="B109" s="426"/>
      <c r="C109" s="181"/>
      <c r="D109" s="218"/>
      <c r="E109" s="219"/>
      <c r="F109" s="220"/>
      <c r="G109" s="225"/>
      <c r="H109" s="225"/>
      <c r="I109" s="225"/>
      <c r="J109" s="225"/>
      <c r="K109" s="115">
        <v>84.724199999999996</v>
      </c>
      <c r="L109" s="25">
        <v>31</v>
      </c>
      <c r="M109" s="35"/>
      <c r="N109" s="35"/>
      <c r="O109" s="230"/>
      <c r="P109" s="230"/>
      <c r="Q109" s="444"/>
      <c r="R109" s="444"/>
      <c r="S109" s="446"/>
      <c r="T109" s="449"/>
    </row>
    <row r="110" spans="1:20" s="116" customFormat="1" ht="21.2" customHeight="1">
      <c r="A110" s="505"/>
      <c r="B110" s="426"/>
      <c r="C110" s="181"/>
      <c r="D110" s="218"/>
      <c r="E110" s="219"/>
      <c r="F110" s="220"/>
      <c r="G110" s="225"/>
      <c r="H110" s="225"/>
      <c r="I110" s="225"/>
      <c r="J110" s="225"/>
      <c r="K110" s="115">
        <v>86.886700000000005</v>
      </c>
      <c r="L110" s="25">
        <v>1</v>
      </c>
      <c r="M110" s="35"/>
      <c r="N110" s="35"/>
      <c r="O110" s="230"/>
      <c r="P110" s="230"/>
      <c r="Q110" s="444"/>
      <c r="R110" s="444"/>
      <c r="S110" s="446"/>
      <c r="T110" s="449"/>
    </row>
    <row r="111" spans="1:20" s="116" customFormat="1" ht="21.2" customHeight="1">
      <c r="A111" s="505"/>
      <c r="B111" s="426"/>
      <c r="C111" s="181"/>
      <c r="D111" s="218"/>
      <c r="E111" s="219"/>
      <c r="F111" s="220"/>
      <c r="G111" s="225"/>
      <c r="H111" s="225"/>
      <c r="I111" s="225"/>
      <c r="J111" s="225"/>
      <c r="K111" s="115">
        <v>95.351399999999998</v>
      </c>
      <c r="L111" s="25">
        <v>1</v>
      </c>
      <c r="M111" s="35"/>
      <c r="N111" s="35"/>
      <c r="O111" s="230"/>
      <c r="P111" s="230"/>
      <c r="Q111" s="444"/>
      <c r="R111" s="444"/>
      <c r="S111" s="446"/>
      <c r="T111" s="449"/>
    </row>
    <row r="112" spans="1:20" s="116" customFormat="1" ht="21.2" customHeight="1">
      <c r="A112" s="505"/>
      <c r="B112" s="426"/>
      <c r="C112" s="181"/>
      <c r="D112" s="218"/>
      <c r="E112" s="219"/>
      <c r="F112" s="220"/>
      <c r="G112" s="225"/>
      <c r="H112" s="225"/>
      <c r="I112" s="225"/>
      <c r="J112" s="225"/>
      <c r="K112" s="115">
        <v>128.95490000000001</v>
      </c>
      <c r="L112" s="25">
        <v>31</v>
      </c>
      <c r="M112" s="35">
        <v>0</v>
      </c>
      <c r="N112" s="35">
        <v>0</v>
      </c>
      <c r="O112" s="230"/>
      <c r="P112" s="230"/>
      <c r="Q112" s="444"/>
      <c r="R112" s="444"/>
      <c r="S112" s="446"/>
      <c r="T112" s="449"/>
    </row>
    <row r="113" spans="1:33" s="116" customFormat="1" ht="21.2" customHeight="1">
      <c r="A113" s="505"/>
      <c r="B113" s="426"/>
      <c r="C113" s="181"/>
      <c r="D113" s="218"/>
      <c r="E113" s="219"/>
      <c r="F113" s="220"/>
      <c r="G113" s="225"/>
      <c r="H113" s="225"/>
      <c r="I113" s="225"/>
      <c r="J113" s="225"/>
      <c r="K113" s="115">
        <v>132.85339999999999</v>
      </c>
      <c r="L113" s="25">
        <v>1</v>
      </c>
      <c r="M113" s="35">
        <v>0</v>
      </c>
      <c r="N113" s="35">
        <v>0</v>
      </c>
      <c r="O113" s="230"/>
      <c r="P113" s="230"/>
      <c r="Q113" s="444"/>
      <c r="R113" s="444"/>
      <c r="S113" s="446"/>
      <c r="T113" s="449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</row>
    <row r="114" spans="1:33" s="116" customFormat="1" ht="21.2" customHeight="1">
      <c r="A114" s="505"/>
      <c r="B114" s="426"/>
      <c r="C114" s="181"/>
      <c r="D114" s="218"/>
      <c r="E114" s="219"/>
      <c r="F114" s="220"/>
      <c r="G114" s="226"/>
      <c r="H114" s="226"/>
      <c r="I114" s="226"/>
      <c r="J114" s="226"/>
      <c r="K114" s="115">
        <v>148.6728</v>
      </c>
      <c r="L114" s="25">
        <v>31</v>
      </c>
      <c r="M114" s="35">
        <v>4</v>
      </c>
      <c r="N114" s="35">
        <v>4</v>
      </c>
      <c r="O114" s="230"/>
      <c r="P114" s="230"/>
      <c r="Q114" s="444"/>
      <c r="R114" s="444"/>
      <c r="S114" s="446"/>
      <c r="T114" s="449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</row>
    <row r="115" spans="1:33" s="116" customFormat="1" ht="21.2" customHeight="1">
      <c r="A115" s="505"/>
      <c r="B115" s="426"/>
      <c r="C115" s="182"/>
      <c r="D115" s="221"/>
      <c r="E115" s="222"/>
      <c r="F115" s="223"/>
      <c r="G115" s="174" t="s">
        <v>315</v>
      </c>
      <c r="H115" s="175"/>
      <c r="I115" s="175"/>
      <c r="J115" s="175"/>
      <c r="K115" s="176"/>
      <c r="L115" s="26">
        <f>L105+L106+L107+L108+L109+L110+L111+L112+L113+L114</f>
        <v>131</v>
      </c>
      <c r="M115" s="36">
        <f>SUM(M105:M114)</f>
        <v>4</v>
      </c>
      <c r="N115" s="36">
        <f>SUM(N105:N114)</f>
        <v>4</v>
      </c>
      <c r="O115" s="230"/>
      <c r="P115" s="230"/>
      <c r="Q115" s="444"/>
      <c r="R115" s="444"/>
      <c r="S115" s="447"/>
      <c r="T115" s="450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</row>
    <row r="116" spans="1:33" s="116" customFormat="1" ht="21.2" customHeight="1">
      <c r="A116" s="505"/>
      <c r="B116" s="426"/>
      <c r="C116" s="405" t="s">
        <v>124</v>
      </c>
      <c r="D116" s="411" t="s">
        <v>135</v>
      </c>
      <c r="E116" s="412"/>
      <c r="F116" s="413"/>
      <c r="G116" s="405" t="s">
        <v>125</v>
      </c>
      <c r="H116" s="405" t="s">
        <v>126</v>
      </c>
      <c r="I116" s="405" t="s">
        <v>0</v>
      </c>
      <c r="J116" s="405" t="s">
        <v>1</v>
      </c>
      <c r="K116" s="120">
        <v>21.277999999999999</v>
      </c>
      <c r="L116" s="124">
        <v>1</v>
      </c>
      <c r="M116" s="124">
        <v>0</v>
      </c>
      <c r="N116" s="124">
        <v>0</v>
      </c>
      <c r="O116" s="409">
        <v>44400</v>
      </c>
      <c r="P116" s="409">
        <v>44405</v>
      </c>
      <c r="Q116" s="409">
        <v>45099</v>
      </c>
      <c r="R116" s="410" t="s">
        <v>54</v>
      </c>
      <c r="S116" s="241"/>
      <c r="T116" s="405" t="s">
        <v>4</v>
      </c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</row>
    <row r="117" spans="1:33" s="116" customFormat="1" ht="21.2" customHeight="1">
      <c r="A117" s="505"/>
      <c r="B117" s="426"/>
      <c r="C117" s="406"/>
      <c r="D117" s="414"/>
      <c r="E117" s="415"/>
      <c r="F117" s="416"/>
      <c r="G117" s="406"/>
      <c r="H117" s="406"/>
      <c r="I117" s="406"/>
      <c r="J117" s="406"/>
      <c r="K117" s="125" t="s">
        <v>127</v>
      </c>
      <c r="L117" s="126">
        <v>8</v>
      </c>
      <c r="M117" s="126">
        <v>0</v>
      </c>
      <c r="N117" s="126">
        <v>0</v>
      </c>
      <c r="O117" s="409"/>
      <c r="P117" s="409"/>
      <c r="Q117" s="409"/>
      <c r="R117" s="410"/>
      <c r="S117" s="242"/>
      <c r="T117" s="406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</row>
    <row r="118" spans="1:33" s="116" customFormat="1" ht="21.2" customHeight="1">
      <c r="A118" s="505"/>
      <c r="B118" s="426"/>
      <c r="C118" s="406"/>
      <c r="D118" s="414"/>
      <c r="E118" s="415"/>
      <c r="F118" s="416"/>
      <c r="G118" s="406"/>
      <c r="H118" s="406"/>
      <c r="I118" s="406"/>
      <c r="J118" s="406"/>
      <c r="K118" s="125" t="s">
        <v>128</v>
      </c>
      <c r="L118" s="126">
        <v>3</v>
      </c>
      <c r="M118" s="126">
        <v>0</v>
      </c>
      <c r="N118" s="126">
        <v>0</v>
      </c>
      <c r="O118" s="409"/>
      <c r="P118" s="409"/>
      <c r="Q118" s="409"/>
      <c r="R118" s="410"/>
      <c r="S118" s="242"/>
      <c r="T118" s="406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</row>
    <row r="119" spans="1:33" s="116" customFormat="1" ht="21.2" customHeight="1">
      <c r="A119" s="505"/>
      <c r="B119" s="426"/>
      <c r="C119" s="406"/>
      <c r="D119" s="414"/>
      <c r="E119" s="415"/>
      <c r="F119" s="416"/>
      <c r="G119" s="406"/>
      <c r="H119" s="406"/>
      <c r="I119" s="406"/>
      <c r="J119" s="406"/>
      <c r="K119" s="125" t="s">
        <v>129</v>
      </c>
      <c r="L119" s="126">
        <v>17</v>
      </c>
      <c r="M119" s="126">
        <v>0</v>
      </c>
      <c r="N119" s="126">
        <v>0</v>
      </c>
      <c r="O119" s="409"/>
      <c r="P119" s="409"/>
      <c r="Q119" s="409"/>
      <c r="R119" s="410"/>
      <c r="S119" s="242"/>
      <c r="T119" s="406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</row>
    <row r="120" spans="1:33" s="116" customFormat="1" ht="21.2" customHeight="1">
      <c r="A120" s="505"/>
      <c r="B120" s="426"/>
      <c r="C120" s="406"/>
      <c r="D120" s="414"/>
      <c r="E120" s="415"/>
      <c r="F120" s="416"/>
      <c r="G120" s="406"/>
      <c r="H120" s="406"/>
      <c r="I120" s="406"/>
      <c r="J120" s="406"/>
      <c r="K120" s="125" t="s">
        <v>130</v>
      </c>
      <c r="L120" s="126">
        <v>17</v>
      </c>
      <c r="M120" s="126">
        <v>0</v>
      </c>
      <c r="N120" s="126">
        <v>0</v>
      </c>
      <c r="O120" s="409"/>
      <c r="P120" s="409"/>
      <c r="Q120" s="409"/>
      <c r="R120" s="410"/>
      <c r="S120" s="242"/>
      <c r="T120" s="406"/>
      <c r="U120" s="111"/>
      <c r="V120" s="111"/>
      <c r="W120" s="111"/>
      <c r="X120" s="111"/>
      <c r="Y120" s="75" t="s">
        <v>471</v>
      </c>
      <c r="Z120" s="111"/>
      <c r="AA120" s="111"/>
      <c r="AB120" s="111"/>
      <c r="AC120" s="111"/>
      <c r="AD120" s="111"/>
      <c r="AE120" s="111"/>
      <c r="AF120" s="111"/>
      <c r="AG120" s="111"/>
    </row>
    <row r="121" spans="1:33" s="116" customFormat="1" ht="21.2" customHeight="1">
      <c r="A121" s="505"/>
      <c r="B121" s="426"/>
      <c r="C121" s="406"/>
      <c r="D121" s="414"/>
      <c r="E121" s="415"/>
      <c r="F121" s="416"/>
      <c r="G121" s="406"/>
      <c r="H121" s="406"/>
      <c r="I121" s="406"/>
      <c r="J121" s="406"/>
      <c r="K121" s="120" t="s">
        <v>131</v>
      </c>
      <c r="L121" s="126">
        <v>12</v>
      </c>
      <c r="M121" s="126">
        <v>0</v>
      </c>
      <c r="N121" s="126">
        <v>0</v>
      </c>
      <c r="O121" s="409"/>
      <c r="P121" s="409"/>
      <c r="Q121" s="409"/>
      <c r="R121" s="410"/>
      <c r="S121" s="242"/>
      <c r="T121" s="406"/>
      <c r="U121" s="111"/>
      <c r="V121" s="111"/>
      <c r="W121" s="111"/>
      <c r="X121" s="127">
        <v>0.4</v>
      </c>
      <c r="Y121" s="111"/>
      <c r="Z121" s="111"/>
      <c r="AA121" s="111"/>
      <c r="AB121" s="111"/>
      <c r="AC121" s="111"/>
      <c r="AD121" s="111"/>
      <c r="AE121" s="111"/>
      <c r="AF121" s="111"/>
      <c r="AG121" s="111"/>
    </row>
    <row r="122" spans="1:33" s="128" customFormat="1" ht="24" customHeight="1">
      <c r="A122" s="505"/>
      <c r="B122" s="426"/>
      <c r="C122" s="406"/>
      <c r="D122" s="414"/>
      <c r="E122" s="415"/>
      <c r="F122" s="416"/>
      <c r="G122" s="406"/>
      <c r="H122" s="406"/>
      <c r="I122" s="406"/>
      <c r="J122" s="406"/>
      <c r="K122" s="120">
        <v>31.713000000000001</v>
      </c>
      <c r="L122" s="126">
        <v>6</v>
      </c>
      <c r="M122" s="126">
        <v>0</v>
      </c>
      <c r="N122" s="126">
        <v>0</v>
      </c>
      <c r="O122" s="409"/>
      <c r="P122" s="409"/>
      <c r="Q122" s="409"/>
      <c r="R122" s="410"/>
      <c r="S122" s="242"/>
      <c r="T122" s="406"/>
      <c r="U122" s="111"/>
      <c r="V122" s="111"/>
      <c r="W122" s="111"/>
      <c r="X122" s="127">
        <v>0.08</v>
      </c>
      <c r="Y122" s="111"/>
      <c r="Z122" s="111"/>
      <c r="AA122" s="111"/>
      <c r="AB122" s="111"/>
      <c r="AC122" s="111"/>
      <c r="AD122" s="111"/>
      <c r="AE122" s="111"/>
      <c r="AF122" s="111"/>
      <c r="AG122" s="111"/>
    </row>
    <row r="123" spans="1:33" s="128" customFormat="1" ht="24" customHeight="1">
      <c r="A123" s="505"/>
      <c r="B123" s="426"/>
      <c r="C123" s="406"/>
      <c r="D123" s="414"/>
      <c r="E123" s="415"/>
      <c r="F123" s="416"/>
      <c r="G123" s="406"/>
      <c r="H123" s="406"/>
      <c r="I123" s="406"/>
      <c r="J123" s="406"/>
      <c r="K123" s="120">
        <v>32.189</v>
      </c>
      <c r="L123" s="126">
        <v>3</v>
      </c>
      <c r="M123" s="126">
        <v>0</v>
      </c>
      <c r="N123" s="126">
        <v>0</v>
      </c>
      <c r="O123" s="409"/>
      <c r="P123" s="409"/>
      <c r="Q123" s="409"/>
      <c r="R123" s="410"/>
      <c r="S123" s="242"/>
      <c r="T123" s="406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</row>
    <row r="124" spans="1:33" s="128" customFormat="1" ht="24" customHeight="1">
      <c r="A124" s="505"/>
      <c r="B124" s="426"/>
      <c r="C124" s="406"/>
      <c r="D124" s="414"/>
      <c r="E124" s="415"/>
      <c r="F124" s="416"/>
      <c r="G124" s="406"/>
      <c r="H124" s="406"/>
      <c r="I124" s="406"/>
      <c r="J124" s="406"/>
      <c r="K124" s="120" t="s">
        <v>132</v>
      </c>
      <c r="L124" s="126">
        <v>21</v>
      </c>
      <c r="M124" s="126">
        <v>0</v>
      </c>
      <c r="N124" s="126">
        <v>0</v>
      </c>
      <c r="O124" s="409"/>
      <c r="P124" s="409"/>
      <c r="Q124" s="409"/>
      <c r="R124" s="410"/>
      <c r="S124" s="242"/>
      <c r="T124" s="406"/>
      <c r="U124" s="111"/>
      <c r="V124" s="111" t="s">
        <v>474</v>
      </c>
      <c r="W124" s="111"/>
      <c r="X124" s="127">
        <v>0.04</v>
      </c>
      <c r="Y124" s="111"/>
      <c r="Z124" s="111"/>
      <c r="AA124" s="111"/>
      <c r="AB124" s="111"/>
      <c r="AC124" s="111"/>
      <c r="AD124" s="111"/>
      <c r="AE124" s="111"/>
      <c r="AF124" s="111"/>
      <c r="AG124" s="111"/>
    </row>
    <row r="125" spans="1:33" s="128" customFormat="1" ht="24" customHeight="1">
      <c r="A125" s="505"/>
      <c r="B125" s="426"/>
      <c r="C125" s="406"/>
      <c r="D125" s="414"/>
      <c r="E125" s="415"/>
      <c r="F125" s="416"/>
      <c r="G125" s="406"/>
      <c r="H125" s="406"/>
      <c r="I125" s="406"/>
      <c r="J125" s="406"/>
      <c r="K125" s="120" t="s">
        <v>133</v>
      </c>
      <c r="L125" s="126">
        <v>42</v>
      </c>
      <c r="M125" s="126">
        <v>1</v>
      </c>
      <c r="N125" s="126">
        <v>4</v>
      </c>
      <c r="O125" s="409"/>
      <c r="P125" s="409"/>
      <c r="Q125" s="409"/>
      <c r="R125" s="410"/>
      <c r="S125" s="242"/>
      <c r="T125" s="406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</row>
    <row r="126" spans="1:33" s="128" customFormat="1" ht="24" customHeight="1">
      <c r="A126" s="505"/>
      <c r="B126" s="426"/>
      <c r="C126" s="406"/>
      <c r="D126" s="414"/>
      <c r="E126" s="415"/>
      <c r="F126" s="416"/>
      <c r="G126" s="407"/>
      <c r="H126" s="407"/>
      <c r="I126" s="407"/>
      <c r="J126" s="407"/>
      <c r="K126" s="120" t="s">
        <v>134</v>
      </c>
      <c r="L126" s="126">
        <v>6</v>
      </c>
      <c r="M126" s="126">
        <v>0</v>
      </c>
      <c r="N126" s="126">
        <v>0</v>
      </c>
      <c r="O126" s="409"/>
      <c r="P126" s="409"/>
      <c r="Q126" s="409"/>
      <c r="R126" s="410"/>
      <c r="S126" s="242"/>
      <c r="T126" s="406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</row>
    <row r="127" spans="1:33" s="128" customFormat="1" ht="24" customHeight="1">
      <c r="A127" s="505"/>
      <c r="B127" s="426"/>
      <c r="C127" s="407"/>
      <c r="D127" s="417"/>
      <c r="E127" s="418"/>
      <c r="F127" s="419"/>
      <c r="G127" s="174" t="s">
        <v>315</v>
      </c>
      <c r="H127" s="175"/>
      <c r="I127" s="175"/>
      <c r="J127" s="175"/>
      <c r="K127" s="176"/>
      <c r="L127" s="29">
        <f>SUM(L116:L126)</f>
        <v>136</v>
      </c>
      <c r="M127" s="36">
        <f>SUM(M116:M126)</f>
        <v>1</v>
      </c>
      <c r="N127" s="36">
        <f>SUM(N116:N126)</f>
        <v>4</v>
      </c>
      <c r="O127" s="409"/>
      <c r="P127" s="409"/>
      <c r="Q127" s="409"/>
      <c r="R127" s="410"/>
      <c r="S127" s="243"/>
      <c r="T127" s="407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</row>
    <row r="128" spans="1:33" s="128" customFormat="1" ht="24" customHeight="1">
      <c r="A128" s="505"/>
      <c r="B128" s="426"/>
      <c r="C128" s="162" t="s">
        <v>339</v>
      </c>
      <c r="D128" s="466" t="s">
        <v>382</v>
      </c>
      <c r="E128" s="467"/>
      <c r="F128" s="468"/>
      <c r="G128" s="475"/>
      <c r="H128" s="475"/>
      <c r="I128" s="475"/>
      <c r="J128" s="475"/>
      <c r="K128" s="52">
        <v>73</v>
      </c>
      <c r="L128" s="126">
        <v>86</v>
      </c>
      <c r="M128" s="555" t="s">
        <v>490</v>
      </c>
      <c r="N128" s="556"/>
      <c r="O128" s="436">
        <v>44644</v>
      </c>
      <c r="P128" s="436">
        <v>44678</v>
      </c>
      <c r="Q128" s="436">
        <v>45659</v>
      </c>
      <c r="R128" s="405" t="s">
        <v>62</v>
      </c>
      <c r="S128" s="438"/>
      <c r="T128" s="438"/>
    </row>
    <row r="129" spans="1:20" s="128" customFormat="1" ht="24" customHeight="1">
      <c r="A129" s="505"/>
      <c r="B129" s="426"/>
      <c r="C129" s="163"/>
      <c r="D129" s="469"/>
      <c r="E129" s="470"/>
      <c r="F129" s="471"/>
      <c r="G129" s="476"/>
      <c r="H129" s="476"/>
      <c r="I129" s="476"/>
      <c r="J129" s="476"/>
      <c r="K129" s="52" t="s">
        <v>383</v>
      </c>
      <c r="L129" s="129">
        <v>70</v>
      </c>
      <c r="M129" s="557"/>
      <c r="N129" s="558"/>
      <c r="O129" s="437"/>
      <c r="P129" s="437"/>
      <c r="Q129" s="437"/>
      <c r="R129" s="406"/>
      <c r="S129" s="439"/>
      <c r="T129" s="439"/>
    </row>
    <row r="130" spans="1:20" s="128" customFormat="1" ht="24" customHeight="1">
      <c r="A130" s="505"/>
      <c r="B130" s="426"/>
      <c r="C130" s="163"/>
      <c r="D130" s="469"/>
      <c r="E130" s="470"/>
      <c r="F130" s="471"/>
      <c r="G130" s="476"/>
      <c r="H130" s="476"/>
      <c r="I130" s="476"/>
      <c r="J130" s="476"/>
      <c r="K130" s="52" t="s">
        <v>384</v>
      </c>
      <c r="L130" s="129">
        <v>18</v>
      </c>
      <c r="M130" s="557"/>
      <c r="N130" s="558"/>
      <c r="O130" s="437"/>
      <c r="P130" s="437"/>
      <c r="Q130" s="437"/>
      <c r="R130" s="406"/>
      <c r="S130" s="439"/>
      <c r="T130" s="439"/>
    </row>
    <row r="131" spans="1:20" s="128" customFormat="1" ht="24" customHeight="1">
      <c r="A131" s="505"/>
      <c r="B131" s="426"/>
      <c r="C131" s="163"/>
      <c r="D131" s="469"/>
      <c r="E131" s="470"/>
      <c r="F131" s="471"/>
      <c r="G131" s="477"/>
      <c r="H131" s="477"/>
      <c r="I131" s="477"/>
      <c r="J131" s="477"/>
      <c r="K131" s="52">
        <v>84</v>
      </c>
      <c r="L131" s="129">
        <v>60</v>
      </c>
      <c r="M131" s="559"/>
      <c r="N131" s="560"/>
      <c r="O131" s="437"/>
      <c r="P131" s="437"/>
      <c r="Q131" s="437"/>
      <c r="R131" s="406"/>
      <c r="S131" s="439"/>
      <c r="T131" s="439"/>
    </row>
    <row r="132" spans="1:20" s="128" customFormat="1" ht="24" customHeight="1">
      <c r="A132" s="505"/>
      <c r="B132" s="426"/>
      <c r="C132" s="164"/>
      <c r="D132" s="472"/>
      <c r="E132" s="473"/>
      <c r="F132" s="474"/>
      <c r="G132" s="174" t="s">
        <v>315</v>
      </c>
      <c r="H132" s="175"/>
      <c r="I132" s="175"/>
      <c r="J132" s="175"/>
      <c r="K132" s="176"/>
      <c r="L132" s="29">
        <f>SUM(L128:L131)</f>
        <v>234</v>
      </c>
      <c r="M132" s="36">
        <f>SUM(M128:M131)</f>
        <v>0</v>
      </c>
      <c r="N132" s="36">
        <f>SUM(N128:N131)</f>
        <v>0</v>
      </c>
      <c r="O132" s="408"/>
      <c r="P132" s="408"/>
      <c r="Q132" s="408"/>
      <c r="R132" s="407"/>
      <c r="S132" s="440"/>
      <c r="T132" s="440"/>
    </row>
    <row r="133" spans="1:20" s="128" customFormat="1" ht="24" customHeight="1">
      <c r="A133" s="505"/>
      <c r="B133" s="426"/>
      <c r="C133" s="405" t="s">
        <v>143</v>
      </c>
      <c r="D133" s="411" t="s">
        <v>412</v>
      </c>
      <c r="E133" s="412"/>
      <c r="F133" s="413"/>
      <c r="G133" s="430" t="s">
        <v>188</v>
      </c>
      <c r="H133" s="430" t="s">
        <v>189</v>
      </c>
      <c r="I133" s="430" t="s">
        <v>0</v>
      </c>
      <c r="J133" s="430" t="s">
        <v>1</v>
      </c>
      <c r="K133" s="52" t="s">
        <v>190</v>
      </c>
      <c r="L133" s="129">
        <v>21</v>
      </c>
      <c r="M133" s="561" t="s">
        <v>490</v>
      </c>
      <c r="N133" s="562"/>
      <c r="O133" s="436">
        <v>44820</v>
      </c>
      <c r="P133" s="436">
        <v>44853</v>
      </c>
      <c r="Q133" s="436">
        <v>45626</v>
      </c>
      <c r="R133" s="405" t="s">
        <v>62</v>
      </c>
      <c r="S133" s="241"/>
      <c r="T133" s="405" t="s">
        <v>0</v>
      </c>
    </row>
    <row r="134" spans="1:20" s="128" customFormat="1" ht="24" customHeight="1">
      <c r="A134" s="505"/>
      <c r="B134" s="426"/>
      <c r="C134" s="406"/>
      <c r="D134" s="414"/>
      <c r="E134" s="415"/>
      <c r="F134" s="416"/>
      <c r="G134" s="431"/>
      <c r="H134" s="431"/>
      <c r="I134" s="431"/>
      <c r="J134" s="431"/>
      <c r="K134" s="52" t="s">
        <v>191</v>
      </c>
      <c r="L134" s="129">
        <v>39</v>
      </c>
      <c r="M134" s="563"/>
      <c r="N134" s="564"/>
      <c r="O134" s="437"/>
      <c r="P134" s="437"/>
      <c r="Q134" s="437"/>
      <c r="R134" s="406"/>
      <c r="S134" s="242"/>
      <c r="T134" s="406"/>
    </row>
    <row r="135" spans="1:20" s="128" customFormat="1" ht="24" customHeight="1">
      <c r="A135" s="505"/>
      <c r="B135" s="426"/>
      <c r="C135" s="406"/>
      <c r="D135" s="414"/>
      <c r="E135" s="415"/>
      <c r="F135" s="416"/>
      <c r="G135" s="431"/>
      <c r="H135" s="431"/>
      <c r="I135" s="431"/>
      <c r="J135" s="431"/>
      <c r="K135" s="52">
        <v>130.00460000000001</v>
      </c>
      <c r="L135" s="129">
        <v>105</v>
      </c>
      <c r="M135" s="563"/>
      <c r="N135" s="564"/>
      <c r="O135" s="437"/>
      <c r="P135" s="437"/>
      <c r="Q135" s="437"/>
      <c r="R135" s="406"/>
      <c r="S135" s="242"/>
      <c r="T135" s="406"/>
    </row>
    <row r="136" spans="1:20" s="128" customFormat="1" ht="24" customHeight="1">
      <c r="A136" s="505"/>
      <c r="B136" s="426"/>
      <c r="C136" s="406"/>
      <c r="D136" s="414"/>
      <c r="E136" s="415"/>
      <c r="F136" s="416"/>
      <c r="G136" s="431"/>
      <c r="H136" s="431"/>
      <c r="I136" s="431"/>
      <c r="J136" s="431"/>
      <c r="K136" s="52">
        <v>148.81020000000001</v>
      </c>
      <c r="L136" s="129">
        <v>6</v>
      </c>
      <c r="M136" s="563"/>
      <c r="N136" s="564"/>
      <c r="O136" s="437"/>
      <c r="P136" s="437"/>
      <c r="Q136" s="437"/>
      <c r="R136" s="406"/>
      <c r="S136" s="242"/>
      <c r="T136" s="406"/>
    </row>
    <row r="137" spans="1:20" s="128" customFormat="1" ht="24" customHeight="1">
      <c r="A137" s="505"/>
      <c r="B137" s="426"/>
      <c r="C137" s="406"/>
      <c r="D137" s="414"/>
      <c r="E137" s="415"/>
      <c r="F137" s="416"/>
      <c r="G137" s="431"/>
      <c r="H137" s="431"/>
      <c r="I137" s="431"/>
      <c r="J137" s="431"/>
      <c r="K137" s="52">
        <v>180.874</v>
      </c>
      <c r="L137" s="129">
        <v>3</v>
      </c>
      <c r="M137" s="563"/>
      <c r="N137" s="564"/>
      <c r="O137" s="437"/>
      <c r="P137" s="437"/>
      <c r="Q137" s="437"/>
      <c r="R137" s="406"/>
      <c r="S137" s="242"/>
      <c r="T137" s="406"/>
    </row>
    <row r="138" spans="1:20" s="128" customFormat="1" ht="24" customHeight="1">
      <c r="A138" s="505"/>
      <c r="B138" s="426"/>
      <c r="C138" s="406"/>
      <c r="D138" s="414"/>
      <c r="E138" s="415"/>
      <c r="F138" s="416"/>
      <c r="G138" s="432"/>
      <c r="H138" s="432"/>
      <c r="I138" s="432"/>
      <c r="J138" s="432"/>
      <c r="K138" s="52">
        <v>194.99299999999999</v>
      </c>
      <c r="L138" s="129">
        <v>2</v>
      </c>
      <c r="M138" s="565"/>
      <c r="N138" s="566"/>
      <c r="O138" s="437"/>
      <c r="P138" s="437"/>
      <c r="Q138" s="437"/>
      <c r="R138" s="406"/>
      <c r="S138" s="242"/>
      <c r="T138" s="406"/>
    </row>
    <row r="139" spans="1:20" s="128" customFormat="1" ht="24" customHeight="1">
      <c r="A139" s="505"/>
      <c r="B139" s="426"/>
      <c r="C139" s="407"/>
      <c r="D139" s="417"/>
      <c r="E139" s="418"/>
      <c r="F139" s="419"/>
      <c r="G139" s="174" t="s">
        <v>338</v>
      </c>
      <c r="H139" s="175"/>
      <c r="I139" s="175"/>
      <c r="J139" s="175"/>
      <c r="K139" s="176"/>
      <c r="L139" s="130">
        <f>SUM(L133:L138)</f>
        <v>176</v>
      </c>
      <c r="M139" s="130">
        <f>SUM(M133:M138)</f>
        <v>0</v>
      </c>
      <c r="N139" s="130">
        <f>SUM(N133:N138)</f>
        <v>0</v>
      </c>
      <c r="O139" s="408"/>
      <c r="P139" s="408"/>
      <c r="Q139" s="408"/>
      <c r="R139" s="407"/>
      <c r="S139" s="243"/>
      <c r="T139" s="407"/>
    </row>
    <row r="140" spans="1:20" s="128" customFormat="1" ht="24" customHeight="1">
      <c r="A140" s="505"/>
      <c r="B140" s="426"/>
      <c r="C140" s="435" t="s">
        <v>109</v>
      </c>
      <c r="D140" s="189" t="s">
        <v>419</v>
      </c>
      <c r="E140" s="422"/>
      <c r="F140" s="423"/>
      <c r="G140" s="227" t="s">
        <v>211</v>
      </c>
      <c r="H140" s="227" t="s">
        <v>215</v>
      </c>
      <c r="I140" s="227" t="s">
        <v>0</v>
      </c>
      <c r="J140" s="227" t="s">
        <v>1</v>
      </c>
      <c r="K140" s="69" t="s">
        <v>214</v>
      </c>
      <c r="L140" s="53">
        <v>113</v>
      </c>
      <c r="M140" s="54"/>
      <c r="N140" s="54"/>
      <c r="O140" s="396">
        <v>44911</v>
      </c>
      <c r="P140" s="396">
        <v>44944</v>
      </c>
      <c r="Q140" s="399">
        <v>45832</v>
      </c>
      <c r="R140" s="207" t="s">
        <v>62</v>
      </c>
      <c r="S140" s="441"/>
      <c r="T140" s="405" t="s">
        <v>53</v>
      </c>
    </row>
    <row r="141" spans="1:20" s="128" customFormat="1" ht="24" customHeight="1">
      <c r="A141" s="505"/>
      <c r="B141" s="426"/>
      <c r="C141" s="202"/>
      <c r="D141" s="424"/>
      <c r="E141" s="425"/>
      <c r="F141" s="426"/>
      <c r="G141" s="231"/>
      <c r="H141" s="231"/>
      <c r="I141" s="231"/>
      <c r="J141" s="231"/>
      <c r="K141" s="70" t="s">
        <v>213</v>
      </c>
      <c r="L141" s="131">
        <v>132</v>
      </c>
      <c r="M141" s="132"/>
      <c r="N141" s="132"/>
      <c r="O141" s="231"/>
      <c r="P141" s="231"/>
      <c r="Q141" s="208"/>
      <c r="R141" s="208"/>
      <c r="S141" s="442"/>
      <c r="T141" s="406"/>
    </row>
    <row r="142" spans="1:20" s="128" customFormat="1" ht="24" customHeight="1">
      <c r="A142" s="505"/>
      <c r="B142" s="426"/>
      <c r="C142" s="202"/>
      <c r="D142" s="424"/>
      <c r="E142" s="425"/>
      <c r="F142" s="426"/>
      <c r="G142" s="228"/>
      <c r="H142" s="228"/>
      <c r="I142" s="228"/>
      <c r="J142" s="228"/>
      <c r="K142" s="70">
        <v>118.9286</v>
      </c>
      <c r="L142" s="114">
        <v>101</v>
      </c>
      <c r="M142" s="132">
        <v>7</v>
      </c>
      <c r="N142" s="132">
        <v>7</v>
      </c>
      <c r="O142" s="231"/>
      <c r="P142" s="231"/>
      <c r="Q142" s="208"/>
      <c r="R142" s="208"/>
      <c r="S142" s="442"/>
      <c r="T142" s="406"/>
    </row>
    <row r="143" spans="1:20" s="128" customFormat="1" ht="24" customHeight="1">
      <c r="A143" s="505"/>
      <c r="B143" s="426"/>
      <c r="C143" s="203"/>
      <c r="D143" s="427"/>
      <c r="E143" s="428"/>
      <c r="F143" s="429"/>
      <c r="G143" s="174" t="s">
        <v>338</v>
      </c>
      <c r="H143" s="175"/>
      <c r="I143" s="175"/>
      <c r="J143" s="175"/>
      <c r="K143" s="176"/>
      <c r="L143" s="30">
        <f>SUM(L140:L142)</f>
        <v>346</v>
      </c>
      <c r="M143" s="30">
        <f>SUM(M140:M142)</f>
        <v>7</v>
      </c>
      <c r="N143" s="30">
        <f>SUM(N140:N142)</f>
        <v>7</v>
      </c>
      <c r="O143" s="228"/>
      <c r="P143" s="228"/>
      <c r="Q143" s="209"/>
      <c r="R143" s="209"/>
      <c r="S143" s="443"/>
      <c r="T143" s="407"/>
    </row>
    <row r="144" spans="1:20" s="128" customFormat="1" ht="24" customHeight="1">
      <c r="A144" s="505"/>
      <c r="B144" s="426"/>
      <c r="C144" s="227" t="s">
        <v>200</v>
      </c>
      <c r="D144" s="189" t="s">
        <v>413</v>
      </c>
      <c r="E144" s="422"/>
      <c r="F144" s="423"/>
      <c r="G144" s="227" t="s">
        <v>201</v>
      </c>
      <c r="H144" s="227" t="s">
        <v>189</v>
      </c>
      <c r="I144" s="430" t="s">
        <v>0</v>
      </c>
      <c r="J144" s="430" t="s">
        <v>1</v>
      </c>
      <c r="K144" s="69" t="s">
        <v>202</v>
      </c>
      <c r="L144" s="55">
        <v>38</v>
      </c>
      <c r="M144" s="567" t="s">
        <v>490</v>
      </c>
      <c r="N144" s="568"/>
      <c r="O144" s="420">
        <v>44834</v>
      </c>
      <c r="P144" s="396">
        <v>44867</v>
      </c>
      <c r="Q144" s="433">
        <v>45961</v>
      </c>
      <c r="R144" s="434" t="s">
        <v>62</v>
      </c>
      <c r="S144" s="402"/>
      <c r="T144" s="405"/>
    </row>
    <row r="145" spans="1:33" s="128" customFormat="1" ht="24" customHeight="1">
      <c r="A145" s="505"/>
      <c r="B145" s="426"/>
      <c r="C145" s="231"/>
      <c r="D145" s="424"/>
      <c r="E145" s="425"/>
      <c r="F145" s="426"/>
      <c r="G145" s="231"/>
      <c r="H145" s="231"/>
      <c r="I145" s="431"/>
      <c r="J145" s="431"/>
      <c r="K145" s="133" t="s">
        <v>203</v>
      </c>
      <c r="L145" s="56">
        <v>87</v>
      </c>
      <c r="M145" s="569"/>
      <c r="N145" s="570"/>
      <c r="O145" s="421"/>
      <c r="P145" s="231"/>
      <c r="Q145" s="434"/>
      <c r="R145" s="434"/>
      <c r="S145" s="403"/>
      <c r="T145" s="406"/>
    </row>
    <row r="146" spans="1:33" s="128" customFormat="1" ht="24" customHeight="1">
      <c r="A146" s="505"/>
      <c r="B146" s="426"/>
      <c r="C146" s="231"/>
      <c r="D146" s="424"/>
      <c r="E146" s="425"/>
      <c r="F146" s="426"/>
      <c r="G146" s="231"/>
      <c r="H146" s="231"/>
      <c r="I146" s="431"/>
      <c r="J146" s="431"/>
      <c r="K146" s="133" t="s">
        <v>204</v>
      </c>
      <c r="L146" s="56">
        <v>38</v>
      </c>
      <c r="M146" s="569"/>
      <c r="N146" s="570"/>
      <c r="O146" s="421"/>
      <c r="P146" s="231"/>
      <c r="Q146" s="434"/>
      <c r="R146" s="434"/>
      <c r="S146" s="403"/>
      <c r="T146" s="406"/>
    </row>
    <row r="147" spans="1:33" s="128" customFormat="1" ht="24" customHeight="1">
      <c r="A147" s="505"/>
      <c r="B147" s="426"/>
      <c r="C147" s="231"/>
      <c r="D147" s="424"/>
      <c r="E147" s="425"/>
      <c r="F147" s="426"/>
      <c r="G147" s="231"/>
      <c r="H147" s="231"/>
      <c r="I147" s="431"/>
      <c r="J147" s="431"/>
      <c r="K147" s="133" t="s">
        <v>205</v>
      </c>
      <c r="L147" s="56">
        <v>2</v>
      </c>
      <c r="M147" s="569"/>
      <c r="N147" s="570"/>
      <c r="O147" s="421"/>
      <c r="P147" s="231"/>
      <c r="Q147" s="434"/>
      <c r="R147" s="434"/>
      <c r="S147" s="403"/>
      <c r="T147" s="406"/>
    </row>
    <row r="148" spans="1:33" s="128" customFormat="1" ht="24" customHeight="1">
      <c r="A148" s="505"/>
      <c r="B148" s="426"/>
      <c r="C148" s="231"/>
      <c r="D148" s="424"/>
      <c r="E148" s="425"/>
      <c r="F148" s="426"/>
      <c r="G148" s="228"/>
      <c r="H148" s="228"/>
      <c r="I148" s="432"/>
      <c r="J148" s="432"/>
      <c r="K148" s="133" t="s">
        <v>206</v>
      </c>
      <c r="L148" s="56">
        <v>2</v>
      </c>
      <c r="M148" s="571"/>
      <c r="N148" s="572"/>
      <c r="O148" s="421"/>
      <c r="P148" s="231"/>
      <c r="Q148" s="434"/>
      <c r="R148" s="434"/>
      <c r="S148" s="403"/>
      <c r="T148" s="406"/>
    </row>
    <row r="149" spans="1:33" s="128" customFormat="1" ht="24" customHeight="1">
      <c r="A149" s="505"/>
      <c r="B149" s="426"/>
      <c r="C149" s="228"/>
      <c r="D149" s="427"/>
      <c r="E149" s="428"/>
      <c r="F149" s="429"/>
      <c r="G149" s="174" t="s">
        <v>338</v>
      </c>
      <c r="H149" s="175"/>
      <c r="I149" s="175"/>
      <c r="J149" s="175"/>
      <c r="K149" s="176"/>
      <c r="L149" s="29">
        <f>SUM(L144:L148)</f>
        <v>167</v>
      </c>
      <c r="M149" s="29">
        <f>SUM(M144:M148)</f>
        <v>0</v>
      </c>
      <c r="N149" s="29">
        <f>SUM(N144:N148)</f>
        <v>0</v>
      </c>
      <c r="O149" s="421"/>
      <c r="P149" s="228"/>
      <c r="Q149" s="434"/>
      <c r="R149" s="434"/>
      <c r="S149" s="404"/>
      <c r="T149" s="407"/>
    </row>
    <row r="150" spans="1:33" s="128" customFormat="1" ht="24" customHeight="1">
      <c r="A150" s="505"/>
      <c r="B150" s="426"/>
      <c r="C150" s="405" t="s">
        <v>172</v>
      </c>
      <c r="D150" s="411" t="s">
        <v>173</v>
      </c>
      <c r="E150" s="412"/>
      <c r="F150" s="413"/>
      <c r="G150" s="405" t="s">
        <v>337</v>
      </c>
      <c r="H150" s="405" t="s">
        <v>17</v>
      </c>
      <c r="I150" s="405" t="s">
        <v>0</v>
      </c>
      <c r="J150" s="405" t="s">
        <v>1</v>
      </c>
      <c r="K150" s="57" t="s">
        <v>174</v>
      </c>
      <c r="L150" s="58">
        <v>9</v>
      </c>
      <c r="M150" s="134">
        <v>9</v>
      </c>
      <c r="N150" s="134">
        <v>9</v>
      </c>
      <c r="O150" s="408">
        <v>44711</v>
      </c>
      <c r="P150" s="408">
        <v>44719</v>
      </c>
      <c r="Q150" s="408">
        <v>45397</v>
      </c>
      <c r="R150" s="407" t="s">
        <v>56</v>
      </c>
      <c r="S150" s="241"/>
      <c r="T150" s="405" t="s">
        <v>0</v>
      </c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</row>
    <row r="151" spans="1:33" s="128" customFormat="1" ht="24" customHeight="1">
      <c r="A151" s="505"/>
      <c r="B151" s="426"/>
      <c r="C151" s="406"/>
      <c r="D151" s="414"/>
      <c r="E151" s="415"/>
      <c r="F151" s="416"/>
      <c r="G151" s="406"/>
      <c r="H151" s="406"/>
      <c r="I151" s="406"/>
      <c r="J151" s="406"/>
      <c r="K151" s="57" t="s">
        <v>175</v>
      </c>
      <c r="L151" s="58">
        <v>2</v>
      </c>
      <c r="M151" s="129">
        <v>2</v>
      </c>
      <c r="N151" s="129">
        <v>2</v>
      </c>
      <c r="O151" s="409"/>
      <c r="P151" s="409"/>
      <c r="Q151" s="409"/>
      <c r="R151" s="410"/>
      <c r="S151" s="242"/>
      <c r="T151" s="406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</row>
    <row r="152" spans="1:33" s="128" customFormat="1" ht="24" customHeight="1">
      <c r="A152" s="505"/>
      <c r="B152" s="426"/>
      <c r="C152" s="406"/>
      <c r="D152" s="414"/>
      <c r="E152" s="415"/>
      <c r="F152" s="416"/>
      <c r="G152" s="406"/>
      <c r="H152" s="406"/>
      <c r="I152" s="406"/>
      <c r="J152" s="406"/>
      <c r="K152" s="59">
        <v>32.698900000000002</v>
      </c>
      <c r="L152" s="58">
        <v>63</v>
      </c>
      <c r="M152" s="129">
        <v>62</v>
      </c>
      <c r="N152" s="129">
        <v>62</v>
      </c>
      <c r="O152" s="409"/>
      <c r="P152" s="409"/>
      <c r="Q152" s="409"/>
      <c r="R152" s="410"/>
      <c r="S152" s="242"/>
      <c r="T152" s="406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</row>
    <row r="153" spans="1:33" s="128" customFormat="1" ht="24" customHeight="1">
      <c r="A153" s="505"/>
      <c r="B153" s="426"/>
      <c r="C153" s="406"/>
      <c r="D153" s="414"/>
      <c r="E153" s="415"/>
      <c r="F153" s="416"/>
      <c r="G153" s="406"/>
      <c r="H153" s="406"/>
      <c r="I153" s="406"/>
      <c r="J153" s="406"/>
      <c r="K153" s="59">
        <v>33.6554</v>
      </c>
      <c r="L153" s="58">
        <v>1</v>
      </c>
      <c r="M153" s="129">
        <v>1</v>
      </c>
      <c r="N153" s="129">
        <v>1</v>
      </c>
      <c r="O153" s="409"/>
      <c r="P153" s="409"/>
      <c r="Q153" s="409"/>
      <c r="R153" s="410"/>
      <c r="S153" s="242"/>
      <c r="T153" s="406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</row>
    <row r="154" spans="1:33" s="128" customFormat="1" ht="24" customHeight="1">
      <c r="A154" s="505"/>
      <c r="B154" s="426"/>
      <c r="C154" s="406"/>
      <c r="D154" s="414"/>
      <c r="E154" s="415"/>
      <c r="F154" s="416"/>
      <c r="G154" s="406"/>
      <c r="H154" s="406"/>
      <c r="I154" s="406"/>
      <c r="J154" s="406"/>
      <c r="K154" s="59" t="s">
        <v>176</v>
      </c>
      <c r="L154" s="58">
        <v>2</v>
      </c>
      <c r="M154" s="129">
        <v>2</v>
      </c>
      <c r="N154" s="129">
        <v>2</v>
      </c>
      <c r="O154" s="409"/>
      <c r="P154" s="409"/>
      <c r="Q154" s="409"/>
      <c r="R154" s="410"/>
      <c r="S154" s="242"/>
      <c r="T154" s="406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</row>
    <row r="155" spans="1:33" s="128" customFormat="1" ht="24" customHeight="1">
      <c r="A155" s="505"/>
      <c r="B155" s="426"/>
      <c r="C155" s="406"/>
      <c r="D155" s="414"/>
      <c r="E155" s="415"/>
      <c r="F155" s="416"/>
      <c r="G155" s="406"/>
      <c r="H155" s="406"/>
      <c r="I155" s="406"/>
      <c r="J155" s="406"/>
      <c r="K155" s="59" t="s">
        <v>177</v>
      </c>
      <c r="L155" s="58">
        <v>2</v>
      </c>
      <c r="M155" s="129">
        <v>1</v>
      </c>
      <c r="N155" s="129">
        <v>1</v>
      </c>
      <c r="O155" s="409"/>
      <c r="P155" s="409"/>
      <c r="Q155" s="409"/>
      <c r="R155" s="410"/>
      <c r="S155" s="242"/>
      <c r="T155" s="406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</row>
    <row r="156" spans="1:33" s="128" customFormat="1" ht="24" customHeight="1">
      <c r="A156" s="505"/>
      <c r="B156" s="426"/>
      <c r="C156" s="406"/>
      <c r="D156" s="414"/>
      <c r="E156" s="415"/>
      <c r="F156" s="416"/>
      <c r="G156" s="406"/>
      <c r="H156" s="406"/>
      <c r="I156" s="406"/>
      <c r="J156" s="406"/>
      <c r="K156" s="59">
        <v>36.584899999999998</v>
      </c>
      <c r="L156" s="58">
        <v>1</v>
      </c>
      <c r="M156" s="129">
        <v>1</v>
      </c>
      <c r="N156" s="129">
        <v>1</v>
      </c>
      <c r="O156" s="409"/>
      <c r="P156" s="409"/>
      <c r="Q156" s="409"/>
      <c r="R156" s="410"/>
      <c r="S156" s="242"/>
      <c r="T156" s="406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</row>
    <row r="157" spans="1:33" s="128" customFormat="1" ht="24" customHeight="1">
      <c r="A157" s="505"/>
      <c r="B157" s="426"/>
      <c r="C157" s="406"/>
      <c r="D157" s="414"/>
      <c r="E157" s="415"/>
      <c r="F157" s="416"/>
      <c r="G157" s="406"/>
      <c r="H157" s="406"/>
      <c r="I157" s="406"/>
      <c r="J157" s="406"/>
      <c r="K157" s="59" t="s">
        <v>178</v>
      </c>
      <c r="L157" s="58">
        <v>2</v>
      </c>
      <c r="M157" s="129">
        <v>2</v>
      </c>
      <c r="N157" s="129">
        <v>2</v>
      </c>
      <c r="O157" s="409"/>
      <c r="P157" s="409"/>
      <c r="Q157" s="409"/>
      <c r="R157" s="410"/>
      <c r="S157" s="242"/>
      <c r="T157" s="406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</row>
    <row r="158" spans="1:33" s="128" customFormat="1" ht="24" customHeight="1">
      <c r="A158" s="505"/>
      <c r="B158" s="426"/>
      <c r="C158" s="406"/>
      <c r="D158" s="414"/>
      <c r="E158" s="415"/>
      <c r="F158" s="416"/>
      <c r="G158" s="406"/>
      <c r="H158" s="406"/>
      <c r="I158" s="406"/>
      <c r="J158" s="406"/>
      <c r="K158" s="59" t="s">
        <v>179</v>
      </c>
      <c r="L158" s="58">
        <v>2</v>
      </c>
      <c r="M158" s="129">
        <v>2</v>
      </c>
      <c r="N158" s="129">
        <v>2</v>
      </c>
      <c r="O158" s="409"/>
      <c r="P158" s="409"/>
      <c r="Q158" s="409"/>
      <c r="R158" s="410"/>
      <c r="S158" s="242"/>
      <c r="T158" s="406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</row>
    <row r="159" spans="1:33" s="128" customFormat="1" ht="24" customHeight="1">
      <c r="A159" s="505"/>
      <c r="B159" s="426"/>
      <c r="C159" s="406"/>
      <c r="D159" s="414"/>
      <c r="E159" s="415"/>
      <c r="F159" s="416"/>
      <c r="G159" s="406"/>
      <c r="H159" s="406"/>
      <c r="I159" s="406"/>
      <c r="J159" s="406"/>
      <c r="K159" s="59">
        <v>41.005099999999999</v>
      </c>
      <c r="L159" s="58">
        <v>13</v>
      </c>
      <c r="M159" s="129">
        <v>13</v>
      </c>
      <c r="N159" s="129">
        <v>13</v>
      </c>
      <c r="O159" s="409"/>
      <c r="P159" s="409"/>
      <c r="Q159" s="409"/>
      <c r="R159" s="410"/>
      <c r="S159" s="242"/>
      <c r="T159" s="406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</row>
    <row r="160" spans="1:33" s="128" customFormat="1" ht="24" customHeight="1">
      <c r="A160" s="505"/>
      <c r="B160" s="426"/>
      <c r="C160" s="406"/>
      <c r="D160" s="414"/>
      <c r="E160" s="415"/>
      <c r="F160" s="416"/>
      <c r="G160" s="406"/>
      <c r="H160" s="406"/>
      <c r="I160" s="406"/>
      <c r="J160" s="406"/>
      <c r="K160" s="59">
        <v>43.232500000000002</v>
      </c>
      <c r="L160" s="58">
        <v>1</v>
      </c>
      <c r="M160" s="129">
        <v>1</v>
      </c>
      <c r="N160" s="129">
        <v>1</v>
      </c>
      <c r="O160" s="409"/>
      <c r="P160" s="409"/>
      <c r="Q160" s="409"/>
      <c r="R160" s="410"/>
      <c r="S160" s="242"/>
      <c r="T160" s="406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</row>
    <row r="161" spans="1:33" s="128" customFormat="1" ht="24" customHeight="1">
      <c r="A161" s="505"/>
      <c r="B161" s="426"/>
      <c r="C161" s="406"/>
      <c r="D161" s="414"/>
      <c r="E161" s="415"/>
      <c r="F161" s="416"/>
      <c r="G161" s="406"/>
      <c r="H161" s="406"/>
      <c r="I161" s="406"/>
      <c r="J161" s="406"/>
      <c r="K161" s="59">
        <v>44.191299999999998</v>
      </c>
      <c r="L161" s="58">
        <v>1</v>
      </c>
      <c r="M161" s="129">
        <v>1</v>
      </c>
      <c r="N161" s="129">
        <v>1</v>
      </c>
      <c r="O161" s="409"/>
      <c r="P161" s="409"/>
      <c r="Q161" s="409"/>
      <c r="R161" s="410"/>
      <c r="S161" s="242"/>
      <c r="T161" s="406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</row>
    <row r="162" spans="1:33" s="128" customFormat="1" ht="24" customHeight="1">
      <c r="A162" s="505"/>
      <c r="B162" s="426"/>
      <c r="C162" s="406"/>
      <c r="D162" s="414"/>
      <c r="E162" s="415"/>
      <c r="F162" s="416"/>
      <c r="G162" s="406"/>
      <c r="H162" s="406"/>
      <c r="I162" s="406"/>
      <c r="J162" s="406"/>
      <c r="K162" s="59" t="s">
        <v>180</v>
      </c>
      <c r="L162" s="58">
        <v>2</v>
      </c>
      <c r="M162" s="129">
        <v>2</v>
      </c>
      <c r="N162" s="129">
        <v>2</v>
      </c>
      <c r="O162" s="409"/>
      <c r="P162" s="409"/>
      <c r="Q162" s="409"/>
      <c r="R162" s="410"/>
      <c r="S162" s="242"/>
      <c r="T162" s="406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</row>
    <row r="163" spans="1:33" s="128" customFormat="1" ht="24" customHeight="1">
      <c r="A163" s="505"/>
      <c r="B163" s="426"/>
      <c r="C163" s="406"/>
      <c r="D163" s="414"/>
      <c r="E163" s="415"/>
      <c r="F163" s="416"/>
      <c r="G163" s="406"/>
      <c r="H163" s="406"/>
      <c r="I163" s="406"/>
      <c r="J163" s="406"/>
      <c r="K163" s="59" t="s">
        <v>181</v>
      </c>
      <c r="L163" s="58">
        <v>2</v>
      </c>
      <c r="M163" s="129">
        <v>2</v>
      </c>
      <c r="N163" s="129">
        <v>2</v>
      </c>
      <c r="O163" s="409"/>
      <c r="P163" s="409"/>
      <c r="Q163" s="409"/>
      <c r="R163" s="410"/>
      <c r="S163" s="242"/>
      <c r="T163" s="406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</row>
    <row r="164" spans="1:33" s="128" customFormat="1" ht="24" customHeight="1">
      <c r="A164" s="505"/>
      <c r="B164" s="426"/>
      <c r="C164" s="406"/>
      <c r="D164" s="414"/>
      <c r="E164" s="415"/>
      <c r="F164" s="416"/>
      <c r="G164" s="407"/>
      <c r="H164" s="407"/>
      <c r="I164" s="407"/>
      <c r="J164" s="407"/>
      <c r="K164" s="59">
        <v>49.832500000000003</v>
      </c>
      <c r="L164" s="58">
        <v>1</v>
      </c>
      <c r="M164" s="129">
        <v>1</v>
      </c>
      <c r="N164" s="129">
        <v>1</v>
      </c>
      <c r="O164" s="409"/>
      <c r="P164" s="409"/>
      <c r="Q164" s="409"/>
      <c r="R164" s="410"/>
      <c r="S164" s="242"/>
      <c r="T164" s="406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</row>
    <row r="165" spans="1:33" s="128" customFormat="1" ht="24" customHeight="1">
      <c r="A165" s="505"/>
      <c r="B165" s="426"/>
      <c r="C165" s="407"/>
      <c r="D165" s="417"/>
      <c r="E165" s="418"/>
      <c r="F165" s="419"/>
      <c r="G165" s="174" t="s">
        <v>315</v>
      </c>
      <c r="H165" s="175"/>
      <c r="I165" s="175"/>
      <c r="J165" s="175"/>
      <c r="K165" s="176"/>
      <c r="L165" s="29">
        <f>SUM(L150:L164)</f>
        <v>104</v>
      </c>
      <c r="M165" s="130">
        <f>SUM(M150:M164)</f>
        <v>102</v>
      </c>
      <c r="N165" s="130">
        <f>SUM(N150:N164)</f>
        <v>102</v>
      </c>
      <c r="O165" s="409"/>
      <c r="P165" s="409"/>
      <c r="Q165" s="409"/>
      <c r="R165" s="410"/>
      <c r="S165" s="243"/>
      <c r="T165" s="407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</row>
    <row r="166" spans="1:33" s="112" customFormat="1" ht="24" customHeight="1">
      <c r="A166" s="505"/>
      <c r="B166" s="426"/>
      <c r="C166" s="227" t="s">
        <v>124</v>
      </c>
      <c r="D166" s="189" t="s">
        <v>414</v>
      </c>
      <c r="E166" s="190"/>
      <c r="F166" s="191"/>
      <c r="G166" s="224" t="s">
        <v>258</v>
      </c>
      <c r="H166" s="224" t="s">
        <v>189</v>
      </c>
      <c r="I166" s="224" t="s">
        <v>0</v>
      </c>
      <c r="J166" s="224" t="s">
        <v>1</v>
      </c>
      <c r="K166" s="52" t="s">
        <v>260</v>
      </c>
      <c r="L166" s="129">
        <v>53</v>
      </c>
      <c r="M166" s="129">
        <v>2</v>
      </c>
      <c r="N166" s="129">
        <v>2</v>
      </c>
      <c r="O166" s="396">
        <v>45191</v>
      </c>
      <c r="P166" s="396">
        <v>45225</v>
      </c>
      <c r="Q166" s="399">
        <v>46234</v>
      </c>
      <c r="R166" s="207" t="s">
        <v>122</v>
      </c>
      <c r="S166" s="384"/>
      <c r="T166" s="387"/>
      <c r="U166" s="135"/>
      <c r="V166" s="136"/>
      <c r="W166" s="111"/>
    </row>
    <row r="167" spans="1:33" s="112" customFormat="1" ht="24" customHeight="1">
      <c r="A167" s="505"/>
      <c r="B167" s="426"/>
      <c r="C167" s="231"/>
      <c r="D167" s="192"/>
      <c r="E167" s="193"/>
      <c r="F167" s="194"/>
      <c r="G167" s="225"/>
      <c r="H167" s="225"/>
      <c r="I167" s="225"/>
      <c r="J167" s="225"/>
      <c r="K167" s="60" t="s">
        <v>261</v>
      </c>
      <c r="L167" s="129">
        <v>26</v>
      </c>
      <c r="M167" s="129">
        <v>1</v>
      </c>
      <c r="N167" s="129">
        <v>1</v>
      </c>
      <c r="O167" s="397"/>
      <c r="P167" s="397"/>
      <c r="Q167" s="400"/>
      <c r="R167" s="208"/>
      <c r="S167" s="385"/>
      <c r="T167" s="388"/>
      <c r="U167" s="135"/>
      <c r="V167" s="136"/>
      <c r="W167" s="111"/>
    </row>
    <row r="168" spans="1:33" s="112" customFormat="1" ht="24" customHeight="1">
      <c r="A168" s="505"/>
      <c r="B168" s="426"/>
      <c r="C168" s="231"/>
      <c r="D168" s="192"/>
      <c r="E168" s="193"/>
      <c r="F168" s="194"/>
      <c r="G168" s="225"/>
      <c r="H168" s="225"/>
      <c r="I168" s="225"/>
      <c r="J168" s="225"/>
      <c r="K168" s="61" t="s">
        <v>262</v>
      </c>
      <c r="L168" s="129">
        <v>40</v>
      </c>
      <c r="M168" s="129">
        <v>3</v>
      </c>
      <c r="N168" s="129">
        <v>3</v>
      </c>
      <c r="O168" s="397"/>
      <c r="P168" s="397"/>
      <c r="Q168" s="400"/>
      <c r="R168" s="208"/>
      <c r="S168" s="385"/>
      <c r="T168" s="388"/>
      <c r="U168" s="135"/>
      <c r="V168" s="136"/>
      <c r="W168" s="111"/>
    </row>
    <row r="169" spans="1:33" s="112" customFormat="1" ht="24" customHeight="1">
      <c r="A169" s="505"/>
      <c r="B169" s="426"/>
      <c r="C169" s="231"/>
      <c r="D169" s="192"/>
      <c r="E169" s="193"/>
      <c r="F169" s="194"/>
      <c r="G169" s="225"/>
      <c r="H169" s="225"/>
      <c r="I169" s="225"/>
      <c r="J169" s="225"/>
      <c r="K169" s="60" t="s">
        <v>263</v>
      </c>
      <c r="L169" s="129">
        <v>21</v>
      </c>
      <c r="M169" s="129"/>
      <c r="N169" s="129"/>
      <c r="O169" s="397"/>
      <c r="P169" s="397"/>
      <c r="Q169" s="400"/>
      <c r="R169" s="208"/>
      <c r="S169" s="385"/>
      <c r="T169" s="388"/>
      <c r="U169" s="135"/>
      <c r="V169" s="136"/>
      <c r="W169" s="111"/>
    </row>
    <row r="170" spans="1:33" s="112" customFormat="1" ht="24" customHeight="1">
      <c r="A170" s="505"/>
      <c r="B170" s="426"/>
      <c r="C170" s="231"/>
      <c r="D170" s="192"/>
      <c r="E170" s="193"/>
      <c r="F170" s="194"/>
      <c r="G170" s="225"/>
      <c r="H170" s="225"/>
      <c r="I170" s="225"/>
      <c r="J170" s="225"/>
      <c r="K170" s="60">
        <v>101.9674</v>
      </c>
      <c r="L170" s="129">
        <v>2</v>
      </c>
      <c r="M170" s="129"/>
      <c r="N170" s="129"/>
      <c r="O170" s="397"/>
      <c r="P170" s="397"/>
      <c r="Q170" s="400"/>
      <c r="R170" s="208"/>
      <c r="S170" s="385"/>
      <c r="T170" s="388"/>
      <c r="U170" s="135"/>
      <c r="V170" s="136"/>
      <c r="W170" s="111"/>
    </row>
    <row r="171" spans="1:33" s="112" customFormat="1" ht="24" customHeight="1">
      <c r="A171" s="505"/>
      <c r="B171" s="426"/>
      <c r="C171" s="231"/>
      <c r="D171" s="192"/>
      <c r="E171" s="193"/>
      <c r="F171" s="194"/>
      <c r="G171" s="225"/>
      <c r="H171" s="225"/>
      <c r="I171" s="225"/>
      <c r="J171" s="225"/>
      <c r="K171" s="60">
        <v>109.35639999999999</v>
      </c>
      <c r="L171" s="129">
        <v>42</v>
      </c>
      <c r="M171" s="129">
        <v>2</v>
      </c>
      <c r="N171" s="129">
        <v>2</v>
      </c>
      <c r="O171" s="397"/>
      <c r="P171" s="397"/>
      <c r="Q171" s="400"/>
      <c r="R171" s="208"/>
      <c r="S171" s="385"/>
      <c r="T171" s="388"/>
      <c r="U171" s="135"/>
      <c r="V171" s="136"/>
      <c r="W171" s="111"/>
    </row>
    <row r="172" spans="1:33" s="112" customFormat="1" ht="24" customHeight="1">
      <c r="A172" s="505"/>
      <c r="B172" s="426"/>
      <c r="C172" s="231"/>
      <c r="D172" s="192"/>
      <c r="E172" s="193"/>
      <c r="F172" s="194"/>
      <c r="G172" s="225"/>
      <c r="H172" s="225"/>
      <c r="I172" s="225"/>
      <c r="J172" s="225"/>
      <c r="K172" s="60">
        <v>110.99509999999999</v>
      </c>
      <c r="L172" s="129">
        <v>39</v>
      </c>
      <c r="M172" s="129"/>
      <c r="N172" s="129"/>
      <c r="O172" s="397"/>
      <c r="P172" s="397"/>
      <c r="Q172" s="400"/>
      <c r="R172" s="208"/>
      <c r="S172" s="385"/>
      <c r="T172" s="388"/>
      <c r="U172" s="135"/>
      <c r="V172" s="136"/>
      <c r="W172" s="111"/>
    </row>
    <row r="173" spans="1:33" s="112" customFormat="1" ht="24" customHeight="1">
      <c r="A173" s="505"/>
      <c r="B173" s="426"/>
      <c r="C173" s="231"/>
      <c r="D173" s="192"/>
      <c r="E173" s="193"/>
      <c r="F173" s="194"/>
      <c r="G173" s="225"/>
      <c r="H173" s="225"/>
      <c r="I173" s="225"/>
      <c r="J173" s="225"/>
      <c r="K173" s="60">
        <v>115.0609</v>
      </c>
      <c r="L173" s="129">
        <v>2</v>
      </c>
      <c r="M173" s="129"/>
      <c r="N173" s="129"/>
      <c r="O173" s="397"/>
      <c r="P173" s="397"/>
      <c r="Q173" s="400"/>
      <c r="R173" s="208"/>
      <c r="S173" s="385"/>
      <c r="T173" s="388"/>
      <c r="U173" s="135"/>
      <c r="V173" s="136"/>
      <c r="W173" s="111"/>
    </row>
    <row r="174" spans="1:33" s="112" customFormat="1" ht="24" customHeight="1">
      <c r="A174" s="505"/>
      <c r="B174" s="426"/>
      <c r="C174" s="231"/>
      <c r="D174" s="192"/>
      <c r="E174" s="193"/>
      <c r="F174" s="194"/>
      <c r="G174" s="225"/>
      <c r="H174" s="225"/>
      <c r="I174" s="225"/>
      <c r="J174" s="225"/>
      <c r="K174" s="60">
        <v>124.473</v>
      </c>
      <c r="L174" s="129">
        <v>2</v>
      </c>
      <c r="M174" s="129"/>
      <c r="N174" s="129"/>
      <c r="O174" s="397"/>
      <c r="P174" s="397"/>
      <c r="Q174" s="400"/>
      <c r="R174" s="208"/>
      <c r="S174" s="385"/>
      <c r="T174" s="388"/>
      <c r="U174" s="135"/>
      <c r="V174" s="136"/>
      <c r="W174" s="111"/>
    </row>
    <row r="175" spans="1:33" s="112" customFormat="1" ht="24" customHeight="1">
      <c r="A175" s="505"/>
      <c r="B175" s="426"/>
      <c r="C175" s="231"/>
      <c r="D175" s="192"/>
      <c r="E175" s="193"/>
      <c r="F175" s="194"/>
      <c r="G175" s="226"/>
      <c r="H175" s="226"/>
      <c r="I175" s="226"/>
      <c r="J175" s="226"/>
      <c r="K175" s="60">
        <v>134.9151</v>
      </c>
      <c r="L175" s="129">
        <v>1</v>
      </c>
      <c r="M175" s="129"/>
      <c r="N175" s="129"/>
      <c r="O175" s="397"/>
      <c r="P175" s="397"/>
      <c r="Q175" s="400"/>
      <c r="R175" s="208"/>
      <c r="S175" s="385"/>
      <c r="T175" s="388"/>
      <c r="U175" s="135"/>
      <c r="V175" s="136"/>
      <c r="W175" s="111"/>
    </row>
    <row r="176" spans="1:33" s="112" customFormat="1" ht="24" customHeight="1">
      <c r="A176" s="505"/>
      <c r="B176" s="426"/>
      <c r="C176" s="228"/>
      <c r="D176" s="195"/>
      <c r="E176" s="196"/>
      <c r="F176" s="197"/>
      <c r="G176" s="174" t="s">
        <v>338</v>
      </c>
      <c r="H176" s="175"/>
      <c r="I176" s="175"/>
      <c r="J176" s="175"/>
      <c r="K176" s="176"/>
      <c r="L176" s="130">
        <f>SUM(L166:L175)</f>
        <v>228</v>
      </c>
      <c r="M176" s="130">
        <f>SUM(M166:M175)</f>
        <v>8</v>
      </c>
      <c r="N176" s="130">
        <f>SUM(N166:N175)</f>
        <v>8</v>
      </c>
      <c r="O176" s="398"/>
      <c r="P176" s="398"/>
      <c r="Q176" s="401"/>
      <c r="R176" s="209"/>
      <c r="S176" s="386"/>
      <c r="T176" s="389"/>
      <c r="U176" s="135"/>
      <c r="V176" s="136"/>
      <c r="W176" s="111"/>
    </row>
    <row r="177" spans="1:23" s="112" customFormat="1" ht="24" customHeight="1">
      <c r="A177" s="505"/>
      <c r="B177" s="426"/>
      <c r="C177" s="227" t="s">
        <v>339</v>
      </c>
      <c r="D177" s="189" t="s">
        <v>415</v>
      </c>
      <c r="E177" s="190"/>
      <c r="F177" s="191"/>
      <c r="G177" s="224" t="s">
        <v>259</v>
      </c>
      <c r="H177" s="224" t="s">
        <v>259</v>
      </c>
      <c r="I177" s="224" t="s">
        <v>0</v>
      </c>
      <c r="J177" s="224" t="s">
        <v>1</v>
      </c>
      <c r="K177" s="62">
        <v>33.048999999999999</v>
      </c>
      <c r="L177" s="63">
        <v>68</v>
      </c>
      <c r="M177" s="573" t="s">
        <v>490</v>
      </c>
      <c r="N177" s="574"/>
      <c r="O177" s="396">
        <v>45196</v>
      </c>
      <c r="P177" s="396">
        <v>45205</v>
      </c>
      <c r="Q177" s="399">
        <v>46387</v>
      </c>
      <c r="R177" s="207" t="s">
        <v>122</v>
      </c>
      <c r="S177" s="384"/>
      <c r="T177" s="387"/>
      <c r="U177" s="135"/>
      <c r="V177" s="136"/>
      <c r="W177" s="111"/>
    </row>
    <row r="178" spans="1:23" s="112" customFormat="1" ht="24" customHeight="1">
      <c r="A178" s="505"/>
      <c r="B178" s="426"/>
      <c r="C178" s="231"/>
      <c r="D178" s="192"/>
      <c r="E178" s="193"/>
      <c r="F178" s="194"/>
      <c r="G178" s="225"/>
      <c r="H178" s="225"/>
      <c r="I178" s="225"/>
      <c r="J178" s="225"/>
      <c r="K178" s="62">
        <v>33.811999999999998</v>
      </c>
      <c r="L178" s="63">
        <v>14</v>
      </c>
      <c r="M178" s="575"/>
      <c r="N178" s="576"/>
      <c r="O178" s="397"/>
      <c r="P178" s="397"/>
      <c r="Q178" s="400"/>
      <c r="R178" s="208"/>
      <c r="S178" s="385"/>
      <c r="T178" s="388"/>
      <c r="U178" s="135"/>
      <c r="V178" s="136"/>
      <c r="W178" s="111"/>
    </row>
    <row r="179" spans="1:23" s="112" customFormat="1" ht="24" customHeight="1">
      <c r="A179" s="505"/>
      <c r="B179" s="426"/>
      <c r="C179" s="231"/>
      <c r="D179" s="192"/>
      <c r="E179" s="193"/>
      <c r="F179" s="194"/>
      <c r="G179" s="225"/>
      <c r="H179" s="225"/>
      <c r="I179" s="225"/>
      <c r="J179" s="225"/>
      <c r="K179" s="62">
        <v>42.834000000000003</v>
      </c>
      <c r="L179" s="63">
        <v>69</v>
      </c>
      <c r="M179" s="575"/>
      <c r="N179" s="576"/>
      <c r="O179" s="397"/>
      <c r="P179" s="397"/>
      <c r="Q179" s="400"/>
      <c r="R179" s="208"/>
      <c r="S179" s="385"/>
      <c r="T179" s="388"/>
      <c r="U179" s="135"/>
      <c r="V179" s="136"/>
      <c r="W179" s="111"/>
    </row>
    <row r="180" spans="1:23" s="112" customFormat="1" ht="24" customHeight="1">
      <c r="A180" s="505"/>
      <c r="B180" s="426"/>
      <c r="C180" s="231"/>
      <c r="D180" s="192"/>
      <c r="E180" s="193"/>
      <c r="F180" s="194"/>
      <c r="G180" s="225"/>
      <c r="H180" s="225"/>
      <c r="I180" s="225"/>
      <c r="J180" s="225"/>
      <c r="K180" s="62">
        <v>44.960999999999999</v>
      </c>
      <c r="L180" s="63">
        <v>14</v>
      </c>
      <c r="M180" s="575"/>
      <c r="N180" s="576"/>
      <c r="O180" s="397"/>
      <c r="P180" s="397"/>
      <c r="Q180" s="400"/>
      <c r="R180" s="208"/>
      <c r="S180" s="385"/>
      <c r="T180" s="388"/>
      <c r="U180" s="135"/>
      <c r="V180" s="136"/>
      <c r="W180" s="111"/>
    </row>
    <row r="181" spans="1:23" s="112" customFormat="1" ht="24" customHeight="1">
      <c r="A181" s="505"/>
      <c r="B181" s="426"/>
      <c r="C181" s="231"/>
      <c r="D181" s="192"/>
      <c r="E181" s="193"/>
      <c r="F181" s="194"/>
      <c r="G181" s="225"/>
      <c r="H181" s="225"/>
      <c r="I181" s="225"/>
      <c r="J181" s="225"/>
      <c r="K181" s="62">
        <v>45.27</v>
      </c>
      <c r="L181" s="63">
        <v>14</v>
      </c>
      <c r="M181" s="575"/>
      <c r="N181" s="576"/>
      <c r="O181" s="397"/>
      <c r="P181" s="397"/>
      <c r="Q181" s="400"/>
      <c r="R181" s="208"/>
      <c r="S181" s="385"/>
      <c r="T181" s="388"/>
      <c r="U181" s="135"/>
      <c r="V181" s="136"/>
      <c r="W181" s="111"/>
    </row>
    <row r="182" spans="1:23" s="112" customFormat="1" ht="24" customHeight="1">
      <c r="A182" s="505"/>
      <c r="B182" s="426"/>
      <c r="C182" s="231"/>
      <c r="D182" s="192"/>
      <c r="E182" s="193"/>
      <c r="F182" s="194"/>
      <c r="G182" s="225"/>
      <c r="H182" s="225"/>
      <c r="I182" s="225"/>
      <c r="J182" s="225"/>
      <c r="K182" s="62">
        <v>45.677999999999997</v>
      </c>
      <c r="L182" s="63">
        <v>14</v>
      </c>
      <c r="M182" s="575"/>
      <c r="N182" s="576"/>
      <c r="O182" s="397"/>
      <c r="P182" s="397"/>
      <c r="Q182" s="400"/>
      <c r="R182" s="208"/>
      <c r="S182" s="385"/>
      <c r="T182" s="388"/>
      <c r="U182" s="135"/>
      <c r="V182" s="136"/>
      <c r="W182" s="111"/>
    </row>
    <row r="183" spans="1:23" s="112" customFormat="1" ht="24" customHeight="1">
      <c r="A183" s="505"/>
      <c r="B183" s="426"/>
      <c r="C183" s="231"/>
      <c r="D183" s="192"/>
      <c r="E183" s="193"/>
      <c r="F183" s="194"/>
      <c r="G183" s="225"/>
      <c r="H183" s="225"/>
      <c r="I183" s="225"/>
      <c r="J183" s="225"/>
      <c r="K183" s="62">
        <v>45.783000000000001</v>
      </c>
      <c r="L183" s="63">
        <v>14</v>
      </c>
      <c r="M183" s="575"/>
      <c r="N183" s="576"/>
      <c r="O183" s="397"/>
      <c r="P183" s="397"/>
      <c r="Q183" s="400"/>
      <c r="R183" s="208"/>
      <c r="S183" s="385"/>
      <c r="T183" s="388"/>
      <c r="U183" s="135"/>
      <c r="V183" s="136"/>
      <c r="W183" s="111"/>
    </row>
    <row r="184" spans="1:23" s="112" customFormat="1" ht="24" customHeight="1">
      <c r="A184" s="505"/>
      <c r="B184" s="426"/>
      <c r="C184" s="231"/>
      <c r="D184" s="192"/>
      <c r="E184" s="193"/>
      <c r="F184" s="194"/>
      <c r="G184" s="225"/>
      <c r="H184" s="225"/>
      <c r="I184" s="225"/>
      <c r="J184" s="225"/>
      <c r="K184" s="62">
        <v>47.06</v>
      </c>
      <c r="L184" s="63">
        <v>22</v>
      </c>
      <c r="M184" s="575"/>
      <c r="N184" s="576"/>
      <c r="O184" s="397"/>
      <c r="P184" s="397"/>
      <c r="Q184" s="400"/>
      <c r="R184" s="208"/>
      <c r="S184" s="385"/>
      <c r="T184" s="388"/>
      <c r="U184" s="135"/>
      <c r="V184" s="136"/>
      <c r="W184" s="111"/>
    </row>
    <row r="185" spans="1:23" s="112" customFormat="1" ht="24" customHeight="1">
      <c r="A185" s="505"/>
      <c r="B185" s="426"/>
      <c r="C185" s="231"/>
      <c r="D185" s="192"/>
      <c r="E185" s="193"/>
      <c r="F185" s="194"/>
      <c r="G185" s="225"/>
      <c r="H185" s="225"/>
      <c r="I185" s="225"/>
      <c r="J185" s="225"/>
      <c r="K185" s="62">
        <v>50.643000000000001</v>
      </c>
      <c r="L185" s="63">
        <v>14</v>
      </c>
      <c r="M185" s="575"/>
      <c r="N185" s="576"/>
      <c r="O185" s="397"/>
      <c r="P185" s="397"/>
      <c r="Q185" s="400"/>
      <c r="R185" s="208"/>
      <c r="S185" s="385"/>
      <c r="T185" s="388"/>
      <c r="U185" s="135"/>
      <c r="V185" s="136"/>
      <c r="W185" s="111"/>
    </row>
    <row r="186" spans="1:23" s="112" customFormat="1" ht="24" customHeight="1">
      <c r="A186" s="505"/>
      <c r="B186" s="426"/>
      <c r="C186" s="231"/>
      <c r="D186" s="192"/>
      <c r="E186" s="193"/>
      <c r="F186" s="194"/>
      <c r="G186" s="225"/>
      <c r="H186" s="225"/>
      <c r="I186" s="225"/>
      <c r="J186" s="225"/>
      <c r="K186" s="62">
        <v>50.680999999999997</v>
      </c>
      <c r="L186" s="63">
        <v>42</v>
      </c>
      <c r="M186" s="575"/>
      <c r="N186" s="576"/>
      <c r="O186" s="397"/>
      <c r="P186" s="397"/>
      <c r="Q186" s="400"/>
      <c r="R186" s="208"/>
      <c r="S186" s="385"/>
      <c r="T186" s="388"/>
      <c r="U186" s="135"/>
      <c r="V186" s="136"/>
      <c r="W186" s="111"/>
    </row>
    <row r="187" spans="1:23" s="112" customFormat="1" ht="24" customHeight="1">
      <c r="A187" s="505"/>
      <c r="B187" s="426"/>
      <c r="C187" s="231"/>
      <c r="D187" s="192"/>
      <c r="E187" s="193"/>
      <c r="F187" s="194"/>
      <c r="G187" s="226"/>
      <c r="H187" s="226"/>
      <c r="I187" s="226"/>
      <c r="J187" s="226"/>
      <c r="K187" s="62">
        <v>51.47</v>
      </c>
      <c r="L187" s="63">
        <v>14</v>
      </c>
      <c r="M187" s="577"/>
      <c r="N187" s="578"/>
      <c r="O187" s="397"/>
      <c r="P187" s="397"/>
      <c r="Q187" s="400"/>
      <c r="R187" s="208"/>
      <c r="S187" s="385"/>
      <c r="T187" s="388"/>
      <c r="U187" s="135"/>
      <c r="V187" s="136"/>
      <c r="W187" s="111"/>
    </row>
    <row r="188" spans="1:23" s="112" customFormat="1" ht="24" customHeight="1">
      <c r="A188" s="505"/>
      <c r="B188" s="426"/>
      <c r="C188" s="228"/>
      <c r="D188" s="195"/>
      <c r="E188" s="196"/>
      <c r="F188" s="197"/>
      <c r="G188" s="174" t="s">
        <v>340</v>
      </c>
      <c r="H188" s="175"/>
      <c r="I188" s="175"/>
      <c r="J188" s="175"/>
      <c r="K188" s="176"/>
      <c r="L188" s="29">
        <f>SUM(L177:L187)</f>
        <v>299</v>
      </c>
      <c r="M188" s="37">
        <f>SUM(M177:M187)</f>
        <v>0</v>
      </c>
      <c r="N188" s="37">
        <f>SUM(N177:N187)</f>
        <v>0</v>
      </c>
      <c r="O188" s="398"/>
      <c r="P188" s="398"/>
      <c r="Q188" s="401"/>
      <c r="R188" s="209"/>
      <c r="S188" s="386"/>
      <c r="T188" s="389"/>
      <c r="U188" s="135"/>
      <c r="V188" s="136"/>
      <c r="W188" s="111"/>
    </row>
    <row r="189" spans="1:23" s="112" customFormat="1" ht="24" customHeight="1">
      <c r="A189" s="505"/>
      <c r="B189" s="426"/>
      <c r="C189" s="227" t="s">
        <v>341</v>
      </c>
      <c r="D189" s="189" t="s">
        <v>416</v>
      </c>
      <c r="E189" s="190"/>
      <c r="F189" s="191"/>
      <c r="G189" s="224" t="s">
        <v>265</v>
      </c>
      <c r="H189" s="241" t="s">
        <v>266</v>
      </c>
      <c r="I189" s="224" t="s">
        <v>0</v>
      </c>
      <c r="J189" s="224" t="s">
        <v>1</v>
      </c>
      <c r="K189" s="70" t="s">
        <v>267</v>
      </c>
      <c r="L189" s="131">
        <v>326</v>
      </c>
      <c r="M189" s="555" t="s">
        <v>490</v>
      </c>
      <c r="N189" s="367"/>
      <c r="O189" s="353">
        <v>45254</v>
      </c>
      <c r="P189" s="353">
        <v>45288</v>
      </c>
      <c r="Q189" s="353">
        <v>46371</v>
      </c>
      <c r="R189" s="346" t="s">
        <v>122</v>
      </c>
      <c r="S189" s="393" t="s">
        <v>13</v>
      </c>
      <c r="T189" s="387" t="s">
        <v>0</v>
      </c>
      <c r="U189" s="135"/>
      <c r="V189" s="136"/>
      <c r="W189" s="111"/>
    </row>
    <row r="190" spans="1:23" s="112" customFormat="1" ht="24" customHeight="1">
      <c r="A190" s="505"/>
      <c r="B190" s="426"/>
      <c r="C190" s="231"/>
      <c r="D190" s="192"/>
      <c r="E190" s="193"/>
      <c r="F190" s="194"/>
      <c r="G190" s="225"/>
      <c r="H190" s="242"/>
      <c r="I190" s="225"/>
      <c r="J190" s="225"/>
      <c r="K190" s="70" t="s">
        <v>268</v>
      </c>
      <c r="L190" s="131">
        <v>177</v>
      </c>
      <c r="M190" s="339"/>
      <c r="N190" s="369"/>
      <c r="O190" s="346"/>
      <c r="P190" s="346"/>
      <c r="Q190" s="346"/>
      <c r="R190" s="346"/>
      <c r="S190" s="394"/>
      <c r="T190" s="388"/>
      <c r="U190" s="135"/>
      <c r="V190" s="136"/>
      <c r="W190" s="111"/>
    </row>
    <row r="191" spans="1:23" s="112" customFormat="1" ht="24" customHeight="1">
      <c r="A191" s="505"/>
      <c r="B191" s="426"/>
      <c r="C191" s="231"/>
      <c r="D191" s="192"/>
      <c r="E191" s="193"/>
      <c r="F191" s="194"/>
      <c r="G191" s="226"/>
      <c r="H191" s="243"/>
      <c r="I191" s="226"/>
      <c r="J191" s="226"/>
      <c r="K191" s="70">
        <v>100.98050000000001</v>
      </c>
      <c r="L191" s="131">
        <v>58</v>
      </c>
      <c r="M191" s="340"/>
      <c r="N191" s="371"/>
      <c r="O191" s="346"/>
      <c r="P191" s="346"/>
      <c r="Q191" s="346"/>
      <c r="R191" s="346"/>
      <c r="S191" s="394"/>
      <c r="T191" s="388"/>
      <c r="U191" s="135"/>
      <c r="V191" s="136"/>
      <c r="W191" s="111"/>
    </row>
    <row r="192" spans="1:23" s="112" customFormat="1" ht="24" customHeight="1">
      <c r="A192" s="505"/>
      <c r="B192" s="426"/>
      <c r="C192" s="228"/>
      <c r="D192" s="195"/>
      <c r="E192" s="196"/>
      <c r="F192" s="197"/>
      <c r="G192" s="174"/>
      <c r="H192" s="175"/>
      <c r="I192" s="175"/>
      <c r="J192" s="175"/>
      <c r="K192" s="176"/>
      <c r="L192" s="29">
        <f>SUM(L189:L191)</f>
        <v>561</v>
      </c>
      <c r="M192" s="130">
        <f>SUM(M189:M191)</f>
        <v>0</v>
      </c>
      <c r="N192" s="130">
        <f>SUM(N189:N191)</f>
        <v>0</v>
      </c>
      <c r="O192" s="346"/>
      <c r="P192" s="346"/>
      <c r="Q192" s="346"/>
      <c r="R192" s="346"/>
      <c r="S192" s="395"/>
      <c r="T192" s="389"/>
      <c r="U192" s="135"/>
      <c r="V192" s="136"/>
      <c r="W192" s="111"/>
    </row>
    <row r="193" spans="1:23" s="112" customFormat="1" ht="24" customHeight="1">
      <c r="A193" s="505"/>
      <c r="B193" s="426"/>
      <c r="C193" s="227" t="s">
        <v>200</v>
      </c>
      <c r="D193" s="189" t="s">
        <v>417</v>
      </c>
      <c r="E193" s="190"/>
      <c r="F193" s="191"/>
      <c r="G193" s="224" t="s">
        <v>215</v>
      </c>
      <c r="H193" s="224" t="s">
        <v>269</v>
      </c>
      <c r="I193" s="224" t="s">
        <v>0</v>
      </c>
      <c r="J193" s="224" t="s">
        <v>1</v>
      </c>
      <c r="K193" s="115" t="s">
        <v>114</v>
      </c>
      <c r="L193" s="137">
        <v>174</v>
      </c>
      <c r="M193" s="555" t="s">
        <v>490</v>
      </c>
      <c r="N193" s="367"/>
      <c r="O193" s="353">
        <v>45296</v>
      </c>
      <c r="P193" s="353">
        <v>45329</v>
      </c>
      <c r="Q193" s="353">
        <v>46507</v>
      </c>
      <c r="R193" s="346" t="s">
        <v>122</v>
      </c>
      <c r="S193" s="390"/>
      <c r="T193" s="372"/>
      <c r="U193" s="135"/>
      <c r="V193" s="136"/>
      <c r="W193" s="111"/>
    </row>
    <row r="194" spans="1:23" s="112" customFormat="1" ht="24" customHeight="1">
      <c r="A194" s="505"/>
      <c r="B194" s="426"/>
      <c r="C194" s="231"/>
      <c r="D194" s="192"/>
      <c r="E194" s="193"/>
      <c r="F194" s="194"/>
      <c r="G194" s="226"/>
      <c r="H194" s="226"/>
      <c r="I194" s="226"/>
      <c r="J194" s="226"/>
      <c r="K194" s="115" t="s">
        <v>115</v>
      </c>
      <c r="L194" s="137">
        <v>52</v>
      </c>
      <c r="M194" s="340"/>
      <c r="N194" s="371"/>
      <c r="O194" s="346"/>
      <c r="P194" s="346"/>
      <c r="Q194" s="346"/>
      <c r="R194" s="346"/>
      <c r="S194" s="391"/>
      <c r="T194" s="373"/>
      <c r="U194" s="135"/>
      <c r="V194" s="136"/>
      <c r="W194" s="111"/>
    </row>
    <row r="195" spans="1:23" s="112" customFormat="1" ht="24" customHeight="1">
      <c r="A195" s="505"/>
      <c r="B195" s="426"/>
      <c r="C195" s="228"/>
      <c r="D195" s="195"/>
      <c r="E195" s="196"/>
      <c r="F195" s="197"/>
      <c r="G195" s="174"/>
      <c r="H195" s="175"/>
      <c r="I195" s="175"/>
      <c r="J195" s="175"/>
      <c r="K195" s="176"/>
      <c r="L195" s="29">
        <f>SUM(L193:L194)</f>
        <v>226</v>
      </c>
      <c r="M195" s="130">
        <f>SUM(M193:M194)</f>
        <v>0</v>
      </c>
      <c r="N195" s="130">
        <f>SUM(N193:N194)</f>
        <v>0</v>
      </c>
      <c r="O195" s="346"/>
      <c r="P195" s="346"/>
      <c r="Q195" s="346"/>
      <c r="R195" s="346"/>
      <c r="S195" s="392"/>
      <c r="T195" s="374"/>
      <c r="U195" s="135"/>
      <c r="V195" s="136"/>
      <c r="W195" s="111"/>
    </row>
    <row r="196" spans="1:23" s="112" customFormat="1" ht="19.5" customHeight="1">
      <c r="A196" s="505"/>
      <c r="B196" s="426"/>
      <c r="C196" s="372" t="s">
        <v>376</v>
      </c>
      <c r="D196" s="375" t="s">
        <v>418</v>
      </c>
      <c r="E196" s="376"/>
      <c r="F196" s="377"/>
      <c r="G196" s="372" t="s">
        <v>211</v>
      </c>
      <c r="H196" s="372" t="s">
        <v>377</v>
      </c>
      <c r="I196" s="372" t="s">
        <v>0</v>
      </c>
      <c r="J196" s="372" t="s">
        <v>1</v>
      </c>
      <c r="K196" s="133" t="s">
        <v>114</v>
      </c>
      <c r="L196" s="139">
        <v>36</v>
      </c>
      <c r="M196" s="555" t="s">
        <v>490</v>
      </c>
      <c r="N196" s="556"/>
      <c r="O196" s="353">
        <v>45590</v>
      </c>
      <c r="P196" s="353">
        <v>45623</v>
      </c>
      <c r="Q196" s="353">
        <v>46416</v>
      </c>
      <c r="R196" s="346" t="s">
        <v>122</v>
      </c>
      <c r="S196" s="360"/>
      <c r="T196" s="204"/>
      <c r="U196" s="135"/>
      <c r="V196" s="135"/>
      <c r="W196" s="111"/>
    </row>
    <row r="197" spans="1:23" s="112" customFormat="1" ht="19.5" customHeight="1">
      <c r="A197" s="505"/>
      <c r="B197" s="426"/>
      <c r="C197" s="373"/>
      <c r="D197" s="378"/>
      <c r="E197" s="379"/>
      <c r="F197" s="380"/>
      <c r="G197" s="373"/>
      <c r="H197" s="373"/>
      <c r="I197" s="373"/>
      <c r="J197" s="373"/>
      <c r="K197" s="133" t="s">
        <v>115</v>
      </c>
      <c r="L197" s="139">
        <v>165</v>
      </c>
      <c r="M197" s="557"/>
      <c r="N197" s="558"/>
      <c r="O197" s="346"/>
      <c r="P197" s="346"/>
      <c r="Q197" s="346"/>
      <c r="R197" s="346"/>
      <c r="S197" s="361"/>
      <c r="T197" s="205"/>
      <c r="U197" s="135"/>
      <c r="V197" s="135"/>
      <c r="W197" s="111"/>
    </row>
    <row r="198" spans="1:23" s="112" customFormat="1" ht="19.5" customHeight="1">
      <c r="A198" s="505"/>
      <c r="B198" s="426"/>
      <c r="C198" s="373"/>
      <c r="D198" s="378"/>
      <c r="E198" s="379"/>
      <c r="F198" s="380"/>
      <c r="G198" s="373"/>
      <c r="H198" s="373"/>
      <c r="I198" s="373"/>
      <c r="J198" s="373"/>
      <c r="K198" s="133" t="s">
        <v>116</v>
      </c>
      <c r="L198" s="139">
        <v>54</v>
      </c>
      <c r="M198" s="557"/>
      <c r="N198" s="558"/>
      <c r="O198" s="346"/>
      <c r="P198" s="346"/>
      <c r="Q198" s="346"/>
      <c r="R198" s="346"/>
      <c r="S198" s="361"/>
      <c r="T198" s="205"/>
      <c r="U198" s="135"/>
      <c r="V198" s="135"/>
      <c r="W198" s="111"/>
    </row>
    <row r="199" spans="1:23" s="112" customFormat="1" ht="19.5" customHeight="1">
      <c r="A199" s="505"/>
      <c r="B199" s="426"/>
      <c r="C199" s="373"/>
      <c r="D199" s="378"/>
      <c r="E199" s="379"/>
      <c r="F199" s="380"/>
      <c r="G199" s="373"/>
      <c r="H199" s="373"/>
      <c r="I199" s="373"/>
      <c r="J199" s="373"/>
      <c r="K199" s="133">
        <v>99</v>
      </c>
      <c r="L199" s="139">
        <v>17</v>
      </c>
      <c r="M199" s="557"/>
      <c r="N199" s="558"/>
      <c r="O199" s="346"/>
      <c r="P199" s="346"/>
      <c r="Q199" s="346"/>
      <c r="R199" s="346"/>
      <c r="S199" s="361"/>
      <c r="T199" s="205"/>
      <c r="U199" s="135"/>
      <c r="V199" s="135"/>
      <c r="W199" s="111"/>
    </row>
    <row r="200" spans="1:23" s="112" customFormat="1" ht="19.5" customHeight="1">
      <c r="A200" s="505"/>
      <c r="B200" s="426"/>
      <c r="C200" s="373"/>
      <c r="D200" s="378"/>
      <c r="E200" s="379"/>
      <c r="F200" s="380"/>
      <c r="G200" s="373"/>
      <c r="H200" s="373"/>
      <c r="I200" s="373"/>
      <c r="J200" s="373"/>
      <c r="K200" s="133" t="s">
        <v>208</v>
      </c>
      <c r="L200" s="139">
        <v>54</v>
      </c>
      <c r="M200" s="557"/>
      <c r="N200" s="558"/>
      <c r="O200" s="346"/>
      <c r="P200" s="346"/>
      <c r="Q200" s="346"/>
      <c r="R200" s="346"/>
      <c r="S200" s="361"/>
      <c r="T200" s="205"/>
      <c r="U200" s="135"/>
      <c r="V200" s="135"/>
      <c r="W200" s="111"/>
    </row>
    <row r="201" spans="1:23" s="112" customFormat="1" ht="19.5" customHeight="1">
      <c r="A201" s="505"/>
      <c r="B201" s="426"/>
      <c r="C201" s="373"/>
      <c r="D201" s="378"/>
      <c r="E201" s="379"/>
      <c r="F201" s="380"/>
      <c r="G201" s="373"/>
      <c r="H201" s="373"/>
      <c r="I201" s="373"/>
      <c r="J201" s="373"/>
      <c r="K201" s="133" t="s">
        <v>378</v>
      </c>
      <c r="L201" s="139">
        <v>1</v>
      </c>
      <c r="M201" s="557"/>
      <c r="N201" s="558"/>
      <c r="O201" s="346"/>
      <c r="P201" s="346"/>
      <c r="Q201" s="346"/>
      <c r="R201" s="346"/>
      <c r="S201" s="361"/>
      <c r="T201" s="205"/>
      <c r="U201" s="135"/>
      <c r="V201" s="135"/>
      <c r="W201" s="111"/>
    </row>
    <row r="202" spans="1:23" s="112" customFormat="1" ht="19.5" customHeight="1">
      <c r="A202" s="505"/>
      <c r="B202" s="426"/>
      <c r="C202" s="373"/>
      <c r="D202" s="378"/>
      <c r="E202" s="379"/>
      <c r="F202" s="380"/>
      <c r="G202" s="373"/>
      <c r="H202" s="373"/>
      <c r="I202" s="373"/>
      <c r="J202" s="373"/>
      <c r="K202" s="133" t="s">
        <v>379</v>
      </c>
      <c r="L202" s="139">
        <v>1</v>
      </c>
      <c r="M202" s="557"/>
      <c r="N202" s="558"/>
      <c r="O202" s="346"/>
      <c r="P202" s="346"/>
      <c r="Q202" s="346"/>
      <c r="R202" s="346"/>
      <c r="S202" s="361"/>
      <c r="T202" s="205"/>
      <c r="U202" s="135"/>
      <c r="V202" s="135"/>
      <c r="W202" s="111"/>
    </row>
    <row r="203" spans="1:23" s="112" customFormat="1" ht="19.5" customHeight="1">
      <c r="A203" s="505"/>
      <c r="B203" s="426"/>
      <c r="C203" s="373"/>
      <c r="D203" s="378"/>
      <c r="E203" s="379"/>
      <c r="F203" s="380"/>
      <c r="G203" s="374"/>
      <c r="H203" s="374"/>
      <c r="I203" s="374"/>
      <c r="J203" s="374"/>
      <c r="K203" s="133" t="s">
        <v>380</v>
      </c>
      <c r="L203" s="139">
        <v>1</v>
      </c>
      <c r="M203" s="559"/>
      <c r="N203" s="560"/>
      <c r="O203" s="346"/>
      <c r="P203" s="346"/>
      <c r="Q203" s="346"/>
      <c r="R203" s="346"/>
      <c r="S203" s="361"/>
      <c r="T203" s="205"/>
      <c r="U203" s="135"/>
      <c r="V203" s="135"/>
      <c r="W203" s="111"/>
    </row>
    <row r="204" spans="1:23" s="112" customFormat="1" ht="19.5" customHeight="1">
      <c r="A204" s="505"/>
      <c r="B204" s="426"/>
      <c r="C204" s="374"/>
      <c r="D204" s="381"/>
      <c r="E204" s="382"/>
      <c r="F204" s="383"/>
      <c r="G204" s="174" t="s">
        <v>338</v>
      </c>
      <c r="H204" s="175"/>
      <c r="I204" s="175"/>
      <c r="J204" s="175"/>
      <c r="K204" s="176"/>
      <c r="L204" s="29">
        <f>SUM(L196:L203)</f>
        <v>329</v>
      </c>
      <c r="M204" s="140">
        <f>SUM(M196:M203)</f>
        <v>0</v>
      </c>
      <c r="N204" s="140">
        <f>SUM(N196:N203)</f>
        <v>0</v>
      </c>
      <c r="O204" s="346"/>
      <c r="P204" s="346"/>
      <c r="Q204" s="346"/>
      <c r="R204" s="346"/>
      <c r="S204" s="362"/>
      <c r="T204" s="206"/>
      <c r="U204" s="135"/>
      <c r="V204" s="135"/>
      <c r="W204" s="111"/>
    </row>
    <row r="205" spans="1:23" s="112" customFormat="1" ht="19.5" customHeight="1">
      <c r="A205" s="505"/>
      <c r="B205" s="426"/>
      <c r="C205" s="314" t="s">
        <v>395</v>
      </c>
      <c r="D205" s="365" t="s">
        <v>396</v>
      </c>
      <c r="E205" s="366"/>
      <c r="F205" s="367"/>
      <c r="G205" s="314" t="s">
        <v>397</v>
      </c>
      <c r="H205" s="314" t="s">
        <v>250</v>
      </c>
      <c r="I205" s="314" t="s">
        <v>0</v>
      </c>
      <c r="J205" s="314" t="s">
        <v>1</v>
      </c>
      <c r="K205" s="70" t="s">
        <v>398</v>
      </c>
      <c r="L205" s="131">
        <v>9</v>
      </c>
      <c r="M205" s="555" t="s">
        <v>490</v>
      </c>
      <c r="N205" s="367"/>
      <c r="O205" s="364">
        <v>45729</v>
      </c>
      <c r="P205" s="364">
        <v>45740</v>
      </c>
      <c r="Q205" s="364">
        <v>46318</v>
      </c>
      <c r="R205" s="314" t="s">
        <v>122</v>
      </c>
      <c r="S205" s="360"/>
      <c r="T205" s="204"/>
      <c r="U205" s="135"/>
      <c r="V205" s="135"/>
      <c r="W205" s="111"/>
    </row>
    <row r="206" spans="1:23" s="112" customFormat="1" ht="19.5" customHeight="1">
      <c r="A206" s="505"/>
      <c r="B206" s="426"/>
      <c r="C206" s="315"/>
      <c r="D206" s="339"/>
      <c r="E206" s="368"/>
      <c r="F206" s="369"/>
      <c r="G206" s="315"/>
      <c r="H206" s="315"/>
      <c r="I206" s="315"/>
      <c r="J206" s="315"/>
      <c r="K206" s="70" t="s">
        <v>399</v>
      </c>
      <c r="L206" s="131">
        <v>3</v>
      </c>
      <c r="M206" s="339"/>
      <c r="N206" s="369"/>
      <c r="O206" s="315"/>
      <c r="P206" s="315"/>
      <c r="Q206" s="315"/>
      <c r="R206" s="315"/>
      <c r="S206" s="361"/>
      <c r="T206" s="205"/>
      <c r="U206" s="135"/>
      <c r="V206" s="135"/>
      <c r="W206" s="111"/>
    </row>
    <row r="207" spans="1:23" s="112" customFormat="1" ht="19.5" customHeight="1">
      <c r="A207" s="505"/>
      <c r="B207" s="426"/>
      <c r="C207" s="315"/>
      <c r="D207" s="339"/>
      <c r="E207" s="368"/>
      <c r="F207" s="369"/>
      <c r="G207" s="315"/>
      <c r="H207" s="315"/>
      <c r="I207" s="315"/>
      <c r="J207" s="315"/>
      <c r="K207" s="70" t="s">
        <v>114</v>
      </c>
      <c r="L207" s="131">
        <v>24</v>
      </c>
      <c r="M207" s="339"/>
      <c r="N207" s="369"/>
      <c r="O207" s="315"/>
      <c r="P207" s="315"/>
      <c r="Q207" s="315"/>
      <c r="R207" s="315"/>
      <c r="S207" s="361"/>
      <c r="T207" s="205"/>
      <c r="U207" s="135"/>
      <c r="V207" s="135"/>
      <c r="W207" s="111"/>
    </row>
    <row r="208" spans="1:23" s="112" customFormat="1" ht="19.5" customHeight="1">
      <c r="A208" s="505"/>
      <c r="B208" s="426"/>
      <c r="C208" s="315"/>
      <c r="D208" s="339"/>
      <c r="E208" s="368"/>
      <c r="F208" s="369"/>
      <c r="G208" s="315"/>
      <c r="H208" s="315"/>
      <c r="I208" s="315"/>
      <c r="J208" s="315"/>
      <c r="K208" s="70" t="s">
        <v>400</v>
      </c>
      <c r="L208" s="131">
        <v>18</v>
      </c>
      <c r="M208" s="339"/>
      <c r="N208" s="369"/>
      <c r="O208" s="315"/>
      <c r="P208" s="315"/>
      <c r="Q208" s="315"/>
      <c r="R208" s="315"/>
      <c r="S208" s="361"/>
      <c r="T208" s="205"/>
      <c r="U208" s="135"/>
      <c r="V208" s="135"/>
      <c r="W208" s="111"/>
    </row>
    <row r="209" spans="1:23" s="112" customFormat="1" ht="19.5" customHeight="1">
      <c r="A209" s="505"/>
      <c r="B209" s="426"/>
      <c r="C209" s="315"/>
      <c r="D209" s="339"/>
      <c r="E209" s="368"/>
      <c r="F209" s="369"/>
      <c r="G209" s="315"/>
      <c r="H209" s="315"/>
      <c r="I209" s="315"/>
      <c r="J209" s="315"/>
      <c r="K209" s="70" t="s">
        <v>115</v>
      </c>
      <c r="L209" s="131">
        <v>20</v>
      </c>
      <c r="M209" s="339"/>
      <c r="N209" s="369"/>
      <c r="O209" s="315"/>
      <c r="P209" s="315"/>
      <c r="Q209" s="315"/>
      <c r="R209" s="315"/>
      <c r="S209" s="361"/>
      <c r="T209" s="205"/>
      <c r="U209" s="135"/>
      <c r="V209" s="135"/>
      <c r="W209" s="111"/>
    </row>
    <row r="210" spans="1:23" s="112" customFormat="1" ht="19.5" customHeight="1">
      <c r="A210" s="505"/>
      <c r="B210" s="426"/>
      <c r="C210" s="315"/>
      <c r="D210" s="339"/>
      <c r="E210" s="368"/>
      <c r="F210" s="369"/>
      <c r="G210" s="315"/>
      <c r="H210" s="315"/>
      <c r="I210" s="315"/>
      <c r="J210" s="315"/>
      <c r="K210" s="70" t="s">
        <v>116</v>
      </c>
      <c r="L210" s="131">
        <v>20</v>
      </c>
      <c r="M210" s="339"/>
      <c r="N210" s="369"/>
      <c r="O210" s="315"/>
      <c r="P210" s="315"/>
      <c r="Q210" s="315"/>
      <c r="R210" s="315"/>
      <c r="S210" s="361"/>
      <c r="T210" s="205"/>
      <c r="U210" s="135"/>
      <c r="V210" s="135"/>
      <c r="W210" s="111"/>
    </row>
    <row r="211" spans="1:23" s="112" customFormat="1" ht="19.5" customHeight="1">
      <c r="A211" s="505"/>
      <c r="B211" s="426"/>
      <c r="C211" s="315"/>
      <c r="D211" s="339"/>
      <c r="E211" s="368"/>
      <c r="F211" s="369"/>
      <c r="G211" s="315"/>
      <c r="H211" s="315"/>
      <c r="I211" s="315"/>
      <c r="J211" s="315"/>
      <c r="K211" s="70" t="s">
        <v>117</v>
      </c>
      <c r="L211" s="131">
        <v>6</v>
      </c>
      <c r="M211" s="339"/>
      <c r="N211" s="369"/>
      <c r="O211" s="315"/>
      <c r="P211" s="315"/>
      <c r="Q211" s="315"/>
      <c r="R211" s="315"/>
      <c r="S211" s="361"/>
      <c r="T211" s="205"/>
      <c r="U211" s="135"/>
      <c r="V211" s="135"/>
      <c r="W211" s="111"/>
    </row>
    <row r="212" spans="1:23" s="112" customFormat="1" ht="19.5" customHeight="1">
      <c r="A212" s="505"/>
      <c r="B212" s="426"/>
      <c r="C212" s="315"/>
      <c r="D212" s="339"/>
      <c r="E212" s="368"/>
      <c r="F212" s="369"/>
      <c r="G212" s="315"/>
      <c r="H212" s="315"/>
      <c r="I212" s="315"/>
      <c r="J212" s="315"/>
      <c r="K212" s="70" t="s">
        <v>401</v>
      </c>
      <c r="L212" s="131">
        <v>2</v>
      </c>
      <c r="M212" s="339"/>
      <c r="N212" s="369"/>
      <c r="O212" s="315"/>
      <c r="P212" s="315"/>
      <c r="Q212" s="315"/>
      <c r="R212" s="315"/>
      <c r="S212" s="361"/>
      <c r="T212" s="205"/>
      <c r="U212" s="111"/>
      <c r="V212" s="111"/>
      <c r="W212" s="111"/>
    </row>
    <row r="213" spans="1:23" s="112" customFormat="1" ht="19.5" customHeight="1">
      <c r="A213" s="505"/>
      <c r="B213" s="426"/>
      <c r="C213" s="315"/>
      <c r="D213" s="339"/>
      <c r="E213" s="368"/>
      <c r="F213" s="369"/>
      <c r="G213" s="315"/>
      <c r="H213" s="315"/>
      <c r="I213" s="315"/>
      <c r="J213" s="315"/>
      <c r="K213" s="70" t="s">
        <v>402</v>
      </c>
      <c r="L213" s="131">
        <v>6</v>
      </c>
      <c r="M213" s="339"/>
      <c r="N213" s="369"/>
      <c r="O213" s="315"/>
      <c r="P213" s="315"/>
      <c r="Q213" s="315"/>
      <c r="R213" s="315"/>
      <c r="S213" s="361"/>
      <c r="T213" s="205"/>
      <c r="U213" s="111"/>
      <c r="V213" s="111"/>
      <c r="W213" s="111"/>
    </row>
    <row r="214" spans="1:23" s="112" customFormat="1" ht="19.5" customHeight="1">
      <c r="A214" s="505"/>
      <c r="B214" s="426"/>
      <c r="C214" s="315"/>
      <c r="D214" s="339"/>
      <c r="E214" s="368"/>
      <c r="F214" s="369"/>
      <c r="G214" s="316"/>
      <c r="H214" s="316"/>
      <c r="I214" s="316"/>
      <c r="J214" s="316"/>
      <c r="K214" s="70" t="s">
        <v>403</v>
      </c>
      <c r="L214" s="131">
        <v>2</v>
      </c>
      <c r="M214" s="340"/>
      <c r="N214" s="371"/>
      <c r="O214" s="315"/>
      <c r="P214" s="315"/>
      <c r="Q214" s="315"/>
      <c r="R214" s="315"/>
      <c r="S214" s="361"/>
      <c r="T214" s="205"/>
      <c r="U214" s="111"/>
      <c r="V214" s="111"/>
      <c r="W214" s="111"/>
    </row>
    <row r="215" spans="1:23" s="112" customFormat="1" ht="19.5" customHeight="1">
      <c r="A215" s="505"/>
      <c r="B215" s="426"/>
      <c r="C215" s="316"/>
      <c r="D215" s="340"/>
      <c r="E215" s="370"/>
      <c r="F215" s="371"/>
      <c r="G215" s="363" t="s">
        <v>404</v>
      </c>
      <c r="H215" s="363"/>
      <c r="I215" s="363"/>
      <c r="J215" s="363"/>
      <c r="K215" s="363"/>
      <c r="L215" s="140">
        <f>SUM(L205:L214)</f>
        <v>110</v>
      </c>
      <c r="M215" s="140">
        <f>SUM(M205:M214)</f>
        <v>0</v>
      </c>
      <c r="N215" s="140">
        <f>SUM(N205:N214)</f>
        <v>0</v>
      </c>
      <c r="O215" s="316"/>
      <c r="P215" s="316"/>
      <c r="Q215" s="316"/>
      <c r="R215" s="316"/>
      <c r="S215" s="362"/>
      <c r="T215" s="206"/>
      <c r="U215" s="111"/>
      <c r="V215" s="111"/>
      <c r="W215" s="111"/>
    </row>
    <row r="216" spans="1:23" s="112" customFormat="1" ht="19.5" customHeight="1">
      <c r="A216" s="505"/>
      <c r="B216" s="141"/>
      <c r="C216" s="346" t="s">
        <v>395</v>
      </c>
      <c r="D216" s="356" t="s">
        <v>456</v>
      </c>
      <c r="E216" s="346"/>
      <c r="F216" s="346"/>
      <c r="G216" s="346" t="s">
        <v>457</v>
      </c>
      <c r="H216" s="356" t="s">
        <v>458</v>
      </c>
      <c r="I216" s="346" t="s">
        <v>0</v>
      </c>
      <c r="J216" s="346" t="s">
        <v>1</v>
      </c>
      <c r="K216" s="70" t="s">
        <v>121</v>
      </c>
      <c r="L216" s="138">
        <v>13</v>
      </c>
      <c r="M216" s="555" t="s">
        <v>490</v>
      </c>
      <c r="N216" s="367"/>
      <c r="O216" s="353">
        <v>45747</v>
      </c>
      <c r="P216" s="353">
        <v>45779</v>
      </c>
      <c r="Q216" s="353">
        <v>46934</v>
      </c>
      <c r="R216" s="346" t="s">
        <v>122</v>
      </c>
      <c r="S216" s="360"/>
      <c r="T216" s="204"/>
      <c r="U216" s="111"/>
      <c r="V216" s="111"/>
      <c r="W216" s="111"/>
    </row>
    <row r="217" spans="1:23" s="112" customFormat="1" ht="19.5" customHeight="1">
      <c r="A217" s="505"/>
      <c r="B217" s="141"/>
      <c r="C217" s="346"/>
      <c r="D217" s="346"/>
      <c r="E217" s="346"/>
      <c r="F217" s="346"/>
      <c r="G217" s="346"/>
      <c r="H217" s="346"/>
      <c r="I217" s="346"/>
      <c r="J217" s="346"/>
      <c r="K217" s="70" t="s">
        <v>459</v>
      </c>
      <c r="L217" s="138">
        <v>52</v>
      </c>
      <c r="M217" s="339"/>
      <c r="N217" s="369"/>
      <c r="O217" s="346"/>
      <c r="P217" s="346"/>
      <c r="Q217" s="346"/>
      <c r="R217" s="346"/>
      <c r="S217" s="361"/>
      <c r="T217" s="205"/>
      <c r="U217" s="111"/>
      <c r="V217" s="111"/>
      <c r="W217" s="111"/>
    </row>
    <row r="218" spans="1:23" s="112" customFormat="1" ht="19.5" customHeight="1">
      <c r="A218" s="505"/>
      <c r="B218" s="141"/>
      <c r="C218" s="346"/>
      <c r="D218" s="346"/>
      <c r="E218" s="346"/>
      <c r="F218" s="346"/>
      <c r="G218" s="346"/>
      <c r="H218" s="346"/>
      <c r="I218" s="346"/>
      <c r="J218" s="346"/>
      <c r="K218" s="70">
        <v>74</v>
      </c>
      <c r="L218" s="138">
        <v>49</v>
      </c>
      <c r="M218" s="339"/>
      <c r="N218" s="369"/>
      <c r="O218" s="346"/>
      <c r="P218" s="346"/>
      <c r="Q218" s="346"/>
      <c r="R218" s="346"/>
      <c r="S218" s="361"/>
      <c r="T218" s="205"/>
      <c r="U218" s="111"/>
      <c r="V218" s="111"/>
      <c r="W218" s="111"/>
    </row>
    <row r="219" spans="1:23" s="112" customFormat="1" ht="19.5" customHeight="1">
      <c r="A219" s="505"/>
      <c r="B219" s="141"/>
      <c r="C219" s="346"/>
      <c r="D219" s="346"/>
      <c r="E219" s="346"/>
      <c r="F219" s="346"/>
      <c r="G219" s="346"/>
      <c r="H219" s="346"/>
      <c r="I219" s="346"/>
      <c r="J219" s="346"/>
      <c r="K219" s="70">
        <v>84</v>
      </c>
      <c r="L219" s="138">
        <v>34</v>
      </c>
      <c r="M219" s="340"/>
      <c r="N219" s="371"/>
      <c r="O219" s="346"/>
      <c r="P219" s="346"/>
      <c r="Q219" s="346"/>
      <c r="R219" s="346"/>
      <c r="S219" s="361"/>
      <c r="T219" s="205"/>
      <c r="U219" s="111"/>
      <c r="V219" s="111"/>
      <c r="W219" s="111"/>
    </row>
    <row r="220" spans="1:23" s="112" customFormat="1" ht="19.5" customHeight="1">
      <c r="A220" s="505"/>
      <c r="B220" s="141"/>
      <c r="C220" s="346"/>
      <c r="D220" s="346"/>
      <c r="E220" s="346"/>
      <c r="F220" s="346"/>
      <c r="G220" s="363" t="s">
        <v>338</v>
      </c>
      <c r="H220" s="363"/>
      <c r="I220" s="363"/>
      <c r="J220" s="363"/>
      <c r="K220" s="363"/>
      <c r="L220" s="140">
        <f>SUM(L216:L219)</f>
        <v>148</v>
      </c>
      <c r="M220" s="140">
        <f t="shared" ref="M220:N220" si="2">SUM(M216:M219)</f>
        <v>0</v>
      </c>
      <c r="N220" s="140">
        <f t="shared" si="2"/>
        <v>0</v>
      </c>
      <c r="O220" s="346"/>
      <c r="P220" s="346"/>
      <c r="Q220" s="346"/>
      <c r="R220" s="346"/>
      <c r="S220" s="362"/>
      <c r="T220" s="206"/>
      <c r="U220" s="111"/>
      <c r="V220" s="111"/>
      <c r="W220" s="111"/>
    </row>
    <row r="221" spans="1:23" s="112" customFormat="1" ht="19.5" customHeight="1">
      <c r="A221" s="505"/>
      <c r="C221" s="314" t="s">
        <v>124</v>
      </c>
      <c r="D221" s="356" t="s">
        <v>466</v>
      </c>
      <c r="E221" s="346"/>
      <c r="F221" s="346"/>
      <c r="G221" s="346" t="s">
        <v>467</v>
      </c>
      <c r="H221" s="346" t="s">
        <v>468</v>
      </c>
      <c r="I221" s="346" t="s">
        <v>0</v>
      </c>
      <c r="J221" s="346" t="s">
        <v>1</v>
      </c>
      <c r="K221" s="70" t="s">
        <v>114</v>
      </c>
      <c r="L221" s="138">
        <v>117</v>
      </c>
      <c r="M221" s="579" t="s">
        <v>493</v>
      </c>
      <c r="N221" s="580"/>
      <c r="O221" s="353">
        <v>46129</v>
      </c>
      <c r="P221" s="353">
        <v>46163</v>
      </c>
      <c r="Q221" s="353">
        <v>47209</v>
      </c>
      <c r="R221" s="346" t="s">
        <v>122</v>
      </c>
      <c r="S221" s="354"/>
      <c r="T221" s="355"/>
    </row>
    <row r="222" spans="1:23" s="112" customFormat="1" ht="19.5" customHeight="1">
      <c r="A222" s="505"/>
      <c r="C222" s="315"/>
      <c r="D222" s="346"/>
      <c r="E222" s="346"/>
      <c r="F222" s="346"/>
      <c r="G222" s="346"/>
      <c r="H222" s="346"/>
      <c r="I222" s="346"/>
      <c r="J222" s="346"/>
      <c r="K222" s="70" t="s">
        <v>115</v>
      </c>
      <c r="L222" s="138">
        <v>80</v>
      </c>
      <c r="M222" s="581"/>
      <c r="N222" s="582"/>
      <c r="O222" s="346"/>
      <c r="P222" s="346"/>
      <c r="Q222" s="346"/>
      <c r="R222" s="346"/>
      <c r="S222" s="355"/>
      <c r="T222" s="355"/>
    </row>
    <row r="223" spans="1:23" s="112" customFormat="1" ht="19.5" customHeight="1">
      <c r="A223" s="505"/>
      <c r="C223" s="315"/>
      <c r="D223" s="346"/>
      <c r="E223" s="346"/>
      <c r="F223" s="346"/>
      <c r="G223" s="346"/>
      <c r="H223" s="346"/>
      <c r="I223" s="346"/>
      <c r="J223" s="346"/>
      <c r="K223" s="70" t="s">
        <v>116</v>
      </c>
      <c r="L223" s="138">
        <v>237</v>
      </c>
      <c r="M223" s="581"/>
      <c r="N223" s="582"/>
      <c r="O223" s="346"/>
      <c r="P223" s="346"/>
      <c r="Q223" s="346"/>
      <c r="R223" s="346"/>
      <c r="S223" s="355"/>
      <c r="T223" s="355"/>
    </row>
    <row r="224" spans="1:23" s="112" customFormat="1" ht="19.5" customHeight="1">
      <c r="A224" s="505"/>
      <c r="C224" s="315"/>
      <c r="D224" s="346"/>
      <c r="E224" s="346"/>
      <c r="F224" s="346"/>
      <c r="G224" s="346"/>
      <c r="H224" s="346"/>
      <c r="I224" s="346"/>
      <c r="J224" s="346"/>
      <c r="K224" s="70" t="s">
        <v>117</v>
      </c>
      <c r="L224" s="138">
        <v>15</v>
      </c>
      <c r="M224" s="581"/>
      <c r="N224" s="582"/>
      <c r="O224" s="346"/>
      <c r="P224" s="346"/>
      <c r="Q224" s="346"/>
      <c r="R224" s="346"/>
      <c r="S224" s="355"/>
      <c r="T224" s="355"/>
    </row>
    <row r="225" spans="1:33" s="112" customFormat="1" ht="19.5" customHeight="1">
      <c r="A225" s="505"/>
      <c r="C225" s="315"/>
      <c r="D225" s="346"/>
      <c r="E225" s="346"/>
      <c r="F225" s="346"/>
      <c r="G225" s="346"/>
      <c r="H225" s="346"/>
      <c r="I225" s="346"/>
      <c r="J225" s="346"/>
      <c r="K225" s="70" t="s">
        <v>402</v>
      </c>
      <c r="L225" s="138">
        <v>85</v>
      </c>
      <c r="M225" s="581"/>
      <c r="N225" s="582"/>
      <c r="O225" s="346"/>
      <c r="P225" s="346"/>
      <c r="Q225" s="346"/>
      <c r="R225" s="346"/>
      <c r="S225" s="355"/>
      <c r="T225" s="355"/>
    </row>
    <row r="226" spans="1:33" s="112" customFormat="1" ht="19.5" customHeight="1">
      <c r="A226" s="505"/>
      <c r="C226" s="315"/>
      <c r="D226" s="346"/>
      <c r="E226" s="346"/>
      <c r="F226" s="346"/>
      <c r="G226" s="346"/>
      <c r="H226" s="346"/>
      <c r="I226" s="346"/>
      <c r="J226" s="346"/>
      <c r="K226" s="70" t="s">
        <v>462</v>
      </c>
      <c r="L226" s="138">
        <v>79</v>
      </c>
      <c r="M226" s="581"/>
      <c r="N226" s="582"/>
      <c r="O226" s="346"/>
      <c r="P226" s="346"/>
      <c r="Q226" s="346"/>
      <c r="R226" s="346"/>
      <c r="S226" s="355"/>
      <c r="T226" s="355"/>
    </row>
    <row r="227" spans="1:33" s="112" customFormat="1" ht="19.5" customHeight="1">
      <c r="A227" s="505"/>
      <c r="C227" s="315"/>
      <c r="D227" s="346"/>
      <c r="E227" s="346"/>
      <c r="F227" s="346"/>
      <c r="G227" s="346"/>
      <c r="H227" s="346"/>
      <c r="I227" s="346"/>
      <c r="J227" s="346"/>
      <c r="K227" s="70" t="s">
        <v>463</v>
      </c>
      <c r="L227" s="138">
        <v>41</v>
      </c>
      <c r="M227" s="581"/>
      <c r="N227" s="582"/>
      <c r="O227" s="346"/>
      <c r="P227" s="346"/>
      <c r="Q227" s="346"/>
      <c r="R227" s="346"/>
      <c r="S227" s="355"/>
      <c r="T227" s="355"/>
    </row>
    <row r="228" spans="1:33" s="112" customFormat="1" ht="19.5" customHeight="1">
      <c r="A228" s="505"/>
      <c r="C228" s="315"/>
      <c r="D228" s="346"/>
      <c r="E228" s="346"/>
      <c r="F228" s="346"/>
      <c r="G228" s="346"/>
      <c r="H228" s="346"/>
      <c r="I228" s="346"/>
      <c r="J228" s="346"/>
      <c r="K228" s="70" t="s">
        <v>469</v>
      </c>
      <c r="L228" s="138">
        <v>118</v>
      </c>
      <c r="M228" s="583"/>
      <c r="N228" s="584"/>
      <c r="O228" s="346"/>
      <c r="P228" s="346"/>
      <c r="Q228" s="346"/>
      <c r="R228" s="346"/>
      <c r="S228" s="355"/>
      <c r="T228" s="355"/>
    </row>
    <row r="229" spans="1:33" s="112" customFormat="1" ht="19.5" customHeight="1">
      <c r="A229" s="505"/>
      <c r="C229" s="316"/>
      <c r="D229" s="346"/>
      <c r="E229" s="346"/>
      <c r="F229" s="346"/>
      <c r="G229" s="357" t="s">
        <v>338</v>
      </c>
      <c r="H229" s="358"/>
      <c r="I229" s="358"/>
      <c r="J229" s="358"/>
      <c r="K229" s="359"/>
      <c r="L229" s="142">
        <f>SUM(L221:L228)</f>
        <v>772</v>
      </c>
      <c r="M229" s="64">
        <f>SUM(M221:M228)</f>
        <v>0</v>
      </c>
      <c r="N229" s="64">
        <f>SUM(N221:N228)</f>
        <v>0</v>
      </c>
      <c r="O229" s="346"/>
      <c r="P229" s="346"/>
      <c r="Q229" s="346"/>
      <c r="R229" s="346"/>
      <c r="S229" s="355"/>
      <c r="T229" s="355"/>
    </row>
    <row r="230" spans="1:33" s="128" customFormat="1" ht="24" customHeight="1">
      <c r="A230" s="505"/>
      <c r="B230" s="159" t="s">
        <v>381</v>
      </c>
      <c r="C230" s="160"/>
      <c r="D230" s="160"/>
      <c r="E230" s="160"/>
      <c r="F230" s="160"/>
      <c r="G230" s="160"/>
      <c r="H230" s="160"/>
      <c r="I230" s="160"/>
      <c r="J230" s="160"/>
      <c r="K230" s="161"/>
      <c r="L230" s="118">
        <v>4132</v>
      </c>
      <c r="M230" s="118">
        <v>1154</v>
      </c>
      <c r="N230" s="118">
        <v>1311</v>
      </c>
      <c r="O230" s="10"/>
      <c r="P230" s="10"/>
      <c r="Q230" s="3"/>
      <c r="R230" s="3"/>
      <c r="S230" s="49"/>
      <c r="T230" s="49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</row>
    <row r="231" spans="1:33" ht="24" customHeight="1">
      <c r="A231" s="505"/>
      <c r="B231" s="350" t="s">
        <v>86</v>
      </c>
      <c r="C231" s="351"/>
      <c r="D231" s="351"/>
      <c r="E231" s="351"/>
      <c r="F231" s="351"/>
      <c r="G231" s="351"/>
      <c r="H231" s="351"/>
      <c r="I231" s="351"/>
      <c r="J231" s="351"/>
      <c r="K231" s="352"/>
      <c r="L231" s="15">
        <v>0</v>
      </c>
      <c r="M231" s="15">
        <v>0</v>
      </c>
      <c r="N231" s="15">
        <v>0</v>
      </c>
      <c r="O231" s="10"/>
      <c r="P231" s="10"/>
      <c r="Q231" s="3"/>
      <c r="R231" s="3"/>
      <c r="S231" s="3"/>
      <c r="T231" s="3"/>
    </row>
    <row r="232" spans="1:33" ht="24" customHeight="1">
      <c r="A232" s="505"/>
      <c r="B232" s="159" t="s">
        <v>87</v>
      </c>
      <c r="C232" s="160"/>
      <c r="D232" s="160"/>
      <c r="E232" s="160"/>
      <c r="F232" s="160"/>
      <c r="G232" s="160"/>
      <c r="H232" s="160"/>
      <c r="I232" s="160"/>
      <c r="J232" s="160"/>
      <c r="K232" s="161"/>
      <c r="L232" s="15">
        <v>0</v>
      </c>
      <c r="M232" s="15">
        <v>0</v>
      </c>
      <c r="N232" s="15">
        <v>0</v>
      </c>
      <c r="O232" s="10"/>
      <c r="P232" s="10"/>
      <c r="Q232" s="3"/>
      <c r="R232" s="3"/>
      <c r="S232" s="3"/>
      <c r="T232" s="3"/>
    </row>
    <row r="233" spans="1:33" ht="24" customHeight="1">
      <c r="A233" s="505"/>
      <c r="B233" s="318" t="s">
        <v>14</v>
      </c>
      <c r="C233" s="346" t="s">
        <v>386</v>
      </c>
      <c r="D233" s="341" t="s">
        <v>387</v>
      </c>
      <c r="E233" s="341"/>
      <c r="F233" s="341"/>
      <c r="G233" s="344" t="s">
        <v>278</v>
      </c>
      <c r="H233" s="349" t="s">
        <v>406</v>
      </c>
      <c r="I233" s="344" t="s">
        <v>4</v>
      </c>
      <c r="J233" s="344" t="s">
        <v>3</v>
      </c>
      <c r="K233" s="71">
        <v>74.936300000000003</v>
      </c>
      <c r="L233" s="38">
        <v>108</v>
      </c>
      <c r="M233" s="585" t="s">
        <v>490</v>
      </c>
      <c r="N233" s="586"/>
      <c r="O233" s="347" t="s">
        <v>279</v>
      </c>
      <c r="P233" s="347" t="s">
        <v>280</v>
      </c>
      <c r="Q233" s="347" t="s">
        <v>281</v>
      </c>
      <c r="R233" s="347" t="s">
        <v>57</v>
      </c>
      <c r="S233" s="347" t="s">
        <v>12</v>
      </c>
      <c r="T233" s="347" t="s">
        <v>4</v>
      </c>
    </row>
    <row r="234" spans="1:33" ht="24" customHeight="1">
      <c r="A234" s="505"/>
      <c r="B234" s="319"/>
      <c r="C234" s="346"/>
      <c r="D234" s="341"/>
      <c r="E234" s="341"/>
      <c r="F234" s="341"/>
      <c r="G234" s="344"/>
      <c r="H234" s="349"/>
      <c r="I234" s="344"/>
      <c r="J234" s="344"/>
      <c r="K234" s="71">
        <v>74.311700000000002</v>
      </c>
      <c r="L234" s="38">
        <v>16</v>
      </c>
      <c r="M234" s="587"/>
      <c r="N234" s="588"/>
      <c r="O234" s="347"/>
      <c r="P234" s="347"/>
      <c r="Q234" s="347"/>
      <c r="R234" s="347"/>
      <c r="S234" s="347"/>
      <c r="T234" s="347"/>
    </row>
    <row r="235" spans="1:33" ht="24" customHeight="1">
      <c r="A235" s="505"/>
      <c r="B235" s="319"/>
      <c r="C235" s="346"/>
      <c r="D235" s="341"/>
      <c r="E235" s="341"/>
      <c r="F235" s="341"/>
      <c r="G235" s="344"/>
      <c r="H235" s="349"/>
      <c r="I235" s="344"/>
      <c r="J235" s="344"/>
      <c r="K235" s="71">
        <v>84.634900000000002</v>
      </c>
      <c r="L235" s="38">
        <v>66</v>
      </c>
      <c r="M235" s="587"/>
      <c r="N235" s="588"/>
      <c r="O235" s="347"/>
      <c r="P235" s="347"/>
      <c r="Q235" s="347"/>
      <c r="R235" s="347"/>
      <c r="S235" s="347"/>
      <c r="T235" s="347"/>
    </row>
    <row r="236" spans="1:33" ht="24" customHeight="1">
      <c r="A236" s="505"/>
      <c r="B236" s="319"/>
      <c r="C236" s="346"/>
      <c r="D236" s="341"/>
      <c r="E236" s="341"/>
      <c r="F236" s="341"/>
      <c r="G236" s="344"/>
      <c r="H236" s="349"/>
      <c r="I236" s="344"/>
      <c r="J236" s="344"/>
      <c r="K236" s="71">
        <v>106.74550000000001</v>
      </c>
      <c r="L236" s="38">
        <v>3</v>
      </c>
      <c r="M236" s="587"/>
      <c r="N236" s="588"/>
      <c r="O236" s="347"/>
      <c r="P236" s="347"/>
      <c r="Q236" s="347"/>
      <c r="R236" s="347"/>
      <c r="S236" s="347"/>
      <c r="T236" s="347"/>
    </row>
    <row r="237" spans="1:33" ht="24" customHeight="1">
      <c r="A237" s="505"/>
      <c r="B237" s="319"/>
      <c r="C237" s="346"/>
      <c r="D237" s="341"/>
      <c r="E237" s="341"/>
      <c r="F237" s="341"/>
      <c r="G237" s="344"/>
      <c r="H237" s="349"/>
      <c r="I237" s="344"/>
      <c r="J237" s="344"/>
      <c r="K237" s="71">
        <v>112.3537</v>
      </c>
      <c r="L237" s="38">
        <v>6</v>
      </c>
      <c r="M237" s="589"/>
      <c r="N237" s="590"/>
      <c r="O237" s="347"/>
      <c r="P237" s="347"/>
      <c r="Q237" s="347"/>
      <c r="R237" s="347"/>
      <c r="S237" s="347"/>
      <c r="T237" s="347"/>
    </row>
    <row r="238" spans="1:33" ht="24" customHeight="1">
      <c r="A238" s="505"/>
      <c r="B238" s="319"/>
      <c r="C238" s="346"/>
      <c r="D238" s="341"/>
      <c r="E238" s="341"/>
      <c r="F238" s="341"/>
      <c r="G238" s="348" t="s">
        <v>388</v>
      </c>
      <c r="H238" s="348"/>
      <c r="I238" s="348"/>
      <c r="J238" s="348"/>
      <c r="K238" s="348"/>
      <c r="L238" s="40">
        <v>199</v>
      </c>
      <c r="M238" s="40">
        <f>SUM(M233:M237)</f>
        <v>0</v>
      </c>
      <c r="N238" s="40">
        <f>SUM(N233:N237)</f>
        <v>0</v>
      </c>
      <c r="O238" s="347"/>
      <c r="P238" s="347"/>
      <c r="Q238" s="347"/>
      <c r="R238" s="347"/>
      <c r="S238" s="347"/>
      <c r="T238" s="347"/>
    </row>
    <row r="239" spans="1:33" ht="24" customHeight="1">
      <c r="A239" s="505"/>
      <c r="B239" s="319"/>
      <c r="C239" s="346" t="s">
        <v>389</v>
      </c>
      <c r="D239" s="341" t="s">
        <v>282</v>
      </c>
      <c r="E239" s="341"/>
      <c r="F239" s="341"/>
      <c r="G239" s="342" t="s">
        <v>283</v>
      </c>
      <c r="H239" s="342" t="s">
        <v>284</v>
      </c>
      <c r="I239" s="344" t="s">
        <v>4</v>
      </c>
      <c r="J239" s="344" t="s">
        <v>3</v>
      </c>
      <c r="K239" s="41" t="s">
        <v>285</v>
      </c>
      <c r="L239" s="42">
        <v>31</v>
      </c>
      <c r="M239" s="39">
        <v>2</v>
      </c>
      <c r="N239" s="39">
        <v>2</v>
      </c>
      <c r="O239" s="345" t="s">
        <v>286</v>
      </c>
      <c r="P239" s="345" t="s">
        <v>287</v>
      </c>
      <c r="Q239" s="345" t="s">
        <v>288</v>
      </c>
      <c r="R239" s="345" t="s">
        <v>57</v>
      </c>
      <c r="S239" s="345" t="s">
        <v>12</v>
      </c>
      <c r="T239" s="345" t="s">
        <v>4</v>
      </c>
    </row>
    <row r="240" spans="1:33" ht="24" customHeight="1">
      <c r="A240" s="505"/>
      <c r="B240" s="319"/>
      <c r="C240" s="346"/>
      <c r="D240" s="341"/>
      <c r="E240" s="341"/>
      <c r="F240" s="341"/>
      <c r="G240" s="343"/>
      <c r="H240" s="343"/>
      <c r="I240" s="344"/>
      <c r="J240" s="344"/>
      <c r="K240" s="41" t="s">
        <v>289</v>
      </c>
      <c r="L240" s="42">
        <v>18</v>
      </c>
      <c r="M240" s="39">
        <v>2</v>
      </c>
      <c r="N240" s="39">
        <v>2</v>
      </c>
      <c r="O240" s="317"/>
      <c r="P240" s="317"/>
      <c r="Q240" s="317"/>
      <c r="R240" s="317"/>
      <c r="S240" s="317"/>
      <c r="T240" s="317"/>
    </row>
    <row r="241" spans="1:20" ht="24" customHeight="1">
      <c r="A241" s="505"/>
      <c r="B241" s="319"/>
      <c r="C241" s="346"/>
      <c r="D241" s="341"/>
      <c r="E241" s="341"/>
      <c r="F241" s="341"/>
      <c r="G241" s="343"/>
      <c r="H241" s="343"/>
      <c r="I241" s="344"/>
      <c r="J241" s="344"/>
      <c r="K241" s="41" t="s">
        <v>290</v>
      </c>
      <c r="L241" s="42">
        <v>18</v>
      </c>
      <c r="M241" s="39">
        <v>4</v>
      </c>
      <c r="N241" s="39">
        <v>4</v>
      </c>
      <c r="O241" s="317"/>
      <c r="P241" s="317"/>
      <c r="Q241" s="317"/>
      <c r="R241" s="317"/>
      <c r="S241" s="317"/>
      <c r="T241" s="317"/>
    </row>
    <row r="242" spans="1:20" ht="24" customHeight="1">
      <c r="A242" s="505"/>
      <c r="B242" s="319"/>
      <c r="C242" s="346"/>
      <c r="D242" s="341"/>
      <c r="E242" s="341"/>
      <c r="F242" s="341"/>
      <c r="G242" s="343"/>
      <c r="H242" s="343"/>
      <c r="I242" s="344"/>
      <c r="J242" s="344"/>
      <c r="K242" s="41" t="s">
        <v>291</v>
      </c>
      <c r="L242" s="42">
        <v>18</v>
      </c>
      <c r="M242" s="39">
        <v>3</v>
      </c>
      <c r="N242" s="39">
        <v>3</v>
      </c>
      <c r="O242" s="317"/>
      <c r="P242" s="317"/>
      <c r="Q242" s="317"/>
      <c r="R242" s="317"/>
      <c r="S242" s="317"/>
      <c r="T242" s="317"/>
    </row>
    <row r="243" spans="1:20" ht="24" customHeight="1">
      <c r="A243" s="505"/>
      <c r="B243" s="319"/>
      <c r="C243" s="346"/>
      <c r="D243" s="341"/>
      <c r="E243" s="341"/>
      <c r="F243" s="341"/>
      <c r="G243" s="343"/>
      <c r="H243" s="343"/>
      <c r="I243" s="344"/>
      <c r="J243" s="344"/>
      <c r="K243" s="41" t="s">
        <v>292</v>
      </c>
      <c r="L243" s="42">
        <v>1</v>
      </c>
      <c r="M243" s="39">
        <v>0</v>
      </c>
      <c r="N243" s="39">
        <v>0</v>
      </c>
      <c r="O243" s="317"/>
      <c r="P243" s="317"/>
      <c r="Q243" s="317"/>
      <c r="R243" s="317"/>
      <c r="S243" s="317"/>
      <c r="T243" s="317"/>
    </row>
    <row r="244" spans="1:20" ht="24" customHeight="1">
      <c r="A244" s="505"/>
      <c r="B244" s="319"/>
      <c r="C244" s="346"/>
      <c r="D244" s="341"/>
      <c r="E244" s="341"/>
      <c r="F244" s="341"/>
      <c r="G244" s="343"/>
      <c r="H244" s="343"/>
      <c r="I244" s="344"/>
      <c r="J244" s="344"/>
      <c r="K244" s="41" t="s">
        <v>293</v>
      </c>
      <c r="L244" s="42">
        <v>1</v>
      </c>
      <c r="M244" s="39">
        <v>0</v>
      </c>
      <c r="N244" s="39">
        <v>0</v>
      </c>
      <c r="O244" s="317"/>
      <c r="P244" s="317"/>
      <c r="Q244" s="317"/>
      <c r="R244" s="317"/>
      <c r="S244" s="317"/>
      <c r="T244" s="317"/>
    </row>
    <row r="245" spans="1:20" ht="24" customHeight="1">
      <c r="A245" s="505"/>
      <c r="B245" s="319"/>
      <c r="C245" s="346"/>
      <c r="D245" s="341"/>
      <c r="E245" s="341"/>
      <c r="F245" s="341"/>
      <c r="G245" s="343"/>
      <c r="H245" s="343"/>
      <c r="I245" s="344"/>
      <c r="J245" s="344"/>
      <c r="K245" s="41" t="s">
        <v>294</v>
      </c>
      <c r="L245" s="42">
        <v>1</v>
      </c>
      <c r="M245" s="39">
        <v>1</v>
      </c>
      <c r="N245" s="39">
        <v>1</v>
      </c>
      <c r="O245" s="317"/>
      <c r="P245" s="317"/>
      <c r="Q245" s="317"/>
      <c r="R245" s="317"/>
      <c r="S245" s="317"/>
      <c r="T245" s="317"/>
    </row>
    <row r="246" spans="1:20" ht="24" customHeight="1">
      <c r="A246" s="505"/>
      <c r="B246" s="319"/>
      <c r="C246" s="346"/>
      <c r="D246" s="341"/>
      <c r="E246" s="341"/>
      <c r="F246" s="341"/>
      <c r="G246" s="343"/>
      <c r="H246" s="343"/>
      <c r="I246" s="344"/>
      <c r="J246" s="344"/>
      <c r="K246" s="41" t="s">
        <v>295</v>
      </c>
      <c r="L246" s="42">
        <v>2</v>
      </c>
      <c r="M246" s="39">
        <v>1</v>
      </c>
      <c r="N246" s="39">
        <v>1</v>
      </c>
      <c r="O246" s="317"/>
      <c r="P246" s="317"/>
      <c r="Q246" s="317"/>
      <c r="R246" s="317"/>
      <c r="S246" s="317"/>
      <c r="T246" s="317"/>
    </row>
    <row r="247" spans="1:20" ht="24" customHeight="1">
      <c r="A247" s="505"/>
      <c r="B247" s="319"/>
      <c r="C247" s="346"/>
      <c r="D247" s="341"/>
      <c r="E247" s="341"/>
      <c r="F247" s="341"/>
      <c r="G247" s="289" t="s">
        <v>296</v>
      </c>
      <c r="H247" s="290"/>
      <c r="I247" s="290"/>
      <c r="J247" s="290"/>
      <c r="K247" s="291"/>
      <c r="L247" s="43">
        <f>SUM(L239:L246)</f>
        <v>90</v>
      </c>
      <c r="M247" s="43">
        <f>SUM(M239:M246)</f>
        <v>13</v>
      </c>
      <c r="N247" s="43">
        <f>SUM(N239:N246)</f>
        <v>13</v>
      </c>
      <c r="O247" s="337"/>
      <c r="P247" s="337"/>
      <c r="Q247" s="337"/>
      <c r="R247" s="337"/>
      <c r="S247" s="337"/>
      <c r="T247" s="337"/>
    </row>
    <row r="248" spans="1:20" ht="24" customHeight="1">
      <c r="A248" s="505"/>
      <c r="B248" s="319"/>
      <c r="C248" s="346" t="s">
        <v>390</v>
      </c>
      <c r="D248" s="341" t="s">
        <v>277</v>
      </c>
      <c r="E248" s="341"/>
      <c r="F248" s="341"/>
      <c r="G248" s="342" t="s">
        <v>405</v>
      </c>
      <c r="H248" s="342" t="s">
        <v>284</v>
      </c>
      <c r="I248" s="344" t="s">
        <v>4</v>
      </c>
      <c r="J248" s="344" t="s">
        <v>3</v>
      </c>
      <c r="K248" s="41" t="s">
        <v>246</v>
      </c>
      <c r="L248" s="42">
        <v>17</v>
      </c>
      <c r="M248" s="585" t="s">
        <v>490</v>
      </c>
      <c r="N248" s="586"/>
      <c r="O248" s="345" t="s">
        <v>391</v>
      </c>
      <c r="P248" s="345" t="s">
        <v>392</v>
      </c>
      <c r="Q248" s="345" t="s">
        <v>420</v>
      </c>
      <c r="R248" s="345" t="s">
        <v>54</v>
      </c>
      <c r="S248" s="345" t="s">
        <v>12</v>
      </c>
      <c r="T248" s="345" t="s">
        <v>4</v>
      </c>
    </row>
    <row r="249" spans="1:20" ht="24" customHeight="1">
      <c r="A249" s="505"/>
      <c r="B249" s="319"/>
      <c r="C249" s="346"/>
      <c r="D249" s="341"/>
      <c r="E249" s="341"/>
      <c r="F249" s="341"/>
      <c r="G249" s="343"/>
      <c r="H249" s="343"/>
      <c r="I249" s="344"/>
      <c r="J249" s="344"/>
      <c r="K249" s="41" t="s">
        <v>242</v>
      </c>
      <c r="L249" s="42">
        <v>17</v>
      </c>
      <c r="M249" s="587"/>
      <c r="N249" s="588"/>
      <c r="O249" s="317"/>
      <c r="P249" s="317"/>
      <c r="Q249" s="317"/>
      <c r="R249" s="317"/>
      <c r="S249" s="317"/>
      <c r="T249" s="317"/>
    </row>
    <row r="250" spans="1:20" ht="24" customHeight="1">
      <c r="A250" s="505"/>
      <c r="B250" s="319"/>
      <c r="C250" s="346"/>
      <c r="D250" s="341"/>
      <c r="E250" s="341"/>
      <c r="F250" s="341"/>
      <c r="G250" s="343"/>
      <c r="H250" s="343"/>
      <c r="I250" s="344"/>
      <c r="J250" s="344"/>
      <c r="K250" s="41" t="s">
        <v>241</v>
      </c>
      <c r="L250" s="42">
        <v>2</v>
      </c>
      <c r="M250" s="587"/>
      <c r="N250" s="588"/>
      <c r="O250" s="317"/>
      <c r="P250" s="317"/>
      <c r="Q250" s="317"/>
      <c r="R250" s="317"/>
      <c r="S250" s="317"/>
      <c r="T250" s="317"/>
    </row>
    <row r="251" spans="1:20" ht="24" customHeight="1">
      <c r="A251" s="505"/>
      <c r="B251" s="319"/>
      <c r="C251" s="346"/>
      <c r="D251" s="341"/>
      <c r="E251" s="341"/>
      <c r="F251" s="341"/>
      <c r="G251" s="343"/>
      <c r="H251" s="343"/>
      <c r="I251" s="344"/>
      <c r="J251" s="344"/>
      <c r="K251" s="41" t="s">
        <v>240</v>
      </c>
      <c r="L251" s="42">
        <v>27</v>
      </c>
      <c r="M251" s="587"/>
      <c r="N251" s="588"/>
      <c r="O251" s="317"/>
      <c r="P251" s="317"/>
      <c r="Q251" s="317"/>
      <c r="R251" s="317"/>
      <c r="S251" s="317"/>
      <c r="T251" s="317"/>
    </row>
    <row r="252" spans="1:20" ht="24" customHeight="1">
      <c r="A252" s="505"/>
      <c r="B252" s="319"/>
      <c r="C252" s="346"/>
      <c r="D252" s="341"/>
      <c r="E252" s="341"/>
      <c r="F252" s="341"/>
      <c r="G252" s="343"/>
      <c r="H252" s="343"/>
      <c r="I252" s="344"/>
      <c r="J252" s="344"/>
      <c r="K252" s="41" t="s">
        <v>297</v>
      </c>
      <c r="L252" s="42">
        <v>46</v>
      </c>
      <c r="M252" s="587"/>
      <c r="N252" s="588"/>
      <c r="O252" s="317"/>
      <c r="P252" s="317"/>
      <c r="Q252" s="317"/>
      <c r="R252" s="317"/>
      <c r="S252" s="317"/>
      <c r="T252" s="317"/>
    </row>
    <row r="253" spans="1:20" ht="24" customHeight="1">
      <c r="A253" s="505"/>
      <c r="B253" s="319"/>
      <c r="C253" s="346"/>
      <c r="D253" s="341"/>
      <c r="E253" s="341"/>
      <c r="F253" s="341"/>
      <c r="G253" s="343"/>
      <c r="H253" s="343"/>
      <c r="I253" s="344"/>
      <c r="J253" s="344"/>
      <c r="K253" s="41" t="s">
        <v>298</v>
      </c>
      <c r="L253" s="42">
        <v>14</v>
      </c>
      <c r="M253" s="587"/>
      <c r="N253" s="588"/>
      <c r="O253" s="317"/>
      <c r="P253" s="317"/>
      <c r="Q253" s="317"/>
      <c r="R253" s="317"/>
      <c r="S253" s="317"/>
      <c r="T253" s="317"/>
    </row>
    <row r="254" spans="1:20" ht="24" customHeight="1">
      <c r="A254" s="505"/>
      <c r="B254" s="319"/>
      <c r="C254" s="346"/>
      <c r="D254" s="341"/>
      <c r="E254" s="341"/>
      <c r="F254" s="341"/>
      <c r="G254" s="343"/>
      <c r="H254" s="343"/>
      <c r="I254" s="344"/>
      <c r="J254" s="344"/>
      <c r="K254" s="41" t="s">
        <v>299</v>
      </c>
      <c r="L254" s="42">
        <v>5</v>
      </c>
      <c r="M254" s="587"/>
      <c r="N254" s="588"/>
      <c r="O254" s="317"/>
      <c r="P254" s="317"/>
      <c r="Q254" s="317"/>
      <c r="R254" s="317"/>
      <c r="S254" s="317"/>
      <c r="T254" s="317"/>
    </row>
    <row r="255" spans="1:20" ht="24" customHeight="1">
      <c r="A255" s="505"/>
      <c r="B255" s="319"/>
      <c r="C255" s="346"/>
      <c r="D255" s="341"/>
      <c r="E255" s="341"/>
      <c r="F255" s="341"/>
      <c r="G255" s="343"/>
      <c r="H255" s="343"/>
      <c r="I255" s="344"/>
      <c r="J255" s="344"/>
      <c r="K255" s="41">
        <v>93</v>
      </c>
      <c r="L255" s="42">
        <v>19</v>
      </c>
      <c r="M255" s="587"/>
      <c r="N255" s="588"/>
      <c r="O255" s="317"/>
      <c r="P255" s="317"/>
      <c r="Q255" s="317"/>
      <c r="R255" s="317"/>
      <c r="S255" s="317"/>
      <c r="T255" s="317"/>
    </row>
    <row r="256" spans="1:20" ht="24" customHeight="1">
      <c r="A256" s="505"/>
      <c r="B256" s="319"/>
      <c r="C256" s="346"/>
      <c r="D256" s="341"/>
      <c r="E256" s="341"/>
      <c r="F256" s="341"/>
      <c r="G256" s="343"/>
      <c r="H256" s="343"/>
      <c r="I256" s="344"/>
      <c r="J256" s="344"/>
      <c r="K256" s="41">
        <v>98</v>
      </c>
      <c r="L256" s="42">
        <v>27</v>
      </c>
      <c r="M256" s="587"/>
      <c r="N256" s="588"/>
      <c r="O256" s="317"/>
      <c r="P256" s="317"/>
      <c r="Q256" s="317"/>
      <c r="R256" s="317"/>
      <c r="S256" s="317"/>
      <c r="T256" s="317"/>
    </row>
    <row r="257" spans="1:33" ht="24" customHeight="1">
      <c r="A257" s="505"/>
      <c r="B257" s="319"/>
      <c r="C257" s="346"/>
      <c r="D257" s="341"/>
      <c r="E257" s="341"/>
      <c r="F257" s="341"/>
      <c r="G257" s="343"/>
      <c r="H257" s="343"/>
      <c r="I257" s="344"/>
      <c r="J257" s="344"/>
      <c r="K257" s="41" t="s">
        <v>300</v>
      </c>
      <c r="L257" s="42">
        <v>27</v>
      </c>
      <c r="M257" s="587"/>
      <c r="N257" s="588"/>
      <c r="O257" s="317"/>
      <c r="P257" s="317"/>
      <c r="Q257" s="317"/>
      <c r="R257" s="317"/>
      <c r="S257" s="317"/>
      <c r="T257" s="317"/>
    </row>
    <row r="258" spans="1:33" ht="24" customHeight="1">
      <c r="A258" s="505"/>
      <c r="B258" s="319"/>
      <c r="C258" s="346"/>
      <c r="D258" s="341"/>
      <c r="E258" s="341"/>
      <c r="F258" s="341"/>
      <c r="G258" s="343"/>
      <c r="H258" s="343"/>
      <c r="I258" s="344"/>
      <c r="J258" s="344"/>
      <c r="K258" s="41" t="s">
        <v>301</v>
      </c>
      <c r="L258" s="42">
        <v>27</v>
      </c>
      <c r="M258" s="589"/>
      <c r="N258" s="590"/>
      <c r="O258" s="317"/>
      <c r="P258" s="317"/>
      <c r="Q258" s="317"/>
      <c r="R258" s="317"/>
      <c r="S258" s="317"/>
      <c r="T258" s="317"/>
    </row>
    <row r="259" spans="1:33" ht="24" customHeight="1">
      <c r="A259" s="505"/>
      <c r="B259" s="319"/>
      <c r="C259" s="346"/>
      <c r="D259" s="341"/>
      <c r="E259" s="341"/>
      <c r="F259" s="341"/>
      <c r="G259" s="289" t="s">
        <v>296</v>
      </c>
      <c r="H259" s="290"/>
      <c r="I259" s="290"/>
      <c r="J259" s="290"/>
      <c r="K259" s="291"/>
      <c r="L259" s="43">
        <f>SUM(L248:L258)</f>
        <v>228</v>
      </c>
      <c r="M259" s="43">
        <f>SUM(M248:M258)</f>
        <v>0</v>
      </c>
      <c r="N259" s="43">
        <f>SUM(N248:N258)</f>
        <v>0</v>
      </c>
      <c r="O259" s="337"/>
      <c r="P259" s="337"/>
      <c r="Q259" s="337"/>
      <c r="R259" s="337"/>
      <c r="S259" s="337"/>
      <c r="T259" s="337"/>
    </row>
    <row r="260" spans="1:33" ht="24" customHeight="1">
      <c r="A260" s="505"/>
      <c r="B260" s="319"/>
      <c r="C260" s="338" t="s">
        <v>393</v>
      </c>
      <c r="D260" s="341" t="s">
        <v>302</v>
      </c>
      <c r="E260" s="341"/>
      <c r="F260" s="341"/>
      <c r="G260" s="342" t="s">
        <v>407</v>
      </c>
      <c r="H260" s="342" t="s">
        <v>303</v>
      </c>
      <c r="I260" s="344" t="s">
        <v>4</v>
      </c>
      <c r="J260" s="344" t="s">
        <v>3</v>
      </c>
      <c r="K260" s="41" t="s">
        <v>246</v>
      </c>
      <c r="L260" s="42">
        <v>498</v>
      </c>
      <c r="M260" s="518" t="s">
        <v>490</v>
      </c>
      <c r="N260" s="591"/>
      <c r="O260" s="345" t="s">
        <v>245</v>
      </c>
      <c r="P260" s="317" t="s">
        <v>244</v>
      </c>
      <c r="Q260" s="317" t="s">
        <v>243</v>
      </c>
      <c r="R260" s="317" t="s">
        <v>62</v>
      </c>
      <c r="S260" s="317" t="s">
        <v>12</v>
      </c>
      <c r="T260" s="317" t="s">
        <v>4</v>
      </c>
    </row>
    <row r="261" spans="1:33" ht="24" customHeight="1">
      <c r="A261" s="505"/>
      <c r="B261" s="319"/>
      <c r="C261" s="339"/>
      <c r="D261" s="341"/>
      <c r="E261" s="341"/>
      <c r="F261" s="341"/>
      <c r="G261" s="343"/>
      <c r="H261" s="343"/>
      <c r="I261" s="344"/>
      <c r="J261" s="344"/>
      <c r="K261" s="41" t="s">
        <v>242</v>
      </c>
      <c r="L261" s="42">
        <v>171</v>
      </c>
      <c r="M261" s="592"/>
      <c r="N261" s="593"/>
      <c r="O261" s="317"/>
      <c r="P261" s="317"/>
      <c r="Q261" s="317"/>
      <c r="R261" s="317"/>
      <c r="S261" s="317"/>
      <c r="T261" s="317"/>
    </row>
    <row r="262" spans="1:33" ht="24" customHeight="1">
      <c r="A262" s="505"/>
      <c r="B262" s="319"/>
      <c r="C262" s="339"/>
      <c r="D262" s="341"/>
      <c r="E262" s="341"/>
      <c r="F262" s="341"/>
      <c r="G262" s="343"/>
      <c r="H262" s="343"/>
      <c r="I262" s="344"/>
      <c r="J262" s="344"/>
      <c r="K262" s="41" t="s">
        <v>241</v>
      </c>
      <c r="L262" s="42">
        <v>172</v>
      </c>
      <c r="M262" s="592"/>
      <c r="N262" s="593"/>
      <c r="O262" s="317"/>
      <c r="P262" s="317"/>
      <c r="Q262" s="317"/>
      <c r="R262" s="317"/>
      <c r="S262" s="317"/>
      <c r="T262" s="317"/>
    </row>
    <row r="263" spans="1:33" ht="24" customHeight="1">
      <c r="A263" s="505"/>
      <c r="B263" s="319"/>
      <c r="C263" s="339"/>
      <c r="D263" s="341"/>
      <c r="E263" s="341"/>
      <c r="F263" s="341"/>
      <c r="G263" s="343"/>
      <c r="H263" s="343"/>
      <c r="I263" s="344"/>
      <c r="J263" s="344"/>
      <c r="K263" s="41" t="s">
        <v>240</v>
      </c>
      <c r="L263" s="42">
        <v>80</v>
      </c>
      <c r="M263" s="592"/>
      <c r="N263" s="593"/>
      <c r="O263" s="317"/>
      <c r="P263" s="317"/>
      <c r="Q263" s="317"/>
      <c r="R263" s="317"/>
      <c r="S263" s="317"/>
      <c r="T263" s="317"/>
    </row>
    <row r="264" spans="1:33" ht="24" customHeight="1">
      <c r="A264" s="505"/>
      <c r="B264" s="319"/>
      <c r="C264" s="339"/>
      <c r="D264" s="341"/>
      <c r="E264" s="341"/>
      <c r="F264" s="341"/>
      <c r="G264" s="343"/>
      <c r="H264" s="343"/>
      <c r="I264" s="344"/>
      <c r="J264" s="344"/>
      <c r="K264" s="41" t="s">
        <v>239</v>
      </c>
      <c r="L264" s="42">
        <v>4</v>
      </c>
      <c r="M264" s="594"/>
      <c r="N264" s="595"/>
      <c r="O264" s="317"/>
      <c r="P264" s="317"/>
      <c r="Q264" s="317"/>
      <c r="R264" s="317"/>
      <c r="S264" s="317"/>
      <c r="T264" s="317"/>
    </row>
    <row r="265" spans="1:33" ht="24" customHeight="1">
      <c r="A265" s="505"/>
      <c r="B265" s="319"/>
      <c r="C265" s="340"/>
      <c r="D265" s="341"/>
      <c r="E265" s="341"/>
      <c r="F265" s="341"/>
      <c r="G265" s="289" t="s">
        <v>394</v>
      </c>
      <c r="H265" s="290"/>
      <c r="I265" s="290"/>
      <c r="J265" s="290"/>
      <c r="K265" s="291"/>
      <c r="L265" s="43">
        <f>SUM(L260:L264)</f>
        <v>925</v>
      </c>
      <c r="M265" s="43">
        <f>SUM(M260:M264)</f>
        <v>0</v>
      </c>
      <c r="N265" s="43">
        <f>SUM(N260:N264)</f>
        <v>0</v>
      </c>
      <c r="O265" s="317"/>
      <c r="P265" s="317"/>
      <c r="Q265" s="317"/>
      <c r="R265" s="317"/>
      <c r="S265" s="317"/>
      <c r="T265" s="337"/>
    </row>
    <row r="266" spans="1:33" s="116" customFormat="1" ht="21.95" customHeight="1">
      <c r="A266" s="505"/>
      <c r="B266" s="159" t="s">
        <v>88</v>
      </c>
      <c r="C266" s="160"/>
      <c r="D266" s="160"/>
      <c r="E266" s="160"/>
      <c r="F266" s="160"/>
      <c r="G266" s="160"/>
      <c r="H266" s="160"/>
      <c r="I266" s="160"/>
      <c r="J266" s="160"/>
      <c r="K266" s="161"/>
      <c r="L266" s="15">
        <v>1442</v>
      </c>
      <c r="M266" s="15">
        <v>551</v>
      </c>
      <c r="N266" s="15">
        <v>556</v>
      </c>
      <c r="O266" s="10"/>
      <c r="P266" s="10"/>
      <c r="Q266" s="3"/>
      <c r="R266" s="3"/>
      <c r="S266" s="3"/>
      <c r="T266" s="3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</row>
    <row r="267" spans="1:33" s="116" customFormat="1" ht="21.2" customHeight="1">
      <c r="A267" s="505"/>
      <c r="B267" s="297" t="s">
        <v>464</v>
      </c>
      <c r="C267" s="283" t="s">
        <v>304</v>
      </c>
      <c r="D267" s="299" t="s">
        <v>305</v>
      </c>
      <c r="E267" s="300"/>
      <c r="F267" s="301"/>
      <c r="G267" s="308" t="s">
        <v>306</v>
      </c>
      <c r="H267" s="311" t="s">
        <v>307</v>
      </c>
      <c r="I267" s="314" t="s">
        <v>4</v>
      </c>
      <c r="J267" s="314" t="s">
        <v>3</v>
      </c>
      <c r="K267" s="9">
        <v>59</v>
      </c>
      <c r="L267" s="34">
        <v>242</v>
      </c>
      <c r="M267" s="596" t="s">
        <v>490</v>
      </c>
      <c r="N267" s="597"/>
      <c r="O267" s="331">
        <v>42172</v>
      </c>
      <c r="P267" s="331">
        <v>42186</v>
      </c>
      <c r="Q267" s="334" t="s">
        <v>308</v>
      </c>
      <c r="R267" s="283" t="s">
        <v>57</v>
      </c>
      <c r="S267" s="286" t="s">
        <v>55</v>
      </c>
      <c r="T267" s="165" t="s">
        <v>53</v>
      </c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</row>
    <row r="268" spans="1:33" s="116" customFormat="1" ht="21.2" customHeight="1">
      <c r="A268" s="505"/>
      <c r="B268" s="297"/>
      <c r="C268" s="284"/>
      <c r="D268" s="302"/>
      <c r="E268" s="303"/>
      <c r="F268" s="304"/>
      <c r="G268" s="309"/>
      <c r="H268" s="312"/>
      <c r="I268" s="315"/>
      <c r="J268" s="315"/>
      <c r="K268" s="9">
        <v>74</v>
      </c>
      <c r="L268" s="18">
        <v>278</v>
      </c>
      <c r="M268" s="598"/>
      <c r="N268" s="599"/>
      <c r="O268" s="332"/>
      <c r="P268" s="332"/>
      <c r="Q268" s="335"/>
      <c r="R268" s="284"/>
      <c r="S268" s="287"/>
      <c r="T268" s="166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</row>
    <row r="269" spans="1:33" s="116" customFormat="1" ht="21.2" customHeight="1">
      <c r="A269" s="505"/>
      <c r="B269" s="297"/>
      <c r="C269" s="284"/>
      <c r="D269" s="302"/>
      <c r="E269" s="303"/>
      <c r="F269" s="304"/>
      <c r="G269" s="310"/>
      <c r="H269" s="313"/>
      <c r="I269" s="316"/>
      <c r="J269" s="316"/>
      <c r="K269" s="9">
        <v>84</v>
      </c>
      <c r="L269" s="18">
        <v>203</v>
      </c>
      <c r="M269" s="600"/>
      <c r="N269" s="601"/>
      <c r="O269" s="332"/>
      <c r="P269" s="332"/>
      <c r="Q269" s="335"/>
      <c r="R269" s="284"/>
      <c r="S269" s="287"/>
      <c r="T269" s="166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</row>
    <row r="270" spans="1:33" s="116" customFormat="1" ht="21.2" customHeight="1">
      <c r="A270" s="505"/>
      <c r="B270" s="297"/>
      <c r="C270" s="285"/>
      <c r="D270" s="305"/>
      <c r="E270" s="306"/>
      <c r="F270" s="307"/>
      <c r="G270" s="289" t="s">
        <v>296</v>
      </c>
      <c r="H270" s="290"/>
      <c r="I270" s="290"/>
      <c r="J270" s="290"/>
      <c r="K270" s="291"/>
      <c r="L270" s="17">
        <f>SUM(L267:L269)</f>
        <v>723</v>
      </c>
      <c r="M270" s="19">
        <f>SUM(M267:M269)</f>
        <v>0</v>
      </c>
      <c r="N270" s="19">
        <f>SUM(N267:N269)</f>
        <v>0</v>
      </c>
      <c r="O270" s="333"/>
      <c r="P270" s="333"/>
      <c r="Q270" s="336"/>
      <c r="R270" s="285"/>
      <c r="S270" s="288"/>
      <c r="T270" s="167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</row>
    <row r="271" spans="1:33" s="116" customFormat="1" ht="21.2" customHeight="1">
      <c r="A271" s="505"/>
      <c r="B271" s="297"/>
      <c r="C271" s="320" t="s">
        <v>109</v>
      </c>
      <c r="D271" s="322" t="s">
        <v>421</v>
      </c>
      <c r="E271" s="323"/>
      <c r="F271" s="324"/>
      <c r="G271" s="320" t="s">
        <v>422</v>
      </c>
      <c r="H271" s="320" t="s">
        <v>5</v>
      </c>
      <c r="I271" s="328" t="s">
        <v>0</v>
      </c>
      <c r="J271" s="328" t="s">
        <v>1</v>
      </c>
      <c r="K271" s="143">
        <v>84</v>
      </c>
      <c r="L271" s="20">
        <v>369</v>
      </c>
      <c r="M271" s="596" t="s">
        <v>490</v>
      </c>
      <c r="N271" s="597"/>
      <c r="O271" s="329">
        <v>45855</v>
      </c>
      <c r="P271" s="294" t="s">
        <v>13</v>
      </c>
      <c r="Q271" s="295" t="s">
        <v>423</v>
      </c>
      <c r="R271" s="295" t="s">
        <v>122</v>
      </c>
      <c r="S271" s="287" t="s">
        <v>13</v>
      </c>
      <c r="T271" s="166" t="s">
        <v>0</v>
      </c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</row>
    <row r="272" spans="1:33" s="116" customFormat="1" ht="21.2" customHeight="1">
      <c r="A272" s="505"/>
      <c r="B272" s="297"/>
      <c r="C272" s="320"/>
      <c r="D272" s="322"/>
      <c r="E272" s="323"/>
      <c r="F272" s="324"/>
      <c r="G272" s="320"/>
      <c r="H272" s="320"/>
      <c r="I272" s="328"/>
      <c r="J272" s="328"/>
      <c r="K272" s="143">
        <v>99</v>
      </c>
      <c r="L272" s="20">
        <v>49</v>
      </c>
      <c r="M272" s="600"/>
      <c r="N272" s="601"/>
      <c r="O272" s="329"/>
      <c r="P272" s="295"/>
      <c r="Q272" s="295"/>
      <c r="R272" s="295"/>
      <c r="S272" s="287"/>
      <c r="T272" s="166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</row>
    <row r="273" spans="1:33" s="116" customFormat="1" ht="21.2" customHeight="1">
      <c r="A273" s="505"/>
      <c r="B273" s="298"/>
      <c r="C273" s="321"/>
      <c r="D273" s="325"/>
      <c r="E273" s="326"/>
      <c r="F273" s="327"/>
      <c r="G273" s="289" t="s">
        <v>296</v>
      </c>
      <c r="H273" s="290"/>
      <c r="I273" s="290"/>
      <c r="J273" s="290"/>
      <c r="K273" s="291"/>
      <c r="L273" s="17">
        <f>SUM(L271:L272)</f>
        <v>418</v>
      </c>
      <c r="M273" s="19">
        <f>SUM(M271:M272)</f>
        <v>0</v>
      </c>
      <c r="N273" s="19">
        <f>SUM(N271:N272)</f>
        <v>0</v>
      </c>
      <c r="O273" s="330"/>
      <c r="P273" s="296"/>
      <c r="Q273" s="296"/>
      <c r="R273" s="296"/>
      <c r="S273" s="288"/>
      <c r="T273" s="167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</row>
    <row r="274" spans="1:33" s="116" customFormat="1" ht="21.95" customHeight="1">
      <c r="A274" s="505"/>
      <c r="B274" s="159" t="s">
        <v>89</v>
      </c>
      <c r="C274" s="160"/>
      <c r="D274" s="160"/>
      <c r="E274" s="160"/>
      <c r="F274" s="160"/>
      <c r="G274" s="160"/>
      <c r="H274" s="160"/>
      <c r="I274" s="160"/>
      <c r="J274" s="160"/>
      <c r="K274" s="292"/>
      <c r="L274" s="44">
        <v>723</v>
      </c>
      <c r="M274" s="44">
        <v>73</v>
      </c>
      <c r="N274" s="44">
        <v>88</v>
      </c>
      <c r="O274" s="10"/>
      <c r="P274" s="10"/>
      <c r="Q274" s="3"/>
      <c r="R274" s="3"/>
      <c r="S274" s="3"/>
      <c r="T274" s="3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</row>
    <row r="275" spans="1:33" ht="21.75" customHeight="1">
      <c r="A275" s="505"/>
      <c r="B275" s="293" t="s">
        <v>424</v>
      </c>
      <c r="C275" s="267" t="s">
        <v>437</v>
      </c>
      <c r="D275" s="270" t="s">
        <v>487</v>
      </c>
      <c r="E275" s="271"/>
      <c r="F275" s="272"/>
      <c r="G275" s="282" t="s">
        <v>438</v>
      </c>
      <c r="H275" s="281" t="s">
        <v>460</v>
      </c>
      <c r="I275" s="280" t="s">
        <v>0</v>
      </c>
      <c r="J275" s="281" t="s">
        <v>1</v>
      </c>
      <c r="K275" s="46" t="s">
        <v>449</v>
      </c>
      <c r="L275" s="33">
        <v>15</v>
      </c>
      <c r="M275" s="602" t="s">
        <v>493</v>
      </c>
      <c r="N275" s="603"/>
      <c r="O275" s="257">
        <v>45448</v>
      </c>
      <c r="P275" s="248" t="s">
        <v>488</v>
      </c>
      <c r="Q275" s="248" t="s">
        <v>488</v>
      </c>
      <c r="R275" s="251" t="s">
        <v>57</v>
      </c>
      <c r="S275" s="254" t="s">
        <v>13</v>
      </c>
      <c r="T275" s="251" t="s">
        <v>0</v>
      </c>
    </row>
    <row r="276" spans="1:33" ht="21.75" customHeight="1">
      <c r="A276" s="505"/>
      <c r="B276" s="293"/>
      <c r="C276" s="268"/>
      <c r="D276" s="273"/>
      <c r="E276" s="274"/>
      <c r="F276" s="275"/>
      <c r="G276" s="282"/>
      <c r="H276" s="281"/>
      <c r="I276" s="280"/>
      <c r="J276" s="281"/>
      <c r="K276" s="46" t="s">
        <v>246</v>
      </c>
      <c r="L276" s="33">
        <v>133</v>
      </c>
      <c r="M276" s="604"/>
      <c r="N276" s="605"/>
      <c r="O276" s="258"/>
      <c r="P276" s="249"/>
      <c r="Q276" s="249"/>
      <c r="R276" s="252"/>
      <c r="S276" s="252"/>
      <c r="T276" s="252"/>
    </row>
    <row r="277" spans="1:33" ht="21.75" customHeight="1">
      <c r="A277" s="505"/>
      <c r="B277" s="293"/>
      <c r="C277" s="268"/>
      <c r="D277" s="273"/>
      <c r="E277" s="274"/>
      <c r="F277" s="275"/>
      <c r="G277" s="282"/>
      <c r="H277" s="281"/>
      <c r="I277" s="280"/>
      <c r="J277" s="281"/>
      <c r="K277" s="46" t="s">
        <v>242</v>
      </c>
      <c r="L277" s="33">
        <v>54</v>
      </c>
      <c r="M277" s="604"/>
      <c r="N277" s="605"/>
      <c r="O277" s="258"/>
      <c r="P277" s="249"/>
      <c r="Q277" s="249"/>
      <c r="R277" s="252"/>
      <c r="S277" s="252"/>
      <c r="T277" s="252"/>
    </row>
    <row r="278" spans="1:33" ht="21.75" customHeight="1">
      <c r="A278" s="505"/>
      <c r="B278" s="293"/>
      <c r="C278" s="268"/>
      <c r="D278" s="273"/>
      <c r="E278" s="274"/>
      <c r="F278" s="275"/>
      <c r="G278" s="282"/>
      <c r="H278" s="281"/>
      <c r="I278" s="280"/>
      <c r="J278" s="281"/>
      <c r="K278" s="46" t="s">
        <v>241</v>
      </c>
      <c r="L278" s="33">
        <v>33</v>
      </c>
      <c r="M278" s="604"/>
      <c r="N278" s="605"/>
      <c r="O278" s="258"/>
      <c r="P278" s="249"/>
      <c r="Q278" s="249"/>
      <c r="R278" s="252"/>
      <c r="S278" s="252"/>
      <c r="T278" s="252"/>
    </row>
    <row r="279" spans="1:33" ht="21.75" customHeight="1">
      <c r="A279" s="505"/>
      <c r="B279" s="293"/>
      <c r="C279" s="268"/>
      <c r="D279" s="273"/>
      <c r="E279" s="274"/>
      <c r="F279" s="275"/>
      <c r="G279" s="282"/>
      <c r="H279" s="281"/>
      <c r="I279" s="280"/>
      <c r="J279" s="281"/>
      <c r="K279" s="46" t="s">
        <v>450</v>
      </c>
      <c r="L279" s="33">
        <v>4</v>
      </c>
      <c r="M279" s="606"/>
      <c r="N279" s="607"/>
      <c r="O279" s="258"/>
      <c r="P279" s="249"/>
      <c r="Q279" s="249"/>
      <c r="R279" s="252"/>
      <c r="S279" s="252"/>
      <c r="T279" s="252"/>
    </row>
    <row r="280" spans="1:33" ht="21.75" customHeight="1">
      <c r="A280" s="505"/>
      <c r="B280" s="293"/>
      <c r="C280" s="269"/>
      <c r="D280" s="276"/>
      <c r="E280" s="277"/>
      <c r="F280" s="278"/>
      <c r="G280" s="255" t="s">
        <v>439</v>
      </c>
      <c r="H280" s="255"/>
      <c r="I280" s="255"/>
      <c r="J280" s="255"/>
      <c r="K280" s="255"/>
      <c r="L280" s="47">
        <f>SUM(L275:L279)</f>
        <v>239</v>
      </c>
      <c r="M280" s="50">
        <f>SUM(M275:M279)</f>
        <v>0</v>
      </c>
      <c r="N280" s="50">
        <f>SUM(N275:N279)</f>
        <v>0</v>
      </c>
      <c r="O280" s="259"/>
      <c r="P280" s="250"/>
      <c r="Q280" s="250"/>
      <c r="R280" s="253"/>
      <c r="S280" s="253"/>
      <c r="T280" s="253"/>
    </row>
    <row r="281" spans="1:33" ht="21.75" customHeight="1">
      <c r="A281" s="505"/>
      <c r="B281" s="264" t="s">
        <v>424</v>
      </c>
      <c r="C281" s="267" t="s">
        <v>437</v>
      </c>
      <c r="D281" s="270" t="s">
        <v>489</v>
      </c>
      <c r="E281" s="271"/>
      <c r="F281" s="272"/>
      <c r="G281" s="282" t="s">
        <v>358</v>
      </c>
      <c r="H281" s="281" t="s">
        <v>440</v>
      </c>
      <c r="I281" s="280" t="s">
        <v>0</v>
      </c>
      <c r="J281" s="281" t="s">
        <v>1</v>
      </c>
      <c r="K281" s="46" t="s">
        <v>446</v>
      </c>
      <c r="L281" s="33">
        <v>32</v>
      </c>
      <c r="M281" s="602" t="s">
        <v>493</v>
      </c>
      <c r="N281" s="603"/>
      <c r="O281" s="257">
        <v>45463</v>
      </c>
      <c r="P281" s="248" t="s">
        <v>445</v>
      </c>
      <c r="Q281" s="248" t="s">
        <v>445</v>
      </c>
      <c r="R281" s="251" t="s">
        <v>62</v>
      </c>
      <c r="S281" s="254" t="s">
        <v>13</v>
      </c>
      <c r="T281" s="251" t="s">
        <v>0</v>
      </c>
    </row>
    <row r="282" spans="1:33" ht="21.75" customHeight="1">
      <c r="A282" s="505"/>
      <c r="B282" s="265"/>
      <c r="C282" s="268"/>
      <c r="D282" s="273"/>
      <c r="E282" s="274"/>
      <c r="F282" s="275"/>
      <c r="G282" s="282"/>
      <c r="H282" s="281"/>
      <c r="I282" s="280"/>
      <c r="J282" s="281"/>
      <c r="K282" s="46" t="s">
        <v>447</v>
      </c>
      <c r="L282" s="33">
        <v>107</v>
      </c>
      <c r="M282" s="604"/>
      <c r="N282" s="605"/>
      <c r="O282" s="258"/>
      <c r="P282" s="249"/>
      <c r="Q282" s="249"/>
      <c r="R282" s="252"/>
      <c r="S282" s="252"/>
      <c r="T282" s="252"/>
    </row>
    <row r="283" spans="1:33" ht="21.75" customHeight="1">
      <c r="A283" s="505"/>
      <c r="B283" s="265"/>
      <c r="C283" s="268"/>
      <c r="D283" s="273"/>
      <c r="E283" s="274"/>
      <c r="F283" s="275"/>
      <c r="G283" s="282"/>
      <c r="H283" s="281"/>
      <c r="I283" s="280"/>
      <c r="J283" s="281"/>
      <c r="K283" s="46" t="s">
        <v>448</v>
      </c>
      <c r="L283" s="33">
        <v>61</v>
      </c>
      <c r="M283" s="606"/>
      <c r="N283" s="607"/>
      <c r="O283" s="258"/>
      <c r="P283" s="249"/>
      <c r="Q283" s="249"/>
      <c r="R283" s="252"/>
      <c r="S283" s="252"/>
      <c r="T283" s="252"/>
    </row>
    <row r="284" spans="1:33" ht="21.75" customHeight="1">
      <c r="A284" s="505"/>
      <c r="B284" s="266"/>
      <c r="C284" s="269"/>
      <c r="D284" s="276"/>
      <c r="E284" s="277"/>
      <c r="F284" s="278"/>
      <c r="G284" s="255" t="s">
        <v>439</v>
      </c>
      <c r="H284" s="255"/>
      <c r="I284" s="255"/>
      <c r="J284" s="255"/>
      <c r="K284" s="255"/>
      <c r="L284" s="47">
        <f>SUM(L281:L283)</f>
        <v>200</v>
      </c>
      <c r="M284" s="50">
        <f>SUM(M281:M283)</f>
        <v>0</v>
      </c>
      <c r="N284" s="50">
        <f>SUM(N281:N283)</f>
        <v>0</v>
      </c>
      <c r="O284" s="259"/>
      <c r="P284" s="250"/>
      <c r="Q284" s="250"/>
      <c r="R284" s="253"/>
      <c r="S284" s="253"/>
      <c r="T284" s="253"/>
    </row>
    <row r="285" spans="1:33" ht="21.75" customHeight="1">
      <c r="A285" s="505"/>
      <c r="B285" s="264" t="s">
        <v>424</v>
      </c>
      <c r="C285" s="267" t="s">
        <v>437</v>
      </c>
      <c r="D285" s="270" t="s">
        <v>441</v>
      </c>
      <c r="E285" s="271"/>
      <c r="F285" s="272"/>
      <c r="G285" s="279" t="s">
        <v>442</v>
      </c>
      <c r="H285" s="280" t="s">
        <v>443</v>
      </c>
      <c r="I285" s="280" t="s">
        <v>0</v>
      </c>
      <c r="J285" s="281" t="s">
        <v>1</v>
      </c>
      <c r="K285" s="46" t="s">
        <v>446</v>
      </c>
      <c r="L285" s="33">
        <v>36</v>
      </c>
      <c r="M285" s="608" t="s">
        <v>493</v>
      </c>
      <c r="N285" s="609"/>
      <c r="O285" s="257">
        <v>45461</v>
      </c>
      <c r="P285" s="248" t="s">
        <v>444</v>
      </c>
      <c r="Q285" s="248" t="s">
        <v>444</v>
      </c>
      <c r="R285" s="251" t="s">
        <v>122</v>
      </c>
      <c r="S285" s="260" t="s">
        <v>13</v>
      </c>
      <c r="T285" s="251" t="s">
        <v>0</v>
      </c>
    </row>
    <row r="286" spans="1:33" ht="21.75" customHeight="1">
      <c r="A286" s="505"/>
      <c r="B286" s="265"/>
      <c r="C286" s="268"/>
      <c r="D286" s="273"/>
      <c r="E286" s="274"/>
      <c r="F286" s="275"/>
      <c r="G286" s="279"/>
      <c r="H286" s="280"/>
      <c r="I286" s="280"/>
      <c r="J286" s="281"/>
      <c r="K286" s="46" t="s">
        <v>447</v>
      </c>
      <c r="L286" s="33">
        <v>148</v>
      </c>
      <c r="M286" s="610"/>
      <c r="N286" s="611"/>
      <c r="O286" s="258"/>
      <c r="P286" s="249"/>
      <c r="Q286" s="249"/>
      <c r="R286" s="252"/>
      <c r="S286" s="261"/>
      <c r="T286" s="252"/>
    </row>
    <row r="287" spans="1:33" ht="21.75" customHeight="1">
      <c r="A287" s="505"/>
      <c r="B287" s="265"/>
      <c r="C287" s="268"/>
      <c r="D287" s="273"/>
      <c r="E287" s="274"/>
      <c r="F287" s="275"/>
      <c r="G287" s="279"/>
      <c r="H287" s="280"/>
      <c r="I287" s="280"/>
      <c r="J287" s="281"/>
      <c r="K287" s="46" t="s">
        <v>451</v>
      </c>
      <c r="L287" s="33">
        <v>37</v>
      </c>
      <c r="M287" s="610"/>
      <c r="N287" s="611"/>
      <c r="O287" s="258"/>
      <c r="P287" s="249"/>
      <c r="Q287" s="249"/>
      <c r="R287" s="252"/>
      <c r="S287" s="261"/>
      <c r="T287" s="252"/>
    </row>
    <row r="288" spans="1:33" ht="21.75" customHeight="1">
      <c r="A288" s="505"/>
      <c r="B288" s="265"/>
      <c r="C288" s="268"/>
      <c r="D288" s="273"/>
      <c r="E288" s="274"/>
      <c r="F288" s="275"/>
      <c r="G288" s="279"/>
      <c r="H288" s="280"/>
      <c r="I288" s="280"/>
      <c r="J288" s="281"/>
      <c r="K288" s="46" t="s">
        <v>452</v>
      </c>
      <c r="L288" s="33">
        <v>37</v>
      </c>
      <c r="M288" s="610"/>
      <c r="N288" s="611"/>
      <c r="O288" s="258"/>
      <c r="P288" s="249"/>
      <c r="Q288" s="249"/>
      <c r="R288" s="252"/>
      <c r="S288" s="262"/>
      <c r="T288" s="252"/>
    </row>
    <row r="289" spans="1:34" ht="21.75" customHeight="1">
      <c r="A289" s="505"/>
      <c r="B289" s="265"/>
      <c r="C289" s="268"/>
      <c r="D289" s="273"/>
      <c r="E289" s="274"/>
      <c r="F289" s="275"/>
      <c r="G289" s="279"/>
      <c r="H289" s="280"/>
      <c r="I289" s="280"/>
      <c r="J289" s="281"/>
      <c r="K289" s="46" t="s">
        <v>453</v>
      </c>
      <c r="L289" s="33">
        <v>1</v>
      </c>
      <c r="M289" s="610"/>
      <c r="N289" s="611"/>
      <c r="O289" s="258"/>
      <c r="P289" s="249"/>
      <c r="Q289" s="249"/>
      <c r="R289" s="252"/>
      <c r="S289" s="262"/>
      <c r="T289" s="252"/>
    </row>
    <row r="290" spans="1:34" ht="21.75" customHeight="1">
      <c r="A290" s="505"/>
      <c r="B290" s="265"/>
      <c r="C290" s="268"/>
      <c r="D290" s="273"/>
      <c r="E290" s="274"/>
      <c r="F290" s="275"/>
      <c r="G290" s="279"/>
      <c r="H290" s="280"/>
      <c r="I290" s="280"/>
      <c r="J290" s="281"/>
      <c r="K290" s="46" t="s">
        <v>454</v>
      </c>
      <c r="L290" s="33">
        <v>4</v>
      </c>
      <c r="M290" s="610"/>
      <c r="N290" s="611"/>
      <c r="O290" s="258"/>
      <c r="P290" s="249"/>
      <c r="Q290" s="249"/>
      <c r="R290" s="252"/>
      <c r="S290" s="262"/>
      <c r="T290" s="252"/>
    </row>
    <row r="291" spans="1:34" ht="21.75" customHeight="1">
      <c r="A291" s="505"/>
      <c r="B291" s="265"/>
      <c r="C291" s="268"/>
      <c r="D291" s="273"/>
      <c r="E291" s="274"/>
      <c r="F291" s="275"/>
      <c r="G291" s="279"/>
      <c r="H291" s="280"/>
      <c r="I291" s="280"/>
      <c r="J291" s="281"/>
      <c r="K291" s="48" t="s">
        <v>455</v>
      </c>
      <c r="L291" s="33">
        <v>1</v>
      </c>
      <c r="M291" s="612"/>
      <c r="N291" s="613"/>
      <c r="O291" s="258"/>
      <c r="P291" s="249"/>
      <c r="Q291" s="249"/>
      <c r="R291" s="252"/>
      <c r="S291" s="262"/>
      <c r="T291" s="252"/>
    </row>
    <row r="292" spans="1:34" ht="21.75" customHeight="1">
      <c r="A292" s="505"/>
      <c r="B292" s="266"/>
      <c r="C292" s="269"/>
      <c r="D292" s="276"/>
      <c r="E292" s="277"/>
      <c r="F292" s="278"/>
      <c r="G292" s="255" t="s">
        <v>439</v>
      </c>
      <c r="H292" s="255"/>
      <c r="I292" s="255"/>
      <c r="J292" s="255"/>
      <c r="K292" s="255"/>
      <c r="L292" s="47">
        <f>SUM(L285:L291)</f>
        <v>264</v>
      </c>
      <c r="M292" s="51">
        <f>SUM(M285:M291)</f>
        <v>0</v>
      </c>
      <c r="N292" s="51">
        <f>SUM(N285:N291)</f>
        <v>0</v>
      </c>
      <c r="O292" s="259"/>
      <c r="P292" s="250"/>
      <c r="Q292" s="250"/>
      <c r="R292" s="253"/>
      <c r="S292" s="263"/>
      <c r="T292" s="253"/>
    </row>
    <row r="293" spans="1:34" s="116" customFormat="1" ht="21.95" customHeight="1">
      <c r="A293" s="505"/>
      <c r="B293" s="159" t="s">
        <v>90</v>
      </c>
      <c r="C293" s="160"/>
      <c r="D293" s="160"/>
      <c r="E293" s="160"/>
      <c r="F293" s="160"/>
      <c r="G293" s="160"/>
      <c r="H293" s="160"/>
      <c r="I293" s="160"/>
      <c r="J293" s="160"/>
      <c r="K293" s="256"/>
      <c r="L293" s="45">
        <v>703</v>
      </c>
      <c r="M293" s="45">
        <v>100</v>
      </c>
      <c r="N293" s="45">
        <v>104</v>
      </c>
      <c r="O293" s="10"/>
      <c r="P293" s="10"/>
      <c r="Q293" s="3"/>
      <c r="R293" s="3"/>
      <c r="S293" s="3"/>
      <c r="T293" s="3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</row>
    <row r="294" spans="1:34" ht="21.95" customHeight="1">
      <c r="A294" s="505"/>
      <c r="B294" s="159" t="s">
        <v>91</v>
      </c>
      <c r="C294" s="160"/>
      <c r="D294" s="160"/>
      <c r="E294" s="160"/>
      <c r="F294" s="160"/>
      <c r="G294" s="160"/>
      <c r="H294" s="160"/>
      <c r="I294" s="160"/>
      <c r="J294" s="160"/>
      <c r="K294" s="161"/>
      <c r="L294" s="15">
        <v>0</v>
      </c>
      <c r="M294" s="15">
        <v>0</v>
      </c>
      <c r="N294" s="15">
        <v>0</v>
      </c>
      <c r="O294" s="10"/>
      <c r="P294" s="10"/>
      <c r="Q294" s="3"/>
      <c r="R294" s="3"/>
      <c r="S294" s="3"/>
      <c r="T294" s="3"/>
    </row>
    <row r="295" spans="1:34" ht="21.95" customHeight="1">
      <c r="A295" s="505"/>
      <c r="B295" s="159" t="s">
        <v>92</v>
      </c>
      <c r="C295" s="160"/>
      <c r="D295" s="160"/>
      <c r="E295" s="160"/>
      <c r="F295" s="160"/>
      <c r="G295" s="160"/>
      <c r="H295" s="160"/>
      <c r="I295" s="160"/>
      <c r="J295" s="160"/>
      <c r="K295" s="161"/>
      <c r="L295" s="15">
        <v>0</v>
      </c>
      <c r="M295" s="15">
        <v>0</v>
      </c>
      <c r="N295" s="15">
        <v>0</v>
      </c>
      <c r="O295" s="10"/>
      <c r="P295" s="10"/>
      <c r="Q295" s="3"/>
      <c r="R295" s="3"/>
      <c r="S295" s="3"/>
      <c r="T295" s="3"/>
    </row>
    <row r="296" spans="1:34" ht="21.2" customHeight="1">
      <c r="A296" s="505"/>
      <c r="B296" s="201" t="s">
        <v>164</v>
      </c>
      <c r="C296" s="237" t="s">
        <v>94</v>
      </c>
      <c r="D296" s="215" t="s">
        <v>95</v>
      </c>
      <c r="E296" s="216"/>
      <c r="F296" s="217"/>
      <c r="G296" s="237" t="s">
        <v>96</v>
      </c>
      <c r="H296" s="237" t="s">
        <v>96</v>
      </c>
      <c r="I296" s="246" t="s">
        <v>53</v>
      </c>
      <c r="J296" s="246" t="s">
        <v>73</v>
      </c>
      <c r="K296" s="1">
        <v>51.23</v>
      </c>
      <c r="L296" s="12">
        <v>23</v>
      </c>
      <c r="M296" s="518" t="s">
        <v>490</v>
      </c>
      <c r="N296" s="550"/>
      <c r="O296" s="234" t="s">
        <v>55</v>
      </c>
      <c r="P296" s="234" t="s">
        <v>55</v>
      </c>
      <c r="Q296" s="234" t="s">
        <v>97</v>
      </c>
      <c r="R296" s="234" t="s">
        <v>54</v>
      </c>
      <c r="S296" s="234" t="s">
        <v>13</v>
      </c>
      <c r="T296" s="234" t="s">
        <v>4</v>
      </c>
    </row>
    <row r="297" spans="1:34" ht="21.2" customHeight="1">
      <c r="A297" s="505"/>
      <c r="B297" s="202"/>
      <c r="C297" s="238"/>
      <c r="D297" s="218"/>
      <c r="E297" s="219"/>
      <c r="F297" s="220"/>
      <c r="G297" s="239"/>
      <c r="H297" s="239"/>
      <c r="I297" s="247"/>
      <c r="J297" s="247"/>
      <c r="K297" s="1">
        <v>79.08</v>
      </c>
      <c r="L297" s="12">
        <v>32</v>
      </c>
      <c r="M297" s="553"/>
      <c r="N297" s="554"/>
      <c r="O297" s="235"/>
      <c r="P297" s="235"/>
      <c r="Q297" s="235"/>
      <c r="R297" s="235"/>
      <c r="S297" s="235"/>
      <c r="T297" s="235"/>
    </row>
    <row r="298" spans="1:34" ht="21.2" customHeight="1">
      <c r="A298" s="505"/>
      <c r="B298" s="202"/>
      <c r="C298" s="239"/>
      <c r="D298" s="221"/>
      <c r="E298" s="222"/>
      <c r="F298" s="223"/>
      <c r="G298" s="174" t="s">
        <v>144</v>
      </c>
      <c r="H298" s="175"/>
      <c r="I298" s="175"/>
      <c r="J298" s="175"/>
      <c r="K298" s="176"/>
      <c r="L298" s="13">
        <f>L297+L296</f>
        <v>55</v>
      </c>
      <c r="M298" s="144">
        <f>SUM(M296:M297)</f>
        <v>0</v>
      </c>
      <c r="N298" s="144">
        <f>N297+N296</f>
        <v>0</v>
      </c>
      <c r="O298" s="236"/>
      <c r="P298" s="236"/>
      <c r="Q298" s="236"/>
      <c r="R298" s="236"/>
      <c r="S298" s="236"/>
      <c r="T298" s="236"/>
    </row>
    <row r="299" spans="1:34" ht="21.2" customHeight="1">
      <c r="A299" s="505"/>
      <c r="B299" s="202"/>
      <c r="C299" s="237" t="s">
        <v>94</v>
      </c>
      <c r="D299" s="215" t="s">
        <v>136</v>
      </c>
      <c r="E299" s="216"/>
      <c r="F299" s="217"/>
      <c r="G299" s="232" t="s">
        <v>362</v>
      </c>
      <c r="H299" s="232" t="s">
        <v>363</v>
      </c>
      <c r="I299" s="224" t="s">
        <v>53</v>
      </c>
      <c r="J299" s="224" t="s">
        <v>73</v>
      </c>
      <c r="K299" s="115">
        <v>59.55</v>
      </c>
      <c r="L299" s="12">
        <v>12</v>
      </c>
      <c r="M299" s="518" t="s">
        <v>490</v>
      </c>
      <c r="N299" s="550"/>
      <c r="O299" s="234" t="s">
        <v>98</v>
      </c>
      <c r="P299" s="234" t="s">
        <v>13</v>
      </c>
      <c r="Q299" s="234" t="s">
        <v>99</v>
      </c>
      <c r="R299" s="234" t="s">
        <v>54</v>
      </c>
      <c r="S299" s="234" t="s">
        <v>13</v>
      </c>
      <c r="T299" s="234" t="s">
        <v>4</v>
      </c>
    </row>
    <row r="300" spans="1:34" s="116" customFormat="1" ht="21.2" customHeight="1">
      <c r="A300" s="505"/>
      <c r="B300" s="202"/>
      <c r="C300" s="238"/>
      <c r="D300" s="218"/>
      <c r="E300" s="219"/>
      <c r="F300" s="220"/>
      <c r="G300" s="233"/>
      <c r="H300" s="233"/>
      <c r="I300" s="226"/>
      <c r="J300" s="226"/>
      <c r="K300" s="115">
        <v>74.959999999999994</v>
      </c>
      <c r="L300" s="12">
        <v>36</v>
      </c>
      <c r="M300" s="553"/>
      <c r="N300" s="554"/>
      <c r="O300" s="235"/>
      <c r="P300" s="235"/>
      <c r="Q300" s="235"/>
      <c r="R300" s="235"/>
      <c r="S300" s="235"/>
      <c r="T300" s="235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</row>
    <row r="301" spans="1:34" s="116" customFormat="1" ht="21.2" customHeight="1">
      <c r="A301" s="505"/>
      <c r="B301" s="202"/>
      <c r="C301" s="239"/>
      <c r="D301" s="221"/>
      <c r="E301" s="222"/>
      <c r="F301" s="223"/>
      <c r="G301" s="174" t="s">
        <v>144</v>
      </c>
      <c r="H301" s="175"/>
      <c r="I301" s="175"/>
      <c r="J301" s="175"/>
      <c r="K301" s="176"/>
      <c r="L301" s="13">
        <f>SUM(L299:L300)</f>
        <v>48</v>
      </c>
      <c r="M301" s="144">
        <f>SUM(M299:M300)</f>
        <v>0</v>
      </c>
      <c r="N301" s="144">
        <f>SUM(N299:N300)</f>
        <v>0</v>
      </c>
      <c r="O301" s="236"/>
      <c r="P301" s="236"/>
      <c r="Q301" s="236"/>
      <c r="R301" s="236"/>
      <c r="S301" s="236"/>
      <c r="T301" s="236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</row>
    <row r="302" spans="1:34" s="116" customFormat="1" ht="21.2" customHeight="1">
      <c r="A302" s="505"/>
      <c r="B302" s="202"/>
      <c r="C302" s="237" t="s">
        <v>94</v>
      </c>
      <c r="D302" s="215" t="s">
        <v>137</v>
      </c>
      <c r="E302" s="216"/>
      <c r="F302" s="217"/>
      <c r="G302" s="232" t="s">
        <v>361</v>
      </c>
      <c r="H302" s="232" t="s">
        <v>100</v>
      </c>
      <c r="I302" s="224" t="s">
        <v>53</v>
      </c>
      <c r="J302" s="224" t="s">
        <v>73</v>
      </c>
      <c r="K302" s="224">
        <v>59.55</v>
      </c>
      <c r="L302" s="244">
        <v>150</v>
      </c>
      <c r="M302" s="518" t="s">
        <v>490</v>
      </c>
      <c r="N302" s="550"/>
      <c r="O302" s="234" t="s">
        <v>138</v>
      </c>
      <c r="P302" s="234" t="s">
        <v>139</v>
      </c>
      <c r="Q302" s="234" t="s">
        <v>140</v>
      </c>
      <c r="R302" s="234" t="s">
        <v>54</v>
      </c>
      <c r="S302" s="234" t="s">
        <v>13</v>
      </c>
      <c r="T302" s="234" t="s">
        <v>4</v>
      </c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</row>
    <row r="303" spans="1:34" s="116" customFormat="1" ht="21.2" customHeight="1">
      <c r="A303" s="505"/>
      <c r="B303" s="202"/>
      <c r="C303" s="238"/>
      <c r="D303" s="218"/>
      <c r="E303" s="219"/>
      <c r="F303" s="220"/>
      <c r="G303" s="233"/>
      <c r="H303" s="233"/>
      <c r="I303" s="226"/>
      <c r="J303" s="226"/>
      <c r="K303" s="226"/>
      <c r="L303" s="245"/>
      <c r="M303" s="553"/>
      <c r="N303" s="554"/>
      <c r="O303" s="235"/>
      <c r="P303" s="235"/>
      <c r="Q303" s="235"/>
      <c r="R303" s="235"/>
      <c r="S303" s="235"/>
      <c r="T303" s="235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</row>
    <row r="304" spans="1:34" s="116" customFormat="1" ht="21.2" customHeight="1">
      <c r="A304" s="505"/>
      <c r="B304" s="202"/>
      <c r="C304" s="239"/>
      <c r="D304" s="221"/>
      <c r="E304" s="222"/>
      <c r="F304" s="223"/>
      <c r="G304" s="174" t="s">
        <v>144</v>
      </c>
      <c r="H304" s="175"/>
      <c r="I304" s="175"/>
      <c r="J304" s="175"/>
      <c r="K304" s="176"/>
      <c r="L304" s="13">
        <f>SUM(L302:L303)</f>
        <v>150</v>
      </c>
      <c r="M304" s="144">
        <f>SUM(M302:M303)</f>
        <v>0</v>
      </c>
      <c r="N304" s="144">
        <f>SUM(N302:N303)</f>
        <v>0</v>
      </c>
      <c r="O304" s="236"/>
      <c r="P304" s="236"/>
      <c r="Q304" s="236"/>
      <c r="R304" s="236"/>
      <c r="S304" s="236"/>
      <c r="T304" s="236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</row>
    <row r="305" spans="1:34" s="116" customFormat="1" ht="21" customHeight="1">
      <c r="A305" s="505"/>
      <c r="B305" s="202"/>
      <c r="C305" s="237" t="s">
        <v>93</v>
      </c>
      <c r="D305" s="215" t="s">
        <v>110</v>
      </c>
      <c r="E305" s="216"/>
      <c r="F305" s="217"/>
      <c r="G305" s="232" t="s">
        <v>360</v>
      </c>
      <c r="H305" s="232" t="s">
        <v>111</v>
      </c>
      <c r="I305" s="224" t="s">
        <v>53</v>
      </c>
      <c r="J305" s="224" t="s">
        <v>73</v>
      </c>
      <c r="K305" s="224">
        <v>62.79</v>
      </c>
      <c r="L305" s="244">
        <v>44</v>
      </c>
      <c r="M305" s="518" t="s">
        <v>490</v>
      </c>
      <c r="N305" s="550"/>
      <c r="O305" s="234" t="s">
        <v>112</v>
      </c>
      <c r="P305" s="234" t="s">
        <v>113</v>
      </c>
      <c r="Q305" s="234" t="s">
        <v>312</v>
      </c>
      <c r="R305" s="234" t="s">
        <v>54</v>
      </c>
      <c r="S305" s="234" t="s">
        <v>13</v>
      </c>
      <c r="T305" s="234" t="s">
        <v>4</v>
      </c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</row>
    <row r="306" spans="1:34" s="116" customFormat="1" ht="21" customHeight="1">
      <c r="A306" s="505"/>
      <c r="B306" s="202"/>
      <c r="C306" s="238"/>
      <c r="D306" s="218"/>
      <c r="E306" s="219"/>
      <c r="F306" s="220"/>
      <c r="G306" s="233"/>
      <c r="H306" s="233"/>
      <c r="I306" s="226"/>
      <c r="J306" s="226"/>
      <c r="K306" s="226"/>
      <c r="L306" s="245"/>
      <c r="M306" s="553"/>
      <c r="N306" s="554"/>
      <c r="O306" s="235"/>
      <c r="P306" s="235"/>
      <c r="Q306" s="235"/>
      <c r="R306" s="235"/>
      <c r="S306" s="235"/>
      <c r="T306" s="235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</row>
    <row r="307" spans="1:34" s="116" customFormat="1" ht="21.2" customHeight="1">
      <c r="A307" s="505"/>
      <c r="B307" s="202"/>
      <c r="C307" s="239"/>
      <c r="D307" s="221"/>
      <c r="E307" s="222"/>
      <c r="F307" s="223"/>
      <c r="G307" s="174" t="s">
        <v>144</v>
      </c>
      <c r="H307" s="175"/>
      <c r="I307" s="175"/>
      <c r="J307" s="175"/>
      <c r="K307" s="176"/>
      <c r="L307" s="13">
        <f>SUM(L305:L306)</f>
        <v>44</v>
      </c>
      <c r="M307" s="144">
        <f>SUM(M305:M306)</f>
        <v>0</v>
      </c>
      <c r="N307" s="144">
        <f>SUM(N305:N306)</f>
        <v>0</v>
      </c>
      <c r="O307" s="236"/>
      <c r="P307" s="236"/>
      <c r="Q307" s="236"/>
      <c r="R307" s="236"/>
      <c r="S307" s="236"/>
      <c r="T307" s="236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</row>
    <row r="308" spans="1:34" s="116" customFormat="1" ht="21.2" customHeight="1">
      <c r="A308" s="505"/>
      <c r="B308" s="202"/>
      <c r="C308" s="237" t="s">
        <v>158</v>
      </c>
      <c r="D308" s="215" t="s">
        <v>159</v>
      </c>
      <c r="E308" s="216"/>
      <c r="F308" s="217"/>
      <c r="G308" s="232" t="s">
        <v>359</v>
      </c>
      <c r="H308" s="241" t="s">
        <v>5</v>
      </c>
      <c r="I308" s="224" t="s">
        <v>0</v>
      </c>
      <c r="J308" s="224" t="s">
        <v>1</v>
      </c>
      <c r="K308" s="145">
        <v>84.496200000000002</v>
      </c>
      <c r="L308" s="72">
        <v>53</v>
      </c>
      <c r="M308" s="518" t="s">
        <v>490</v>
      </c>
      <c r="N308" s="550"/>
      <c r="O308" s="234" t="s">
        <v>160</v>
      </c>
      <c r="P308" s="234" t="s">
        <v>157</v>
      </c>
      <c r="Q308" s="234" t="s">
        <v>313</v>
      </c>
      <c r="R308" s="234" t="s">
        <v>62</v>
      </c>
      <c r="S308" s="234" t="s">
        <v>13</v>
      </c>
      <c r="T308" s="234" t="s">
        <v>13</v>
      </c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</row>
    <row r="309" spans="1:34" s="116" customFormat="1" ht="21.2" customHeight="1">
      <c r="A309" s="505"/>
      <c r="B309" s="202"/>
      <c r="C309" s="238"/>
      <c r="D309" s="218"/>
      <c r="E309" s="219"/>
      <c r="F309" s="220"/>
      <c r="G309" s="233"/>
      <c r="H309" s="243"/>
      <c r="I309" s="226"/>
      <c r="J309" s="226"/>
      <c r="K309" s="145">
        <v>84.968699999999998</v>
      </c>
      <c r="L309" s="72">
        <v>138</v>
      </c>
      <c r="M309" s="553"/>
      <c r="N309" s="554"/>
      <c r="O309" s="235"/>
      <c r="P309" s="235"/>
      <c r="Q309" s="235"/>
      <c r="R309" s="235"/>
      <c r="S309" s="235"/>
      <c r="T309" s="235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</row>
    <row r="310" spans="1:34" s="116" customFormat="1" ht="21.2" customHeight="1">
      <c r="A310" s="505"/>
      <c r="B310" s="202"/>
      <c r="C310" s="239"/>
      <c r="D310" s="221"/>
      <c r="E310" s="222"/>
      <c r="F310" s="223"/>
      <c r="G310" s="174" t="s">
        <v>144</v>
      </c>
      <c r="H310" s="175"/>
      <c r="I310" s="175"/>
      <c r="J310" s="175"/>
      <c r="K310" s="176"/>
      <c r="L310" s="21">
        <f>SUM(L308:L309)</f>
        <v>191</v>
      </c>
      <c r="M310" s="146">
        <f>SUM(M308:M309)</f>
        <v>0</v>
      </c>
      <c r="N310" s="146">
        <f>SUM(N308:N309)</f>
        <v>0</v>
      </c>
      <c r="O310" s="236"/>
      <c r="P310" s="236"/>
      <c r="Q310" s="236"/>
      <c r="R310" s="236"/>
      <c r="S310" s="236"/>
      <c r="T310" s="236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</row>
    <row r="311" spans="1:34" s="116" customFormat="1" ht="21.2" customHeight="1">
      <c r="A311" s="505"/>
      <c r="B311" s="202"/>
      <c r="C311" s="237" t="s">
        <v>161</v>
      </c>
      <c r="D311" s="215" t="s">
        <v>309</v>
      </c>
      <c r="E311" s="216"/>
      <c r="F311" s="217"/>
      <c r="G311" s="232" t="s">
        <v>358</v>
      </c>
      <c r="H311" s="241" t="s">
        <v>264</v>
      </c>
      <c r="I311" s="224" t="s">
        <v>0</v>
      </c>
      <c r="J311" s="224" t="s">
        <v>1</v>
      </c>
      <c r="K311" s="145">
        <v>84.98</v>
      </c>
      <c r="L311" s="72">
        <v>171</v>
      </c>
      <c r="M311" s="518" t="s">
        <v>490</v>
      </c>
      <c r="N311" s="550"/>
      <c r="O311" s="234" t="s">
        <v>162</v>
      </c>
      <c r="P311" s="234" t="s">
        <v>163</v>
      </c>
      <c r="Q311" s="234" t="s">
        <v>314</v>
      </c>
      <c r="R311" s="234" t="s">
        <v>62</v>
      </c>
      <c r="S311" s="234" t="s">
        <v>13</v>
      </c>
      <c r="T311" s="234" t="s">
        <v>13</v>
      </c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</row>
    <row r="312" spans="1:34" s="116" customFormat="1" ht="21.2" customHeight="1">
      <c r="A312" s="505"/>
      <c r="B312" s="202"/>
      <c r="C312" s="238"/>
      <c r="D312" s="218"/>
      <c r="E312" s="219"/>
      <c r="F312" s="220"/>
      <c r="G312" s="240"/>
      <c r="H312" s="242"/>
      <c r="I312" s="225"/>
      <c r="J312" s="225"/>
      <c r="K312" s="145">
        <v>84.989900000000006</v>
      </c>
      <c r="L312" s="72">
        <v>46</v>
      </c>
      <c r="M312" s="551"/>
      <c r="N312" s="552"/>
      <c r="O312" s="235"/>
      <c r="P312" s="235"/>
      <c r="Q312" s="235"/>
      <c r="R312" s="235"/>
      <c r="S312" s="235"/>
      <c r="T312" s="235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</row>
    <row r="313" spans="1:34" s="116" customFormat="1" ht="21.2" customHeight="1">
      <c r="A313" s="505"/>
      <c r="B313" s="202"/>
      <c r="C313" s="238"/>
      <c r="D313" s="218"/>
      <c r="E313" s="219"/>
      <c r="F313" s="220"/>
      <c r="G313" s="233"/>
      <c r="H313" s="243"/>
      <c r="I313" s="226"/>
      <c r="J313" s="226"/>
      <c r="K313" s="145">
        <v>122.2419</v>
      </c>
      <c r="L313" s="72">
        <v>48</v>
      </c>
      <c r="M313" s="553"/>
      <c r="N313" s="554"/>
      <c r="O313" s="235"/>
      <c r="P313" s="235"/>
      <c r="Q313" s="235"/>
      <c r="R313" s="235"/>
      <c r="S313" s="235"/>
      <c r="T313" s="235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</row>
    <row r="314" spans="1:34" s="116" customFormat="1" ht="21.2" customHeight="1">
      <c r="A314" s="505"/>
      <c r="B314" s="202"/>
      <c r="C314" s="239"/>
      <c r="D314" s="221"/>
      <c r="E314" s="222"/>
      <c r="F314" s="223"/>
      <c r="G314" s="174" t="s">
        <v>144</v>
      </c>
      <c r="H314" s="175"/>
      <c r="I314" s="175"/>
      <c r="J314" s="175"/>
      <c r="K314" s="176"/>
      <c r="L314" s="21">
        <f>SUM(L311:L313)</f>
        <v>265</v>
      </c>
      <c r="M314" s="146">
        <f>SUM(M311:M313)</f>
        <v>0</v>
      </c>
      <c r="N314" s="146">
        <f>SUM(N311:N313)</f>
        <v>0</v>
      </c>
      <c r="O314" s="236"/>
      <c r="P314" s="236"/>
      <c r="Q314" s="236"/>
      <c r="R314" s="236"/>
      <c r="S314" s="236"/>
      <c r="T314" s="236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</row>
    <row r="315" spans="1:34" s="116" customFormat="1" ht="21.95" customHeight="1">
      <c r="A315" s="505"/>
      <c r="B315" s="159" t="s">
        <v>101</v>
      </c>
      <c r="C315" s="160"/>
      <c r="D315" s="160"/>
      <c r="E315" s="160"/>
      <c r="F315" s="160"/>
      <c r="G315" s="160"/>
      <c r="H315" s="160"/>
      <c r="I315" s="160"/>
      <c r="J315" s="160"/>
      <c r="K315" s="161"/>
      <c r="L315" s="15">
        <v>753</v>
      </c>
      <c r="M315" s="15">
        <v>237</v>
      </c>
      <c r="N315" s="15">
        <v>237</v>
      </c>
      <c r="O315" s="10"/>
      <c r="P315" s="10"/>
      <c r="Q315" s="3"/>
      <c r="R315" s="3"/>
      <c r="S315" s="3"/>
      <c r="T315" s="3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</row>
    <row r="316" spans="1:34" s="116" customFormat="1" ht="21.2" customHeight="1">
      <c r="A316" s="505"/>
      <c r="B316" s="231" t="s">
        <v>432</v>
      </c>
      <c r="C316" s="180" t="s">
        <v>108</v>
      </c>
      <c r="D316" s="215" t="s">
        <v>168</v>
      </c>
      <c r="E316" s="216"/>
      <c r="F316" s="217"/>
      <c r="G316" s="224" t="s">
        <v>119</v>
      </c>
      <c r="H316" s="224" t="s">
        <v>120</v>
      </c>
      <c r="I316" s="224" t="s">
        <v>53</v>
      </c>
      <c r="J316" s="224" t="s">
        <v>73</v>
      </c>
      <c r="K316" s="1">
        <v>49</v>
      </c>
      <c r="L316" s="12">
        <v>26</v>
      </c>
      <c r="M316" s="518" t="s">
        <v>490</v>
      </c>
      <c r="N316" s="519"/>
      <c r="O316" s="229" t="s">
        <v>434</v>
      </c>
      <c r="P316" s="229" t="s">
        <v>435</v>
      </c>
      <c r="Q316" s="229" t="s">
        <v>436</v>
      </c>
      <c r="R316" s="229" t="s">
        <v>54</v>
      </c>
      <c r="S316" s="177" t="s">
        <v>55</v>
      </c>
      <c r="T316" s="177" t="s">
        <v>53</v>
      </c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</row>
    <row r="317" spans="1:34" s="116" customFormat="1" ht="21.2" customHeight="1">
      <c r="A317" s="505"/>
      <c r="B317" s="231"/>
      <c r="C317" s="181"/>
      <c r="D317" s="218"/>
      <c r="E317" s="219"/>
      <c r="F317" s="220"/>
      <c r="G317" s="225"/>
      <c r="H317" s="225"/>
      <c r="I317" s="225"/>
      <c r="J317" s="225"/>
      <c r="K317" s="1" t="s">
        <v>58</v>
      </c>
      <c r="L317" s="12">
        <v>24</v>
      </c>
      <c r="M317" s="520"/>
      <c r="N317" s="521"/>
      <c r="O317" s="229"/>
      <c r="P317" s="229"/>
      <c r="Q317" s="229"/>
      <c r="R317" s="229"/>
      <c r="S317" s="178"/>
      <c r="T317" s="178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</row>
    <row r="318" spans="1:34" s="116" customFormat="1" ht="21.2" customHeight="1">
      <c r="A318" s="505"/>
      <c r="B318" s="231"/>
      <c r="C318" s="181"/>
      <c r="D318" s="218"/>
      <c r="E318" s="219"/>
      <c r="F318" s="220"/>
      <c r="G318" s="225"/>
      <c r="H318" s="225"/>
      <c r="I318" s="225"/>
      <c r="J318" s="225"/>
      <c r="K318" s="1" t="s">
        <v>59</v>
      </c>
      <c r="L318" s="12">
        <v>52</v>
      </c>
      <c r="M318" s="520"/>
      <c r="N318" s="521"/>
      <c r="O318" s="229"/>
      <c r="P318" s="229"/>
      <c r="Q318" s="229"/>
      <c r="R318" s="229"/>
      <c r="S318" s="178"/>
      <c r="T318" s="178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</row>
    <row r="319" spans="1:34" s="116" customFormat="1" ht="21.2" customHeight="1">
      <c r="A319" s="505"/>
      <c r="B319" s="231"/>
      <c r="C319" s="181"/>
      <c r="D319" s="218"/>
      <c r="E319" s="219"/>
      <c r="F319" s="220"/>
      <c r="G319" s="225"/>
      <c r="H319" s="225"/>
      <c r="I319" s="225"/>
      <c r="J319" s="225"/>
      <c r="K319" s="1">
        <v>63</v>
      </c>
      <c r="L319" s="12">
        <v>1</v>
      </c>
      <c r="M319" s="520"/>
      <c r="N319" s="521"/>
      <c r="O319" s="229"/>
      <c r="P319" s="229"/>
      <c r="Q319" s="229"/>
      <c r="R319" s="229"/>
      <c r="S319" s="178"/>
      <c r="T319" s="178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</row>
    <row r="320" spans="1:34" s="116" customFormat="1" ht="21.2" customHeight="1">
      <c r="A320" s="505"/>
      <c r="B320" s="231"/>
      <c r="C320" s="181"/>
      <c r="D320" s="218"/>
      <c r="E320" s="219"/>
      <c r="F320" s="220"/>
      <c r="G320" s="225"/>
      <c r="H320" s="225"/>
      <c r="I320" s="225"/>
      <c r="J320" s="225"/>
      <c r="K320" s="1" t="s">
        <v>75</v>
      </c>
      <c r="L320" s="12">
        <v>28</v>
      </c>
      <c r="M320" s="520"/>
      <c r="N320" s="521"/>
      <c r="O320" s="229"/>
      <c r="P320" s="229"/>
      <c r="Q320" s="229"/>
      <c r="R320" s="229"/>
      <c r="S320" s="178"/>
      <c r="T320" s="178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</row>
    <row r="321" spans="1:34" s="116" customFormat="1" ht="21.2" customHeight="1">
      <c r="A321" s="505"/>
      <c r="B321" s="231"/>
      <c r="C321" s="181"/>
      <c r="D321" s="218"/>
      <c r="E321" s="219"/>
      <c r="F321" s="220"/>
      <c r="G321" s="225"/>
      <c r="H321" s="225"/>
      <c r="I321" s="225"/>
      <c r="J321" s="225"/>
      <c r="K321" s="1" t="s">
        <v>76</v>
      </c>
      <c r="L321" s="12">
        <v>28</v>
      </c>
      <c r="M321" s="520"/>
      <c r="N321" s="521"/>
      <c r="O321" s="229"/>
      <c r="P321" s="229"/>
      <c r="Q321" s="229"/>
      <c r="R321" s="229"/>
      <c r="S321" s="178"/>
      <c r="T321" s="178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</row>
    <row r="322" spans="1:34" s="116" customFormat="1" ht="21.2" customHeight="1">
      <c r="A322" s="505"/>
      <c r="B322" s="231"/>
      <c r="C322" s="181"/>
      <c r="D322" s="218"/>
      <c r="E322" s="219"/>
      <c r="F322" s="220"/>
      <c r="G322" s="226"/>
      <c r="H322" s="226"/>
      <c r="I322" s="226"/>
      <c r="J322" s="226"/>
      <c r="K322" s="1">
        <v>113</v>
      </c>
      <c r="L322" s="72">
        <v>2</v>
      </c>
      <c r="M322" s="522"/>
      <c r="N322" s="523"/>
      <c r="O322" s="229"/>
      <c r="P322" s="229"/>
      <c r="Q322" s="229"/>
      <c r="R322" s="229"/>
      <c r="S322" s="178"/>
      <c r="T322" s="178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</row>
    <row r="323" spans="1:34" s="116" customFormat="1" ht="21.2" customHeight="1">
      <c r="A323" s="505"/>
      <c r="B323" s="228"/>
      <c r="C323" s="182"/>
      <c r="D323" s="221"/>
      <c r="E323" s="222"/>
      <c r="F323" s="223"/>
      <c r="G323" s="174" t="s">
        <v>144</v>
      </c>
      <c r="H323" s="175"/>
      <c r="I323" s="175"/>
      <c r="J323" s="175"/>
      <c r="K323" s="176"/>
      <c r="L323" s="13">
        <f>SUM(L316:L322)</f>
        <v>161</v>
      </c>
      <c r="M323" s="144">
        <f>SUM(M316:M322)</f>
        <v>0</v>
      </c>
      <c r="N323" s="144">
        <f>SUM(N316:N322)</f>
        <v>0</v>
      </c>
      <c r="O323" s="229"/>
      <c r="P323" s="230"/>
      <c r="Q323" s="230"/>
      <c r="R323" s="230"/>
      <c r="S323" s="179"/>
      <c r="T323" s="179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</row>
    <row r="324" spans="1:34" s="116" customFormat="1" ht="21.95" customHeight="1">
      <c r="A324" s="505"/>
      <c r="B324" s="159" t="s">
        <v>102</v>
      </c>
      <c r="C324" s="160"/>
      <c r="D324" s="160"/>
      <c r="E324" s="160"/>
      <c r="F324" s="160"/>
      <c r="G324" s="160"/>
      <c r="H324" s="160"/>
      <c r="I324" s="160"/>
      <c r="J324" s="160"/>
      <c r="K324" s="161"/>
      <c r="L324" s="15">
        <v>161</v>
      </c>
      <c r="M324" s="122">
        <v>0</v>
      </c>
      <c r="N324" s="122">
        <v>0</v>
      </c>
      <c r="O324" s="10"/>
      <c r="P324" s="10"/>
      <c r="Q324" s="3"/>
      <c r="R324" s="3"/>
      <c r="S324" s="3"/>
      <c r="T324" s="3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</row>
    <row r="325" spans="1:34" s="116" customFormat="1" ht="21.2" customHeight="1">
      <c r="A325" s="505"/>
      <c r="B325" s="227" t="s">
        <v>342</v>
      </c>
      <c r="C325" s="180" t="s">
        <v>153</v>
      </c>
      <c r="D325" s="215" t="s">
        <v>154</v>
      </c>
      <c r="E325" s="216"/>
      <c r="F325" s="217"/>
      <c r="G325" s="115" t="s">
        <v>155</v>
      </c>
      <c r="H325" s="115" t="s">
        <v>156</v>
      </c>
      <c r="I325" s="115" t="s">
        <v>0</v>
      </c>
      <c r="J325" s="115" t="s">
        <v>1</v>
      </c>
      <c r="K325" s="115">
        <v>84</v>
      </c>
      <c r="L325" s="12">
        <v>184</v>
      </c>
      <c r="M325" s="12">
        <v>11</v>
      </c>
      <c r="N325" s="12">
        <v>12</v>
      </c>
      <c r="O325" s="177" t="s">
        <v>347</v>
      </c>
      <c r="P325" s="177" t="s">
        <v>348</v>
      </c>
      <c r="Q325" s="177" t="s">
        <v>349</v>
      </c>
      <c r="R325" s="177" t="s">
        <v>62</v>
      </c>
      <c r="S325" s="177" t="s">
        <v>151</v>
      </c>
      <c r="T325" s="177" t="s">
        <v>0</v>
      </c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</row>
    <row r="326" spans="1:34" s="116" customFormat="1" ht="21.2" customHeight="1">
      <c r="A326" s="505"/>
      <c r="B326" s="228"/>
      <c r="C326" s="182"/>
      <c r="D326" s="221"/>
      <c r="E326" s="222"/>
      <c r="F326" s="223"/>
      <c r="G326" s="174" t="s">
        <v>144</v>
      </c>
      <c r="H326" s="175"/>
      <c r="I326" s="175"/>
      <c r="J326" s="175"/>
      <c r="K326" s="176"/>
      <c r="L326" s="13">
        <f>L325</f>
        <v>184</v>
      </c>
      <c r="M326" s="13">
        <f>M325</f>
        <v>11</v>
      </c>
      <c r="N326" s="13">
        <f>N325</f>
        <v>12</v>
      </c>
      <c r="O326" s="179"/>
      <c r="P326" s="179"/>
      <c r="Q326" s="179"/>
      <c r="R326" s="179"/>
      <c r="S326" s="179"/>
      <c r="T326" s="179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</row>
    <row r="327" spans="1:34" s="116" customFormat="1" ht="21.95" customHeight="1">
      <c r="A327" s="505"/>
      <c r="B327" s="159" t="s">
        <v>152</v>
      </c>
      <c r="C327" s="160"/>
      <c r="D327" s="160"/>
      <c r="E327" s="160"/>
      <c r="F327" s="160"/>
      <c r="G327" s="160"/>
      <c r="H327" s="160"/>
      <c r="I327" s="160"/>
      <c r="J327" s="160"/>
      <c r="K327" s="161"/>
      <c r="L327" s="15">
        <v>184</v>
      </c>
      <c r="M327" s="15">
        <v>11</v>
      </c>
      <c r="N327" s="15">
        <v>12</v>
      </c>
      <c r="O327" s="10"/>
      <c r="P327" s="10"/>
      <c r="Q327" s="3"/>
      <c r="R327" s="3"/>
      <c r="S327" s="3"/>
      <c r="T327" s="3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</row>
    <row r="328" spans="1:34" s="116" customFormat="1" ht="21.95" customHeight="1">
      <c r="A328" s="505"/>
      <c r="B328" s="159" t="s">
        <v>103</v>
      </c>
      <c r="C328" s="160"/>
      <c r="D328" s="160"/>
      <c r="E328" s="160"/>
      <c r="F328" s="160"/>
      <c r="G328" s="160"/>
      <c r="H328" s="160"/>
      <c r="I328" s="160"/>
      <c r="J328" s="160"/>
      <c r="K328" s="161"/>
      <c r="L328" s="15">
        <v>0</v>
      </c>
      <c r="M328" s="15">
        <v>0</v>
      </c>
      <c r="N328" s="15">
        <v>0</v>
      </c>
      <c r="O328" s="10"/>
      <c r="P328" s="10"/>
      <c r="Q328" s="3"/>
      <c r="R328" s="3"/>
      <c r="S328" s="3"/>
      <c r="T328" s="3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</row>
    <row r="329" spans="1:34" s="116" customFormat="1" ht="21.95" customHeight="1">
      <c r="A329" s="505"/>
      <c r="B329" s="159" t="s">
        <v>212</v>
      </c>
      <c r="C329" s="160"/>
      <c r="D329" s="160"/>
      <c r="E329" s="160"/>
      <c r="F329" s="160"/>
      <c r="G329" s="160"/>
      <c r="H329" s="160"/>
      <c r="I329" s="160"/>
      <c r="J329" s="160"/>
      <c r="K329" s="161"/>
      <c r="L329" s="15">
        <v>0</v>
      </c>
      <c r="M329" s="15">
        <v>0</v>
      </c>
      <c r="N329" s="15">
        <v>0</v>
      </c>
      <c r="O329" s="10"/>
      <c r="P329" s="10"/>
      <c r="Q329" s="3"/>
      <c r="R329" s="3"/>
      <c r="S329" s="3"/>
      <c r="T329" s="3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</row>
    <row r="330" spans="1:34" s="116" customFormat="1" ht="21.2" customHeight="1">
      <c r="A330" s="505"/>
      <c r="B330" s="201" t="s">
        <v>351</v>
      </c>
      <c r="C330" s="180" t="s">
        <v>352</v>
      </c>
      <c r="D330" s="215" t="s">
        <v>353</v>
      </c>
      <c r="E330" s="216"/>
      <c r="F330" s="217"/>
      <c r="G330" s="224" t="s">
        <v>354</v>
      </c>
      <c r="H330" s="224" t="s">
        <v>355</v>
      </c>
      <c r="I330" s="224" t="s">
        <v>0</v>
      </c>
      <c r="J330" s="224" t="s">
        <v>1</v>
      </c>
      <c r="K330" s="115" t="s">
        <v>356</v>
      </c>
      <c r="L330" s="12">
        <v>58</v>
      </c>
      <c r="M330" s="33">
        <v>21</v>
      </c>
      <c r="N330" s="33">
        <v>23</v>
      </c>
      <c r="O330" s="177" t="s">
        <v>350</v>
      </c>
      <c r="P330" s="177" t="s">
        <v>348</v>
      </c>
      <c r="Q330" s="177" t="s">
        <v>349</v>
      </c>
      <c r="R330" s="177" t="s">
        <v>62</v>
      </c>
      <c r="S330" s="177" t="s">
        <v>151</v>
      </c>
      <c r="T330" s="177" t="s">
        <v>0</v>
      </c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</row>
    <row r="331" spans="1:34" s="116" customFormat="1" ht="21.2" customHeight="1">
      <c r="A331" s="505"/>
      <c r="B331" s="202"/>
      <c r="C331" s="181"/>
      <c r="D331" s="218"/>
      <c r="E331" s="219"/>
      <c r="F331" s="220"/>
      <c r="G331" s="225"/>
      <c r="H331" s="225"/>
      <c r="I331" s="225"/>
      <c r="J331" s="225"/>
      <c r="K331" s="115" t="s">
        <v>357</v>
      </c>
      <c r="L331" s="12">
        <v>15</v>
      </c>
      <c r="M331" s="33">
        <v>5</v>
      </c>
      <c r="N331" s="33">
        <v>5</v>
      </c>
      <c r="O331" s="178"/>
      <c r="P331" s="178"/>
      <c r="Q331" s="178"/>
      <c r="R331" s="178"/>
      <c r="S331" s="178"/>
      <c r="T331" s="178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</row>
    <row r="332" spans="1:34" s="116" customFormat="1" ht="21.2" customHeight="1">
      <c r="A332" s="505"/>
      <c r="B332" s="202"/>
      <c r="C332" s="181"/>
      <c r="D332" s="218"/>
      <c r="E332" s="219"/>
      <c r="F332" s="220"/>
      <c r="G332" s="225"/>
      <c r="H332" s="225"/>
      <c r="I332" s="225"/>
      <c r="J332" s="225"/>
      <c r="K332" s="115">
        <v>83.35</v>
      </c>
      <c r="L332" s="12">
        <v>27</v>
      </c>
      <c r="M332" s="33">
        <v>21</v>
      </c>
      <c r="N332" s="33">
        <v>22</v>
      </c>
      <c r="O332" s="178"/>
      <c r="P332" s="178"/>
      <c r="Q332" s="178"/>
      <c r="R332" s="178"/>
      <c r="S332" s="178"/>
      <c r="T332" s="178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</row>
    <row r="333" spans="1:34" s="116" customFormat="1" ht="21.2" customHeight="1">
      <c r="A333" s="505"/>
      <c r="B333" s="202"/>
      <c r="C333" s="181"/>
      <c r="D333" s="218"/>
      <c r="E333" s="219"/>
      <c r="F333" s="220"/>
      <c r="G333" s="226"/>
      <c r="H333" s="226"/>
      <c r="I333" s="226"/>
      <c r="J333" s="226"/>
      <c r="K333" s="115">
        <v>84.73</v>
      </c>
      <c r="L333" s="12">
        <v>21</v>
      </c>
      <c r="M333" s="33">
        <v>2</v>
      </c>
      <c r="N333" s="33">
        <v>2</v>
      </c>
      <c r="O333" s="178"/>
      <c r="P333" s="178"/>
      <c r="Q333" s="178"/>
      <c r="R333" s="178"/>
      <c r="S333" s="178"/>
      <c r="T333" s="178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</row>
    <row r="334" spans="1:34" s="116" customFormat="1" ht="21.2" customHeight="1">
      <c r="A334" s="505"/>
      <c r="B334" s="203"/>
      <c r="C334" s="182"/>
      <c r="D334" s="221"/>
      <c r="E334" s="222"/>
      <c r="F334" s="223"/>
      <c r="G334" s="174" t="s">
        <v>144</v>
      </c>
      <c r="H334" s="175"/>
      <c r="I334" s="175"/>
      <c r="J334" s="175"/>
      <c r="K334" s="176"/>
      <c r="L334" s="13">
        <f>SUM(L330:L333)</f>
        <v>121</v>
      </c>
      <c r="M334" s="144">
        <f>SUM(M330:M333)</f>
        <v>49</v>
      </c>
      <c r="N334" s="144">
        <f>SUM(N330:N333)</f>
        <v>52</v>
      </c>
      <c r="O334" s="179"/>
      <c r="P334" s="179"/>
      <c r="Q334" s="179"/>
      <c r="R334" s="179"/>
      <c r="S334" s="179"/>
      <c r="T334" s="179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</row>
    <row r="335" spans="1:34" s="116" customFormat="1" ht="21.95" customHeight="1">
      <c r="A335" s="505"/>
      <c r="B335" s="159" t="s">
        <v>104</v>
      </c>
      <c r="C335" s="160"/>
      <c r="D335" s="160"/>
      <c r="E335" s="160"/>
      <c r="F335" s="160"/>
      <c r="G335" s="160"/>
      <c r="H335" s="160"/>
      <c r="I335" s="160"/>
      <c r="J335" s="160"/>
      <c r="K335" s="161"/>
      <c r="L335" s="15">
        <v>121</v>
      </c>
      <c r="M335" s="15">
        <v>49</v>
      </c>
      <c r="N335" s="15">
        <v>52</v>
      </c>
      <c r="O335" s="10"/>
      <c r="P335" s="10"/>
      <c r="Q335" s="3"/>
      <c r="R335" s="3"/>
      <c r="S335" s="3"/>
      <c r="T335" s="3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</row>
    <row r="336" spans="1:34" s="116" customFormat="1" ht="21.95" customHeight="1">
      <c r="A336" s="505"/>
      <c r="B336" s="210" t="s">
        <v>461</v>
      </c>
      <c r="C336" s="614" t="s">
        <v>493</v>
      </c>
      <c r="D336" s="615"/>
      <c r="E336" s="615"/>
      <c r="F336" s="615"/>
      <c r="G336" s="615"/>
      <c r="H336" s="615"/>
      <c r="I336" s="615"/>
      <c r="J336" s="615"/>
      <c r="K336" s="615"/>
      <c r="L336" s="615"/>
      <c r="M336" s="615"/>
      <c r="N336" s="615"/>
      <c r="O336" s="615"/>
      <c r="P336" s="615"/>
      <c r="Q336" s="615"/>
      <c r="R336" s="615"/>
      <c r="S336" s="615"/>
      <c r="T336" s="616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</row>
    <row r="337" spans="1:34" s="116" customFormat="1" ht="21.95" customHeight="1">
      <c r="A337" s="505"/>
      <c r="B337" s="211"/>
      <c r="C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  <c r="S337" s="618"/>
      <c r="T337" s="619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</row>
    <row r="338" spans="1:34" s="116" customFormat="1" ht="21.95" customHeight="1">
      <c r="A338" s="505"/>
      <c r="B338" s="211"/>
      <c r="C338" s="617"/>
      <c r="D338" s="618"/>
      <c r="E338" s="618"/>
      <c r="F338" s="618"/>
      <c r="G338" s="618"/>
      <c r="H338" s="618"/>
      <c r="I338" s="618"/>
      <c r="J338" s="618"/>
      <c r="K338" s="618"/>
      <c r="L338" s="618"/>
      <c r="M338" s="618"/>
      <c r="N338" s="618"/>
      <c r="O338" s="618"/>
      <c r="P338" s="618"/>
      <c r="Q338" s="618"/>
      <c r="R338" s="618"/>
      <c r="S338" s="618"/>
      <c r="T338" s="619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</row>
    <row r="339" spans="1:34" s="116" customFormat="1" ht="21.95" customHeight="1">
      <c r="A339" s="505"/>
      <c r="B339" s="211"/>
      <c r="C339" s="617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9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</row>
    <row r="340" spans="1:34" s="116" customFormat="1" ht="21.95" customHeight="1">
      <c r="A340" s="505"/>
      <c r="B340" s="211"/>
      <c r="C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9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</row>
    <row r="341" spans="1:34" s="116" customFormat="1" ht="21.95" customHeight="1">
      <c r="A341" s="505"/>
      <c r="B341" s="211"/>
      <c r="C341" s="617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9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</row>
    <row r="342" spans="1:34" s="116" customFormat="1" ht="21.95" customHeight="1">
      <c r="A342" s="505"/>
      <c r="B342" s="211"/>
      <c r="C342" s="617"/>
      <c r="D342" s="618"/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  <c r="R342" s="618"/>
      <c r="S342" s="618"/>
      <c r="T342" s="619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</row>
    <row r="343" spans="1:34" s="116" customFormat="1" ht="21.95" customHeight="1">
      <c r="A343" s="505"/>
      <c r="B343" s="211"/>
      <c r="C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  <c r="S343" s="618"/>
      <c r="T343" s="619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</row>
    <row r="344" spans="1:34" s="116" customFormat="1" ht="21.95" customHeight="1">
      <c r="A344" s="505"/>
      <c r="B344" s="211"/>
      <c r="C344" s="617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9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</row>
    <row r="345" spans="1:34" s="116" customFormat="1" ht="21.95" customHeight="1">
      <c r="A345" s="505"/>
      <c r="B345" s="211"/>
      <c r="C345" s="617"/>
      <c r="D345" s="618"/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  <c r="S345" s="618"/>
      <c r="T345" s="619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</row>
    <row r="346" spans="1:34" s="116" customFormat="1" ht="21.95" customHeight="1">
      <c r="A346" s="505"/>
      <c r="B346" s="211"/>
      <c r="C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  <c r="S346" s="618"/>
      <c r="T346" s="619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</row>
    <row r="347" spans="1:34" s="116" customFormat="1" ht="21.95" customHeight="1">
      <c r="A347" s="505"/>
      <c r="B347" s="211"/>
      <c r="C347" s="617"/>
      <c r="D347" s="618"/>
      <c r="E347" s="618"/>
      <c r="F347" s="618"/>
      <c r="G347" s="618"/>
      <c r="H347" s="618"/>
      <c r="I347" s="618"/>
      <c r="J347" s="618"/>
      <c r="K347" s="618"/>
      <c r="L347" s="618"/>
      <c r="M347" s="618"/>
      <c r="N347" s="618"/>
      <c r="O347" s="618"/>
      <c r="P347" s="618"/>
      <c r="Q347" s="618"/>
      <c r="R347" s="618"/>
      <c r="S347" s="618"/>
      <c r="T347" s="619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</row>
    <row r="348" spans="1:34" s="116" customFormat="1" ht="21.95" customHeight="1">
      <c r="A348" s="505"/>
      <c r="B348" s="211"/>
      <c r="C348" s="617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9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</row>
    <row r="349" spans="1:34" s="116" customFormat="1" ht="21.95" customHeight="1">
      <c r="A349" s="505"/>
      <c r="B349" s="211"/>
      <c r="C349" s="617"/>
      <c r="D349" s="618"/>
      <c r="E349" s="618"/>
      <c r="F349" s="618"/>
      <c r="G349" s="618"/>
      <c r="H349" s="618"/>
      <c r="I349" s="618"/>
      <c r="J349" s="618"/>
      <c r="K349" s="618"/>
      <c r="L349" s="618"/>
      <c r="M349" s="618"/>
      <c r="N349" s="618"/>
      <c r="O349" s="618"/>
      <c r="P349" s="618"/>
      <c r="Q349" s="618"/>
      <c r="R349" s="618"/>
      <c r="S349" s="618"/>
      <c r="T349" s="619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</row>
    <row r="350" spans="1:34" s="116" customFormat="1" ht="21.95" customHeight="1">
      <c r="A350" s="505"/>
      <c r="B350" s="211"/>
      <c r="C350" s="617"/>
      <c r="D350" s="618"/>
      <c r="E350" s="618"/>
      <c r="F350" s="618"/>
      <c r="G350" s="618"/>
      <c r="H350" s="618"/>
      <c r="I350" s="618"/>
      <c r="J350" s="618"/>
      <c r="K350" s="618"/>
      <c r="L350" s="618"/>
      <c r="M350" s="618"/>
      <c r="N350" s="618"/>
      <c r="O350" s="618"/>
      <c r="P350" s="618"/>
      <c r="Q350" s="618"/>
      <c r="R350" s="618"/>
      <c r="S350" s="618"/>
      <c r="T350" s="619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</row>
    <row r="351" spans="1:34" s="116" customFormat="1" ht="21.75" customHeight="1">
      <c r="A351" s="505"/>
      <c r="B351" s="212"/>
      <c r="C351" s="620"/>
      <c r="D351" s="621"/>
      <c r="E351" s="621"/>
      <c r="F351" s="621"/>
      <c r="G351" s="621"/>
      <c r="H351" s="621"/>
      <c r="I351" s="621"/>
      <c r="J351" s="621"/>
      <c r="K351" s="621"/>
      <c r="L351" s="621"/>
      <c r="M351" s="621"/>
      <c r="N351" s="621"/>
      <c r="O351" s="621"/>
      <c r="P351" s="621"/>
      <c r="Q351" s="621"/>
      <c r="R351" s="621"/>
      <c r="S351" s="621"/>
      <c r="T351" s="622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</row>
    <row r="352" spans="1:34" s="116" customFormat="1" ht="21.95" customHeight="1">
      <c r="A352" s="505"/>
      <c r="B352" s="159" t="s">
        <v>105</v>
      </c>
      <c r="C352" s="160"/>
      <c r="D352" s="160"/>
      <c r="E352" s="160"/>
      <c r="F352" s="160"/>
      <c r="G352" s="160"/>
      <c r="H352" s="160"/>
      <c r="I352" s="160"/>
      <c r="J352" s="160"/>
      <c r="K352" s="161"/>
      <c r="L352" s="15">
        <v>263</v>
      </c>
      <c r="M352" s="15">
        <v>172</v>
      </c>
      <c r="N352" s="15">
        <v>186</v>
      </c>
      <c r="O352" s="10"/>
      <c r="P352" s="10"/>
      <c r="Q352" s="3"/>
      <c r="R352" s="3"/>
      <c r="S352" s="3"/>
      <c r="T352" s="3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</row>
    <row r="353" spans="1:34" s="116" customFormat="1" ht="21.2" customHeight="1">
      <c r="A353" s="505"/>
      <c r="B353" s="183" t="s">
        <v>42</v>
      </c>
      <c r="C353" s="186" t="s">
        <v>106</v>
      </c>
      <c r="D353" s="189" t="s">
        <v>199</v>
      </c>
      <c r="E353" s="190"/>
      <c r="F353" s="191"/>
      <c r="G353" s="198" t="s">
        <v>343</v>
      </c>
      <c r="H353" s="171" t="s">
        <v>344</v>
      </c>
      <c r="I353" s="162" t="s">
        <v>53</v>
      </c>
      <c r="J353" s="162" t="s">
        <v>73</v>
      </c>
      <c r="K353" s="119">
        <v>50</v>
      </c>
      <c r="L353" s="16">
        <v>2</v>
      </c>
      <c r="M353" s="567" t="s">
        <v>490</v>
      </c>
      <c r="N353" s="623"/>
      <c r="O353" s="165" t="s">
        <v>310</v>
      </c>
      <c r="P353" s="165" t="s">
        <v>311</v>
      </c>
      <c r="Q353" s="165" t="s">
        <v>428</v>
      </c>
      <c r="R353" s="165" t="s">
        <v>54</v>
      </c>
      <c r="S353" s="204"/>
      <c r="T353" s="207" t="s">
        <v>4</v>
      </c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</row>
    <row r="354" spans="1:34" s="116" customFormat="1" ht="21.2" customHeight="1">
      <c r="A354" s="505"/>
      <c r="B354" s="184"/>
      <c r="C354" s="187"/>
      <c r="D354" s="192"/>
      <c r="E354" s="193"/>
      <c r="F354" s="194"/>
      <c r="G354" s="199"/>
      <c r="H354" s="172"/>
      <c r="I354" s="163"/>
      <c r="J354" s="163"/>
      <c r="K354" s="119" t="s">
        <v>58</v>
      </c>
      <c r="L354" s="16">
        <v>46</v>
      </c>
      <c r="M354" s="624"/>
      <c r="N354" s="625"/>
      <c r="O354" s="166"/>
      <c r="P354" s="166"/>
      <c r="Q354" s="166"/>
      <c r="R354" s="166"/>
      <c r="S354" s="205"/>
      <c r="T354" s="208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</row>
    <row r="355" spans="1:34" s="116" customFormat="1" ht="21.2" customHeight="1">
      <c r="A355" s="505"/>
      <c r="B355" s="184"/>
      <c r="C355" s="187"/>
      <c r="D355" s="192"/>
      <c r="E355" s="193"/>
      <c r="F355" s="194"/>
      <c r="G355" s="199"/>
      <c r="H355" s="172"/>
      <c r="I355" s="163"/>
      <c r="J355" s="163"/>
      <c r="K355" s="119" t="s">
        <v>59</v>
      </c>
      <c r="L355" s="16">
        <v>25</v>
      </c>
      <c r="M355" s="624"/>
      <c r="N355" s="625"/>
      <c r="O355" s="166"/>
      <c r="P355" s="166"/>
      <c r="Q355" s="166"/>
      <c r="R355" s="166"/>
      <c r="S355" s="205"/>
      <c r="T355" s="208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</row>
    <row r="356" spans="1:34" s="116" customFormat="1" ht="21.2" customHeight="1">
      <c r="A356" s="505"/>
      <c r="B356" s="184"/>
      <c r="C356" s="187"/>
      <c r="D356" s="192"/>
      <c r="E356" s="193"/>
      <c r="F356" s="194"/>
      <c r="G356" s="199"/>
      <c r="H356" s="172"/>
      <c r="I356" s="163"/>
      <c r="J356" s="163"/>
      <c r="K356" s="119" t="s">
        <v>75</v>
      </c>
      <c r="L356" s="16">
        <v>118</v>
      </c>
      <c r="M356" s="624"/>
      <c r="N356" s="625"/>
      <c r="O356" s="166"/>
      <c r="P356" s="166"/>
      <c r="Q356" s="166"/>
      <c r="R356" s="166"/>
      <c r="S356" s="205"/>
      <c r="T356" s="208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</row>
    <row r="357" spans="1:34" s="116" customFormat="1" ht="21.2" customHeight="1">
      <c r="A357" s="505"/>
      <c r="B357" s="184"/>
      <c r="C357" s="187"/>
      <c r="D357" s="192"/>
      <c r="E357" s="193"/>
      <c r="F357" s="194"/>
      <c r="G357" s="199"/>
      <c r="H357" s="172"/>
      <c r="I357" s="163"/>
      <c r="J357" s="163"/>
      <c r="K357" s="119" t="s">
        <v>76</v>
      </c>
      <c r="L357" s="16">
        <v>1</v>
      </c>
      <c r="M357" s="624"/>
      <c r="N357" s="625"/>
      <c r="O357" s="166"/>
      <c r="P357" s="166"/>
      <c r="Q357" s="166"/>
      <c r="R357" s="166"/>
      <c r="S357" s="205"/>
      <c r="T357" s="208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</row>
    <row r="358" spans="1:34" s="116" customFormat="1" ht="21.2" customHeight="1">
      <c r="A358" s="505"/>
      <c r="B358" s="184"/>
      <c r="C358" s="187"/>
      <c r="D358" s="192"/>
      <c r="E358" s="193"/>
      <c r="F358" s="194"/>
      <c r="G358" s="199"/>
      <c r="H358" s="172"/>
      <c r="I358" s="163"/>
      <c r="J358" s="163"/>
      <c r="K358" s="119" t="s">
        <v>197</v>
      </c>
      <c r="L358" s="16">
        <v>16</v>
      </c>
      <c r="M358" s="624"/>
      <c r="N358" s="625"/>
      <c r="O358" s="166"/>
      <c r="P358" s="166"/>
      <c r="Q358" s="166"/>
      <c r="R358" s="166"/>
      <c r="S358" s="205"/>
      <c r="T358" s="208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</row>
    <row r="359" spans="1:34" s="116" customFormat="1" ht="21.2" customHeight="1">
      <c r="A359" s="505"/>
      <c r="B359" s="184"/>
      <c r="C359" s="187"/>
      <c r="D359" s="192"/>
      <c r="E359" s="193"/>
      <c r="F359" s="194"/>
      <c r="G359" s="200"/>
      <c r="H359" s="173"/>
      <c r="I359" s="164"/>
      <c r="J359" s="164"/>
      <c r="K359" s="119" t="s">
        <v>198</v>
      </c>
      <c r="L359" s="16">
        <v>1</v>
      </c>
      <c r="M359" s="626"/>
      <c r="N359" s="627"/>
      <c r="O359" s="166"/>
      <c r="P359" s="166"/>
      <c r="Q359" s="166"/>
      <c r="R359" s="166"/>
      <c r="S359" s="205"/>
      <c r="T359" s="208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</row>
    <row r="360" spans="1:34" s="116" customFormat="1" ht="21.2" customHeight="1">
      <c r="A360" s="505"/>
      <c r="B360" s="184"/>
      <c r="C360" s="188"/>
      <c r="D360" s="195"/>
      <c r="E360" s="196"/>
      <c r="F360" s="197"/>
      <c r="G360" s="174" t="s">
        <v>144</v>
      </c>
      <c r="H360" s="175"/>
      <c r="I360" s="175"/>
      <c r="J360" s="175"/>
      <c r="K360" s="176"/>
      <c r="L360" s="14">
        <f>SUM(L353:L359)</f>
        <v>209</v>
      </c>
      <c r="M360" s="28">
        <f>SUM(M353:M359)</f>
        <v>0</v>
      </c>
      <c r="N360" s="28">
        <f>SUM(N353:N359)</f>
        <v>0</v>
      </c>
      <c r="O360" s="167"/>
      <c r="P360" s="167"/>
      <c r="Q360" s="167"/>
      <c r="R360" s="167"/>
      <c r="S360" s="206"/>
      <c r="T360" s="209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</row>
    <row r="361" spans="1:34" s="116" customFormat="1" ht="21.2" customHeight="1">
      <c r="A361" s="505"/>
      <c r="B361" s="184"/>
      <c r="C361" s="186"/>
      <c r="D361" s="189" t="s">
        <v>235</v>
      </c>
      <c r="E361" s="190"/>
      <c r="F361" s="191"/>
      <c r="G361" s="198" t="s">
        <v>234</v>
      </c>
      <c r="H361" s="171" t="s">
        <v>233</v>
      </c>
      <c r="I361" s="162" t="s">
        <v>53</v>
      </c>
      <c r="J361" s="162" t="s">
        <v>73</v>
      </c>
      <c r="K361" s="119" t="s">
        <v>121</v>
      </c>
      <c r="L361" s="16">
        <v>48</v>
      </c>
      <c r="M361" s="567" t="s">
        <v>493</v>
      </c>
      <c r="N361" s="623"/>
      <c r="O361" s="165" t="s">
        <v>232</v>
      </c>
      <c r="P361" s="165" t="s">
        <v>231</v>
      </c>
      <c r="Q361" s="165" t="s">
        <v>427</v>
      </c>
      <c r="R361" s="165" t="s">
        <v>54</v>
      </c>
      <c r="S361" s="168"/>
      <c r="T361" s="168" t="s">
        <v>0</v>
      </c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</row>
    <row r="362" spans="1:34" s="116" customFormat="1" ht="21.2" customHeight="1">
      <c r="A362" s="505"/>
      <c r="B362" s="184"/>
      <c r="C362" s="187"/>
      <c r="D362" s="192"/>
      <c r="E362" s="193"/>
      <c r="F362" s="194"/>
      <c r="G362" s="199"/>
      <c r="H362" s="172"/>
      <c r="I362" s="163"/>
      <c r="J362" s="163"/>
      <c r="K362" s="119" t="s">
        <v>114</v>
      </c>
      <c r="L362" s="16">
        <v>118</v>
      </c>
      <c r="M362" s="624"/>
      <c r="N362" s="625"/>
      <c r="O362" s="166"/>
      <c r="P362" s="166"/>
      <c r="Q362" s="166"/>
      <c r="R362" s="166"/>
      <c r="S362" s="169"/>
      <c r="T362" s="169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</row>
    <row r="363" spans="1:34" s="116" customFormat="1" ht="21.2" customHeight="1">
      <c r="A363" s="505"/>
      <c r="B363" s="184"/>
      <c r="C363" s="187"/>
      <c r="D363" s="192"/>
      <c r="E363" s="193"/>
      <c r="F363" s="194"/>
      <c r="G363" s="199"/>
      <c r="H363" s="172"/>
      <c r="I363" s="163"/>
      <c r="J363" s="163"/>
      <c r="K363" s="119" t="s">
        <v>115</v>
      </c>
      <c r="L363" s="16">
        <v>41</v>
      </c>
      <c r="M363" s="624"/>
      <c r="N363" s="625"/>
      <c r="O363" s="166"/>
      <c r="P363" s="166"/>
      <c r="Q363" s="166"/>
      <c r="R363" s="166"/>
      <c r="S363" s="169"/>
      <c r="T363" s="169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</row>
    <row r="364" spans="1:34" s="116" customFormat="1" ht="21.2" customHeight="1">
      <c r="A364" s="505"/>
      <c r="B364" s="184"/>
      <c r="C364" s="187"/>
      <c r="D364" s="192"/>
      <c r="E364" s="193"/>
      <c r="F364" s="194"/>
      <c r="G364" s="199"/>
      <c r="H364" s="172"/>
      <c r="I364" s="163"/>
      <c r="J364" s="163"/>
      <c r="K364" s="119" t="s">
        <v>116</v>
      </c>
      <c r="L364" s="16">
        <v>44</v>
      </c>
      <c r="M364" s="624"/>
      <c r="N364" s="625"/>
      <c r="O364" s="166"/>
      <c r="P364" s="166"/>
      <c r="Q364" s="166"/>
      <c r="R364" s="166"/>
      <c r="S364" s="169"/>
      <c r="T364" s="169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</row>
    <row r="365" spans="1:34" s="116" customFormat="1" ht="21.2" customHeight="1">
      <c r="A365" s="505"/>
      <c r="B365" s="184"/>
      <c r="C365" s="187"/>
      <c r="D365" s="192"/>
      <c r="E365" s="193"/>
      <c r="F365" s="194"/>
      <c r="G365" s="199"/>
      <c r="H365" s="172"/>
      <c r="I365" s="163"/>
      <c r="J365" s="163"/>
      <c r="K365" s="119" t="s">
        <v>117</v>
      </c>
      <c r="L365" s="16">
        <v>25</v>
      </c>
      <c r="M365" s="624"/>
      <c r="N365" s="625"/>
      <c r="O365" s="166"/>
      <c r="P365" s="166"/>
      <c r="Q365" s="166"/>
      <c r="R365" s="166"/>
      <c r="S365" s="169"/>
      <c r="T365" s="169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</row>
    <row r="366" spans="1:34" s="116" customFormat="1" ht="21.2" customHeight="1">
      <c r="A366" s="505"/>
      <c r="B366" s="184"/>
      <c r="C366" s="187"/>
      <c r="D366" s="192"/>
      <c r="E366" s="193"/>
      <c r="F366" s="194"/>
      <c r="G366" s="199"/>
      <c r="H366" s="172"/>
      <c r="I366" s="163"/>
      <c r="J366" s="163"/>
      <c r="K366" s="119">
        <v>99</v>
      </c>
      <c r="L366" s="16">
        <v>1</v>
      </c>
      <c r="M366" s="624"/>
      <c r="N366" s="625"/>
      <c r="O366" s="166"/>
      <c r="P366" s="166"/>
      <c r="Q366" s="166"/>
      <c r="R366" s="166"/>
      <c r="S366" s="169"/>
      <c r="T366" s="169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</row>
    <row r="367" spans="1:34" s="116" customFormat="1" ht="21.2" customHeight="1">
      <c r="A367" s="505"/>
      <c r="B367" s="184"/>
      <c r="C367" s="187"/>
      <c r="D367" s="192"/>
      <c r="E367" s="193"/>
      <c r="F367" s="194"/>
      <c r="G367" s="199"/>
      <c r="H367" s="172"/>
      <c r="I367" s="163"/>
      <c r="J367" s="163"/>
      <c r="K367" s="119">
        <v>119</v>
      </c>
      <c r="L367" s="16">
        <v>1</v>
      </c>
      <c r="M367" s="624"/>
      <c r="N367" s="625"/>
      <c r="O367" s="166"/>
      <c r="P367" s="166"/>
      <c r="Q367" s="166"/>
      <c r="R367" s="166"/>
      <c r="S367" s="169"/>
      <c r="T367" s="169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</row>
    <row r="368" spans="1:34" s="116" customFormat="1" ht="21.2" customHeight="1">
      <c r="A368" s="505"/>
      <c r="B368" s="184"/>
      <c r="C368" s="187"/>
      <c r="D368" s="192"/>
      <c r="E368" s="193"/>
      <c r="F368" s="194"/>
      <c r="G368" s="200"/>
      <c r="H368" s="173"/>
      <c r="I368" s="164"/>
      <c r="J368" s="164"/>
      <c r="K368" s="119">
        <v>129</v>
      </c>
      <c r="L368" s="16">
        <v>1</v>
      </c>
      <c r="M368" s="626"/>
      <c r="N368" s="627"/>
      <c r="O368" s="166"/>
      <c r="P368" s="166"/>
      <c r="Q368" s="166"/>
      <c r="R368" s="166"/>
      <c r="S368" s="169"/>
      <c r="T368" s="169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</row>
    <row r="369" spans="1:34" s="116" customFormat="1" ht="21.2" customHeight="1">
      <c r="A369" s="505"/>
      <c r="B369" s="185"/>
      <c r="C369" s="188"/>
      <c r="D369" s="195"/>
      <c r="E369" s="196"/>
      <c r="F369" s="197"/>
      <c r="G369" s="174" t="s">
        <v>144</v>
      </c>
      <c r="H369" s="175"/>
      <c r="I369" s="175"/>
      <c r="J369" s="175"/>
      <c r="K369" s="176"/>
      <c r="L369" s="14">
        <f>SUM(L361:L368)</f>
        <v>279</v>
      </c>
      <c r="M369" s="28">
        <f>SUM(M361:M368)</f>
        <v>0</v>
      </c>
      <c r="N369" s="28">
        <f>SUM(N361:N368)</f>
        <v>0</v>
      </c>
      <c r="O369" s="167"/>
      <c r="P369" s="167"/>
      <c r="Q369" s="167"/>
      <c r="R369" s="167"/>
      <c r="S369" s="170"/>
      <c r="T369" s="170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</row>
    <row r="370" spans="1:34" s="116" customFormat="1" ht="21.95" customHeight="1">
      <c r="A370" s="506"/>
      <c r="B370" s="159" t="s">
        <v>107</v>
      </c>
      <c r="C370" s="160"/>
      <c r="D370" s="160"/>
      <c r="E370" s="160"/>
      <c r="F370" s="160"/>
      <c r="G370" s="160"/>
      <c r="H370" s="160"/>
      <c r="I370" s="160"/>
      <c r="J370" s="160"/>
      <c r="K370" s="161"/>
      <c r="L370" s="15">
        <v>488</v>
      </c>
      <c r="M370" s="122">
        <v>113</v>
      </c>
      <c r="N370" s="122">
        <v>115</v>
      </c>
      <c r="O370" s="10"/>
      <c r="P370" s="10"/>
      <c r="Q370" s="3"/>
      <c r="R370" s="3"/>
      <c r="S370" s="3"/>
      <c r="T370" s="3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</row>
    <row r="371" spans="1:34" s="116" customFormat="1" ht="21.2" customHeight="1">
      <c r="A371" s="147"/>
      <c r="B371" s="111"/>
      <c r="C371" s="111"/>
      <c r="D371" s="111"/>
      <c r="E371" s="111"/>
      <c r="F371" s="111"/>
      <c r="G371" s="111"/>
      <c r="H371" s="111"/>
      <c r="I371" s="111"/>
      <c r="J371" s="111"/>
      <c r="K371" s="148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</row>
    <row r="372" spans="1:34" s="116" customFormat="1" ht="21.2" customHeight="1">
      <c r="A372" s="147"/>
      <c r="B372" s="111"/>
      <c r="C372" s="111"/>
      <c r="D372" s="111"/>
      <c r="E372" s="111"/>
      <c r="F372" s="111"/>
      <c r="G372" s="111"/>
      <c r="H372" s="111"/>
      <c r="I372" s="111"/>
      <c r="J372" s="111"/>
      <c r="K372" s="148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</row>
    <row r="373" spans="1:34" s="116" customFormat="1" ht="21" customHeight="1">
      <c r="A373" s="147"/>
      <c r="B373" s="111"/>
      <c r="C373" s="111"/>
      <c r="D373" s="111"/>
      <c r="E373" s="111"/>
      <c r="F373" s="111"/>
      <c r="G373" s="111"/>
      <c r="H373" s="111"/>
      <c r="I373" s="111"/>
      <c r="J373" s="111"/>
      <c r="K373" s="148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</row>
    <row r="374" spans="1:34" s="116" customFormat="1" ht="21.2" customHeight="1">
      <c r="A374" s="147"/>
      <c r="B374" s="111"/>
      <c r="C374" s="111"/>
      <c r="D374" s="111"/>
      <c r="E374" s="111"/>
      <c r="F374" s="111"/>
      <c r="G374" s="111"/>
      <c r="H374" s="111"/>
      <c r="I374" s="111"/>
      <c r="J374" s="111"/>
      <c r="K374" s="148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</row>
    <row r="375" spans="1:34" s="116" customFormat="1" ht="21.2" customHeight="1">
      <c r="A375" s="147"/>
      <c r="B375" s="111"/>
      <c r="C375" s="111"/>
      <c r="D375" s="111"/>
      <c r="E375" s="111"/>
      <c r="F375" s="111"/>
      <c r="G375" s="111"/>
      <c r="H375" s="111"/>
      <c r="I375" s="111"/>
      <c r="J375" s="111"/>
      <c r="K375" s="148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</row>
    <row r="376" spans="1:34" s="116" customFormat="1" ht="21.2" customHeight="1">
      <c r="A376" s="147"/>
      <c r="B376" s="111"/>
      <c r="C376" s="111"/>
      <c r="D376" s="111"/>
      <c r="E376" s="111"/>
      <c r="F376" s="111"/>
      <c r="G376" s="111"/>
      <c r="H376" s="111"/>
      <c r="I376" s="111"/>
      <c r="J376" s="111"/>
      <c r="K376" s="148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</row>
  </sheetData>
  <autoFilter ref="A2:AH370" xr:uid="{00000000-0009-0000-0000-000006000000}">
    <filterColumn colId="0" showButton="0"/>
    <filterColumn colId="1" showButton="0"/>
    <filterColumn colId="3" showButton="0"/>
    <filterColumn colId="4" showButton="0"/>
    <filterColumn colId="6" showButton="0"/>
    <filterColumn colId="8" showButton="0"/>
    <filterColumn colId="11" showButton="0"/>
    <filterColumn colId="12" showButton="0"/>
  </autoFilter>
  <mergeCells count="736">
    <mergeCell ref="M285:N291"/>
    <mergeCell ref="M296:N297"/>
    <mergeCell ref="M299:N300"/>
    <mergeCell ref="M302:N303"/>
    <mergeCell ref="M305:N306"/>
    <mergeCell ref="M308:N309"/>
    <mergeCell ref="M311:N313"/>
    <mergeCell ref="M316:N322"/>
    <mergeCell ref="M216:N219"/>
    <mergeCell ref="M221:N228"/>
    <mergeCell ref="M233:N237"/>
    <mergeCell ref="M248:N258"/>
    <mergeCell ref="M260:N264"/>
    <mergeCell ref="M267:N269"/>
    <mergeCell ref="M271:N272"/>
    <mergeCell ref="M275:N279"/>
    <mergeCell ref="M281:N283"/>
    <mergeCell ref="M25:N33"/>
    <mergeCell ref="C35:T38"/>
    <mergeCell ref="M48:N52"/>
    <mergeCell ref="M54:N56"/>
    <mergeCell ref="M58:N74"/>
    <mergeCell ref="M76:N80"/>
    <mergeCell ref="M82:N88"/>
    <mergeCell ref="M90:N93"/>
    <mergeCell ref="M95:N99"/>
    <mergeCell ref="A3:A4"/>
    <mergeCell ref="B3:B4"/>
    <mergeCell ref="C3:C4"/>
    <mergeCell ref="G3:G4"/>
    <mergeCell ref="H3:H4"/>
    <mergeCell ref="I3:I4"/>
    <mergeCell ref="A1:R1"/>
    <mergeCell ref="A2:C2"/>
    <mergeCell ref="D2:F4"/>
    <mergeCell ref="G2:H2"/>
    <mergeCell ref="I2:J2"/>
    <mergeCell ref="L2:N2"/>
    <mergeCell ref="O2:O4"/>
    <mergeCell ref="P2:P4"/>
    <mergeCell ref="Q2:Q4"/>
    <mergeCell ref="R2:R4"/>
    <mergeCell ref="J3:J4"/>
    <mergeCell ref="K3:K4"/>
    <mergeCell ref="L3:L4"/>
    <mergeCell ref="M3:N3"/>
    <mergeCell ref="B5:C5"/>
    <mergeCell ref="D5:K5"/>
    <mergeCell ref="S2:S4"/>
    <mergeCell ref="T2:T4"/>
    <mergeCell ref="A6:A370"/>
    <mergeCell ref="B6:B46"/>
    <mergeCell ref="C6:C10"/>
    <mergeCell ref="D6:F10"/>
    <mergeCell ref="G6:G9"/>
    <mergeCell ref="H6:H9"/>
    <mergeCell ref="S6:S10"/>
    <mergeCell ref="T6:T10"/>
    <mergeCell ref="G10:K10"/>
    <mergeCell ref="C11:C13"/>
    <mergeCell ref="D11:F13"/>
    <mergeCell ref="G11:G12"/>
    <mergeCell ref="H11:H12"/>
    <mergeCell ref="I11:I12"/>
    <mergeCell ref="I6:I9"/>
    <mergeCell ref="J6:J9"/>
    <mergeCell ref="C14:C18"/>
    <mergeCell ref="D14:F18"/>
    <mergeCell ref="G14:G17"/>
    <mergeCell ref="H14:H17"/>
    <mergeCell ref="I14:I17"/>
    <mergeCell ref="J14:J17"/>
    <mergeCell ref="J11:J12"/>
    <mergeCell ref="O11:O13"/>
    <mergeCell ref="P11:P13"/>
    <mergeCell ref="G18:J18"/>
    <mergeCell ref="M11:N12"/>
    <mergeCell ref="M14:N17"/>
    <mergeCell ref="O19:O24"/>
    <mergeCell ref="O14:O18"/>
    <mergeCell ref="P14:P18"/>
    <mergeCell ref="O6:O10"/>
    <mergeCell ref="P6:P10"/>
    <mergeCell ref="Q6:Q10"/>
    <mergeCell ref="R6:R10"/>
    <mergeCell ref="T11:T13"/>
    <mergeCell ref="G13:K13"/>
    <mergeCell ref="Q11:Q13"/>
    <mergeCell ref="R11:R13"/>
    <mergeCell ref="S11:S13"/>
    <mergeCell ref="Q14:Q18"/>
    <mergeCell ref="R14:R18"/>
    <mergeCell ref="S14:S18"/>
    <mergeCell ref="T14:T18"/>
    <mergeCell ref="M6:N9"/>
    <mergeCell ref="M19:N23"/>
    <mergeCell ref="Q25:Q34"/>
    <mergeCell ref="R25:R34"/>
    <mergeCell ref="S25:S34"/>
    <mergeCell ref="T25:T34"/>
    <mergeCell ref="G24:J24"/>
    <mergeCell ref="C25:C34"/>
    <mergeCell ref="D25:F34"/>
    <mergeCell ref="G25:G33"/>
    <mergeCell ref="H25:H33"/>
    <mergeCell ref="I25:I33"/>
    <mergeCell ref="J25:J33"/>
    <mergeCell ref="O25:O34"/>
    <mergeCell ref="P25:P34"/>
    <mergeCell ref="P19:P24"/>
    <mergeCell ref="Q19:Q24"/>
    <mergeCell ref="R19:R24"/>
    <mergeCell ref="S19:S24"/>
    <mergeCell ref="T19:T24"/>
    <mergeCell ref="C19:C24"/>
    <mergeCell ref="D19:F24"/>
    <mergeCell ref="G19:G23"/>
    <mergeCell ref="H19:H23"/>
    <mergeCell ref="I19:I23"/>
    <mergeCell ref="J19:J23"/>
    <mergeCell ref="C39:C46"/>
    <mergeCell ref="D39:F46"/>
    <mergeCell ref="G39:G45"/>
    <mergeCell ref="H39:H45"/>
    <mergeCell ref="I39:I45"/>
    <mergeCell ref="T39:T46"/>
    <mergeCell ref="G46:K46"/>
    <mergeCell ref="Q39:Q46"/>
    <mergeCell ref="R39:R46"/>
    <mergeCell ref="S39:S46"/>
    <mergeCell ref="B47:K47"/>
    <mergeCell ref="B48:B100"/>
    <mergeCell ref="C48:C53"/>
    <mergeCell ref="D48:F53"/>
    <mergeCell ref="G48:G52"/>
    <mergeCell ref="H48:H52"/>
    <mergeCell ref="J39:J45"/>
    <mergeCell ref="O39:O46"/>
    <mergeCell ref="P39:P46"/>
    <mergeCell ref="C58:C81"/>
    <mergeCell ref="D58:F75"/>
    <mergeCell ref="G58:G74"/>
    <mergeCell ref="H58:H74"/>
    <mergeCell ref="I58:I74"/>
    <mergeCell ref="J58:J74"/>
    <mergeCell ref="C82:C89"/>
    <mergeCell ref="D82:F89"/>
    <mergeCell ref="G82:G88"/>
    <mergeCell ref="H82:H88"/>
    <mergeCell ref="I82:I88"/>
    <mergeCell ref="J82:J85"/>
    <mergeCell ref="J86:J88"/>
    <mergeCell ref="O86:O89"/>
    <mergeCell ref="P86:P89"/>
    <mergeCell ref="S48:S53"/>
    <mergeCell ref="T48:T53"/>
    <mergeCell ref="G53:K53"/>
    <mergeCell ref="C54:C57"/>
    <mergeCell ref="D54:F57"/>
    <mergeCell ref="G54:G56"/>
    <mergeCell ref="H54:H56"/>
    <mergeCell ref="I54:I56"/>
    <mergeCell ref="I48:I52"/>
    <mergeCell ref="J48:J52"/>
    <mergeCell ref="O48:O53"/>
    <mergeCell ref="P48:P53"/>
    <mergeCell ref="Q48:Q53"/>
    <mergeCell ref="R48:R53"/>
    <mergeCell ref="T54:T57"/>
    <mergeCell ref="G57:K57"/>
    <mergeCell ref="J54:J56"/>
    <mergeCell ref="O54:O57"/>
    <mergeCell ref="P54:P57"/>
    <mergeCell ref="Q54:Q57"/>
    <mergeCell ref="R54:R57"/>
    <mergeCell ref="S54:S57"/>
    <mergeCell ref="S76:S81"/>
    <mergeCell ref="T76:T81"/>
    <mergeCell ref="G75:K75"/>
    <mergeCell ref="D76:F81"/>
    <mergeCell ref="G76:G80"/>
    <mergeCell ref="H76:H80"/>
    <mergeCell ref="I76:I80"/>
    <mergeCell ref="J76:J80"/>
    <mergeCell ref="O76:O81"/>
    <mergeCell ref="P76:P81"/>
    <mergeCell ref="O58:O75"/>
    <mergeCell ref="P58:P75"/>
    <mergeCell ref="Q58:Q75"/>
    <mergeCell ref="R58:R75"/>
    <mergeCell ref="S58:S75"/>
    <mergeCell ref="T58:T75"/>
    <mergeCell ref="G81:K81"/>
    <mergeCell ref="Q76:Q81"/>
    <mergeCell ref="R76:R81"/>
    <mergeCell ref="G89:K89"/>
    <mergeCell ref="O82:O85"/>
    <mergeCell ref="P82:P85"/>
    <mergeCell ref="Q82:Q89"/>
    <mergeCell ref="R82:R89"/>
    <mergeCell ref="S82:S89"/>
    <mergeCell ref="T82:T89"/>
    <mergeCell ref="G94:K94"/>
    <mergeCell ref="C95:C100"/>
    <mergeCell ref="D95:F100"/>
    <mergeCell ref="G95:G99"/>
    <mergeCell ref="H95:H99"/>
    <mergeCell ref="I95:I99"/>
    <mergeCell ref="J95:J99"/>
    <mergeCell ref="O95:O100"/>
    <mergeCell ref="O90:O94"/>
    <mergeCell ref="P90:P94"/>
    <mergeCell ref="Q90:Q94"/>
    <mergeCell ref="R90:R94"/>
    <mergeCell ref="S90:S94"/>
    <mergeCell ref="T90:T94"/>
    <mergeCell ref="C90:C94"/>
    <mergeCell ref="D90:F94"/>
    <mergeCell ref="G90:G93"/>
    <mergeCell ref="H90:H93"/>
    <mergeCell ref="I90:I93"/>
    <mergeCell ref="J90:J93"/>
    <mergeCell ref="G100:K100"/>
    <mergeCell ref="B101:K101"/>
    <mergeCell ref="B102:B215"/>
    <mergeCell ref="C102:C104"/>
    <mergeCell ref="D102:F104"/>
    <mergeCell ref="G102:G103"/>
    <mergeCell ref="H102:H103"/>
    <mergeCell ref="I102:I103"/>
    <mergeCell ref="J102:J103"/>
    <mergeCell ref="C128:C132"/>
    <mergeCell ref="D128:F132"/>
    <mergeCell ref="G128:G131"/>
    <mergeCell ref="H128:H131"/>
    <mergeCell ref="I128:I131"/>
    <mergeCell ref="J128:J131"/>
    <mergeCell ref="G132:K132"/>
    <mergeCell ref="C133:C139"/>
    <mergeCell ref="D133:F139"/>
    <mergeCell ref="G133:G138"/>
    <mergeCell ref="H133:H138"/>
    <mergeCell ref="I133:I138"/>
    <mergeCell ref="Q105:Q115"/>
    <mergeCell ref="R105:R115"/>
    <mergeCell ref="S105:S115"/>
    <mergeCell ref="T105:T115"/>
    <mergeCell ref="G127:K127"/>
    <mergeCell ref="Q116:Q127"/>
    <mergeCell ref="R116:R127"/>
    <mergeCell ref="P95:P100"/>
    <mergeCell ref="Q95:Q100"/>
    <mergeCell ref="R95:R100"/>
    <mergeCell ref="S95:S100"/>
    <mergeCell ref="T95:T100"/>
    <mergeCell ref="G104:K104"/>
    <mergeCell ref="G105:G114"/>
    <mergeCell ref="H105:H114"/>
    <mergeCell ref="I105:I114"/>
    <mergeCell ref="J105:J114"/>
    <mergeCell ref="O105:O115"/>
    <mergeCell ref="O102:O104"/>
    <mergeCell ref="P102:P104"/>
    <mergeCell ref="Q102:Q104"/>
    <mergeCell ref="R102:R104"/>
    <mergeCell ref="S102:S104"/>
    <mergeCell ref="T102:T104"/>
    <mergeCell ref="G115:K115"/>
    <mergeCell ref="C116:C127"/>
    <mergeCell ref="D116:F127"/>
    <mergeCell ref="G116:G126"/>
    <mergeCell ref="H116:H126"/>
    <mergeCell ref="I116:I126"/>
    <mergeCell ref="J116:J126"/>
    <mergeCell ref="O116:O127"/>
    <mergeCell ref="P116:P127"/>
    <mergeCell ref="P105:P115"/>
    <mergeCell ref="C105:C115"/>
    <mergeCell ref="D105:F115"/>
    <mergeCell ref="T128:T132"/>
    <mergeCell ref="S140:S143"/>
    <mergeCell ref="T140:T143"/>
    <mergeCell ref="G139:K139"/>
    <mergeCell ref="Q133:Q139"/>
    <mergeCell ref="R133:R139"/>
    <mergeCell ref="S133:S139"/>
    <mergeCell ref="T133:T139"/>
    <mergeCell ref="S116:S127"/>
    <mergeCell ref="T116:T127"/>
    <mergeCell ref="M128:N131"/>
    <mergeCell ref="M133:N138"/>
    <mergeCell ref="P133:P139"/>
    <mergeCell ref="G143:K143"/>
    <mergeCell ref="J133:J138"/>
    <mergeCell ref="O133:O139"/>
    <mergeCell ref="O128:O132"/>
    <mergeCell ref="P128:P132"/>
    <mergeCell ref="Q128:Q132"/>
    <mergeCell ref="R128:R132"/>
    <mergeCell ref="S128:S132"/>
    <mergeCell ref="Q140:Q143"/>
    <mergeCell ref="R140:R143"/>
    <mergeCell ref="G149:K149"/>
    <mergeCell ref="Q144:Q149"/>
    <mergeCell ref="R144:R149"/>
    <mergeCell ref="C140:C143"/>
    <mergeCell ref="D140:F143"/>
    <mergeCell ref="G140:G142"/>
    <mergeCell ref="H140:H142"/>
    <mergeCell ref="I140:I142"/>
    <mergeCell ref="J140:J142"/>
    <mergeCell ref="O140:O143"/>
    <mergeCell ref="P140:P143"/>
    <mergeCell ref="M144:N148"/>
    <mergeCell ref="J150:J164"/>
    <mergeCell ref="O150:O165"/>
    <mergeCell ref="O144:O149"/>
    <mergeCell ref="P144:P149"/>
    <mergeCell ref="C144:C149"/>
    <mergeCell ref="D144:F149"/>
    <mergeCell ref="G144:G148"/>
    <mergeCell ref="H144:H148"/>
    <mergeCell ref="I144:I148"/>
    <mergeCell ref="J144:J148"/>
    <mergeCell ref="S144:S149"/>
    <mergeCell ref="T144:T149"/>
    <mergeCell ref="S166:S176"/>
    <mergeCell ref="T166:T176"/>
    <mergeCell ref="G165:K165"/>
    <mergeCell ref="C166:C176"/>
    <mergeCell ref="D166:F176"/>
    <mergeCell ref="G166:G175"/>
    <mergeCell ref="H166:H175"/>
    <mergeCell ref="I166:I175"/>
    <mergeCell ref="J166:J175"/>
    <mergeCell ref="O166:O176"/>
    <mergeCell ref="P166:P176"/>
    <mergeCell ref="P150:P165"/>
    <mergeCell ref="Q150:Q165"/>
    <mergeCell ref="R150:R165"/>
    <mergeCell ref="S150:S165"/>
    <mergeCell ref="T150:T165"/>
    <mergeCell ref="G176:K176"/>
    <mergeCell ref="C150:C165"/>
    <mergeCell ref="D150:F165"/>
    <mergeCell ref="G150:G164"/>
    <mergeCell ref="H150:H164"/>
    <mergeCell ref="I150:I164"/>
    <mergeCell ref="C177:C188"/>
    <mergeCell ref="D177:F188"/>
    <mergeCell ref="G177:G187"/>
    <mergeCell ref="H177:H187"/>
    <mergeCell ref="I177:I187"/>
    <mergeCell ref="J177:J187"/>
    <mergeCell ref="Q166:Q176"/>
    <mergeCell ref="R166:R176"/>
    <mergeCell ref="G188:K188"/>
    <mergeCell ref="Q177:Q188"/>
    <mergeCell ref="R177:R188"/>
    <mergeCell ref="M177:N187"/>
    <mergeCell ref="C193:C195"/>
    <mergeCell ref="D193:F195"/>
    <mergeCell ref="G193:G194"/>
    <mergeCell ref="H193:H194"/>
    <mergeCell ref="I193:I194"/>
    <mergeCell ref="J193:J194"/>
    <mergeCell ref="O193:O195"/>
    <mergeCell ref="P193:P195"/>
    <mergeCell ref="P189:P192"/>
    <mergeCell ref="G195:K195"/>
    <mergeCell ref="C189:C192"/>
    <mergeCell ref="D189:F192"/>
    <mergeCell ref="G189:G191"/>
    <mergeCell ref="H189:H191"/>
    <mergeCell ref="I189:I191"/>
    <mergeCell ref="J189:J191"/>
    <mergeCell ref="O189:O192"/>
    <mergeCell ref="M189:N191"/>
    <mergeCell ref="M193:N194"/>
    <mergeCell ref="Q193:Q195"/>
    <mergeCell ref="R193:R195"/>
    <mergeCell ref="G204:K204"/>
    <mergeCell ref="Q196:Q204"/>
    <mergeCell ref="R196:R204"/>
    <mergeCell ref="S177:S188"/>
    <mergeCell ref="T177:T188"/>
    <mergeCell ref="S193:S195"/>
    <mergeCell ref="T193:T195"/>
    <mergeCell ref="G192:K192"/>
    <mergeCell ref="Q189:Q192"/>
    <mergeCell ref="R189:R192"/>
    <mergeCell ref="S189:S192"/>
    <mergeCell ref="T189:T192"/>
    <mergeCell ref="O177:O188"/>
    <mergeCell ref="P177:P188"/>
    <mergeCell ref="M196:N203"/>
    <mergeCell ref="G205:G214"/>
    <mergeCell ref="H205:H214"/>
    <mergeCell ref="I205:I214"/>
    <mergeCell ref="J205:J214"/>
    <mergeCell ref="O205:O215"/>
    <mergeCell ref="O196:O204"/>
    <mergeCell ref="P196:P204"/>
    <mergeCell ref="C196:C204"/>
    <mergeCell ref="D196:F204"/>
    <mergeCell ref="G196:G203"/>
    <mergeCell ref="H196:H203"/>
    <mergeCell ref="I196:I203"/>
    <mergeCell ref="J196:J203"/>
    <mergeCell ref="M205:N214"/>
    <mergeCell ref="Q216:Q220"/>
    <mergeCell ref="R216:R220"/>
    <mergeCell ref="G229:K229"/>
    <mergeCell ref="S196:S204"/>
    <mergeCell ref="T196:T204"/>
    <mergeCell ref="S216:S220"/>
    <mergeCell ref="T216:T220"/>
    <mergeCell ref="G215:K215"/>
    <mergeCell ref="C216:C220"/>
    <mergeCell ref="D216:F220"/>
    <mergeCell ref="G216:G219"/>
    <mergeCell ref="H216:H219"/>
    <mergeCell ref="I216:I219"/>
    <mergeCell ref="J216:J219"/>
    <mergeCell ref="O216:O220"/>
    <mergeCell ref="P216:P220"/>
    <mergeCell ref="P205:P215"/>
    <mergeCell ref="Q205:Q215"/>
    <mergeCell ref="R205:R215"/>
    <mergeCell ref="S205:S215"/>
    <mergeCell ref="T205:T215"/>
    <mergeCell ref="G220:K220"/>
    <mergeCell ref="C205:C215"/>
    <mergeCell ref="D205:F215"/>
    <mergeCell ref="B230:K230"/>
    <mergeCell ref="B231:K231"/>
    <mergeCell ref="B232:K232"/>
    <mergeCell ref="O221:O229"/>
    <mergeCell ref="P221:P229"/>
    <mergeCell ref="Q221:Q229"/>
    <mergeCell ref="R221:R229"/>
    <mergeCell ref="S221:S229"/>
    <mergeCell ref="T221:T229"/>
    <mergeCell ref="C221:C229"/>
    <mergeCell ref="D221:F229"/>
    <mergeCell ref="G221:G228"/>
    <mergeCell ref="H221:H228"/>
    <mergeCell ref="I221:I228"/>
    <mergeCell ref="J221:J228"/>
    <mergeCell ref="T233:T238"/>
    <mergeCell ref="G238:K238"/>
    <mergeCell ref="C239:C247"/>
    <mergeCell ref="D239:F247"/>
    <mergeCell ref="G239:G246"/>
    <mergeCell ref="H239:H246"/>
    <mergeCell ref="I239:I246"/>
    <mergeCell ref="J239:J246"/>
    <mergeCell ref="J233:J237"/>
    <mergeCell ref="O233:O238"/>
    <mergeCell ref="P233:P238"/>
    <mergeCell ref="Q233:Q238"/>
    <mergeCell ref="R233:R238"/>
    <mergeCell ref="S233:S238"/>
    <mergeCell ref="C233:C238"/>
    <mergeCell ref="D233:F238"/>
    <mergeCell ref="G233:G237"/>
    <mergeCell ref="H233:H237"/>
    <mergeCell ref="I233:I237"/>
    <mergeCell ref="G247:K247"/>
    <mergeCell ref="Q239:Q247"/>
    <mergeCell ref="R239:R247"/>
    <mergeCell ref="S239:S247"/>
    <mergeCell ref="T239:T247"/>
    <mergeCell ref="R260:R265"/>
    <mergeCell ref="S260:S265"/>
    <mergeCell ref="T260:T265"/>
    <mergeCell ref="G259:K259"/>
    <mergeCell ref="C260:C265"/>
    <mergeCell ref="D260:F265"/>
    <mergeCell ref="G260:G264"/>
    <mergeCell ref="H260:H264"/>
    <mergeCell ref="I260:I264"/>
    <mergeCell ref="J260:J264"/>
    <mergeCell ref="O260:O265"/>
    <mergeCell ref="P260:P265"/>
    <mergeCell ref="P248:P259"/>
    <mergeCell ref="Q248:Q259"/>
    <mergeCell ref="R248:R259"/>
    <mergeCell ref="S248:S259"/>
    <mergeCell ref="T248:T259"/>
    <mergeCell ref="G265:K265"/>
    <mergeCell ref="C248:C259"/>
    <mergeCell ref="D248:F259"/>
    <mergeCell ref="G248:G258"/>
    <mergeCell ref="H248:H258"/>
    <mergeCell ref="I248:I258"/>
    <mergeCell ref="J248:J258"/>
    <mergeCell ref="B266:K266"/>
    <mergeCell ref="B267:B273"/>
    <mergeCell ref="C267:C270"/>
    <mergeCell ref="D267:F270"/>
    <mergeCell ref="G267:G269"/>
    <mergeCell ref="H267:H269"/>
    <mergeCell ref="I267:I269"/>
    <mergeCell ref="J267:J269"/>
    <mergeCell ref="Q260:Q265"/>
    <mergeCell ref="B233:B265"/>
    <mergeCell ref="G270:K270"/>
    <mergeCell ref="C271:C273"/>
    <mergeCell ref="D271:F273"/>
    <mergeCell ref="G271:G272"/>
    <mergeCell ref="H271:H272"/>
    <mergeCell ref="I271:I272"/>
    <mergeCell ref="J271:J272"/>
    <mergeCell ref="O271:O273"/>
    <mergeCell ref="O267:O270"/>
    <mergeCell ref="P267:P270"/>
    <mergeCell ref="Q267:Q270"/>
    <mergeCell ref="O248:O259"/>
    <mergeCell ref="O239:O247"/>
    <mergeCell ref="P239:P247"/>
    <mergeCell ref="R267:R270"/>
    <mergeCell ref="S267:S270"/>
    <mergeCell ref="T267:T270"/>
    <mergeCell ref="G273:K273"/>
    <mergeCell ref="B274:K274"/>
    <mergeCell ref="B275:B280"/>
    <mergeCell ref="C275:C280"/>
    <mergeCell ref="D275:F280"/>
    <mergeCell ref="G275:G279"/>
    <mergeCell ref="H275:H279"/>
    <mergeCell ref="I275:I279"/>
    <mergeCell ref="J275:J279"/>
    <mergeCell ref="P271:P273"/>
    <mergeCell ref="Q271:Q273"/>
    <mergeCell ref="R271:R273"/>
    <mergeCell ref="S271:S273"/>
    <mergeCell ref="T271:T273"/>
    <mergeCell ref="G280:K280"/>
    <mergeCell ref="Q275:Q280"/>
    <mergeCell ref="R275:R280"/>
    <mergeCell ref="S275:S280"/>
    <mergeCell ref="T275:T280"/>
    <mergeCell ref="P281:P284"/>
    <mergeCell ref="B281:B284"/>
    <mergeCell ref="C281:C284"/>
    <mergeCell ref="D281:F284"/>
    <mergeCell ref="G281:G283"/>
    <mergeCell ref="H281:H283"/>
    <mergeCell ref="I281:I283"/>
    <mergeCell ref="J281:J283"/>
    <mergeCell ref="O275:O280"/>
    <mergeCell ref="P275:P280"/>
    <mergeCell ref="G284:K284"/>
    <mergeCell ref="S299:S301"/>
    <mergeCell ref="T299:T301"/>
    <mergeCell ref="Q281:Q284"/>
    <mergeCell ref="R281:R284"/>
    <mergeCell ref="S281:S284"/>
    <mergeCell ref="T281:T284"/>
    <mergeCell ref="G292:K292"/>
    <mergeCell ref="B293:K293"/>
    <mergeCell ref="B294:K294"/>
    <mergeCell ref="B295:K295"/>
    <mergeCell ref="O285:O292"/>
    <mergeCell ref="P285:P292"/>
    <mergeCell ref="Q285:Q292"/>
    <mergeCell ref="R285:R292"/>
    <mergeCell ref="S285:S292"/>
    <mergeCell ref="T285:T292"/>
    <mergeCell ref="B285:B292"/>
    <mergeCell ref="C285:C292"/>
    <mergeCell ref="D285:F292"/>
    <mergeCell ref="G285:G291"/>
    <mergeCell ref="H285:H291"/>
    <mergeCell ref="I285:I291"/>
    <mergeCell ref="J285:J291"/>
    <mergeCell ref="O281:O284"/>
    <mergeCell ref="O299:O301"/>
    <mergeCell ref="P299:P301"/>
    <mergeCell ref="T296:T298"/>
    <mergeCell ref="G298:K298"/>
    <mergeCell ref="C299:C301"/>
    <mergeCell ref="D299:F301"/>
    <mergeCell ref="G299:G300"/>
    <mergeCell ref="H299:H300"/>
    <mergeCell ref="I299:I300"/>
    <mergeCell ref="J299:J300"/>
    <mergeCell ref="J296:J297"/>
    <mergeCell ref="O296:O298"/>
    <mergeCell ref="P296:P298"/>
    <mergeCell ref="Q296:Q298"/>
    <mergeCell ref="R296:R298"/>
    <mergeCell ref="S296:S298"/>
    <mergeCell ref="C296:C298"/>
    <mergeCell ref="D296:F298"/>
    <mergeCell ref="G296:G297"/>
    <mergeCell ref="H296:H297"/>
    <mergeCell ref="I296:I297"/>
    <mergeCell ref="G301:K301"/>
    <mergeCell ref="Q299:Q301"/>
    <mergeCell ref="R299:R301"/>
    <mergeCell ref="O308:O310"/>
    <mergeCell ref="O305:O307"/>
    <mergeCell ref="C305:C307"/>
    <mergeCell ref="D305:F307"/>
    <mergeCell ref="R302:R304"/>
    <mergeCell ref="S302:S304"/>
    <mergeCell ref="T302:T304"/>
    <mergeCell ref="G304:K304"/>
    <mergeCell ref="L302:L303"/>
    <mergeCell ref="O302:O304"/>
    <mergeCell ref="P302:P304"/>
    <mergeCell ref="Q302:Q304"/>
    <mergeCell ref="C302:C304"/>
    <mergeCell ref="D302:F304"/>
    <mergeCell ref="G302:G303"/>
    <mergeCell ref="H302:H303"/>
    <mergeCell ref="I302:I303"/>
    <mergeCell ref="J302:J303"/>
    <mergeCell ref="K302:K303"/>
    <mergeCell ref="P305:P307"/>
    <mergeCell ref="Q305:Q307"/>
    <mergeCell ref="R305:R307"/>
    <mergeCell ref="S305:S307"/>
    <mergeCell ref="T305:T307"/>
    <mergeCell ref="I305:I306"/>
    <mergeCell ref="J305:J306"/>
    <mergeCell ref="K305:K306"/>
    <mergeCell ref="L305:L306"/>
    <mergeCell ref="G307:K307"/>
    <mergeCell ref="Q311:Q314"/>
    <mergeCell ref="R311:R314"/>
    <mergeCell ref="S311:S314"/>
    <mergeCell ref="T311:T314"/>
    <mergeCell ref="G310:K310"/>
    <mergeCell ref="C311:C314"/>
    <mergeCell ref="D311:F314"/>
    <mergeCell ref="G311:G313"/>
    <mergeCell ref="H311:H313"/>
    <mergeCell ref="I311:I313"/>
    <mergeCell ref="J311:J313"/>
    <mergeCell ref="O311:O314"/>
    <mergeCell ref="P311:P314"/>
    <mergeCell ref="P308:P310"/>
    <mergeCell ref="Q308:Q310"/>
    <mergeCell ref="R308:R310"/>
    <mergeCell ref="S308:S310"/>
    <mergeCell ref="T308:T310"/>
    <mergeCell ref="G314:K314"/>
    <mergeCell ref="C308:C310"/>
    <mergeCell ref="D308:F310"/>
    <mergeCell ref="G308:G309"/>
    <mergeCell ref="H308:H309"/>
    <mergeCell ref="I308:I309"/>
    <mergeCell ref="B315:K315"/>
    <mergeCell ref="B316:B323"/>
    <mergeCell ref="C316:C323"/>
    <mergeCell ref="D316:F323"/>
    <mergeCell ref="G316:G322"/>
    <mergeCell ref="H316:H322"/>
    <mergeCell ref="I316:I322"/>
    <mergeCell ref="J316:J322"/>
    <mergeCell ref="B296:B314"/>
    <mergeCell ref="G305:G306"/>
    <mergeCell ref="H305:H306"/>
    <mergeCell ref="J308:J309"/>
    <mergeCell ref="R325:R326"/>
    <mergeCell ref="S325:S326"/>
    <mergeCell ref="T325:T326"/>
    <mergeCell ref="G326:K326"/>
    <mergeCell ref="G323:K323"/>
    <mergeCell ref="B324:K324"/>
    <mergeCell ref="B325:B326"/>
    <mergeCell ref="C325:C326"/>
    <mergeCell ref="D325:F326"/>
    <mergeCell ref="O325:O326"/>
    <mergeCell ref="P325:P326"/>
    <mergeCell ref="Q325:Q326"/>
    <mergeCell ref="O316:O323"/>
    <mergeCell ref="P316:P323"/>
    <mergeCell ref="Q316:Q323"/>
    <mergeCell ref="R316:R323"/>
    <mergeCell ref="S316:S323"/>
    <mergeCell ref="T316:T323"/>
    <mergeCell ref="O330:O334"/>
    <mergeCell ref="P330:P334"/>
    <mergeCell ref="B327:K327"/>
    <mergeCell ref="B328:K328"/>
    <mergeCell ref="B329:K329"/>
    <mergeCell ref="B330:B334"/>
    <mergeCell ref="C330:C334"/>
    <mergeCell ref="D330:F334"/>
    <mergeCell ref="G330:G333"/>
    <mergeCell ref="H330:H333"/>
    <mergeCell ref="I330:I333"/>
    <mergeCell ref="J330:J333"/>
    <mergeCell ref="G334:K334"/>
    <mergeCell ref="S353:S360"/>
    <mergeCell ref="T353:T360"/>
    <mergeCell ref="G360:K360"/>
    <mergeCell ref="C361:C369"/>
    <mergeCell ref="D361:F369"/>
    <mergeCell ref="G361:G368"/>
    <mergeCell ref="B335:K335"/>
    <mergeCell ref="B336:B351"/>
    <mergeCell ref="C336:T351"/>
    <mergeCell ref="M353:N359"/>
    <mergeCell ref="M361:N368"/>
    <mergeCell ref="I353:I359"/>
    <mergeCell ref="J353:J359"/>
    <mergeCell ref="O353:O360"/>
    <mergeCell ref="P353:P360"/>
    <mergeCell ref="Q353:Q360"/>
    <mergeCell ref="R353:R360"/>
    <mergeCell ref="T361:T369"/>
    <mergeCell ref="G369:K369"/>
    <mergeCell ref="Q330:Q334"/>
    <mergeCell ref="R330:R334"/>
    <mergeCell ref="S330:S334"/>
    <mergeCell ref="T330:T334"/>
    <mergeCell ref="B352:K352"/>
    <mergeCell ref="B353:B369"/>
    <mergeCell ref="C353:C360"/>
    <mergeCell ref="D353:F360"/>
    <mergeCell ref="G353:G359"/>
    <mergeCell ref="H353:H359"/>
    <mergeCell ref="B370:K370"/>
    <mergeCell ref="J361:J368"/>
    <mergeCell ref="O361:O369"/>
    <mergeCell ref="P361:P369"/>
    <mergeCell ref="Q361:Q369"/>
    <mergeCell ref="R361:R369"/>
    <mergeCell ref="S361:S369"/>
    <mergeCell ref="H361:H368"/>
    <mergeCell ref="I361:I368"/>
  </mergeCells>
  <phoneticPr fontId="1" type="noConversion"/>
  <printOptions horizontalCentered="1"/>
  <pageMargins left="0.31496062992125984" right="0.35433070866141736" top="0.55118110236220474" bottom="0.55118110236220474" header="0.31496062992125984" footer="0.31496062992125984"/>
  <pageSetup paperSize="9" scale="29" fitToHeight="0" orientation="portrait" horizontalDpi="300" verticalDpi="300" r:id="rId1"/>
  <rowBreaks count="1" manualBreakCount="1">
    <brk id="122" min="1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미분양(총괄)</vt:lpstr>
      <vt:lpstr>미분양(업체별)</vt:lpstr>
      <vt:lpstr>'미분양(업체별)'!Print_Area</vt:lpstr>
      <vt:lpstr>'미분양(총괄)'!Print_Area</vt:lpstr>
      <vt:lpstr>'미분양(업체별)'!Print_Titles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2025-04-09T07:47:02Z</cp:lastPrinted>
  <dcterms:created xsi:type="dcterms:W3CDTF">2017-03-24T07:24:55Z</dcterms:created>
  <dcterms:modified xsi:type="dcterms:W3CDTF">2026-09-30T01:35:20Z</dcterms:modified>
</cp:coreProperties>
</file>